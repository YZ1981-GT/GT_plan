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DD97A8EA-9A9A-E61F-A557-7D5A7D7259CE}"/>
  <workbookPr codeName="ThisWorkbook"/>
  <mc:AlternateContent xmlns:mc="http://schemas.openxmlformats.org/markup-compatibility/2006">
    <mc:Choice Requires="x15">
      <x15ac:absPath xmlns:x15ac="http://schemas.microsoft.com/office/spreadsheetml/2010/11/ac" url="C:\Users\us38222\Downloads\Excel Debug\"/>
    </mc:Choice>
  </mc:AlternateContent>
  <xr:revisionPtr revIDLastSave="0" documentId="13_ncr:1_{505259F6-C9BD-406A-AE22-47B5BC1B6325}" xr6:coauthVersionLast="47" xr6:coauthVersionMax="47" xr10:uidLastSave="{00000000-0000-0000-0000-000000000000}"/>
  <bookViews>
    <workbookView xWindow="-28920" yWindow="-120" windowWidth="29040" windowHeight="15720" firstSheet="1" activeTab="3" xr2:uid="{00000000-000D-0000-FFFF-FFFF00000000}"/>
  </bookViews>
  <sheets>
    <sheet name="START" sheetId="8" state="veryHidden" r:id="rId1"/>
    <sheet name="Instructions" sheetId="7" r:id="rId2"/>
    <sheet name="Data input" sheetId="2" r:id="rId3"/>
    <sheet name="Scoping input" sheetId="4" r:id="rId4"/>
    <sheet name="Summary by type of work report" sheetId="6" r:id="rId5"/>
    <sheet name="Translation" sheetId="9" r:id="rId6"/>
    <sheet name="Lists" sheetId="3" state="hidden" r:id="rId7"/>
  </sheets>
  <functionGroups builtInGroupCount="19"/>
  <definedNames>
    <definedName name="_sheetContentTranslation_A_10" hidden="1">Translation!$A$10</definedName>
    <definedName name="_sheetContentTranslation_A_100" hidden="1">Translation!$A$100</definedName>
    <definedName name="_sheetContentTranslation_A_101" hidden="1">Translation!$A$101</definedName>
    <definedName name="_sheetContentTranslation_A_102" hidden="1">Translation!$A$102</definedName>
    <definedName name="_sheetContentTranslation_A_103" hidden="1">Translation!$A$103</definedName>
    <definedName name="_sheetContentTranslation_A_104" hidden="1">Translation!$A$104</definedName>
    <definedName name="_sheetContentTranslation_A_105" hidden="1">Translation!$A$105</definedName>
    <definedName name="_sheetContentTranslation_A_106" hidden="1">Translation!$A$106</definedName>
    <definedName name="_sheetContentTranslation_A_107" hidden="1">Translation!$A$107</definedName>
    <definedName name="_sheetContentTranslation_A_108" hidden="1">Translation!$A$108</definedName>
    <definedName name="_sheetContentTranslation_A_109" hidden="1">Translation!$A$109</definedName>
    <definedName name="_sheetContentTranslation_A_11" hidden="1">Translation!$A$11</definedName>
    <definedName name="_sheetContentTranslation_A_110" hidden="1">Translation!$A$110</definedName>
    <definedName name="_sheetContentTranslation_A_111" hidden="1">Translation!$A$111</definedName>
    <definedName name="_sheetContentTranslation_A_112" hidden="1">Translation!$A$112</definedName>
    <definedName name="_sheetContentTranslation_A_113" hidden="1">Translation!$A$113</definedName>
    <definedName name="_sheetContentTranslation_A_114" hidden="1">Translation!$A$114</definedName>
    <definedName name="_sheetContentTranslation_A_115" hidden="1">Translation!$A$115</definedName>
    <definedName name="_sheetContentTranslation_A_116" hidden="1">Translation!$A$116</definedName>
    <definedName name="_sheetContentTranslation_A_117" hidden="1">Translation!$A$117</definedName>
    <definedName name="_sheetContentTranslation_A_118" hidden="1">Translation!$A$118</definedName>
    <definedName name="_sheetContentTranslation_A_119" hidden="1">Translation!$A$119</definedName>
    <definedName name="_sheetContentTranslation_A_12" hidden="1">Translation!$A$12</definedName>
    <definedName name="_sheetContentTranslation_A_120" hidden="1">Translation!$A$120</definedName>
    <definedName name="_sheetContentTranslation_A_121" hidden="1">Translation!$A$121</definedName>
    <definedName name="_sheetContentTranslation_A_122" hidden="1">Translation!$A$122</definedName>
    <definedName name="_sheetContentTranslation_A_123" hidden="1">Translation!$A$123</definedName>
    <definedName name="_sheetContentTranslation_A_124" hidden="1">Translation!$A$124</definedName>
    <definedName name="_sheetContentTranslation_A_125" hidden="1">Translation!$A$125</definedName>
    <definedName name="_sheetContentTranslation_A_126" hidden="1">Translation!$A$126</definedName>
    <definedName name="_sheetContentTranslation_A_127" hidden="1">Translation!$A$127</definedName>
    <definedName name="_sheetContentTranslation_A_128" hidden="1">Translation!$A$128</definedName>
    <definedName name="_sheetContentTranslation_A_129" hidden="1">Translation!$A$129</definedName>
    <definedName name="_sheetContentTranslation_A_13" hidden="1">Translation!$A$13</definedName>
    <definedName name="_sheetContentTranslation_A_130" hidden="1">Translation!$A$130</definedName>
    <definedName name="_sheetContentTranslation_A_131" hidden="1">Translation!$A$131</definedName>
    <definedName name="_sheetContentTranslation_A_132" hidden="1">Translation!$A$132</definedName>
    <definedName name="_sheetContentTranslation_A_133" hidden="1">Translation!$A$133</definedName>
    <definedName name="_sheetContentTranslation_A_134" hidden="1">Translation!$A$134</definedName>
    <definedName name="_sheetContentTranslation_A_135" hidden="1">Translation!$A$135</definedName>
    <definedName name="_sheetContentTranslation_A_136" hidden="1">Translation!$A$136</definedName>
    <definedName name="_sheetContentTranslation_A_137" hidden="1">Translation!$A$137</definedName>
    <definedName name="_sheetContentTranslation_A_138" hidden="1">Translation!$A$138</definedName>
    <definedName name="_sheetContentTranslation_A_139" hidden="1">Translation!$A$139</definedName>
    <definedName name="_sheetContentTranslation_A_14" hidden="1">Translation!$A$14</definedName>
    <definedName name="_sheetContentTranslation_A_140" hidden="1">Translation!$A$140</definedName>
    <definedName name="_sheetContentTranslation_A_141" hidden="1">Translation!$A$141</definedName>
    <definedName name="_sheetContentTranslation_A_142" hidden="1">Translation!$A$142</definedName>
    <definedName name="_sheetContentTranslation_A_143" hidden="1">Translation!$A$143</definedName>
    <definedName name="_sheetContentTranslation_A_144" hidden="1">Translation!$A$144</definedName>
    <definedName name="_sheetContentTranslation_A_145" hidden="1">Translation!$A$145</definedName>
    <definedName name="_sheetContentTranslation_A_146" hidden="1">Translation!$A$146</definedName>
    <definedName name="_sheetContentTranslation_A_147" hidden="1">Translation!$A$147</definedName>
    <definedName name="_sheetContentTranslation_A_148" hidden="1">Translation!$A$148</definedName>
    <definedName name="_sheetContentTranslation_A_149" hidden="1">Translation!$A$149</definedName>
    <definedName name="_sheetContentTranslation_A_15" hidden="1">Translation!$A$15</definedName>
    <definedName name="_sheetContentTranslation_A_150" hidden="1">Translation!$A$150</definedName>
    <definedName name="_sheetContentTranslation_A_151" hidden="1">Translation!$A$151</definedName>
    <definedName name="_sheetContentTranslation_A_152" hidden="1">Translation!$A$152</definedName>
    <definedName name="_sheetContentTranslation_A_153" hidden="1">Translation!$A$153</definedName>
    <definedName name="_sheetContentTranslation_A_154" hidden="1">Translation!$A$154</definedName>
    <definedName name="_sheetContentTranslation_A_155" hidden="1">Translation!$A$155</definedName>
    <definedName name="_sheetContentTranslation_A_156" hidden="1">Translation!$A$156</definedName>
    <definedName name="_sheetContentTranslation_A_157" hidden="1">Translation!$A$157</definedName>
    <definedName name="_sheetContentTranslation_A_158" hidden="1">Translation!$A$158</definedName>
    <definedName name="_sheetContentTranslation_A_159" hidden="1">Translation!$A$159</definedName>
    <definedName name="_sheetContentTranslation_A_16" hidden="1">Translation!$A$16</definedName>
    <definedName name="_sheetContentTranslation_A_160" hidden="1">Translation!$A$160</definedName>
    <definedName name="_sheetContentTranslation_A_161" hidden="1">Translation!$A$161</definedName>
    <definedName name="_sheetContentTranslation_A_162" hidden="1">Translation!$A$162</definedName>
    <definedName name="_sheetContentTranslation_A_163" hidden="1">Translation!$A$163</definedName>
    <definedName name="_sheetContentTranslation_A_164" hidden="1">Translation!$A$164</definedName>
    <definedName name="_sheetContentTranslation_A_165" hidden="1">Translation!$A$165</definedName>
    <definedName name="_sheetContentTranslation_A_166" hidden="1">Translation!$A$166</definedName>
    <definedName name="_sheetContentTranslation_A_167" hidden="1">Translation!$A$167</definedName>
    <definedName name="_sheetContentTranslation_A_168" hidden="1">Translation!$A$168</definedName>
    <definedName name="_sheetContentTranslation_A_169" hidden="1">Translation!$A$169</definedName>
    <definedName name="_sheetContentTranslation_A_17" hidden="1">Translation!$A$17</definedName>
    <definedName name="_sheetContentTranslation_A_170" hidden="1">Translation!$A$170</definedName>
    <definedName name="_sheetContentTranslation_A_171" hidden="1">Translation!$A$171</definedName>
    <definedName name="_sheetContentTranslation_A_172" hidden="1">Translation!$A$172</definedName>
    <definedName name="_sheetContentTranslation_A_173" hidden="1">Translation!$A$173</definedName>
    <definedName name="_sheetContentTranslation_A_174" hidden="1">Translation!$A$174</definedName>
    <definedName name="_sheetContentTranslation_A_175" hidden="1">Translation!$A$175</definedName>
    <definedName name="_sheetContentTranslation_A_176" hidden="1">Translation!$A$176</definedName>
    <definedName name="_sheetContentTranslation_A_177" hidden="1">Translation!$A$177</definedName>
    <definedName name="_sheetContentTranslation_A_178" hidden="1">Translation!$A$178</definedName>
    <definedName name="_sheetContentTranslation_A_179" hidden="1">Translation!$A$179</definedName>
    <definedName name="_sheetContentTranslation_A_18" hidden="1">Translation!$A$18</definedName>
    <definedName name="_sheetContentTranslation_A_180" hidden="1">Translation!$A$180</definedName>
    <definedName name="_sheetContentTranslation_A_181" hidden="1">Translation!$A$181</definedName>
    <definedName name="_sheetContentTranslation_A_182" hidden="1">Translation!$A$182</definedName>
    <definedName name="_sheetContentTranslation_A_183" hidden="1">Translation!$A$183</definedName>
    <definedName name="_sheetContentTranslation_A_184" hidden="1">Translation!$A$184</definedName>
    <definedName name="_sheetContentTranslation_A_185" hidden="1">Translation!$A$185</definedName>
    <definedName name="_sheetContentTranslation_A_186" hidden="1">Translation!$A$186</definedName>
    <definedName name="_sheetContentTranslation_A_187" hidden="1">Translation!$A$187</definedName>
    <definedName name="_sheetContentTranslation_A_188" hidden="1">Translation!$A$188</definedName>
    <definedName name="_sheetContentTranslation_A_189" hidden="1">Translation!$A$189</definedName>
    <definedName name="_sheetContentTranslation_A_19" hidden="1">Translation!$A$19</definedName>
    <definedName name="_sheetContentTranslation_A_190" hidden="1">Translation!$A$190</definedName>
    <definedName name="_sheetContentTranslation_A_191" hidden="1">Translation!$A$191</definedName>
    <definedName name="_sheetContentTranslation_A_192" hidden="1">Translation!$A$192</definedName>
    <definedName name="_sheetContentTranslation_A_193" hidden="1">Translation!$A$193</definedName>
    <definedName name="_sheetContentTranslation_A_194" hidden="1">Translation!$A$194</definedName>
    <definedName name="_sheetContentTranslation_A_195" hidden="1">Translation!$A$195</definedName>
    <definedName name="_sheetContentTranslation_A_196" hidden="1">Translation!$A$196</definedName>
    <definedName name="_sheetContentTranslation_A_197" hidden="1">Translation!$A$197</definedName>
    <definedName name="_sheetContentTranslation_A_198" hidden="1">Translation!$A$198</definedName>
    <definedName name="_sheetContentTranslation_A_199" hidden="1">Translation!$A$199</definedName>
    <definedName name="_sheetContentTranslation_A_20" hidden="1">Translation!$A$20</definedName>
    <definedName name="_sheetContentTranslation_A_200" hidden="1">Translation!$A$200</definedName>
    <definedName name="_sheetContentTranslation_A_201" hidden="1">Translation!$A$201</definedName>
    <definedName name="_sheetContentTranslation_A_202" hidden="1">Translation!$A$202</definedName>
    <definedName name="_sheetContentTranslation_A_203" hidden="1">Translation!$A$203</definedName>
    <definedName name="_sheetContentTranslation_A_204" hidden="1">Translation!$A$204</definedName>
    <definedName name="_sheetContentTranslation_A_205" hidden="1">Translation!$A$205</definedName>
    <definedName name="_sheetContentTranslation_A_206" hidden="1">Translation!$A$206</definedName>
    <definedName name="_sheetContentTranslation_A_207" hidden="1">Translation!$A$207</definedName>
    <definedName name="_sheetContentTranslation_A_208" hidden="1">Translation!$A$208</definedName>
    <definedName name="_sheetContentTranslation_A_209" hidden="1">Translation!$A$209</definedName>
    <definedName name="_sheetContentTranslation_A_21" hidden="1">Translation!$A$21</definedName>
    <definedName name="_sheetContentTranslation_A_210" hidden="1">Translation!$A$210</definedName>
    <definedName name="_sheetContentTranslation_A_211" hidden="1">Translation!$A$211</definedName>
    <definedName name="_sheetContentTranslation_A_212" hidden="1">Translation!$A$212</definedName>
    <definedName name="_sheetContentTranslation_A_213" hidden="1">Translation!$A$213</definedName>
    <definedName name="_sheetContentTranslation_A_214" hidden="1">Translation!$A$214</definedName>
    <definedName name="_sheetContentTranslation_A_215" hidden="1">Translation!$A$215</definedName>
    <definedName name="_sheetContentTranslation_A_216" hidden="1">Translation!$A$216</definedName>
    <definedName name="_sheetContentTranslation_A_217" hidden="1">Translation!$A$217</definedName>
    <definedName name="_sheetContentTranslation_A_218" hidden="1">Translation!#REF!</definedName>
    <definedName name="_sheetContentTranslation_A_219" hidden="1">Translation!#REF!</definedName>
    <definedName name="_sheetContentTranslation_A_22" hidden="1">Translation!$A$22</definedName>
    <definedName name="_sheetContentTranslation_A_220" hidden="1">Translation!#REF!</definedName>
    <definedName name="_sheetContentTranslation_A_221" hidden="1">Translation!#REF!</definedName>
    <definedName name="_sheetContentTranslation_A_222" hidden="1">Translation!#REF!</definedName>
    <definedName name="_sheetContentTranslation_A_223" hidden="1">Translation!#REF!</definedName>
    <definedName name="_sheetContentTranslation_A_224" hidden="1">Translation!#REF!</definedName>
    <definedName name="_sheetContentTranslation_A_225" hidden="1">Translation!#REF!</definedName>
    <definedName name="_sheetContentTranslation_A_226" hidden="1">Translation!#REF!</definedName>
    <definedName name="_sheetContentTranslation_A_227" hidden="1">Translation!#REF!</definedName>
    <definedName name="_sheetContentTranslation_A_228" hidden="1">Translation!#REF!</definedName>
    <definedName name="_sheetContentTranslation_A_229" hidden="1">Translation!#REF!</definedName>
    <definedName name="_sheetContentTranslation_A_23" hidden="1">Translation!$A$23</definedName>
    <definedName name="_sheetContentTranslation_A_230" hidden="1">Translation!#REF!</definedName>
    <definedName name="_sheetContentTranslation_A_231" hidden="1">Translation!#REF!</definedName>
    <definedName name="_sheetContentTranslation_A_232" hidden="1">Translation!#REF!</definedName>
    <definedName name="_sheetContentTranslation_A_233" hidden="1">Translation!$A$200</definedName>
    <definedName name="_sheetContentTranslation_A_234" hidden="1">Translation!$A$201</definedName>
    <definedName name="_sheetContentTranslation_A_235" hidden="1">Translation!$A$202</definedName>
    <definedName name="_sheetContentTranslation_A_236" hidden="1">Translation!$A$203</definedName>
    <definedName name="_sheetContentTranslation_A_237" hidden="1">Translation!$A$204</definedName>
    <definedName name="_sheetContentTranslation_A_238" hidden="1">Translation!$A$206</definedName>
    <definedName name="_sheetContentTranslation_A_239" hidden="1">Translation!$A$207</definedName>
    <definedName name="_sheetContentTranslation_A_24" hidden="1">Translation!$A$24</definedName>
    <definedName name="_sheetContentTranslation_A_240" hidden="1">Translation!$A$208</definedName>
    <definedName name="_sheetContentTranslation_A_25" hidden="1">Translation!$A$25</definedName>
    <definedName name="_sheetContentTranslation_A_26" hidden="1">Translation!$A$26</definedName>
    <definedName name="_sheetContentTranslation_A_27" hidden="1">Translation!$A$27</definedName>
    <definedName name="_sheetContentTranslation_A_28" hidden="1">Translation!$A$28</definedName>
    <definedName name="_sheetContentTranslation_A_29" hidden="1">Translation!$A$29</definedName>
    <definedName name="_sheetContentTranslation_A_3" hidden="1">Translation!$A$3</definedName>
    <definedName name="_sheetContentTranslation_A_30" hidden="1">Translation!$A$30</definedName>
    <definedName name="_sheetContentTranslation_A_31" hidden="1">Translation!$A$31</definedName>
    <definedName name="_sheetContentTranslation_A_32" hidden="1">Translation!$A$32</definedName>
    <definedName name="_sheetContentTranslation_A_33" hidden="1">Translation!$A$33</definedName>
    <definedName name="_sheetContentTranslation_A_34" hidden="1">Translation!$A$34</definedName>
    <definedName name="_sheetContentTranslation_A_35" hidden="1">Translation!$A$35</definedName>
    <definedName name="_sheetContentTranslation_A_36" hidden="1">Translation!$A$36</definedName>
    <definedName name="_sheetContentTranslation_A_37" hidden="1">Translation!$A$37</definedName>
    <definedName name="_sheetContentTranslation_A_38" hidden="1">Translation!$A$38</definedName>
    <definedName name="_sheetContentTranslation_A_39" hidden="1">Translation!$A$39</definedName>
    <definedName name="_sheetContentTranslation_A_4" hidden="1">Translation!$A$4</definedName>
    <definedName name="_sheetContentTranslation_A_40" hidden="1">Translation!$A$40</definedName>
    <definedName name="_sheetContentTranslation_A_41" hidden="1">Translation!$A$41</definedName>
    <definedName name="_sheetContentTranslation_A_42" hidden="1">Translation!$A$42</definedName>
    <definedName name="_sheetContentTranslation_A_43" hidden="1">Translation!$A$43</definedName>
    <definedName name="_sheetContentTranslation_A_44" hidden="1">Translation!$A$44</definedName>
    <definedName name="_sheetContentTranslation_A_45" hidden="1">Translation!$A$45</definedName>
    <definedName name="_sheetContentTranslation_A_46" hidden="1">Translation!$A$46</definedName>
    <definedName name="_sheetContentTranslation_A_47" hidden="1">Translation!$A$47</definedName>
    <definedName name="_sheetContentTranslation_A_48" hidden="1">Translation!$A$48</definedName>
    <definedName name="_sheetContentTranslation_A_49" hidden="1">Translation!$A$49</definedName>
    <definedName name="_sheetContentTranslation_A_5" hidden="1">Translation!$A$5</definedName>
    <definedName name="_sheetContentTranslation_A_50" hidden="1">Translation!$A$50</definedName>
    <definedName name="_sheetContentTranslation_A_51" hidden="1">Translation!$A$51</definedName>
    <definedName name="_sheetContentTranslation_A_52" hidden="1">Translation!$A$52</definedName>
    <definedName name="_sheetContentTranslation_A_53" hidden="1">Translation!$A$53</definedName>
    <definedName name="_sheetContentTranslation_A_54" hidden="1">Translation!$A$54</definedName>
    <definedName name="_sheetContentTranslation_A_55" hidden="1">Translation!$A$55</definedName>
    <definedName name="_sheetContentTranslation_A_56" hidden="1">Translation!$A$56</definedName>
    <definedName name="_sheetContentTranslation_A_57" hidden="1">Translation!$A$57</definedName>
    <definedName name="_sheetContentTranslation_A_58" hidden="1">Translation!$A$58</definedName>
    <definedName name="_sheetContentTranslation_A_59" hidden="1">Translation!$A$59</definedName>
    <definedName name="_sheetContentTranslation_A_6" hidden="1">Translation!$A$6</definedName>
    <definedName name="_sheetContentTranslation_A_60" hidden="1">Translation!$A$60</definedName>
    <definedName name="_sheetContentTranslation_A_61" hidden="1">Translation!$A$61</definedName>
    <definedName name="_sheetContentTranslation_A_62" hidden="1">Translation!$A$62</definedName>
    <definedName name="_sheetContentTranslation_A_63" hidden="1">Translation!$A$63</definedName>
    <definedName name="_sheetContentTranslation_A_64" hidden="1">Translation!$A$64</definedName>
    <definedName name="_sheetContentTranslation_A_65" hidden="1">Translation!$A$65</definedName>
    <definedName name="_sheetContentTranslation_A_66" hidden="1">Translation!$A$66</definedName>
    <definedName name="_sheetContentTranslation_A_67" hidden="1">Translation!$A$67</definedName>
    <definedName name="_sheetContentTranslation_A_68" hidden="1">Translation!$A$68</definedName>
    <definedName name="_sheetContentTranslation_A_69" hidden="1">Translation!$A$69</definedName>
    <definedName name="_sheetContentTranslation_A_7" hidden="1">Translation!$A$7</definedName>
    <definedName name="_sheetContentTranslation_A_70" hidden="1">Translation!$A$70</definedName>
    <definedName name="_sheetContentTranslation_A_71" hidden="1">Translation!$A$71</definedName>
    <definedName name="_sheetContentTranslation_A_72" hidden="1">Translation!$A$72</definedName>
    <definedName name="_sheetContentTranslation_A_73" hidden="1">Translation!$A$73</definedName>
    <definedName name="_sheetContentTranslation_A_74" hidden="1">Translation!$A$74</definedName>
    <definedName name="_sheetContentTranslation_A_75" hidden="1">Translation!$A$75</definedName>
    <definedName name="_sheetContentTranslation_A_76" hidden="1">Translation!$A$76</definedName>
    <definedName name="_sheetContentTranslation_A_77" hidden="1">Translation!$A$77</definedName>
    <definedName name="_sheetContentTranslation_A_78" hidden="1">Translation!$A$78</definedName>
    <definedName name="_sheetContentTranslation_A_79" hidden="1">Translation!$A$79</definedName>
    <definedName name="_sheetContentTranslation_A_8" hidden="1">Translation!$A$8</definedName>
    <definedName name="_sheetContentTranslation_A_80" hidden="1">Translation!$A$80</definedName>
    <definedName name="_sheetContentTranslation_A_81" hidden="1">Translation!$A$81</definedName>
    <definedName name="_sheetContentTranslation_A_82" hidden="1">Translation!$A$82</definedName>
    <definedName name="_sheetContentTranslation_A_83" hidden="1">Translation!$A$83</definedName>
    <definedName name="_sheetContentTranslation_A_84" hidden="1">Translation!$A$84</definedName>
    <definedName name="_sheetContentTranslation_A_85" hidden="1">Translation!$A$85</definedName>
    <definedName name="_sheetContentTranslation_A_86" hidden="1">Translation!$A$86</definedName>
    <definedName name="_sheetContentTranslation_A_87" hidden="1">Translation!$A$87</definedName>
    <definedName name="_sheetContentTranslation_A_88" hidden="1">Translation!$A$88</definedName>
    <definedName name="_sheetContentTranslation_A_89" hidden="1">Translation!$A$89</definedName>
    <definedName name="_sheetContentTranslation_A_9" hidden="1">Translation!$A$9</definedName>
    <definedName name="_sheetContentTranslation_A_90" hidden="1">Translation!$A$90</definedName>
    <definedName name="_sheetContentTranslation_A_91" hidden="1">Translation!$A$91</definedName>
    <definedName name="_sheetContentTranslation_A_92" hidden="1">Translation!$A$92</definedName>
    <definedName name="_sheetContentTranslation_A_93" hidden="1">Translation!$A$93</definedName>
    <definedName name="_sheetContentTranslation_A_94" hidden="1">Translation!$A$94</definedName>
    <definedName name="_sheetContentTranslation_A_95" hidden="1">Translation!$A$95</definedName>
    <definedName name="_sheetContentTranslation_A_96" hidden="1">Translation!$A$96</definedName>
    <definedName name="_sheetContentTranslation_A_97" hidden="1">Translation!$A$97</definedName>
    <definedName name="_sheetContentTranslation_A_98" hidden="1">Translation!$A$98</definedName>
    <definedName name="_sheetContentTranslation_A_99" hidden="1">Translation!$A$99</definedName>
    <definedName name="Analytical_procedures_at_group_level">Lists!$E$2</definedName>
    <definedName name="AssumeResponsibility">Lists!$D$10</definedName>
    <definedName name="AssumeResposibility">Lists!$D$10</definedName>
    <definedName name="Audit_of_financial_information___assume_responsibility">Lists!$E$3</definedName>
    <definedName name="Audit_of_financial_information___make_reference">Lists!$C$3</definedName>
    <definedName name="Audit_of_one_or_more_classes_of_transactions__account_balances__or_disclosures">Lists!$D$4</definedName>
    <definedName name="Component_base">'Data input'!$K:$K</definedName>
    <definedName name="Component_end">'Data input'!$E:$E</definedName>
    <definedName name="Component_materiality">'Scoping input'!#REF!</definedName>
    <definedName name="Component_performance_materiality">'Scoping input'!$L$11</definedName>
    <definedName name="Component_Reference_SI">'Scoping input'!$B$11:$B$13</definedName>
    <definedName name="Component_Risk">Lists!$F$1:$F$5</definedName>
    <definedName name="Component_significance">Lists!$B$2:$B$4</definedName>
    <definedName name="Component_Type">Lists!$A$2:$A$5</definedName>
    <definedName name="ComponentFirm">Lists!$G$1:$G$3</definedName>
    <definedName name="Confirm_Delete_Msg">Translation!$A$188</definedName>
    <definedName name="Confirm_Delete_Title">Translation!$A$189</definedName>
    <definedName name="Data_CompType_Row">'Data input'!$C$10</definedName>
    <definedName name="Data_End">'Data input'!$139:$139</definedName>
    <definedName name="Data_Engagement_Name">'Data input'!$D$4</definedName>
    <definedName name="Data_FS_Base">'Data input'!$140:$140</definedName>
    <definedName name="Data_FS_Header">'Data input'!$C$12</definedName>
    <definedName name="Data_Period_End">'Data input'!$D$5</definedName>
    <definedName name="Data_Start">'Data input'!$B$1:$B$12</definedName>
    <definedName name="Delete_Benchmark_Msg">Translation!$A$190</definedName>
    <definedName name="Delete_Benchmark_Title">Translation!$A$191</definedName>
    <definedName name="Delete_FS_Caption">Translation!$A$210</definedName>
    <definedName name="Delete_FSCaptionMsg">Translation!$A$197</definedName>
    <definedName name="Equity_method_investment">Lists!$A$4</definedName>
    <definedName name="FSCaptionMsg">Translation!$A$196</definedName>
    <definedName name="GapBeforeSums">'Summary by type of work report'!$K$9</definedName>
    <definedName name="Individually_financially_significant">Lists!$C$2:$C$3</definedName>
    <definedName name="IndividuallyFinanciallySignificant">Lists!$B$2</definedName>
    <definedName name="Likely_to_include_significant_risks">Lists!$D$2:$D$5</definedName>
    <definedName name="LikelyToIncludeSignificantRisks">Lists!$B$3</definedName>
    <definedName name="MakeReference">Lists!$D$11</definedName>
    <definedName name="Materiality_msg">Translation!$A$192</definedName>
    <definedName name="Materiality_msg1">Translation!$A$193</definedName>
    <definedName name="Materiality_msg2">Translation!$A$194</definedName>
    <definedName name="Materiality_msg3">Translation!$A$195</definedName>
    <definedName name="N_A___analytical_procedures_at_group_level">Lists!$F$4</definedName>
    <definedName name="N_A___significant_component">Lists!$F$5</definedName>
    <definedName name="Not_significant">Lists!$E$2:$E$7</definedName>
    <definedName name="NotApplicable">Translation!$A$158</definedName>
    <definedName name="NotSignificant">Lists!$B$4</definedName>
    <definedName name="Other_relevant_start" localSheetId="2">'Data input'!$A$132</definedName>
    <definedName name="Other_Risk_Error">Translation!$A$187</definedName>
    <definedName name="Other_risk_of_material_misstatement_of_the_group">Lists!$F$1</definedName>
    <definedName name="Our_firm">Lists!$G$1</definedName>
    <definedName name="Purpose_Header">'Scoping input'!#REF!</definedName>
    <definedName name="Purpose_IndividuallyFinanciallySignificant">Lists!$B$10</definedName>
    <definedName name="Purpose_MaterialMisstatement">Lists!$B$11</definedName>
    <definedName name="Purpose_NotInScope">Lists!$B$13</definedName>
    <definedName name="purpose_of_component_scoping">'Scoping input'!$J$11</definedName>
    <definedName name="Purpose_of_component_scoping_header">'Scoping input'!$J$11</definedName>
    <definedName name="Purpose_OtherThanIndivFinSig">Lists!$D$10:$D$13</definedName>
    <definedName name="Purpose_SufficientEvidence">Lists!$B$12</definedName>
    <definedName name="PurposeOfScoping">Lists!$B$10:$B$13</definedName>
    <definedName name="Review_of_financial_information">Lists!$E$7</definedName>
    <definedName name="Scoping_Address_Col">'Scoping input'!$T$1</definedName>
    <definedName name="Scoping_Component_Header">'Scoping input'!$C$11</definedName>
    <definedName name="Scoping_Component_Reference_Header">'Scoping input'!$B$11</definedName>
    <definedName name="Scoping_component_type">'Scoping input'!$D$11</definedName>
    <definedName name="Scoping_Component_Type_Header">'Scoping input'!#REF!</definedName>
    <definedName name="Scoping_Equity_FinPosition_Header">'Scoping input'!$G$11</definedName>
    <definedName name="Scoping_Equity_Ownership_Header">'Scoping input'!$I$11</definedName>
    <definedName name="Scoping_Equity_PL_Header">'Scoping input'!$H$11</definedName>
    <definedName name="Scoping_Firm_Name_Header">'Scoping input'!#REF!</definedName>
    <definedName name="Scoping_Group_Benchmark">'Scoping input'!#REF!</definedName>
    <definedName name="Scoping_Group_Materiality">'Scoping input'!$D$6</definedName>
    <definedName name="Scoping_Group_PM">'Scoping input'!$D$7</definedName>
    <definedName name="Scoping_Start">'Scoping input'!$A$1:$A$11</definedName>
    <definedName name="Scoping_Statutory_Header">'Scoping input'!#REF!</definedName>
    <definedName name="Scoping_Ticker">'Scoping input'!$U$11</definedName>
    <definedName name="Scoping_Type_Hardcode_Col">'Scoping input'!$S$1</definedName>
    <definedName name="Scoping_Type_Header">'Scoping input'!$K$11</definedName>
    <definedName name="sh_Home" localSheetId="2">'Data input'!$A$1</definedName>
    <definedName name="sh_Home" localSheetId="3">'Scoping input'!$A$1</definedName>
    <definedName name="SI_benchmark_base">'Scoping input'!$P:$Q</definedName>
    <definedName name="SI_benchmark_end">'Scoping input'!$G:$G</definedName>
    <definedName name="SI_component_base">'Scoping input'!$14:$14</definedName>
    <definedName name="SI_component_end">'Scoping input'!$13:$13</definedName>
    <definedName name="Specified_audit_procedures">Lists!$D$5</definedName>
    <definedName name="SpecifiedProceduresComponentAuditor">Lists!$D$12</definedName>
    <definedName name="SpecifiedProceduresGroupAuditor">Lists!$D$13</definedName>
    <definedName name="SpellCheckComplete">Translation!$A$209</definedName>
    <definedName name="SR_Hdr" localSheetId="3">'Scoping input'!$M$11</definedName>
    <definedName name="Summary_Start">'Summary by type of work report'!$A$1:$A$9</definedName>
    <definedName name="Type_Classes_Header">'Summary by type of work report'!$I$9</definedName>
    <definedName name="Type_Component_Base">'Summary by type of work report'!$S:$S</definedName>
    <definedName name="Type_Component_name">'Summary by type of work report'!$S$9</definedName>
    <definedName name="Type_FS_Base">'Summary by type of work report'!$128:$128</definedName>
    <definedName name="Type_FS_Header">'Summary by type of work report'!$B$9</definedName>
    <definedName name="Type_Headers">'Summary by type of work report'!$9:$9</definedName>
    <definedName name="Type_Review_Header">'Summary by type of work report'!#REF!</definedName>
    <definedName name="Type_Specified_Header">'Summary by type of work report'!$J$9</definedName>
    <definedName name="TypeWorkIndivFinSig">Lists!$D$10:$D$11</definedName>
    <definedName name="YesNo">Lists!$H$1:$H$2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1" i="4" l="1"/>
  <c r="E218" i="9"/>
  <c r="B13" i="3"/>
  <c r="B12" i="3"/>
  <c r="B11" i="3"/>
  <c r="B10" i="3"/>
  <c r="E8" i="2"/>
  <c r="L5" i="6"/>
  <c r="L79" i="6" l="1"/>
  <c r="D13" i="3" l="1"/>
  <c r="D12" i="3"/>
  <c r="K11" i="4"/>
  <c r="D11" i="3"/>
  <c r="D10" i="3"/>
  <c r="F4" i="3" l="1"/>
  <c r="G3" i="3"/>
  <c r="F3" i="3"/>
  <c r="G2" i="3"/>
  <c r="F2" i="3"/>
  <c r="G1" i="3"/>
  <c r="F1" i="3"/>
  <c r="F5" i="3"/>
  <c r="E7" i="3"/>
  <c r="E6" i="3"/>
  <c r="E5" i="3"/>
  <c r="D5" i="3"/>
  <c r="A5" i="3"/>
  <c r="E4" i="3"/>
  <c r="D4" i="3"/>
  <c r="B4" i="3"/>
  <c r="A4" i="3"/>
  <c r="E3" i="3"/>
  <c r="D3" i="3"/>
  <c r="C3" i="3"/>
  <c r="B3" i="3"/>
  <c r="A3" i="3"/>
  <c r="E2" i="3"/>
  <c r="D2" i="3"/>
  <c r="C2" i="3"/>
  <c r="B2" i="3"/>
  <c r="A2" i="3"/>
  <c r="E1" i="3"/>
  <c r="D1" i="3"/>
  <c r="C1" i="3"/>
  <c r="B1" i="3"/>
  <c r="A1" i="3"/>
  <c r="Q9" i="6"/>
  <c r="P9" i="6"/>
  <c r="O9" i="6"/>
  <c r="M9" i="6"/>
  <c r="L9" i="6"/>
  <c r="J9" i="6"/>
  <c r="I9" i="6"/>
  <c r="H9" i="6"/>
  <c r="G9" i="6"/>
  <c r="E9" i="6"/>
  <c r="D9" i="6"/>
  <c r="C9" i="6"/>
  <c r="O8" i="6"/>
  <c r="J8" i="6"/>
  <c r="I8" i="6"/>
  <c r="Q7" i="6"/>
  <c r="B5" i="6"/>
  <c r="B4" i="6"/>
  <c r="B2" i="6"/>
  <c r="B17" i="4"/>
  <c r="B16" i="4"/>
  <c r="B15" i="4"/>
  <c r="O14" i="4"/>
  <c r="L14" i="4"/>
  <c r="I14" i="4"/>
  <c r="H14" i="4"/>
  <c r="G14" i="4"/>
  <c r="O12" i="4"/>
  <c r="N11" i="4"/>
  <c r="L11" i="4"/>
  <c r="J11" i="4"/>
  <c r="I11" i="4"/>
  <c r="H11" i="4"/>
  <c r="G11" i="4"/>
  <c r="D11" i="4"/>
  <c r="C11" i="4"/>
  <c r="B11" i="4"/>
  <c r="P10" i="4"/>
  <c r="N10" i="4"/>
  <c r="G10" i="4"/>
  <c r="E10" i="4"/>
  <c r="D10" i="4"/>
  <c r="P9" i="4"/>
  <c r="B7" i="4"/>
  <c r="B6" i="4"/>
  <c r="B5" i="4"/>
  <c r="B4" i="4"/>
  <c r="B2" i="4"/>
  <c r="U1" i="4"/>
  <c r="T1" i="4"/>
  <c r="S1" i="4"/>
  <c r="B140" i="2"/>
  <c r="A140" i="2"/>
  <c r="B138" i="2"/>
  <c r="A138" i="2"/>
  <c r="B137" i="2"/>
  <c r="A137" i="2"/>
  <c r="B136" i="2"/>
  <c r="A136" i="2"/>
  <c r="B135" i="2"/>
  <c r="A135" i="2"/>
  <c r="B134" i="2"/>
  <c r="A134" i="2"/>
  <c r="B133" i="2"/>
  <c r="A133" i="2"/>
  <c r="C132" i="2"/>
  <c r="C129" i="2"/>
  <c r="B129" i="2"/>
  <c r="A129" i="2"/>
  <c r="C128" i="2"/>
  <c r="B128" i="2"/>
  <c r="C127" i="2"/>
  <c r="B127" i="2"/>
  <c r="A127" i="2"/>
  <c r="B126" i="2"/>
  <c r="A126" i="2"/>
  <c r="C125" i="2"/>
  <c r="B125" i="2"/>
  <c r="A125" i="2"/>
  <c r="C124" i="2"/>
  <c r="B124" i="2"/>
  <c r="C123" i="2"/>
  <c r="B123" i="2"/>
  <c r="A123" i="2"/>
  <c r="B122" i="2"/>
  <c r="A122" i="2"/>
  <c r="C121" i="2"/>
  <c r="B121" i="2"/>
  <c r="A121" i="2"/>
  <c r="C120" i="2"/>
  <c r="B120" i="2"/>
  <c r="C119" i="2"/>
  <c r="B119" i="2"/>
  <c r="A119" i="2"/>
  <c r="B118" i="2"/>
  <c r="A118" i="2"/>
  <c r="C117" i="2"/>
  <c r="B117" i="2"/>
  <c r="A117" i="2"/>
  <c r="C116" i="2"/>
  <c r="B116" i="2"/>
  <c r="C115" i="2"/>
  <c r="B115" i="2"/>
  <c r="A115" i="2"/>
  <c r="C114" i="2"/>
  <c r="B114" i="2"/>
  <c r="A114" i="2"/>
  <c r="B113" i="2"/>
  <c r="A113" i="2"/>
  <c r="C112" i="2"/>
  <c r="B112" i="2"/>
  <c r="A112" i="2"/>
  <c r="C111" i="2"/>
  <c r="B111" i="2"/>
  <c r="C110" i="2"/>
  <c r="B110" i="2"/>
  <c r="A110" i="2"/>
  <c r="C109" i="2"/>
  <c r="B109" i="2"/>
  <c r="A109" i="2"/>
  <c r="B108" i="2"/>
  <c r="A108" i="2"/>
  <c r="C107" i="2"/>
  <c r="B107" i="2"/>
  <c r="A107" i="2"/>
  <c r="C106" i="2"/>
  <c r="B106" i="2"/>
  <c r="C105" i="2"/>
  <c r="B105" i="2"/>
  <c r="A105" i="2"/>
  <c r="C104" i="2"/>
  <c r="B104" i="2"/>
  <c r="A104" i="2"/>
  <c r="C103" i="2"/>
  <c r="B103" i="2"/>
  <c r="A103" i="2"/>
  <c r="C102" i="2"/>
  <c r="B102" i="2"/>
  <c r="A102" i="2"/>
  <c r="C101" i="2"/>
  <c r="B101" i="2"/>
  <c r="A101" i="2"/>
  <c r="C100" i="2"/>
  <c r="B100" i="2"/>
  <c r="A100" i="2"/>
  <c r="C99" i="2"/>
  <c r="B99" i="2"/>
  <c r="A99" i="2"/>
  <c r="B98" i="2"/>
  <c r="A98" i="2"/>
  <c r="C97" i="2"/>
  <c r="B97" i="2"/>
  <c r="A97" i="2"/>
  <c r="C96" i="2"/>
  <c r="B96" i="2"/>
  <c r="C95" i="2"/>
  <c r="B95" i="2"/>
  <c r="A95" i="2"/>
  <c r="B94" i="2"/>
  <c r="A94" i="2"/>
  <c r="C93" i="2"/>
  <c r="B93" i="2"/>
  <c r="A93" i="2"/>
  <c r="C92" i="2"/>
  <c r="B92" i="2"/>
  <c r="C91" i="2"/>
  <c r="B91" i="2"/>
  <c r="A91" i="2"/>
  <c r="C90" i="2"/>
  <c r="B90" i="2"/>
  <c r="A90" i="2"/>
  <c r="B89" i="2"/>
  <c r="A89" i="2"/>
  <c r="C88" i="2"/>
  <c r="B88" i="2"/>
  <c r="A88" i="2"/>
  <c r="B87" i="2"/>
  <c r="A87" i="2"/>
  <c r="C86" i="2"/>
  <c r="B86" i="2"/>
  <c r="A86" i="2"/>
  <c r="C85" i="2"/>
  <c r="B85" i="2"/>
  <c r="A85" i="2"/>
  <c r="B84" i="2"/>
  <c r="A84" i="2"/>
  <c r="C83" i="2"/>
  <c r="B83" i="2"/>
  <c r="A83" i="2"/>
  <c r="C82" i="2"/>
  <c r="B82" i="2"/>
  <c r="C81" i="2"/>
  <c r="B81" i="2"/>
  <c r="A81" i="2"/>
  <c r="B80" i="2"/>
  <c r="A80" i="2"/>
  <c r="C79" i="2"/>
  <c r="B79" i="2"/>
  <c r="A79" i="2"/>
  <c r="C78" i="2"/>
  <c r="B78" i="2"/>
  <c r="C77" i="2"/>
  <c r="B77" i="2"/>
  <c r="A77" i="2"/>
  <c r="C76" i="2"/>
  <c r="B76" i="2"/>
  <c r="A76" i="2"/>
  <c r="C75" i="2"/>
  <c r="B75" i="2"/>
  <c r="A75" i="2"/>
  <c r="C74" i="2"/>
  <c r="B74" i="2"/>
  <c r="A74" i="2"/>
  <c r="C73" i="2"/>
  <c r="B73" i="2"/>
  <c r="A73" i="2"/>
  <c r="C72" i="2"/>
  <c r="B72" i="2"/>
  <c r="A72" i="2"/>
  <c r="C71" i="2"/>
  <c r="B71" i="2"/>
  <c r="A71" i="2"/>
  <c r="B70" i="2"/>
  <c r="A70" i="2"/>
  <c r="C69" i="2"/>
  <c r="B69" i="2"/>
  <c r="A69" i="2"/>
  <c r="C68" i="2"/>
  <c r="B68" i="2"/>
  <c r="C67" i="2"/>
  <c r="B67" i="2"/>
  <c r="A67" i="2"/>
  <c r="C66" i="2"/>
  <c r="B66" i="2"/>
  <c r="A66" i="2"/>
  <c r="C65" i="2"/>
  <c r="B65" i="2"/>
  <c r="A65" i="2"/>
  <c r="C64" i="2"/>
  <c r="B64" i="2"/>
  <c r="A64" i="2"/>
  <c r="C63" i="2"/>
  <c r="B63" i="2"/>
  <c r="A63" i="2"/>
  <c r="C62" i="2"/>
  <c r="B62" i="2"/>
  <c r="A62" i="2"/>
  <c r="C61" i="2"/>
  <c r="B61" i="2"/>
  <c r="A61" i="2"/>
  <c r="C60" i="2"/>
  <c r="B60" i="2"/>
  <c r="A60" i="2"/>
  <c r="C59" i="2"/>
  <c r="B59" i="2"/>
  <c r="A59" i="2"/>
  <c r="B58" i="2"/>
  <c r="A58" i="2"/>
  <c r="C57" i="2"/>
  <c r="B57" i="2"/>
  <c r="A57" i="2"/>
  <c r="C56" i="2"/>
  <c r="B56" i="2"/>
  <c r="C55" i="2"/>
  <c r="B55" i="2"/>
  <c r="A55" i="2"/>
  <c r="C54" i="2"/>
  <c r="B54" i="2"/>
  <c r="A54" i="2"/>
  <c r="C53" i="2"/>
  <c r="B53" i="2"/>
  <c r="A53" i="2"/>
  <c r="C52" i="2"/>
  <c r="B52" i="2"/>
  <c r="A52" i="2"/>
  <c r="C51" i="2"/>
  <c r="B51" i="2"/>
  <c r="A51" i="2"/>
  <c r="C50" i="2"/>
  <c r="B50" i="2"/>
  <c r="A50" i="2"/>
  <c r="C49" i="2"/>
  <c r="B49" i="2"/>
  <c r="A49" i="2"/>
  <c r="C48" i="2"/>
  <c r="B48" i="2"/>
  <c r="A48" i="2"/>
  <c r="C47" i="2"/>
  <c r="B47" i="2"/>
  <c r="A47" i="2"/>
  <c r="C46" i="2"/>
  <c r="B46" i="2"/>
  <c r="A46" i="2"/>
  <c r="C45" i="2"/>
  <c r="B45" i="2"/>
  <c r="A45" i="2"/>
  <c r="C44" i="2"/>
  <c r="B44" i="2"/>
  <c r="A44" i="2"/>
  <c r="C43" i="2"/>
  <c r="B43" i="2"/>
  <c r="A43" i="2"/>
  <c r="B42" i="2"/>
  <c r="A42" i="2"/>
  <c r="C41" i="2"/>
  <c r="B41" i="2"/>
  <c r="A41" i="2"/>
  <c r="C40" i="2"/>
  <c r="B40" i="2"/>
  <c r="C39" i="2"/>
  <c r="B39" i="2"/>
  <c r="A39" i="2"/>
  <c r="C38" i="2"/>
  <c r="B38" i="2"/>
  <c r="A38" i="2"/>
  <c r="C37" i="2"/>
  <c r="B37" i="2"/>
  <c r="A37" i="2"/>
  <c r="C36" i="2"/>
  <c r="B36" i="2"/>
  <c r="A36" i="2"/>
  <c r="C35" i="2"/>
  <c r="B35" i="2"/>
  <c r="A35" i="2"/>
  <c r="C34" i="2"/>
  <c r="B34" i="2"/>
  <c r="A34" i="2"/>
  <c r="C33" i="2"/>
  <c r="B33" i="2"/>
  <c r="A33" i="2"/>
  <c r="C32" i="2"/>
  <c r="B32" i="2"/>
  <c r="A32" i="2"/>
  <c r="C31" i="2"/>
  <c r="B31" i="2"/>
  <c r="A31" i="2"/>
  <c r="C30" i="2"/>
  <c r="B30" i="2"/>
  <c r="A30" i="2"/>
  <c r="C29" i="2"/>
  <c r="B29" i="2"/>
  <c r="A29" i="2"/>
  <c r="C28" i="2"/>
  <c r="B28" i="2"/>
  <c r="A28" i="2"/>
  <c r="B27" i="2"/>
  <c r="A27" i="2"/>
  <c r="C26" i="2"/>
  <c r="B26" i="2"/>
  <c r="A26" i="2"/>
  <c r="C25" i="2"/>
  <c r="B25" i="2"/>
  <c r="C24" i="2"/>
  <c r="B24" i="2"/>
  <c r="A24" i="2"/>
  <c r="C23" i="2"/>
  <c r="B23" i="2"/>
  <c r="A23" i="2"/>
  <c r="C22" i="2"/>
  <c r="B22" i="2"/>
  <c r="A22" i="2"/>
  <c r="C21" i="2"/>
  <c r="B21" i="2"/>
  <c r="A21" i="2"/>
  <c r="C20" i="2"/>
  <c r="B20" i="2"/>
  <c r="A20" i="2"/>
  <c r="C19" i="2"/>
  <c r="B19" i="2"/>
  <c r="A19" i="2"/>
  <c r="C18" i="2"/>
  <c r="B18" i="2"/>
  <c r="A18" i="2"/>
  <c r="C17" i="2"/>
  <c r="B17" i="2"/>
  <c r="A17" i="2"/>
  <c r="C16" i="2"/>
  <c r="B16" i="2"/>
  <c r="A16" i="2"/>
  <c r="C15" i="2"/>
  <c r="C13" i="2"/>
  <c r="C12" i="2"/>
  <c r="C11" i="2"/>
  <c r="C10" i="2"/>
  <c r="C9" i="2"/>
  <c r="I8" i="2"/>
  <c r="H8" i="2"/>
  <c r="G8" i="2"/>
  <c r="F8" i="2"/>
  <c r="C8" i="2"/>
  <c r="K7" i="2"/>
  <c r="K6" i="2"/>
  <c r="D6" i="2"/>
  <c r="C5" i="2"/>
  <c r="C4" i="2"/>
  <c r="C2" i="2"/>
  <c r="B7" i="8"/>
  <c r="B5" i="8"/>
  <c r="T14" i="4"/>
  <c r="T12" i="4"/>
  <c r="I23" i="6"/>
  <c r="C12" i="4" l="1"/>
  <c r="D12" i="2"/>
  <c r="D11" i="2"/>
  <c r="E97" i="2"/>
  <c r="E107" i="2" s="1"/>
  <c r="E112" i="2" s="1"/>
  <c r="E117" i="2" s="1"/>
  <c r="E121" i="2" s="1"/>
  <c r="E125" i="2" s="1"/>
  <c r="E129" i="2" s="1"/>
  <c r="F136" i="2" l="1"/>
  <c r="I136" i="2" s="1"/>
  <c r="F135" i="2"/>
  <c r="I135" i="2" s="1"/>
  <c r="B62" i="6" l="1"/>
  <c r="F65" i="2"/>
  <c r="I65" i="2" s="1"/>
  <c r="B32" i="6"/>
  <c r="F35" i="2"/>
  <c r="I35" i="2" s="1"/>
  <c r="S32" i="6" l="1"/>
  <c r="S62" i="6"/>
  <c r="F133" i="2"/>
  <c r="I133" i="2" s="1"/>
  <c r="B125" i="6" l="1"/>
  <c r="S125" i="6" l="1"/>
  <c r="B105" i="6"/>
  <c r="B104" i="6"/>
  <c r="B103" i="6"/>
  <c r="H93" i="2"/>
  <c r="H97" i="2" s="1"/>
  <c r="H107" i="2" s="1"/>
  <c r="H112" i="2" s="1"/>
  <c r="H117" i="2" s="1"/>
  <c r="H121" i="2" s="1"/>
  <c r="H125" i="2" s="1"/>
  <c r="H129" i="2" s="1"/>
  <c r="G93" i="2"/>
  <c r="G97" i="2" s="1"/>
  <c r="G107" i="2" s="1"/>
  <c r="G112" i="2" s="1"/>
  <c r="G117" i="2" s="1"/>
  <c r="G121" i="2" s="1"/>
  <c r="G125" i="2" s="1"/>
  <c r="G129" i="2" s="1"/>
  <c r="D93" i="2"/>
  <c r="D97" i="2" s="1"/>
  <c r="D107" i="2" s="1"/>
  <c r="D112" i="2" s="1"/>
  <c r="D117" i="2" s="1"/>
  <c r="D121" i="2" s="1"/>
  <c r="D125" i="2" s="1"/>
  <c r="D129" i="2" s="1"/>
  <c r="K93" i="2"/>
  <c r="K97" i="2" s="1"/>
  <c r="K107" i="2" s="1"/>
  <c r="K112" i="2" s="1"/>
  <c r="K117" i="2" s="1"/>
  <c r="K121" i="2" s="1"/>
  <c r="K125" i="2" s="1"/>
  <c r="K129" i="2" s="1"/>
  <c r="J90" i="6"/>
  <c r="J94" i="6" s="1"/>
  <c r="J104" i="6" s="1"/>
  <c r="J109" i="6" s="1"/>
  <c r="J114" i="6" s="1"/>
  <c r="J118" i="6" s="1"/>
  <c r="J122" i="6" s="1"/>
  <c r="J126" i="6" s="1"/>
  <c r="I90" i="6"/>
  <c r="I94" i="6" s="1"/>
  <c r="I104" i="6" s="1"/>
  <c r="I109" i="6" s="1"/>
  <c r="I114" i="6" s="1"/>
  <c r="I118" i="6" s="1"/>
  <c r="I122" i="6" s="1"/>
  <c r="I126" i="6" s="1"/>
  <c r="B89" i="6"/>
  <c r="B90" i="6"/>
  <c r="B88" i="6"/>
  <c r="F91" i="2"/>
  <c r="I91" i="2" s="1"/>
  <c r="F140" i="2"/>
  <c r="I140" i="2" s="1"/>
  <c r="F138" i="2"/>
  <c r="I138" i="2" s="1"/>
  <c r="F137" i="2"/>
  <c r="I137" i="2" s="1"/>
  <c r="F134" i="2"/>
  <c r="I134" i="2" s="1"/>
  <c r="F127" i="2"/>
  <c r="I127" i="2" s="1"/>
  <c r="F123" i="2"/>
  <c r="I123" i="2" s="1"/>
  <c r="F119" i="2"/>
  <c r="I119" i="2" s="1"/>
  <c r="F115" i="2"/>
  <c r="I115" i="2" s="1"/>
  <c r="F114" i="2"/>
  <c r="I114" i="2" s="1"/>
  <c r="F110" i="2"/>
  <c r="I110" i="2" s="1"/>
  <c r="F109" i="2"/>
  <c r="I109" i="2" s="1"/>
  <c r="F105" i="2"/>
  <c r="I105" i="2" s="1"/>
  <c r="F104" i="2"/>
  <c r="I104" i="2" s="1"/>
  <c r="F103" i="2"/>
  <c r="I103" i="2" s="1"/>
  <c r="F102" i="2"/>
  <c r="I102" i="2" s="1"/>
  <c r="F101" i="2"/>
  <c r="I101" i="2" s="1"/>
  <c r="F100" i="2"/>
  <c r="I100" i="2" s="1"/>
  <c r="F99" i="2"/>
  <c r="I99" i="2" s="1"/>
  <c r="F95" i="2"/>
  <c r="I95" i="2" s="1"/>
  <c r="F90" i="2"/>
  <c r="I90" i="2" s="1"/>
  <c r="F81" i="2"/>
  <c r="I81" i="2" s="1"/>
  <c r="F77" i="2"/>
  <c r="I77" i="2" s="1"/>
  <c r="F76" i="2"/>
  <c r="I76" i="2" s="1"/>
  <c r="F75" i="2"/>
  <c r="I75" i="2" s="1"/>
  <c r="F74" i="2"/>
  <c r="I74" i="2" s="1"/>
  <c r="F73" i="2"/>
  <c r="I73" i="2" s="1"/>
  <c r="F72" i="2"/>
  <c r="I72" i="2" s="1"/>
  <c r="F67" i="2"/>
  <c r="I67" i="2" s="1"/>
  <c r="F66" i="2"/>
  <c r="I66" i="2" s="1"/>
  <c r="F64" i="2"/>
  <c r="I64" i="2" s="1"/>
  <c r="F63" i="2"/>
  <c r="I63" i="2" s="1"/>
  <c r="F62" i="2"/>
  <c r="I62" i="2" s="1"/>
  <c r="F61" i="2"/>
  <c r="I61" i="2" s="1"/>
  <c r="F60" i="2"/>
  <c r="I60" i="2" s="1"/>
  <c r="F59" i="2"/>
  <c r="I59" i="2" s="1"/>
  <c r="F55" i="2"/>
  <c r="I55" i="2" s="1"/>
  <c r="F54" i="2"/>
  <c r="I54" i="2" s="1"/>
  <c r="F53" i="2"/>
  <c r="I53" i="2" s="1"/>
  <c r="F52" i="2"/>
  <c r="I52" i="2" s="1"/>
  <c r="F51" i="2"/>
  <c r="I51" i="2" s="1"/>
  <c r="F50" i="2"/>
  <c r="I50" i="2" s="1"/>
  <c r="F49" i="2"/>
  <c r="I49" i="2" s="1"/>
  <c r="F48" i="2"/>
  <c r="I48" i="2" s="1"/>
  <c r="F47" i="2"/>
  <c r="I47" i="2" s="1"/>
  <c r="F46" i="2"/>
  <c r="I46" i="2" s="1"/>
  <c r="F39" i="2"/>
  <c r="I39" i="2" s="1"/>
  <c r="F38" i="2"/>
  <c r="I38" i="2" s="1"/>
  <c r="F37" i="2"/>
  <c r="I37" i="2" s="1"/>
  <c r="F36" i="2"/>
  <c r="I36" i="2" s="1"/>
  <c r="F34" i="2"/>
  <c r="I34" i="2" s="1"/>
  <c r="F33" i="2"/>
  <c r="I33" i="2" s="1"/>
  <c r="F32" i="2"/>
  <c r="I32" i="2" s="1"/>
  <c r="F31" i="2"/>
  <c r="I31" i="2" s="1"/>
  <c r="F30" i="2"/>
  <c r="I30" i="2" s="1"/>
  <c r="F29" i="2"/>
  <c r="I29" i="2" s="1"/>
  <c r="F28" i="2"/>
  <c r="I28" i="2" s="1"/>
  <c r="F24" i="2"/>
  <c r="I24" i="2" s="1"/>
  <c r="F23" i="2"/>
  <c r="I23" i="2" s="1"/>
  <c r="F22" i="2"/>
  <c r="I22" i="2" s="1"/>
  <c r="F21" i="2"/>
  <c r="I21" i="2" s="1"/>
  <c r="F20" i="2"/>
  <c r="I20" i="2" s="1"/>
  <c r="F19" i="2"/>
  <c r="I19" i="2" s="1"/>
  <c r="F18" i="2"/>
  <c r="I18" i="2" s="1"/>
  <c r="F17" i="2"/>
  <c r="I17" i="2" s="1"/>
  <c r="F16" i="2"/>
  <c r="I16" i="2" s="1"/>
  <c r="S89" i="6" l="1"/>
  <c r="S103" i="6"/>
  <c r="S88" i="6"/>
  <c r="S90" i="6"/>
  <c r="S104" i="6"/>
  <c r="F93" i="2"/>
  <c r="F97" i="2" s="1"/>
  <c r="F107" i="2" s="1"/>
  <c r="F112" i="2" s="1"/>
  <c r="F117" i="2" s="1"/>
  <c r="F121" i="2" s="1"/>
  <c r="F125" i="2" s="1"/>
  <c r="F129" i="2" s="1"/>
  <c r="I93" i="2"/>
  <c r="I97" i="2" s="1"/>
  <c r="I107" i="2" s="1"/>
  <c r="I112" i="2" s="1"/>
  <c r="I117" i="2" s="1"/>
  <c r="I121" i="2" s="1"/>
  <c r="I125" i="2" s="1"/>
  <c r="I129" i="2" s="1"/>
  <c r="B99" i="6"/>
  <c r="S99" i="6" l="1"/>
  <c r="B63" i="6"/>
  <c r="B44" i="6"/>
  <c r="B33" i="6"/>
  <c r="B35" i="6"/>
  <c r="B34" i="6"/>
  <c r="S44" i="6" l="1"/>
  <c r="S33" i="6"/>
  <c r="S34" i="6"/>
  <c r="S35" i="6"/>
  <c r="S63" i="6"/>
  <c r="K79" i="2" l="1"/>
  <c r="H79" i="2"/>
  <c r="G79" i="2"/>
  <c r="D79" i="2"/>
  <c r="K57" i="2"/>
  <c r="H57" i="2"/>
  <c r="G57" i="2"/>
  <c r="D57" i="2"/>
  <c r="D69" i="2" s="1"/>
  <c r="K26" i="2"/>
  <c r="H26" i="2"/>
  <c r="G26" i="2"/>
  <c r="D26" i="2"/>
  <c r="C44" i="6" l="1"/>
  <c r="K11" i="2"/>
  <c r="K12" i="2"/>
  <c r="E62" i="6"/>
  <c r="D99" i="6"/>
  <c r="C90" i="6"/>
  <c r="D89" i="6"/>
  <c r="C35" i="6"/>
  <c r="D104" i="6"/>
  <c r="D103" i="6"/>
  <c r="D88" i="6"/>
  <c r="E33" i="6"/>
  <c r="E44" i="6"/>
  <c r="D35" i="6"/>
  <c r="E32" i="6"/>
  <c r="C103" i="6"/>
  <c r="C99" i="6"/>
  <c r="D125" i="6"/>
  <c r="C33" i="6"/>
  <c r="D32" i="6"/>
  <c r="E63" i="6"/>
  <c r="C62" i="6"/>
  <c r="C88" i="6"/>
  <c r="D44" i="6"/>
  <c r="E125" i="6"/>
  <c r="E88" i="6"/>
  <c r="D33" i="6"/>
  <c r="E34" i="6"/>
  <c r="C104" i="6"/>
  <c r="C125" i="6"/>
  <c r="D63" i="6"/>
  <c r="E90" i="6"/>
  <c r="C63" i="6"/>
  <c r="D90" i="6"/>
  <c r="E104" i="6"/>
  <c r="E99" i="6"/>
  <c r="C89" i="6"/>
  <c r="C34" i="6"/>
  <c r="E35" i="6"/>
  <c r="C32" i="6"/>
  <c r="D34" i="6"/>
  <c r="E103" i="6"/>
  <c r="E89" i="6"/>
  <c r="D62" i="6" l="1"/>
  <c r="D5" i="4"/>
  <c r="D4" i="4"/>
  <c r="C5" i="6"/>
  <c r="C4" i="6"/>
  <c r="G83" i="2" l="1"/>
  <c r="G69" i="2"/>
  <c r="G41" i="2"/>
  <c r="G85" i="2" l="1"/>
  <c r="G86" i="2" s="1"/>
  <c r="J76" i="6" l="1"/>
  <c r="J80" i="6" s="1"/>
  <c r="J54" i="6"/>
  <c r="J66" i="6" s="1"/>
  <c r="I76" i="6"/>
  <c r="I54" i="6"/>
  <c r="I80" i="6" l="1"/>
  <c r="I66" i="6"/>
  <c r="J82" i="6"/>
  <c r="B128" i="6"/>
  <c r="K83" i="2"/>
  <c r="K69" i="2"/>
  <c r="K41" i="2"/>
  <c r="B93" i="6"/>
  <c r="H83" i="2"/>
  <c r="H69" i="2"/>
  <c r="I82" i="6" l="1"/>
  <c r="S128" i="6"/>
  <c r="S93" i="6"/>
  <c r="C128" i="6"/>
  <c r="E128" i="6"/>
  <c r="D128" i="6"/>
  <c r="C93" i="6"/>
  <c r="E93" i="6"/>
  <c r="D93" i="6"/>
  <c r="H85" i="2"/>
  <c r="D83" i="2"/>
  <c r="D85" i="2" s="1"/>
  <c r="K85" i="2"/>
  <c r="K86" i="2" s="1"/>
  <c r="D41" i="2"/>
  <c r="B126" i="6"/>
  <c r="B124" i="6"/>
  <c r="B123" i="6"/>
  <c r="B122" i="6"/>
  <c r="B121" i="6"/>
  <c r="B120" i="6"/>
  <c r="B119" i="6"/>
  <c r="B118" i="6"/>
  <c r="B117" i="6"/>
  <c r="B116" i="6"/>
  <c r="B115" i="6"/>
  <c r="B114" i="6"/>
  <c r="B113" i="6"/>
  <c r="B112" i="6"/>
  <c r="B111" i="6"/>
  <c r="B110" i="6"/>
  <c r="B109" i="6"/>
  <c r="B108" i="6"/>
  <c r="B107" i="6"/>
  <c r="B106" i="6"/>
  <c r="B102" i="6"/>
  <c r="B101" i="6"/>
  <c r="B100" i="6"/>
  <c r="B98" i="6"/>
  <c r="B97" i="6"/>
  <c r="B96" i="6"/>
  <c r="B95" i="6"/>
  <c r="B94" i="6"/>
  <c r="B92" i="6"/>
  <c r="B87" i="6"/>
  <c r="B86" i="6"/>
  <c r="B85" i="6"/>
  <c r="B84" i="6"/>
  <c r="B82" i="6"/>
  <c r="B81" i="6"/>
  <c r="B80" i="6"/>
  <c r="B79" i="6"/>
  <c r="B78" i="6"/>
  <c r="B77" i="6"/>
  <c r="B76" i="6"/>
  <c r="B75" i="6"/>
  <c r="B74" i="6"/>
  <c r="B73" i="6"/>
  <c r="B72" i="6"/>
  <c r="B71" i="6"/>
  <c r="B70" i="6"/>
  <c r="B69" i="6"/>
  <c r="B68" i="6"/>
  <c r="B67" i="6"/>
  <c r="B66" i="6"/>
  <c r="B65" i="6"/>
  <c r="B64" i="6"/>
  <c r="B61" i="6"/>
  <c r="B60" i="6"/>
  <c r="B59" i="6"/>
  <c r="B58" i="6"/>
  <c r="B57" i="6"/>
  <c r="B56" i="6"/>
  <c r="B55" i="6"/>
  <c r="B54" i="6"/>
  <c r="B53" i="6"/>
  <c r="B52" i="6"/>
  <c r="B51" i="6"/>
  <c r="B50" i="6"/>
  <c r="B49" i="6"/>
  <c r="B48" i="6"/>
  <c r="B47" i="6"/>
  <c r="B46" i="6"/>
  <c r="B45" i="6"/>
  <c r="B43" i="6"/>
  <c r="B42" i="6"/>
  <c r="B41" i="6"/>
  <c r="B40" i="6"/>
  <c r="B39" i="6"/>
  <c r="B38" i="6"/>
  <c r="B37" i="6"/>
  <c r="B36" i="6"/>
  <c r="B31" i="6"/>
  <c r="B30" i="6"/>
  <c r="B29" i="6"/>
  <c r="B28" i="6"/>
  <c r="B27" i="6"/>
  <c r="B26" i="6"/>
  <c r="B25" i="6"/>
  <c r="B24" i="6"/>
  <c r="B23" i="6"/>
  <c r="B22" i="6"/>
  <c r="B21" i="6"/>
  <c r="B20" i="6"/>
  <c r="B19" i="6"/>
  <c r="B18" i="6"/>
  <c r="B17" i="6"/>
  <c r="B16" i="6"/>
  <c r="B15" i="6"/>
  <c r="B14" i="6"/>
  <c r="B13" i="6"/>
  <c r="B12" i="6"/>
  <c r="B11" i="6"/>
  <c r="B10" i="6"/>
  <c r="E82" i="6" l="1"/>
  <c r="D86" i="2"/>
  <c r="D82" i="6"/>
  <c r="S16" i="6"/>
  <c r="S36" i="6"/>
  <c r="S13" i="6"/>
  <c r="S21" i="6"/>
  <c r="S14" i="6"/>
  <c r="S18" i="6"/>
  <c r="S26" i="6"/>
  <c r="S30" i="6"/>
  <c r="S38" i="6"/>
  <c r="S47" i="6"/>
  <c r="S51" i="6"/>
  <c r="S59" i="6"/>
  <c r="S65" i="6"/>
  <c r="S69" i="6"/>
  <c r="S73" i="6"/>
  <c r="S100" i="6"/>
  <c r="S107" i="6"/>
  <c r="S111" i="6"/>
  <c r="S15" i="6"/>
  <c r="S19" i="6"/>
  <c r="S27" i="6"/>
  <c r="S31" i="6"/>
  <c r="S43" i="6"/>
  <c r="S48" i="6"/>
  <c r="S52" i="6"/>
  <c r="S56" i="6"/>
  <c r="S60" i="6"/>
  <c r="S66" i="6"/>
  <c r="S70" i="6"/>
  <c r="S74" i="6"/>
  <c r="S78" i="6"/>
  <c r="S82" i="6"/>
  <c r="S87" i="6"/>
  <c r="S96" i="6"/>
  <c r="S101" i="6"/>
  <c r="S108" i="6"/>
  <c r="S112" i="6"/>
  <c r="S116" i="6"/>
  <c r="S120" i="6"/>
  <c r="S124" i="6"/>
  <c r="S28" i="6"/>
  <c r="S49" i="6"/>
  <c r="S53" i="6"/>
  <c r="S57" i="6"/>
  <c r="S61" i="6"/>
  <c r="S71" i="6"/>
  <c r="S75" i="6"/>
  <c r="S79" i="6"/>
  <c r="S92" i="6"/>
  <c r="S97" i="6"/>
  <c r="S102" i="6"/>
  <c r="S109" i="6"/>
  <c r="S113" i="6"/>
  <c r="S117" i="6"/>
  <c r="S121" i="6"/>
  <c r="S126" i="6"/>
  <c r="S20" i="6"/>
  <c r="S45" i="6"/>
  <c r="S17" i="6"/>
  <c r="S25" i="6"/>
  <c r="S29" i="6"/>
  <c r="S46" i="6"/>
  <c r="S50" i="6"/>
  <c r="S54" i="6"/>
  <c r="S58" i="6"/>
  <c r="S64" i="6"/>
  <c r="S72" i="6"/>
  <c r="S76" i="6"/>
  <c r="S80" i="6"/>
  <c r="S94" i="6"/>
  <c r="S98" i="6"/>
  <c r="S106" i="6"/>
  <c r="S114" i="6"/>
  <c r="S118" i="6"/>
  <c r="S122" i="6"/>
  <c r="E38" i="6"/>
  <c r="C20" i="6"/>
  <c r="E20" i="6"/>
  <c r="D20" i="6"/>
  <c r="E36" i="6"/>
  <c r="D36" i="6"/>
  <c r="C36" i="6"/>
  <c r="C17" i="6"/>
  <c r="E17" i="6"/>
  <c r="D17" i="6"/>
  <c r="D21" i="6"/>
  <c r="C21" i="6"/>
  <c r="E21" i="6"/>
  <c r="E25" i="6"/>
  <c r="D25" i="6"/>
  <c r="C25" i="6"/>
  <c r="E29" i="6"/>
  <c r="D29" i="6"/>
  <c r="C29" i="6"/>
  <c r="E37" i="6"/>
  <c r="D37" i="6"/>
  <c r="C37" i="6"/>
  <c r="E46" i="6"/>
  <c r="D46" i="6"/>
  <c r="C46" i="6"/>
  <c r="E50" i="6"/>
  <c r="D50" i="6"/>
  <c r="C50" i="6"/>
  <c r="E54" i="6"/>
  <c r="D54" i="6"/>
  <c r="E58" i="6"/>
  <c r="D58" i="6"/>
  <c r="C58" i="6"/>
  <c r="C64" i="6"/>
  <c r="E64" i="6"/>
  <c r="D64" i="6"/>
  <c r="E72" i="6"/>
  <c r="D72" i="6"/>
  <c r="C72" i="6"/>
  <c r="E76" i="6"/>
  <c r="D76" i="6"/>
  <c r="D80" i="6"/>
  <c r="E80" i="6"/>
  <c r="D94" i="6"/>
  <c r="C94" i="6"/>
  <c r="E94" i="6"/>
  <c r="C98" i="6"/>
  <c r="E98" i="6"/>
  <c r="D98" i="6"/>
  <c r="E106" i="6"/>
  <c r="D106" i="6"/>
  <c r="C106" i="6"/>
  <c r="E114" i="6"/>
  <c r="D114" i="6"/>
  <c r="D118" i="6"/>
  <c r="E118" i="6"/>
  <c r="E122" i="6"/>
  <c r="D122" i="6"/>
  <c r="E28" i="6"/>
  <c r="D28" i="6"/>
  <c r="C28" i="6"/>
  <c r="D13" i="6"/>
  <c r="E13" i="6"/>
  <c r="C13" i="6"/>
  <c r="D14" i="6"/>
  <c r="E14" i="6"/>
  <c r="C14" i="6"/>
  <c r="D18" i="6"/>
  <c r="E18" i="6"/>
  <c r="C18" i="6"/>
  <c r="E22" i="6"/>
  <c r="D22" i="6"/>
  <c r="C22" i="6"/>
  <c r="C26" i="6"/>
  <c r="E26" i="6"/>
  <c r="D26" i="6"/>
  <c r="C30" i="6"/>
  <c r="E30" i="6"/>
  <c r="D30" i="6"/>
  <c r="C47" i="6"/>
  <c r="E47" i="6"/>
  <c r="D47" i="6"/>
  <c r="C51" i="6"/>
  <c r="E51" i="6"/>
  <c r="D51" i="6"/>
  <c r="E59" i="6"/>
  <c r="D59" i="6"/>
  <c r="C59" i="6"/>
  <c r="D65" i="6"/>
  <c r="C65" i="6"/>
  <c r="E65" i="6"/>
  <c r="E69" i="6"/>
  <c r="D69" i="6"/>
  <c r="C69" i="6"/>
  <c r="E73" i="6"/>
  <c r="D73" i="6"/>
  <c r="C73" i="6"/>
  <c r="E100" i="6"/>
  <c r="D100" i="6"/>
  <c r="C100" i="6"/>
  <c r="C107" i="6"/>
  <c r="E107" i="6"/>
  <c r="D107" i="6"/>
  <c r="E111" i="6"/>
  <c r="D111" i="6"/>
  <c r="C111" i="6"/>
  <c r="E15" i="6"/>
  <c r="C15" i="6"/>
  <c r="D15" i="6"/>
  <c r="E19" i="6"/>
  <c r="D19" i="6"/>
  <c r="C19" i="6"/>
  <c r="D23" i="6"/>
  <c r="E23" i="6"/>
  <c r="D27" i="6"/>
  <c r="C27" i="6"/>
  <c r="E27" i="6"/>
  <c r="D31" i="6"/>
  <c r="C31" i="6"/>
  <c r="E31" i="6"/>
  <c r="C43" i="6"/>
  <c r="E43" i="6"/>
  <c r="D43" i="6"/>
  <c r="D48" i="6"/>
  <c r="C48" i="6"/>
  <c r="E48" i="6"/>
  <c r="D52" i="6"/>
  <c r="C52" i="6"/>
  <c r="E52" i="6"/>
  <c r="C56" i="6"/>
  <c r="E56" i="6"/>
  <c r="D56" i="6"/>
  <c r="C60" i="6"/>
  <c r="E60" i="6"/>
  <c r="D60" i="6"/>
  <c r="E66" i="6"/>
  <c r="D66" i="6"/>
  <c r="C70" i="6"/>
  <c r="E70" i="6"/>
  <c r="D70" i="6"/>
  <c r="C74" i="6"/>
  <c r="E74" i="6"/>
  <c r="D74" i="6"/>
  <c r="E78" i="6"/>
  <c r="D78" i="6"/>
  <c r="C78" i="6"/>
  <c r="E87" i="6"/>
  <c r="D87" i="6"/>
  <c r="C87" i="6"/>
  <c r="E96" i="6"/>
  <c r="D96" i="6"/>
  <c r="C96" i="6"/>
  <c r="E101" i="6"/>
  <c r="D101" i="6"/>
  <c r="C101" i="6"/>
  <c r="D108" i="6"/>
  <c r="C108" i="6"/>
  <c r="E108" i="6"/>
  <c r="C112" i="6"/>
  <c r="E112" i="6"/>
  <c r="D112" i="6"/>
  <c r="E116" i="6"/>
  <c r="D116" i="6"/>
  <c r="C116" i="6"/>
  <c r="E120" i="6"/>
  <c r="D120" i="6"/>
  <c r="C120" i="6"/>
  <c r="D124" i="6"/>
  <c r="C124" i="6"/>
  <c r="E124" i="6"/>
  <c r="E16" i="6"/>
  <c r="D16" i="6"/>
  <c r="C16" i="6"/>
  <c r="E45" i="6"/>
  <c r="D45" i="6"/>
  <c r="C45" i="6"/>
  <c r="E49" i="6"/>
  <c r="D49" i="6"/>
  <c r="C49" i="6"/>
  <c r="E53" i="6"/>
  <c r="D53" i="6"/>
  <c r="C53" i="6"/>
  <c r="D57" i="6"/>
  <c r="C57" i="6"/>
  <c r="E57" i="6"/>
  <c r="D61" i="6"/>
  <c r="C61" i="6"/>
  <c r="E61" i="6"/>
  <c r="D71" i="6"/>
  <c r="C71" i="6"/>
  <c r="E71" i="6"/>
  <c r="D75" i="6"/>
  <c r="C75" i="6"/>
  <c r="E75" i="6"/>
  <c r="C79" i="6"/>
  <c r="E79" i="6"/>
  <c r="D79" i="6"/>
  <c r="E92" i="6"/>
  <c r="D92" i="6"/>
  <c r="C92" i="6"/>
  <c r="E97" i="6"/>
  <c r="D97" i="6"/>
  <c r="C97" i="6"/>
  <c r="C102" i="6"/>
  <c r="E102" i="6"/>
  <c r="D102" i="6"/>
  <c r="E109" i="6"/>
  <c r="D109" i="6"/>
  <c r="C109" i="6"/>
  <c r="D113" i="6"/>
  <c r="C113" i="6"/>
  <c r="E113" i="6"/>
  <c r="C117" i="6"/>
  <c r="E117" i="6"/>
  <c r="D117" i="6"/>
  <c r="E121" i="6"/>
  <c r="D121" i="6"/>
  <c r="C121" i="6"/>
  <c r="E126" i="6"/>
  <c r="D126" i="6"/>
  <c r="H41" i="2"/>
  <c r="H86" i="2" s="1"/>
  <c r="D38" i="6" l="1"/>
  <c r="S23" i="6"/>
  <c r="P12" i="4" l="1"/>
  <c r="E12" i="4"/>
  <c r="D12" i="4"/>
  <c r="I57" i="2" l="1"/>
  <c r="C54" i="6" s="1"/>
  <c r="I26" i="2"/>
  <c r="C23" i="6" s="1"/>
  <c r="I79" i="2"/>
  <c r="C76" i="6" s="1"/>
  <c r="I83" i="2" l="1"/>
  <c r="C80" i="6" s="1"/>
  <c r="I69" i="2"/>
  <c r="I41" i="2"/>
  <c r="C114" i="6"/>
  <c r="C38" i="6" l="1"/>
  <c r="I85" i="2"/>
  <c r="I86" i="2" s="1"/>
  <c r="C66" i="6"/>
  <c r="C118" i="6"/>
  <c r="C82" i="6" l="1"/>
  <c r="C122" i="6"/>
  <c r="C126" i="6" l="1"/>
  <c r="F26" i="2"/>
  <c r="F41" i="2" s="1"/>
  <c r="F57" i="2"/>
  <c r="F69" i="2" s="1"/>
  <c r="F79" i="2"/>
  <c r="F83" i="2" s="1"/>
  <c r="F85" i="2" l="1"/>
  <c r="F86" i="2" s="1"/>
  <c r="P15" i="4" l="1"/>
  <c r="E14" i="4"/>
  <c r="P14" i="4"/>
  <c r="E15" i="4"/>
  <c r="P16" i="4"/>
  <c r="E16" i="4"/>
  <c r="D14" i="4"/>
  <c r="C14" i="4"/>
  <c r="J23" i="6" l="1"/>
  <c r="J38" i="6" s="1"/>
  <c r="E17" i="4"/>
  <c r="P17" i="4"/>
  <c r="M65" i="6"/>
  <c r="H32" i="6"/>
  <c r="H62" i="6" l="1"/>
  <c r="G62" i="6"/>
  <c r="G32" i="6"/>
  <c r="I38" i="6"/>
  <c r="F12" i="4"/>
  <c r="H103" i="6"/>
  <c r="G93" i="6"/>
  <c r="Q12" i="4"/>
  <c r="Q16" i="4"/>
  <c r="F16" i="4"/>
  <c r="F15" i="4"/>
  <c r="F17" i="4"/>
  <c r="Q17" i="4"/>
  <c r="F14" i="4"/>
  <c r="G64" i="6"/>
  <c r="G122" i="6"/>
  <c r="H22" i="6"/>
  <c r="G37" i="6"/>
  <c r="H57" i="6"/>
  <c r="G34" i="6"/>
  <c r="G21" i="6"/>
  <c r="G19" i="6"/>
  <c r="H100" i="6"/>
  <c r="G94" i="6"/>
  <c r="G106" i="6"/>
  <c r="Q14" i="4"/>
  <c r="Q15" i="4"/>
  <c r="G60" i="6"/>
  <c r="H27" i="6"/>
  <c r="G107" i="6"/>
  <c r="G54" i="6"/>
  <c r="H61" i="6"/>
  <c r="G89" i="6"/>
  <c r="G73" i="6"/>
  <c r="H117" i="6"/>
  <c r="G20" i="6"/>
  <c r="H58" i="6"/>
  <c r="G71" i="6"/>
  <c r="H82" i="6"/>
  <c r="G17" i="6"/>
  <c r="H88" i="6"/>
  <c r="G45" i="6"/>
  <c r="G87" i="6"/>
  <c r="H60" i="6"/>
  <c r="G23" i="6"/>
  <c r="H101" i="6"/>
  <c r="H34" i="6"/>
  <c r="H59" i="6"/>
  <c r="H102" i="6"/>
  <c r="G26" i="6"/>
  <c r="G80" i="6"/>
  <c r="G97" i="6"/>
  <c r="G98" i="6"/>
  <c r="G66" i="6"/>
  <c r="G46" i="6"/>
  <c r="H94" i="6"/>
  <c r="G56" i="6"/>
  <c r="G35" i="6"/>
  <c r="H44" i="6"/>
  <c r="H111" i="6"/>
  <c r="G18" i="6"/>
  <c r="H113" i="6"/>
  <c r="G75" i="6"/>
  <c r="G88" i="6"/>
  <c r="G109" i="6"/>
  <c r="H99" i="6"/>
  <c r="G43" i="6"/>
  <c r="G99" i="6"/>
  <c r="H125" i="6"/>
  <c r="G33" i="6"/>
  <c r="G27" i="6"/>
  <c r="H97" i="6"/>
  <c r="G121" i="6"/>
  <c r="H89" i="6"/>
  <c r="H53" i="6"/>
  <c r="G90" i="6"/>
  <c r="H48" i="6"/>
  <c r="G16" i="6"/>
  <c r="H74" i="6"/>
  <c r="H65" i="6"/>
  <c r="G117" i="6"/>
  <c r="H35" i="6"/>
  <c r="H16" i="6"/>
  <c r="H108" i="6"/>
  <c r="G69" i="6"/>
  <c r="H76" i="6"/>
  <c r="H29" i="6"/>
  <c r="G31" i="6"/>
  <c r="H17" i="6"/>
  <c r="H126" i="6"/>
  <c r="H71" i="6"/>
  <c r="G48" i="6"/>
  <c r="H64" i="6"/>
  <c r="H73" i="6"/>
  <c r="G96" i="6"/>
  <c r="G102" i="6"/>
  <c r="G113" i="6"/>
  <c r="G116" i="6"/>
  <c r="H15" i="6"/>
  <c r="H90" i="6"/>
  <c r="G38" i="6"/>
  <c r="G112" i="6"/>
  <c r="H80" i="6"/>
  <c r="H21" i="6"/>
  <c r="H37" i="6"/>
  <c r="H25" i="6"/>
  <c r="G25" i="6"/>
  <c r="H63" i="6"/>
  <c r="H30" i="6"/>
  <c r="H104" i="6"/>
  <c r="G101" i="6"/>
  <c r="G103" i="6"/>
  <c r="G118" i="6"/>
  <c r="H128" i="6"/>
  <c r="H45" i="6"/>
  <c r="H112" i="6"/>
  <c r="H31" i="6"/>
  <c r="H70" i="6"/>
  <c r="H96" i="6"/>
  <c r="G13" i="6"/>
  <c r="G15" i="6"/>
  <c r="G63" i="6"/>
  <c r="H121" i="6"/>
  <c r="H38" i="6"/>
  <c r="H98" i="6"/>
  <c r="H33" i="6"/>
  <c r="G52" i="6"/>
  <c r="H28" i="6"/>
  <c r="H51" i="6"/>
  <c r="H43" i="6"/>
  <c r="H26" i="6"/>
  <c r="G51" i="6"/>
  <c r="G47" i="6"/>
  <c r="G59" i="6"/>
  <c r="G30" i="6"/>
  <c r="H66" i="6"/>
  <c r="G57" i="6"/>
  <c r="G44" i="6"/>
  <c r="G36" i="6"/>
  <c r="H18" i="6"/>
  <c r="G114" i="6"/>
  <c r="G72" i="6"/>
  <c r="H78" i="6"/>
  <c r="G50" i="6"/>
  <c r="G14" i="6"/>
  <c r="G92" i="6"/>
  <c r="G126" i="6"/>
  <c r="G29" i="6"/>
  <c r="H23" i="6"/>
  <c r="G58" i="6"/>
  <c r="G124" i="6"/>
  <c r="G108" i="6"/>
  <c r="G104" i="6"/>
  <c r="G82" i="6"/>
  <c r="H120" i="6"/>
  <c r="H72" i="6"/>
  <c r="H14" i="6"/>
  <c r="G28" i="6"/>
  <c r="G125" i="6"/>
  <c r="G78" i="6"/>
  <c r="H118" i="6"/>
  <c r="H107" i="6"/>
  <c r="G74" i="6"/>
  <c r="H87" i="6"/>
  <c r="G65" i="6"/>
  <c r="G61" i="6"/>
  <c r="H122" i="6"/>
  <c r="H124" i="6"/>
  <c r="H50" i="6"/>
  <c r="G22" i="6"/>
  <c r="H109" i="6"/>
  <c r="H69" i="6"/>
  <c r="H36" i="6"/>
  <c r="H46" i="6"/>
  <c r="H47" i="6"/>
  <c r="H54" i="6"/>
  <c r="H13" i="6"/>
  <c r="G76" i="6"/>
  <c r="H20" i="6"/>
  <c r="H19" i="6"/>
  <c r="G111" i="6"/>
  <c r="G49" i="6"/>
  <c r="H116" i="6"/>
  <c r="H52" i="6"/>
  <c r="G120" i="6"/>
  <c r="H92" i="6"/>
  <c r="G100" i="6"/>
  <c r="G70" i="6"/>
  <c r="H75" i="6"/>
  <c r="G128" i="6"/>
  <c r="H56" i="6"/>
  <c r="H106" i="6"/>
  <c r="G53" i="6"/>
  <c r="H114" i="6"/>
  <c r="H49" i="6"/>
  <c r="H93" i="6"/>
  <c r="L64" i="6" l="1"/>
  <c r="M64" i="6" s="1"/>
  <c r="L128" i="6"/>
  <c r="M128" i="6" s="1"/>
  <c r="L108" i="6"/>
  <c r="M108" i="6" s="1"/>
  <c r="L101" i="6"/>
  <c r="M101" i="6" s="1"/>
  <c r="L57" i="6"/>
  <c r="M57" i="6" s="1"/>
  <c r="L44" i="6"/>
  <c r="M44" i="6" s="1"/>
  <c r="L53" i="6"/>
  <c r="M53" i="6" s="1"/>
  <c r="L117" i="6"/>
  <c r="M117" i="6" s="1"/>
  <c r="L102" i="6"/>
  <c r="M102" i="6" s="1"/>
  <c r="L88" i="6"/>
  <c r="M88" i="6" s="1"/>
  <c r="L22" i="6"/>
  <c r="M22" i="6" s="1"/>
  <c r="L126" i="6"/>
  <c r="M126" i="6" s="1"/>
  <c r="L51" i="6"/>
  <c r="M51" i="6" s="1"/>
  <c r="L16" i="6"/>
  <c r="M16" i="6" s="1"/>
  <c r="L49" i="6"/>
  <c r="M49" i="6" s="1"/>
  <c r="L111" i="6"/>
  <c r="M111" i="6" s="1"/>
  <c r="L120" i="6"/>
  <c r="M120" i="6" s="1"/>
  <c r="L15" i="6"/>
  <c r="M15" i="6" s="1"/>
  <c r="L125" i="6"/>
  <c r="M125" i="6" s="1"/>
  <c r="L124" i="6"/>
  <c r="M124" i="6" s="1"/>
  <c r="L30" i="6"/>
  <c r="M30" i="6" s="1"/>
  <c r="L52" i="6"/>
  <c r="M52" i="6" s="1"/>
  <c r="L27" i="6"/>
  <c r="M27" i="6" s="1"/>
  <c r="L61" i="6"/>
  <c r="M61" i="6" s="1"/>
  <c r="L28" i="6"/>
  <c r="M28" i="6" s="1"/>
  <c r="L58" i="6"/>
  <c r="M58" i="6" s="1"/>
  <c r="L72" i="6"/>
  <c r="M72" i="6" s="1"/>
  <c r="L59" i="6"/>
  <c r="M59" i="6" s="1"/>
  <c r="L112" i="6"/>
  <c r="M112" i="6" s="1"/>
  <c r="L63" i="6"/>
  <c r="M63" i="6" s="1"/>
  <c r="L50" i="6"/>
  <c r="M50" i="6" s="1"/>
  <c r="L75" i="6"/>
  <c r="M75" i="6" s="1"/>
  <c r="L46" i="6"/>
  <c r="M46" i="6" s="1"/>
  <c r="L54" i="6"/>
  <c r="M54" i="6" s="1"/>
  <c r="L93" i="6"/>
  <c r="M93" i="6" s="1"/>
  <c r="L66" i="6"/>
  <c r="M66" i="6" s="1"/>
  <c r="L71" i="6"/>
  <c r="M71" i="6" s="1"/>
  <c r="L107" i="6"/>
  <c r="M107" i="6" s="1"/>
  <c r="L19" i="6"/>
  <c r="M19" i="6" s="1"/>
  <c r="L48" i="6"/>
  <c r="M48" i="6" s="1"/>
  <c r="L99" i="6"/>
  <c r="M99" i="6" s="1"/>
  <c r="L78" i="6"/>
  <c r="M78" i="6" s="1"/>
  <c r="L13" i="6"/>
  <c r="M13" i="6" s="1"/>
  <c r="L103" i="6"/>
  <c r="M103" i="6" s="1"/>
  <c r="L31" i="6"/>
  <c r="M31" i="6" s="1"/>
  <c r="L17" i="6"/>
  <c r="M17" i="6" s="1"/>
  <c r="L94" i="6"/>
  <c r="M94" i="6" s="1"/>
  <c r="L122" i="6"/>
  <c r="M122" i="6" s="1"/>
  <c r="L62" i="6"/>
  <c r="M62" i="6" s="1"/>
  <c r="L96" i="6"/>
  <c r="M96" i="6" s="1"/>
  <c r="L33" i="6"/>
  <c r="M33" i="6" s="1"/>
  <c r="L114" i="6"/>
  <c r="M114" i="6" s="1"/>
  <c r="L47" i="6"/>
  <c r="M47" i="6" s="1"/>
  <c r="L38" i="6"/>
  <c r="M38" i="6" s="1"/>
  <c r="L69" i="6"/>
  <c r="M69" i="6" s="1"/>
  <c r="L18" i="6"/>
  <c r="M18" i="6" s="1"/>
  <c r="L98" i="6"/>
  <c r="M98" i="6" s="1"/>
  <c r="L23" i="6"/>
  <c r="M23" i="6" s="1"/>
  <c r="L21" i="6"/>
  <c r="M21" i="6" s="1"/>
  <c r="L29" i="6"/>
  <c r="M29" i="6" s="1"/>
  <c r="L90" i="6"/>
  <c r="M90" i="6" s="1"/>
  <c r="L97" i="6"/>
  <c r="M97" i="6" s="1"/>
  <c r="L20" i="6"/>
  <c r="M20" i="6" s="1"/>
  <c r="L60" i="6"/>
  <c r="M60" i="6" s="1"/>
  <c r="L34" i="6"/>
  <c r="M34" i="6" s="1"/>
  <c r="L70" i="6"/>
  <c r="M70" i="6" s="1"/>
  <c r="L100" i="6"/>
  <c r="M100" i="6" s="1"/>
  <c r="L74" i="6"/>
  <c r="M74" i="6" s="1"/>
  <c r="L36" i="6"/>
  <c r="M36" i="6" s="1"/>
  <c r="L25" i="6"/>
  <c r="M25" i="6" s="1"/>
  <c r="L43" i="6"/>
  <c r="M43" i="6" s="1"/>
  <c r="L80" i="6"/>
  <c r="M80" i="6" s="1"/>
  <c r="L87" i="6"/>
  <c r="M87" i="6" s="1"/>
  <c r="L82" i="6"/>
  <c r="M82" i="6" s="1"/>
  <c r="L92" i="6"/>
  <c r="M92" i="6" s="1"/>
  <c r="L116" i="6"/>
  <c r="M116" i="6" s="1"/>
  <c r="L35" i="6"/>
  <c r="M35" i="6" s="1"/>
  <c r="L26" i="6"/>
  <c r="M26" i="6" s="1"/>
  <c r="L45" i="6"/>
  <c r="M45" i="6" s="1"/>
  <c r="L73" i="6"/>
  <c r="M73" i="6" s="1"/>
  <c r="L37" i="6"/>
  <c r="M37" i="6" s="1"/>
  <c r="L76" i="6"/>
  <c r="M76" i="6" s="1"/>
  <c r="L104" i="6"/>
  <c r="M104" i="6" s="1"/>
  <c r="L14" i="6"/>
  <c r="M14" i="6" s="1"/>
  <c r="L118" i="6"/>
  <c r="M118" i="6" s="1"/>
  <c r="L113" i="6"/>
  <c r="M113" i="6" s="1"/>
  <c r="L121" i="6"/>
  <c r="M121" i="6" s="1"/>
  <c r="L109" i="6"/>
  <c r="M109" i="6" s="1"/>
  <c r="L56" i="6"/>
  <c r="M56" i="6" s="1"/>
  <c r="L89" i="6"/>
  <c r="M89" i="6" s="1"/>
  <c r="L106" i="6"/>
  <c r="M106" i="6" s="1"/>
  <c r="L32" i="6"/>
  <c r="M32" i="6" s="1"/>
</calcChain>
</file>

<file path=xl/sharedStrings.xml><?xml version="1.0" encoding="utf-8"?>
<sst xmlns="http://schemas.openxmlformats.org/spreadsheetml/2006/main" count="457" uniqueCount="237">
  <si>
    <t>Component Scoping and Type of Work</t>
  </si>
  <si>
    <t>Delete these instructions and do not include them in the audit file.</t>
  </si>
  <si>
    <t xml:space="preserve">This template is used to identify components, determine the purpose of component scoping, and determine the type of work to be performed on components. It also documents the determination of component performance materiality. </t>
  </si>
  <si>
    <t>Resources</t>
  </si>
  <si>
    <t>Video</t>
  </si>
  <si>
    <t>Guidance related to use of this template</t>
  </si>
  <si>
    <t>Instructions</t>
  </si>
  <si>
    <t>This template contains cells with conditional formatting and data validation, including drop-down lists. Changing certain input cells will clear or change other cells in the workbook. For best results, complete the template top-to-bottom and left-to-right.</t>
  </si>
  <si>
    <t>Adding rows and columns
Certain areas of the template, such as the 'Data input' worksheet, allow for the addition of rows and columns. In those areas, add columns as needed by pressing the buttons denoted in purple font with a "+" sign or the "+Add benchmark" button on the 'Scoping input' worksheet. Rows and columns may also be added by pressing the purple "+" buttons, which will add a row underneath the icon or a column to the right of the icon.</t>
  </si>
  <si>
    <t>Deleting rows and columns
The ability to delete most rows and columns in this template has been disabled. Rows and columns that can be deleted have a red "x" icon to the left of the row or above the column. They can be deleted by selecting the red "x" icon to the left of the row or above the column and selecting "OK" in the message box that appears.</t>
  </si>
  <si>
    <t>In-line guidance (!)
Throughout the template, there is guidance input in the form of data validation input messages denoted by a grey exclamation point "!". Note that if you are unable to see the entirety of the guidance (it is cut-off), it is generally a result of the default scale setting in the display settings on the computer not being set to 100% (not the Excel zoom).</t>
  </si>
  <si>
    <t>Data input</t>
  </si>
  <si>
    <t>This worksheet is used to capture information about the components included in the group audit. Complete this worksheet by adding or removing components as necessary (refer to the instructions above) and entering the 'Component name' and 'Component type' fields for each component. Then enter financial statement information for each component, as well as other relevant financial information, by adding or removing financial statement captions and other relevant financial information as necessary (refer to the instructions above), as well as adjustments or eliminations, as necessary. This information is used on the other worksheets of this workbook. The engagement team is responsible for ensuring the completeness and accuracy of the subtotals on this worksheet, the addition and deletion of FS captions and subtotals may require the user to update dependent totals. For best results, enter amounts as positive (negative) as opposed to debit (credit).</t>
  </si>
  <si>
    <t>One or more worksheets containing component financial information may be added to this workbook to facilitate the completion of the 'Data input' worksheet using a SUMIFS formula or a VLOOKUP formula. When using such a formula to enter component information, the financial statement captions and component names must exactly match the name of the financial statement captions and components used in the additional worksheet in order for the formulas to work correctly. Avoid duplicative uses of financial statement caption names as it will cause formulas to function incorrectly. For example, if an entity's financial statements present derivatives as both assets and liabilities, label the financial statement captions "Derivatives (Assets)" and "Derivatives (Liabilities)." If completing the template using an external source, be sure to copy and paste using "values only." Otherwise, the information copied may not be able to be subsequently edited.</t>
  </si>
  <si>
    <t>Scoping input worksheet</t>
  </si>
  <si>
    <t>This worksheet is used to determine the purpose of components' scoping as well as the type of work to be performed. Complete this worksheet by first entering group audit materiality, group performance materiality, and the benchmark to be used for purposes of identifying individually financially significant components. Then, add or remove benchmarks as necessary (refer to instructions above); when entering the benchmarks, be careful to enter the name of the benchmark exactly as it appears on the 'Data input' worksheet (or copy and paste the name) so that amounts will pull in automatically. Next, enter financial statement information and ownership percentage for each equity method investment, as necessary. Based on the engagement team's evaluation, select the purpose of component scoping and type of work to be performed. 
Certain jurisdictions allow the group auditor to either (a) assume responsibility for the work of a component auditor, in so far as that work relates to the opinion on the group financial statements, or (b) not assume responsibility for, and make reference to, the audit of a component auditor in the auditor’s report on the group financial statements. The “audit of financial information” includes two options available when selecting the type of work to be performed by the group engagement: “audit of financial information – assume responsibility” and “audit of financial information – make reference.” Member firms that do not have these reporting options within their jurisdiction will select the “audit of financial information – assume responsibility” option in the template. The “audit of financial information – assume responsibility” includes the functionality so the group auditor can select it and continue to document in the applicable fields and determine component performance materiality as necessary. 
Also complete the remaining fields.</t>
  </si>
  <si>
    <r>
      <rPr>
        <b/>
        <sz val="10"/>
        <rFont val="Arial"/>
        <family val="2"/>
      </rPr>
      <t>Purpose of component scoping</t>
    </r>
    <r>
      <rPr>
        <strike/>
        <sz val="10"/>
        <rFont val="Arial"/>
        <family val="2"/>
      </rPr>
      <t xml:space="preserve">
</t>
    </r>
    <r>
      <rPr>
        <sz val="10"/>
        <rFont val="Arial"/>
        <family val="2"/>
      </rPr>
      <t xml:space="preserve">The group auditor determines the purpose of component scoping (components at which to perform audit work) as follows:
 - Individually financially significant
 - Risk of material misstatement of the group
 - Sufficient appropriate audit evidence or unpredictability
 - Not in scope
Matters that may influence the determination of components at which to perform audit work include, for example:
 •  The nature of events or conditions that may give rise to risks of material misstatement at the assertion level of the group financial statements that are associated with a component such as, newly formed or acquired entities or business units, entities or business units in which significant changes have taken place, significant transactions with related parties, significant transactions outside the normal course of business or abnormal fluctuations identified by analytical procedures performed at the group level
•  The disaggregation of significant classes of transactions, account balances and disclosures in the group financial statements across components, considering the size and nature of assets, liabilities and transactions at the location or business unit relative to the group financial statements
•  Whether sufficient appropriate audit evidence is expected to be obtained for all significant classes of transactions, account balances and disclosures in the group financial statements from audit work planned on the financial information of identified components.
•  The nature and extent of misstatements or control deficiencies identified at a component in prior period audits.
•  The nature and extent of the commonality of controls across the group and whether, and if so, how, the group centralizes activities relevant to financial reporting. 
</t>
    </r>
  </si>
  <si>
    <r>
      <rPr>
        <b/>
        <sz val="10"/>
        <rFont val="Arial"/>
        <family val="2"/>
      </rPr>
      <t>Components that are individually financially significant</t>
    </r>
    <r>
      <rPr>
        <sz val="10"/>
        <rFont val="Arial"/>
        <family val="2"/>
      </rPr>
      <t xml:space="preserve">
Individual financially significant components are:
• 	components financially significant considering the size and the nature of the assets, liabilities and transactions at the location or business unit relative to the group financial statements. 
• 	component where sufficient appropriate audit evidence is expected to be obtained for all significant classes of transactions, account balances and disclosures in the group financial statements from audit work planned on the financial information of the identified components. </t>
    </r>
  </si>
  <si>
    <r>
      <rPr>
        <b/>
        <sz val="10"/>
        <rFont val="Arial"/>
        <family val="2"/>
      </rPr>
      <t>Determining component performance materiality</t>
    </r>
    <r>
      <rPr>
        <sz val="10"/>
        <rFont val="Arial"/>
        <family val="2"/>
      </rPr>
      <t xml:space="preserve">
Determining component performance materiality is a matter of professional judgment. The group auditor to determines component performance materiality for each of the components where audit procedures are performed on financial information that is disaggregated. The component performance materiality amount may be different for each component. Also, the component performance materiality amount for an individual component need not be an arithmetical portion of the group performance materiality and, consequently, the aggregate of component performance materiality amounts may exceed group performance materiality.
The determination of component performance materiality is not a simple mechanical calculation. Factors the group auditor may take into account in setting component performance materiality include the following: 
 - The extent of disaggregation of the financial information across components - typically as the extent of disaggregation across components increases, a lower component performance materiality   would be appropriate to address aggregation risk. The relative significance of the component to the group may affect the extent of disaggregation (e.g., if a single component represents a large portion of the group, there likely may be less disaggregation across components)
 -  Expectations about the nature, frequency, and magnitude of misstatements in the component financial information, for example, whether there are risks that are unique to the financial information of the component, (such as, industry-specific accounting matters, unusual or complex transactions) or the nature and extent of misstatements identified at the component in prior audits.
A component auditor may be required by law, regulation, or for another reason to express an audit opinion on the financial statements of a component. In such circumstances, the performance materiality used for the purpose of such audit ordinarily can be expected to be less than group performance materiality and, accordingly, be acceptable for purposes of the group audit. Communications with the group auditor, however, may be based on component performance materiality and trivial amounts, as determined by the group auditor.</t>
    </r>
  </si>
  <si>
    <r>
      <rPr>
        <b/>
        <sz val="10"/>
        <rFont val="Arial"/>
        <family val="2"/>
      </rPr>
      <t>Determining component materiality for equity method investments</t>
    </r>
    <r>
      <rPr>
        <sz val="10"/>
        <rFont val="Arial"/>
        <family val="2"/>
      </rPr>
      <t xml:space="preserve">
Sometimes the equity method investee is significantly larger than the investor (group), and the evidence to support the investor’s share of earnings from the investment may consist largely of the audited financial statements of the investee. In such cases, the performance materiality used by the investee’s auditor may be larger than the performance materiality used by the investor’s auditor. When such circumstances exist, the group auditor may take into consideration matters such as the group’s ownership percentage and its share of the investee’s profits and losses when determining whether the component performance materiality used by the investee’s auditor is appropriate for purposes of the audit of the group financial statements. In other words, the determination of component materiality may take into account the effect a misstatement at the equity method investee may have on the group financial statements based on the ownership percentage. The firm’s methodology provides a method for determining component materiality using group performance materiality as a starting point; for example, dividing group performance materiality (400,000) by the ownership percentage (40%) equals component performance materiality (1,000,000) for the equity method investment.</t>
    </r>
  </si>
  <si>
    <t>Summary by type of work report</t>
  </si>
  <si>
    <t>This report is included for reference and additional analysis purposes to assist the group auditor in scoping the group audit. It details the type of work to be performed for the financial information, which may assist the group auditor in determining whether to perform additional procedures, which may include selecting additional components to perform further audit procedures. This summary report allows the group auditor to document notes about the balances that the group auditor will audit.</t>
  </si>
  <si>
    <t>Based on the details entered on the preceding worksheets, the financial statement captions appear automatically along with the amounts for components summarized by the type of work to be performed. A column is added for each component where the type of work performed is either specified audit procedures (designed by component auditors) or specified procedures (designed by group auditor). Document the amounts that are in-scope by financial statement caption by entering the amounts manually or by summing the appropriate columns to the right, as applicable.</t>
  </si>
  <si>
    <t>Purpose of component scoping</t>
  </si>
  <si>
    <t>N/A</t>
  </si>
  <si>
    <t>YOU MUST ENABLE MACROS TO USE THIS WORKBOOK</t>
  </si>
  <si>
    <t>If this is the only visible worksheet and macros have been enabled, it is generally due to one of the following situations:
1. Upon opening the workbook and enabling macros, the worksheet does not disappear and the remaining worksheets in the workbook do not appear. 
2. Upon attempting to close the workbook when auto-save is turned on, 'Cancel' has been selected in a resulting message box due to an interruption of the auto-save process. 
If either of these situations arise, save and close all open Excel files and re-open the workbook.</t>
  </si>
  <si>
    <t>Component significance and scoping</t>
  </si>
  <si>
    <t xml:space="preserve">This template is used to identify components, determine their significance, and determine the type of work to be performed on components, including the identification of component auditors. It also includes the determination of component materiality and component performance materiality, when applicable. </t>
  </si>
  <si>
    <t>When obtaining an understanding of components, the group engagement team may identify risk factors, which are then considered in identifying and assessing risks of material misstatement of the group financial statements. The group engagement team may also identify likely significant risks of the group financial statements. Such understanding assists in determining the significance of the component and the type of work to be performed. Refer to the group engagement team’s documentation in the Understanding Components documentation template.</t>
  </si>
  <si>
    <t>How-to video - Component Significance and Scoping template</t>
  </si>
  <si>
    <t>This worksheet is used to determine the significance of components as well as the type of work to be performed. It also includes the identification of component auditors, as applicable. Complete this worksheet by first entering group audit materiality, group performance materiality, and the benchmark to be used for purposes of identifying individually financially significant components. Then, add or remove benchmarks as necessary (refer to instructions above); when entering the benchmarks, be careful to enter the name of the benchmark exactly as it appears on the 'Data input' worksheet (or copy and paste the name) so that amounts will pull in automatically. Next, enter financial statement information and ownership percentage for each equity method investment, as necessary. Based on the engagement team's evaluation, select the component significance and type of work to be performed. 
Certain jurisdictions allow group engagement teams to either (a) assume responsibility for the work of a component auditor, in so far as that work relates to the opinion on the group financial statements, or (b) not assume responsibility for, and make reference to, the audit of a component auditor in the auditor’s report on the group financial statements. The “audit of financial information” includes two options available when selecting the type of work to be performed by the group engagement: “audit of financial information – assume responsibility” and “audit of financial information – make reference.” Member firms that do not have these reporting options within their jurisdiction will select the “audit of financial information – assume responsibility” option in the template. The “audit of financial information – assume responsibility” includes the functionality so the group engagement team can select it and continue to document in the applicable fields and determine component materiality as necessary. 
Also complete the remaining fields.</t>
  </si>
  <si>
    <r>
      <rPr>
        <b/>
        <sz val="8"/>
        <color theme="1"/>
        <rFont val="arial"/>
        <family val="2"/>
      </rPr>
      <t xml:space="preserve">Significant components that are individually financially significant
</t>
    </r>
    <r>
      <rPr>
        <sz val="8"/>
        <color theme="1"/>
        <rFont val="arial"/>
        <family val="2"/>
      </rPr>
      <t>Depending on the nature and circumstances of the group, appropriate benchmarks may include group assets, liabilities, cash flows, revenues, expenditures, or net income. Typically, if one or more benchmarks were used to determine materiality for the group financial statements as a whole, those same benchmarks may also be appropriate to identify components of individual financial significance; this is because factors that affect the selection of an appropriate benchmark take into account, among other things, the nature of the entity. The group engagement team may consider that components exceeding 15% of the chosen benchmark are of individual financial significance. However, because the structure of every group differs, using a single percentage threshold to determine individual financial significance for every group audit is impracticable. Accordingly, a higher or lower percentage may be appropriate depending on the nature or circumstances of the group.</t>
    </r>
  </si>
  <si>
    <t>Significant components that are individually financially significant
Depending on the nature and circumstances of the group, appropriate benchmarks may include group assets, liabilities, cash flows, revenues, expenditures, or net income. Typically, if one or more benchmarks were used to determine materiality for the group financial statements as a whole, those same benchmarks may also be appropriate to identify components of individual financial significance; this is because factors that affect the selection of an appropriate benchmark take into account, among other things, the nature of the entity. The group engagement team may consider that components exceeding 15% of the chosen benchmark are of individual financial significance. However, because the structure of every group differs, using a single percentage threshold to determine individual financial significance for every group audit is impracticable. Accordingly, a higher or lower percentage may be appropriate depending on the nature or circumstances of the group.</t>
  </si>
  <si>
    <r>
      <rPr>
        <b/>
        <sz val="8"/>
        <color theme="1"/>
        <rFont val="arial"/>
        <family val="2"/>
      </rPr>
      <t xml:space="preserve">Type of work to be performed for not significant components
</t>
    </r>
    <r>
      <rPr>
        <sz val="8"/>
        <color theme="1"/>
        <rFont val="arial"/>
        <family val="2"/>
      </rPr>
      <t>A group may consist only of components that are not significant or it may consist of numerous components that are not individually significant but, in the aggregate, may be of significance to the group. In such circumstances, the group engagement team obtains sufficient appropriate audit evidence on which to base the group audit opinion by selecting individual components upon which to perform one or more of the following:
● An audit of the financial information of the component using component materiality
● An audit of one or more classes of transactions, account balances, or disclosures
● A review of the financial information of the component using component materiality
● Specified audit procedures.
The group engagement team’s decision about the risks of material misstatement associated with a component as well as how many components to select, which components to select, and the type of work to be performed on the financial information of the individual components selected is a matter of professional judgment and may be affected by various factors, as described in AE 7.9.3.4.2.
Selecting components that are not significant to introduce an element of unpredictability may increase the likelihood of identifying material misstatements, particularly with respect to addressing the assessed risks of material misstatement due to fraud at the group financial statement level. Accordingly, the selection of components is often varied in each group audit. Consideration may be given to the length of time since the component was last tested, such as by the group engagement team or the internal audit function.</t>
    </r>
  </si>
  <si>
    <t>Type of work to be performed for not significant components
A group may consist only of components that are not significant or it may consist of numerous components that are not individually significant but, in the aggregate, may be of significance to the group. In such circumstances, the group engagement team obtains sufficient appropriate audit evidence on which to base the group audit opinion by selecting individual components upon which to perform one or more of the following:
● An audit of the financial information of the component using component materiality
● An audit of one or more classes of transactions, account balances, or disclosures
● A review of the financial information of the component using component materiality
● Specified audit procedures.
The group engagement team’s decision about the risks of material misstatement associated with a component as well as how many components to select, which components to select, and the type of work to be performed on the financial information of the individual components selected is a matter of professional judgment and may be affected by various factors, as described in AE 7.9.3.4.2.
Selecting components that are not significant to introduce an element of unpredictability may increase the likelihood of identifying material misstatements, particularly with respect to addressing the assessed risks of material misstatement due to fraud at the group financial statement level. Accordingly, the selection of components is often varied in each group audit. Consideration may be given to the length of time since the component was last tested, such as by the group engagement team or the internal audit function.</t>
  </si>
  <si>
    <r>
      <rPr>
        <b/>
        <sz val="8"/>
        <color theme="1"/>
        <rFont val="arial"/>
        <family val="2"/>
      </rPr>
      <t xml:space="preserve">Audit of one or more classes of transactions, account balances, or disclosures versus specified audit procedures
</t>
    </r>
    <r>
      <rPr>
        <sz val="8"/>
        <color theme="1"/>
        <rFont val="arial"/>
        <family val="2"/>
      </rPr>
      <t>An audit of one or more classes of transactions, account balances, or disclosures differs from specified audit procedures in that the component auditor assesses the risks of material misstatement and designs further audit procedures. In addition, in an audit of one or more classes of transactions, account balances, or disclosures, the component auditor performs procedures on interrelated items, as appropriate. In an audit of one or more classes of transactions, account balances, or disclosures, the component auditor or the group engagement team may determine the materiality level to be applied. Such materiality level is set less than group materiality. Similarly, performance materiality is set less than group performance materiality. Refer to the work to be performed and completion documentation templates. On the other hand, the group engagement team designs specified audit procedures to address the assessed risks of material misstatement related to the class of transactions, account balance, or disclosure and communicates such procedures to the component auditor.</t>
    </r>
  </si>
  <si>
    <t>Audit of one or more classes of transactions, account balances, or disclosures versus specified audit procedures
An audit of one or more classes of transactions, account balances, or disclosures differs from specified audit procedures in that the component auditor assesses the risks of material misstatement and designs further audit procedures. In addition, in an audit of one or more classes of transactions, account balances, or disclosures, the component auditor performs procedures on interrelated items, as appropriate. In an audit of one or more classes of transactions, account balances, or disclosures, the component auditor or the group engagement team may determine the materiality level to be applied. Such materiality level is set less than group materiality. Similarly, performance materiality is set less than group performance materiality. Refer to the work to be performed and completion documentation templates. On the other hand, the group engagement team designs specified audit procedures to address the assessed risks of material misstatement related to the class of transactions, account balance, or disclosure and communicates such procedures to the component auditor.</t>
  </si>
  <si>
    <r>
      <rPr>
        <b/>
        <sz val="8"/>
        <color theme="1"/>
        <rFont val="arial"/>
        <family val="2"/>
      </rPr>
      <t>Review of component financial information</t>
    </r>
    <r>
      <rPr>
        <sz val="8"/>
        <color theme="1"/>
        <rFont val="arial"/>
        <family val="2"/>
      </rPr>
      <t xml:space="preserve">
A review is designed to obtain only limited assurance, primarily by performing inquiry and analytical procedures, that there are no material modifications that need to be made to the financial information in order for it to be in conformity with the financial reporting framework. Accordingly, a review of component financial information is not sufficient to respond to a risk of material misstatement of the group financial statements arising at the component. A review may, however, be performed to reduce the audit risk of undetected material misstatement or to incorporate an element of unpredictability. The results of a review may also provide corroborating or contradictory audit evidence with respect to the group engagement team’s scoping.</t>
    </r>
  </si>
  <si>
    <t>Review of component financial information
A review is designed to obtain only limited assurance, primarily by performing inquiry and analytical procedures, that there are no material modifications that need to be made to the financial information in order for it to be in conformity with the financial reporting framework. Accordingly, a review of component financial information is not sufficient to respond to a risk of material misstatement of the group financial statements arising at the component. A review may, however, be performed to reduce the audit risk of undetected material misstatement or to incorporate an element of unpredictability. The results of a review may also provide corroborating or contradictory audit evidence with respect to the group engagement team’s scoping.</t>
  </si>
  <si>
    <r>
      <rPr>
        <b/>
        <sz val="8"/>
        <color theme="1"/>
        <rFont val="arial"/>
        <family val="2"/>
      </rPr>
      <t>Determining component materiality</t>
    </r>
    <r>
      <rPr>
        <sz val="8"/>
        <color theme="1"/>
        <rFont val="arial"/>
        <family val="2"/>
      </rPr>
      <t xml:space="preserve">
Determining component materiality is a matter of professional judgment. To reduce the risk that the aggregate of uncorrected and undetected misstatements in the group financial statements exceeds materiality for the group financial statements as a whole, component materiality is set lower than materiality for the group financial statements as a whole. However, the aggregate of component materiality for the different components may exceed the materiality for the group financial statements as a whole (that is, group materiality need not be allocated to all components based on their size). In addition, component materiality need not be an arithmetical portion of group materiality.
Consideration of all components, regardless of whether reference is made in the auditor’s report on the group financial statements to the audit of a component auditor, is necessary when determining component materiality to reduce the risk that the aggregate of detected and undetected misstatements in the group financial statements exceeds materiality for the group financial statements as a whole. The group engagement team may use group performance materiality as a starting point for determining component materiality. However, a different component materiality may be established for different components by determining an appropriate amount, taking into account the relative size of the component in comparison to the group.
A component auditor may be required by law, regulation, or for another reason to express an audit opinion on the financial statements of a component. In such circumstances, the materiality used for the purpose of such audit ordinarily can be expected to be less than group materiality and, accordingly, be acceptable for purposes of the group audit. Communications with the group engagement team, however, may be based on component materiality and trivial amounts, as determined by the group engagement team.</t>
    </r>
  </si>
  <si>
    <t>Determining component materiality
Determining component materiality is a matter of professional judgment. To reduce the risk that the aggregate of uncorrected and undetected misstatements in the group financial statements exceeds materiality for the group financial statements as a whole, component materiality is set lower than materiality for the group financial statements as a whole. However, the aggregate of component materiality for the different components may exceed the materiality for the group financial statements as a whole (that is, group materiality need not be allocated to all components based on their size). In addition, component materiality need not be an arithmetical portion of group materiality.
Consideration of all components, regardless of whether reference is made in the auditor’s report on the group financial statements to the audit of a component auditor, is necessary when determining component materiality to reduce the risk that the aggregate of detected and undetected misstatements in the group financial statements exceeds materiality for the group financial statements as a whole. The group engagement team may use group performance materiality as a starting point for determining component materiality. However, a different component materiality may be established for different components by determining an appropriate amount, taking into account the relative size of the component in comparison to the group.
A component auditor may be required by law, regulation, or for another reason to express an audit opinion on the financial statements of a component. In such circumstances, the materiality used for the purpose of such audit ordinarily can be expected to be less than group materiality and, accordingly, be acceptable for purposes of the group audit. Communications with the group engagement team, however, may be based on component materiality and trivial amounts, as determined by the group engagement team.</t>
  </si>
  <si>
    <r>
      <rPr>
        <b/>
        <sz val="8"/>
        <color theme="1"/>
        <rFont val="arial"/>
        <family val="2"/>
      </rPr>
      <t>Determining component materiality for equity method investments</t>
    </r>
    <r>
      <rPr>
        <sz val="8"/>
        <color theme="1"/>
        <rFont val="arial"/>
        <family val="2"/>
      </rPr>
      <t xml:space="preserve">
Sometimes the equity method investee is significantly larger than the investor (group), and the evidence to support the investor’s share of earnings from the investment may consist largely of the audited financial statements of the investee. In such cases, the materiality used by the investee’s auditor may be larger than the materiality used by the investor’s auditor. When such circumstances exist, the group engagement team may take into consideration matters such as the group’s ownership percentage and its share of the investee’s profits and losses when determining whether the component materiality used by the investee’s auditor is appropriate for purposes of the audit of the group financial statements. In other words, the determination of component materiality may take into account the effect a misstatement at the equity method investee may have on the group financial statements based on the ownership percentage. The firm’s methodology provides a method for determining component materiality using group performance materiality as a starting point; for example, dividing group performance materiality (400,000) by the ownership percentage (40%) equals component materiality (1,000,000) for the equity method investment. Other methods may be used, such as applying a reasonable measurement percentage to an appropriate benchmark or determining an appropriate component materiality amount.</t>
    </r>
  </si>
  <si>
    <t>Determining component materiality for equity method investments
Sometimes the equity method investee is significantly larger than the investor (group), and the evidence to support the investor’s share of earnings from the investment may consist largely of the audited financial statements of the investee. In such cases, the materiality used by the investee’s auditor may be larger than the materiality used by the investor’s auditor. When such circumstances exist, the group engagement team may take into consideration matters such as the group’s ownership percentage and its share of the investee’s profits and losses when determining whether the component materiality used by the investee’s auditor is appropriate for purposes of the audit of the group financial statements. In other words, the determination of component materiality may take into account the effect a misstatement at the equity method investee may have on the group financial statements based on the ownership percentage. The firm’s methodology provides a method for determining component materiality using group performance materiality as a starting point; for example, dividing group performance materiality (400,000) by the ownership percentage (40%) equals component materiality (1,000,000) for the equity method investment. Other methods may be used, such as applying a reasonable measurement percentage to an appropriate benchmark or determining an appropriate component materiality amount.</t>
  </si>
  <si>
    <t>This report is included for reference and additional analysis purposes to assist the group engagement team in scoping the group audit. It details the type of work to be performed for the financial information, which may assist the group engagement team in determining whether to perform additional procedures, which may include selecting additional components that are not significant to perform work. This summary report allows the group engagement team to document notes about the balances that the group engagement team will audit.</t>
  </si>
  <si>
    <t>Based on the details entered on the preceding worksheets, the financial statement captions appear automatically along with the amounts for components summarized by the type of work to be performed. A column is added for each component where the type of work performed is either an audit of one or more classes of transactions, account balances, or disclosures or specified procedures. Document the amounts that are in-scope by financial statement caption by entering the amounts manually or by summing the appropriate columns to the right, as applicable.</t>
  </si>
  <si>
    <t>Name of group</t>
  </si>
  <si>
    <t>Group period-end date</t>
  </si>
  <si>
    <t>+</t>
  </si>
  <si>
    <t>x</t>
  </si>
  <si>
    <t>Component reference</t>
  </si>
  <si>
    <t>Consolidated total (prior to adjustments and eliminations)</t>
  </si>
  <si>
    <t>Adjustments</t>
  </si>
  <si>
    <t>Eliminations</t>
  </si>
  <si>
    <t>Consolidated total</t>
  </si>
  <si>
    <t>Component name</t>
  </si>
  <si>
    <t>Component type</t>
  </si>
  <si>
    <t>Purpose for component scoping 
(from Scoping input worksheet)</t>
  </si>
  <si>
    <t>Type of work to be performed
(from Scoping input worksheet)</t>
  </si>
  <si>
    <t>Balance sheet</t>
  </si>
  <si>
    <t>Current assets</t>
  </si>
  <si>
    <t>Cash and cash equivalents</t>
  </si>
  <si>
    <t>Restricted cash</t>
  </si>
  <si>
    <t>Marketable securities at fair value</t>
  </si>
  <si>
    <t>Accounts receivable, net</t>
  </si>
  <si>
    <t>Investment in leased property, net</t>
  </si>
  <si>
    <t>Inventories</t>
  </si>
  <si>
    <t>Prepaid expenses</t>
  </si>
  <si>
    <t>Contract assets</t>
  </si>
  <si>
    <t>Other current assets</t>
  </si>
  <si>
    <t>Intentionally hidden</t>
  </si>
  <si>
    <t>Total current assets</t>
  </si>
  <si>
    <t>Debt and equity securities</t>
  </si>
  <si>
    <t>Other investments</t>
  </si>
  <si>
    <t>Derivative assets</t>
  </si>
  <si>
    <t>Deferred income tax assets, noncurrent</t>
  </si>
  <si>
    <t>Property, plant and equipment, net</t>
  </si>
  <si>
    <t>Intangible assets, net</t>
  </si>
  <si>
    <t>Goodwill</t>
  </si>
  <si>
    <t>Assets of businesses held for sale</t>
  </si>
  <si>
    <t>Assets of discontinued operations</t>
  </si>
  <si>
    <t>Related party receivables, noncurrent</t>
  </si>
  <si>
    <t>Investments in subsidiaries</t>
  </si>
  <si>
    <t>Other assets</t>
  </si>
  <si>
    <t>Total assets</t>
  </si>
  <si>
    <t>Liabilities and stockholders' equity</t>
  </si>
  <si>
    <t>Liabilities</t>
  </si>
  <si>
    <t>Current liabilities</t>
  </si>
  <si>
    <t>Accounts payable</t>
  </si>
  <si>
    <t>Accrued expenses</t>
  </si>
  <si>
    <t>Current portion of long-term debt</t>
  </si>
  <si>
    <t>Capital lease obligations, current</t>
  </si>
  <si>
    <t>Income taxes payable</t>
  </si>
  <si>
    <t>Derivative liabilities</t>
  </si>
  <si>
    <t>Deferred credits, current</t>
  </si>
  <si>
    <t>Dividends payable</t>
  </si>
  <si>
    <t>Contract liabilities</t>
  </si>
  <si>
    <t>Other current liabilities</t>
  </si>
  <si>
    <t>Total current liabilities</t>
  </si>
  <si>
    <t>Long-term debt, net</t>
  </si>
  <si>
    <t>Capital lease obligations, noncurrent</t>
  </si>
  <si>
    <t>Due to related parties, noncurrent</t>
  </si>
  <si>
    <t>Employee benefit plan obligations</t>
  </si>
  <si>
    <t>Deferred credits, noncurrent</t>
  </si>
  <si>
    <t>Deferred tax liabilities, noncurrent</t>
  </si>
  <si>
    <t>Liabilities of businesses held for sale</t>
  </si>
  <si>
    <t>Liabilities of discontinued operations</t>
  </si>
  <si>
    <t>Other liabilities</t>
  </si>
  <si>
    <t>Total liabilities</t>
  </si>
  <si>
    <t>Stockholders' equity</t>
  </si>
  <si>
    <t>Preferred stock</t>
  </si>
  <si>
    <t>Common stock</t>
  </si>
  <si>
    <t>Treasury stock</t>
  </si>
  <si>
    <t>Additional paid-in capital</t>
  </si>
  <si>
    <t>Accumulated other comprehensive income (loss)</t>
  </si>
  <si>
    <t>Retained earnings</t>
  </si>
  <si>
    <t>Total stockholders' equity attributable to parent co stockholders</t>
  </si>
  <si>
    <t>Noncontrolling interests</t>
  </si>
  <si>
    <t>Total stockholders' equity</t>
  </si>
  <si>
    <t>Total liabilities and equity</t>
  </si>
  <si>
    <t>Check</t>
  </si>
  <si>
    <t>Statement of operations</t>
  </si>
  <si>
    <t>Net sales</t>
  </si>
  <si>
    <t>Other revenue</t>
  </si>
  <si>
    <t>Total revenue</t>
  </si>
  <si>
    <t>Cost of sales</t>
  </si>
  <si>
    <t>Gross profit</t>
  </si>
  <si>
    <t>Other operating expenses</t>
  </si>
  <si>
    <t>Selling, general, &amp; administrative expenses</t>
  </si>
  <si>
    <t>Depreciation expense</t>
  </si>
  <si>
    <t>Amortization expense</t>
  </si>
  <si>
    <t>Impairment loss</t>
  </si>
  <si>
    <t>Restructuring expense</t>
  </si>
  <si>
    <t>Other general expenses</t>
  </si>
  <si>
    <t>Income (loss) from operations</t>
  </si>
  <si>
    <t>Non-operating income (expense)</t>
  </si>
  <si>
    <t>Interest income (expense)</t>
  </si>
  <si>
    <t>Income (loss) before income tax expense</t>
  </si>
  <si>
    <t>Income tax benefit (expense)</t>
  </si>
  <si>
    <t>Equity in earnings (losses) of subsidiaries</t>
  </si>
  <si>
    <t>Income (loss) from continuing operations</t>
  </si>
  <si>
    <t>Income (loss) from discontinued operations</t>
  </si>
  <si>
    <t>Income (loss) before cumulative effects of changes in accounting principles</t>
  </si>
  <si>
    <t>Gain (loss) from cumulative effects of changes in accounting principles</t>
  </si>
  <si>
    <t>Net income (loss)</t>
  </si>
  <si>
    <t>Less: Net income (loss) attributable to noncontrolling interests</t>
  </si>
  <si>
    <t>Net income (loss) attributable to parent</t>
  </si>
  <si>
    <t>Other relevant financial information</t>
  </si>
  <si>
    <t>Type</t>
  </si>
  <si>
    <t>Address</t>
  </si>
  <si>
    <t>Ticker</t>
  </si>
  <si>
    <t>Scoping input</t>
  </si>
  <si>
    <t>Group materiality</t>
  </si>
  <si>
    <t>Group performance materiality</t>
  </si>
  <si>
    <t>+ Add benchmark</t>
  </si>
  <si>
    <t>Benchmark amount</t>
  </si>
  <si>
    <t>Equity method investments</t>
  </si>
  <si>
    <t>!</t>
  </si>
  <si>
    <t>Component Reference</t>
  </si>
  <si>
    <t>Amount of equity method investment (financial position)</t>
  </si>
  <si>
    <t>Amount of equity method investment (profit or loss)</t>
  </si>
  <si>
    <t>Ownership percentage</t>
  </si>
  <si>
    <t>Type of work to be performed</t>
  </si>
  <si>
    <t>Purpose of audit procedures for not significant components</t>
  </si>
  <si>
    <t>Component materiality</t>
  </si>
  <si>
    <t>Component performance materiality</t>
  </si>
  <si>
    <t>Component auditor firm name</t>
  </si>
  <si>
    <t>Component auditor type</t>
  </si>
  <si>
    <t>Component auditor performing a statutory audit?</t>
  </si>
  <si>
    <t>Significant professional judgments or other comments, if any</t>
  </si>
  <si>
    <t>N/A - significant component</t>
  </si>
  <si>
    <t>Summary by type of work to be performed report</t>
  </si>
  <si>
    <t>Sum of amounts not included in the audit of one or more classes of transactions, account balances, or disclosures and specified audit procedures</t>
  </si>
  <si>
    <t>Sum of amounts included in review of financial information and analytical procedures at group level</t>
  </si>
  <si>
    <t>Sum of amounts included in an audit of financial information, specified audit procedures (designed by component auditor) and specified audit procedures (designed by group auditor)</t>
  </si>
  <si>
    <t>Notes</t>
  </si>
  <si>
    <t>Audit of financial information - assume responsibility</t>
  </si>
  <si>
    <t>Audit of financial information - make reference</t>
  </si>
  <si>
    <t>Specified audit procedures - designed by component auditors</t>
  </si>
  <si>
    <t>Specified audit procedures - designed by group auditors</t>
  </si>
  <si>
    <t>Specified audit procedures - designed by group auditor</t>
  </si>
  <si>
    <t>Review of financial information</t>
  </si>
  <si>
    <t>Analytical procedures at group level</t>
  </si>
  <si>
    <t>Amount</t>
  </si>
  <si>
    <t>Amount (%)</t>
  </si>
  <si>
    <t>ote disabled</t>
  </si>
  <si>
    <t>Component_Type</t>
  </si>
  <si>
    <t>Component_significance</t>
  </si>
  <si>
    <t>Individually financially significant</t>
  </si>
  <si>
    <t>Likely to include significant risks</t>
  </si>
  <si>
    <t>Not significant</t>
  </si>
  <si>
    <t>Parent</t>
  </si>
  <si>
    <t>Subsidiary</t>
  </si>
  <si>
    <t>Equity method investment</t>
  </si>
  <si>
    <t>Other</t>
  </si>
  <si>
    <t>Comp_</t>
  </si>
  <si>
    <t>A review of component financial information is not sufficient to address a risk of material misstatement of the group financial statements.</t>
  </si>
  <si>
    <t>Select 'OK' to delete this component from this tab and all subsequent worksheets</t>
  </si>
  <si>
    <t>Delete component</t>
  </si>
  <si>
    <t>Select 'OK' to delete this benchmark</t>
  </si>
  <si>
    <t>Delete benchmark</t>
  </si>
  <si>
    <t>Enter a component materiality amount greater than zero and less than group materiality.</t>
  </si>
  <si>
    <t>Enter a component performance materiality amount greater than zero, less than or equal to the determined component materiality and less than group performance materiality.</t>
  </si>
  <si>
    <t>Enter a component materiality amount greater than zero.</t>
  </si>
  <si>
    <t>Enter a component performance materiality amount greater than zero.</t>
  </si>
  <si>
    <t>Select a cell within the financial information area to add a financial statement caption or other relevant financial information.</t>
  </si>
  <si>
    <t>Select 'OK' to delete this financial statement caption</t>
  </si>
  <si>
    <t>Select 'OK' to delete this financial statement caption", vbOKCancel, "Delete FS caption</t>
  </si>
  <si>
    <t>We can only make reference to a member firm or non-member firm’s auditor’s report.</t>
  </si>
  <si>
    <t>Other risk of material misstatement of the group</t>
  </si>
  <si>
    <t>Our firm</t>
  </si>
  <si>
    <t>Sufficient appropriate audit evidence</t>
  </si>
  <si>
    <t>Another member firm</t>
  </si>
  <si>
    <t>Unpredictability</t>
  </si>
  <si>
    <t>N/A - analytical procedures at group level</t>
  </si>
  <si>
    <t>Non-member firm</t>
  </si>
  <si>
    <t>Spell check complete.</t>
  </si>
  <si>
    <t>Delete FS Caption</t>
  </si>
  <si>
    <t xml:space="preserve">Specified audit procedures (designed by component auditor) </t>
  </si>
  <si>
    <t>Specified procedures (designed by group auditor) </t>
  </si>
  <si>
    <t>Yes</t>
  </si>
  <si>
    <t>No</t>
  </si>
  <si>
    <t>change purpose column to use new list. Needs to be trasnlateed</t>
  </si>
  <si>
    <t>purpose of scoping</t>
  </si>
  <si>
    <t>TypeWorkIndivFinSig</t>
  </si>
  <si>
    <t>Individually financial significant</t>
  </si>
  <si>
    <t>Risk of material misstatement of the group</t>
  </si>
  <si>
    <t>Sufficient appropriate audit evidence or unpredictability</t>
  </si>
  <si>
    <t>Not in scope</t>
  </si>
  <si>
    <t>When obtaining an understanding of components, the Group Auditor may identify risk factors, which are then considered in identifying and assessing risks of material misstatement of the group financial statements. The Group auditor may also identify likely significant risks of the group financial statements. Such understanding assists the Group Auditor to take responsibility for determining the components at which to perform work and the nature, timing, and extent of the work to be performed at those components. Refer to the Group Auditor’s documentation in the Understanding Components and Group audit risk assessment and planning workprograms.</t>
  </si>
  <si>
    <t>Areas in which substantive procedures or tests of controls will be performed by group auditor</t>
  </si>
  <si>
    <t>Nonsubstantive analytical procedures to be performed by group auditor at component level</t>
  </si>
  <si>
    <t>Specified audit procedures (designed by group auditor) </t>
  </si>
  <si>
    <r>
      <rPr>
        <b/>
        <sz val="10"/>
        <rFont val="Arial"/>
        <family val="2"/>
      </rPr>
      <t xml:space="preserve">Type of work to be performed </t>
    </r>
    <r>
      <rPr>
        <sz val="10"/>
        <rFont val="Arial"/>
        <family val="2"/>
      </rPr>
      <t xml:space="preserve">
In response to the assessed risks of material misstatement, the group auditor may determine the following type of work to be performed at a component (with the involvement of component auditors, as applicable):
● Audit of financial information of the component
● Specified audit procedures (designed by component auditor); or
● Specified audit procedures (designed by group auditor).
The group auditor’s decision about the risks of material misstatement associated with a component as well as how many components to select, which components to select, and the type of work to be performed on the financial information of the individual components selected is a matter of professional judgment and may be affected by various factors, as described in AE 7.9.3.4.3.
Selecting components to introduce an element of unpredictability may increase the likelihood of identifying material misstatements, particularly with respect to addressing the assessed risks of material misstatement due to fraud at the group financial statement level. Accordingly, the selection of components is often varied in each group audit. Consideration may be given to the length of time since the component was last tested, such as by the group auditor or the internal audit function.</t>
    </r>
  </si>
  <si>
    <t>Describe significant risk impacting the component, if any</t>
  </si>
  <si>
    <r>
      <rPr>
        <b/>
        <sz val="10"/>
        <rFont val="Arial"/>
        <family val="2"/>
      </rPr>
      <t>Significant risks</t>
    </r>
    <r>
      <rPr>
        <sz val="10"/>
        <rFont val="Arial"/>
        <family val="2"/>
      </rPr>
      <t xml:space="preserve">
There are two presumed fraud risks; the presumed fraud risk related to revenue recognition and the presumed fraud risk related to management override of controls. Related party transactions that are significant unusual transactions also give rise to significant risks. Such significant risks, as well as other assessed significant risks, do not necessarily apply to all components, for example:
• A component may be immaterial to the group
• A misstatement in a component (related to the matter giving rise to a significant risk in another component) would not give rise to a material misstatement of the group financial statements, considering, for example, the size or composition of the account, the volume of activity, or the homogeneity of transactions
• The qualitative risk factors giving rise to the significant risk in a particular component do not exist at another component due to, for example, the lack of complexity or changes from the prior period
• The nature of the risk does not apply to a component, such as a significant risk associated with a business combination or with significant unusual transactions that only involve a particular component.
Consideration is given to both magnitude and likelihood, including the qualitative and quantitative risk factors as well as identified fraud risk factors, in the context of the group and the identified components. </t>
    </r>
  </si>
  <si>
    <t>November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</si>
</sst>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31" x14ac:knownFonts="1">
    <font>
      <sz val="8"/>
      <color theme="1"/>
      <name val="arial"/>
      <family val="2"/>
    </font>
    <font>
      <sz val="11"/>
      <color theme="1"/>
      <name val="Calibri"/>
      <family val="2"/>
      <scheme val="minor"/>
    </font>
    <font>
      <sz val="11"/>
      <color theme="1"/>
      <name val="Calibri"/>
      <family val="2"/>
      <scheme val="minor"/>
    </font>
    <font>
      <sz val="8"/>
      <color theme="0"/>
      <name val="arial"/>
      <family val="2"/>
    </font>
    <font>
      <b/>
      <sz val="12"/>
      <color rgb="FF7030A0"/>
      <name val="arial"/>
      <family val="2"/>
    </font>
    <font>
      <sz val="8"/>
      <color theme="1"/>
      <name val="arial"/>
      <family val="2"/>
    </font>
    <font>
      <sz val="12"/>
      <color theme="0"/>
      <name val="arial"/>
      <family val="2"/>
    </font>
    <font>
      <b/>
      <sz val="8"/>
      <name val="arial"/>
      <family val="2"/>
    </font>
    <font>
      <b/>
      <sz val="8"/>
      <color theme="1"/>
      <name val="arial"/>
      <family val="2"/>
    </font>
    <font>
      <b/>
      <sz val="10"/>
      <color theme="0"/>
      <name val="arial"/>
      <family val="2"/>
    </font>
    <font>
      <b/>
      <sz val="12"/>
      <color rgb="FF4F2D7F"/>
      <name val="arial"/>
      <family val="2"/>
    </font>
    <font>
      <i/>
      <sz val="8"/>
      <color theme="0" tint="-0.34998626667073579"/>
      <name val="arial"/>
      <family val="2"/>
    </font>
    <font>
      <sz val="8"/>
      <color theme="0" tint="-0.34998626667073579"/>
      <name val="arial"/>
      <family val="2"/>
    </font>
    <font>
      <sz val="11"/>
      <color theme="1"/>
      <name val="Calibri"/>
      <family val="2"/>
      <scheme val="minor"/>
    </font>
    <font>
      <b/>
      <sz val="10"/>
      <color rgb="FFFF0000"/>
      <name val="Arial"/>
      <family val="2"/>
    </font>
    <font>
      <sz val="10"/>
      <color rgb="FFFF0000"/>
      <name val="Arial"/>
      <family val="2"/>
    </font>
    <font>
      <b/>
      <sz val="10"/>
      <color theme="1"/>
      <name val="arial"/>
      <family val="2"/>
    </font>
    <font>
      <sz val="10"/>
      <name val="Arial"/>
      <family val="2"/>
    </font>
    <font>
      <b/>
      <sz val="10"/>
      <name val="Arial"/>
      <family val="2"/>
    </font>
    <font>
      <sz val="8"/>
      <color rgb="FFFF0000"/>
      <name val="arial"/>
      <family val="2"/>
    </font>
    <font>
      <u/>
      <sz val="8"/>
      <color theme="10"/>
      <name val="arial"/>
      <family val="2"/>
    </font>
    <font>
      <b/>
      <sz val="10"/>
      <color rgb="FF4F2D7F"/>
      <name val="arial"/>
      <family val="2"/>
    </font>
    <font>
      <b/>
      <sz val="10"/>
      <color theme="0" tint="-0.499984740745262"/>
      <name val="arial"/>
      <family val="2"/>
    </font>
    <font>
      <b/>
      <sz val="10"/>
      <color theme="0" tint="-0.34998626667073579"/>
      <name val="arial"/>
      <family val="2"/>
    </font>
    <font>
      <b/>
      <sz val="11"/>
      <color theme="0" tint="-0.34998626667073579"/>
      <name val="arial"/>
      <family val="2"/>
    </font>
    <font>
      <b/>
      <sz val="12"/>
      <color theme="1"/>
      <name val="Arial"/>
      <family val="2"/>
    </font>
    <font>
      <sz val="8"/>
      <name val="Calibri Light"/>
      <family val="2"/>
      <scheme val="major"/>
    </font>
    <font>
      <u/>
      <sz val="8"/>
      <color theme="10"/>
      <name val="Calibri Light"/>
      <family val="2"/>
      <scheme val="major"/>
    </font>
    <font>
      <strike/>
      <sz val="10"/>
      <name val="Arial"/>
      <family val="2"/>
    </font>
    <font>
      <sz val="10"/>
      <color rgb="FF1C1C1C"/>
      <name val="Consolas"/>
      <family val="3"/>
    </font>
    <font>
      <b/>
      <sz val="16"/>
      <color rgb="FF4F2D7F"/>
      <name val="arial"/>
      <family val="2"/>
    </font>
  </fonts>
  <fills count="7">
    <fill>
      <patternFill patternType="none"/>
    </fill>
    <fill>
      <patternFill patternType="gray125"/>
    </fill>
    <fill>
      <patternFill patternType="solid">
        <fgColor rgb="FF4F2D7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C8B5E5"/>
        <bgColor indexed="64"/>
      </patternFill>
    </fill>
    <fill>
      <patternFill patternType="solid">
        <fgColor rgb="FFEFE9F7"/>
        <bgColor indexed="64"/>
      </patternFill>
    </fill>
  </fills>
  <borders count="25">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style="thin">
        <color theme="0" tint="-0.14999847407452621"/>
      </right>
      <top/>
      <bottom/>
      <diagonal/>
    </border>
    <border>
      <left style="thin">
        <color theme="0" tint="-0.14999847407452621"/>
      </left>
      <right style="thin">
        <color theme="0" tint="-0.14999847407452621"/>
      </right>
      <top style="thin">
        <color indexed="64"/>
      </top>
      <bottom style="double">
        <color indexed="64"/>
      </bottom>
      <diagonal/>
    </border>
    <border>
      <left style="thin">
        <color theme="0" tint="-0.14999847407452621"/>
      </left>
      <right/>
      <top style="thin">
        <color theme="0" tint="-0.14999847407452621"/>
      </top>
      <bottom style="medium">
        <color indexed="64"/>
      </bottom>
      <diagonal/>
    </border>
    <border>
      <left/>
      <right/>
      <top style="thin">
        <color theme="0" tint="-0.14999847407452621"/>
      </top>
      <bottom style="medium">
        <color indexed="64"/>
      </bottom>
      <diagonal/>
    </border>
    <border>
      <left/>
      <right style="thin">
        <color theme="0" tint="-0.14999847407452621"/>
      </right>
      <top style="thin">
        <color theme="0" tint="-0.14999847407452621"/>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7">
    <xf numFmtId="0" fontId="0" fillId="0" borderId="0"/>
    <xf numFmtId="43" fontId="5" fillId="0" borderId="0" applyFont="0" applyFill="0" applyBorder="0" applyAlignment="0" applyProtection="0"/>
    <xf numFmtId="9" fontId="5" fillId="0" borderId="0" applyFont="0" applyFill="0" applyBorder="0" applyAlignment="0" applyProtection="0"/>
    <xf numFmtId="0" fontId="13" fillId="0" borderId="0"/>
    <xf numFmtId="0" fontId="2" fillId="0" borderId="0"/>
    <xf numFmtId="0" fontId="20" fillId="0" borderId="0" applyNumberFormat="0" applyFill="0" applyBorder="0" applyAlignment="0" applyProtection="0"/>
    <xf numFmtId="0" fontId="1" fillId="0" borderId="0"/>
  </cellStyleXfs>
  <cellXfs count="179">
    <xf numFmtId="0" fontId="0" fillId="0" borderId="0" xfId="0"/>
    <xf numFmtId="0" fontId="4" fillId="0" borderId="0" xfId="0" applyFont="1"/>
    <xf numFmtId="0" fontId="0" fillId="3" borderId="1" xfId="0" applyFill="1" applyBorder="1" applyAlignment="1">
      <alignment horizontal="center" vertical="center" wrapText="1"/>
    </xf>
    <xf numFmtId="0" fontId="6" fillId="0" borderId="0" xfId="0" applyFont="1" applyAlignment="1">
      <alignment horizontal="center"/>
    </xf>
    <xf numFmtId="0" fontId="0" fillId="3" borderId="1" xfId="0" applyFill="1" applyBorder="1" applyAlignment="1">
      <alignment horizontal="left" vertical="center" wrapText="1"/>
    </xf>
    <xf numFmtId="37" fontId="0" fillId="3" borderId="1" xfId="0" applyNumberFormat="1" applyFill="1" applyBorder="1" applyAlignment="1">
      <alignment horizontal="center" vertical="center" wrapText="1"/>
    </xf>
    <xf numFmtId="0" fontId="0" fillId="0" borderId="0" xfId="0" applyAlignment="1">
      <alignment vertical="center" wrapText="1"/>
    </xf>
    <xf numFmtId="37" fontId="0" fillId="0" borderId="10" xfId="0" applyNumberFormat="1" applyBorder="1" applyAlignment="1">
      <alignment vertical="center" wrapText="1"/>
    </xf>
    <xf numFmtId="0" fontId="0" fillId="2" borderId="0" xfId="0" applyFill="1" applyAlignment="1">
      <alignment vertical="center" wrapText="1"/>
    </xf>
    <xf numFmtId="37" fontId="0" fillId="2" borderId="0" xfId="0" applyNumberFormat="1" applyFill="1" applyAlignment="1">
      <alignment vertical="center" wrapText="1"/>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11" fillId="0" borderId="10" xfId="0" applyFont="1" applyBorder="1" applyAlignment="1">
      <alignment vertical="center" wrapText="1"/>
    </xf>
    <xf numFmtId="0" fontId="10" fillId="3" borderId="14" xfId="0" applyFont="1" applyFill="1" applyBorder="1" applyAlignment="1">
      <alignment vertical="center"/>
    </xf>
    <xf numFmtId="0" fontId="0" fillId="3" borderId="7" xfId="0" applyFill="1" applyBorder="1" applyAlignment="1">
      <alignment vertical="center" wrapText="1"/>
    </xf>
    <xf numFmtId="0" fontId="8" fillId="3" borderId="1" xfId="0" applyFont="1" applyFill="1" applyBorder="1" applyAlignment="1">
      <alignment vertical="center" wrapText="1"/>
    </xf>
    <xf numFmtId="0" fontId="11" fillId="3" borderId="10" xfId="0" applyFont="1" applyFill="1" applyBorder="1" applyAlignment="1">
      <alignment vertical="center" wrapText="1"/>
    </xf>
    <xf numFmtId="0" fontId="8" fillId="3" borderId="11" xfId="0" applyFont="1" applyFill="1" applyBorder="1" applyAlignment="1">
      <alignment vertical="center" wrapText="1"/>
    </xf>
    <xf numFmtId="0" fontId="8" fillId="3" borderId="9" xfId="0" applyFont="1" applyFill="1" applyBorder="1" applyAlignment="1">
      <alignment vertical="center" wrapText="1"/>
    </xf>
    <xf numFmtId="0" fontId="0" fillId="3" borderId="12" xfId="0" applyFill="1" applyBorder="1" applyAlignment="1">
      <alignment vertical="center" wrapText="1"/>
    </xf>
    <xf numFmtId="0" fontId="8" fillId="3" borderId="13" xfId="0" applyFont="1" applyFill="1" applyBorder="1" applyAlignment="1">
      <alignment vertical="center" wrapText="1"/>
    </xf>
    <xf numFmtId="0" fontId="0" fillId="3" borderId="10" xfId="0" applyFill="1" applyBorder="1" applyAlignment="1">
      <alignment vertical="center" wrapText="1"/>
    </xf>
    <xf numFmtId="0" fontId="0" fillId="3" borderId="1" xfId="0" applyFill="1" applyBorder="1" applyAlignment="1">
      <alignment vertical="center" wrapText="1"/>
    </xf>
    <xf numFmtId="0" fontId="10" fillId="0" borderId="14" xfId="0" applyFont="1" applyBorder="1" applyAlignment="1" applyProtection="1">
      <alignment vertical="center"/>
      <protection locked="0"/>
    </xf>
    <xf numFmtId="0" fontId="10" fillId="0" borderId="15" xfId="0" applyFont="1" applyBorder="1" applyAlignment="1" applyProtection="1">
      <alignment vertical="center"/>
      <protection locked="0"/>
    </xf>
    <xf numFmtId="0" fontId="10" fillId="0" borderId="16" xfId="0" applyFont="1" applyBorder="1" applyAlignment="1" applyProtection="1">
      <alignment vertical="center"/>
      <protection locked="0"/>
    </xf>
    <xf numFmtId="0" fontId="0" fillId="0" borderId="0" xfId="0" applyAlignment="1" applyProtection="1">
      <alignment vertical="center" wrapText="1"/>
      <protection locked="0"/>
    </xf>
    <xf numFmtId="37" fontId="0" fillId="0" borderId="8" xfId="0" applyNumberFormat="1" applyBorder="1" applyAlignment="1" applyProtection="1">
      <alignment vertical="center" wrapText="1"/>
      <protection locked="0"/>
    </xf>
    <xf numFmtId="0" fontId="0" fillId="0" borderId="7" xfId="0" applyBorder="1" applyAlignment="1" applyProtection="1">
      <alignment vertical="center" wrapText="1"/>
      <protection locked="0"/>
    </xf>
    <xf numFmtId="37" fontId="0" fillId="0" borderId="7" xfId="0" applyNumberFormat="1" applyBorder="1" applyAlignment="1" applyProtection="1">
      <alignment vertical="center" wrapText="1"/>
      <protection locked="0"/>
    </xf>
    <xf numFmtId="0" fontId="8" fillId="0" borderId="1" xfId="0" applyFont="1" applyBorder="1" applyAlignment="1" applyProtection="1">
      <alignment vertical="center" wrapText="1"/>
      <protection locked="0"/>
    </xf>
    <xf numFmtId="37" fontId="0" fillId="0" borderId="1" xfId="1" applyNumberFormat="1" applyFont="1" applyBorder="1" applyAlignment="1" applyProtection="1">
      <alignment vertical="center" wrapText="1"/>
      <protection locked="0"/>
    </xf>
    <xf numFmtId="0" fontId="0" fillId="0" borderId="1" xfId="0" applyBorder="1" applyAlignment="1" applyProtection="1">
      <alignment vertical="center" wrapText="1"/>
      <protection locked="0"/>
    </xf>
    <xf numFmtId="37" fontId="0" fillId="0" borderId="1" xfId="0" applyNumberFormat="1" applyBorder="1" applyAlignment="1" applyProtection="1">
      <alignment vertical="center" wrapText="1"/>
      <protection locked="0"/>
    </xf>
    <xf numFmtId="0" fontId="8" fillId="0" borderId="11" xfId="0" applyFont="1" applyBorder="1" applyAlignment="1" applyProtection="1">
      <alignment vertical="center" wrapText="1"/>
      <protection locked="0"/>
    </xf>
    <xf numFmtId="37" fontId="8" fillId="0" borderId="11" xfId="0" applyNumberFormat="1" applyFont="1" applyBorder="1" applyAlignment="1" applyProtection="1">
      <alignment vertical="center" wrapText="1"/>
      <protection locked="0"/>
    </xf>
    <xf numFmtId="0" fontId="8" fillId="0" borderId="9" xfId="0" applyFont="1" applyBorder="1" applyAlignment="1" applyProtection="1">
      <alignment vertical="center" wrapText="1"/>
      <protection locked="0"/>
    </xf>
    <xf numFmtId="37" fontId="8" fillId="0" borderId="9" xfId="0" applyNumberFormat="1" applyFont="1" applyBorder="1" applyAlignment="1" applyProtection="1">
      <alignment vertical="center" wrapText="1"/>
      <protection locked="0"/>
    </xf>
    <xf numFmtId="0" fontId="0" fillId="0" borderId="12" xfId="0" applyBorder="1" applyAlignment="1" applyProtection="1">
      <alignment vertical="center" wrapText="1"/>
      <protection locked="0"/>
    </xf>
    <xf numFmtId="37" fontId="0" fillId="0" borderId="12" xfId="0" applyNumberFormat="1" applyBorder="1" applyAlignment="1" applyProtection="1">
      <alignment vertical="center" wrapText="1"/>
      <protection locked="0"/>
    </xf>
    <xf numFmtId="0" fontId="8" fillId="0" borderId="13" xfId="0" applyFont="1" applyBorder="1" applyAlignment="1" applyProtection="1">
      <alignment vertical="center" wrapText="1"/>
      <protection locked="0"/>
    </xf>
    <xf numFmtId="37" fontId="8" fillId="0" borderId="13" xfId="0" applyNumberFormat="1" applyFont="1" applyBorder="1" applyAlignment="1" applyProtection="1">
      <alignment vertical="center" wrapText="1"/>
      <protection locked="0"/>
    </xf>
    <xf numFmtId="0" fontId="0" fillId="2" borderId="0" xfId="0" applyFill="1" applyAlignment="1" applyProtection="1">
      <alignment vertical="center" wrapText="1"/>
      <protection locked="0"/>
    </xf>
    <xf numFmtId="37" fontId="0" fillId="2" borderId="0" xfId="0" applyNumberFormat="1" applyFill="1" applyAlignment="1" applyProtection="1">
      <alignment vertical="center" wrapText="1"/>
      <protection locked="0"/>
    </xf>
    <xf numFmtId="37" fontId="0" fillId="0" borderId="10" xfId="0" applyNumberFormat="1" applyBorder="1" applyAlignment="1" applyProtection="1">
      <alignment vertical="center" wrapText="1"/>
      <protection locked="0"/>
    </xf>
    <xf numFmtId="0" fontId="0" fillId="0" borderId="10" xfId="0" applyBorder="1" applyAlignment="1" applyProtection="1">
      <alignment vertical="center" wrapText="1"/>
      <protection locked="0"/>
    </xf>
    <xf numFmtId="37" fontId="0" fillId="0" borderId="1" xfId="0" applyNumberFormat="1" applyBorder="1" applyAlignment="1">
      <alignment vertical="center" wrapText="1"/>
    </xf>
    <xf numFmtId="0" fontId="0" fillId="0" borderId="0" xfId="0" applyProtection="1">
      <protection locked="0"/>
    </xf>
    <xf numFmtId="0" fontId="0" fillId="3" borderId="1" xfId="0" applyFill="1" applyBorder="1" applyAlignment="1">
      <alignment vertical="center"/>
    </xf>
    <xf numFmtId="0" fontId="0" fillId="0" borderId="0" xfId="0" applyAlignment="1">
      <alignment horizontal="center"/>
    </xf>
    <xf numFmtId="1" fontId="0" fillId="0" borderId="0" xfId="1" applyNumberFormat="1" applyFont="1" applyAlignment="1" applyProtection="1">
      <alignment horizontal="center"/>
    </xf>
    <xf numFmtId="1" fontId="0" fillId="0" borderId="0" xfId="1" applyNumberFormat="1" applyFont="1" applyProtection="1">
      <protection locked="0"/>
    </xf>
    <xf numFmtId="1" fontId="0" fillId="0" borderId="0" xfId="1" applyNumberFormat="1" applyFont="1" applyFill="1" applyAlignment="1" applyProtection="1">
      <alignment horizontal="center"/>
    </xf>
    <xf numFmtId="1" fontId="0" fillId="2" borderId="0" xfId="1" applyNumberFormat="1" applyFont="1" applyFill="1" applyBorder="1" applyAlignment="1" applyProtection="1">
      <alignment vertical="center" wrapText="1"/>
      <protection locked="0"/>
    </xf>
    <xf numFmtId="1" fontId="0" fillId="0" borderId="0" xfId="1" applyNumberFormat="1" applyFont="1" applyProtection="1"/>
    <xf numFmtId="37" fontId="0" fillId="2" borderId="0" xfId="1" applyNumberFormat="1" applyFont="1" applyFill="1" applyBorder="1" applyAlignment="1" applyProtection="1">
      <alignment vertical="center" wrapText="1"/>
      <protection locked="0"/>
    </xf>
    <xf numFmtId="37" fontId="0" fillId="0" borderId="0" xfId="1" applyNumberFormat="1" applyFont="1" applyProtection="1">
      <protection locked="0"/>
    </xf>
    <xf numFmtId="37" fontId="0" fillId="0" borderId="1" xfId="1" applyNumberFormat="1" applyFont="1" applyFill="1" applyBorder="1" applyAlignment="1" applyProtection="1">
      <alignment vertical="center" wrapText="1"/>
      <protection locked="0"/>
    </xf>
    <xf numFmtId="37" fontId="11" fillId="0" borderId="10" xfId="1" applyNumberFormat="1" applyFont="1" applyFill="1" applyBorder="1" applyAlignment="1" applyProtection="1">
      <alignment vertical="center" wrapText="1"/>
      <protection locked="0"/>
    </xf>
    <xf numFmtId="37" fontId="8" fillId="0" borderId="11" xfId="1" applyNumberFormat="1" applyFont="1" applyFill="1" applyBorder="1" applyAlignment="1" applyProtection="1">
      <alignment vertical="center" wrapText="1"/>
      <protection locked="0"/>
    </xf>
    <xf numFmtId="37" fontId="0" fillId="0" borderId="7" xfId="1" applyNumberFormat="1" applyFont="1" applyFill="1" applyBorder="1" applyAlignment="1" applyProtection="1">
      <alignment vertical="center" wrapText="1"/>
      <protection locked="0"/>
    </xf>
    <xf numFmtId="37" fontId="8" fillId="0" borderId="9" xfId="1" applyNumberFormat="1" applyFont="1" applyFill="1" applyBorder="1" applyAlignment="1" applyProtection="1">
      <alignment vertical="center" wrapText="1"/>
      <protection locked="0"/>
    </xf>
    <xf numFmtId="37" fontId="8" fillId="0" borderId="1" xfId="1" applyNumberFormat="1" applyFont="1" applyFill="1" applyBorder="1" applyAlignment="1" applyProtection="1">
      <alignment vertical="center" wrapText="1"/>
      <protection locked="0"/>
    </xf>
    <xf numFmtId="37" fontId="0" fillId="0" borderId="12" xfId="1" applyNumberFormat="1" applyFont="1" applyFill="1" applyBorder="1" applyAlignment="1" applyProtection="1">
      <alignment vertical="center" wrapText="1"/>
      <protection locked="0"/>
    </xf>
    <xf numFmtId="37" fontId="8" fillId="0" borderId="13" xfId="1" applyNumberFormat="1" applyFont="1" applyFill="1" applyBorder="1" applyAlignment="1" applyProtection="1">
      <alignment vertical="center" wrapText="1"/>
      <protection locked="0"/>
    </xf>
    <xf numFmtId="37" fontId="10" fillId="0" borderId="14" xfId="1" applyNumberFormat="1" applyFont="1" applyFill="1" applyBorder="1" applyAlignment="1" applyProtection="1">
      <alignment vertical="center"/>
      <protection locked="0"/>
    </xf>
    <xf numFmtId="37" fontId="0" fillId="0" borderId="10" xfId="1" applyNumberFormat="1" applyFont="1" applyFill="1" applyBorder="1" applyAlignment="1" applyProtection="1">
      <alignment vertical="center" wrapText="1"/>
      <protection locked="0"/>
    </xf>
    <xf numFmtId="37" fontId="0" fillId="0" borderId="0" xfId="1" applyNumberFormat="1" applyFont="1" applyFill="1" applyProtection="1">
      <protection locked="0"/>
    </xf>
    <xf numFmtId="0" fontId="0" fillId="0" borderId="17" xfId="0" applyBorder="1" applyAlignment="1">
      <alignment horizontal="center" vertical="center"/>
    </xf>
    <xf numFmtId="37" fontId="0" fillId="3" borderId="1" xfId="1" applyNumberFormat="1" applyFont="1" applyFill="1" applyBorder="1" applyAlignment="1" applyProtection="1">
      <alignment vertical="center" wrapText="1"/>
    </xf>
    <xf numFmtId="10" fontId="0" fillId="3" borderId="1" xfId="2" applyNumberFormat="1" applyFont="1" applyFill="1" applyBorder="1" applyAlignment="1" applyProtection="1">
      <alignment vertical="center" wrapText="1"/>
    </xf>
    <xf numFmtId="37" fontId="11" fillId="3" borderId="10" xfId="1" applyNumberFormat="1" applyFont="1" applyFill="1" applyBorder="1" applyAlignment="1" applyProtection="1">
      <alignment vertical="center" wrapText="1"/>
    </xf>
    <xf numFmtId="10" fontId="11" fillId="3" borderId="10" xfId="2" applyNumberFormat="1" applyFont="1" applyFill="1" applyBorder="1" applyAlignment="1" applyProtection="1">
      <alignment vertical="center" wrapText="1"/>
    </xf>
    <xf numFmtId="37" fontId="8" fillId="3" borderId="11" xfId="1" applyNumberFormat="1" applyFont="1" applyFill="1" applyBorder="1" applyAlignment="1" applyProtection="1">
      <alignment vertical="center" wrapText="1"/>
    </xf>
    <xf numFmtId="10" fontId="8" fillId="3" borderId="11" xfId="2" applyNumberFormat="1" applyFont="1" applyFill="1" applyBorder="1" applyAlignment="1" applyProtection="1">
      <alignment vertical="center" wrapText="1"/>
    </xf>
    <xf numFmtId="37" fontId="0" fillId="3" borderId="7" xfId="1" applyNumberFormat="1" applyFont="1" applyFill="1" applyBorder="1" applyAlignment="1" applyProtection="1">
      <alignment vertical="center" wrapText="1"/>
    </xf>
    <xf numFmtId="37" fontId="8" fillId="3" borderId="9" xfId="1" applyNumberFormat="1" applyFont="1" applyFill="1" applyBorder="1" applyAlignment="1" applyProtection="1">
      <alignment vertical="center" wrapText="1"/>
    </xf>
    <xf numFmtId="10" fontId="8" fillId="3" borderId="9" xfId="2" applyNumberFormat="1" applyFont="1" applyFill="1" applyBorder="1" applyAlignment="1" applyProtection="1">
      <alignment vertical="center" wrapText="1"/>
    </xf>
    <xf numFmtId="37" fontId="8" fillId="3" borderId="1" xfId="1" applyNumberFormat="1" applyFont="1" applyFill="1" applyBorder="1" applyAlignment="1" applyProtection="1">
      <alignment vertical="center" wrapText="1"/>
    </xf>
    <xf numFmtId="37" fontId="0" fillId="3" borderId="12" xfId="1" applyNumberFormat="1" applyFont="1" applyFill="1" applyBorder="1" applyAlignment="1" applyProtection="1">
      <alignment vertical="center" wrapText="1"/>
    </xf>
    <xf numFmtId="10" fontId="0" fillId="3" borderId="12" xfId="2" applyNumberFormat="1" applyFont="1" applyFill="1" applyBorder="1" applyAlignment="1" applyProtection="1">
      <alignment vertical="center" wrapText="1"/>
    </xf>
    <xf numFmtId="37" fontId="8" fillId="3" borderId="13" xfId="1" applyNumberFormat="1" applyFont="1" applyFill="1" applyBorder="1" applyAlignment="1" applyProtection="1">
      <alignment vertical="center" wrapText="1"/>
    </xf>
    <xf numFmtId="10" fontId="8" fillId="3" borderId="13" xfId="2" applyNumberFormat="1" applyFont="1" applyFill="1" applyBorder="1" applyAlignment="1" applyProtection="1">
      <alignment vertical="center" wrapText="1"/>
    </xf>
    <xf numFmtId="37" fontId="8" fillId="0" borderId="0" xfId="1" applyNumberFormat="1" applyFont="1" applyFill="1" applyBorder="1" applyAlignment="1" applyProtection="1">
      <alignment vertical="center" wrapText="1"/>
    </xf>
    <xf numFmtId="37" fontId="0" fillId="2" borderId="0" xfId="1" applyNumberFormat="1" applyFont="1" applyFill="1" applyBorder="1" applyAlignment="1" applyProtection="1">
      <alignment vertical="center" wrapText="1"/>
    </xf>
    <xf numFmtId="37" fontId="10" fillId="3" borderId="14" xfId="1" applyNumberFormat="1" applyFont="1" applyFill="1" applyBorder="1" applyAlignment="1" applyProtection="1">
      <alignment vertical="center"/>
    </xf>
    <xf numFmtId="37" fontId="0" fillId="3" borderId="10" xfId="1" applyNumberFormat="1" applyFont="1" applyFill="1" applyBorder="1" applyAlignment="1" applyProtection="1">
      <alignment vertical="center" wrapText="1"/>
    </xf>
    <xf numFmtId="10" fontId="0" fillId="3" borderId="10" xfId="2" applyNumberFormat="1" applyFont="1" applyFill="1" applyBorder="1" applyAlignment="1" applyProtection="1">
      <alignment vertical="center" wrapText="1"/>
    </xf>
    <xf numFmtId="37" fontId="0" fillId="0" borderId="0" xfId="1" applyNumberFormat="1" applyFont="1" applyProtection="1"/>
    <xf numFmtId="1" fontId="0" fillId="0" borderId="1" xfId="1" applyNumberFormat="1" applyFont="1" applyFill="1" applyBorder="1" applyAlignment="1" applyProtection="1">
      <alignment vertical="center" wrapText="1"/>
      <protection locked="0"/>
    </xf>
    <xf numFmtId="1" fontId="11" fillId="0" borderId="10" xfId="1" applyNumberFormat="1" applyFont="1" applyFill="1" applyBorder="1" applyAlignment="1" applyProtection="1">
      <alignment vertical="center" wrapText="1"/>
      <protection locked="0"/>
    </xf>
    <xf numFmtId="1" fontId="8" fillId="0" borderId="11" xfId="1" applyNumberFormat="1" applyFont="1" applyFill="1" applyBorder="1" applyAlignment="1" applyProtection="1">
      <alignment vertical="center" wrapText="1"/>
      <protection locked="0"/>
    </xf>
    <xf numFmtId="1" fontId="0" fillId="0" borderId="7" xfId="1" applyNumberFormat="1" applyFont="1" applyFill="1" applyBorder="1" applyAlignment="1" applyProtection="1">
      <alignment vertical="center" wrapText="1"/>
      <protection locked="0"/>
    </xf>
    <xf numFmtId="1" fontId="8" fillId="0" borderId="9" xfId="1" applyNumberFormat="1" applyFont="1" applyFill="1" applyBorder="1" applyAlignment="1" applyProtection="1">
      <alignment vertical="center" wrapText="1"/>
      <protection locked="0"/>
    </xf>
    <xf numFmtId="1" fontId="8" fillId="0" borderId="1" xfId="1" applyNumberFormat="1" applyFont="1" applyFill="1" applyBorder="1" applyAlignment="1" applyProtection="1">
      <alignment vertical="center" wrapText="1"/>
      <protection locked="0"/>
    </xf>
    <xf numFmtId="1" fontId="0" fillId="0" borderId="12" xfId="1" applyNumberFormat="1" applyFont="1" applyFill="1" applyBorder="1" applyAlignment="1" applyProtection="1">
      <alignment vertical="center" wrapText="1"/>
      <protection locked="0"/>
    </xf>
    <xf numFmtId="1" fontId="8" fillId="0" borderId="13" xfId="1" applyNumberFormat="1" applyFont="1" applyFill="1" applyBorder="1" applyAlignment="1" applyProtection="1">
      <alignment vertical="center" wrapText="1"/>
      <protection locked="0"/>
    </xf>
    <xf numFmtId="1" fontId="10" fillId="0" borderId="14" xfId="1" applyNumberFormat="1" applyFont="1" applyFill="1" applyBorder="1" applyAlignment="1" applyProtection="1">
      <alignment vertical="center"/>
      <protection locked="0"/>
    </xf>
    <xf numFmtId="1" fontId="0" fillId="0" borderId="10" xfId="1" applyNumberFormat="1" applyFont="1" applyFill="1" applyBorder="1" applyAlignment="1" applyProtection="1">
      <alignment vertical="center" wrapText="1"/>
      <protection locked="0"/>
    </xf>
    <xf numFmtId="1" fontId="0" fillId="3" borderId="1" xfId="1" applyNumberFormat="1" applyFont="1" applyFill="1" applyBorder="1" applyAlignment="1" applyProtection="1">
      <alignment vertical="center" wrapText="1"/>
    </xf>
    <xf numFmtId="1" fontId="8" fillId="0" borderId="0" xfId="1" applyNumberFormat="1" applyFont="1" applyFill="1" applyBorder="1" applyAlignment="1" applyProtection="1">
      <alignment vertical="center" wrapText="1"/>
    </xf>
    <xf numFmtId="0" fontId="12" fillId="0" borderId="0" xfId="0" applyFont="1" applyProtection="1">
      <protection locked="0"/>
    </xf>
    <xf numFmtId="0" fontId="8" fillId="0" borderId="0" xfId="0" applyFont="1" applyAlignment="1">
      <alignment vertical="center" wrapText="1"/>
    </xf>
    <xf numFmtId="37" fontId="8" fillId="0" borderId="0" xfId="0" applyNumberFormat="1" applyFont="1" applyAlignment="1">
      <alignment vertical="center" wrapText="1"/>
    </xf>
    <xf numFmtId="37" fontId="0" fillId="0" borderId="0" xfId="0" applyNumberFormat="1" applyAlignment="1">
      <alignment vertical="center" wrapText="1"/>
    </xf>
    <xf numFmtId="1" fontId="0" fillId="0" borderId="0" xfId="1" applyNumberFormat="1" applyFont="1" applyFill="1" applyProtection="1"/>
    <xf numFmtId="0" fontId="12" fillId="3" borderId="12" xfId="0" applyFont="1" applyFill="1" applyBorder="1" applyAlignment="1">
      <alignment vertical="center" wrapText="1"/>
    </xf>
    <xf numFmtId="9" fontId="0" fillId="3" borderId="1" xfId="2" applyFont="1" applyFill="1" applyBorder="1" applyAlignment="1">
      <alignment horizontal="center" vertical="center" wrapText="1"/>
    </xf>
    <xf numFmtId="9" fontId="0" fillId="3" borderId="1" xfId="2" applyFont="1" applyFill="1" applyBorder="1" applyAlignment="1" applyProtection="1">
      <alignment horizontal="center" vertical="center" wrapText="1"/>
    </xf>
    <xf numFmtId="0" fontId="14" fillId="0" borderId="0" xfId="4" applyFont="1" applyAlignment="1" applyProtection="1">
      <alignment vertical="center"/>
      <protection locked="0"/>
    </xf>
    <xf numFmtId="0" fontId="14" fillId="0" borderId="0" xfId="4" applyFont="1" applyAlignment="1" applyProtection="1">
      <alignment horizontal="left" vertical="center"/>
      <protection locked="0"/>
    </xf>
    <xf numFmtId="0" fontId="15" fillId="0" borderId="0" xfId="4" applyFont="1" applyAlignment="1" applyProtection="1">
      <alignment horizontal="left" vertical="center"/>
      <protection locked="0"/>
    </xf>
    <xf numFmtId="39" fontId="0" fillId="0" borderId="0" xfId="0" applyNumberFormat="1"/>
    <xf numFmtId="0" fontId="19" fillId="0" borderId="0" xfId="0" applyFont="1" applyAlignment="1" applyProtection="1">
      <alignment vertical="center" wrapText="1"/>
      <protection locked="0"/>
    </xf>
    <xf numFmtId="37" fontId="19" fillId="0" borderId="0" xfId="0" applyNumberFormat="1" applyFont="1" applyAlignment="1">
      <alignment vertical="center" wrapText="1"/>
    </xf>
    <xf numFmtId="0" fontId="8" fillId="3" borderId="11" xfId="0" applyFont="1" applyFill="1" applyBorder="1" applyAlignment="1">
      <alignment vertical="center"/>
    </xf>
    <xf numFmtId="37" fontId="0" fillId="0" borderId="11" xfId="1" applyNumberFormat="1" applyFont="1" applyFill="1" applyBorder="1" applyAlignment="1" applyProtection="1">
      <alignment vertical="center" wrapText="1"/>
      <protection locked="0"/>
    </xf>
    <xf numFmtId="1" fontId="0" fillId="0" borderId="11" xfId="1" applyNumberFormat="1" applyFont="1" applyFill="1" applyBorder="1" applyAlignment="1" applyProtection="1">
      <alignment vertical="center" wrapText="1"/>
      <protection locked="0"/>
    </xf>
    <xf numFmtId="0" fontId="8" fillId="0" borderId="22" xfId="0" applyFont="1" applyBorder="1"/>
    <xf numFmtId="37" fontId="8" fillId="0" borderId="11" xfId="1" applyNumberFormat="1" applyFont="1" applyBorder="1" applyAlignment="1" applyProtection="1">
      <alignment vertical="center" wrapText="1"/>
      <protection locked="0"/>
    </xf>
    <xf numFmtId="1" fontId="8" fillId="0" borderId="0" xfId="1" applyNumberFormat="1" applyFont="1" applyProtection="1">
      <protection locked="0"/>
    </xf>
    <xf numFmtId="1" fontId="8" fillId="0" borderId="22" xfId="1" applyNumberFormat="1" applyFont="1" applyBorder="1" applyAlignment="1" applyProtection="1">
      <alignment horizontal="center"/>
    </xf>
    <xf numFmtId="0" fontId="3" fillId="2" borderId="1" xfId="0" applyFont="1" applyFill="1" applyBorder="1" applyAlignment="1">
      <alignment horizontal="center" vertical="center" wrapText="1"/>
    </xf>
    <xf numFmtId="0" fontId="21" fillId="0" borderId="0" xfId="5" quotePrefix="1" applyFont="1" applyAlignment="1" applyProtection="1">
      <alignment horizontal="center" vertical="center"/>
      <protection locked="0"/>
    </xf>
    <xf numFmtId="0" fontId="18" fillId="0" borderId="0" xfId="4" quotePrefix="1" applyFont="1" applyAlignment="1" applyProtection="1">
      <alignment vertical="center"/>
      <protection locked="0"/>
    </xf>
    <xf numFmtId="37" fontId="0" fillId="0" borderId="1" xfId="0" applyNumberFormat="1" applyBorder="1" applyAlignment="1" applyProtection="1">
      <alignment horizontal="left" vertical="center"/>
      <protection locked="0"/>
    </xf>
    <xf numFmtId="0" fontId="0" fillId="3" borderId="1" xfId="0" applyFill="1" applyBorder="1" applyAlignment="1">
      <alignment horizontal="left" vertical="center"/>
    </xf>
    <xf numFmtId="0" fontId="22" fillId="0" borderId="0" xfId="0" applyFont="1" applyAlignment="1" applyProtection="1">
      <alignment horizontal="center"/>
      <protection locked="0"/>
    </xf>
    <xf numFmtId="49" fontId="14" fillId="0" borderId="0" xfId="4" quotePrefix="1" applyNumberFormat="1" applyFont="1" applyAlignment="1" applyProtection="1">
      <alignment vertical="center"/>
      <protection locked="0"/>
    </xf>
    <xf numFmtId="0" fontId="0" fillId="0" borderId="0" xfId="0" applyAlignment="1" applyProtection="1">
      <alignment horizontal="left" vertical="center"/>
      <protection locked="0"/>
    </xf>
    <xf numFmtId="0" fontId="23" fillId="0" borderId="0" xfId="5" quotePrefix="1" applyFont="1" applyAlignment="1" applyProtection="1">
      <alignment horizontal="center" vertical="center"/>
      <protection locked="0"/>
    </xf>
    <xf numFmtId="0" fontId="0" fillId="0" borderId="1" xfId="0" applyBorder="1" applyAlignment="1" applyProtection="1">
      <alignment horizontal="center" vertical="center" wrapText="1"/>
      <protection locked="0"/>
    </xf>
    <xf numFmtId="37" fontId="0" fillId="3" borderId="1" xfId="0" applyNumberFormat="1" applyFill="1" applyBorder="1" applyAlignment="1" applyProtection="1">
      <alignment vertical="center" wrapText="1"/>
      <protection locked="0"/>
    </xf>
    <xf numFmtId="0" fontId="24" fillId="0" borderId="0" xfId="0" applyFont="1" applyAlignment="1">
      <alignment horizontal="center"/>
    </xf>
    <xf numFmtId="0" fontId="3" fillId="2" borderId="4" xfId="0" applyFont="1" applyFill="1" applyBorder="1" applyAlignment="1">
      <alignment vertical="center"/>
    </xf>
    <xf numFmtId="37" fontId="19" fillId="0" borderId="0" xfId="0" applyNumberFormat="1" applyFont="1" applyAlignment="1" applyProtection="1">
      <alignment vertical="center" wrapText="1"/>
      <protection locked="0"/>
    </xf>
    <xf numFmtId="0" fontId="14" fillId="0" borderId="0" xfId="5" applyFont="1" applyAlignment="1" applyProtection="1">
      <alignment horizontal="center" vertical="center"/>
      <protection locked="0"/>
    </xf>
    <xf numFmtId="0" fontId="3" fillId="2" borderId="1" xfId="0" applyFont="1" applyFill="1" applyBorder="1" applyAlignment="1">
      <alignment vertical="center"/>
    </xf>
    <xf numFmtId="0" fontId="3" fillId="2" borderId="1" xfId="0" applyFont="1" applyFill="1" applyBorder="1" applyAlignment="1">
      <alignment vertical="center" wrapText="1"/>
    </xf>
    <xf numFmtId="14" fontId="0" fillId="3" borderId="1" xfId="0" applyNumberFormat="1" applyFill="1" applyBorder="1" applyAlignment="1">
      <alignment horizontal="left" vertical="center"/>
    </xf>
    <xf numFmtId="0" fontId="25" fillId="0" borderId="0" xfId="0" applyFont="1"/>
    <xf numFmtId="0" fontId="26" fillId="0" borderId="0" xfId="6" applyFont="1" applyAlignment="1">
      <alignment horizontal="left" vertical="top" wrapText="1"/>
    </xf>
    <xf numFmtId="0" fontId="27" fillId="0" borderId="0" xfId="5" applyFont="1" applyAlignment="1">
      <alignment horizontal="left" vertical="top" wrapText="1"/>
    </xf>
    <xf numFmtId="0" fontId="0" fillId="0" borderId="0" xfId="0" applyAlignment="1">
      <alignment wrapText="1"/>
    </xf>
    <xf numFmtId="17" fontId="0" fillId="0" borderId="0" xfId="0" applyNumberFormat="1" applyAlignment="1">
      <alignment wrapText="1"/>
    </xf>
    <xf numFmtId="0" fontId="0" fillId="4" borderId="0" xfId="0" applyFill="1" applyAlignment="1">
      <alignment wrapText="1"/>
    </xf>
    <xf numFmtId="17" fontId="0" fillId="4" borderId="0" xfId="0" applyNumberFormat="1" applyFill="1" applyAlignment="1">
      <alignment wrapText="1"/>
    </xf>
    <xf numFmtId="0" fontId="5" fillId="0" borderId="1" xfId="0" applyFont="1" applyBorder="1" applyAlignment="1" applyProtection="1">
      <alignment horizontal="left" vertical="center" wrapText="1"/>
      <protection locked="0"/>
    </xf>
    <xf numFmtId="14" fontId="5" fillId="0" borderId="1" xfId="0" applyNumberFormat="1" applyFont="1" applyBorder="1" applyAlignment="1" applyProtection="1">
      <alignment horizontal="left" vertical="center" wrapText="1"/>
      <protection locked="0"/>
    </xf>
    <xf numFmtId="0" fontId="0" fillId="3" borderId="0" xfId="0" applyFill="1"/>
    <xf numFmtId="37" fontId="0" fillId="0" borderId="0" xfId="0" applyNumberFormat="1"/>
    <xf numFmtId="0" fontId="29" fillId="0" borderId="0" xfId="0" applyFont="1"/>
    <xf numFmtId="37" fontId="0" fillId="3" borderId="1" xfId="0" applyNumberFormat="1" applyFill="1" applyBorder="1" applyAlignment="1">
      <alignment vertical="center" wrapText="1"/>
    </xf>
    <xf numFmtId="0" fontId="0" fillId="0" borderId="0" xfId="0" applyAlignment="1">
      <alignment vertical="top" wrapText="1"/>
    </xf>
    <xf numFmtId="0" fontId="0" fillId="0" borderId="0" xfId="0" applyAlignment="1">
      <alignment vertical="top"/>
    </xf>
    <xf numFmtId="0" fontId="17" fillId="6" borderId="23" xfId="4" applyFont="1" applyFill="1" applyBorder="1" applyAlignment="1" applyProtection="1">
      <alignment horizontal="left" vertical="top" wrapText="1"/>
      <protection locked="0"/>
    </xf>
    <xf numFmtId="0" fontId="17" fillId="6" borderId="24" xfId="4" applyFont="1" applyFill="1" applyBorder="1" applyAlignment="1" applyProtection="1">
      <alignment horizontal="left" vertical="top" wrapText="1"/>
      <protection locked="0"/>
    </xf>
    <xf numFmtId="0" fontId="17" fillId="6" borderId="18" xfId="4" applyFont="1" applyFill="1" applyBorder="1" applyAlignment="1" applyProtection="1">
      <alignment horizontal="left" vertical="top" wrapText="1"/>
      <protection locked="0"/>
    </xf>
    <xf numFmtId="0" fontId="15" fillId="0" borderId="0" xfId="4" applyFont="1" applyAlignment="1" applyProtection="1">
      <alignment horizontal="left" vertical="center" wrapText="1"/>
      <protection locked="0"/>
    </xf>
    <xf numFmtId="0" fontId="16" fillId="5" borderId="19" xfId="4" applyFont="1" applyFill="1" applyBorder="1" applyAlignment="1" applyProtection="1">
      <alignment horizontal="left" vertical="top" wrapText="1"/>
      <protection locked="0"/>
    </xf>
    <xf numFmtId="0" fontId="16" fillId="5" borderId="20" xfId="4" applyFont="1" applyFill="1" applyBorder="1" applyAlignment="1" applyProtection="1">
      <alignment horizontal="left" vertical="top" wrapText="1"/>
      <protection locked="0"/>
    </xf>
    <xf numFmtId="0" fontId="16" fillId="5" borderId="21" xfId="4" applyFont="1" applyFill="1" applyBorder="1" applyAlignment="1" applyProtection="1">
      <alignment horizontal="left" vertical="top" wrapText="1"/>
      <protection locked="0"/>
    </xf>
    <xf numFmtId="0" fontId="30" fillId="0" borderId="0" xfId="0" applyFont="1" applyAlignment="1">
      <alignment horizontal="center"/>
    </xf>
    <xf numFmtId="0" fontId="3" fillId="2" borderId="1" xfId="0" applyFont="1" applyFill="1" applyBorder="1" applyAlignment="1">
      <alignment horizontal="center" vertical="distributed" wrapText="1"/>
    </xf>
    <xf numFmtId="0" fontId="3" fillId="2" borderId="1" xfId="0" applyFont="1" applyFill="1" applyBorder="1" applyAlignment="1">
      <alignment horizontal="center" vertical="center" wrapText="1"/>
    </xf>
    <xf numFmtId="0" fontId="3" fillId="2" borderId="1" xfId="0" applyFont="1" applyFill="1" applyBorder="1" applyAlignment="1">
      <alignment vertical="center"/>
    </xf>
    <xf numFmtId="0" fontId="3" fillId="2" borderId="1" xfId="0" applyFont="1" applyFill="1" applyBorder="1" applyAlignment="1">
      <alignment vertical="center" wrapText="1"/>
    </xf>
    <xf numFmtId="0" fontId="0" fillId="0" borderId="0" xfId="0"/>
    <xf numFmtId="0" fontId="14" fillId="0" borderId="0" xfId="5" applyFont="1" applyAlignment="1" applyProtection="1">
      <alignment horizontal="center" vertical="center"/>
      <protection locked="0"/>
    </xf>
    <xf numFmtId="0" fontId="7" fillId="3" borderId="4" xfId="0" applyFont="1" applyFill="1" applyBorder="1" applyAlignment="1">
      <alignment vertical="center"/>
    </xf>
    <xf numFmtId="0" fontId="7" fillId="3" borderId="6" xfId="0" applyFont="1" applyFill="1" applyBorder="1" applyAlignment="1">
      <alignment vertical="center"/>
    </xf>
    <xf numFmtId="0" fontId="7" fillId="3" borderId="5" xfId="0" applyFont="1" applyFill="1" applyBorder="1" applyAlignment="1">
      <alignment vertical="center"/>
    </xf>
    <xf numFmtId="0" fontId="3" fillId="2" borderId="2"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0" fillId="0" borderId="1" xfId="0" applyBorder="1" applyAlignment="1" applyProtection="1">
      <alignment horizontal="center" vertical="center" wrapText="1"/>
      <protection locked="0"/>
    </xf>
    <xf numFmtId="0" fontId="0" fillId="3" borderId="1" xfId="0" applyFill="1" applyBorder="1" applyAlignment="1">
      <alignment vertical="center" wrapText="1"/>
    </xf>
    <xf numFmtId="14" fontId="0" fillId="3" borderId="1" xfId="0" applyNumberFormat="1" applyFill="1" applyBorder="1" applyAlignment="1">
      <alignment horizontal="left" vertical="center"/>
    </xf>
    <xf numFmtId="0" fontId="9" fillId="2" borderId="1" xfId="0" applyFont="1" applyFill="1" applyBorder="1" applyAlignment="1">
      <alignment horizontal="center" vertical="center" wrapText="1"/>
    </xf>
  </cellXfs>
  <cellStyles count="7">
    <cellStyle name="Comma" xfId="1" builtinId="3"/>
    <cellStyle name="Hyperlink" xfId="5" builtinId="8"/>
    <cellStyle name="Normal" xfId="0" builtinId="0"/>
    <cellStyle name="Normal 2 2 2" xfId="3" xr:uid="{00000000-0005-0000-0000-000003000000}"/>
    <cellStyle name="Normal 5" xfId="4" xr:uid="{00000000-0005-0000-0000-000004000000}"/>
    <cellStyle name="Normal 5 3" xfId="6" xr:uid="{3EBC7D1B-4B6A-4EBF-8C9D-99569EF52873}"/>
    <cellStyle name="Percent" xfId="2" builtinId="5"/>
  </cellStyles>
  <dxfs count="20">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border>
        <vertical/>
        <horizontal/>
      </border>
    </dxf>
    <dxf>
      <fill>
        <patternFill>
          <bgColor rgb="FFFFFFCC"/>
        </patternFill>
      </fill>
      <border>
        <vertical/>
        <horizontal/>
      </border>
    </dxf>
    <dxf>
      <fill>
        <patternFill>
          <bgColor rgb="FFFFFFCC"/>
        </patternFill>
      </fill>
    </dxf>
    <dxf>
      <fill>
        <patternFill>
          <bgColor rgb="FFFFFFCC"/>
        </patternFill>
      </fill>
    </dxf>
  </dxfs>
  <tableStyles count="0" defaultTableStyle="TableStyleMedium2" defaultPivotStyle="PivotStyleLight16"/>
  <colors>
    <mruColors>
      <color rgb="FFEFE9F7"/>
      <color rgb="FF4F2D7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3</xdr:col>
      <xdr:colOff>133351</xdr:colOff>
      <xdr:row>0</xdr:row>
      <xdr:rowOff>123825</xdr:rowOff>
    </xdr:from>
    <xdr:to>
      <xdr:col>3</xdr:col>
      <xdr:colOff>1504951</xdr:colOff>
      <xdr:row>2</xdr:row>
      <xdr:rowOff>9525</xdr:rowOff>
    </xdr:to>
    <xdr:sp macro="[0]!SpellCheck" textlink="">
      <xdr:nvSpPr>
        <xdr:cNvPr id="3" name="TextBox 2">
          <a:extLst>
            <a:ext uri="{FF2B5EF4-FFF2-40B4-BE49-F238E27FC236}">
              <a16:creationId xmlns:a16="http://schemas.microsoft.com/office/drawing/2014/main" id="{00000000-0008-0000-0200-000003000000}"/>
            </a:ext>
          </a:extLst>
        </xdr:cNvPr>
        <xdr:cNvSpPr txBox="1"/>
      </xdr:nvSpPr>
      <xdr:spPr>
        <a:xfrm>
          <a:off x="2400301" y="123825"/>
          <a:ext cx="13716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lumMod val="65000"/>
                </a:schemeClr>
              </a:solidFill>
            </a:rPr>
            <a:t>Run spell check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285750</xdr:colOff>
      <xdr:row>0</xdr:row>
      <xdr:rowOff>104775</xdr:rowOff>
    </xdr:from>
    <xdr:to>
      <xdr:col>3</xdr:col>
      <xdr:colOff>1657350</xdr:colOff>
      <xdr:row>1</xdr:row>
      <xdr:rowOff>190500</xdr:rowOff>
    </xdr:to>
    <xdr:sp macro="[0]!SpellCheck" textlink="">
      <xdr:nvSpPr>
        <xdr:cNvPr id="4" name="TextBox 3">
          <a:extLst>
            <a:ext uri="{FF2B5EF4-FFF2-40B4-BE49-F238E27FC236}">
              <a16:creationId xmlns:a16="http://schemas.microsoft.com/office/drawing/2014/main" id="{00000000-0008-0000-0300-000004000000}"/>
            </a:ext>
          </a:extLst>
        </xdr:cNvPr>
        <xdr:cNvSpPr txBox="1"/>
      </xdr:nvSpPr>
      <xdr:spPr>
        <a:xfrm>
          <a:off x="3000375" y="104775"/>
          <a:ext cx="13716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lumMod val="65000"/>
                </a:schemeClr>
              </a:solidFill>
            </a:rPr>
            <a:t>Run spell check</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6</xdr:row>
      <xdr:rowOff>28575</xdr:rowOff>
    </xdr:from>
    <xdr:to>
      <xdr:col>1</xdr:col>
      <xdr:colOff>1371600</xdr:colOff>
      <xdr:row>7</xdr:row>
      <xdr:rowOff>114300</xdr:rowOff>
    </xdr:to>
    <xdr:sp macro="[0]!SpellCheck" textlink="">
      <xdr:nvSpPr>
        <xdr:cNvPr id="2" name="TextBox 1">
          <a:extLst>
            <a:ext uri="{FF2B5EF4-FFF2-40B4-BE49-F238E27FC236}">
              <a16:creationId xmlns:a16="http://schemas.microsoft.com/office/drawing/2014/main" id="{00000000-0008-0000-0400-000002000000}"/>
            </a:ext>
          </a:extLst>
        </xdr:cNvPr>
        <xdr:cNvSpPr txBox="1"/>
      </xdr:nvSpPr>
      <xdr:spPr>
        <a:xfrm>
          <a:off x="219075" y="895350"/>
          <a:ext cx="13716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solidFill>
                <a:schemeClr val="bg1">
                  <a:lumMod val="65000"/>
                </a:schemeClr>
              </a:solidFill>
            </a:rPr>
            <a:t>Run spell check</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5:M20"/>
  <sheetViews>
    <sheetView showGridLines="0" workbookViewId="0">
      <selection activeCell="Q19" sqref="Q19"/>
    </sheetView>
  </sheetViews>
  <sheetFormatPr defaultColWidth="9.33203125" defaultRowHeight="11.25" x14ac:dyDescent="0.2"/>
  <sheetData>
    <row r="5" spans="2:13" ht="15.75" x14ac:dyDescent="0.25">
      <c r="B5" s="141" t="str">
        <f>_sheetContentTranslation_A_3</f>
        <v>YOU MUST ENABLE MACROS TO USE THIS WORKBOOK</v>
      </c>
    </row>
    <row r="7" spans="2:13" x14ac:dyDescent="0.2">
      <c r="B7" s="154" t="str">
        <f>_sheetContentTranslation_A_4</f>
        <v>If this is the only visible worksheet and macros have been enabled, it is generally due to one of the following situations:
1. Upon opening the workbook and enabling macros, the worksheet does not disappear and the remaining worksheets in the workbook do not appear. 
2. Upon attempting to close the workbook when auto-save is turned on, 'Cancel' has been selected in a resulting message box due to an interruption of the auto-save process. 
If either of these situations arise, save and close all open Excel files and re-open the workbook.</v>
      </c>
      <c r="C7" s="155"/>
      <c r="D7" s="155"/>
      <c r="E7" s="155"/>
      <c r="F7" s="155"/>
      <c r="G7" s="155"/>
      <c r="H7" s="155"/>
      <c r="I7" s="155"/>
      <c r="J7" s="155"/>
      <c r="K7" s="155"/>
      <c r="L7" s="155"/>
      <c r="M7" s="155"/>
    </row>
    <row r="8" spans="2:13" x14ac:dyDescent="0.2">
      <c r="B8" s="155"/>
      <c r="C8" s="155"/>
      <c r="D8" s="155"/>
      <c r="E8" s="155"/>
      <c r="F8" s="155"/>
      <c r="G8" s="155"/>
      <c r="H8" s="155"/>
      <c r="I8" s="155"/>
      <c r="J8" s="155"/>
      <c r="K8" s="155"/>
      <c r="L8" s="155"/>
      <c r="M8" s="155"/>
    </row>
    <row r="9" spans="2:13" x14ac:dyDescent="0.2">
      <c r="B9" s="155"/>
      <c r="C9" s="155"/>
      <c r="D9" s="155"/>
      <c r="E9" s="155"/>
      <c r="F9" s="155"/>
      <c r="G9" s="155"/>
      <c r="H9" s="155"/>
      <c r="I9" s="155"/>
      <c r="J9" s="155"/>
      <c r="K9" s="155"/>
      <c r="L9" s="155"/>
      <c r="M9" s="155"/>
    </row>
    <row r="10" spans="2:13" x14ac:dyDescent="0.2">
      <c r="B10" s="155"/>
      <c r="C10" s="155"/>
      <c r="D10" s="155"/>
      <c r="E10" s="155"/>
      <c r="F10" s="155"/>
      <c r="G10" s="155"/>
      <c r="H10" s="155"/>
      <c r="I10" s="155"/>
      <c r="J10" s="155"/>
      <c r="K10" s="155"/>
      <c r="L10" s="155"/>
      <c r="M10" s="155"/>
    </row>
    <row r="11" spans="2:13" x14ac:dyDescent="0.2">
      <c r="B11" s="155"/>
      <c r="C11" s="155"/>
      <c r="D11" s="155"/>
      <c r="E11" s="155"/>
      <c r="F11" s="155"/>
      <c r="G11" s="155"/>
      <c r="H11" s="155"/>
      <c r="I11" s="155"/>
      <c r="J11" s="155"/>
      <c r="K11" s="155"/>
      <c r="L11" s="155"/>
      <c r="M11" s="155"/>
    </row>
    <row r="12" spans="2:13" x14ac:dyDescent="0.2">
      <c r="B12" s="155"/>
      <c r="C12" s="155"/>
      <c r="D12" s="155"/>
      <c r="E12" s="155"/>
      <c r="F12" s="155"/>
      <c r="G12" s="155"/>
      <c r="H12" s="155"/>
      <c r="I12" s="155"/>
      <c r="J12" s="155"/>
      <c r="K12" s="155"/>
      <c r="L12" s="155"/>
      <c r="M12" s="155"/>
    </row>
    <row r="13" spans="2:13" x14ac:dyDescent="0.2">
      <c r="B13" s="155"/>
      <c r="C13" s="155"/>
      <c r="D13" s="155"/>
      <c r="E13" s="155"/>
      <c r="F13" s="155"/>
      <c r="G13" s="155"/>
      <c r="H13" s="155"/>
      <c r="I13" s="155"/>
      <c r="J13" s="155"/>
      <c r="K13" s="155"/>
      <c r="L13" s="155"/>
      <c r="M13" s="155"/>
    </row>
    <row r="14" spans="2:13" x14ac:dyDescent="0.2">
      <c r="B14" s="155"/>
      <c r="C14" s="155"/>
      <c r="D14" s="155"/>
      <c r="E14" s="155"/>
      <c r="F14" s="155"/>
      <c r="G14" s="155"/>
      <c r="H14" s="155"/>
      <c r="I14" s="155"/>
      <c r="J14" s="155"/>
      <c r="K14" s="155"/>
      <c r="L14" s="155"/>
      <c r="M14" s="155"/>
    </row>
    <row r="15" spans="2:13" x14ac:dyDescent="0.2">
      <c r="B15" s="155"/>
      <c r="C15" s="155"/>
      <c r="D15" s="155"/>
      <c r="E15" s="155"/>
      <c r="F15" s="155"/>
      <c r="G15" s="155"/>
      <c r="H15" s="155"/>
      <c r="I15" s="155"/>
      <c r="J15" s="155"/>
      <c r="K15" s="155"/>
      <c r="L15" s="155"/>
      <c r="M15" s="155"/>
    </row>
    <row r="16" spans="2:13" x14ac:dyDescent="0.2">
      <c r="B16" s="155"/>
      <c r="C16" s="155"/>
      <c r="D16" s="155"/>
      <c r="E16" s="155"/>
      <c r="F16" s="155"/>
      <c r="G16" s="155"/>
      <c r="H16" s="155"/>
      <c r="I16" s="155"/>
      <c r="J16" s="155"/>
      <c r="K16" s="155"/>
      <c r="L16" s="155"/>
      <c r="M16" s="155"/>
    </row>
    <row r="17" spans="2:13" x14ac:dyDescent="0.2">
      <c r="B17" s="155"/>
      <c r="C17" s="155"/>
      <c r="D17" s="155"/>
      <c r="E17" s="155"/>
      <c r="F17" s="155"/>
      <c r="G17" s="155"/>
      <c r="H17" s="155"/>
      <c r="I17" s="155"/>
      <c r="J17" s="155"/>
      <c r="K17" s="155"/>
      <c r="L17" s="155"/>
      <c r="M17" s="155"/>
    </row>
    <row r="18" spans="2:13" x14ac:dyDescent="0.2">
      <c r="B18" s="155"/>
      <c r="C18" s="155"/>
      <c r="D18" s="155"/>
      <c r="E18" s="155"/>
      <c r="F18" s="155"/>
      <c r="G18" s="155"/>
      <c r="H18" s="155"/>
      <c r="I18" s="155"/>
      <c r="J18" s="155"/>
      <c r="K18" s="155"/>
      <c r="L18" s="155"/>
      <c r="M18" s="155"/>
    </row>
    <row r="19" spans="2:13" x14ac:dyDescent="0.2">
      <c r="B19" s="155"/>
      <c r="C19" s="155"/>
      <c r="D19" s="155"/>
      <c r="E19" s="155"/>
      <c r="F19" s="155"/>
      <c r="G19" s="155"/>
      <c r="H19" s="155"/>
      <c r="I19" s="155"/>
      <c r="J19" s="155"/>
      <c r="K19" s="155"/>
      <c r="L19" s="155"/>
      <c r="M19" s="155"/>
    </row>
    <row r="20" spans="2:13" x14ac:dyDescent="0.2">
      <c r="B20" s="155"/>
      <c r="C20" s="155"/>
      <c r="D20" s="155"/>
      <c r="E20" s="155"/>
      <c r="F20" s="155"/>
      <c r="G20" s="155"/>
      <c r="H20" s="155"/>
      <c r="I20" s="155"/>
      <c r="J20" s="155"/>
      <c r="K20" s="155"/>
      <c r="L20" s="155"/>
      <c r="M20" s="155"/>
    </row>
  </sheetData>
  <sheetProtection formatCells="0" formatRows="0" insertRows="0" deleteRows="0" selectLockedCells="1"/>
  <mergeCells count="1">
    <mergeCell ref="B7:M2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O26"/>
  <sheetViews>
    <sheetView showGridLines="0" zoomScale="89" zoomScaleNormal="89" workbookViewId="0">
      <selection activeCell="A6" sqref="A6:H6"/>
    </sheetView>
  </sheetViews>
  <sheetFormatPr defaultColWidth="9.33203125" defaultRowHeight="11.25" x14ac:dyDescent="0.2"/>
  <cols>
    <col min="1" max="1" width="22.83203125" style="48" customWidth="1"/>
    <col min="2" max="2" width="7.83203125" style="48" customWidth="1"/>
    <col min="3" max="8" width="31.6640625" style="48" customWidth="1"/>
    <col min="9" max="16384" width="9.33203125" style="48"/>
  </cols>
  <sheetData>
    <row r="1" spans="1:8" ht="20.25" x14ac:dyDescent="0.3">
      <c r="A1" s="163" t="s">
        <v>0</v>
      </c>
      <c r="B1" s="163"/>
      <c r="C1" s="163"/>
      <c r="D1" s="163"/>
      <c r="E1" s="163"/>
      <c r="F1" s="163"/>
      <c r="G1" s="163"/>
      <c r="H1" s="163"/>
    </row>
    <row r="2" spans="1:8" ht="12.75" x14ac:dyDescent="0.2">
      <c r="A2" s="129" t="s">
        <v>236</v>
      </c>
      <c r="B2" s="110"/>
      <c r="C2" s="110"/>
      <c r="D2" s="110"/>
      <c r="E2" s="110"/>
      <c r="F2" s="110"/>
      <c r="G2" s="110"/>
      <c r="H2" s="110"/>
    </row>
    <row r="3" spans="1:8" ht="4.5" customHeight="1" x14ac:dyDescent="0.2">
      <c r="A3" s="111"/>
      <c r="B3" s="111"/>
      <c r="C3" s="111"/>
      <c r="D3" s="111"/>
      <c r="E3" s="111"/>
      <c r="F3" s="111"/>
      <c r="G3" s="111"/>
      <c r="H3" s="111"/>
    </row>
    <row r="4" spans="1:8" ht="12.75" x14ac:dyDescent="0.2">
      <c r="A4" s="110" t="s">
        <v>1</v>
      </c>
      <c r="B4" s="110"/>
      <c r="C4" s="110"/>
      <c r="D4" s="110"/>
      <c r="E4" s="110"/>
      <c r="F4" s="110"/>
      <c r="G4" s="110"/>
      <c r="H4" s="110"/>
    </row>
    <row r="5" spans="1:8" ht="4.5" customHeight="1" x14ac:dyDescent="0.2">
      <c r="A5" s="111"/>
      <c r="B5" s="111"/>
      <c r="C5" s="111"/>
      <c r="D5" s="111"/>
      <c r="E5" s="111"/>
      <c r="F5" s="111"/>
      <c r="G5" s="111"/>
      <c r="H5" s="111"/>
    </row>
    <row r="6" spans="1:8" ht="31.5" customHeight="1" x14ac:dyDescent="0.2">
      <c r="A6" s="159" t="s">
        <v>2</v>
      </c>
      <c r="B6" s="159"/>
      <c r="C6" s="159"/>
      <c r="D6" s="159"/>
      <c r="E6" s="159"/>
      <c r="F6" s="159"/>
      <c r="G6" s="159"/>
      <c r="H6" s="159"/>
    </row>
    <row r="7" spans="1:8" ht="53.45" customHeight="1" x14ac:dyDescent="0.2">
      <c r="A7" s="159" t="s">
        <v>229</v>
      </c>
      <c r="B7" s="159"/>
      <c r="C7" s="159"/>
      <c r="D7" s="159"/>
      <c r="E7" s="159"/>
      <c r="F7" s="159"/>
      <c r="G7" s="159"/>
      <c r="H7" s="159"/>
    </row>
    <row r="8" spans="1:8" ht="4.5" customHeight="1" x14ac:dyDescent="0.2">
      <c r="A8" s="111"/>
      <c r="B8" s="111"/>
      <c r="C8" s="111"/>
      <c r="D8" s="111"/>
      <c r="E8" s="111"/>
      <c r="F8" s="111"/>
      <c r="G8" s="111"/>
      <c r="H8" s="111"/>
    </row>
    <row r="9" spans="1:8" ht="12.75" x14ac:dyDescent="0.2">
      <c r="A9" s="142"/>
      <c r="B9" s="143"/>
      <c r="C9" s="111"/>
      <c r="D9" s="111"/>
      <c r="E9" s="111"/>
      <c r="F9" s="111"/>
      <c r="G9" s="111"/>
      <c r="H9" s="111"/>
    </row>
    <row r="10" spans="1:8" ht="12.75" x14ac:dyDescent="0.2">
      <c r="A10" s="125" t="s">
        <v>5</v>
      </c>
      <c r="B10" s="111"/>
      <c r="C10" s="111"/>
      <c r="D10" s="111"/>
      <c r="E10" s="111"/>
      <c r="F10" s="111"/>
      <c r="G10" s="111"/>
      <c r="H10" s="111"/>
    </row>
    <row r="11" spans="1:8" ht="4.5" customHeight="1" x14ac:dyDescent="0.2">
      <c r="A11" s="112"/>
      <c r="B11" s="111"/>
      <c r="C11" s="111"/>
      <c r="D11" s="111"/>
      <c r="E11" s="111"/>
      <c r="F11" s="111"/>
      <c r="G11" s="111"/>
      <c r="H11" s="111"/>
    </row>
    <row r="12" spans="1:8" ht="26.25" customHeight="1" x14ac:dyDescent="0.2">
      <c r="A12" s="160" t="s">
        <v>6</v>
      </c>
      <c r="B12" s="156" t="s">
        <v>7</v>
      </c>
      <c r="C12" s="157"/>
      <c r="D12" s="157"/>
      <c r="E12" s="157"/>
      <c r="F12" s="157"/>
      <c r="G12" s="157"/>
      <c r="H12" s="158"/>
    </row>
    <row r="13" spans="1:8" ht="51.75" customHeight="1" x14ac:dyDescent="0.2">
      <c r="A13" s="161"/>
      <c r="B13" s="156" t="s">
        <v>8</v>
      </c>
      <c r="C13" s="157"/>
      <c r="D13" s="157"/>
      <c r="E13" s="157"/>
      <c r="F13" s="157"/>
      <c r="G13" s="157"/>
      <c r="H13" s="158"/>
    </row>
    <row r="14" spans="1:8" ht="39.75" customHeight="1" x14ac:dyDescent="0.2">
      <c r="A14" s="161"/>
      <c r="B14" s="156" t="s">
        <v>9</v>
      </c>
      <c r="C14" s="157"/>
      <c r="D14" s="157"/>
      <c r="E14" s="157"/>
      <c r="F14" s="157"/>
      <c r="G14" s="157"/>
      <c r="H14" s="158"/>
    </row>
    <row r="15" spans="1:8" ht="39.75" customHeight="1" x14ac:dyDescent="0.2">
      <c r="A15" s="162"/>
      <c r="B15" s="156" t="s">
        <v>10</v>
      </c>
      <c r="C15" s="157"/>
      <c r="D15" s="157"/>
      <c r="E15" s="157"/>
      <c r="F15" s="157"/>
      <c r="G15" s="157"/>
      <c r="H15" s="158"/>
    </row>
    <row r="16" spans="1:8" ht="65.25" customHeight="1" x14ac:dyDescent="0.2">
      <c r="A16" s="160" t="s">
        <v>11</v>
      </c>
      <c r="B16" s="156" t="s">
        <v>12</v>
      </c>
      <c r="C16" s="157"/>
      <c r="D16" s="157"/>
      <c r="E16" s="157"/>
      <c r="F16" s="157"/>
      <c r="G16" s="157"/>
      <c r="H16" s="158"/>
    </row>
    <row r="17" spans="1:15" ht="69.75" customHeight="1" x14ac:dyDescent="0.2">
      <c r="A17" s="162"/>
      <c r="B17" s="156" t="s">
        <v>13</v>
      </c>
      <c r="C17" s="157"/>
      <c r="D17" s="157"/>
      <c r="E17" s="157"/>
      <c r="F17" s="157"/>
      <c r="G17" s="157"/>
      <c r="H17" s="158"/>
    </row>
    <row r="18" spans="1:15" ht="177.95" customHeight="1" x14ac:dyDescent="0.2">
      <c r="A18" s="160" t="s">
        <v>14</v>
      </c>
      <c r="B18" s="156" t="s">
        <v>15</v>
      </c>
      <c r="C18" s="157"/>
      <c r="D18" s="157"/>
      <c r="E18" s="157"/>
      <c r="F18" s="157"/>
      <c r="G18" s="157"/>
      <c r="H18" s="158"/>
      <c r="J18"/>
      <c r="K18"/>
      <c r="L18"/>
      <c r="M18"/>
      <c r="N18"/>
      <c r="O18"/>
    </row>
    <row r="19" spans="1:15" ht="217.5" customHeight="1" x14ac:dyDescent="0.2">
      <c r="A19" s="161"/>
      <c r="B19" s="156" t="s">
        <v>16</v>
      </c>
      <c r="C19" s="157"/>
      <c r="D19" s="157"/>
      <c r="E19" s="157"/>
      <c r="F19" s="157"/>
      <c r="G19" s="157"/>
      <c r="H19" s="158"/>
    </row>
    <row r="20" spans="1:15" ht="73.5" customHeight="1" x14ac:dyDescent="0.2">
      <c r="A20" s="161"/>
      <c r="B20" s="156" t="s">
        <v>17</v>
      </c>
      <c r="C20" s="157"/>
      <c r="D20" s="157"/>
      <c r="E20" s="157"/>
      <c r="F20" s="157"/>
      <c r="G20" s="157"/>
      <c r="H20" s="158"/>
    </row>
    <row r="21" spans="1:15" ht="173.1" customHeight="1" x14ac:dyDescent="0.2">
      <c r="A21" s="161"/>
      <c r="B21" s="156" t="s">
        <v>233</v>
      </c>
      <c r="C21" s="157"/>
      <c r="D21" s="157"/>
      <c r="E21" s="157"/>
      <c r="F21" s="157"/>
      <c r="G21" s="157"/>
      <c r="H21" s="158"/>
    </row>
    <row r="22" spans="1:15" ht="245.45" customHeight="1" x14ac:dyDescent="0.2">
      <c r="A22" s="161"/>
      <c r="B22" s="156" t="s">
        <v>18</v>
      </c>
      <c r="C22" s="157"/>
      <c r="D22" s="157"/>
      <c r="E22" s="157"/>
      <c r="F22" s="157"/>
      <c r="G22" s="157"/>
      <c r="H22" s="158"/>
    </row>
    <row r="23" spans="1:15" ht="116.25" customHeight="1" x14ac:dyDescent="0.2">
      <c r="A23" s="161"/>
      <c r="B23" s="156" t="s">
        <v>19</v>
      </c>
      <c r="C23" s="157"/>
      <c r="D23" s="157"/>
      <c r="E23" s="157"/>
      <c r="F23" s="157"/>
      <c r="G23" s="157"/>
      <c r="H23" s="158"/>
      <c r="I23" s="130"/>
    </row>
    <row r="24" spans="1:15" ht="136.5" customHeight="1" x14ac:dyDescent="0.2">
      <c r="A24" s="162"/>
      <c r="B24" s="156" t="s">
        <v>235</v>
      </c>
      <c r="C24" s="157"/>
      <c r="D24" s="157"/>
      <c r="E24" s="157"/>
      <c r="F24" s="157"/>
      <c r="G24" s="157"/>
      <c r="H24" s="158"/>
      <c r="I24" s="130"/>
    </row>
    <row r="25" spans="1:15" ht="41.25" customHeight="1" x14ac:dyDescent="0.2">
      <c r="A25" s="160" t="s">
        <v>20</v>
      </c>
      <c r="B25" s="156" t="s">
        <v>21</v>
      </c>
      <c r="C25" s="157"/>
      <c r="D25" s="157"/>
      <c r="E25" s="157"/>
      <c r="F25" s="157"/>
      <c r="G25" s="157"/>
      <c r="H25" s="158"/>
    </row>
    <row r="26" spans="1:15" ht="42.75" customHeight="1" x14ac:dyDescent="0.2">
      <c r="A26" s="162"/>
      <c r="B26" s="156" t="s">
        <v>22</v>
      </c>
      <c r="C26" s="157"/>
      <c r="D26" s="157"/>
      <c r="E26" s="157"/>
      <c r="F26" s="157"/>
      <c r="G26" s="157"/>
      <c r="H26" s="158"/>
    </row>
  </sheetData>
  <mergeCells count="22">
    <mergeCell ref="A1:H1"/>
    <mergeCell ref="B21:H21"/>
    <mergeCell ref="B19:H19"/>
    <mergeCell ref="B25:H25"/>
    <mergeCell ref="B26:H26"/>
    <mergeCell ref="A16:A17"/>
    <mergeCell ref="B17:H17"/>
    <mergeCell ref="A25:A26"/>
    <mergeCell ref="B18:H18"/>
    <mergeCell ref="B23:H23"/>
    <mergeCell ref="B22:H22"/>
    <mergeCell ref="B20:H20"/>
    <mergeCell ref="A6:H6"/>
    <mergeCell ref="B12:H12"/>
    <mergeCell ref="B13:H13"/>
    <mergeCell ref="A18:A24"/>
    <mergeCell ref="B24:H24"/>
    <mergeCell ref="B14:H14"/>
    <mergeCell ref="B16:H16"/>
    <mergeCell ref="A7:H7"/>
    <mergeCell ref="A12:A15"/>
    <mergeCell ref="B15:H15"/>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Data_Input">
    <pageSetUpPr autoPageBreaks="0"/>
  </sheetPr>
  <dimension ref="A1:K141"/>
  <sheetViews>
    <sheetView showGridLines="0" workbookViewId="0">
      <pane xSplit="4" ySplit="12" topLeftCell="F13" activePane="bottomRight" state="frozen"/>
      <selection pane="topRight" activeCell="E1" sqref="E1"/>
      <selection pane="bottomLeft" activeCell="A13" sqref="A13"/>
      <selection pane="bottomRight" activeCell="F13" sqref="F13"/>
    </sheetView>
  </sheetViews>
  <sheetFormatPr defaultColWidth="9.33203125" defaultRowHeight="11.25" x14ac:dyDescent="0.2"/>
  <cols>
    <col min="1" max="2" width="3.83203125" customWidth="1"/>
    <col min="3" max="3" width="40.83203125" customWidth="1"/>
    <col min="4" max="4" width="25.83203125" customWidth="1"/>
    <col min="5" max="5" width="2.83203125" hidden="1" customWidth="1"/>
    <col min="6" max="9" width="15.83203125" customWidth="1"/>
    <col min="11" max="11" width="25.83203125" hidden="1" customWidth="1"/>
  </cols>
  <sheetData>
    <row r="1" spans="1:11" x14ac:dyDescent="0.2">
      <c r="B1" s="48"/>
      <c r="J1" s="48"/>
    </row>
    <row r="2" spans="1:11" ht="15.75" x14ac:dyDescent="0.25">
      <c r="B2" s="48"/>
      <c r="C2" s="1" t="str">
        <f>_sheetContentTranslation_A_19</f>
        <v>Data input</v>
      </c>
      <c r="J2" s="48"/>
    </row>
    <row r="3" spans="1:11" x14ac:dyDescent="0.2">
      <c r="B3" s="48"/>
      <c r="J3" s="48"/>
    </row>
    <row r="4" spans="1:11" ht="15.75" customHeight="1" x14ac:dyDescent="0.2">
      <c r="B4" s="48"/>
      <c r="C4" s="135" t="str">
        <f>_sheetContentTranslation_A_33</f>
        <v>Name of group</v>
      </c>
      <c r="D4" s="148"/>
      <c r="J4" s="48"/>
    </row>
    <row r="5" spans="1:11" ht="15.75" customHeight="1" x14ac:dyDescent="0.2">
      <c r="B5" s="48"/>
      <c r="C5" s="135" t="str">
        <f>_sheetContentTranslation_A_34</f>
        <v>Group period-end date</v>
      </c>
      <c r="D5" s="149"/>
      <c r="J5" s="48"/>
    </row>
    <row r="6" spans="1:11" ht="12.75" x14ac:dyDescent="0.2">
      <c r="B6" s="48"/>
      <c r="D6" s="124" t="str">
        <f>_sheetContentTranslation_A_35</f>
        <v>+</v>
      </c>
      <c r="J6" s="48"/>
      <c r="K6" s="124" t="str">
        <f>_sheetContentTranslation_A_35</f>
        <v>+</v>
      </c>
    </row>
    <row r="7" spans="1:11" ht="12.75" x14ac:dyDescent="0.2">
      <c r="B7" s="48"/>
      <c r="D7" s="137"/>
      <c r="J7" s="48"/>
      <c r="K7" s="137" t="str">
        <f>_sheetContentTranslation_A_36</f>
        <v>x</v>
      </c>
    </row>
    <row r="8" spans="1:11" x14ac:dyDescent="0.2">
      <c r="B8" s="48"/>
      <c r="C8" s="138" t="str">
        <f>_sheetContentTranslation_A_37</f>
        <v>Component reference</v>
      </c>
      <c r="D8" s="2">
        <v>1</v>
      </c>
      <c r="E8">
        <f>D8+1</f>
        <v>2</v>
      </c>
      <c r="F8" s="165" t="str">
        <f>_sheetContentTranslation_A_38</f>
        <v>Consolidated total (prior to adjustments and eliminations)</v>
      </c>
      <c r="G8" s="165" t="str">
        <f>_sheetContentTranslation_A_39</f>
        <v>Adjustments</v>
      </c>
      <c r="H8" s="164" t="str">
        <f>_sheetContentTranslation_A_40</f>
        <v>Eliminations</v>
      </c>
      <c r="I8" s="165" t="str">
        <f>_sheetContentTranslation_A_41</f>
        <v>Consolidated total</v>
      </c>
      <c r="J8" s="48"/>
      <c r="K8" s="2"/>
    </row>
    <row r="9" spans="1:11" ht="15.75" customHeight="1" x14ac:dyDescent="0.2">
      <c r="B9" s="48"/>
      <c r="C9" s="138" t="str">
        <f>_sheetContentTranslation_A_42</f>
        <v>Component name</v>
      </c>
      <c r="D9" s="132"/>
      <c r="F9" s="165"/>
      <c r="G9" s="165"/>
      <c r="H9" s="164"/>
      <c r="I9" s="165"/>
      <c r="J9" s="48"/>
      <c r="K9" s="132"/>
    </row>
    <row r="10" spans="1:11" ht="15" customHeight="1" x14ac:dyDescent="0.2">
      <c r="B10" s="48"/>
      <c r="C10" s="138" t="str">
        <f>_sheetContentTranslation_A_43</f>
        <v>Component type</v>
      </c>
      <c r="D10" s="132"/>
      <c r="F10" s="165"/>
      <c r="G10" s="165"/>
      <c r="H10" s="164"/>
      <c r="I10" s="165"/>
      <c r="J10" s="48"/>
      <c r="K10" s="132"/>
    </row>
    <row r="11" spans="1:11" ht="23.25" customHeight="1" x14ac:dyDescent="0.2">
      <c r="B11" s="48"/>
      <c r="C11" s="139" t="str">
        <f>_sheetContentTranslation_A_44</f>
        <v>Purpose for component scoping 
(from Scoping input worksheet)</v>
      </c>
      <c r="D11" s="2" t="str">
        <f>IFERROR(IF(INDEX('Scoping input'!$B$11:$L$13,MATCH('Data input'!D$8,'Scoping input'!$B$11:$B$15,0),MATCH(_sheetContentTranslation_A_149,'Scoping input'!$B$11:$L$11,0))="","",INDEX('Scoping input'!$B$11:$L$13,MATCH('Data input'!D$8,'Scoping input'!$B$11:$B$15,0),MATCH(_sheetContentTranslation_A_149,'Scoping input'!$B$11:$L$11,0))),"")</f>
        <v/>
      </c>
      <c r="F11" s="165"/>
      <c r="G11" s="165"/>
      <c r="H11" s="164"/>
      <c r="I11" s="165"/>
      <c r="J11" s="48"/>
      <c r="K11" s="2" t="str">
        <f>IFERROR(IF(INDEX('Scoping input'!$B$11:$L$13,MATCH('Data input'!K$8,'Scoping input'!$B$11:$B$15,0),MATCH(_sheetContentTranslation_A_149,'Scoping input'!$B$11:$L$11,0))="","",INDEX('Scoping input'!$B$11:$L$13,MATCH('Data input'!K$8,'Scoping input'!$B$11:$B$15,0),MATCH(_sheetContentTranslation_A_149,'Scoping input'!$B$11:$L$11,0))),"")</f>
        <v/>
      </c>
    </row>
    <row r="12" spans="1:11" ht="34.5" customHeight="1" x14ac:dyDescent="0.2">
      <c r="B12" s="48"/>
      <c r="C12" s="139" t="str">
        <f>_sheetContentTranslation_A_45</f>
        <v>Type of work to be performed
(from Scoping input worksheet)</v>
      </c>
      <c r="D12" s="2" t="str">
        <f>IFERROR(IF(INDEX('Scoping input'!$B$11:$L$13,MATCH('Data input'!D$8,'Scoping input'!$B$11:$B$15,0),MATCH(_sheetContentTranslation_A_150,'Scoping input'!$B$11:$L$11,0))="","",INDEX('Scoping input'!$B$11:$L$13,MATCH('Data input'!D$8,'Scoping input'!$B$11:$B$15,0),MATCH(_sheetContentTranslation_A_150,'Scoping input'!$B$11:$L$11,0))),"")</f>
        <v/>
      </c>
      <c r="F12" s="165"/>
      <c r="G12" s="165"/>
      <c r="H12" s="164"/>
      <c r="I12" s="165"/>
      <c r="J12" s="48"/>
      <c r="K12" s="2" t="str">
        <f>IFERROR(IF(INDEX('Scoping input'!$B$11:$L$13,MATCH('Data input'!K$8,'Scoping input'!$B$11:$B$15,0),MATCH(_sheetContentTranslation_A_150,'Scoping input'!$B$11:$L$11,0))="","",INDEX('Scoping input'!$B$11:$L$13,MATCH('Data input'!K$8,'Scoping input'!$B$11:$B$15,0),MATCH(_sheetContentTranslation_A_150,'Scoping input'!$B$11:$L$11,0))),"")</f>
        <v/>
      </c>
    </row>
    <row r="13" spans="1:11" ht="16.5" thickBot="1" x14ac:dyDescent="0.25">
      <c r="B13" s="48"/>
      <c r="C13" s="24" t="str">
        <f>_sheetContentTranslation_A_46</f>
        <v>Balance sheet</v>
      </c>
      <c r="D13" s="25"/>
      <c r="F13" s="25"/>
      <c r="G13" s="25"/>
      <c r="H13" s="25"/>
      <c r="I13" s="26"/>
      <c r="J13" s="27"/>
      <c r="K13" s="28"/>
    </row>
    <row r="14" spans="1:11" x14ac:dyDescent="0.2">
      <c r="B14" s="48"/>
      <c r="C14" s="29"/>
      <c r="D14" s="30"/>
      <c r="F14" s="30"/>
      <c r="G14" s="30"/>
      <c r="H14" s="30"/>
      <c r="I14" s="30"/>
      <c r="J14" s="27"/>
      <c r="K14" s="30"/>
    </row>
    <row r="15" spans="1:11" x14ac:dyDescent="0.2">
      <c r="C15" s="31" t="str">
        <f>_sheetContentTranslation_A_47</f>
        <v>Current assets</v>
      </c>
      <c r="D15" s="32"/>
      <c r="F15" s="32"/>
      <c r="G15" s="32"/>
      <c r="H15" s="32"/>
      <c r="I15" s="58"/>
      <c r="J15" s="27"/>
      <c r="K15" s="32"/>
    </row>
    <row r="16" spans="1:11" ht="12.75" x14ac:dyDescent="0.2">
      <c r="A16" s="124" t="str">
        <f t="shared" ref="A16:A24" si="0">_sheetContentTranslation_A_35</f>
        <v>+</v>
      </c>
      <c r="B16" s="137" t="str">
        <f t="shared" ref="B16:B47" si="1">_sheetContentTranslation_A_36</f>
        <v>x</v>
      </c>
      <c r="C16" s="33" t="str">
        <f>_sheetContentTranslation_A_48</f>
        <v>Cash and cash equivalents</v>
      </c>
      <c r="D16" s="32"/>
      <c r="F16" s="32">
        <f t="shared" ref="F16:F24" si="2">SUM(D16:E16)</f>
        <v>0</v>
      </c>
      <c r="G16" s="32"/>
      <c r="H16" s="32"/>
      <c r="I16" s="58">
        <f t="shared" ref="I16:I24" si="3">SUM(F16:H16)</f>
        <v>0</v>
      </c>
      <c r="J16" s="27"/>
      <c r="K16" s="32"/>
    </row>
    <row r="17" spans="1:11" ht="12.75" x14ac:dyDescent="0.2">
      <c r="A17" s="124" t="str">
        <f t="shared" si="0"/>
        <v>+</v>
      </c>
      <c r="B17" s="137" t="str">
        <f t="shared" si="1"/>
        <v>x</v>
      </c>
      <c r="C17" s="33" t="str">
        <f>_sheetContentTranslation_A_49</f>
        <v>Restricted cash</v>
      </c>
      <c r="D17" s="32"/>
      <c r="F17" s="32">
        <f t="shared" si="2"/>
        <v>0</v>
      </c>
      <c r="G17" s="32"/>
      <c r="H17" s="32"/>
      <c r="I17" s="58">
        <f t="shared" si="3"/>
        <v>0</v>
      </c>
      <c r="J17" s="27"/>
      <c r="K17" s="32"/>
    </row>
    <row r="18" spans="1:11" ht="12.75" x14ac:dyDescent="0.2">
      <c r="A18" s="124" t="str">
        <f t="shared" si="0"/>
        <v>+</v>
      </c>
      <c r="B18" s="137" t="str">
        <f t="shared" si="1"/>
        <v>x</v>
      </c>
      <c r="C18" s="33" t="str">
        <f>_sheetContentTranslation_A_50</f>
        <v>Marketable securities at fair value</v>
      </c>
      <c r="D18" s="34"/>
      <c r="F18" s="32">
        <f t="shared" si="2"/>
        <v>0</v>
      </c>
      <c r="G18" s="34"/>
      <c r="H18" s="34"/>
      <c r="I18" s="58">
        <f t="shared" si="3"/>
        <v>0</v>
      </c>
      <c r="J18" s="27"/>
      <c r="K18" s="34"/>
    </row>
    <row r="19" spans="1:11" ht="12.75" x14ac:dyDescent="0.2">
      <c r="A19" s="124" t="str">
        <f t="shared" si="0"/>
        <v>+</v>
      </c>
      <c r="B19" s="137" t="str">
        <f t="shared" si="1"/>
        <v>x</v>
      </c>
      <c r="C19" s="33" t="str">
        <f>_sheetContentTranslation_A_51</f>
        <v>Accounts receivable, net</v>
      </c>
      <c r="D19" s="34"/>
      <c r="F19" s="32">
        <f t="shared" si="2"/>
        <v>0</v>
      </c>
      <c r="G19" s="34"/>
      <c r="H19" s="34"/>
      <c r="I19" s="58">
        <f t="shared" si="3"/>
        <v>0</v>
      </c>
      <c r="J19" s="27"/>
      <c r="K19" s="34"/>
    </row>
    <row r="20" spans="1:11" ht="12.75" x14ac:dyDescent="0.2">
      <c r="A20" s="124" t="str">
        <f t="shared" si="0"/>
        <v>+</v>
      </c>
      <c r="B20" s="137" t="str">
        <f t="shared" si="1"/>
        <v>x</v>
      </c>
      <c r="C20" s="33" t="str">
        <f>_sheetContentTranslation_A_52</f>
        <v>Investment in leased property, net</v>
      </c>
      <c r="D20" s="34"/>
      <c r="F20" s="32">
        <f t="shared" si="2"/>
        <v>0</v>
      </c>
      <c r="G20" s="34"/>
      <c r="H20" s="34"/>
      <c r="I20" s="58">
        <f t="shared" si="3"/>
        <v>0</v>
      </c>
      <c r="J20" s="27"/>
      <c r="K20" s="34"/>
    </row>
    <row r="21" spans="1:11" ht="12.75" x14ac:dyDescent="0.2">
      <c r="A21" s="124" t="str">
        <f t="shared" si="0"/>
        <v>+</v>
      </c>
      <c r="B21" s="137" t="str">
        <f t="shared" si="1"/>
        <v>x</v>
      </c>
      <c r="C21" s="33" t="str">
        <f>_sheetContentTranslation_A_53</f>
        <v>Inventories</v>
      </c>
      <c r="D21" s="34"/>
      <c r="F21" s="32">
        <f t="shared" si="2"/>
        <v>0</v>
      </c>
      <c r="G21" s="34"/>
      <c r="H21" s="34"/>
      <c r="I21" s="58">
        <f t="shared" si="3"/>
        <v>0</v>
      </c>
      <c r="J21" s="27"/>
      <c r="K21" s="34"/>
    </row>
    <row r="22" spans="1:11" ht="12.75" x14ac:dyDescent="0.2">
      <c r="A22" s="124" t="str">
        <f t="shared" si="0"/>
        <v>+</v>
      </c>
      <c r="B22" s="137" t="str">
        <f t="shared" si="1"/>
        <v>x</v>
      </c>
      <c r="C22" s="33" t="str">
        <f>_sheetContentTranslation_A_54</f>
        <v>Prepaid expenses</v>
      </c>
      <c r="D22" s="34"/>
      <c r="F22" s="32">
        <f t="shared" si="2"/>
        <v>0</v>
      </c>
      <c r="G22" s="34"/>
      <c r="H22" s="34"/>
      <c r="I22" s="58">
        <f t="shared" si="3"/>
        <v>0</v>
      </c>
      <c r="J22" s="27"/>
      <c r="K22" s="34"/>
    </row>
    <row r="23" spans="1:11" ht="11.25" customHeight="1" x14ac:dyDescent="0.2">
      <c r="A23" s="124" t="str">
        <f t="shared" si="0"/>
        <v>+</v>
      </c>
      <c r="B23" s="137" t="str">
        <f t="shared" si="1"/>
        <v>x</v>
      </c>
      <c r="C23" s="33" t="str">
        <f>_sheetContentTranslation_A_55</f>
        <v>Contract assets</v>
      </c>
      <c r="D23" s="34"/>
      <c r="F23" s="32">
        <f t="shared" si="2"/>
        <v>0</v>
      </c>
      <c r="G23" s="34"/>
      <c r="H23" s="34"/>
      <c r="I23" s="58">
        <f t="shared" si="3"/>
        <v>0</v>
      </c>
      <c r="J23" s="27"/>
      <c r="K23" s="34"/>
    </row>
    <row r="24" spans="1:11" ht="11.25" customHeight="1" x14ac:dyDescent="0.2">
      <c r="A24" s="124" t="str">
        <f t="shared" si="0"/>
        <v>+</v>
      </c>
      <c r="B24" s="137" t="str">
        <f t="shared" si="1"/>
        <v>x</v>
      </c>
      <c r="C24" s="33" t="str">
        <f>_sheetContentTranslation_A_56</f>
        <v>Other current assets</v>
      </c>
      <c r="D24" s="34"/>
      <c r="F24" s="32">
        <f t="shared" si="2"/>
        <v>0</v>
      </c>
      <c r="G24" s="34"/>
      <c r="H24" s="34"/>
      <c r="I24" s="58">
        <f t="shared" si="3"/>
        <v>0</v>
      </c>
      <c r="J24" s="27"/>
      <c r="K24" s="34"/>
    </row>
    <row r="25" spans="1:11" ht="12" hidden="1" customHeight="1" x14ac:dyDescent="0.2">
      <c r="B25" s="102" t="str">
        <f t="shared" si="1"/>
        <v>x</v>
      </c>
      <c r="C25" s="13" t="str">
        <f>_sheetContentTranslation_A_57</f>
        <v>Intentionally hidden</v>
      </c>
      <c r="D25" s="7"/>
      <c r="F25" s="7"/>
      <c r="G25" s="7"/>
      <c r="H25" s="7"/>
      <c r="I25" s="7"/>
      <c r="J25" s="27"/>
      <c r="K25" s="7"/>
    </row>
    <row r="26" spans="1:11" ht="12.75" x14ac:dyDescent="0.2">
      <c r="A26" s="124" t="str">
        <f t="shared" ref="A26:A39" si="4">_sheetContentTranslation_A_35</f>
        <v>+</v>
      </c>
      <c r="B26" s="137" t="str">
        <f t="shared" si="1"/>
        <v>x</v>
      </c>
      <c r="C26" s="35" t="str">
        <f>_sheetContentTranslation_A_58</f>
        <v>Total current assets</v>
      </c>
      <c r="D26" s="36">
        <f>SUM(D15:D25)</f>
        <v>0</v>
      </c>
      <c r="F26" s="36">
        <f>SUM(F15:F25)</f>
        <v>0</v>
      </c>
      <c r="G26" s="36">
        <f>SUM(G15:G25)</f>
        <v>0</v>
      </c>
      <c r="H26" s="36">
        <f>SUM(H15:H25)</f>
        <v>0</v>
      </c>
      <c r="I26" s="36">
        <f>SUM(I15:I25)</f>
        <v>0</v>
      </c>
      <c r="J26" s="27"/>
      <c r="K26" s="36">
        <f>SUM(K15:K25)</f>
        <v>0</v>
      </c>
    </row>
    <row r="27" spans="1:11" ht="12.75" x14ac:dyDescent="0.2">
      <c r="A27" s="124" t="str">
        <f t="shared" si="4"/>
        <v>+</v>
      </c>
      <c r="B27" s="137" t="str">
        <f t="shared" si="1"/>
        <v>x</v>
      </c>
      <c r="C27" s="29"/>
      <c r="D27" s="30"/>
      <c r="F27" s="30"/>
      <c r="G27" s="30"/>
      <c r="H27" s="30"/>
      <c r="I27" s="30"/>
      <c r="J27" s="27"/>
      <c r="K27" s="30"/>
    </row>
    <row r="28" spans="1:11" ht="12.75" x14ac:dyDescent="0.2">
      <c r="A28" s="124" t="str">
        <f t="shared" si="4"/>
        <v>+</v>
      </c>
      <c r="B28" s="137" t="str">
        <f t="shared" si="1"/>
        <v>x</v>
      </c>
      <c r="C28" s="33" t="str">
        <f>_sheetContentTranslation_A_59</f>
        <v>Debt and equity securities</v>
      </c>
      <c r="D28" s="34"/>
      <c r="F28" s="32">
        <f t="shared" ref="F28:F39" si="5">SUM(D28:E28)</f>
        <v>0</v>
      </c>
      <c r="G28" s="34"/>
      <c r="H28" s="34"/>
      <c r="I28" s="58">
        <f t="shared" ref="I28:I39" si="6">SUM(F28:H28)</f>
        <v>0</v>
      </c>
      <c r="J28" s="27"/>
      <c r="K28" s="34"/>
    </row>
    <row r="29" spans="1:11" ht="12.75" x14ac:dyDescent="0.2">
      <c r="A29" s="124" t="str">
        <f t="shared" si="4"/>
        <v>+</v>
      </c>
      <c r="B29" s="137" t="str">
        <f t="shared" si="1"/>
        <v>x</v>
      </c>
      <c r="C29" s="33" t="str">
        <f>_sheetContentTranslation_A_60</f>
        <v>Other investments</v>
      </c>
      <c r="D29" s="34"/>
      <c r="F29" s="32">
        <f t="shared" si="5"/>
        <v>0</v>
      </c>
      <c r="G29" s="34"/>
      <c r="H29" s="34"/>
      <c r="I29" s="58">
        <f t="shared" si="6"/>
        <v>0</v>
      </c>
      <c r="J29" s="27"/>
      <c r="K29" s="34"/>
    </row>
    <row r="30" spans="1:11" ht="12.75" x14ac:dyDescent="0.2">
      <c r="A30" s="124" t="str">
        <f t="shared" si="4"/>
        <v>+</v>
      </c>
      <c r="B30" s="137" t="str">
        <f t="shared" si="1"/>
        <v>x</v>
      </c>
      <c r="C30" s="33" t="str">
        <f>_sheetContentTranslation_A_61</f>
        <v>Derivative assets</v>
      </c>
      <c r="D30" s="34"/>
      <c r="F30" s="32">
        <f t="shared" si="5"/>
        <v>0</v>
      </c>
      <c r="G30" s="34"/>
      <c r="H30" s="34"/>
      <c r="I30" s="58">
        <f t="shared" si="6"/>
        <v>0</v>
      </c>
      <c r="J30" s="27"/>
      <c r="K30" s="34"/>
    </row>
    <row r="31" spans="1:11" ht="12.75" x14ac:dyDescent="0.2">
      <c r="A31" s="124" t="str">
        <f t="shared" si="4"/>
        <v>+</v>
      </c>
      <c r="B31" s="137" t="str">
        <f t="shared" si="1"/>
        <v>x</v>
      </c>
      <c r="C31" s="33" t="str">
        <f>_sheetContentTranslation_A_62</f>
        <v>Deferred income tax assets, noncurrent</v>
      </c>
      <c r="D31" s="34"/>
      <c r="F31" s="32">
        <f t="shared" si="5"/>
        <v>0</v>
      </c>
      <c r="G31" s="34"/>
      <c r="H31" s="34"/>
      <c r="I31" s="58">
        <f t="shared" si="6"/>
        <v>0</v>
      </c>
      <c r="J31" s="27"/>
      <c r="K31" s="34"/>
    </row>
    <row r="32" spans="1:11" ht="12.75" x14ac:dyDescent="0.2">
      <c r="A32" s="124" t="str">
        <f t="shared" si="4"/>
        <v>+</v>
      </c>
      <c r="B32" s="137" t="str">
        <f t="shared" si="1"/>
        <v>x</v>
      </c>
      <c r="C32" s="33" t="str">
        <f>_sheetContentTranslation_A_63</f>
        <v>Property, plant and equipment, net</v>
      </c>
      <c r="D32" s="34"/>
      <c r="F32" s="32">
        <f t="shared" si="5"/>
        <v>0</v>
      </c>
      <c r="G32" s="34"/>
      <c r="H32" s="34"/>
      <c r="I32" s="58">
        <f t="shared" si="6"/>
        <v>0</v>
      </c>
      <c r="J32" s="27"/>
      <c r="K32" s="34"/>
    </row>
    <row r="33" spans="1:11" ht="12.75" x14ac:dyDescent="0.2">
      <c r="A33" s="124" t="str">
        <f t="shared" si="4"/>
        <v>+</v>
      </c>
      <c r="B33" s="137" t="str">
        <f t="shared" si="1"/>
        <v>x</v>
      </c>
      <c r="C33" s="33" t="str">
        <f>_sheetContentTranslation_A_64</f>
        <v>Intangible assets, net</v>
      </c>
      <c r="D33" s="34"/>
      <c r="F33" s="32">
        <f t="shared" si="5"/>
        <v>0</v>
      </c>
      <c r="G33" s="34"/>
      <c r="H33" s="34"/>
      <c r="I33" s="58">
        <f t="shared" si="6"/>
        <v>0</v>
      </c>
      <c r="J33" s="27"/>
      <c r="K33" s="34"/>
    </row>
    <row r="34" spans="1:11" ht="12.75" x14ac:dyDescent="0.2">
      <c r="A34" s="124" t="str">
        <f t="shared" si="4"/>
        <v>+</v>
      </c>
      <c r="B34" s="137" t="str">
        <f t="shared" si="1"/>
        <v>x</v>
      </c>
      <c r="C34" s="33" t="str">
        <f>_sheetContentTranslation_A_65</f>
        <v>Goodwill</v>
      </c>
      <c r="D34" s="34"/>
      <c r="F34" s="32">
        <f t="shared" si="5"/>
        <v>0</v>
      </c>
      <c r="G34" s="34"/>
      <c r="H34" s="34"/>
      <c r="I34" s="58">
        <f t="shared" si="6"/>
        <v>0</v>
      </c>
      <c r="J34" s="27"/>
      <c r="K34" s="34"/>
    </row>
    <row r="35" spans="1:11" ht="11.25" customHeight="1" x14ac:dyDescent="0.2">
      <c r="A35" s="124" t="str">
        <f t="shared" si="4"/>
        <v>+</v>
      </c>
      <c r="B35" s="137" t="str">
        <f t="shared" si="1"/>
        <v>x</v>
      </c>
      <c r="C35" s="33" t="str">
        <f>_sheetContentTranslation_A_66</f>
        <v>Assets of businesses held for sale</v>
      </c>
      <c r="D35" s="34"/>
      <c r="F35" s="32">
        <f t="shared" si="5"/>
        <v>0</v>
      </c>
      <c r="G35" s="34"/>
      <c r="H35" s="34"/>
      <c r="I35" s="58">
        <f>SUM(F35:H35)</f>
        <v>0</v>
      </c>
      <c r="J35" s="27"/>
      <c r="K35" s="34"/>
    </row>
    <row r="36" spans="1:11" ht="12.75" x14ac:dyDescent="0.2">
      <c r="A36" s="124" t="str">
        <f t="shared" si="4"/>
        <v>+</v>
      </c>
      <c r="B36" s="137" t="str">
        <f t="shared" si="1"/>
        <v>x</v>
      </c>
      <c r="C36" s="33" t="str">
        <f>_sheetContentTranslation_A_67</f>
        <v>Assets of discontinued operations</v>
      </c>
      <c r="D36" s="34"/>
      <c r="F36" s="32">
        <f t="shared" si="5"/>
        <v>0</v>
      </c>
      <c r="G36" s="34"/>
      <c r="H36" s="34"/>
      <c r="I36" s="58">
        <f t="shared" si="6"/>
        <v>0</v>
      </c>
      <c r="J36" s="27"/>
      <c r="K36" s="34"/>
    </row>
    <row r="37" spans="1:11" ht="12.75" x14ac:dyDescent="0.2">
      <c r="A37" s="124" t="str">
        <f t="shared" si="4"/>
        <v>+</v>
      </c>
      <c r="B37" s="137" t="str">
        <f t="shared" si="1"/>
        <v>x</v>
      </c>
      <c r="C37" s="33" t="str">
        <f>_sheetContentTranslation_A_68</f>
        <v>Related party receivables, noncurrent</v>
      </c>
      <c r="D37" s="34"/>
      <c r="F37" s="32">
        <f t="shared" si="5"/>
        <v>0</v>
      </c>
      <c r="G37" s="34"/>
      <c r="H37" s="34"/>
      <c r="I37" s="58">
        <f t="shared" si="6"/>
        <v>0</v>
      </c>
      <c r="J37" s="27"/>
      <c r="K37" s="34"/>
    </row>
    <row r="38" spans="1:11" ht="12.75" x14ac:dyDescent="0.2">
      <c r="A38" s="124" t="str">
        <f t="shared" si="4"/>
        <v>+</v>
      </c>
      <c r="B38" s="137" t="str">
        <f t="shared" si="1"/>
        <v>x</v>
      </c>
      <c r="C38" s="33" t="str">
        <f>_sheetContentTranslation_A_69</f>
        <v>Investments in subsidiaries</v>
      </c>
      <c r="D38" s="34"/>
      <c r="F38" s="32">
        <f t="shared" si="5"/>
        <v>0</v>
      </c>
      <c r="G38" s="34"/>
      <c r="H38" s="34"/>
      <c r="I38" s="58">
        <f t="shared" si="6"/>
        <v>0</v>
      </c>
      <c r="J38" s="27"/>
      <c r="K38" s="34"/>
    </row>
    <row r="39" spans="1:11" ht="12.75" x14ac:dyDescent="0.2">
      <c r="A39" s="124" t="str">
        <f t="shared" si="4"/>
        <v>+</v>
      </c>
      <c r="B39" s="137" t="str">
        <f t="shared" si="1"/>
        <v>x</v>
      </c>
      <c r="C39" s="33" t="str">
        <f>_sheetContentTranslation_A_70</f>
        <v>Other assets</v>
      </c>
      <c r="D39" s="34"/>
      <c r="F39" s="32">
        <f t="shared" si="5"/>
        <v>0</v>
      </c>
      <c r="G39" s="34"/>
      <c r="H39" s="34"/>
      <c r="I39" s="58">
        <f t="shared" si="6"/>
        <v>0</v>
      </c>
      <c r="J39" s="27"/>
      <c r="K39" s="34"/>
    </row>
    <row r="40" spans="1:11" hidden="1" x14ac:dyDescent="0.2">
      <c r="B40" s="102" t="str">
        <f t="shared" si="1"/>
        <v>x</v>
      </c>
      <c r="C40" s="13" t="str">
        <f>_sheetContentTranslation_A_57</f>
        <v>Intentionally hidden</v>
      </c>
      <c r="D40" s="7"/>
      <c r="F40" s="7"/>
      <c r="G40" s="7"/>
      <c r="H40" s="7"/>
      <c r="I40" s="7"/>
      <c r="J40" s="27"/>
      <c r="K40" s="7"/>
    </row>
    <row r="41" spans="1:11" ht="15" customHeight="1" x14ac:dyDescent="0.2">
      <c r="A41" s="124" t="str">
        <f t="shared" ref="A41:A55" si="7">_sheetContentTranslation_A_35</f>
        <v>+</v>
      </c>
      <c r="B41" s="137" t="str">
        <f t="shared" si="1"/>
        <v>x</v>
      </c>
      <c r="C41" s="37" t="str">
        <f>_sheetContentTranslation_A_71</f>
        <v>Total assets</v>
      </c>
      <c r="D41" s="38">
        <f t="shared" ref="D41" si="8">SUM(D26:D40)</f>
        <v>0</v>
      </c>
      <c r="F41" s="38">
        <f>SUM(F26:F40)</f>
        <v>0</v>
      </c>
      <c r="G41" s="38">
        <f>SUM(G26:G40)</f>
        <v>0</v>
      </c>
      <c r="H41" s="38">
        <f>SUM(H26:H40)</f>
        <v>0</v>
      </c>
      <c r="I41" s="38">
        <f>SUM(I26:I40)</f>
        <v>0</v>
      </c>
      <c r="J41" s="27"/>
      <c r="K41" s="38">
        <f>SUM(K26:K40)</f>
        <v>0</v>
      </c>
    </row>
    <row r="42" spans="1:11" ht="12.75" x14ac:dyDescent="0.2">
      <c r="A42" s="124" t="str">
        <f t="shared" si="7"/>
        <v>+</v>
      </c>
      <c r="B42" s="137" t="str">
        <f t="shared" si="1"/>
        <v>x</v>
      </c>
      <c r="C42" s="29"/>
      <c r="D42" s="30"/>
      <c r="F42" s="30"/>
      <c r="G42" s="30"/>
      <c r="H42" s="30"/>
      <c r="I42" s="30"/>
      <c r="J42" s="27"/>
      <c r="K42" s="30"/>
    </row>
    <row r="43" spans="1:11" ht="12.75" x14ac:dyDescent="0.2">
      <c r="A43" s="124" t="str">
        <f t="shared" si="7"/>
        <v>+</v>
      </c>
      <c r="B43" s="137" t="str">
        <f t="shared" si="1"/>
        <v>x</v>
      </c>
      <c r="C43" s="31" t="str">
        <f>_sheetContentTranslation_A_72</f>
        <v>Liabilities and stockholders' equity</v>
      </c>
      <c r="D43" s="34"/>
      <c r="F43" s="34"/>
      <c r="G43" s="34"/>
      <c r="H43" s="34"/>
      <c r="I43" s="34"/>
      <c r="J43" s="27"/>
      <c r="K43" s="34"/>
    </row>
    <row r="44" spans="1:11" ht="12.75" x14ac:dyDescent="0.2">
      <c r="A44" s="124" t="str">
        <f t="shared" si="7"/>
        <v>+</v>
      </c>
      <c r="B44" s="137" t="str">
        <f t="shared" si="1"/>
        <v>x</v>
      </c>
      <c r="C44" s="31" t="str">
        <f>_sheetContentTranslation_A_73</f>
        <v>Liabilities</v>
      </c>
      <c r="D44" s="34"/>
      <c r="F44" s="34"/>
      <c r="G44" s="34"/>
      <c r="H44" s="34"/>
      <c r="I44" s="34"/>
      <c r="J44" s="27"/>
      <c r="K44" s="34"/>
    </row>
    <row r="45" spans="1:11" ht="12.75" x14ac:dyDescent="0.2">
      <c r="A45" s="124" t="str">
        <f t="shared" si="7"/>
        <v>+</v>
      </c>
      <c r="B45" s="137" t="str">
        <f t="shared" si="1"/>
        <v>x</v>
      </c>
      <c r="C45" s="31" t="str">
        <f>_sheetContentTranslation_A_74</f>
        <v>Current liabilities</v>
      </c>
      <c r="D45" s="34"/>
      <c r="F45" s="34"/>
      <c r="G45" s="34"/>
      <c r="H45" s="34"/>
      <c r="I45" s="34"/>
      <c r="J45" s="27"/>
      <c r="K45" s="34"/>
    </row>
    <row r="46" spans="1:11" ht="12.75" x14ac:dyDescent="0.2">
      <c r="A46" s="124" t="str">
        <f t="shared" si="7"/>
        <v>+</v>
      </c>
      <c r="B46" s="137" t="str">
        <f t="shared" si="1"/>
        <v>x</v>
      </c>
      <c r="C46" s="33" t="str">
        <f>_sheetContentTranslation_A_75</f>
        <v>Accounts payable</v>
      </c>
      <c r="D46" s="34"/>
      <c r="F46" s="32">
        <f t="shared" ref="F46:F55" si="9">SUM(D46:E46)</f>
        <v>0</v>
      </c>
      <c r="G46" s="34"/>
      <c r="H46" s="34"/>
      <c r="I46" s="58">
        <f t="shared" ref="I46:I55" si="10">SUM(F46:H46)</f>
        <v>0</v>
      </c>
      <c r="J46" s="27"/>
      <c r="K46" s="34"/>
    </row>
    <row r="47" spans="1:11" ht="12.75" x14ac:dyDescent="0.2">
      <c r="A47" s="124" t="str">
        <f t="shared" si="7"/>
        <v>+</v>
      </c>
      <c r="B47" s="137" t="str">
        <f t="shared" si="1"/>
        <v>x</v>
      </c>
      <c r="C47" s="33" t="str">
        <f>_sheetContentTranslation_A_76</f>
        <v>Accrued expenses</v>
      </c>
      <c r="D47" s="34"/>
      <c r="F47" s="32">
        <f t="shared" si="9"/>
        <v>0</v>
      </c>
      <c r="G47" s="34"/>
      <c r="H47" s="34"/>
      <c r="I47" s="58">
        <f t="shared" si="10"/>
        <v>0</v>
      </c>
      <c r="J47" s="27"/>
      <c r="K47" s="34"/>
    </row>
    <row r="48" spans="1:11" ht="12.75" x14ac:dyDescent="0.2">
      <c r="A48" s="124" t="str">
        <f t="shared" si="7"/>
        <v>+</v>
      </c>
      <c r="B48" s="137" t="str">
        <f t="shared" ref="B48:B79" si="11">_sheetContentTranslation_A_36</f>
        <v>x</v>
      </c>
      <c r="C48" s="33" t="str">
        <f>_sheetContentTranslation_A_77</f>
        <v>Current portion of long-term debt</v>
      </c>
      <c r="D48" s="34"/>
      <c r="F48" s="32">
        <f t="shared" si="9"/>
        <v>0</v>
      </c>
      <c r="G48" s="34"/>
      <c r="H48" s="34"/>
      <c r="I48" s="58">
        <f t="shared" si="10"/>
        <v>0</v>
      </c>
      <c r="J48" s="27"/>
      <c r="K48" s="34"/>
    </row>
    <row r="49" spans="1:11" ht="12.75" x14ac:dyDescent="0.2">
      <c r="A49" s="124" t="str">
        <f t="shared" si="7"/>
        <v>+</v>
      </c>
      <c r="B49" s="137" t="str">
        <f t="shared" si="11"/>
        <v>x</v>
      </c>
      <c r="C49" s="33" t="str">
        <f>_sheetContentTranslation_A_78</f>
        <v>Capital lease obligations, current</v>
      </c>
      <c r="D49" s="34"/>
      <c r="F49" s="32">
        <f t="shared" si="9"/>
        <v>0</v>
      </c>
      <c r="G49" s="34"/>
      <c r="H49" s="34"/>
      <c r="I49" s="58">
        <f t="shared" si="10"/>
        <v>0</v>
      </c>
      <c r="J49" s="27"/>
      <c r="K49" s="34"/>
    </row>
    <row r="50" spans="1:11" ht="12.75" x14ac:dyDescent="0.2">
      <c r="A50" s="124" t="str">
        <f t="shared" si="7"/>
        <v>+</v>
      </c>
      <c r="B50" s="137" t="str">
        <f t="shared" si="11"/>
        <v>x</v>
      </c>
      <c r="C50" s="33" t="str">
        <f>_sheetContentTranslation_A_79</f>
        <v>Income taxes payable</v>
      </c>
      <c r="D50" s="34"/>
      <c r="F50" s="32">
        <f t="shared" si="9"/>
        <v>0</v>
      </c>
      <c r="G50" s="34"/>
      <c r="H50" s="34"/>
      <c r="I50" s="58">
        <f t="shared" si="10"/>
        <v>0</v>
      </c>
      <c r="J50" s="27"/>
      <c r="K50" s="34"/>
    </row>
    <row r="51" spans="1:11" ht="12.75" x14ac:dyDescent="0.2">
      <c r="A51" s="124" t="str">
        <f t="shared" si="7"/>
        <v>+</v>
      </c>
      <c r="B51" s="137" t="str">
        <f t="shared" si="11"/>
        <v>x</v>
      </c>
      <c r="C51" s="33" t="str">
        <f>_sheetContentTranslation_A_80</f>
        <v>Derivative liabilities</v>
      </c>
      <c r="D51" s="34"/>
      <c r="F51" s="32">
        <f t="shared" si="9"/>
        <v>0</v>
      </c>
      <c r="G51" s="34"/>
      <c r="H51" s="34"/>
      <c r="I51" s="58">
        <f t="shared" si="10"/>
        <v>0</v>
      </c>
      <c r="J51" s="27"/>
      <c r="K51" s="34"/>
    </row>
    <row r="52" spans="1:11" ht="12.75" x14ac:dyDescent="0.2">
      <c r="A52" s="124" t="str">
        <f t="shared" si="7"/>
        <v>+</v>
      </c>
      <c r="B52" s="137" t="str">
        <f t="shared" si="11"/>
        <v>x</v>
      </c>
      <c r="C52" s="33" t="str">
        <f>_sheetContentTranslation_A_81</f>
        <v>Deferred credits, current</v>
      </c>
      <c r="D52" s="34"/>
      <c r="F52" s="32">
        <f t="shared" si="9"/>
        <v>0</v>
      </c>
      <c r="G52" s="34"/>
      <c r="H52" s="34"/>
      <c r="I52" s="58">
        <f t="shared" si="10"/>
        <v>0</v>
      </c>
      <c r="J52" s="27"/>
      <c r="K52" s="34"/>
    </row>
    <row r="53" spans="1:11" ht="12.75" x14ac:dyDescent="0.2">
      <c r="A53" s="124" t="str">
        <f t="shared" si="7"/>
        <v>+</v>
      </c>
      <c r="B53" s="137" t="str">
        <f t="shared" si="11"/>
        <v>x</v>
      </c>
      <c r="C53" s="33" t="str">
        <f>_sheetContentTranslation_A_82</f>
        <v>Dividends payable</v>
      </c>
      <c r="D53" s="34"/>
      <c r="F53" s="32">
        <f t="shared" si="9"/>
        <v>0</v>
      </c>
      <c r="G53" s="34"/>
      <c r="H53" s="34"/>
      <c r="I53" s="58">
        <f t="shared" si="10"/>
        <v>0</v>
      </c>
      <c r="J53" s="27"/>
      <c r="K53" s="34"/>
    </row>
    <row r="54" spans="1:11" ht="12.75" x14ac:dyDescent="0.2">
      <c r="A54" s="124" t="str">
        <f t="shared" si="7"/>
        <v>+</v>
      </c>
      <c r="B54" s="137" t="str">
        <f t="shared" si="11"/>
        <v>x</v>
      </c>
      <c r="C54" s="33" t="str">
        <f>_sheetContentTranslation_A_83</f>
        <v>Contract liabilities</v>
      </c>
      <c r="D54" s="34"/>
      <c r="F54" s="32">
        <f t="shared" si="9"/>
        <v>0</v>
      </c>
      <c r="G54" s="34"/>
      <c r="H54" s="34"/>
      <c r="I54" s="58">
        <f t="shared" si="10"/>
        <v>0</v>
      </c>
      <c r="J54" s="27"/>
      <c r="K54" s="34"/>
    </row>
    <row r="55" spans="1:11" ht="12.75" x14ac:dyDescent="0.2">
      <c r="A55" s="124" t="str">
        <f t="shared" si="7"/>
        <v>+</v>
      </c>
      <c r="B55" s="137" t="str">
        <f t="shared" si="11"/>
        <v>x</v>
      </c>
      <c r="C55" s="33" t="str">
        <f>_sheetContentTranslation_A_84</f>
        <v>Other current liabilities</v>
      </c>
      <c r="D55" s="34"/>
      <c r="F55" s="32">
        <f t="shared" si="9"/>
        <v>0</v>
      </c>
      <c r="G55" s="34"/>
      <c r="H55" s="34"/>
      <c r="I55" s="58">
        <f t="shared" si="10"/>
        <v>0</v>
      </c>
      <c r="J55" s="27"/>
      <c r="K55" s="34"/>
    </row>
    <row r="56" spans="1:11" hidden="1" x14ac:dyDescent="0.2">
      <c r="B56" s="102" t="str">
        <f t="shared" si="11"/>
        <v>x</v>
      </c>
      <c r="C56" s="13" t="str">
        <f>_sheetContentTranslation_A_57</f>
        <v>Intentionally hidden</v>
      </c>
      <c r="D56" s="7"/>
      <c r="F56" s="7"/>
      <c r="G56" s="7"/>
      <c r="H56" s="7"/>
      <c r="I56" s="7"/>
      <c r="J56" s="27"/>
      <c r="K56" s="7"/>
    </row>
    <row r="57" spans="1:11" ht="12.75" x14ac:dyDescent="0.2">
      <c r="A57" s="124" t="str">
        <f t="shared" ref="A57:A67" si="12">_sheetContentTranslation_A_35</f>
        <v>+</v>
      </c>
      <c r="B57" s="137" t="str">
        <f t="shared" si="11"/>
        <v>x</v>
      </c>
      <c r="C57" s="35" t="str">
        <f>_sheetContentTranslation_A_85</f>
        <v>Total current liabilities</v>
      </c>
      <c r="D57" s="36">
        <f t="shared" ref="D57:I57" si="13">SUM(D45:D56)</f>
        <v>0</v>
      </c>
      <c r="F57" s="36">
        <f>SUM(F45:F56)</f>
        <v>0</v>
      </c>
      <c r="G57" s="36">
        <f t="shared" si="13"/>
        <v>0</v>
      </c>
      <c r="H57" s="36">
        <f t="shared" si="13"/>
        <v>0</v>
      </c>
      <c r="I57" s="36">
        <f t="shared" si="13"/>
        <v>0</v>
      </c>
      <c r="J57" s="27"/>
      <c r="K57" s="36">
        <f>SUM(K45:K56)</f>
        <v>0</v>
      </c>
    </row>
    <row r="58" spans="1:11" ht="12.75" x14ac:dyDescent="0.2">
      <c r="A58" s="124" t="str">
        <f t="shared" si="12"/>
        <v>+</v>
      </c>
      <c r="B58" s="137" t="str">
        <f t="shared" si="11"/>
        <v>x</v>
      </c>
      <c r="C58" s="33"/>
      <c r="D58" s="34"/>
      <c r="F58" s="34"/>
      <c r="G58" s="34"/>
      <c r="H58" s="34"/>
      <c r="I58" s="34"/>
      <c r="J58" s="27"/>
      <c r="K58" s="34"/>
    </row>
    <row r="59" spans="1:11" ht="12.75" x14ac:dyDescent="0.2">
      <c r="A59" s="124" t="str">
        <f t="shared" si="12"/>
        <v>+</v>
      </c>
      <c r="B59" s="137" t="str">
        <f t="shared" si="11"/>
        <v>x</v>
      </c>
      <c r="C59" s="33" t="str">
        <f>_sheetContentTranslation_A_86</f>
        <v>Long-term debt, net</v>
      </c>
      <c r="D59" s="34"/>
      <c r="F59" s="32">
        <f t="shared" ref="F59:F67" si="14">SUM(D59:E59)</f>
        <v>0</v>
      </c>
      <c r="G59" s="34"/>
      <c r="H59" s="34"/>
      <c r="I59" s="58">
        <f t="shared" ref="I59:I67" si="15">SUM(F59:H59)</f>
        <v>0</v>
      </c>
      <c r="J59" s="27"/>
      <c r="K59" s="34"/>
    </row>
    <row r="60" spans="1:11" ht="12.75" x14ac:dyDescent="0.2">
      <c r="A60" s="124" t="str">
        <f t="shared" si="12"/>
        <v>+</v>
      </c>
      <c r="B60" s="137" t="str">
        <f t="shared" si="11"/>
        <v>x</v>
      </c>
      <c r="C60" s="33" t="str">
        <f>_sheetContentTranslation_A_87</f>
        <v>Capital lease obligations, noncurrent</v>
      </c>
      <c r="D60" s="34"/>
      <c r="F60" s="32">
        <f t="shared" si="14"/>
        <v>0</v>
      </c>
      <c r="G60" s="34"/>
      <c r="H60" s="34"/>
      <c r="I60" s="58">
        <f t="shared" si="15"/>
        <v>0</v>
      </c>
      <c r="J60" s="27"/>
      <c r="K60" s="34"/>
    </row>
    <row r="61" spans="1:11" ht="12.75" x14ac:dyDescent="0.2">
      <c r="A61" s="124" t="str">
        <f t="shared" si="12"/>
        <v>+</v>
      </c>
      <c r="B61" s="137" t="str">
        <f t="shared" si="11"/>
        <v>x</v>
      </c>
      <c r="C61" s="33" t="str">
        <f>_sheetContentTranslation_A_88</f>
        <v>Due to related parties, noncurrent</v>
      </c>
      <c r="D61" s="34"/>
      <c r="F61" s="32">
        <f t="shared" si="14"/>
        <v>0</v>
      </c>
      <c r="G61" s="34"/>
      <c r="H61" s="34"/>
      <c r="I61" s="58">
        <f t="shared" si="15"/>
        <v>0</v>
      </c>
      <c r="J61" s="27"/>
      <c r="K61" s="34"/>
    </row>
    <row r="62" spans="1:11" ht="12.75" x14ac:dyDescent="0.2">
      <c r="A62" s="124" t="str">
        <f t="shared" si="12"/>
        <v>+</v>
      </c>
      <c r="B62" s="137" t="str">
        <f t="shared" si="11"/>
        <v>x</v>
      </c>
      <c r="C62" s="33" t="str">
        <f>_sheetContentTranslation_A_89</f>
        <v>Employee benefit plan obligations</v>
      </c>
      <c r="D62" s="34"/>
      <c r="F62" s="32">
        <f t="shared" si="14"/>
        <v>0</v>
      </c>
      <c r="G62" s="34"/>
      <c r="H62" s="34"/>
      <c r="I62" s="58">
        <f t="shared" si="15"/>
        <v>0</v>
      </c>
      <c r="J62" s="27"/>
      <c r="K62" s="34"/>
    </row>
    <row r="63" spans="1:11" ht="12.75" x14ac:dyDescent="0.2">
      <c r="A63" s="124" t="str">
        <f t="shared" si="12"/>
        <v>+</v>
      </c>
      <c r="B63" s="137" t="str">
        <f t="shared" si="11"/>
        <v>x</v>
      </c>
      <c r="C63" s="33" t="str">
        <f>_sheetContentTranslation_A_90</f>
        <v>Deferred credits, noncurrent</v>
      </c>
      <c r="D63" s="34"/>
      <c r="F63" s="32">
        <f t="shared" si="14"/>
        <v>0</v>
      </c>
      <c r="G63" s="34"/>
      <c r="H63" s="34"/>
      <c r="I63" s="58">
        <f t="shared" si="15"/>
        <v>0</v>
      </c>
      <c r="J63" s="27"/>
      <c r="K63" s="34"/>
    </row>
    <row r="64" spans="1:11" ht="12.75" x14ac:dyDescent="0.2">
      <c r="A64" s="124" t="str">
        <f t="shared" si="12"/>
        <v>+</v>
      </c>
      <c r="B64" s="137" t="str">
        <f t="shared" si="11"/>
        <v>x</v>
      </c>
      <c r="C64" s="33" t="str">
        <f>_sheetContentTranslation_A_91</f>
        <v>Deferred tax liabilities, noncurrent</v>
      </c>
      <c r="D64" s="34"/>
      <c r="F64" s="32">
        <f t="shared" si="14"/>
        <v>0</v>
      </c>
      <c r="G64" s="34"/>
      <c r="H64" s="34"/>
      <c r="I64" s="58">
        <f t="shared" si="15"/>
        <v>0</v>
      </c>
      <c r="J64" s="27"/>
      <c r="K64" s="34"/>
    </row>
    <row r="65" spans="1:11" ht="11.25" customHeight="1" x14ac:dyDescent="0.2">
      <c r="A65" s="124" t="str">
        <f t="shared" si="12"/>
        <v>+</v>
      </c>
      <c r="B65" s="137" t="str">
        <f t="shared" si="11"/>
        <v>x</v>
      </c>
      <c r="C65" s="33" t="str">
        <f>_sheetContentTranslation_A_92</f>
        <v>Liabilities of businesses held for sale</v>
      </c>
      <c r="D65" s="34"/>
      <c r="F65" s="32">
        <f t="shared" si="14"/>
        <v>0</v>
      </c>
      <c r="G65" s="34"/>
      <c r="H65" s="34"/>
      <c r="I65" s="58">
        <f>SUM(F65:H65)</f>
        <v>0</v>
      </c>
      <c r="J65" s="27"/>
      <c r="K65" s="34"/>
    </row>
    <row r="66" spans="1:11" ht="12.75" x14ac:dyDescent="0.2">
      <c r="A66" s="124" t="str">
        <f t="shared" si="12"/>
        <v>+</v>
      </c>
      <c r="B66" s="137" t="str">
        <f t="shared" si="11"/>
        <v>x</v>
      </c>
      <c r="C66" s="33" t="str">
        <f>_sheetContentTranslation_A_93</f>
        <v>Liabilities of discontinued operations</v>
      </c>
      <c r="D66" s="34"/>
      <c r="F66" s="32">
        <f t="shared" si="14"/>
        <v>0</v>
      </c>
      <c r="G66" s="34"/>
      <c r="H66" s="34"/>
      <c r="I66" s="58">
        <f t="shared" si="15"/>
        <v>0</v>
      </c>
      <c r="J66" s="27"/>
      <c r="K66" s="34"/>
    </row>
    <row r="67" spans="1:11" ht="12.75" x14ac:dyDescent="0.2">
      <c r="A67" s="124" t="str">
        <f t="shared" si="12"/>
        <v>+</v>
      </c>
      <c r="B67" s="137" t="str">
        <f t="shared" si="11"/>
        <v>x</v>
      </c>
      <c r="C67" s="33" t="str">
        <f>_sheetContentTranslation_A_94</f>
        <v>Other liabilities</v>
      </c>
      <c r="D67" s="34"/>
      <c r="F67" s="32">
        <f t="shared" si="14"/>
        <v>0</v>
      </c>
      <c r="G67" s="34"/>
      <c r="H67" s="34"/>
      <c r="I67" s="58">
        <f t="shared" si="15"/>
        <v>0</v>
      </c>
      <c r="J67" s="27"/>
      <c r="K67" s="34"/>
    </row>
    <row r="68" spans="1:11" hidden="1" x14ac:dyDescent="0.2">
      <c r="B68" s="102" t="str">
        <f t="shared" si="11"/>
        <v>x</v>
      </c>
      <c r="C68" s="13" t="str">
        <f>_sheetContentTranslation_A_57</f>
        <v>Intentionally hidden</v>
      </c>
      <c r="D68" s="7"/>
      <c r="F68" s="7"/>
      <c r="G68" s="7"/>
      <c r="H68" s="7"/>
      <c r="I68" s="7"/>
      <c r="J68" s="27"/>
      <c r="K68" s="7"/>
    </row>
    <row r="69" spans="1:11" ht="12.75" x14ac:dyDescent="0.2">
      <c r="A69" s="124" t="str">
        <f t="shared" ref="A69:A77" si="16">_sheetContentTranslation_A_35</f>
        <v>+</v>
      </c>
      <c r="B69" s="137" t="str">
        <f t="shared" si="11"/>
        <v>x</v>
      </c>
      <c r="C69" s="37" t="str">
        <f>_sheetContentTranslation_A_95</f>
        <v>Total liabilities</v>
      </c>
      <c r="D69" s="38">
        <f t="shared" ref="D69" si="17">SUM(D57:D68)</f>
        <v>0</v>
      </c>
      <c r="F69" s="38">
        <f>SUM(F57:F68)</f>
        <v>0</v>
      </c>
      <c r="G69" s="38">
        <f>SUM(G57:G68)</f>
        <v>0</v>
      </c>
      <c r="H69" s="38">
        <f>SUM(H57:H68)</f>
        <v>0</v>
      </c>
      <c r="I69" s="38">
        <f>SUM(I57:I68)</f>
        <v>0</v>
      </c>
      <c r="J69" s="27"/>
      <c r="K69" s="38">
        <f>SUM(K57:K68)</f>
        <v>0</v>
      </c>
    </row>
    <row r="70" spans="1:11" ht="12.75" x14ac:dyDescent="0.2">
      <c r="A70" s="124" t="str">
        <f t="shared" si="16"/>
        <v>+</v>
      </c>
      <c r="B70" s="137" t="str">
        <f t="shared" si="11"/>
        <v>x</v>
      </c>
      <c r="C70" s="29"/>
      <c r="D70" s="30"/>
      <c r="F70" s="30"/>
      <c r="G70" s="30"/>
      <c r="H70" s="30"/>
      <c r="I70" s="30"/>
      <c r="J70" s="27"/>
      <c r="K70" s="30"/>
    </row>
    <row r="71" spans="1:11" ht="12.75" x14ac:dyDescent="0.2">
      <c r="A71" s="124" t="str">
        <f t="shared" si="16"/>
        <v>+</v>
      </c>
      <c r="B71" s="137" t="str">
        <f t="shared" si="11"/>
        <v>x</v>
      </c>
      <c r="C71" s="31" t="str">
        <f>_sheetContentTranslation_A_96</f>
        <v>Stockholders' equity</v>
      </c>
      <c r="D71" s="34"/>
      <c r="F71" s="34"/>
      <c r="G71" s="34"/>
      <c r="H71" s="34"/>
      <c r="I71" s="34"/>
      <c r="J71" s="27"/>
      <c r="K71" s="34"/>
    </row>
    <row r="72" spans="1:11" ht="12.75" x14ac:dyDescent="0.2">
      <c r="A72" s="124" t="str">
        <f t="shared" si="16"/>
        <v>+</v>
      </c>
      <c r="B72" s="137" t="str">
        <f t="shared" si="11"/>
        <v>x</v>
      </c>
      <c r="C72" s="33" t="str">
        <f>_sheetContentTranslation_A_97</f>
        <v>Preferred stock</v>
      </c>
      <c r="D72" s="34"/>
      <c r="F72" s="32">
        <f t="shared" ref="F72:F77" si="18">SUM(D72:E72)</f>
        <v>0</v>
      </c>
      <c r="G72" s="34"/>
      <c r="H72" s="34"/>
      <c r="I72" s="58">
        <f t="shared" ref="I72:I77" si="19">SUM(F72:H72)</f>
        <v>0</v>
      </c>
      <c r="J72" s="27"/>
      <c r="K72" s="34"/>
    </row>
    <row r="73" spans="1:11" ht="12.75" x14ac:dyDescent="0.2">
      <c r="A73" s="124" t="str">
        <f t="shared" si="16"/>
        <v>+</v>
      </c>
      <c r="B73" s="137" t="str">
        <f t="shared" si="11"/>
        <v>x</v>
      </c>
      <c r="C73" s="33" t="str">
        <f>_sheetContentTranslation_A_98</f>
        <v>Common stock</v>
      </c>
      <c r="D73" s="34"/>
      <c r="F73" s="32">
        <f t="shared" si="18"/>
        <v>0</v>
      </c>
      <c r="G73" s="34"/>
      <c r="H73" s="34"/>
      <c r="I73" s="58">
        <f t="shared" si="19"/>
        <v>0</v>
      </c>
      <c r="J73" s="27"/>
      <c r="K73" s="34"/>
    </row>
    <row r="74" spans="1:11" ht="12.75" x14ac:dyDescent="0.2">
      <c r="A74" s="124" t="str">
        <f t="shared" si="16"/>
        <v>+</v>
      </c>
      <c r="B74" s="137" t="str">
        <f t="shared" si="11"/>
        <v>x</v>
      </c>
      <c r="C74" s="33" t="str">
        <f>_sheetContentTranslation_A_99</f>
        <v>Treasury stock</v>
      </c>
      <c r="D74" s="34"/>
      <c r="F74" s="32">
        <f t="shared" si="18"/>
        <v>0</v>
      </c>
      <c r="G74" s="34"/>
      <c r="H74" s="34"/>
      <c r="I74" s="58">
        <f t="shared" si="19"/>
        <v>0</v>
      </c>
      <c r="J74" s="27"/>
      <c r="K74" s="34"/>
    </row>
    <row r="75" spans="1:11" ht="12.75" x14ac:dyDescent="0.2">
      <c r="A75" s="124" t="str">
        <f t="shared" si="16"/>
        <v>+</v>
      </c>
      <c r="B75" s="137" t="str">
        <f t="shared" si="11"/>
        <v>x</v>
      </c>
      <c r="C75" s="33" t="str">
        <f>_sheetContentTranslation_A_100</f>
        <v>Additional paid-in capital</v>
      </c>
      <c r="D75" s="34"/>
      <c r="F75" s="32">
        <f t="shared" si="18"/>
        <v>0</v>
      </c>
      <c r="G75" s="34"/>
      <c r="H75" s="34"/>
      <c r="I75" s="58">
        <f t="shared" si="19"/>
        <v>0</v>
      </c>
      <c r="J75" s="27"/>
      <c r="K75" s="34"/>
    </row>
    <row r="76" spans="1:11" ht="22.5" x14ac:dyDescent="0.2">
      <c r="A76" s="124" t="str">
        <f t="shared" si="16"/>
        <v>+</v>
      </c>
      <c r="B76" s="137" t="str">
        <f t="shared" si="11"/>
        <v>x</v>
      </c>
      <c r="C76" s="33" t="str">
        <f>_sheetContentTranslation_A_101</f>
        <v>Accumulated other comprehensive income (loss)</v>
      </c>
      <c r="D76" s="34"/>
      <c r="F76" s="32">
        <f t="shared" si="18"/>
        <v>0</v>
      </c>
      <c r="G76" s="34"/>
      <c r="H76" s="34"/>
      <c r="I76" s="58">
        <f t="shared" si="19"/>
        <v>0</v>
      </c>
      <c r="J76" s="27"/>
      <c r="K76" s="34"/>
    </row>
    <row r="77" spans="1:11" ht="12.75" x14ac:dyDescent="0.2">
      <c r="A77" s="124" t="str">
        <f t="shared" si="16"/>
        <v>+</v>
      </c>
      <c r="B77" s="137" t="str">
        <f t="shared" si="11"/>
        <v>x</v>
      </c>
      <c r="C77" s="33" t="str">
        <f>_sheetContentTranslation_A_102</f>
        <v>Retained earnings</v>
      </c>
      <c r="D77" s="34"/>
      <c r="F77" s="32">
        <f t="shared" si="18"/>
        <v>0</v>
      </c>
      <c r="G77" s="34"/>
      <c r="H77" s="34"/>
      <c r="I77" s="58">
        <f t="shared" si="19"/>
        <v>0</v>
      </c>
      <c r="J77" s="27"/>
      <c r="K77" s="34"/>
    </row>
    <row r="78" spans="1:11" hidden="1" x14ac:dyDescent="0.2">
      <c r="B78" s="102" t="str">
        <f t="shared" si="11"/>
        <v>x</v>
      </c>
      <c r="C78" s="13" t="str">
        <f>_sheetContentTranslation_A_57</f>
        <v>Intentionally hidden</v>
      </c>
      <c r="D78" s="7"/>
      <c r="F78" s="7"/>
      <c r="G78" s="7"/>
      <c r="H78" s="7"/>
      <c r="I78" s="7"/>
      <c r="J78" s="27"/>
      <c r="K78" s="7"/>
    </row>
    <row r="79" spans="1:11" ht="22.5" x14ac:dyDescent="0.2">
      <c r="A79" s="124" t="str">
        <f>_sheetContentTranslation_A_35</f>
        <v>+</v>
      </c>
      <c r="B79" s="137" t="str">
        <f t="shared" si="11"/>
        <v>x</v>
      </c>
      <c r="C79" s="35" t="str">
        <f>_sheetContentTranslation_A_103</f>
        <v>Total stockholders' equity attributable to parent co stockholders</v>
      </c>
      <c r="D79" s="36">
        <f t="shared" ref="D79" si="20">SUM(D71:D78)</f>
        <v>0</v>
      </c>
      <c r="F79" s="36">
        <f>SUM(F71:F78)</f>
        <v>0</v>
      </c>
      <c r="G79" s="36">
        <f>SUM(G71:G78)</f>
        <v>0</v>
      </c>
      <c r="H79" s="36">
        <f>SUM(H71:H78)</f>
        <v>0</v>
      </c>
      <c r="I79" s="36">
        <f>SUM(I71:I78)</f>
        <v>0</v>
      </c>
      <c r="J79" s="27"/>
      <c r="K79" s="36">
        <f>SUM(K71:K78)</f>
        <v>0</v>
      </c>
    </row>
    <row r="80" spans="1:11" ht="12.75" x14ac:dyDescent="0.2">
      <c r="A80" s="124" t="str">
        <f>_sheetContentTranslation_A_35</f>
        <v>+</v>
      </c>
      <c r="B80" s="137" t="str">
        <f t="shared" ref="B80:B111" si="21">_sheetContentTranslation_A_36</f>
        <v>x</v>
      </c>
      <c r="C80" s="33"/>
      <c r="D80" s="34"/>
      <c r="F80" s="34"/>
      <c r="G80" s="34"/>
      <c r="H80" s="34"/>
      <c r="I80" s="34"/>
      <c r="J80" s="27"/>
      <c r="K80" s="34"/>
    </row>
    <row r="81" spans="1:11" ht="12.75" x14ac:dyDescent="0.2">
      <c r="A81" s="124" t="str">
        <f>_sheetContentTranslation_A_35</f>
        <v>+</v>
      </c>
      <c r="B81" s="137" t="str">
        <f t="shared" si="21"/>
        <v>x</v>
      </c>
      <c r="C81" s="33" t="str">
        <f>_sheetContentTranslation_A_104</f>
        <v>Noncontrolling interests</v>
      </c>
      <c r="D81" s="34"/>
      <c r="F81" s="32">
        <f>SUM(D81:E81)</f>
        <v>0</v>
      </c>
      <c r="G81" s="34"/>
      <c r="H81" s="34"/>
      <c r="I81" s="58">
        <f t="shared" ref="I81" si="22">SUM(F81:H81)</f>
        <v>0</v>
      </c>
      <c r="J81" s="27"/>
      <c r="K81" s="34"/>
    </row>
    <row r="82" spans="1:11" hidden="1" x14ac:dyDescent="0.2">
      <c r="B82" s="102" t="str">
        <f t="shared" si="21"/>
        <v>x</v>
      </c>
      <c r="C82" s="13" t="str">
        <f>_sheetContentTranslation_A_57</f>
        <v>Intentionally hidden</v>
      </c>
      <c r="D82" s="7"/>
      <c r="F82" s="7"/>
      <c r="G82" s="7"/>
      <c r="H82" s="7"/>
      <c r="I82" s="7"/>
      <c r="J82" s="27"/>
      <c r="K82" s="7"/>
    </row>
    <row r="83" spans="1:11" ht="15" customHeight="1" x14ac:dyDescent="0.2">
      <c r="A83" s="124" t="str">
        <f t="shared" ref="A83:A91" si="23">_sheetContentTranslation_A_35</f>
        <v>+</v>
      </c>
      <c r="B83" s="137" t="str">
        <f t="shared" si="21"/>
        <v>x</v>
      </c>
      <c r="C83" s="37" t="str">
        <f>_sheetContentTranslation_A_105</f>
        <v>Total stockholders' equity</v>
      </c>
      <c r="D83" s="38">
        <f t="shared" ref="D83" si="24">SUM(D79:D82)</f>
        <v>0</v>
      </c>
      <c r="F83" s="38">
        <f>SUM(F79:F82)</f>
        <v>0</v>
      </c>
      <c r="G83" s="38">
        <f t="shared" ref="G83" si="25">SUM(G79:G82)</f>
        <v>0</v>
      </c>
      <c r="H83" s="38">
        <f t="shared" ref="H83:I83" si="26">SUM(H79:H82)</f>
        <v>0</v>
      </c>
      <c r="I83" s="38">
        <f t="shared" si="26"/>
        <v>0</v>
      </c>
      <c r="J83" s="27"/>
      <c r="K83" s="38">
        <f>SUM(K79:K82)</f>
        <v>0</v>
      </c>
    </row>
    <row r="84" spans="1:11" ht="12.75" x14ac:dyDescent="0.2">
      <c r="A84" s="124" t="str">
        <f t="shared" si="23"/>
        <v>+</v>
      </c>
      <c r="B84" s="137" t="str">
        <f t="shared" si="21"/>
        <v>x</v>
      </c>
      <c r="C84" s="39"/>
      <c r="D84" s="40"/>
      <c r="F84" s="40"/>
      <c r="G84" s="40"/>
      <c r="H84" s="40"/>
      <c r="I84" s="40"/>
      <c r="J84" s="27"/>
      <c r="K84" s="40"/>
    </row>
    <row r="85" spans="1:11" ht="15" customHeight="1" thickBot="1" x14ac:dyDescent="0.25">
      <c r="A85" s="124" t="str">
        <f t="shared" si="23"/>
        <v>+</v>
      </c>
      <c r="B85" s="137" t="str">
        <f t="shared" si="21"/>
        <v>x</v>
      </c>
      <c r="C85" s="41" t="str">
        <f>_sheetContentTranslation_A_106</f>
        <v>Total liabilities and equity</v>
      </c>
      <c r="D85" s="42">
        <f t="shared" ref="D85" si="27">SUM(D69,D83)</f>
        <v>0</v>
      </c>
      <c r="F85" s="42">
        <f>SUM(F69,F83)</f>
        <v>0</v>
      </c>
      <c r="G85" s="42">
        <f>SUM(G69,G83)</f>
        <v>0</v>
      </c>
      <c r="H85" s="42">
        <f>SUM(H69,H83)</f>
        <v>0</v>
      </c>
      <c r="I85" s="42">
        <f>SUM(I69,I83)</f>
        <v>0</v>
      </c>
      <c r="J85" s="27"/>
      <c r="K85" s="42">
        <f>SUM(K69,K83)</f>
        <v>0</v>
      </c>
    </row>
    <row r="86" spans="1:11" ht="13.5" thickTop="1" x14ac:dyDescent="0.2">
      <c r="A86" s="124" t="str">
        <f t="shared" si="23"/>
        <v>+</v>
      </c>
      <c r="B86" s="137" t="str">
        <f t="shared" si="21"/>
        <v>x</v>
      </c>
      <c r="C86" s="114" t="str">
        <f>_sheetContentTranslation_A_107</f>
        <v>Check</v>
      </c>
      <c r="D86" s="136">
        <f>ABS(D41)-ABS(D85)</f>
        <v>0</v>
      </c>
      <c r="E86" s="115"/>
      <c r="F86" s="136">
        <f>ABS(F41)-ABS(F85)</f>
        <v>0</v>
      </c>
      <c r="G86" s="136">
        <f>ABS(G41)-ABS(G85)</f>
        <v>0</v>
      </c>
      <c r="H86" s="136">
        <f>ABS(H41)-ABS(H85)</f>
        <v>0</v>
      </c>
      <c r="I86" s="136">
        <f>ABS(I41)-ABS(I85)</f>
        <v>0</v>
      </c>
      <c r="J86" s="114"/>
      <c r="K86" s="136">
        <f>ABS(K41)-ABS(K85)</f>
        <v>0</v>
      </c>
    </row>
    <row r="87" spans="1:11" ht="12.75" x14ac:dyDescent="0.2">
      <c r="A87" s="124" t="str">
        <f t="shared" si="23"/>
        <v>+</v>
      </c>
      <c r="B87" s="137" t="str">
        <f t="shared" si="21"/>
        <v>x</v>
      </c>
      <c r="C87" s="43"/>
      <c r="D87" s="44"/>
      <c r="F87" s="44"/>
      <c r="G87" s="44"/>
      <c r="H87" s="44"/>
      <c r="I87" s="44"/>
      <c r="J87" s="27"/>
      <c r="K87" s="44"/>
    </row>
    <row r="88" spans="1:11" ht="16.5" thickBot="1" x14ac:dyDescent="0.25">
      <c r="A88" s="124" t="str">
        <f t="shared" si="23"/>
        <v>+</v>
      </c>
      <c r="B88" s="137" t="str">
        <f t="shared" si="21"/>
        <v>x</v>
      </c>
      <c r="C88" s="24" t="str">
        <f>_sheetContentTranslation_A_108</f>
        <v>Statement of operations</v>
      </c>
      <c r="D88" s="25"/>
      <c r="F88" s="25"/>
      <c r="G88" s="25"/>
      <c r="H88" s="25"/>
      <c r="I88" s="26"/>
      <c r="J88" s="27"/>
      <c r="K88" s="25"/>
    </row>
    <row r="89" spans="1:11" ht="12.75" x14ac:dyDescent="0.2">
      <c r="A89" s="124" t="str">
        <f t="shared" si="23"/>
        <v>+</v>
      </c>
      <c r="B89" s="137" t="str">
        <f t="shared" si="21"/>
        <v>x</v>
      </c>
      <c r="C89" s="33"/>
      <c r="D89" s="34"/>
      <c r="F89" s="34"/>
      <c r="G89" s="34"/>
      <c r="H89" s="34"/>
      <c r="I89" s="34"/>
      <c r="J89" s="27"/>
      <c r="K89" s="34"/>
    </row>
    <row r="90" spans="1:11" ht="11.25" customHeight="1" x14ac:dyDescent="0.2">
      <c r="A90" s="124" t="str">
        <f t="shared" si="23"/>
        <v>+</v>
      </c>
      <c r="B90" s="137" t="str">
        <f t="shared" si="21"/>
        <v>x</v>
      </c>
      <c r="C90" s="33" t="str">
        <f>_sheetContentTranslation_A_109</f>
        <v>Net sales</v>
      </c>
      <c r="D90" s="34"/>
      <c r="F90" s="32">
        <f>SUM(D90:E90)</f>
        <v>0</v>
      </c>
      <c r="G90" s="34"/>
      <c r="H90" s="34"/>
      <c r="I90" s="58">
        <f t="shared" ref="I90:I95" si="28">SUM(F90:H90)</f>
        <v>0</v>
      </c>
      <c r="J90" s="27"/>
      <c r="K90" s="34"/>
    </row>
    <row r="91" spans="1:11" ht="11.25" customHeight="1" x14ac:dyDescent="0.2">
      <c r="A91" s="124" t="str">
        <f t="shared" si="23"/>
        <v>+</v>
      </c>
      <c r="B91" s="137" t="str">
        <f t="shared" si="21"/>
        <v>x</v>
      </c>
      <c r="C91" s="33" t="str">
        <f>_sheetContentTranslation_A_110</f>
        <v>Other revenue</v>
      </c>
      <c r="D91" s="34"/>
      <c r="F91" s="32">
        <f>SUM(D91:E91)</f>
        <v>0</v>
      </c>
      <c r="G91" s="34"/>
      <c r="H91" s="34"/>
      <c r="I91" s="58">
        <f>SUM(F91:H91)</f>
        <v>0</v>
      </c>
      <c r="J91" s="27"/>
      <c r="K91" s="34"/>
    </row>
    <row r="92" spans="1:11" hidden="1" x14ac:dyDescent="0.2">
      <c r="B92" s="48" t="str">
        <f t="shared" si="21"/>
        <v>x</v>
      </c>
      <c r="C92" s="13" t="str">
        <f>_sheetContentTranslation_A_57</f>
        <v>Intentionally hidden</v>
      </c>
      <c r="D92" s="47"/>
      <c r="F92" s="47"/>
      <c r="G92" s="47"/>
      <c r="H92" s="47"/>
      <c r="I92" s="47"/>
      <c r="J92" s="27"/>
      <c r="K92" s="47"/>
    </row>
    <row r="93" spans="1:11" ht="11.25" customHeight="1" x14ac:dyDescent="0.2">
      <c r="A93" s="124" t="str">
        <f>_sheetContentTranslation_A_35</f>
        <v>+</v>
      </c>
      <c r="B93" s="137" t="str">
        <f t="shared" si="21"/>
        <v>x</v>
      </c>
      <c r="C93" s="35" t="str">
        <f>_sheetContentTranslation_A_111</f>
        <v>Total revenue</v>
      </c>
      <c r="D93" s="36">
        <f t="shared" ref="D93" si="29">SUM(D90:D92)</f>
        <v>0</v>
      </c>
      <c r="E93" s="119"/>
      <c r="F93" s="120">
        <f>SUM(F90:F92)</f>
        <v>0</v>
      </c>
      <c r="G93" s="36">
        <f t="shared" ref="G93:I93" si="30">SUM(G90:G92)</f>
        <v>0</v>
      </c>
      <c r="H93" s="36">
        <f t="shared" si="30"/>
        <v>0</v>
      </c>
      <c r="I93" s="60">
        <f t="shared" si="30"/>
        <v>0</v>
      </c>
      <c r="J93" s="27"/>
      <c r="K93" s="36">
        <f>SUM(K90:K92)</f>
        <v>0</v>
      </c>
    </row>
    <row r="94" spans="1:11" ht="11.25" customHeight="1" x14ac:dyDescent="0.2">
      <c r="A94" s="124" t="str">
        <f>_sheetContentTranslation_A_35</f>
        <v>+</v>
      </c>
      <c r="B94" s="137" t="str">
        <f t="shared" si="21"/>
        <v>x</v>
      </c>
      <c r="C94" s="33"/>
      <c r="D94" s="34"/>
      <c r="F94" s="32"/>
      <c r="G94" s="34"/>
      <c r="H94" s="34"/>
      <c r="I94" s="58"/>
      <c r="J94" s="27"/>
      <c r="K94" s="34"/>
    </row>
    <row r="95" spans="1:11" ht="12.75" x14ac:dyDescent="0.2">
      <c r="A95" s="124" t="str">
        <f>_sheetContentTranslation_A_35</f>
        <v>+</v>
      </c>
      <c r="B95" s="137" t="str">
        <f t="shared" si="21"/>
        <v>x</v>
      </c>
      <c r="C95" s="33" t="str">
        <f>_sheetContentTranslation_A_112</f>
        <v>Cost of sales</v>
      </c>
      <c r="D95" s="34"/>
      <c r="F95" s="32">
        <f>SUM(D95:E95)</f>
        <v>0</v>
      </c>
      <c r="G95" s="34"/>
      <c r="H95" s="34"/>
      <c r="I95" s="58">
        <f t="shared" si="28"/>
        <v>0</v>
      </c>
      <c r="J95" s="27"/>
      <c r="K95" s="34"/>
    </row>
    <row r="96" spans="1:11" hidden="1" x14ac:dyDescent="0.2">
      <c r="B96" s="48" t="str">
        <f t="shared" si="21"/>
        <v>x</v>
      </c>
      <c r="C96" s="13" t="str">
        <f>_sheetContentTranslation_A_57</f>
        <v>Intentionally hidden</v>
      </c>
      <c r="D96" s="47"/>
      <c r="F96" s="47"/>
      <c r="G96" s="47"/>
      <c r="H96" s="47"/>
      <c r="I96" s="47"/>
      <c r="J96" s="27"/>
      <c r="K96" s="47"/>
    </row>
    <row r="97" spans="1:11" ht="12.75" x14ac:dyDescent="0.2">
      <c r="A97" s="124" t="str">
        <f t="shared" ref="A97:A105" si="31">_sheetContentTranslation_A_35</f>
        <v>+</v>
      </c>
      <c r="B97" s="137" t="str">
        <f t="shared" si="21"/>
        <v>x</v>
      </c>
      <c r="C97" s="35" t="str">
        <f>_sheetContentTranslation_A_113</f>
        <v>Gross profit</v>
      </c>
      <c r="D97" s="36">
        <f>D93-SUM(D94:D96)</f>
        <v>0</v>
      </c>
      <c r="E97" s="36">
        <f t="shared" ref="E97:K97" si="32">E93-SUM(E94:E96)</f>
        <v>0</v>
      </c>
      <c r="F97" s="36">
        <f t="shared" si="32"/>
        <v>0</v>
      </c>
      <c r="G97" s="36">
        <f t="shared" si="32"/>
        <v>0</v>
      </c>
      <c r="H97" s="36">
        <f t="shared" si="32"/>
        <v>0</v>
      </c>
      <c r="I97" s="36">
        <f t="shared" si="32"/>
        <v>0</v>
      </c>
      <c r="J97" s="27"/>
      <c r="K97" s="36">
        <f t="shared" si="32"/>
        <v>0</v>
      </c>
    </row>
    <row r="98" spans="1:11" ht="12.75" x14ac:dyDescent="0.2">
      <c r="A98" s="124" t="str">
        <f t="shared" si="31"/>
        <v>+</v>
      </c>
      <c r="B98" s="137" t="str">
        <f t="shared" si="21"/>
        <v>x</v>
      </c>
      <c r="C98" s="33"/>
      <c r="D98" s="34"/>
      <c r="F98" s="34"/>
      <c r="G98" s="34"/>
      <c r="H98" s="34"/>
      <c r="I98" s="34"/>
      <c r="J98" s="27"/>
      <c r="K98" s="34"/>
    </row>
    <row r="99" spans="1:11" ht="11.25" customHeight="1" x14ac:dyDescent="0.2">
      <c r="A99" s="124" t="str">
        <f t="shared" si="31"/>
        <v>+</v>
      </c>
      <c r="B99" s="137" t="str">
        <f t="shared" si="21"/>
        <v>x</v>
      </c>
      <c r="C99" s="33" t="str">
        <f>_sheetContentTranslation_A_114</f>
        <v>Other operating expenses</v>
      </c>
      <c r="D99" s="34"/>
      <c r="F99" s="32">
        <f t="shared" ref="F99:F105" si="33">SUM(D99:E99)</f>
        <v>0</v>
      </c>
      <c r="G99" s="34"/>
      <c r="H99" s="34"/>
      <c r="I99" s="58">
        <f t="shared" ref="I99:I110" si="34">SUM(F99:H99)</f>
        <v>0</v>
      </c>
      <c r="J99" s="27"/>
      <c r="K99" s="34"/>
    </row>
    <row r="100" spans="1:11" ht="11.25" customHeight="1" x14ac:dyDescent="0.2">
      <c r="A100" s="124" t="str">
        <f t="shared" si="31"/>
        <v>+</v>
      </c>
      <c r="B100" s="137" t="str">
        <f t="shared" si="21"/>
        <v>x</v>
      </c>
      <c r="C100" s="33" t="str">
        <f>_sheetContentTranslation_A_115</f>
        <v>Selling, general, &amp; administrative expenses</v>
      </c>
      <c r="D100" s="34"/>
      <c r="F100" s="32">
        <f t="shared" si="33"/>
        <v>0</v>
      </c>
      <c r="G100" s="34"/>
      <c r="H100" s="34"/>
      <c r="I100" s="58">
        <f t="shared" si="34"/>
        <v>0</v>
      </c>
      <c r="J100" s="27"/>
      <c r="K100" s="34"/>
    </row>
    <row r="101" spans="1:11" ht="11.25" customHeight="1" x14ac:dyDescent="0.2">
      <c r="A101" s="124" t="str">
        <f t="shared" si="31"/>
        <v>+</v>
      </c>
      <c r="B101" s="137" t="str">
        <f t="shared" si="21"/>
        <v>x</v>
      </c>
      <c r="C101" s="33" t="str">
        <f>_sheetContentTranslation_A_116</f>
        <v>Depreciation expense</v>
      </c>
      <c r="D101" s="34"/>
      <c r="F101" s="32">
        <f t="shared" si="33"/>
        <v>0</v>
      </c>
      <c r="G101" s="34"/>
      <c r="H101" s="34"/>
      <c r="I101" s="58">
        <f t="shared" si="34"/>
        <v>0</v>
      </c>
      <c r="J101" s="27"/>
      <c r="K101" s="34"/>
    </row>
    <row r="102" spans="1:11" ht="11.25" customHeight="1" x14ac:dyDescent="0.2">
      <c r="A102" s="124" t="str">
        <f t="shared" si="31"/>
        <v>+</v>
      </c>
      <c r="B102" s="137" t="str">
        <f t="shared" si="21"/>
        <v>x</v>
      </c>
      <c r="C102" s="33" t="str">
        <f>_sheetContentTranslation_A_117</f>
        <v>Amortization expense</v>
      </c>
      <c r="D102" s="34"/>
      <c r="F102" s="32">
        <f t="shared" si="33"/>
        <v>0</v>
      </c>
      <c r="G102" s="34"/>
      <c r="H102" s="34"/>
      <c r="I102" s="58">
        <f t="shared" si="34"/>
        <v>0</v>
      </c>
      <c r="J102" s="27"/>
      <c r="K102" s="34"/>
    </row>
    <row r="103" spans="1:11" ht="11.25" customHeight="1" x14ac:dyDescent="0.2">
      <c r="A103" s="124" t="str">
        <f t="shared" si="31"/>
        <v>+</v>
      </c>
      <c r="B103" s="137" t="str">
        <f t="shared" si="21"/>
        <v>x</v>
      </c>
      <c r="C103" s="33" t="str">
        <f>_sheetContentTranslation_A_118</f>
        <v>Impairment loss</v>
      </c>
      <c r="D103" s="34"/>
      <c r="F103" s="32">
        <f t="shared" si="33"/>
        <v>0</v>
      </c>
      <c r="G103" s="34"/>
      <c r="H103" s="34"/>
      <c r="I103" s="58">
        <f t="shared" si="34"/>
        <v>0</v>
      </c>
      <c r="J103" s="27"/>
      <c r="K103" s="34"/>
    </row>
    <row r="104" spans="1:11" ht="11.25" customHeight="1" x14ac:dyDescent="0.2">
      <c r="A104" s="124" t="str">
        <f t="shared" si="31"/>
        <v>+</v>
      </c>
      <c r="B104" s="137" t="str">
        <f t="shared" si="21"/>
        <v>x</v>
      </c>
      <c r="C104" s="33" t="str">
        <f>_sheetContentTranslation_A_119</f>
        <v>Restructuring expense</v>
      </c>
      <c r="D104" s="34"/>
      <c r="F104" s="32">
        <f t="shared" si="33"/>
        <v>0</v>
      </c>
      <c r="G104" s="34"/>
      <c r="H104" s="34"/>
      <c r="I104" s="58">
        <f t="shared" si="34"/>
        <v>0</v>
      </c>
      <c r="J104" s="27"/>
      <c r="K104" s="34"/>
    </row>
    <row r="105" spans="1:11" ht="11.25" customHeight="1" x14ac:dyDescent="0.2">
      <c r="A105" s="124" t="str">
        <f t="shared" si="31"/>
        <v>+</v>
      </c>
      <c r="B105" s="137" t="str">
        <f t="shared" si="21"/>
        <v>x</v>
      </c>
      <c r="C105" s="33" t="str">
        <f>_sheetContentTranslation_A_120</f>
        <v>Other general expenses</v>
      </c>
      <c r="D105" s="34"/>
      <c r="F105" s="32">
        <f t="shared" si="33"/>
        <v>0</v>
      </c>
      <c r="G105" s="34"/>
      <c r="H105" s="34"/>
      <c r="I105" s="58">
        <f t="shared" si="34"/>
        <v>0</v>
      </c>
      <c r="J105" s="27"/>
      <c r="K105" s="34"/>
    </row>
    <row r="106" spans="1:11" hidden="1" x14ac:dyDescent="0.2">
      <c r="B106" s="102" t="str">
        <f t="shared" si="21"/>
        <v>x</v>
      </c>
      <c r="C106" s="13" t="str">
        <f>_sheetContentTranslation_A_57</f>
        <v>Intentionally hidden</v>
      </c>
      <c r="D106" s="7"/>
      <c r="F106" s="7"/>
      <c r="G106" s="7"/>
      <c r="H106" s="7"/>
      <c r="I106" s="7"/>
      <c r="J106" s="27"/>
      <c r="K106" s="7"/>
    </row>
    <row r="107" spans="1:11" ht="11.25" customHeight="1" x14ac:dyDescent="0.2">
      <c r="A107" s="124" t="str">
        <f>_sheetContentTranslation_A_35</f>
        <v>+</v>
      </c>
      <c r="B107" s="137" t="str">
        <f t="shared" si="21"/>
        <v>x</v>
      </c>
      <c r="C107" s="35" t="str">
        <f>_sheetContentTranslation_A_121</f>
        <v>Income (loss) from operations</v>
      </c>
      <c r="D107" s="36">
        <f>D97-SUM(D98:D106)</f>
        <v>0</v>
      </c>
      <c r="E107" s="36">
        <f t="shared" ref="E107:K107" si="35">E97-SUM(E98:E106)</f>
        <v>0</v>
      </c>
      <c r="F107" s="36">
        <f t="shared" si="35"/>
        <v>0</v>
      </c>
      <c r="G107" s="36">
        <f t="shared" si="35"/>
        <v>0</v>
      </c>
      <c r="H107" s="36">
        <f t="shared" si="35"/>
        <v>0</v>
      </c>
      <c r="I107" s="36">
        <f t="shared" si="35"/>
        <v>0</v>
      </c>
      <c r="J107" s="27"/>
      <c r="K107" s="36">
        <f t="shared" si="35"/>
        <v>0</v>
      </c>
    </row>
    <row r="108" spans="1:11" ht="11.25" customHeight="1" x14ac:dyDescent="0.2">
      <c r="A108" s="124" t="str">
        <f>_sheetContentTranslation_A_35</f>
        <v>+</v>
      </c>
      <c r="B108" s="137" t="str">
        <f t="shared" si="21"/>
        <v>x</v>
      </c>
      <c r="C108" s="33"/>
      <c r="D108" s="34"/>
      <c r="F108" s="32"/>
      <c r="G108" s="34"/>
      <c r="H108" s="34"/>
      <c r="I108" s="58"/>
      <c r="J108" s="27"/>
      <c r="K108" s="34"/>
    </row>
    <row r="109" spans="1:11" ht="11.25" customHeight="1" x14ac:dyDescent="0.2">
      <c r="A109" s="124" t="str">
        <f>_sheetContentTranslation_A_35</f>
        <v>+</v>
      </c>
      <c r="B109" s="137" t="str">
        <f t="shared" si="21"/>
        <v>x</v>
      </c>
      <c r="C109" s="33" t="str">
        <f>_sheetContentTranslation_A_122</f>
        <v>Non-operating income (expense)</v>
      </c>
      <c r="D109" s="34"/>
      <c r="F109" s="32">
        <f>SUM(D109:E109)</f>
        <v>0</v>
      </c>
      <c r="G109" s="34"/>
      <c r="H109" s="34"/>
      <c r="I109" s="58">
        <f t="shared" si="34"/>
        <v>0</v>
      </c>
      <c r="J109" s="27"/>
      <c r="K109" s="34"/>
    </row>
    <row r="110" spans="1:11" ht="11.25" customHeight="1" x14ac:dyDescent="0.2">
      <c r="A110" s="124" t="str">
        <f>_sheetContentTranslation_A_35</f>
        <v>+</v>
      </c>
      <c r="B110" s="137" t="str">
        <f t="shared" si="21"/>
        <v>x</v>
      </c>
      <c r="C110" s="33" t="str">
        <f>_sheetContentTranslation_A_123</f>
        <v>Interest income (expense)</v>
      </c>
      <c r="D110" s="34"/>
      <c r="F110" s="32">
        <f>SUM(D110:E110)</f>
        <v>0</v>
      </c>
      <c r="G110" s="34"/>
      <c r="H110" s="34"/>
      <c r="I110" s="58">
        <f t="shared" si="34"/>
        <v>0</v>
      </c>
      <c r="J110" s="27"/>
      <c r="K110" s="34"/>
    </row>
    <row r="111" spans="1:11" hidden="1" x14ac:dyDescent="0.2">
      <c r="B111" s="102" t="str">
        <f t="shared" si="21"/>
        <v>x</v>
      </c>
      <c r="C111" s="13" t="str">
        <f>_sheetContentTranslation_A_57</f>
        <v>Intentionally hidden</v>
      </c>
      <c r="D111" s="7"/>
      <c r="F111" s="7"/>
      <c r="G111" s="7"/>
      <c r="H111" s="7"/>
      <c r="I111" s="7"/>
      <c r="J111" s="27"/>
      <c r="K111" s="7"/>
    </row>
    <row r="112" spans="1:11" ht="22.5" customHeight="1" x14ac:dyDescent="0.2">
      <c r="A112" s="124" t="str">
        <f>_sheetContentTranslation_A_35</f>
        <v>+</v>
      </c>
      <c r="B112" s="137" t="str">
        <f t="shared" ref="B112:B129" si="36">_sheetContentTranslation_A_36</f>
        <v>x</v>
      </c>
      <c r="C112" s="35" t="str">
        <f>_sheetContentTranslation_A_124</f>
        <v>Income (loss) before income tax expense</v>
      </c>
      <c r="D112" s="36">
        <f>D107+SUM(D108:D111)</f>
        <v>0</v>
      </c>
      <c r="E112" s="36">
        <f t="shared" ref="E112" si="37">E107-SUM(E108:E111)</f>
        <v>0</v>
      </c>
      <c r="F112" s="36">
        <f>F107+SUM(F108:F111)</f>
        <v>0</v>
      </c>
      <c r="G112" s="36">
        <f>G107+SUM(G108:G111)</f>
        <v>0</v>
      </c>
      <c r="H112" s="36">
        <f>H107+SUM(H108:H111)</f>
        <v>0</v>
      </c>
      <c r="I112" s="36">
        <f>I107+SUM(I108:I111)</f>
        <v>0</v>
      </c>
      <c r="J112" s="27"/>
      <c r="K112" s="36">
        <f>K107+SUM(K108:K111)</f>
        <v>0</v>
      </c>
    </row>
    <row r="113" spans="1:11" ht="12.75" x14ac:dyDescent="0.2">
      <c r="A113" s="124" t="str">
        <f>_sheetContentTranslation_A_35</f>
        <v>+</v>
      </c>
      <c r="B113" s="137" t="str">
        <f t="shared" si="36"/>
        <v>x</v>
      </c>
      <c r="C113" s="33"/>
      <c r="D113" s="34"/>
      <c r="F113" s="34"/>
      <c r="G113" s="34"/>
      <c r="H113" s="34"/>
      <c r="I113" s="34"/>
      <c r="J113" s="27"/>
      <c r="K113" s="34"/>
    </row>
    <row r="114" spans="1:11" ht="11.25" customHeight="1" x14ac:dyDescent="0.2">
      <c r="A114" s="124" t="str">
        <f>_sheetContentTranslation_A_35</f>
        <v>+</v>
      </c>
      <c r="B114" s="137" t="str">
        <f t="shared" si="36"/>
        <v>x</v>
      </c>
      <c r="C114" s="33" t="str">
        <f>_sheetContentTranslation_A_125</f>
        <v>Income tax benefit (expense)</v>
      </c>
      <c r="D114" s="34"/>
      <c r="F114" s="32">
        <f>SUM(D114:E114)</f>
        <v>0</v>
      </c>
      <c r="G114" s="34"/>
      <c r="H114" s="34"/>
      <c r="I114" s="58">
        <f t="shared" ref="I114:I115" si="38">SUM(F114:H114)</f>
        <v>0</v>
      </c>
      <c r="J114" s="27"/>
      <c r="K114" s="34"/>
    </row>
    <row r="115" spans="1:11" ht="12.75" x14ac:dyDescent="0.2">
      <c r="A115" s="124" t="str">
        <f>_sheetContentTranslation_A_35</f>
        <v>+</v>
      </c>
      <c r="B115" s="137" t="str">
        <f t="shared" si="36"/>
        <v>x</v>
      </c>
      <c r="C115" s="46" t="str">
        <f>_sheetContentTranslation_A_126</f>
        <v>Equity in earnings (losses) of subsidiaries</v>
      </c>
      <c r="D115" s="45"/>
      <c r="F115" s="32">
        <f>SUM(D115:E115)</f>
        <v>0</v>
      </c>
      <c r="G115" s="45"/>
      <c r="H115" s="45"/>
      <c r="I115" s="58">
        <f t="shared" si="38"/>
        <v>0</v>
      </c>
      <c r="J115" s="27"/>
      <c r="K115" s="45"/>
    </row>
    <row r="116" spans="1:11" hidden="1" x14ac:dyDescent="0.2">
      <c r="B116" s="102" t="str">
        <f t="shared" si="36"/>
        <v>x</v>
      </c>
      <c r="C116" s="13" t="str">
        <f>_sheetContentTranslation_A_57</f>
        <v>Intentionally hidden</v>
      </c>
      <c r="D116" s="7"/>
      <c r="F116" s="7"/>
      <c r="G116" s="7"/>
      <c r="H116" s="7"/>
      <c r="I116" s="7"/>
      <c r="J116" s="27"/>
      <c r="K116" s="7"/>
    </row>
    <row r="117" spans="1:11" ht="12.75" x14ac:dyDescent="0.2">
      <c r="A117" s="124" t="str">
        <f>_sheetContentTranslation_A_35</f>
        <v>+</v>
      </c>
      <c r="B117" s="137" t="str">
        <f t="shared" si="36"/>
        <v>x</v>
      </c>
      <c r="C117" s="35" t="str">
        <f>_sheetContentTranslation_A_127</f>
        <v>Income (loss) from continuing operations</v>
      </c>
      <c r="D117" s="36">
        <f>D112+SUM(D113:D116)</f>
        <v>0</v>
      </c>
      <c r="E117" s="36">
        <f t="shared" ref="E117" si="39">E112-SUM(E113:E116)</f>
        <v>0</v>
      </c>
      <c r="F117" s="36">
        <f>F112+SUM(F113:F116)</f>
        <v>0</v>
      </c>
      <c r="G117" s="36">
        <f>G112+SUM(G113:G116)</f>
        <v>0</v>
      </c>
      <c r="H117" s="36">
        <f>H112+SUM(H113:H116)</f>
        <v>0</v>
      </c>
      <c r="I117" s="36">
        <f>I112+SUM(I113:I116)</f>
        <v>0</v>
      </c>
      <c r="J117" s="27"/>
      <c r="K117" s="36">
        <f>K112+SUM(K113:K116)</f>
        <v>0</v>
      </c>
    </row>
    <row r="118" spans="1:11" ht="12.75" x14ac:dyDescent="0.2">
      <c r="A118" s="124" t="str">
        <f>_sheetContentTranslation_A_35</f>
        <v>+</v>
      </c>
      <c r="B118" s="137" t="str">
        <f t="shared" si="36"/>
        <v>x</v>
      </c>
      <c r="C118" s="33"/>
      <c r="D118" s="34"/>
      <c r="F118" s="34"/>
      <c r="G118" s="34"/>
      <c r="H118" s="34"/>
      <c r="I118" s="34"/>
      <c r="J118" s="27"/>
      <c r="K118" s="34"/>
    </row>
    <row r="119" spans="1:11" ht="11.25" customHeight="1" x14ac:dyDescent="0.2">
      <c r="A119" s="124" t="str">
        <f>_sheetContentTranslation_A_35</f>
        <v>+</v>
      </c>
      <c r="B119" s="137" t="str">
        <f t="shared" si="36"/>
        <v>x</v>
      </c>
      <c r="C119" s="33" t="str">
        <f>_sheetContentTranslation_A_128</f>
        <v>Income (loss) from discontinued operations</v>
      </c>
      <c r="D119" s="34"/>
      <c r="F119" s="32">
        <f>SUM(D119:E119)</f>
        <v>0</v>
      </c>
      <c r="G119" s="34"/>
      <c r="H119" s="34"/>
      <c r="I119" s="58">
        <f t="shared" ref="I119" si="40">SUM(F119:H119)</f>
        <v>0</v>
      </c>
      <c r="J119" s="27"/>
      <c r="K119" s="34"/>
    </row>
    <row r="120" spans="1:11" hidden="1" x14ac:dyDescent="0.2">
      <c r="B120" s="102" t="str">
        <f t="shared" si="36"/>
        <v>x</v>
      </c>
      <c r="C120" s="13" t="str">
        <f>_sheetContentTranslation_A_57</f>
        <v>Intentionally hidden</v>
      </c>
      <c r="D120" s="7"/>
      <c r="F120" s="7"/>
      <c r="G120" s="7"/>
      <c r="H120" s="7"/>
      <c r="I120" s="7"/>
      <c r="J120" s="27"/>
      <c r="K120" s="7"/>
    </row>
    <row r="121" spans="1:11" ht="22.5" x14ac:dyDescent="0.2">
      <c r="A121" s="124" t="str">
        <f>_sheetContentTranslation_A_35</f>
        <v>+</v>
      </c>
      <c r="B121" s="137" t="str">
        <f t="shared" si="36"/>
        <v>x</v>
      </c>
      <c r="C121" s="35" t="str">
        <f>_sheetContentTranslation_A_129</f>
        <v>Income (loss) before cumulative effects of changes in accounting principles</v>
      </c>
      <c r="D121" s="36">
        <f>D117+SUM(D118:D120)</f>
        <v>0</v>
      </c>
      <c r="E121" s="36">
        <f t="shared" ref="E121:K121" si="41">E117+SUM(E118:E120)</f>
        <v>0</v>
      </c>
      <c r="F121" s="36">
        <f t="shared" si="41"/>
        <v>0</v>
      </c>
      <c r="G121" s="36">
        <f t="shared" si="41"/>
        <v>0</v>
      </c>
      <c r="H121" s="36">
        <f t="shared" si="41"/>
        <v>0</v>
      </c>
      <c r="I121" s="36">
        <f t="shared" si="41"/>
        <v>0</v>
      </c>
      <c r="J121" s="27"/>
      <c r="K121" s="36">
        <f t="shared" si="41"/>
        <v>0</v>
      </c>
    </row>
    <row r="122" spans="1:11" ht="12.75" x14ac:dyDescent="0.2">
      <c r="A122" s="124" t="str">
        <f>_sheetContentTranslation_A_35</f>
        <v>+</v>
      </c>
      <c r="B122" s="137" t="str">
        <f t="shared" si="36"/>
        <v>x</v>
      </c>
      <c r="C122" s="33"/>
      <c r="D122" s="34"/>
      <c r="F122" s="34"/>
      <c r="G122" s="34"/>
      <c r="H122" s="34"/>
      <c r="I122" s="34"/>
      <c r="J122" s="27"/>
      <c r="K122" s="34"/>
    </row>
    <row r="123" spans="1:11" ht="22.5" x14ac:dyDescent="0.2">
      <c r="A123" s="124" t="str">
        <f>_sheetContentTranslation_A_35</f>
        <v>+</v>
      </c>
      <c r="B123" s="137" t="str">
        <f t="shared" si="36"/>
        <v>x</v>
      </c>
      <c r="C123" s="33" t="str">
        <f>_sheetContentTranslation_A_130</f>
        <v>Gain (loss) from cumulative effects of changes in accounting principles</v>
      </c>
      <c r="D123" s="34"/>
      <c r="F123" s="32">
        <f>SUM(D123:E123)</f>
        <v>0</v>
      </c>
      <c r="G123" s="34"/>
      <c r="H123" s="34"/>
      <c r="I123" s="58">
        <f t="shared" ref="I123" si="42">SUM(F123:H123)</f>
        <v>0</v>
      </c>
      <c r="J123" s="27"/>
      <c r="K123" s="34"/>
    </row>
    <row r="124" spans="1:11" hidden="1" x14ac:dyDescent="0.2">
      <c r="B124" s="102" t="str">
        <f t="shared" si="36"/>
        <v>x</v>
      </c>
      <c r="C124" s="13" t="str">
        <f>_sheetContentTranslation_A_57</f>
        <v>Intentionally hidden</v>
      </c>
      <c r="D124" s="7"/>
      <c r="F124" s="7"/>
      <c r="G124" s="7"/>
      <c r="H124" s="7"/>
      <c r="I124" s="7"/>
      <c r="J124" s="27"/>
      <c r="K124" s="7"/>
    </row>
    <row r="125" spans="1:11" ht="15" customHeight="1" x14ac:dyDescent="0.2">
      <c r="A125" s="124" t="str">
        <f>_sheetContentTranslation_A_35</f>
        <v>+</v>
      </c>
      <c r="B125" s="137" t="str">
        <f t="shared" si="36"/>
        <v>x</v>
      </c>
      <c r="C125" s="37" t="str">
        <f>_sheetContentTranslation_A_131</f>
        <v>Net income (loss)</v>
      </c>
      <c r="D125" s="38">
        <f t="shared" ref="D125:G125" si="43">D121+SUM(D122:D124)</f>
        <v>0</v>
      </c>
      <c r="E125" s="38">
        <f t="shared" si="43"/>
        <v>0</v>
      </c>
      <c r="F125" s="38">
        <f t="shared" si="43"/>
        <v>0</v>
      </c>
      <c r="G125" s="38">
        <f t="shared" si="43"/>
        <v>0</v>
      </c>
      <c r="H125" s="38">
        <f>H121+SUM(H122:H124)</f>
        <v>0</v>
      </c>
      <c r="I125" s="38">
        <f>I121+SUM(I122:I124)</f>
        <v>0</v>
      </c>
      <c r="J125" s="27"/>
      <c r="K125" s="38">
        <f>K121+SUM(K122:K124)</f>
        <v>0</v>
      </c>
    </row>
    <row r="126" spans="1:11" ht="12.75" x14ac:dyDescent="0.2">
      <c r="A126" s="124" t="str">
        <f>_sheetContentTranslation_A_35</f>
        <v>+</v>
      </c>
      <c r="B126" s="137" t="str">
        <f t="shared" si="36"/>
        <v>x</v>
      </c>
      <c r="C126" s="29"/>
      <c r="D126" s="30"/>
      <c r="F126" s="30"/>
      <c r="G126" s="30"/>
      <c r="H126" s="30"/>
      <c r="I126" s="30"/>
      <c r="J126" s="27"/>
      <c r="K126" s="30"/>
    </row>
    <row r="127" spans="1:11" ht="22.5" x14ac:dyDescent="0.2">
      <c r="A127" s="124" t="str">
        <f>_sheetContentTranslation_A_35</f>
        <v>+</v>
      </c>
      <c r="B127" s="137" t="str">
        <f t="shared" si="36"/>
        <v>x</v>
      </c>
      <c r="C127" s="33" t="str">
        <f>_sheetContentTranslation_A_132</f>
        <v>Less: Net income (loss) attributable to noncontrolling interests</v>
      </c>
      <c r="D127" s="34"/>
      <c r="F127" s="32">
        <f>SUM(D127:E127)</f>
        <v>0</v>
      </c>
      <c r="G127" s="34"/>
      <c r="H127" s="34"/>
      <c r="I127" s="58">
        <f t="shared" ref="I127" si="44">SUM(F127:H127)</f>
        <v>0</v>
      </c>
      <c r="J127" s="27"/>
      <c r="K127" s="34"/>
    </row>
    <row r="128" spans="1:11" hidden="1" x14ac:dyDescent="0.2">
      <c r="B128" s="102" t="str">
        <f t="shared" si="36"/>
        <v>x</v>
      </c>
      <c r="C128" s="13" t="str">
        <f>_sheetContentTranslation_A_57</f>
        <v>Intentionally hidden</v>
      </c>
      <c r="D128" s="7"/>
      <c r="F128" s="7"/>
      <c r="G128" s="7"/>
      <c r="H128" s="7"/>
      <c r="I128" s="7"/>
      <c r="J128" s="27"/>
      <c r="K128" s="7"/>
    </row>
    <row r="129" spans="1:11" ht="13.5" thickBot="1" x14ac:dyDescent="0.25">
      <c r="A129" s="124" t="str">
        <f>_sheetContentTranslation_A_35</f>
        <v>+</v>
      </c>
      <c r="B129" s="137" t="str">
        <f t="shared" si="36"/>
        <v>x</v>
      </c>
      <c r="C129" s="41" t="str">
        <f>_sheetContentTranslation_A_133</f>
        <v>Net income (loss) attributable to parent</v>
      </c>
      <c r="D129" s="42">
        <f>D125-SUM(D126:D128)</f>
        <v>0</v>
      </c>
      <c r="E129" s="42">
        <f t="shared" ref="E129" si="45">E125+SUM(E126:E128)</f>
        <v>0</v>
      </c>
      <c r="F129" s="42">
        <f>F125-SUM(F126:F128)</f>
        <v>0</v>
      </c>
      <c r="G129" s="42">
        <f>G125-SUM(G126:G128)</f>
        <v>0</v>
      </c>
      <c r="H129" s="42">
        <f>H125-SUM(H126:H128)</f>
        <v>0</v>
      </c>
      <c r="I129" s="42">
        <f>I125-SUM(I126:I128)</f>
        <v>0</v>
      </c>
      <c r="J129" s="27"/>
      <c r="K129" s="42">
        <f>K125-SUM(K126:K128)</f>
        <v>0</v>
      </c>
    </row>
    <row r="130" spans="1:11" ht="12" thickTop="1" x14ac:dyDescent="0.2">
      <c r="C130" s="103"/>
      <c r="D130" s="104"/>
      <c r="F130" s="104"/>
      <c r="G130" s="104"/>
      <c r="H130" s="104"/>
      <c r="I130" s="104"/>
      <c r="J130" s="27"/>
      <c r="K130" s="105"/>
    </row>
    <row r="131" spans="1:11" x14ac:dyDescent="0.2">
      <c r="B131" s="48"/>
      <c r="C131" s="8"/>
      <c r="D131" s="9"/>
      <c r="F131" s="9"/>
      <c r="G131" s="9"/>
      <c r="H131" s="9"/>
      <c r="I131" s="9"/>
      <c r="J131" s="27"/>
      <c r="K131" s="9"/>
    </row>
    <row r="132" spans="1:11" ht="16.5" thickBot="1" x14ac:dyDescent="0.25">
      <c r="B132" s="48"/>
      <c r="C132" s="10" t="str">
        <f>_sheetContentTranslation_A_134</f>
        <v>Other relevant financial information</v>
      </c>
      <c r="D132" s="11"/>
      <c r="F132" s="11"/>
      <c r="G132" s="11"/>
      <c r="H132" s="11"/>
      <c r="I132" s="12"/>
      <c r="J132" s="27"/>
      <c r="K132" s="11"/>
    </row>
    <row r="133" spans="1:11" ht="12.75" x14ac:dyDescent="0.2">
      <c r="A133" s="124" t="str">
        <f t="shared" ref="A133:A138" si="46">_sheetContentTranslation_A_35</f>
        <v>+</v>
      </c>
      <c r="B133" s="137" t="str">
        <f t="shared" ref="B133:B138" si="47">_sheetContentTranslation_A_36</f>
        <v>x</v>
      </c>
      <c r="C133" s="33"/>
      <c r="D133" s="34"/>
      <c r="F133" s="32">
        <f t="shared" ref="F133:F138" si="48">SUM(D133:E133)</f>
        <v>0</v>
      </c>
      <c r="G133" s="34"/>
      <c r="H133" s="34"/>
      <c r="I133" s="58">
        <f t="shared" ref="I133:I138" si="49">SUM(F133:H133)</f>
        <v>0</v>
      </c>
      <c r="J133" s="27"/>
      <c r="K133" s="34"/>
    </row>
    <row r="134" spans="1:11" ht="11.25" customHeight="1" x14ac:dyDescent="0.2">
      <c r="A134" s="124" t="str">
        <f t="shared" si="46"/>
        <v>+</v>
      </c>
      <c r="B134" s="137" t="str">
        <f t="shared" si="47"/>
        <v>x</v>
      </c>
      <c r="C134" s="33"/>
      <c r="D134" s="34"/>
      <c r="F134" s="32">
        <f t="shared" si="48"/>
        <v>0</v>
      </c>
      <c r="G134" s="34"/>
      <c r="H134" s="34"/>
      <c r="I134" s="58">
        <f t="shared" si="49"/>
        <v>0</v>
      </c>
      <c r="J134" s="27"/>
      <c r="K134" s="34"/>
    </row>
    <row r="135" spans="1:11" ht="11.25" customHeight="1" x14ac:dyDescent="0.2">
      <c r="A135" s="124" t="str">
        <f t="shared" si="46"/>
        <v>+</v>
      </c>
      <c r="B135" s="137" t="str">
        <f t="shared" si="47"/>
        <v>x</v>
      </c>
      <c r="C135" s="33"/>
      <c r="D135" s="34"/>
      <c r="F135" s="32">
        <f t="shared" si="48"/>
        <v>0</v>
      </c>
      <c r="G135" s="34"/>
      <c r="H135" s="34"/>
      <c r="I135" s="58">
        <f>SUM(F135:H135)</f>
        <v>0</v>
      </c>
      <c r="J135" s="27"/>
      <c r="K135" s="34"/>
    </row>
    <row r="136" spans="1:11" ht="11.25" customHeight="1" x14ac:dyDescent="0.2">
      <c r="A136" s="124" t="str">
        <f t="shared" si="46"/>
        <v>+</v>
      </c>
      <c r="B136" s="137" t="str">
        <f t="shared" si="47"/>
        <v>x</v>
      </c>
      <c r="C136" s="33"/>
      <c r="D136" s="34"/>
      <c r="F136" s="32">
        <f t="shared" si="48"/>
        <v>0</v>
      </c>
      <c r="G136" s="34"/>
      <c r="H136" s="34"/>
      <c r="I136" s="58">
        <f>SUM(F136:H136)</f>
        <v>0</v>
      </c>
      <c r="J136" s="27"/>
      <c r="K136" s="34"/>
    </row>
    <row r="137" spans="1:11" ht="11.25" customHeight="1" x14ac:dyDescent="0.2">
      <c r="A137" s="124" t="str">
        <f t="shared" si="46"/>
        <v>+</v>
      </c>
      <c r="B137" s="137" t="str">
        <f t="shared" si="47"/>
        <v>x</v>
      </c>
      <c r="C137" s="33"/>
      <c r="D137" s="34"/>
      <c r="F137" s="32">
        <f t="shared" si="48"/>
        <v>0</v>
      </c>
      <c r="G137" s="34"/>
      <c r="H137" s="34"/>
      <c r="I137" s="58">
        <f t="shared" si="49"/>
        <v>0</v>
      </c>
      <c r="J137" s="27"/>
      <c r="K137" s="34"/>
    </row>
    <row r="138" spans="1:11" ht="11.25" customHeight="1" x14ac:dyDescent="0.2">
      <c r="A138" s="124" t="str">
        <f t="shared" si="46"/>
        <v>+</v>
      </c>
      <c r="B138" s="137" t="str">
        <f t="shared" si="47"/>
        <v>x</v>
      </c>
      <c r="C138" s="33"/>
      <c r="D138" s="34"/>
      <c r="F138" s="32">
        <f t="shared" si="48"/>
        <v>0</v>
      </c>
      <c r="G138" s="34"/>
      <c r="H138" s="34"/>
      <c r="I138" s="58">
        <f t="shared" si="49"/>
        <v>0</v>
      </c>
      <c r="J138" s="27"/>
      <c r="K138" s="34"/>
    </row>
    <row r="139" spans="1:11" x14ac:dyDescent="0.2">
      <c r="B139" s="48"/>
      <c r="C139" s="6"/>
      <c r="D139" s="6"/>
      <c r="F139" s="6"/>
      <c r="G139" s="6"/>
      <c r="H139" s="6"/>
      <c r="I139" s="6"/>
      <c r="J139" s="27"/>
      <c r="K139" s="6"/>
    </row>
    <row r="140" spans="1:11" ht="11.25" hidden="1" customHeight="1" x14ac:dyDescent="0.2">
      <c r="A140" s="124" t="str">
        <f>_sheetContentTranslation_A_35</f>
        <v>+</v>
      </c>
      <c r="B140" s="137" t="str">
        <f>_sheetContentTranslation_A_36</f>
        <v>x</v>
      </c>
      <c r="C140" s="33"/>
      <c r="D140" s="34"/>
      <c r="F140" s="32">
        <f>SUM(D140:E140)</f>
        <v>0</v>
      </c>
      <c r="G140" s="34"/>
      <c r="H140" s="34"/>
      <c r="I140" s="58">
        <f>SUM(F140:H140)</f>
        <v>0</v>
      </c>
      <c r="J140" s="27"/>
      <c r="K140" s="34"/>
    </row>
    <row r="141" spans="1:11" x14ac:dyDescent="0.2">
      <c r="B141" s="48"/>
      <c r="J141" s="48"/>
    </row>
  </sheetData>
  <sheetProtection algorithmName="SHA-512" hashValue="nwK0SefPJXvkS+ynmmlH9nz428XDYI3TYlC6/ln2zcLvQ9K2oZ+Uy9/aHD5cTRJUFYY+gwqUyM5DVsJsCfaVVw==" saltValue="uefDSNvtSPtHu2Ec4seM4A==" spinCount="100000" sheet="1" objects="1" scenarios="1" formatCells="0" formatRows="0" insertRows="0" deleteRows="0"/>
  <mergeCells count="4">
    <mergeCell ref="H8:H12"/>
    <mergeCell ref="F8:F12"/>
    <mergeCell ref="I8:I12"/>
    <mergeCell ref="G8:G12"/>
  </mergeCells>
  <conditionalFormatting sqref="D9">
    <cfRule type="expression" dxfId="19" priority="177">
      <formula>D9=""</formula>
    </cfRule>
  </conditionalFormatting>
  <conditionalFormatting sqref="D10">
    <cfRule type="expression" dxfId="18" priority="175">
      <formula>D10=""</formula>
    </cfRule>
  </conditionalFormatting>
  <conditionalFormatting sqref="D4">
    <cfRule type="expression" dxfId="17" priority="84">
      <formula>D4=""</formula>
    </cfRule>
  </conditionalFormatting>
  <conditionalFormatting sqref="D5">
    <cfRule type="expression" dxfId="16" priority="83">
      <formula>D5=""</formula>
    </cfRule>
  </conditionalFormatting>
  <conditionalFormatting sqref="K9">
    <cfRule type="expression" dxfId="15" priority="72">
      <formula>K9=""</formula>
    </cfRule>
  </conditionalFormatting>
  <conditionalFormatting sqref="K10">
    <cfRule type="expression" dxfId="14" priority="71">
      <formula>K10=""</formula>
    </cfRule>
  </conditionalFormatting>
  <dataValidations count="1">
    <dataValidation type="list" allowBlank="1" showInputMessage="1" showErrorMessage="1" sqref="K10 D10" xr:uid="{00000000-0002-0000-0200-000000000000}">
      <formula1>Component_Type</formula1>
    </dataValidation>
  </dataValidations>
  <hyperlinks>
    <hyperlink ref="B16" location="'Data input'!sh_Home" display="+" xr:uid="{00000000-0004-0000-0200-000000000000}"/>
    <hyperlink ref="A16" location="'Data input'!sh_Home" display="+" xr:uid="{00000000-0004-0000-0200-000001000000}"/>
    <hyperlink ref="D6" location="'Data input'!sh_Home" display="+" xr:uid="{00000000-0004-0000-0200-000005000000}"/>
    <hyperlink ref="K7" location="'Data input'!sh_Home" display="+" xr:uid="{00000000-0004-0000-0200-000006000000}"/>
    <hyperlink ref="K6" location="'Data input'!sh_Home" display="+" xr:uid="{00000000-0004-0000-0200-000007000000}"/>
    <hyperlink ref="B17" location="'Data input'!sh_Home" display="+" xr:uid="{00000000-0004-0000-0200-000008000000}"/>
    <hyperlink ref="B18" location="'Data input'!sh_Home" display="+" xr:uid="{00000000-0004-0000-0200-000009000000}"/>
    <hyperlink ref="B19" location="'Data input'!sh_Home" display="+" xr:uid="{00000000-0004-0000-0200-00000A000000}"/>
    <hyperlink ref="B20" location="'Data input'!sh_Home" display="+" xr:uid="{00000000-0004-0000-0200-00000B000000}"/>
    <hyperlink ref="B21" location="'Data input'!sh_Home" display="+" xr:uid="{00000000-0004-0000-0200-00000C000000}"/>
    <hyperlink ref="B22" location="'Data input'!sh_Home" display="+" xr:uid="{00000000-0004-0000-0200-00000D000000}"/>
    <hyperlink ref="B23" location="'Data input'!sh_Home" display="+" xr:uid="{00000000-0004-0000-0200-00000E000000}"/>
    <hyperlink ref="B24" location="'Data input'!sh_Home" display="+" xr:uid="{00000000-0004-0000-0200-00000F000000}"/>
    <hyperlink ref="A17" location="'Data input'!sh_Home" display="+" xr:uid="{00000000-0004-0000-0200-000010000000}"/>
    <hyperlink ref="A18" location="'Data input'!sh_Home" display="+" xr:uid="{00000000-0004-0000-0200-000011000000}"/>
    <hyperlink ref="A19" location="'Data input'!sh_Home" display="+" xr:uid="{00000000-0004-0000-0200-000012000000}"/>
    <hyperlink ref="A20" location="'Data input'!sh_Home" display="+" xr:uid="{00000000-0004-0000-0200-000013000000}"/>
    <hyperlink ref="A21" location="'Data input'!sh_Home" display="+" xr:uid="{00000000-0004-0000-0200-000014000000}"/>
    <hyperlink ref="A22" location="'Data input'!sh_Home" display="+" xr:uid="{00000000-0004-0000-0200-000015000000}"/>
    <hyperlink ref="A23" location="'Data input'!sh_Home" display="+" xr:uid="{00000000-0004-0000-0200-000016000000}"/>
    <hyperlink ref="A24" location="'Data input'!sh_Home" display="+" xr:uid="{00000000-0004-0000-0200-000017000000}"/>
    <hyperlink ref="B28" location="'Data input'!sh_Home" display="+" xr:uid="{00000000-0004-0000-0200-000018000000}"/>
    <hyperlink ref="B29" location="'Data input'!sh_Home" display="+" xr:uid="{00000000-0004-0000-0200-000019000000}"/>
    <hyperlink ref="B30" location="'Data input'!sh_Home" display="+" xr:uid="{00000000-0004-0000-0200-00001A000000}"/>
    <hyperlink ref="B31" location="'Data input'!sh_Home" display="+" xr:uid="{00000000-0004-0000-0200-00001B000000}"/>
    <hyperlink ref="B32" location="'Data input'!sh_Home" display="+" xr:uid="{00000000-0004-0000-0200-00001C000000}"/>
    <hyperlink ref="B33" location="'Data input'!sh_Home" display="+" xr:uid="{00000000-0004-0000-0200-00001D000000}"/>
    <hyperlink ref="B34" location="'Data input'!sh_Home" display="+" xr:uid="{00000000-0004-0000-0200-00001E000000}"/>
    <hyperlink ref="B36" location="'Data input'!sh_Home" display="+" xr:uid="{00000000-0004-0000-0200-00001F000000}"/>
    <hyperlink ref="B37" location="'Data input'!sh_Home" display="+" xr:uid="{00000000-0004-0000-0200-000020000000}"/>
    <hyperlink ref="B38" location="'Data input'!sh_Home" display="+" xr:uid="{00000000-0004-0000-0200-000021000000}"/>
    <hyperlink ref="B39" location="'Data input'!sh_Home" display="+" xr:uid="{00000000-0004-0000-0200-000022000000}"/>
    <hyperlink ref="A28" location="'Data input'!sh_Home" display="+" xr:uid="{00000000-0004-0000-0200-000023000000}"/>
    <hyperlink ref="A29" location="'Data input'!sh_Home" display="+" xr:uid="{00000000-0004-0000-0200-000024000000}"/>
    <hyperlink ref="A30" location="'Data input'!sh_Home" display="+" xr:uid="{00000000-0004-0000-0200-000025000000}"/>
    <hyperlink ref="A31" location="'Data input'!sh_Home" display="+" xr:uid="{00000000-0004-0000-0200-000026000000}"/>
    <hyperlink ref="A32" location="'Data input'!sh_Home" display="+" xr:uid="{00000000-0004-0000-0200-000027000000}"/>
    <hyperlink ref="A33" location="'Data input'!sh_Home" display="+" xr:uid="{00000000-0004-0000-0200-000028000000}"/>
    <hyperlink ref="A34" location="'Data input'!sh_Home" display="+" xr:uid="{00000000-0004-0000-0200-000029000000}"/>
    <hyperlink ref="A36" location="'Data input'!sh_Home" display="+" xr:uid="{00000000-0004-0000-0200-00002A000000}"/>
    <hyperlink ref="A37" location="'Data input'!sh_Home" display="+" xr:uid="{00000000-0004-0000-0200-00002B000000}"/>
    <hyperlink ref="A38" location="'Data input'!sh_Home" display="+" xr:uid="{00000000-0004-0000-0200-00002C000000}"/>
    <hyperlink ref="A39" location="'Data input'!sh_Home" display="+" xr:uid="{00000000-0004-0000-0200-00002D000000}"/>
    <hyperlink ref="B133" location="'Data input'!sh_Home" display="+" xr:uid="{00000000-0004-0000-0200-00002E000000}"/>
    <hyperlink ref="B134" location="'Data input'!sh_Home" display="+" xr:uid="{00000000-0004-0000-0200-00002F000000}"/>
    <hyperlink ref="B137" location="'Data input'!sh_Home" display="+" xr:uid="{00000000-0004-0000-0200-000031000000}"/>
    <hyperlink ref="B138" location="'Data input'!sh_Home" display="+" xr:uid="{00000000-0004-0000-0200-000032000000}"/>
    <hyperlink ref="A133" location="'Data input'!sh_Home" display="+" xr:uid="{00000000-0004-0000-0200-000033000000}"/>
    <hyperlink ref="A134" location="'Data input'!sh_Home" display="+" xr:uid="{00000000-0004-0000-0200-000034000000}"/>
    <hyperlink ref="A137" location="'Data input'!sh_Home" display="+" xr:uid="{00000000-0004-0000-0200-000036000000}"/>
    <hyperlink ref="A138" location="'Data input'!sh_Home" display="+" xr:uid="{00000000-0004-0000-0200-000037000000}"/>
    <hyperlink ref="B140" location="'Data input'!sh_Home" display="+" xr:uid="{00000000-0004-0000-0200-000038000000}"/>
    <hyperlink ref="A140" location="'Data input'!sh_Home" display="+" xr:uid="{00000000-0004-0000-0200-000039000000}"/>
    <hyperlink ref="B26" location="'Data input'!sh_Home" display="+" xr:uid="{00000000-0004-0000-0200-00003A000000}"/>
    <hyperlink ref="A26" location="'Data input'!sh_Home" display="+" xr:uid="{00000000-0004-0000-0200-00003B000000}"/>
    <hyperlink ref="B27" location="'Data input'!sh_Home" display="+" xr:uid="{00000000-0004-0000-0200-00003C000000}"/>
    <hyperlink ref="A27" location="'Data input'!sh_Home" display="+" xr:uid="{00000000-0004-0000-0200-00003D000000}"/>
    <hyperlink ref="B41" location="'Data input'!sh_Home" display="+" xr:uid="{00000000-0004-0000-0200-00003E000000}"/>
    <hyperlink ref="A41" location="'Data input'!sh_Home" display="+" xr:uid="{00000000-0004-0000-0200-00003F000000}"/>
    <hyperlink ref="B42" location="'Data input'!sh_Home" display="+" xr:uid="{00000000-0004-0000-0200-000040000000}"/>
    <hyperlink ref="B43" location="'Data input'!sh_Home" display="+" xr:uid="{00000000-0004-0000-0200-000041000000}"/>
    <hyperlink ref="B44" location="'Data input'!sh_Home" display="+" xr:uid="{00000000-0004-0000-0200-000042000000}"/>
    <hyperlink ref="B45" location="'Data input'!sh_Home" display="+" xr:uid="{00000000-0004-0000-0200-000043000000}"/>
    <hyperlink ref="B46" location="'Data input'!sh_Home" display="+" xr:uid="{00000000-0004-0000-0200-000044000000}"/>
    <hyperlink ref="B47" location="'Data input'!sh_Home" display="+" xr:uid="{00000000-0004-0000-0200-000045000000}"/>
    <hyperlink ref="B48" location="'Data input'!sh_Home" display="+" xr:uid="{00000000-0004-0000-0200-000046000000}"/>
    <hyperlink ref="B49" location="'Data input'!sh_Home" display="+" xr:uid="{00000000-0004-0000-0200-000047000000}"/>
    <hyperlink ref="B50" location="'Data input'!sh_Home" display="+" xr:uid="{00000000-0004-0000-0200-000048000000}"/>
    <hyperlink ref="B51" location="'Data input'!sh_Home" display="+" xr:uid="{00000000-0004-0000-0200-000049000000}"/>
    <hyperlink ref="B52" location="'Data input'!sh_Home" display="+" xr:uid="{00000000-0004-0000-0200-00004A000000}"/>
    <hyperlink ref="B53" location="'Data input'!sh_Home" display="+" xr:uid="{00000000-0004-0000-0200-00004B000000}"/>
    <hyperlink ref="B54" location="'Data input'!sh_Home" display="+" xr:uid="{00000000-0004-0000-0200-00004C000000}"/>
    <hyperlink ref="B55" location="'Data input'!sh_Home" display="+" xr:uid="{00000000-0004-0000-0200-00004D000000}"/>
    <hyperlink ref="A42" location="'Data input'!sh_Home" display="+" xr:uid="{00000000-0004-0000-0200-00004E000000}"/>
    <hyperlink ref="A43" location="'Data input'!sh_Home" display="+" xr:uid="{00000000-0004-0000-0200-00004F000000}"/>
    <hyperlink ref="A44" location="'Data input'!sh_Home" display="+" xr:uid="{00000000-0004-0000-0200-000050000000}"/>
    <hyperlink ref="A45" location="'Data input'!sh_Home" display="+" xr:uid="{00000000-0004-0000-0200-000051000000}"/>
    <hyperlink ref="A46" location="'Data input'!sh_Home" display="+" xr:uid="{00000000-0004-0000-0200-000052000000}"/>
    <hyperlink ref="A47" location="'Data input'!sh_Home" display="+" xr:uid="{00000000-0004-0000-0200-000053000000}"/>
    <hyperlink ref="A48" location="'Data input'!sh_Home" display="+" xr:uid="{00000000-0004-0000-0200-000054000000}"/>
    <hyperlink ref="A49" location="'Data input'!sh_Home" display="+" xr:uid="{00000000-0004-0000-0200-000055000000}"/>
    <hyperlink ref="A50" location="'Data input'!sh_Home" display="+" xr:uid="{00000000-0004-0000-0200-000056000000}"/>
    <hyperlink ref="A51" location="'Data input'!sh_Home" display="+" xr:uid="{00000000-0004-0000-0200-000057000000}"/>
    <hyperlink ref="A52" location="'Data input'!sh_Home" display="+" xr:uid="{00000000-0004-0000-0200-000058000000}"/>
    <hyperlink ref="A53" location="'Data input'!sh_Home" display="+" xr:uid="{00000000-0004-0000-0200-000059000000}"/>
    <hyperlink ref="A54" location="'Data input'!sh_Home" display="+" xr:uid="{00000000-0004-0000-0200-00005A000000}"/>
    <hyperlink ref="A55" location="'Data input'!sh_Home" display="+" xr:uid="{00000000-0004-0000-0200-00005B000000}"/>
    <hyperlink ref="B57" location="'Data input'!sh_Home" display="+" xr:uid="{00000000-0004-0000-0200-00005C000000}"/>
    <hyperlink ref="B58" location="'Data input'!sh_Home" display="+" xr:uid="{00000000-0004-0000-0200-00005D000000}"/>
    <hyperlink ref="B59" location="'Data input'!sh_Home" display="+" xr:uid="{00000000-0004-0000-0200-00005E000000}"/>
    <hyperlink ref="B60" location="'Data input'!sh_Home" display="+" xr:uid="{00000000-0004-0000-0200-00005F000000}"/>
    <hyperlink ref="B61" location="'Data input'!sh_Home" display="+" xr:uid="{00000000-0004-0000-0200-000060000000}"/>
    <hyperlink ref="B62" location="'Data input'!sh_Home" display="+" xr:uid="{00000000-0004-0000-0200-000061000000}"/>
    <hyperlink ref="B63" location="'Data input'!sh_Home" display="+" xr:uid="{00000000-0004-0000-0200-000062000000}"/>
    <hyperlink ref="B64" location="'Data input'!sh_Home" display="+" xr:uid="{00000000-0004-0000-0200-000063000000}"/>
    <hyperlink ref="B66" location="'Data input'!sh_Home" display="+" xr:uid="{00000000-0004-0000-0200-000064000000}"/>
    <hyperlink ref="B67" location="'Data input'!sh_Home" display="+" xr:uid="{00000000-0004-0000-0200-000065000000}"/>
    <hyperlink ref="A57" location="'Data input'!sh_Home" display="+" xr:uid="{00000000-0004-0000-0200-000066000000}"/>
    <hyperlink ref="A58" location="'Data input'!sh_Home" display="+" xr:uid="{00000000-0004-0000-0200-000067000000}"/>
    <hyperlink ref="A59" location="'Data input'!sh_Home" display="+" xr:uid="{00000000-0004-0000-0200-000068000000}"/>
    <hyperlink ref="A60" location="'Data input'!sh_Home" display="+" xr:uid="{00000000-0004-0000-0200-000069000000}"/>
    <hyperlink ref="A61" location="'Data input'!sh_Home" display="+" xr:uid="{00000000-0004-0000-0200-00006A000000}"/>
    <hyperlink ref="A62" location="'Data input'!sh_Home" display="+" xr:uid="{00000000-0004-0000-0200-00006B000000}"/>
    <hyperlink ref="A63" location="'Data input'!sh_Home" display="+" xr:uid="{00000000-0004-0000-0200-00006C000000}"/>
    <hyperlink ref="A64" location="'Data input'!sh_Home" display="+" xr:uid="{00000000-0004-0000-0200-00006D000000}"/>
    <hyperlink ref="A66" location="'Data input'!sh_Home" display="+" xr:uid="{00000000-0004-0000-0200-00006E000000}"/>
    <hyperlink ref="A67" location="'Data input'!sh_Home" display="+" xr:uid="{00000000-0004-0000-0200-00006F000000}"/>
    <hyperlink ref="B69" location="'Data input'!sh_Home" display="+" xr:uid="{00000000-0004-0000-0200-000070000000}"/>
    <hyperlink ref="B70" location="'Data input'!sh_Home" display="+" xr:uid="{00000000-0004-0000-0200-000071000000}"/>
    <hyperlink ref="B71" location="'Data input'!sh_Home" display="+" xr:uid="{00000000-0004-0000-0200-000072000000}"/>
    <hyperlink ref="B72" location="'Data input'!sh_Home" display="+" xr:uid="{00000000-0004-0000-0200-000073000000}"/>
    <hyperlink ref="B73" location="'Data input'!sh_Home" display="+" xr:uid="{00000000-0004-0000-0200-000074000000}"/>
    <hyperlink ref="B74" location="'Data input'!sh_Home" display="+" xr:uid="{00000000-0004-0000-0200-000075000000}"/>
    <hyperlink ref="B75" location="'Data input'!sh_Home" display="+" xr:uid="{00000000-0004-0000-0200-000076000000}"/>
    <hyperlink ref="B76" location="'Data input'!sh_Home" display="+" xr:uid="{00000000-0004-0000-0200-000077000000}"/>
    <hyperlink ref="B77" location="'Data input'!sh_Home" display="+" xr:uid="{00000000-0004-0000-0200-000078000000}"/>
    <hyperlink ref="A69" location="'Data input'!sh_Home" display="+" xr:uid="{00000000-0004-0000-0200-000079000000}"/>
    <hyperlink ref="A70" location="'Data input'!sh_Home" display="+" xr:uid="{00000000-0004-0000-0200-00007A000000}"/>
    <hyperlink ref="A71" location="'Data input'!sh_Home" display="+" xr:uid="{00000000-0004-0000-0200-00007B000000}"/>
    <hyperlink ref="A72" location="'Data input'!sh_Home" display="+" xr:uid="{00000000-0004-0000-0200-00007C000000}"/>
    <hyperlink ref="A73" location="'Data input'!sh_Home" display="+" xr:uid="{00000000-0004-0000-0200-00007D000000}"/>
    <hyperlink ref="A74" location="'Data input'!sh_Home" display="+" xr:uid="{00000000-0004-0000-0200-00007E000000}"/>
    <hyperlink ref="A75" location="'Data input'!sh_Home" display="+" xr:uid="{00000000-0004-0000-0200-00007F000000}"/>
    <hyperlink ref="A76" location="'Data input'!sh_Home" display="+" xr:uid="{00000000-0004-0000-0200-000080000000}"/>
    <hyperlink ref="A77" location="'Data input'!sh_Home" display="+" xr:uid="{00000000-0004-0000-0200-000081000000}"/>
    <hyperlink ref="B79" location="'Data input'!sh_Home" display="+" xr:uid="{00000000-0004-0000-0200-000082000000}"/>
    <hyperlink ref="B80" location="'Data input'!sh_Home" display="+" xr:uid="{00000000-0004-0000-0200-000083000000}"/>
    <hyperlink ref="B81" location="'Data input'!sh_Home" display="+" xr:uid="{00000000-0004-0000-0200-000084000000}"/>
    <hyperlink ref="A79" location="'Data input'!sh_Home" display="+" xr:uid="{00000000-0004-0000-0200-000085000000}"/>
    <hyperlink ref="A80" location="'Data input'!sh_Home" display="+" xr:uid="{00000000-0004-0000-0200-000086000000}"/>
    <hyperlink ref="A81" location="'Data input'!sh_Home" display="+" xr:uid="{00000000-0004-0000-0200-000087000000}"/>
    <hyperlink ref="B83" location="'Data input'!sh_Home" display="+" xr:uid="{00000000-0004-0000-0200-000088000000}"/>
    <hyperlink ref="B84" location="'Data input'!sh_Home" display="+" xr:uid="{00000000-0004-0000-0200-000089000000}"/>
    <hyperlink ref="B85" location="'Data input'!sh_Home" display="+" xr:uid="{00000000-0004-0000-0200-00008A000000}"/>
    <hyperlink ref="B86" location="'Data input'!sh_Home" display="+" xr:uid="{00000000-0004-0000-0200-00008B000000}"/>
    <hyperlink ref="B87" location="'Data input'!sh_Home" display="+" xr:uid="{00000000-0004-0000-0200-00008C000000}"/>
    <hyperlink ref="B88" location="'Data input'!sh_Home" display="+" xr:uid="{00000000-0004-0000-0200-00008D000000}"/>
    <hyperlink ref="B89" location="'Data input'!sh_Home" display="+" xr:uid="{00000000-0004-0000-0200-00008E000000}"/>
    <hyperlink ref="B90" location="'Data input'!sh_Home" display="+" xr:uid="{00000000-0004-0000-0200-00008F000000}"/>
    <hyperlink ref="B91" location="'Data input'!sh_Home" display="+" xr:uid="{00000000-0004-0000-0200-000090000000}"/>
    <hyperlink ref="A83" location="'Data input'!sh_Home" display="+" xr:uid="{00000000-0004-0000-0200-000091000000}"/>
    <hyperlink ref="A84" location="'Data input'!sh_Home" display="+" xr:uid="{00000000-0004-0000-0200-000092000000}"/>
    <hyperlink ref="A85" location="'Data input'!sh_Home" display="+" xr:uid="{00000000-0004-0000-0200-000093000000}"/>
    <hyperlink ref="A86" location="'Data input'!sh_Home" display="+" xr:uid="{00000000-0004-0000-0200-000094000000}"/>
    <hyperlink ref="A87" location="'Data input'!sh_Home" display="+" xr:uid="{00000000-0004-0000-0200-000095000000}"/>
    <hyperlink ref="A88" location="'Data input'!sh_Home" display="+" xr:uid="{00000000-0004-0000-0200-000096000000}"/>
    <hyperlink ref="A89" location="'Data input'!sh_Home" display="+" xr:uid="{00000000-0004-0000-0200-000097000000}"/>
    <hyperlink ref="A90" location="'Data input'!sh_Home" display="+" xr:uid="{00000000-0004-0000-0200-000098000000}"/>
    <hyperlink ref="A91" location="'Data input'!sh_Home" display="+" xr:uid="{00000000-0004-0000-0200-000099000000}"/>
    <hyperlink ref="B93" location="'Data input'!sh_Home" display="+" xr:uid="{00000000-0004-0000-0200-00009A000000}"/>
    <hyperlink ref="B94" location="'Data input'!sh_Home" display="+" xr:uid="{00000000-0004-0000-0200-00009B000000}"/>
    <hyperlink ref="B95" location="'Data input'!sh_Home" display="+" xr:uid="{00000000-0004-0000-0200-00009C000000}"/>
    <hyperlink ref="A93" location="'Data input'!sh_Home" display="+" xr:uid="{00000000-0004-0000-0200-00009D000000}"/>
    <hyperlink ref="A94" location="'Data input'!sh_Home" display="+" xr:uid="{00000000-0004-0000-0200-00009E000000}"/>
    <hyperlink ref="A95" location="'Data input'!sh_Home" display="+" xr:uid="{00000000-0004-0000-0200-00009F000000}"/>
    <hyperlink ref="B97" location="'Data input'!sh_Home" display="+" xr:uid="{00000000-0004-0000-0200-0000A0000000}"/>
    <hyperlink ref="B98" location="'Data input'!sh_Home" display="+" xr:uid="{00000000-0004-0000-0200-0000A1000000}"/>
    <hyperlink ref="B99" location="'Data input'!sh_Home" display="+" xr:uid="{00000000-0004-0000-0200-0000A2000000}"/>
    <hyperlink ref="B100" location="'Data input'!sh_Home" display="+" xr:uid="{00000000-0004-0000-0200-0000A3000000}"/>
    <hyperlink ref="B101" location="'Data input'!sh_Home" display="+" xr:uid="{00000000-0004-0000-0200-0000A4000000}"/>
    <hyperlink ref="B102" location="'Data input'!sh_Home" display="+" xr:uid="{00000000-0004-0000-0200-0000A5000000}"/>
    <hyperlink ref="B103" location="'Data input'!sh_Home" display="+" xr:uid="{00000000-0004-0000-0200-0000A6000000}"/>
    <hyperlink ref="B104" location="'Data input'!sh_Home" display="+" xr:uid="{00000000-0004-0000-0200-0000A7000000}"/>
    <hyperlink ref="B105" location="'Data input'!sh_Home" display="+" xr:uid="{00000000-0004-0000-0200-0000A8000000}"/>
    <hyperlink ref="A97" location="'Data input'!sh_Home" display="+" xr:uid="{00000000-0004-0000-0200-0000A9000000}"/>
    <hyperlink ref="A98" location="'Data input'!sh_Home" display="+" xr:uid="{00000000-0004-0000-0200-0000AA000000}"/>
    <hyperlink ref="A99" location="'Data input'!sh_Home" display="+" xr:uid="{00000000-0004-0000-0200-0000AB000000}"/>
    <hyperlink ref="A100" location="'Data input'!sh_Home" display="+" xr:uid="{00000000-0004-0000-0200-0000AC000000}"/>
    <hyperlink ref="A101" location="'Data input'!sh_Home" display="+" xr:uid="{00000000-0004-0000-0200-0000AD000000}"/>
    <hyperlink ref="A102" location="'Data input'!sh_Home" display="+" xr:uid="{00000000-0004-0000-0200-0000AE000000}"/>
    <hyperlink ref="A103" location="'Data input'!sh_Home" display="+" xr:uid="{00000000-0004-0000-0200-0000AF000000}"/>
    <hyperlink ref="A104" location="'Data input'!sh_Home" display="+" xr:uid="{00000000-0004-0000-0200-0000B0000000}"/>
    <hyperlink ref="A105" location="'Data input'!sh_Home" display="+" xr:uid="{00000000-0004-0000-0200-0000B1000000}"/>
    <hyperlink ref="B107" location="'Data input'!sh_Home" display="+" xr:uid="{00000000-0004-0000-0200-0000B2000000}"/>
    <hyperlink ref="B108" location="'Data input'!sh_Home" display="+" xr:uid="{00000000-0004-0000-0200-0000B3000000}"/>
    <hyperlink ref="B109" location="'Data input'!sh_Home" display="+" xr:uid="{00000000-0004-0000-0200-0000B4000000}"/>
    <hyperlink ref="B110" location="'Data input'!sh_Home" display="+" xr:uid="{00000000-0004-0000-0200-0000B5000000}"/>
    <hyperlink ref="A107" location="'Data input'!sh_Home" display="+" xr:uid="{00000000-0004-0000-0200-0000B6000000}"/>
    <hyperlink ref="A108" location="'Data input'!sh_Home" display="+" xr:uid="{00000000-0004-0000-0200-0000B7000000}"/>
    <hyperlink ref="A109" location="'Data input'!sh_Home" display="+" xr:uid="{00000000-0004-0000-0200-0000B8000000}"/>
    <hyperlink ref="A110" location="'Data input'!sh_Home" display="+" xr:uid="{00000000-0004-0000-0200-0000B9000000}"/>
    <hyperlink ref="B112" location="'Data input'!sh_Home" display="+" xr:uid="{00000000-0004-0000-0200-0000BA000000}"/>
    <hyperlink ref="B113" location="'Data input'!sh_Home" display="+" xr:uid="{00000000-0004-0000-0200-0000BB000000}"/>
    <hyperlink ref="B114" location="'Data input'!sh_Home" display="+" xr:uid="{00000000-0004-0000-0200-0000BC000000}"/>
    <hyperlink ref="B115" location="'Data input'!sh_Home" display="+" xr:uid="{00000000-0004-0000-0200-0000BD000000}"/>
    <hyperlink ref="A112" location="'Data input'!sh_Home" display="+" xr:uid="{00000000-0004-0000-0200-0000BE000000}"/>
    <hyperlink ref="A113" location="'Data input'!sh_Home" display="+" xr:uid="{00000000-0004-0000-0200-0000BF000000}"/>
    <hyperlink ref="A114" location="'Data input'!sh_Home" display="+" xr:uid="{00000000-0004-0000-0200-0000C0000000}"/>
    <hyperlink ref="A115" location="'Data input'!sh_Home" display="+" xr:uid="{00000000-0004-0000-0200-0000C1000000}"/>
    <hyperlink ref="B117" location="'Data input'!sh_Home" display="+" xr:uid="{00000000-0004-0000-0200-0000C2000000}"/>
    <hyperlink ref="B118" location="'Data input'!sh_Home" display="+" xr:uid="{00000000-0004-0000-0200-0000C3000000}"/>
    <hyperlink ref="B119" location="'Data input'!sh_Home" display="+" xr:uid="{00000000-0004-0000-0200-0000C4000000}"/>
    <hyperlink ref="A117" location="'Data input'!sh_Home" display="+" xr:uid="{00000000-0004-0000-0200-0000C5000000}"/>
    <hyperlink ref="A118" location="'Data input'!sh_Home" display="+" xr:uid="{00000000-0004-0000-0200-0000C6000000}"/>
    <hyperlink ref="A119" location="'Data input'!sh_Home" display="+" xr:uid="{00000000-0004-0000-0200-0000C7000000}"/>
    <hyperlink ref="B121" location="'Data input'!sh_Home" display="+" xr:uid="{00000000-0004-0000-0200-0000C8000000}"/>
    <hyperlink ref="B122" location="'Data input'!sh_Home" display="+" xr:uid="{00000000-0004-0000-0200-0000C9000000}"/>
    <hyperlink ref="B123" location="'Data input'!sh_Home" display="+" xr:uid="{00000000-0004-0000-0200-0000CA000000}"/>
    <hyperlink ref="A121" location="'Data input'!sh_Home" display="+" xr:uid="{00000000-0004-0000-0200-0000CB000000}"/>
    <hyperlink ref="A122" location="'Data input'!sh_Home" display="+" xr:uid="{00000000-0004-0000-0200-0000CC000000}"/>
    <hyperlink ref="A123" location="'Data input'!sh_Home" display="+" xr:uid="{00000000-0004-0000-0200-0000CD000000}"/>
    <hyperlink ref="B125" location="'Data input'!sh_Home" display="+" xr:uid="{00000000-0004-0000-0200-0000CE000000}"/>
    <hyperlink ref="B126" location="'Data input'!sh_Home" display="+" xr:uid="{00000000-0004-0000-0200-0000CF000000}"/>
    <hyperlink ref="B127" location="'Data input'!sh_Home" display="+" xr:uid="{00000000-0004-0000-0200-0000D0000000}"/>
    <hyperlink ref="A125" location="'Data input'!sh_Home" display="+" xr:uid="{00000000-0004-0000-0200-0000D1000000}"/>
    <hyperlink ref="A126" location="'Data input'!sh_Home" display="+" xr:uid="{00000000-0004-0000-0200-0000D2000000}"/>
    <hyperlink ref="A127" location="'Data input'!sh_Home" display="+" xr:uid="{00000000-0004-0000-0200-0000D3000000}"/>
    <hyperlink ref="B129" location="'Data input'!sh_Home" display="+" xr:uid="{00000000-0004-0000-0200-0000D4000000}"/>
    <hyperlink ref="A129" location="'Data input'!sh_Home" display="+" xr:uid="{00000000-0004-0000-0200-0000D5000000}"/>
    <hyperlink ref="B35" location="'Data input'!sh_Home" display="+" xr:uid="{00000000-0004-0000-0200-0000DB000000}"/>
    <hyperlink ref="A35" location="'Data input'!sh_Home" display="+" xr:uid="{00000000-0004-0000-0200-0000DC000000}"/>
    <hyperlink ref="B65" location="'Data input'!sh_Home" display="+" xr:uid="{00000000-0004-0000-0200-0000DD000000}"/>
    <hyperlink ref="A65" location="'Data input'!sh_Home" display="+" xr:uid="{00000000-0004-0000-0200-0000DE000000}"/>
    <hyperlink ref="B135" location="'Data input'!sh_Home" display="+" xr:uid="{032203C7-5682-4ABC-86C2-CBF7808120FA}"/>
    <hyperlink ref="A135" location="'Data input'!sh_Home" display="+" xr:uid="{A6074213-B4EB-4F18-BA0C-A8F4F1FF9204}"/>
    <hyperlink ref="B136" location="'Data input'!sh_Home" display="+" xr:uid="{FDFF3C30-7C6B-4D2F-9145-400D17C302B2}"/>
    <hyperlink ref="A136" location="'Data input'!sh_Home" display="+" xr:uid="{30C17672-06F9-4E4B-84DF-49694A8346EC}"/>
  </hyperlinks>
  <pageMargins left="0.7" right="0.7" top="0.75" bottom="0.75" header="0.3" footer="0.3"/>
  <pageSetup orientation="portrait" copies="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oping_Input">
    <pageSetUpPr autoPageBreaks="0"/>
  </sheetPr>
  <dimension ref="A1:U27"/>
  <sheetViews>
    <sheetView showGridLines="0" tabSelected="1" workbookViewId="0">
      <pane xSplit="6" ySplit="11" topLeftCell="G12" activePane="bottomRight" state="frozen"/>
      <selection pane="topRight" activeCell="G1" sqref="G1"/>
      <selection pane="bottomLeft" activeCell="A12" sqref="A12"/>
      <selection pane="bottomRight" activeCell="K12" sqref="K12"/>
    </sheetView>
  </sheetViews>
  <sheetFormatPr defaultRowHeight="11.25" x14ac:dyDescent="0.2"/>
  <cols>
    <col min="1" max="1" width="3.83203125" customWidth="1"/>
    <col min="2" max="2" width="12.83203125" customWidth="1"/>
    <col min="3" max="4" width="30.83203125" customWidth="1"/>
    <col min="5" max="5" width="25.83203125" customWidth="1"/>
    <col min="7" max="8" width="25.83203125" customWidth="1"/>
    <col min="9" max="9" width="12.83203125" customWidth="1"/>
    <col min="10" max="10" width="25.83203125" customWidth="1"/>
    <col min="11" max="11" width="45.83203125" customWidth="1"/>
    <col min="12" max="13" width="25.83203125" customWidth="1"/>
    <col min="14" max="14" width="80.83203125" customWidth="1"/>
    <col min="15" max="15" width="3.83203125" customWidth="1"/>
    <col min="16" max="16" width="25.83203125" hidden="1" customWidth="1"/>
    <col min="17" max="17" width="9.33203125" hidden="1" customWidth="1"/>
    <col min="18" max="18" width="9.33203125" customWidth="1"/>
    <col min="19" max="19" width="67.1640625" hidden="1" customWidth="1"/>
    <col min="20" max="20" width="8.1640625" hidden="1" customWidth="1"/>
    <col min="21" max="21" width="6" hidden="1" customWidth="1"/>
    <col min="22" max="22" width="6" customWidth="1"/>
  </cols>
  <sheetData>
    <row r="1" spans="1:21" x14ac:dyDescent="0.2">
      <c r="A1" s="48"/>
      <c r="S1" t="str">
        <f>_sheetContentTranslation_A_135</f>
        <v>Type</v>
      </c>
      <c r="T1" t="str">
        <f>_sheetContentTranslation_A_136</f>
        <v>Address</v>
      </c>
      <c r="U1" t="str">
        <f>_sheetContentTranslation_A_137</f>
        <v>Ticker</v>
      </c>
    </row>
    <row r="2" spans="1:21" ht="15.75" x14ac:dyDescent="0.25">
      <c r="A2" s="48"/>
      <c r="B2" s="1" t="str">
        <f>_sheetContentTranslation_A_138</f>
        <v>Scoping input</v>
      </c>
    </row>
    <row r="3" spans="1:21" x14ac:dyDescent="0.2">
      <c r="A3" s="48"/>
    </row>
    <row r="4" spans="1:21" ht="15" customHeight="1" x14ac:dyDescent="0.2">
      <c r="A4" s="48"/>
      <c r="B4" s="166" t="str">
        <f>_sheetContentTranslation_A_33</f>
        <v>Name of group</v>
      </c>
      <c r="C4" s="166"/>
      <c r="D4" s="127" t="str">
        <f>IF(Data_Engagement_Name="","",Data_Engagement_Name)</f>
        <v/>
      </c>
    </row>
    <row r="5" spans="1:21" ht="15" customHeight="1" x14ac:dyDescent="0.2">
      <c r="A5" s="48"/>
      <c r="B5" s="166" t="str">
        <f>_sheetContentTranslation_A_34</f>
        <v>Group period-end date</v>
      </c>
      <c r="C5" s="166"/>
      <c r="D5" s="140" t="str">
        <f>IF(Data_Period_End="","",Data_Period_End)</f>
        <v/>
      </c>
    </row>
    <row r="6" spans="1:21" ht="15" customHeight="1" x14ac:dyDescent="0.2">
      <c r="A6" s="48"/>
      <c r="B6" s="167" t="str">
        <f>_sheetContentTranslation_A_139</f>
        <v>Group materiality</v>
      </c>
      <c r="C6" s="167"/>
      <c r="D6" s="126"/>
      <c r="L6" s="151"/>
      <c r="M6" s="151"/>
    </row>
    <row r="7" spans="1:21" ht="15" customHeight="1" x14ac:dyDescent="0.2">
      <c r="A7" s="48"/>
      <c r="B7" s="167" t="str">
        <f>_sheetContentTranslation_A_140</f>
        <v>Group performance materiality</v>
      </c>
      <c r="C7" s="167"/>
      <c r="D7" s="126"/>
    </row>
    <row r="8" spans="1:21" x14ac:dyDescent="0.2">
      <c r="A8" s="48"/>
    </row>
    <row r="9" spans="1:21" ht="12.75" x14ac:dyDescent="0.2">
      <c r="A9" s="48"/>
      <c r="E9" s="168"/>
      <c r="F9" s="168"/>
      <c r="L9" s="152"/>
      <c r="M9" s="152"/>
      <c r="P9" s="169" t="str">
        <f>_sheetContentTranslation_A_36</f>
        <v>x</v>
      </c>
      <c r="Q9" s="169"/>
    </row>
    <row r="10" spans="1:21" ht="12.75" x14ac:dyDescent="0.2">
      <c r="A10" s="48"/>
      <c r="D10" s="131" t="str">
        <f>_sheetContentTranslation_A_141</f>
        <v>+ Add benchmark</v>
      </c>
      <c r="E10" s="173" t="str">
        <f>_sheetContentTranslation_A_142</f>
        <v>Benchmark amount</v>
      </c>
      <c r="F10" s="174"/>
      <c r="G10" s="173" t="str">
        <f>_sheetContentTranslation_A_143</f>
        <v>Equity method investments</v>
      </c>
      <c r="H10" s="174"/>
      <c r="I10" s="174"/>
      <c r="N10" s="128" t="str">
        <f>_sheetContentTranslation_A_144</f>
        <v>!</v>
      </c>
      <c r="P10" s="173" t="str">
        <f>_sheetContentTranslation_A_142</f>
        <v>Benchmark amount</v>
      </c>
      <c r="Q10" s="174"/>
    </row>
    <row r="11" spans="1:21" ht="33.75" x14ac:dyDescent="0.2">
      <c r="A11" s="48"/>
      <c r="B11" s="139" t="str">
        <f>_sheetContentTranslation_A_145</f>
        <v>Component Reference</v>
      </c>
      <c r="C11" s="139" t="str">
        <f>_sheetContentTranslation_A_42</f>
        <v>Component name</v>
      </c>
      <c r="D11" s="139" t="str">
        <f>_sheetContentTranslation_A_43</f>
        <v>Component type</v>
      </c>
      <c r="E11" s="175"/>
      <c r="F11" s="175"/>
      <c r="G11" s="123" t="str">
        <f>_sheetContentTranslation_A_146</f>
        <v>Amount of equity method investment (financial position)</v>
      </c>
      <c r="H11" s="123" t="str">
        <f>_sheetContentTranslation_A_147</f>
        <v>Amount of equity method investment (profit or loss)</v>
      </c>
      <c r="I11" s="123" t="str">
        <f>_sheetContentTranslation_A_148</f>
        <v>Ownership percentage</v>
      </c>
      <c r="J11" s="139" t="str">
        <f>_sheetContentTranslation_A_149</f>
        <v>Purpose of component scoping</v>
      </c>
      <c r="K11" s="139" t="str">
        <f>Translation!A150</f>
        <v>Type of work to be performed</v>
      </c>
      <c r="L11" s="139" t="str">
        <f>_sheetContentTranslation_A_153</f>
        <v>Component performance materiality</v>
      </c>
      <c r="M11" s="139" t="str">
        <f>_sheetContentTranslation_A_217</f>
        <v>Describe significant risk impacting the component, if any</v>
      </c>
      <c r="N11" s="139" t="str">
        <f>_sheetContentTranslation_A_157</f>
        <v>Significant professional judgments or other comments, if any</v>
      </c>
      <c r="P11" s="175"/>
      <c r="Q11" s="175"/>
      <c r="S11" t="s">
        <v>23</v>
      </c>
      <c r="U11" s="69">
        <v>58</v>
      </c>
    </row>
    <row r="12" spans="1:21" ht="14.25" customHeight="1" x14ac:dyDescent="0.2">
      <c r="A12" s="48"/>
      <c r="B12" s="2">
        <v>1</v>
      </c>
      <c r="C12" s="4" t="str">
        <f>IFERROR(IF(INDEX('Data input'!$C$8:$H$10,MATCH('Scoping input'!C$11,'Data input'!$C$8:$C$10,0),MATCH('Scoping input'!$B12,'Data input'!$C$8:$H$8,0))="","",INDEX('Data input'!$C$8:$H$10,MATCH('Scoping input'!C$11,'Data input'!$C$8:$C$10,0),MATCH('Scoping input'!$B12,'Data input'!$C$8:$H$8,0))),"")</f>
        <v/>
      </c>
      <c r="D12" s="4" t="str">
        <f>IFERROR(IF(INDEX('Data input'!$C$8:$H$10,MATCH('Scoping input'!D$11,'Data input'!$C$8:$C$10,0),MATCH('Scoping input'!$B12,'Data input'!$C$8:$H$8,0))="","",INDEX('Data input'!$C$8:$H$10,MATCH('Scoping input'!D$11,'Data input'!$C$8:$C$10,0),MATCH('Scoping input'!$B12,'Data input'!$C$8:$H$8,0))),"")</f>
        <v/>
      </c>
      <c r="E12" s="5">
        <f ca="1">IFERROR(SUMIFS(OFFSET('Data input'!$C:$C,,MATCH('Scoping input'!$B12,'Data input'!$C$8:$H$8,0)-1,,),'Data input'!$C:$C,'Scoping input'!E$11),"")</f>
        <v>0</v>
      </c>
      <c r="F12" s="108" t="str">
        <f ca="1">IFERROR(E12/E$17,"")</f>
        <v/>
      </c>
      <c r="G12" s="5" t="s">
        <v>24</v>
      </c>
      <c r="H12" s="5" t="s">
        <v>24</v>
      </c>
      <c r="I12" s="109" t="s">
        <v>24</v>
      </c>
      <c r="J12" s="33"/>
      <c r="K12" s="33"/>
      <c r="L12" s="153" t="s">
        <v>24</v>
      </c>
      <c r="M12" s="34"/>
      <c r="N12" s="33"/>
      <c r="O12" s="3" t="str">
        <f>_sheetContentTranslation_A_36</f>
        <v>x</v>
      </c>
      <c r="P12" s="5">
        <f ca="1">IFERROR(SUMIFS(OFFSET('Data input'!$C:$C,,MATCH('Scoping input'!$B12,'Data input'!$C$8:$H$8,0)-1,,),'Data input'!$C:$C,'Scoping input'!P$11),"")</f>
        <v>0</v>
      </c>
      <c r="Q12" s="108" t="str">
        <f ca="1">IFERROR(P12/P$17,"")</f>
        <v/>
      </c>
      <c r="T12" t="str">
        <f>_sheetContentTranslation_A_185&amp;U12</f>
        <v>Comp_</v>
      </c>
    </row>
    <row r="13" spans="1:21" ht="14.25" customHeight="1" x14ac:dyDescent="0.2">
      <c r="L13" s="113"/>
      <c r="M13" s="113"/>
      <c r="U13">
        <v>9</v>
      </c>
    </row>
    <row r="14" spans="1:21" ht="15" hidden="1" x14ac:dyDescent="0.2">
      <c r="A14" s="48"/>
      <c r="B14" s="2"/>
      <c r="C14" s="4" t="str">
        <f>IFERROR(IF(INDEX('Data input'!$C$8:$H$10,MATCH('Scoping input'!C$11,'Data input'!$C$8:$C$10,0),MATCH('Scoping input'!$B14,'Data input'!$C$8:$H$8,0))="","",INDEX('Data input'!$C$8:$H$10,MATCH('Scoping input'!C$11,'Data input'!$C$8:$C$10,0),MATCH('Scoping input'!$B14,'Data input'!$C$8:$H$8,0))),"")</f>
        <v/>
      </c>
      <c r="D14" s="4" t="str">
        <f>IFERROR(IF(INDEX('Data input'!$C$8:$H$10,MATCH('Scoping input'!D$11,'Data input'!$C$8:$C$10,0),MATCH('Scoping input'!$B14,'Data input'!$C$8:$H$8,0))="","",INDEX('Data input'!$C$8:$H$10,MATCH('Scoping input'!D$11,'Data input'!$C$8:$C$10,0),MATCH('Scoping input'!$B14,'Data input'!$C$8:$H$8,0))),"")</f>
        <v/>
      </c>
      <c r="E14" s="5" t="str">
        <f ca="1">IFERROR(SUMIFS(OFFSET('Data input'!$C:$C,,MATCH('Scoping input'!$B14,'Data input'!$C$8:$H$8,0)-1,,),'Data input'!$C:$C,'Scoping input'!E$11),"")</f>
        <v/>
      </c>
      <c r="F14" s="108" t="str">
        <f ca="1">IFERROR(E14/E$17,"")</f>
        <v/>
      </c>
      <c r="G14" s="5" t="str">
        <f>_sheetContentTranslation_A_158</f>
        <v>N/A</v>
      </c>
      <c r="H14" s="5" t="str">
        <f>_sheetContentTranslation_A_158</f>
        <v>N/A</v>
      </c>
      <c r="I14" s="109" t="str">
        <f>_sheetContentTranslation_A_158</f>
        <v>N/A</v>
      </c>
      <c r="J14" s="33"/>
      <c r="K14" s="33"/>
      <c r="L14" s="133" t="str">
        <f>_sheetContentTranslation_A_158</f>
        <v>N/A</v>
      </c>
      <c r="M14" s="133"/>
      <c r="N14" s="33"/>
      <c r="O14" s="3" t="str">
        <f>_sheetContentTranslation_A_36</f>
        <v>x</v>
      </c>
      <c r="P14" s="5" t="str">
        <f ca="1">IFERROR(SUMIFS(OFFSET('Data input'!$C:$C,,MATCH('Scoping input'!$B14,'Data input'!$C$8:$H$8,0)-1,,),'Data input'!$C:$C,'Scoping input'!P$11),"")</f>
        <v/>
      </c>
      <c r="Q14" s="108" t="str">
        <f ca="1">IFERROR(P14/P$17,"")</f>
        <v/>
      </c>
      <c r="T14" t="str">
        <f>_sheetContentTranslation_A_185&amp;U14</f>
        <v>Comp_</v>
      </c>
    </row>
    <row r="15" spans="1:21" ht="14.25" customHeight="1" x14ac:dyDescent="0.2">
      <c r="A15" s="48"/>
      <c r="B15" s="170" t="str">
        <f>_sheetContentTranslation_A_39</f>
        <v>Adjustments</v>
      </c>
      <c r="C15" s="171"/>
      <c r="D15" s="172"/>
      <c r="E15" s="5">
        <f ca="1">SUMIFS(OFFSET('Data input'!$C:$C,,MATCH('Scoping input'!$B15,'Data input'!$C$8:$I$8,0)-1,,),'Data input'!$C:$C,'Scoping input'!E$11)</f>
        <v>0</v>
      </c>
      <c r="F15" s="109" t="str">
        <f ca="1">IFERROR(E15/E$17,"")</f>
        <v/>
      </c>
      <c r="P15" s="5">
        <f ca="1">SUMIFS(OFFSET('Data input'!$C:$C,,MATCH('Scoping input'!$B15,'Data input'!$C$8:$I$8,0)-1,,),'Data input'!$C:$C,'Scoping input'!P$11)</f>
        <v>0</v>
      </c>
      <c r="Q15" s="109" t="str">
        <f ca="1">IFERROR(P15/P$17,"")</f>
        <v/>
      </c>
    </row>
    <row r="16" spans="1:21" ht="15" customHeight="1" x14ac:dyDescent="0.2">
      <c r="A16" s="48"/>
      <c r="B16" s="170" t="str">
        <f>_sheetContentTranslation_A_40</f>
        <v>Eliminations</v>
      </c>
      <c r="C16" s="171"/>
      <c r="D16" s="172"/>
      <c r="E16" s="5">
        <f ca="1">SUMIFS(OFFSET('Data input'!$C:$C,,MATCH('Scoping input'!$B16,'Data input'!$C$8:$I$8,0)-1,,),'Data input'!$C:$C,'Scoping input'!E$11)</f>
        <v>0</v>
      </c>
      <c r="F16" s="109" t="str">
        <f ca="1">IFERROR(E16/E$17,"")</f>
        <v/>
      </c>
      <c r="P16" s="5">
        <f ca="1">SUMIFS(OFFSET('Data input'!$C:$C,,MATCH('Scoping input'!$B16,'Data input'!$C$8:$I$8,0)-1,,),'Data input'!$C:$C,'Scoping input'!P$11)</f>
        <v>0</v>
      </c>
      <c r="Q16" s="109" t="str">
        <f ca="1">IFERROR(P16/P$17,"")</f>
        <v/>
      </c>
    </row>
    <row r="17" spans="1:17" ht="15" customHeight="1" x14ac:dyDescent="0.2">
      <c r="A17" s="48"/>
      <c r="B17" s="170" t="str">
        <f>_sheetContentTranslation_A_41</f>
        <v>Consolidated total</v>
      </c>
      <c r="C17" s="171"/>
      <c r="D17" s="172"/>
      <c r="E17" s="5">
        <f ca="1">SUM(E$12:E$16)</f>
        <v>0</v>
      </c>
      <c r="F17" s="109" t="str">
        <f ca="1">IFERROR(E17/E$17,"")</f>
        <v/>
      </c>
      <c r="P17" s="5">
        <f ca="1">SUM(P$12:P$16)</f>
        <v>0</v>
      </c>
      <c r="Q17" s="109" t="str">
        <f ca="1">IFERROR(P17/P$17,"")</f>
        <v/>
      </c>
    </row>
    <row r="27" spans="1:17" ht="22.5" customHeight="1" x14ac:dyDescent="0.2"/>
  </sheetData>
  <sheetProtection algorithmName="SHA-512" hashValue="f5jcaz2yTZkdd9N46/B/wRZ0Wke51VkQFDD1weOB/5suyPYJafLL3PnifXdJSR78/kPfiQjYOHYf8J0CSbX3uA==" saltValue="sNpTC78cJTpdyNMVWBsOSQ==" spinCount="100000" sheet="1" objects="1" scenarios="1" formatCells="0" formatRows="0" insertRows="0" deleteRows="0"/>
  <mergeCells count="14">
    <mergeCell ref="P9:Q9"/>
    <mergeCell ref="B15:D15"/>
    <mergeCell ref="B16:D16"/>
    <mergeCell ref="B17:D17"/>
    <mergeCell ref="P10:Q10"/>
    <mergeCell ref="P11:Q11"/>
    <mergeCell ref="E11:F11"/>
    <mergeCell ref="E10:F10"/>
    <mergeCell ref="G10:I10"/>
    <mergeCell ref="B4:C4"/>
    <mergeCell ref="B5:C5"/>
    <mergeCell ref="B6:C6"/>
    <mergeCell ref="E9:F9"/>
    <mergeCell ref="B7:C7"/>
  </mergeCells>
  <conditionalFormatting sqref="D7 L14:M14 J12:M12">
    <cfRule type="expression" dxfId="13" priority="912">
      <formula>D7=""</formula>
    </cfRule>
  </conditionalFormatting>
  <conditionalFormatting sqref="E11:F11">
    <cfRule type="expression" dxfId="12" priority="907">
      <formula>E11=""</formula>
    </cfRule>
  </conditionalFormatting>
  <conditionalFormatting sqref="D6">
    <cfRule type="expression" dxfId="11" priority="897">
      <formula>D6=""</formula>
    </cfRule>
  </conditionalFormatting>
  <conditionalFormatting sqref="J14:K14">
    <cfRule type="expression" dxfId="10" priority="398">
      <formula>J14=""</formula>
    </cfRule>
  </conditionalFormatting>
  <conditionalFormatting sqref="P11:Q11">
    <cfRule type="expression" dxfId="9" priority="378">
      <formula>P11=""</formula>
    </cfRule>
  </conditionalFormatting>
  <conditionalFormatting sqref="G14:I14 G12:I12">
    <cfRule type="containsBlanks" dxfId="8" priority="223">
      <formula>LEN(TRIM(G12))=0</formula>
    </cfRule>
  </conditionalFormatting>
  <conditionalFormatting sqref="E12:F12">
    <cfRule type="expression" dxfId="7" priority="924" stopIfTrue="1">
      <formula>$D12=_sheetContentTranslation_A_183</formula>
    </cfRule>
  </conditionalFormatting>
  <conditionalFormatting sqref="E15:E17">
    <cfRule type="expression" dxfId="6" priority="925" stopIfTrue="1">
      <formula>$D33=_sheetContentTranslation_A_183</formula>
    </cfRule>
  </conditionalFormatting>
  <conditionalFormatting sqref="E14:F14">
    <cfRule type="expression" dxfId="5" priority="929" stopIfTrue="1">
      <formula>$D14=_sheetContentTranslation_A_183</formula>
    </cfRule>
  </conditionalFormatting>
  <conditionalFormatting sqref="P12:Q12">
    <cfRule type="expression" dxfId="4" priority="930" stopIfTrue="1">
      <formula>$D12=_sheetContentTranslation_A_183</formula>
    </cfRule>
  </conditionalFormatting>
  <conditionalFormatting sqref="P15:P17">
    <cfRule type="expression" dxfId="3" priority="931" stopIfTrue="1">
      <formula>$D33=_sheetContentTranslation_A_183</formula>
    </cfRule>
  </conditionalFormatting>
  <conditionalFormatting sqref="P14:Q14">
    <cfRule type="expression" dxfId="2" priority="934" stopIfTrue="1">
      <formula>$D14=_sheetContentTranslation_A_183</formula>
    </cfRule>
  </conditionalFormatting>
  <conditionalFormatting sqref="G12:H12">
    <cfRule type="expression" dxfId="1" priority="961" stopIfTrue="1">
      <formula>#REF!=_sheetContentTranslation_A_183</formula>
    </cfRule>
  </conditionalFormatting>
  <conditionalFormatting sqref="G14:H14">
    <cfRule type="expression" dxfId="0" priority="962" stopIfTrue="1">
      <formula>#REF!=_sheetContentTranslation_A_183</formula>
    </cfRule>
  </conditionalFormatting>
  <dataValidations xWindow="1513" yWindow="420" count="6">
    <dataValidation type="custom" allowBlank="1" showInputMessage="1" showErrorMessage="1" errorTitle="Number" error="Value must be a number." sqref="D6" xr:uid="{00000000-0002-0000-0300-000003000000}">
      <formula1>ISNUMBER(D6)</formula1>
    </dataValidation>
    <dataValidation allowBlank="1" showInputMessage="1" showErrorMessage="1" errorTitle="Number" error="Value must be a number." sqref="E14 G14:I14 P14 E12 G12:I12 P12" xr:uid="{00000000-0002-0000-0300-000004000000}"/>
    <dataValidation type="decimal" allowBlank="1" showInputMessage="1" showErrorMessage="1" errorTitle="Group performance materiality" error="Group performance materiality must be greater than zero and less than 75% of group materiality." sqref="D7" xr:uid="{00000000-0002-0000-0300-000005000000}">
      <formula1>0.001</formula1>
      <formula2>Scoping_Group_Materiality*0.75</formula2>
    </dataValidation>
    <dataValidation allowBlank="1" showInputMessage="1" showErrorMessage="1" prompt="Such as matters related to type of work to be performed on components, or component performance materiality considerations (e.g. cases when lower component performance materiality for a class of transactions, account balance or disclosure is determined)." sqref="N10" xr:uid="{B78390FF-3588-41BE-B999-53FEFE86EC36}"/>
    <dataValidation type="list" allowBlank="1" showInputMessage="1" showErrorMessage="1" sqref="J14 J12" xr:uid="{1D3CE708-B7B2-4CFD-AD89-EDAC01C24FA5}">
      <formula1>PurposeOfScoping</formula1>
    </dataValidation>
    <dataValidation type="custom" allowBlank="1" showInputMessage="1" showErrorMessage="1" error="Enter a component performance materiality amount greater than zero, and less than group performance materiality" sqref="L12:L14 M13" xr:uid="{17848E1B-E33D-45F1-8BCF-44D3D67E87F7}">
      <formula1>OR(D12=Equity_method_investment,L12=NotApplicable,L12-Scoping_Group_PM&lt;=0)</formula1>
    </dataValidation>
  </dataValidations>
  <hyperlinks>
    <hyperlink ref="P9:Q9" location="'Scoping input'!sh_Home" display="x" xr:uid="{00000000-0004-0000-0300-000000000000}"/>
    <hyperlink ref="D10" location="'Scoping input'!sh_Home" display="+" xr:uid="{00000000-0004-0000-0300-000001000000}"/>
  </hyperlinks>
  <pageMargins left="0.7" right="0.7" top="0.75" bottom="0.75" header="0.3" footer="0.3"/>
  <pageSetup orientation="portrait" copies="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ummary"/>
  <dimension ref="B1:T129"/>
  <sheetViews>
    <sheetView showGridLines="0" zoomScaleNormal="100" workbookViewId="0">
      <pane xSplit="2" ySplit="9" topLeftCell="E33" activePane="bottomRight" state="frozen"/>
      <selection pane="topRight" activeCell="C1" sqref="C1"/>
      <selection pane="bottomLeft" activeCell="A10" sqref="A10"/>
      <selection pane="bottomRight"/>
    </sheetView>
  </sheetViews>
  <sheetFormatPr defaultRowHeight="11.25" outlineLevelCol="1" x14ac:dyDescent="0.2"/>
  <cols>
    <col min="1" max="1" width="3.83203125" customWidth="1"/>
    <col min="2" max="2" width="35.83203125" customWidth="1"/>
    <col min="3" max="5" width="20.83203125" customWidth="1"/>
    <col min="6" max="6" width="3.83203125" customWidth="1"/>
    <col min="7" max="10" width="20.83203125" customWidth="1"/>
    <col min="11" max="11" width="3.83203125" customWidth="1" outlineLevel="1"/>
    <col min="12" max="13" width="20.83203125" customWidth="1"/>
    <col min="14" max="14" width="3.83203125" customWidth="1"/>
    <col min="15" max="17" width="50.83203125" customWidth="1"/>
    <col min="19" max="19" width="20.83203125" hidden="1" customWidth="1"/>
  </cols>
  <sheetData>
    <row r="1" spans="2:19" x14ac:dyDescent="0.2">
      <c r="R1" s="48"/>
    </row>
    <row r="2" spans="2:19" ht="15.75" x14ac:dyDescent="0.25">
      <c r="B2" s="1" t="str">
        <f>_sheetContentTranslation_A_160</f>
        <v>Summary by type of work to be performed report</v>
      </c>
      <c r="R2" s="48"/>
    </row>
    <row r="3" spans="2:19" x14ac:dyDescent="0.2">
      <c r="R3" s="48"/>
    </row>
    <row r="4" spans="2:19" ht="15" customHeight="1" x14ac:dyDescent="0.2">
      <c r="B4" s="138" t="str">
        <f>_sheetContentTranslation_A_33</f>
        <v>Name of group</v>
      </c>
      <c r="C4" s="176" t="str">
        <f>IF(Data_Engagement_Name="","",Data_Engagement_Name)</f>
        <v/>
      </c>
      <c r="D4" s="176"/>
      <c r="R4" s="48"/>
    </row>
    <row r="5" spans="2:19" ht="15" customHeight="1" x14ac:dyDescent="0.2">
      <c r="B5" s="138" t="str">
        <f>_sheetContentTranslation_A_34</f>
        <v>Group period-end date</v>
      </c>
      <c r="C5" s="177" t="str">
        <f>IF(Data_Period_End="","",Data_Period_End)</f>
        <v/>
      </c>
      <c r="D5" s="177"/>
      <c r="L5" s="165" t="str">
        <f>_sheetContentTranslation_A_163</f>
        <v>Sum of amounts included in an audit of financial information, specified audit procedures (designed by component auditor) and specified audit procedures (designed by group auditor)</v>
      </c>
      <c r="M5" s="165"/>
      <c r="R5" s="48"/>
    </row>
    <row r="6" spans="2:19" ht="15" customHeight="1" x14ac:dyDescent="0.2">
      <c r="L6" s="165"/>
      <c r="M6" s="165"/>
      <c r="R6" s="48"/>
    </row>
    <row r="7" spans="2:19" ht="12.75" x14ac:dyDescent="0.2">
      <c r="L7" s="165"/>
      <c r="M7" s="165"/>
      <c r="Q7" s="128" t="str">
        <f>_sheetContentTranslation_A_144</f>
        <v>!</v>
      </c>
      <c r="R7" s="48"/>
    </row>
    <row r="8" spans="2:19" ht="12.75" customHeight="1" x14ac:dyDescent="0.25">
      <c r="I8" s="134" t="str">
        <f>_sheetContentTranslation_A_144</f>
        <v>!</v>
      </c>
      <c r="J8" s="134" t="str">
        <f>_sheetContentTranslation_A_144</f>
        <v>!</v>
      </c>
      <c r="L8" s="165"/>
      <c r="M8" s="165"/>
      <c r="O8" s="178" t="str">
        <f>_sheetContentTranslation_A_164</f>
        <v>Notes</v>
      </c>
      <c r="P8" s="178"/>
      <c r="Q8" s="178"/>
      <c r="R8" s="48"/>
    </row>
    <row r="9" spans="2:19" ht="56.25" customHeight="1" x14ac:dyDescent="0.2">
      <c r="B9" s="139"/>
      <c r="C9" s="123" t="str">
        <f>_sheetContentTranslation_A_41</f>
        <v>Consolidated total</v>
      </c>
      <c r="D9" s="123" t="str">
        <f>_sheetContentTranslation_A_40</f>
        <v>Eliminations</v>
      </c>
      <c r="E9" s="123" t="str">
        <f>_sheetContentTranslation_A_39</f>
        <v>Adjustments</v>
      </c>
      <c r="F9" s="50"/>
      <c r="G9" s="123" t="str">
        <f>_sheetContentTranslation_A_165</f>
        <v>Audit of financial information - assume responsibility</v>
      </c>
      <c r="H9" s="123" t="str">
        <f>_sheetContentTranslation_A_166</f>
        <v>Audit of financial information - make reference</v>
      </c>
      <c r="I9" s="123" t="str">
        <f>_sheetContentTranslation_A_167</f>
        <v>Specified audit procedures - designed by component auditors</v>
      </c>
      <c r="J9" s="123" t="str">
        <f>_sheetContentTranslation_A_168</f>
        <v>Specified audit procedures - designed by group auditors</v>
      </c>
      <c r="K9" s="50"/>
      <c r="L9" s="123" t="str">
        <f>_sheetContentTranslation_A_171</f>
        <v>Amount</v>
      </c>
      <c r="M9" s="123" t="str">
        <f>_sheetContentTranslation_A_172</f>
        <v>Amount (%)</v>
      </c>
      <c r="N9" s="50"/>
      <c r="O9" s="123" t="str">
        <f>_sheetContentTranslation_A_173</f>
        <v>Areas in which substantive procedures or tests of controls will be performed by group auditor</v>
      </c>
      <c r="P9" s="123" t="str">
        <f>_sheetContentTranslation_A_174</f>
        <v>Nonsubstantive analytical procedures to be performed by group auditor at component level</v>
      </c>
      <c r="Q9" s="123" t="str">
        <f>_sheetContentTranslation_A_157</f>
        <v>Significant professional judgments or other comments, if any</v>
      </c>
      <c r="R9" s="48"/>
      <c r="S9" s="123"/>
    </row>
    <row r="10" spans="2:19" ht="16.5" thickBot="1" x14ac:dyDescent="0.25">
      <c r="B10" s="14" t="str">
        <f>IF('Data input'!$C13="","",'Data input'!$C13)</f>
        <v>Balance sheet</v>
      </c>
      <c r="C10" s="14"/>
      <c r="D10" s="14"/>
      <c r="E10" s="14"/>
      <c r="F10" s="50"/>
      <c r="G10" s="14"/>
      <c r="H10" s="14"/>
      <c r="I10" s="24"/>
      <c r="J10" s="24"/>
      <c r="K10" s="50"/>
      <c r="L10" s="14"/>
      <c r="M10" s="14"/>
      <c r="N10" s="50"/>
      <c r="O10" s="24"/>
      <c r="P10" s="24"/>
      <c r="Q10" s="24"/>
      <c r="R10" s="48"/>
      <c r="S10" s="14"/>
    </row>
    <row r="11" spans="2:19" x14ac:dyDescent="0.2">
      <c r="B11" s="15" t="str">
        <f>IF('Data input'!$C14="","",'Data input'!$C14)</f>
        <v/>
      </c>
      <c r="C11" s="15"/>
      <c r="D11" s="15"/>
      <c r="E11" s="15"/>
      <c r="F11" s="50"/>
      <c r="G11" s="15"/>
      <c r="H11" s="15"/>
      <c r="I11" s="58"/>
      <c r="J11" s="58"/>
      <c r="K11" s="50"/>
      <c r="L11" s="15"/>
      <c r="M11" s="15"/>
      <c r="N11" s="50"/>
      <c r="O11" s="29"/>
      <c r="P11" s="29"/>
      <c r="Q11" s="29"/>
      <c r="R11" s="48"/>
      <c r="S11" s="15"/>
    </row>
    <row r="12" spans="2:19" x14ac:dyDescent="0.2">
      <c r="B12" s="16" t="str">
        <f>IF('Data input'!$C15="","",'Data input'!$C15)</f>
        <v>Current assets</v>
      </c>
      <c r="C12" s="16"/>
      <c r="D12" s="16"/>
      <c r="E12" s="16"/>
      <c r="F12" s="50"/>
      <c r="G12" s="23"/>
      <c r="H12" s="23"/>
      <c r="I12" s="58"/>
      <c r="J12" s="58"/>
      <c r="K12" s="50"/>
      <c r="L12" s="16"/>
      <c r="M12" s="16"/>
      <c r="N12" s="50"/>
      <c r="O12" s="31"/>
      <c r="P12" s="31"/>
      <c r="Q12" s="31"/>
      <c r="R12" s="48"/>
      <c r="S12" s="16"/>
    </row>
    <row r="13" spans="2:19" x14ac:dyDescent="0.2">
      <c r="B13" s="23" t="str">
        <f>IF('Data input'!$C16="","",'Data input'!$C16)</f>
        <v>Cash and cash equivalents</v>
      </c>
      <c r="C13" s="70">
        <f ca="1">IFERROR(SUMIFS(OFFSET('Data input'!$C:$C,,MATCH('Summary by type of work report'!C$9,'Data input'!$8:$8,0)-3,,),'Data input'!$C:$C,'Summary by type of work report'!$B13),"")</f>
        <v>0</v>
      </c>
      <c r="D13" s="70">
        <f ca="1">IFERROR(SUMIFS(OFFSET('Data input'!$C:$C,,MATCH('Summary by type of work report'!D$9,'Data input'!$8:$8,0)-3,,),'Data input'!$C:$C,'Summary by type of work report'!$B13),"")</f>
        <v>0</v>
      </c>
      <c r="E13" s="70">
        <f ca="1">IFERROR(SUMIFS(OFFSET('Data input'!$C:$C,,MATCH('Summary by type of work report'!E$9,'Data input'!$8:$8,0)-3,,),'Data input'!$C:$C,'Summary by type of work report'!$B13),"")</f>
        <v>0</v>
      </c>
      <c r="F13" s="51"/>
      <c r="G13" s="70">
        <f>IFERROR(SUMIFS('Data input'!16:16,'Data input'!$12:$12,'Summary by type of work report'!G$9),"")</f>
        <v>0</v>
      </c>
      <c r="H13" s="70">
        <f>IFERROR(SUMIFS('Data input'!16:16,'Data input'!$12:$12,'Summary by type of work report'!H$9),"")</f>
        <v>0</v>
      </c>
      <c r="I13" s="58"/>
      <c r="J13" s="58"/>
      <c r="K13" s="51"/>
      <c r="L13" s="70">
        <f t="shared" ref="L13:L23" si="0">G13+H13+I13+J13</f>
        <v>0</v>
      </c>
      <c r="M13" s="71">
        <f t="shared" ref="M13:M23" ca="1" si="1">IFERROR(L13/(C13-D13-E13),0)</f>
        <v>0</v>
      </c>
      <c r="N13" s="50"/>
      <c r="O13" s="58"/>
      <c r="P13" s="58"/>
      <c r="Q13" s="90"/>
      <c r="R13" s="52"/>
      <c r="S13" s="70">
        <f ca="1">IFERROR(SUMIFS(OFFSET('Data input'!$B:$B,,MATCH('Summary by type of work report'!S$9,'Data input'!$9:$9,0)-2),'Data input'!$C:$C,'Summary by type of work report'!$B13),0)</f>
        <v>0</v>
      </c>
    </row>
    <row r="14" spans="2:19" x14ac:dyDescent="0.2">
      <c r="B14" s="23" t="str">
        <f>IF('Data input'!$C17="","",'Data input'!$C17)</f>
        <v>Restricted cash</v>
      </c>
      <c r="C14" s="70">
        <f ca="1">IFERROR(SUMIFS(OFFSET('Data input'!$C:$C,,MATCH('Summary by type of work report'!C$9,'Data input'!$8:$8,0)-3,,),'Data input'!$C:$C,'Summary by type of work report'!$B14),"")</f>
        <v>0</v>
      </c>
      <c r="D14" s="70">
        <f ca="1">IFERROR(SUMIFS(OFFSET('Data input'!$C:$C,,MATCH('Summary by type of work report'!D$9,'Data input'!$8:$8,0)-3,,),'Data input'!$C:$C,'Summary by type of work report'!$B14),"")</f>
        <v>0</v>
      </c>
      <c r="E14" s="70">
        <f ca="1">IFERROR(SUMIFS(OFFSET('Data input'!$C:$C,,MATCH('Summary by type of work report'!E$9,'Data input'!$8:$8,0)-3,,),'Data input'!$C:$C,'Summary by type of work report'!$B14),"")</f>
        <v>0</v>
      </c>
      <c r="F14" s="51"/>
      <c r="G14" s="70">
        <f>IFERROR(SUMIFS('Data input'!17:17,'Data input'!$12:$12,'Summary by type of work report'!G$9),"")</f>
        <v>0</v>
      </c>
      <c r="H14" s="70">
        <f>IFERROR(SUMIFS('Data input'!17:17,'Data input'!$12:$12,'Summary by type of work report'!H$9),"")</f>
        <v>0</v>
      </c>
      <c r="I14" s="58"/>
      <c r="J14" s="58"/>
      <c r="K14" s="51"/>
      <c r="L14" s="70">
        <f t="shared" si="0"/>
        <v>0</v>
      </c>
      <c r="M14" s="71">
        <f t="shared" ca="1" si="1"/>
        <v>0</v>
      </c>
      <c r="N14" s="50"/>
      <c r="O14" s="58"/>
      <c r="P14" s="58"/>
      <c r="Q14" s="90"/>
      <c r="R14" s="52"/>
      <c r="S14" s="70">
        <f ca="1">IFERROR(SUMIFS(OFFSET('Data input'!$B:$B,,MATCH('Summary by type of work report'!S$9,'Data input'!$9:$9,0)-2),'Data input'!$C:$C,'Summary by type of work report'!$B14),0)</f>
        <v>0</v>
      </c>
    </row>
    <row r="15" spans="2:19" x14ac:dyDescent="0.2">
      <c r="B15" s="23" t="str">
        <f>IF('Data input'!$C18="","",'Data input'!$C18)</f>
        <v>Marketable securities at fair value</v>
      </c>
      <c r="C15" s="70">
        <f ca="1">IFERROR(SUMIFS(OFFSET('Data input'!$C:$C,,MATCH('Summary by type of work report'!C$9,'Data input'!$8:$8,0)-3,,),'Data input'!$C:$C,'Summary by type of work report'!$B15),"")</f>
        <v>0</v>
      </c>
      <c r="D15" s="70">
        <f ca="1">IFERROR(SUMIFS(OFFSET('Data input'!$C:$C,,MATCH('Summary by type of work report'!D$9,'Data input'!$8:$8,0)-3,,),'Data input'!$C:$C,'Summary by type of work report'!$B15),"")</f>
        <v>0</v>
      </c>
      <c r="E15" s="70">
        <f ca="1">IFERROR(SUMIFS(OFFSET('Data input'!$C:$C,,MATCH('Summary by type of work report'!E$9,'Data input'!$8:$8,0)-3,,),'Data input'!$C:$C,'Summary by type of work report'!$B15),"")</f>
        <v>0</v>
      </c>
      <c r="F15" s="51"/>
      <c r="G15" s="70">
        <f>IFERROR(SUMIFS('Data input'!18:18,'Data input'!$12:$12,'Summary by type of work report'!G$9),"")</f>
        <v>0</v>
      </c>
      <c r="H15" s="70">
        <f>IFERROR(SUMIFS('Data input'!18:18,'Data input'!$12:$12,'Summary by type of work report'!H$9),"")</f>
        <v>0</v>
      </c>
      <c r="I15" s="58"/>
      <c r="J15" s="58"/>
      <c r="K15" s="51"/>
      <c r="L15" s="70">
        <f t="shared" si="0"/>
        <v>0</v>
      </c>
      <c r="M15" s="71">
        <f t="shared" ca="1" si="1"/>
        <v>0</v>
      </c>
      <c r="N15" s="51"/>
      <c r="O15" s="58"/>
      <c r="P15" s="58"/>
      <c r="Q15" s="90"/>
      <c r="R15" s="52"/>
      <c r="S15" s="70">
        <f ca="1">IFERROR(SUMIFS(OFFSET('Data input'!$B:$B,,MATCH('Summary by type of work report'!S$9,'Data input'!$9:$9,0)-2),'Data input'!$C:$C,'Summary by type of work report'!$B15),0)</f>
        <v>0</v>
      </c>
    </row>
    <row r="16" spans="2:19" x14ac:dyDescent="0.2">
      <c r="B16" s="23" t="str">
        <f>IF('Data input'!$C19="","",'Data input'!$C19)</f>
        <v>Accounts receivable, net</v>
      </c>
      <c r="C16" s="70">
        <f ca="1">IFERROR(SUMIFS(OFFSET('Data input'!$C:$C,,MATCH('Summary by type of work report'!C$9,'Data input'!$8:$8,0)-3,,),'Data input'!$C:$C,'Summary by type of work report'!$B16),"")</f>
        <v>0</v>
      </c>
      <c r="D16" s="70">
        <f ca="1">IFERROR(SUMIFS(OFFSET('Data input'!$C:$C,,MATCH('Summary by type of work report'!D$9,'Data input'!$8:$8,0)-3,,),'Data input'!$C:$C,'Summary by type of work report'!$B16),"")</f>
        <v>0</v>
      </c>
      <c r="E16" s="70">
        <f ca="1">IFERROR(SUMIFS(OFFSET('Data input'!$C:$C,,MATCH('Summary by type of work report'!E$9,'Data input'!$8:$8,0)-3,,),'Data input'!$C:$C,'Summary by type of work report'!$B16),"")</f>
        <v>0</v>
      </c>
      <c r="F16" s="51"/>
      <c r="G16" s="70">
        <f>IFERROR(SUMIFS('Data input'!19:19,'Data input'!$12:$12,'Summary by type of work report'!G$9),"")</f>
        <v>0</v>
      </c>
      <c r="H16" s="70">
        <f>IFERROR(SUMIFS('Data input'!19:19,'Data input'!$12:$12,'Summary by type of work report'!H$9),"")</f>
        <v>0</v>
      </c>
      <c r="I16" s="58"/>
      <c r="J16" s="58"/>
      <c r="K16" s="51"/>
      <c r="L16" s="70">
        <f t="shared" si="0"/>
        <v>0</v>
      </c>
      <c r="M16" s="71">
        <f t="shared" ca="1" si="1"/>
        <v>0</v>
      </c>
      <c r="N16" s="51"/>
      <c r="O16" s="58"/>
      <c r="P16" s="58"/>
      <c r="Q16" s="90"/>
      <c r="R16" s="52"/>
      <c r="S16" s="70">
        <f ca="1">IFERROR(SUMIFS(OFFSET('Data input'!$B:$B,,MATCH('Summary by type of work report'!S$9,'Data input'!$9:$9,0)-2),'Data input'!$C:$C,'Summary by type of work report'!$B16),0)</f>
        <v>0</v>
      </c>
    </row>
    <row r="17" spans="2:19" x14ac:dyDescent="0.2">
      <c r="B17" s="23" t="str">
        <f>IF('Data input'!$C20="","",'Data input'!$C20)</f>
        <v>Investment in leased property, net</v>
      </c>
      <c r="C17" s="70">
        <f ca="1">IFERROR(SUMIFS(OFFSET('Data input'!$C:$C,,MATCH('Summary by type of work report'!C$9,'Data input'!$8:$8,0)-3,,),'Data input'!$C:$C,'Summary by type of work report'!$B17),"")</f>
        <v>0</v>
      </c>
      <c r="D17" s="70">
        <f ca="1">IFERROR(SUMIFS(OFFSET('Data input'!$C:$C,,MATCH('Summary by type of work report'!D$9,'Data input'!$8:$8,0)-3,,),'Data input'!$C:$C,'Summary by type of work report'!$B17),"")</f>
        <v>0</v>
      </c>
      <c r="E17" s="70">
        <f ca="1">IFERROR(SUMIFS(OFFSET('Data input'!$C:$C,,MATCH('Summary by type of work report'!E$9,'Data input'!$8:$8,0)-3,,),'Data input'!$C:$C,'Summary by type of work report'!$B17),"")</f>
        <v>0</v>
      </c>
      <c r="F17" s="51"/>
      <c r="G17" s="70">
        <f>IFERROR(SUMIFS('Data input'!20:20,'Data input'!$12:$12,'Summary by type of work report'!G$9),"")</f>
        <v>0</v>
      </c>
      <c r="H17" s="70">
        <f>IFERROR(SUMIFS('Data input'!20:20,'Data input'!$12:$12,'Summary by type of work report'!H$9),"")</f>
        <v>0</v>
      </c>
      <c r="I17" s="58"/>
      <c r="J17" s="58"/>
      <c r="K17" s="51"/>
      <c r="L17" s="70">
        <f t="shared" si="0"/>
        <v>0</v>
      </c>
      <c r="M17" s="71">
        <f t="shared" ca="1" si="1"/>
        <v>0</v>
      </c>
      <c r="N17" s="51"/>
      <c r="O17" s="58"/>
      <c r="P17" s="58"/>
      <c r="Q17" s="90"/>
      <c r="R17" s="52"/>
      <c r="S17" s="70">
        <f ca="1">IFERROR(SUMIFS(OFFSET('Data input'!$B:$B,,MATCH('Summary by type of work report'!S$9,'Data input'!$9:$9,0)-2),'Data input'!$C:$C,'Summary by type of work report'!$B17),0)</f>
        <v>0</v>
      </c>
    </row>
    <row r="18" spans="2:19" x14ac:dyDescent="0.2">
      <c r="B18" s="23" t="str">
        <f>IF('Data input'!$C21="","",'Data input'!$C21)</f>
        <v>Inventories</v>
      </c>
      <c r="C18" s="70">
        <f ca="1">IFERROR(SUMIFS(OFFSET('Data input'!$C:$C,,MATCH('Summary by type of work report'!C$9,'Data input'!$8:$8,0)-3,,),'Data input'!$C:$C,'Summary by type of work report'!$B18),"")</f>
        <v>0</v>
      </c>
      <c r="D18" s="70">
        <f ca="1">IFERROR(SUMIFS(OFFSET('Data input'!$C:$C,,MATCH('Summary by type of work report'!D$9,'Data input'!$8:$8,0)-3,,),'Data input'!$C:$C,'Summary by type of work report'!$B18),"")</f>
        <v>0</v>
      </c>
      <c r="E18" s="70">
        <f ca="1">IFERROR(SUMIFS(OFFSET('Data input'!$C:$C,,MATCH('Summary by type of work report'!E$9,'Data input'!$8:$8,0)-3,,),'Data input'!$C:$C,'Summary by type of work report'!$B18),"")</f>
        <v>0</v>
      </c>
      <c r="F18" s="51"/>
      <c r="G18" s="70">
        <f>IFERROR(SUMIFS('Data input'!21:21,'Data input'!$12:$12,'Summary by type of work report'!G$9),"")</f>
        <v>0</v>
      </c>
      <c r="H18" s="70">
        <f>IFERROR(SUMIFS('Data input'!21:21,'Data input'!$12:$12,'Summary by type of work report'!H$9),"")</f>
        <v>0</v>
      </c>
      <c r="I18" s="58"/>
      <c r="J18" s="58"/>
      <c r="K18" s="51"/>
      <c r="L18" s="70">
        <f t="shared" si="0"/>
        <v>0</v>
      </c>
      <c r="M18" s="71">
        <f t="shared" ca="1" si="1"/>
        <v>0</v>
      </c>
      <c r="N18" s="51"/>
      <c r="O18" s="58"/>
      <c r="P18" s="58"/>
      <c r="Q18" s="90"/>
      <c r="R18" s="52"/>
      <c r="S18" s="70">
        <f ca="1">IFERROR(SUMIFS(OFFSET('Data input'!$B:$B,,MATCH('Summary by type of work report'!S$9,'Data input'!$9:$9,0)-2),'Data input'!$C:$C,'Summary by type of work report'!$B18),0)</f>
        <v>0</v>
      </c>
    </row>
    <row r="19" spans="2:19" x14ac:dyDescent="0.2">
      <c r="B19" s="23" t="str">
        <f>IF('Data input'!$C22="","",'Data input'!$C22)</f>
        <v>Prepaid expenses</v>
      </c>
      <c r="C19" s="70">
        <f ca="1">IFERROR(SUMIFS(OFFSET('Data input'!$C:$C,,MATCH('Summary by type of work report'!C$9,'Data input'!$8:$8,0)-3,,),'Data input'!$C:$C,'Summary by type of work report'!$B19),"")</f>
        <v>0</v>
      </c>
      <c r="D19" s="70">
        <f ca="1">IFERROR(SUMIFS(OFFSET('Data input'!$C:$C,,MATCH('Summary by type of work report'!D$9,'Data input'!$8:$8,0)-3,,),'Data input'!$C:$C,'Summary by type of work report'!$B19),"")</f>
        <v>0</v>
      </c>
      <c r="E19" s="70">
        <f ca="1">IFERROR(SUMIFS(OFFSET('Data input'!$C:$C,,MATCH('Summary by type of work report'!E$9,'Data input'!$8:$8,0)-3,,),'Data input'!$C:$C,'Summary by type of work report'!$B19),"")</f>
        <v>0</v>
      </c>
      <c r="F19" s="51"/>
      <c r="G19" s="70">
        <f>IFERROR(SUMIFS('Data input'!22:22,'Data input'!$12:$12,'Summary by type of work report'!G$9),"")</f>
        <v>0</v>
      </c>
      <c r="H19" s="70">
        <f>IFERROR(SUMIFS('Data input'!22:22,'Data input'!$12:$12,'Summary by type of work report'!H$9),"")</f>
        <v>0</v>
      </c>
      <c r="I19" s="58"/>
      <c r="J19" s="58"/>
      <c r="K19" s="51"/>
      <c r="L19" s="70">
        <f t="shared" si="0"/>
        <v>0</v>
      </c>
      <c r="M19" s="71">
        <f t="shared" ca="1" si="1"/>
        <v>0</v>
      </c>
      <c r="N19" s="51"/>
      <c r="O19" s="58"/>
      <c r="P19" s="58"/>
      <c r="Q19" s="90"/>
      <c r="R19" s="52"/>
      <c r="S19" s="70">
        <f ca="1">IFERROR(SUMIFS(OFFSET('Data input'!$B:$B,,MATCH('Summary by type of work report'!S$9,'Data input'!$9:$9,0)-2),'Data input'!$C:$C,'Summary by type of work report'!$B19),0)</f>
        <v>0</v>
      </c>
    </row>
    <row r="20" spans="2:19" x14ac:dyDescent="0.2">
      <c r="B20" s="23" t="str">
        <f>IF('Data input'!$C23="","",'Data input'!$C23)</f>
        <v>Contract assets</v>
      </c>
      <c r="C20" s="70">
        <f ca="1">IFERROR(SUMIFS(OFFSET('Data input'!$C:$C,,MATCH('Summary by type of work report'!C$9,'Data input'!$8:$8,0)-3,,),'Data input'!$C:$C,'Summary by type of work report'!$B20),"")</f>
        <v>0</v>
      </c>
      <c r="D20" s="70">
        <f ca="1">IFERROR(SUMIFS(OFFSET('Data input'!$C:$C,,MATCH('Summary by type of work report'!D$9,'Data input'!$8:$8,0)-3,,),'Data input'!$C:$C,'Summary by type of work report'!$B20),"")</f>
        <v>0</v>
      </c>
      <c r="E20" s="70">
        <f ca="1">IFERROR(SUMIFS(OFFSET('Data input'!$C:$C,,MATCH('Summary by type of work report'!E$9,'Data input'!$8:$8,0)-3,,),'Data input'!$C:$C,'Summary by type of work report'!$B20),"")</f>
        <v>0</v>
      </c>
      <c r="F20" s="51"/>
      <c r="G20" s="70">
        <f>IFERROR(SUMIFS('Data input'!23:23,'Data input'!$12:$12,'Summary by type of work report'!G$9),"")</f>
        <v>0</v>
      </c>
      <c r="H20" s="70">
        <f>IFERROR(SUMIFS('Data input'!23:23,'Data input'!$12:$12,'Summary by type of work report'!H$9),"")</f>
        <v>0</v>
      </c>
      <c r="I20" s="58"/>
      <c r="J20" s="58"/>
      <c r="K20" s="51"/>
      <c r="L20" s="70">
        <f t="shared" si="0"/>
        <v>0</v>
      </c>
      <c r="M20" s="71">
        <f t="shared" ca="1" si="1"/>
        <v>0</v>
      </c>
      <c r="N20" s="51"/>
      <c r="O20" s="58"/>
      <c r="P20" s="58"/>
      <c r="Q20" s="90"/>
      <c r="R20" s="52"/>
      <c r="S20" s="70">
        <f ca="1">IFERROR(SUMIFS(OFFSET('Data input'!$B:$B,,MATCH('Summary by type of work report'!S$9,'Data input'!$9:$9,0)-2),'Data input'!$C:$C,'Summary by type of work report'!$B20),0)</f>
        <v>0</v>
      </c>
    </row>
    <row r="21" spans="2:19" x14ac:dyDescent="0.2">
      <c r="B21" s="23" t="str">
        <f>IF('Data input'!$C24="","",'Data input'!$C24)</f>
        <v>Other current assets</v>
      </c>
      <c r="C21" s="70">
        <f ca="1">IFERROR(SUMIFS(OFFSET('Data input'!$C:$C,,MATCH('Summary by type of work report'!C$9,'Data input'!$8:$8,0)-3,,),'Data input'!$C:$C,'Summary by type of work report'!$B21),"")</f>
        <v>0</v>
      </c>
      <c r="D21" s="70">
        <f ca="1">IFERROR(SUMIFS(OFFSET('Data input'!$C:$C,,MATCH('Summary by type of work report'!D$9,'Data input'!$8:$8,0)-3,,),'Data input'!$C:$C,'Summary by type of work report'!$B21),"")</f>
        <v>0</v>
      </c>
      <c r="E21" s="70">
        <f ca="1">IFERROR(SUMIFS(OFFSET('Data input'!$C:$C,,MATCH('Summary by type of work report'!E$9,'Data input'!$8:$8,0)-3,,),'Data input'!$C:$C,'Summary by type of work report'!$B21),"")</f>
        <v>0</v>
      </c>
      <c r="F21" s="51"/>
      <c r="G21" s="70">
        <f>IFERROR(SUMIFS('Data input'!24:24,'Data input'!$12:$12,'Summary by type of work report'!G$9),"")</f>
        <v>0</v>
      </c>
      <c r="H21" s="70">
        <f>IFERROR(SUMIFS('Data input'!24:24,'Data input'!$12:$12,'Summary by type of work report'!H$9),"")</f>
        <v>0</v>
      </c>
      <c r="I21" s="58"/>
      <c r="J21" s="58"/>
      <c r="K21" s="51"/>
      <c r="L21" s="70">
        <f t="shared" si="0"/>
        <v>0</v>
      </c>
      <c r="M21" s="71">
        <f t="shared" ca="1" si="1"/>
        <v>0</v>
      </c>
      <c r="N21" s="51"/>
      <c r="O21" s="58"/>
      <c r="P21" s="58"/>
      <c r="Q21" s="90"/>
      <c r="R21" s="52"/>
      <c r="S21" s="70">
        <f ca="1">IFERROR(SUMIFS(OFFSET('Data input'!$B:$B,,MATCH('Summary by type of work report'!S$9,'Data input'!$9:$9,0)-2),'Data input'!$C:$C,'Summary by type of work report'!$B21),0)</f>
        <v>0</v>
      </c>
    </row>
    <row r="22" spans="2:19" hidden="1" x14ac:dyDescent="0.2">
      <c r="B22" s="17" t="str">
        <f>IF('Data input'!$C25="","",'Data input'!$C25)</f>
        <v>Intentionally hidden</v>
      </c>
      <c r="C22" s="72">
        <f ca="1">IFERROR(SUMIFS(OFFSET('Data input'!$C:$C,,MATCH('Summary by type of work report'!C$9,'Data input'!$8:$8,0)-3,,),'Data input'!$C:$C,'Summary by type of work report'!$B22),"")</f>
        <v>0</v>
      </c>
      <c r="D22" s="72">
        <f ca="1">IFERROR(SUMIFS(OFFSET('Data input'!$C:$C,,MATCH('Summary by type of work report'!D$9,'Data input'!$8:$8,0)-3,,),'Data input'!$C:$C,'Summary by type of work report'!$B22),"")</f>
        <v>0</v>
      </c>
      <c r="E22" s="72">
        <f ca="1">IFERROR(SUMIFS(OFFSET('Data input'!$C:$C,,MATCH('Summary by type of work report'!E$9,'Data input'!$8:$8,0)-3,,),'Data input'!$C:$C,'Summary by type of work report'!$B22),"")</f>
        <v>0</v>
      </c>
      <c r="F22" s="51"/>
      <c r="G22" s="72">
        <f>IFERROR(SUMIFS('Data input'!25:25,'Data input'!$12:$12,'Summary by type of work report'!G$9),"")</f>
        <v>0</v>
      </c>
      <c r="H22" s="72">
        <f>IFERROR(SUMIFS('Data input'!25:25,'Data input'!$12:$12,'Summary by type of work report'!H$9),"")</f>
        <v>0</v>
      </c>
      <c r="I22" s="59"/>
      <c r="J22" s="59"/>
      <c r="K22" s="51"/>
      <c r="L22" s="72">
        <f t="shared" si="0"/>
        <v>0</v>
      </c>
      <c r="M22" s="73">
        <f t="shared" ca="1" si="1"/>
        <v>0</v>
      </c>
      <c r="N22" s="51"/>
      <c r="O22" s="59"/>
      <c r="P22" s="59"/>
      <c r="Q22" s="91"/>
      <c r="R22" s="52"/>
      <c r="S22" s="72"/>
    </row>
    <row r="23" spans="2:19" x14ac:dyDescent="0.2">
      <c r="B23" s="18" t="str">
        <f>IF('Data input'!$C26="","",'Data input'!$C26)</f>
        <v>Total current assets</v>
      </c>
      <c r="C23" s="74">
        <f ca="1">IFERROR(SUMIFS(OFFSET('Data input'!$C:$C,,MATCH('Summary by type of work report'!C$9,'Data input'!$8:$8,0)-3,,),'Data input'!$C:$C,'Summary by type of work report'!$B23),"")</f>
        <v>0</v>
      </c>
      <c r="D23" s="74">
        <f ca="1">IFERROR(SUMIFS(OFFSET('Data input'!$C:$C,,MATCH('Summary by type of work report'!D$9,'Data input'!$8:$8,0)-3,,),'Data input'!$C:$C,'Summary by type of work report'!$B23),"")</f>
        <v>0</v>
      </c>
      <c r="E23" s="74">
        <f ca="1">IFERROR(SUMIFS(OFFSET('Data input'!$C:$C,,MATCH('Summary by type of work report'!E$9,'Data input'!$8:$8,0)-3,,),'Data input'!$C:$C,'Summary by type of work report'!$B23),"")</f>
        <v>0</v>
      </c>
      <c r="F23" s="51"/>
      <c r="G23" s="74">
        <f>IFERROR(SUMIFS('Data input'!26:26,'Data input'!$12:$12,'Summary by type of work report'!G$9),"")</f>
        <v>0</v>
      </c>
      <c r="H23" s="74">
        <f>IFERROR(SUMIFS('Data input'!26:26,'Data input'!$12:$12,'Summary by type of work report'!H$9),"")</f>
        <v>0</v>
      </c>
      <c r="I23" s="60">
        <f>SUM(I13:I22)</f>
        <v>0</v>
      </c>
      <c r="J23" s="60">
        <f>SUM(J13:J22)</f>
        <v>0</v>
      </c>
      <c r="K23" s="51"/>
      <c r="L23" s="74">
        <f t="shared" si="0"/>
        <v>0</v>
      </c>
      <c r="M23" s="75">
        <f t="shared" ca="1" si="1"/>
        <v>0</v>
      </c>
      <c r="N23" s="51"/>
      <c r="O23" s="60"/>
      <c r="P23" s="60"/>
      <c r="Q23" s="92"/>
      <c r="R23" s="52"/>
      <c r="S23" s="74">
        <f ca="1">SUM(S13:S22)</f>
        <v>0</v>
      </c>
    </row>
    <row r="24" spans="2:19" x14ac:dyDescent="0.2">
      <c r="B24" s="15" t="str">
        <f>IF('Data input'!$C27="","",'Data input'!$C27)</f>
        <v/>
      </c>
      <c r="C24" s="76"/>
      <c r="D24" s="76"/>
      <c r="E24" s="76"/>
      <c r="F24" s="51"/>
      <c r="G24" s="76"/>
      <c r="H24" s="76"/>
      <c r="I24" s="61"/>
      <c r="J24" s="61"/>
      <c r="K24" s="51"/>
      <c r="L24" s="76"/>
      <c r="M24" s="76"/>
      <c r="N24" s="51"/>
      <c r="O24" s="61"/>
      <c r="P24" s="61"/>
      <c r="Q24" s="93"/>
      <c r="R24" s="52"/>
      <c r="S24" s="76"/>
    </row>
    <row r="25" spans="2:19" x14ac:dyDescent="0.2">
      <c r="B25" s="23" t="str">
        <f>IF('Data input'!$C28="","",'Data input'!$C28)</f>
        <v>Debt and equity securities</v>
      </c>
      <c r="C25" s="70">
        <f ca="1">IFERROR(SUMIFS(OFFSET('Data input'!$C:$C,,MATCH('Summary by type of work report'!C$9,'Data input'!$8:$8,0)-3,,),'Data input'!$C:$C,'Summary by type of work report'!$B25),"")</f>
        <v>0</v>
      </c>
      <c r="D25" s="70">
        <f ca="1">IFERROR(SUMIFS(OFFSET('Data input'!$C:$C,,MATCH('Summary by type of work report'!D$9,'Data input'!$8:$8,0)-3,,),'Data input'!$C:$C,'Summary by type of work report'!$B25),"")</f>
        <v>0</v>
      </c>
      <c r="E25" s="70">
        <f ca="1">IFERROR(SUMIFS(OFFSET('Data input'!$C:$C,,MATCH('Summary by type of work report'!E$9,'Data input'!$8:$8,0)-3,,),'Data input'!$C:$C,'Summary by type of work report'!$B25),"")</f>
        <v>0</v>
      </c>
      <c r="F25" s="51"/>
      <c r="G25" s="70">
        <f>IFERROR(SUMIFS('Data input'!28:28,'Data input'!$12:$12,'Summary by type of work report'!G$9),"")</f>
        <v>0</v>
      </c>
      <c r="H25" s="70">
        <f>IFERROR(SUMIFS('Data input'!28:28,'Data input'!$12:$12,'Summary by type of work report'!H$9),"")</f>
        <v>0</v>
      </c>
      <c r="I25" s="58"/>
      <c r="J25" s="58"/>
      <c r="K25" s="51"/>
      <c r="L25" s="70">
        <f t="shared" ref="L25:L38" si="2">G25+H25+I25+J25</f>
        <v>0</v>
      </c>
      <c r="M25" s="71">
        <f t="shared" ref="M25:M38" ca="1" si="3">IFERROR(L25/(C25-D25-E25),0)</f>
        <v>0</v>
      </c>
      <c r="N25" s="51"/>
      <c r="O25" s="58"/>
      <c r="P25" s="58"/>
      <c r="Q25" s="90"/>
      <c r="R25" s="52"/>
      <c r="S25" s="70">
        <f ca="1">IFERROR(SUMIFS(OFFSET('Data input'!$B:$B,,MATCH('Summary by type of work report'!S$9,'Data input'!$9:$9,0)-2),'Data input'!$C:$C,'Summary by type of work report'!$B25),0)</f>
        <v>0</v>
      </c>
    </row>
    <row r="26" spans="2:19" x14ac:dyDescent="0.2">
      <c r="B26" s="23" t="str">
        <f>IF('Data input'!$C29="","",'Data input'!$C29)</f>
        <v>Other investments</v>
      </c>
      <c r="C26" s="70">
        <f ca="1">IFERROR(SUMIFS(OFFSET('Data input'!$C:$C,,MATCH('Summary by type of work report'!C$9,'Data input'!$8:$8,0)-3,,),'Data input'!$C:$C,'Summary by type of work report'!$B26),"")</f>
        <v>0</v>
      </c>
      <c r="D26" s="70">
        <f ca="1">IFERROR(SUMIFS(OFFSET('Data input'!$C:$C,,MATCH('Summary by type of work report'!D$9,'Data input'!$8:$8,0)-3,,),'Data input'!$C:$C,'Summary by type of work report'!$B26),"")</f>
        <v>0</v>
      </c>
      <c r="E26" s="70">
        <f ca="1">IFERROR(SUMIFS(OFFSET('Data input'!$C:$C,,MATCH('Summary by type of work report'!E$9,'Data input'!$8:$8,0)-3,,),'Data input'!$C:$C,'Summary by type of work report'!$B26),"")</f>
        <v>0</v>
      </c>
      <c r="F26" s="51"/>
      <c r="G26" s="70">
        <f>IFERROR(SUMIFS('Data input'!29:29,'Data input'!$12:$12,'Summary by type of work report'!G$9),"")</f>
        <v>0</v>
      </c>
      <c r="H26" s="70">
        <f>IFERROR(SUMIFS('Data input'!29:29,'Data input'!$12:$12,'Summary by type of work report'!H$9),"")</f>
        <v>0</v>
      </c>
      <c r="I26" s="58"/>
      <c r="J26" s="58"/>
      <c r="K26" s="51"/>
      <c r="L26" s="70">
        <f t="shared" si="2"/>
        <v>0</v>
      </c>
      <c r="M26" s="71">
        <f t="shared" ca="1" si="3"/>
        <v>0</v>
      </c>
      <c r="N26" s="51"/>
      <c r="O26" s="58"/>
      <c r="P26" s="58"/>
      <c r="Q26" s="90"/>
      <c r="R26" s="52"/>
      <c r="S26" s="70">
        <f ca="1">IFERROR(SUMIFS(OFFSET('Data input'!$B:$B,,MATCH('Summary by type of work report'!S$9,'Data input'!$9:$9,0)-2),'Data input'!$C:$C,'Summary by type of work report'!$B26),0)</f>
        <v>0</v>
      </c>
    </row>
    <row r="27" spans="2:19" x14ac:dyDescent="0.2">
      <c r="B27" s="23" t="str">
        <f>IF('Data input'!$C30="","",'Data input'!$C30)</f>
        <v>Derivative assets</v>
      </c>
      <c r="C27" s="70">
        <f ca="1">IFERROR(SUMIFS(OFFSET('Data input'!$C:$C,,MATCH('Summary by type of work report'!C$9,'Data input'!$8:$8,0)-3,,),'Data input'!$C:$C,'Summary by type of work report'!$B27),"")</f>
        <v>0</v>
      </c>
      <c r="D27" s="70">
        <f ca="1">IFERROR(SUMIFS(OFFSET('Data input'!$C:$C,,MATCH('Summary by type of work report'!D$9,'Data input'!$8:$8,0)-3,,),'Data input'!$C:$C,'Summary by type of work report'!$B27),"")</f>
        <v>0</v>
      </c>
      <c r="E27" s="70">
        <f ca="1">IFERROR(SUMIFS(OFFSET('Data input'!$C:$C,,MATCH('Summary by type of work report'!E$9,'Data input'!$8:$8,0)-3,,),'Data input'!$C:$C,'Summary by type of work report'!$B27),"")</f>
        <v>0</v>
      </c>
      <c r="F27" s="51"/>
      <c r="G27" s="70">
        <f>IFERROR(SUMIFS('Data input'!30:30,'Data input'!$12:$12,'Summary by type of work report'!G$9),"")</f>
        <v>0</v>
      </c>
      <c r="H27" s="70">
        <f>IFERROR(SUMIFS('Data input'!30:30,'Data input'!$12:$12,'Summary by type of work report'!H$9),"")</f>
        <v>0</v>
      </c>
      <c r="I27" s="58"/>
      <c r="J27" s="58"/>
      <c r="K27" s="51"/>
      <c r="L27" s="70">
        <f t="shared" si="2"/>
        <v>0</v>
      </c>
      <c r="M27" s="71">
        <f t="shared" ca="1" si="3"/>
        <v>0</v>
      </c>
      <c r="N27" s="51"/>
      <c r="O27" s="58"/>
      <c r="P27" s="58"/>
      <c r="Q27" s="90"/>
      <c r="R27" s="52"/>
      <c r="S27" s="70">
        <f ca="1">IFERROR(SUMIFS(OFFSET('Data input'!$B:$B,,MATCH('Summary by type of work report'!S$9,'Data input'!$9:$9,0)-2),'Data input'!$C:$C,'Summary by type of work report'!$B27),0)</f>
        <v>0</v>
      </c>
    </row>
    <row r="28" spans="2:19" x14ac:dyDescent="0.2">
      <c r="B28" s="23" t="str">
        <f>IF('Data input'!$C31="","",'Data input'!$C31)</f>
        <v>Deferred income tax assets, noncurrent</v>
      </c>
      <c r="C28" s="70">
        <f ca="1">IFERROR(SUMIFS(OFFSET('Data input'!$C:$C,,MATCH('Summary by type of work report'!C$9,'Data input'!$8:$8,0)-3,,),'Data input'!$C:$C,'Summary by type of work report'!$B28),"")</f>
        <v>0</v>
      </c>
      <c r="D28" s="70">
        <f ca="1">IFERROR(SUMIFS(OFFSET('Data input'!$C:$C,,MATCH('Summary by type of work report'!D$9,'Data input'!$8:$8,0)-3,,),'Data input'!$C:$C,'Summary by type of work report'!$B28),"")</f>
        <v>0</v>
      </c>
      <c r="E28" s="70">
        <f ca="1">IFERROR(SUMIFS(OFFSET('Data input'!$C:$C,,MATCH('Summary by type of work report'!E$9,'Data input'!$8:$8,0)-3,,),'Data input'!$C:$C,'Summary by type of work report'!$B28),"")</f>
        <v>0</v>
      </c>
      <c r="F28" s="51"/>
      <c r="G28" s="70">
        <f>IFERROR(SUMIFS('Data input'!31:31,'Data input'!$12:$12,'Summary by type of work report'!G$9),"")</f>
        <v>0</v>
      </c>
      <c r="H28" s="70">
        <f>IFERROR(SUMIFS('Data input'!31:31,'Data input'!$12:$12,'Summary by type of work report'!H$9),"")</f>
        <v>0</v>
      </c>
      <c r="I28" s="58"/>
      <c r="J28" s="58"/>
      <c r="K28" s="51"/>
      <c r="L28" s="70">
        <f t="shared" si="2"/>
        <v>0</v>
      </c>
      <c r="M28" s="71">
        <f t="shared" ca="1" si="3"/>
        <v>0</v>
      </c>
      <c r="N28" s="51"/>
      <c r="O28" s="58"/>
      <c r="P28" s="58"/>
      <c r="Q28" s="90"/>
      <c r="R28" s="52"/>
      <c r="S28" s="70">
        <f ca="1">IFERROR(SUMIFS(OFFSET('Data input'!$B:$B,,MATCH('Summary by type of work report'!S$9,'Data input'!$9:$9,0)-2),'Data input'!$C:$C,'Summary by type of work report'!$B28),0)</f>
        <v>0</v>
      </c>
    </row>
    <row r="29" spans="2:19" x14ac:dyDescent="0.2">
      <c r="B29" s="23" t="str">
        <f>IF('Data input'!$C32="","",'Data input'!$C32)</f>
        <v>Property, plant and equipment, net</v>
      </c>
      <c r="C29" s="70">
        <f ca="1">IFERROR(SUMIFS(OFFSET('Data input'!$C:$C,,MATCH('Summary by type of work report'!C$9,'Data input'!$8:$8,0)-3,,),'Data input'!$C:$C,'Summary by type of work report'!$B29),"")</f>
        <v>0</v>
      </c>
      <c r="D29" s="70">
        <f ca="1">IFERROR(SUMIFS(OFFSET('Data input'!$C:$C,,MATCH('Summary by type of work report'!D$9,'Data input'!$8:$8,0)-3,,),'Data input'!$C:$C,'Summary by type of work report'!$B29),"")</f>
        <v>0</v>
      </c>
      <c r="E29" s="70">
        <f ca="1">IFERROR(SUMIFS(OFFSET('Data input'!$C:$C,,MATCH('Summary by type of work report'!E$9,'Data input'!$8:$8,0)-3,,),'Data input'!$C:$C,'Summary by type of work report'!$B29),"")</f>
        <v>0</v>
      </c>
      <c r="F29" s="51"/>
      <c r="G29" s="70">
        <f>IFERROR(SUMIFS('Data input'!32:32,'Data input'!$12:$12,'Summary by type of work report'!G$9),"")</f>
        <v>0</v>
      </c>
      <c r="H29" s="70">
        <f>IFERROR(SUMIFS('Data input'!32:32,'Data input'!$12:$12,'Summary by type of work report'!H$9),"")</f>
        <v>0</v>
      </c>
      <c r="I29" s="58"/>
      <c r="J29" s="58"/>
      <c r="K29" s="51"/>
      <c r="L29" s="70">
        <f t="shared" si="2"/>
        <v>0</v>
      </c>
      <c r="M29" s="71">
        <f t="shared" ca="1" si="3"/>
        <v>0</v>
      </c>
      <c r="N29" s="51"/>
      <c r="O29" s="58"/>
      <c r="P29" s="58"/>
      <c r="Q29" s="90"/>
      <c r="R29" s="52"/>
      <c r="S29" s="70">
        <f ca="1">IFERROR(SUMIFS(OFFSET('Data input'!$B:$B,,MATCH('Summary by type of work report'!S$9,'Data input'!$9:$9,0)-2),'Data input'!$C:$C,'Summary by type of work report'!$B29),0)</f>
        <v>0</v>
      </c>
    </row>
    <row r="30" spans="2:19" x14ac:dyDescent="0.2">
      <c r="B30" s="23" t="str">
        <f>IF('Data input'!$C33="","",'Data input'!$C33)</f>
        <v>Intangible assets, net</v>
      </c>
      <c r="C30" s="70">
        <f ca="1">IFERROR(SUMIFS(OFFSET('Data input'!$C:$C,,MATCH('Summary by type of work report'!C$9,'Data input'!$8:$8,0)-3,,),'Data input'!$C:$C,'Summary by type of work report'!$B30),"")</f>
        <v>0</v>
      </c>
      <c r="D30" s="70">
        <f ca="1">IFERROR(SUMIFS(OFFSET('Data input'!$C:$C,,MATCH('Summary by type of work report'!D$9,'Data input'!$8:$8,0)-3,,),'Data input'!$C:$C,'Summary by type of work report'!$B30),"")</f>
        <v>0</v>
      </c>
      <c r="E30" s="70">
        <f ca="1">IFERROR(SUMIFS(OFFSET('Data input'!$C:$C,,MATCH('Summary by type of work report'!E$9,'Data input'!$8:$8,0)-3,,),'Data input'!$C:$C,'Summary by type of work report'!$B30),"")</f>
        <v>0</v>
      </c>
      <c r="F30" s="51"/>
      <c r="G30" s="70">
        <f>IFERROR(SUMIFS('Data input'!33:33,'Data input'!$12:$12,'Summary by type of work report'!G$9),"")</f>
        <v>0</v>
      </c>
      <c r="H30" s="70">
        <f>IFERROR(SUMIFS('Data input'!33:33,'Data input'!$12:$12,'Summary by type of work report'!H$9),"")</f>
        <v>0</v>
      </c>
      <c r="I30" s="58"/>
      <c r="J30" s="58"/>
      <c r="K30" s="51"/>
      <c r="L30" s="70">
        <f t="shared" si="2"/>
        <v>0</v>
      </c>
      <c r="M30" s="71">
        <f t="shared" ca="1" si="3"/>
        <v>0</v>
      </c>
      <c r="N30" s="51"/>
      <c r="O30" s="58"/>
      <c r="P30" s="58"/>
      <c r="Q30" s="90"/>
      <c r="R30" s="52"/>
      <c r="S30" s="70">
        <f ca="1">IFERROR(SUMIFS(OFFSET('Data input'!$B:$B,,MATCH('Summary by type of work report'!S$9,'Data input'!$9:$9,0)-2),'Data input'!$C:$C,'Summary by type of work report'!$B30),0)</f>
        <v>0</v>
      </c>
    </row>
    <row r="31" spans="2:19" x14ac:dyDescent="0.2">
      <c r="B31" s="23" t="str">
        <f>IF('Data input'!$C34="","",'Data input'!$C34)</f>
        <v>Goodwill</v>
      </c>
      <c r="C31" s="70">
        <f ca="1">IFERROR(SUMIFS(OFFSET('Data input'!$C:$C,,MATCH('Summary by type of work report'!C$9,'Data input'!$8:$8,0)-3,,),'Data input'!$C:$C,'Summary by type of work report'!$B31),"")</f>
        <v>0</v>
      </c>
      <c r="D31" s="70">
        <f ca="1">IFERROR(SUMIFS(OFFSET('Data input'!$C:$C,,MATCH('Summary by type of work report'!D$9,'Data input'!$8:$8,0)-3,,),'Data input'!$C:$C,'Summary by type of work report'!$B31),"")</f>
        <v>0</v>
      </c>
      <c r="E31" s="70">
        <f ca="1">IFERROR(SUMIFS(OFFSET('Data input'!$C:$C,,MATCH('Summary by type of work report'!E$9,'Data input'!$8:$8,0)-3,,),'Data input'!$C:$C,'Summary by type of work report'!$B31),"")</f>
        <v>0</v>
      </c>
      <c r="F31" s="51"/>
      <c r="G31" s="70">
        <f>IFERROR(SUMIFS('Data input'!34:34,'Data input'!$12:$12,'Summary by type of work report'!G$9),"")</f>
        <v>0</v>
      </c>
      <c r="H31" s="70">
        <f>IFERROR(SUMIFS('Data input'!34:34,'Data input'!$12:$12,'Summary by type of work report'!H$9),"")</f>
        <v>0</v>
      </c>
      <c r="I31" s="58"/>
      <c r="J31" s="58"/>
      <c r="K31" s="51"/>
      <c r="L31" s="70">
        <f t="shared" si="2"/>
        <v>0</v>
      </c>
      <c r="M31" s="71">
        <f t="shared" ca="1" si="3"/>
        <v>0</v>
      </c>
      <c r="N31" s="51"/>
      <c r="O31" s="58"/>
      <c r="P31" s="58"/>
      <c r="Q31" s="90"/>
      <c r="R31" s="52"/>
      <c r="S31" s="70">
        <f ca="1">IFERROR(SUMIFS(OFFSET('Data input'!$B:$B,,MATCH('Summary by type of work report'!S$9,'Data input'!$9:$9,0)-2),'Data input'!$C:$C,'Summary by type of work report'!$B31),0)</f>
        <v>0</v>
      </c>
    </row>
    <row r="32" spans="2:19" x14ac:dyDescent="0.2">
      <c r="B32" s="23" t="str">
        <f>IF('Data input'!$C35="","",'Data input'!$C35)</f>
        <v>Assets of businesses held for sale</v>
      </c>
      <c r="C32" s="70">
        <f ca="1">IFERROR(SUMIFS(OFFSET('Data input'!$C:$C,,MATCH('Summary by type of work report'!C$9,'Data input'!$8:$8,0)-3,,),'Data input'!$C:$C,'Summary by type of work report'!$B32),"")</f>
        <v>0</v>
      </c>
      <c r="D32" s="100">
        <f ca="1">IFERROR(SUMIFS(OFFSET('Data input'!$C:$C,,MATCH('Summary by type of work report'!D$9,'Data input'!$8:$8,0)-3,,),'Data input'!$C:$C,'Summary by type of work report'!$B32),"")</f>
        <v>0</v>
      </c>
      <c r="E32" s="100">
        <f ca="1">IFERROR(SUMIFS(OFFSET('Data input'!$C:$C,,MATCH('Summary by type of work report'!E$9,'Data input'!$8:$8,0)-3,,),'Data input'!$C:$C,'Summary by type of work report'!$B32),"")</f>
        <v>0</v>
      </c>
      <c r="F32" s="51"/>
      <c r="G32" s="100">
        <f>IFERROR(SUMIFS('Data input'!35:35,'Data input'!$12:$12,'Summary by type of work report'!G$9),"")</f>
        <v>0</v>
      </c>
      <c r="H32" s="100">
        <f>IFERROR(SUMIFS('Data input'!35:35,'Data input'!$12:$12,'Summary by type of work report'!H$9),"")</f>
        <v>0</v>
      </c>
      <c r="I32" s="58"/>
      <c r="J32" s="58"/>
      <c r="K32" s="51"/>
      <c r="L32" s="70">
        <f t="shared" si="2"/>
        <v>0</v>
      </c>
      <c r="M32" s="71">
        <f t="shared" ca="1" si="3"/>
        <v>0</v>
      </c>
      <c r="N32" s="51"/>
      <c r="O32" s="58"/>
      <c r="P32" s="58"/>
      <c r="Q32" s="90"/>
      <c r="R32" s="52"/>
      <c r="S32" s="70">
        <f ca="1">IFERROR(SUMIFS(OFFSET('Data input'!$B:$B,,MATCH('Summary by type of work report'!S$9,'Data input'!$9:$9,0)-2),'Data input'!$C:$C,'Summary by type of work report'!$B32),0)</f>
        <v>0</v>
      </c>
    </row>
    <row r="33" spans="2:20" s="48" customFormat="1" x14ac:dyDescent="0.2">
      <c r="B33" s="49" t="str">
        <f>IF('Data input'!$C36="","",'Data input'!$C36)</f>
        <v>Assets of discontinued operations</v>
      </c>
      <c r="C33" s="70">
        <f ca="1">IFERROR(SUMIFS(OFFSET('Data input'!$C:$C,,MATCH('Summary by type of work report'!C$9,'Data input'!$8:$8,0)-3,,),'Data input'!$C:$C,'Summary by type of work report'!$B33),"")</f>
        <v>0</v>
      </c>
      <c r="D33" s="70">
        <f ca="1">IFERROR(SUMIFS(OFFSET('Data input'!$C:$C,,MATCH('Summary by type of work report'!D$9,'Data input'!$8:$8,0)-3,,),'Data input'!$C:$C,'Summary by type of work report'!$B33),"")</f>
        <v>0</v>
      </c>
      <c r="E33" s="70">
        <f ca="1">IFERROR(SUMIFS(OFFSET('Data input'!$C:$C,,MATCH('Summary by type of work report'!E$9,'Data input'!$8:$8,0)-3,,),'Data input'!$C:$C,'Summary by type of work report'!$B33),"")</f>
        <v>0</v>
      </c>
      <c r="F33" s="51"/>
      <c r="G33" s="70">
        <f>IFERROR(SUMIFS('Data input'!36:36,'Data input'!$12:$12,'Summary by type of work report'!G$9),"")</f>
        <v>0</v>
      </c>
      <c r="H33" s="70">
        <f>IFERROR(SUMIFS('Data input'!36:36,'Data input'!$12:$12,'Summary by type of work report'!H$9),"")</f>
        <v>0</v>
      </c>
      <c r="I33" s="58"/>
      <c r="J33" s="58"/>
      <c r="K33" s="51"/>
      <c r="L33" s="70">
        <f t="shared" si="2"/>
        <v>0</v>
      </c>
      <c r="M33" s="71">
        <f t="shared" ca="1" si="3"/>
        <v>0</v>
      </c>
      <c r="N33" s="51"/>
      <c r="O33" s="58"/>
      <c r="P33" s="58"/>
      <c r="Q33" s="90"/>
      <c r="R33" s="52"/>
      <c r="S33" s="70">
        <f ca="1">IFERROR(SUMIFS(OFFSET('Data input'!$B:$B,,MATCH('Summary by type of work report'!S$9,'Data input'!$9:$9,0)-2),'Data input'!$C:$C,'Summary by type of work report'!$B33),0)</f>
        <v>0</v>
      </c>
      <c r="T33"/>
    </row>
    <row r="34" spans="2:20" s="48" customFormat="1" x14ac:dyDescent="0.2">
      <c r="B34" s="49" t="str">
        <f>IF('Data input'!$C37="","",'Data input'!$C37)</f>
        <v>Related party receivables, noncurrent</v>
      </c>
      <c r="C34" s="70">
        <f ca="1">IFERROR(SUMIFS(OFFSET('Data input'!$C:$C,,MATCH('Summary by type of work report'!C$9,'Data input'!$8:$8,0)-3,,),'Data input'!$C:$C,'Summary by type of work report'!$B34),"")</f>
        <v>0</v>
      </c>
      <c r="D34" s="70">
        <f ca="1">IFERROR(SUMIFS(OFFSET('Data input'!$C:$C,,MATCH('Summary by type of work report'!D$9,'Data input'!$8:$8,0)-3,,),'Data input'!$C:$C,'Summary by type of work report'!$B34),"")</f>
        <v>0</v>
      </c>
      <c r="E34" s="70">
        <f ca="1">IFERROR(SUMIFS(OFFSET('Data input'!$C:$C,,MATCH('Summary by type of work report'!E$9,'Data input'!$8:$8,0)-3,,),'Data input'!$C:$C,'Summary by type of work report'!$B34),"")</f>
        <v>0</v>
      </c>
      <c r="F34" s="51"/>
      <c r="G34" s="70">
        <f>IFERROR(SUMIFS('Data input'!37:37,'Data input'!$12:$12,'Summary by type of work report'!G$9),"")</f>
        <v>0</v>
      </c>
      <c r="H34" s="70">
        <f>IFERROR(SUMIFS('Data input'!37:37,'Data input'!$12:$12,'Summary by type of work report'!H$9),"")</f>
        <v>0</v>
      </c>
      <c r="I34" s="58"/>
      <c r="J34" s="58"/>
      <c r="K34" s="51"/>
      <c r="L34" s="70">
        <f t="shared" si="2"/>
        <v>0</v>
      </c>
      <c r="M34" s="71">
        <f t="shared" ca="1" si="3"/>
        <v>0</v>
      </c>
      <c r="N34" s="51"/>
      <c r="O34" s="58"/>
      <c r="P34" s="58"/>
      <c r="Q34" s="90"/>
      <c r="R34" s="52"/>
      <c r="S34" s="70">
        <f ca="1">IFERROR(SUMIFS(OFFSET('Data input'!$B:$B,,MATCH('Summary by type of work report'!S$9,'Data input'!$9:$9,0)-2),'Data input'!$C:$C,'Summary by type of work report'!$B34),0)</f>
        <v>0</v>
      </c>
      <c r="T34"/>
    </row>
    <row r="35" spans="2:20" s="48" customFormat="1" x14ac:dyDescent="0.2">
      <c r="B35" s="49" t="str">
        <f>IF('Data input'!$C38="","",'Data input'!$C38)</f>
        <v>Investments in subsidiaries</v>
      </c>
      <c r="C35" s="70">
        <f ca="1">IFERROR(SUMIFS(OFFSET('Data input'!$C:$C,,MATCH('Summary by type of work report'!C$9,'Data input'!$8:$8,0)-3,,),'Data input'!$C:$C,'Summary by type of work report'!$B35),"")</f>
        <v>0</v>
      </c>
      <c r="D35" s="70">
        <f ca="1">IFERROR(SUMIFS(OFFSET('Data input'!$C:$C,,MATCH('Summary by type of work report'!D$9,'Data input'!$8:$8,0)-3,,),'Data input'!$C:$C,'Summary by type of work report'!$B35),"")</f>
        <v>0</v>
      </c>
      <c r="E35" s="70">
        <f ca="1">IFERROR(SUMIFS(OFFSET('Data input'!$C:$C,,MATCH('Summary by type of work report'!E$9,'Data input'!$8:$8,0)-3,,),'Data input'!$C:$C,'Summary by type of work report'!$B35),"")</f>
        <v>0</v>
      </c>
      <c r="F35" s="51"/>
      <c r="G35" s="70">
        <f>IFERROR(SUMIFS('Data input'!38:38,'Data input'!$12:$12,'Summary by type of work report'!G$9),"")</f>
        <v>0</v>
      </c>
      <c r="H35" s="70">
        <f>IFERROR(SUMIFS('Data input'!38:38,'Data input'!$12:$12,'Summary by type of work report'!H$9),"")</f>
        <v>0</v>
      </c>
      <c r="I35" s="58"/>
      <c r="J35" s="58"/>
      <c r="K35" s="51"/>
      <c r="L35" s="70">
        <f t="shared" si="2"/>
        <v>0</v>
      </c>
      <c r="M35" s="71">
        <f t="shared" ca="1" si="3"/>
        <v>0</v>
      </c>
      <c r="N35" s="51"/>
      <c r="O35" s="58"/>
      <c r="P35" s="58"/>
      <c r="Q35" s="90"/>
      <c r="R35" s="52"/>
      <c r="S35" s="70">
        <f ca="1">IFERROR(SUMIFS(OFFSET('Data input'!$B:$B,,MATCH('Summary by type of work report'!S$9,'Data input'!$9:$9,0)-2),'Data input'!$C:$C,'Summary by type of work report'!$B35),0)</f>
        <v>0</v>
      </c>
      <c r="T35"/>
    </row>
    <row r="36" spans="2:20" x14ac:dyDescent="0.2">
      <c r="B36" s="23" t="str">
        <f>IF('Data input'!$C39="","",'Data input'!$C39)</f>
        <v>Other assets</v>
      </c>
      <c r="C36" s="70">
        <f ca="1">IFERROR(SUMIFS(OFFSET('Data input'!$C:$C,,MATCH('Summary by type of work report'!C$9,'Data input'!$8:$8,0)-3,,),'Data input'!$C:$C,'Summary by type of work report'!$B36),"")</f>
        <v>0</v>
      </c>
      <c r="D36" s="70">
        <f ca="1">IFERROR(SUMIFS(OFFSET('Data input'!$C:$C,,MATCH('Summary by type of work report'!D$9,'Data input'!$8:$8,0)-3,,),'Data input'!$C:$C,'Summary by type of work report'!$B36),"")</f>
        <v>0</v>
      </c>
      <c r="E36" s="70">
        <f ca="1">IFERROR(SUMIFS(OFFSET('Data input'!$C:$C,,MATCH('Summary by type of work report'!E$9,'Data input'!$8:$8,0)-3,,),'Data input'!$C:$C,'Summary by type of work report'!$B36),"")</f>
        <v>0</v>
      </c>
      <c r="F36" s="51"/>
      <c r="G36" s="70">
        <f>IFERROR(SUMIFS('Data input'!39:39,'Data input'!$12:$12,'Summary by type of work report'!G$9),"")</f>
        <v>0</v>
      </c>
      <c r="H36" s="70">
        <f>IFERROR(SUMIFS('Data input'!39:39,'Data input'!$12:$12,'Summary by type of work report'!H$9),"")</f>
        <v>0</v>
      </c>
      <c r="I36" s="58"/>
      <c r="J36" s="58"/>
      <c r="K36" s="51"/>
      <c r="L36" s="70">
        <f t="shared" si="2"/>
        <v>0</v>
      </c>
      <c r="M36" s="71">
        <f t="shared" ca="1" si="3"/>
        <v>0</v>
      </c>
      <c r="N36" s="51"/>
      <c r="O36" s="58"/>
      <c r="P36" s="58"/>
      <c r="Q36" s="90"/>
      <c r="R36" s="52"/>
      <c r="S36" s="70">
        <f ca="1">IFERROR(SUMIFS(OFFSET('Data input'!$B:$B,,MATCH('Summary by type of work report'!S$9,'Data input'!$9:$9,0)-2),'Data input'!$C:$C,'Summary by type of work report'!$B36),0)</f>
        <v>0</v>
      </c>
    </row>
    <row r="37" spans="2:20" hidden="1" x14ac:dyDescent="0.2">
      <c r="B37" s="17" t="str">
        <f>IF('Data input'!$C40="","",'Data input'!$C40)</f>
        <v>Intentionally hidden</v>
      </c>
      <c r="C37" s="72">
        <f ca="1">IFERROR(SUMIFS(OFFSET('Data input'!$C:$C,,MATCH('Summary by type of work report'!C$9,'Data input'!$8:$8,0)-3,,),'Data input'!$C:$C,'Summary by type of work report'!$B37),"")</f>
        <v>0</v>
      </c>
      <c r="D37" s="72">
        <f ca="1">IFERROR(SUMIFS(OFFSET('Data input'!$C:$C,,MATCH('Summary by type of work report'!D$9,'Data input'!$8:$8,0)-3,,),'Data input'!$C:$C,'Summary by type of work report'!$B37),"")</f>
        <v>0</v>
      </c>
      <c r="E37" s="72">
        <f ca="1">IFERROR(SUMIFS(OFFSET('Data input'!$C:$C,,MATCH('Summary by type of work report'!E$9,'Data input'!$8:$8,0)-3,,),'Data input'!$C:$C,'Summary by type of work report'!$B37),"")</f>
        <v>0</v>
      </c>
      <c r="F37" s="51"/>
      <c r="G37" s="72">
        <f>IFERROR(SUMIFS('Data input'!40:40,'Data input'!$12:$12,'Summary by type of work report'!G$9),"")</f>
        <v>0</v>
      </c>
      <c r="H37" s="72">
        <f>IFERROR(SUMIFS('Data input'!40:40,'Data input'!$12:$12,'Summary by type of work report'!H$9),"")</f>
        <v>0</v>
      </c>
      <c r="I37" s="59"/>
      <c r="J37" s="59"/>
      <c r="K37" s="51"/>
      <c r="L37" s="72">
        <f t="shared" si="2"/>
        <v>0</v>
      </c>
      <c r="M37" s="73">
        <f t="shared" ca="1" si="3"/>
        <v>0</v>
      </c>
      <c r="N37" s="51"/>
      <c r="O37" s="59"/>
      <c r="P37" s="59"/>
      <c r="Q37" s="91"/>
      <c r="R37" s="52"/>
      <c r="S37" s="72"/>
    </row>
    <row r="38" spans="2:20" x14ac:dyDescent="0.2">
      <c r="B38" s="19" t="str">
        <f>IF('Data input'!$C41="","",'Data input'!$C41)</f>
        <v>Total assets</v>
      </c>
      <c r="C38" s="77">
        <f ca="1">IFERROR(SUMIFS(OFFSET('Data input'!$C:$C,,MATCH('Summary by type of work report'!C$9,'Data input'!$8:$8,0)-3,,),'Data input'!$C:$C,'Summary by type of work report'!$B38),"")</f>
        <v>0</v>
      </c>
      <c r="D38" s="77">
        <f ca="1">IFERROR(SUMIFS(OFFSET('Data input'!$C:$C,,MATCH('Summary by type of work report'!D$9,'Data input'!$8:$8,0)-3,,),'Data input'!$C:$C,'Summary by type of work report'!$B38),"")</f>
        <v>0</v>
      </c>
      <c r="E38" s="77">
        <f ca="1">IFERROR(SUMIFS(OFFSET('Data input'!$C:$C,,MATCH('Summary by type of work report'!E$9,'Data input'!$8:$8,0)-3,,),'Data input'!$C:$C,'Summary by type of work report'!$B38),"")</f>
        <v>0</v>
      </c>
      <c r="F38" s="51"/>
      <c r="G38" s="77">
        <f>IFERROR(SUMIFS('Data input'!41:41,'Data input'!$12:$12,'Summary by type of work report'!G$9),"")</f>
        <v>0</v>
      </c>
      <c r="H38" s="77">
        <f>IFERROR(SUMIFS('Data input'!41:41,'Data input'!$12:$12,'Summary by type of work report'!H$9),"")</f>
        <v>0</v>
      </c>
      <c r="I38" s="62">
        <f>SUM(I23:I37)</f>
        <v>0</v>
      </c>
      <c r="J38" s="62">
        <f>SUM(J23:J37)</f>
        <v>0</v>
      </c>
      <c r="K38" s="51"/>
      <c r="L38" s="77">
        <f t="shared" si="2"/>
        <v>0</v>
      </c>
      <c r="M38" s="78">
        <f t="shared" ca="1" si="3"/>
        <v>0</v>
      </c>
      <c r="N38" s="51"/>
      <c r="O38" s="62"/>
      <c r="P38" s="62"/>
      <c r="Q38" s="94"/>
      <c r="R38" s="52"/>
      <c r="S38" s="77">
        <f ca="1">IFERROR(SUMIFS(OFFSET('Data input'!$B:$B,,MATCH('Summary by type of work report'!S$9,'Data input'!$9:$9,0)-2),'Data input'!$C:$C,'Summary by type of work report'!$B38),0)</f>
        <v>0</v>
      </c>
    </row>
    <row r="39" spans="2:20" x14ac:dyDescent="0.2">
      <c r="B39" s="15" t="str">
        <f>IF('Data input'!$C42="","",'Data input'!$C42)</f>
        <v/>
      </c>
      <c r="C39" s="76"/>
      <c r="D39" s="76"/>
      <c r="E39" s="76"/>
      <c r="F39" s="51"/>
      <c r="G39" s="76"/>
      <c r="H39" s="76"/>
      <c r="I39" s="61"/>
      <c r="J39" s="61"/>
      <c r="K39" s="51"/>
      <c r="L39" s="76"/>
      <c r="M39" s="76"/>
      <c r="N39" s="51"/>
      <c r="O39" s="61"/>
      <c r="P39" s="61"/>
      <c r="Q39" s="93"/>
      <c r="R39" s="52"/>
      <c r="S39" s="76"/>
    </row>
    <row r="40" spans="2:20" x14ac:dyDescent="0.2">
      <c r="B40" s="16" t="str">
        <f>IF('Data input'!$C43="","",'Data input'!$C43)</f>
        <v>Liabilities and stockholders' equity</v>
      </c>
      <c r="C40" s="79"/>
      <c r="D40" s="79"/>
      <c r="E40" s="79"/>
      <c r="F40" s="51"/>
      <c r="G40" s="79"/>
      <c r="H40" s="79"/>
      <c r="I40" s="63"/>
      <c r="J40" s="63"/>
      <c r="K40" s="51"/>
      <c r="L40" s="79"/>
      <c r="M40" s="79"/>
      <c r="N40" s="51"/>
      <c r="O40" s="63"/>
      <c r="P40" s="63"/>
      <c r="Q40" s="95"/>
      <c r="R40" s="52"/>
      <c r="S40" s="79"/>
    </row>
    <row r="41" spans="2:20" x14ac:dyDescent="0.2">
      <c r="B41" s="16" t="str">
        <f>IF('Data input'!$C44="","",'Data input'!$C44)</f>
        <v>Liabilities</v>
      </c>
      <c r="C41" s="79"/>
      <c r="D41" s="79"/>
      <c r="E41" s="79"/>
      <c r="F41" s="51"/>
      <c r="G41" s="79"/>
      <c r="H41" s="79"/>
      <c r="I41" s="63"/>
      <c r="J41" s="63"/>
      <c r="K41" s="51"/>
      <c r="L41" s="79"/>
      <c r="M41" s="79"/>
      <c r="N41" s="51"/>
      <c r="O41" s="63"/>
      <c r="P41" s="63"/>
      <c r="Q41" s="95"/>
      <c r="R41" s="52"/>
      <c r="S41" s="79"/>
    </row>
    <row r="42" spans="2:20" x14ac:dyDescent="0.2">
      <c r="B42" s="16" t="str">
        <f>IF('Data input'!$C45="","",'Data input'!$C45)</f>
        <v>Current liabilities</v>
      </c>
      <c r="C42" s="79"/>
      <c r="D42" s="79"/>
      <c r="E42" s="79"/>
      <c r="F42" s="51"/>
      <c r="G42" s="79"/>
      <c r="H42" s="79"/>
      <c r="I42" s="63"/>
      <c r="J42" s="63"/>
      <c r="K42" s="51"/>
      <c r="L42" s="79"/>
      <c r="M42" s="79"/>
      <c r="N42" s="51"/>
      <c r="O42" s="63"/>
      <c r="P42" s="63"/>
      <c r="Q42" s="95"/>
      <c r="R42" s="52"/>
      <c r="S42" s="79"/>
    </row>
    <row r="43" spans="2:20" x14ac:dyDescent="0.2">
      <c r="B43" s="23" t="str">
        <f>IF('Data input'!$C46="","",'Data input'!$C46)</f>
        <v>Accounts payable</v>
      </c>
      <c r="C43" s="70">
        <f ca="1">IFERROR(SUMIFS(OFFSET('Data input'!$C:$C,,MATCH('Summary by type of work report'!C$9,'Data input'!$8:$8,0)-3,,),'Data input'!$C:$C,'Summary by type of work report'!$B43),"")</f>
        <v>0</v>
      </c>
      <c r="D43" s="70">
        <f ca="1">IFERROR(SUMIFS(OFFSET('Data input'!$C:$C,,MATCH('Summary by type of work report'!D$9,'Data input'!$8:$8,0)-3,,),'Data input'!$C:$C,'Summary by type of work report'!$B43),"")</f>
        <v>0</v>
      </c>
      <c r="E43" s="70">
        <f ca="1">IFERROR(SUMIFS(OFFSET('Data input'!$C:$C,,MATCH('Summary by type of work report'!E$9,'Data input'!$8:$8,0)-3,,),'Data input'!$C:$C,'Summary by type of work report'!$B43),"")</f>
        <v>0</v>
      </c>
      <c r="F43" s="51"/>
      <c r="G43" s="70">
        <f>IFERROR(SUMIFS('Data input'!46:46,'Data input'!$12:$12,'Summary by type of work report'!G$9),"")</f>
        <v>0</v>
      </c>
      <c r="H43" s="70">
        <f>IFERROR(SUMIFS('Data input'!46:46,'Data input'!$12:$12,'Summary by type of work report'!H$9),"")</f>
        <v>0</v>
      </c>
      <c r="I43" s="58"/>
      <c r="J43" s="58"/>
      <c r="K43" s="51"/>
      <c r="L43" s="70">
        <f t="shared" ref="L43:L54" si="4">G43+H43+I43+J43</f>
        <v>0</v>
      </c>
      <c r="M43" s="71">
        <f t="shared" ref="M43:M54" ca="1" si="5">IFERROR(L43/(C43-D43-E43),0)</f>
        <v>0</v>
      </c>
      <c r="N43" s="51"/>
      <c r="O43" s="58"/>
      <c r="P43" s="58"/>
      <c r="Q43" s="90"/>
      <c r="R43" s="52"/>
      <c r="S43" s="70">
        <f ca="1">IFERROR(SUMIFS(OFFSET('Data input'!$B:$B,,MATCH('Summary by type of work report'!S$9,'Data input'!$9:$9,0)-2),'Data input'!$C:$C,'Summary by type of work report'!$B43),0)</f>
        <v>0</v>
      </c>
    </row>
    <row r="44" spans="2:20" s="48" customFormat="1" x14ac:dyDescent="0.2">
      <c r="B44" s="49" t="str">
        <f>IF('Data input'!$C47="","",'Data input'!$C47)</f>
        <v>Accrued expenses</v>
      </c>
      <c r="C44" s="70">
        <f ca="1">IFERROR(SUMIFS(OFFSET('Data input'!$C:$C,,MATCH('Summary by type of work report'!C$9,'Data input'!$8:$8,0)-3,,),'Data input'!$C:$C,'Summary by type of work report'!$B44),"")</f>
        <v>0</v>
      </c>
      <c r="D44" s="70">
        <f ca="1">IFERROR(SUMIFS(OFFSET('Data input'!$C:$C,,MATCH('Summary by type of work report'!D$9,'Data input'!$8:$8,0)-3,,),'Data input'!$C:$C,'Summary by type of work report'!$B44),"")</f>
        <v>0</v>
      </c>
      <c r="E44" s="70">
        <f ca="1">IFERROR(SUMIFS(OFFSET('Data input'!$C:$C,,MATCH('Summary by type of work report'!E$9,'Data input'!$8:$8,0)-3,,),'Data input'!$C:$C,'Summary by type of work report'!$B44),"")</f>
        <v>0</v>
      </c>
      <c r="F44" s="51"/>
      <c r="G44" s="70">
        <f>IFERROR(SUMIFS('Data input'!47:47,'Data input'!$12:$12,'Summary by type of work report'!G$9),"")</f>
        <v>0</v>
      </c>
      <c r="H44" s="70">
        <f>IFERROR(SUMIFS('Data input'!47:47,'Data input'!$12:$12,'Summary by type of work report'!H$9),"")</f>
        <v>0</v>
      </c>
      <c r="I44" s="58"/>
      <c r="J44" s="58"/>
      <c r="K44" s="51"/>
      <c r="L44" s="70">
        <f t="shared" si="4"/>
        <v>0</v>
      </c>
      <c r="M44" s="71">
        <f t="shared" ca="1" si="5"/>
        <v>0</v>
      </c>
      <c r="N44" s="51"/>
      <c r="O44" s="58"/>
      <c r="P44" s="58"/>
      <c r="Q44" s="90"/>
      <c r="R44" s="52"/>
      <c r="S44" s="70">
        <f ca="1">IFERROR(SUMIFS(OFFSET('Data input'!$B:$B,,MATCH('Summary by type of work report'!S$9,'Data input'!$9:$9,0)-2),'Data input'!$C:$C,'Summary by type of work report'!$B44),0)</f>
        <v>0</v>
      </c>
      <c r="T44"/>
    </row>
    <row r="45" spans="2:20" x14ac:dyDescent="0.2">
      <c r="B45" s="23" t="str">
        <f>IF('Data input'!$C48="","",'Data input'!$C48)</f>
        <v>Current portion of long-term debt</v>
      </c>
      <c r="C45" s="70">
        <f ca="1">IFERROR(SUMIFS(OFFSET('Data input'!$C:$C,,MATCH('Summary by type of work report'!C$9,'Data input'!$8:$8,0)-3,,),'Data input'!$C:$C,'Summary by type of work report'!$B45),"")</f>
        <v>0</v>
      </c>
      <c r="D45" s="70">
        <f ca="1">IFERROR(SUMIFS(OFFSET('Data input'!$C:$C,,MATCH('Summary by type of work report'!D$9,'Data input'!$8:$8,0)-3,,),'Data input'!$C:$C,'Summary by type of work report'!$B45),"")</f>
        <v>0</v>
      </c>
      <c r="E45" s="70">
        <f ca="1">IFERROR(SUMIFS(OFFSET('Data input'!$C:$C,,MATCH('Summary by type of work report'!E$9,'Data input'!$8:$8,0)-3,,),'Data input'!$C:$C,'Summary by type of work report'!$B45),"")</f>
        <v>0</v>
      </c>
      <c r="F45" s="51"/>
      <c r="G45" s="70">
        <f>IFERROR(SUMIFS('Data input'!48:48,'Data input'!$12:$12,'Summary by type of work report'!G$9),"")</f>
        <v>0</v>
      </c>
      <c r="H45" s="70">
        <f>IFERROR(SUMIFS('Data input'!48:48,'Data input'!$12:$12,'Summary by type of work report'!H$9),"")</f>
        <v>0</v>
      </c>
      <c r="I45" s="58"/>
      <c r="J45" s="58"/>
      <c r="K45" s="51"/>
      <c r="L45" s="70">
        <f t="shared" si="4"/>
        <v>0</v>
      </c>
      <c r="M45" s="71">
        <f t="shared" ca="1" si="5"/>
        <v>0</v>
      </c>
      <c r="N45" s="51"/>
      <c r="O45" s="58"/>
      <c r="P45" s="58"/>
      <c r="Q45" s="90"/>
      <c r="R45" s="52"/>
      <c r="S45" s="70">
        <f ca="1">IFERROR(SUMIFS(OFFSET('Data input'!$B:$B,,MATCH('Summary by type of work report'!S$9,'Data input'!$9:$9,0)-2),'Data input'!$C:$C,'Summary by type of work report'!$B45),0)</f>
        <v>0</v>
      </c>
    </row>
    <row r="46" spans="2:20" x14ac:dyDescent="0.2">
      <c r="B46" s="23" t="str">
        <f>IF('Data input'!$C49="","",'Data input'!$C49)</f>
        <v>Capital lease obligations, current</v>
      </c>
      <c r="C46" s="70">
        <f ca="1">IFERROR(SUMIFS(OFFSET('Data input'!$C:$C,,MATCH('Summary by type of work report'!C$9,'Data input'!$8:$8,0)-3,,),'Data input'!$C:$C,'Summary by type of work report'!$B46),"")</f>
        <v>0</v>
      </c>
      <c r="D46" s="70">
        <f ca="1">IFERROR(SUMIFS(OFFSET('Data input'!$C:$C,,MATCH('Summary by type of work report'!D$9,'Data input'!$8:$8,0)-3,,),'Data input'!$C:$C,'Summary by type of work report'!$B46),"")</f>
        <v>0</v>
      </c>
      <c r="E46" s="70">
        <f ca="1">IFERROR(SUMIFS(OFFSET('Data input'!$C:$C,,MATCH('Summary by type of work report'!E$9,'Data input'!$8:$8,0)-3,,),'Data input'!$C:$C,'Summary by type of work report'!$B46),"")</f>
        <v>0</v>
      </c>
      <c r="F46" s="51"/>
      <c r="G46" s="70">
        <f>IFERROR(SUMIFS('Data input'!49:49,'Data input'!$12:$12,'Summary by type of work report'!G$9),"")</f>
        <v>0</v>
      </c>
      <c r="H46" s="70">
        <f>IFERROR(SUMIFS('Data input'!49:49,'Data input'!$12:$12,'Summary by type of work report'!H$9),"")</f>
        <v>0</v>
      </c>
      <c r="I46" s="58"/>
      <c r="J46" s="58"/>
      <c r="K46" s="51"/>
      <c r="L46" s="70">
        <f t="shared" si="4"/>
        <v>0</v>
      </c>
      <c r="M46" s="71">
        <f t="shared" ca="1" si="5"/>
        <v>0</v>
      </c>
      <c r="N46" s="51"/>
      <c r="O46" s="58"/>
      <c r="P46" s="58"/>
      <c r="Q46" s="90"/>
      <c r="R46" s="52"/>
      <c r="S46" s="70">
        <f ca="1">IFERROR(SUMIFS(OFFSET('Data input'!$B:$B,,MATCH('Summary by type of work report'!S$9,'Data input'!$9:$9,0)-2),'Data input'!$C:$C,'Summary by type of work report'!$B46),0)</f>
        <v>0</v>
      </c>
    </row>
    <row r="47" spans="2:20" x14ac:dyDescent="0.2">
      <c r="B47" s="23" t="str">
        <f>IF('Data input'!$C50="","",'Data input'!$C50)</f>
        <v>Income taxes payable</v>
      </c>
      <c r="C47" s="70">
        <f ca="1">IFERROR(SUMIFS(OFFSET('Data input'!$C:$C,,MATCH('Summary by type of work report'!C$9,'Data input'!$8:$8,0)-3,,),'Data input'!$C:$C,'Summary by type of work report'!$B47),"")</f>
        <v>0</v>
      </c>
      <c r="D47" s="70">
        <f ca="1">IFERROR(SUMIFS(OFFSET('Data input'!$C:$C,,MATCH('Summary by type of work report'!D$9,'Data input'!$8:$8,0)-3,,),'Data input'!$C:$C,'Summary by type of work report'!$B47),"")</f>
        <v>0</v>
      </c>
      <c r="E47" s="70">
        <f ca="1">IFERROR(SUMIFS(OFFSET('Data input'!$C:$C,,MATCH('Summary by type of work report'!E$9,'Data input'!$8:$8,0)-3,,),'Data input'!$C:$C,'Summary by type of work report'!$B47),"")</f>
        <v>0</v>
      </c>
      <c r="F47" s="51"/>
      <c r="G47" s="70">
        <f>IFERROR(SUMIFS('Data input'!50:50,'Data input'!$12:$12,'Summary by type of work report'!G$9),"")</f>
        <v>0</v>
      </c>
      <c r="H47" s="70">
        <f>IFERROR(SUMIFS('Data input'!50:50,'Data input'!$12:$12,'Summary by type of work report'!H$9),"")</f>
        <v>0</v>
      </c>
      <c r="I47" s="58"/>
      <c r="J47" s="58"/>
      <c r="K47" s="51"/>
      <c r="L47" s="70">
        <f t="shared" si="4"/>
        <v>0</v>
      </c>
      <c r="M47" s="71">
        <f t="shared" ca="1" si="5"/>
        <v>0</v>
      </c>
      <c r="N47" s="51"/>
      <c r="O47" s="58"/>
      <c r="P47" s="58"/>
      <c r="Q47" s="90"/>
      <c r="R47" s="52"/>
      <c r="S47" s="70">
        <f ca="1">IFERROR(SUMIFS(OFFSET('Data input'!$B:$B,,MATCH('Summary by type of work report'!S$9,'Data input'!$9:$9,0)-2),'Data input'!$C:$C,'Summary by type of work report'!$B47),0)</f>
        <v>0</v>
      </c>
    </row>
    <row r="48" spans="2:20" x14ac:dyDescent="0.2">
      <c r="B48" s="23" t="str">
        <f>IF('Data input'!$C51="","",'Data input'!$C51)</f>
        <v>Derivative liabilities</v>
      </c>
      <c r="C48" s="70">
        <f ca="1">IFERROR(SUMIFS(OFFSET('Data input'!$C:$C,,MATCH('Summary by type of work report'!C$9,'Data input'!$8:$8,0)-3,,),'Data input'!$C:$C,'Summary by type of work report'!$B48),"")</f>
        <v>0</v>
      </c>
      <c r="D48" s="70">
        <f ca="1">IFERROR(SUMIFS(OFFSET('Data input'!$C:$C,,MATCH('Summary by type of work report'!D$9,'Data input'!$8:$8,0)-3,,),'Data input'!$C:$C,'Summary by type of work report'!$B48),"")</f>
        <v>0</v>
      </c>
      <c r="E48" s="70">
        <f ca="1">IFERROR(SUMIFS(OFFSET('Data input'!$C:$C,,MATCH('Summary by type of work report'!E$9,'Data input'!$8:$8,0)-3,,),'Data input'!$C:$C,'Summary by type of work report'!$B48),"")</f>
        <v>0</v>
      </c>
      <c r="F48" s="51"/>
      <c r="G48" s="70">
        <f>IFERROR(SUMIFS('Data input'!51:51,'Data input'!$12:$12,'Summary by type of work report'!G$9),"")</f>
        <v>0</v>
      </c>
      <c r="H48" s="70">
        <f>IFERROR(SUMIFS('Data input'!51:51,'Data input'!$12:$12,'Summary by type of work report'!H$9),"")</f>
        <v>0</v>
      </c>
      <c r="I48" s="58"/>
      <c r="J48" s="58"/>
      <c r="K48" s="51"/>
      <c r="L48" s="70">
        <f t="shared" si="4"/>
        <v>0</v>
      </c>
      <c r="M48" s="71">
        <f t="shared" ca="1" si="5"/>
        <v>0</v>
      </c>
      <c r="N48" s="51"/>
      <c r="O48" s="58"/>
      <c r="P48" s="58"/>
      <c r="Q48" s="90"/>
      <c r="R48" s="52"/>
      <c r="S48" s="70">
        <f ca="1">IFERROR(SUMIFS(OFFSET('Data input'!$B:$B,,MATCH('Summary by type of work report'!S$9,'Data input'!$9:$9,0)-2),'Data input'!$C:$C,'Summary by type of work report'!$B48),0)</f>
        <v>0</v>
      </c>
    </row>
    <row r="49" spans="2:20" x14ac:dyDescent="0.2">
      <c r="B49" s="23" t="str">
        <f>IF('Data input'!$C52="","",'Data input'!$C52)</f>
        <v>Deferred credits, current</v>
      </c>
      <c r="C49" s="70">
        <f ca="1">IFERROR(SUMIFS(OFFSET('Data input'!$C:$C,,MATCH('Summary by type of work report'!C$9,'Data input'!$8:$8,0)-3,,),'Data input'!$C:$C,'Summary by type of work report'!$B49),"")</f>
        <v>0</v>
      </c>
      <c r="D49" s="70">
        <f ca="1">IFERROR(SUMIFS(OFFSET('Data input'!$C:$C,,MATCH('Summary by type of work report'!D$9,'Data input'!$8:$8,0)-3,,),'Data input'!$C:$C,'Summary by type of work report'!$B49),"")</f>
        <v>0</v>
      </c>
      <c r="E49" s="70">
        <f ca="1">IFERROR(SUMIFS(OFFSET('Data input'!$C:$C,,MATCH('Summary by type of work report'!E$9,'Data input'!$8:$8,0)-3,,),'Data input'!$C:$C,'Summary by type of work report'!$B49),"")</f>
        <v>0</v>
      </c>
      <c r="F49" s="51"/>
      <c r="G49" s="70">
        <f>IFERROR(SUMIFS('Data input'!52:52,'Data input'!$12:$12,'Summary by type of work report'!G$9),"")</f>
        <v>0</v>
      </c>
      <c r="H49" s="70">
        <f>IFERROR(SUMIFS('Data input'!52:52,'Data input'!$12:$12,'Summary by type of work report'!H$9),"")</f>
        <v>0</v>
      </c>
      <c r="I49" s="58"/>
      <c r="J49" s="58"/>
      <c r="K49" s="51"/>
      <c r="L49" s="70">
        <f t="shared" si="4"/>
        <v>0</v>
      </c>
      <c r="M49" s="71">
        <f t="shared" ca="1" si="5"/>
        <v>0</v>
      </c>
      <c r="N49" s="51"/>
      <c r="O49" s="58"/>
      <c r="P49" s="58"/>
      <c r="Q49" s="90"/>
      <c r="R49" s="52"/>
      <c r="S49" s="70">
        <f ca="1">IFERROR(SUMIFS(OFFSET('Data input'!$B:$B,,MATCH('Summary by type of work report'!S$9,'Data input'!$9:$9,0)-2),'Data input'!$C:$C,'Summary by type of work report'!$B49),0)</f>
        <v>0</v>
      </c>
    </row>
    <row r="50" spans="2:20" x14ac:dyDescent="0.2">
      <c r="B50" s="23" t="str">
        <f>IF('Data input'!$C53="","",'Data input'!$C53)</f>
        <v>Dividends payable</v>
      </c>
      <c r="C50" s="70">
        <f ca="1">IFERROR(SUMIFS(OFFSET('Data input'!$C:$C,,MATCH('Summary by type of work report'!C$9,'Data input'!$8:$8,0)-3,,),'Data input'!$C:$C,'Summary by type of work report'!$B50),"")</f>
        <v>0</v>
      </c>
      <c r="D50" s="70">
        <f ca="1">IFERROR(SUMIFS(OFFSET('Data input'!$C:$C,,MATCH('Summary by type of work report'!D$9,'Data input'!$8:$8,0)-3,,),'Data input'!$C:$C,'Summary by type of work report'!$B50),"")</f>
        <v>0</v>
      </c>
      <c r="E50" s="70">
        <f ca="1">IFERROR(SUMIFS(OFFSET('Data input'!$C:$C,,MATCH('Summary by type of work report'!E$9,'Data input'!$8:$8,0)-3,,),'Data input'!$C:$C,'Summary by type of work report'!$B50),"")</f>
        <v>0</v>
      </c>
      <c r="F50" s="51"/>
      <c r="G50" s="70">
        <f>IFERROR(SUMIFS('Data input'!53:53,'Data input'!$12:$12,'Summary by type of work report'!G$9),"")</f>
        <v>0</v>
      </c>
      <c r="H50" s="70">
        <f>IFERROR(SUMIFS('Data input'!53:53,'Data input'!$12:$12,'Summary by type of work report'!H$9),"")</f>
        <v>0</v>
      </c>
      <c r="I50" s="58"/>
      <c r="J50" s="58"/>
      <c r="K50" s="51"/>
      <c r="L50" s="70">
        <f t="shared" si="4"/>
        <v>0</v>
      </c>
      <c r="M50" s="71">
        <f t="shared" ca="1" si="5"/>
        <v>0</v>
      </c>
      <c r="N50" s="51"/>
      <c r="O50" s="58"/>
      <c r="P50" s="58"/>
      <c r="Q50" s="90"/>
      <c r="R50" s="52"/>
      <c r="S50" s="70">
        <f ca="1">IFERROR(SUMIFS(OFFSET('Data input'!$B:$B,,MATCH('Summary by type of work report'!S$9,'Data input'!$9:$9,0)-2),'Data input'!$C:$C,'Summary by type of work report'!$B50),0)</f>
        <v>0</v>
      </c>
    </row>
    <row r="51" spans="2:20" x14ac:dyDescent="0.2">
      <c r="B51" s="23" t="str">
        <f>IF('Data input'!$C54="","",'Data input'!$C54)</f>
        <v>Contract liabilities</v>
      </c>
      <c r="C51" s="70">
        <f ca="1">IFERROR(SUMIFS(OFFSET('Data input'!$C:$C,,MATCH('Summary by type of work report'!C$9,'Data input'!$8:$8,0)-3,,),'Data input'!$C:$C,'Summary by type of work report'!$B51),"")</f>
        <v>0</v>
      </c>
      <c r="D51" s="70">
        <f ca="1">IFERROR(SUMIFS(OFFSET('Data input'!$C:$C,,MATCH('Summary by type of work report'!D$9,'Data input'!$8:$8,0)-3,,),'Data input'!$C:$C,'Summary by type of work report'!$B51),"")</f>
        <v>0</v>
      </c>
      <c r="E51" s="70">
        <f ca="1">IFERROR(SUMIFS(OFFSET('Data input'!$C:$C,,MATCH('Summary by type of work report'!E$9,'Data input'!$8:$8,0)-3,,),'Data input'!$C:$C,'Summary by type of work report'!$B51),"")</f>
        <v>0</v>
      </c>
      <c r="F51" s="51"/>
      <c r="G51" s="70">
        <f>IFERROR(SUMIFS('Data input'!54:54,'Data input'!$12:$12,'Summary by type of work report'!G$9),"")</f>
        <v>0</v>
      </c>
      <c r="H51" s="70">
        <f>IFERROR(SUMIFS('Data input'!54:54,'Data input'!$12:$12,'Summary by type of work report'!H$9),"")</f>
        <v>0</v>
      </c>
      <c r="I51" s="58"/>
      <c r="J51" s="58"/>
      <c r="K51" s="51"/>
      <c r="L51" s="70">
        <f t="shared" si="4"/>
        <v>0</v>
      </c>
      <c r="M51" s="71">
        <f t="shared" ca="1" si="5"/>
        <v>0</v>
      </c>
      <c r="N51" s="51"/>
      <c r="O51" s="58"/>
      <c r="P51" s="58"/>
      <c r="Q51" s="90"/>
      <c r="R51" s="52"/>
      <c r="S51" s="70">
        <f ca="1">IFERROR(SUMIFS(OFFSET('Data input'!$B:$B,,MATCH('Summary by type of work report'!S$9,'Data input'!$9:$9,0)-2),'Data input'!$C:$C,'Summary by type of work report'!$B51),0)</f>
        <v>0</v>
      </c>
    </row>
    <row r="52" spans="2:20" x14ac:dyDescent="0.2">
      <c r="B52" s="23" t="str">
        <f>IF('Data input'!$C55="","",'Data input'!$C55)</f>
        <v>Other current liabilities</v>
      </c>
      <c r="C52" s="70">
        <f ca="1">IFERROR(SUMIFS(OFFSET('Data input'!$C:$C,,MATCH('Summary by type of work report'!C$9,'Data input'!$8:$8,0)-3,,),'Data input'!$C:$C,'Summary by type of work report'!$B52),"")</f>
        <v>0</v>
      </c>
      <c r="D52" s="70">
        <f ca="1">IFERROR(SUMIFS(OFFSET('Data input'!$C:$C,,MATCH('Summary by type of work report'!D$9,'Data input'!$8:$8,0)-3,,),'Data input'!$C:$C,'Summary by type of work report'!$B52),"")</f>
        <v>0</v>
      </c>
      <c r="E52" s="70">
        <f ca="1">IFERROR(SUMIFS(OFFSET('Data input'!$C:$C,,MATCH('Summary by type of work report'!E$9,'Data input'!$8:$8,0)-3,,),'Data input'!$C:$C,'Summary by type of work report'!$B52),"")</f>
        <v>0</v>
      </c>
      <c r="F52" s="51"/>
      <c r="G52" s="70">
        <f>IFERROR(SUMIFS('Data input'!55:55,'Data input'!$12:$12,'Summary by type of work report'!G$9),"")</f>
        <v>0</v>
      </c>
      <c r="H52" s="70">
        <f>IFERROR(SUMIFS('Data input'!55:55,'Data input'!$12:$12,'Summary by type of work report'!H$9),"")</f>
        <v>0</v>
      </c>
      <c r="I52" s="58"/>
      <c r="J52" s="58"/>
      <c r="K52" s="51"/>
      <c r="L52" s="70">
        <f t="shared" si="4"/>
        <v>0</v>
      </c>
      <c r="M52" s="71">
        <f t="shared" ca="1" si="5"/>
        <v>0</v>
      </c>
      <c r="N52" s="51"/>
      <c r="O52" s="58"/>
      <c r="P52" s="58"/>
      <c r="Q52" s="90"/>
      <c r="R52" s="52"/>
      <c r="S52" s="70">
        <f ca="1">IFERROR(SUMIFS(OFFSET('Data input'!$B:$B,,MATCH('Summary by type of work report'!S$9,'Data input'!$9:$9,0)-2),'Data input'!$C:$C,'Summary by type of work report'!$B52),0)</f>
        <v>0</v>
      </c>
    </row>
    <row r="53" spans="2:20" hidden="1" x14ac:dyDescent="0.2">
      <c r="B53" s="17" t="str">
        <f>IF('Data input'!$C56="","",'Data input'!$C56)</f>
        <v>Intentionally hidden</v>
      </c>
      <c r="C53" s="72">
        <f ca="1">IFERROR(SUMIFS(OFFSET('Data input'!$C:$C,,MATCH('Summary by type of work report'!C$9,'Data input'!$8:$8,0)-3,,),'Data input'!$C:$C,'Summary by type of work report'!$B53),"")</f>
        <v>0</v>
      </c>
      <c r="D53" s="72">
        <f ca="1">IFERROR(SUMIFS(OFFSET('Data input'!$C:$C,,MATCH('Summary by type of work report'!D$9,'Data input'!$8:$8,0)-3,,),'Data input'!$C:$C,'Summary by type of work report'!$B53),"")</f>
        <v>0</v>
      </c>
      <c r="E53" s="72">
        <f ca="1">IFERROR(SUMIFS(OFFSET('Data input'!$C:$C,,MATCH('Summary by type of work report'!E$9,'Data input'!$8:$8,0)-3,,),'Data input'!$C:$C,'Summary by type of work report'!$B53),"")</f>
        <v>0</v>
      </c>
      <c r="F53" s="51"/>
      <c r="G53" s="72">
        <f>IFERROR(SUMIFS('Data input'!56:56,'Data input'!$12:$12,'Summary by type of work report'!G$9),"")</f>
        <v>0</v>
      </c>
      <c r="H53" s="72">
        <f>IFERROR(SUMIFS('Data input'!56:56,'Data input'!$12:$12,'Summary by type of work report'!H$9),"")</f>
        <v>0</v>
      </c>
      <c r="I53" s="59"/>
      <c r="J53" s="59"/>
      <c r="K53" s="51"/>
      <c r="L53" s="72">
        <f t="shared" si="4"/>
        <v>0</v>
      </c>
      <c r="M53" s="73">
        <f t="shared" ca="1" si="5"/>
        <v>0</v>
      </c>
      <c r="N53" s="51"/>
      <c r="O53" s="59"/>
      <c r="P53" s="59"/>
      <c r="Q53" s="91"/>
      <c r="R53" s="52"/>
      <c r="S53" s="72">
        <f ca="1">IFERROR(SUMIFS(OFFSET('Data input'!$B:$B,,MATCH('Summary by type of work report'!S$9,'Data input'!$9:$9,0)-2),'Data input'!$C:$C,'Summary by type of work report'!$B53),0)</f>
        <v>0</v>
      </c>
    </row>
    <row r="54" spans="2:20" x14ac:dyDescent="0.2">
      <c r="B54" s="18" t="str">
        <f>IF('Data input'!$C57="","",'Data input'!$C57)</f>
        <v>Total current liabilities</v>
      </c>
      <c r="C54" s="74">
        <f ca="1">IFERROR(SUMIFS(OFFSET('Data input'!$C:$C,,MATCH('Summary by type of work report'!C$9,'Data input'!$8:$8,0)-3,,),'Data input'!$C:$C,'Summary by type of work report'!$B54),"")</f>
        <v>0</v>
      </c>
      <c r="D54" s="74">
        <f ca="1">IFERROR(SUMIFS(OFFSET('Data input'!$C:$C,,MATCH('Summary by type of work report'!D$9,'Data input'!$8:$8,0)-3,,),'Data input'!$C:$C,'Summary by type of work report'!$B54),"")</f>
        <v>0</v>
      </c>
      <c r="E54" s="74">
        <f ca="1">IFERROR(SUMIFS(OFFSET('Data input'!$C:$C,,MATCH('Summary by type of work report'!E$9,'Data input'!$8:$8,0)-3,,),'Data input'!$C:$C,'Summary by type of work report'!$B54),"")</f>
        <v>0</v>
      </c>
      <c r="F54" s="51"/>
      <c r="G54" s="74">
        <f>IFERROR(SUMIFS('Data input'!57:57,'Data input'!$12:$12,'Summary by type of work report'!G$9),"")</f>
        <v>0</v>
      </c>
      <c r="H54" s="74">
        <f>IFERROR(SUMIFS('Data input'!57:57,'Data input'!$12:$12,'Summary by type of work report'!H$9),"")</f>
        <v>0</v>
      </c>
      <c r="I54" s="60">
        <f>SUM(I43:I53)</f>
        <v>0</v>
      </c>
      <c r="J54" s="60">
        <f>SUM(J43:J53)</f>
        <v>0</v>
      </c>
      <c r="K54" s="51"/>
      <c r="L54" s="74">
        <f t="shared" si="4"/>
        <v>0</v>
      </c>
      <c r="M54" s="75">
        <f t="shared" ca="1" si="5"/>
        <v>0</v>
      </c>
      <c r="N54" s="51"/>
      <c r="O54" s="60"/>
      <c r="P54" s="60"/>
      <c r="Q54" s="92"/>
      <c r="R54" s="52"/>
      <c r="S54" s="74">
        <f ca="1">IFERROR(SUMIFS(OFFSET('Data input'!$B:$B,,MATCH('Summary by type of work report'!S$9,'Data input'!$9:$9,0)-2),'Data input'!$C:$C,'Summary by type of work report'!$B54),0)</f>
        <v>0</v>
      </c>
    </row>
    <row r="55" spans="2:20" x14ac:dyDescent="0.2">
      <c r="B55" s="23" t="str">
        <f>IF('Data input'!$C58="","",'Data input'!$C58)</f>
        <v/>
      </c>
      <c r="C55" s="70"/>
      <c r="D55" s="70"/>
      <c r="E55" s="70"/>
      <c r="F55" s="51"/>
      <c r="G55" s="70"/>
      <c r="H55" s="70"/>
      <c r="I55" s="58"/>
      <c r="J55" s="58"/>
      <c r="K55" s="51"/>
      <c r="L55" s="70"/>
      <c r="M55" s="70"/>
      <c r="N55" s="51"/>
      <c r="O55" s="58"/>
      <c r="P55" s="58"/>
      <c r="Q55" s="90"/>
      <c r="R55" s="52"/>
      <c r="S55" s="70"/>
    </row>
    <row r="56" spans="2:20" x14ac:dyDescent="0.2">
      <c r="B56" s="23" t="str">
        <f>IF('Data input'!$C59="","",'Data input'!$C59)</f>
        <v>Long-term debt, net</v>
      </c>
      <c r="C56" s="70">
        <f ca="1">IFERROR(SUMIFS(OFFSET('Data input'!$C:$C,,MATCH('Summary by type of work report'!C$9,'Data input'!$8:$8,0)-3,,),'Data input'!$C:$C,'Summary by type of work report'!$B56),"")</f>
        <v>0</v>
      </c>
      <c r="D56" s="70">
        <f ca="1">IFERROR(SUMIFS(OFFSET('Data input'!$C:$C,,MATCH('Summary by type of work report'!D$9,'Data input'!$8:$8,0)-3,,),'Data input'!$C:$C,'Summary by type of work report'!$B56),"")</f>
        <v>0</v>
      </c>
      <c r="E56" s="70">
        <f ca="1">IFERROR(SUMIFS(OFFSET('Data input'!$C:$C,,MATCH('Summary by type of work report'!E$9,'Data input'!$8:$8,0)-3,,),'Data input'!$C:$C,'Summary by type of work report'!$B56),"")</f>
        <v>0</v>
      </c>
      <c r="F56" s="51"/>
      <c r="G56" s="70">
        <f>IFERROR(SUMIFS('Data input'!59:59,'Data input'!$12:$12,'Summary by type of work report'!G$9),"")</f>
        <v>0</v>
      </c>
      <c r="H56" s="70">
        <f>IFERROR(SUMIFS('Data input'!59:59,'Data input'!$12:$12,'Summary by type of work report'!H$9),"")</f>
        <v>0</v>
      </c>
      <c r="I56" s="58"/>
      <c r="J56" s="58"/>
      <c r="K56" s="51"/>
      <c r="L56" s="70">
        <f t="shared" ref="L56:L64" si="6">G56+H56+I56+J56</f>
        <v>0</v>
      </c>
      <c r="M56" s="71">
        <f t="shared" ref="M56:M66" ca="1" si="7">IFERROR(L56/(C56-D56-E56),0)</f>
        <v>0</v>
      </c>
      <c r="N56" s="51"/>
      <c r="O56" s="58"/>
      <c r="P56" s="58"/>
      <c r="Q56" s="90"/>
      <c r="R56" s="52"/>
      <c r="S56" s="70">
        <f ca="1">IFERROR(SUMIFS(OFFSET('Data input'!$B:$B,,MATCH('Summary by type of work report'!S$9,'Data input'!$9:$9,0)-2),'Data input'!$C:$C,'Summary by type of work report'!$B56),0)</f>
        <v>0</v>
      </c>
    </row>
    <row r="57" spans="2:20" x14ac:dyDescent="0.2">
      <c r="B57" s="23" t="str">
        <f>IF('Data input'!$C60="","",'Data input'!$C60)</f>
        <v>Capital lease obligations, noncurrent</v>
      </c>
      <c r="C57" s="70">
        <f ca="1">IFERROR(SUMIFS(OFFSET('Data input'!$C:$C,,MATCH('Summary by type of work report'!C$9,'Data input'!$8:$8,0)-3,,),'Data input'!$C:$C,'Summary by type of work report'!$B57),"")</f>
        <v>0</v>
      </c>
      <c r="D57" s="70">
        <f ca="1">IFERROR(SUMIFS(OFFSET('Data input'!$C:$C,,MATCH('Summary by type of work report'!D$9,'Data input'!$8:$8,0)-3,,),'Data input'!$C:$C,'Summary by type of work report'!$B57),"")</f>
        <v>0</v>
      </c>
      <c r="E57" s="70">
        <f ca="1">IFERROR(SUMIFS(OFFSET('Data input'!$C:$C,,MATCH('Summary by type of work report'!E$9,'Data input'!$8:$8,0)-3,,),'Data input'!$C:$C,'Summary by type of work report'!$B57),"")</f>
        <v>0</v>
      </c>
      <c r="F57" s="51"/>
      <c r="G57" s="70">
        <f>IFERROR(SUMIFS('Data input'!60:60,'Data input'!$12:$12,'Summary by type of work report'!G$9),"")</f>
        <v>0</v>
      </c>
      <c r="H57" s="70">
        <f>IFERROR(SUMIFS('Data input'!60:60,'Data input'!$12:$12,'Summary by type of work report'!H$9),"")</f>
        <v>0</v>
      </c>
      <c r="I57" s="58"/>
      <c r="J57" s="58"/>
      <c r="K57" s="51"/>
      <c r="L57" s="70">
        <f t="shared" si="6"/>
        <v>0</v>
      </c>
      <c r="M57" s="71">
        <f t="shared" ca="1" si="7"/>
        <v>0</v>
      </c>
      <c r="N57" s="51"/>
      <c r="O57" s="58"/>
      <c r="P57" s="58"/>
      <c r="Q57" s="90"/>
      <c r="R57" s="52"/>
      <c r="S57" s="70">
        <f ca="1">IFERROR(SUMIFS(OFFSET('Data input'!$B:$B,,MATCH('Summary by type of work report'!S$9,'Data input'!$9:$9,0)-2),'Data input'!$C:$C,'Summary by type of work report'!$B57),0)</f>
        <v>0</v>
      </c>
    </row>
    <row r="58" spans="2:20" x14ac:dyDescent="0.2">
      <c r="B58" s="23" t="str">
        <f>IF('Data input'!$C61="","",'Data input'!$C61)</f>
        <v>Due to related parties, noncurrent</v>
      </c>
      <c r="C58" s="70">
        <f ca="1">IFERROR(SUMIFS(OFFSET('Data input'!$C:$C,,MATCH('Summary by type of work report'!C$9,'Data input'!$8:$8,0)-3,,),'Data input'!$C:$C,'Summary by type of work report'!$B58),"")</f>
        <v>0</v>
      </c>
      <c r="D58" s="70">
        <f ca="1">IFERROR(SUMIFS(OFFSET('Data input'!$C:$C,,MATCH('Summary by type of work report'!D$9,'Data input'!$8:$8,0)-3,,),'Data input'!$C:$C,'Summary by type of work report'!$B58),"")</f>
        <v>0</v>
      </c>
      <c r="E58" s="70">
        <f ca="1">IFERROR(SUMIFS(OFFSET('Data input'!$C:$C,,MATCH('Summary by type of work report'!E$9,'Data input'!$8:$8,0)-3,,),'Data input'!$C:$C,'Summary by type of work report'!$B58),"")</f>
        <v>0</v>
      </c>
      <c r="F58" s="51"/>
      <c r="G58" s="70">
        <f>IFERROR(SUMIFS('Data input'!61:61,'Data input'!$12:$12,'Summary by type of work report'!G$9),"")</f>
        <v>0</v>
      </c>
      <c r="H58" s="70">
        <f>IFERROR(SUMIFS('Data input'!61:61,'Data input'!$12:$12,'Summary by type of work report'!H$9),"")</f>
        <v>0</v>
      </c>
      <c r="I58" s="58"/>
      <c r="J58" s="58"/>
      <c r="K58" s="51"/>
      <c r="L58" s="70">
        <f t="shared" si="6"/>
        <v>0</v>
      </c>
      <c r="M58" s="71">
        <f t="shared" ca="1" si="7"/>
        <v>0</v>
      </c>
      <c r="N58" s="51"/>
      <c r="O58" s="58"/>
      <c r="P58" s="58"/>
      <c r="Q58" s="90"/>
      <c r="R58" s="52"/>
      <c r="S58" s="70">
        <f ca="1">IFERROR(SUMIFS(OFFSET('Data input'!$B:$B,,MATCH('Summary by type of work report'!S$9,'Data input'!$9:$9,0)-2),'Data input'!$C:$C,'Summary by type of work report'!$B58),0)</f>
        <v>0</v>
      </c>
    </row>
    <row r="59" spans="2:20" x14ac:dyDescent="0.2">
      <c r="B59" s="23" t="str">
        <f>IF('Data input'!$C62="","",'Data input'!$C62)</f>
        <v>Employee benefit plan obligations</v>
      </c>
      <c r="C59" s="70">
        <f ca="1">IFERROR(SUMIFS(OFFSET('Data input'!$C:$C,,MATCH('Summary by type of work report'!C$9,'Data input'!$8:$8,0)-3,,),'Data input'!$C:$C,'Summary by type of work report'!$B59),"")</f>
        <v>0</v>
      </c>
      <c r="D59" s="70">
        <f ca="1">IFERROR(SUMIFS(OFFSET('Data input'!$C:$C,,MATCH('Summary by type of work report'!D$9,'Data input'!$8:$8,0)-3,,),'Data input'!$C:$C,'Summary by type of work report'!$B59),"")</f>
        <v>0</v>
      </c>
      <c r="E59" s="70">
        <f ca="1">IFERROR(SUMIFS(OFFSET('Data input'!$C:$C,,MATCH('Summary by type of work report'!E$9,'Data input'!$8:$8,0)-3,,),'Data input'!$C:$C,'Summary by type of work report'!$B59),"")</f>
        <v>0</v>
      </c>
      <c r="F59" s="51"/>
      <c r="G59" s="70">
        <f>IFERROR(SUMIFS('Data input'!62:62,'Data input'!$12:$12,'Summary by type of work report'!G$9),"")</f>
        <v>0</v>
      </c>
      <c r="H59" s="70">
        <f>IFERROR(SUMIFS('Data input'!62:62,'Data input'!$12:$12,'Summary by type of work report'!H$9),"")</f>
        <v>0</v>
      </c>
      <c r="I59" s="58"/>
      <c r="J59" s="58"/>
      <c r="K59" s="51"/>
      <c r="L59" s="70">
        <f t="shared" si="6"/>
        <v>0</v>
      </c>
      <c r="M59" s="71">
        <f t="shared" ca="1" si="7"/>
        <v>0</v>
      </c>
      <c r="N59" s="51"/>
      <c r="O59" s="58"/>
      <c r="P59" s="58"/>
      <c r="Q59" s="90"/>
      <c r="R59" s="52"/>
      <c r="S59" s="70">
        <f ca="1">IFERROR(SUMIFS(OFFSET('Data input'!$B:$B,,MATCH('Summary by type of work report'!S$9,'Data input'!$9:$9,0)-2),'Data input'!$C:$C,'Summary by type of work report'!$B59),0)</f>
        <v>0</v>
      </c>
    </row>
    <row r="60" spans="2:20" x14ac:dyDescent="0.2">
      <c r="B60" s="23" t="str">
        <f>IF('Data input'!$C63="","",'Data input'!$C63)</f>
        <v>Deferred credits, noncurrent</v>
      </c>
      <c r="C60" s="70">
        <f ca="1">IFERROR(SUMIFS(OFFSET('Data input'!$C:$C,,MATCH('Summary by type of work report'!C$9,'Data input'!$8:$8,0)-3,,),'Data input'!$C:$C,'Summary by type of work report'!$B60),"")</f>
        <v>0</v>
      </c>
      <c r="D60" s="70">
        <f ca="1">IFERROR(SUMIFS(OFFSET('Data input'!$C:$C,,MATCH('Summary by type of work report'!D$9,'Data input'!$8:$8,0)-3,,),'Data input'!$C:$C,'Summary by type of work report'!$B60),"")</f>
        <v>0</v>
      </c>
      <c r="E60" s="70">
        <f ca="1">IFERROR(SUMIFS(OFFSET('Data input'!$C:$C,,MATCH('Summary by type of work report'!E$9,'Data input'!$8:$8,0)-3,,),'Data input'!$C:$C,'Summary by type of work report'!$B60),"")</f>
        <v>0</v>
      </c>
      <c r="F60" s="51"/>
      <c r="G60" s="70">
        <f>IFERROR(SUMIFS('Data input'!63:63,'Data input'!$12:$12,'Summary by type of work report'!G$9),"")</f>
        <v>0</v>
      </c>
      <c r="H60" s="70">
        <f>IFERROR(SUMIFS('Data input'!63:63,'Data input'!$12:$12,'Summary by type of work report'!H$9),"")</f>
        <v>0</v>
      </c>
      <c r="I60" s="58"/>
      <c r="J60" s="58"/>
      <c r="K60" s="51"/>
      <c r="L60" s="70">
        <f t="shared" si="6"/>
        <v>0</v>
      </c>
      <c r="M60" s="71">
        <f t="shared" ca="1" si="7"/>
        <v>0</v>
      </c>
      <c r="N60" s="51"/>
      <c r="O60" s="58"/>
      <c r="P60" s="58"/>
      <c r="Q60" s="90"/>
      <c r="R60" s="52"/>
      <c r="S60" s="70">
        <f ca="1">IFERROR(SUMIFS(OFFSET('Data input'!$B:$B,,MATCH('Summary by type of work report'!S$9,'Data input'!$9:$9,0)-2),'Data input'!$C:$C,'Summary by type of work report'!$B60),0)</f>
        <v>0</v>
      </c>
    </row>
    <row r="61" spans="2:20" x14ac:dyDescent="0.2">
      <c r="B61" s="23" t="str">
        <f>IF('Data input'!$C64="","",'Data input'!$C64)</f>
        <v>Deferred tax liabilities, noncurrent</v>
      </c>
      <c r="C61" s="70">
        <f ca="1">IFERROR(SUMIFS(OFFSET('Data input'!$C:$C,,MATCH('Summary by type of work report'!C$9,'Data input'!$8:$8,0)-3,,),'Data input'!$C:$C,'Summary by type of work report'!$B61),"")</f>
        <v>0</v>
      </c>
      <c r="D61" s="70">
        <f ca="1">IFERROR(SUMIFS(OFFSET('Data input'!$C:$C,,MATCH('Summary by type of work report'!D$9,'Data input'!$8:$8,0)-3,,),'Data input'!$C:$C,'Summary by type of work report'!$B61),"")</f>
        <v>0</v>
      </c>
      <c r="E61" s="70">
        <f ca="1">IFERROR(SUMIFS(OFFSET('Data input'!$C:$C,,MATCH('Summary by type of work report'!E$9,'Data input'!$8:$8,0)-3,,),'Data input'!$C:$C,'Summary by type of work report'!$B61),"")</f>
        <v>0</v>
      </c>
      <c r="F61" s="51"/>
      <c r="G61" s="70">
        <f>IFERROR(SUMIFS('Data input'!64:64,'Data input'!$12:$12,'Summary by type of work report'!G$9),"")</f>
        <v>0</v>
      </c>
      <c r="H61" s="70">
        <f>IFERROR(SUMIFS('Data input'!64:64,'Data input'!$12:$12,'Summary by type of work report'!H$9),"")</f>
        <v>0</v>
      </c>
      <c r="I61" s="58"/>
      <c r="J61" s="58"/>
      <c r="K61" s="51"/>
      <c r="L61" s="70">
        <f t="shared" si="6"/>
        <v>0</v>
      </c>
      <c r="M61" s="71">
        <f t="shared" ca="1" si="7"/>
        <v>0</v>
      </c>
      <c r="N61" s="51"/>
      <c r="O61" s="58"/>
      <c r="P61" s="58"/>
      <c r="Q61" s="90"/>
      <c r="R61" s="52"/>
      <c r="S61" s="70">
        <f ca="1">IFERROR(SUMIFS(OFFSET('Data input'!$B:$B,,MATCH('Summary by type of work report'!S$9,'Data input'!$9:$9,0)-2),'Data input'!$C:$C,'Summary by type of work report'!$B61),0)</f>
        <v>0</v>
      </c>
    </row>
    <row r="62" spans="2:20" x14ac:dyDescent="0.2">
      <c r="B62" s="23" t="str">
        <f>IF('Data input'!$C65="","",'Data input'!$C65)</f>
        <v>Liabilities of businesses held for sale</v>
      </c>
      <c r="C62" s="70">
        <f ca="1">IFERROR(SUMIFS(OFFSET('Data input'!$C:$C,,MATCH('Summary by type of work report'!C$9,'Data input'!$8:$8,0)-3,,),'Data input'!$C:$C,'Summary by type of work report'!$B62),"")</f>
        <v>0</v>
      </c>
      <c r="D62" s="100">
        <f ca="1">IFERROR(SUMIFS(OFFSET('Data input'!$C:$C,,MATCH('Summary by type of work report'!D$9,'Data input'!$8:$8,0)-3,,),'Data input'!$C:$C,'Summary by type of work report'!$B62),"")</f>
        <v>0</v>
      </c>
      <c r="E62" s="100">
        <f ca="1">IFERROR(SUMIFS(OFFSET('Data input'!$C:$C,,MATCH('Summary by type of work report'!E$9,'Data input'!$8:$8,0)-3,,),'Data input'!$C:$C,'Summary by type of work report'!$B62),"")</f>
        <v>0</v>
      </c>
      <c r="F62" s="51"/>
      <c r="G62" s="70">
        <f>IFERROR(SUMIFS('Data input'!65:65,'Data input'!$12:$12,'Summary by type of work report'!G$9),"")</f>
        <v>0</v>
      </c>
      <c r="H62" s="70">
        <f>IFERROR(SUMIFS('Data input'!65:65,'Data input'!$12:$12,'Summary by type of work report'!H$9),"")</f>
        <v>0</v>
      </c>
      <c r="I62" s="58"/>
      <c r="J62" s="58"/>
      <c r="K62" s="51"/>
      <c r="L62" s="70">
        <f t="shared" si="6"/>
        <v>0</v>
      </c>
      <c r="M62" s="71">
        <f t="shared" ca="1" si="7"/>
        <v>0</v>
      </c>
      <c r="N62" s="51"/>
      <c r="O62" s="58"/>
      <c r="P62" s="58"/>
      <c r="Q62" s="90"/>
      <c r="R62" s="52"/>
      <c r="S62" s="70">
        <f ca="1">IFERROR(SUMIFS(OFFSET('Data input'!$B:$B,,MATCH('Summary by type of work report'!S$9,'Data input'!$9:$9,0)-2),'Data input'!$C:$C,'Summary by type of work report'!$B62),0)</f>
        <v>0</v>
      </c>
    </row>
    <row r="63" spans="2:20" s="48" customFormat="1" x14ac:dyDescent="0.2">
      <c r="B63" s="49" t="str">
        <f>IF('Data input'!$C66="","",'Data input'!$C66)</f>
        <v>Liabilities of discontinued operations</v>
      </c>
      <c r="C63" s="70">
        <f ca="1">IFERROR(SUMIFS(OFFSET('Data input'!$C:$C,,MATCH('Summary by type of work report'!C$9,'Data input'!$8:$8,0)-3,,),'Data input'!$C:$C,'Summary by type of work report'!$B63),"")</f>
        <v>0</v>
      </c>
      <c r="D63" s="70">
        <f ca="1">IFERROR(SUMIFS(OFFSET('Data input'!$C:$C,,MATCH('Summary by type of work report'!D$9,'Data input'!$8:$8,0)-3,,),'Data input'!$C:$C,'Summary by type of work report'!$B63),"")</f>
        <v>0</v>
      </c>
      <c r="E63" s="70">
        <f ca="1">IFERROR(SUMIFS(OFFSET('Data input'!$C:$C,,MATCH('Summary by type of work report'!E$9,'Data input'!$8:$8,0)-3,,),'Data input'!$C:$C,'Summary by type of work report'!$B63),"")</f>
        <v>0</v>
      </c>
      <c r="F63" s="51"/>
      <c r="G63" s="70">
        <f>IFERROR(SUMIFS('Data input'!66:66,'Data input'!$12:$12,'Summary by type of work report'!G$9),"")</f>
        <v>0</v>
      </c>
      <c r="H63" s="70">
        <f>IFERROR(SUMIFS('Data input'!66:66,'Data input'!$12:$12,'Summary by type of work report'!H$9),"")</f>
        <v>0</v>
      </c>
      <c r="I63" s="58"/>
      <c r="J63" s="58"/>
      <c r="K63" s="51"/>
      <c r="L63" s="70">
        <f t="shared" si="6"/>
        <v>0</v>
      </c>
      <c r="M63" s="71">
        <f t="shared" ca="1" si="7"/>
        <v>0</v>
      </c>
      <c r="N63" s="51"/>
      <c r="O63" s="58"/>
      <c r="P63" s="58"/>
      <c r="Q63" s="90"/>
      <c r="R63" s="52"/>
      <c r="S63" s="70">
        <f ca="1">IFERROR(SUMIFS(OFFSET('Data input'!$B:$B,,MATCH('Summary by type of work report'!S$9,'Data input'!$9:$9,0)-2),'Data input'!$C:$C,'Summary by type of work report'!$B63),0)</f>
        <v>0</v>
      </c>
      <c r="T63"/>
    </row>
    <row r="64" spans="2:20" x14ac:dyDescent="0.2">
      <c r="B64" s="23" t="str">
        <f>IF('Data input'!$C67="","",'Data input'!$C67)</f>
        <v>Other liabilities</v>
      </c>
      <c r="C64" s="70">
        <f ca="1">IFERROR(SUMIFS(OFFSET('Data input'!$C:$C,,MATCH('Summary by type of work report'!C$9,'Data input'!$8:$8,0)-3,,),'Data input'!$C:$C,'Summary by type of work report'!$B64),"")</f>
        <v>0</v>
      </c>
      <c r="D64" s="70">
        <f ca="1">IFERROR(SUMIFS(OFFSET('Data input'!$C:$C,,MATCH('Summary by type of work report'!D$9,'Data input'!$8:$8,0)-3,,),'Data input'!$C:$C,'Summary by type of work report'!$B64),"")</f>
        <v>0</v>
      </c>
      <c r="E64" s="70">
        <f ca="1">IFERROR(SUMIFS(OFFSET('Data input'!$C:$C,,MATCH('Summary by type of work report'!E$9,'Data input'!$8:$8,0)-3,,),'Data input'!$C:$C,'Summary by type of work report'!$B64),"")</f>
        <v>0</v>
      </c>
      <c r="F64" s="51"/>
      <c r="G64" s="70">
        <f>IFERROR(SUMIFS('Data input'!67:67,'Data input'!$12:$12,'Summary by type of work report'!G$9),"")</f>
        <v>0</v>
      </c>
      <c r="H64" s="70">
        <f>IFERROR(SUMIFS('Data input'!67:67,'Data input'!$12:$12,'Summary by type of work report'!H$9),"")</f>
        <v>0</v>
      </c>
      <c r="I64" s="58"/>
      <c r="J64" s="58"/>
      <c r="K64" s="51"/>
      <c r="L64" s="70">
        <f t="shared" si="6"/>
        <v>0</v>
      </c>
      <c r="M64" s="71">
        <f t="shared" ca="1" si="7"/>
        <v>0</v>
      </c>
      <c r="N64" s="51"/>
      <c r="O64" s="58"/>
      <c r="P64" s="58"/>
      <c r="Q64" s="90"/>
      <c r="R64" s="52"/>
      <c r="S64" s="70">
        <f ca="1">IFERROR(SUMIFS(OFFSET('Data input'!$B:$B,,MATCH('Summary by type of work report'!S$9,'Data input'!$9:$9,0)-2),'Data input'!$C:$C,'Summary by type of work report'!$B64),0)</f>
        <v>0</v>
      </c>
    </row>
    <row r="65" spans="2:19" hidden="1" x14ac:dyDescent="0.2">
      <c r="B65" s="17" t="str">
        <f>IF('Data input'!$C68="","",'Data input'!$C68)</f>
        <v>Intentionally hidden</v>
      </c>
      <c r="C65" s="72">
        <f ca="1">IFERROR(SUMIFS(OFFSET('Data input'!$C:$C,,MATCH('Summary by type of work report'!C$9,'Data input'!$8:$8,0)-3,,),'Data input'!$C:$C,'Summary by type of work report'!$B65),"")</f>
        <v>0</v>
      </c>
      <c r="D65" s="72">
        <f ca="1">IFERROR(SUMIFS(OFFSET('Data input'!$C:$C,,MATCH('Summary by type of work report'!D$9,'Data input'!$8:$8,0)-3,,),'Data input'!$C:$C,'Summary by type of work report'!$B65),"")</f>
        <v>0</v>
      </c>
      <c r="E65" s="72">
        <f ca="1">IFERROR(SUMIFS(OFFSET('Data input'!$C:$C,,MATCH('Summary by type of work report'!E$9,'Data input'!$8:$8,0)-3,,),'Data input'!$C:$C,'Summary by type of work report'!$B65),"")</f>
        <v>0</v>
      </c>
      <c r="F65" s="51"/>
      <c r="G65" s="72">
        <f>IFERROR(SUMIFS('Data input'!68:68,'Data input'!$12:$12,'Summary by type of work report'!G$9),"")</f>
        <v>0</v>
      </c>
      <c r="H65" s="72">
        <f>IFERROR(SUMIFS('Data input'!68:68,'Data input'!$12:$12,'Summary by type of work report'!H$9),"")</f>
        <v>0</v>
      </c>
      <c r="I65" s="59"/>
      <c r="J65" s="59"/>
      <c r="K65" s="51"/>
      <c r="L65" s="72"/>
      <c r="M65" s="73">
        <f t="shared" ca="1" si="7"/>
        <v>0</v>
      </c>
      <c r="N65" s="51"/>
      <c r="O65" s="59"/>
      <c r="P65" s="59"/>
      <c r="Q65" s="91"/>
      <c r="R65" s="52"/>
      <c r="S65" s="72">
        <f ca="1">IFERROR(SUMIFS(OFFSET('Data input'!$B:$B,,MATCH('Summary by type of work report'!S$9,'Data input'!$9:$9,0)-2),'Data input'!$C:$C,'Summary by type of work report'!$B65),0)</f>
        <v>0</v>
      </c>
    </row>
    <row r="66" spans="2:19" x14ac:dyDescent="0.2">
      <c r="B66" s="19" t="str">
        <f>IF('Data input'!$C69="","",'Data input'!$C69)</f>
        <v>Total liabilities</v>
      </c>
      <c r="C66" s="77">
        <f ca="1">IFERROR(SUMIFS(OFFSET('Data input'!$C:$C,,MATCH('Summary by type of work report'!C$9,'Data input'!$8:$8,0)-3,,),'Data input'!$C:$C,'Summary by type of work report'!$B66),"")</f>
        <v>0</v>
      </c>
      <c r="D66" s="77">
        <f ca="1">IFERROR(SUMIFS(OFFSET('Data input'!$C:$C,,MATCH('Summary by type of work report'!D$9,'Data input'!$8:$8,0)-3,,),'Data input'!$C:$C,'Summary by type of work report'!$B66),"")</f>
        <v>0</v>
      </c>
      <c r="E66" s="77">
        <f ca="1">IFERROR(SUMIFS(OFFSET('Data input'!$C:$C,,MATCH('Summary by type of work report'!E$9,'Data input'!$8:$8,0)-3,,),'Data input'!$C:$C,'Summary by type of work report'!$B66),"")</f>
        <v>0</v>
      </c>
      <c r="F66" s="51"/>
      <c r="G66" s="77">
        <f>IFERROR(SUMIFS('Data input'!69:69,'Data input'!$12:$12,'Summary by type of work report'!G$9),"")</f>
        <v>0</v>
      </c>
      <c r="H66" s="77">
        <f>IFERROR(SUMIFS('Data input'!69:69,'Data input'!$12:$12,'Summary by type of work report'!H$9),"")</f>
        <v>0</v>
      </c>
      <c r="I66" s="62">
        <f>SUM(I54:I65)</f>
        <v>0</v>
      </c>
      <c r="J66" s="62">
        <f>SUM(J54:J65)</f>
        <v>0</v>
      </c>
      <c r="K66" s="51"/>
      <c r="L66" s="77">
        <f>G66+H66+I66+J66</f>
        <v>0</v>
      </c>
      <c r="M66" s="78">
        <f t="shared" ca="1" si="7"/>
        <v>0</v>
      </c>
      <c r="N66" s="51"/>
      <c r="O66" s="62"/>
      <c r="P66" s="62"/>
      <c r="Q66" s="94"/>
      <c r="R66" s="52"/>
      <c r="S66" s="77">
        <f ca="1">IFERROR(SUMIFS(OFFSET('Data input'!$B:$B,,MATCH('Summary by type of work report'!S$9,'Data input'!$9:$9,0)-2),'Data input'!$C:$C,'Summary by type of work report'!$B66),0)</f>
        <v>0</v>
      </c>
    </row>
    <row r="67" spans="2:19" x14ac:dyDescent="0.2">
      <c r="B67" s="15" t="str">
        <f>IF('Data input'!$C70="","",'Data input'!$C70)</f>
        <v/>
      </c>
      <c r="C67" s="76"/>
      <c r="D67" s="76"/>
      <c r="E67" s="76"/>
      <c r="F67" s="51"/>
      <c r="G67" s="76"/>
      <c r="H67" s="76"/>
      <c r="I67" s="61"/>
      <c r="J67" s="61"/>
      <c r="K67" s="51"/>
      <c r="L67" s="76"/>
      <c r="M67" s="76"/>
      <c r="N67" s="51"/>
      <c r="O67" s="61"/>
      <c r="P67" s="61"/>
      <c r="Q67" s="93"/>
      <c r="R67" s="52"/>
      <c r="S67" s="76"/>
    </row>
    <row r="68" spans="2:19" x14ac:dyDescent="0.2">
      <c r="B68" s="16" t="str">
        <f>IF('Data input'!$C71="","",'Data input'!$C71)</f>
        <v>Stockholders' equity</v>
      </c>
      <c r="C68" s="79"/>
      <c r="D68" s="79"/>
      <c r="E68" s="79"/>
      <c r="F68" s="51"/>
      <c r="G68" s="79"/>
      <c r="H68" s="79"/>
      <c r="I68" s="63"/>
      <c r="J68" s="63"/>
      <c r="K68" s="51"/>
      <c r="L68" s="79"/>
      <c r="M68" s="79"/>
      <c r="N68" s="51"/>
      <c r="O68" s="63"/>
      <c r="P68" s="63"/>
      <c r="Q68" s="95"/>
      <c r="R68" s="52"/>
      <c r="S68" s="79"/>
    </row>
    <row r="69" spans="2:19" x14ac:dyDescent="0.2">
      <c r="B69" s="23" t="str">
        <f>IF('Data input'!$C72="","",'Data input'!$C72)</f>
        <v>Preferred stock</v>
      </c>
      <c r="C69" s="70">
        <f ca="1">IFERROR(SUMIFS(OFFSET('Data input'!$C:$C,,MATCH('Summary by type of work report'!C$9,'Data input'!$8:$8,0)-3,,),'Data input'!$C:$C,'Summary by type of work report'!$B69),"")</f>
        <v>0</v>
      </c>
      <c r="D69" s="70">
        <f ca="1">IFERROR(SUMIFS(OFFSET('Data input'!$C:$C,,MATCH('Summary by type of work report'!D$9,'Data input'!$8:$8,0)-3,,),'Data input'!$C:$C,'Summary by type of work report'!$B69),"")</f>
        <v>0</v>
      </c>
      <c r="E69" s="70">
        <f ca="1">IFERROR(SUMIFS(OFFSET('Data input'!$C:$C,,MATCH('Summary by type of work report'!E$9,'Data input'!$8:$8,0)-3,,),'Data input'!$C:$C,'Summary by type of work report'!$B69),"")</f>
        <v>0</v>
      </c>
      <c r="F69" s="51"/>
      <c r="G69" s="70">
        <f>IFERROR(SUMIFS('Data input'!72:72,'Data input'!$12:$12,'Summary by type of work report'!G$9),"")</f>
        <v>0</v>
      </c>
      <c r="H69" s="70">
        <f>IFERROR(SUMIFS('Data input'!72:72,'Data input'!$12:$12,'Summary by type of work report'!H$9),"")</f>
        <v>0</v>
      </c>
      <c r="I69" s="58"/>
      <c r="J69" s="58"/>
      <c r="K69" s="51"/>
      <c r="L69" s="70">
        <f t="shared" ref="L69:L76" si="8">G69+H69+I69+J69</f>
        <v>0</v>
      </c>
      <c r="M69" s="71">
        <f t="shared" ref="M69:M76" ca="1" si="9">IFERROR(L69/(C69-D69-E69),0)</f>
        <v>0</v>
      </c>
      <c r="N69" s="51"/>
      <c r="O69" s="58"/>
      <c r="P69" s="58"/>
      <c r="Q69" s="90"/>
      <c r="R69" s="52"/>
      <c r="S69" s="70">
        <f ca="1">IFERROR(SUMIFS(OFFSET('Data input'!$B:$B,,MATCH('Summary by type of work report'!S$9,'Data input'!$9:$9,0)-2),'Data input'!$C:$C,'Summary by type of work report'!$B69),0)</f>
        <v>0</v>
      </c>
    </row>
    <row r="70" spans="2:19" x14ac:dyDescent="0.2">
      <c r="B70" s="23" t="str">
        <f>IF('Data input'!$C73="","",'Data input'!$C73)</f>
        <v>Common stock</v>
      </c>
      <c r="C70" s="70">
        <f ca="1">IFERROR(SUMIFS(OFFSET('Data input'!$C:$C,,MATCH('Summary by type of work report'!C$9,'Data input'!$8:$8,0)-3,,),'Data input'!$C:$C,'Summary by type of work report'!$B70),"")</f>
        <v>0</v>
      </c>
      <c r="D70" s="70">
        <f ca="1">IFERROR(SUMIFS(OFFSET('Data input'!$C:$C,,MATCH('Summary by type of work report'!D$9,'Data input'!$8:$8,0)-3,,),'Data input'!$C:$C,'Summary by type of work report'!$B70),"")</f>
        <v>0</v>
      </c>
      <c r="E70" s="70">
        <f ca="1">IFERROR(SUMIFS(OFFSET('Data input'!$C:$C,,MATCH('Summary by type of work report'!E$9,'Data input'!$8:$8,0)-3,,),'Data input'!$C:$C,'Summary by type of work report'!$B70),"")</f>
        <v>0</v>
      </c>
      <c r="F70" s="51"/>
      <c r="G70" s="70">
        <f>IFERROR(SUMIFS('Data input'!73:73,'Data input'!$12:$12,'Summary by type of work report'!G$9),"")</f>
        <v>0</v>
      </c>
      <c r="H70" s="70">
        <f>IFERROR(SUMIFS('Data input'!73:73,'Data input'!$12:$12,'Summary by type of work report'!H$9),"")</f>
        <v>0</v>
      </c>
      <c r="I70" s="58"/>
      <c r="J70" s="58"/>
      <c r="K70" s="51"/>
      <c r="L70" s="70">
        <f t="shared" si="8"/>
        <v>0</v>
      </c>
      <c r="M70" s="71">
        <f t="shared" ca="1" si="9"/>
        <v>0</v>
      </c>
      <c r="N70" s="51"/>
      <c r="O70" s="58"/>
      <c r="P70" s="58"/>
      <c r="Q70" s="90"/>
      <c r="R70" s="52"/>
      <c r="S70" s="70">
        <f ca="1">IFERROR(SUMIFS(OFFSET('Data input'!$B:$B,,MATCH('Summary by type of work report'!S$9,'Data input'!$9:$9,0)-2),'Data input'!$C:$C,'Summary by type of work report'!$B70),0)</f>
        <v>0</v>
      </c>
    </row>
    <row r="71" spans="2:19" x14ac:dyDescent="0.2">
      <c r="B71" s="23" t="str">
        <f>IF('Data input'!$C74="","",'Data input'!$C74)</f>
        <v>Treasury stock</v>
      </c>
      <c r="C71" s="70">
        <f ca="1">IFERROR(SUMIFS(OFFSET('Data input'!$C:$C,,MATCH('Summary by type of work report'!C$9,'Data input'!$8:$8,0)-3,,),'Data input'!$C:$C,'Summary by type of work report'!$B71),"")</f>
        <v>0</v>
      </c>
      <c r="D71" s="70">
        <f ca="1">IFERROR(SUMIFS(OFFSET('Data input'!$C:$C,,MATCH('Summary by type of work report'!D$9,'Data input'!$8:$8,0)-3,,),'Data input'!$C:$C,'Summary by type of work report'!$B71),"")</f>
        <v>0</v>
      </c>
      <c r="E71" s="70">
        <f ca="1">IFERROR(SUMIFS(OFFSET('Data input'!$C:$C,,MATCH('Summary by type of work report'!E$9,'Data input'!$8:$8,0)-3,,),'Data input'!$C:$C,'Summary by type of work report'!$B71),"")</f>
        <v>0</v>
      </c>
      <c r="F71" s="51"/>
      <c r="G71" s="70">
        <f>IFERROR(SUMIFS('Data input'!74:74,'Data input'!$12:$12,'Summary by type of work report'!G$9),"")</f>
        <v>0</v>
      </c>
      <c r="H71" s="70">
        <f>IFERROR(SUMIFS('Data input'!74:74,'Data input'!$12:$12,'Summary by type of work report'!H$9),"")</f>
        <v>0</v>
      </c>
      <c r="I71" s="58"/>
      <c r="J71" s="58"/>
      <c r="K71" s="51"/>
      <c r="L71" s="70">
        <f t="shared" si="8"/>
        <v>0</v>
      </c>
      <c r="M71" s="71">
        <f t="shared" ca="1" si="9"/>
        <v>0</v>
      </c>
      <c r="N71" s="51"/>
      <c r="O71" s="58"/>
      <c r="P71" s="58"/>
      <c r="Q71" s="90"/>
      <c r="R71" s="52"/>
      <c r="S71" s="70">
        <f ca="1">IFERROR(SUMIFS(OFFSET('Data input'!$B:$B,,MATCH('Summary by type of work report'!S$9,'Data input'!$9:$9,0)-2),'Data input'!$C:$C,'Summary by type of work report'!$B71),0)</f>
        <v>0</v>
      </c>
    </row>
    <row r="72" spans="2:19" x14ac:dyDescent="0.2">
      <c r="B72" s="23" t="str">
        <f>IF('Data input'!$C75="","",'Data input'!$C75)</f>
        <v>Additional paid-in capital</v>
      </c>
      <c r="C72" s="70">
        <f ca="1">IFERROR(SUMIFS(OFFSET('Data input'!$C:$C,,MATCH('Summary by type of work report'!C$9,'Data input'!$8:$8,0)-3,,),'Data input'!$C:$C,'Summary by type of work report'!$B72),"")</f>
        <v>0</v>
      </c>
      <c r="D72" s="70">
        <f ca="1">IFERROR(SUMIFS(OFFSET('Data input'!$C:$C,,MATCH('Summary by type of work report'!D$9,'Data input'!$8:$8,0)-3,,),'Data input'!$C:$C,'Summary by type of work report'!$B72),"")</f>
        <v>0</v>
      </c>
      <c r="E72" s="70">
        <f ca="1">IFERROR(SUMIFS(OFFSET('Data input'!$C:$C,,MATCH('Summary by type of work report'!E$9,'Data input'!$8:$8,0)-3,,),'Data input'!$C:$C,'Summary by type of work report'!$B72),"")</f>
        <v>0</v>
      </c>
      <c r="F72" s="51"/>
      <c r="G72" s="70">
        <f>IFERROR(SUMIFS('Data input'!75:75,'Data input'!$12:$12,'Summary by type of work report'!G$9),"")</f>
        <v>0</v>
      </c>
      <c r="H72" s="70">
        <f>IFERROR(SUMIFS('Data input'!75:75,'Data input'!$12:$12,'Summary by type of work report'!H$9),"")</f>
        <v>0</v>
      </c>
      <c r="I72" s="58"/>
      <c r="J72" s="58"/>
      <c r="K72" s="51"/>
      <c r="L72" s="70">
        <f t="shared" si="8"/>
        <v>0</v>
      </c>
      <c r="M72" s="71">
        <f t="shared" ca="1" si="9"/>
        <v>0</v>
      </c>
      <c r="N72" s="51"/>
      <c r="O72" s="58"/>
      <c r="P72" s="58"/>
      <c r="Q72" s="90"/>
      <c r="R72" s="52"/>
      <c r="S72" s="70">
        <f ca="1">IFERROR(SUMIFS(OFFSET('Data input'!$B:$B,,MATCH('Summary by type of work report'!S$9,'Data input'!$9:$9,0)-2),'Data input'!$C:$C,'Summary by type of work report'!$B72),0)</f>
        <v>0</v>
      </c>
    </row>
    <row r="73" spans="2:19" ht="22.5" x14ac:dyDescent="0.2">
      <c r="B73" s="23" t="str">
        <f>IF('Data input'!$C76="","",'Data input'!$C76)</f>
        <v>Accumulated other comprehensive income (loss)</v>
      </c>
      <c r="C73" s="70">
        <f ca="1">IFERROR(SUMIFS(OFFSET('Data input'!$C:$C,,MATCH('Summary by type of work report'!C$9,'Data input'!$8:$8,0)-3,,),'Data input'!$C:$C,'Summary by type of work report'!$B73),"")</f>
        <v>0</v>
      </c>
      <c r="D73" s="70">
        <f ca="1">IFERROR(SUMIFS(OFFSET('Data input'!$C:$C,,MATCH('Summary by type of work report'!D$9,'Data input'!$8:$8,0)-3,,),'Data input'!$C:$C,'Summary by type of work report'!$B73),"")</f>
        <v>0</v>
      </c>
      <c r="E73" s="70">
        <f ca="1">IFERROR(SUMIFS(OFFSET('Data input'!$C:$C,,MATCH('Summary by type of work report'!E$9,'Data input'!$8:$8,0)-3,,),'Data input'!$C:$C,'Summary by type of work report'!$B73),"")</f>
        <v>0</v>
      </c>
      <c r="F73" s="51"/>
      <c r="G73" s="70">
        <f>IFERROR(SUMIFS('Data input'!76:76,'Data input'!$12:$12,'Summary by type of work report'!G$9),"")</f>
        <v>0</v>
      </c>
      <c r="H73" s="70">
        <f>IFERROR(SUMIFS('Data input'!76:76,'Data input'!$12:$12,'Summary by type of work report'!H$9),"")</f>
        <v>0</v>
      </c>
      <c r="I73" s="58"/>
      <c r="J73" s="58"/>
      <c r="K73" s="51"/>
      <c r="L73" s="70">
        <f t="shared" si="8"/>
        <v>0</v>
      </c>
      <c r="M73" s="71">
        <f t="shared" ca="1" si="9"/>
        <v>0</v>
      </c>
      <c r="N73" s="51"/>
      <c r="O73" s="58"/>
      <c r="P73" s="58"/>
      <c r="Q73" s="90"/>
      <c r="R73" s="52"/>
      <c r="S73" s="70">
        <f ca="1">IFERROR(SUMIFS(OFFSET('Data input'!$B:$B,,MATCH('Summary by type of work report'!S$9,'Data input'!$9:$9,0)-2),'Data input'!$C:$C,'Summary by type of work report'!$B73),0)</f>
        <v>0</v>
      </c>
    </row>
    <row r="74" spans="2:19" x14ac:dyDescent="0.2">
      <c r="B74" s="23" t="str">
        <f>IF('Data input'!$C77="","",'Data input'!$C77)</f>
        <v>Retained earnings</v>
      </c>
      <c r="C74" s="70">
        <f ca="1">IFERROR(SUMIFS(OFFSET('Data input'!$C:$C,,MATCH('Summary by type of work report'!C$9,'Data input'!$8:$8,0)-3,,),'Data input'!$C:$C,'Summary by type of work report'!$B74),"")</f>
        <v>0</v>
      </c>
      <c r="D74" s="70">
        <f ca="1">IFERROR(SUMIFS(OFFSET('Data input'!$C:$C,,MATCH('Summary by type of work report'!D$9,'Data input'!$8:$8,0)-3,,),'Data input'!$C:$C,'Summary by type of work report'!$B74),"")</f>
        <v>0</v>
      </c>
      <c r="E74" s="70">
        <f ca="1">IFERROR(SUMIFS(OFFSET('Data input'!$C:$C,,MATCH('Summary by type of work report'!E$9,'Data input'!$8:$8,0)-3,,),'Data input'!$C:$C,'Summary by type of work report'!$B74),"")</f>
        <v>0</v>
      </c>
      <c r="F74" s="51"/>
      <c r="G74" s="70">
        <f>IFERROR(SUMIFS('Data input'!77:77,'Data input'!$12:$12,'Summary by type of work report'!G$9),"")</f>
        <v>0</v>
      </c>
      <c r="H74" s="70">
        <f>IFERROR(SUMIFS('Data input'!77:77,'Data input'!$12:$12,'Summary by type of work report'!H$9),"")</f>
        <v>0</v>
      </c>
      <c r="I74" s="58"/>
      <c r="J74" s="58"/>
      <c r="K74" s="51"/>
      <c r="L74" s="70">
        <f t="shared" si="8"/>
        <v>0</v>
      </c>
      <c r="M74" s="71">
        <f t="shared" ca="1" si="9"/>
        <v>0</v>
      </c>
      <c r="N74" s="51"/>
      <c r="O74" s="58"/>
      <c r="P74" s="58"/>
      <c r="Q74" s="90"/>
      <c r="R74" s="52"/>
      <c r="S74" s="70">
        <f ca="1">IFERROR(SUMIFS(OFFSET('Data input'!$B:$B,,MATCH('Summary by type of work report'!S$9,'Data input'!$9:$9,0)-2),'Data input'!$C:$C,'Summary by type of work report'!$B74),0)</f>
        <v>0</v>
      </c>
    </row>
    <row r="75" spans="2:19" hidden="1" x14ac:dyDescent="0.2">
      <c r="B75" s="17" t="str">
        <f>IF('Data input'!$C78="","",'Data input'!$C78)</f>
        <v>Intentionally hidden</v>
      </c>
      <c r="C75" s="72">
        <f ca="1">IFERROR(SUMIFS(OFFSET('Data input'!$C:$C,,MATCH('Summary by type of work report'!C$9,'Data input'!$8:$8,0)-3,,),'Data input'!$C:$C,'Summary by type of work report'!$B75),"")</f>
        <v>0</v>
      </c>
      <c r="D75" s="72">
        <f ca="1">IFERROR(SUMIFS(OFFSET('Data input'!$C:$C,,MATCH('Summary by type of work report'!D$9,'Data input'!$8:$8,0)-3,,),'Data input'!$C:$C,'Summary by type of work report'!$B75),"")</f>
        <v>0</v>
      </c>
      <c r="E75" s="72">
        <f ca="1">IFERROR(SUMIFS(OFFSET('Data input'!$C:$C,,MATCH('Summary by type of work report'!E$9,'Data input'!$8:$8,0)-3,,),'Data input'!$C:$C,'Summary by type of work report'!$B75),"")</f>
        <v>0</v>
      </c>
      <c r="F75" s="51"/>
      <c r="G75" s="72">
        <f>IFERROR(SUMIFS('Data input'!78:78,'Data input'!$12:$12,'Summary by type of work report'!G$9),"")</f>
        <v>0</v>
      </c>
      <c r="H75" s="72">
        <f>IFERROR(SUMIFS('Data input'!78:78,'Data input'!$12:$12,'Summary by type of work report'!H$9),"")</f>
        <v>0</v>
      </c>
      <c r="I75" s="59"/>
      <c r="J75" s="59"/>
      <c r="K75" s="51"/>
      <c r="L75" s="72">
        <f t="shared" si="8"/>
        <v>0</v>
      </c>
      <c r="M75" s="73">
        <f t="shared" ca="1" si="9"/>
        <v>0</v>
      </c>
      <c r="N75" s="51"/>
      <c r="O75" s="59"/>
      <c r="P75" s="59"/>
      <c r="Q75" s="91"/>
      <c r="R75" s="52"/>
      <c r="S75" s="72">
        <f ca="1">IFERROR(SUMIFS(OFFSET('Data input'!$B:$B,,MATCH('Summary by type of work report'!S$9,'Data input'!$9:$9,0)-2),'Data input'!$C:$C,'Summary by type of work report'!$B75),0)</f>
        <v>0</v>
      </c>
    </row>
    <row r="76" spans="2:19" ht="33.75" x14ac:dyDescent="0.2">
      <c r="B76" s="18" t="str">
        <f>IF('Data input'!$C79="","",'Data input'!$C79)</f>
        <v>Total stockholders' equity attributable to parent co stockholders</v>
      </c>
      <c r="C76" s="74">
        <f ca="1">IFERROR(SUMIFS(OFFSET('Data input'!$C:$C,,MATCH('Summary by type of work report'!C$9,'Data input'!$8:$8,0)-3,,),'Data input'!$C:$C,'Summary by type of work report'!$B76),"")</f>
        <v>0</v>
      </c>
      <c r="D76" s="74">
        <f ca="1">IFERROR(SUMIFS(OFFSET('Data input'!$C:$C,,MATCH('Summary by type of work report'!D$9,'Data input'!$8:$8,0)-3,,),'Data input'!$C:$C,'Summary by type of work report'!$B76),"")</f>
        <v>0</v>
      </c>
      <c r="E76" s="74">
        <f ca="1">IFERROR(SUMIFS(OFFSET('Data input'!$C:$C,,MATCH('Summary by type of work report'!E$9,'Data input'!$8:$8,0)-3,,),'Data input'!$C:$C,'Summary by type of work report'!$B76),"")</f>
        <v>0</v>
      </c>
      <c r="F76" s="51"/>
      <c r="G76" s="74">
        <f>IFERROR(SUMIFS('Data input'!79:79,'Data input'!$12:$12,'Summary by type of work report'!G$9),"")</f>
        <v>0</v>
      </c>
      <c r="H76" s="74">
        <f>IFERROR(SUMIFS('Data input'!79:79,'Data input'!$12:$12,'Summary by type of work report'!H$9),"")</f>
        <v>0</v>
      </c>
      <c r="I76" s="60">
        <f>SUM(I69:I75)</f>
        <v>0</v>
      </c>
      <c r="J76" s="60">
        <f>SUM(J69:J75)</f>
        <v>0</v>
      </c>
      <c r="K76" s="51"/>
      <c r="L76" s="74">
        <f t="shared" si="8"/>
        <v>0</v>
      </c>
      <c r="M76" s="75">
        <f t="shared" ca="1" si="9"/>
        <v>0</v>
      </c>
      <c r="N76" s="51"/>
      <c r="O76" s="60"/>
      <c r="P76" s="60"/>
      <c r="Q76" s="92"/>
      <c r="R76" s="52"/>
      <c r="S76" s="74">
        <f ca="1">IFERROR(SUMIFS(OFFSET('Data input'!$B:$B,,MATCH('Summary by type of work report'!S$9,'Data input'!$9:$9,0)-2),'Data input'!$C:$C,'Summary by type of work report'!$B76),0)</f>
        <v>0</v>
      </c>
    </row>
    <row r="77" spans="2:19" x14ac:dyDescent="0.2">
      <c r="B77" s="23" t="str">
        <f>IF('Data input'!$C80="","",'Data input'!$C80)</f>
        <v/>
      </c>
      <c r="C77" s="70"/>
      <c r="D77" s="70"/>
      <c r="E77" s="70"/>
      <c r="F77" s="51"/>
      <c r="G77" s="70"/>
      <c r="H77" s="70"/>
      <c r="I77" s="58"/>
      <c r="J77" s="58"/>
      <c r="K77" s="51"/>
      <c r="L77" s="70"/>
      <c r="M77" s="70"/>
      <c r="N77" s="51"/>
      <c r="O77" s="58"/>
      <c r="P77" s="58"/>
      <c r="Q77" s="90"/>
      <c r="R77" s="52"/>
      <c r="S77" s="70"/>
    </row>
    <row r="78" spans="2:19" x14ac:dyDescent="0.2">
      <c r="B78" s="23" t="str">
        <f>IF('Data input'!$C81="","",'Data input'!$C81)</f>
        <v>Noncontrolling interests</v>
      </c>
      <c r="C78" s="70">
        <f ca="1">IFERROR(SUMIFS(OFFSET('Data input'!$C:$C,,MATCH('Summary by type of work report'!C$9,'Data input'!$8:$8,0)-3,,),'Data input'!$C:$C,'Summary by type of work report'!$B78),"")</f>
        <v>0</v>
      </c>
      <c r="D78" s="70">
        <f ca="1">IFERROR(SUMIFS(OFFSET('Data input'!$C:$C,,MATCH('Summary by type of work report'!D$9,'Data input'!$8:$8,0)-3,,),'Data input'!$C:$C,'Summary by type of work report'!$B78),"")</f>
        <v>0</v>
      </c>
      <c r="E78" s="70">
        <f ca="1">IFERROR(SUMIFS(OFFSET('Data input'!$C:$C,,MATCH('Summary by type of work report'!E$9,'Data input'!$8:$8,0)-3,,),'Data input'!$C:$C,'Summary by type of work report'!$B78),"")</f>
        <v>0</v>
      </c>
      <c r="F78" s="51"/>
      <c r="G78" s="70">
        <f>IFERROR(SUMIFS('Data input'!81:81,'Data input'!$12:$12,'Summary by type of work report'!G$9),"")</f>
        <v>0</v>
      </c>
      <c r="H78" s="70">
        <f>IFERROR(SUMIFS('Data input'!81:81,'Data input'!$12:$12,'Summary by type of work report'!H$9),"")</f>
        <v>0</v>
      </c>
      <c r="I78" s="58"/>
      <c r="J78" s="58"/>
      <c r="K78" s="51"/>
      <c r="L78" s="70">
        <f>G78+H78+I78+J78</f>
        <v>0</v>
      </c>
      <c r="M78" s="71">
        <f ca="1">IFERROR(L78/(C78-D78-E78),0)</f>
        <v>0</v>
      </c>
      <c r="N78" s="51"/>
      <c r="O78" s="58"/>
      <c r="P78" s="58"/>
      <c r="Q78" s="90"/>
      <c r="R78" s="52"/>
      <c r="S78" s="70">
        <f ca="1">IFERROR(SUMIFS(OFFSET('Data input'!$B:$B,,MATCH('Summary by type of work report'!S$9,'Data input'!$9:$9,0)-2),'Data input'!$C:$C,'Summary by type of work report'!$B78),0)</f>
        <v>0</v>
      </c>
    </row>
    <row r="79" spans="2:19" hidden="1" x14ac:dyDescent="0.2">
      <c r="B79" s="17" t="str">
        <f>IF('Data input'!$C82="","",'Data input'!$C82)</f>
        <v>Intentionally hidden</v>
      </c>
      <c r="C79" s="72">
        <f ca="1">IFERROR(SUMIFS(OFFSET('Data input'!$C:$C,,MATCH('Summary by type of work report'!C$9,'Data input'!$8:$8,0)-3,,),'Data input'!$C:$C,'Summary by type of work report'!$B79),"")</f>
        <v>0</v>
      </c>
      <c r="D79" s="72">
        <f ca="1">IFERROR(SUMIFS(OFFSET('Data input'!$C:$C,,MATCH('Summary by type of work report'!D$9,'Data input'!$8:$8,0)-3,,),'Data input'!$C:$C,'Summary by type of work report'!$B79),"")</f>
        <v>0</v>
      </c>
      <c r="E79" s="72">
        <f ca="1">IFERROR(SUMIFS(OFFSET('Data input'!$C:$C,,MATCH('Summary by type of work report'!E$9,'Data input'!$8:$8,0)-3,,),'Data input'!$C:$C,'Summary by type of work report'!$B79),"")</f>
        <v>0</v>
      </c>
      <c r="F79" s="51"/>
      <c r="G79" s="72"/>
      <c r="H79" s="72"/>
      <c r="I79" s="59"/>
      <c r="J79" s="59"/>
      <c r="K79" s="51"/>
      <c r="L79" s="72">
        <f>G79+H79+I79+J79</f>
        <v>0</v>
      </c>
      <c r="M79" s="72"/>
      <c r="N79" s="51"/>
      <c r="O79" s="59"/>
      <c r="P79" s="59"/>
      <c r="Q79" s="91"/>
      <c r="R79" s="52"/>
      <c r="S79" s="72">
        <f ca="1">IFERROR(SUMIFS(OFFSET('Data input'!$B:$B,,MATCH('Summary by type of work report'!S$9,'Data input'!$9:$9,0)-2),'Data input'!$C:$C,'Summary by type of work report'!$B79),0)</f>
        <v>0</v>
      </c>
    </row>
    <row r="80" spans="2:19" x14ac:dyDescent="0.2">
      <c r="B80" s="19" t="str">
        <f>IF('Data input'!$C83="","",'Data input'!$C83)</f>
        <v>Total stockholders' equity</v>
      </c>
      <c r="C80" s="77">
        <f ca="1">IFERROR(SUMIFS(OFFSET('Data input'!$C:$C,,MATCH('Summary by type of work report'!C$9,'Data input'!$8:$8,0)-3,,),'Data input'!$C:$C,'Summary by type of work report'!$B80),"")</f>
        <v>0</v>
      </c>
      <c r="D80" s="77">
        <f ca="1">IFERROR(SUMIFS(OFFSET('Data input'!$C:$C,,MATCH('Summary by type of work report'!D$9,'Data input'!$8:$8,0)-3,,),'Data input'!$C:$C,'Summary by type of work report'!$B80),"")</f>
        <v>0</v>
      </c>
      <c r="E80" s="77">
        <f ca="1">IFERROR(SUMIFS(OFFSET('Data input'!$C:$C,,MATCH('Summary by type of work report'!E$9,'Data input'!$8:$8,0)-3,,),'Data input'!$C:$C,'Summary by type of work report'!$B80),"")</f>
        <v>0</v>
      </c>
      <c r="F80" s="51"/>
      <c r="G80" s="77">
        <f>IFERROR(SUMIFS('Data input'!83:83,'Data input'!$12:$12,'Summary by type of work report'!G$9),"")</f>
        <v>0</v>
      </c>
      <c r="H80" s="77">
        <f>IFERROR(SUMIFS('Data input'!83:83,'Data input'!$12:$12,'Summary by type of work report'!H$9),"")</f>
        <v>0</v>
      </c>
      <c r="I80" s="62">
        <f>SUM(I76:I79)</f>
        <v>0</v>
      </c>
      <c r="J80" s="62">
        <f>SUM(J76:J79)</f>
        <v>0</v>
      </c>
      <c r="K80" s="51"/>
      <c r="L80" s="77">
        <f>G80+H80+I80+J80</f>
        <v>0</v>
      </c>
      <c r="M80" s="78">
        <f ca="1">IFERROR(L80/(C80-D80-E80),0)</f>
        <v>0</v>
      </c>
      <c r="N80" s="51"/>
      <c r="O80" s="62"/>
      <c r="P80" s="62"/>
      <c r="Q80" s="94"/>
      <c r="R80" s="52"/>
      <c r="S80" s="77">
        <f ca="1">IFERROR(SUMIFS(OFFSET('Data input'!$B:$B,,MATCH('Summary by type of work report'!S$9,'Data input'!$9:$9,0)-2),'Data input'!$C:$C,'Summary by type of work report'!$B80),0)</f>
        <v>0</v>
      </c>
    </row>
    <row r="81" spans="2:20" x14ac:dyDescent="0.2">
      <c r="B81" s="20" t="str">
        <f>IF('Data input'!$C84="","",'Data input'!$C84)</f>
        <v/>
      </c>
      <c r="C81" s="80"/>
      <c r="D81" s="80"/>
      <c r="E81" s="80"/>
      <c r="F81" s="51"/>
      <c r="G81" s="80"/>
      <c r="H81" s="80"/>
      <c r="I81" s="64"/>
      <c r="J81" s="64"/>
      <c r="K81" s="51"/>
      <c r="L81" s="80"/>
      <c r="M81" s="80"/>
      <c r="N81" s="51"/>
      <c r="O81" s="64"/>
      <c r="P81" s="64"/>
      <c r="Q81" s="96"/>
      <c r="R81" s="52"/>
      <c r="S81" s="80"/>
    </row>
    <row r="82" spans="2:20" ht="12" thickBot="1" x14ac:dyDescent="0.25">
      <c r="B82" s="21" t="str">
        <f>IF('Data input'!$C85="","",'Data input'!$C85)</f>
        <v>Total liabilities and equity</v>
      </c>
      <c r="C82" s="82">
        <f ca="1">IFERROR(SUMIFS(OFFSET('Data input'!$C:$C,,MATCH('Summary by type of work report'!C$9,'Data input'!$8:$8,0)-3,,),'Data input'!$C:$C,'Summary by type of work report'!$B82),"")</f>
        <v>0</v>
      </c>
      <c r="D82" s="82">
        <f ca="1">IFERROR(SUMIFS(OFFSET('Data input'!$C:$C,,MATCH('Summary by type of work report'!D$9,'Data input'!$8:$8,0)-3,,),'Data input'!$C:$C,'Summary by type of work report'!$B82),"")</f>
        <v>0</v>
      </c>
      <c r="E82" s="82">
        <f ca="1">IFERROR(SUMIFS(OFFSET('Data input'!$C:$C,,MATCH('Summary by type of work report'!E$9,'Data input'!$8:$8,0)-3,,),'Data input'!$C:$C,'Summary by type of work report'!$B82),"")</f>
        <v>0</v>
      </c>
      <c r="F82" s="51"/>
      <c r="G82" s="82">
        <f>IFERROR(SUMIFS('Data input'!85:85,'Data input'!$12:$12,'Summary by type of work report'!G$9),"")</f>
        <v>0</v>
      </c>
      <c r="H82" s="82">
        <f>IFERROR(SUMIFS('Data input'!85:85,'Data input'!$12:$12,'Summary by type of work report'!H$9),"")</f>
        <v>0</v>
      </c>
      <c r="I82" s="65">
        <f>SUM(I66,I80)</f>
        <v>0</v>
      </c>
      <c r="J82" s="65">
        <f>SUM(J66,J80)</f>
        <v>0</v>
      </c>
      <c r="K82" s="51"/>
      <c r="L82" s="82">
        <f>G82+H82+I82+J82</f>
        <v>0</v>
      </c>
      <c r="M82" s="83">
        <f ca="1">IFERROR(L82/(C82-D82-E82),0)</f>
        <v>0</v>
      </c>
      <c r="N82" s="51"/>
      <c r="O82" s="65"/>
      <c r="P82" s="65"/>
      <c r="Q82" s="97"/>
      <c r="R82" s="52"/>
      <c r="S82" s="82">
        <f ca="1">IFERROR(SUMIFS(OFFSET('Data input'!$B:$B,,MATCH('Summary by type of work report'!S$9,'Data input'!$9:$9,0)-2),'Data input'!$C:$C,'Summary by type of work report'!$B82),0)</f>
        <v>0</v>
      </c>
    </row>
    <row r="83" spans="2:20" ht="5.0999999999999996" customHeight="1" thickTop="1" x14ac:dyDescent="0.2">
      <c r="B83" s="103"/>
      <c r="C83" s="84"/>
      <c r="D83" s="84"/>
      <c r="E83" s="84"/>
      <c r="F83" s="53"/>
      <c r="G83" s="84"/>
      <c r="H83" s="84"/>
      <c r="I83" s="84"/>
      <c r="J83" s="84"/>
      <c r="K83" s="53"/>
      <c r="L83" s="84"/>
      <c r="M83" s="84"/>
      <c r="N83" s="53"/>
      <c r="O83" s="84"/>
      <c r="P83" s="84"/>
      <c r="Q83" s="101"/>
      <c r="R83" s="106"/>
      <c r="S83" s="84"/>
    </row>
    <row r="84" spans="2:20" x14ac:dyDescent="0.2">
      <c r="B84" s="8" t="str">
        <f>IF('Data input'!$C87="","",'Data input'!$C87)</f>
        <v/>
      </c>
      <c r="C84" s="85"/>
      <c r="D84" s="85"/>
      <c r="E84" s="85"/>
      <c r="F84" s="51"/>
      <c r="G84" s="85"/>
      <c r="H84" s="85"/>
      <c r="I84" s="56"/>
      <c r="J84" s="56"/>
      <c r="K84" s="51"/>
      <c r="L84" s="85"/>
      <c r="M84" s="85"/>
      <c r="N84" s="51"/>
      <c r="O84" s="56"/>
      <c r="P84" s="56"/>
      <c r="Q84" s="54"/>
      <c r="R84" s="52"/>
      <c r="S84" s="85"/>
    </row>
    <row r="85" spans="2:20" ht="16.5" thickBot="1" x14ac:dyDescent="0.25">
      <c r="B85" s="14" t="str">
        <f>IF('Data input'!$C88="","",'Data input'!$C88)</f>
        <v>Statement of operations</v>
      </c>
      <c r="C85" s="86"/>
      <c r="D85" s="86"/>
      <c r="E85" s="86"/>
      <c r="F85" s="51"/>
      <c r="G85" s="86"/>
      <c r="H85" s="86"/>
      <c r="I85" s="66"/>
      <c r="J85" s="66"/>
      <c r="K85" s="51"/>
      <c r="L85" s="86"/>
      <c r="M85" s="86"/>
      <c r="N85" s="51"/>
      <c r="O85" s="66"/>
      <c r="P85" s="66"/>
      <c r="Q85" s="98"/>
      <c r="R85" s="52"/>
      <c r="S85" s="86"/>
    </row>
    <row r="86" spans="2:20" x14ac:dyDescent="0.2">
      <c r="B86" s="23" t="str">
        <f>IF('Data input'!$C89="","",'Data input'!$C89)</f>
        <v/>
      </c>
      <c r="C86" s="70"/>
      <c r="D86" s="70"/>
      <c r="E86" s="70"/>
      <c r="F86" s="51"/>
      <c r="G86" s="70"/>
      <c r="H86" s="70"/>
      <c r="I86" s="58"/>
      <c r="J86" s="58"/>
      <c r="K86" s="51"/>
      <c r="L86" s="70"/>
      <c r="M86" s="70"/>
      <c r="N86" s="51"/>
      <c r="O86" s="58"/>
      <c r="P86" s="58"/>
      <c r="Q86" s="90"/>
      <c r="R86" s="52"/>
      <c r="S86" s="70"/>
    </row>
    <row r="87" spans="2:20" x14ac:dyDescent="0.2">
      <c r="B87" s="23" t="str">
        <f>IF('Data input'!$C90="","",'Data input'!$C90)</f>
        <v>Net sales</v>
      </c>
      <c r="C87" s="70">
        <f ca="1">IFERROR(SUMIFS(OFFSET('Data input'!$C:$C,,MATCH('Summary by type of work report'!C$9,'Data input'!$8:$8,0)-3,,),'Data input'!$C:$C,'Summary by type of work report'!$B87),"")</f>
        <v>0</v>
      </c>
      <c r="D87" s="70">
        <f ca="1">IFERROR(SUMIFS(OFFSET('Data input'!$C:$C,,MATCH('Summary by type of work report'!D$9,'Data input'!$8:$8,0)-3,,),'Data input'!$C:$C,'Summary by type of work report'!$B87),"")</f>
        <v>0</v>
      </c>
      <c r="E87" s="70">
        <f ca="1">IFERROR(SUMIFS(OFFSET('Data input'!$C:$C,,MATCH('Summary by type of work report'!E$9,'Data input'!$8:$8,0)-3,,),'Data input'!$C:$C,'Summary by type of work report'!$B87),"")</f>
        <v>0</v>
      </c>
      <c r="F87" s="51"/>
      <c r="G87" s="70">
        <f>IFERROR(SUMIFS('Data input'!90:90,'Data input'!$12:$12,'Summary by type of work report'!G$9),"")</f>
        <v>0</v>
      </c>
      <c r="H87" s="70">
        <f>IFERROR(SUMIFS('Data input'!90:90,'Data input'!$12:$12,'Summary by type of work report'!H$9),"")</f>
        <v>0</v>
      </c>
      <c r="I87" s="58"/>
      <c r="J87" s="58"/>
      <c r="K87" s="51"/>
      <c r="L87" s="70">
        <f>G87+H87+I87+J87</f>
        <v>0</v>
      </c>
      <c r="M87" s="71">
        <f ca="1">IFERROR(L87/(C87-D87-E87),0)</f>
        <v>0</v>
      </c>
      <c r="N87" s="51"/>
      <c r="O87" s="58"/>
      <c r="P87" s="58"/>
      <c r="Q87" s="90"/>
      <c r="R87" s="52"/>
      <c r="S87" s="70">
        <f ca="1">IFERROR(SUMIFS(OFFSET('Data input'!$B:$B,,MATCH('Summary by type of work report'!S$9,'Data input'!$9:$9,0)-2),'Data input'!$C:$C,'Summary by type of work report'!$B87),0)</f>
        <v>0</v>
      </c>
    </row>
    <row r="88" spans="2:20" s="48" customFormat="1" x14ac:dyDescent="0.2">
      <c r="B88" s="49" t="str">
        <f>IF('Data input'!$C91="","",'Data input'!$C91)</f>
        <v>Other revenue</v>
      </c>
      <c r="C88" s="70">
        <f ca="1">IFERROR(SUMIFS(OFFSET('Data input'!$C:$C,,MATCH('Summary by type of work report'!C$9,'Data input'!$8:$8,0)-3,,),'Data input'!$C:$C,'Summary by type of work report'!$B88),"")</f>
        <v>0</v>
      </c>
      <c r="D88" s="70">
        <f ca="1">IFERROR(SUMIFS(OFFSET('Data input'!$C:$C,,MATCH('Summary by type of work report'!D$9,'Data input'!$8:$8,0)-3,,),'Data input'!$C:$C,'Summary by type of work report'!$B88),"")</f>
        <v>0</v>
      </c>
      <c r="E88" s="70">
        <f ca="1">IFERROR(SUMIFS(OFFSET('Data input'!$C:$C,,MATCH('Summary by type of work report'!E$9,'Data input'!$8:$8,0)-3,,),'Data input'!$C:$C,'Summary by type of work report'!$B88),"")</f>
        <v>0</v>
      </c>
      <c r="F88" s="51"/>
      <c r="G88" s="70">
        <f>IFERROR(SUMIFS('Data input'!91:91,'Data input'!$12:$12,'Summary by type of work report'!G$9),"")</f>
        <v>0</v>
      </c>
      <c r="H88" s="70">
        <f>IFERROR(SUMIFS('Data input'!91:91,'Data input'!$12:$12,'Summary by type of work report'!H$9),"")</f>
        <v>0</v>
      </c>
      <c r="I88" s="58"/>
      <c r="J88" s="58"/>
      <c r="K88" s="51"/>
      <c r="L88" s="70">
        <f>G88+H88+I88+J88</f>
        <v>0</v>
      </c>
      <c r="M88" s="71">
        <f ca="1">IFERROR(L88/(C88-D88-E88),0)</f>
        <v>0</v>
      </c>
      <c r="N88" s="51"/>
      <c r="O88" s="58"/>
      <c r="P88" s="58"/>
      <c r="Q88" s="90"/>
      <c r="R88" s="52"/>
      <c r="S88" s="70">
        <f ca="1">IFERROR(SUMIFS(OFFSET('Data input'!$B:$B,,MATCH('Summary by type of work report'!S$9,'Data input'!$9:$9,0)-2),'Data input'!$C:$C,'Summary by type of work report'!$B88),0)</f>
        <v>0</v>
      </c>
      <c r="T88"/>
    </row>
    <row r="89" spans="2:20" hidden="1" x14ac:dyDescent="0.2">
      <c r="B89" s="17" t="str">
        <f>IF('Data input'!$C92="","",'Data input'!$C92)</f>
        <v>Intentionally hidden</v>
      </c>
      <c r="C89" s="72">
        <f ca="1">IFERROR(SUMIFS(OFFSET('Data input'!$C:$C,,MATCH('Summary by type of work report'!C$9,'Data input'!$8:$8,0)-3,,),'Data input'!$C:$C,'Summary by type of work report'!$B89),"")</f>
        <v>0</v>
      </c>
      <c r="D89" s="72">
        <f ca="1">IFERROR(SUMIFS(OFFSET('Data input'!$C:$C,,MATCH('Summary by type of work report'!D$9,'Data input'!$8:$8,0)-3,,),'Data input'!$C:$C,'Summary by type of work report'!$B89),"")</f>
        <v>0</v>
      </c>
      <c r="E89" s="72">
        <f ca="1">IFERROR(SUMIFS(OFFSET('Data input'!$C:$C,,MATCH('Summary by type of work report'!E$9,'Data input'!$8:$8,0)-3,,),'Data input'!$C:$C,'Summary by type of work report'!$B89),"")</f>
        <v>0</v>
      </c>
      <c r="F89" s="51"/>
      <c r="G89" s="72">
        <f>IFERROR(SUMIFS('Data input'!92:92,'Data input'!$12:$12,'Summary by type of work report'!G$9),"")</f>
        <v>0</v>
      </c>
      <c r="H89" s="72">
        <f>IFERROR(SUMIFS('Data input'!92:92,'Data input'!$12:$12,'Summary by type of work report'!H$9),"")</f>
        <v>0</v>
      </c>
      <c r="I89" s="59"/>
      <c r="J89" s="59"/>
      <c r="K89" s="51"/>
      <c r="L89" s="72">
        <f>G89+H89+I89+J89</f>
        <v>0</v>
      </c>
      <c r="M89" s="73">
        <f ca="1">IFERROR(L89/(C89-D89-E89),0)</f>
        <v>0</v>
      </c>
      <c r="N89" s="51"/>
      <c r="O89" s="59"/>
      <c r="P89" s="59"/>
      <c r="Q89" s="91"/>
      <c r="R89" s="52"/>
      <c r="S89" s="72">
        <f ca="1">IFERROR(SUMIFS(OFFSET('Data input'!$B:$B,,MATCH('Summary by type of work report'!S$9,'Data input'!$9:$9,0)-2),'Data input'!$C:$C,'Summary by type of work report'!$B89),0)</f>
        <v>0</v>
      </c>
    </row>
    <row r="90" spans="2:20" s="48" customFormat="1" x14ac:dyDescent="0.2">
      <c r="B90" s="116" t="str">
        <f>IF('Data input'!$C93="","",'Data input'!$C93)</f>
        <v>Total revenue</v>
      </c>
      <c r="C90" s="74">
        <f ca="1">IFERROR(SUMIFS(OFFSET('Data input'!$C:$C,,MATCH('Summary by type of work report'!C$9,'Data input'!$8:$8,0)-3,,),'Data input'!$C:$C,'Summary by type of work report'!$B90),"")</f>
        <v>0</v>
      </c>
      <c r="D90" s="74">
        <f ca="1">IFERROR(SUMIFS(OFFSET('Data input'!$C:$C,,MATCH('Summary by type of work report'!D$9,'Data input'!$8:$8,0)-3,,),'Data input'!$C:$C,'Summary by type of work report'!$B90),"")</f>
        <v>0</v>
      </c>
      <c r="E90" s="74">
        <f ca="1">IFERROR(SUMIFS(OFFSET('Data input'!$C:$C,,MATCH('Summary by type of work report'!E$9,'Data input'!$8:$8,0)-3,,),'Data input'!$C:$C,'Summary by type of work report'!$B90),"")</f>
        <v>0</v>
      </c>
      <c r="F90" s="51"/>
      <c r="G90" s="74">
        <f>IFERROR(SUMIFS('Data input'!93:93,'Data input'!$12:$12,'Summary by type of work report'!G$9),"")</f>
        <v>0</v>
      </c>
      <c r="H90" s="74">
        <f>IFERROR(SUMIFS('Data input'!93:93,'Data input'!$12:$12,'Summary by type of work report'!H$9),"")</f>
        <v>0</v>
      </c>
      <c r="I90" s="60">
        <f>SUM(I87:I89)</f>
        <v>0</v>
      </c>
      <c r="J90" s="60">
        <f>SUM(J87:J89)</f>
        <v>0</v>
      </c>
      <c r="K90" s="51"/>
      <c r="L90" s="74">
        <f>G90+H90+I90+J90</f>
        <v>0</v>
      </c>
      <c r="M90" s="75">
        <f ca="1">IFERROR(L90/(C90-D90-E90),0)</f>
        <v>0</v>
      </c>
      <c r="N90" s="51"/>
      <c r="O90" s="117"/>
      <c r="P90" s="117"/>
      <c r="Q90" s="118"/>
      <c r="R90" s="52"/>
      <c r="S90" s="74">
        <f ca="1">IFERROR(SUMIFS(OFFSET('Data input'!$B:$B,,MATCH('Summary by type of work report'!S$9,'Data input'!$9:$9,0)-2),'Data input'!$C:$C,'Summary by type of work report'!$B90),0)</f>
        <v>0</v>
      </c>
      <c r="T90"/>
    </row>
    <row r="91" spans="2:20" s="48" customFormat="1" x14ac:dyDescent="0.2">
      <c r="B91" s="49"/>
      <c r="C91" s="70"/>
      <c r="D91" s="70"/>
      <c r="E91" s="70"/>
      <c r="F91" s="51"/>
      <c r="G91" s="70"/>
      <c r="H91" s="70"/>
      <c r="I91" s="58"/>
      <c r="J91" s="58"/>
      <c r="K91" s="51"/>
      <c r="L91" s="70"/>
      <c r="M91" s="71"/>
      <c r="N91" s="51"/>
      <c r="O91" s="58"/>
      <c r="P91" s="58"/>
      <c r="Q91" s="90"/>
      <c r="R91" s="52"/>
      <c r="S91" s="70"/>
      <c r="T91"/>
    </row>
    <row r="92" spans="2:20" x14ac:dyDescent="0.2">
      <c r="B92" s="22" t="str">
        <f>IF('Data input'!$C95="","",'Data input'!$C95)</f>
        <v>Cost of sales</v>
      </c>
      <c r="C92" s="87">
        <f ca="1">IFERROR(SUMIFS(OFFSET('Data input'!$C:$C,,MATCH('Summary by type of work report'!C$9,'Data input'!$8:$8,0)-3,,),'Data input'!$C:$C,'Summary by type of work report'!$B92),"")</f>
        <v>0</v>
      </c>
      <c r="D92" s="87">
        <f ca="1">IFERROR(SUMIFS(OFFSET('Data input'!$C:$C,,MATCH('Summary by type of work report'!D$9,'Data input'!$8:$8,0)-3,,),'Data input'!$C:$C,'Summary by type of work report'!$B92),"")</f>
        <v>0</v>
      </c>
      <c r="E92" s="87">
        <f ca="1">IFERROR(SUMIFS(OFFSET('Data input'!$C:$C,,MATCH('Summary by type of work report'!E$9,'Data input'!$8:$8,0)-3,,),'Data input'!$C:$C,'Summary by type of work report'!$B92),"")</f>
        <v>0</v>
      </c>
      <c r="F92" s="51"/>
      <c r="G92" s="87">
        <f>IFERROR(SUMIFS('Data input'!95:95,'Data input'!$12:$12,'Summary by type of work report'!G$9),"")</f>
        <v>0</v>
      </c>
      <c r="H92" s="87">
        <f>IFERROR(SUMIFS('Data input'!95:95,'Data input'!$12:$12,'Summary by type of work report'!H$9),"")</f>
        <v>0</v>
      </c>
      <c r="I92" s="67"/>
      <c r="J92" s="67"/>
      <c r="K92" s="51"/>
      <c r="L92" s="70">
        <f>G92+H92+I92+J92</f>
        <v>0</v>
      </c>
      <c r="M92" s="88">
        <f ca="1">IFERROR(L92/(C92-D92-E92),0)</f>
        <v>0</v>
      </c>
      <c r="N92" s="51"/>
      <c r="O92" s="67"/>
      <c r="P92" s="67"/>
      <c r="Q92" s="99"/>
      <c r="R92" s="52"/>
      <c r="S92" s="87">
        <f ca="1">IFERROR(SUMIFS(OFFSET('Data input'!$B:$B,,MATCH('Summary by type of work report'!S$9,'Data input'!$9:$9,0)-2),'Data input'!$C:$C,'Summary by type of work report'!$B92),0)</f>
        <v>0</v>
      </c>
    </row>
    <row r="93" spans="2:20" hidden="1" x14ac:dyDescent="0.2">
      <c r="B93" s="17" t="str">
        <f>IF('Data input'!$C96="","",'Data input'!$C96)</f>
        <v>Intentionally hidden</v>
      </c>
      <c r="C93" s="72">
        <f ca="1">IFERROR(SUMIFS(OFFSET('Data input'!$C:$C,,MATCH('Summary by type of work report'!C$9,'Data input'!$8:$8,0)-3,,),'Data input'!$C:$C,'Summary by type of work report'!$B93),"")</f>
        <v>0</v>
      </c>
      <c r="D93" s="72">
        <f ca="1">IFERROR(SUMIFS(OFFSET('Data input'!$C:$C,,MATCH('Summary by type of work report'!D$9,'Data input'!$8:$8,0)-3,,),'Data input'!$C:$C,'Summary by type of work report'!$B93),"")</f>
        <v>0</v>
      </c>
      <c r="E93" s="72">
        <f ca="1">IFERROR(SUMIFS(OFFSET('Data input'!$C:$C,,MATCH('Summary by type of work report'!E$9,'Data input'!$8:$8,0)-3,,),'Data input'!$C:$C,'Summary by type of work report'!$B93),"")</f>
        <v>0</v>
      </c>
      <c r="F93" s="51"/>
      <c r="G93" s="72">
        <f>IFERROR(SUMIFS('Data input'!96:96,'Data input'!$12:$12,'Summary by type of work report'!G$9),"")</f>
        <v>0</v>
      </c>
      <c r="H93" s="72">
        <f>IFERROR(SUMIFS('Data input'!96:96,'Data input'!$12:$12,'Summary by type of work report'!H$9),"")</f>
        <v>0</v>
      </c>
      <c r="I93" s="59"/>
      <c r="J93" s="59"/>
      <c r="K93" s="51"/>
      <c r="L93" s="72">
        <f>G93+H93+I93+J93</f>
        <v>0</v>
      </c>
      <c r="M93" s="73">
        <f ca="1">IFERROR(L93/(C93-D93-E93),0)</f>
        <v>0</v>
      </c>
      <c r="N93" s="51"/>
      <c r="O93" s="59"/>
      <c r="P93" s="59"/>
      <c r="Q93" s="91"/>
      <c r="R93" s="52"/>
      <c r="S93" s="72">
        <f ca="1">IFERROR(SUMIFS(OFFSET('Data input'!$B:$B,,MATCH('Summary by type of work report'!S$9,'Data input'!$9:$9,0)-2),'Data input'!$C:$C,'Summary by type of work report'!$B93),0)</f>
        <v>0</v>
      </c>
    </row>
    <row r="94" spans="2:20" x14ac:dyDescent="0.2">
      <c r="B94" s="18" t="str">
        <f>IF('Data input'!$C97="","",'Data input'!$C97)</f>
        <v>Gross profit</v>
      </c>
      <c r="C94" s="74">
        <f ca="1">IFERROR(SUMIFS(OFFSET('Data input'!$C:$C,,MATCH('Summary by type of work report'!C$9,'Data input'!$8:$8,0)-3,,),'Data input'!$C:$C,'Summary by type of work report'!$B94),"")</f>
        <v>0</v>
      </c>
      <c r="D94" s="74">
        <f ca="1">IFERROR(SUMIFS(OFFSET('Data input'!$C:$C,,MATCH('Summary by type of work report'!D$9,'Data input'!$8:$8,0)-3,,),'Data input'!$C:$C,'Summary by type of work report'!$B94),"")</f>
        <v>0</v>
      </c>
      <c r="E94" s="74">
        <f ca="1">IFERROR(SUMIFS(OFFSET('Data input'!$C:$C,,MATCH('Summary by type of work report'!E$9,'Data input'!$8:$8,0)-3,,),'Data input'!$C:$C,'Summary by type of work report'!$B94),"")</f>
        <v>0</v>
      </c>
      <c r="F94" s="51"/>
      <c r="G94" s="74">
        <f>IFERROR(SUMIFS('Data input'!97:97,'Data input'!$12:$12,'Summary by type of work report'!G$9),"")</f>
        <v>0</v>
      </c>
      <c r="H94" s="74">
        <f>IFERROR(SUMIFS('Data input'!97:97,'Data input'!$12:$12,'Summary by type of work report'!H$9),"")</f>
        <v>0</v>
      </c>
      <c r="I94" s="36">
        <f>I90-SUM(I91:I93)</f>
        <v>0</v>
      </c>
      <c r="J94" s="36">
        <f>J90-SUM(J91:J93)</f>
        <v>0</v>
      </c>
      <c r="K94" s="51"/>
      <c r="L94" s="74">
        <f>G94+H94+I94+J94</f>
        <v>0</v>
      </c>
      <c r="M94" s="75">
        <f ca="1">IFERROR(L94/(C94-D94-E94),0)</f>
        <v>0</v>
      </c>
      <c r="N94" s="51"/>
      <c r="O94" s="60"/>
      <c r="P94" s="60"/>
      <c r="Q94" s="92"/>
      <c r="R94" s="52"/>
      <c r="S94" s="74">
        <f ca="1">IFERROR(SUMIFS(OFFSET('Data input'!$B:$B,,MATCH('Summary by type of work report'!S$9,'Data input'!$9:$9,0)-2),'Data input'!$C:$C,'Summary by type of work report'!$B94),0)</f>
        <v>0</v>
      </c>
    </row>
    <row r="95" spans="2:20" x14ac:dyDescent="0.2">
      <c r="B95" s="23" t="str">
        <f>IF('Data input'!$C98="","",'Data input'!$C98)</f>
        <v/>
      </c>
      <c r="C95" s="70"/>
      <c r="D95" s="70"/>
      <c r="E95" s="70"/>
      <c r="F95" s="51"/>
      <c r="G95" s="70"/>
      <c r="H95" s="70"/>
      <c r="I95" s="58"/>
      <c r="J95" s="58"/>
      <c r="K95" s="51"/>
      <c r="L95" s="70"/>
      <c r="M95" s="70"/>
      <c r="N95" s="51"/>
      <c r="O95" s="58"/>
      <c r="P95" s="58"/>
      <c r="Q95" s="90"/>
      <c r="R95" s="52"/>
      <c r="S95" s="70"/>
    </row>
    <row r="96" spans="2:20" x14ac:dyDescent="0.2">
      <c r="B96" s="23" t="str">
        <f>IF('Data input'!$C99="","",'Data input'!$C99)</f>
        <v>Other operating expenses</v>
      </c>
      <c r="C96" s="70">
        <f ca="1">IFERROR(SUMIFS(OFFSET('Data input'!$C:$C,,MATCH('Summary by type of work report'!C$9,'Data input'!$8:$8,0)-3,,),'Data input'!$C:$C,'Summary by type of work report'!$B96),"")</f>
        <v>0</v>
      </c>
      <c r="D96" s="70">
        <f ca="1">IFERROR(SUMIFS(OFFSET('Data input'!$C:$C,,MATCH('Summary by type of work report'!D$9,'Data input'!$8:$8,0)-3,,),'Data input'!$C:$C,'Summary by type of work report'!$B96),"")</f>
        <v>0</v>
      </c>
      <c r="E96" s="70">
        <f ca="1">IFERROR(SUMIFS(OFFSET('Data input'!$C:$C,,MATCH('Summary by type of work report'!E$9,'Data input'!$8:$8,0)-3,,),'Data input'!$C:$C,'Summary by type of work report'!$B96),"")</f>
        <v>0</v>
      </c>
      <c r="F96" s="51"/>
      <c r="G96" s="70">
        <f>IFERROR(SUMIFS('Data input'!99:99,'Data input'!$12:$12,'Summary by type of work report'!G$9),"")</f>
        <v>0</v>
      </c>
      <c r="H96" s="70">
        <f>IFERROR(SUMIFS('Data input'!99:99,'Data input'!$12:$12,'Summary by type of work report'!H$9),"")</f>
        <v>0</v>
      </c>
      <c r="I96" s="58"/>
      <c r="J96" s="58"/>
      <c r="K96" s="51"/>
      <c r="L96" s="70">
        <f t="shared" ref="L96:L104" si="10">G96+H96+I96+J96</f>
        <v>0</v>
      </c>
      <c r="M96" s="71">
        <f t="shared" ref="M96:M104" ca="1" si="11">IFERROR(L96/(C96-D96-E96),0)</f>
        <v>0</v>
      </c>
      <c r="N96" s="51"/>
      <c r="O96" s="58"/>
      <c r="P96" s="58"/>
      <c r="Q96" s="90"/>
      <c r="R96" s="52"/>
      <c r="S96" s="70">
        <f ca="1">IFERROR(SUMIFS(OFFSET('Data input'!$B:$B,,MATCH('Summary by type of work report'!S$9,'Data input'!$9:$9,0)-2),'Data input'!$C:$C,'Summary by type of work report'!$B96),0)</f>
        <v>0</v>
      </c>
    </row>
    <row r="97" spans="2:20" ht="22.5" x14ac:dyDescent="0.2">
      <c r="B97" s="23" t="str">
        <f>IF('Data input'!$C100="","",'Data input'!$C100)</f>
        <v>Selling, general, &amp; administrative expenses</v>
      </c>
      <c r="C97" s="70">
        <f ca="1">IFERROR(SUMIFS(OFFSET('Data input'!$C:$C,,MATCH('Summary by type of work report'!C$9,'Data input'!$8:$8,0)-3,,),'Data input'!$C:$C,'Summary by type of work report'!$B97),"")</f>
        <v>0</v>
      </c>
      <c r="D97" s="70">
        <f ca="1">IFERROR(SUMIFS(OFFSET('Data input'!$C:$C,,MATCH('Summary by type of work report'!D$9,'Data input'!$8:$8,0)-3,,),'Data input'!$C:$C,'Summary by type of work report'!$B97),"")</f>
        <v>0</v>
      </c>
      <c r="E97" s="70">
        <f ca="1">IFERROR(SUMIFS(OFFSET('Data input'!$C:$C,,MATCH('Summary by type of work report'!E$9,'Data input'!$8:$8,0)-3,,),'Data input'!$C:$C,'Summary by type of work report'!$B97),"")</f>
        <v>0</v>
      </c>
      <c r="F97" s="51"/>
      <c r="G97" s="70">
        <f>IFERROR(SUMIFS('Data input'!100:100,'Data input'!$12:$12,'Summary by type of work report'!G$9),"")</f>
        <v>0</v>
      </c>
      <c r="H97" s="70">
        <f>IFERROR(SUMIFS('Data input'!100:100,'Data input'!$12:$12,'Summary by type of work report'!H$9),"")</f>
        <v>0</v>
      </c>
      <c r="I97" s="58"/>
      <c r="J97" s="58"/>
      <c r="K97" s="51"/>
      <c r="L97" s="70">
        <f t="shared" si="10"/>
        <v>0</v>
      </c>
      <c r="M97" s="71">
        <f t="shared" ca="1" si="11"/>
        <v>0</v>
      </c>
      <c r="N97" s="51"/>
      <c r="O97" s="58"/>
      <c r="P97" s="58"/>
      <c r="Q97" s="90"/>
      <c r="R97" s="52"/>
      <c r="S97" s="70">
        <f ca="1">IFERROR(SUMIFS(OFFSET('Data input'!$B:$B,,MATCH('Summary by type of work report'!S$9,'Data input'!$9:$9,0)-2),'Data input'!$C:$C,'Summary by type of work report'!$B97),0)</f>
        <v>0</v>
      </c>
    </row>
    <row r="98" spans="2:20" x14ac:dyDescent="0.2">
      <c r="B98" s="23" t="str">
        <f>IF('Data input'!$C101="","",'Data input'!$C101)</f>
        <v>Depreciation expense</v>
      </c>
      <c r="C98" s="70">
        <f ca="1">IFERROR(SUMIFS(OFFSET('Data input'!$C:$C,,MATCH('Summary by type of work report'!C$9,'Data input'!$8:$8,0)-3,,),'Data input'!$C:$C,'Summary by type of work report'!$B98),"")</f>
        <v>0</v>
      </c>
      <c r="D98" s="70">
        <f ca="1">IFERROR(SUMIFS(OFFSET('Data input'!$C:$C,,MATCH('Summary by type of work report'!D$9,'Data input'!$8:$8,0)-3,,),'Data input'!$C:$C,'Summary by type of work report'!$B98),"")</f>
        <v>0</v>
      </c>
      <c r="E98" s="70">
        <f ca="1">IFERROR(SUMIFS(OFFSET('Data input'!$C:$C,,MATCH('Summary by type of work report'!E$9,'Data input'!$8:$8,0)-3,,),'Data input'!$C:$C,'Summary by type of work report'!$B98),"")</f>
        <v>0</v>
      </c>
      <c r="F98" s="51"/>
      <c r="G98" s="70">
        <f>IFERROR(SUMIFS('Data input'!101:101,'Data input'!$12:$12,'Summary by type of work report'!G$9),"")</f>
        <v>0</v>
      </c>
      <c r="H98" s="70">
        <f>IFERROR(SUMIFS('Data input'!101:101,'Data input'!$12:$12,'Summary by type of work report'!H$9),"")</f>
        <v>0</v>
      </c>
      <c r="I98" s="58"/>
      <c r="J98" s="58"/>
      <c r="K98" s="51"/>
      <c r="L98" s="70">
        <f t="shared" si="10"/>
        <v>0</v>
      </c>
      <c r="M98" s="71">
        <f t="shared" ca="1" si="11"/>
        <v>0</v>
      </c>
      <c r="N98" s="51"/>
      <c r="O98" s="58"/>
      <c r="P98" s="58"/>
      <c r="Q98" s="90"/>
      <c r="R98" s="52"/>
      <c r="S98" s="70">
        <f ca="1">IFERROR(SUMIFS(OFFSET('Data input'!$B:$B,,MATCH('Summary by type of work report'!S$9,'Data input'!$9:$9,0)-2),'Data input'!$C:$C,'Summary by type of work report'!$B98),0)</f>
        <v>0</v>
      </c>
    </row>
    <row r="99" spans="2:20" s="48" customFormat="1" x14ac:dyDescent="0.2">
      <c r="B99" s="49" t="str">
        <f>IF('Data input'!$C102="","",'Data input'!$C102)</f>
        <v>Amortization expense</v>
      </c>
      <c r="C99" s="70">
        <f ca="1">IFERROR(SUMIFS(OFFSET('Data input'!$C:$C,,MATCH('Summary by type of work report'!C$9,'Data input'!$8:$8,0)-3,,),'Data input'!$C:$C,'Summary by type of work report'!$B99),"")</f>
        <v>0</v>
      </c>
      <c r="D99" s="70">
        <f ca="1">IFERROR(SUMIFS(OFFSET('Data input'!$C:$C,,MATCH('Summary by type of work report'!D$9,'Data input'!$8:$8,0)-3,,),'Data input'!$C:$C,'Summary by type of work report'!$B99),"")</f>
        <v>0</v>
      </c>
      <c r="E99" s="70">
        <f ca="1">IFERROR(SUMIFS(OFFSET('Data input'!$C:$C,,MATCH('Summary by type of work report'!E$9,'Data input'!$8:$8,0)-3,,),'Data input'!$C:$C,'Summary by type of work report'!$B99),"")</f>
        <v>0</v>
      </c>
      <c r="F99" s="51"/>
      <c r="G99" s="70">
        <f>IFERROR(SUMIFS('Data input'!102:102,'Data input'!$12:$12,'Summary by type of work report'!G$9),"")</f>
        <v>0</v>
      </c>
      <c r="H99" s="70">
        <f>IFERROR(SUMIFS('Data input'!102:102,'Data input'!$12:$12,'Summary by type of work report'!H$9),"")</f>
        <v>0</v>
      </c>
      <c r="I99" s="58"/>
      <c r="J99" s="58"/>
      <c r="K99" s="51"/>
      <c r="L99" s="70">
        <f t="shared" si="10"/>
        <v>0</v>
      </c>
      <c r="M99" s="71">
        <f t="shared" ca="1" si="11"/>
        <v>0</v>
      </c>
      <c r="N99" s="51"/>
      <c r="O99" s="58"/>
      <c r="P99" s="58"/>
      <c r="Q99" s="90"/>
      <c r="R99" s="52"/>
      <c r="S99" s="70">
        <f ca="1">IFERROR(SUMIFS(OFFSET('Data input'!$B:$B,,MATCH('Summary by type of work report'!S$9,'Data input'!$9:$9,0)-2),'Data input'!$C:$C,'Summary by type of work report'!$B99),0)</f>
        <v>0</v>
      </c>
      <c r="T99"/>
    </row>
    <row r="100" spans="2:20" x14ac:dyDescent="0.2">
      <c r="B100" s="23" t="str">
        <f>IF('Data input'!$C103="","",'Data input'!$C103)</f>
        <v>Impairment loss</v>
      </c>
      <c r="C100" s="70">
        <f ca="1">IFERROR(SUMIFS(OFFSET('Data input'!$C:$C,,MATCH('Summary by type of work report'!C$9,'Data input'!$8:$8,0)-3,,),'Data input'!$C:$C,'Summary by type of work report'!$B100),"")</f>
        <v>0</v>
      </c>
      <c r="D100" s="70">
        <f ca="1">IFERROR(SUMIFS(OFFSET('Data input'!$C:$C,,MATCH('Summary by type of work report'!D$9,'Data input'!$8:$8,0)-3,,),'Data input'!$C:$C,'Summary by type of work report'!$B100),"")</f>
        <v>0</v>
      </c>
      <c r="E100" s="70">
        <f ca="1">IFERROR(SUMIFS(OFFSET('Data input'!$C:$C,,MATCH('Summary by type of work report'!E$9,'Data input'!$8:$8,0)-3,,),'Data input'!$C:$C,'Summary by type of work report'!$B100),"")</f>
        <v>0</v>
      </c>
      <c r="F100" s="51"/>
      <c r="G100" s="70">
        <f>IFERROR(SUMIFS('Data input'!103:103,'Data input'!$12:$12,'Summary by type of work report'!G$9),"")</f>
        <v>0</v>
      </c>
      <c r="H100" s="70">
        <f>IFERROR(SUMIFS('Data input'!103:103,'Data input'!$12:$12,'Summary by type of work report'!H$9),"")</f>
        <v>0</v>
      </c>
      <c r="I100" s="58"/>
      <c r="J100" s="58"/>
      <c r="K100" s="51"/>
      <c r="L100" s="70">
        <f t="shared" si="10"/>
        <v>0</v>
      </c>
      <c r="M100" s="71">
        <f t="shared" ca="1" si="11"/>
        <v>0</v>
      </c>
      <c r="N100" s="51"/>
      <c r="O100" s="58"/>
      <c r="P100" s="58"/>
      <c r="Q100" s="90"/>
      <c r="R100" s="52"/>
      <c r="S100" s="70">
        <f ca="1">IFERROR(SUMIFS(OFFSET('Data input'!$B:$B,,MATCH('Summary by type of work report'!S$9,'Data input'!$9:$9,0)-2),'Data input'!$C:$C,'Summary by type of work report'!$B100),0)</f>
        <v>0</v>
      </c>
    </row>
    <row r="101" spans="2:20" x14ac:dyDescent="0.2">
      <c r="B101" s="23" t="str">
        <f>IF('Data input'!$C104="","",'Data input'!$C104)</f>
        <v>Restructuring expense</v>
      </c>
      <c r="C101" s="70">
        <f ca="1">IFERROR(SUMIFS(OFFSET('Data input'!$C:$C,,MATCH('Summary by type of work report'!C$9,'Data input'!$8:$8,0)-3,,),'Data input'!$C:$C,'Summary by type of work report'!$B101),"")</f>
        <v>0</v>
      </c>
      <c r="D101" s="70">
        <f ca="1">IFERROR(SUMIFS(OFFSET('Data input'!$C:$C,,MATCH('Summary by type of work report'!D$9,'Data input'!$8:$8,0)-3,,),'Data input'!$C:$C,'Summary by type of work report'!$B101),"")</f>
        <v>0</v>
      </c>
      <c r="E101" s="70">
        <f ca="1">IFERROR(SUMIFS(OFFSET('Data input'!$C:$C,,MATCH('Summary by type of work report'!E$9,'Data input'!$8:$8,0)-3,,),'Data input'!$C:$C,'Summary by type of work report'!$B101),"")</f>
        <v>0</v>
      </c>
      <c r="F101" s="51"/>
      <c r="G101" s="70">
        <f>IFERROR(SUMIFS('Data input'!104:104,'Data input'!$12:$12,'Summary by type of work report'!G$9),"")</f>
        <v>0</v>
      </c>
      <c r="H101" s="70">
        <f>IFERROR(SUMIFS('Data input'!104:104,'Data input'!$12:$12,'Summary by type of work report'!H$9),"")</f>
        <v>0</v>
      </c>
      <c r="I101" s="58"/>
      <c r="J101" s="58"/>
      <c r="K101" s="51"/>
      <c r="L101" s="70">
        <f t="shared" si="10"/>
        <v>0</v>
      </c>
      <c r="M101" s="71">
        <f t="shared" ca="1" si="11"/>
        <v>0</v>
      </c>
      <c r="N101" s="51"/>
      <c r="O101" s="58"/>
      <c r="P101" s="58"/>
      <c r="Q101" s="90"/>
      <c r="R101" s="52"/>
      <c r="S101" s="70">
        <f ca="1">IFERROR(SUMIFS(OFFSET('Data input'!$B:$B,,MATCH('Summary by type of work report'!S$9,'Data input'!$9:$9,0)-2),'Data input'!$C:$C,'Summary by type of work report'!$B101),0)</f>
        <v>0</v>
      </c>
    </row>
    <row r="102" spans="2:20" x14ac:dyDescent="0.2">
      <c r="B102" s="23" t="str">
        <f>IF('Data input'!$C105="","",'Data input'!$C105)</f>
        <v>Other general expenses</v>
      </c>
      <c r="C102" s="70">
        <f ca="1">IFERROR(SUMIFS(OFFSET('Data input'!$C:$C,,MATCH('Summary by type of work report'!C$9,'Data input'!$8:$8,0)-3,,),'Data input'!$C:$C,'Summary by type of work report'!$B102),"")</f>
        <v>0</v>
      </c>
      <c r="D102" s="70">
        <f ca="1">IFERROR(SUMIFS(OFFSET('Data input'!$C:$C,,MATCH('Summary by type of work report'!D$9,'Data input'!$8:$8,0)-3,,),'Data input'!$C:$C,'Summary by type of work report'!$B102),"")</f>
        <v>0</v>
      </c>
      <c r="E102" s="70">
        <f ca="1">IFERROR(SUMIFS(OFFSET('Data input'!$C:$C,,MATCH('Summary by type of work report'!E$9,'Data input'!$8:$8,0)-3,,),'Data input'!$C:$C,'Summary by type of work report'!$B102),"")</f>
        <v>0</v>
      </c>
      <c r="F102" s="51"/>
      <c r="G102" s="70">
        <f>IFERROR(SUMIFS('Data input'!105:105,'Data input'!$12:$12,'Summary by type of work report'!G$9),"")</f>
        <v>0</v>
      </c>
      <c r="H102" s="70">
        <f>IFERROR(SUMIFS('Data input'!105:105,'Data input'!$12:$12,'Summary by type of work report'!H$9),"")</f>
        <v>0</v>
      </c>
      <c r="I102" s="58"/>
      <c r="J102" s="58"/>
      <c r="K102" s="51"/>
      <c r="L102" s="70">
        <f t="shared" si="10"/>
        <v>0</v>
      </c>
      <c r="M102" s="71">
        <f t="shared" ca="1" si="11"/>
        <v>0</v>
      </c>
      <c r="N102" s="51"/>
      <c r="O102" s="58"/>
      <c r="P102" s="58"/>
      <c r="Q102" s="90"/>
      <c r="R102" s="52"/>
      <c r="S102" s="70">
        <f ca="1">IFERROR(SUMIFS(OFFSET('Data input'!$B:$B,,MATCH('Summary by type of work report'!S$9,'Data input'!$9:$9,0)-2),'Data input'!$C:$C,'Summary by type of work report'!$B102),0)</f>
        <v>0</v>
      </c>
    </row>
    <row r="103" spans="2:20" hidden="1" x14ac:dyDescent="0.2">
      <c r="B103" s="17" t="str">
        <f>IF('Data input'!$C106="","",'Data input'!$C106)</f>
        <v>Intentionally hidden</v>
      </c>
      <c r="C103" s="72">
        <f ca="1">IFERROR(SUMIFS(OFFSET('Data input'!$C:$C,,MATCH('Summary by type of work report'!C$9,'Data input'!$8:$8,0)-3,,),'Data input'!$C:$C,'Summary by type of work report'!$B103),"")</f>
        <v>0</v>
      </c>
      <c r="D103" s="72">
        <f ca="1">IFERROR(SUMIFS(OFFSET('Data input'!$C:$C,,MATCH('Summary by type of work report'!D$9,'Data input'!$8:$8,0)-3,,),'Data input'!$C:$C,'Summary by type of work report'!$B103),"")</f>
        <v>0</v>
      </c>
      <c r="E103" s="72">
        <f ca="1">IFERROR(SUMIFS(OFFSET('Data input'!$C:$C,,MATCH('Summary by type of work report'!E$9,'Data input'!$8:$8,0)-3,,),'Data input'!$C:$C,'Summary by type of work report'!$B103),"")</f>
        <v>0</v>
      </c>
      <c r="F103" s="51"/>
      <c r="G103" s="72">
        <f>IFERROR(SUMIFS('Data input'!106:106,'Data input'!$12:$12,'Summary by type of work report'!G$9),"")</f>
        <v>0</v>
      </c>
      <c r="H103" s="72">
        <f>IFERROR(SUMIFS('Data input'!106:106,'Data input'!$12:$12,'Summary by type of work report'!H$9),"")</f>
        <v>0</v>
      </c>
      <c r="I103" s="59"/>
      <c r="J103" s="59"/>
      <c r="K103" s="51"/>
      <c r="L103" s="72">
        <f t="shared" si="10"/>
        <v>0</v>
      </c>
      <c r="M103" s="73">
        <f t="shared" ca="1" si="11"/>
        <v>0</v>
      </c>
      <c r="N103" s="51"/>
      <c r="O103" s="59"/>
      <c r="P103" s="59"/>
      <c r="Q103" s="91"/>
      <c r="R103" s="52"/>
      <c r="S103" s="72">
        <f ca="1">IFERROR(SUMIFS(OFFSET('Data input'!$B:$B,,MATCH('Summary by type of work report'!S$9,'Data input'!$9:$9,0)-2),'Data input'!$C:$C,'Summary by type of work report'!$B103),0)</f>
        <v>0</v>
      </c>
    </row>
    <row r="104" spans="2:20" s="48" customFormat="1" x14ac:dyDescent="0.2">
      <c r="B104" s="116" t="str">
        <f>IF('Data input'!$C107="","",'Data input'!$C107)</f>
        <v>Income (loss) from operations</v>
      </c>
      <c r="C104" s="74">
        <f ca="1">IFERROR(SUMIFS(OFFSET('Data input'!$C:$C,,MATCH('Summary by type of work report'!C$9,'Data input'!$8:$8,0)-3,,),'Data input'!$C:$C,'Summary by type of work report'!$B104),"")</f>
        <v>0</v>
      </c>
      <c r="D104" s="74">
        <f ca="1">IFERROR(SUMIFS(OFFSET('Data input'!$C:$C,,MATCH('Summary by type of work report'!D$9,'Data input'!$8:$8,0)-3,,),'Data input'!$C:$C,'Summary by type of work report'!$B104),"")</f>
        <v>0</v>
      </c>
      <c r="E104" s="74">
        <f ca="1">IFERROR(SUMIFS(OFFSET('Data input'!$C:$C,,MATCH('Summary by type of work report'!E$9,'Data input'!$8:$8,0)-3,,),'Data input'!$C:$C,'Summary by type of work report'!$B104),"")</f>
        <v>0</v>
      </c>
      <c r="F104" s="122"/>
      <c r="G104" s="74">
        <f>IFERROR(SUMIFS('Data input'!107:107,'Data input'!$12:$12,'Summary by type of work report'!G$9),"")</f>
        <v>0</v>
      </c>
      <c r="H104" s="74">
        <f>IFERROR(SUMIFS('Data input'!107:107,'Data input'!$12:$12,'Summary by type of work report'!H$9),"")</f>
        <v>0</v>
      </c>
      <c r="I104" s="36">
        <f>I94-SUM(I95:I103)</f>
        <v>0</v>
      </c>
      <c r="J104" s="36">
        <f>J94-SUM(J95:J103)</f>
        <v>0</v>
      </c>
      <c r="K104" s="51"/>
      <c r="L104" s="74">
        <f t="shared" si="10"/>
        <v>0</v>
      </c>
      <c r="M104" s="75">
        <f t="shared" ca="1" si="11"/>
        <v>0</v>
      </c>
      <c r="N104" s="51"/>
      <c r="O104" s="60"/>
      <c r="P104" s="60"/>
      <c r="Q104" s="92"/>
      <c r="R104" s="121"/>
      <c r="S104" s="74">
        <f ca="1">IFERROR(SUMIFS(OFFSET('Data input'!$B:$B,,MATCH('Summary by type of work report'!S$9,'Data input'!$9:$9,0)-2),'Data input'!$C:$C,'Summary by type of work report'!$B104),0)</f>
        <v>0</v>
      </c>
      <c r="T104"/>
    </row>
    <row r="105" spans="2:20" s="48" customFormat="1" x14ac:dyDescent="0.2">
      <c r="B105" s="49" t="str">
        <f>IF('Data input'!$C108="","",'Data input'!$C108)</f>
        <v/>
      </c>
      <c r="C105" s="70"/>
      <c r="D105" s="70"/>
      <c r="E105" s="70"/>
      <c r="F105" s="51"/>
      <c r="G105" s="70"/>
      <c r="H105" s="70"/>
      <c r="I105" s="34"/>
      <c r="J105" s="58"/>
      <c r="K105" s="51"/>
      <c r="L105" s="70"/>
      <c r="M105" s="70"/>
      <c r="N105" s="51"/>
      <c r="O105" s="58"/>
      <c r="P105" s="58"/>
      <c r="Q105" s="90"/>
      <c r="R105" s="52"/>
      <c r="S105" s="70"/>
      <c r="T105"/>
    </row>
    <row r="106" spans="2:20" x14ac:dyDescent="0.2">
      <c r="B106" s="23" t="str">
        <f>IF('Data input'!$C109="","",'Data input'!$C109)</f>
        <v>Non-operating income (expense)</v>
      </c>
      <c r="C106" s="70">
        <f ca="1">IFERROR(SUMIFS(OFFSET('Data input'!$C:$C,,MATCH('Summary by type of work report'!C$9,'Data input'!$8:$8,0)-3,,),'Data input'!$C:$C,'Summary by type of work report'!$B106),"")</f>
        <v>0</v>
      </c>
      <c r="D106" s="70">
        <f ca="1">IFERROR(SUMIFS(OFFSET('Data input'!$C:$C,,MATCH('Summary by type of work report'!D$9,'Data input'!$8:$8,0)-3,,),'Data input'!$C:$C,'Summary by type of work report'!$B106),"")</f>
        <v>0</v>
      </c>
      <c r="E106" s="70">
        <f ca="1">IFERROR(SUMIFS(OFFSET('Data input'!$C:$C,,MATCH('Summary by type of work report'!E$9,'Data input'!$8:$8,0)-3,,),'Data input'!$C:$C,'Summary by type of work report'!$B106),"")</f>
        <v>0</v>
      </c>
      <c r="F106" s="51"/>
      <c r="G106" s="70">
        <f>IFERROR(SUMIFS('Data input'!109:109,'Data input'!$12:$12,'Summary by type of work report'!G$9),"")</f>
        <v>0</v>
      </c>
      <c r="H106" s="70">
        <f>IFERROR(SUMIFS('Data input'!109:109,'Data input'!$12:$12,'Summary by type of work report'!H$9),"")</f>
        <v>0</v>
      </c>
      <c r="I106" s="34"/>
      <c r="J106" s="58"/>
      <c r="K106" s="51"/>
      <c r="L106" s="70">
        <f>G106+H106+I106+J106</f>
        <v>0</v>
      </c>
      <c r="M106" s="71">
        <f ca="1">IFERROR(L106/(C106-D106-E106),0)</f>
        <v>0</v>
      </c>
      <c r="N106" s="51"/>
      <c r="O106" s="58"/>
      <c r="P106" s="58"/>
      <c r="Q106" s="90"/>
      <c r="R106" s="52"/>
      <c r="S106" s="70">
        <f ca="1">IFERROR(SUMIFS(OFFSET('Data input'!$B:$B,,MATCH('Summary by type of work report'!S$9,'Data input'!$9:$9,0)-2),'Data input'!$C:$C,'Summary by type of work report'!$B106),0)</f>
        <v>0</v>
      </c>
    </row>
    <row r="107" spans="2:20" x14ac:dyDescent="0.2">
      <c r="B107" s="23" t="str">
        <f>IF('Data input'!$C110="","",'Data input'!$C110)</f>
        <v>Interest income (expense)</v>
      </c>
      <c r="C107" s="70">
        <f ca="1">IFERROR(SUMIFS(OFFSET('Data input'!$C:$C,,MATCH('Summary by type of work report'!C$9,'Data input'!$8:$8,0)-3,,),'Data input'!$C:$C,'Summary by type of work report'!$B107),"")</f>
        <v>0</v>
      </c>
      <c r="D107" s="70">
        <f ca="1">IFERROR(SUMIFS(OFFSET('Data input'!$C:$C,,MATCH('Summary by type of work report'!D$9,'Data input'!$8:$8,0)-3,,),'Data input'!$C:$C,'Summary by type of work report'!$B107),"")</f>
        <v>0</v>
      </c>
      <c r="E107" s="70">
        <f ca="1">IFERROR(SUMIFS(OFFSET('Data input'!$C:$C,,MATCH('Summary by type of work report'!E$9,'Data input'!$8:$8,0)-3,,),'Data input'!$C:$C,'Summary by type of work report'!$B107),"")</f>
        <v>0</v>
      </c>
      <c r="F107" s="51"/>
      <c r="G107" s="70">
        <f>IFERROR(SUMIFS('Data input'!110:110,'Data input'!$12:$12,'Summary by type of work report'!G$9),"")</f>
        <v>0</v>
      </c>
      <c r="H107" s="70">
        <f>IFERROR(SUMIFS('Data input'!110:110,'Data input'!$12:$12,'Summary by type of work report'!H$9),"")</f>
        <v>0</v>
      </c>
      <c r="I107" s="45"/>
      <c r="J107" s="58"/>
      <c r="K107" s="51"/>
      <c r="L107" s="70">
        <f>G107+H107+I107+J107</f>
        <v>0</v>
      </c>
      <c r="M107" s="71">
        <f ca="1">IFERROR(L107/(C107-D107-E107),0)</f>
        <v>0</v>
      </c>
      <c r="N107" s="51"/>
      <c r="O107" s="58"/>
      <c r="P107" s="58"/>
      <c r="Q107" s="90"/>
      <c r="R107" s="52"/>
      <c r="S107" s="70">
        <f ca="1">IFERROR(SUMIFS(OFFSET('Data input'!$B:$B,,MATCH('Summary by type of work report'!S$9,'Data input'!$9:$9,0)-2),'Data input'!$C:$C,'Summary by type of work report'!$B107),0)</f>
        <v>0</v>
      </c>
    </row>
    <row r="108" spans="2:20" hidden="1" x14ac:dyDescent="0.2">
      <c r="B108" s="17" t="str">
        <f>IF('Data input'!$C111="","",'Data input'!$C111)</f>
        <v>Intentionally hidden</v>
      </c>
      <c r="C108" s="72">
        <f ca="1">IFERROR(SUMIFS(OFFSET('Data input'!$C:$C,,MATCH('Summary by type of work report'!C$9,'Data input'!$8:$8,0)-3,,),'Data input'!$C:$C,'Summary by type of work report'!$B108),"")</f>
        <v>0</v>
      </c>
      <c r="D108" s="72">
        <f ca="1">IFERROR(SUMIFS(OFFSET('Data input'!$C:$C,,MATCH('Summary by type of work report'!D$9,'Data input'!$8:$8,0)-3,,),'Data input'!$C:$C,'Summary by type of work report'!$B108),"")</f>
        <v>0</v>
      </c>
      <c r="E108" s="72">
        <f ca="1">IFERROR(SUMIFS(OFFSET('Data input'!$C:$C,,MATCH('Summary by type of work report'!E$9,'Data input'!$8:$8,0)-3,,),'Data input'!$C:$C,'Summary by type of work report'!$B108),"")</f>
        <v>0</v>
      </c>
      <c r="F108" s="51"/>
      <c r="G108" s="72">
        <f>IFERROR(SUMIFS('Data input'!111:111,'Data input'!$12:$12,'Summary by type of work report'!G$9),"")</f>
        <v>0</v>
      </c>
      <c r="H108" s="72">
        <f>IFERROR(SUMIFS('Data input'!111:111,'Data input'!$12:$12,'Summary by type of work report'!H$9),"")</f>
        <v>0</v>
      </c>
      <c r="I108" s="7"/>
      <c r="J108" s="59"/>
      <c r="K108" s="51"/>
      <c r="L108" s="72">
        <f>G108+H108+I108+J108</f>
        <v>0</v>
      </c>
      <c r="M108" s="73">
        <f ca="1">IFERROR(L108/(C108-D108-E108),0)</f>
        <v>0</v>
      </c>
      <c r="N108" s="51"/>
      <c r="O108" s="59"/>
      <c r="P108" s="59"/>
      <c r="Q108" s="91"/>
      <c r="R108" s="52"/>
      <c r="S108" s="72">
        <f ca="1">IFERROR(SUMIFS(OFFSET('Data input'!$B:$B,,MATCH('Summary by type of work report'!S$9,'Data input'!$9:$9,0)-2),'Data input'!$C:$C,'Summary by type of work report'!$B108),0)</f>
        <v>0</v>
      </c>
    </row>
    <row r="109" spans="2:20" ht="22.5" x14ac:dyDescent="0.2">
      <c r="B109" s="18" t="str">
        <f>IF('Data input'!$C112="","",'Data input'!$C112)</f>
        <v>Income (loss) before income tax expense</v>
      </c>
      <c r="C109" s="74">
        <f ca="1">IFERROR(SUMIFS(OFFSET('Data input'!$C:$C,,MATCH('Summary by type of work report'!C$9,'Data input'!$8:$8,0)-3,,),'Data input'!$C:$C,'Summary by type of work report'!$B109),"")</f>
        <v>0</v>
      </c>
      <c r="D109" s="74">
        <f ca="1">IFERROR(SUMIFS(OFFSET('Data input'!$C:$C,,MATCH('Summary by type of work report'!D$9,'Data input'!$8:$8,0)-3,,),'Data input'!$C:$C,'Summary by type of work report'!$B109),"")</f>
        <v>0</v>
      </c>
      <c r="E109" s="74">
        <f ca="1">IFERROR(SUMIFS(OFFSET('Data input'!$C:$C,,MATCH('Summary by type of work report'!E$9,'Data input'!$8:$8,0)-3,,),'Data input'!$C:$C,'Summary by type of work report'!$B109),"")</f>
        <v>0</v>
      </c>
      <c r="F109" s="51"/>
      <c r="G109" s="74">
        <f>IFERROR(SUMIFS('Data input'!112:112,'Data input'!$12:$12,'Summary by type of work report'!G$9),"")</f>
        <v>0</v>
      </c>
      <c r="H109" s="74">
        <f>IFERROR(SUMIFS('Data input'!112:112,'Data input'!$12:$12,'Summary by type of work report'!H$9),"")</f>
        <v>0</v>
      </c>
      <c r="I109" s="36">
        <f>I104+SUM(I105:I108)</f>
        <v>0</v>
      </c>
      <c r="J109" s="36">
        <f>J104+SUM(J105:J108)</f>
        <v>0</v>
      </c>
      <c r="K109" s="51"/>
      <c r="L109" s="74">
        <f>G109+H109+I109+J109</f>
        <v>0</v>
      </c>
      <c r="M109" s="75">
        <f ca="1">IFERROR(L109/(C109-D109-E109),0)</f>
        <v>0</v>
      </c>
      <c r="N109" s="51"/>
      <c r="O109" s="60"/>
      <c r="P109" s="60"/>
      <c r="Q109" s="92"/>
      <c r="R109" s="52"/>
      <c r="S109" s="74">
        <f ca="1">IFERROR(SUMIFS(OFFSET('Data input'!$B:$B,,MATCH('Summary by type of work report'!S$9,'Data input'!$9:$9,0)-2),'Data input'!$C:$C,'Summary by type of work report'!$B109),0)</f>
        <v>0</v>
      </c>
    </row>
    <row r="110" spans="2:20" x14ac:dyDescent="0.2">
      <c r="B110" s="23" t="str">
        <f>IF('Data input'!$C113="","",'Data input'!$C113)</f>
        <v/>
      </c>
      <c r="C110" s="70"/>
      <c r="D110" s="70"/>
      <c r="E110" s="70"/>
      <c r="F110" s="51"/>
      <c r="G110" s="70"/>
      <c r="H110" s="70"/>
      <c r="I110" s="34"/>
      <c r="J110" s="34"/>
      <c r="K110" s="51"/>
      <c r="L110" s="70"/>
      <c r="M110" s="70"/>
      <c r="N110" s="51"/>
      <c r="O110" s="58"/>
      <c r="P110" s="58"/>
      <c r="Q110" s="90"/>
      <c r="R110" s="52"/>
      <c r="S110" s="70"/>
    </row>
    <row r="111" spans="2:20" x14ac:dyDescent="0.2">
      <c r="B111" s="23" t="str">
        <f>IF('Data input'!$C114="","",'Data input'!$C114)</f>
        <v>Income tax benefit (expense)</v>
      </c>
      <c r="C111" s="70">
        <f ca="1">IFERROR(SUMIFS(OFFSET('Data input'!$C:$C,,MATCH('Summary by type of work report'!C$9,'Data input'!$8:$8,0)-3,,),'Data input'!$C:$C,'Summary by type of work report'!$B111),"")</f>
        <v>0</v>
      </c>
      <c r="D111" s="70">
        <f ca="1">IFERROR(SUMIFS(OFFSET('Data input'!$C:$C,,MATCH('Summary by type of work report'!D$9,'Data input'!$8:$8,0)-3,,),'Data input'!$C:$C,'Summary by type of work report'!$B111),"")</f>
        <v>0</v>
      </c>
      <c r="E111" s="70">
        <f ca="1">IFERROR(SUMIFS(OFFSET('Data input'!$C:$C,,MATCH('Summary by type of work report'!E$9,'Data input'!$8:$8,0)-3,,),'Data input'!$C:$C,'Summary by type of work report'!$B111),"")</f>
        <v>0</v>
      </c>
      <c r="F111" s="51"/>
      <c r="G111" s="70">
        <f>IFERROR(SUMIFS('Data input'!114:114,'Data input'!$12:$12,'Summary by type of work report'!G$9),"")</f>
        <v>0</v>
      </c>
      <c r="H111" s="70">
        <f>IFERROR(SUMIFS('Data input'!114:114,'Data input'!$12:$12,'Summary by type of work report'!H$9),"")</f>
        <v>0</v>
      </c>
      <c r="I111" s="34"/>
      <c r="J111" s="34"/>
      <c r="K111" s="51"/>
      <c r="L111" s="70">
        <f>G111+H111+I111+J111</f>
        <v>0</v>
      </c>
      <c r="M111" s="71">
        <f ca="1">IFERROR(L111/(C111-D111-E111),0)</f>
        <v>0</v>
      </c>
      <c r="N111" s="51"/>
      <c r="O111" s="58"/>
      <c r="P111" s="58"/>
      <c r="Q111" s="90"/>
      <c r="R111" s="52"/>
      <c r="S111" s="70">
        <f ca="1">IFERROR(SUMIFS(OFFSET('Data input'!$B:$B,,MATCH('Summary by type of work report'!S$9,'Data input'!$9:$9,0)-2),'Data input'!$C:$C,'Summary by type of work report'!$B111),0)</f>
        <v>0</v>
      </c>
    </row>
    <row r="112" spans="2:20" x14ac:dyDescent="0.2">
      <c r="B112" s="22" t="str">
        <f>IF('Data input'!$C115="","",'Data input'!$C115)</f>
        <v>Equity in earnings (losses) of subsidiaries</v>
      </c>
      <c r="C112" s="87">
        <f ca="1">IFERROR(SUMIFS(OFFSET('Data input'!$C:$C,,MATCH('Summary by type of work report'!C$9,'Data input'!$8:$8,0)-3,,),'Data input'!$C:$C,'Summary by type of work report'!$B112),"")</f>
        <v>0</v>
      </c>
      <c r="D112" s="87">
        <f ca="1">IFERROR(SUMIFS(OFFSET('Data input'!$C:$C,,MATCH('Summary by type of work report'!D$9,'Data input'!$8:$8,0)-3,,),'Data input'!$C:$C,'Summary by type of work report'!$B112),"")</f>
        <v>0</v>
      </c>
      <c r="E112" s="87">
        <f ca="1">IFERROR(SUMIFS(OFFSET('Data input'!$C:$C,,MATCH('Summary by type of work report'!E$9,'Data input'!$8:$8,0)-3,,),'Data input'!$C:$C,'Summary by type of work report'!$B112),"")</f>
        <v>0</v>
      </c>
      <c r="F112" s="51"/>
      <c r="G112" s="87">
        <f>IFERROR(SUMIFS('Data input'!115:115,'Data input'!$12:$12,'Summary by type of work report'!G$9),"")</f>
        <v>0</v>
      </c>
      <c r="H112" s="87">
        <f>IFERROR(SUMIFS('Data input'!115:115,'Data input'!$12:$12,'Summary by type of work report'!H$9),"")</f>
        <v>0</v>
      </c>
      <c r="I112" s="45"/>
      <c r="J112" s="45"/>
      <c r="K112" s="51"/>
      <c r="L112" s="70">
        <f>G112+H112+I112+J112</f>
        <v>0</v>
      </c>
      <c r="M112" s="88">
        <f ca="1">IFERROR(L112/(C112-D112-E112),0)</f>
        <v>0</v>
      </c>
      <c r="N112" s="51"/>
      <c r="O112" s="67"/>
      <c r="P112" s="67"/>
      <c r="Q112" s="99"/>
      <c r="R112" s="52"/>
      <c r="S112" s="87">
        <f ca="1">IFERROR(SUMIFS(OFFSET('Data input'!$B:$B,,MATCH('Summary by type of work report'!S$9,'Data input'!$9:$9,0)-2),'Data input'!$C:$C,'Summary by type of work report'!$B112),0)</f>
        <v>0</v>
      </c>
    </row>
    <row r="113" spans="2:19" hidden="1" x14ac:dyDescent="0.2">
      <c r="B113" s="17" t="str">
        <f>IF('Data input'!$C116="","",'Data input'!$C116)</f>
        <v>Intentionally hidden</v>
      </c>
      <c r="C113" s="72">
        <f ca="1">IFERROR(SUMIFS(OFFSET('Data input'!$C:$C,,MATCH('Summary by type of work report'!C$9,'Data input'!$8:$8,0)-3,,),'Data input'!$C:$C,'Summary by type of work report'!$B113),"")</f>
        <v>0</v>
      </c>
      <c r="D113" s="72">
        <f ca="1">IFERROR(SUMIFS(OFFSET('Data input'!$C:$C,,MATCH('Summary by type of work report'!D$9,'Data input'!$8:$8,0)-3,,),'Data input'!$C:$C,'Summary by type of work report'!$B113),"")</f>
        <v>0</v>
      </c>
      <c r="E113" s="72">
        <f ca="1">IFERROR(SUMIFS(OFFSET('Data input'!$C:$C,,MATCH('Summary by type of work report'!E$9,'Data input'!$8:$8,0)-3,,),'Data input'!$C:$C,'Summary by type of work report'!$B113),"")</f>
        <v>0</v>
      </c>
      <c r="F113" s="51"/>
      <c r="G113" s="72">
        <f>IFERROR(SUMIFS('Data input'!116:116,'Data input'!$12:$12,'Summary by type of work report'!G$9),"")</f>
        <v>0</v>
      </c>
      <c r="H113" s="72">
        <f>IFERROR(SUMIFS('Data input'!116:116,'Data input'!$12:$12,'Summary by type of work report'!H$9),"")</f>
        <v>0</v>
      </c>
      <c r="I113" s="7"/>
      <c r="J113" s="7"/>
      <c r="K113" s="51"/>
      <c r="L113" s="72">
        <f>G113+H113+I113+J113</f>
        <v>0</v>
      </c>
      <c r="M113" s="73">
        <f ca="1">IFERROR(L113/(C113-D113-E113),0)</f>
        <v>0</v>
      </c>
      <c r="N113" s="51"/>
      <c r="O113" s="59"/>
      <c r="P113" s="59"/>
      <c r="Q113" s="91"/>
      <c r="R113" s="52"/>
      <c r="S113" s="72">
        <f ca="1">IFERROR(SUMIFS(OFFSET('Data input'!$B:$B,,MATCH('Summary by type of work report'!S$9,'Data input'!$9:$9,0)-2),'Data input'!$C:$C,'Summary by type of work report'!$B113),0)</f>
        <v>0</v>
      </c>
    </row>
    <row r="114" spans="2:19" ht="22.5" x14ac:dyDescent="0.2">
      <c r="B114" s="18" t="str">
        <f>IF('Data input'!$C117="","",'Data input'!$C117)</f>
        <v>Income (loss) from continuing operations</v>
      </c>
      <c r="C114" s="74">
        <f ca="1">IFERROR(SUMIFS(OFFSET('Data input'!$C:$C,,MATCH('Summary by type of work report'!C$9,'Data input'!$8:$8,0)-3,,),'Data input'!$C:$C,'Summary by type of work report'!$B114),"")</f>
        <v>0</v>
      </c>
      <c r="D114" s="74">
        <f ca="1">IFERROR(SUMIFS(OFFSET('Data input'!$C:$C,,MATCH('Summary by type of work report'!D$9,'Data input'!$8:$8,0)-3,,),'Data input'!$C:$C,'Summary by type of work report'!$B114),"")</f>
        <v>0</v>
      </c>
      <c r="E114" s="74">
        <f ca="1">IFERROR(SUMIFS(OFFSET('Data input'!$C:$C,,MATCH('Summary by type of work report'!E$9,'Data input'!$8:$8,0)-3,,),'Data input'!$C:$C,'Summary by type of work report'!$B114),"")</f>
        <v>0</v>
      </c>
      <c r="F114" s="51"/>
      <c r="G114" s="74">
        <f>IFERROR(SUMIFS('Data input'!117:117,'Data input'!$12:$12,'Summary by type of work report'!G$9),"")</f>
        <v>0</v>
      </c>
      <c r="H114" s="74">
        <f>IFERROR(SUMIFS('Data input'!117:117,'Data input'!$12:$12,'Summary by type of work report'!H$9),"")</f>
        <v>0</v>
      </c>
      <c r="I114" s="36">
        <f>I109+SUM(I110:I113)</f>
        <v>0</v>
      </c>
      <c r="J114" s="36">
        <f>J109+SUM(J110:J113)</f>
        <v>0</v>
      </c>
      <c r="K114" s="51"/>
      <c r="L114" s="74">
        <f>G114+H114+I114+J114</f>
        <v>0</v>
      </c>
      <c r="M114" s="75">
        <f ca="1">IFERROR(L114/(C114-D114-E114),0)</f>
        <v>0</v>
      </c>
      <c r="N114" s="51"/>
      <c r="O114" s="60"/>
      <c r="P114" s="60"/>
      <c r="Q114" s="92"/>
      <c r="R114" s="52"/>
      <c r="S114" s="74">
        <f ca="1">IFERROR(SUMIFS(OFFSET('Data input'!$B:$B,,MATCH('Summary by type of work report'!S$9,'Data input'!$9:$9,0)-2),'Data input'!$C:$C,'Summary by type of work report'!$B114),0)</f>
        <v>0</v>
      </c>
    </row>
    <row r="115" spans="2:19" x14ac:dyDescent="0.2">
      <c r="B115" s="23" t="str">
        <f>IF('Data input'!$C118="","",'Data input'!$C118)</f>
        <v/>
      </c>
      <c r="C115" s="70"/>
      <c r="D115" s="70"/>
      <c r="E115" s="70"/>
      <c r="F115" s="51"/>
      <c r="G115" s="70"/>
      <c r="H115" s="70"/>
      <c r="I115" s="34"/>
      <c r="J115" s="34"/>
      <c r="K115" s="51"/>
      <c r="L115" s="70"/>
      <c r="M115" s="70"/>
      <c r="N115" s="51"/>
      <c r="O115" s="58"/>
      <c r="P115" s="58"/>
      <c r="Q115" s="90"/>
      <c r="R115" s="52"/>
      <c r="S115" s="70"/>
    </row>
    <row r="116" spans="2:19" ht="22.5" x14ac:dyDescent="0.2">
      <c r="B116" s="23" t="str">
        <f>IF('Data input'!$C119="","",'Data input'!$C119)</f>
        <v>Income (loss) from discontinued operations</v>
      </c>
      <c r="C116" s="70">
        <f ca="1">IFERROR(SUMIFS(OFFSET('Data input'!$C:$C,,MATCH('Summary by type of work report'!C$9,'Data input'!$8:$8,0)-3,,),'Data input'!$C:$C,'Summary by type of work report'!$B116),"")</f>
        <v>0</v>
      </c>
      <c r="D116" s="70">
        <f ca="1">IFERROR(SUMIFS(OFFSET('Data input'!$C:$C,,MATCH('Summary by type of work report'!D$9,'Data input'!$8:$8,0)-3,,),'Data input'!$C:$C,'Summary by type of work report'!$B116),"")</f>
        <v>0</v>
      </c>
      <c r="E116" s="70">
        <f ca="1">IFERROR(SUMIFS(OFFSET('Data input'!$C:$C,,MATCH('Summary by type of work report'!E$9,'Data input'!$8:$8,0)-3,,),'Data input'!$C:$C,'Summary by type of work report'!$B116),"")</f>
        <v>0</v>
      </c>
      <c r="F116" s="51"/>
      <c r="G116" s="70">
        <f>IFERROR(SUMIFS('Data input'!119:119,'Data input'!$12:$12,'Summary by type of work report'!G$9),"")</f>
        <v>0</v>
      </c>
      <c r="H116" s="70">
        <f>IFERROR(SUMIFS('Data input'!119:119,'Data input'!$12:$12,'Summary by type of work report'!H$9),"")</f>
        <v>0</v>
      </c>
      <c r="I116" s="34"/>
      <c r="J116" s="34"/>
      <c r="K116" s="51"/>
      <c r="L116" s="70">
        <f>G116+H116+I116+J116</f>
        <v>0</v>
      </c>
      <c r="M116" s="71">
        <f ca="1">IFERROR(L116/(C116-D116-E116),0)</f>
        <v>0</v>
      </c>
      <c r="N116" s="51"/>
      <c r="O116" s="58"/>
      <c r="P116" s="58"/>
      <c r="Q116" s="90"/>
      <c r="R116" s="52"/>
      <c r="S116" s="70">
        <f ca="1">IFERROR(SUMIFS(OFFSET('Data input'!$B:$B,,MATCH('Summary by type of work report'!S$9,'Data input'!$9:$9,0)-2),'Data input'!$C:$C,'Summary by type of work report'!$B116),0)</f>
        <v>0</v>
      </c>
    </row>
    <row r="117" spans="2:19" hidden="1" x14ac:dyDescent="0.2">
      <c r="B117" s="17" t="str">
        <f>IF('Data input'!$C120="","",'Data input'!$C120)</f>
        <v>Intentionally hidden</v>
      </c>
      <c r="C117" s="72">
        <f ca="1">IFERROR(SUMIFS(OFFSET('Data input'!$C:$C,,MATCH('Summary by type of work report'!C$9,'Data input'!$8:$8,0)-3,,),'Data input'!$C:$C,'Summary by type of work report'!$B117),"")</f>
        <v>0</v>
      </c>
      <c r="D117" s="72">
        <f ca="1">IFERROR(SUMIFS(OFFSET('Data input'!$C:$C,,MATCH('Summary by type of work report'!D$9,'Data input'!$8:$8,0)-3,,),'Data input'!$C:$C,'Summary by type of work report'!$B117),"")</f>
        <v>0</v>
      </c>
      <c r="E117" s="72">
        <f ca="1">IFERROR(SUMIFS(OFFSET('Data input'!$C:$C,,MATCH('Summary by type of work report'!E$9,'Data input'!$8:$8,0)-3,,),'Data input'!$C:$C,'Summary by type of work report'!$B117),"")</f>
        <v>0</v>
      </c>
      <c r="F117" s="51"/>
      <c r="G117" s="72">
        <f>IFERROR(SUMIFS('Data input'!120:120,'Data input'!$12:$12,'Summary by type of work report'!G$9),"")</f>
        <v>0</v>
      </c>
      <c r="H117" s="72">
        <f>IFERROR(SUMIFS('Data input'!120:120,'Data input'!$12:$12,'Summary by type of work report'!H$9),"")</f>
        <v>0</v>
      </c>
      <c r="I117" s="7"/>
      <c r="J117" s="7"/>
      <c r="K117" s="51"/>
      <c r="L117" s="72">
        <f>G117+H117+I117+J117</f>
        <v>0</v>
      </c>
      <c r="M117" s="73">
        <f ca="1">IFERROR(L117/(C117-D117-E117),0)</f>
        <v>0</v>
      </c>
      <c r="N117" s="51"/>
      <c r="O117" s="59"/>
      <c r="P117" s="59"/>
      <c r="Q117" s="91"/>
      <c r="R117" s="52"/>
      <c r="S117" s="72">
        <f ca="1">IFERROR(SUMIFS(OFFSET('Data input'!$B:$B,,MATCH('Summary by type of work report'!S$9,'Data input'!$9:$9,0)-2),'Data input'!$C:$C,'Summary by type of work report'!$B117),0)</f>
        <v>0</v>
      </c>
    </row>
    <row r="118" spans="2:19" ht="33.75" x14ac:dyDescent="0.2">
      <c r="B118" s="18" t="str">
        <f>IF('Data input'!$C121="","",'Data input'!$C121)</f>
        <v>Income (loss) before cumulative effects of changes in accounting principles</v>
      </c>
      <c r="C118" s="74">
        <f ca="1">IFERROR(SUMIFS(OFFSET('Data input'!$C:$C,,MATCH('Summary by type of work report'!C$9,'Data input'!$8:$8,0)-3,,),'Data input'!$C:$C,'Summary by type of work report'!$B118),"")</f>
        <v>0</v>
      </c>
      <c r="D118" s="74">
        <f ca="1">IFERROR(SUMIFS(OFFSET('Data input'!$C:$C,,MATCH('Summary by type of work report'!D$9,'Data input'!$8:$8,0)-3,,),'Data input'!$C:$C,'Summary by type of work report'!$B118),"")</f>
        <v>0</v>
      </c>
      <c r="E118" s="74">
        <f ca="1">IFERROR(SUMIFS(OFFSET('Data input'!$C:$C,,MATCH('Summary by type of work report'!E$9,'Data input'!$8:$8,0)-3,,),'Data input'!$C:$C,'Summary by type of work report'!$B118),"")</f>
        <v>0</v>
      </c>
      <c r="F118" s="51"/>
      <c r="G118" s="74">
        <f>IFERROR(SUMIFS('Data input'!121:121,'Data input'!$12:$12,'Summary by type of work report'!G$9),"")</f>
        <v>0</v>
      </c>
      <c r="H118" s="74">
        <f>IFERROR(SUMIFS('Data input'!121:121,'Data input'!$12:$12,'Summary by type of work report'!H$9),"")</f>
        <v>0</v>
      </c>
      <c r="I118" s="36">
        <f>I114+SUM(I115:I117)</f>
        <v>0</v>
      </c>
      <c r="J118" s="36">
        <f>J114+SUM(J115:J117)</f>
        <v>0</v>
      </c>
      <c r="K118" s="51"/>
      <c r="L118" s="74">
        <f>G118+H118+I118+J118</f>
        <v>0</v>
      </c>
      <c r="M118" s="75">
        <f ca="1">IFERROR(L118/(C118-D118-E118),0)</f>
        <v>0</v>
      </c>
      <c r="N118" s="51"/>
      <c r="O118" s="60"/>
      <c r="P118" s="60"/>
      <c r="Q118" s="92"/>
      <c r="R118" s="52"/>
      <c r="S118" s="74">
        <f ca="1">IFERROR(SUMIFS(OFFSET('Data input'!$B:$B,,MATCH('Summary by type of work report'!S$9,'Data input'!$9:$9,0)-2),'Data input'!$C:$C,'Summary by type of work report'!$B118),0)</f>
        <v>0</v>
      </c>
    </row>
    <row r="119" spans="2:19" x14ac:dyDescent="0.2">
      <c r="B119" s="23" t="str">
        <f>IF('Data input'!$C122="","",'Data input'!$C122)</f>
        <v/>
      </c>
      <c r="C119" s="70"/>
      <c r="D119" s="70"/>
      <c r="E119" s="70"/>
      <c r="F119" s="51"/>
      <c r="G119" s="70"/>
      <c r="H119" s="70"/>
      <c r="I119" s="34"/>
      <c r="J119" s="34"/>
      <c r="K119" s="51"/>
      <c r="L119" s="70"/>
      <c r="M119" s="70"/>
      <c r="N119" s="51"/>
      <c r="O119" s="58"/>
      <c r="P119" s="58"/>
      <c r="Q119" s="90"/>
      <c r="R119" s="52"/>
      <c r="S119" s="70"/>
    </row>
    <row r="120" spans="2:19" ht="22.5" x14ac:dyDescent="0.2">
      <c r="B120" s="23" t="str">
        <f>IF('Data input'!$C123="","",'Data input'!$C123)</f>
        <v>Gain (loss) from cumulative effects of changes in accounting principles</v>
      </c>
      <c r="C120" s="70">
        <f ca="1">IFERROR(SUMIFS(OFFSET('Data input'!$C:$C,,MATCH('Summary by type of work report'!C$9,'Data input'!$8:$8,0)-3,,),'Data input'!$C:$C,'Summary by type of work report'!$B120),"")</f>
        <v>0</v>
      </c>
      <c r="D120" s="70">
        <f ca="1">IFERROR(SUMIFS(OFFSET('Data input'!$C:$C,,MATCH('Summary by type of work report'!D$9,'Data input'!$8:$8,0)-3,,),'Data input'!$C:$C,'Summary by type of work report'!$B120),"")</f>
        <v>0</v>
      </c>
      <c r="E120" s="70">
        <f ca="1">IFERROR(SUMIFS(OFFSET('Data input'!$C:$C,,MATCH('Summary by type of work report'!E$9,'Data input'!$8:$8,0)-3,,),'Data input'!$C:$C,'Summary by type of work report'!$B120),"")</f>
        <v>0</v>
      </c>
      <c r="F120" s="51"/>
      <c r="G120" s="70">
        <f>IFERROR(SUMIFS('Data input'!123:123,'Data input'!$12:$12,'Summary by type of work report'!G$9),"")</f>
        <v>0</v>
      </c>
      <c r="H120" s="70">
        <f>IFERROR(SUMIFS('Data input'!123:123,'Data input'!$12:$12,'Summary by type of work report'!H$9),"")</f>
        <v>0</v>
      </c>
      <c r="I120" s="34"/>
      <c r="J120" s="34"/>
      <c r="K120" s="51"/>
      <c r="L120" s="70">
        <f>G120+H120+I120+J120</f>
        <v>0</v>
      </c>
      <c r="M120" s="71">
        <f ca="1">IFERROR(L120/(C120-D120-E120),0)</f>
        <v>0</v>
      </c>
      <c r="N120" s="51"/>
      <c r="O120" s="58"/>
      <c r="P120" s="58"/>
      <c r="Q120" s="90"/>
      <c r="R120" s="52"/>
      <c r="S120" s="70">
        <f ca="1">IFERROR(SUMIFS(OFFSET('Data input'!$B:$B,,MATCH('Summary by type of work report'!S$9,'Data input'!$9:$9,0)-2),'Data input'!$C:$C,'Summary by type of work report'!$B120),0)</f>
        <v>0</v>
      </c>
    </row>
    <row r="121" spans="2:19" hidden="1" x14ac:dyDescent="0.2">
      <c r="B121" s="17" t="str">
        <f>IF('Data input'!$C124="","",'Data input'!$C124)</f>
        <v>Intentionally hidden</v>
      </c>
      <c r="C121" s="72">
        <f ca="1">IFERROR(SUMIFS(OFFSET('Data input'!$C:$C,,MATCH('Summary by type of work report'!C$9,'Data input'!$8:$8,0)-3,,),'Data input'!$C:$C,'Summary by type of work report'!$B121),"")</f>
        <v>0</v>
      </c>
      <c r="D121" s="72">
        <f ca="1">IFERROR(SUMIFS(OFFSET('Data input'!$C:$C,,MATCH('Summary by type of work report'!D$9,'Data input'!$8:$8,0)-3,,),'Data input'!$C:$C,'Summary by type of work report'!$B121),"")</f>
        <v>0</v>
      </c>
      <c r="E121" s="72">
        <f ca="1">IFERROR(SUMIFS(OFFSET('Data input'!$C:$C,,MATCH('Summary by type of work report'!E$9,'Data input'!$8:$8,0)-3,,),'Data input'!$C:$C,'Summary by type of work report'!$B121),"")</f>
        <v>0</v>
      </c>
      <c r="F121" s="51"/>
      <c r="G121" s="72">
        <f>IFERROR(SUMIFS('Data input'!124:124,'Data input'!$12:$12,'Summary by type of work report'!G$9),"")</f>
        <v>0</v>
      </c>
      <c r="H121" s="72">
        <f>IFERROR(SUMIFS('Data input'!124:124,'Data input'!$12:$12,'Summary by type of work report'!H$9),"")</f>
        <v>0</v>
      </c>
      <c r="I121" s="7"/>
      <c r="J121" s="7"/>
      <c r="K121" s="51"/>
      <c r="L121" s="72">
        <f>G121+H121+I121+J121</f>
        <v>0</v>
      </c>
      <c r="M121" s="73">
        <f ca="1">IFERROR(L121/(C121-D121-E121),0)</f>
        <v>0</v>
      </c>
      <c r="N121" s="51"/>
      <c r="O121" s="59"/>
      <c r="P121" s="59"/>
      <c r="Q121" s="91"/>
      <c r="R121" s="52"/>
      <c r="S121" s="72">
        <f ca="1">IFERROR(SUMIFS(OFFSET('Data input'!$B:$B,,MATCH('Summary by type of work report'!S$9,'Data input'!$9:$9,0)-2),'Data input'!$C:$C,'Summary by type of work report'!$B121),0)</f>
        <v>0</v>
      </c>
    </row>
    <row r="122" spans="2:19" x14ac:dyDescent="0.2">
      <c r="B122" s="19" t="str">
        <f>IF('Data input'!$C125="","",'Data input'!$C125)</f>
        <v>Net income (loss)</v>
      </c>
      <c r="C122" s="77">
        <f ca="1">IFERROR(SUMIFS(OFFSET('Data input'!$C:$C,,MATCH('Summary by type of work report'!C$9,'Data input'!$8:$8,0)-3,,),'Data input'!$C:$C,'Summary by type of work report'!$B122),"")</f>
        <v>0</v>
      </c>
      <c r="D122" s="77">
        <f ca="1">IFERROR(SUMIFS(OFFSET('Data input'!$C:$C,,MATCH('Summary by type of work report'!D$9,'Data input'!$8:$8,0)-3,,),'Data input'!$C:$C,'Summary by type of work report'!$B122),"")</f>
        <v>0</v>
      </c>
      <c r="E122" s="77">
        <f ca="1">IFERROR(SUMIFS(OFFSET('Data input'!$C:$C,,MATCH('Summary by type of work report'!E$9,'Data input'!$8:$8,0)-3,,),'Data input'!$C:$C,'Summary by type of work report'!$B122),"")</f>
        <v>0</v>
      </c>
      <c r="F122" s="51"/>
      <c r="G122" s="77">
        <f>IFERROR(SUMIFS('Data input'!125:125,'Data input'!$12:$12,'Summary by type of work report'!G$9),"")</f>
        <v>0</v>
      </c>
      <c r="H122" s="77">
        <f>IFERROR(SUMIFS('Data input'!125:125,'Data input'!$12:$12,'Summary by type of work report'!H$9),"")</f>
        <v>0</v>
      </c>
      <c r="I122" s="38">
        <f>I118+SUM(I119:I121)</f>
        <v>0</v>
      </c>
      <c r="J122" s="38">
        <f>J118+SUM(J119:J121)</f>
        <v>0</v>
      </c>
      <c r="K122" s="51"/>
      <c r="L122" s="77">
        <f>G122+H122+I122+J122</f>
        <v>0</v>
      </c>
      <c r="M122" s="78">
        <f ca="1">IFERROR(L122/(C122-D122-E122),0)</f>
        <v>0</v>
      </c>
      <c r="N122" s="51"/>
      <c r="O122" s="62"/>
      <c r="P122" s="62"/>
      <c r="Q122" s="94"/>
      <c r="R122" s="52"/>
      <c r="S122" s="77">
        <f ca="1">IFERROR(SUMIFS(OFFSET('Data input'!$B:$B,,MATCH('Summary by type of work report'!S$9,'Data input'!$9:$9,0)-2),'Data input'!$C:$C,'Summary by type of work report'!$B122),0)</f>
        <v>0</v>
      </c>
    </row>
    <row r="123" spans="2:19" x14ac:dyDescent="0.2">
      <c r="B123" s="15" t="str">
        <f>IF('Data input'!$C126="","",'Data input'!$C126)</f>
        <v/>
      </c>
      <c r="C123" s="76"/>
      <c r="D123" s="76"/>
      <c r="E123" s="76"/>
      <c r="F123" s="51"/>
      <c r="G123" s="76"/>
      <c r="H123" s="76"/>
      <c r="I123" s="30"/>
      <c r="J123" s="30"/>
      <c r="K123" s="51"/>
      <c r="L123" s="76"/>
      <c r="M123" s="76"/>
      <c r="N123" s="51"/>
      <c r="O123" s="61"/>
      <c r="P123" s="61"/>
      <c r="Q123" s="93"/>
      <c r="R123" s="52"/>
      <c r="S123" s="76"/>
    </row>
    <row r="124" spans="2:19" ht="22.5" x14ac:dyDescent="0.2">
      <c r="B124" s="23" t="str">
        <f>IF('Data input'!$C127="","",'Data input'!$C127)</f>
        <v>Less: Net income (loss) attributable to noncontrolling interests</v>
      </c>
      <c r="C124" s="70">
        <f ca="1">IFERROR(SUMIFS(OFFSET('Data input'!$C:$C,,MATCH('Summary by type of work report'!C$9,'Data input'!$8:$8,0)-3,,),'Data input'!$C:$C,'Summary by type of work report'!$B124),"")</f>
        <v>0</v>
      </c>
      <c r="D124" s="70">
        <f ca="1">IFERROR(SUMIFS(OFFSET('Data input'!$C:$C,,MATCH('Summary by type of work report'!D$9,'Data input'!$8:$8,0)-3,,),'Data input'!$C:$C,'Summary by type of work report'!$B124),"")</f>
        <v>0</v>
      </c>
      <c r="E124" s="70">
        <f ca="1">IFERROR(SUMIFS(OFFSET('Data input'!$C:$C,,MATCH('Summary by type of work report'!E$9,'Data input'!$8:$8,0)-3,,),'Data input'!$C:$C,'Summary by type of work report'!$B124),"")</f>
        <v>0</v>
      </c>
      <c r="F124" s="51"/>
      <c r="G124" s="70">
        <f>IFERROR(SUMIFS('Data input'!127:127,'Data input'!$12:$12,'Summary by type of work report'!G$9),"")</f>
        <v>0</v>
      </c>
      <c r="H124" s="70">
        <f>IFERROR(SUMIFS('Data input'!127:127,'Data input'!$12:$12,'Summary by type of work report'!H$9),"")</f>
        <v>0</v>
      </c>
      <c r="I124" s="34"/>
      <c r="J124" s="34"/>
      <c r="K124" s="51"/>
      <c r="L124" s="70">
        <f>G124+H124+I124+J124</f>
        <v>0</v>
      </c>
      <c r="M124" s="71">
        <f ca="1">IFERROR(L124/(C124-D124-E124),0)</f>
        <v>0</v>
      </c>
      <c r="N124" s="51"/>
      <c r="O124" s="58"/>
      <c r="P124" s="58"/>
      <c r="Q124" s="90"/>
      <c r="R124" s="52"/>
      <c r="S124" s="70">
        <f ca="1">IFERROR(SUMIFS(OFFSET('Data input'!$B:$B,,MATCH('Summary by type of work report'!S$9,'Data input'!$9:$9,0)-2),'Data input'!$C:$C,'Summary by type of work report'!$B124),0)</f>
        <v>0</v>
      </c>
    </row>
    <row r="125" spans="2:19" ht="11.25" hidden="1" customHeight="1" x14ac:dyDescent="0.2">
      <c r="B125" s="107" t="str">
        <f>IF('Data input'!$C128="","",'Data input'!$C128)</f>
        <v>Intentionally hidden</v>
      </c>
      <c r="C125" s="80">
        <f ca="1">IFERROR(SUMIFS(OFFSET('Data input'!$C:$C,,MATCH('Summary by type of work report'!C$9,'Data input'!$8:$8,0)-3,,),'Data input'!$C:$C,'Summary by type of work report'!$B125),"")</f>
        <v>0</v>
      </c>
      <c r="D125" s="80">
        <f ca="1">IFERROR(SUMIFS(OFFSET('Data input'!$C:$C,,MATCH('Summary by type of work report'!D$9,'Data input'!$8:$8,0)-3,,),'Data input'!$C:$C,'Summary by type of work report'!$B125),"")</f>
        <v>0</v>
      </c>
      <c r="E125" s="80">
        <f ca="1">IFERROR(SUMIFS(OFFSET('Data input'!$C:$C,,MATCH('Summary by type of work report'!E$9,'Data input'!$8:$8,0)-3,,),'Data input'!$C:$C,'Summary by type of work report'!$B125),"")</f>
        <v>0</v>
      </c>
      <c r="F125" s="51"/>
      <c r="G125" s="80">
        <f>IFERROR(SUMIFS('Data input'!128:128,'Data input'!$12:$12,'Summary by type of work report'!G$9),"")</f>
        <v>0</v>
      </c>
      <c r="H125" s="80">
        <f>IFERROR(SUMIFS('Data input'!128:128,'Data input'!$12:$12,'Summary by type of work report'!H$9),"")</f>
        <v>0</v>
      </c>
      <c r="I125" s="7"/>
      <c r="J125" s="7"/>
      <c r="K125" s="51"/>
      <c r="L125" s="80">
        <f>G125+H125+I125+J125</f>
        <v>0</v>
      </c>
      <c r="M125" s="81">
        <f ca="1">IFERROR(L125/(C125-D125-E125),0)</f>
        <v>0</v>
      </c>
      <c r="N125" s="51"/>
      <c r="O125" s="64"/>
      <c r="P125" s="64"/>
      <c r="Q125" s="96"/>
      <c r="R125" s="52"/>
      <c r="S125" s="80">
        <f ca="1">IFERROR(SUMIFS(OFFSET('Data input'!$B:$B,,MATCH('Summary by type of work report'!S$9,'Data input'!$9:$9,0)-2),'Data input'!$C:$C,'Summary by type of work report'!$B125),0)</f>
        <v>0</v>
      </c>
    </row>
    <row r="126" spans="2:19" ht="23.25" thickBot="1" x14ac:dyDescent="0.25">
      <c r="B126" s="21" t="str">
        <f>IF('Data input'!$C129="","",'Data input'!$C129)</f>
        <v>Net income (loss) attributable to parent</v>
      </c>
      <c r="C126" s="82">
        <f ca="1">IFERROR(SUMIFS(OFFSET('Data input'!$C:$C,,MATCH('Summary by type of work report'!C$9,'Data input'!$8:$8,0)-3,,),'Data input'!$C:$C,'Summary by type of work report'!$B126),"")</f>
        <v>0</v>
      </c>
      <c r="D126" s="82">
        <f ca="1">IFERROR(SUMIFS(OFFSET('Data input'!$C:$C,,MATCH('Summary by type of work report'!D$9,'Data input'!$8:$8,0)-3,,),'Data input'!$C:$C,'Summary by type of work report'!$B126),"")</f>
        <v>0</v>
      </c>
      <c r="E126" s="82">
        <f ca="1">IFERROR(SUMIFS(OFFSET('Data input'!$C:$C,,MATCH('Summary by type of work report'!E$9,'Data input'!$8:$8,0)-3,,),'Data input'!$C:$C,'Summary by type of work report'!$B126),"")</f>
        <v>0</v>
      </c>
      <c r="F126" s="51"/>
      <c r="G126" s="82">
        <f>IFERROR(SUMIFS('Data input'!129:129,'Data input'!$12:$12,'Summary by type of work report'!G$9),"")</f>
        <v>0</v>
      </c>
      <c r="H126" s="82">
        <f>IFERROR(SUMIFS('Data input'!129:129,'Data input'!$12:$12,'Summary by type of work report'!H$9),"")</f>
        <v>0</v>
      </c>
      <c r="I126" s="42">
        <f>I122-SUM(I123:I125)</f>
        <v>0</v>
      </c>
      <c r="J126" s="42">
        <f>J122-SUM(J123:J125)</f>
        <v>0</v>
      </c>
      <c r="K126" s="51"/>
      <c r="L126" s="82">
        <f>G126+H126+I126+J126</f>
        <v>0</v>
      </c>
      <c r="M126" s="83">
        <f ca="1">IFERROR(L126/(C126-D126-E126),0)</f>
        <v>0</v>
      </c>
      <c r="N126" s="51"/>
      <c r="O126" s="65"/>
      <c r="P126" s="65"/>
      <c r="Q126" s="97"/>
      <c r="R126" s="52"/>
      <c r="S126" s="82">
        <f ca="1">IFERROR(SUMIFS(OFFSET('Data input'!$B:$B,,MATCH('Summary by type of work report'!S$9,'Data input'!$9:$9,0)-2),'Data input'!$C:$C,'Summary by type of work report'!$B126),0)</f>
        <v>0</v>
      </c>
    </row>
    <row r="127" spans="2:19" ht="12" thickTop="1" x14ac:dyDescent="0.2">
      <c r="C127" s="89"/>
      <c r="D127" s="55"/>
      <c r="E127" s="55"/>
      <c r="F127" s="51"/>
      <c r="G127" s="89"/>
      <c r="H127" s="89"/>
      <c r="I127" s="68"/>
      <c r="J127" s="68"/>
      <c r="K127" s="51"/>
      <c r="L127" s="89"/>
      <c r="M127" s="89"/>
      <c r="N127" s="51"/>
      <c r="O127" s="57"/>
      <c r="P127" s="57"/>
      <c r="Q127" s="52"/>
      <c r="R127" s="52"/>
      <c r="S127" s="89"/>
    </row>
    <row r="128" spans="2:19" hidden="1" x14ac:dyDescent="0.2">
      <c r="B128" s="23" t="str">
        <f>IF('Data input'!$C131="","",'Data input'!$C131)</f>
        <v/>
      </c>
      <c r="C128" s="70">
        <f ca="1">IFERROR(SUMIFS(OFFSET('Data input'!$C:$C,,MATCH('Summary by type of work report'!C$9,'Data input'!$8:$8,0)-3,,),'Data input'!$C:$C,'Summary by type of work report'!$B128),"")</f>
        <v>0</v>
      </c>
      <c r="D128" s="70">
        <f ca="1">IFERROR(SUMIFS(OFFSET('Data input'!$C:$C,,MATCH('Summary by type of work report'!D$9,'Data input'!$8:$8,0)-3,,),'Data input'!$C:$C,'Summary by type of work report'!$B128),"")</f>
        <v>0</v>
      </c>
      <c r="E128" s="70">
        <f ca="1">IFERROR(SUMIFS(OFFSET('Data input'!$C:$C,,MATCH('Summary by type of work report'!E$9,'Data input'!$8:$8,0)-3,,),'Data input'!$C:$C,'Summary by type of work report'!$B128),"")</f>
        <v>0</v>
      </c>
      <c r="F128" s="51"/>
      <c r="G128" s="70">
        <f>IFERROR(SUMIFS('Data input'!131:131,'Data input'!$12:$12,'Summary by type of work report'!G$9),"")</f>
        <v>0</v>
      </c>
      <c r="H128" s="70">
        <f>IFERROR(SUMIFS('Data input'!131:131,'Data input'!$12:$12,'Summary by type of work report'!H$9),"")</f>
        <v>0</v>
      </c>
      <c r="I128" s="58"/>
      <c r="J128" s="58"/>
      <c r="K128" s="51"/>
      <c r="L128" s="70">
        <f>G128+H128+I128+J128</f>
        <v>0</v>
      </c>
      <c r="M128" s="71">
        <f ca="1">IFERROR(L128/(C128-D128-E128),0)</f>
        <v>0</v>
      </c>
      <c r="N128" s="51"/>
      <c r="O128" s="58"/>
      <c r="P128" s="58"/>
      <c r="Q128" s="90"/>
      <c r="R128" s="52"/>
      <c r="S128" s="70">
        <f ca="1">IFERROR(SUMIFS(OFFSET('Data input'!$B:$B,,MATCH('Summary by type of work report'!S$9,'Data input'!$9:$9,0)-2),'Data input'!$C:$C,'Summary by type of work report'!$B128),0)</f>
        <v>0</v>
      </c>
    </row>
    <row r="129" spans="3:18" x14ac:dyDescent="0.2">
      <c r="C129" s="48"/>
      <c r="D129" s="48"/>
      <c r="E129" s="48"/>
      <c r="G129" s="48"/>
      <c r="H129" s="48"/>
      <c r="I129" s="48"/>
      <c r="J129" s="48"/>
      <c r="L129" s="48"/>
      <c r="M129" s="48"/>
      <c r="O129" s="48"/>
      <c r="P129" s="48"/>
      <c r="Q129" s="48"/>
      <c r="R129" s="48"/>
    </row>
  </sheetData>
  <sheetProtection algorithmName="SHA-512" hashValue="rS3fYBHfJyygMRmwPiVcl1qtEqERiNmeYkKazv7IMcHRs0xqTGxnCs5s8jIWU/01k4k17Bz7B7+ERG2j4AgUiA==" saltValue="ibxaBr0jb/PqQviznFd28Q==" spinCount="100000" sheet="1" objects="1" scenarios="1" formatCells="0" formatRows="0" insertRows="0" deleteRows="0"/>
  <mergeCells count="4">
    <mergeCell ref="C4:D4"/>
    <mergeCell ref="C5:D5"/>
    <mergeCell ref="O8:Q8"/>
    <mergeCell ref="L5:M8"/>
  </mergeCells>
  <dataValidations count="2">
    <dataValidation allowBlank="1" showInputMessage="1" showErrorMessage="1" prompt="The group engagement team may also refer to a separate workpaper that documents significant professional judgments, if any." sqref="Q7" xr:uid="{00000000-0002-0000-0400-000000000000}"/>
    <dataValidation allowBlank="1" showInputMessage="1" showErrorMessage="1" prompt="Document the amounts that are in-scope by financial statement caption by entering the amounts manually or by summing the amounts from the applicable components using the columns to the right." sqref="J8 I8" xr:uid="{00000000-0002-0000-0400-000001000000}"/>
  </dataValidations>
  <pageMargins left="0.7" right="0.7" top="0.75" bottom="0.75" header="0.3" footer="0.3"/>
  <pageSetup orientation="portrait" r:id="rId1"/>
  <ignoredErrors>
    <ignoredError sqref="J23 J38 I38 I23" unlocked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56235-D78D-4E79-8E71-518BB3A9F4A3}">
  <sheetPr codeName="sheetContentTranslation"/>
  <dimension ref="A3:E218"/>
  <sheetViews>
    <sheetView topLeftCell="A199" workbookViewId="0">
      <selection activeCell="A217" sqref="A217"/>
    </sheetView>
  </sheetViews>
  <sheetFormatPr defaultRowHeight="11.25" x14ac:dyDescent="0.2"/>
  <cols>
    <col min="1" max="1" width="80.33203125" style="144" customWidth="1"/>
    <col min="2" max="2" width="78" style="146" customWidth="1"/>
  </cols>
  <sheetData>
    <row r="3" spans="1:2" x14ac:dyDescent="0.2">
      <c r="A3" s="144" t="s">
        <v>25</v>
      </c>
      <c r="B3" s="146" t="s">
        <v>25</v>
      </c>
    </row>
    <row r="4" spans="1:2" ht="112.5" x14ac:dyDescent="0.2">
      <c r="A4" s="144" t="s">
        <v>26</v>
      </c>
      <c r="B4" s="146" t="s">
        <v>26</v>
      </c>
    </row>
    <row r="5" spans="1:2" x14ac:dyDescent="0.2">
      <c r="A5" s="144" t="s">
        <v>27</v>
      </c>
      <c r="B5" s="146" t="s">
        <v>27</v>
      </c>
    </row>
    <row r="6" spans="1:2" x14ac:dyDescent="0.2">
      <c r="A6" s="145">
        <v>44348</v>
      </c>
      <c r="B6" s="147">
        <v>44348</v>
      </c>
    </row>
    <row r="7" spans="1:2" x14ac:dyDescent="0.2">
      <c r="A7" s="144" t="s">
        <v>1</v>
      </c>
      <c r="B7" s="146" t="s">
        <v>1</v>
      </c>
    </row>
    <row r="8" spans="1:2" ht="45" x14ac:dyDescent="0.2">
      <c r="A8" s="144" t="s">
        <v>28</v>
      </c>
      <c r="B8" s="146" t="s">
        <v>28</v>
      </c>
    </row>
    <row r="9" spans="1:2" ht="78.75" x14ac:dyDescent="0.2">
      <c r="A9" s="144" t="s">
        <v>29</v>
      </c>
      <c r="B9" s="146" t="s">
        <v>29</v>
      </c>
    </row>
    <row r="10" spans="1:2" x14ac:dyDescent="0.2">
      <c r="A10" s="144" t="s">
        <v>3</v>
      </c>
      <c r="B10" s="146" t="s">
        <v>3</v>
      </c>
    </row>
    <row r="11" spans="1:2" x14ac:dyDescent="0.2">
      <c r="A11" s="144" t="s">
        <v>4</v>
      </c>
      <c r="B11" s="146" t="s">
        <v>4</v>
      </c>
    </row>
    <row r="12" spans="1:2" x14ac:dyDescent="0.2">
      <c r="A12" s="144" t="s">
        <v>30</v>
      </c>
      <c r="B12" s="146" t="s">
        <v>30</v>
      </c>
    </row>
    <row r="13" spans="1:2" x14ac:dyDescent="0.2">
      <c r="A13" s="144" t="s">
        <v>5</v>
      </c>
      <c r="B13" s="146" t="s">
        <v>5</v>
      </c>
    </row>
    <row r="14" spans="1:2" x14ac:dyDescent="0.2">
      <c r="A14" s="144" t="s">
        <v>6</v>
      </c>
      <c r="B14" s="146" t="s">
        <v>6</v>
      </c>
    </row>
    <row r="15" spans="1:2" ht="33.75" x14ac:dyDescent="0.2">
      <c r="A15" s="144" t="s">
        <v>7</v>
      </c>
      <c r="B15" s="146" t="s">
        <v>7</v>
      </c>
    </row>
    <row r="16" spans="1:2" ht="67.5" x14ac:dyDescent="0.2">
      <c r="A16" s="144" t="s">
        <v>8</v>
      </c>
      <c r="B16" s="146" t="s">
        <v>8</v>
      </c>
    </row>
    <row r="17" spans="1:2" ht="56.25" x14ac:dyDescent="0.2">
      <c r="A17" s="144" t="s">
        <v>9</v>
      </c>
      <c r="B17" s="146" t="s">
        <v>9</v>
      </c>
    </row>
    <row r="18" spans="1:2" ht="56.25" x14ac:dyDescent="0.2">
      <c r="A18" s="144" t="s">
        <v>10</v>
      </c>
      <c r="B18" s="146" t="s">
        <v>10</v>
      </c>
    </row>
    <row r="19" spans="1:2" x14ac:dyDescent="0.2">
      <c r="A19" s="144" t="s">
        <v>11</v>
      </c>
      <c r="B19" s="146" t="s">
        <v>11</v>
      </c>
    </row>
    <row r="20" spans="1:2" ht="123.75" x14ac:dyDescent="0.2">
      <c r="A20" s="144" t="s">
        <v>12</v>
      </c>
      <c r="B20" s="146" t="s">
        <v>12</v>
      </c>
    </row>
    <row r="21" spans="1:2" ht="123.75" x14ac:dyDescent="0.2">
      <c r="A21" s="144" t="s">
        <v>13</v>
      </c>
      <c r="B21" s="146" t="s">
        <v>13</v>
      </c>
    </row>
    <row r="22" spans="1:2" x14ac:dyDescent="0.2">
      <c r="A22" s="144" t="s">
        <v>14</v>
      </c>
      <c r="B22" s="146" t="s">
        <v>14</v>
      </c>
    </row>
    <row r="23" spans="1:2" ht="292.5" x14ac:dyDescent="0.2">
      <c r="A23" s="144" t="s">
        <v>31</v>
      </c>
      <c r="B23" s="146" t="s">
        <v>31</v>
      </c>
    </row>
    <row r="24" spans="1:2" ht="135" x14ac:dyDescent="0.2">
      <c r="A24" s="144" t="s">
        <v>32</v>
      </c>
      <c r="B24" s="146" t="s">
        <v>33</v>
      </c>
    </row>
    <row r="25" spans="1:2" ht="258.75" x14ac:dyDescent="0.2">
      <c r="A25" s="144" t="s">
        <v>34</v>
      </c>
      <c r="B25" s="146" t="s">
        <v>35</v>
      </c>
    </row>
    <row r="26" spans="1:2" ht="168.75" x14ac:dyDescent="0.2">
      <c r="A26" s="144" t="s">
        <v>36</v>
      </c>
      <c r="B26" s="146" t="s">
        <v>37</v>
      </c>
    </row>
    <row r="27" spans="1:2" ht="112.5" x14ac:dyDescent="0.2">
      <c r="A27" s="144" t="s">
        <v>38</v>
      </c>
      <c r="B27" s="146" t="s">
        <v>39</v>
      </c>
    </row>
    <row r="28" spans="1:2" ht="292.5" x14ac:dyDescent="0.2">
      <c r="A28" s="144" t="s">
        <v>40</v>
      </c>
      <c r="B28" s="146" t="s">
        <v>41</v>
      </c>
    </row>
    <row r="29" spans="1:2" ht="202.5" x14ac:dyDescent="0.2">
      <c r="A29" s="144" t="s">
        <v>42</v>
      </c>
      <c r="B29" s="146" t="s">
        <v>43</v>
      </c>
    </row>
    <row r="30" spans="1:2" x14ac:dyDescent="0.2">
      <c r="A30" s="144" t="s">
        <v>20</v>
      </c>
      <c r="B30" s="146" t="s">
        <v>20</v>
      </c>
    </row>
    <row r="31" spans="1:2" ht="78.75" x14ac:dyDescent="0.2">
      <c r="A31" s="144" t="s">
        <v>44</v>
      </c>
      <c r="B31" s="146" t="s">
        <v>44</v>
      </c>
    </row>
    <row r="32" spans="1:2" ht="78.75" x14ac:dyDescent="0.2">
      <c r="A32" s="144" t="s">
        <v>45</v>
      </c>
      <c r="B32" s="146" t="s">
        <v>45</v>
      </c>
    </row>
    <row r="33" spans="1:2" x14ac:dyDescent="0.2">
      <c r="A33" s="144" t="s">
        <v>46</v>
      </c>
      <c r="B33" s="146" t="s">
        <v>46</v>
      </c>
    </row>
    <row r="34" spans="1:2" x14ac:dyDescent="0.2">
      <c r="A34" s="144" t="s">
        <v>47</v>
      </c>
      <c r="B34" s="146" t="s">
        <v>47</v>
      </c>
    </row>
    <row r="35" spans="1:2" x14ac:dyDescent="0.2">
      <c r="A35" s="144" t="s">
        <v>48</v>
      </c>
      <c r="B35" s="146" t="s">
        <v>48</v>
      </c>
    </row>
    <row r="36" spans="1:2" x14ac:dyDescent="0.2">
      <c r="A36" s="144" t="s">
        <v>49</v>
      </c>
      <c r="B36" s="146" t="s">
        <v>49</v>
      </c>
    </row>
    <row r="37" spans="1:2" x14ac:dyDescent="0.2">
      <c r="A37" s="144" t="s">
        <v>50</v>
      </c>
      <c r="B37" s="146" t="s">
        <v>50</v>
      </c>
    </row>
    <row r="38" spans="1:2" x14ac:dyDescent="0.2">
      <c r="A38" s="144" t="s">
        <v>51</v>
      </c>
      <c r="B38" s="146" t="s">
        <v>51</v>
      </c>
    </row>
    <row r="39" spans="1:2" x14ac:dyDescent="0.2">
      <c r="A39" s="144" t="s">
        <v>52</v>
      </c>
      <c r="B39" s="146" t="s">
        <v>52</v>
      </c>
    </row>
    <row r="40" spans="1:2" x14ac:dyDescent="0.2">
      <c r="A40" s="144" t="s">
        <v>53</v>
      </c>
      <c r="B40" s="146" t="s">
        <v>53</v>
      </c>
    </row>
    <row r="41" spans="1:2" x14ac:dyDescent="0.2">
      <c r="A41" s="144" t="s">
        <v>54</v>
      </c>
      <c r="B41" s="146" t="s">
        <v>54</v>
      </c>
    </row>
    <row r="42" spans="1:2" x14ac:dyDescent="0.2">
      <c r="A42" s="144" t="s">
        <v>55</v>
      </c>
      <c r="B42" s="146" t="s">
        <v>55</v>
      </c>
    </row>
    <row r="43" spans="1:2" x14ac:dyDescent="0.2">
      <c r="A43" s="144" t="s">
        <v>56</v>
      </c>
      <c r="B43" s="146" t="s">
        <v>56</v>
      </c>
    </row>
    <row r="44" spans="1:2" ht="22.5" x14ac:dyDescent="0.2">
      <c r="A44" s="144" t="s">
        <v>57</v>
      </c>
      <c r="B44" s="146" t="s">
        <v>57</v>
      </c>
    </row>
    <row r="45" spans="1:2" ht="22.5" x14ac:dyDescent="0.2">
      <c r="A45" s="144" t="s">
        <v>58</v>
      </c>
      <c r="B45" s="146" t="s">
        <v>58</v>
      </c>
    </row>
    <row r="46" spans="1:2" x14ac:dyDescent="0.2">
      <c r="A46" s="144" t="s">
        <v>59</v>
      </c>
      <c r="B46" s="146" t="s">
        <v>59</v>
      </c>
    </row>
    <row r="47" spans="1:2" x14ac:dyDescent="0.2">
      <c r="A47" s="144" t="s">
        <v>60</v>
      </c>
      <c r="B47" s="146" t="s">
        <v>60</v>
      </c>
    </row>
    <row r="48" spans="1:2" x14ac:dyDescent="0.2">
      <c r="A48" s="144" t="s">
        <v>61</v>
      </c>
      <c r="B48" s="146" t="s">
        <v>61</v>
      </c>
    </row>
    <row r="49" spans="1:2" x14ac:dyDescent="0.2">
      <c r="A49" s="144" t="s">
        <v>62</v>
      </c>
      <c r="B49" s="146" t="s">
        <v>62</v>
      </c>
    </row>
    <row r="50" spans="1:2" x14ac:dyDescent="0.2">
      <c r="A50" s="144" t="s">
        <v>63</v>
      </c>
      <c r="B50" s="146" t="s">
        <v>63</v>
      </c>
    </row>
    <row r="51" spans="1:2" x14ac:dyDescent="0.2">
      <c r="A51" s="144" t="s">
        <v>64</v>
      </c>
      <c r="B51" s="146" t="s">
        <v>64</v>
      </c>
    </row>
    <row r="52" spans="1:2" x14ac:dyDescent="0.2">
      <c r="A52" s="144" t="s">
        <v>65</v>
      </c>
      <c r="B52" s="146" t="s">
        <v>65</v>
      </c>
    </row>
    <row r="53" spans="1:2" x14ac:dyDescent="0.2">
      <c r="A53" s="144" t="s">
        <v>66</v>
      </c>
      <c r="B53" s="146" t="s">
        <v>66</v>
      </c>
    </row>
    <row r="54" spans="1:2" x14ac:dyDescent="0.2">
      <c r="A54" s="144" t="s">
        <v>67</v>
      </c>
      <c r="B54" s="146" t="s">
        <v>67</v>
      </c>
    </row>
    <row r="55" spans="1:2" x14ac:dyDescent="0.2">
      <c r="A55" s="144" t="s">
        <v>68</v>
      </c>
      <c r="B55" s="146" t="s">
        <v>68</v>
      </c>
    </row>
    <row r="56" spans="1:2" x14ac:dyDescent="0.2">
      <c r="A56" s="144" t="s">
        <v>69</v>
      </c>
      <c r="B56" s="146" t="s">
        <v>69</v>
      </c>
    </row>
    <row r="57" spans="1:2" x14ac:dyDescent="0.2">
      <c r="A57" s="144" t="s">
        <v>70</v>
      </c>
      <c r="B57" s="146" t="s">
        <v>70</v>
      </c>
    </row>
    <row r="58" spans="1:2" x14ac:dyDescent="0.2">
      <c r="A58" s="144" t="s">
        <v>71</v>
      </c>
      <c r="B58" s="146" t="s">
        <v>71</v>
      </c>
    </row>
    <row r="59" spans="1:2" x14ac:dyDescent="0.2">
      <c r="A59" s="144" t="s">
        <v>72</v>
      </c>
      <c r="B59" s="146" t="s">
        <v>72</v>
      </c>
    </row>
    <row r="60" spans="1:2" x14ac:dyDescent="0.2">
      <c r="A60" s="144" t="s">
        <v>73</v>
      </c>
      <c r="B60" s="146" t="s">
        <v>73</v>
      </c>
    </row>
    <row r="61" spans="1:2" x14ac:dyDescent="0.2">
      <c r="A61" s="144" t="s">
        <v>74</v>
      </c>
      <c r="B61" s="146" t="s">
        <v>74</v>
      </c>
    </row>
    <row r="62" spans="1:2" x14ac:dyDescent="0.2">
      <c r="A62" s="144" t="s">
        <v>75</v>
      </c>
      <c r="B62" s="146" t="s">
        <v>75</v>
      </c>
    </row>
    <row r="63" spans="1:2" x14ac:dyDescent="0.2">
      <c r="A63" s="144" t="s">
        <v>76</v>
      </c>
      <c r="B63" s="146" t="s">
        <v>76</v>
      </c>
    </row>
    <row r="64" spans="1:2" x14ac:dyDescent="0.2">
      <c r="A64" s="144" t="s">
        <v>77</v>
      </c>
      <c r="B64" s="146" t="s">
        <v>77</v>
      </c>
    </row>
    <row r="65" spans="1:2" x14ac:dyDescent="0.2">
      <c r="A65" s="144" t="s">
        <v>78</v>
      </c>
      <c r="B65" s="146" t="s">
        <v>78</v>
      </c>
    </row>
    <row r="66" spans="1:2" x14ac:dyDescent="0.2">
      <c r="A66" s="144" t="s">
        <v>79</v>
      </c>
      <c r="B66" s="146" t="s">
        <v>79</v>
      </c>
    </row>
    <row r="67" spans="1:2" x14ac:dyDescent="0.2">
      <c r="A67" s="144" t="s">
        <v>80</v>
      </c>
      <c r="B67" s="146" t="s">
        <v>80</v>
      </c>
    </row>
    <row r="68" spans="1:2" x14ac:dyDescent="0.2">
      <c r="A68" s="144" t="s">
        <v>81</v>
      </c>
      <c r="B68" s="146" t="s">
        <v>81</v>
      </c>
    </row>
    <row r="69" spans="1:2" x14ac:dyDescent="0.2">
      <c r="A69" s="144" t="s">
        <v>82</v>
      </c>
      <c r="B69" s="146" t="s">
        <v>82</v>
      </c>
    </row>
    <row r="70" spans="1:2" x14ac:dyDescent="0.2">
      <c r="A70" s="144" t="s">
        <v>83</v>
      </c>
      <c r="B70" s="146" t="s">
        <v>83</v>
      </c>
    </row>
    <row r="71" spans="1:2" x14ac:dyDescent="0.2">
      <c r="A71" s="144" t="s">
        <v>84</v>
      </c>
      <c r="B71" s="146" t="s">
        <v>84</v>
      </c>
    </row>
    <row r="72" spans="1:2" x14ac:dyDescent="0.2">
      <c r="A72" s="144" t="s">
        <v>85</v>
      </c>
      <c r="B72" s="146" t="s">
        <v>85</v>
      </c>
    </row>
    <row r="73" spans="1:2" x14ac:dyDescent="0.2">
      <c r="A73" s="144" t="s">
        <v>86</v>
      </c>
      <c r="B73" s="146" t="s">
        <v>86</v>
      </c>
    </row>
    <row r="74" spans="1:2" x14ac:dyDescent="0.2">
      <c r="A74" s="144" t="s">
        <v>87</v>
      </c>
      <c r="B74" s="146" t="s">
        <v>87</v>
      </c>
    </row>
    <row r="75" spans="1:2" x14ac:dyDescent="0.2">
      <c r="A75" s="144" t="s">
        <v>88</v>
      </c>
      <c r="B75" s="146" t="s">
        <v>88</v>
      </c>
    </row>
    <row r="76" spans="1:2" x14ac:dyDescent="0.2">
      <c r="A76" s="144" t="s">
        <v>89</v>
      </c>
      <c r="B76" s="146" t="s">
        <v>89</v>
      </c>
    </row>
    <row r="77" spans="1:2" x14ac:dyDescent="0.2">
      <c r="A77" s="144" t="s">
        <v>90</v>
      </c>
      <c r="B77" s="146" t="s">
        <v>90</v>
      </c>
    </row>
    <row r="78" spans="1:2" x14ac:dyDescent="0.2">
      <c r="A78" s="144" t="s">
        <v>91</v>
      </c>
      <c r="B78" s="146" t="s">
        <v>91</v>
      </c>
    </row>
    <row r="79" spans="1:2" x14ac:dyDescent="0.2">
      <c r="A79" s="144" t="s">
        <v>92</v>
      </c>
      <c r="B79" s="146" t="s">
        <v>92</v>
      </c>
    </row>
    <row r="80" spans="1:2" x14ac:dyDescent="0.2">
      <c r="A80" s="144" t="s">
        <v>93</v>
      </c>
      <c r="B80" s="146" t="s">
        <v>93</v>
      </c>
    </row>
    <row r="81" spans="1:2" x14ac:dyDescent="0.2">
      <c r="A81" s="144" t="s">
        <v>94</v>
      </c>
      <c r="B81" s="146" t="s">
        <v>94</v>
      </c>
    </row>
    <row r="82" spans="1:2" x14ac:dyDescent="0.2">
      <c r="A82" s="144" t="s">
        <v>95</v>
      </c>
      <c r="B82" s="146" t="s">
        <v>95</v>
      </c>
    </row>
    <row r="83" spans="1:2" x14ac:dyDescent="0.2">
      <c r="A83" s="144" t="s">
        <v>96</v>
      </c>
      <c r="B83" s="146" t="s">
        <v>96</v>
      </c>
    </row>
    <row r="84" spans="1:2" x14ac:dyDescent="0.2">
      <c r="A84" s="144" t="s">
        <v>97</v>
      </c>
      <c r="B84" s="146" t="s">
        <v>97</v>
      </c>
    </row>
    <row r="85" spans="1:2" x14ac:dyDescent="0.2">
      <c r="A85" s="144" t="s">
        <v>98</v>
      </c>
      <c r="B85" s="146" t="s">
        <v>98</v>
      </c>
    </row>
    <row r="86" spans="1:2" x14ac:dyDescent="0.2">
      <c r="A86" s="144" t="s">
        <v>99</v>
      </c>
      <c r="B86" s="146" t="s">
        <v>99</v>
      </c>
    </row>
    <row r="87" spans="1:2" x14ac:dyDescent="0.2">
      <c r="A87" s="144" t="s">
        <v>100</v>
      </c>
      <c r="B87" s="146" t="s">
        <v>100</v>
      </c>
    </row>
    <row r="88" spans="1:2" x14ac:dyDescent="0.2">
      <c r="A88" s="144" t="s">
        <v>101</v>
      </c>
      <c r="B88" s="146" t="s">
        <v>101</v>
      </c>
    </row>
    <row r="89" spans="1:2" x14ac:dyDescent="0.2">
      <c r="A89" s="144" t="s">
        <v>102</v>
      </c>
      <c r="B89" s="146" t="s">
        <v>102</v>
      </c>
    </row>
    <row r="90" spans="1:2" x14ac:dyDescent="0.2">
      <c r="A90" s="144" t="s">
        <v>103</v>
      </c>
      <c r="B90" s="146" t="s">
        <v>103</v>
      </c>
    </row>
    <row r="91" spans="1:2" x14ac:dyDescent="0.2">
      <c r="A91" s="144" t="s">
        <v>104</v>
      </c>
      <c r="B91" s="146" t="s">
        <v>104</v>
      </c>
    </row>
    <row r="92" spans="1:2" x14ac:dyDescent="0.2">
      <c r="A92" s="144" t="s">
        <v>105</v>
      </c>
      <c r="B92" s="146" t="s">
        <v>105</v>
      </c>
    </row>
    <row r="93" spans="1:2" x14ac:dyDescent="0.2">
      <c r="A93" s="144" t="s">
        <v>106</v>
      </c>
      <c r="B93" s="146" t="s">
        <v>106</v>
      </c>
    </row>
    <row r="94" spans="1:2" x14ac:dyDescent="0.2">
      <c r="A94" s="144" t="s">
        <v>107</v>
      </c>
      <c r="B94" s="146" t="s">
        <v>107</v>
      </c>
    </row>
    <row r="95" spans="1:2" x14ac:dyDescent="0.2">
      <c r="A95" s="144" t="s">
        <v>108</v>
      </c>
      <c r="B95" s="146" t="s">
        <v>108</v>
      </c>
    </row>
    <row r="96" spans="1:2" x14ac:dyDescent="0.2">
      <c r="A96" s="144" t="s">
        <v>109</v>
      </c>
      <c r="B96" s="146" t="s">
        <v>109</v>
      </c>
    </row>
    <row r="97" spans="1:2" x14ac:dyDescent="0.2">
      <c r="A97" s="144" t="s">
        <v>110</v>
      </c>
      <c r="B97" s="146" t="s">
        <v>110</v>
      </c>
    </row>
    <row r="98" spans="1:2" x14ac:dyDescent="0.2">
      <c r="A98" s="144" t="s">
        <v>111</v>
      </c>
      <c r="B98" s="146" t="s">
        <v>111</v>
      </c>
    </row>
    <row r="99" spans="1:2" x14ac:dyDescent="0.2">
      <c r="A99" s="144" t="s">
        <v>112</v>
      </c>
      <c r="B99" s="146" t="s">
        <v>112</v>
      </c>
    </row>
    <row r="100" spans="1:2" x14ac:dyDescent="0.2">
      <c r="A100" s="144" t="s">
        <v>113</v>
      </c>
      <c r="B100" s="146" t="s">
        <v>113</v>
      </c>
    </row>
    <row r="101" spans="1:2" x14ac:dyDescent="0.2">
      <c r="A101" s="144" t="s">
        <v>114</v>
      </c>
      <c r="B101" s="146" t="s">
        <v>114</v>
      </c>
    </row>
    <row r="102" spans="1:2" x14ac:dyDescent="0.2">
      <c r="A102" s="144" t="s">
        <v>115</v>
      </c>
      <c r="B102" s="146" t="s">
        <v>115</v>
      </c>
    </row>
    <row r="103" spans="1:2" x14ac:dyDescent="0.2">
      <c r="A103" s="144" t="s">
        <v>116</v>
      </c>
      <c r="B103" s="146" t="s">
        <v>116</v>
      </c>
    </row>
    <row r="104" spans="1:2" x14ac:dyDescent="0.2">
      <c r="A104" s="144" t="s">
        <v>117</v>
      </c>
      <c r="B104" s="146" t="s">
        <v>117</v>
      </c>
    </row>
    <row r="105" spans="1:2" x14ac:dyDescent="0.2">
      <c r="A105" s="144" t="s">
        <v>118</v>
      </c>
      <c r="B105" s="146" t="s">
        <v>118</v>
      </c>
    </row>
    <row r="106" spans="1:2" x14ac:dyDescent="0.2">
      <c r="A106" s="144" t="s">
        <v>119</v>
      </c>
      <c r="B106" s="146" t="s">
        <v>119</v>
      </c>
    </row>
    <row r="107" spans="1:2" x14ac:dyDescent="0.2">
      <c r="A107" s="144" t="s">
        <v>120</v>
      </c>
      <c r="B107" s="146" t="s">
        <v>120</v>
      </c>
    </row>
    <row r="108" spans="1:2" x14ac:dyDescent="0.2">
      <c r="A108" s="144" t="s">
        <v>121</v>
      </c>
      <c r="B108" s="146" t="s">
        <v>121</v>
      </c>
    </row>
    <row r="109" spans="1:2" x14ac:dyDescent="0.2">
      <c r="A109" s="144" t="s">
        <v>122</v>
      </c>
      <c r="B109" s="146" t="s">
        <v>122</v>
      </c>
    </row>
    <row r="110" spans="1:2" x14ac:dyDescent="0.2">
      <c r="A110" s="144" t="s">
        <v>123</v>
      </c>
      <c r="B110" s="146" t="s">
        <v>123</v>
      </c>
    </row>
    <row r="111" spans="1:2" x14ac:dyDescent="0.2">
      <c r="A111" s="144" t="s">
        <v>124</v>
      </c>
      <c r="B111" s="146" t="s">
        <v>124</v>
      </c>
    </row>
    <row r="112" spans="1:2" x14ac:dyDescent="0.2">
      <c r="A112" s="144" t="s">
        <v>125</v>
      </c>
      <c r="B112" s="146" t="s">
        <v>125</v>
      </c>
    </row>
    <row r="113" spans="1:2" x14ac:dyDescent="0.2">
      <c r="A113" s="144" t="s">
        <v>126</v>
      </c>
      <c r="B113" s="146" t="s">
        <v>126</v>
      </c>
    </row>
    <row r="114" spans="1:2" x14ac:dyDescent="0.2">
      <c r="A114" s="144" t="s">
        <v>127</v>
      </c>
      <c r="B114" s="146" t="s">
        <v>127</v>
      </c>
    </row>
    <row r="115" spans="1:2" x14ac:dyDescent="0.2">
      <c r="A115" s="144" t="s">
        <v>128</v>
      </c>
      <c r="B115" s="146" t="s">
        <v>128</v>
      </c>
    </row>
    <row r="116" spans="1:2" x14ac:dyDescent="0.2">
      <c r="A116" s="144" t="s">
        <v>129</v>
      </c>
      <c r="B116" s="146" t="s">
        <v>129</v>
      </c>
    </row>
    <row r="117" spans="1:2" x14ac:dyDescent="0.2">
      <c r="A117" s="144" t="s">
        <v>130</v>
      </c>
      <c r="B117" s="146" t="s">
        <v>130</v>
      </c>
    </row>
    <row r="118" spans="1:2" x14ac:dyDescent="0.2">
      <c r="A118" s="144" t="s">
        <v>131</v>
      </c>
      <c r="B118" s="146" t="s">
        <v>131</v>
      </c>
    </row>
    <row r="119" spans="1:2" x14ac:dyDescent="0.2">
      <c r="A119" s="144" t="s">
        <v>132</v>
      </c>
      <c r="B119" s="146" t="s">
        <v>132</v>
      </c>
    </row>
    <row r="120" spans="1:2" x14ac:dyDescent="0.2">
      <c r="A120" s="144" t="s">
        <v>133</v>
      </c>
      <c r="B120" s="146" t="s">
        <v>133</v>
      </c>
    </row>
    <row r="121" spans="1:2" x14ac:dyDescent="0.2">
      <c r="A121" s="144" t="s">
        <v>134</v>
      </c>
      <c r="B121" s="146" t="s">
        <v>134</v>
      </c>
    </row>
    <row r="122" spans="1:2" x14ac:dyDescent="0.2">
      <c r="A122" s="144" t="s">
        <v>135</v>
      </c>
      <c r="B122" s="146" t="s">
        <v>135</v>
      </c>
    </row>
    <row r="123" spans="1:2" x14ac:dyDescent="0.2">
      <c r="A123" s="144" t="s">
        <v>136</v>
      </c>
      <c r="B123" s="146" t="s">
        <v>136</v>
      </c>
    </row>
    <row r="124" spans="1:2" x14ac:dyDescent="0.2">
      <c r="A124" s="144" t="s">
        <v>137</v>
      </c>
      <c r="B124" s="146" t="s">
        <v>137</v>
      </c>
    </row>
    <row r="125" spans="1:2" x14ac:dyDescent="0.2">
      <c r="A125" s="144" t="s">
        <v>138</v>
      </c>
      <c r="B125" s="146" t="s">
        <v>138</v>
      </c>
    </row>
    <row r="126" spans="1:2" x14ac:dyDescent="0.2">
      <c r="A126" s="144" t="s">
        <v>139</v>
      </c>
      <c r="B126" s="146" t="s">
        <v>139</v>
      </c>
    </row>
    <row r="127" spans="1:2" x14ac:dyDescent="0.2">
      <c r="A127" s="144" t="s">
        <v>140</v>
      </c>
      <c r="B127" s="146" t="s">
        <v>140</v>
      </c>
    </row>
    <row r="128" spans="1:2" x14ac:dyDescent="0.2">
      <c r="A128" s="144" t="s">
        <v>141</v>
      </c>
      <c r="B128" s="146" t="s">
        <v>141</v>
      </c>
    </row>
    <row r="129" spans="1:2" x14ac:dyDescent="0.2">
      <c r="A129" s="144" t="s">
        <v>142</v>
      </c>
      <c r="B129" s="146" t="s">
        <v>142</v>
      </c>
    </row>
    <row r="130" spans="1:2" x14ac:dyDescent="0.2">
      <c r="A130" s="144" t="s">
        <v>143</v>
      </c>
      <c r="B130" s="146" t="s">
        <v>143</v>
      </c>
    </row>
    <row r="131" spans="1:2" x14ac:dyDescent="0.2">
      <c r="A131" s="144" t="s">
        <v>144</v>
      </c>
      <c r="B131" s="146" t="s">
        <v>144</v>
      </c>
    </row>
    <row r="132" spans="1:2" x14ac:dyDescent="0.2">
      <c r="A132" s="144" t="s">
        <v>145</v>
      </c>
      <c r="B132" s="146" t="s">
        <v>145</v>
      </c>
    </row>
    <row r="133" spans="1:2" x14ac:dyDescent="0.2">
      <c r="A133" s="144" t="s">
        <v>146</v>
      </c>
      <c r="B133" s="146" t="s">
        <v>146</v>
      </c>
    </row>
    <row r="134" spans="1:2" x14ac:dyDescent="0.2">
      <c r="A134" s="144" t="s">
        <v>147</v>
      </c>
      <c r="B134" s="146" t="s">
        <v>147</v>
      </c>
    </row>
    <row r="135" spans="1:2" x14ac:dyDescent="0.2">
      <c r="A135" s="144" t="s">
        <v>148</v>
      </c>
      <c r="B135" s="146" t="s">
        <v>148</v>
      </c>
    </row>
    <row r="136" spans="1:2" x14ac:dyDescent="0.2">
      <c r="A136" s="144" t="s">
        <v>149</v>
      </c>
      <c r="B136" s="146" t="s">
        <v>149</v>
      </c>
    </row>
    <row r="137" spans="1:2" x14ac:dyDescent="0.2">
      <c r="A137" s="144" t="s">
        <v>150</v>
      </c>
      <c r="B137" s="146" t="s">
        <v>150</v>
      </c>
    </row>
    <row r="138" spans="1:2" x14ac:dyDescent="0.2">
      <c r="A138" s="144" t="s">
        <v>151</v>
      </c>
      <c r="B138" s="146" t="s">
        <v>151</v>
      </c>
    </row>
    <row r="139" spans="1:2" x14ac:dyDescent="0.2">
      <c r="A139" s="144" t="s">
        <v>152</v>
      </c>
      <c r="B139" s="146" t="s">
        <v>152</v>
      </c>
    </row>
    <row r="140" spans="1:2" x14ac:dyDescent="0.2">
      <c r="A140" s="144" t="s">
        <v>153</v>
      </c>
      <c r="B140" s="146" t="s">
        <v>153</v>
      </c>
    </row>
    <row r="141" spans="1:2" x14ac:dyDescent="0.2">
      <c r="A141" s="144" t="s">
        <v>154</v>
      </c>
      <c r="B141" s="146" t="s">
        <v>154</v>
      </c>
    </row>
    <row r="142" spans="1:2" x14ac:dyDescent="0.2">
      <c r="A142" s="144" t="s">
        <v>155</v>
      </c>
      <c r="B142" s="146" t="s">
        <v>155</v>
      </c>
    </row>
    <row r="143" spans="1:2" x14ac:dyDescent="0.2">
      <c r="A143" s="144" t="s">
        <v>156</v>
      </c>
      <c r="B143" s="146" t="s">
        <v>156</v>
      </c>
    </row>
    <row r="144" spans="1:2" x14ac:dyDescent="0.2">
      <c r="A144" s="144" t="s">
        <v>157</v>
      </c>
      <c r="B144" s="146" t="s">
        <v>157</v>
      </c>
    </row>
    <row r="145" spans="1:2" x14ac:dyDescent="0.2">
      <c r="A145" s="144" t="s">
        <v>158</v>
      </c>
      <c r="B145" s="146" t="s">
        <v>158</v>
      </c>
    </row>
    <row r="146" spans="1:2" x14ac:dyDescent="0.2">
      <c r="A146" s="144" t="s">
        <v>159</v>
      </c>
      <c r="B146" s="146" t="s">
        <v>159</v>
      </c>
    </row>
    <row r="147" spans="1:2" x14ac:dyDescent="0.2">
      <c r="A147" s="144" t="s">
        <v>160</v>
      </c>
      <c r="B147" s="146" t="s">
        <v>160</v>
      </c>
    </row>
    <row r="148" spans="1:2" x14ac:dyDescent="0.2">
      <c r="A148" s="144" t="s">
        <v>161</v>
      </c>
      <c r="B148" s="146" t="s">
        <v>161</v>
      </c>
    </row>
    <row r="149" spans="1:2" x14ac:dyDescent="0.2">
      <c r="A149" s="144" t="s">
        <v>23</v>
      </c>
      <c r="B149" s="146" t="s">
        <v>23</v>
      </c>
    </row>
    <row r="150" spans="1:2" x14ac:dyDescent="0.2">
      <c r="A150" s="144" t="s">
        <v>162</v>
      </c>
      <c r="B150" s="146" t="s">
        <v>162</v>
      </c>
    </row>
    <row r="151" spans="1:2" x14ac:dyDescent="0.2">
      <c r="A151" s="144" t="s">
        <v>163</v>
      </c>
      <c r="B151" s="146" t="s">
        <v>163</v>
      </c>
    </row>
    <row r="152" spans="1:2" x14ac:dyDescent="0.2">
      <c r="A152" s="144" t="s">
        <v>164</v>
      </c>
      <c r="B152" s="146" t="s">
        <v>164</v>
      </c>
    </row>
    <row r="153" spans="1:2" x14ac:dyDescent="0.2">
      <c r="A153" s="144" t="s">
        <v>165</v>
      </c>
      <c r="B153" s="146" t="s">
        <v>165</v>
      </c>
    </row>
    <row r="154" spans="1:2" x14ac:dyDescent="0.2">
      <c r="A154" s="144" t="s">
        <v>166</v>
      </c>
      <c r="B154" s="146" t="s">
        <v>166</v>
      </c>
    </row>
    <row r="155" spans="1:2" x14ac:dyDescent="0.2">
      <c r="A155" s="144" t="s">
        <v>167</v>
      </c>
      <c r="B155" s="146" t="s">
        <v>167</v>
      </c>
    </row>
    <row r="156" spans="1:2" x14ac:dyDescent="0.2">
      <c r="A156" s="144" t="s">
        <v>168</v>
      </c>
      <c r="B156" s="146" t="s">
        <v>168</v>
      </c>
    </row>
    <row r="157" spans="1:2" x14ac:dyDescent="0.2">
      <c r="A157" s="144" t="s">
        <v>169</v>
      </c>
      <c r="B157" s="146" t="s">
        <v>169</v>
      </c>
    </row>
    <row r="158" spans="1:2" x14ac:dyDescent="0.2">
      <c r="A158" s="144" t="s">
        <v>24</v>
      </c>
      <c r="B158" s="146" t="s">
        <v>24</v>
      </c>
    </row>
    <row r="159" spans="1:2" x14ac:dyDescent="0.2">
      <c r="A159" s="144" t="s">
        <v>170</v>
      </c>
      <c r="B159" s="146" t="s">
        <v>170</v>
      </c>
    </row>
    <row r="160" spans="1:2" x14ac:dyDescent="0.2">
      <c r="A160" s="144" t="s">
        <v>171</v>
      </c>
      <c r="B160" s="146" t="s">
        <v>171</v>
      </c>
    </row>
    <row r="161" spans="1:2" ht="22.5" x14ac:dyDescent="0.2">
      <c r="A161" s="144" t="s">
        <v>172</v>
      </c>
      <c r="B161" s="146" t="s">
        <v>172</v>
      </c>
    </row>
    <row r="162" spans="1:2" ht="22.5" x14ac:dyDescent="0.2">
      <c r="A162" s="144" t="s">
        <v>173</v>
      </c>
      <c r="B162" s="146" t="s">
        <v>173</v>
      </c>
    </row>
    <row r="163" spans="1:2" ht="33.75" x14ac:dyDescent="0.2">
      <c r="A163" s="144" t="s">
        <v>174</v>
      </c>
      <c r="B163" s="146" t="s">
        <v>174</v>
      </c>
    </row>
    <row r="164" spans="1:2" x14ac:dyDescent="0.2">
      <c r="A164" s="144" t="s">
        <v>175</v>
      </c>
      <c r="B164" s="146" t="s">
        <v>175</v>
      </c>
    </row>
    <row r="165" spans="1:2" x14ac:dyDescent="0.2">
      <c r="A165" s="144" t="s">
        <v>176</v>
      </c>
      <c r="B165" s="146" t="s">
        <v>176</v>
      </c>
    </row>
    <row r="166" spans="1:2" x14ac:dyDescent="0.2">
      <c r="A166" s="144" t="s">
        <v>177</v>
      </c>
      <c r="B166" s="146" t="s">
        <v>177</v>
      </c>
    </row>
    <row r="167" spans="1:2" x14ac:dyDescent="0.2">
      <c r="A167" s="144" t="s">
        <v>178</v>
      </c>
      <c r="B167" s="146" t="s">
        <v>178</v>
      </c>
    </row>
    <row r="168" spans="1:2" x14ac:dyDescent="0.2">
      <c r="A168" s="144" t="s">
        <v>179</v>
      </c>
      <c r="B168" s="146" t="s">
        <v>180</v>
      </c>
    </row>
    <row r="169" spans="1:2" x14ac:dyDescent="0.2">
      <c r="A169" s="144" t="s">
        <v>181</v>
      </c>
      <c r="B169" s="146" t="s">
        <v>181</v>
      </c>
    </row>
    <row r="170" spans="1:2" x14ac:dyDescent="0.2">
      <c r="A170" s="144" t="s">
        <v>182</v>
      </c>
      <c r="B170" s="146" t="s">
        <v>182</v>
      </c>
    </row>
    <row r="171" spans="1:2" x14ac:dyDescent="0.2">
      <c r="A171" s="144" t="s">
        <v>183</v>
      </c>
      <c r="B171" s="146" t="s">
        <v>183</v>
      </c>
    </row>
    <row r="172" spans="1:2" x14ac:dyDescent="0.2">
      <c r="A172" s="144" t="s">
        <v>184</v>
      </c>
      <c r="B172" s="146" t="s">
        <v>184</v>
      </c>
    </row>
    <row r="173" spans="1:2" ht="22.5" x14ac:dyDescent="0.2">
      <c r="A173" s="144" t="s">
        <v>230</v>
      </c>
      <c r="B173" s="146" t="s">
        <v>230</v>
      </c>
    </row>
    <row r="174" spans="1:2" x14ac:dyDescent="0.2">
      <c r="A174" s="144" t="s">
        <v>231</v>
      </c>
      <c r="B174" s="146" t="s">
        <v>231</v>
      </c>
    </row>
    <row r="175" spans="1:2" x14ac:dyDescent="0.2">
      <c r="A175" s="144" t="s">
        <v>185</v>
      </c>
      <c r="B175" s="146" t="s">
        <v>185</v>
      </c>
    </row>
    <row r="176" spans="1:2" x14ac:dyDescent="0.2">
      <c r="A176" s="144" t="s">
        <v>186</v>
      </c>
      <c r="B176" s="146" t="s">
        <v>186</v>
      </c>
    </row>
    <row r="177" spans="1:2" x14ac:dyDescent="0.2">
      <c r="A177" s="144" t="s">
        <v>187</v>
      </c>
      <c r="B177" s="146" t="s">
        <v>187</v>
      </c>
    </row>
    <row r="178" spans="1:2" x14ac:dyDescent="0.2">
      <c r="A178" s="144" t="s">
        <v>188</v>
      </c>
      <c r="B178" s="146" t="s">
        <v>188</v>
      </c>
    </row>
    <row r="179" spans="1:2" x14ac:dyDescent="0.2">
      <c r="A179" s="144" t="s">
        <v>189</v>
      </c>
      <c r="B179" s="146" t="s">
        <v>189</v>
      </c>
    </row>
    <row r="180" spans="1:2" x14ac:dyDescent="0.2">
      <c r="A180" s="144" t="s">
        <v>190</v>
      </c>
      <c r="B180" s="146" t="s">
        <v>190</v>
      </c>
    </row>
    <row r="181" spans="1:2" x14ac:dyDescent="0.2">
      <c r="A181" s="144" t="s">
        <v>191</v>
      </c>
      <c r="B181" s="146" t="s">
        <v>191</v>
      </c>
    </row>
    <row r="182" spans="1:2" x14ac:dyDescent="0.2">
      <c r="A182" s="144" t="s">
        <v>192</v>
      </c>
      <c r="B182" s="146" t="s">
        <v>192</v>
      </c>
    </row>
    <row r="183" spans="1:2" x14ac:dyDescent="0.2">
      <c r="A183" s="144" t="s">
        <v>193</v>
      </c>
      <c r="B183" s="146" t="s">
        <v>193</v>
      </c>
    </row>
    <row r="184" spans="1:2" x14ac:dyDescent="0.2">
      <c r="A184" s="144" t="s">
        <v>194</v>
      </c>
      <c r="B184" s="146" t="s">
        <v>194</v>
      </c>
    </row>
    <row r="185" spans="1:2" x14ac:dyDescent="0.2">
      <c r="A185" s="144" t="s">
        <v>195</v>
      </c>
      <c r="B185" s="146" t="s">
        <v>195</v>
      </c>
    </row>
    <row r="186" spans="1:2" x14ac:dyDescent="0.2">
      <c r="A186" s="145">
        <v>44136</v>
      </c>
      <c r="B186" s="147">
        <v>44136</v>
      </c>
    </row>
    <row r="187" spans="1:2" ht="22.5" x14ac:dyDescent="0.2">
      <c r="A187" s="144" t="s">
        <v>196</v>
      </c>
      <c r="B187" s="146" t="s">
        <v>196</v>
      </c>
    </row>
    <row r="188" spans="1:2" x14ac:dyDescent="0.2">
      <c r="A188" s="144" t="s">
        <v>197</v>
      </c>
      <c r="B188" s="146" t="s">
        <v>197</v>
      </c>
    </row>
    <row r="189" spans="1:2" x14ac:dyDescent="0.2">
      <c r="A189" s="144" t="s">
        <v>198</v>
      </c>
      <c r="B189" s="146" t="s">
        <v>198</v>
      </c>
    </row>
    <row r="190" spans="1:2" x14ac:dyDescent="0.2">
      <c r="A190" s="144" t="s">
        <v>199</v>
      </c>
      <c r="B190" s="146" t="s">
        <v>199</v>
      </c>
    </row>
    <row r="191" spans="1:2" x14ac:dyDescent="0.2">
      <c r="A191" s="144" t="s">
        <v>200</v>
      </c>
      <c r="B191" s="146" t="s">
        <v>200</v>
      </c>
    </row>
    <row r="192" spans="1:2" x14ac:dyDescent="0.2">
      <c r="A192" s="144" t="s">
        <v>201</v>
      </c>
      <c r="B192" s="146" t="s">
        <v>201</v>
      </c>
    </row>
    <row r="193" spans="1:2" ht="22.5" x14ac:dyDescent="0.2">
      <c r="A193" s="144" t="s">
        <v>202</v>
      </c>
      <c r="B193" s="146" t="s">
        <v>202</v>
      </c>
    </row>
    <row r="194" spans="1:2" x14ac:dyDescent="0.2">
      <c r="A194" s="144" t="s">
        <v>203</v>
      </c>
      <c r="B194" s="146" t="s">
        <v>203</v>
      </c>
    </row>
    <row r="195" spans="1:2" x14ac:dyDescent="0.2">
      <c r="A195" s="144" t="s">
        <v>204</v>
      </c>
      <c r="B195" s="146" t="s">
        <v>204</v>
      </c>
    </row>
    <row r="196" spans="1:2" ht="22.5" x14ac:dyDescent="0.2">
      <c r="A196" s="144" t="s">
        <v>205</v>
      </c>
      <c r="B196" s="146" t="s">
        <v>205</v>
      </c>
    </row>
    <row r="197" spans="1:2" x14ac:dyDescent="0.2">
      <c r="A197" s="144" t="s">
        <v>206</v>
      </c>
      <c r="B197" s="146" t="s">
        <v>207</v>
      </c>
    </row>
    <row r="198" spans="1:2" x14ac:dyDescent="0.2">
      <c r="A198" s="144" t="s">
        <v>208</v>
      </c>
      <c r="B198" s="146" t="s">
        <v>208</v>
      </c>
    </row>
    <row r="199" spans="1:2" x14ac:dyDescent="0.2">
      <c r="A199" s="145">
        <v>44136</v>
      </c>
      <c r="B199" s="147">
        <v>44136</v>
      </c>
    </row>
    <row r="200" spans="1:2" x14ac:dyDescent="0.2">
      <c r="A200" s="144" t="s">
        <v>209</v>
      </c>
      <c r="B200" s="146" t="s">
        <v>209</v>
      </c>
    </row>
    <row r="201" spans="1:2" x14ac:dyDescent="0.2">
      <c r="A201" s="144" t="s">
        <v>210</v>
      </c>
      <c r="B201" s="146" t="s">
        <v>210</v>
      </c>
    </row>
    <row r="202" spans="1:2" x14ac:dyDescent="0.2">
      <c r="A202" s="144" t="s">
        <v>211</v>
      </c>
      <c r="B202" s="146" t="s">
        <v>211</v>
      </c>
    </row>
    <row r="203" spans="1:2" x14ac:dyDescent="0.2">
      <c r="A203" s="144" t="s">
        <v>212</v>
      </c>
      <c r="B203" s="146" t="s">
        <v>212</v>
      </c>
    </row>
    <row r="204" spans="1:2" x14ac:dyDescent="0.2">
      <c r="A204" s="144" t="s">
        <v>213</v>
      </c>
      <c r="B204" s="146" t="s">
        <v>213</v>
      </c>
    </row>
    <row r="205" spans="1:2" x14ac:dyDescent="0.2">
      <c r="A205" s="144" t="s">
        <v>214</v>
      </c>
      <c r="B205" s="146" t="s">
        <v>214</v>
      </c>
    </row>
    <row r="206" spans="1:2" x14ac:dyDescent="0.2">
      <c r="A206" s="144" t="s">
        <v>215</v>
      </c>
      <c r="B206" s="146" t="s">
        <v>215</v>
      </c>
    </row>
    <row r="207" spans="1:2" x14ac:dyDescent="0.2">
      <c r="A207" s="145">
        <v>44136</v>
      </c>
      <c r="B207" s="147">
        <v>44136</v>
      </c>
    </row>
    <row r="208" spans="1:2" x14ac:dyDescent="0.2">
      <c r="A208" s="145">
        <v>44136</v>
      </c>
      <c r="B208" s="147">
        <v>44136</v>
      </c>
    </row>
    <row r="209" spans="1:5" x14ac:dyDescent="0.2">
      <c r="A209" s="144" t="s">
        <v>216</v>
      </c>
      <c r="B209" s="146" t="s">
        <v>216</v>
      </c>
    </row>
    <row r="210" spans="1:5" x14ac:dyDescent="0.2">
      <c r="A210" s="144" t="s">
        <v>217</v>
      </c>
      <c r="B210" s="146" t="s">
        <v>217</v>
      </c>
    </row>
    <row r="211" spans="1:5" x14ac:dyDescent="0.2">
      <c r="A211" s="144" t="s">
        <v>218</v>
      </c>
      <c r="B211" s="146" t="s">
        <v>218</v>
      </c>
    </row>
    <row r="212" spans="1:5" x14ac:dyDescent="0.2">
      <c r="A212" s="144" t="s">
        <v>232</v>
      </c>
      <c r="B212" s="146" t="s">
        <v>219</v>
      </c>
    </row>
    <row r="213" spans="1:5" x14ac:dyDescent="0.2">
      <c r="A213" t="s">
        <v>225</v>
      </c>
      <c r="B213" t="s">
        <v>225</v>
      </c>
    </row>
    <row r="214" spans="1:5" x14ac:dyDescent="0.2">
      <c r="A214" t="s">
        <v>226</v>
      </c>
      <c r="B214" t="s">
        <v>226</v>
      </c>
    </row>
    <row r="215" spans="1:5" x14ac:dyDescent="0.2">
      <c r="A215" t="s">
        <v>227</v>
      </c>
      <c r="B215" t="s">
        <v>227</v>
      </c>
    </row>
    <row r="216" spans="1:5" x14ac:dyDescent="0.2">
      <c r="A216" t="s">
        <v>228</v>
      </c>
      <c r="B216" t="s">
        <v>228</v>
      </c>
    </row>
    <row r="217" spans="1:5" x14ac:dyDescent="0.2">
      <c r="A217" s="144" t="s">
        <v>234</v>
      </c>
      <c r="B217" s="144" t="s">
        <v>234</v>
      </c>
    </row>
    <row r="218" spans="1:5" x14ac:dyDescent="0.2">
      <c r="E218" t="str">
        <f>_sheetContentTranslation_A_217</f>
        <v>Describe significant risk impacting the component, if any</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Lists"/>
  <dimension ref="A1:R13"/>
  <sheetViews>
    <sheetView workbookViewId="0">
      <selection activeCell="D10" sqref="D10"/>
    </sheetView>
  </sheetViews>
  <sheetFormatPr defaultRowHeight="11.25" x14ac:dyDescent="0.2"/>
  <cols>
    <col min="1" max="1" width="22" bestFit="1" customWidth="1"/>
    <col min="2" max="2" width="27.6640625" customWidth="1"/>
    <col min="3" max="3" width="44.33203125" bestFit="1" customWidth="1"/>
    <col min="4" max="4" width="67.1640625" customWidth="1"/>
    <col min="5" max="5" width="67.1640625" bestFit="1" customWidth="1"/>
    <col min="6" max="6" width="47" customWidth="1"/>
    <col min="7" max="7" width="27.83203125" customWidth="1"/>
  </cols>
  <sheetData>
    <row r="1" spans="1:18" x14ac:dyDescent="0.2">
      <c r="A1" t="str">
        <f>_sheetContentTranslation_A_176</f>
        <v>Component_Type</v>
      </c>
      <c r="B1" t="str">
        <f>_sheetContentTranslation_A_177</f>
        <v>Component_significance</v>
      </c>
      <c r="C1" t="str">
        <f>_sheetContentTranslation_A_178</f>
        <v>Individually financially significant</v>
      </c>
      <c r="D1" t="str">
        <f>_sheetContentTranslation_A_179</f>
        <v>Likely to include significant risks</v>
      </c>
      <c r="E1" t="str">
        <f>_sheetContentTranslation_A_180</f>
        <v>Not significant</v>
      </c>
      <c r="F1" t="str">
        <f>_sheetContentTranslation_A_233</f>
        <v>Other risk of material misstatement of the group</v>
      </c>
      <c r="G1" t="str">
        <f>_sheetContentTranslation_A_234</f>
        <v>Our firm</v>
      </c>
      <c r="H1" t="s">
        <v>220</v>
      </c>
    </row>
    <row r="2" spans="1:18" x14ac:dyDescent="0.2">
      <c r="A2" t="str">
        <f>_sheetContentTranslation_A_181</f>
        <v>Parent</v>
      </c>
      <c r="B2" t="str">
        <f>_sheetContentTranslation_A_178</f>
        <v>Individually financially significant</v>
      </c>
      <c r="C2" t="str">
        <f>_sheetContentTranslation_A_165</f>
        <v>Audit of financial information - assume responsibility</v>
      </c>
      <c r="D2" t="str">
        <f>_sheetContentTranslation_A_165</f>
        <v>Audit of financial information - assume responsibility</v>
      </c>
      <c r="E2" t="str">
        <f>_sheetContentTranslation_A_170</f>
        <v>Analytical procedures at group level</v>
      </c>
      <c r="F2" t="str">
        <f>_sheetContentTranslation_A_235</f>
        <v>Sufficient appropriate audit evidence</v>
      </c>
      <c r="G2" t="str">
        <f>_sheetContentTranslation_A_236</f>
        <v>Another member firm</v>
      </c>
      <c r="H2" t="s">
        <v>221</v>
      </c>
    </row>
    <row r="3" spans="1:18" x14ac:dyDescent="0.2">
      <c r="A3" t="str">
        <f>_sheetContentTranslation_A_182</f>
        <v>Subsidiary</v>
      </c>
      <c r="B3" t="str">
        <f>_sheetContentTranslation_A_179</f>
        <v>Likely to include significant risks</v>
      </c>
      <c r="C3" t="str">
        <f>_sheetContentTranslation_A_166</f>
        <v>Audit of financial information - make reference</v>
      </c>
      <c r="D3" t="str">
        <f>_sheetContentTranslation_A_166</f>
        <v>Audit of financial information - make reference</v>
      </c>
      <c r="E3" t="str">
        <f>_sheetContentTranslation_A_165</f>
        <v>Audit of financial information - assume responsibility</v>
      </c>
      <c r="F3" t="str">
        <f>_sheetContentTranslation_A_237</f>
        <v>Unpredictability</v>
      </c>
      <c r="G3" t="str">
        <f>_sheetContentTranslation_A_238</f>
        <v>Non-member firm</v>
      </c>
    </row>
    <row r="4" spans="1:18" x14ac:dyDescent="0.2">
      <c r="A4" t="str">
        <f>_sheetContentTranslation_A_183</f>
        <v>Equity method investment</v>
      </c>
      <c r="B4" t="str">
        <f>_sheetContentTranslation_A_180</f>
        <v>Not significant</v>
      </c>
      <c r="D4" t="str">
        <f>_sheetContentTranslation_A_167</f>
        <v>Specified audit procedures - designed by component auditors</v>
      </c>
      <c r="E4" t="str">
        <f>_sheetContentTranslation_A_166</f>
        <v>Audit of financial information - make reference</v>
      </c>
      <c r="F4" t="str">
        <f>Translation!A205</f>
        <v>N/A - analytical procedures at group level</v>
      </c>
    </row>
    <row r="5" spans="1:18" x14ac:dyDescent="0.2">
      <c r="A5" t="str">
        <f>_sheetContentTranslation_A_184</f>
        <v>Other</v>
      </c>
      <c r="D5" t="str">
        <f>_sheetContentTranslation_A_168</f>
        <v>Specified audit procedures - designed by group auditors</v>
      </c>
      <c r="E5" t="str">
        <f>_sheetContentTranslation_A_167</f>
        <v>Specified audit procedures - designed by component auditors</v>
      </c>
      <c r="F5" t="str">
        <f>_sheetContentTranslation_A_159</f>
        <v>N/A - significant component</v>
      </c>
    </row>
    <row r="6" spans="1:18" x14ac:dyDescent="0.2">
      <c r="E6" t="str">
        <f>_sheetContentTranslation_A_168</f>
        <v>Specified audit procedures - designed by group auditors</v>
      </c>
    </row>
    <row r="7" spans="1:18" x14ac:dyDescent="0.2">
      <c r="B7" t="s">
        <v>222</v>
      </c>
      <c r="E7" t="str">
        <f>_sheetContentTranslation_A_169</f>
        <v>Review of financial information</v>
      </c>
    </row>
    <row r="9" spans="1:18" x14ac:dyDescent="0.2">
      <c r="B9" t="s">
        <v>223</v>
      </c>
      <c r="D9" t="s">
        <v>224</v>
      </c>
    </row>
    <row r="10" spans="1:18" x14ac:dyDescent="0.2">
      <c r="B10" t="str">
        <f>Translation!A213</f>
        <v>Individually financial significant</v>
      </c>
      <c r="D10" t="str">
        <f>_sheetContentTranslation_A_165</f>
        <v>Audit of financial information - assume responsibility</v>
      </c>
    </row>
    <row r="11" spans="1:18" x14ac:dyDescent="0.2">
      <c r="B11" t="str">
        <f>Translation!A214</f>
        <v>Risk of material misstatement of the group</v>
      </c>
      <c r="D11" t="str">
        <f>_sheetContentTranslation_A_166</f>
        <v>Audit of financial information - make reference</v>
      </c>
    </row>
    <row r="12" spans="1:18" x14ac:dyDescent="0.2">
      <c r="B12" t="str">
        <f>Translation!A215</f>
        <v>Sufficient appropriate audit evidence or unpredictability</v>
      </c>
      <c r="C12" t="s">
        <v>228</v>
      </c>
      <c r="D12" t="str">
        <f>Translation!A211</f>
        <v xml:space="preserve">Specified audit procedures (designed by component auditor) </v>
      </c>
    </row>
    <row r="13" spans="1:18" x14ac:dyDescent="0.2">
      <c r="B13" t="str">
        <f>Translation!A216</f>
        <v>Not in scope</v>
      </c>
      <c r="D13" t="str">
        <f>Translation!A212</f>
        <v>Specified audit procedures (designed by group auditor) </v>
      </c>
      <c r="R13" s="150" t="s">
        <v>24</v>
      </c>
    </row>
  </sheetData>
  <sheetProtection formatCells="0" formatRows="0" insertRows="0" deleteRows="0"/>
  <pageMargins left="0.7" right="0.7" top="0.75" bottom="0.75" header="0.3" footer="0.3"/>
  <pageSetup orientation="portrait" horizontalDpi="0" verticalDpi="0" copies="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ffe4ad93-ed6f-4535-b8d7-9f3717677e75">
      <Terms xmlns="http://schemas.microsoft.com/office/infopath/2007/PartnerControls"/>
    </lcf76f155ced4ddcb4097134ff3c332f>
    <TaxCatchAll xmlns="aae29c38-5c64-4b4f-89da-042ea755fda5" xsi:nil="true"/>
    <SharedWithUsers xmlns="aae29c38-5c64-4b4f-89da-042ea755fda5">
      <UserInfo>
        <DisplayName/>
        <AccountId xsi:nil="true"/>
        <AccountType/>
      </UserInfo>
    </SharedWithUsers>
    <MediaLengthInSeconds xmlns="ffe4ad93-ed6f-4535-b8d7-9f3717677e75" xsi:nil="true"/>
    <Main_x0020_topic xmlns="aae29c38-5c64-4b4f-89da-042ea755fda5" xsi:nil="true"/>
    <Versioncomments xmlns="ffe4ad93-ed6f-4535-b8d7-9f3717677e75">See Excel Templates - Table of contents for update description
Updated in 11.26.25 to fix issue reported in the scoping input tab</Versioncomment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BA8A0A80888F545BB9D1A28C6C20EC8" ma:contentTypeVersion="15" ma:contentTypeDescription="Create a new document." ma:contentTypeScope="" ma:versionID="9fa75bc9c625c070340ced598a7df31d">
  <xsd:schema xmlns:xsd="http://www.w3.org/2001/XMLSchema" xmlns:xs="http://www.w3.org/2001/XMLSchema" xmlns:p="http://schemas.microsoft.com/office/2006/metadata/properties" xmlns:ns2="ffe4ad93-ed6f-4535-b8d7-9f3717677e75" xmlns:ns3="aae29c38-5c64-4b4f-89da-042ea755fda5" targetNamespace="http://schemas.microsoft.com/office/2006/metadata/properties" ma:root="true" ma:fieldsID="b0488c6939a359dd6a4a55e4510f9049" ns2:_="" ns3:_="">
    <xsd:import namespace="ffe4ad93-ed6f-4535-b8d7-9f3717677e75"/>
    <xsd:import namespace="aae29c38-5c64-4b4f-89da-042ea755fda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Versioncomments" minOccurs="0"/>
                <xsd:element ref="ns2:lcf76f155ced4ddcb4097134ff3c332f" minOccurs="0"/>
                <xsd:element ref="ns3:TaxCatchAll" minOccurs="0"/>
                <xsd:element ref="ns2:MediaServiceGenerationTime" minOccurs="0"/>
                <xsd:element ref="ns2:MediaServiceEventHashCode" minOccurs="0"/>
                <xsd:element ref="ns3:SharedWithUsers" minOccurs="0"/>
                <xsd:element ref="ns3:SharedWithDetails" minOccurs="0"/>
                <xsd:element ref="ns2:MediaServiceObjectDetectorVersions" minOccurs="0"/>
                <xsd:element ref="ns3:Main_x0020_topic" minOccurs="0"/>
                <xsd:element ref="ns2:MediaServiceSearchPropertie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fe4ad93-ed6f-4535-b8d7-9f3717677e7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Versioncomments" ma:index="12" nillable="true" ma:displayName="Version comments" ma:format="Dropdown" ma:internalName="Versioncomments">
      <xsd:simpleType>
        <xsd:restriction base="dms:Note">
          <xsd:maxLength value="255"/>
        </xsd:restriction>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6a785552-9cbc-4ad1-85a9-7bdd3352d37e" ma:termSetId="09814cd3-568e-fe90-9814-8d621ff8fb84" ma:anchorId="fba54fb3-c3e1-fe81-a776-ca4b69148c4d" ma:open="true" ma:isKeyword="false">
      <xsd:complexType>
        <xsd:sequence>
          <xsd:element ref="pc:Terms" minOccurs="0" maxOccurs="1"/>
        </xsd:sequence>
      </xsd:complex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OCR" ma:index="23"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ae29c38-5c64-4b4f-89da-042ea755fda5"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be78da1e-b515-4546-8b6d-a94f81144609}" ma:internalName="TaxCatchAll" ma:showField="CatchAllData" ma:web="aae29c38-5c64-4b4f-89da-042ea755fd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Main_x0020_topic" ma:index="21" nillable="true" ma:displayName="Main topic" ma:internalName="Main_x0020_topic">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22DF07C-FFFC-4619-BBFB-7B45158D160D}">
  <ds:schemaRefs>
    <ds:schemaRef ds:uri="http://schemas.openxmlformats.org/package/2006/metadata/core-properties"/>
    <ds:schemaRef ds:uri="http://schemas.microsoft.com/office/infopath/2007/PartnerControls"/>
    <ds:schemaRef ds:uri="http://purl.org/dc/elements/1.1/"/>
    <ds:schemaRef ds:uri="http://purl.org/dc/terms/"/>
    <ds:schemaRef ds:uri="http://purl.org/dc/dcmitype/"/>
    <ds:schemaRef ds:uri="http://schemas.microsoft.com/office/2006/documentManagement/types"/>
    <ds:schemaRef ds:uri="http://schemas.microsoft.com/sharepoint/v3"/>
    <ds:schemaRef ds:uri="3f10eaf0-f562-4c04-bd08-cc6dd174e17d"/>
    <ds:schemaRef ds:uri="42c6dde8-c0d4-4b48-a999-5305f20bc0f9"/>
    <ds:schemaRef ds:uri="http://schemas.microsoft.com/office/2006/metadata/properties"/>
    <ds:schemaRef ds:uri="http://www.w3.org/XML/1998/namespace"/>
    <ds:schemaRef ds:uri="ffe4ad93-ed6f-4535-b8d7-9f3717677e75"/>
    <ds:schemaRef ds:uri="aae29c38-5c64-4b4f-89da-042ea755fda5"/>
  </ds:schemaRefs>
</ds:datastoreItem>
</file>

<file path=customXml/itemProps2.xml><?xml version="1.0" encoding="utf-8"?>
<ds:datastoreItem xmlns:ds="http://schemas.openxmlformats.org/officeDocument/2006/customXml" ds:itemID="{6F0E0295-9922-4BFD-9219-13927F33BD8D}"/>
</file>

<file path=customXml/itemProps3.xml><?xml version="1.0" encoding="utf-8"?>
<ds:datastoreItem xmlns:ds="http://schemas.openxmlformats.org/officeDocument/2006/customXml" ds:itemID="{90707943-707F-4D83-90C4-7B7D7E7C6D6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91</vt:i4>
      </vt:variant>
    </vt:vector>
  </HeadingPairs>
  <TitlesOfParts>
    <vt:vector size="97" baseType="lpstr">
      <vt:lpstr>Instructions</vt:lpstr>
      <vt:lpstr>Data input</vt:lpstr>
      <vt:lpstr>Scoping input</vt:lpstr>
      <vt:lpstr>Summary by type of work report</vt:lpstr>
      <vt:lpstr>Translation</vt:lpstr>
      <vt:lpstr>Lists</vt:lpstr>
      <vt:lpstr>Analytical_procedures_at_group_level</vt:lpstr>
      <vt:lpstr>AssumeResponsibility</vt:lpstr>
      <vt:lpstr>AssumeResposibility</vt:lpstr>
      <vt:lpstr>Audit_of_financial_information___assume_responsibility</vt:lpstr>
      <vt:lpstr>Audit_of_financial_information___make_reference</vt:lpstr>
      <vt:lpstr>Audit_of_one_or_more_classes_of_transactions__account_balances__or_disclosures</vt:lpstr>
      <vt:lpstr>Component_base</vt:lpstr>
      <vt:lpstr>Component_end</vt:lpstr>
      <vt:lpstr>Component_performance_materiality</vt:lpstr>
      <vt:lpstr>Component_Reference_SI</vt:lpstr>
      <vt:lpstr>Component_Risk</vt:lpstr>
      <vt:lpstr>Component_significance</vt:lpstr>
      <vt:lpstr>Component_Type</vt:lpstr>
      <vt:lpstr>ComponentFirm</vt:lpstr>
      <vt:lpstr>Confirm_Delete_Msg</vt:lpstr>
      <vt:lpstr>Confirm_Delete_Title</vt:lpstr>
      <vt:lpstr>Data_CompType_Row</vt:lpstr>
      <vt:lpstr>Data_End</vt:lpstr>
      <vt:lpstr>Data_Engagement_Name</vt:lpstr>
      <vt:lpstr>Data_FS_Base</vt:lpstr>
      <vt:lpstr>Data_FS_Header</vt:lpstr>
      <vt:lpstr>Data_Period_End</vt:lpstr>
      <vt:lpstr>Data_Start</vt:lpstr>
      <vt:lpstr>Delete_Benchmark_Msg</vt:lpstr>
      <vt:lpstr>Delete_Benchmark_Title</vt:lpstr>
      <vt:lpstr>Delete_FS_Caption</vt:lpstr>
      <vt:lpstr>Delete_FSCaptionMsg</vt:lpstr>
      <vt:lpstr>Equity_method_investment</vt:lpstr>
      <vt:lpstr>FSCaptionMsg</vt:lpstr>
      <vt:lpstr>GapBeforeSums</vt:lpstr>
      <vt:lpstr>Individually_financially_significant</vt:lpstr>
      <vt:lpstr>IndividuallyFinanciallySignificant</vt:lpstr>
      <vt:lpstr>Likely_to_include_significant_risks</vt:lpstr>
      <vt:lpstr>LikelyToIncludeSignificantRisks</vt:lpstr>
      <vt:lpstr>MakeReference</vt:lpstr>
      <vt:lpstr>Materiality_msg</vt:lpstr>
      <vt:lpstr>Materiality_msg1</vt:lpstr>
      <vt:lpstr>Materiality_msg2</vt:lpstr>
      <vt:lpstr>Materiality_msg3</vt:lpstr>
      <vt:lpstr>N_A___analytical_procedures_at_group_level</vt:lpstr>
      <vt:lpstr>N_A___significant_component</vt:lpstr>
      <vt:lpstr>Not_significant</vt:lpstr>
      <vt:lpstr>NotApplicable</vt:lpstr>
      <vt:lpstr>NotSignificant</vt:lpstr>
      <vt:lpstr>'Data input'!Other_relevant_start</vt:lpstr>
      <vt:lpstr>Other_Risk_Error</vt:lpstr>
      <vt:lpstr>Other_risk_of_material_misstatement_of_the_group</vt:lpstr>
      <vt:lpstr>Our_firm</vt:lpstr>
      <vt:lpstr>Purpose_IndividuallyFinanciallySignificant</vt:lpstr>
      <vt:lpstr>Purpose_MaterialMisstatement</vt:lpstr>
      <vt:lpstr>Purpose_NotInScope</vt:lpstr>
      <vt:lpstr>purpose_of_component_scoping</vt:lpstr>
      <vt:lpstr>Purpose_of_component_scoping_header</vt:lpstr>
      <vt:lpstr>Purpose_OtherThanIndivFinSig</vt:lpstr>
      <vt:lpstr>Purpose_SufficientEvidence</vt:lpstr>
      <vt:lpstr>PurposeOfScoping</vt:lpstr>
      <vt:lpstr>Review_of_financial_information</vt:lpstr>
      <vt:lpstr>Scoping_Address_Col</vt:lpstr>
      <vt:lpstr>Scoping_Component_Header</vt:lpstr>
      <vt:lpstr>Scoping_Component_Reference_Header</vt:lpstr>
      <vt:lpstr>Scoping_component_type</vt:lpstr>
      <vt:lpstr>Scoping_Equity_FinPosition_Header</vt:lpstr>
      <vt:lpstr>Scoping_Equity_Ownership_Header</vt:lpstr>
      <vt:lpstr>Scoping_Equity_PL_Header</vt:lpstr>
      <vt:lpstr>Scoping_Group_Materiality</vt:lpstr>
      <vt:lpstr>Scoping_Group_PM</vt:lpstr>
      <vt:lpstr>Scoping_Start</vt:lpstr>
      <vt:lpstr>Scoping_Ticker</vt:lpstr>
      <vt:lpstr>Scoping_Type_Hardcode_Col</vt:lpstr>
      <vt:lpstr>Scoping_Type_Header</vt:lpstr>
      <vt:lpstr>'Data input'!sh_Home</vt:lpstr>
      <vt:lpstr>'Scoping input'!sh_Home</vt:lpstr>
      <vt:lpstr>SI_benchmark_base</vt:lpstr>
      <vt:lpstr>SI_benchmark_end</vt:lpstr>
      <vt:lpstr>SI_component_base</vt:lpstr>
      <vt:lpstr>SI_component_end</vt:lpstr>
      <vt:lpstr>Specified_audit_procedures</vt:lpstr>
      <vt:lpstr>SpecifiedProceduresComponentAuditor</vt:lpstr>
      <vt:lpstr>SpecifiedProceduresGroupAuditor</vt:lpstr>
      <vt:lpstr>SpellCheckComplete</vt:lpstr>
      <vt:lpstr>'Scoping input'!SR_Hdr</vt:lpstr>
      <vt:lpstr>Summary_Start</vt:lpstr>
      <vt:lpstr>Type_Classes_Header</vt:lpstr>
      <vt:lpstr>Type_Component_Base</vt:lpstr>
      <vt:lpstr>Type_Component_name</vt:lpstr>
      <vt:lpstr>Type_FS_Base</vt:lpstr>
      <vt:lpstr>Type_FS_Header</vt:lpstr>
      <vt:lpstr>Type_Headers</vt:lpstr>
      <vt:lpstr>Type_Specified_Header</vt:lpstr>
      <vt:lpstr>TypeWorkIndivFinSig</vt:lpstr>
      <vt:lpstr>YesNo</vt:lpstr>
    </vt:vector>
  </TitlesOfParts>
  <Manager/>
  <Company>Grant Thornton LLP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Grant Thornton LLP</dc:creator>
  <cp:keywords/>
  <dc:description/>
  <cp:lastModifiedBy>Kosinski, Kacper</cp:lastModifiedBy>
  <cp:revision/>
  <dcterms:created xsi:type="dcterms:W3CDTF">2019-11-25T21:43:37Z</dcterms:created>
  <dcterms:modified xsi:type="dcterms:W3CDTF">2025-11-26T16:12:03Z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0x0101005BA8A0A80888F545BB9D1A28C6C20EC8</vt:lpwstr>
  </property>
  <property fmtid="{D5CDD505-2E9C-101B-9397-08002B2CF9AE}" pid="3" name="_dlc_DocIdItemGuid">
    <vt:lpwstr>08c48b29-e384-41c2-a27f-97599edf8de6</vt:lpwstr>
  </property>
  <property fmtid="{D5CDD505-2E9C-101B-9397-08002B2CF9AE}" pid="4" name="Order">
    <vt:r8>1583300</vt:r8>
  </property>
  <property fmtid="{D5CDD505-2E9C-101B-9397-08002B2CF9AE}" pid="5" name="xd_Signature">
    <vt:bool>false</vt:bool>
  </property>
  <property fmtid="{D5CDD505-2E9C-101B-9397-08002B2CF9AE}" pid="6" name="xd_ProgID">
    <vt:lpwstr/>
  </property>
  <property fmtid="{D5CDD505-2E9C-101B-9397-08002B2CF9AE}" pid="7" name="_ExtendedDescription">
    <vt:lpwstr/>
  </property>
  <property fmtid="{D5CDD505-2E9C-101B-9397-08002B2CF9AE}" pid="8" name="_dlc_DocId">
    <vt:lpwstr>T4T5T3R555WE-636262436-15833</vt:lpwstr>
  </property>
  <property fmtid="{D5CDD505-2E9C-101B-9397-08002B2CF9AE}" pid="9" name="TriggerFlowInfo">
    <vt:lpwstr/>
  </property>
  <property fmtid="{D5CDD505-2E9C-101B-9397-08002B2CF9AE}" pid="10" name="_dlc_DocIdUrl">
    <vt:lpwstr>https://gtinetorg.sharepoint.com/sites/leapdocs/_layouts/15/DocIdRedir.aspx?ID=T4T5T3R555WE-636262436-15833, T4T5T3R555WE-636262436-15833</vt:lpwstr>
  </property>
  <property fmtid="{D5CDD505-2E9C-101B-9397-08002B2CF9AE}" pid="11" name="ComplianceAssetId">
    <vt:lpwstr/>
  </property>
  <property fmtid="{D5CDD505-2E9C-101B-9397-08002B2CF9AE}" pid="12" name="TemplateUrl">
    <vt:lpwstr/>
  </property>
  <property fmtid="{D5CDD505-2E9C-101B-9397-08002B2CF9AE}" pid="13" name="MediaServiceImageTags">
    <vt:lpwstr/>
  </property>
  <property fmtid="{D5CDD505-2E9C-101B-9397-08002B2CF9AE}" pid="14" name="_SourceUrl">
    <vt:lpwstr/>
  </property>
  <property fmtid="{D5CDD505-2E9C-101B-9397-08002B2CF9AE}" pid="15" name="_SharedFileIndex">
    <vt:lpwstr/>
  </property>
</Properties>
</file>