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User Data\Desktop\新建文件夹\GTIL 600R模板\Group audit templates (ISA 600 - revised)\"/>
    </mc:Choice>
  </mc:AlternateContent>
  <bookViews>
    <workbookView xWindow="-108" yWindow="-108" windowWidth="19416" windowHeight="10416" activeTab="1"/>
  </bookViews>
  <sheets>
    <sheet name="说明" sheetId="5" r:id="rId1"/>
    <sheet name="组成部分实际执行的重要性水平" sheetId="2" r:id="rId2"/>
    <sheet name="Translations" sheetId="3" state="hidden" r:id="rId3"/>
  </sheets>
  <functionGroups builtInGroupCount="18"/>
  <externalReferences>
    <externalReference r:id="rId4"/>
  </externalReferences>
  <definedNames>
    <definedName name="_sheetContentTranslation_A_10" hidden="1">Translations!$A$9</definedName>
    <definedName name="_sheetContentTranslation_A_11" hidden="1">Translations!$A$10</definedName>
    <definedName name="_sheetContentTranslation_A_12" hidden="1">Translations!$A$11</definedName>
    <definedName name="_sheetContentTranslation_A_13" hidden="1">Translations!$A$12</definedName>
    <definedName name="_sheetContentTranslation_A_14" hidden="1">Translations!$A$13</definedName>
    <definedName name="_sheetContentTranslation_A_15" hidden="1">Translations!$A$14</definedName>
    <definedName name="_sheetContentTranslation_A_16" hidden="1">Translations!$A$15</definedName>
    <definedName name="_sheetContentTranslation_A_17" hidden="1">Translations!$A$16</definedName>
    <definedName name="_sheetContentTranslation_A_18" hidden="1">Translations!$A$17</definedName>
    <definedName name="_sheetContentTranslation_A_183" hidden="1">[1]Translation!$A$183</definedName>
    <definedName name="_sheetContentTranslation_A_19" hidden="1">Translations!$A$18</definedName>
    <definedName name="_sheetContentTranslation_A_20" hidden="1">Translations!$A$19</definedName>
    <definedName name="_sheetContentTranslation_A_21" hidden="1">Translations!$A$20</definedName>
    <definedName name="_sheetContentTranslation_A_22" hidden="1">Translations!$A$21</definedName>
    <definedName name="_sheetContentTranslation_A_23" hidden="1">Translations!$A$22</definedName>
    <definedName name="_sheetContentTranslation_A_24" hidden="1">Translations!#REF!</definedName>
    <definedName name="_sheetContentTranslation_A_25" hidden="1">Translations!#REF!</definedName>
    <definedName name="_sheetContentTranslation_A_26" hidden="1">Translations!#REF!</definedName>
    <definedName name="_sheetContentTranslation_A_27" hidden="1">Translations!#REF!</definedName>
    <definedName name="_sheetContentTranslation_A_28" hidden="1">Translations!#REF!</definedName>
    <definedName name="_sheetContentTranslation_A_29" hidden="1">Translations!#REF!</definedName>
    <definedName name="_sheetContentTranslation_A_3" hidden="1">Translations!$A$2</definedName>
    <definedName name="_sheetContentTranslation_A_30" hidden="1">Translations!#REF!</definedName>
    <definedName name="_sheetContentTranslation_A_31" hidden="1">Translations!#REF!</definedName>
    <definedName name="_sheetContentTranslation_A_32" hidden="1">Translations!#REF!</definedName>
    <definedName name="_sheetContentTranslation_A_33" hidden="1">Translations!#REF!</definedName>
    <definedName name="_sheetContentTranslation_A_34" hidden="1">Translations!#REF!</definedName>
    <definedName name="_sheetContentTranslation_A_35" hidden="1">Translations!#REF!</definedName>
    <definedName name="_sheetContentTranslation_A_36" hidden="1">Translations!#REF!</definedName>
    <definedName name="_sheetContentTranslation_A_37" hidden="1">Translations!#REF!</definedName>
    <definedName name="_sheetContentTranslation_A_4" hidden="1">Translations!$A$3</definedName>
    <definedName name="_sheetContentTranslation_A_5" hidden="1">Translations!$A$4</definedName>
    <definedName name="_sheetContentTranslation_A_6" hidden="1">Translations!$A$5</definedName>
    <definedName name="_sheetContentTranslation_A_7" hidden="1">Translations!$A$6</definedName>
    <definedName name="_sheetContentTranslation_A_8" hidden="1">Translations!$A$7</definedName>
    <definedName name="_sheetContentTranslation_A_9" hidden="1">Translations!$A$8</definedName>
    <definedName name="ComponentRows">组成部分实际执行的重要性水平!$17:$113</definedName>
    <definedName name="EquityMethodInvestments">组成部分实际执行的重要性水平!$120:$219</definedName>
    <definedName name="NumberOfComponents">组成部分实际执行的重要性水平!$C$12</definedName>
    <definedName name="NumberOfEquityMethodInvestments">组成部分实际执行的重要性水平!$C$13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20" i="2" l="1"/>
  <c r="C15" i="2"/>
  <c r="C219" i="2" l="1"/>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C125" i="2"/>
  <c r="C124" i="2"/>
  <c r="C123" i="2"/>
  <c r="C122" i="2"/>
  <c r="C121" i="2"/>
  <c r="D219" i="2"/>
  <c r="F219" i="2" s="1"/>
  <c r="D218" i="2"/>
  <c r="F218" i="2" s="1"/>
  <c r="D217" i="2"/>
  <c r="F217" i="2" s="1"/>
  <c r="D216" i="2"/>
  <c r="F216" i="2" s="1"/>
  <c r="D215" i="2"/>
  <c r="F215" i="2" s="1"/>
  <c r="D214" i="2"/>
  <c r="F214" i="2" s="1"/>
  <c r="D213" i="2"/>
  <c r="F213" i="2" s="1"/>
  <c r="D212" i="2"/>
  <c r="F212" i="2" s="1"/>
  <c r="D211" i="2"/>
  <c r="F211" i="2" s="1"/>
  <c r="D210" i="2"/>
  <c r="F210" i="2" s="1"/>
  <c r="D209" i="2"/>
  <c r="F209" i="2" s="1"/>
  <c r="D208" i="2"/>
  <c r="F208" i="2" s="1"/>
  <c r="D207" i="2"/>
  <c r="F207" i="2" s="1"/>
  <c r="D206" i="2"/>
  <c r="F206" i="2" s="1"/>
  <c r="D205" i="2"/>
  <c r="F205" i="2" s="1"/>
  <c r="D204" i="2"/>
  <c r="F204" i="2" s="1"/>
  <c r="D203" i="2"/>
  <c r="F203" i="2" s="1"/>
  <c r="D202" i="2"/>
  <c r="F202" i="2" s="1"/>
  <c r="D201" i="2"/>
  <c r="F201" i="2" s="1"/>
  <c r="D200" i="2"/>
  <c r="F200" i="2" s="1"/>
  <c r="D199" i="2"/>
  <c r="F199" i="2" s="1"/>
  <c r="D198" i="2"/>
  <c r="F198" i="2" s="1"/>
  <c r="D197" i="2"/>
  <c r="F197" i="2" s="1"/>
  <c r="D196" i="2"/>
  <c r="F196" i="2" s="1"/>
  <c r="D195" i="2"/>
  <c r="F195" i="2" s="1"/>
  <c r="D194" i="2"/>
  <c r="F194" i="2" s="1"/>
  <c r="D193" i="2"/>
  <c r="F193" i="2" s="1"/>
  <c r="D192" i="2"/>
  <c r="F192" i="2" s="1"/>
  <c r="D191" i="2"/>
  <c r="F191" i="2" s="1"/>
  <c r="D190" i="2"/>
  <c r="F190" i="2" s="1"/>
  <c r="D189" i="2"/>
  <c r="F189" i="2" s="1"/>
  <c r="D188" i="2"/>
  <c r="F188" i="2" s="1"/>
  <c r="D187" i="2"/>
  <c r="F187" i="2" s="1"/>
  <c r="D186" i="2"/>
  <c r="F186" i="2" s="1"/>
  <c r="D185" i="2"/>
  <c r="F185" i="2" s="1"/>
  <c r="D184" i="2"/>
  <c r="F184" i="2" s="1"/>
  <c r="D183" i="2"/>
  <c r="F183" i="2" s="1"/>
  <c r="D182" i="2"/>
  <c r="D181" i="2"/>
  <c r="F181" i="2" s="1"/>
  <c r="D180" i="2"/>
  <c r="F180" i="2" s="1"/>
  <c r="D179" i="2"/>
  <c r="F179" i="2" s="1"/>
  <c r="D178" i="2"/>
  <c r="F178" i="2" s="1"/>
  <c r="D177" i="2"/>
  <c r="F177" i="2" s="1"/>
  <c r="D176" i="2"/>
  <c r="F176" i="2" s="1"/>
  <c r="D175" i="2"/>
  <c r="F175" i="2" s="1"/>
  <c r="D174" i="2"/>
  <c r="F174" i="2" s="1"/>
  <c r="D173" i="2"/>
  <c r="F173" i="2" s="1"/>
  <c r="D172" i="2"/>
  <c r="D171" i="2"/>
  <c r="F171" i="2" s="1"/>
  <c r="D170" i="2"/>
  <c r="F170" i="2" s="1"/>
  <c r="D169" i="2"/>
  <c r="F169" i="2" s="1"/>
  <c r="D168" i="2"/>
  <c r="F168" i="2" s="1"/>
  <c r="D167" i="2"/>
  <c r="F167" i="2" s="1"/>
  <c r="D166" i="2"/>
  <c r="F166" i="2" s="1"/>
  <c r="D165" i="2"/>
  <c r="F165" i="2" s="1"/>
  <c r="D164" i="2"/>
  <c r="F164" i="2" s="1"/>
  <c r="D163" i="2"/>
  <c r="F163" i="2" s="1"/>
  <c r="D162" i="2"/>
  <c r="F162" i="2" s="1"/>
  <c r="D161" i="2"/>
  <c r="F161" i="2" s="1"/>
  <c r="D160" i="2"/>
  <c r="F160" i="2" s="1"/>
  <c r="D159" i="2"/>
  <c r="F159" i="2" s="1"/>
  <c r="D158" i="2"/>
  <c r="F158" i="2" s="1"/>
  <c r="D157" i="2"/>
  <c r="F157" i="2" s="1"/>
  <c r="D156" i="2"/>
  <c r="F156" i="2" s="1"/>
  <c r="D155" i="2"/>
  <c r="F155" i="2" s="1"/>
  <c r="D154" i="2"/>
  <c r="F154" i="2" s="1"/>
  <c r="D153" i="2"/>
  <c r="F153" i="2" s="1"/>
  <c r="D152" i="2"/>
  <c r="F152" i="2" s="1"/>
  <c r="D151" i="2"/>
  <c r="F151" i="2" s="1"/>
  <c r="D150" i="2"/>
  <c r="F150" i="2" s="1"/>
  <c r="D149" i="2"/>
  <c r="F149" i="2" s="1"/>
  <c r="D148" i="2"/>
  <c r="F148" i="2" s="1"/>
  <c r="D147" i="2"/>
  <c r="F147" i="2" s="1"/>
  <c r="D146" i="2"/>
  <c r="F146" i="2" s="1"/>
  <c r="D145" i="2"/>
  <c r="F145" i="2" s="1"/>
  <c r="D144" i="2"/>
  <c r="F144" i="2" s="1"/>
  <c r="D143" i="2"/>
  <c r="F143" i="2" s="1"/>
  <c r="D142" i="2"/>
  <c r="F142" i="2" s="1"/>
  <c r="D141" i="2"/>
  <c r="F141" i="2" s="1"/>
  <c r="D140" i="2"/>
  <c r="F140" i="2" s="1"/>
  <c r="D139" i="2"/>
  <c r="F139" i="2" s="1"/>
  <c r="D138" i="2"/>
  <c r="F138" i="2" s="1"/>
  <c r="D137" i="2"/>
  <c r="F137" i="2" s="1"/>
  <c r="D136" i="2"/>
  <c r="F136" i="2" s="1"/>
  <c r="D135" i="2"/>
  <c r="F135" i="2" s="1"/>
  <c r="D134" i="2"/>
  <c r="F134" i="2" s="1"/>
  <c r="D133" i="2"/>
  <c r="F133" i="2" s="1"/>
  <c r="D132" i="2"/>
  <c r="F132" i="2" s="1"/>
  <c r="D131" i="2"/>
  <c r="F131" i="2" s="1"/>
  <c r="D130" i="2"/>
  <c r="F130" i="2" s="1"/>
  <c r="D129" i="2"/>
  <c r="F129" i="2" s="1"/>
  <c r="D128" i="2"/>
  <c r="F128" i="2" s="1"/>
  <c r="D127" i="2"/>
  <c r="F127" i="2" s="1"/>
  <c r="D126" i="2"/>
  <c r="F126" i="2" s="1"/>
  <c r="D125" i="2"/>
  <c r="F125" i="2" s="1"/>
  <c r="D124" i="2"/>
  <c r="F124" i="2" s="1"/>
  <c r="D123" i="2"/>
  <c r="F123" i="2" s="1"/>
  <c r="D122" i="2"/>
  <c r="F122" i="2" s="1"/>
  <c r="D121" i="2"/>
  <c r="F121" i="2" s="1"/>
  <c r="F182" i="2"/>
  <c r="F172" i="2"/>
  <c r="E113" i="2"/>
  <c r="F113" i="2" s="1"/>
  <c r="E112" i="2"/>
  <c r="F112" i="2" s="1"/>
  <c r="E111" i="2"/>
  <c r="F111" i="2" s="1"/>
  <c r="E110" i="2"/>
  <c r="F110" i="2" s="1"/>
  <c r="E109" i="2"/>
  <c r="F109" i="2" s="1"/>
  <c r="E108" i="2"/>
  <c r="F108" i="2" s="1"/>
  <c r="E107" i="2"/>
  <c r="F107" i="2" s="1"/>
  <c r="E106" i="2"/>
  <c r="F106" i="2" s="1"/>
  <c r="E105" i="2"/>
  <c r="F105" i="2" s="1"/>
  <c r="E104" i="2"/>
  <c r="F104" i="2" s="1"/>
  <c r="E103" i="2"/>
  <c r="F103" i="2" s="1"/>
  <c r="E102" i="2"/>
  <c r="F102" i="2" s="1"/>
  <c r="E101" i="2"/>
  <c r="F101" i="2" s="1"/>
  <c r="E100" i="2"/>
  <c r="F100" i="2" s="1"/>
  <c r="E99" i="2"/>
  <c r="F99" i="2" s="1"/>
  <c r="E98" i="2"/>
  <c r="F98" i="2" s="1"/>
  <c r="E97" i="2"/>
  <c r="F97" i="2" s="1"/>
  <c r="E96" i="2"/>
  <c r="F96" i="2" s="1"/>
  <c r="E95" i="2"/>
  <c r="F95" i="2" s="1"/>
  <c r="E94" i="2"/>
  <c r="F94" i="2" s="1"/>
  <c r="E93" i="2"/>
  <c r="F93" i="2" s="1"/>
  <c r="E92" i="2"/>
  <c r="F92" i="2" s="1"/>
  <c r="E91" i="2"/>
  <c r="F91" i="2" s="1"/>
  <c r="E90" i="2"/>
  <c r="F90" i="2" s="1"/>
  <c r="E89" i="2"/>
  <c r="F89" i="2" s="1"/>
  <c r="E88" i="2"/>
  <c r="F88" i="2" s="1"/>
  <c r="E87" i="2"/>
  <c r="F87" i="2" s="1"/>
  <c r="E86" i="2"/>
  <c r="F86" i="2" s="1"/>
  <c r="E85" i="2"/>
  <c r="F85" i="2" s="1"/>
  <c r="E84" i="2"/>
  <c r="F84" i="2" s="1"/>
  <c r="E83" i="2"/>
  <c r="F83" i="2" s="1"/>
  <c r="E82" i="2"/>
  <c r="F82" i="2" s="1"/>
  <c r="E81" i="2"/>
  <c r="F81" i="2" s="1"/>
  <c r="E80" i="2"/>
  <c r="F80" i="2" s="1"/>
  <c r="E79" i="2"/>
  <c r="F79" i="2" s="1"/>
  <c r="E78" i="2"/>
  <c r="F78" i="2" s="1"/>
  <c r="E77" i="2"/>
  <c r="F77" i="2" s="1"/>
  <c r="E76" i="2"/>
  <c r="F76" i="2" s="1"/>
  <c r="E75" i="2"/>
  <c r="F75" i="2" s="1"/>
  <c r="E74" i="2"/>
  <c r="F74" i="2" s="1"/>
  <c r="E73" i="2"/>
  <c r="F73" i="2" s="1"/>
  <c r="E72" i="2"/>
  <c r="F72" i="2" s="1"/>
  <c r="E71" i="2"/>
  <c r="F71" i="2" s="1"/>
  <c r="E70" i="2"/>
  <c r="F70" i="2" s="1"/>
  <c r="E69" i="2"/>
  <c r="F69" i="2" s="1"/>
  <c r="E68" i="2"/>
  <c r="F68" i="2" s="1"/>
  <c r="E67" i="2"/>
  <c r="F67" i="2" s="1"/>
  <c r="E66" i="2"/>
  <c r="F66" i="2" s="1"/>
  <c r="E65" i="2"/>
  <c r="F65" i="2" s="1"/>
  <c r="E64" i="2"/>
  <c r="F64" i="2" s="1"/>
  <c r="E63" i="2"/>
  <c r="F63" i="2" s="1"/>
  <c r="E62" i="2"/>
  <c r="F62" i="2" s="1"/>
  <c r="E61" i="2"/>
  <c r="F61" i="2" s="1"/>
  <c r="E60" i="2"/>
  <c r="F60" i="2" s="1"/>
  <c r="E59" i="2"/>
  <c r="F59" i="2" s="1"/>
  <c r="E58" i="2"/>
  <c r="F58" i="2" s="1"/>
  <c r="E57" i="2"/>
  <c r="F57" i="2" s="1"/>
  <c r="E56" i="2"/>
  <c r="F56" i="2" s="1"/>
  <c r="E55" i="2"/>
  <c r="F55" i="2" s="1"/>
  <c r="E54" i="2"/>
  <c r="F54" i="2" s="1"/>
  <c r="E53" i="2"/>
  <c r="F53" i="2" s="1"/>
  <c r="E52" i="2"/>
  <c r="F52" i="2" s="1"/>
  <c r="E51" i="2"/>
  <c r="F51" i="2" s="1"/>
  <c r="E50" i="2"/>
  <c r="F50" i="2" s="1"/>
  <c r="E49" i="2"/>
  <c r="F49" i="2" s="1"/>
  <c r="E48" i="2"/>
  <c r="F48" i="2" s="1"/>
  <c r="E47" i="2"/>
  <c r="F47" i="2" s="1"/>
  <c r="E46" i="2"/>
  <c r="F46" i="2" s="1"/>
  <c r="E45" i="2"/>
  <c r="F45" i="2" s="1"/>
  <c r="E44" i="2"/>
  <c r="F44" i="2" s="1"/>
  <c r="E43" i="2"/>
  <c r="F43" i="2" s="1"/>
  <c r="E42" i="2"/>
  <c r="F42" i="2" s="1"/>
  <c r="E41" i="2"/>
  <c r="F41" i="2" s="1"/>
  <c r="E40" i="2"/>
  <c r="F40" i="2" s="1"/>
  <c r="E39" i="2"/>
  <c r="F39" i="2" s="1"/>
  <c r="E38" i="2"/>
  <c r="F38" i="2" s="1"/>
  <c r="E37" i="2"/>
  <c r="F37" i="2" s="1"/>
  <c r="E36" i="2"/>
  <c r="F36" i="2" s="1"/>
  <c r="E35" i="2"/>
  <c r="F35" i="2" s="1"/>
  <c r="E34" i="2"/>
  <c r="F34" i="2" s="1"/>
  <c r="E33" i="2"/>
  <c r="F33" i="2" s="1"/>
  <c r="E32" i="2"/>
  <c r="F32" i="2" s="1"/>
  <c r="E31" i="2"/>
  <c r="F31" i="2" s="1"/>
  <c r="E30" i="2"/>
  <c r="F30" i="2" s="1"/>
  <c r="E29" i="2"/>
  <c r="F29" i="2" s="1"/>
  <c r="E28" i="2"/>
  <c r="F28" i="2" s="1"/>
  <c r="E27" i="2"/>
  <c r="F27" i="2" s="1"/>
  <c r="E26" i="2"/>
  <c r="F26" i="2" s="1"/>
  <c r="E25" i="2"/>
  <c r="F25" i="2" s="1"/>
  <c r="E24" i="2"/>
  <c r="F24" i="2" s="1"/>
  <c r="E23" i="2"/>
  <c r="F23" i="2" s="1"/>
  <c r="E22" i="2"/>
  <c r="F22" i="2" s="1"/>
  <c r="E21" i="2"/>
  <c r="F21" i="2" s="1"/>
  <c r="E20" i="2"/>
  <c r="F20" i="2" s="1"/>
  <c r="E19" i="2"/>
  <c r="F19" i="2" s="1"/>
  <c r="E18" i="2"/>
  <c r="F18" i="2" s="1"/>
  <c r="E17" i="2"/>
  <c r="F17" i="2" s="1"/>
  <c r="G118" i="2" l="1"/>
  <c r="F118" i="2"/>
  <c r="E118" i="2"/>
  <c r="D118" i="2"/>
  <c r="C118" i="2"/>
  <c r="B118" i="2"/>
  <c r="B116" i="2"/>
  <c r="G15" i="2"/>
  <c r="F15" i="2"/>
  <c r="E15" i="2"/>
  <c r="D15" i="2"/>
  <c r="B15" i="2"/>
  <c r="B13" i="2"/>
  <c r="B12" i="2"/>
  <c r="B11" i="2"/>
  <c r="B10" i="2"/>
  <c r="B9" i="2"/>
  <c r="B8" i="2"/>
  <c r="B7" i="2"/>
  <c r="B5" i="2"/>
  <c r="B4" i="2"/>
  <c r="B2" i="2"/>
</calcChain>
</file>

<file path=xl/sharedStrings.xml><?xml version="1.0" encoding="utf-8"?>
<sst xmlns="http://schemas.openxmlformats.org/spreadsheetml/2006/main" count="70" uniqueCount="70">
  <si>
    <t>Inputs</t>
  </si>
  <si>
    <t>Determining component performance materiality</t>
  </si>
  <si>
    <t>Name of group</t>
  </si>
  <si>
    <t>Group period-end date</t>
  </si>
  <si>
    <t>Group materiality</t>
  </si>
  <si>
    <t>Selected benchmark</t>
  </si>
  <si>
    <t>Group benchmark amount</t>
  </si>
  <si>
    <t>Group performance materiality</t>
  </si>
  <si>
    <t>Number of components excluding equity method investments</t>
  </si>
  <si>
    <t>Number of components that are equity method investments</t>
  </si>
  <si>
    <t>Components</t>
  </si>
  <si>
    <t>Component type</t>
  </si>
  <si>
    <t>Component benchmark amount</t>
  </si>
  <si>
    <t>Percent of group benchmark amount</t>
  </si>
  <si>
    <t>Potential component performance materiality
(square root approach)</t>
  </si>
  <si>
    <t>Component Performance materiality determined</t>
  </si>
  <si>
    <t>(audit or review of financial information only)</t>
  </si>
  <si>
    <t>Equity method investments</t>
  </si>
  <si>
    <t>Components (equity method investments)</t>
  </si>
  <si>
    <t>Ownership percentage</t>
  </si>
  <si>
    <t>Potential component performance materiality
(equity method investment)</t>
  </si>
  <si>
    <t>Parent</t>
  </si>
  <si>
    <t>Subsidiary</t>
  </si>
  <si>
    <t>Other</t>
  </si>
  <si>
    <t>Equity method investment</t>
  </si>
  <si>
    <t xml:space="preserve">   </t>
  </si>
  <si>
    <t xml:space="preserve">                              </t>
  </si>
  <si>
    <t>确定组成部分实际执行的重要性水平</t>
    <phoneticPr fontId="22" type="noConversion"/>
  </si>
  <si>
    <r>
      <rPr>
        <sz val="10"/>
        <rFont val="宋体"/>
        <family val="3"/>
        <charset val="134"/>
      </rPr>
      <t>在输入框中设置</t>
    </r>
    <r>
      <rPr>
        <sz val="10"/>
        <rFont val="Arial"/>
        <family val="2"/>
      </rPr>
      <t>“</t>
    </r>
    <r>
      <rPr>
        <sz val="10"/>
        <rFont val="宋体"/>
        <family val="3"/>
        <charset val="134"/>
      </rPr>
      <t>不包括权益法投资</t>
    </r>
    <r>
      <rPr>
        <sz val="10"/>
        <rFont val="Arial"/>
        <family val="2"/>
      </rPr>
      <t>”</t>
    </r>
    <r>
      <rPr>
        <sz val="10"/>
        <rFont val="宋体"/>
        <family val="3"/>
        <charset val="134"/>
      </rPr>
      <t>和</t>
    </r>
    <r>
      <rPr>
        <sz val="10"/>
        <rFont val="Arial"/>
        <family val="2"/>
      </rPr>
      <t>“</t>
    </r>
    <r>
      <rPr>
        <sz val="10"/>
        <rFont val="宋体"/>
        <family val="3"/>
        <charset val="134"/>
      </rPr>
      <t>属于权益法投资的组成部分</t>
    </r>
    <r>
      <rPr>
        <sz val="10"/>
        <rFont val="Arial"/>
        <family val="2"/>
      </rPr>
      <t>”</t>
    </r>
    <r>
      <rPr>
        <sz val="10"/>
        <rFont val="宋体"/>
        <family val="3"/>
        <charset val="134"/>
      </rPr>
      <t>的组成部分个数（最多</t>
    </r>
    <r>
      <rPr>
        <sz val="10"/>
        <rFont val="Arial"/>
        <family val="2"/>
      </rPr>
      <t>100</t>
    </r>
    <r>
      <rPr>
        <sz val="10"/>
        <rFont val="宋体"/>
        <family val="3"/>
        <charset val="134"/>
      </rPr>
      <t>个）。这可以帮助添加所需要的行。通过调整组成部分的数量可在模板中添加或删除行。请勿手动添加行。</t>
    </r>
    <phoneticPr fontId="22" type="noConversion"/>
  </si>
  <si>
    <r>
      <rPr>
        <sz val="10"/>
        <rFont val="宋体"/>
        <family val="3"/>
        <charset val="134"/>
      </rPr>
      <t>为降低未更正和未发现错报的汇总数超过集团财务报表整体的重要性的风险，需要将组成部分实际执行的重要性水平设定为低于集团实际执行的重要性水平。确定组成部分重要性水平属于职业判断。然而，不同组成部分实际执行的重要性水平的汇总数，有可能高于集团实际执行的重要性水平（即确定组成部分实际执行的重要性水平时，无需采用将集团实际执行的重要性水平按比例分配的方式）。此外，组成部分实际执行的重要性水平无需成为集团实际执行的重要性水平的一个数字比例。</t>
    </r>
    <r>
      <rPr>
        <sz val="10"/>
        <rFont val="Arial"/>
        <family val="2"/>
      </rPr>
      <t xml:space="preserve">
</t>
    </r>
    <r>
      <rPr>
        <sz val="10"/>
        <rFont val="宋体"/>
        <family val="3"/>
        <charset val="134"/>
      </rPr>
      <t>确定组成部分实际执行的重要性水平不是简单的机械计算。集团注册会计师在确定组成部分实际执行的重要性水平时可能考虑的因素如下：</t>
    </r>
    <r>
      <rPr>
        <sz val="10"/>
        <rFont val="Arial"/>
        <family val="2"/>
      </rPr>
      <t xml:space="preserve">
 •  </t>
    </r>
    <r>
      <rPr>
        <sz val="10"/>
        <rFont val="宋体"/>
        <family val="3"/>
        <charset val="134"/>
      </rPr>
      <t xml:space="preserve">财务信息在各组成部分之间的分解程度（例如，随着各组成部分之间分解程度的增加，较低的组成部分实际执行的重要性水平通常适合应对汇总风险）。该组成部分对集团的相对重要性可能会影响分解的程度（例如，如果一个组成部分代表了集团的大部分，那么各个组成部分之间的分解可能就会减少）。
</t>
    </r>
    <r>
      <rPr>
        <sz val="10"/>
        <rFont val="Arial"/>
        <family val="2"/>
      </rPr>
      <t xml:space="preserve">•   </t>
    </r>
    <r>
      <rPr>
        <sz val="10"/>
        <rFont val="宋体"/>
        <family val="3"/>
        <charset val="134"/>
      </rPr>
      <t xml:space="preserve">对组成部分财务信息错报的性质、频率和程度的预期，例如：
</t>
    </r>
    <r>
      <rPr>
        <sz val="10"/>
        <rFont val="Arial"/>
        <family val="2"/>
      </rPr>
      <t xml:space="preserve">       - </t>
    </r>
    <r>
      <rPr>
        <sz val="10"/>
        <rFont val="宋体"/>
        <family val="3"/>
        <charset val="134"/>
      </rPr>
      <t xml:space="preserve">是否存在对组成部分的财务信息而言特有的风险（如特定行业会计事项、不寻常或复杂的交易）。
</t>
    </r>
    <r>
      <rPr>
        <sz val="10"/>
        <rFont val="Arial"/>
        <family val="2"/>
      </rPr>
      <t xml:space="preserve">       - </t>
    </r>
    <r>
      <rPr>
        <sz val="10"/>
        <rFont val="宋体"/>
        <family val="3"/>
        <charset val="134"/>
      </rPr>
      <t>在前期审计中，所识别的该组成部分错报的性质和范围。</t>
    </r>
    <r>
      <rPr>
        <sz val="10"/>
        <rFont val="Arial"/>
        <family val="2"/>
      </rPr>
      <t xml:space="preserve">
</t>
    </r>
    <r>
      <rPr>
        <sz val="10"/>
        <rFont val="宋体"/>
        <family val="3"/>
        <charset val="134"/>
      </rPr>
      <t>然而，在某些情况下，由于汇总风险较小，例如当一个组成部分的财务信息代表集团财务报表的大部分时，可以将组成部分实际执行的重要性水平设置为更接近集团实际执行的重要性水平。</t>
    </r>
    <phoneticPr fontId="22" type="noConversion"/>
  </si>
  <si>
    <r>
      <rPr>
        <b/>
        <sz val="10"/>
        <color rgb="FFFF0000"/>
        <rFont val="宋体"/>
        <family val="3"/>
        <charset val="134"/>
      </rPr>
      <t>致集团注册会计师的说明：</t>
    </r>
    <r>
      <rPr>
        <sz val="10"/>
        <color rgb="FFFF0000"/>
        <rFont val="宋体"/>
        <family val="3"/>
        <charset val="134"/>
      </rPr>
      <t>本模板是可选的，可用于帮助集团注册会计师确定组成部分实际执行的重要性水平。当对分解的财务信息执行审计程序时，集团注册会计师应当为每个组成部分确定其实际执行的重要性水平。组成部分实际执行的重要性水平应当低于集团实际执行的重要性水平。本模板提供了一种可选方法（</t>
    </r>
    <r>
      <rPr>
        <sz val="10"/>
        <color rgb="FFFF0000"/>
        <rFont val="Arial"/>
        <family val="2"/>
      </rPr>
      <t>“</t>
    </r>
    <r>
      <rPr>
        <sz val="10"/>
        <color rgb="FFFF0000"/>
        <rFont val="宋体"/>
        <family val="3"/>
        <charset val="134"/>
      </rPr>
      <t>平方根方法</t>
    </r>
    <r>
      <rPr>
        <sz val="10"/>
        <color rgb="FFFF0000"/>
        <rFont val="Arial"/>
        <family val="2"/>
      </rPr>
      <t>”</t>
    </r>
    <r>
      <rPr>
        <sz val="10"/>
        <color rgb="FFFF0000"/>
        <rFont val="宋体"/>
        <family val="3"/>
        <charset val="134"/>
      </rPr>
      <t>），即通过按组成部分的相对规模比例分配集团实际执行的重要性水平来确定潜在的组成部分实际执行的重要性水平。</t>
    </r>
    <r>
      <rPr>
        <sz val="10"/>
        <color rgb="FFFF0000"/>
        <rFont val="Arial"/>
        <family val="2"/>
      </rPr>
      <t xml:space="preserve">
</t>
    </r>
    <phoneticPr fontId="22" type="noConversion"/>
  </si>
  <si>
    <r>
      <rPr>
        <b/>
        <sz val="10"/>
        <rFont val="宋体"/>
        <family val="3"/>
        <charset val="134"/>
      </rPr>
      <t>本模板使用指南</t>
    </r>
    <phoneticPr fontId="22" type="noConversion"/>
  </si>
  <si>
    <r>
      <rPr>
        <b/>
        <sz val="10"/>
        <color theme="1"/>
        <rFont val="宋体"/>
        <family val="3"/>
        <charset val="134"/>
      </rPr>
      <t>说明</t>
    </r>
    <phoneticPr fontId="22" type="noConversion"/>
  </si>
  <si>
    <r>
      <rPr>
        <sz val="10"/>
        <color rgb="FF000000"/>
        <rFont val="宋体"/>
        <family val="3"/>
        <charset val="134"/>
      </rPr>
      <t>本模板包含具有条件格式化和数据验证功能的单元格，包括下拉列表。为获得最佳效果，请从上到下、从左到右填写模板。浅黄色单元格需要用户输入内容。</t>
    </r>
    <phoneticPr fontId="22" type="noConversion"/>
  </si>
  <si>
    <r>
      <rPr>
        <b/>
        <sz val="10"/>
        <color theme="1"/>
        <rFont val="宋体"/>
        <family val="3"/>
        <charset val="134"/>
      </rPr>
      <t>输入值</t>
    </r>
    <phoneticPr fontId="22" type="noConversion"/>
  </si>
  <si>
    <r>
      <rPr>
        <sz val="10"/>
        <rFont val="宋体"/>
        <family val="3"/>
        <charset val="134"/>
      </rPr>
      <t>本部分输入的信息来自</t>
    </r>
    <r>
      <rPr>
        <sz val="10"/>
        <rFont val="Arial"/>
        <family val="2"/>
      </rPr>
      <t>“</t>
    </r>
    <r>
      <rPr>
        <sz val="10"/>
        <rFont val="宋体"/>
        <family val="3"/>
        <charset val="134"/>
      </rPr>
      <t>组成部分审计范围及工作类型</t>
    </r>
    <r>
      <rPr>
        <sz val="10"/>
        <rFont val="Arial"/>
        <family val="2"/>
      </rPr>
      <t>”</t>
    </r>
    <r>
      <rPr>
        <sz val="10"/>
        <rFont val="宋体"/>
        <family val="3"/>
        <charset val="134"/>
      </rPr>
      <t>模板。</t>
    </r>
    <phoneticPr fontId="22" type="noConversion"/>
  </si>
  <si>
    <r>
      <rPr>
        <b/>
        <sz val="10"/>
        <color theme="1"/>
        <rFont val="宋体"/>
        <family val="3"/>
        <charset val="134"/>
      </rPr>
      <t>添加或删除行</t>
    </r>
    <phoneticPr fontId="22" type="noConversion"/>
  </si>
  <si>
    <r>
      <rPr>
        <b/>
        <sz val="10"/>
        <color theme="1"/>
        <rFont val="宋体"/>
        <family val="3"/>
        <charset val="134"/>
      </rPr>
      <t>确定组成部分实际执行的重要性水平</t>
    </r>
    <phoneticPr fontId="22" type="noConversion"/>
  </si>
  <si>
    <r>
      <rPr>
        <b/>
        <sz val="10"/>
        <color theme="1"/>
        <rFont val="宋体"/>
        <family val="3"/>
        <charset val="134"/>
      </rPr>
      <t>潜在的组成部分实际执行的重要性水平（平方根方法）</t>
    </r>
    <phoneticPr fontId="22" type="noConversion"/>
  </si>
  <si>
    <r>
      <rPr>
        <sz val="10"/>
        <rFont val="宋体"/>
        <family val="3"/>
        <charset val="134"/>
      </rPr>
      <t>在确定组成部分实际执行的重要性水平时，集团注册会计师可以采用的方法是根据集团实际执行的重要性水平与组成部分相对规模的分配比例确定组成部分实际执行的重要性水平，该模板通过采用平方根方法（可选方法）帮助集团注册会计师确定组成部分实际执行的重要性水平。分配的金额为确定组成部分实际执行的重要性水平提供了指引，但在具体情况下，考虑到集团实际执行的重要性水平、对各组成部分执行的工作类型以及集团总体审计策略和具体审计计划，较低或较高的金额都可能是适当的。</t>
    </r>
    <phoneticPr fontId="22" type="noConversion"/>
  </si>
  <si>
    <r>
      <rPr>
        <b/>
        <sz val="10"/>
        <rFont val="宋体"/>
        <family val="3"/>
        <charset val="134"/>
      </rPr>
      <t>针对权益法投资的组成部分确定其实际执行的重要性水平</t>
    </r>
    <phoneticPr fontId="22" type="noConversion"/>
  </si>
  <si>
    <r>
      <rPr>
        <sz val="10"/>
        <rFont val="宋体"/>
        <family val="3"/>
        <charset val="134"/>
      </rPr>
      <t>有时，按权益法核算的被投资实体比投资方（集团）明显更大，用以支持投资方享有投资收益的证据可能主要由被投资方经审计的财务报表组成。在这种情况下，被投资方注册会计师使用的实际执行的重要性水平可能大于投资方注册会计师使用的实际执行的重要性水平。当存在这类情况时，集团注册会计师在确定被投资方注册会计师使用的组成部分实际执行的重要性水平是否适合于集团财务报表审计时，可以考虑集团的持股比例及其在被投资方损益中所占份额等事项。也就是说，在确定组成部分实际执行的重要性水平时，可能需要考虑基于所有权比例按权益法核算的被投资实体的错报对集团财务报表的影响。事务所的方法论为使用集团实际执行的重要性水平作为起点来确定组成部分实际执行的重要性水平提供了方法；例如，使用集团实际执行的重要性水平（</t>
    </r>
    <r>
      <rPr>
        <sz val="10"/>
        <rFont val="Arial"/>
        <family val="2"/>
      </rPr>
      <t>400,000</t>
    </r>
    <r>
      <rPr>
        <sz val="10"/>
        <rFont val="宋体"/>
        <family val="3"/>
        <charset val="134"/>
      </rPr>
      <t>）除以所有权比例（</t>
    </r>
    <r>
      <rPr>
        <sz val="10"/>
        <rFont val="Arial"/>
        <family val="2"/>
      </rPr>
      <t>40%</t>
    </r>
    <r>
      <rPr>
        <sz val="10"/>
        <rFont val="宋体"/>
        <family val="3"/>
        <charset val="134"/>
      </rPr>
      <t>），得出按权益法核算的被投资实体的组成部分实际执行的重要性水平（</t>
    </r>
    <r>
      <rPr>
        <sz val="10"/>
        <rFont val="Arial"/>
        <family val="2"/>
      </rPr>
      <t>1,000,000</t>
    </r>
    <r>
      <rPr>
        <sz val="10"/>
        <rFont val="宋体"/>
        <family val="3"/>
        <charset val="134"/>
      </rPr>
      <t>）。</t>
    </r>
    <phoneticPr fontId="22" type="noConversion"/>
  </si>
  <si>
    <r>
      <rPr>
        <b/>
        <sz val="16"/>
        <color rgb="FF4F2D7F"/>
        <rFont val="宋体"/>
        <family val="3"/>
        <charset val="134"/>
      </rPr>
      <t>确定组成部分实际执行的重要性水平</t>
    </r>
    <phoneticPr fontId="22" type="noConversion"/>
  </si>
  <si>
    <r>
      <t>2024</t>
    </r>
    <r>
      <rPr>
        <b/>
        <sz val="10"/>
        <color rgb="FFFF0000"/>
        <rFont val="宋体"/>
        <family val="3"/>
        <charset val="134"/>
      </rPr>
      <t>年</t>
    </r>
    <r>
      <rPr>
        <b/>
        <sz val="10"/>
        <color rgb="FFFF0000"/>
        <rFont val="Arial"/>
        <family val="2"/>
      </rPr>
      <t>3</t>
    </r>
    <r>
      <rPr>
        <b/>
        <sz val="10"/>
        <color rgb="FFFF0000"/>
        <rFont val="宋体"/>
        <family val="3"/>
        <charset val="134"/>
      </rPr>
      <t>月版</t>
    </r>
    <phoneticPr fontId="22" type="noConversion"/>
  </si>
  <si>
    <r>
      <rPr>
        <b/>
        <sz val="10"/>
        <color rgb="FFFF0000"/>
        <rFont val="宋体"/>
        <family val="3"/>
        <charset val="134"/>
      </rPr>
      <t>适用于自</t>
    </r>
    <r>
      <rPr>
        <b/>
        <sz val="10"/>
        <color rgb="FFFF0000"/>
        <rFont val="Arial"/>
        <family val="2"/>
      </rPr>
      <t>2023</t>
    </r>
    <r>
      <rPr>
        <b/>
        <sz val="10"/>
        <color rgb="FFFF0000"/>
        <rFont val="宋体"/>
        <family val="3"/>
        <charset val="134"/>
      </rPr>
      <t>年</t>
    </r>
    <r>
      <rPr>
        <b/>
        <sz val="10"/>
        <color rgb="FFFF0000"/>
        <rFont val="Arial"/>
        <family val="2"/>
      </rPr>
      <t>12</t>
    </r>
    <r>
      <rPr>
        <b/>
        <sz val="10"/>
        <color rgb="FFFF0000"/>
        <rFont val="宋体"/>
        <family val="3"/>
        <charset val="134"/>
      </rPr>
      <t>月</t>
    </r>
    <r>
      <rPr>
        <b/>
        <sz val="10"/>
        <color rgb="FFFF0000"/>
        <rFont val="Arial"/>
        <family val="2"/>
      </rPr>
      <t>15</t>
    </r>
    <r>
      <rPr>
        <b/>
        <sz val="10"/>
        <color rgb="FFFF0000"/>
        <rFont val="宋体"/>
        <family val="3"/>
        <charset val="134"/>
      </rPr>
      <t>日或之后开始的期间的集团财务报表审计。</t>
    </r>
    <phoneticPr fontId="22" type="noConversion"/>
  </si>
  <si>
    <r>
      <rPr>
        <b/>
        <sz val="10"/>
        <color rgb="FFFF0000"/>
        <rFont val="宋体"/>
        <family val="3"/>
        <charset val="134"/>
      </rPr>
      <t>请删除这些说明，这些说明无需包含在审计档案中。</t>
    </r>
    <phoneticPr fontId="22" type="noConversion"/>
  </si>
  <si>
    <t>集团名称</t>
    <phoneticPr fontId="22" type="noConversion"/>
  </si>
  <si>
    <t>集团报表截止日</t>
    <phoneticPr fontId="22" type="noConversion"/>
  </si>
  <si>
    <t>输入值</t>
    <phoneticPr fontId="22" type="noConversion"/>
  </si>
  <si>
    <t>集团重要性水平</t>
    <phoneticPr fontId="22" type="noConversion"/>
  </si>
  <si>
    <t>选取基准</t>
    <phoneticPr fontId="22" type="noConversion"/>
  </si>
  <si>
    <t>集团基准金额</t>
    <phoneticPr fontId="22" type="noConversion"/>
  </si>
  <si>
    <t>集团实际执行的重要性水平</t>
    <phoneticPr fontId="22" type="noConversion"/>
  </si>
  <si>
    <t>组成部分个数，不包括权益法投资</t>
    <phoneticPr fontId="22" type="noConversion"/>
  </si>
  <si>
    <t>权益法投资的组成部分个数</t>
    <phoneticPr fontId="22" type="noConversion"/>
  </si>
  <si>
    <t>组成部分</t>
    <phoneticPr fontId="22" type="noConversion"/>
  </si>
  <si>
    <t>组成部分类型</t>
    <phoneticPr fontId="22" type="noConversion"/>
  </si>
  <si>
    <t>组成部分基准金额</t>
    <phoneticPr fontId="22" type="noConversion"/>
  </si>
  <si>
    <t>集团基准金额适用百分比</t>
    <phoneticPr fontId="22" type="noConversion"/>
  </si>
  <si>
    <t>确定的组成部分实际执行的重要性水平</t>
    <phoneticPr fontId="22" type="noConversion"/>
  </si>
  <si>
    <t>（仅审计或审阅财务信息）</t>
    <phoneticPr fontId="22" type="noConversion"/>
  </si>
  <si>
    <t>权益法投资</t>
    <phoneticPr fontId="22" type="noConversion"/>
  </si>
  <si>
    <t>组成部分（权益法投资）</t>
    <phoneticPr fontId="22" type="noConversion"/>
  </si>
  <si>
    <t>所有权百分比</t>
    <phoneticPr fontId="22" type="noConversion"/>
  </si>
  <si>
    <t>母公司</t>
    <phoneticPr fontId="22" type="noConversion"/>
  </si>
  <si>
    <t>子公司</t>
    <phoneticPr fontId="22" type="noConversion"/>
  </si>
  <si>
    <t>其他</t>
    <phoneticPr fontId="22" type="noConversion"/>
  </si>
  <si>
    <t>权益法投资</t>
    <phoneticPr fontId="22" type="noConversion"/>
  </si>
  <si>
    <t>潜在组成部分实际执行的重要性水平
(平方根方法）</t>
    <phoneticPr fontId="22" type="noConversion"/>
  </si>
  <si>
    <t>潜在组成部分实际执行的重要性水平
(权益法投资）</t>
    <phoneticPr fontId="2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</si>
</sst>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_(* #,##0.00_);_(* \(#,##0.00\);_(* &quot;-&quot;??_);_(@_)"/>
    <numFmt numFmtId="177" formatCode="_(* #,##0_);_(* \(#,##0\);_(* &quot;-&quot;??_);_(@_)"/>
  </numFmts>
  <fonts count="32" x14ac:knownFonts="1">
    <font>
      <sz val="11"/>
      <color theme="1"/>
      <name val="等线"/>
      <family val="2"/>
      <scheme val="minor"/>
    </font>
    <font>
      <sz val="11"/>
      <color theme="1"/>
      <name val="等线"/>
      <family val="2"/>
      <scheme val="minor"/>
    </font>
    <font>
      <sz val="10"/>
      <color theme="1"/>
      <name val="Arial"/>
      <family val="2"/>
    </font>
    <font>
      <b/>
      <sz val="10"/>
      <color theme="1"/>
      <name val="Arial"/>
      <family val="2"/>
    </font>
    <font>
      <b/>
      <sz val="10"/>
      <name val="Arial"/>
      <family val="2"/>
    </font>
    <font>
      <b/>
      <sz val="10"/>
      <color rgb="FF4F2D7F"/>
      <name val="Arial"/>
      <family val="2"/>
    </font>
    <font>
      <sz val="10"/>
      <name val="Arial"/>
      <family val="2"/>
    </font>
    <font>
      <b/>
      <sz val="12"/>
      <color rgb="FF7030A0"/>
      <name val="Arial"/>
      <family val="2"/>
    </font>
    <font>
      <b/>
      <u/>
      <sz val="10"/>
      <color rgb="FF7030A0"/>
      <name val="Arial"/>
      <family val="2"/>
    </font>
    <font>
      <b/>
      <sz val="10"/>
      <color rgb="FF7030A0"/>
      <name val="Arial"/>
      <family val="2"/>
    </font>
    <font>
      <sz val="10"/>
      <color rgb="FF7030A0"/>
      <name val="Arial"/>
      <family val="2"/>
    </font>
    <font>
      <sz val="8"/>
      <color theme="0"/>
      <name val="Arial"/>
      <family val="2"/>
    </font>
    <font>
      <sz val="8"/>
      <color theme="1"/>
      <name val="arial"/>
      <family val="2"/>
    </font>
    <font>
      <b/>
      <sz val="10"/>
      <color rgb="FFFF0000"/>
      <name val="Arial"/>
      <family val="2"/>
    </font>
    <font>
      <b/>
      <sz val="12"/>
      <color theme="0"/>
      <name val="Arial"/>
      <family val="2"/>
    </font>
    <font>
      <sz val="10"/>
      <color rgb="FFFF0000"/>
      <name val="Arial"/>
      <family val="2"/>
    </font>
    <font>
      <sz val="11"/>
      <color theme="1"/>
      <name val="Arial"/>
      <family val="2"/>
    </font>
    <font>
      <sz val="9"/>
      <color rgb="FFFF0000"/>
      <name val="Arial"/>
      <family val="2"/>
    </font>
    <font>
      <sz val="10"/>
      <color rgb="FF000000"/>
      <name val="Arial"/>
      <family val="2"/>
    </font>
    <font>
      <b/>
      <sz val="10"/>
      <color theme="0"/>
      <name val="Arial"/>
      <family val="2"/>
    </font>
    <font>
      <b/>
      <sz val="10"/>
      <color theme="1"/>
      <name val="等线"/>
      <family val="2"/>
      <scheme val="minor"/>
    </font>
    <font>
      <b/>
      <sz val="16"/>
      <color rgb="FF4F2D7F"/>
      <name val="Arial"/>
      <family val="2"/>
    </font>
    <font>
      <sz val="9"/>
      <name val="等线"/>
      <family val="3"/>
      <charset val="134"/>
      <scheme val="minor"/>
    </font>
    <font>
      <b/>
      <sz val="16"/>
      <color rgb="FF4F2D7F"/>
      <name val="宋体"/>
      <family val="3"/>
      <charset val="134"/>
    </font>
    <font>
      <b/>
      <sz val="10"/>
      <color rgb="FFFF0000"/>
      <name val="宋体"/>
      <family val="3"/>
      <charset val="134"/>
    </font>
    <font>
      <sz val="10"/>
      <color rgb="FFFF0000"/>
      <name val="宋体"/>
      <family val="3"/>
      <charset val="134"/>
    </font>
    <font>
      <b/>
      <sz val="10"/>
      <name val="宋体"/>
      <family val="3"/>
      <charset val="134"/>
    </font>
    <font>
      <b/>
      <sz val="10"/>
      <color theme="1"/>
      <name val="宋体"/>
      <family val="3"/>
      <charset val="134"/>
    </font>
    <font>
      <sz val="10"/>
      <color rgb="FF000000"/>
      <name val="宋体"/>
      <family val="3"/>
      <charset val="134"/>
    </font>
    <font>
      <sz val="10"/>
      <name val="宋体"/>
      <family val="3"/>
      <charset val="134"/>
    </font>
    <font>
      <b/>
      <sz val="11"/>
      <color theme="1"/>
      <name val="Arial"/>
      <family val="2"/>
    </font>
    <font>
      <sz val="11"/>
      <name val="Arial"/>
      <family val="2"/>
    </font>
  </fonts>
  <fills count="8">
    <fill>
      <patternFill patternType="none"/>
    </fill>
    <fill>
      <patternFill patternType="gray125"/>
    </fill>
    <fill>
      <patternFill patternType="solid">
        <fgColor theme="0"/>
        <bgColor indexed="64"/>
      </patternFill>
    </fill>
    <fill>
      <patternFill patternType="solid">
        <fgColor rgb="FF4F2D7F"/>
        <bgColor indexed="64"/>
      </patternFill>
    </fill>
    <fill>
      <patternFill patternType="solid">
        <fgColor theme="4" tint="0.79998168889431442"/>
        <bgColor indexed="64"/>
      </patternFill>
    </fill>
    <fill>
      <patternFill patternType="solid">
        <fgColor rgb="FFC8B5E5"/>
        <bgColor indexed="64"/>
      </patternFill>
    </fill>
    <fill>
      <patternFill patternType="solid">
        <fgColor rgb="FFEFE9F7"/>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indexed="64"/>
      </bottom>
      <diagonal/>
    </border>
    <border>
      <left/>
      <right style="thin">
        <color theme="0" tint="-0.14999847407452621"/>
      </right>
      <top style="thin">
        <color theme="0" tint="-0.14999847407452621"/>
      </top>
      <bottom/>
      <diagonal/>
    </border>
    <border>
      <left/>
      <right style="thin">
        <color theme="0" tint="-0.14999847407452621"/>
      </right>
      <top/>
      <bottom style="thin">
        <color indexed="64"/>
      </bottom>
      <diagonal/>
    </border>
    <border>
      <left/>
      <right/>
      <top/>
      <bottom style="medium">
        <color indexed="64"/>
      </bottom>
      <diagonal/>
    </border>
    <border>
      <left/>
      <right/>
      <top style="thin">
        <color indexed="64"/>
      </top>
      <bottom/>
      <diagonal/>
    </border>
    <border>
      <left style="thin">
        <color theme="0" tint="-0.14999847407452621"/>
      </left>
      <right/>
      <top style="thin">
        <color theme="0" tint="-0.14999847407452621"/>
      </top>
      <bottom/>
      <diagonal/>
    </border>
    <border>
      <left style="thin">
        <color theme="0" tint="-0.14999847407452621"/>
      </left>
      <right/>
      <top style="thin">
        <color theme="0" tint="-0.14999847407452621"/>
      </top>
      <bottom style="thin">
        <color theme="0" tint="-0.14999847407452621"/>
      </bottom>
      <diagonal/>
    </border>
    <border>
      <left/>
      <right style="thin">
        <color auto="1"/>
      </right>
      <top style="thin">
        <color theme="0" tint="-0.14999847407452621"/>
      </top>
      <bottom/>
      <diagonal/>
    </border>
    <border>
      <left style="thin">
        <color theme="0" tint="-0.14999847407452621"/>
      </left>
      <right style="thin">
        <color auto="1"/>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176" fontId="1" fillId="0" borderId="0" applyFont="0" applyFill="0" applyBorder="0" applyAlignment="0" applyProtection="0"/>
    <xf numFmtId="9" fontId="1" fillId="0" borderId="0" applyFont="0" applyFill="0" applyBorder="0" applyAlignment="0" applyProtection="0"/>
    <xf numFmtId="0" fontId="1" fillId="0" borderId="0"/>
  </cellStyleXfs>
  <cellXfs count="57">
    <xf numFmtId="0" fontId="0" fillId="0" borderId="0" xfId="0"/>
    <xf numFmtId="0" fontId="2" fillId="2" borderId="0" xfId="0" applyFont="1" applyFill="1"/>
    <xf numFmtId="0" fontId="3" fillId="2" borderId="0" xfId="0" applyFont="1" applyFill="1" applyAlignment="1">
      <alignment vertical="top"/>
    </xf>
    <xf numFmtId="0" fontId="4" fillId="2" borderId="0" xfId="0" applyFont="1" applyFill="1" applyAlignment="1">
      <alignment horizontal="left" vertical="top" wrapText="1"/>
    </xf>
    <xf numFmtId="0" fontId="5" fillId="2" borderId="0" xfId="0" applyFont="1" applyFill="1" applyAlignment="1">
      <alignment vertical="top"/>
    </xf>
    <xf numFmtId="9" fontId="2" fillId="2" borderId="0" xfId="2" applyFont="1" applyFill="1"/>
    <xf numFmtId="177" fontId="6" fillId="2" borderId="1" xfId="1" applyNumberFormat="1" applyFont="1" applyFill="1" applyBorder="1" applyAlignment="1">
      <alignment vertical="top"/>
    </xf>
    <xf numFmtId="0" fontId="7" fillId="2" borderId="0" xfId="0" applyFont="1" applyFill="1" applyAlignment="1">
      <alignment vertical="top"/>
    </xf>
    <xf numFmtId="0" fontId="8" fillId="2" borderId="0" xfId="0" applyFont="1" applyFill="1" applyAlignment="1">
      <alignment vertical="top"/>
    </xf>
    <xf numFmtId="0" fontId="9" fillId="2" borderId="0" xfId="0" applyFont="1" applyFill="1" applyAlignment="1">
      <alignment vertical="top"/>
    </xf>
    <xf numFmtId="0" fontId="10" fillId="2" borderId="0" xfId="0" applyFont="1" applyFill="1"/>
    <xf numFmtId="0" fontId="11" fillId="3" borderId="2" xfId="0" applyFont="1" applyFill="1" applyBorder="1" applyAlignment="1">
      <alignment vertical="center"/>
    </xf>
    <xf numFmtId="0" fontId="11" fillId="3" borderId="9" xfId="0" applyFont="1" applyFill="1" applyBorder="1" applyAlignment="1">
      <alignment horizontal="center" vertical="center" wrapText="1"/>
    </xf>
    <xf numFmtId="0" fontId="11" fillId="3" borderId="10" xfId="0" applyFont="1" applyFill="1" applyBorder="1" applyAlignment="1">
      <alignment vertical="center"/>
    </xf>
    <xf numFmtId="0" fontId="11" fillId="3" borderId="11" xfId="0" applyFont="1" applyFill="1" applyBorder="1" applyAlignment="1">
      <alignment horizontal="center" vertical="center" wrapText="1"/>
    </xf>
    <xf numFmtId="177" fontId="2" fillId="2" borderId="12" xfId="1" applyNumberFormat="1" applyFont="1" applyFill="1" applyBorder="1"/>
    <xf numFmtId="177" fontId="2" fillId="2" borderId="12" xfId="1" applyNumberFormat="1" applyFont="1" applyFill="1" applyBorder="1" applyAlignment="1">
      <alignment horizontal="right"/>
    </xf>
    <xf numFmtId="0" fontId="12" fillId="0" borderId="13" xfId="0" applyFont="1" applyBorder="1" applyAlignment="1" applyProtection="1">
      <alignment horizontal="left" vertical="center" wrapText="1"/>
      <protection locked="0"/>
    </xf>
    <xf numFmtId="14" fontId="12" fillId="0" borderId="13" xfId="0" applyNumberFormat="1" applyFont="1" applyBorder="1" applyAlignment="1" applyProtection="1">
      <alignment horizontal="left" vertical="center" wrapText="1"/>
      <protection locked="0"/>
    </xf>
    <xf numFmtId="0" fontId="0" fillId="0" borderId="0" xfId="0" applyAlignment="1">
      <alignment wrapText="1"/>
    </xf>
    <xf numFmtId="10" fontId="6" fillId="4" borderId="1" xfId="1" applyNumberFormat="1" applyFont="1" applyFill="1" applyBorder="1" applyAlignment="1">
      <alignment vertical="top"/>
    </xf>
    <xf numFmtId="177" fontId="6" fillId="4" borderId="1" xfId="1" applyNumberFormat="1" applyFont="1" applyFill="1" applyBorder="1" applyAlignment="1">
      <alignment vertical="top"/>
    </xf>
    <xf numFmtId="17" fontId="13" fillId="0" borderId="0" xfId="0" quotePrefix="1" applyNumberFormat="1" applyFont="1" applyAlignment="1">
      <alignment horizontal="left" vertical="top" wrapText="1"/>
    </xf>
    <xf numFmtId="0" fontId="14" fillId="0" borderId="0" xfId="0" applyFont="1" applyAlignment="1">
      <alignment horizontal="left" vertical="center" wrapText="1"/>
    </xf>
    <xf numFmtId="0" fontId="16" fillId="0" borderId="0" xfId="0" applyFont="1"/>
    <xf numFmtId="0" fontId="17" fillId="0" borderId="0" xfId="0" applyFont="1" applyAlignment="1">
      <alignment horizontal="left"/>
    </xf>
    <xf numFmtId="0" fontId="4" fillId="0" borderId="0" xfId="3" quotePrefix="1" applyFont="1" applyAlignment="1" applyProtection="1">
      <alignment vertical="center"/>
      <protection locked="0"/>
    </xf>
    <xf numFmtId="0" fontId="17" fillId="0" borderId="0" xfId="0" applyFont="1" applyAlignment="1">
      <alignment wrapText="1"/>
    </xf>
    <xf numFmtId="0" fontId="15" fillId="0" borderId="0" xfId="0" applyFont="1"/>
    <xf numFmtId="9" fontId="6" fillId="2" borderId="1" xfId="1" applyNumberFormat="1" applyFont="1" applyFill="1" applyBorder="1" applyAlignment="1">
      <alignment vertical="top"/>
    </xf>
    <xf numFmtId="0" fontId="0" fillId="7" borderId="0" xfId="0" applyFill="1"/>
    <xf numFmtId="0" fontId="3" fillId="5" borderId="1" xfId="0" applyFont="1" applyFill="1" applyBorder="1" applyAlignment="1">
      <alignment horizontal="left" vertical="center" wrapText="1"/>
    </xf>
    <xf numFmtId="0" fontId="3" fillId="5" borderId="16" xfId="0" applyFont="1" applyFill="1" applyBorder="1" applyAlignment="1">
      <alignment horizontal="left" vertical="center" wrapText="1"/>
    </xf>
    <xf numFmtId="0" fontId="4" fillId="5" borderId="1" xfId="0" applyFont="1" applyFill="1" applyBorder="1" applyAlignment="1">
      <alignment horizontal="left" vertical="center" wrapText="1"/>
    </xf>
    <xf numFmtId="0" fontId="6" fillId="6" borderId="15" xfId="0" applyFont="1" applyFill="1" applyBorder="1" applyAlignment="1">
      <alignment horizontal="left" vertical="center" wrapText="1"/>
    </xf>
    <xf numFmtId="0" fontId="6" fillId="6" borderId="16" xfId="0" applyFont="1" applyFill="1" applyBorder="1" applyAlignment="1">
      <alignment horizontal="left" vertical="center" wrapText="1"/>
    </xf>
    <xf numFmtId="0" fontId="6" fillId="6" borderId="1" xfId="0" applyFont="1" applyFill="1" applyBorder="1" applyAlignment="1">
      <alignment horizontal="left" vertical="center" wrapText="1"/>
    </xf>
    <xf numFmtId="0" fontId="18" fillId="6" borderId="1" xfId="0" applyFont="1" applyFill="1" applyBorder="1" applyAlignment="1">
      <alignment vertical="center" wrapText="1"/>
    </xf>
    <xf numFmtId="0" fontId="6" fillId="6" borderId="14" xfId="3" applyFont="1" applyFill="1" applyBorder="1" applyAlignment="1">
      <alignment vertical="center" wrapText="1"/>
    </xf>
    <xf numFmtId="17" fontId="13" fillId="0" borderId="0" xfId="0" quotePrefix="1" applyNumberFormat="1" applyFont="1" applyAlignment="1">
      <alignment horizontal="left" vertical="center" wrapText="1"/>
    </xf>
    <xf numFmtId="0" fontId="15" fillId="0" borderId="0" xfId="0" applyFont="1" applyAlignment="1">
      <alignment horizontal="left" vertical="top" wrapText="1"/>
    </xf>
    <xf numFmtId="17" fontId="13" fillId="0" borderId="0" xfId="0" quotePrefix="1" applyNumberFormat="1" applyFont="1" applyAlignment="1">
      <alignment horizontal="left" vertical="center" wrapText="1"/>
    </xf>
    <xf numFmtId="0" fontId="13" fillId="0" borderId="0" xfId="0" applyFont="1" applyAlignment="1">
      <alignment horizontal="left" vertical="top" wrapText="1"/>
    </xf>
    <xf numFmtId="0" fontId="15" fillId="0" borderId="0" xfId="0" applyFont="1" applyAlignment="1">
      <alignment horizontal="left" vertical="top" wrapText="1"/>
    </xf>
    <xf numFmtId="0" fontId="21" fillId="0" borderId="0" xfId="0" applyFont="1" applyAlignment="1">
      <alignment horizontal="center" vertical="center"/>
    </xf>
    <xf numFmtId="0" fontId="11" fillId="3" borderId="3" xfId="0" applyFont="1" applyFill="1" applyBorder="1" applyAlignment="1">
      <alignment horizontal="center" vertical="center" wrapText="1"/>
    </xf>
    <xf numFmtId="0" fontId="0" fillId="0" borderId="4" xfId="0" applyBorder="1" applyAlignment="1">
      <alignment horizontal="center" vertical="center" wrapText="1"/>
    </xf>
    <xf numFmtId="0" fontId="19" fillId="3" borderId="5" xfId="0" applyFont="1" applyFill="1" applyBorder="1" applyAlignment="1">
      <alignment horizontal="center" vertical="center" wrapText="1"/>
    </xf>
    <xf numFmtId="0" fontId="20" fillId="0" borderId="6" xfId="0" applyFont="1" applyBorder="1" applyAlignment="1">
      <alignment horizontal="center" vertical="center" wrapText="1"/>
    </xf>
    <xf numFmtId="0" fontId="19" fillId="3" borderId="3" xfId="0" applyFont="1" applyFill="1" applyBorder="1" applyAlignment="1">
      <alignment horizontal="center" vertical="center" wrapText="1"/>
    </xf>
    <xf numFmtId="0" fontId="20" fillId="0" borderId="4" xfId="0" applyFont="1" applyBorder="1" applyAlignment="1">
      <alignment horizontal="center" vertical="center" wrapText="1"/>
    </xf>
    <xf numFmtId="0" fontId="11" fillId="3" borderId="5" xfId="0" applyFont="1" applyFill="1" applyBorder="1" applyAlignment="1">
      <alignment horizontal="center" vertical="center" wrapText="1"/>
    </xf>
    <xf numFmtId="0" fontId="0" fillId="0" borderId="6" xfId="0" applyBorder="1" applyAlignment="1">
      <alignment horizontal="center" vertical="center" wrapText="1"/>
    </xf>
    <xf numFmtId="0" fontId="11" fillId="3" borderId="8" xfId="0" applyFont="1" applyFill="1" applyBorder="1" applyAlignment="1">
      <alignment horizontal="center" vertical="center"/>
    </xf>
    <xf numFmtId="0" fontId="11" fillId="3" borderId="7" xfId="0" applyFont="1" applyFill="1" applyBorder="1" applyAlignment="1">
      <alignment horizontal="center" vertical="center"/>
    </xf>
    <xf numFmtId="0" fontId="30" fillId="0" borderId="0" xfId="0" applyFont="1"/>
    <xf numFmtId="0" fontId="31" fillId="0" borderId="0" xfId="0" applyFont="1"/>
  </cellXfs>
  <cellStyles count="4">
    <cellStyle name="Normal 5" xfId="3"/>
    <cellStyle name="百分比" xfId="2" builtinId="5"/>
    <cellStyle name="常规" xfId="0" builtinId="0"/>
    <cellStyle name="千位分隔" xfId="1" builtinId="3"/>
  </cellStyles>
  <dxfs count="14">
    <dxf>
      <fill>
        <patternFill patternType="solid">
          <fgColor indexed="64"/>
          <bgColor theme="0" tint="-0.14999847407452621"/>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border>
        <vertical/>
        <horizontal/>
      </border>
    </dxf>
    <dxf>
      <fill>
        <patternFill>
          <bgColor theme="7" tint="0.79998168889431442"/>
        </patternFill>
      </fill>
      <border>
        <vertical/>
        <horizontal/>
      </border>
    </dxf>
    <dxf>
      <fill>
        <patternFill>
          <bgColor theme="7" tint="0.79998168889431442"/>
        </patternFill>
      </fill>
    </dxf>
    <dxf>
      <fill>
        <patternFill>
          <bgColor theme="7" tint="0.79998168889431442"/>
        </patternFill>
      </fill>
    </dxf>
  </dxfs>
  <tableStyles count="1" defaultTableStyle="TableStyleMedium2" defaultPivotStyle="PivotStyleLight16">
    <tableStyle name="Table Style 1" pivot="0" count="0"/>
  </tableStyles>
  <colors>
    <mruColors>
      <color rgb="FFEFE9F7"/>
      <color rgb="FFC8B5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inetorg.sharepoint.com/GTIL-DevOps/Voyager/Methodology%20Templates/Group%20audit%20templates/Component%20Significance%20and%20Scoping/Development/Component%20Significance%20and%20Scoping-GTIL%20-%20Translatable%20M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ructions"/>
      <sheetName val="Data input"/>
      <sheetName val="Scoping input"/>
      <sheetName val="Summary by type of work report"/>
      <sheetName val="Translation"/>
      <sheetName val="Lists"/>
    </sheetNames>
    <sheetDataSet>
      <sheetData sheetId="0"/>
      <sheetData sheetId="1"/>
      <sheetData sheetId="2"/>
      <sheetData sheetId="3"/>
      <sheetData sheetId="4"/>
      <sheetData sheetId="5"/>
      <sheetData sheetId="6"/>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id="1" name="Table1" displayName="Table1" ref="A1:B26" totalsRowShown="0">
  <autoFilter ref="A1:B26">
    <filterColumn colId="0" hiddenButton="1"/>
    <filterColumn colId="1" hiddenButton="1"/>
  </autoFilter>
  <tableColumns count="2">
    <tableColumn id="1" name="   "/>
    <tableColumn id="2" name="                              " dataDxfId="0"/>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6"/>
  <sheetViews>
    <sheetView zoomScaleNormal="100" workbookViewId="0">
      <selection activeCell="F13" sqref="F13"/>
    </sheetView>
  </sheetViews>
  <sheetFormatPr defaultRowHeight="13.8" x14ac:dyDescent="0.25"/>
  <cols>
    <col min="1" max="1" width="27.77734375" style="24" customWidth="1"/>
    <col min="2" max="2" width="119.21875" style="24" customWidth="1"/>
    <col min="3" max="3" width="1.21875" style="24" customWidth="1"/>
    <col min="4" max="5" width="18.77734375" style="24" customWidth="1"/>
    <col min="6" max="16384" width="8.88671875" style="24"/>
  </cols>
  <sheetData>
    <row r="1" spans="1:4" ht="21" x14ac:dyDescent="0.25">
      <c r="A1" s="44" t="s">
        <v>42</v>
      </c>
      <c r="B1" s="44"/>
      <c r="D1" s="55"/>
    </row>
    <row r="2" spans="1:4" ht="15.6" x14ac:dyDescent="0.25">
      <c r="A2" s="22" t="s">
        <v>43</v>
      </c>
      <c r="B2" s="23"/>
    </row>
    <row r="3" spans="1:4" x14ac:dyDescent="0.25">
      <c r="A3" s="41" t="s">
        <v>44</v>
      </c>
      <c r="B3" s="41"/>
    </row>
    <row r="4" spans="1:4" x14ac:dyDescent="0.25">
      <c r="A4" s="42" t="s">
        <v>45</v>
      </c>
      <c r="B4" s="42"/>
    </row>
    <row r="5" spans="1:4" ht="15.6" x14ac:dyDescent="0.25">
      <c r="A5" s="39"/>
      <c r="B5" s="23"/>
    </row>
    <row r="6" spans="1:4" ht="41.4" customHeight="1" x14ac:dyDescent="0.25">
      <c r="A6" s="43" t="s">
        <v>30</v>
      </c>
      <c r="B6" s="43"/>
      <c r="D6" s="25"/>
    </row>
    <row r="7" spans="1:4" x14ac:dyDescent="0.25">
      <c r="A7" s="40"/>
      <c r="B7" s="40"/>
    </row>
    <row r="8" spans="1:4" x14ac:dyDescent="0.25">
      <c r="A8" s="26" t="s">
        <v>31</v>
      </c>
      <c r="B8" s="40"/>
    </row>
    <row r="9" spans="1:4" x14ac:dyDescent="0.25">
      <c r="A9" s="26"/>
      <c r="B9" s="40"/>
    </row>
    <row r="10" spans="1:4" ht="25.8" customHeight="1" x14ac:dyDescent="0.25">
      <c r="A10" s="31" t="s">
        <v>32</v>
      </c>
      <c r="B10" s="37" t="s">
        <v>33</v>
      </c>
      <c r="D10" s="27"/>
    </row>
    <row r="11" spans="1:4" ht="12.6" customHeight="1" x14ac:dyDescent="0.25">
      <c r="A11" s="31" t="s">
        <v>34</v>
      </c>
      <c r="B11" s="38" t="s">
        <v>35</v>
      </c>
    </row>
    <row r="12" spans="1:4" ht="28.2" customHeight="1" x14ac:dyDescent="0.25">
      <c r="A12" s="31" t="s">
        <v>36</v>
      </c>
      <c r="B12" s="38" t="s">
        <v>28</v>
      </c>
      <c r="D12" s="27"/>
    </row>
    <row r="13" spans="1:4" ht="205.8" customHeight="1" x14ac:dyDescent="0.25">
      <c r="A13" s="31" t="s">
        <v>37</v>
      </c>
      <c r="B13" s="34" t="s">
        <v>29</v>
      </c>
    </row>
    <row r="14" spans="1:4" ht="57" customHeight="1" x14ac:dyDescent="0.25">
      <c r="A14" s="32" t="s">
        <v>38</v>
      </c>
      <c r="B14" s="35" t="s">
        <v>39</v>
      </c>
    </row>
    <row r="15" spans="1:4" ht="90.6" customHeight="1" x14ac:dyDescent="0.25">
      <c r="A15" s="33" t="s">
        <v>40</v>
      </c>
      <c r="B15" s="36" t="s">
        <v>41</v>
      </c>
      <c r="D15" s="28"/>
    </row>
    <row r="16" spans="1:4" x14ac:dyDescent="0.25">
      <c r="A16" s="56"/>
      <c r="B16" s="56"/>
    </row>
  </sheetData>
  <mergeCells count="4">
    <mergeCell ref="A3:B3"/>
    <mergeCell ref="A4:B4"/>
    <mergeCell ref="A6:B6"/>
    <mergeCell ref="A1:B1"/>
  </mergeCells>
  <phoneticPr fontId="22"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G219"/>
  <sheetViews>
    <sheetView tabSelected="1" workbookViewId="0">
      <selection activeCell="A120" sqref="A120"/>
    </sheetView>
  </sheetViews>
  <sheetFormatPr defaultColWidth="11.44140625" defaultRowHeight="13.2" x14ac:dyDescent="0.25"/>
  <cols>
    <col min="1" max="1" width="5.5546875" style="1" customWidth="1"/>
    <col min="2" max="2" width="58.5546875" style="1" customWidth="1"/>
    <col min="3" max="3" width="43.44140625" style="1" customWidth="1"/>
    <col min="4" max="4" width="20.44140625" style="1" customWidth="1"/>
    <col min="5" max="5" width="23.5546875" style="1" customWidth="1"/>
    <col min="6" max="6" width="51.21875" style="1" customWidth="1"/>
    <col min="7" max="7" width="26.5546875" style="1" customWidth="1"/>
    <col min="8" max="16384" width="11.44140625" style="1"/>
  </cols>
  <sheetData>
    <row r="1" spans="2:7" x14ac:dyDescent="0.25">
      <c r="B1" s="2"/>
      <c r="C1" s="2"/>
    </row>
    <row r="2" spans="2:7" ht="15.6" x14ac:dyDescent="0.25">
      <c r="B2" s="7" t="str">
        <f>_sheetContentTranslation_A_3</f>
        <v>确定组成部分实际执行的重要性水平</v>
      </c>
      <c r="C2" s="7"/>
      <c r="D2" s="8"/>
      <c r="E2" s="9"/>
      <c r="F2" s="9"/>
      <c r="G2" s="10"/>
    </row>
    <row r="3" spans="2:7" ht="15.6" x14ac:dyDescent="0.25">
      <c r="B3" s="7"/>
      <c r="C3" s="7"/>
      <c r="D3" s="8"/>
      <c r="E3" s="9"/>
      <c r="F3" s="9"/>
      <c r="G3" s="10"/>
    </row>
    <row r="4" spans="2:7" x14ac:dyDescent="0.25">
      <c r="B4" s="13" t="str">
        <f>_sheetContentTranslation_A_4</f>
        <v>集团名称</v>
      </c>
      <c r="C4" s="17"/>
      <c r="F4" s="9"/>
      <c r="G4" s="10"/>
    </row>
    <row r="5" spans="2:7" x14ac:dyDescent="0.25">
      <c r="B5" s="13" t="str">
        <f>_sheetContentTranslation_A_5</f>
        <v>集团报表截止日</v>
      </c>
      <c r="C5" s="18"/>
      <c r="F5" s="9"/>
      <c r="G5" s="10"/>
    </row>
    <row r="6" spans="2:7" ht="12.75" customHeight="1" x14ac:dyDescent="0.25">
      <c r="B6" s="3"/>
      <c r="C6" s="3"/>
      <c r="D6" s="3"/>
      <c r="E6" s="3"/>
      <c r="F6" s="3"/>
    </row>
    <row r="7" spans="2:7" ht="14.25" customHeight="1" x14ac:dyDescent="0.25">
      <c r="B7" s="12" t="str">
        <f>_sheetContentTranslation_A_6</f>
        <v>输入值</v>
      </c>
      <c r="C7" s="14"/>
      <c r="D7" s="4"/>
      <c r="E7" s="4"/>
      <c r="F7" s="3"/>
    </row>
    <row r="8" spans="2:7" x14ac:dyDescent="0.25">
      <c r="B8" s="11" t="str">
        <f>_sheetContentTranslation_A_7</f>
        <v>集团重要性水平</v>
      </c>
      <c r="C8" s="15"/>
      <c r="D8" s="4"/>
      <c r="E8" s="4"/>
      <c r="F8" s="4"/>
      <c r="G8" s="5"/>
    </row>
    <row r="9" spans="2:7" x14ac:dyDescent="0.25">
      <c r="B9" s="11" t="str">
        <f>_sheetContentTranslation_A_8</f>
        <v>选取基准</v>
      </c>
      <c r="C9" s="16"/>
      <c r="D9" s="4"/>
      <c r="E9" s="4"/>
      <c r="F9" s="4"/>
    </row>
    <row r="10" spans="2:7" x14ac:dyDescent="0.25">
      <c r="B10" s="11" t="str">
        <f>_sheetContentTranslation_A_9</f>
        <v>集团基准金额</v>
      </c>
      <c r="C10" s="15"/>
      <c r="D10" s="4"/>
      <c r="E10" s="4"/>
      <c r="F10" s="4"/>
    </row>
    <row r="11" spans="2:7" ht="12.75" customHeight="1" x14ac:dyDescent="0.25">
      <c r="B11" s="11" t="str">
        <f>_sheetContentTranslation_A_10</f>
        <v>集团实际执行的重要性水平</v>
      </c>
      <c r="C11" s="15"/>
      <c r="D11" s="4"/>
      <c r="E11" s="4"/>
      <c r="F11" s="4"/>
    </row>
    <row r="12" spans="2:7" ht="12.75" customHeight="1" x14ac:dyDescent="0.25">
      <c r="B12" s="11" t="str">
        <f>_sheetContentTranslation_A_11</f>
        <v>组成部分个数，不包括权益法投资</v>
      </c>
      <c r="C12" s="15"/>
      <c r="D12" s="4"/>
      <c r="E12" s="4"/>
      <c r="F12" s="4"/>
    </row>
    <row r="13" spans="2:7" ht="12.75" customHeight="1" x14ac:dyDescent="0.25">
      <c r="B13" s="11" t="str">
        <f>_sheetContentTranslation_A_12</f>
        <v>权益法投资的组成部分个数</v>
      </c>
      <c r="C13" s="15"/>
      <c r="D13" s="4"/>
      <c r="E13" s="4"/>
      <c r="F13" s="4"/>
    </row>
    <row r="14" spans="2:7" x14ac:dyDescent="0.25">
      <c r="B14" s="4"/>
      <c r="C14" s="4"/>
      <c r="D14" s="4"/>
      <c r="E14" s="4"/>
      <c r="F14" s="4"/>
    </row>
    <row r="15" spans="2:7" ht="12.75" customHeight="1" x14ac:dyDescent="0.25">
      <c r="B15" s="53" t="str">
        <f>_sheetContentTranslation_A_13</f>
        <v>组成部分</v>
      </c>
      <c r="C15" s="53" t="str">
        <f>_sheetContentTranslation_A_14</f>
        <v>组成部分类型</v>
      </c>
      <c r="D15" s="51" t="str">
        <f>_sheetContentTranslation_A_15</f>
        <v>组成部分基准金额</v>
      </c>
      <c r="E15" s="45" t="str">
        <f>_sheetContentTranslation_A_16</f>
        <v>集团基准金额适用百分比</v>
      </c>
      <c r="F15" s="45" t="str">
        <f>_sheetContentTranslation_A_17</f>
        <v>潜在组成部分实际执行的重要性水平
(平方根方法）</v>
      </c>
      <c r="G15" s="45" t="str">
        <f>_sheetContentTranslation_A_18</f>
        <v>确定的组成部分实际执行的重要性水平</v>
      </c>
    </row>
    <row r="16" spans="2:7" ht="14.25" customHeight="1" thickBot="1" x14ac:dyDescent="0.3">
      <c r="B16" s="54"/>
      <c r="C16" s="54"/>
      <c r="D16" s="52"/>
      <c r="E16" s="46"/>
      <c r="F16" s="46"/>
      <c r="G16" s="46"/>
    </row>
    <row r="17" spans="2:7" x14ac:dyDescent="0.25">
      <c r="B17" s="6"/>
      <c r="C17" s="6"/>
      <c r="D17" s="6"/>
      <c r="E17" s="20" t="str">
        <f>IFERROR(D17/$C$10,"")</f>
        <v/>
      </c>
      <c r="F17" s="21" t="str">
        <f>IFERROR(MROUND($C$11*SQRT(E17), 1000),"")</f>
        <v/>
      </c>
      <c r="G17" s="6"/>
    </row>
    <row r="18" spans="2:7" x14ac:dyDescent="0.25">
      <c r="B18" s="6"/>
      <c r="C18" s="6"/>
      <c r="D18" s="6"/>
      <c r="E18" s="20" t="str">
        <f>IFERROR(D18/$C$10,"")</f>
        <v/>
      </c>
      <c r="F18" s="21" t="str">
        <f t="shared" ref="F18:F81" si="0">IFERROR(MROUND($C$11*SQRT(E18), 1000),"")</f>
        <v/>
      </c>
      <c r="G18" s="6"/>
    </row>
    <row r="19" spans="2:7" x14ac:dyDescent="0.25">
      <c r="B19" s="6"/>
      <c r="C19" s="6"/>
      <c r="D19" s="6"/>
      <c r="E19" s="20" t="str">
        <f t="shared" ref="E19:E82" si="1">IFERROR(D19/$C$10,"")</f>
        <v/>
      </c>
      <c r="F19" s="21" t="str">
        <f t="shared" si="0"/>
        <v/>
      </c>
      <c r="G19" s="6"/>
    </row>
    <row r="20" spans="2:7" hidden="1" x14ac:dyDescent="0.25">
      <c r="B20" s="6"/>
      <c r="C20" s="6"/>
      <c r="D20" s="6"/>
      <c r="E20" s="20" t="str">
        <f t="shared" si="1"/>
        <v/>
      </c>
      <c r="F20" s="21" t="str">
        <f t="shared" si="0"/>
        <v/>
      </c>
      <c r="G20" s="6"/>
    </row>
    <row r="21" spans="2:7" hidden="1" x14ac:dyDescent="0.25">
      <c r="B21" s="6"/>
      <c r="C21" s="6"/>
      <c r="D21" s="6"/>
      <c r="E21" s="20" t="str">
        <f t="shared" si="1"/>
        <v/>
      </c>
      <c r="F21" s="21" t="str">
        <f t="shared" si="0"/>
        <v/>
      </c>
      <c r="G21" s="6"/>
    </row>
    <row r="22" spans="2:7" hidden="1" x14ac:dyDescent="0.25">
      <c r="B22" s="6"/>
      <c r="C22" s="6"/>
      <c r="D22" s="6"/>
      <c r="E22" s="20" t="str">
        <f t="shared" si="1"/>
        <v/>
      </c>
      <c r="F22" s="21" t="str">
        <f t="shared" si="0"/>
        <v/>
      </c>
      <c r="G22" s="6"/>
    </row>
    <row r="23" spans="2:7" hidden="1" x14ac:dyDescent="0.25">
      <c r="B23" s="6"/>
      <c r="C23" s="6"/>
      <c r="D23" s="6"/>
      <c r="E23" s="20" t="str">
        <f t="shared" si="1"/>
        <v/>
      </c>
      <c r="F23" s="21" t="str">
        <f t="shared" si="0"/>
        <v/>
      </c>
      <c r="G23" s="6"/>
    </row>
    <row r="24" spans="2:7" hidden="1" x14ac:dyDescent="0.25">
      <c r="B24" s="6"/>
      <c r="C24" s="6"/>
      <c r="D24" s="6"/>
      <c r="E24" s="20" t="str">
        <f t="shared" si="1"/>
        <v/>
      </c>
      <c r="F24" s="21" t="str">
        <f t="shared" si="0"/>
        <v/>
      </c>
      <c r="G24" s="6"/>
    </row>
    <row r="25" spans="2:7" hidden="1" x14ac:dyDescent="0.25">
      <c r="B25" s="6"/>
      <c r="C25" s="6"/>
      <c r="D25" s="6"/>
      <c r="E25" s="20" t="str">
        <f t="shared" si="1"/>
        <v/>
      </c>
      <c r="F25" s="21" t="str">
        <f t="shared" si="0"/>
        <v/>
      </c>
      <c r="G25" s="6"/>
    </row>
    <row r="26" spans="2:7" hidden="1" x14ac:dyDescent="0.25">
      <c r="B26" s="6"/>
      <c r="C26" s="6"/>
      <c r="D26" s="6"/>
      <c r="E26" s="20" t="str">
        <f t="shared" si="1"/>
        <v/>
      </c>
      <c r="F26" s="21" t="str">
        <f t="shared" si="0"/>
        <v/>
      </c>
      <c r="G26" s="6"/>
    </row>
    <row r="27" spans="2:7" hidden="1" x14ac:dyDescent="0.25">
      <c r="B27" s="6"/>
      <c r="C27" s="6"/>
      <c r="D27" s="6"/>
      <c r="E27" s="20" t="str">
        <f t="shared" si="1"/>
        <v/>
      </c>
      <c r="F27" s="21" t="str">
        <f t="shared" si="0"/>
        <v/>
      </c>
      <c r="G27" s="6"/>
    </row>
    <row r="28" spans="2:7" hidden="1" x14ac:dyDescent="0.25">
      <c r="B28" s="6"/>
      <c r="C28" s="6"/>
      <c r="D28" s="6"/>
      <c r="E28" s="20" t="str">
        <f t="shared" si="1"/>
        <v/>
      </c>
      <c r="F28" s="21" t="str">
        <f t="shared" si="0"/>
        <v/>
      </c>
      <c r="G28" s="6"/>
    </row>
    <row r="29" spans="2:7" hidden="1" x14ac:dyDescent="0.25">
      <c r="B29" s="6"/>
      <c r="C29" s="6"/>
      <c r="D29" s="6"/>
      <c r="E29" s="20" t="str">
        <f t="shared" si="1"/>
        <v/>
      </c>
      <c r="F29" s="21" t="str">
        <f t="shared" si="0"/>
        <v/>
      </c>
      <c r="G29" s="6"/>
    </row>
    <row r="30" spans="2:7" hidden="1" x14ac:dyDescent="0.25">
      <c r="B30" s="6"/>
      <c r="C30" s="6"/>
      <c r="D30" s="6"/>
      <c r="E30" s="20" t="str">
        <f t="shared" si="1"/>
        <v/>
      </c>
      <c r="F30" s="21" t="str">
        <f t="shared" si="0"/>
        <v/>
      </c>
      <c r="G30" s="6"/>
    </row>
    <row r="31" spans="2:7" hidden="1" x14ac:dyDescent="0.25">
      <c r="B31" s="6"/>
      <c r="C31" s="6"/>
      <c r="D31" s="6"/>
      <c r="E31" s="20" t="str">
        <f t="shared" si="1"/>
        <v/>
      </c>
      <c r="F31" s="21" t="str">
        <f t="shared" si="0"/>
        <v/>
      </c>
      <c r="G31" s="6"/>
    </row>
    <row r="32" spans="2:7" hidden="1" x14ac:dyDescent="0.25">
      <c r="B32" s="6"/>
      <c r="C32" s="6"/>
      <c r="D32" s="6"/>
      <c r="E32" s="20" t="str">
        <f t="shared" si="1"/>
        <v/>
      </c>
      <c r="F32" s="21" t="str">
        <f t="shared" si="0"/>
        <v/>
      </c>
      <c r="G32" s="6"/>
    </row>
    <row r="33" spans="2:7" hidden="1" x14ac:dyDescent="0.25">
      <c r="B33" s="6"/>
      <c r="C33" s="6"/>
      <c r="D33" s="6"/>
      <c r="E33" s="20" t="str">
        <f t="shared" si="1"/>
        <v/>
      </c>
      <c r="F33" s="21" t="str">
        <f t="shared" si="0"/>
        <v/>
      </c>
      <c r="G33" s="6"/>
    </row>
    <row r="34" spans="2:7" hidden="1" x14ac:dyDescent="0.25">
      <c r="B34" s="6"/>
      <c r="C34" s="6"/>
      <c r="D34" s="6"/>
      <c r="E34" s="20" t="str">
        <f t="shared" si="1"/>
        <v/>
      </c>
      <c r="F34" s="21" t="str">
        <f t="shared" si="0"/>
        <v/>
      </c>
      <c r="G34" s="6"/>
    </row>
    <row r="35" spans="2:7" hidden="1" x14ac:dyDescent="0.25">
      <c r="B35" s="6"/>
      <c r="C35" s="6"/>
      <c r="D35" s="6"/>
      <c r="E35" s="20" t="str">
        <f t="shared" si="1"/>
        <v/>
      </c>
      <c r="F35" s="21" t="str">
        <f t="shared" si="0"/>
        <v/>
      </c>
      <c r="G35" s="6"/>
    </row>
    <row r="36" spans="2:7" hidden="1" x14ac:dyDescent="0.25">
      <c r="B36" s="6"/>
      <c r="C36" s="6"/>
      <c r="D36" s="6"/>
      <c r="E36" s="20" t="str">
        <f t="shared" si="1"/>
        <v/>
      </c>
      <c r="F36" s="21" t="str">
        <f t="shared" si="0"/>
        <v/>
      </c>
      <c r="G36" s="6"/>
    </row>
    <row r="37" spans="2:7" hidden="1" x14ac:dyDescent="0.25">
      <c r="B37" s="6"/>
      <c r="C37" s="6"/>
      <c r="D37" s="6"/>
      <c r="E37" s="20" t="str">
        <f t="shared" si="1"/>
        <v/>
      </c>
      <c r="F37" s="21" t="str">
        <f t="shared" si="0"/>
        <v/>
      </c>
      <c r="G37" s="6"/>
    </row>
    <row r="38" spans="2:7" hidden="1" x14ac:dyDescent="0.25">
      <c r="B38" s="6"/>
      <c r="C38" s="6"/>
      <c r="D38" s="6"/>
      <c r="E38" s="20" t="str">
        <f t="shared" si="1"/>
        <v/>
      </c>
      <c r="F38" s="21" t="str">
        <f t="shared" si="0"/>
        <v/>
      </c>
      <c r="G38" s="6"/>
    </row>
    <row r="39" spans="2:7" hidden="1" x14ac:dyDescent="0.25">
      <c r="B39" s="6"/>
      <c r="C39" s="6"/>
      <c r="D39" s="6"/>
      <c r="E39" s="20" t="str">
        <f t="shared" si="1"/>
        <v/>
      </c>
      <c r="F39" s="21" t="str">
        <f t="shared" si="0"/>
        <v/>
      </c>
      <c r="G39" s="6"/>
    </row>
    <row r="40" spans="2:7" hidden="1" x14ac:dyDescent="0.25">
      <c r="B40" s="6"/>
      <c r="C40" s="6"/>
      <c r="D40" s="6"/>
      <c r="E40" s="20" t="str">
        <f t="shared" si="1"/>
        <v/>
      </c>
      <c r="F40" s="21" t="str">
        <f t="shared" si="0"/>
        <v/>
      </c>
      <c r="G40" s="6"/>
    </row>
    <row r="41" spans="2:7" hidden="1" x14ac:dyDescent="0.25">
      <c r="B41" s="6"/>
      <c r="C41" s="6"/>
      <c r="D41" s="6"/>
      <c r="E41" s="20" t="str">
        <f t="shared" si="1"/>
        <v/>
      </c>
      <c r="F41" s="21" t="str">
        <f t="shared" si="0"/>
        <v/>
      </c>
      <c r="G41" s="6"/>
    </row>
    <row r="42" spans="2:7" hidden="1" x14ac:dyDescent="0.25">
      <c r="B42" s="6"/>
      <c r="C42" s="6"/>
      <c r="D42" s="6"/>
      <c r="E42" s="20" t="str">
        <f t="shared" si="1"/>
        <v/>
      </c>
      <c r="F42" s="21" t="str">
        <f t="shared" si="0"/>
        <v/>
      </c>
      <c r="G42" s="6"/>
    </row>
    <row r="43" spans="2:7" hidden="1" x14ac:dyDescent="0.25">
      <c r="B43" s="6"/>
      <c r="C43" s="6"/>
      <c r="D43" s="6"/>
      <c r="E43" s="20" t="str">
        <f t="shared" si="1"/>
        <v/>
      </c>
      <c r="F43" s="21" t="str">
        <f t="shared" si="0"/>
        <v/>
      </c>
      <c r="G43" s="6"/>
    </row>
    <row r="44" spans="2:7" hidden="1" x14ac:dyDescent="0.25">
      <c r="B44" s="6"/>
      <c r="C44" s="6"/>
      <c r="D44" s="6"/>
      <c r="E44" s="20" t="str">
        <f t="shared" si="1"/>
        <v/>
      </c>
      <c r="F44" s="21" t="str">
        <f t="shared" si="0"/>
        <v/>
      </c>
      <c r="G44" s="6"/>
    </row>
    <row r="45" spans="2:7" hidden="1" x14ac:dyDescent="0.25">
      <c r="B45" s="6"/>
      <c r="C45" s="6"/>
      <c r="D45" s="6"/>
      <c r="E45" s="20" t="str">
        <f t="shared" si="1"/>
        <v/>
      </c>
      <c r="F45" s="21" t="str">
        <f t="shared" si="0"/>
        <v/>
      </c>
      <c r="G45" s="6"/>
    </row>
    <row r="46" spans="2:7" hidden="1" x14ac:dyDescent="0.25">
      <c r="B46" s="6"/>
      <c r="C46" s="6"/>
      <c r="D46" s="6"/>
      <c r="E46" s="20" t="str">
        <f t="shared" si="1"/>
        <v/>
      </c>
      <c r="F46" s="21" t="str">
        <f t="shared" si="0"/>
        <v/>
      </c>
      <c r="G46" s="6"/>
    </row>
    <row r="47" spans="2:7" hidden="1" x14ac:dyDescent="0.25">
      <c r="B47" s="6"/>
      <c r="C47" s="6"/>
      <c r="D47" s="6"/>
      <c r="E47" s="20" t="str">
        <f t="shared" si="1"/>
        <v/>
      </c>
      <c r="F47" s="21" t="str">
        <f t="shared" si="0"/>
        <v/>
      </c>
      <c r="G47" s="6"/>
    </row>
    <row r="48" spans="2:7" hidden="1" x14ac:dyDescent="0.25">
      <c r="B48" s="6"/>
      <c r="C48" s="6"/>
      <c r="D48" s="6"/>
      <c r="E48" s="20" t="str">
        <f t="shared" si="1"/>
        <v/>
      </c>
      <c r="F48" s="21" t="str">
        <f t="shared" si="0"/>
        <v/>
      </c>
      <c r="G48" s="6"/>
    </row>
    <row r="49" spans="2:7" hidden="1" x14ac:dyDescent="0.25">
      <c r="B49" s="6"/>
      <c r="C49" s="6"/>
      <c r="D49" s="6"/>
      <c r="E49" s="20" t="str">
        <f t="shared" si="1"/>
        <v/>
      </c>
      <c r="F49" s="21" t="str">
        <f t="shared" si="0"/>
        <v/>
      </c>
      <c r="G49" s="6"/>
    </row>
    <row r="50" spans="2:7" hidden="1" x14ac:dyDescent="0.25">
      <c r="B50" s="6"/>
      <c r="C50" s="6"/>
      <c r="D50" s="6"/>
      <c r="E50" s="20" t="str">
        <f t="shared" si="1"/>
        <v/>
      </c>
      <c r="F50" s="21" t="str">
        <f t="shared" si="0"/>
        <v/>
      </c>
      <c r="G50" s="6"/>
    </row>
    <row r="51" spans="2:7" hidden="1" x14ac:dyDescent="0.25">
      <c r="B51" s="6"/>
      <c r="C51" s="6"/>
      <c r="D51" s="6"/>
      <c r="E51" s="20" t="str">
        <f t="shared" si="1"/>
        <v/>
      </c>
      <c r="F51" s="21" t="str">
        <f t="shared" si="0"/>
        <v/>
      </c>
      <c r="G51" s="6"/>
    </row>
    <row r="52" spans="2:7" hidden="1" x14ac:dyDescent="0.25">
      <c r="B52" s="6"/>
      <c r="C52" s="6"/>
      <c r="D52" s="6"/>
      <c r="E52" s="20" t="str">
        <f t="shared" si="1"/>
        <v/>
      </c>
      <c r="F52" s="21" t="str">
        <f t="shared" si="0"/>
        <v/>
      </c>
      <c r="G52" s="6"/>
    </row>
    <row r="53" spans="2:7" hidden="1" x14ac:dyDescent="0.25">
      <c r="B53" s="6"/>
      <c r="C53" s="6"/>
      <c r="D53" s="6"/>
      <c r="E53" s="20" t="str">
        <f t="shared" si="1"/>
        <v/>
      </c>
      <c r="F53" s="21" t="str">
        <f t="shared" si="0"/>
        <v/>
      </c>
      <c r="G53" s="6"/>
    </row>
    <row r="54" spans="2:7" hidden="1" x14ac:dyDescent="0.25">
      <c r="B54" s="6"/>
      <c r="C54" s="6"/>
      <c r="D54" s="6"/>
      <c r="E54" s="20" t="str">
        <f t="shared" si="1"/>
        <v/>
      </c>
      <c r="F54" s="21" t="str">
        <f t="shared" si="0"/>
        <v/>
      </c>
      <c r="G54" s="6"/>
    </row>
    <row r="55" spans="2:7" hidden="1" x14ac:dyDescent="0.25">
      <c r="B55" s="6"/>
      <c r="C55" s="6"/>
      <c r="D55" s="6"/>
      <c r="E55" s="20" t="str">
        <f t="shared" si="1"/>
        <v/>
      </c>
      <c r="F55" s="21" t="str">
        <f t="shared" si="0"/>
        <v/>
      </c>
      <c r="G55" s="6"/>
    </row>
    <row r="56" spans="2:7" hidden="1" x14ac:dyDescent="0.25">
      <c r="B56" s="6"/>
      <c r="C56" s="6"/>
      <c r="D56" s="6"/>
      <c r="E56" s="20" t="str">
        <f t="shared" si="1"/>
        <v/>
      </c>
      <c r="F56" s="21" t="str">
        <f t="shared" si="0"/>
        <v/>
      </c>
      <c r="G56" s="6"/>
    </row>
    <row r="57" spans="2:7" hidden="1" x14ac:dyDescent="0.25">
      <c r="B57" s="6"/>
      <c r="C57" s="6"/>
      <c r="D57" s="6"/>
      <c r="E57" s="20" t="str">
        <f t="shared" si="1"/>
        <v/>
      </c>
      <c r="F57" s="21" t="str">
        <f t="shared" si="0"/>
        <v/>
      </c>
      <c r="G57" s="6"/>
    </row>
    <row r="58" spans="2:7" hidden="1" x14ac:dyDescent="0.25">
      <c r="B58" s="6"/>
      <c r="C58" s="6"/>
      <c r="D58" s="6"/>
      <c r="E58" s="20" t="str">
        <f t="shared" si="1"/>
        <v/>
      </c>
      <c r="F58" s="21" t="str">
        <f t="shared" si="0"/>
        <v/>
      </c>
      <c r="G58" s="6"/>
    </row>
    <row r="59" spans="2:7" hidden="1" x14ac:dyDescent="0.25">
      <c r="B59" s="6"/>
      <c r="C59" s="6"/>
      <c r="D59" s="6"/>
      <c r="E59" s="20" t="str">
        <f t="shared" si="1"/>
        <v/>
      </c>
      <c r="F59" s="21" t="str">
        <f t="shared" si="0"/>
        <v/>
      </c>
      <c r="G59" s="6"/>
    </row>
    <row r="60" spans="2:7" hidden="1" x14ac:dyDescent="0.25">
      <c r="B60" s="6"/>
      <c r="C60" s="6"/>
      <c r="D60" s="6"/>
      <c r="E60" s="20" t="str">
        <f t="shared" si="1"/>
        <v/>
      </c>
      <c r="F60" s="21" t="str">
        <f t="shared" si="0"/>
        <v/>
      </c>
      <c r="G60" s="6"/>
    </row>
    <row r="61" spans="2:7" hidden="1" x14ac:dyDescent="0.25">
      <c r="B61" s="6"/>
      <c r="C61" s="6"/>
      <c r="D61" s="6"/>
      <c r="E61" s="20" t="str">
        <f t="shared" si="1"/>
        <v/>
      </c>
      <c r="F61" s="21" t="str">
        <f t="shared" si="0"/>
        <v/>
      </c>
      <c r="G61" s="6"/>
    </row>
    <row r="62" spans="2:7" hidden="1" x14ac:dyDescent="0.25">
      <c r="B62" s="6"/>
      <c r="C62" s="6"/>
      <c r="D62" s="6"/>
      <c r="E62" s="20" t="str">
        <f t="shared" si="1"/>
        <v/>
      </c>
      <c r="F62" s="21" t="str">
        <f t="shared" si="0"/>
        <v/>
      </c>
      <c r="G62" s="6"/>
    </row>
    <row r="63" spans="2:7" hidden="1" x14ac:dyDescent="0.25">
      <c r="B63" s="6"/>
      <c r="C63" s="6"/>
      <c r="D63" s="6"/>
      <c r="E63" s="20" t="str">
        <f t="shared" si="1"/>
        <v/>
      </c>
      <c r="F63" s="21" t="str">
        <f t="shared" si="0"/>
        <v/>
      </c>
      <c r="G63" s="6"/>
    </row>
    <row r="64" spans="2:7" hidden="1" x14ac:dyDescent="0.25">
      <c r="B64" s="6"/>
      <c r="C64" s="6"/>
      <c r="D64" s="6"/>
      <c r="E64" s="20" t="str">
        <f t="shared" si="1"/>
        <v/>
      </c>
      <c r="F64" s="21" t="str">
        <f t="shared" si="0"/>
        <v/>
      </c>
      <c r="G64" s="6"/>
    </row>
    <row r="65" spans="2:7" hidden="1" x14ac:dyDescent="0.25">
      <c r="B65" s="6"/>
      <c r="C65" s="6"/>
      <c r="D65" s="6"/>
      <c r="E65" s="20" t="str">
        <f t="shared" si="1"/>
        <v/>
      </c>
      <c r="F65" s="21" t="str">
        <f t="shared" si="0"/>
        <v/>
      </c>
      <c r="G65" s="6"/>
    </row>
    <row r="66" spans="2:7" hidden="1" x14ac:dyDescent="0.25">
      <c r="B66" s="6"/>
      <c r="C66" s="6"/>
      <c r="D66" s="6"/>
      <c r="E66" s="20" t="str">
        <f t="shared" si="1"/>
        <v/>
      </c>
      <c r="F66" s="21" t="str">
        <f t="shared" si="0"/>
        <v/>
      </c>
      <c r="G66" s="6"/>
    </row>
    <row r="67" spans="2:7" hidden="1" x14ac:dyDescent="0.25">
      <c r="B67" s="6"/>
      <c r="C67" s="6"/>
      <c r="D67" s="6"/>
      <c r="E67" s="20" t="str">
        <f t="shared" si="1"/>
        <v/>
      </c>
      <c r="F67" s="21" t="str">
        <f t="shared" si="0"/>
        <v/>
      </c>
      <c r="G67" s="6"/>
    </row>
    <row r="68" spans="2:7" hidden="1" x14ac:dyDescent="0.25">
      <c r="B68" s="6"/>
      <c r="C68" s="6"/>
      <c r="D68" s="6"/>
      <c r="E68" s="20" t="str">
        <f t="shared" si="1"/>
        <v/>
      </c>
      <c r="F68" s="21" t="str">
        <f t="shared" si="0"/>
        <v/>
      </c>
      <c r="G68" s="6"/>
    </row>
    <row r="69" spans="2:7" hidden="1" x14ac:dyDescent="0.25">
      <c r="B69" s="6"/>
      <c r="C69" s="6"/>
      <c r="D69" s="6"/>
      <c r="E69" s="20" t="str">
        <f t="shared" si="1"/>
        <v/>
      </c>
      <c r="F69" s="21" t="str">
        <f t="shared" si="0"/>
        <v/>
      </c>
      <c r="G69" s="6"/>
    </row>
    <row r="70" spans="2:7" hidden="1" x14ac:dyDescent="0.25">
      <c r="B70" s="6"/>
      <c r="C70" s="6"/>
      <c r="D70" s="6"/>
      <c r="E70" s="20" t="str">
        <f t="shared" si="1"/>
        <v/>
      </c>
      <c r="F70" s="21" t="str">
        <f t="shared" si="0"/>
        <v/>
      </c>
      <c r="G70" s="6"/>
    </row>
    <row r="71" spans="2:7" hidden="1" x14ac:dyDescent="0.25">
      <c r="B71" s="6"/>
      <c r="C71" s="6"/>
      <c r="D71" s="6"/>
      <c r="E71" s="20" t="str">
        <f t="shared" si="1"/>
        <v/>
      </c>
      <c r="F71" s="21" t="str">
        <f t="shared" si="0"/>
        <v/>
      </c>
      <c r="G71" s="6"/>
    </row>
    <row r="72" spans="2:7" hidden="1" x14ac:dyDescent="0.25">
      <c r="B72" s="6"/>
      <c r="C72" s="6"/>
      <c r="D72" s="6"/>
      <c r="E72" s="20" t="str">
        <f t="shared" si="1"/>
        <v/>
      </c>
      <c r="F72" s="21" t="str">
        <f t="shared" si="0"/>
        <v/>
      </c>
      <c r="G72" s="6"/>
    </row>
    <row r="73" spans="2:7" hidden="1" x14ac:dyDescent="0.25">
      <c r="B73" s="6"/>
      <c r="C73" s="6"/>
      <c r="D73" s="6"/>
      <c r="E73" s="20" t="str">
        <f t="shared" si="1"/>
        <v/>
      </c>
      <c r="F73" s="21" t="str">
        <f t="shared" si="0"/>
        <v/>
      </c>
      <c r="G73" s="6"/>
    </row>
    <row r="74" spans="2:7" hidden="1" x14ac:dyDescent="0.25">
      <c r="B74" s="6"/>
      <c r="C74" s="6"/>
      <c r="D74" s="6"/>
      <c r="E74" s="20" t="str">
        <f t="shared" si="1"/>
        <v/>
      </c>
      <c r="F74" s="21" t="str">
        <f t="shared" si="0"/>
        <v/>
      </c>
      <c r="G74" s="6"/>
    </row>
    <row r="75" spans="2:7" hidden="1" x14ac:dyDescent="0.25">
      <c r="B75" s="6"/>
      <c r="C75" s="6"/>
      <c r="D75" s="6"/>
      <c r="E75" s="20" t="str">
        <f t="shared" si="1"/>
        <v/>
      </c>
      <c r="F75" s="21" t="str">
        <f t="shared" si="0"/>
        <v/>
      </c>
      <c r="G75" s="6"/>
    </row>
    <row r="76" spans="2:7" hidden="1" x14ac:dyDescent="0.25">
      <c r="B76" s="6"/>
      <c r="C76" s="6"/>
      <c r="D76" s="6"/>
      <c r="E76" s="20" t="str">
        <f t="shared" si="1"/>
        <v/>
      </c>
      <c r="F76" s="21" t="str">
        <f t="shared" si="0"/>
        <v/>
      </c>
      <c r="G76" s="6"/>
    </row>
    <row r="77" spans="2:7" hidden="1" x14ac:dyDescent="0.25">
      <c r="B77" s="6"/>
      <c r="C77" s="6"/>
      <c r="D77" s="6"/>
      <c r="E77" s="20" t="str">
        <f t="shared" si="1"/>
        <v/>
      </c>
      <c r="F77" s="21" t="str">
        <f t="shared" si="0"/>
        <v/>
      </c>
      <c r="G77" s="6"/>
    </row>
    <row r="78" spans="2:7" hidden="1" x14ac:dyDescent="0.25">
      <c r="B78" s="6"/>
      <c r="C78" s="6"/>
      <c r="D78" s="6"/>
      <c r="E78" s="20" t="str">
        <f t="shared" si="1"/>
        <v/>
      </c>
      <c r="F78" s="21" t="str">
        <f t="shared" si="0"/>
        <v/>
      </c>
      <c r="G78" s="6"/>
    </row>
    <row r="79" spans="2:7" hidden="1" x14ac:dyDescent="0.25">
      <c r="B79" s="6"/>
      <c r="C79" s="6"/>
      <c r="D79" s="6"/>
      <c r="E79" s="20" t="str">
        <f t="shared" si="1"/>
        <v/>
      </c>
      <c r="F79" s="21" t="str">
        <f t="shared" si="0"/>
        <v/>
      </c>
      <c r="G79" s="6"/>
    </row>
    <row r="80" spans="2:7" hidden="1" x14ac:dyDescent="0.25">
      <c r="B80" s="6"/>
      <c r="C80" s="6"/>
      <c r="D80" s="6"/>
      <c r="E80" s="20" t="str">
        <f t="shared" si="1"/>
        <v/>
      </c>
      <c r="F80" s="21" t="str">
        <f t="shared" si="0"/>
        <v/>
      </c>
      <c r="G80" s="6"/>
    </row>
    <row r="81" spans="2:7" hidden="1" x14ac:dyDescent="0.25">
      <c r="B81" s="6"/>
      <c r="C81" s="6"/>
      <c r="D81" s="6"/>
      <c r="E81" s="20" t="str">
        <f t="shared" si="1"/>
        <v/>
      </c>
      <c r="F81" s="21" t="str">
        <f t="shared" si="0"/>
        <v/>
      </c>
      <c r="G81" s="6"/>
    </row>
    <row r="82" spans="2:7" hidden="1" x14ac:dyDescent="0.25">
      <c r="B82" s="6"/>
      <c r="C82" s="6"/>
      <c r="D82" s="6"/>
      <c r="E82" s="20" t="str">
        <f t="shared" si="1"/>
        <v/>
      </c>
      <c r="F82" s="21" t="str">
        <f t="shared" ref="F82:F113" si="2">IFERROR(MROUND($C$11*SQRT(E82), 1000),"")</f>
        <v/>
      </c>
      <c r="G82" s="6"/>
    </row>
    <row r="83" spans="2:7" hidden="1" x14ac:dyDescent="0.25">
      <c r="B83" s="6"/>
      <c r="C83" s="6"/>
      <c r="D83" s="6"/>
      <c r="E83" s="20" t="str">
        <f t="shared" ref="E83:E113" si="3">IFERROR(D83/$C$10,"")</f>
        <v/>
      </c>
      <c r="F83" s="21" t="str">
        <f t="shared" si="2"/>
        <v/>
      </c>
      <c r="G83" s="6"/>
    </row>
    <row r="84" spans="2:7" hidden="1" x14ac:dyDescent="0.25">
      <c r="B84" s="6"/>
      <c r="C84" s="6"/>
      <c r="D84" s="6"/>
      <c r="E84" s="20" t="str">
        <f t="shared" si="3"/>
        <v/>
      </c>
      <c r="F84" s="21" t="str">
        <f t="shared" si="2"/>
        <v/>
      </c>
      <c r="G84" s="6"/>
    </row>
    <row r="85" spans="2:7" hidden="1" x14ac:dyDescent="0.25">
      <c r="B85" s="6"/>
      <c r="C85" s="6"/>
      <c r="D85" s="6"/>
      <c r="E85" s="20" t="str">
        <f t="shared" si="3"/>
        <v/>
      </c>
      <c r="F85" s="21" t="str">
        <f t="shared" si="2"/>
        <v/>
      </c>
      <c r="G85" s="6"/>
    </row>
    <row r="86" spans="2:7" hidden="1" x14ac:dyDescent="0.25">
      <c r="B86" s="6"/>
      <c r="C86" s="6"/>
      <c r="D86" s="6"/>
      <c r="E86" s="20" t="str">
        <f t="shared" si="3"/>
        <v/>
      </c>
      <c r="F86" s="21" t="str">
        <f t="shared" si="2"/>
        <v/>
      </c>
      <c r="G86" s="6"/>
    </row>
    <row r="87" spans="2:7" hidden="1" x14ac:dyDescent="0.25">
      <c r="B87" s="6"/>
      <c r="C87" s="6"/>
      <c r="D87" s="6"/>
      <c r="E87" s="20" t="str">
        <f t="shared" si="3"/>
        <v/>
      </c>
      <c r="F87" s="21" t="str">
        <f t="shared" si="2"/>
        <v/>
      </c>
      <c r="G87" s="6"/>
    </row>
    <row r="88" spans="2:7" hidden="1" x14ac:dyDescent="0.25">
      <c r="B88" s="6"/>
      <c r="C88" s="6"/>
      <c r="D88" s="6"/>
      <c r="E88" s="20" t="str">
        <f t="shared" si="3"/>
        <v/>
      </c>
      <c r="F88" s="21" t="str">
        <f t="shared" si="2"/>
        <v/>
      </c>
      <c r="G88" s="6"/>
    </row>
    <row r="89" spans="2:7" hidden="1" x14ac:dyDescent="0.25">
      <c r="B89" s="6"/>
      <c r="C89" s="6"/>
      <c r="D89" s="6"/>
      <c r="E89" s="20" t="str">
        <f t="shared" si="3"/>
        <v/>
      </c>
      <c r="F89" s="21" t="str">
        <f t="shared" si="2"/>
        <v/>
      </c>
      <c r="G89" s="6"/>
    </row>
    <row r="90" spans="2:7" hidden="1" x14ac:dyDescent="0.25">
      <c r="B90" s="6"/>
      <c r="C90" s="6"/>
      <c r="D90" s="6"/>
      <c r="E90" s="20" t="str">
        <f t="shared" si="3"/>
        <v/>
      </c>
      <c r="F90" s="21" t="str">
        <f t="shared" si="2"/>
        <v/>
      </c>
      <c r="G90" s="6"/>
    </row>
    <row r="91" spans="2:7" hidden="1" x14ac:dyDescent="0.25">
      <c r="B91" s="6"/>
      <c r="C91" s="6"/>
      <c r="D91" s="6"/>
      <c r="E91" s="20" t="str">
        <f t="shared" si="3"/>
        <v/>
      </c>
      <c r="F91" s="21" t="str">
        <f t="shared" si="2"/>
        <v/>
      </c>
      <c r="G91" s="6"/>
    </row>
    <row r="92" spans="2:7" hidden="1" x14ac:dyDescent="0.25">
      <c r="B92" s="6"/>
      <c r="C92" s="6"/>
      <c r="D92" s="6"/>
      <c r="E92" s="20" t="str">
        <f t="shared" si="3"/>
        <v/>
      </c>
      <c r="F92" s="21" t="str">
        <f t="shared" si="2"/>
        <v/>
      </c>
      <c r="G92" s="6"/>
    </row>
    <row r="93" spans="2:7" hidden="1" x14ac:dyDescent="0.25">
      <c r="B93" s="6"/>
      <c r="C93" s="6"/>
      <c r="D93" s="6"/>
      <c r="E93" s="20" t="str">
        <f t="shared" si="3"/>
        <v/>
      </c>
      <c r="F93" s="21" t="str">
        <f t="shared" si="2"/>
        <v/>
      </c>
      <c r="G93" s="6"/>
    </row>
    <row r="94" spans="2:7" hidden="1" x14ac:dyDescent="0.25">
      <c r="B94" s="6"/>
      <c r="C94" s="6"/>
      <c r="D94" s="6"/>
      <c r="E94" s="20" t="str">
        <f t="shared" si="3"/>
        <v/>
      </c>
      <c r="F94" s="21" t="str">
        <f t="shared" si="2"/>
        <v/>
      </c>
      <c r="G94" s="6"/>
    </row>
    <row r="95" spans="2:7" hidden="1" x14ac:dyDescent="0.25">
      <c r="B95" s="6"/>
      <c r="C95" s="6"/>
      <c r="D95" s="6"/>
      <c r="E95" s="20" t="str">
        <f t="shared" si="3"/>
        <v/>
      </c>
      <c r="F95" s="21" t="str">
        <f t="shared" si="2"/>
        <v/>
      </c>
      <c r="G95" s="6"/>
    </row>
    <row r="96" spans="2:7" hidden="1" x14ac:dyDescent="0.25">
      <c r="B96" s="6"/>
      <c r="C96" s="6"/>
      <c r="D96" s="6"/>
      <c r="E96" s="20" t="str">
        <f t="shared" si="3"/>
        <v/>
      </c>
      <c r="F96" s="21" t="str">
        <f t="shared" si="2"/>
        <v/>
      </c>
      <c r="G96" s="6"/>
    </row>
    <row r="97" spans="2:7" hidden="1" x14ac:dyDescent="0.25">
      <c r="B97" s="6"/>
      <c r="C97" s="6"/>
      <c r="D97" s="6"/>
      <c r="E97" s="20" t="str">
        <f t="shared" si="3"/>
        <v/>
      </c>
      <c r="F97" s="21" t="str">
        <f t="shared" si="2"/>
        <v/>
      </c>
      <c r="G97" s="6"/>
    </row>
    <row r="98" spans="2:7" hidden="1" x14ac:dyDescent="0.25">
      <c r="B98" s="6"/>
      <c r="C98" s="6"/>
      <c r="D98" s="6"/>
      <c r="E98" s="20" t="str">
        <f t="shared" si="3"/>
        <v/>
      </c>
      <c r="F98" s="21" t="str">
        <f t="shared" si="2"/>
        <v/>
      </c>
      <c r="G98" s="6"/>
    </row>
    <row r="99" spans="2:7" hidden="1" x14ac:dyDescent="0.25">
      <c r="B99" s="6"/>
      <c r="C99" s="6"/>
      <c r="D99" s="6"/>
      <c r="E99" s="20" t="str">
        <f t="shared" si="3"/>
        <v/>
      </c>
      <c r="F99" s="21" t="str">
        <f t="shared" si="2"/>
        <v/>
      </c>
      <c r="G99" s="6"/>
    </row>
    <row r="100" spans="2:7" hidden="1" x14ac:dyDescent="0.25">
      <c r="B100" s="6"/>
      <c r="C100" s="6"/>
      <c r="D100" s="6"/>
      <c r="E100" s="20" t="str">
        <f t="shared" si="3"/>
        <v/>
      </c>
      <c r="F100" s="21" t="str">
        <f t="shared" si="2"/>
        <v/>
      </c>
      <c r="G100" s="6"/>
    </row>
    <row r="101" spans="2:7" hidden="1" x14ac:dyDescent="0.25">
      <c r="B101" s="6"/>
      <c r="C101" s="6"/>
      <c r="D101" s="6"/>
      <c r="E101" s="20" t="str">
        <f t="shared" si="3"/>
        <v/>
      </c>
      <c r="F101" s="21" t="str">
        <f t="shared" si="2"/>
        <v/>
      </c>
      <c r="G101" s="6"/>
    </row>
    <row r="102" spans="2:7" hidden="1" x14ac:dyDescent="0.25">
      <c r="B102" s="6"/>
      <c r="C102" s="6"/>
      <c r="D102" s="6"/>
      <c r="E102" s="20" t="str">
        <f t="shared" si="3"/>
        <v/>
      </c>
      <c r="F102" s="21" t="str">
        <f t="shared" si="2"/>
        <v/>
      </c>
      <c r="G102" s="6"/>
    </row>
    <row r="103" spans="2:7" hidden="1" x14ac:dyDescent="0.25">
      <c r="B103" s="6"/>
      <c r="C103" s="6"/>
      <c r="D103" s="6"/>
      <c r="E103" s="20" t="str">
        <f t="shared" si="3"/>
        <v/>
      </c>
      <c r="F103" s="21" t="str">
        <f t="shared" si="2"/>
        <v/>
      </c>
      <c r="G103" s="6"/>
    </row>
    <row r="104" spans="2:7" hidden="1" x14ac:dyDescent="0.25">
      <c r="B104" s="6"/>
      <c r="C104" s="6"/>
      <c r="D104" s="6"/>
      <c r="E104" s="20" t="str">
        <f t="shared" si="3"/>
        <v/>
      </c>
      <c r="F104" s="21" t="str">
        <f t="shared" si="2"/>
        <v/>
      </c>
      <c r="G104" s="6"/>
    </row>
    <row r="105" spans="2:7" hidden="1" x14ac:dyDescent="0.25">
      <c r="B105" s="6"/>
      <c r="C105" s="6"/>
      <c r="D105" s="6"/>
      <c r="E105" s="20" t="str">
        <f t="shared" si="3"/>
        <v/>
      </c>
      <c r="F105" s="21" t="str">
        <f t="shared" si="2"/>
        <v/>
      </c>
      <c r="G105" s="6"/>
    </row>
    <row r="106" spans="2:7" hidden="1" x14ac:dyDescent="0.25">
      <c r="B106" s="6"/>
      <c r="C106" s="6"/>
      <c r="D106" s="6"/>
      <c r="E106" s="20" t="str">
        <f t="shared" si="3"/>
        <v/>
      </c>
      <c r="F106" s="21" t="str">
        <f t="shared" si="2"/>
        <v/>
      </c>
      <c r="G106" s="6"/>
    </row>
    <row r="107" spans="2:7" hidden="1" x14ac:dyDescent="0.25">
      <c r="B107" s="6"/>
      <c r="C107" s="6"/>
      <c r="D107" s="6"/>
      <c r="E107" s="20" t="str">
        <f t="shared" si="3"/>
        <v/>
      </c>
      <c r="F107" s="21" t="str">
        <f t="shared" si="2"/>
        <v/>
      </c>
      <c r="G107" s="6"/>
    </row>
    <row r="108" spans="2:7" hidden="1" x14ac:dyDescent="0.25">
      <c r="B108" s="6"/>
      <c r="C108" s="6"/>
      <c r="D108" s="6"/>
      <c r="E108" s="20" t="str">
        <f t="shared" si="3"/>
        <v/>
      </c>
      <c r="F108" s="21" t="str">
        <f t="shared" si="2"/>
        <v/>
      </c>
      <c r="G108" s="6"/>
    </row>
    <row r="109" spans="2:7" hidden="1" x14ac:dyDescent="0.25">
      <c r="B109" s="6"/>
      <c r="C109" s="6"/>
      <c r="D109" s="6"/>
      <c r="E109" s="20" t="str">
        <f t="shared" si="3"/>
        <v/>
      </c>
      <c r="F109" s="21" t="str">
        <f t="shared" si="2"/>
        <v/>
      </c>
      <c r="G109" s="6"/>
    </row>
    <row r="110" spans="2:7" hidden="1" x14ac:dyDescent="0.25">
      <c r="B110" s="6"/>
      <c r="C110" s="6"/>
      <c r="D110" s="6"/>
      <c r="E110" s="20" t="str">
        <f t="shared" si="3"/>
        <v/>
      </c>
      <c r="F110" s="21" t="str">
        <f t="shared" si="2"/>
        <v/>
      </c>
      <c r="G110" s="6"/>
    </row>
    <row r="111" spans="2:7" hidden="1" x14ac:dyDescent="0.25">
      <c r="B111" s="6"/>
      <c r="C111" s="6"/>
      <c r="D111" s="6"/>
      <c r="E111" s="20" t="str">
        <f t="shared" si="3"/>
        <v/>
      </c>
      <c r="F111" s="21" t="str">
        <f t="shared" si="2"/>
        <v/>
      </c>
      <c r="G111" s="6"/>
    </row>
    <row r="112" spans="2:7" hidden="1" x14ac:dyDescent="0.25">
      <c r="B112" s="6"/>
      <c r="C112" s="6"/>
      <c r="D112" s="6"/>
      <c r="E112" s="20" t="str">
        <f t="shared" si="3"/>
        <v/>
      </c>
      <c r="F112" s="21" t="str">
        <f t="shared" si="2"/>
        <v/>
      </c>
      <c r="G112" s="6"/>
    </row>
    <row r="113" spans="2:7" hidden="1" x14ac:dyDescent="0.25">
      <c r="B113" s="6"/>
      <c r="C113" s="6"/>
      <c r="D113" s="6"/>
      <c r="E113" s="20" t="str">
        <f t="shared" si="3"/>
        <v/>
      </c>
      <c r="F113" s="21" t="str">
        <f t="shared" si="2"/>
        <v/>
      </c>
      <c r="G113" s="6"/>
    </row>
    <row r="114" spans="2:7" x14ac:dyDescent="0.25">
      <c r="B114" s="4"/>
      <c r="C114" s="4"/>
      <c r="E114" s="4"/>
      <c r="F114" s="4"/>
    </row>
    <row r="116" spans="2:7" ht="15.6" x14ac:dyDescent="0.25">
      <c r="B116" s="7" t="str">
        <f>_sheetContentTranslation_A_20</f>
        <v>权益法投资</v>
      </c>
      <c r="C116" s="7"/>
      <c r="D116" s="7"/>
      <c r="E116" s="7"/>
      <c r="F116" s="7"/>
      <c r="G116" s="7"/>
    </row>
    <row r="118" spans="2:7" ht="12.75" customHeight="1" x14ac:dyDescent="0.25">
      <c r="B118" s="53" t="str">
        <f>_sheetContentTranslation_A_21</f>
        <v>组成部分（权益法投资）</v>
      </c>
      <c r="C118" s="51" t="str">
        <f>_sheetContentTranslation_A_14</f>
        <v>组成部分类型</v>
      </c>
      <c r="D118" s="47" t="str">
        <f>_sheetContentTranslation_A_10</f>
        <v>集团实际执行的重要性水平</v>
      </c>
      <c r="E118" s="49" t="str">
        <f>_sheetContentTranslation_A_22</f>
        <v>所有权百分比</v>
      </c>
      <c r="F118" s="49" t="str">
        <f>_sheetContentTranslation_A_23</f>
        <v>潜在组成部分实际执行的重要性水平
(权益法投资）</v>
      </c>
      <c r="G118" s="49" t="str">
        <f>_sheetContentTranslation_A_18</f>
        <v>确定的组成部分实际执行的重要性水平</v>
      </c>
    </row>
    <row r="119" spans="2:7" ht="27" customHeight="1" thickBot="1" x14ac:dyDescent="0.3">
      <c r="B119" s="54"/>
      <c r="C119" s="52"/>
      <c r="D119" s="48"/>
      <c r="E119" s="50"/>
      <c r="F119" s="50"/>
      <c r="G119" s="50"/>
    </row>
    <row r="120" spans="2:7" x14ac:dyDescent="0.25">
      <c r="B120" s="6"/>
      <c r="C120" s="21"/>
      <c r="D120" s="21"/>
      <c r="E120" s="29"/>
      <c r="F120" s="21" t="str">
        <f>IFERROR(D120/E120,"")</f>
        <v/>
      </c>
      <c r="G120" s="6"/>
    </row>
    <row r="121" spans="2:7" hidden="1" x14ac:dyDescent="0.25">
      <c r="B121" s="6"/>
      <c r="C121" s="21" t="str">
        <f>Translations!$A$26</f>
        <v>权益法投资</v>
      </c>
      <c r="D121" s="21">
        <f t="shared" ref="D121:D184" si="4">$C$11</f>
        <v>0</v>
      </c>
      <c r="E121" s="29"/>
      <c r="F121" s="21" t="str">
        <f t="shared" ref="F121:F184" si="5">IFERROR(D121/E121,"")</f>
        <v/>
      </c>
      <c r="G121" s="6"/>
    </row>
    <row r="122" spans="2:7" hidden="1" x14ac:dyDescent="0.25">
      <c r="B122" s="6"/>
      <c r="C122" s="21" t="str">
        <f>Translations!$A$26</f>
        <v>权益法投资</v>
      </c>
      <c r="D122" s="21">
        <f t="shared" si="4"/>
        <v>0</v>
      </c>
      <c r="E122" s="29"/>
      <c r="F122" s="21" t="str">
        <f t="shared" si="5"/>
        <v/>
      </c>
      <c r="G122" s="6"/>
    </row>
    <row r="123" spans="2:7" hidden="1" x14ac:dyDescent="0.25">
      <c r="B123" s="6"/>
      <c r="C123" s="21" t="str">
        <f>Translations!$A$26</f>
        <v>权益法投资</v>
      </c>
      <c r="D123" s="21">
        <f t="shared" si="4"/>
        <v>0</v>
      </c>
      <c r="E123" s="29"/>
      <c r="F123" s="21" t="str">
        <f t="shared" si="5"/>
        <v/>
      </c>
      <c r="G123" s="6"/>
    </row>
    <row r="124" spans="2:7" hidden="1" x14ac:dyDescent="0.25">
      <c r="B124" s="6"/>
      <c r="C124" s="21" t="str">
        <f>Translations!$A$26</f>
        <v>权益法投资</v>
      </c>
      <c r="D124" s="21">
        <f t="shared" si="4"/>
        <v>0</v>
      </c>
      <c r="E124" s="29"/>
      <c r="F124" s="21" t="str">
        <f t="shared" si="5"/>
        <v/>
      </c>
      <c r="G124" s="6"/>
    </row>
    <row r="125" spans="2:7" hidden="1" x14ac:dyDescent="0.25">
      <c r="B125" s="6"/>
      <c r="C125" s="21" t="str">
        <f>Translations!$A$26</f>
        <v>权益法投资</v>
      </c>
      <c r="D125" s="21">
        <f t="shared" si="4"/>
        <v>0</v>
      </c>
      <c r="E125" s="29"/>
      <c r="F125" s="21" t="str">
        <f t="shared" si="5"/>
        <v/>
      </c>
      <c r="G125" s="6"/>
    </row>
    <row r="126" spans="2:7" hidden="1" x14ac:dyDescent="0.25">
      <c r="B126" s="6"/>
      <c r="C126" s="21" t="str">
        <f>Translations!$A$26</f>
        <v>权益法投资</v>
      </c>
      <c r="D126" s="21">
        <f t="shared" si="4"/>
        <v>0</v>
      </c>
      <c r="E126" s="29"/>
      <c r="F126" s="21" t="str">
        <f t="shared" si="5"/>
        <v/>
      </c>
      <c r="G126" s="6"/>
    </row>
    <row r="127" spans="2:7" hidden="1" x14ac:dyDescent="0.25">
      <c r="B127" s="6"/>
      <c r="C127" s="21" t="str">
        <f>Translations!$A$26</f>
        <v>权益法投资</v>
      </c>
      <c r="D127" s="21">
        <f t="shared" si="4"/>
        <v>0</v>
      </c>
      <c r="E127" s="29"/>
      <c r="F127" s="21" t="str">
        <f t="shared" si="5"/>
        <v/>
      </c>
      <c r="G127" s="6"/>
    </row>
    <row r="128" spans="2:7" hidden="1" x14ac:dyDescent="0.25">
      <c r="B128" s="6"/>
      <c r="C128" s="21" t="str">
        <f>Translations!$A$26</f>
        <v>权益法投资</v>
      </c>
      <c r="D128" s="21">
        <f t="shared" si="4"/>
        <v>0</v>
      </c>
      <c r="E128" s="29"/>
      <c r="F128" s="21" t="str">
        <f t="shared" si="5"/>
        <v/>
      </c>
      <c r="G128" s="6"/>
    </row>
    <row r="129" spans="2:7" hidden="1" x14ac:dyDescent="0.25">
      <c r="B129" s="6"/>
      <c r="C129" s="21" t="str">
        <f>Translations!$A$26</f>
        <v>权益法投资</v>
      </c>
      <c r="D129" s="21">
        <f t="shared" si="4"/>
        <v>0</v>
      </c>
      <c r="E129" s="29"/>
      <c r="F129" s="21" t="str">
        <f t="shared" si="5"/>
        <v/>
      </c>
      <c r="G129" s="6"/>
    </row>
    <row r="130" spans="2:7" hidden="1" x14ac:dyDescent="0.25">
      <c r="B130" s="6"/>
      <c r="C130" s="21" t="str">
        <f>Translations!$A$26</f>
        <v>权益法投资</v>
      </c>
      <c r="D130" s="21">
        <f t="shared" si="4"/>
        <v>0</v>
      </c>
      <c r="E130" s="29"/>
      <c r="F130" s="21" t="str">
        <f t="shared" si="5"/>
        <v/>
      </c>
      <c r="G130" s="6"/>
    </row>
    <row r="131" spans="2:7" hidden="1" x14ac:dyDescent="0.25">
      <c r="B131" s="6"/>
      <c r="C131" s="21" t="str">
        <f>Translations!$A$26</f>
        <v>权益法投资</v>
      </c>
      <c r="D131" s="21">
        <f t="shared" si="4"/>
        <v>0</v>
      </c>
      <c r="E131" s="29"/>
      <c r="F131" s="21" t="str">
        <f t="shared" si="5"/>
        <v/>
      </c>
      <c r="G131" s="6"/>
    </row>
    <row r="132" spans="2:7" hidden="1" x14ac:dyDescent="0.25">
      <c r="B132" s="6"/>
      <c r="C132" s="21" t="str">
        <f>Translations!$A$26</f>
        <v>权益法投资</v>
      </c>
      <c r="D132" s="21">
        <f t="shared" si="4"/>
        <v>0</v>
      </c>
      <c r="E132" s="29"/>
      <c r="F132" s="21" t="str">
        <f t="shared" si="5"/>
        <v/>
      </c>
      <c r="G132" s="6"/>
    </row>
    <row r="133" spans="2:7" hidden="1" x14ac:dyDescent="0.25">
      <c r="B133" s="6"/>
      <c r="C133" s="21" t="str">
        <f>Translations!$A$26</f>
        <v>权益法投资</v>
      </c>
      <c r="D133" s="21">
        <f t="shared" si="4"/>
        <v>0</v>
      </c>
      <c r="E133" s="29"/>
      <c r="F133" s="21" t="str">
        <f t="shared" si="5"/>
        <v/>
      </c>
      <c r="G133" s="6"/>
    </row>
    <row r="134" spans="2:7" hidden="1" x14ac:dyDescent="0.25">
      <c r="B134" s="6"/>
      <c r="C134" s="21" t="str">
        <f>Translations!$A$26</f>
        <v>权益法投资</v>
      </c>
      <c r="D134" s="21">
        <f t="shared" si="4"/>
        <v>0</v>
      </c>
      <c r="E134" s="29"/>
      <c r="F134" s="21" t="str">
        <f t="shared" si="5"/>
        <v/>
      </c>
      <c r="G134" s="6"/>
    </row>
    <row r="135" spans="2:7" hidden="1" x14ac:dyDescent="0.25">
      <c r="B135" s="6"/>
      <c r="C135" s="21" t="str">
        <f>Translations!$A$26</f>
        <v>权益法投资</v>
      </c>
      <c r="D135" s="21">
        <f t="shared" si="4"/>
        <v>0</v>
      </c>
      <c r="E135" s="29"/>
      <c r="F135" s="21" t="str">
        <f t="shared" si="5"/>
        <v/>
      </c>
      <c r="G135" s="6"/>
    </row>
    <row r="136" spans="2:7" hidden="1" x14ac:dyDescent="0.25">
      <c r="B136" s="6"/>
      <c r="C136" s="21" t="str">
        <f>Translations!$A$26</f>
        <v>权益法投资</v>
      </c>
      <c r="D136" s="21">
        <f t="shared" si="4"/>
        <v>0</v>
      </c>
      <c r="E136" s="29"/>
      <c r="F136" s="21" t="str">
        <f t="shared" si="5"/>
        <v/>
      </c>
      <c r="G136" s="6"/>
    </row>
    <row r="137" spans="2:7" hidden="1" x14ac:dyDescent="0.25">
      <c r="B137" s="6"/>
      <c r="C137" s="21" t="str">
        <f>Translations!$A$26</f>
        <v>权益法投资</v>
      </c>
      <c r="D137" s="21">
        <f t="shared" si="4"/>
        <v>0</v>
      </c>
      <c r="E137" s="29"/>
      <c r="F137" s="21" t="str">
        <f t="shared" si="5"/>
        <v/>
      </c>
      <c r="G137" s="6"/>
    </row>
    <row r="138" spans="2:7" hidden="1" x14ac:dyDescent="0.25">
      <c r="B138" s="6"/>
      <c r="C138" s="21" t="str">
        <f>Translations!$A$26</f>
        <v>权益法投资</v>
      </c>
      <c r="D138" s="21">
        <f t="shared" si="4"/>
        <v>0</v>
      </c>
      <c r="E138" s="29"/>
      <c r="F138" s="21" t="str">
        <f t="shared" si="5"/>
        <v/>
      </c>
      <c r="G138" s="6"/>
    </row>
    <row r="139" spans="2:7" hidden="1" x14ac:dyDescent="0.25">
      <c r="B139" s="6"/>
      <c r="C139" s="21" t="str">
        <f>Translations!$A$26</f>
        <v>权益法投资</v>
      </c>
      <c r="D139" s="21">
        <f t="shared" si="4"/>
        <v>0</v>
      </c>
      <c r="E139" s="29"/>
      <c r="F139" s="21" t="str">
        <f t="shared" si="5"/>
        <v/>
      </c>
      <c r="G139" s="6"/>
    </row>
    <row r="140" spans="2:7" hidden="1" x14ac:dyDescent="0.25">
      <c r="B140" s="6"/>
      <c r="C140" s="21" t="str">
        <f>Translations!$A$26</f>
        <v>权益法投资</v>
      </c>
      <c r="D140" s="21">
        <f t="shared" si="4"/>
        <v>0</v>
      </c>
      <c r="E140" s="29"/>
      <c r="F140" s="21" t="str">
        <f t="shared" si="5"/>
        <v/>
      </c>
      <c r="G140" s="6"/>
    </row>
    <row r="141" spans="2:7" hidden="1" x14ac:dyDescent="0.25">
      <c r="B141" s="6"/>
      <c r="C141" s="21" t="str">
        <f>Translations!$A$26</f>
        <v>权益法投资</v>
      </c>
      <c r="D141" s="21">
        <f t="shared" si="4"/>
        <v>0</v>
      </c>
      <c r="E141" s="29"/>
      <c r="F141" s="21" t="str">
        <f t="shared" si="5"/>
        <v/>
      </c>
      <c r="G141" s="6"/>
    </row>
    <row r="142" spans="2:7" hidden="1" x14ac:dyDescent="0.25">
      <c r="B142" s="6"/>
      <c r="C142" s="21" t="str">
        <f>Translations!$A$26</f>
        <v>权益法投资</v>
      </c>
      <c r="D142" s="21">
        <f t="shared" si="4"/>
        <v>0</v>
      </c>
      <c r="E142" s="29"/>
      <c r="F142" s="21" t="str">
        <f t="shared" si="5"/>
        <v/>
      </c>
      <c r="G142" s="6"/>
    </row>
    <row r="143" spans="2:7" hidden="1" x14ac:dyDescent="0.25">
      <c r="B143" s="6"/>
      <c r="C143" s="21" t="str">
        <f>Translations!$A$26</f>
        <v>权益法投资</v>
      </c>
      <c r="D143" s="21">
        <f t="shared" si="4"/>
        <v>0</v>
      </c>
      <c r="E143" s="29"/>
      <c r="F143" s="21" t="str">
        <f t="shared" si="5"/>
        <v/>
      </c>
      <c r="G143" s="6"/>
    </row>
    <row r="144" spans="2:7" hidden="1" x14ac:dyDescent="0.25">
      <c r="B144" s="6"/>
      <c r="C144" s="21" t="str">
        <f>Translations!$A$26</f>
        <v>权益法投资</v>
      </c>
      <c r="D144" s="21">
        <f t="shared" si="4"/>
        <v>0</v>
      </c>
      <c r="E144" s="29"/>
      <c r="F144" s="21" t="str">
        <f t="shared" si="5"/>
        <v/>
      </c>
      <c r="G144" s="6"/>
    </row>
    <row r="145" spans="2:7" hidden="1" x14ac:dyDescent="0.25">
      <c r="B145" s="6"/>
      <c r="C145" s="21" t="str">
        <f>Translations!$A$26</f>
        <v>权益法投资</v>
      </c>
      <c r="D145" s="21">
        <f t="shared" si="4"/>
        <v>0</v>
      </c>
      <c r="E145" s="29"/>
      <c r="F145" s="21" t="str">
        <f t="shared" si="5"/>
        <v/>
      </c>
      <c r="G145" s="6"/>
    </row>
    <row r="146" spans="2:7" hidden="1" x14ac:dyDescent="0.25">
      <c r="B146" s="6"/>
      <c r="C146" s="21" t="str">
        <f>Translations!$A$26</f>
        <v>权益法投资</v>
      </c>
      <c r="D146" s="21">
        <f t="shared" si="4"/>
        <v>0</v>
      </c>
      <c r="E146" s="29"/>
      <c r="F146" s="21" t="str">
        <f t="shared" si="5"/>
        <v/>
      </c>
      <c r="G146" s="6"/>
    </row>
    <row r="147" spans="2:7" hidden="1" x14ac:dyDescent="0.25">
      <c r="B147" s="6"/>
      <c r="C147" s="21" t="str">
        <f>Translations!$A$26</f>
        <v>权益法投资</v>
      </c>
      <c r="D147" s="21">
        <f t="shared" si="4"/>
        <v>0</v>
      </c>
      <c r="E147" s="29"/>
      <c r="F147" s="21" t="str">
        <f t="shared" si="5"/>
        <v/>
      </c>
      <c r="G147" s="6"/>
    </row>
    <row r="148" spans="2:7" hidden="1" x14ac:dyDescent="0.25">
      <c r="B148" s="6"/>
      <c r="C148" s="21" t="str">
        <f>Translations!$A$26</f>
        <v>权益法投资</v>
      </c>
      <c r="D148" s="21">
        <f t="shared" si="4"/>
        <v>0</v>
      </c>
      <c r="E148" s="29"/>
      <c r="F148" s="21" t="str">
        <f t="shared" si="5"/>
        <v/>
      </c>
      <c r="G148" s="6"/>
    </row>
    <row r="149" spans="2:7" hidden="1" x14ac:dyDescent="0.25">
      <c r="B149" s="6"/>
      <c r="C149" s="21" t="str">
        <f>Translations!$A$26</f>
        <v>权益法投资</v>
      </c>
      <c r="D149" s="21">
        <f t="shared" si="4"/>
        <v>0</v>
      </c>
      <c r="E149" s="29"/>
      <c r="F149" s="21" t="str">
        <f t="shared" si="5"/>
        <v/>
      </c>
      <c r="G149" s="6"/>
    </row>
    <row r="150" spans="2:7" hidden="1" x14ac:dyDescent="0.25">
      <c r="B150" s="6"/>
      <c r="C150" s="21" t="str">
        <f>Translations!$A$26</f>
        <v>权益法投资</v>
      </c>
      <c r="D150" s="21">
        <f t="shared" si="4"/>
        <v>0</v>
      </c>
      <c r="E150" s="29"/>
      <c r="F150" s="21" t="str">
        <f t="shared" si="5"/>
        <v/>
      </c>
      <c r="G150" s="6"/>
    </row>
    <row r="151" spans="2:7" hidden="1" x14ac:dyDescent="0.25">
      <c r="B151" s="6"/>
      <c r="C151" s="21" t="str">
        <f>Translations!$A$26</f>
        <v>权益法投资</v>
      </c>
      <c r="D151" s="21">
        <f t="shared" si="4"/>
        <v>0</v>
      </c>
      <c r="E151" s="29"/>
      <c r="F151" s="21" t="str">
        <f t="shared" si="5"/>
        <v/>
      </c>
      <c r="G151" s="6"/>
    </row>
    <row r="152" spans="2:7" hidden="1" x14ac:dyDescent="0.25">
      <c r="B152" s="6"/>
      <c r="C152" s="21" t="str">
        <f>Translations!$A$26</f>
        <v>权益法投资</v>
      </c>
      <c r="D152" s="21">
        <f t="shared" si="4"/>
        <v>0</v>
      </c>
      <c r="E152" s="29"/>
      <c r="F152" s="21" t="str">
        <f t="shared" si="5"/>
        <v/>
      </c>
      <c r="G152" s="6"/>
    </row>
    <row r="153" spans="2:7" hidden="1" x14ac:dyDescent="0.25">
      <c r="B153" s="6"/>
      <c r="C153" s="21" t="str">
        <f>Translations!$A$26</f>
        <v>权益法投资</v>
      </c>
      <c r="D153" s="21">
        <f t="shared" si="4"/>
        <v>0</v>
      </c>
      <c r="E153" s="29"/>
      <c r="F153" s="21" t="str">
        <f t="shared" si="5"/>
        <v/>
      </c>
      <c r="G153" s="6"/>
    </row>
    <row r="154" spans="2:7" hidden="1" x14ac:dyDescent="0.25">
      <c r="B154" s="6"/>
      <c r="C154" s="21" t="str">
        <f>Translations!$A$26</f>
        <v>权益法投资</v>
      </c>
      <c r="D154" s="21">
        <f t="shared" si="4"/>
        <v>0</v>
      </c>
      <c r="E154" s="29"/>
      <c r="F154" s="21" t="str">
        <f t="shared" si="5"/>
        <v/>
      </c>
      <c r="G154" s="6"/>
    </row>
    <row r="155" spans="2:7" hidden="1" x14ac:dyDescent="0.25">
      <c r="B155" s="6"/>
      <c r="C155" s="21" t="str">
        <f>Translations!$A$26</f>
        <v>权益法投资</v>
      </c>
      <c r="D155" s="21">
        <f t="shared" si="4"/>
        <v>0</v>
      </c>
      <c r="E155" s="29"/>
      <c r="F155" s="21" t="str">
        <f t="shared" si="5"/>
        <v/>
      </c>
      <c r="G155" s="6"/>
    </row>
    <row r="156" spans="2:7" hidden="1" x14ac:dyDescent="0.25">
      <c r="B156" s="6"/>
      <c r="C156" s="21" t="str">
        <f>Translations!$A$26</f>
        <v>权益法投资</v>
      </c>
      <c r="D156" s="21">
        <f t="shared" si="4"/>
        <v>0</v>
      </c>
      <c r="E156" s="29"/>
      <c r="F156" s="21" t="str">
        <f t="shared" si="5"/>
        <v/>
      </c>
      <c r="G156" s="6"/>
    </row>
    <row r="157" spans="2:7" hidden="1" x14ac:dyDescent="0.25">
      <c r="B157" s="6"/>
      <c r="C157" s="21" t="str">
        <f>Translations!$A$26</f>
        <v>权益法投资</v>
      </c>
      <c r="D157" s="21">
        <f t="shared" si="4"/>
        <v>0</v>
      </c>
      <c r="E157" s="29"/>
      <c r="F157" s="21" t="str">
        <f t="shared" si="5"/>
        <v/>
      </c>
      <c r="G157" s="6"/>
    </row>
    <row r="158" spans="2:7" hidden="1" x14ac:dyDescent="0.25">
      <c r="B158" s="6"/>
      <c r="C158" s="21" t="str">
        <f>Translations!$A$26</f>
        <v>权益法投资</v>
      </c>
      <c r="D158" s="21">
        <f t="shared" si="4"/>
        <v>0</v>
      </c>
      <c r="E158" s="29"/>
      <c r="F158" s="21" t="str">
        <f t="shared" si="5"/>
        <v/>
      </c>
      <c r="G158" s="6"/>
    </row>
    <row r="159" spans="2:7" hidden="1" x14ac:dyDescent="0.25">
      <c r="B159" s="6"/>
      <c r="C159" s="21" t="str">
        <f>Translations!$A$26</f>
        <v>权益法投资</v>
      </c>
      <c r="D159" s="21">
        <f t="shared" si="4"/>
        <v>0</v>
      </c>
      <c r="E159" s="29"/>
      <c r="F159" s="21" t="str">
        <f t="shared" si="5"/>
        <v/>
      </c>
      <c r="G159" s="6"/>
    </row>
    <row r="160" spans="2:7" hidden="1" x14ac:dyDescent="0.25">
      <c r="B160" s="6"/>
      <c r="C160" s="21" t="str">
        <f>Translations!$A$26</f>
        <v>权益法投资</v>
      </c>
      <c r="D160" s="21">
        <f t="shared" si="4"/>
        <v>0</v>
      </c>
      <c r="E160" s="29"/>
      <c r="F160" s="21" t="str">
        <f t="shared" si="5"/>
        <v/>
      </c>
      <c r="G160" s="6"/>
    </row>
    <row r="161" spans="2:7" hidden="1" x14ac:dyDescent="0.25">
      <c r="B161" s="6"/>
      <c r="C161" s="21" t="str">
        <f>Translations!$A$26</f>
        <v>权益法投资</v>
      </c>
      <c r="D161" s="21">
        <f t="shared" si="4"/>
        <v>0</v>
      </c>
      <c r="E161" s="29"/>
      <c r="F161" s="21" t="str">
        <f t="shared" si="5"/>
        <v/>
      </c>
      <c r="G161" s="6"/>
    </row>
    <row r="162" spans="2:7" hidden="1" x14ac:dyDescent="0.25">
      <c r="B162" s="6"/>
      <c r="C162" s="21" t="str">
        <f>Translations!$A$26</f>
        <v>权益法投资</v>
      </c>
      <c r="D162" s="21">
        <f t="shared" si="4"/>
        <v>0</v>
      </c>
      <c r="E162" s="29"/>
      <c r="F162" s="21" t="str">
        <f t="shared" si="5"/>
        <v/>
      </c>
      <c r="G162" s="6"/>
    </row>
    <row r="163" spans="2:7" hidden="1" x14ac:dyDescent="0.25">
      <c r="B163" s="6"/>
      <c r="C163" s="21" t="str">
        <f>Translations!$A$26</f>
        <v>权益法投资</v>
      </c>
      <c r="D163" s="21">
        <f t="shared" si="4"/>
        <v>0</v>
      </c>
      <c r="E163" s="29"/>
      <c r="F163" s="21" t="str">
        <f t="shared" si="5"/>
        <v/>
      </c>
      <c r="G163" s="6"/>
    </row>
    <row r="164" spans="2:7" hidden="1" x14ac:dyDescent="0.25">
      <c r="B164" s="6"/>
      <c r="C164" s="21" t="str">
        <f>Translations!$A$26</f>
        <v>权益法投资</v>
      </c>
      <c r="D164" s="21">
        <f t="shared" si="4"/>
        <v>0</v>
      </c>
      <c r="E164" s="29"/>
      <c r="F164" s="21" t="str">
        <f t="shared" si="5"/>
        <v/>
      </c>
      <c r="G164" s="6"/>
    </row>
    <row r="165" spans="2:7" hidden="1" x14ac:dyDescent="0.25">
      <c r="B165" s="6"/>
      <c r="C165" s="21" t="str">
        <f>Translations!$A$26</f>
        <v>权益法投资</v>
      </c>
      <c r="D165" s="21">
        <f t="shared" si="4"/>
        <v>0</v>
      </c>
      <c r="E165" s="29"/>
      <c r="F165" s="21" t="str">
        <f t="shared" si="5"/>
        <v/>
      </c>
      <c r="G165" s="6"/>
    </row>
    <row r="166" spans="2:7" hidden="1" x14ac:dyDescent="0.25">
      <c r="B166" s="6"/>
      <c r="C166" s="21" t="str">
        <f>Translations!$A$26</f>
        <v>权益法投资</v>
      </c>
      <c r="D166" s="21">
        <f t="shared" si="4"/>
        <v>0</v>
      </c>
      <c r="E166" s="29"/>
      <c r="F166" s="21" t="str">
        <f t="shared" si="5"/>
        <v/>
      </c>
      <c r="G166" s="6"/>
    </row>
    <row r="167" spans="2:7" hidden="1" x14ac:dyDescent="0.25">
      <c r="B167" s="6"/>
      <c r="C167" s="21" t="str">
        <f>Translations!$A$26</f>
        <v>权益法投资</v>
      </c>
      <c r="D167" s="21">
        <f t="shared" si="4"/>
        <v>0</v>
      </c>
      <c r="E167" s="29"/>
      <c r="F167" s="21" t="str">
        <f t="shared" si="5"/>
        <v/>
      </c>
      <c r="G167" s="6"/>
    </row>
    <row r="168" spans="2:7" hidden="1" x14ac:dyDescent="0.25">
      <c r="B168" s="6"/>
      <c r="C168" s="21" t="str">
        <f>Translations!$A$26</f>
        <v>权益法投资</v>
      </c>
      <c r="D168" s="21">
        <f t="shared" si="4"/>
        <v>0</v>
      </c>
      <c r="E168" s="29"/>
      <c r="F168" s="21" t="str">
        <f t="shared" si="5"/>
        <v/>
      </c>
      <c r="G168" s="6"/>
    </row>
    <row r="169" spans="2:7" hidden="1" x14ac:dyDescent="0.25">
      <c r="B169" s="6"/>
      <c r="C169" s="21" t="str">
        <f>Translations!$A$26</f>
        <v>权益法投资</v>
      </c>
      <c r="D169" s="21">
        <f t="shared" si="4"/>
        <v>0</v>
      </c>
      <c r="E169" s="29"/>
      <c r="F169" s="21" t="str">
        <f t="shared" si="5"/>
        <v/>
      </c>
      <c r="G169" s="6"/>
    </row>
    <row r="170" spans="2:7" hidden="1" x14ac:dyDescent="0.25">
      <c r="B170" s="6"/>
      <c r="C170" s="21" t="str">
        <f>Translations!$A$26</f>
        <v>权益法投资</v>
      </c>
      <c r="D170" s="21">
        <f t="shared" si="4"/>
        <v>0</v>
      </c>
      <c r="E170" s="29"/>
      <c r="F170" s="21" t="str">
        <f t="shared" si="5"/>
        <v/>
      </c>
      <c r="G170" s="6"/>
    </row>
    <row r="171" spans="2:7" hidden="1" x14ac:dyDescent="0.25">
      <c r="B171" s="6"/>
      <c r="C171" s="21" t="str">
        <f>Translations!$A$26</f>
        <v>权益法投资</v>
      </c>
      <c r="D171" s="21">
        <f t="shared" si="4"/>
        <v>0</v>
      </c>
      <c r="E171" s="29"/>
      <c r="F171" s="21" t="str">
        <f t="shared" si="5"/>
        <v/>
      </c>
      <c r="G171" s="6"/>
    </row>
    <row r="172" spans="2:7" hidden="1" x14ac:dyDescent="0.25">
      <c r="B172" s="6"/>
      <c r="C172" s="21" t="str">
        <f>Translations!$A$26</f>
        <v>权益法投资</v>
      </c>
      <c r="D172" s="21">
        <f t="shared" si="4"/>
        <v>0</v>
      </c>
      <c r="E172" s="29"/>
      <c r="F172" s="21" t="str">
        <f t="shared" si="5"/>
        <v/>
      </c>
      <c r="G172" s="6"/>
    </row>
    <row r="173" spans="2:7" hidden="1" x14ac:dyDescent="0.25">
      <c r="B173" s="6"/>
      <c r="C173" s="21" t="str">
        <f>Translations!$A$26</f>
        <v>权益法投资</v>
      </c>
      <c r="D173" s="21">
        <f t="shared" si="4"/>
        <v>0</v>
      </c>
      <c r="E173" s="29"/>
      <c r="F173" s="21" t="str">
        <f t="shared" si="5"/>
        <v/>
      </c>
      <c r="G173" s="6"/>
    </row>
    <row r="174" spans="2:7" hidden="1" x14ac:dyDescent="0.25">
      <c r="B174" s="6"/>
      <c r="C174" s="21" t="str">
        <f>Translations!$A$26</f>
        <v>权益法投资</v>
      </c>
      <c r="D174" s="21">
        <f t="shared" si="4"/>
        <v>0</v>
      </c>
      <c r="E174" s="29"/>
      <c r="F174" s="21" t="str">
        <f t="shared" si="5"/>
        <v/>
      </c>
      <c r="G174" s="6"/>
    </row>
    <row r="175" spans="2:7" hidden="1" x14ac:dyDescent="0.25">
      <c r="B175" s="6"/>
      <c r="C175" s="21" t="str">
        <f>Translations!$A$26</f>
        <v>权益法投资</v>
      </c>
      <c r="D175" s="21">
        <f t="shared" si="4"/>
        <v>0</v>
      </c>
      <c r="E175" s="29"/>
      <c r="F175" s="21" t="str">
        <f t="shared" si="5"/>
        <v/>
      </c>
      <c r="G175" s="6"/>
    </row>
    <row r="176" spans="2:7" hidden="1" x14ac:dyDescent="0.25">
      <c r="B176" s="6"/>
      <c r="C176" s="21" t="str">
        <f>Translations!$A$26</f>
        <v>权益法投资</v>
      </c>
      <c r="D176" s="21">
        <f t="shared" si="4"/>
        <v>0</v>
      </c>
      <c r="E176" s="29"/>
      <c r="F176" s="21" t="str">
        <f t="shared" si="5"/>
        <v/>
      </c>
      <c r="G176" s="6"/>
    </row>
    <row r="177" spans="2:7" hidden="1" x14ac:dyDescent="0.25">
      <c r="B177" s="6"/>
      <c r="C177" s="21" t="str">
        <f>Translations!$A$26</f>
        <v>权益法投资</v>
      </c>
      <c r="D177" s="21">
        <f t="shared" si="4"/>
        <v>0</v>
      </c>
      <c r="E177" s="29"/>
      <c r="F177" s="21" t="str">
        <f t="shared" si="5"/>
        <v/>
      </c>
      <c r="G177" s="6"/>
    </row>
    <row r="178" spans="2:7" hidden="1" x14ac:dyDescent="0.25">
      <c r="B178" s="6"/>
      <c r="C178" s="21" t="str">
        <f>Translations!$A$26</f>
        <v>权益法投资</v>
      </c>
      <c r="D178" s="21">
        <f t="shared" si="4"/>
        <v>0</v>
      </c>
      <c r="E178" s="29"/>
      <c r="F178" s="21" t="str">
        <f t="shared" si="5"/>
        <v/>
      </c>
      <c r="G178" s="6"/>
    </row>
    <row r="179" spans="2:7" hidden="1" x14ac:dyDescent="0.25">
      <c r="B179" s="6"/>
      <c r="C179" s="21" t="str">
        <f>Translations!$A$26</f>
        <v>权益法投资</v>
      </c>
      <c r="D179" s="21">
        <f t="shared" si="4"/>
        <v>0</v>
      </c>
      <c r="E179" s="29"/>
      <c r="F179" s="21" t="str">
        <f t="shared" si="5"/>
        <v/>
      </c>
      <c r="G179" s="6"/>
    </row>
    <row r="180" spans="2:7" hidden="1" x14ac:dyDescent="0.25">
      <c r="B180" s="6"/>
      <c r="C180" s="21" t="str">
        <f>Translations!$A$26</f>
        <v>权益法投资</v>
      </c>
      <c r="D180" s="21">
        <f t="shared" si="4"/>
        <v>0</v>
      </c>
      <c r="E180" s="29"/>
      <c r="F180" s="21" t="str">
        <f t="shared" si="5"/>
        <v/>
      </c>
      <c r="G180" s="6"/>
    </row>
    <row r="181" spans="2:7" hidden="1" x14ac:dyDescent="0.25">
      <c r="B181" s="6"/>
      <c r="C181" s="21" t="str">
        <f>Translations!$A$26</f>
        <v>权益法投资</v>
      </c>
      <c r="D181" s="21">
        <f t="shared" si="4"/>
        <v>0</v>
      </c>
      <c r="E181" s="29"/>
      <c r="F181" s="21" t="str">
        <f t="shared" si="5"/>
        <v/>
      </c>
      <c r="G181" s="6"/>
    </row>
    <row r="182" spans="2:7" hidden="1" x14ac:dyDescent="0.25">
      <c r="B182" s="6"/>
      <c r="C182" s="21" t="str">
        <f>Translations!$A$26</f>
        <v>权益法投资</v>
      </c>
      <c r="D182" s="21">
        <f t="shared" si="4"/>
        <v>0</v>
      </c>
      <c r="E182" s="29"/>
      <c r="F182" s="21" t="str">
        <f t="shared" si="5"/>
        <v/>
      </c>
      <c r="G182" s="6"/>
    </row>
    <row r="183" spans="2:7" hidden="1" x14ac:dyDescent="0.25">
      <c r="B183" s="6"/>
      <c r="C183" s="21" t="str">
        <f>Translations!$A$26</f>
        <v>权益法投资</v>
      </c>
      <c r="D183" s="21">
        <f t="shared" si="4"/>
        <v>0</v>
      </c>
      <c r="E183" s="29"/>
      <c r="F183" s="21" t="str">
        <f t="shared" si="5"/>
        <v/>
      </c>
      <c r="G183" s="6"/>
    </row>
    <row r="184" spans="2:7" hidden="1" x14ac:dyDescent="0.25">
      <c r="B184" s="6"/>
      <c r="C184" s="21" t="str">
        <f>Translations!$A$26</f>
        <v>权益法投资</v>
      </c>
      <c r="D184" s="21">
        <f t="shared" si="4"/>
        <v>0</v>
      </c>
      <c r="E184" s="29"/>
      <c r="F184" s="21" t="str">
        <f t="shared" si="5"/>
        <v/>
      </c>
      <c r="G184" s="6"/>
    </row>
    <row r="185" spans="2:7" hidden="1" x14ac:dyDescent="0.25">
      <c r="B185" s="6"/>
      <c r="C185" s="21" t="str">
        <f>Translations!$A$26</f>
        <v>权益法投资</v>
      </c>
      <c r="D185" s="21">
        <f t="shared" ref="D185:D219" si="6">$C$11</f>
        <v>0</v>
      </c>
      <c r="E185" s="29"/>
      <c r="F185" s="21" t="str">
        <f t="shared" ref="F185:F219" si="7">IFERROR(D185/E185,"")</f>
        <v/>
      </c>
      <c r="G185" s="6"/>
    </row>
    <row r="186" spans="2:7" hidden="1" x14ac:dyDescent="0.25">
      <c r="B186" s="6"/>
      <c r="C186" s="21" t="str">
        <f>Translations!$A$26</f>
        <v>权益法投资</v>
      </c>
      <c r="D186" s="21">
        <f t="shared" si="6"/>
        <v>0</v>
      </c>
      <c r="E186" s="29"/>
      <c r="F186" s="21" t="str">
        <f t="shared" si="7"/>
        <v/>
      </c>
      <c r="G186" s="6"/>
    </row>
    <row r="187" spans="2:7" hidden="1" x14ac:dyDescent="0.25">
      <c r="B187" s="6"/>
      <c r="C187" s="21" t="str">
        <f>Translations!$A$26</f>
        <v>权益法投资</v>
      </c>
      <c r="D187" s="21">
        <f t="shared" si="6"/>
        <v>0</v>
      </c>
      <c r="E187" s="29"/>
      <c r="F187" s="21" t="str">
        <f t="shared" si="7"/>
        <v/>
      </c>
      <c r="G187" s="6"/>
    </row>
    <row r="188" spans="2:7" hidden="1" x14ac:dyDescent="0.25">
      <c r="B188" s="6"/>
      <c r="C188" s="21" t="str">
        <f>Translations!$A$26</f>
        <v>权益法投资</v>
      </c>
      <c r="D188" s="21">
        <f t="shared" si="6"/>
        <v>0</v>
      </c>
      <c r="E188" s="29"/>
      <c r="F188" s="21" t="str">
        <f t="shared" si="7"/>
        <v/>
      </c>
      <c r="G188" s="6"/>
    </row>
    <row r="189" spans="2:7" hidden="1" x14ac:dyDescent="0.25">
      <c r="B189" s="6"/>
      <c r="C189" s="21" t="str">
        <f>Translations!$A$26</f>
        <v>权益法投资</v>
      </c>
      <c r="D189" s="21">
        <f t="shared" si="6"/>
        <v>0</v>
      </c>
      <c r="E189" s="29"/>
      <c r="F189" s="21" t="str">
        <f t="shared" si="7"/>
        <v/>
      </c>
      <c r="G189" s="6"/>
    </row>
    <row r="190" spans="2:7" hidden="1" x14ac:dyDescent="0.25">
      <c r="B190" s="6"/>
      <c r="C190" s="21" t="str">
        <f>Translations!$A$26</f>
        <v>权益法投资</v>
      </c>
      <c r="D190" s="21">
        <f t="shared" si="6"/>
        <v>0</v>
      </c>
      <c r="E190" s="29"/>
      <c r="F190" s="21" t="str">
        <f t="shared" si="7"/>
        <v/>
      </c>
      <c r="G190" s="6"/>
    </row>
    <row r="191" spans="2:7" hidden="1" x14ac:dyDescent="0.25">
      <c r="B191" s="6"/>
      <c r="C191" s="21" t="str">
        <f>Translations!$A$26</f>
        <v>权益法投资</v>
      </c>
      <c r="D191" s="21">
        <f t="shared" si="6"/>
        <v>0</v>
      </c>
      <c r="E191" s="29"/>
      <c r="F191" s="21" t="str">
        <f t="shared" si="7"/>
        <v/>
      </c>
      <c r="G191" s="6"/>
    </row>
    <row r="192" spans="2:7" hidden="1" x14ac:dyDescent="0.25">
      <c r="B192" s="6"/>
      <c r="C192" s="21" t="str">
        <f>Translations!$A$26</f>
        <v>权益法投资</v>
      </c>
      <c r="D192" s="21">
        <f t="shared" si="6"/>
        <v>0</v>
      </c>
      <c r="E192" s="29"/>
      <c r="F192" s="21" t="str">
        <f t="shared" si="7"/>
        <v/>
      </c>
      <c r="G192" s="6"/>
    </row>
    <row r="193" spans="2:7" hidden="1" x14ac:dyDescent="0.25">
      <c r="B193" s="6"/>
      <c r="C193" s="21" t="str">
        <f>Translations!$A$26</f>
        <v>权益法投资</v>
      </c>
      <c r="D193" s="21">
        <f t="shared" si="6"/>
        <v>0</v>
      </c>
      <c r="E193" s="29"/>
      <c r="F193" s="21" t="str">
        <f t="shared" si="7"/>
        <v/>
      </c>
      <c r="G193" s="6"/>
    </row>
    <row r="194" spans="2:7" hidden="1" x14ac:dyDescent="0.25">
      <c r="B194" s="6"/>
      <c r="C194" s="21" t="str">
        <f>Translations!$A$26</f>
        <v>权益法投资</v>
      </c>
      <c r="D194" s="21">
        <f t="shared" si="6"/>
        <v>0</v>
      </c>
      <c r="E194" s="29"/>
      <c r="F194" s="21" t="str">
        <f t="shared" si="7"/>
        <v/>
      </c>
      <c r="G194" s="6"/>
    </row>
    <row r="195" spans="2:7" hidden="1" x14ac:dyDescent="0.25">
      <c r="B195" s="6"/>
      <c r="C195" s="21" t="str">
        <f>Translations!$A$26</f>
        <v>权益法投资</v>
      </c>
      <c r="D195" s="21">
        <f t="shared" si="6"/>
        <v>0</v>
      </c>
      <c r="E195" s="29"/>
      <c r="F195" s="21" t="str">
        <f t="shared" si="7"/>
        <v/>
      </c>
      <c r="G195" s="6"/>
    </row>
    <row r="196" spans="2:7" hidden="1" x14ac:dyDescent="0.25">
      <c r="B196" s="6"/>
      <c r="C196" s="21" t="str">
        <f>Translations!$A$26</f>
        <v>权益法投资</v>
      </c>
      <c r="D196" s="21">
        <f t="shared" si="6"/>
        <v>0</v>
      </c>
      <c r="E196" s="29"/>
      <c r="F196" s="21" t="str">
        <f t="shared" si="7"/>
        <v/>
      </c>
      <c r="G196" s="6"/>
    </row>
    <row r="197" spans="2:7" hidden="1" x14ac:dyDescent="0.25">
      <c r="B197" s="6"/>
      <c r="C197" s="21" t="str">
        <f>Translations!$A$26</f>
        <v>权益法投资</v>
      </c>
      <c r="D197" s="21">
        <f t="shared" si="6"/>
        <v>0</v>
      </c>
      <c r="E197" s="29"/>
      <c r="F197" s="21" t="str">
        <f t="shared" si="7"/>
        <v/>
      </c>
      <c r="G197" s="6"/>
    </row>
    <row r="198" spans="2:7" hidden="1" x14ac:dyDescent="0.25">
      <c r="B198" s="6"/>
      <c r="C198" s="21" t="str">
        <f>Translations!$A$26</f>
        <v>权益法投资</v>
      </c>
      <c r="D198" s="21">
        <f t="shared" si="6"/>
        <v>0</v>
      </c>
      <c r="E198" s="29"/>
      <c r="F198" s="21" t="str">
        <f t="shared" si="7"/>
        <v/>
      </c>
      <c r="G198" s="6"/>
    </row>
    <row r="199" spans="2:7" hidden="1" x14ac:dyDescent="0.25">
      <c r="B199" s="6"/>
      <c r="C199" s="21" t="str">
        <f>Translations!$A$26</f>
        <v>权益法投资</v>
      </c>
      <c r="D199" s="21">
        <f t="shared" si="6"/>
        <v>0</v>
      </c>
      <c r="E199" s="29"/>
      <c r="F199" s="21" t="str">
        <f t="shared" si="7"/>
        <v/>
      </c>
      <c r="G199" s="6"/>
    </row>
    <row r="200" spans="2:7" hidden="1" x14ac:dyDescent="0.25">
      <c r="B200" s="6"/>
      <c r="C200" s="21" t="str">
        <f>Translations!$A$26</f>
        <v>权益法投资</v>
      </c>
      <c r="D200" s="21">
        <f t="shared" si="6"/>
        <v>0</v>
      </c>
      <c r="E200" s="29"/>
      <c r="F200" s="21" t="str">
        <f t="shared" si="7"/>
        <v/>
      </c>
      <c r="G200" s="6"/>
    </row>
    <row r="201" spans="2:7" hidden="1" x14ac:dyDescent="0.25">
      <c r="B201" s="6"/>
      <c r="C201" s="21" t="str">
        <f>Translations!$A$26</f>
        <v>权益法投资</v>
      </c>
      <c r="D201" s="21">
        <f t="shared" si="6"/>
        <v>0</v>
      </c>
      <c r="E201" s="29"/>
      <c r="F201" s="21" t="str">
        <f t="shared" si="7"/>
        <v/>
      </c>
      <c r="G201" s="6"/>
    </row>
    <row r="202" spans="2:7" hidden="1" x14ac:dyDescent="0.25">
      <c r="B202" s="6"/>
      <c r="C202" s="21" t="str">
        <f>Translations!$A$26</f>
        <v>权益法投资</v>
      </c>
      <c r="D202" s="21">
        <f t="shared" si="6"/>
        <v>0</v>
      </c>
      <c r="E202" s="29"/>
      <c r="F202" s="21" t="str">
        <f t="shared" si="7"/>
        <v/>
      </c>
      <c r="G202" s="6"/>
    </row>
    <row r="203" spans="2:7" hidden="1" x14ac:dyDescent="0.25">
      <c r="B203" s="6"/>
      <c r="C203" s="21" t="str">
        <f>Translations!$A$26</f>
        <v>权益法投资</v>
      </c>
      <c r="D203" s="21">
        <f t="shared" si="6"/>
        <v>0</v>
      </c>
      <c r="E203" s="29"/>
      <c r="F203" s="21" t="str">
        <f t="shared" si="7"/>
        <v/>
      </c>
      <c r="G203" s="6"/>
    </row>
    <row r="204" spans="2:7" hidden="1" x14ac:dyDescent="0.25">
      <c r="B204" s="6"/>
      <c r="C204" s="21" t="str">
        <f>Translations!$A$26</f>
        <v>权益法投资</v>
      </c>
      <c r="D204" s="21">
        <f t="shared" si="6"/>
        <v>0</v>
      </c>
      <c r="E204" s="29"/>
      <c r="F204" s="21" t="str">
        <f t="shared" si="7"/>
        <v/>
      </c>
      <c r="G204" s="6"/>
    </row>
    <row r="205" spans="2:7" hidden="1" x14ac:dyDescent="0.25">
      <c r="B205" s="6"/>
      <c r="C205" s="21" t="str">
        <f>Translations!$A$26</f>
        <v>权益法投资</v>
      </c>
      <c r="D205" s="21">
        <f t="shared" si="6"/>
        <v>0</v>
      </c>
      <c r="E205" s="29"/>
      <c r="F205" s="21" t="str">
        <f t="shared" si="7"/>
        <v/>
      </c>
      <c r="G205" s="6"/>
    </row>
    <row r="206" spans="2:7" hidden="1" x14ac:dyDescent="0.25">
      <c r="B206" s="6"/>
      <c r="C206" s="21" t="str">
        <f>Translations!$A$26</f>
        <v>权益法投资</v>
      </c>
      <c r="D206" s="21">
        <f t="shared" si="6"/>
        <v>0</v>
      </c>
      <c r="E206" s="29"/>
      <c r="F206" s="21" t="str">
        <f t="shared" si="7"/>
        <v/>
      </c>
      <c r="G206" s="6"/>
    </row>
    <row r="207" spans="2:7" hidden="1" x14ac:dyDescent="0.25">
      <c r="B207" s="6"/>
      <c r="C207" s="21" t="str">
        <f>Translations!$A$26</f>
        <v>权益法投资</v>
      </c>
      <c r="D207" s="21">
        <f t="shared" si="6"/>
        <v>0</v>
      </c>
      <c r="E207" s="29"/>
      <c r="F207" s="21" t="str">
        <f t="shared" si="7"/>
        <v/>
      </c>
      <c r="G207" s="6"/>
    </row>
    <row r="208" spans="2:7" hidden="1" x14ac:dyDescent="0.25">
      <c r="B208" s="6"/>
      <c r="C208" s="21" t="str">
        <f>Translations!$A$26</f>
        <v>权益法投资</v>
      </c>
      <c r="D208" s="21">
        <f t="shared" si="6"/>
        <v>0</v>
      </c>
      <c r="E208" s="29"/>
      <c r="F208" s="21" t="str">
        <f t="shared" si="7"/>
        <v/>
      </c>
      <c r="G208" s="6"/>
    </row>
    <row r="209" spans="2:7" hidden="1" x14ac:dyDescent="0.25">
      <c r="B209" s="6"/>
      <c r="C209" s="21" t="str">
        <f>Translations!$A$26</f>
        <v>权益法投资</v>
      </c>
      <c r="D209" s="21">
        <f t="shared" si="6"/>
        <v>0</v>
      </c>
      <c r="E209" s="29"/>
      <c r="F209" s="21" t="str">
        <f t="shared" si="7"/>
        <v/>
      </c>
      <c r="G209" s="6"/>
    </row>
    <row r="210" spans="2:7" hidden="1" x14ac:dyDescent="0.25">
      <c r="B210" s="6"/>
      <c r="C210" s="21" t="str">
        <f>Translations!$A$26</f>
        <v>权益法投资</v>
      </c>
      <c r="D210" s="21">
        <f t="shared" si="6"/>
        <v>0</v>
      </c>
      <c r="E210" s="29"/>
      <c r="F210" s="21" t="str">
        <f t="shared" si="7"/>
        <v/>
      </c>
      <c r="G210" s="6"/>
    </row>
    <row r="211" spans="2:7" hidden="1" x14ac:dyDescent="0.25">
      <c r="B211" s="6"/>
      <c r="C211" s="21" t="str">
        <f>Translations!$A$26</f>
        <v>权益法投资</v>
      </c>
      <c r="D211" s="21">
        <f t="shared" si="6"/>
        <v>0</v>
      </c>
      <c r="E211" s="29"/>
      <c r="F211" s="21" t="str">
        <f t="shared" si="7"/>
        <v/>
      </c>
      <c r="G211" s="6"/>
    </row>
    <row r="212" spans="2:7" hidden="1" x14ac:dyDescent="0.25">
      <c r="B212" s="6"/>
      <c r="C212" s="21" t="str">
        <f>Translations!$A$26</f>
        <v>权益法投资</v>
      </c>
      <c r="D212" s="21">
        <f t="shared" si="6"/>
        <v>0</v>
      </c>
      <c r="E212" s="29"/>
      <c r="F212" s="21" t="str">
        <f t="shared" si="7"/>
        <v/>
      </c>
      <c r="G212" s="6"/>
    </row>
    <row r="213" spans="2:7" hidden="1" x14ac:dyDescent="0.25">
      <c r="B213" s="6"/>
      <c r="C213" s="21" t="str">
        <f>Translations!$A$26</f>
        <v>权益法投资</v>
      </c>
      <c r="D213" s="21">
        <f t="shared" si="6"/>
        <v>0</v>
      </c>
      <c r="E213" s="29"/>
      <c r="F213" s="21" t="str">
        <f t="shared" si="7"/>
        <v/>
      </c>
      <c r="G213" s="6"/>
    </row>
    <row r="214" spans="2:7" hidden="1" x14ac:dyDescent="0.25">
      <c r="B214" s="6"/>
      <c r="C214" s="21" t="str">
        <f>Translations!$A$26</f>
        <v>权益法投资</v>
      </c>
      <c r="D214" s="21">
        <f t="shared" si="6"/>
        <v>0</v>
      </c>
      <c r="E214" s="29"/>
      <c r="F214" s="21" t="str">
        <f t="shared" si="7"/>
        <v/>
      </c>
      <c r="G214" s="6"/>
    </row>
    <row r="215" spans="2:7" hidden="1" x14ac:dyDescent="0.25">
      <c r="B215" s="6"/>
      <c r="C215" s="21" t="str">
        <f>Translations!$A$26</f>
        <v>权益法投资</v>
      </c>
      <c r="D215" s="21">
        <f t="shared" si="6"/>
        <v>0</v>
      </c>
      <c r="E215" s="29"/>
      <c r="F215" s="21" t="str">
        <f t="shared" si="7"/>
        <v/>
      </c>
      <c r="G215" s="6"/>
    </row>
    <row r="216" spans="2:7" hidden="1" x14ac:dyDescent="0.25">
      <c r="B216" s="6"/>
      <c r="C216" s="21" t="str">
        <f>Translations!$A$26</f>
        <v>权益法投资</v>
      </c>
      <c r="D216" s="21">
        <f t="shared" si="6"/>
        <v>0</v>
      </c>
      <c r="E216" s="29"/>
      <c r="F216" s="21" t="str">
        <f t="shared" si="7"/>
        <v/>
      </c>
      <c r="G216" s="6"/>
    </row>
    <row r="217" spans="2:7" hidden="1" x14ac:dyDescent="0.25">
      <c r="B217" s="6"/>
      <c r="C217" s="21" t="str">
        <f>Translations!$A$26</f>
        <v>权益法投资</v>
      </c>
      <c r="D217" s="21">
        <f t="shared" si="6"/>
        <v>0</v>
      </c>
      <c r="E217" s="29"/>
      <c r="F217" s="21" t="str">
        <f t="shared" si="7"/>
        <v/>
      </c>
      <c r="G217" s="6"/>
    </row>
    <row r="218" spans="2:7" hidden="1" x14ac:dyDescent="0.25">
      <c r="B218" s="6"/>
      <c r="C218" s="21" t="str">
        <f>Translations!$A$26</f>
        <v>权益法投资</v>
      </c>
      <c r="D218" s="21">
        <f t="shared" si="6"/>
        <v>0</v>
      </c>
      <c r="E218" s="29"/>
      <c r="F218" s="21" t="str">
        <f t="shared" si="7"/>
        <v/>
      </c>
      <c r="G218" s="6"/>
    </row>
    <row r="219" spans="2:7" hidden="1" x14ac:dyDescent="0.25">
      <c r="B219" s="6"/>
      <c r="C219" s="21" t="str">
        <f>Translations!$A$26</f>
        <v>权益法投资</v>
      </c>
      <c r="D219" s="21">
        <f t="shared" si="6"/>
        <v>0</v>
      </c>
      <c r="E219" s="29"/>
      <c r="F219" s="21" t="str">
        <f t="shared" si="7"/>
        <v/>
      </c>
      <c r="G219" s="6"/>
    </row>
  </sheetData>
  <sheetProtection selectLockedCells="1"/>
  <mergeCells count="12">
    <mergeCell ref="B15:B16"/>
    <mergeCell ref="B118:B119"/>
    <mergeCell ref="C15:C16"/>
    <mergeCell ref="C118:C119"/>
    <mergeCell ref="F15:F16"/>
    <mergeCell ref="G15:G16"/>
    <mergeCell ref="D118:D119"/>
    <mergeCell ref="E118:E119"/>
    <mergeCell ref="F118:F119"/>
    <mergeCell ref="G118:G119"/>
    <mergeCell ref="D15:D16"/>
    <mergeCell ref="E15:E16"/>
  </mergeCells>
  <phoneticPr fontId="22" type="noConversion"/>
  <conditionalFormatting sqref="C8:C10">
    <cfRule type="containsBlanks" dxfId="13" priority="22">
      <formula>LEN(TRIM(C8))=0</formula>
    </cfRule>
  </conditionalFormatting>
  <conditionalFormatting sqref="C11:C13">
    <cfRule type="containsBlanks" dxfId="12" priority="21">
      <formula>LEN(TRIM(C11))=0</formula>
    </cfRule>
  </conditionalFormatting>
  <conditionalFormatting sqref="C4">
    <cfRule type="expression" dxfId="11" priority="20">
      <formula>C4=""</formula>
    </cfRule>
  </conditionalFormatting>
  <conditionalFormatting sqref="C5">
    <cfRule type="expression" dxfId="10" priority="19">
      <formula>C5=""</formula>
    </cfRule>
  </conditionalFormatting>
  <conditionalFormatting sqref="B19:D20 B23:D113">
    <cfRule type="containsBlanks" dxfId="9" priority="14">
      <formula>LEN(TRIM(B19))=0</formula>
    </cfRule>
  </conditionalFormatting>
  <conditionalFormatting sqref="B120:B219">
    <cfRule type="containsBlanks" dxfId="8" priority="13">
      <formula>LEN(TRIM(B120))=0</formula>
    </cfRule>
  </conditionalFormatting>
  <conditionalFormatting sqref="B21:D22">
    <cfRule type="containsBlanks" dxfId="7" priority="7">
      <formula>LEN(TRIM(B21))=0</formula>
    </cfRule>
  </conditionalFormatting>
  <conditionalFormatting sqref="C17:C18">
    <cfRule type="containsBlanks" dxfId="6" priority="6">
      <formula>LEN(TRIM(C17))=0</formula>
    </cfRule>
  </conditionalFormatting>
  <conditionalFormatting sqref="D17:D18">
    <cfRule type="containsBlanks" dxfId="5" priority="5">
      <formula>LEN(TRIM(D17))=0</formula>
    </cfRule>
  </conditionalFormatting>
  <conditionalFormatting sqref="B17:B18">
    <cfRule type="containsBlanks" dxfId="4" priority="4">
      <formula>LEN(TRIM(B17))=0</formula>
    </cfRule>
  </conditionalFormatting>
  <conditionalFormatting sqref="G17:G113">
    <cfRule type="containsBlanks" dxfId="3" priority="3">
      <formula>LEN(TRIM(G17))=0</formula>
    </cfRule>
  </conditionalFormatting>
  <conditionalFormatting sqref="G120:G219">
    <cfRule type="containsBlanks" dxfId="2" priority="2">
      <formula>LEN(TRIM(G120))=0</formula>
    </cfRule>
  </conditionalFormatting>
  <conditionalFormatting sqref="E120:E219">
    <cfRule type="containsBlanks" dxfId="1" priority="1">
      <formula>LEN(TRIM(E120))=0</formula>
    </cfRule>
  </conditionalFormatting>
  <dataValidations count="1">
    <dataValidation allowBlank="1" showInputMessage="1" showErrorMessage="1" errorTitle="Number" error="Value must be a number." sqref="D17:D18 D21:D22"/>
  </dataValidations>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Translations!$A$23:$A$25</xm:f>
          </x14:formula1>
          <xm:sqref>C17:C113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ContentTranslation"/>
  <dimension ref="A1:B74"/>
  <sheetViews>
    <sheetView workbookViewId="0"/>
  </sheetViews>
  <sheetFormatPr defaultRowHeight="13.8" x14ac:dyDescent="0.25"/>
  <cols>
    <col min="1" max="1" width="70" customWidth="1"/>
    <col min="2" max="2" width="68.44140625" customWidth="1"/>
  </cols>
  <sheetData>
    <row r="1" spans="1:2" x14ac:dyDescent="0.25">
      <c r="A1" s="19" t="s">
        <v>25</v>
      </c>
      <c r="B1" s="19" t="s">
        <v>26</v>
      </c>
    </row>
    <row r="2" spans="1:2" x14ac:dyDescent="0.25">
      <c r="A2" s="19" t="s">
        <v>27</v>
      </c>
      <c r="B2" s="30" t="s">
        <v>1</v>
      </c>
    </row>
    <row r="3" spans="1:2" x14ac:dyDescent="0.25">
      <c r="A3" t="s">
        <v>46</v>
      </c>
      <c r="B3" s="30" t="s">
        <v>2</v>
      </c>
    </row>
    <row r="4" spans="1:2" x14ac:dyDescent="0.25">
      <c r="A4" s="19" t="s">
        <v>47</v>
      </c>
      <c r="B4" s="30" t="s">
        <v>3</v>
      </c>
    </row>
    <row r="5" spans="1:2" x14ac:dyDescent="0.25">
      <c r="A5" t="s">
        <v>48</v>
      </c>
      <c r="B5" s="30" t="s">
        <v>0</v>
      </c>
    </row>
    <row r="6" spans="1:2" x14ac:dyDescent="0.25">
      <c r="A6" s="19" t="s">
        <v>49</v>
      </c>
      <c r="B6" s="30" t="s">
        <v>4</v>
      </c>
    </row>
    <row r="7" spans="1:2" x14ac:dyDescent="0.25">
      <c r="A7" s="19" t="s">
        <v>50</v>
      </c>
      <c r="B7" s="30" t="s">
        <v>5</v>
      </c>
    </row>
    <row r="8" spans="1:2" x14ac:dyDescent="0.25">
      <c r="A8" s="19" t="s">
        <v>51</v>
      </c>
      <c r="B8" s="30" t="s">
        <v>6</v>
      </c>
    </row>
    <row r="9" spans="1:2" x14ac:dyDescent="0.25">
      <c r="A9" s="19" t="s">
        <v>52</v>
      </c>
      <c r="B9" s="30" t="s">
        <v>7</v>
      </c>
    </row>
    <row r="10" spans="1:2" x14ac:dyDescent="0.25">
      <c r="A10" s="19" t="s">
        <v>53</v>
      </c>
      <c r="B10" s="30" t="s">
        <v>8</v>
      </c>
    </row>
    <row r="11" spans="1:2" x14ac:dyDescent="0.25">
      <c r="A11" s="19" t="s">
        <v>54</v>
      </c>
      <c r="B11" s="30" t="s">
        <v>9</v>
      </c>
    </row>
    <row r="12" spans="1:2" x14ac:dyDescent="0.25">
      <c r="A12" s="19" t="s">
        <v>55</v>
      </c>
      <c r="B12" s="30" t="s">
        <v>10</v>
      </c>
    </row>
    <row r="13" spans="1:2" x14ac:dyDescent="0.25">
      <c r="A13" s="19" t="s">
        <v>56</v>
      </c>
      <c r="B13" s="30" t="s">
        <v>11</v>
      </c>
    </row>
    <row r="14" spans="1:2" x14ac:dyDescent="0.25">
      <c r="A14" s="19" t="s">
        <v>57</v>
      </c>
      <c r="B14" s="30" t="s">
        <v>12</v>
      </c>
    </row>
    <row r="15" spans="1:2" x14ac:dyDescent="0.25">
      <c r="A15" s="19" t="s">
        <v>58</v>
      </c>
      <c r="B15" s="30" t="s">
        <v>13</v>
      </c>
    </row>
    <row r="16" spans="1:2" ht="27.6" x14ac:dyDescent="0.25">
      <c r="A16" s="19" t="s">
        <v>68</v>
      </c>
      <c r="B16" s="30" t="s">
        <v>14</v>
      </c>
    </row>
    <row r="17" spans="1:2" x14ac:dyDescent="0.25">
      <c r="A17" s="19" t="s">
        <v>59</v>
      </c>
      <c r="B17" s="30" t="s">
        <v>15</v>
      </c>
    </row>
    <row r="18" spans="1:2" x14ac:dyDescent="0.25">
      <c r="A18" s="19" t="s">
        <v>60</v>
      </c>
      <c r="B18" s="30" t="s">
        <v>16</v>
      </c>
    </row>
    <row r="19" spans="1:2" x14ac:dyDescent="0.25">
      <c r="A19" t="s">
        <v>61</v>
      </c>
      <c r="B19" s="30" t="s">
        <v>17</v>
      </c>
    </row>
    <row r="20" spans="1:2" x14ac:dyDescent="0.25">
      <c r="A20" s="19" t="s">
        <v>62</v>
      </c>
      <c r="B20" s="30" t="s">
        <v>18</v>
      </c>
    </row>
    <row r="21" spans="1:2" x14ac:dyDescent="0.25">
      <c r="A21" t="s">
        <v>63</v>
      </c>
      <c r="B21" s="30" t="s">
        <v>19</v>
      </c>
    </row>
    <row r="22" spans="1:2" ht="27.6" x14ac:dyDescent="0.25">
      <c r="A22" s="19" t="s">
        <v>69</v>
      </c>
      <c r="B22" s="30" t="s">
        <v>20</v>
      </c>
    </row>
    <row r="23" spans="1:2" x14ac:dyDescent="0.25">
      <c r="A23" t="s">
        <v>64</v>
      </c>
      <c r="B23" s="30" t="s">
        <v>21</v>
      </c>
    </row>
    <row r="24" spans="1:2" x14ac:dyDescent="0.25">
      <c r="A24" t="s">
        <v>65</v>
      </c>
      <c r="B24" s="30" t="s">
        <v>22</v>
      </c>
    </row>
    <row r="25" spans="1:2" x14ac:dyDescent="0.25">
      <c r="A25" t="s">
        <v>66</v>
      </c>
      <c r="B25" s="30" t="s">
        <v>23</v>
      </c>
    </row>
    <row r="26" spans="1:2" x14ac:dyDescent="0.25">
      <c r="A26" t="s">
        <v>67</v>
      </c>
      <c r="B26" s="30" t="s">
        <v>24</v>
      </c>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row r="58" spans="1:2" x14ac:dyDescent="0.25">
      <c r="A58" s="19"/>
      <c r="B58" s="19"/>
    </row>
    <row r="59" spans="1:2" x14ac:dyDescent="0.25">
      <c r="A59" s="19"/>
      <c r="B59" s="19"/>
    </row>
    <row r="60" spans="1:2" x14ac:dyDescent="0.25">
      <c r="A60" s="19"/>
      <c r="B60" s="19"/>
    </row>
    <row r="61" spans="1:2" x14ac:dyDescent="0.25">
      <c r="A61" s="19"/>
      <c r="B61" s="19"/>
    </row>
    <row r="62" spans="1:2" x14ac:dyDescent="0.25">
      <c r="A62" s="19"/>
      <c r="B62" s="19"/>
    </row>
    <row r="63" spans="1:2" x14ac:dyDescent="0.25">
      <c r="A63" s="19"/>
      <c r="B63" s="19"/>
    </row>
    <row r="64" spans="1:2" x14ac:dyDescent="0.25">
      <c r="A64" s="19"/>
      <c r="B64" s="19"/>
    </row>
    <row r="65" spans="1:2" x14ac:dyDescent="0.25">
      <c r="A65" s="19"/>
      <c r="B65" s="19"/>
    </row>
    <row r="66" spans="1:2" x14ac:dyDescent="0.25">
      <c r="A66" s="19"/>
      <c r="B66" s="19"/>
    </row>
    <row r="67" spans="1:2" x14ac:dyDescent="0.25">
      <c r="A67" s="19"/>
      <c r="B67" s="19"/>
    </row>
    <row r="68" spans="1:2" x14ac:dyDescent="0.25">
      <c r="A68" s="19"/>
      <c r="B68" s="19"/>
    </row>
    <row r="69" spans="1:2" x14ac:dyDescent="0.25">
      <c r="A69" s="19"/>
      <c r="B69" s="19"/>
    </row>
    <row r="70" spans="1:2" x14ac:dyDescent="0.25">
      <c r="A70" s="19"/>
      <c r="B70" s="19"/>
    </row>
    <row r="71" spans="1:2" x14ac:dyDescent="0.25">
      <c r="A71" s="19"/>
      <c r="B71" s="19"/>
    </row>
    <row r="72" spans="1:2" x14ac:dyDescent="0.25">
      <c r="A72" s="19"/>
      <c r="B72" s="19"/>
    </row>
    <row r="73" spans="1:2" x14ac:dyDescent="0.25">
      <c r="A73" s="19"/>
      <c r="B73" s="19"/>
    </row>
    <row r="74" spans="1:2" x14ac:dyDescent="0.25">
      <c r="A74" s="19"/>
      <c r="B74" s="19"/>
    </row>
  </sheetData>
  <phoneticPr fontId="22"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ffe4ad93-ed6f-4535-b8d7-9f3717677e75">
      <Terms xmlns="http://schemas.microsoft.com/office/infopath/2007/PartnerControls"/>
    </lcf76f155ced4ddcb4097134ff3c332f>
    <TaxCatchAll xmlns="aae29c38-5c64-4b4f-89da-042ea755fda5" xsi:nil="true"/>
    <Main_x0020_topic xmlns="aae29c38-5c64-4b4f-89da-042ea755fda5" xsi:nil="true"/>
    <Versioncomments xmlns="ffe4ad93-ed6f-4535-b8d7-9f3717677e75" xsi:nil="true"/>
    <SharedWithUsers xmlns="aae29c38-5c64-4b4f-89da-042ea755fda5">
      <UserInfo>
        <DisplayName/>
        <AccountId xsi:nil="true"/>
        <AccountType/>
      </UserInfo>
    </SharedWithUsers>
    <MediaLengthInSeconds xmlns="ffe4ad93-ed6f-4535-b8d7-9f3717677e7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BA8A0A80888F545BB9D1A28C6C20EC8" ma:contentTypeVersion="14" ma:contentTypeDescription="Create a new document." ma:contentTypeScope="" ma:versionID="b93681d9c2276edfa9cfb6261ce32122">
  <xsd:schema xmlns:xsd="http://www.w3.org/2001/XMLSchema" xmlns:xs="http://www.w3.org/2001/XMLSchema" xmlns:p="http://schemas.microsoft.com/office/2006/metadata/properties" xmlns:ns2="ffe4ad93-ed6f-4535-b8d7-9f3717677e75" xmlns:ns3="aae29c38-5c64-4b4f-89da-042ea755fda5" targetNamespace="http://schemas.microsoft.com/office/2006/metadata/properties" ma:root="true" ma:fieldsID="0a8e40df5ee5b8ab9f5e7e8515c09780" ns2:_="" ns3:_="">
    <xsd:import namespace="ffe4ad93-ed6f-4535-b8d7-9f3717677e75"/>
    <xsd:import namespace="aae29c38-5c64-4b4f-89da-042ea755fda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Versioncomments"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3:Main_x0020_topic"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e4ad93-ed6f-4535-b8d7-9f3717677e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Versioncomments" ma:index="12" nillable="true" ma:displayName="Version comments" ma:format="Dropdown" ma:internalName="Versioncomments">
      <xsd:simpleType>
        <xsd:restriction base="dms:Note">
          <xsd:maxLength value="255"/>
        </xsd:restrictio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a785552-9cbc-4ad1-85a9-7bdd3352d37e"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ae29c38-5c64-4b4f-89da-042ea755fda5"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e78da1e-b515-4546-8b6d-a94f81144609}" ma:internalName="TaxCatchAll" ma:showField="CatchAllData" ma:web="aae29c38-5c64-4b4f-89da-042ea755fd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Main_x0020_topic" ma:index="21" nillable="true" ma:displayName="Main topic" ma:internalName="Main_x0020_topic">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0B4F598-0246-4EA1-929D-0BC9BAA73129}">
  <ds:schemaRefs>
    <ds:schemaRef ds:uri="42c6dde8-c0d4-4b48-a999-5305f20bc0f9"/>
    <ds:schemaRef ds:uri="http://purl.org/dc/elements/1.1/"/>
    <ds:schemaRef ds:uri="http://www.w3.org/XML/1998/namespace"/>
    <ds:schemaRef ds:uri="http://schemas.openxmlformats.org/package/2006/metadata/core-properties"/>
    <ds:schemaRef ds:uri="http://schemas.microsoft.com/office/2006/documentManagement/types"/>
    <ds:schemaRef ds:uri="http://schemas.microsoft.com/sharepoint/v3"/>
    <ds:schemaRef ds:uri="http://purl.org/dc/dcmitype/"/>
    <ds:schemaRef ds:uri="http://purl.org/dc/terms/"/>
    <ds:schemaRef ds:uri="http://schemas.microsoft.com/office/infopath/2007/PartnerControls"/>
    <ds:schemaRef ds:uri="3f10eaf0-f562-4c04-bd08-cc6dd174e17d"/>
    <ds:schemaRef ds:uri="http://schemas.microsoft.com/office/2006/metadata/properties"/>
    <ds:schemaRef ds:uri="ffe4ad93-ed6f-4535-b8d7-9f3717677e75"/>
    <ds:schemaRef ds:uri="aae29c38-5c64-4b4f-89da-042ea755fda5"/>
  </ds:schemaRefs>
</ds:datastoreItem>
</file>

<file path=customXml/itemProps2.xml><?xml version="1.0" encoding="utf-8"?>
<ds:datastoreItem xmlns:ds="http://schemas.openxmlformats.org/officeDocument/2006/customXml" ds:itemID="{487F4F3B-9C1F-4096-B4CF-4768842F6B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e4ad93-ed6f-4535-b8d7-9f3717677e75"/>
    <ds:schemaRef ds:uri="aae29c38-5c64-4b4f-89da-042ea755fd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3CDC5A4-BA85-44ED-B6FA-A12708FEAFB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4</vt:i4>
      </vt:variant>
    </vt:vector>
  </HeadingPairs>
  <TitlesOfParts>
    <vt:vector size="7" baseType="lpstr">
      <vt:lpstr>说明</vt:lpstr>
      <vt:lpstr>组成部分实际执行的重要性水平</vt:lpstr>
      <vt:lpstr>Translations</vt:lpstr>
      <vt:lpstr>ComponentRows</vt:lpstr>
      <vt:lpstr>EquityMethodInvestments</vt:lpstr>
      <vt:lpstr>NumberOfComponents</vt:lpstr>
      <vt:lpstr>NumberOfEquityMethodInvestments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Andy Barnhart</dc:creator>
  <cp:keywords/>
  <dc:description/>
  <cp:lastModifiedBy>Windows 用户</cp:lastModifiedBy>
  <cp:revision/>
  <dcterms:created xsi:type="dcterms:W3CDTF">2021-04-21T14:12:25Z</dcterms:created>
  <dcterms:modified xsi:type="dcterms:W3CDTF">2024-08-28T05:53:43Z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0x0101005BA8A0A80888F545BB9D1A28C6C20EC8</vt:lpwstr>
  </property>
  <property fmtid="{D5CDD505-2E9C-101B-9397-08002B2CF9AE}" pid="3" name="_dlc_DocIdItemGuid">
    <vt:lpwstr>d86d9444-767a-4b0d-a56f-b70d839ddafe</vt:lpwstr>
  </property>
  <property fmtid="{D5CDD505-2E9C-101B-9397-08002B2CF9AE}" pid="4" name="Order">
    <vt:r8>1531100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_dlc_DocId">
    <vt:lpwstr>T4T5T3R555WE-636262436-15311</vt:lpwstr>
  </property>
  <property fmtid="{D5CDD505-2E9C-101B-9397-08002B2CF9AE}" pid="9" name="TriggerFlowInfo">
    <vt:lpwstr/>
  </property>
  <property fmtid="{D5CDD505-2E9C-101B-9397-08002B2CF9AE}" pid="10" name="_dlc_DocIdUrl">
    <vt:lpwstr>https://gtinetorg.sharepoint.com/sites/leapdocs/_layouts/15/DocIdRedir.aspx?ID=T4T5T3R555WE-636262436-15311, T4T5T3R555WE-636262436-15311</vt:lpwstr>
  </property>
  <property fmtid="{D5CDD505-2E9C-101B-9397-08002B2CF9AE}" pid="11" name="ComplianceAssetId">
    <vt:lpwstr/>
  </property>
  <property fmtid="{D5CDD505-2E9C-101B-9397-08002B2CF9AE}" pid="12" name="TemplateUrl">
    <vt:lpwstr/>
  </property>
  <property fmtid="{D5CDD505-2E9C-101B-9397-08002B2CF9AE}" pid="13" name="MediaServiceImageTags">
    <vt:lpwstr/>
  </property>
  <property fmtid="{D5CDD505-2E9C-101B-9397-08002B2CF9AE}" pid="14" name="_SourceUrl">
    <vt:lpwstr/>
  </property>
  <property fmtid="{D5CDD505-2E9C-101B-9397-08002B2CF9AE}" pid="15" name="_SharedFileIndex">
    <vt:lpwstr/>
  </property>
</Properties>
</file>