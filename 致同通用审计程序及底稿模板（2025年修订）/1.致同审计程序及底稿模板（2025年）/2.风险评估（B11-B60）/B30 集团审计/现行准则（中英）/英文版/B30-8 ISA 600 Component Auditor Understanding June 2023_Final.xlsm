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01" codeName="{5022B3EB-BCE5-7840-4BB8-8062D341818C}"/>
  <workbookPr codeName="ThisWorkbook"/>
  <mc:AlternateContent xmlns:mc="http://schemas.openxmlformats.org/markup-compatibility/2006">
    <mc:Choice Requires="x15">
      <x15ac:absPath xmlns:x15ac="http://schemas.microsoft.com/office/spreadsheetml/2010/11/ac" url="https://gtinetorg-my.sharepoint.com/personal/mariela_melendez_gti_gt_com/Documents/ISA 600/2023/QM template/FINAL/"/>
    </mc:Choice>
  </mc:AlternateContent>
  <xr:revisionPtr revIDLastSave="139" documentId="8_{44177650-244D-4F82-A26B-EAB8A98AEE40}" xr6:coauthVersionLast="47" xr6:coauthVersionMax="47" xr10:uidLastSave="{6F3E4BFB-0C45-4D1A-8EA0-DBF3BFCDC6F8}"/>
  <bookViews>
    <workbookView xWindow="-110" yWindow="-110" windowWidth="19420" windowHeight="10420" tabRatio="802" firstSheet="1" activeTab="1" xr2:uid="{00000000-000D-0000-FFFF-FFFF00000000}"/>
  </bookViews>
  <sheets>
    <sheet name="Translation" sheetId="7" state="hidden" r:id="rId1"/>
    <sheet name="Instructions" sheetId="5" r:id="rId2"/>
    <sheet name="Component Auditor 1 " sheetId="1" r:id="rId3"/>
    <sheet name="Sheet1" sheetId="6" state="hidden" r:id="rId4"/>
    <sheet name="GT_Custom" sheetId="2" state="hidden" r:id="rId5"/>
  </sheets>
  <functionGroups builtInGroupCount="19"/>
  <externalReferences>
    <externalReference r:id="rId6"/>
  </externalReferences>
  <definedNames>
    <definedName name="_sheetContentTranslation_A_10" hidden="1">Translation!$A$11</definedName>
    <definedName name="_sheetContentTranslation_A_100" hidden="1">Translation!$A$101</definedName>
    <definedName name="_sheetContentTranslation_A_101" hidden="1">Translation!$A$102</definedName>
    <definedName name="_sheetContentTranslation_A_102" hidden="1">Translation!$A$103</definedName>
    <definedName name="_sheetContentTranslation_A_103" hidden="1">Translation!$A$104</definedName>
    <definedName name="_sheetContentTranslation_A_104" hidden="1">Translation!$A$105</definedName>
    <definedName name="_sheetContentTranslation_A_105" hidden="1">Translation!$A$106</definedName>
    <definedName name="_sheetContentTranslation_A_106" hidden="1">Translation!$A$107</definedName>
    <definedName name="_sheetContentTranslation_A_107" hidden="1">Translation!$A$108</definedName>
    <definedName name="_sheetContentTranslation_A_108" hidden="1">Translation!$A$109</definedName>
    <definedName name="_sheetContentTranslation_A_109" hidden="1">Translation!$A$110</definedName>
    <definedName name="_sheetContentTranslation_A_11" hidden="1">Translation!$A$12</definedName>
    <definedName name="_sheetContentTranslation_A_110" hidden="1">Translation!$A$111</definedName>
    <definedName name="_sheetContentTranslation_A_111" hidden="1">Translation!$A$112</definedName>
    <definedName name="_sheetContentTranslation_A_112" hidden="1">Translation!$A$113</definedName>
    <definedName name="_sheetContentTranslation_A_113" hidden="1">Translation!$A$114</definedName>
    <definedName name="_sheetContentTranslation_A_114" hidden="1">Translation!$A$115</definedName>
    <definedName name="_sheetContentTranslation_A_115" hidden="1">Translation!$A$116</definedName>
    <definedName name="_sheetContentTranslation_A_116" hidden="1">Translation!$A$117</definedName>
    <definedName name="_sheetContentTranslation_A_117" hidden="1">Translation!$A$118</definedName>
    <definedName name="_sheetContentTranslation_A_118" hidden="1">Translation!$A$119</definedName>
    <definedName name="_sheetContentTranslation_A_119" hidden="1">Translation!$A$120</definedName>
    <definedName name="_sheetContentTranslation_A_12" hidden="1">Translation!$A$13</definedName>
    <definedName name="_sheetContentTranslation_A_120" hidden="1">Translation!$A$121</definedName>
    <definedName name="_sheetContentTranslation_A_121" hidden="1">Translation!$A$122</definedName>
    <definedName name="_sheetContentTranslation_A_122" hidden="1">Translation!$A$123</definedName>
    <definedName name="_sheetContentTranslation_A_123" hidden="1">Translation!$A$124</definedName>
    <definedName name="_sheetContentTranslation_A_124" hidden="1">Translation!$A$125</definedName>
    <definedName name="_sheetContentTranslation_A_125" hidden="1">Translation!$A$126</definedName>
    <definedName name="_sheetContentTranslation_A_126" hidden="1">Translation!$A$127</definedName>
    <definedName name="_sheetContentTranslation_A_127" hidden="1">Translation!$A$128</definedName>
    <definedName name="_sheetContentTranslation_A_128" hidden="1">Translation!$A$129</definedName>
    <definedName name="_sheetContentTranslation_A_129" hidden="1">Translation!$A$130</definedName>
    <definedName name="_sheetContentTranslation_A_13" hidden="1">Translation!$A$14</definedName>
    <definedName name="_sheetContentTranslation_A_14" hidden="1">Translation!$A$15</definedName>
    <definedName name="_sheetContentTranslation_A_15" hidden="1">Translation!$A$16</definedName>
    <definedName name="_sheetContentTranslation_A_16" hidden="1">Translation!$A$17</definedName>
    <definedName name="_sheetContentTranslation_A_17" hidden="1">Translation!$A$18</definedName>
    <definedName name="_sheetContentTranslation_A_18" hidden="1">Translation!$A$19</definedName>
    <definedName name="_sheetContentTranslation_A_19" hidden="1">Translation!$A$20</definedName>
    <definedName name="_sheetContentTranslation_A_20" hidden="1">Translation!$A$21</definedName>
    <definedName name="_sheetContentTranslation_A_21" hidden="1">Translation!$A$22</definedName>
    <definedName name="_sheetContentTranslation_A_22" hidden="1">Translation!$A$23</definedName>
    <definedName name="_sheetContentTranslation_A_23" hidden="1">Translation!$A$24</definedName>
    <definedName name="_sheetContentTranslation_A_24" hidden="1">Translation!$A$25</definedName>
    <definedName name="_sheetContentTranslation_A_25" hidden="1">Translation!$A$26</definedName>
    <definedName name="_sheetContentTranslation_A_26" hidden="1">Translation!$A$27</definedName>
    <definedName name="_sheetContentTranslation_A_27" hidden="1">Translation!$A$28</definedName>
    <definedName name="_sheetContentTranslation_A_28" hidden="1">Translation!$A$29</definedName>
    <definedName name="_sheetContentTranslation_A_29" hidden="1">Translation!$A$30</definedName>
    <definedName name="_sheetContentTranslation_A_3" hidden="1">Translation!$A$3</definedName>
    <definedName name="_sheetContentTranslation_A_30" hidden="1">Translation!$A$31</definedName>
    <definedName name="_sheetContentTranslation_A_31" hidden="1">Translation!$A$32</definedName>
    <definedName name="_sheetContentTranslation_A_32" hidden="1">Translation!$A$33</definedName>
    <definedName name="_sheetContentTranslation_A_33" hidden="1">Translation!$A$34</definedName>
    <definedName name="_sheetContentTranslation_A_34" hidden="1">Translation!$A$35</definedName>
    <definedName name="_sheetContentTranslation_A_35" hidden="1">Translation!$A$36</definedName>
    <definedName name="_sheetContentTranslation_A_36" hidden="1">Translation!$A$37</definedName>
    <definedName name="_sheetContentTranslation_A_37" hidden="1">Translation!$A$38</definedName>
    <definedName name="_sheetContentTranslation_A_38" hidden="1">Translation!$A$39</definedName>
    <definedName name="_sheetContentTranslation_A_39" hidden="1">Translation!$A$40</definedName>
    <definedName name="_sheetContentTranslation_A_4" hidden="1">Translation!$A$6</definedName>
    <definedName name="_sheetContentTranslation_A_40" hidden="1">Translation!$A$41</definedName>
    <definedName name="_sheetContentTranslation_A_41" hidden="1">Translation!$A$42</definedName>
    <definedName name="_sheetContentTranslation_A_42" hidden="1">Translation!$A$43</definedName>
    <definedName name="_sheetContentTranslation_A_43" hidden="1">Translation!$A$44</definedName>
    <definedName name="_sheetContentTranslation_A_44" hidden="1">Translation!$A$45</definedName>
    <definedName name="_sheetContentTranslation_A_45" hidden="1">Translation!$A$46</definedName>
    <definedName name="_sheetContentTranslation_A_46" hidden="1">Translation!$A$47</definedName>
    <definedName name="_sheetContentTranslation_A_47" hidden="1">Translation!$A$48</definedName>
    <definedName name="_sheetContentTranslation_A_48" hidden="1">Translation!$A$49</definedName>
    <definedName name="_sheetContentTranslation_A_49" hidden="1">Translation!$A$50</definedName>
    <definedName name="_sheetContentTranslation_A_5" hidden="1">Translation!$A$4</definedName>
    <definedName name="_sheetContentTranslation_A_50" hidden="1">Translation!$A$51</definedName>
    <definedName name="_sheetContentTranslation_A_51" hidden="1">Translation!$A$52</definedName>
    <definedName name="_sheetContentTranslation_A_52" hidden="1">Translation!$A$53</definedName>
    <definedName name="_sheetContentTranslation_A_53" hidden="1">Translation!$A$54</definedName>
    <definedName name="_sheetContentTranslation_A_54" hidden="1">Translation!$A$55</definedName>
    <definedName name="_sheetContentTranslation_A_55" hidden="1">Translation!$A$56</definedName>
    <definedName name="_sheetContentTranslation_A_56" hidden="1">Translation!$A$57</definedName>
    <definedName name="_sheetContentTranslation_A_57" hidden="1">Translation!$A$58</definedName>
    <definedName name="_sheetContentTranslation_A_58" hidden="1">Translation!$A$59</definedName>
    <definedName name="_sheetContentTranslation_A_59" hidden="1">Translation!$A$60</definedName>
    <definedName name="_sheetContentTranslation_A_6" hidden="1">Translation!$A$7</definedName>
    <definedName name="_sheetContentTranslation_A_60" hidden="1">Translation!$A$61</definedName>
    <definedName name="_sheetContentTranslation_A_61" hidden="1">Translation!$A$62</definedName>
    <definedName name="_sheetContentTranslation_A_62" hidden="1">Translation!$A$63</definedName>
    <definedName name="_sheetContentTranslation_A_63" hidden="1">Translation!$A$64</definedName>
    <definedName name="_sheetContentTranslation_A_64" hidden="1">Translation!$A$65</definedName>
    <definedName name="_sheetContentTranslation_A_65" hidden="1">Translation!$A$66</definedName>
    <definedName name="_sheetContentTranslation_A_66" hidden="1">Translation!$A$67</definedName>
    <definedName name="_sheetContentTranslation_A_67" hidden="1">Translation!$A$68</definedName>
    <definedName name="_sheetContentTranslation_A_68" hidden="1">Translation!$A$69</definedName>
    <definedName name="_sheetContentTranslation_A_69" hidden="1">Translation!$A$70</definedName>
    <definedName name="_sheetContentTranslation_A_7" hidden="1">Translation!$A$8</definedName>
    <definedName name="_sheetContentTranslation_A_70" hidden="1">Translation!$A$71</definedName>
    <definedName name="_sheetContentTranslation_A_71" hidden="1">Translation!$A$72</definedName>
    <definedName name="_sheetContentTranslation_A_72" hidden="1">Translation!$A$73</definedName>
    <definedName name="_sheetContentTranslation_A_73" hidden="1">Translation!$A$74</definedName>
    <definedName name="_sheetContentTranslation_A_74" hidden="1">Translation!$A$75</definedName>
    <definedName name="_sheetContentTranslation_A_75" hidden="1">Translation!$A$76</definedName>
    <definedName name="_sheetContentTranslation_A_76" hidden="1">Translation!$A$77</definedName>
    <definedName name="_sheetContentTranslation_A_77" hidden="1">Translation!$A$78</definedName>
    <definedName name="_sheetContentTranslation_A_78" hidden="1">Translation!$A$79</definedName>
    <definedName name="_sheetContentTranslation_A_79" hidden="1">Translation!$A$80</definedName>
    <definedName name="_sheetContentTranslation_A_8" hidden="1">Translation!$A$9</definedName>
    <definedName name="_sheetContentTranslation_A_80" hidden="1">Translation!$A$81</definedName>
    <definedName name="_sheetContentTranslation_A_81" hidden="1">Translation!$A$82</definedName>
    <definedName name="_sheetContentTranslation_A_82" hidden="1">Translation!$A$83</definedName>
    <definedName name="_sheetContentTranslation_A_83" hidden="1">Translation!$A$84</definedName>
    <definedName name="_sheetContentTranslation_A_84" hidden="1">Translation!$A$85</definedName>
    <definedName name="_sheetContentTranslation_A_85" hidden="1">Translation!$A$86</definedName>
    <definedName name="_sheetContentTranslation_A_86" hidden="1">Translation!$A$87</definedName>
    <definedName name="_sheetContentTranslation_A_87" hidden="1">Translation!$A$88</definedName>
    <definedName name="_sheetContentTranslation_A_88" hidden="1">Translation!$A$89</definedName>
    <definedName name="_sheetContentTranslation_A_89" hidden="1">Translation!$A$90</definedName>
    <definedName name="_sheetContentTranslation_A_9" hidden="1">Translation!$A$10</definedName>
    <definedName name="_sheetContentTranslation_A_90" hidden="1">Translation!$A$91</definedName>
    <definedName name="_sheetContentTranslation_A_91" hidden="1">Translation!$A$92</definedName>
    <definedName name="_sheetContentTranslation_A_92" hidden="1">Translation!$A$93</definedName>
    <definedName name="_sheetContentTranslation_A_93" hidden="1">Translation!$A$94</definedName>
    <definedName name="_sheetContentTranslation_A_94" hidden="1">Translation!$A$95</definedName>
    <definedName name="_sheetContentTranslation_A_95" hidden="1">Translation!$A$96</definedName>
    <definedName name="_sheetContentTranslation_A_96" hidden="1">Translation!$A$97</definedName>
    <definedName name="_sheetContentTranslation_A_97" hidden="1">Translation!$A$98</definedName>
    <definedName name="_sheetContentTranslation_A_98" hidden="1">Translation!$A$99</definedName>
    <definedName name="_sheetContentTranslation_A_99" hidden="1">Translation!$A$100</definedName>
    <definedName name="AddressedIndepenceBreaches">Translation!$A$134</definedName>
    <definedName name="AnswerNo">Translation!$A$4</definedName>
    <definedName name="AnswerYes">Translation!$A$3</definedName>
    <definedName name="AssignedAppropriateResources">Translation!$A$140</definedName>
    <definedName name="Assume_Base" localSheetId="2">'Component Auditor 1 '!$29:$29</definedName>
    <definedName name="Assume_Competence" localSheetId="2">'Component Auditor 1 '!$D$19</definedName>
    <definedName name="Assume_Concerns" localSheetId="2">'Component Auditor 1 '!$D$40</definedName>
    <definedName name="Assume_Impact" localSheetId="2">'Component Auditor 1 '!$A$42</definedName>
    <definedName name="Assume_Independence" localSheetId="2">'Component Auditor 1 '!$D$9</definedName>
    <definedName name="Assume_Understanding" localSheetId="2">'Component Auditor 1 '!$A$11</definedName>
    <definedName name="Delete_row">Translation!$A$132</definedName>
    <definedName name="EvaluateIndepenceBreaches">Translation!$A$135</definedName>
    <definedName name="IsInForumOfFirms">Translation!$A$136</definedName>
    <definedName name="ISQM1Compliance">Translation!$A$138</definedName>
    <definedName name="ISQM1ComplianceNote">Translation!$A$139</definedName>
    <definedName name="Not_permitted_to_request_component_auditor_to_perform_work_on_the_component_financial_information">Translation!$A$133</definedName>
    <definedName name="NotInForumOfFirms">Translation!$A$137</definedName>
    <definedName name="Plus_ForAdd">Translation!$A$64</definedName>
    <definedName name="_xlnm.Print_Area" localSheetId="2">'Component Auditor 1 '!$A$1:$F$41</definedName>
    <definedName name="_xlnm.Print_Area" localSheetId="1">Instructions!$A$1:$C$22</definedName>
    <definedName name="RegulatoryInspection">Translation!$A$141</definedName>
    <definedName name="RelevantInspectiomNote">Translation!$A$142</definedName>
    <definedName name="Select__OK__to_delete_row">Translation!$A$131</definedName>
    <definedName name="sh_Home" localSheetId="2">'Component Auditor 1 '!$A$1</definedName>
    <definedName name="SpellCheck">Translation!$A$39</definedName>
    <definedName name="Type">[1]Lists!$A$1:$A$4</definedName>
    <definedName name="x_ForDelete">Translation!$A$55</definedName>
    <definedName name="YesNo">Translation!$A$3:$A$4</definedName>
    <definedName name="YesNoNA">Translation!$A$3:$A$5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6" i="1" l="1"/>
  <c r="D25" i="1"/>
  <c r="D23" i="1" l="1"/>
  <c r="C23" i="1"/>
  <c r="A2" i="5"/>
  <c r="D24" i="1"/>
  <c r="C24" i="1"/>
  <c r="C18" i="1"/>
  <c r="E14" i="1"/>
  <c r="C14" i="1"/>
  <c r="E13" i="1"/>
  <c r="C13" i="1"/>
  <c r="C30" i="1"/>
  <c r="C25" i="1"/>
  <c r="C5" i="1"/>
  <c r="C10" i="1"/>
  <c r="C9" i="1"/>
  <c r="B28" i="2"/>
  <c r="A28" i="2"/>
  <c r="B27" i="2"/>
  <c r="A27" i="2"/>
  <c r="B26" i="2"/>
  <c r="A26" i="2"/>
  <c r="B25" i="2"/>
  <c r="A25" i="2"/>
  <c r="B24" i="2"/>
  <c r="A24" i="2"/>
  <c r="B23" i="2"/>
  <c r="A23" i="2"/>
  <c r="B22" i="2"/>
  <c r="A22" i="2"/>
  <c r="B21" i="2"/>
  <c r="A21" i="2"/>
  <c r="B20" i="2"/>
  <c r="A20" i="2"/>
  <c r="B19" i="2"/>
  <c r="A19" i="2"/>
  <c r="B18" i="2"/>
  <c r="A18" i="2"/>
  <c r="B17" i="2"/>
  <c r="A17" i="2"/>
  <c r="B16" i="2"/>
  <c r="A16" i="2"/>
  <c r="B15" i="2"/>
  <c r="A15" i="2"/>
  <c r="B14" i="2"/>
  <c r="A14" i="2"/>
  <c r="B13" i="2"/>
  <c r="A13" i="2"/>
  <c r="B12" i="2"/>
  <c r="A12" i="2"/>
  <c r="B11" i="2"/>
  <c r="A11" i="2"/>
  <c r="B10" i="2"/>
  <c r="A10" i="2"/>
  <c r="B8" i="2"/>
  <c r="A8" i="2"/>
  <c r="B7" i="2"/>
  <c r="A7" i="2"/>
  <c r="B6" i="2"/>
  <c r="A6" i="2"/>
  <c r="B5" i="2"/>
  <c r="A5" i="2"/>
  <c r="B4" i="2"/>
  <c r="A4" i="2"/>
  <c r="B3" i="2"/>
  <c r="A3" i="2"/>
  <c r="B2" i="2"/>
  <c r="A2" i="2"/>
  <c r="B1" i="2"/>
  <c r="A1" i="2"/>
  <c r="C42" i="1"/>
  <c r="C41" i="1"/>
  <c r="E40" i="1"/>
  <c r="C40" i="1"/>
  <c r="E39" i="1"/>
  <c r="D39" i="1"/>
  <c r="C38" i="1"/>
  <c r="C36" i="1"/>
  <c r="C35" i="1"/>
  <c r="E34" i="1"/>
  <c r="D34" i="1"/>
  <c r="C33" i="1"/>
  <c r="E32" i="1"/>
  <c r="C32" i="1"/>
  <c r="E31" i="1"/>
  <c r="D31" i="1"/>
  <c r="B29" i="1"/>
  <c r="A29" i="1"/>
  <c r="D28" i="1"/>
  <c r="C28" i="1"/>
  <c r="A28" i="1"/>
  <c r="C27" i="1"/>
  <c r="C26" i="1"/>
  <c r="B26" i="1"/>
  <c r="B25" i="1"/>
  <c r="B24" i="1"/>
  <c r="B23" i="1"/>
  <c r="D22" i="1"/>
  <c r="C22" i="1"/>
  <c r="C21" i="1"/>
  <c r="C20" i="1"/>
  <c r="C19" i="1"/>
  <c r="C17" i="1"/>
  <c r="C16" i="1"/>
  <c r="C15" i="1"/>
  <c r="E12" i="1"/>
  <c r="D12" i="1"/>
  <c r="C11" i="1"/>
  <c r="E8" i="1"/>
  <c r="D8" i="1"/>
  <c r="C7" i="1"/>
  <c r="C4" i="1"/>
  <c r="C3" i="1"/>
  <c r="G1" i="1"/>
  <c r="C1" i="1"/>
  <c r="B22" i="5"/>
  <c r="A22" i="5"/>
  <c r="B21" i="5"/>
  <c r="A21" i="5"/>
  <c r="B20" i="5"/>
  <c r="A20" i="5"/>
  <c r="B19" i="5"/>
  <c r="A19" i="5"/>
  <c r="B18" i="5"/>
  <c r="A18" i="5"/>
  <c r="B17" i="5"/>
  <c r="A17" i="5"/>
  <c r="B16" i="5"/>
  <c r="A16" i="5"/>
  <c r="B15" i="5"/>
  <c r="A15" i="5"/>
  <c r="B14" i="5"/>
  <c r="A14" i="5"/>
  <c r="B13" i="5"/>
  <c r="A13" i="5"/>
  <c r="B12" i="5"/>
  <c r="A12" i="5"/>
  <c r="B11" i="5"/>
  <c r="A11" i="5"/>
  <c r="B10" i="5"/>
  <c r="A10" i="5"/>
  <c r="A8" i="5"/>
  <c r="A6" i="5"/>
  <c r="A4" i="5"/>
  <c r="A1" i="5"/>
</calcChain>
</file>

<file path=xl/sharedStrings.xml><?xml version="1.0" encoding="utf-8"?>
<sst xmlns="http://schemas.openxmlformats.org/spreadsheetml/2006/main" count="284" uniqueCount="148">
  <si>
    <t>Yes</t>
  </si>
  <si>
    <t>No</t>
  </si>
  <si>
    <t>N/A</t>
  </si>
  <si>
    <t>Not permitted to request component auditor to perform work on the component financial information</t>
  </si>
  <si>
    <t>Permitted to request component auditor to perform work on the component financial information</t>
  </si>
  <si>
    <t>Component auditor understanding</t>
  </si>
  <si>
    <t>Delete these instructions and do not include them in the audit file.</t>
  </si>
  <si>
    <t xml:space="preserve">Instructional Note to Group Engagement Team: This template is used to document the group engagement team’s understanding of the component auditor. A separate worksheet is used for each component auditor who is a member firm or a non-member firm involved in the group audit; copy the worksheet as many times as necessary. 
</t>
  </si>
  <si>
    <t>Guidance related to use of this template</t>
  </si>
  <si>
    <t>Instructions</t>
  </si>
  <si>
    <t>Adding rows</t>
  </si>
  <si>
    <t>Certain areas of the template, such as the "Relevant professional qualifications of key individuals" section in the worksheet allow for the addition of rows. In those areas, add rows as needed by pressing the purple "+" buttons, which will add a row underneath the icon.</t>
  </si>
  <si>
    <t>Deleting rows</t>
  </si>
  <si>
    <t>The ability to delete most rows in this template has been disabled. Rows that can be deleted have a red "x" icon to the left of the row. They can be deleted by selecting the red "x" icon to the left of the row and selecting "OK" in the message box that appears.</t>
  </si>
  <si>
    <t>Independence of component auditor</t>
  </si>
  <si>
    <t>The group audit instructions request the component auditor, whether a member firm or a non-member firm, to affirm their independence and that they will comply with the relevant ethical requirements. The documentation of work performed may include a reference to the component auditor's acknowledgment. Such documentation may also include a reference to the group engagement team's conflict checks, if applicable in the circumstances based on the firm's policies and procedures.
If a component auditor does not meet the independence requirements relevant to the group audit, the group engagement team is not permitted to request the component auditor to perform work on the component financial information or to make reference to the audit of the component auditor. This is also the case if the group engagement team has serious concerns about the component auditor's compliance with other relevant ethical requirements. In such circumstances, there is no need to complete the remainder of the template.</t>
  </si>
  <si>
    <t>Understanding of component auditor</t>
  </si>
  <si>
    <t xml:space="preserve">This section is typically completed based on the responses from the component auditor in the acknowledgment of group audit instructions, any previous experience with the component auditor, Grant Thornton Assessment and Review (GTAR) results (member firms only), and awareness of the component auditor's regulatory environment (for example, PCAOB or other regulatory inspections). The documentation of work performed may include a reference to the component auditor's acknowledgment (or representations) as well as, for member firms, the Professional Reputation and Standing Letter obtained from the SEC Regulatory Matters Group, if applicable. </t>
  </si>
  <si>
    <t>Inspection reports</t>
  </si>
  <si>
    <t xml:space="preserve">The component auditor's firm may be subject to inspection, such as a GTAR (member firms only) or regulatory inspection such as, PCAOB inspection, or  inspection by the Financial Reporting Council in the United Kingdom. Only include and document the relevant and available inspection reports; delete the rows (type of inspection) that are not relevant. 
Obtaining inspection reports may assist the group engagement team in understanding the competence of the component auditor and in determining areas that may necessitate the group engagement team’s involvement in the component auditor’s work. Engagement teams are encouraged to discuss with appropriate firm personnel significant or pervasive findings identified in inspection reports and the related implications on the group audit, particularly with respect to the component auditor’s work. The group engagement team may consider measures taken by the component auditor to resolve the quality control findings. 
This section may also include, if applicable, the inspection results related to the particular engagement (for example, a PCAOB inspection of the component auditor's work on the particular component), to the extent the group engagement team is aware of such information.
Reference may be made to where the actions taken (for example, the involvement in, or review of, the component auditor's work) are documented in the audit file (for example, the group engagement team's evaluation of significance and scoping). 
Grant Thornton Assessment and Review (GTAR)
At least once every three years, each member firm is subject to a GTAR by GTIL. Request a summary of the GTAR results to the firm's designated individual. While a summary of the information contained in the GTAR report can be included in the audit documentation, the GTAR report itself is confidential and is not  included. Refer to AE 7.9 for further guidance in connection with obtaining GTAR results. </t>
  </si>
  <si>
    <t>Transparency reports</t>
  </si>
  <si>
    <t xml:space="preserve">A firm may issue a quality or transparency report that is publicly available. Such reports may cover the firm's structure, governance, and approach to audit quality. It is not necessary to obtain a transparency report to understand a component auditor. However, such report may be helpful if the engagement team is not familiar with the component auditor and an inspection report is not available, particularly if the component auditor is not part of a network that is a member of the Forum of Firms. </t>
  </si>
  <si>
    <t>Relevant professional qualifications of key individuals (assuming responsibility)</t>
  </si>
  <si>
    <t>For the audit of the group financial statements, key engagement team members include all engagement team members who have significant engagement responsibilities, including the engagement partner. Depending on the circumstances, key engagement team members may include more experienced members of the engagement team (such as the manager or senior), individuals with specialized skills or knowledge in accounting or auditing, and auditor’s internal experts. Auditor’s external experts are not engagement team members. 
Depending on the work to be performed on the component, key engagement team members may include key individuals performing audit procedures on a component. Qualifications of such individuals may include license to practice, years of experience in role and component's industry, and membership in professional organizations. It may also include continuing professional education.</t>
  </si>
  <si>
    <t xml:space="preserve">Engagement quality review </t>
  </si>
  <si>
    <t xml:space="preserve">Engagement quality control review </t>
  </si>
  <si>
    <t>The group audit engagement may require an engagement quality review; however, an engagement quality review is not required for each component for purposes of the group audit. The group engagement partner or the group engagement quality reviewer may, as part of the group engagement team’s instructions, request the component auditor to appoint an engagement quality reviewer to perform an engagement quality review for selected components. The component auditor may also appoint an engagement quality reviewer. Qualifications of such individuals may include license to practice, years of experience in role and component's industry, and membership in professional organizations. It may also include continuing professional education.
When the component’s financial statements are also subject to an audit required by statute, regulation, or for another reason, an engagement quality review may otherwise be required for the standalone audit of the component. It is not necessary to identify the engagement quality reviewer in these circumstances.</t>
  </si>
  <si>
    <t>The group audit engagement may require an engagement quality control review; however, an engagement quality control review is not required for each component for purposes of the group audit. The group engagement partner or the group engagement quality control reviewer may, as part of the group engagement team’s instructions, request the component auditor to appoint an engagement quality control reviewer to perform an engagement quality control review for selected components. The component auditor may also appoint an engagement quality control reviewer. Qualifications of such individuals may include license to practice, years of experience in role and component's industry, and membership in professional organizations. It may also include continuing professional education.
When the component’s financial statements are also subject to an audit required by statute, regulation, or for another reason, an engagement quality control review may otherwise be required for the standalone audit of the component. It is not necessary to identify the engagement quality control reviewer in these circumstances.</t>
  </si>
  <si>
    <t>Confidentiality and secrecy restrictions</t>
  </si>
  <si>
    <t xml:space="preserve">The group audit instructions request the component auditor to inform the group engagement team (as part of the acknowledgment of group audit instructions) of the applicable laws and regulations in the component auditor's jurisdiction related to confidentiality and professional secrecy. The group engagement team may also be aware of such laws and regulations from previous experience. Such information assists the group engagement team to make necessary arrangements, if any, to review the component auditor's workpapers as appropriate or to obtain the necessary documentation within the applicable legal constraints. </t>
  </si>
  <si>
    <t>Further information about component auditor</t>
  </si>
  <si>
    <t>The group engagement team may document, as necessary, further information about the component auditor. This may include, for example, the group engagement team's previous experience with the component auditor, the component auditor's industry experience, or other specialized skills or knowledge of the component auditor relevant to the group audit.</t>
  </si>
  <si>
    <t xml:space="preserve">Conclusion on involvement of component auditor </t>
  </si>
  <si>
    <t>In addition to a lack of independence or serious concerns about the component auditor's compliance with other relevant ethical requirements, the group engagement team is not permitted to request the component auditor to perform work on the component financial information if they have serious concerns about (a) the component auditor's professional competence, or (b) the group engagement team's ability to be involved in the component auditor's work to the extent necessary. The group engagement team may, however, overcome less than serious concerns about the component auditor's professional competence or the fact that the component auditor does not operate in an environment that actively oversees auditors by (a) performing additional risk assessment procedures, (b) being involved in the component auditor's further audit procedures or performing such procedures directly, or (c) reviewing the component auditor's workpapers. The group engagement team's involvement depends on the circumstances and the concerns identified.</t>
  </si>
  <si>
    <t xml:space="preserve">Impact on planned involvement, if any </t>
  </si>
  <si>
    <t>Certain involvement in a component auditor's work is specified by professional standards. Document the planned additional involvement, if any, taking into account the group engagement team's understanding of the component auditor as well as other matters, such as the type of work to be performed by the component auditor, which is documented in the Component Significance and Scoping documentation template. The nature of the group engagement team's planned involvement may change during the course of the group audit, taking into account the communications from the component auditor.</t>
  </si>
  <si>
    <t>Spell check</t>
  </si>
  <si>
    <t>Name of group</t>
  </si>
  <si>
    <t>Group period-end date</t>
  </si>
  <si>
    <t>Component auditor</t>
  </si>
  <si>
    <t>Yes/No</t>
  </si>
  <si>
    <t>Describe work performed and, if applicable, 
concerns identified and actions taken</t>
  </si>
  <si>
    <t>Understands and will comply with relevant ethical requirements, and is independent?</t>
  </si>
  <si>
    <t>If a component auditor does not meet the independence requirements relevant to the group audit, the group engagement team is not permitted to request the component auditor to perform work on the component financial information. This is also the case if the group engagement team has serious concerns about the component auditor's compliance with other relevant ethical requirements. In such circumstances, there is no need to complete the remainder of this template.</t>
  </si>
  <si>
    <t>Describe work performed and, if applicable,
concerns identified and actions taken</t>
  </si>
  <si>
    <t>Understands applicable auditing and accounting standards to fulfill their responsibilities?</t>
  </si>
  <si>
    <t>Understands and will comply with the group audit instructions without exception?</t>
  </si>
  <si>
    <t>Will allow group engagement team to be involved in their work to the extent necessary?</t>
  </si>
  <si>
    <t>Has appropriate competence, capabilities, and necessary skills to perform the work requested?</t>
  </si>
  <si>
    <t>Operates in a regulatory environment that actively oversees auditors?</t>
  </si>
  <si>
    <t>Inspection or transparency reports (if any)</t>
  </si>
  <si>
    <t>Type of inspection</t>
  </si>
  <si>
    <t>x</t>
  </si>
  <si>
    <t>Grant Thornton Audit Review (GTAR)</t>
  </si>
  <si>
    <t>Refer to summary of GTAR results. [Describe actions taken (such as the impact on the component auditor's work or our involvement in, or review of, that work), if any, or refer to where such actions are documented in the audit file.]</t>
  </si>
  <si>
    <t>AICPA Peer Review</t>
  </si>
  <si>
    <t>Public Company Accounting Oversight Board (PCAOB) inspection</t>
  </si>
  <si>
    <t>Refer to PCAOB Inspection.  [Results worksheet. Describe actions taken (such as the impact on the component auditor's work or our involvement in, or review of, that work), if any, or refer to where such actions are documented in the audit file.]</t>
  </si>
  <si>
    <t>Refer to PCAOB Inspection Results worksheet. Describe actions taken (such as the impact on the component auditor's work or our involvement in, or review of, that work), if any, or refer to where such actions are documented in the audit file.</t>
  </si>
  <si>
    <t>Available transparency report, as appropriate</t>
  </si>
  <si>
    <t>Relevant professional qualifications of key individuals</t>
  </si>
  <si>
    <t>+</t>
  </si>
  <si>
    <t>Identify name of key individual; add rows as necessary. Alternatively, refer to related audit documentation, such as the work program or acknowledgment of instructions.</t>
  </si>
  <si>
    <t>Identify role on team and describe qualifications. Alternatively, refer to related audit documentation, such as the work program or acknowledgment of instructions.</t>
  </si>
  <si>
    <t>Engagement quality review</t>
  </si>
  <si>
    <t>Engagement quality control review</t>
  </si>
  <si>
    <t>Name of engagement quality reviewer 
and qualifications (if applicable)</t>
  </si>
  <si>
    <t>Name of engagement quality control reviewer 
and qualifications (if applicable)</t>
  </si>
  <si>
    <t>Will an engagement quality reviewer be assigned to the work performed on the component for purposes of the audit of the group financial statements?</t>
  </si>
  <si>
    <t>Will an engagement quality control reviewer be assigned to the work performed on the component for purposes of the audit of the group financial statements?</t>
  </si>
  <si>
    <t>If yes, identify name of engagement quality reviewer and describe qualifications. Alternatively, refer to related audit documentation, such as the work program or acknowledgment of instructions.</t>
  </si>
  <si>
    <t>If yes, identify name of engagement quality control reviewer and describe qualifications. Alternatively, refer to related audit documentation, such as the work program or acknowledgment of instructions.</t>
  </si>
  <si>
    <t>Has confidentiality and professional secrecy restrictions in their jurisdiction?</t>
  </si>
  <si>
    <t>Further information about component auditor (if any)</t>
  </si>
  <si>
    <t>Conclusion on involvement of component auditor</t>
  </si>
  <si>
    <t>Conclusion</t>
  </si>
  <si>
    <t>Does the group engagement team have serious concerns about (a) the component auditor's professional competence, or (b) the group engagement team's ability to be involved in the component's auditor's work to the extent necessary?</t>
  </si>
  <si>
    <t>Impact on planned involvement, if any</t>
  </si>
  <si>
    <t>Describe the impact, if any, of the group engagement team's understanding of the component auditor on the team's planned involvement in the component auditor's work. Consider the type of work to be performed by the component auditor.</t>
  </si>
  <si>
    <t>r</t>
  </si>
  <si>
    <t>Custom 1</t>
  </si>
  <si>
    <t>s</t>
  </si>
  <si>
    <t>Custom 2</t>
  </si>
  <si>
    <t>t</t>
  </si>
  <si>
    <t>Custom 3</t>
  </si>
  <si>
    <t>u</t>
  </si>
  <si>
    <t>Custom 4</t>
  </si>
  <si>
    <t>v</t>
  </si>
  <si>
    <t>Custom 5</t>
  </si>
  <si>
    <t>w</t>
  </si>
  <si>
    <t>Custom 6</t>
  </si>
  <si>
    <t>Custom 7</t>
  </si>
  <si>
    <t>y</t>
  </si>
  <si>
    <t>Custom 8</t>
  </si>
  <si>
    <t>a</t>
  </si>
  <si>
    <t>Traced To Supporting Document</t>
  </si>
  <si>
    <t>b</t>
  </si>
  <si>
    <t>Traced To Financial Statement</t>
  </si>
  <si>
    <t>c</t>
  </si>
  <si>
    <t>Traced To Subsidiary Ledger</t>
  </si>
  <si>
    <t>d</t>
  </si>
  <si>
    <t>Traced To General Ledger</t>
  </si>
  <si>
    <t>e</t>
  </si>
  <si>
    <t>Recalculated</t>
  </si>
  <si>
    <t>f</t>
  </si>
  <si>
    <t>Confirmed</t>
  </si>
  <si>
    <t>g</t>
  </si>
  <si>
    <t>Exception Cleared</t>
  </si>
  <si>
    <t>h</t>
  </si>
  <si>
    <t>Returned No Exception</t>
  </si>
  <si>
    <t>i</t>
  </si>
  <si>
    <t>Returned With Exception</t>
  </si>
  <si>
    <t>j</t>
  </si>
  <si>
    <t>Cross Footed</t>
  </si>
  <si>
    <t>k</t>
  </si>
  <si>
    <t>Footed</t>
  </si>
  <si>
    <t>n</t>
  </si>
  <si>
    <t>Agreed To Prior Year Workpapers</t>
  </si>
  <si>
    <t>o</t>
  </si>
  <si>
    <t>Waive Further Investigation</t>
  </si>
  <si>
    <t>p</t>
  </si>
  <si>
    <t>Difference Below Trivial - No Further Procedures Necessary</t>
  </si>
  <si>
    <t>q</t>
  </si>
  <si>
    <t>Procedure Performed Without Exception</t>
  </si>
  <si>
    <t>l</t>
  </si>
  <si>
    <t>Reviewer Traced To The AJEs Workpaper</t>
  </si>
  <si>
    <t>m</t>
  </si>
  <si>
    <t>Reviewer Traced To The PAJEs Workpaper</t>
  </si>
  <si>
    <t>!</t>
  </si>
  <si>
    <t>Reviewer Traced To/From Supporting Workpapers</t>
  </si>
  <si>
    <t>#</t>
  </si>
  <si>
    <t>Reviewer Traced To Leads Or Subleads</t>
  </si>
  <si>
    <t>Select 'OK' to delete row</t>
  </si>
  <si>
    <t>Delete row</t>
  </si>
  <si>
    <t xml:space="preserve">Has appropriately addressed independence breaches? </t>
  </si>
  <si>
    <t>If there are breaches of independence, evaluate independence breaches and determine whether there is an impact on the ability for the component auditor to perform work for purposes of the group audit.</t>
  </si>
  <si>
    <t>Is a member of the Forum of Firms?</t>
  </si>
  <si>
    <t>The firm has self-reported compliance with ISQM 1?</t>
  </si>
  <si>
    <t xml:space="preserve">If the firm has not self-reported compliance with ISQM 1, evaluate the impact on the ability to use the firm as a component auditor. </t>
  </si>
  <si>
    <t>Has assigned sufficient and appropriate resources (human, technological and intellectual) to perform the work ?</t>
  </si>
  <si>
    <t xml:space="preserve">Regulatory inspection (such as PCAOB, FRC, CPAB) </t>
  </si>
  <si>
    <t xml:space="preserve">Refer to relevant inspection reports, describe actions taken (such as the impact on the component auditor's work or involvement in, or review of ,that work), if any, or refer to where such actions are documented in the file. </t>
  </si>
  <si>
    <t xml:space="preserve">If no, describe the system of quality management implemented by the firm, if any. If the firm has not implemented a system of quality management, evaluate the impact on the ability to use the firm as a component auditor. </t>
  </si>
  <si>
    <t>This template contains cells with conditional formatting and data validation, including drop-down lists. For best results, complete the template top-to-bottom and left-to-right (The template populates depending on the answers to "independence of component auditor" and "understanding component auditor" sections.</t>
  </si>
  <si>
    <t>June 2023 - Effective for group audits for periods beginning on or after December 15, 2022</t>
  </si>
  <si>
    <t>Other available report, which may include other available inspection report or reporting related to the entity’s system of quality management</t>
  </si>
  <si>
    <t>Indicate other inspection report as applicable. If a system of quality management report is available, include information related to the firm’s conclusion on the operating effectiveness of the firm’s system of quality management, document the as of date of the conclusion on the operating effectiveness of the entity’s system of quality management and indicate where it can be obtained, or, document the date the information is expected to be made available.</t>
  </si>
  <si>
    <t>The transparency report may include information related to the entity’s system of quality management; including it’s operating effectiveness.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</si>
</sst>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font>
      <sz val="11"/>
      <color theme="1"/>
      <name val="Calibri"/>
      <family val="2"/>
      <scheme val="minor"/>
    </font>
    <font>
      <sz val="8"/>
      <color theme="1"/>
      <name val="arial"/>
      <family val="2"/>
    </font>
    <font>
      <sz val="10"/>
      <color theme="1"/>
      <name val="Arial"/>
      <family val="2"/>
    </font>
    <font>
      <sz val="10"/>
      <color theme="1"/>
      <name val="Arial"/>
      <family val="2"/>
    </font>
    <font>
      <b/>
      <sz val="10"/>
      <color theme="1"/>
      <name val="Arial"/>
      <family val="2"/>
    </font>
    <font>
      <sz val="11"/>
      <color theme="1"/>
      <name val="Calibri"/>
      <family val="2"/>
      <scheme val="minor"/>
    </font>
    <font>
      <sz val="11"/>
      <color theme="1"/>
      <name val="Arial"/>
      <family val="2"/>
    </font>
    <font>
      <b/>
      <sz val="12"/>
      <color theme="0"/>
      <name val="Arial"/>
      <family val="2"/>
    </font>
    <font>
      <sz val="11"/>
      <name val="Calibri"/>
      <family val="2"/>
      <scheme val="minor"/>
    </font>
    <font>
      <sz val="8"/>
      <color rgb="FFFF0000"/>
      <name val="Arial"/>
      <family val="2"/>
    </font>
    <font>
      <sz val="10"/>
      <color rgb="FF000000"/>
      <name val="Arial"/>
      <family val="2"/>
    </font>
    <font>
      <sz val="10"/>
      <name val="Arial"/>
      <family val="2"/>
    </font>
    <font>
      <sz val="10"/>
      <color rgb="FFFF0000"/>
      <name val="Arial"/>
      <family val="2"/>
    </font>
    <font>
      <b/>
      <sz val="10"/>
      <color rgb="FFFF0000"/>
      <name val="Arial"/>
      <family val="2"/>
    </font>
    <font>
      <b/>
      <sz val="10"/>
      <color indexed="8"/>
      <name val="Standard Tickmarks"/>
      <family val="2"/>
      <charset val="2"/>
    </font>
    <font>
      <b/>
      <sz val="10"/>
      <color indexed="10"/>
      <name val="Standard Tickmarks"/>
      <family val="2"/>
      <charset val="2"/>
    </font>
    <font>
      <b/>
      <sz val="10"/>
      <color indexed="17"/>
      <name val="Standard Tickmarks"/>
      <family val="2"/>
      <charset val="2"/>
    </font>
    <font>
      <b/>
      <sz val="10"/>
      <color indexed="12"/>
      <name val="Standard Tickmarks"/>
      <family val="2"/>
      <charset val="2"/>
    </font>
    <font>
      <b/>
      <sz val="10"/>
      <color indexed="36"/>
      <name val="Standard Tickmarks"/>
      <family val="2"/>
      <charset val="2"/>
    </font>
    <font>
      <b/>
      <sz val="12"/>
      <color rgb="FF4F2D7F"/>
      <name val="Arial"/>
      <family val="2"/>
    </font>
    <font>
      <u/>
      <sz val="11"/>
      <color theme="10"/>
      <name val="Calibri"/>
      <family val="2"/>
      <scheme val="minor"/>
    </font>
    <font>
      <b/>
      <sz val="12"/>
      <color rgb="FFFF0000"/>
      <name val="Calibri"/>
      <family val="2"/>
      <scheme val="minor"/>
    </font>
    <font>
      <b/>
      <sz val="11"/>
      <color rgb="FF4F2D7F"/>
      <name val="Calibri"/>
      <family val="2"/>
      <scheme val="minor"/>
    </font>
    <font>
      <b/>
      <sz val="10"/>
      <name val="Arial"/>
      <family val="2"/>
    </font>
    <font>
      <b/>
      <sz val="8"/>
      <color theme="0"/>
      <name val="arial"/>
      <family val="2"/>
    </font>
    <font>
      <b/>
      <sz val="8"/>
      <color theme="1"/>
      <name val="arial"/>
      <family val="2"/>
    </font>
    <font>
      <b/>
      <sz val="8"/>
      <color rgb="FF4F2D7F"/>
      <name val="Arial"/>
      <family val="2"/>
    </font>
    <font>
      <sz val="8"/>
      <color theme="1"/>
      <name val="Calibri"/>
      <family val="2"/>
      <scheme val="minor"/>
    </font>
    <font>
      <sz val="8"/>
      <name val="Arial"/>
      <family val="2"/>
    </font>
    <font>
      <sz val="8"/>
      <color theme="1"/>
      <name val="Arial Black"/>
      <family val="2"/>
    </font>
    <font>
      <sz val="8"/>
      <color theme="0" tint="-0.34998626667073579"/>
      <name val="Arial"/>
      <family val="2"/>
    </font>
    <font>
      <sz val="11"/>
      <color rgb="FFFF0000"/>
      <name val="Calibri"/>
      <family val="2"/>
      <scheme val="minor"/>
    </font>
  </fonts>
  <fills count="5">
    <fill>
      <patternFill patternType="none"/>
    </fill>
    <fill>
      <patternFill patternType="gray125"/>
    </fill>
    <fill>
      <patternFill patternType="solid">
        <fgColor rgb="FF4F2D7F"/>
        <bgColor indexed="64"/>
      </patternFill>
    </fill>
    <fill>
      <patternFill patternType="solid">
        <fgColor theme="0" tint="-0.14999847407452621"/>
        <bgColor indexed="64"/>
      </patternFill>
    </fill>
    <fill>
      <patternFill patternType="solid">
        <fgColor theme="0" tint="-4.9989318521683403E-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indexed="64"/>
      </right>
      <top style="thin">
        <color indexed="64"/>
      </top>
      <bottom style="thin">
        <color indexed="64"/>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s>
  <cellStyleXfs count="5">
    <xf numFmtId="0" fontId="0" fillId="0" borderId="0"/>
    <xf numFmtId="0" fontId="5" fillId="0" borderId="0"/>
    <xf numFmtId="0" fontId="11" fillId="0" borderId="0"/>
    <xf numFmtId="0" fontId="20" fillId="0" borderId="0" applyNumberFormat="0" applyFill="0" applyBorder="0" applyAlignment="0" applyProtection="0"/>
    <xf numFmtId="0" fontId="5" fillId="0" borderId="0"/>
  </cellStyleXfs>
  <cellXfs count="61">
    <xf numFmtId="0" fontId="0" fillId="0" borderId="0" xfId="0"/>
    <xf numFmtId="0" fontId="6" fillId="0" borderId="0" xfId="0" applyFont="1"/>
    <xf numFmtId="0" fontId="7" fillId="0" borderId="0" xfId="0" applyFont="1" applyAlignment="1">
      <alignment horizontal="left" vertical="center" wrapText="1"/>
    </xf>
    <xf numFmtId="0" fontId="8" fillId="0" borderId="0" xfId="0" applyFont="1"/>
    <xf numFmtId="17" fontId="13" fillId="0" borderId="0" xfId="0" quotePrefix="1" applyNumberFormat="1" applyFont="1" applyAlignment="1">
      <alignment horizontal="left" vertical="center" wrapText="1"/>
    </xf>
    <xf numFmtId="0" fontId="14" fillId="0" borderId="0" xfId="0" applyFont="1"/>
    <xf numFmtId="0" fontId="15" fillId="0" borderId="0" xfId="0" applyFont="1"/>
    <xf numFmtId="0" fontId="16" fillId="0" borderId="0" xfId="0" applyFont="1"/>
    <xf numFmtId="0" fontId="17" fillId="0" borderId="0" xfId="0" applyFont="1"/>
    <xf numFmtId="0" fontId="18" fillId="0" borderId="0" xfId="0" applyFont="1"/>
    <xf numFmtId="0" fontId="23" fillId="0" borderId="0" xfId="4" quotePrefix="1" applyFont="1" applyAlignment="1" applyProtection="1">
      <alignment vertical="center"/>
      <protection locked="0"/>
    </xf>
    <xf numFmtId="0" fontId="4" fillId="3" borderId="1" xfId="0" applyFont="1" applyFill="1" applyBorder="1" applyAlignment="1">
      <alignment vertical="top" wrapText="1"/>
    </xf>
    <xf numFmtId="0" fontId="10" fillId="4" borderId="1" xfId="0" applyFont="1" applyFill="1" applyBorder="1" applyAlignment="1">
      <alignment vertical="top" wrapText="1"/>
    </xf>
    <xf numFmtId="0" fontId="11" fillId="4" borderId="4" xfId="4" applyFont="1" applyFill="1" applyBorder="1" applyAlignment="1" applyProtection="1">
      <alignment vertical="top" wrapText="1"/>
      <protection locked="0"/>
    </xf>
    <xf numFmtId="0" fontId="4" fillId="3" borderId="1" xfId="0" applyFont="1" applyFill="1" applyBorder="1" applyAlignment="1">
      <alignment horizontal="left" vertical="top" wrapText="1"/>
    </xf>
    <xf numFmtId="0" fontId="2" fillId="4" borderId="1" xfId="0" applyFont="1" applyFill="1" applyBorder="1" applyAlignment="1">
      <alignment horizontal="left" vertical="top" wrapText="1"/>
    </xf>
    <xf numFmtId="0" fontId="11" fillId="4" borderId="1" xfId="0" applyFont="1" applyFill="1" applyBorder="1" applyAlignment="1">
      <alignment horizontal="left" vertical="top" wrapText="1"/>
    </xf>
    <xf numFmtId="0" fontId="19" fillId="0" borderId="0" xfId="0" applyFont="1" applyAlignment="1">
      <alignment vertical="center"/>
    </xf>
    <xf numFmtId="0" fontId="4" fillId="0" borderId="0" xfId="1" applyFont="1"/>
    <xf numFmtId="0" fontId="0" fillId="0" borderId="0" xfId="0" applyAlignment="1">
      <alignment vertical="center"/>
    </xf>
    <xf numFmtId="0" fontId="3" fillId="0" borderId="0" xfId="0" applyFont="1"/>
    <xf numFmtId="0" fontId="21" fillId="0" borderId="0" xfId="3" applyFont="1" applyAlignment="1" applyProtection="1">
      <alignment horizontal="center" vertical="center"/>
    </xf>
    <xf numFmtId="0" fontId="22" fillId="0" borderId="0" xfId="3" quotePrefix="1" applyFont="1" applyAlignment="1" applyProtection="1">
      <alignment horizontal="center" vertical="center"/>
    </xf>
    <xf numFmtId="0" fontId="26" fillId="0" borderId="0" xfId="0" applyFont="1" applyAlignment="1">
      <alignment vertical="center"/>
    </xf>
    <xf numFmtId="0" fontId="29" fillId="0" borderId="0" xfId="0" applyFont="1"/>
    <xf numFmtId="0" fontId="27" fillId="0" borderId="0" xfId="0" applyFont="1"/>
    <xf numFmtId="0" fontId="25" fillId="0" borderId="0" xfId="1" applyFont="1"/>
    <xf numFmtId="0" fontId="28" fillId="0" borderId="3" xfId="0" applyFont="1" applyBorder="1" applyAlignment="1" applyProtection="1">
      <alignment horizontal="left" vertical="top" wrapText="1"/>
      <protection locked="0"/>
    </xf>
    <xf numFmtId="0" fontId="24" fillId="2" borderId="2" xfId="1" applyFont="1" applyFill="1" applyBorder="1" applyAlignment="1">
      <alignment horizontal="left" vertical="center"/>
    </xf>
    <xf numFmtId="0" fontId="30" fillId="0" borderId="0" xfId="3" applyFont="1" applyAlignment="1" applyProtection="1">
      <alignment horizontal="center" vertical="center"/>
    </xf>
    <xf numFmtId="0" fontId="1" fillId="0" borderId="3" xfId="0" applyFont="1" applyBorder="1" applyAlignment="1" applyProtection="1">
      <alignment horizontal="left" vertical="top" wrapText="1"/>
      <protection locked="0"/>
    </xf>
    <xf numFmtId="0" fontId="1" fillId="0" borderId="3" xfId="0" applyFont="1" applyBorder="1" applyAlignment="1" applyProtection="1">
      <alignment horizontal="center" vertical="top"/>
      <protection locked="0"/>
    </xf>
    <xf numFmtId="0" fontId="12" fillId="0" borderId="0" xfId="0" applyFont="1" applyAlignment="1">
      <alignment horizontal="left" vertical="top" wrapText="1"/>
    </xf>
    <xf numFmtId="0" fontId="24" fillId="2" borderId="3" xfId="0" applyFont="1" applyFill="1" applyBorder="1" applyAlignment="1">
      <alignment horizontal="center" vertical="center" wrapText="1"/>
    </xf>
    <xf numFmtId="0" fontId="9" fillId="0" borderId="3" xfId="0" applyFont="1" applyBorder="1" applyAlignment="1" applyProtection="1">
      <alignment horizontal="left" vertical="top" wrapText="1"/>
      <protection locked="0"/>
    </xf>
    <xf numFmtId="0" fontId="24" fillId="2" borderId="3" xfId="1" applyFont="1" applyFill="1" applyBorder="1" applyAlignment="1">
      <alignment horizontal="center" vertical="center"/>
    </xf>
    <xf numFmtId="0" fontId="1" fillId="0" borderId="0" xfId="0" applyFont="1"/>
    <xf numFmtId="0" fontId="1" fillId="0" borderId="3" xfId="0" applyFont="1" applyBorder="1" applyAlignment="1">
      <alignment horizontal="left" vertical="top" wrapText="1"/>
    </xf>
    <xf numFmtId="0" fontId="1" fillId="0" borderId="0" xfId="0" applyFont="1" applyAlignment="1">
      <alignment vertical="center"/>
    </xf>
    <xf numFmtId="0" fontId="1" fillId="4" borderId="3" xfId="0" applyFont="1" applyFill="1" applyBorder="1" applyAlignment="1">
      <alignment horizontal="left" vertical="top" wrapText="1"/>
    </xf>
    <xf numFmtId="0" fontId="12" fillId="0" borderId="0" xfId="0" applyFont="1"/>
    <xf numFmtId="0" fontId="31" fillId="0" borderId="0" xfId="0" applyFont="1" applyAlignment="1">
      <alignment wrapText="1"/>
    </xf>
    <xf numFmtId="0" fontId="31" fillId="0" borderId="0" xfId="0" applyFont="1"/>
    <xf numFmtId="0" fontId="0" fillId="0" borderId="0" xfId="0" applyAlignment="1">
      <alignment wrapText="1"/>
    </xf>
    <xf numFmtId="17" fontId="0" fillId="0" borderId="0" xfId="0" quotePrefix="1" applyNumberFormat="1"/>
    <xf numFmtId="17" fontId="13" fillId="0" borderId="0" xfId="0" quotePrefix="1" applyNumberFormat="1" applyFont="1" applyAlignment="1">
      <alignment horizontal="left" vertical="top"/>
    </xf>
    <xf numFmtId="0" fontId="12" fillId="0" borderId="0" xfId="0" applyFont="1" applyAlignment="1">
      <alignment horizontal="left" vertical="top" wrapText="1"/>
    </xf>
    <xf numFmtId="0" fontId="13" fillId="0" borderId="0" xfId="0" applyFont="1" applyAlignment="1">
      <alignment horizontal="left" vertical="top" wrapText="1"/>
    </xf>
    <xf numFmtId="0" fontId="24" fillId="2" borderId="3" xfId="0" applyFont="1" applyFill="1" applyBorder="1" applyAlignment="1">
      <alignment horizontal="center" vertical="center" wrapText="1"/>
    </xf>
    <xf numFmtId="0" fontId="9" fillId="0" borderId="3" xfId="0" applyFont="1" applyBorder="1" applyAlignment="1" applyProtection="1">
      <alignment horizontal="left" vertical="top" wrapText="1"/>
      <protection locked="0"/>
    </xf>
    <xf numFmtId="0" fontId="1" fillId="0" borderId="2" xfId="1" applyFont="1" applyBorder="1" applyAlignment="1" applyProtection="1">
      <alignment horizontal="left" vertical="top" wrapText="1"/>
      <protection locked="0"/>
    </xf>
    <xf numFmtId="14" fontId="1" fillId="0" borderId="2" xfId="1" applyNumberFormat="1" applyFont="1" applyBorder="1" applyAlignment="1" applyProtection="1">
      <alignment horizontal="left" vertical="top" wrapText="1"/>
      <protection locked="0"/>
    </xf>
    <xf numFmtId="0" fontId="9" fillId="0" borderId="0" xfId="0" applyFont="1" applyAlignment="1">
      <alignment horizontal="left" vertical="top" wrapText="1"/>
    </xf>
    <xf numFmtId="0" fontId="1" fillId="0" borderId="3" xfId="0" applyFont="1" applyBorder="1" applyAlignment="1" applyProtection="1">
      <alignment horizontal="left" vertical="top" wrapText="1"/>
      <protection locked="0"/>
    </xf>
    <xf numFmtId="0" fontId="24" fillId="2" borderId="5" xfId="0" applyFont="1" applyFill="1" applyBorder="1" applyAlignment="1">
      <alignment horizontal="center" vertical="center" wrapText="1"/>
    </xf>
    <xf numFmtId="0" fontId="24" fillId="2" borderId="6" xfId="0" applyFont="1" applyFill="1" applyBorder="1" applyAlignment="1">
      <alignment horizontal="center" vertical="center" wrapText="1"/>
    </xf>
    <xf numFmtId="0" fontId="24" fillId="2" borderId="7" xfId="0" applyFont="1" applyFill="1" applyBorder="1" applyAlignment="1">
      <alignment horizontal="center" vertical="center" wrapText="1"/>
    </xf>
    <xf numFmtId="0" fontId="24" fillId="2" borderId="3" xfId="1" applyFont="1" applyFill="1" applyBorder="1" applyAlignment="1">
      <alignment horizontal="center" vertical="center"/>
    </xf>
    <xf numFmtId="0" fontId="28" fillId="0" borderId="3" xfId="0" applyFont="1" applyBorder="1" applyAlignment="1" applyProtection="1">
      <alignment horizontal="left" vertical="top" wrapText="1"/>
      <protection locked="0"/>
    </xf>
    <xf numFmtId="0" fontId="24" fillId="2" borderId="3" xfId="1" applyFont="1" applyFill="1" applyBorder="1" applyAlignment="1">
      <alignment horizontal="center" vertical="top" wrapText="1"/>
    </xf>
    <xf numFmtId="0" fontId="1" fillId="0" borderId="3" xfId="0" applyFont="1" applyFill="1" applyBorder="1" applyAlignment="1" applyProtection="1">
      <alignment horizontal="left" vertical="top" wrapText="1"/>
      <protection locked="0"/>
    </xf>
  </cellXfs>
  <cellStyles count="5">
    <cellStyle name="Hyperlink" xfId="3" builtinId="8"/>
    <cellStyle name="Normal" xfId="0" builtinId="0"/>
    <cellStyle name="Normal 2" xfId="2" xr:uid="{00000000-0005-0000-0000-000002000000}"/>
    <cellStyle name="Normal 3" xfId="1" xr:uid="{00000000-0005-0000-0000-000003000000}"/>
    <cellStyle name="Normal 5" xfId="4" xr:uid="{00000000-0005-0000-0000-000004000000}"/>
  </cellStyles>
  <dxfs count="13">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4F2D7F"/>
      <color rgb="FFFFFFCC"/>
      <color rgb="FFBFBFBF"/>
      <color rgb="FFFFFFFF"/>
      <color rgb="FFB2A1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gtus365.sharepoint.com/sites/usleap/Methodology/Group%20Audits/GTIL%20Templates/ISA%20600%20Understanding%20Components%20April%20201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Component understanding"/>
      <sheetName val="Lists"/>
      <sheetName val="GT_Custom"/>
    </sheetNames>
    <sheetDataSet>
      <sheetData sheetId="0"/>
      <sheetData sheetId="1"/>
      <sheetData sheetId="2"/>
      <sheetData sheetId="3"/>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4E41B-E4CF-468B-BD8E-F03AFF717BA6}">
  <sheetPr codeName="sheetContentTranslation"/>
  <dimension ref="A3:B144"/>
  <sheetViews>
    <sheetView topLeftCell="A133" workbookViewId="0">
      <selection activeCell="B144" sqref="B144"/>
    </sheetView>
  </sheetViews>
  <sheetFormatPr defaultRowHeight="14.5"/>
  <cols>
    <col min="1" max="1" width="55.7265625" customWidth="1"/>
    <col min="2" max="2" width="52.26953125" customWidth="1"/>
  </cols>
  <sheetData>
    <row r="3" spans="1:2">
      <c r="A3" t="s">
        <v>0</v>
      </c>
      <c r="B3" t="s">
        <v>0</v>
      </c>
    </row>
    <row r="4" spans="1:2">
      <c r="A4" t="s">
        <v>1</v>
      </c>
      <c r="B4" t="s">
        <v>1</v>
      </c>
    </row>
    <row r="5" spans="1:2">
      <c r="A5" t="s">
        <v>2</v>
      </c>
      <c r="B5" t="s">
        <v>2</v>
      </c>
    </row>
    <row r="6" spans="1:2">
      <c r="A6" t="s">
        <v>3</v>
      </c>
      <c r="B6" t="s">
        <v>3</v>
      </c>
    </row>
    <row r="7" spans="1:2">
      <c r="A7" t="s">
        <v>4</v>
      </c>
      <c r="B7" t="s">
        <v>4</v>
      </c>
    </row>
    <row r="8" spans="1:2">
      <c r="A8" t="s">
        <v>5</v>
      </c>
      <c r="B8" t="s">
        <v>5</v>
      </c>
    </row>
    <row r="9" spans="1:2">
      <c r="A9" s="44" t="s">
        <v>144</v>
      </c>
      <c r="B9" s="44" t="s">
        <v>144</v>
      </c>
    </row>
    <row r="10" spans="1:2">
      <c r="A10" t="s">
        <v>6</v>
      </c>
      <c r="B10" t="s">
        <v>6</v>
      </c>
    </row>
    <row r="11" spans="1:2" ht="101.5">
      <c r="A11" s="43" t="s">
        <v>7</v>
      </c>
      <c r="B11" s="43" t="s">
        <v>7</v>
      </c>
    </row>
    <row r="12" spans="1:2">
      <c r="A12" t="s">
        <v>8</v>
      </c>
      <c r="B12" t="s">
        <v>8</v>
      </c>
    </row>
    <row r="13" spans="1:2">
      <c r="A13" t="s">
        <v>9</v>
      </c>
      <c r="B13" t="s">
        <v>9</v>
      </c>
    </row>
    <row r="14" spans="1:2">
      <c r="A14" t="s">
        <v>143</v>
      </c>
      <c r="B14" t="s">
        <v>143</v>
      </c>
    </row>
    <row r="15" spans="1:2">
      <c r="A15" t="s">
        <v>10</v>
      </c>
      <c r="B15" t="s">
        <v>10</v>
      </c>
    </row>
    <row r="16" spans="1:2">
      <c r="A16" t="s">
        <v>11</v>
      </c>
      <c r="B16" t="s">
        <v>11</v>
      </c>
    </row>
    <row r="17" spans="1:2">
      <c r="A17" t="s">
        <v>12</v>
      </c>
      <c r="B17" t="s">
        <v>12</v>
      </c>
    </row>
    <row r="18" spans="1:2">
      <c r="A18" t="s">
        <v>13</v>
      </c>
      <c r="B18" t="s">
        <v>13</v>
      </c>
    </row>
    <row r="19" spans="1:2">
      <c r="A19" t="s">
        <v>14</v>
      </c>
      <c r="B19" t="s">
        <v>14</v>
      </c>
    </row>
    <row r="20" spans="1:2" ht="290">
      <c r="A20" s="43" t="s">
        <v>15</v>
      </c>
      <c r="B20" s="43" t="s">
        <v>15</v>
      </c>
    </row>
    <row r="21" spans="1:2">
      <c r="A21" t="s">
        <v>16</v>
      </c>
      <c r="B21" t="s">
        <v>16</v>
      </c>
    </row>
    <row r="22" spans="1:2">
      <c r="A22" t="s">
        <v>17</v>
      </c>
      <c r="B22" t="s">
        <v>17</v>
      </c>
    </row>
    <row r="23" spans="1:2">
      <c r="A23" t="s">
        <v>18</v>
      </c>
      <c r="B23" t="s">
        <v>18</v>
      </c>
    </row>
    <row r="24" spans="1:2" ht="409.5">
      <c r="A24" s="43" t="s">
        <v>19</v>
      </c>
      <c r="B24" s="43" t="s">
        <v>19</v>
      </c>
    </row>
    <row r="25" spans="1:2">
      <c r="A25" t="s">
        <v>20</v>
      </c>
      <c r="B25" t="s">
        <v>20</v>
      </c>
    </row>
    <row r="26" spans="1:2">
      <c r="A26" t="s">
        <v>21</v>
      </c>
      <c r="B26" t="s">
        <v>21</v>
      </c>
    </row>
    <row r="27" spans="1:2">
      <c r="A27" t="s">
        <v>22</v>
      </c>
      <c r="B27" t="s">
        <v>22</v>
      </c>
    </row>
    <row r="28" spans="1:2" ht="261">
      <c r="A28" s="43" t="s">
        <v>23</v>
      </c>
      <c r="B28" s="43" t="s">
        <v>23</v>
      </c>
    </row>
    <row r="29" spans="1:2">
      <c r="A29" t="s">
        <v>24</v>
      </c>
      <c r="B29" t="s">
        <v>25</v>
      </c>
    </row>
    <row r="30" spans="1:2" ht="304.5">
      <c r="A30" s="43" t="s">
        <v>26</v>
      </c>
      <c r="B30" s="43" t="s">
        <v>27</v>
      </c>
    </row>
    <row r="31" spans="1:2">
      <c r="A31" t="s">
        <v>28</v>
      </c>
      <c r="B31" t="s">
        <v>28</v>
      </c>
    </row>
    <row r="32" spans="1:2">
      <c r="A32" t="s">
        <v>29</v>
      </c>
      <c r="B32" t="s">
        <v>29</v>
      </c>
    </row>
    <row r="33" spans="1:2">
      <c r="A33" t="s">
        <v>30</v>
      </c>
      <c r="B33" t="s">
        <v>30</v>
      </c>
    </row>
    <row r="34" spans="1:2">
      <c r="A34" t="s">
        <v>31</v>
      </c>
      <c r="B34" t="s">
        <v>31</v>
      </c>
    </row>
    <row r="35" spans="1:2">
      <c r="A35" t="s">
        <v>32</v>
      </c>
      <c r="B35" t="s">
        <v>32</v>
      </c>
    </row>
    <row r="36" spans="1:2">
      <c r="A36" t="s">
        <v>33</v>
      </c>
      <c r="B36" t="s">
        <v>33</v>
      </c>
    </row>
    <row r="37" spans="1:2">
      <c r="A37" t="s">
        <v>34</v>
      </c>
      <c r="B37" t="s">
        <v>34</v>
      </c>
    </row>
    <row r="38" spans="1:2">
      <c r="A38" t="s">
        <v>35</v>
      </c>
      <c r="B38" t="s">
        <v>35</v>
      </c>
    </row>
    <row r="39" spans="1:2">
      <c r="A39" t="s">
        <v>36</v>
      </c>
      <c r="B39" t="s">
        <v>36</v>
      </c>
    </row>
    <row r="40" spans="1:2">
      <c r="A40" t="s">
        <v>37</v>
      </c>
      <c r="B40" t="s">
        <v>37</v>
      </c>
    </row>
    <row r="41" spans="1:2">
      <c r="A41" t="s">
        <v>38</v>
      </c>
      <c r="B41" t="s">
        <v>38</v>
      </c>
    </row>
    <row r="42" spans="1:2">
      <c r="A42" t="s">
        <v>39</v>
      </c>
      <c r="B42" t="s">
        <v>39</v>
      </c>
    </row>
    <row r="43" spans="1:2">
      <c r="A43" t="s">
        <v>40</v>
      </c>
      <c r="B43" t="s">
        <v>40</v>
      </c>
    </row>
    <row r="44" spans="1:2" ht="29">
      <c r="A44" s="43" t="s">
        <v>41</v>
      </c>
      <c r="B44" s="43" t="s">
        <v>41</v>
      </c>
    </row>
    <row r="45" spans="1:2">
      <c r="A45" t="s">
        <v>42</v>
      </c>
      <c r="B45" t="s">
        <v>42</v>
      </c>
    </row>
    <row r="46" spans="1:2">
      <c r="A46" t="s">
        <v>43</v>
      </c>
      <c r="B46" t="s">
        <v>43</v>
      </c>
    </row>
    <row r="47" spans="1:2" ht="29">
      <c r="A47" s="43" t="s">
        <v>44</v>
      </c>
      <c r="B47" s="43" t="s">
        <v>44</v>
      </c>
    </row>
    <row r="48" spans="1:2">
      <c r="A48" t="s">
        <v>45</v>
      </c>
      <c r="B48" t="s">
        <v>45</v>
      </c>
    </row>
    <row r="49" spans="1:2">
      <c r="A49" t="s">
        <v>46</v>
      </c>
      <c r="B49" t="s">
        <v>46</v>
      </c>
    </row>
    <row r="50" spans="1:2">
      <c r="A50" t="s">
        <v>47</v>
      </c>
      <c r="B50" t="s">
        <v>47</v>
      </c>
    </row>
    <row r="51" spans="1:2">
      <c r="A51" t="s">
        <v>48</v>
      </c>
      <c r="B51" t="s">
        <v>48</v>
      </c>
    </row>
    <row r="52" spans="1:2">
      <c r="A52" t="s">
        <v>49</v>
      </c>
      <c r="B52" t="s">
        <v>49</v>
      </c>
    </row>
    <row r="53" spans="1:2">
      <c r="A53" t="s">
        <v>50</v>
      </c>
      <c r="B53" t="s">
        <v>50</v>
      </c>
    </row>
    <row r="54" spans="1:2">
      <c r="A54" t="s">
        <v>51</v>
      </c>
      <c r="B54" t="s">
        <v>51</v>
      </c>
    </row>
    <row r="55" spans="1:2">
      <c r="A55" t="s">
        <v>52</v>
      </c>
      <c r="B55" t="s">
        <v>52</v>
      </c>
    </row>
    <row r="56" spans="1:2">
      <c r="A56" t="s">
        <v>53</v>
      </c>
      <c r="B56" t="s">
        <v>53</v>
      </c>
    </row>
    <row r="57" spans="1:2">
      <c r="A57" t="s">
        <v>54</v>
      </c>
      <c r="B57" t="s">
        <v>54</v>
      </c>
    </row>
    <row r="58" spans="1:2">
      <c r="A58" t="s">
        <v>55</v>
      </c>
      <c r="B58" t="s">
        <v>55</v>
      </c>
    </row>
    <row r="59" spans="1:2">
      <c r="A59" t="s">
        <v>56</v>
      </c>
      <c r="B59" t="s">
        <v>56</v>
      </c>
    </row>
    <row r="60" spans="1:2">
      <c r="A60" t="s">
        <v>57</v>
      </c>
      <c r="B60" t="s">
        <v>58</v>
      </c>
    </row>
    <row r="61" spans="1:2">
      <c r="A61" t="s">
        <v>145</v>
      </c>
      <c r="B61" t="s">
        <v>145</v>
      </c>
    </row>
    <row r="62" spans="1:2">
      <c r="A62" t="s">
        <v>59</v>
      </c>
      <c r="B62" t="s">
        <v>59</v>
      </c>
    </row>
    <row r="63" spans="1:2">
      <c r="A63" t="s">
        <v>60</v>
      </c>
      <c r="B63" t="s">
        <v>60</v>
      </c>
    </row>
    <row r="64" spans="1:2">
      <c r="A64" t="s">
        <v>61</v>
      </c>
      <c r="B64" t="s">
        <v>61</v>
      </c>
    </row>
    <row r="65" spans="1:2">
      <c r="A65" t="s">
        <v>62</v>
      </c>
      <c r="B65" t="s">
        <v>62</v>
      </c>
    </row>
    <row r="66" spans="1:2">
      <c r="A66" t="s">
        <v>63</v>
      </c>
      <c r="B66" t="s">
        <v>63</v>
      </c>
    </row>
    <row r="67" spans="1:2">
      <c r="A67" t="s">
        <v>64</v>
      </c>
      <c r="B67" t="s">
        <v>65</v>
      </c>
    </row>
    <row r="68" spans="1:2" ht="29">
      <c r="A68" s="43" t="s">
        <v>66</v>
      </c>
      <c r="B68" s="43" t="s">
        <v>67</v>
      </c>
    </row>
    <row r="69" spans="1:2">
      <c r="A69" t="s">
        <v>68</v>
      </c>
      <c r="B69" t="s">
        <v>69</v>
      </c>
    </row>
    <row r="70" spans="1:2">
      <c r="A70" t="s">
        <v>70</v>
      </c>
      <c r="B70" t="s">
        <v>71</v>
      </c>
    </row>
    <row r="71" spans="1:2">
      <c r="A71" t="s">
        <v>72</v>
      </c>
      <c r="B71" t="s">
        <v>72</v>
      </c>
    </row>
    <row r="72" spans="1:2">
      <c r="A72" t="s">
        <v>73</v>
      </c>
      <c r="B72" t="s">
        <v>73</v>
      </c>
    </row>
    <row r="73" spans="1:2">
      <c r="A73" t="s">
        <v>74</v>
      </c>
      <c r="B73" t="s">
        <v>74</v>
      </c>
    </row>
    <row r="74" spans="1:2">
      <c r="A74" t="s">
        <v>75</v>
      </c>
      <c r="B74" t="s">
        <v>75</v>
      </c>
    </row>
    <row r="75" spans="1:2">
      <c r="A75" t="s">
        <v>76</v>
      </c>
      <c r="B75" t="s">
        <v>76</v>
      </c>
    </row>
    <row r="76" spans="1:2">
      <c r="A76" t="s">
        <v>77</v>
      </c>
      <c r="B76" t="s">
        <v>77</v>
      </c>
    </row>
    <row r="77" spans="1:2">
      <c r="A77" t="s">
        <v>78</v>
      </c>
      <c r="B77" t="s">
        <v>78</v>
      </c>
    </row>
    <row r="78" spans="1:2">
      <c r="A78" t="s">
        <v>79</v>
      </c>
      <c r="B78" t="s">
        <v>79</v>
      </c>
    </row>
    <row r="79" spans="1:2">
      <c r="A79" t="s">
        <v>80</v>
      </c>
      <c r="B79" t="s">
        <v>80</v>
      </c>
    </row>
    <row r="80" spans="1:2">
      <c r="A80" t="s">
        <v>81</v>
      </c>
      <c r="B80" t="s">
        <v>81</v>
      </c>
    </row>
    <row r="81" spans="1:2">
      <c r="A81" t="s">
        <v>82</v>
      </c>
      <c r="B81" t="s">
        <v>82</v>
      </c>
    </row>
    <row r="82" spans="1:2">
      <c r="A82" t="s">
        <v>83</v>
      </c>
      <c r="B82" t="s">
        <v>83</v>
      </c>
    </row>
    <row r="83" spans="1:2">
      <c r="A83" t="s">
        <v>84</v>
      </c>
      <c r="B83" t="s">
        <v>84</v>
      </c>
    </row>
    <row r="84" spans="1:2">
      <c r="A84" t="s">
        <v>85</v>
      </c>
      <c r="B84" t="s">
        <v>85</v>
      </c>
    </row>
    <row r="85" spans="1:2">
      <c r="A85" t="s">
        <v>86</v>
      </c>
      <c r="B85" t="s">
        <v>86</v>
      </c>
    </row>
    <row r="86" spans="1:2">
      <c r="A86" t="s">
        <v>87</v>
      </c>
      <c r="B86" t="s">
        <v>87</v>
      </c>
    </row>
    <row r="87" spans="1:2">
      <c r="A87" t="s">
        <v>88</v>
      </c>
      <c r="B87" t="s">
        <v>88</v>
      </c>
    </row>
    <row r="88" spans="1:2">
      <c r="A88" t="s">
        <v>89</v>
      </c>
      <c r="B88" t="s">
        <v>89</v>
      </c>
    </row>
    <row r="89" spans="1:2">
      <c r="A89" t="s">
        <v>90</v>
      </c>
      <c r="B89" t="s">
        <v>90</v>
      </c>
    </row>
    <row r="90" spans="1:2">
      <c r="A90" t="s">
        <v>91</v>
      </c>
      <c r="B90" t="s">
        <v>91</v>
      </c>
    </row>
    <row r="91" spans="1:2">
      <c r="A91" t="s">
        <v>92</v>
      </c>
      <c r="B91" t="s">
        <v>92</v>
      </c>
    </row>
    <row r="92" spans="1:2">
      <c r="A92" t="s">
        <v>93</v>
      </c>
      <c r="B92" t="s">
        <v>93</v>
      </c>
    </row>
    <row r="93" spans="1:2">
      <c r="A93" t="s">
        <v>94</v>
      </c>
      <c r="B93" t="s">
        <v>94</v>
      </c>
    </row>
    <row r="94" spans="1:2">
      <c r="A94" t="s">
        <v>95</v>
      </c>
      <c r="B94" t="s">
        <v>95</v>
      </c>
    </row>
    <row r="95" spans="1:2">
      <c r="A95" t="s">
        <v>96</v>
      </c>
      <c r="B95" t="s">
        <v>96</v>
      </c>
    </row>
    <row r="96" spans="1:2">
      <c r="A96" t="s">
        <v>97</v>
      </c>
      <c r="B96" t="s">
        <v>97</v>
      </c>
    </row>
    <row r="97" spans="1:2">
      <c r="A97" t="s">
        <v>98</v>
      </c>
      <c r="B97" t="s">
        <v>98</v>
      </c>
    </row>
    <row r="98" spans="1:2">
      <c r="A98" t="s">
        <v>99</v>
      </c>
      <c r="B98" t="s">
        <v>99</v>
      </c>
    </row>
    <row r="99" spans="1:2">
      <c r="A99" t="s">
        <v>100</v>
      </c>
      <c r="B99" t="s">
        <v>100</v>
      </c>
    </row>
    <row r="100" spans="1:2">
      <c r="A100" t="s">
        <v>101</v>
      </c>
      <c r="B100" t="s">
        <v>101</v>
      </c>
    </row>
    <row r="101" spans="1:2">
      <c r="A101" t="s">
        <v>102</v>
      </c>
      <c r="B101" t="s">
        <v>102</v>
      </c>
    </row>
    <row r="102" spans="1:2">
      <c r="A102" t="s">
        <v>103</v>
      </c>
      <c r="B102" t="s">
        <v>103</v>
      </c>
    </row>
    <row r="103" spans="1:2">
      <c r="A103" t="s">
        <v>104</v>
      </c>
      <c r="B103" t="s">
        <v>104</v>
      </c>
    </row>
    <row r="104" spans="1:2">
      <c r="A104" t="s">
        <v>105</v>
      </c>
      <c r="B104" t="s">
        <v>105</v>
      </c>
    </row>
    <row r="105" spans="1:2">
      <c r="A105" t="s">
        <v>106</v>
      </c>
      <c r="B105" t="s">
        <v>106</v>
      </c>
    </row>
    <row r="106" spans="1:2">
      <c r="A106" t="s">
        <v>107</v>
      </c>
      <c r="B106" t="s">
        <v>107</v>
      </c>
    </row>
    <row r="107" spans="1:2">
      <c r="A107" t="s">
        <v>108</v>
      </c>
      <c r="B107" t="s">
        <v>108</v>
      </c>
    </row>
    <row r="108" spans="1:2">
      <c r="A108" t="s">
        <v>109</v>
      </c>
      <c r="B108" t="s">
        <v>109</v>
      </c>
    </row>
    <row r="109" spans="1:2">
      <c r="A109" t="s">
        <v>110</v>
      </c>
      <c r="B109" t="s">
        <v>110</v>
      </c>
    </row>
    <row r="110" spans="1:2">
      <c r="A110" t="s">
        <v>111</v>
      </c>
      <c r="B110" t="s">
        <v>111</v>
      </c>
    </row>
    <row r="111" spans="1:2">
      <c r="A111" t="s">
        <v>112</v>
      </c>
      <c r="B111" t="s">
        <v>112</v>
      </c>
    </row>
    <row r="112" spans="1:2">
      <c r="A112" t="s">
        <v>113</v>
      </c>
      <c r="B112" t="s">
        <v>113</v>
      </c>
    </row>
    <row r="113" spans="1:2">
      <c r="A113" t="s">
        <v>114</v>
      </c>
      <c r="B113" t="s">
        <v>114</v>
      </c>
    </row>
    <row r="114" spans="1:2">
      <c r="A114" t="s">
        <v>115</v>
      </c>
      <c r="B114" t="s">
        <v>115</v>
      </c>
    </row>
    <row r="115" spans="1:2">
      <c r="A115" t="s">
        <v>116</v>
      </c>
      <c r="B115" t="s">
        <v>116</v>
      </c>
    </row>
    <row r="116" spans="1:2">
      <c r="A116" t="s">
        <v>117</v>
      </c>
      <c r="B116" t="s">
        <v>117</v>
      </c>
    </row>
    <row r="117" spans="1:2">
      <c r="A117" t="s">
        <v>118</v>
      </c>
      <c r="B117" t="s">
        <v>118</v>
      </c>
    </row>
    <row r="118" spans="1:2">
      <c r="A118" t="s">
        <v>119</v>
      </c>
      <c r="B118" t="s">
        <v>119</v>
      </c>
    </row>
    <row r="119" spans="1:2">
      <c r="A119" t="s">
        <v>120</v>
      </c>
      <c r="B119" t="s">
        <v>120</v>
      </c>
    </row>
    <row r="120" spans="1:2">
      <c r="A120" t="s">
        <v>121</v>
      </c>
      <c r="B120" t="s">
        <v>121</v>
      </c>
    </row>
    <row r="121" spans="1:2">
      <c r="A121" t="s">
        <v>122</v>
      </c>
      <c r="B121" t="s">
        <v>122</v>
      </c>
    </row>
    <row r="122" spans="1:2">
      <c r="A122" t="s">
        <v>123</v>
      </c>
      <c r="B122" t="s">
        <v>123</v>
      </c>
    </row>
    <row r="123" spans="1:2">
      <c r="A123" t="s">
        <v>124</v>
      </c>
      <c r="B123" t="s">
        <v>124</v>
      </c>
    </row>
    <row r="124" spans="1:2">
      <c r="A124" t="s">
        <v>125</v>
      </c>
      <c r="B124" t="s">
        <v>125</v>
      </c>
    </row>
    <row r="125" spans="1:2">
      <c r="A125" t="s">
        <v>126</v>
      </c>
      <c r="B125" t="s">
        <v>126</v>
      </c>
    </row>
    <row r="126" spans="1:2">
      <c r="A126" t="s">
        <v>127</v>
      </c>
      <c r="B126" t="s">
        <v>127</v>
      </c>
    </row>
    <row r="127" spans="1:2">
      <c r="A127" t="s">
        <v>128</v>
      </c>
      <c r="B127" t="s">
        <v>128</v>
      </c>
    </row>
    <row r="128" spans="1:2">
      <c r="A128" t="s">
        <v>129</v>
      </c>
      <c r="B128" t="s">
        <v>129</v>
      </c>
    </row>
    <row r="129" spans="1:2">
      <c r="A129" t="s">
        <v>130</v>
      </c>
      <c r="B129" t="s">
        <v>130</v>
      </c>
    </row>
    <row r="130" spans="1:2">
      <c r="A130" t="s">
        <v>131</v>
      </c>
      <c r="B130" t="s">
        <v>131</v>
      </c>
    </row>
    <row r="131" spans="1:2">
      <c r="A131" t="s">
        <v>132</v>
      </c>
      <c r="B131" t="s">
        <v>132</v>
      </c>
    </row>
    <row r="132" spans="1:2">
      <c r="A132" t="s">
        <v>133</v>
      </c>
      <c r="B132" t="s">
        <v>133</v>
      </c>
    </row>
    <row r="133" spans="1:2" ht="19.5" customHeight="1">
      <c r="A133" t="s">
        <v>3</v>
      </c>
      <c r="B133" t="s">
        <v>3</v>
      </c>
    </row>
    <row r="134" spans="1:2">
      <c r="A134" t="s">
        <v>134</v>
      </c>
      <c r="B134" t="s">
        <v>134</v>
      </c>
    </row>
    <row r="135" spans="1:2" ht="12" customHeight="1">
      <c r="A135" t="s">
        <v>135</v>
      </c>
      <c r="B135" t="s">
        <v>135</v>
      </c>
    </row>
    <row r="136" spans="1:2">
      <c r="A136" t="s">
        <v>136</v>
      </c>
      <c r="B136" t="s">
        <v>136</v>
      </c>
    </row>
    <row r="137" spans="1:2">
      <c r="A137" t="s">
        <v>142</v>
      </c>
      <c r="B137" t="s">
        <v>142</v>
      </c>
    </row>
    <row r="138" spans="1:2">
      <c r="A138" t="s">
        <v>137</v>
      </c>
      <c r="B138" t="s">
        <v>137</v>
      </c>
    </row>
    <row r="139" spans="1:2">
      <c r="A139" t="s">
        <v>138</v>
      </c>
      <c r="B139" t="s">
        <v>138</v>
      </c>
    </row>
    <row r="140" spans="1:2">
      <c r="A140" t="s">
        <v>139</v>
      </c>
      <c r="B140" t="s">
        <v>139</v>
      </c>
    </row>
    <row r="141" spans="1:2">
      <c r="A141" t="s">
        <v>140</v>
      </c>
      <c r="B141" t="s">
        <v>140</v>
      </c>
    </row>
    <row r="142" spans="1:2">
      <c r="A142" t="s">
        <v>141</v>
      </c>
      <c r="B142" t="s">
        <v>141</v>
      </c>
    </row>
    <row r="143" spans="1:2">
      <c r="A143" t="s">
        <v>146</v>
      </c>
      <c r="B143" t="s">
        <v>146</v>
      </c>
    </row>
    <row r="144" spans="1:2">
      <c r="A144" t="s">
        <v>147</v>
      </c>
      <c r="B144" t="s">
        <v>147</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3"/>
  <sheetViews>
    <sheetView showGridLines="0" tabSelected="1" zoomScaleNormal="100" zoomScaleSheetLayoutView="80" workbookViewId="0">
      <selection activeCell="A6" sqref="A6:B6"/>
    </sheetView>
  </sheetViews>
  <sheetFormatPr defaultRowHeight="14.5"/>
  <cols>
    <col min="1" max="1" width="27.7265625" customWidth="1"/>
    <col min="2" max="2" width="112.7265625" customWidth="1"/>
    <col min="3" max="3" width="1.26953125" customWidth="1"/>
    <col min="4" max="5" width="18.7265625" customWidth="1"/>
  </cols>
  <sheetData>
    <row r="1" spans="1:4" ht="21" customHeight="1">
      <c r="A1" s="17" t="str">
        <f>_sheetContentTranslation_A_7</f>
        <v>Component auditor understanding</v>
      </c>
      <c r="B1" s="17"/>
    </row>
    <row r="2" spans="1:4" ht="16.149999999999999" customHeight="1">
      <c r="A2" s="45" t="str">
        <f>_sheetContentTranslation_A_8</f>
        <v>June 2023 - Effective for group audits for periods beginning on or after December 15, 2022</v>
      </c>
      <c r="B2" s="2"/>
    </row>
    <row r="3" spans="1:4" ht="4.1500000000000004" customHeight="1">
      <c r="A3" s="4"/>
      <c r="B3" s="2"/>
    </row>
    <row r="4" spans="1:4">
      <c r="A4" s="47" t="str">
        <f>_sheetContentTranslation_A_9</f>
        <v>Delete these instructions and do not include them in the audit file.</v>
      </c>
      <c r="B4" s="47"/>
    </row>
    <row r="5" spans="1:4" ht="3.65" customHeight="1">
      <c r="A5" s="4"/>
      <c r="B5" s="2"/>
    </row>
    <row r="6" spans="1:4" s="1" customFormat="1" ht="38.25" customHeight="1">
      <c r="A6" s="46" t="str">
        <f>_sheetContentTranslation_A_10</f>
        <v xml:space="preserve">Instructional Note to Group Engagement Team: This template is used to document the group engagement team’s understanding of the component auditor. A separate worksheet is used for each component auditor who is a member firm or a non-member firm involved in the group audit; copy the worksheet as many times as necessary. 
</v>
      </c>
      <c r="B6" s="46"/>
    </row>
    <row r="7" spans="1:4" s="1" customFormat="1" ht="4.5" customHeight="1">
      <c r="A7" s="32"/>
      <c r="B7" s="32"/>
    </row>
    <row r="8" spans="1:4" s="1" customFormat="1" ht="14">
      <c r="A8" s="10" t="str">
        <f>_sheetContentTranslation_A_11</f>
        <v>Guidance related to use of this template</v>
      </c>
      <c r="B8" s="32"/>
    </row>
    <row r="9" spans="1:4" s="1" customFormat="1" ht="14">
      <c r="A9" s="10"/>
      <c r="B9" s="32"/>
    </row>
    <row r="10" spans="1:4" s="1" customFormat="1" ht="37.5">
      <c r="A10" s="11" t="str">
        <f>_sheetContentTranslation_A_12</f>
        <v>Instructions</v>
      </c>
      <c r="B10" s="12" t="str">
        <f>_sheetContentTranslation_A_13</f>
        <v>This template contains cells with conditional formatting and data validation, including drop-down lists. For best results, complete the template top-to-bottom and left-to-right (The template populates depending on the answers to "independence of component auditor" and "understanding component auditor" sections.</v>
      </c>
    </row>
    <row r="11" spans="1:4" s="1" customFormat="1" ht="25">
      <c r="A11" s="11" t="str">
        <f>_sheetContentTranslation_A_14</f>
        <v>Adding rows</v>
      </c>
      <c r="B11" s="13" t="str">
        <f>_sheetContentTranslation_A_15</f>
        <v>Certain areas of the template, such as the "Relevant professional qualifications of key individuals" section in the worksheet allow for the addition of rows. In those areas, add rows as needed by pressing the purple "+" buttons, which will add a row underneath the icon.</v>
      </c>
    </row>
    <row r="12" spans="1:4" s="1" customFormat="1" ht="25">
      <c r="A12" s="11" t="str">
        <f>_sheetContentTranslation_A_16</f>
        <v>Deleting rows</v>
      </c>
      <c r="B12" s="13" t="str">
        <f>_sheetContentTranslation_A_17</f>
        <v>The ability to delete most rows in this template has been disabled. Rows that can be deleted have a red "x" icon to the left of the row. They can be deleted by selecting the red "x" icon to the left of the row and selecting "OK" in the message box that appears.</v>
      </c>
    </row>
    <row r="13" spans="1:4" s="1" customFormat="1" ht="120" customHeight="1">
      <c r="A13" s="14" t="str">
        <f>_sheetContentTranslation_A_18</f>
        <v>Independence of component auditor</v>
      </c>
      <c r="B13" s="15" t="str">
        <f>_sheetContentTranslation_A_19</f>
        <v>The group audit instructions request the component auditor, whether a member firm or a non-member firm, to affirm their independence and that they will comply with the relevant ethical requirements. The documentation of work performed may include a reference to the component auditor's acknowledgment. Such documentation may also include a reference to the group engagement team's conflict checks, if applicable in the circumstances based on the firm's policies and procedures.
If a component auditor does not meet the independence requirements relevant to the group audit, the group engagement team is not permitted to request the component auditor to perform work on the component financial information or to make reference to the audit of the component auditor. This is also the case if the group engagement team has serious concerns about the component auditor's compliance with other relevant ethical requirements. In such circumstances, there is no need to complete the remainder of the template.</v>
      </c>
    </row>
    <row r="14" spans="1:4" s="1" customFormat="1" ht="75" customHeight="1">
      <c r="A14" s="14" t="str">
        <f>_sheetContentTranslation_A_20</f>
        <v>Understanding of component auditor</v>
      </c>
      <c r="B14" s="15" t="str">
        <f>_sheetContentTranslation_A_21</f>
        <v xml:space="preserve">This section is typically completed based on the responses from the component auditor in the acknowledgment of group audit instructions, any previous experience with the component auditor, Grant Thornton Assessment and Review (GTAR) results (member firms only), and awareness of the component auditor's regulatory environment (for example, PCAOB or other regulatory inspections). The documentation of work performed may include a reference to the component auditor's acknowledgment (or representations) as well as, for member firms, the Professional Reputation and Standing Letter obtained from the SEC Regulatory Matters Group, if applicable. </v>
      </c>
      <c r="D14" s="40"/>
    </row>
    <row r="15" spans="1:4" ht="269.25" customHeight="1">
      <c r="A15" s="14" t="str">
        <f>_sheetContentTranslation_A_22</f>
        <v>Inspection reports</v>
      </c>
      <c r="B15" s="15" t="str">
        <f>_sheetContentTranslation_A_23</f>
        <v xml:space="preserve">The component auditor's firm may be subject to inspection, such as a GTAR (member firms only) or regulatory inspection such as, PCAOB inspection, or  inspection by the Financial Reporting Council in the United Kingdom. Only include and document the relevant and available inspection reports; delete the rows (type of inspection) that are not relevant. 
Obtaining inspection reports may assist the group engagement team in understanding the competence of the component auditor and in determining areas that may necessitate the group engagement team’s involvement in the component auditor’s work. Engagement teams are encouraged to discuss with appropriate firm personnel significant or pervasive findings identified in inspection reports and the related implications on the group audit, particularly with respect to the component auditor’s work. The group engagement team may consider measures taken by the component auditor to resolve the quality control findings. 
This section may also include, if applicable, the inspection results related to the particular engagement (for example, a PCAOB inspection of the component auditor's work on the particular component), to the extent the group engagement team is aware of such information.
Reference may be made to where the actions taken (for example, the involvement in, or review of, the component auditor's work) are documented in the audit file (for example, the group engagement team's evaluation of significance and scoping). 
Grant Thornton Assessment and Review (GTAR)
At least once every three years, each member firm is subject to a GTAR by GTIL. Request a summary of the GTAR results to the firm's designated individual. While a summary of the information contained in the GTAR report can be included in the audit documentation, the GTAR report itself is confidential and is not  included. Refer to AE 7.9 for further guidance in connection with obtaining GTAR results. </v>
      </c>
      <c r="D15" s="41"/>
    </row>
    <row r="16" spans="1:4" ht="54" customHeight="1">
      <c r="A16" s="14" t="str">
        <f>_sheetContentTranslation_A_24</f>
        <v>Transparency reports</v>
      </c>
      <c r="B16" s="15" t="str">
        <f>_sheetContentTranslation_A_25</f>
        <v xml:space="preserve">A firm may issue a quality or transparency report that is publicly available. Such reports may cover the firm's structure, governance, and approach to audit quality. It is not necessary to obtain a transparency report to understand a component auditor. However, such report may be helpful if the engagement team is not familiar with the component auditor and an inspection report is not available, particularly if the component auditor is not part of a network that is a member of the Forum of Firms. </v>
      </c>
      <c r="D16" s="42"/>
    </row>
    <row r="17" spans="1:4" ht="112.5">
      <c r="A17" s="14" t="str">
        <f>_sheetContentTranslation_A_26</f>
        <v>Relevant professional qualifications of key individuals (assuming responsibility)</v>
      </c>
      <c r="B17" s="15" t="str">
        <f>_sheetContentTranslation_A_27</f>
        <v>For the audit of the group financial statements, key engagement team members include all engagement team members who have significant engagement responsibilities, including the engagement partner. Depending on the circumstances, key engagement team members may include more experienced members of the engagement team (such as the manager or senior), individuals with specialized skills or knowledge in accounting or auditing, and auditor’s internal experts. Auditor’s external experts are not engagement team members. 
Depending on the work to be performed on the component, key engagement team members may include key individuals performing audit procedures on a component. Qualifications of such individuals may include license to practice, years of experience in role and component's industry, and membership in professional organizations. It may also include continuing professional education.</v>
      </c>
      <c r="D17" s="42"/>
    </row>
    <row r="18" spans="1:4" ht="129.75" customHeight="1">
      <c r="A18" s="14" t="str">
        <f>_sheetContentTranslation_A_28</f>
        <v xml:space="preserve">Engagement quality review </v>
      </c>
      <c r="B18" s="15" t="str">
        <f>_sheetContentTranslation_A_29</f>
        <v>The group audit engagement may require an engagement quality review; however, an engagement quality review is not required for each component for purposes of the group audit. The group engagement partner or the group engagement quality reviewer may, as part of the group engagement team’s instructions, request the component auditor to appoint an engagement quality reviewer to perform an engagement quality review for selected components. The component auditor may also appoint an engagement quality reviewer. Qualifications of such individuals may include license to practice, years of experience in role and component's industry, and membership in professional organizations. It may also include continuing professional education.
When the component’s financial statements are also subject to an audit required by statute, regulation, or for another reason, an engagement quality review may otherwise be required for the standalone audit of the component. It is not necessary to identify the engagement quality reviewer in these circumstances.</v>
      </c>
      <c r="D18" s="42"/>
    </row>
    <row r="19" spans="1:4" ht="62.25" customHeight="1">
      <c r="A19" s="14" t="str">
        <f>_sheetContentTranslation_A_30</f>
        <v>Confidentiality and secrecy restrictions</v>
      </c>
      <c r="B19" s="15" t="str">
        <f>_sheetContentTranslation_A_31</f>
        <v xml:space="preserve">The group audit instructions request the component auditor to inform the group engagement team (as part of the acknowledgment of group audit instructions) of the applicable laws and regulations in the component auditor's jurisdiction related to confidentiality and professional secrecy. The group engagement team may also be aware of such laws and regulations from previous experience. Such information assists the group engagement team to make necessary arrangements, if any, to review the component auditor's workpapers as appropriate or to obtain the necessary documentation within the applicable legal constraints. </v>
      </c>
    </row>
    <row r="20" spans="1:4" ht="44.25" customHeight="1">
      <c r="A20" s="14" t="str">
        <f>_sheetContentTranslation_A_32</f>
        <v>Further information about component auditor</v>
      </c>
      <c r="B20" s="15" t="str">
        <f>_sheetContentTranslation_A_33</f>
        <v>The group engagement team may document, as necessary, further information about the component auditor. This may include, for example, the group engagement team's previous experience with the component auditor, the component auditor's industry experience, or other specialized skills or knowledge of the component auditor relevant to the group audit.</v>
      </c>
    </row>
    <row r="21" spans="1:4" ht="127.5" customHeight="1">
      <c r="A21" s="14" t="str">
        <f>_sheetContentTranslation_A_34</f>
        <v xml:space="preserve">Conclusion on involvement of component auditor </v>
      </c>
      <c r="B21" s="15" t="str">
        <f>_sheetContentTranslation_A_35</f>
        <v>In addition to a lack of independence or serious concerns about the component auditor's compliance with other relevant ethical requirements, the group engagement team is not permitted to request the component auditor to perform work on the component financial information if they have serious concerns about (a) the component auditor's professional competence, or (b) the group engagement team's ability to be involved in the component auditor's work to the extent necessary. The group engagement team may, however, overcome less than serious concerns about the component auditor's professional competence or the fact that the component auditor does not operate in an environment that actively oversees auditors by (a) performing additional risk assessment procedures, (b) being involved in the component auditor's further audit procedures or performing such procedures directly, or (c) reviewing the component auditor's workpapers. The group engagement team's involvement depends on the circumstances and the concerns identified.</v>
      </c>
    </row>
    <row r="22" spans="1:4" ht="71.650000000000006" customHeight="1">
      <c r="A22" s="14" t="str">
        <f>_sheetContentTranslation_A_36</f>
        <v xml:space="preserve">Impact on planned involvement, if any </v>
      </c>
      <c r="B22" s="16" t="str">
        <f>_sheetContentTranslation_A_37</f>
        <v>Certain involvement in a component auditor's work is specified by professional standards. Document the planned additional involvement, if any, taking into account the group engagement team's understanding of the component auditor as well as other matters, such as the type of work to be performed by the component auditor, which is documented in the Component Significance and Scoping documentation template. The nature of the group engagement team's planned involvement may change during the course of the group audit, taking into account the communications from the component auditor.</v>
      </c>
      <c r="D22" s="42"/>
    </row>
    <row r="23" spans="1:4">
      <c r="A23" s="3"/>
      <c r="B23" s="3"/>
    </row>
  </sheetData>
  <mergeCells count="2">
    <mergeCell ref="A6:B6"/>
    <mergeCell ref="A4:B4"/>
  </mergeCells>
  <printOptions horizontalCentered="1"/>
  <pageMargins left="0.7" right="0.7" top="0.75" bottom="0.75" header="0.3" footer="0.3"/>
  <pageSetup paperSize="9" scale="92"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ssume"/>
  <dimension ref="A1:G42"/>
  <sheetViews>
    <sheetView showGridLines="0" zoomScaleNormal="100" zoomScaleSheetLayoutView="80" workbookViewId="0">
      <selection activeCell="D9" sqref="D9"/>
    </sheetView>
  </sheetViews>
  <sheetFormatPr defaultColWidth="9.26953125" defaultRowHeight="14.5"/>
  <cols>
    <col min="1" max="2" width="3.7265625" customWidth="1"/>
    <col min="3" max="3" width="50.7265625" customWidth="1"/>
    <col min="4" max="4" width="11.7265625" customWidth="1"/>
    <col min="5" max="5" width="50.7265625" customWidth="1"/>
    <col min="6" max="6" width="1.54296875" style="20" customWidth="1"/>
  </cols>
  <sheetData>
    <row r="1" spans="3:7" ht="22.5" customHeight="1">
      <c r="C1" s="17" t="str">
        <f>_sheetContentTranslation_A_7</f>
        <v>Component auditor understanding</v>
      </c>
      <c r="D1" s="23"/>
      <c r="E1" s="23"/>
      <c r="F1" s="36"/>
      <c r="G1" s="29" t="str">
        <f>_sheetContentTranslation_A_38</f>
        <v>Spell check</v>
      </c>
    </row>
    <row r="2" spans="3:7" ht="14.25" customHeight="1">
      <c r="C2" s="24"/>
      <c r="D2" s="25"/>
      <c r="E2" s="25"/>
      <c r="F2" s="36"/>
    </row>
    <row r="3" spans="3:7" s="18" customFormat="1" ht="15.75" customHeight="1">
      <c r="C3" s="28" t="str">
        <f>_sheetContentTranslation_A_39</f>
        <v>Name of group</v>
      </c>
      <c r="D3" s="50"/>
      <c r="E3" s="50"/>
      <c r="F3" s="26"/>
    </row>
    <row r="4" spans="3:7" s="18" customFormat="1" ht="15.75" customHeight="1">
      <c r="C4" s="28" t="str">
        <f>_sheetContentTranslation_A_40</f>
        <v>Group period-end date</v>
      </c>
      <c r="D4" s="51"/>
      <c r="E4" s="51"/>
      <c r="F4" s="26"/>
    </row>
    <row r="5" spans="3:7" ht="15.75" customHeight="1">
      <c r="C5" s="28" t="str">
        <f>_sheetContentTranslation_A_41</f>
        <v>Component auditor</v>
      </c>
      <c r="D5" s="50"/>
      <c r="E5" s="50"/>
      <c r="F5" s="36"/>
    </row>
    <row r="6" spans="3:7" ht="15" customHeight="1">
      <c r="C6" s="26"/>
      <c r="D6" s="26"/>
      <c r="E6" s="25"/>
      <c r="F6" s="36"/>
    </row>
    <row r="7" spans="3:7" ht="23.25" customHeight="1">
      <c r="C7" s="48" t="str">
        <f>_sheetContentTranslation_A_18</f>
        <v>Independence of component auditor</v>
      </c>
      <c r="D7" s="48"/>
      <c r="E7" s="48"/>
      <c r="F7" s="36"/>
    </row>
    <row r="8" spans="3:7" ht="27.75" customHeight="1">
      <c r="C8" s="33"/>
      <c r="D8" s="33" t="str">
        <f>_sheetContentTranslation_A_42</f>
        <v>Yes/No</v>
      </c>
      <c r="E8" s="33" t="str">
        <f>_sheetContentTranslation_A_43</f>
        <v>Describe work performed and, if applicable, 
concerns identified and actions taken</v>
      </c>
      <c r="F8" s="36"/>
    </row>
    <row r="9" spans="3:7" ht="30" customHeight="1">
      <c r="C9" s="37" t="str">
        <f>_sheetContentTranslation_A_44</f>
        <v>Understands and will comply with relevant ethical requirements, and is independent?</v>
      </c>
      <c r="D9" s="31"/>
      <c r="E9" s="30"/>
      <c r="F9" s="36"/>
    </row>
    <row r="10" spans="3:7" ht="33" customHeight="1">
      <c r="C10" s="52" t="str">
        <f>_sheetContentTranslation_A_45</f>
        <v>If a component auditor does not meet the independence requirements relevant to the group audit, the group engagement team is not permitted to request the component auditor to perform work on the component financial information. This is also the case if the group engagement team has serious concerns about the component auditor's compliance with other relevant ethical requirements. In such circumstances, there is no need to complete the remainder of this template.</v>
      </c>
      <c r="D10" s="52"/>
      <c r="E10" s="52"/>
      <c r="F10" s="38"/>
    </row>
    <row r="11" spans="3:7" s="19" customFormat="1" ht="23.25" hidden="1" customHeight="1">
      <c r="C11" s="57" t="str">
        <f>_sheetContentTranslation_A_20</f>
        <v>Understanding of component auditor</v>
      </c>
      <c r="D11" s="57"/>
      <c r="E11" s="57"/>
      <c r="F11" s="38"/>
    </row>
    <row r="12" spans="3:7" ht="27.75" hidden="1" customHeight="1">
      <c r="C12" s="33"/>
      <c r="D12" s="33" t="str">
        <f>_sheetContentTranslation_A_42</f>
        <v>Yes/No</v>
      </c>
      <c r="E12" s="33" t="str">
        <f>_sheetContentTranslation_A_46</f>
        <v>Describe work performed and, if applicable,
concerns identified and actions taken</v>
      </c>
      <c r="F12" s="36"/>
    </row>
    <row r="13" spans="3:7" ht="58.5" hidden="1" customHeight="1">
      <c r="C13" s="37" t="str">
        <f>IsInForumOfFirms</f>
        <v>Is a member of the Forum of Firms?</v>
      </c>
      <c r="D13" s="31"/>
      <c r="E13" s="34" t="str">
        <f>NotInForumOfFirms</f>
        <v xml:space="preserve">If no, describe the system of quality management implemented by the firm, if any. If the firm has not implemented a system of quality management, evaluate the impact on the ability to use the firm as a component auditor. </v>
      </c>
      <c r="F13" s="36"/>
    </row>
    <row r="14" spans="3:7" ht="58.5" hidden="1" customHeight="1">
      <c r="C14" s="37" t="str">
        <f>ISQM1Compliance</f>
        <v>The firm has self-reported compliance with ISQM 1?</v>
      </c>
      <c r="D14" s="31"/>
      <c r="E14" s="34" t="str">
        <f>ISQM1ComplianceNote</f>
        <v xml:space="preserve">If the firm has not self-reported compliance with ISQM 1, evaluate the impact on the ability to use the firm as a component auditor. </v>
      </c>
      <c r="F14" s="36"/>
    </row>
    <row r="15" spans="3:7" ht="30" hidden="1" customHeight="1">
      <c r="C15" s="37" t="str">
        <f>_sheetContentTranslation_A_47</f>
        <v>Understands applicable auditing and accounting standards to fulfill their responsibilities?</v>
      </c>
      <c r="D15" s="31"/>
      <c r="E15" s="30"/>
      <c r="F15" s="36"/>
    </row>
    <row r="16" spans="3:7" ht="30" hidden="1" customHeight="1">
      <c r="C16" s="37" t="str">
        <f>_sheetContentTranslation_A_48</f>
        <v>Understands and will comply with the group audit instructions without exception?</v>
      </c>
      <c r="D16" s="31"/>
      <c r="E16" s="30"/>
      <c r="F16" s="36"/>
    </row>
    <row r="17" spans="1:6" ht="30" hidden="1" customHeight="1">
      <c r="C17" s="37" t="str">
        <f>_sheetContentTranslation_A_49</f>
        <v>Will allow group engagement team to be involved in their work to the extent necessary?</v>
      </c>
      <c r="D17" s="31"/>
      <c r="E17" s="30"/>
      <c r="F17" s="36"/>
    </row>
    <row r="18" spans="1:6" ht="30" hidden="1" customHeight="1">
      <c r="C18" s="37" t="str">
        <f>AssignedAppropriateResources</f>
        <v>Has assigned sufficient and appropriate resources (human, technological and intellectual) to perform the work ?</v>
      </c>
      <c r="D18" s="31"/>
      <c r="E18" s="30"/>
      <c r="F18" s="36"/>
    </row>
    <row r="19" spans="1:6" ht="30" hidden="1" customHeight="1">
      <c r="C19" s="37" t="str">
        <f>_sheetContentTranslation_A_50</f>
        <v>Has appropriate competence, capabilities, and necessary skills to perform the work requested?</v>
      </c>
      <c r="D19" s="31"/>
      <c r="E19" s="60"/>
      <c r="F19" s="36"/>
    </row>
    <row r="20" spans="1:6" ht="30" hidden="1" customHeight="1">
      <c r="C20" s="37" t="str">
        <f>_sheetContentTranslation_A_51</f>
        <v>Operates in a regulatory environment that actively oversees auditors?</v>
      </c>
      <c r="D20" s="31"/>
      <c r="E20" s="30"/>
      <c r="F20" s="36"/>
    </row>
    <row r="21" spans="1:6" ht="29.65" hidden="1" customHeight="1">
      <c r="C21" s="48" t="str">
        <f>_sheetContentTranslation_A_52</f>
        <v>Inspection or transparency reports (if any)</v>
      </c>
      <c r="D21" s="48"/>
      <c r="E21" s="48"/>
      <c r="F21" s="36"/>
    </row>
    <row r="22" spans="1:6" ht="30" hidden="1" customHeight="1">
      <c r="C22" s="35" t="str">
        <f>_sheetContentTranslation_A_53</f>
        <v>Type of inspection</v>
      </c>
      <c r="D22" s="59" t="str">
        <f>_sheetContentTranslation_A_46</f>
        <v>Describe work performed and, if applicable,
concerns identified and actions taken</v>
      </c>
      <c r="E22" s="59"/>
      <c r="F22" s="36"/>
    </row>
    <row r="23" spans="1:6" ht="53.15" hidden="1" customHeight="1">
      <c r="B23" s="21" t="str">
        <f>_sheetContentTranslation_A_54</f>
        <v>x</v>
      </c>
      <c r="C23" s="34" t="str">
        <f>_sheetContentTranslation_A_55</f>
        <v>Grant Thornton Audit Review (GTAR)</v>
      </c>
      <c r="D23" s="49" t="str">
        <f>_sheetContentTranslation_A_56</f>
        <v>Refer to summary of GTAR results. [Describe actions taken (such as the impact on the component auditor's work or our involvement in, or review of, that work), if any, or refer to where such actions are documented in the audit file.]</v>
      </c>
      <c r="E23" s="49"/>
      <c r="F23" s="36"/>
    </row>
    <row r="24" spans="1:6" ht="56.65" hidden="1" customHeight="1">
      <c r="B24" s="21" t="str">
        <f>_sheetContentTranslation_A_54</f>
        <v>x</v>
      </c>
      <c r="C24" s="34" t="str">
        <f>RegulatoryInspection</f>
        <v xml:space="preserve">Regulatory inspection (such as PCAOB, FRC, CPAB) </v>
      </c>
      <c r="D24" s="49" t="str">
        <f>RelevantInspectiomNote</f>
        <v xml:space="preserve">Refer to relevant inspection reports, describe actions taken (such as the impact on the component auditor's work or involvement in, or review of ,that work), if any, or refer to where such actions are documented in the file. </v>
      </c>
      <c r="E24" s="49"/>
      <c r="F24" s="36"/>
    </row>
    <row r="25" spans="1:6" ht="60.5" hidden="1" customHeight="1">
      <c r="B25" s="21" t="str">
        <f>_sheetContentTranslation_A_54</f>
        <v>x</v>
      </c>
      <c r="C25" s="34" t="str">
        <f>_sheetContentTranslation_A_60</f>
        <v>Other available report, which may include other available inspection report or reporting related to the entity’s system of quality management</v>
      </c>
      <c r="D25" s="49" t="str">
        <f>Translation!A143</f>
        <v>Indicate other inspection report as applicable. If a system of quality management report is available, include information related to the firm’s conclusion on the operating effectiveness of the firm’s system of quality management, document the as of date of the conclusion on the operating effectiveness of the entity’s system of quality management and indicate where it can be obtained, or, document the date the information is expected to be made available.</v>
      </c>
      <c r="E25" s="49"/>
      <c r="F25" s="36"/>
    </row>
    <row r="26" spans="1:6" ht="34.5" hidden="1" customHeight="1">
      <c r="B26" s="21" t="str">
        <f>_sheetContentTranslation_A_54</f>
        <v>x</v>
      </c>
      <c r="C26" s="34" t="str">
        <f>_sheetContentTranslation_A_61</f>
        <v>Available transparency report, as appropriate</v>
      </c>
      <c r="D26" s="49" t="str">
        <f>Translation!A144</f>
        <v>The transparency report may include information related to the entity’s system of quality management; including it’s operating effectiveness.</v>
      </c>
      <c r="E26" s="49"/>
      <c r="F26" s="36"/>
    </row>
    <row r="27" spans="1:6" ht="29.65" hidden="1" customHeight="1">
      <c r="C27" s="48" t="str">
        <f>_sheetContentTranslation_A_62</f>
        <v>Relevant professional qualifications of key individuals</v>
      </c>
      <c r="D27" s="48"/>
      <c r="E27" s="48"/>
      <c r="F27" s="36"/>
    </row>
    <row r="28" spans="1:6" ht="44.15" hidden="1" customHeight="1">
      <c r="A28" s="22" t="str">
        <f>_sheetContentTranslation_A_63</f>
        <v>+</v>
      </c>
      <c r="B28" s="21"/>
      <c r="C28" s="34" t="str">
        <f>_sheetContentTranslation_A_64</f>
        <v>Identify name of key individual; add rows as necessary. Alternatively, refer to related audit documentation, such as the work program or acknowledgment of instructions.</v>
      </c>
      <c r="D28" s="49" t="str">
        <f>_sheetContentTranslation_A_65</f>
        <v>Identify role on team and describe qualifications. Alternatively, refer to related audit documentation, such as the work program or acknowledgment of instructions.</v>
      </c>
      <c r="E28" s="49"/>
      <c r="F28" s="36"/>
    </row>
    <row r="29" spans="1:6" ht="44.15" hidden="1" customHeight="1">
      <c r="A29" s="22" t="str">
        <f>_sheetContentTranslation_A_63</f>
        <v>+</v>
      </c>
      <c r="B29" s="21" t="str">
        <f>_sheetContentTranslation_A_54</f>
        <v>x</v>
      </c>
      <c r="C29" s="27"/>
      <c r="D29" s="58"/>
      <c r="E29" s="58"/>
      <c r="F29" s="36"/>
    </row>
    <row r="30" spans="1:6" ht="29.65" hidden="1" customHeight="1">
      <c r="C30" s="48" t="str">
        <f>_sheetContentTranslation_A_66</f>
        <v>Engagement quality review</v>
      </c>
      <c r="D30" s="48"/>
      <c r="E30" s="48"/>
      <c r="F30" s="36"/>
    </row>
    <row r="31" spans="1:6" ht="29.65" hidden="1" customHeight="1">
      <c r="C31" s="33"/>
      <c r="D31" s="33" t="str">
        <f>_sheetContentTranslation_A_42</f>
        <v>Yes/No</v>
      </c>
      <c r="E31" s="33" t="str">
        <f>_sheetContentTranslation_A_67</f>
        <v>Name of engagement quality reviewer 
and qualifications (if applicable)</v>
      </c>
      <c r="F31" s="36"/>
    </row>
    <row r="32" spans="1:6" ht="56.15" hidden="1" customHeight="1">
      <c r="C32" s="37" t="str">
        <f>_sheetContentTranslation_A_68</f>
        <v>Will an engagement quality reviewer be assigned to the work performed on the component for purposes of the audit of the group financial statements?</v>
      </c>
      <c r="D32" s="31"/>
      <c r="E32" s="34" t="str">
        <f>_sheetContentTranslation_A_69</f>
        <v>If yes, identify name of engagement quality reviewer and describe qualifications. Alternatively, refer to related audit documentation, such as the work program or acknowledgment of instructions.</v>
      </c>
      <c r="F32" s="36"/>
    </row>
    <row r="33" spans="3:6" ht="29.65" hidden="1" customHeight="1">
      <c r="C33" s="48" t="str">
        <f>_sheetContentTranslation_A_30</f>
        <v>Confidentiality and secrecy restrictions</v>
      </c>
      <c r="D33" s="48"/>
      <c r="E33" s="48"/>
      <c r="F33" s="36"/>
    </row>
    <row r="34" spans="3:6" ht="27.75" hidden="1" customHeight="1">
      <c r="C34" s="33"/>
      <c r="D34" s="33" t="str">
        <f>_sheetContentTranslation_A_42</f>
        <v>Yes/No</v>
      </c>
      <c r="E34" s="33" t="str">
        <f>_sheetContentTranslation_A_43</f>
        <v>Describe work performed and, if applicable, 
concerns identified and actions taken</v>
      </c>
      <c r="F34" s="36"/>
    </row>
    <row r="35" spans="3:6" ht="30" hidden="1" customHeight="1">
      <c r="C35" s="37" t="str">
        <f>_sheetContentTranslation_A_70</f>
        <v>Has confidentiality and professional secrecy restrictions in their jurisdiction?</v>
      </c>
      <c r="D35" s="31"/>
      <c r="E35" s="30"/>
      <c r="F35" s="36"/>
    </row>
    <row r="36" spans="3:6" ht="29.65" hidden="1" customHeight="1">
      <c r="C36" s="48" t="str">
        <f>_sheetContentTranslation_A_71</f>
        <v>Further information about component auditor (if any)</v>
      </c>
      <c r="D36" s="48"/>
      <c r="E36" s="48"/>
      <c r="F36" s="36"/>
    </row>
    <row r="37" spans="3:6" ht="27.75" hidden="1" customHeight="1">
      <c r="C37" s="53"/>
      <c r="D37" s="53"/>
      <c r="E37" s="53"/>
      <c r="F37" s="36"/>
    </row>
    <row r="38" spans="3:6" ht="29.65" hidden="1" customHeight="1">
      <c r="C38" s="54" t="str">
        <f>_sheetContentTranslation_A_72</f>
        <v>Conclusion on involvement of component auditor</v>
      </c>
      <c r="D38" s="55"/>
      <c r="E38" s="56"/>
      <c r="F38" s="36"/>
    </row>
    <row r="39" spans="3:6" ht="27.75" hidden="1" customHeight="1">
      <c r="C39" s="33"/>
      <c r="D39" s="33" t="str">
        <f>_sheetContentTranslation_A_42</f>
        <v>Yes/No</v>
      </c>
      <c r="E39" s="33" t="str">
        <f>_sheetContentTranslation_A_73</f>
        <v>Conclusion</v>
      </c>
      <c r="F39" s="36"/>
    </row>
    <row r="40" spans="3:6" ht="60.65" hidden="1" customHeight="1">
      <c r="C40" s="37" t="str">
        <f>_sheetContentTranslation_A_74</f>
        <v>Does the group engagement team have serious concerns about (a) the component auditor's professional competence, or (b) the group engagement team's ability to be involved in the component's auditor's work to the extent necessary?</v>
      </c>
      <c r="D40" s="31"/>
      <c r="E40" s="39" t="str">
        <f>IF(D40=_sheetContentTranslation_A_3,_sheetContentTranslation_A_4, IF(D40=_sheetContentTranslation_A_5,_sheetContentTranslation_A_6,""))</f>
        <v/>
      </c>
      <c r="F40" s="36"/>
    </row>
    <row r="41" spans="3:6" ht="29.65" hidden="1" customHeight="1">
      <c r="C41" s="48" t="str">
        <f>_sheetContentTranslation_A_75</f>
        <v>Impact on planned involvement, if any</v>
      </c>
      <c r="D41" s="48"/>
      <c r="E41" s="48"/>
      <c r="F41" s="36"/>
    </row>
    <row r="42" spans="3:6" ht="29.65" hidden="1" customHeight="1">
      <c r="C42" s="49" t="str">
        <f>_sheetContentTranslation_A_76</f>
        <v>Describe the impact, if any, of the group engagement team's understanding of the component auditor on the team's planned involvement in the component auditor's work. Consider the type of work to be performed by the component auditor.</v>
      </c>
      <c r="D42" s="49"/>
      <c r="E42" s="49"/>
      <c r="F42" s="36"/>
    </row>
  </sheetData>
  <sheetProtection algorithmName="SHA-512" hashValue="RtjkZf6c9qXISCm1MNJkk82VlIvzTxcu7zl1wToTKb9ZjbaFeaL75HgFLHhnW6cdqsI6+eVufZagupH1WlRerA==" saltValue="5xH7JbYRiRwf0Kc2KqcRqw==" spinCount="100000" sheet="1" objects="1" scenarios="1" formatCells="0" formatRows="0"/>
  <mergeCells count="22">
    <mergeCell ref="D26:E26"/>
    <mergeCell ref="D22:E22"/>
    <mergeCell ref="D24:E24"/>
    <mergeCell ref="C27:E27"/>
    <mergeCell ref="D28:E28"/>
    <mergeCell ref="D25:E25"/>
    <mergeCell ref="C41:E41"/>
    <mergeCell ref="C42:E42"/>
    <mergeCell ref="D3:E3"/>
    <mergeCell ref="D4:E4"/>
    <mergeCell ref="D5:E5"/>
    <mergeCell ref="C7:E7"/>
    <mergeCell ref="C10:E10"/>
    <mergeCell ref="C36:E36"/>
    <mergeCell ref="C37:E37"/>
    <mergeCell ref="C33:E33"/>
    <mergeCell ref="C38:E38"/>
    <mergeCell ref="C11:E11"/>
    <mergeCell ref="C21:E21"/>
    <mergeCell ref="D23:E23"/>
    <mergeCell ref="C30:E30"/>
    <mergeCell ref="D29:E29"/>
  </mergeCells>
  <conditionalFormatting sqref="D3:E5 C29 D9 D23:E26">
    <cfRule type="containsBlanks" dxfId="12" priority="47">
      <formula>LEN(TRIM(C3))=0</formula>
    </cfRule>
  </conditionalFormatting>
  <conditionalFormatting sqref="E20 E15:E18">
    <cfRule type="containsBlanks" dxfId="11" priority="46">
      <formula>LEN(TRIM(E15))=0</formula>
    </cfRule>
  </conditionalFormatting>
  <conditionalFormatting sqref="E9">
    <cfRule type="containsBlanks" dxfId="10" priority="45">
      <formula>LEN(TRIM(E9))=0</formula>
    </cfRule>
  </conditionalFormatting>
  <conditionalFormatting sqref="D28:E28 E35 C37:E37 C42:E42">
    <cfRule type="containsBlanks" dxfId="9" priority="44">
      <formula>LEN(TRIM(C28))=0</formula>
    </cfRule>
  </conditionalFormatting>
  <conditionalFormatting sqref="D13:D20">
    <cfRule type="containsBlanks" dxfId="8" priority="42">
      <formula>LEN(TRIM(D13))=0</formula>
    </cfRule>
  </conditionalFormatting>
  <conditionalFormatting sqref="D40">
    <cfRule type="containsBlanks" dxfId="7" priority="41">
      <formula>LEN(TRIM(D40))=0</formula>
    </cfRule>
  </conditionalFormatting>
  <conditionalFormatting sqref="D32">
    <cfRule type="containsBlanks" dxfId="6" priority="40">
      <formula>LEN(TRIM(D32))=0</formula>
    </cfRule>
  </conditionalFormatting>
  <conditionalFormatting sqref="D35">
    <cfRule type="containsBlanks" dxfId="5" priority="39">
      <formula>LEN(TRIM(D35))=0</formula>
    </cfRule>
  </conditionalFormatting>
  <conditionalFormatting sqref="D29:E29">
    <cfRule type="containsBlanks" dxfId="4" priority="37">
      <formula>LEN(TRIM(D29))=0</formula>
    </cfRule>
  </conditionalFormatting>
  <conditionalFormatting sqref="E19">
    <cfRule type="containsBlanks" dxfId="3" priority="7">
      <formula>LEN(TRIM(E19))=0</formula>
    </cfRule>
  </conditionalFormatting>
  <conditionalFormatting sqref="E13">
    <cfRule type="containsBlanks" dxfId="2" priority="5">
      <formula>LEN(TRIM(E13))=0</formula>
    </cfRule>
  </conditionalFormatting>
  <conditionalFormatting sqref="E14">
    <cfRule type="containsBlanks" dxfId="1" priority="4">
      <formula>LEN(TRIM(E14))=0</formula>
    </cfRule>
  </conditionalFormatting>
  <conditionalFormatting sqref="E32">
    <cfRule type="containsBlanks" dxfId="0" priority="1">
      <formula>LEN(TRIM(E32))=0</formula>
    </cfRule>
  </conditionalFormatting>
  <dataValidations count="1">
    <dataValidation type="list" allowBlank="1" showInputMessage="1" showErrorMessage="1" sqref="D13:D15 D35 D40 D32 D16:D20 D9" xr:uid="{00000000-0002-0000-0100-000000000000}">
      <formula1>YesNo</formula1>
    </dataValidation>
  </dataValidations>
  <hyperlinks>
    <hyperlink ref="B29" location="'Component Auditor 1 '!Assume_Base" display="x" xr:uid="{00000000-0004-0000-0100-000000000000}"/>
    <hyperlink ref="A28" location="'Component Auditor 1 '!Assume_Base" display="+" xr:uid="{00000000-0004-0000-0100-000001000000}"/>
    <hyperlink ref="A29" location="'Component Auditor 1 '!Assume_Base" display="+" xr:uid="{00000000-0004-0000-0100-000002000000}"/>
    <hyperlink ref="B26" location="'Component Auditor 1 '!Assume_Base" display="x" xr:uid="{00000000-0004-0000-0100-000003000000}"/>
    <hyperlink ref="B25" location="'Component Auditor 1 '!Assume_Base" display="x" xr:uid="{00000000-0004-0000-0100-000004000000}"/>
    <hyperlink ref="B24" location="'Component Auditor 1 '!Assume_Base" display="x" xr:uid="{00000000-0004-0000-0100-000005000000}"/>
    <hyperlink ref="B23" location="'Component Auditor 1 '!Assume_Base" display="x" xr:uid="{00000000-0004-0000-0100-000007000000}"/>
    <hyperlink ref="G1" location="'Component Auditor 1 '!Assume_Base" display="x" xr:uid="{00000000-0004-0000-0100-000008000000}"/>
  </hyperlinks>
  <printOptions horizontalCentered="1"/>
  <pageMargins left="0.25" right="0.25" top="0.75" bottom="0.75" header="0.3" footer="0.3"/>
  <pageSetup paperSize="9" scale="68"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A6EAA-D94B-4DF9-9108-3D02F24DE589}">
  <sheetPr codeName="Sheet2"/>
  <dimension ref="A1"/>
  <sheetViews>
    <sheetView workbookViewId="0"/>
  </sheetViews>
  <sheetFormatPr defaultRowHeight="14.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B28"/>
  <sheetViews>
    <sheetView workbookViewId="0"/>
  </sheetViews>
  <sheetFormatPr defaultRowHeight="14.5"/>
  <sheetData>
    <row r="1" spans="1:2">
      <c r="A1" s="5" t="str">
        <f>_sheetContentTranslation_A_77</f>
        <v>r</v>
      </c>
      <c r="B1" t="str">
        <f>_sheetContentTranslation_A_78</f>
        <v>Custom 1</v>
      </c>
    </row>
    <row r="2" spans="1:2">
      <c r="A2" s="5" t="str">
        <f>_sheetContentTranslation_A_79</f>
        <v>s</v>
      </c>
      <c r="B2" t="str">
        <f>_sheetContentTranslation_A_80</f>
        <v>Custom 2</v>
      </c>
    </row>
    <row r="3" spans="1:2">
      <c r="A3" s="5" t="str">
        <f>_sheetContentTranslation_A_81</f>
        <v>t</v>
      </c>
      <c r="B3" t="str">
        <f>_sheetContentTranslation_A_82</f>
        <v>Custom 3</v>
      </c>
    </row>
    <row r="4" spans="1:2">
      <c r="A4" s="5" t="str">
        <f>_sheetContentTranslation_A_83</f>
        <v>u</v>
      </c>
      <c r="B4" t="str">
        <f>_sheetContentTranslation_A_84</f>
        <v>Custom 4</v>
      </c>
    </row>
    <row r="5" spans="1:2">
      <c r="A5" s="5" t="str">
        <f>_sheetContentTranslation_A_85</f>
        <v>v</v>
      </c>
      <c r="B5" t="str">
        <f>_sheetContentTranslation_A_86</f>
        <v>Custom 5</v>
      </c>
    </row>
    <row r="6" spans="1:2">
      <c r="A6" s="5" t="str">
        <f>_sheetContentTranslation_A_87</f>
        <v>w</v>
      </c>
      <c r="B6" t="str">
        <f>_sheetContentTranslation_A_88</f>
        <v>Custom 6</v>
      </c>
    </row>
    <row r="7" spans="1:2">
      <c r="A7" s="5" t="str">
        <f>_sheetContentTranslation_A_54</f>
        <v>x</v>
      </c>
      <c r="B7" t="str">
        <f>_sheetContentTranslation_A_89</f>
        <v>Custom 7</v>
      </c>
    </row>
    <row r="8" spans="1:2">
      <c r="A8" s="5" t="str">
        <f>_sheetContentTranslation_A_90</f>
        <v>y</v>
      </c>
      <c r="B8" t="str">
        <f>_sheetContentTranslation_A_91</f>
        <v>Custom 8</v>
      </c>
    </row>
    <row r="10" spans="1:2">
      <c r="A10" s="6" t="str">
        <f>_sheetContentTranslation_A_92</f>
        <v>a</v>
      </c>
      <c r="B10" t="str">
        <f>_sheetContentTranslation_A_93</f>
        <v>Traced To Supporting Document</v>
      </c>
    </row>
    <row r="11" spans="1:2">
      <c r="A11" s="6" t="str">
        <f>_sheetContentTranslation_A_94</f>
        <v>b</v>
      </c>
      <c r="B11" t="str">
        <f>_sheetContentTranslation_A_95</f>
        <v>Traced To Financial Statement</v>
      </c>
    </row>
    <row r="12" spans="1:2">
      <c r="A12" s="6" t="str">
        <f>_sheetContentTranslation_A_96</f>
        <v>c</v>
      </c>
      <c r="B12" t="str">
        <f>_sheetContentTranslation_A_97</f>
        <v>Traced To Subsidiary Ledger</v>
      </c>
    </row>
    <row r="13" spans="1:2">
      <c r="A13" s="6" t="str">
        <f>_sheetContentTranslation_A_98</f>
        <v>d</v>
      </c>
      <c r="B13" t="str">
        <f>_sheetContentTranslation_A_99</f>
        <v>Traced To General Ledger</v>
      </c>
    </row>
    <row r="14" spans="1:2">
      <c r="A14" s="7" t="str">
        <f>_sheetContentTranslation_A_100</f>
        <v>e</v>
      </c>
      <c r="B14" t="str">
        <f>_sheetContentTranslation_A_101</f>
        <v>Recalculated</v>
      </c>
    </row>
    <row r="15" spans="1:2">
      <c r="A15" s="8" t="str">
        <f>_sheetContentTranslation_A_102</f>
        <v>f</v>
      </c>
      <c r="B15" t="str">
        <f>_sheetContentTranslation_A_103</f>
        <v>Confirmed</v>
      </c>
    </row>
    <row r="16" spans="1:2">
      <c r="A16" s="8" t="str">
        <f>_sheetContentTranslation_A_104</f>
        <v>g</v>
      </c>
      <c r="B16" t="str">
        <f>_sheetContentTranslation_A_105</f>
        <v>Exception Cleared</v>
      </c>
    </row>
    <row r="17" spans="1:2">
      <c r="A17" s="8" t="str">
        <f>_sheetContentTranslation_A_106</f>
        <v>h</v>
      </c>
      <c r="B17" t="str">
        <f>_sheetContentTranslation_A_107</f>
        <v>Returned No Exception</v>
      </c>
    </row>
    <row r="18" spans="1:2">
      <c r="A18" s="8" t="str">
        <f>_sheetContentTranslation_A_108</f>
        <v>i</v>
      </c>
      <c r="B18" t="str">
        <f>_sheetContentTranslation_A_109</f>
        <v>Returned With Exception</v>
      </c>
    </row>
    <row r="19" spans="1:2">
      <c r="A19" s="6" t="str">
        <f>_sheetContentTranslation_A_110</f>
        <v>j</v>
      </c>
      <c r="B19" t="str">
        <f>_sheetContentTranslation_A_111</f>
        <v>Cross Footed</v>
      </c>
    </row>
    <row r="20" spans="1:2">
      <c r="A20" s="6" t="str">
        <f>_sheetContentTranslation_A_112</f>
        <v>k</v>
      </c>
      <c r="B20" t="str">
        <f>_sheetContentTranslation_A_113</f>
        <v>Footed</v>
      </c>
    </row>
    <row r="21" spans="1:2">
      <c r="A21" s="6" t="str">
        <f>_sheetContentTranslation_A_114</f>
        <v>n</v>
      </c>
      <c r="B21" t="str">
        <f>_sheetContentTranslation_A_115</f>
        <v>Agreed To Prior Year Workpapers</v>
      </c>
    </row>
    <row r="22" spans="1:2">
      <c r="A22" s="6" t="str">
        <f>_sheetContentTranslation_A_116</f>
        <v>o</v>
      </c>
      <c r="B22" t="str">
        <f>_sheetContentTranslation_A_117</f>
        <v>Waive Further Investigation</v>
      </c>
    </row>
    <row r="23" spans="1:2">
      <c r="A23" s="6" t="str">
        <f>_sheetContentTranslation_A_118</f>
        <v>p</v>
      </c>
      <c r="B23" t="str">
        <f>_sheetContentTranslation_A_119</f>
        <v>Difference Below Trivial - No Further Procedures Necessary</v>
      </c>
    </row>
    <row r="24" spans="1:2">
      <c r="A24" s="6" t="str">
        <f>_sheetContentTranslation_A_120</f>
        <v>q</v>
      </c>
      <c r="B24" t="str">
        <f>_sheetContentTranslation_A_121</f>
        <v>Procedure Performed Without Exception</v>
      </c>
    </row>
    <row r="25" spans="1:2">
      <c r="A25" s="9" t="str">
        <f>_sheetContentTranslation_A_122</f>
        <v>l</v>
      </c>
      <c r="B25" t="str">
        <f>_sheetContentTranslation_A_123</f>
        <v>Reviewer Traced To The AJEs Workpaper</v>
      </c>
    </row>
    <row r="26" spans="1:2">
      <c r="A26" s="9" t="str">
        <f>_sheetContentTranslation_A_124</f>
        <v>m</v>
      </c>
      <c r="B26" t="str">
        <f>_sheetContentTranslation_A_125</f>
        <v>Reviewer Traced To The PAJEs Workpaper</v>
      </c>
    </row>
    <row r="27" spans="1:2">
      <c r="A27" s="9" t="str">
        <f>_sheetContentTranslation_A_126</f>
        <v>!</v>
      </c>
      <c r="B27" t="str">
        <f>_sheetContentTranslation_A_127</f>
        <v>Reviewer Traced To/From Supporting Workpapers</v>
      </c>
    </row>
    <row r="28" spans="1:2">
      <c r="A28" s="9" t="str">
        <f>_sheetContentTranslation_A_128</f>
        <v>#</v>
      </c>
      <c r="B28" t="str">
        <f>_sheetContentTranslation_A_129</f>
        <v>Reviewer Traced To Leads Or Subleads</v>
      </c>
    </row>
  </sheetData>
  <pageMargins left="0.7" right="0.7" top="0.75" bottom="0.75" header="0.3" footer="0.3"/>
  <pageSetup orientation="portrait" copies="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ffe4ad93-ed6f-4535-b8d7-9f3717677e75">
      <Terms xmlns="http://schemas.microsoft.com/office/infopath/2007/PartnerControls"/>
    </lcf76f155ced4ddcb4097134ff3c332f>
    <TaxCatchAll xmlns="aae29c38-5c64-4b4f-89da-042ea755fda5" xsi:nil="true"/>
    <Versioncomments xmlns="ffe4ad93-ed6f-4535-b8d7-9f3717677e75">Effective for audits of group financial statements for periods beginning on or after 15 December 2022</Versioncomments>
    <Main_x0020_topic xmlns="aae29c38-5c64-4b4f-89da-042ea755fda5"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BA8A0A80888F545BB9D1A28C6C20EC8" ma:contentTypeVersion="13" ma:contentTypeDescription="Create a new document." ma:contentTypeScope="" ma:versionID="01ab1eac041cc811e031b37066b7fafe">
  <xsd:schema xmlns:xsd="http://www.w3.org/2001/XMLSchema" xmlns:xs="http://www.w3.org/2001/XMLSchema" xmlns:p="http://schemas.microsoft.com/office/2006/metadata/properties" xmlns:ns2="ffe4ad93-ed6f-4535-b8d7-9f3717677e75" xmlns:ns3="aae29c38-5c64-4b4f-89da-042ea755fda5" targetNamespace="http://schemas.microsoft.com/office/2006/metadata/properties" ma:root="true" ma:fieldsID="8814a818003b98a94b8ead67a3451b2c" ns2:_="" ns3:_="">
    <xsd:import namespace="ffe4ad93-ed6f-4535-b8d7-9f3717677e75"/>
    <xsd:import namespace="aae29c38-5c64-4b4f-89da-042ea755fda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Versioncomments" minOccurs="0"/>
                <xsd:element ref="ns2:lcf76f155ced4ddcb4097134ff3c332f" minOccurs="0"/>
                <xsd:element ref="ns3:TaxCatchAll" minOccurs="0"/>
                <xsd:element ref="ns2:MediaServiceGenerationTime" minOccurs="0"/>
                <xsd:element ref="ns2:MediaServiceEventHashCode" minOccurs="0"/>
                <xsd:element ref="ns3:SharedWithUsers" minOccurs="0"/>
                <xsd:element ref="ns3:SharedWithDetails" minOccurs="0"/>
                <xsd:element ref="ns2:MediaServiceObjectDetectorVersions" minOccurs="0"/>
                <xsd:element ref="ns3:Main_x0020_topic"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fe4ad93-ed6f-4535-b8d7-9f3717677e7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Versioncomments" ma:index="12" nillable="true" ma:displayName="Version comments" ma:format="Dropdown" ma:internalName="Versioncomments">
      <xsd:simpleType>
        <xsd:restriction base="dms:Note">
          <xsd:maxLength value="255"/>
        </xsd:restriction>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6a785552-9cbc-4ad1-85a9-7bdd3352d37e" ma:termSetId="09814cd3-568e-fe90-9814-8d621ff8fb84" ma:anchorId="fba54fb3-c3e1-fe81-a776-ca4b69148c4d" ma:open="true" ma:isKeyword="false">
      <xsd:complexType>
        <xsd:sequence>
          <xsd:element ref="pc:Terms" minOccurs="0" maxOccurs="1"/>
        </xsd:sequence>
      </xsd:complex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ae29c38-5c64-4b4f-89da-042ea755fda5"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be78da1e-b515-4546-8b6d-a94f81144609}" ma:internalName="TaxCatchAll" ma:showField="CatchAllData" ma:web="aae29c38-5c64-4b4f-89da-042ea755fd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Main_x0020_topic" ma:index="21" nillable="true" ma:displayName="Main topic" ma:internalName="Main_x0020_topic">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B7BDB54-B05F-4E50-A52E-896ABE2484AF}">
  <ds:schemaRefs>
    <ds:schemaRef ds:uri="http://schemas.microsoft.com/sharepoint/v3/contenttype/forms"/>
  </ds:schemaRefs>
</ds:datastoreItem>
</file>

<file path=customXml/itemProps2.xml><?xml version="1.0" encoding="utf-8"?>
<ds:datastoreItem xmlns:ds="http://schemas.openxmlformats.org/officeDocument/2006/customXml" ds:itemID="{B3376A61-FABF-47C7-B2F4-24E20E8DC4E8}">
  <ds:schemaRefs>
    <ds:schemaRef ds:uri="http://schemas.microsoft.com/office/2006/metadata/properties"/>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42c6dde8-c0d4-4b48-a999-5305f20bc0f9"/>
    <ds:schemaRef ds:uri="3f10eaf0-f562-4c04-bd08-cc6dd174e17d"/>
    <ds:schemaRef ds:uri="http://schemas.microsoft.com/sharepoint/v3"/>
    <ds:schemaRef ds:uri="http://www.w3.org/XML/1998/namespace"/>
    <ds:schemaRef ds:uri="http://purl.org/dc/dcmitype/"/>
  </ds:schemaRefs>
</ds:datastoreItem>
</file>

<file path=customXml/itemProps3.xml><?xml version="1.0" encoding="utf-8"?>
<ds:datastoreItem xmlns:ds="http://schemas.openxmlformats.org/officeDocument/2006/customXml" ds:itemID="{975A151E-34D9-497B-8500-B2465C38F4A2}"/>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28</vt:i4>
      </vt:variant>
    </vt:vector>
  </HeadingPairs>
  <TitlesOfParts>
    <vt:vector size="33" baseType="lpstr">
      <vt:lpstr>Translation</vt:lpstr>
      <vt:lpstr>Instructions</vt:lpstr>
      <vt:lpstr>Component Auditor 1 </vt:lpstr>
      <vt:lpstr>Sheet1</vt:lpstr>
      <vt:lpstr>GT_Custom</vt:lpstr>
      <vt:lpstr>AddressedIndepenceBreaches</vt:lpstr>
      <vt:lpstr>AnswerNo</vt:lpstr>
      <vt:lpstr>AnswerYes</vt:lpstr>
      <vt:lpstr>AssignedAppropriateResources</vt:lpstr>
      <vt:lpstr>'Component Auditor 1 '!Assume_Base</vt:lpstr>
      <vt:lpstr>'Component Auditor 1 '!Assume_Competence</vt:lpstr>
      <vt:lpstr>'Component Auditor 1 '!Assume_Concerns</vt:lpstr>
      <vt:lpstr>'Component Auditor 1 '!Assume_Impact</vt:lpstr>
      <vt:lpstr>'Component Auditor 1 '!Assume_Independence</vt:lpstr>
      <vt:lpstr>'Component Auditor 1 '!Assume_Understanding</vt:lpstr>
      <vt:lpstr>Delete_row</vt:lpstr>
      <vt:lpstr>EvaluateIndepenceBreaches</vt:lpstr>
      <vt:lpstr>IsInForumOfFirms</vt:lpstr>
      <vt:lpstr>ISQM1Compliance</vt:lpstr>
      <vt:lpstr>ISQM1ComplianceNote</vt:lpstr>
      <vt:lpstr>Not_permitted_to_request_component_auditor_to_perform_work_on_the_component_financial_information</vt:lpstr>
      <vt:lpstr>NotInForumOfFirms</vt:lpstr>
      <vt:lpstr>Plus_ForAdd</vt:lpstr>
      <vt:lpstr>'Component Auditor 1 '!Print_Area</vt:lpstr>
      <vt:lpstr>Instructions!Print_Area</vt:lpstr>
      <vt:lpstr>RegulatoryInspection</vt:lpstr>
      <vt:lpstr>RelevantInspectiomNote</vt:lpstr>
      <vt:lpstr>Select__OK__to_delete_row</vt:lpstr>
      <vt:lpstr>'Component Auditor 1 '!sh_Home</vt:lpstr>
      <vt:lpstr>SpellCheck</vt:lpstr>
      <vt:lpstr>x_ForDelete</vt:lpstr>
      <vt:lpstr>YesNo</vt:lpstr>
      <vt:lpstr>YesNoNA</vt:lpstr>
    </vt:vector>
  </TitlesOfParts>
  <Manager/>
  <Company>Grant Thornton LLP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Grant Thornton LLP</dc:creator>
  <cp:keywords/>
  <dc:description/>
  <cp:lastModifiedBy>Mariela Melendez</cp:lastModifiedBy>
  <cp:revision/>
  <dcterms:created xsi:type="dcterms:W3CDTF">2015-09-28T12:12:48Z</dcterms:created>
  <dcterms:modified xsi:type="dcterms:W3CDTF">2023-06-13T22:42:54Z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8e84fbf0-be8e-4535-89c1-eac0ac42f4cd</vt:lpwstr>
  </property>
  <property fmtid="{D5CDD505-2E9C-101B-9397-08002B2CF9AE}" pid="3" name="ContentTypeId">
    <vt:lpwstr>0x0101005BA8A0A80888F545BB9D1A28C6C20EC8</vt:lpwstr>
  </property>
  <property fmtid="{D5CDD505-2E9C-101B-9397-08002B2CF9AE}" pid="4" name="MediaServiceImageTags">
    <vt:lpwstr/>
  </property>
</Properties>
</file>