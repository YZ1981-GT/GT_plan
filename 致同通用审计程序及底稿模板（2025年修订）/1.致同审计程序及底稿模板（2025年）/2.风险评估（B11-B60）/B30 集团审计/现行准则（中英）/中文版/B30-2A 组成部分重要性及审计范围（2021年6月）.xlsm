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E:\1. Work\2. 技术资料\1. GTCN\1. 模板\底稿模板\2024年致同通用审计程序及底稿模板\1.致同审计程序及底稿模板（2024年）\2.风险评估（B11-B60）\B30 集团审计\现行准则（中英）\中文版\"/>
    </mc:Choice>
  </mc:AlternateContent>
  <xr:revisionPtr revIDLastSave="0" documentId="13_ncr:1_{60FB307D-1089-4703-8BD0-7E7C72E6F000}" xr6:coauthVersionLast="47" xr6:coauthVersionMax="47" xr10:uidLastSave="{00000000-0000-0000-0000-000000000000}"/>
  <bookViews>
    <workbookView xWindow="-120" yWindow="-120" windowWidth="29040" windowHeight="15990" firstSheet="1" activeTab="1" xr2:uid="{00000000-000D-0000-FFFF-FFFF00000000}"/>
  </bookViews>
  <sheets>
    <sheet name="START" sheetId="8" state="veryHidden" r:id="rId1"/>
    <sheet name="说明" sheetId="7" r:id="rId2"/>
    <sheet name="确定审计范围" sheetId="2" r:id="rId3"/>
    <sheet name="确定审计范围的输入值" sheetId="4" r:id="rId4"/>
    <sheet name="按工作类型的汇总报告" sheetId="6" r:id="rId5"/>
    <sheet name="Translation" sheetId="9" r:id="rId6"/>
    <sheet name="Lists" sheetId="3" state="hidden" r:id="rId7"/>
  </sheets>
  <functionGroups builtInGroupCount="19"/>
  <definedNames>
    <definedName name="_sheetContentTranslation_A_10" hidden="1">Translation!$A$10</definedName>
    <definedName name="_sheetContentTranslation_A_100" hidden="1">Translation!$A$100</definedName>
    <definedName name="_sheetContentTranslation_A_101" hidden="1">Translation!$A$101</definedName>
    <definedName name="_sheetContentTranslation_A_102" hidden="1">Translation!$A$102</definedName>
    <definedName name="_sheetContentTranslation_A_103" hidden="1">Translation!$A$103</definedName>
    <definedName name="_sheetContentTranslation_A_104" hidden="1">Translation!$A$104</definedName>
    <definedName name="_sheetContentTranslation_A_105" hidden="1">Translation!$A$105</definedName>
    <definedName name="_sheetContentTranslation_A_106" hidden="1">Translation!$A$106</definedName>
    <definedName name="_sheetContentTranslation_A_107" hidden="1">Translation!$A$107</definedName>
    <definedName name="_sheetContentTranslation_A_108" hidden="1">Translation!$A$108</definedName>
    <definedName name="_sheetContentTranslation_A_109" hidden="1">Translation!$A$109</definedName>
    <definedName name="_sheetContentTranslation_A_11" hidden="1">Translation!$A$11</definedName>
    <definedName name="_sheetContentTranslation_A_110" hidden="1">Translation!$A$110</definedName>
    <definedName name="_sheetContentTranslation_A_111" hidden="1">Translation!$A$111</definedName>
    <definedName name="_sheetContentTranslation_A_112" hidden="1">Translation!$A$112</definedName>
    <definedName name="_sheetContentTranslation_A_113" hidden="1">Translation!$A$113</definedName>
    <definedName name="_sheetContentTranslation_A_114" hidden="1">Translation!$A$114</definedName>
    <definedName name="_sheetContentTranslation_A_115" hidden="1">Translation!$A$115</definedName>
    <definedName name="_sheetContentTranslation_A_116" hidden="1">Translation!$A$116</definedName>
    <definedName name="_sheetContentTranslation_A_117" hidden="1">Translation!$A$117</definedName>
    <definedName name="_sheetContentTranslation_A_118" hidden="1">Translation!$A$118</definedName>
    <definedName name="_sheetContentTranslation_A_119" hidden="1">Translation!$A$119</definedName>
    <definedName name="_sheetContentTranslation_A_12" hidden="1">Translation!$A$12</definedName>
    <definedName name="_sheetContentTranslation_A_120" hidden="1">Translation!$A$120</definedName>
    <definedName name="_sheetContentTranslation_A_121" hidden="1">Translation!$A$121</definedName>
    <definedName name="_sheetContentTranslation_A_122" hidden="1">Translation!$A$122</definedName>
    <definedName name="_sheetContentTranslation_A_123" hidden="1">Translation!$A$123</definedName>
    <definedName name="_sheetContentTranslation_A_124" hidden="1">Translation!$A$124</definedName>
    <definedName name="_sheetContentTranslation_A_125" hidden="1">Translation!$A$125</definedName>
    <definedName name="_sheetContentTranslation_A_126" hidden="1">Translation!$A$126</definedName>
    <definedName name="_sheetContentTranslation_A_127" hidden="1">Translation!$A$127</definedName>
    <definedName name="_sheetContentTranslation_A_128" hidden="1">Translation!$A$128</definedName>
    <definedName name="_sheetContentTranslation_A_129" hidden="1">Translation!$A$129</definedName>
    <definedName name="_sheetContentTranslation_A_13" hidden="1">Translation!$A$13</definedName>
    <definedName name="_sheetContentTranslation_A_130" hidden="1">Translation!$A$130</definedName>
    <definedName name="_sheetContentTranslation_A_131" hidden="1">Translation!$A$131</definedName>
    <definedName name="_sheetContentTranslation_A_132" hidden="1">Translation!$A$132</definedName>
    <definedName name="_sheetContentTranslation_A_133" hidden="1">Translation!$A$133</definedName>
    <definedName name="_sheetContentTranslation_A_134" hidden="1">Translation!$A$134</definedName>
    <definedName name="_sheetContentTranslation_A_135" hidden="1">Translation!$A$135</definedName>
    <definedName name="_sheetContentTranslation_A_136" hidden="1">Translation!$A$136</definedName>
    <definedName name="_sheetContentTranslation_A_137" hidden="1">Translation!$A$137</definedName>
    <definedName name="_sheetContentTranslation_A_138" hidden="1">Translation!$A$138</definedName>
    <definedName name="_sheetContentTranslation_A_139" hidden="1">Translation!$A$139</definedName>
    <definedName name="_sheetContentTranslation_A_14" hidden="1">Translation!$A$14</definedName>
    <definedName name="_sheetContentTranslation_A_140" hidden="1">Translation!$A$140</definedName>
    <definedName name="_sheetContentTranslation_A_141" hidden="1">Translation!$A$141</definedName>
    <definedName name="_sheetContentTranslation_A_142" hidden="1">Translation!$A$142</definedName>
    <definedName name="_sheetContentTranslation_A_143" hidden="1">Translation!$A$143</definedName>
    <definedName name="_sheetContentTranslation_A_144" hidden="1">Translation!$A$144</definedName>
    <definedName name="_sheetContentTranslation_A_145" hidden="1">Translation!$A$145</definedName>
    <definedName name="_sheetContentTranslation_A_146" hidden="1">Translation!$A$146</definedName>
    <definedName name="_sheetContentTranslation_A_147" hidden="1">Translation!$A$147</definedName>
    <definedName name="_sheetContentTranslation_A_148" hidden="1">Translation!$A$148</definedName>
    <definedName name="_sheetContentTranslation_A_149" hidden="1">Translation!$A$149</definedName>
    <definedName name="_sheetContentTranslation_A_15" hidden="1">Translation!$A$15</definedName>
    <definedName name="_sheetContentTranslation_A_150" hidden="1">Translation!$A$150</definedName>
    <definedName name="_sheetContentTranslation_A_151" hidden="1">Translation!$A$151</definedName>
    <definedName name="_sheetContentTranslation_A_152" hidden="1">Translation!$A$152</definedName>
    <definedName name="_sheetContentTranslation_A_153" hidden="1">Translation!$A$153</definedName>
    <definedName name="_sheetContentTranslation_A_154" hidden="1">Translation!$A$154</definedName>
    <definedName name="_sheetContentTranslation_A_155" hidden="1">Translation!$A$155</definedName>
    <definedName name="_sheetContentTranslation_A_156" hidden="1">Translation!$A$156</definedName>
    <definedName name="_sheetContentTranslation_A_157" hidden="1">Translation!$A$157</definedName>
    <definedName name="_sheetContentTranslation_A_158" hidden="1">Translation!$A$158</definedName>
    <definedName name="_sheetContentTranslation_A_159" hidden="1">Translation!$A$159</definedName>
    <definedName name="_sheetContentTranslation_A_16" hidden="1">Translation!$A$16</definedName>
    <definedName name="_sheetContentTranslation_A_160" hidden="1">Translation!$A$160</definedName>
    <definedName name="_sheetContentTranslation_A_161" hidden="1">Translation!$A$161</definedName>
    <definedName name="_sheetContentTranslation_A_162" hidden="1">Translation!$A$162</definedName>
    <definedName name="_sheetContentTranslation_A_163" hidden="1">Translation!$A$163</definedName>
    <definedName name="_sheetContentTranslation_A_164" hidden="1">Translation!$A$164</definedName>
    <definedName name="_sheetContentTranslation_A_165" hidden="1">Translation!$A$165</definedName>
    <definedName name="_sheetContentTranslation_A_166" hidden="1">Translation!$A$166</definedName>
    <definedName name="_sheetContentTranslation_A_167" hidden="1">Translation!$A$167</definedName>
    <definedName name="_sheetContentTranslation_A_168" hidden="1">Translation!$A$168</definedName>
    <definedName name="_sheetContentTranslation_A_169" hidden="1">Translation!$A$169</definedName>
    <definedName name="_sheetContentTranslation_A_17" hidden="1">Translation!$A$17</definedName>
    <definedName name="_sheetContentTranslation_A_170" hidden="1">Translation!$A$170</definedName>
    <definedName name="_sheetContentTranslation_A_171" hidden="1">Translation!$A$171</definedName>
    <definedName name="_sheetContentTranslation_A_172" hidden="1">Translation!$A$172</definedName>
    <definedName name="_sheetContentTranslation_A_173" hidden="1">Translation!$A$173</definedName>
    <definedName name="_sheetContentTranslation_A_174" hidden="1">Translation!$A$174</definedName>
    <definedName name="_sheetContentTranslation_A_175" hidden="1">Translation!$A$175</definedName>
    <definedName name="_sheetContentTranslation_A_176" hidden="1">Translation!$A$176</definedName>
    <definedName name="_sheetContentTranslation_A_177" hidden="1">Translation!$A$177</definedName>
    <definedName name="_sheetContentTranslation_A_178" hidden="1">Translation!$A$178</definedName>
    <definedName name="_sheetContentTranslation_A_179" hidden="1">Translation!$A$179</definedName>
    <definedName name="_sheetContentTranslation_A_18" hidden="1">Translation!$A$18</definedName>
    <definedName name="_sheetContentTranslation_A_180" hidden="1">Translation!$A$180</definedName>
    <definedName name="_sheetContentTranslation_A_181" hidden="1">Translation!$A$181</definedName>
    <definedName name="_sheetContentTranslation_A_182" hidden="1">Translation!$A$182</definedName>
    <definedName name="_sheetContentTranslation_A_183" hidden="1">Translation!$A$183</definedName>
    <definedName name="_sheetContentTranslation_A_184" hidden="1">Translation!$A$184</definedName>
    <definedName name="_sheetContentTranslation_A_185" hidden="1">Translation!$A$185</definedName>
    <definedName name="_sheetContentTranslation_A_186" hidden="1">Translation!$A$186</definedName>
    <definedName name="_sheetContentTranslation_A_19" hidden="1">Translation!$A$19</definedName>
    <definedName name="_sheetContentTranslation_A_199" hidden="1">Translation!$A$199</definedName>
    <definedName name="_sheetContentTranslation_A_20" hidden="1">Translation!$A$20</definedName>
    <definedName name="_sheetContentTranslation_A_200" hidden="1">Translation!#REF!</definedName>
    <definedName name="_sheetContentTranslation_A_201" hidden="1">Translation!#REF!</definedName>
    <definedName name="_sheetContentTranslation_A_202" hidden="1">Translation!#REF!</definedName>
    <definedName name="_sheetContentTranslation_A_203" hidden="1">Translation!#REF!</definedName>
    <definedName name="_sheetContentTranslation_A_204" hidden="1">Translation!#REF!</definedName>
    <definedName name="_sheetContentTranslation_A_205" hidden="1">Translation!#REF!</definedName>
    <definedName name="_sheetContentTranslation_A_206" hidden="1">Translation!#REF!</definedName>
    <definedName name="_sheetContentTranslation_A_207" hidden="1">Translation!#REF!</definedName>
    <definedName name="_sheetContentTranslation_A_208" hidden="1">Translation!#REF!</definedName>
    <definedName name="_sheetContentTranslation_A_209" hidden="1">Translation!#REF!</definedName>
    <definedName name="_sheetContentTranslation_A_21" hidden="1">Translation!$A$21</definedName>
    <definedName name="_sheetContentTranslation_A_210" hidden="1">Translation!#REF!</definedName>
    <definedName name="_sheetContentTranslation_A_211" hidden="1">Translation!#REF!</definedName>
    <definedName name="_sheetContentTranslation_A_212" hidden="1">Translation!#REF!</definedName>
    <definedName name="_sheetContentTranslation_A_213" hidden="1">Translation!#REF!</definedName>
    <definedName name="_sheetContentTranslation_A_214" hidden="1">Translation!#REF!</definedName>
    <definedName name="_sheetContentTranslation_A_215" hidden="1">Translation!#REF!</definedName>
    <definedName name="_sheetContentTranslation_A_216" hidden="1">Translation!#REF!</definedName>
    <definedName name="_sheetContentTranslation_A_217" hidden="1">Translation!#REF!</definedName>
    <definedName name="_sheetContentTranslation_A_218" hidden="1">Translation!#REF!</definedName>
    <definedName name="_sheetContentTranslation_A_219" hidden="1">Translation!#REF!</definedName>
    <definedName name="_sheetContentTranslation_A_22" hidden="1">Translation!$A$22</definedName>
    <definedName name="_sheetContentTranslation_A_220" hidden="1">Translation!#REF!</definedName>
    <definedName name="_sheetContentTranslation_A_221" hidden="1">Translation!#REF!</definedName>
    <definedName name="_sheetContentTranslation_A_222" hidden="1">Translation!#REF!</definedName>
    <definedName name="_sheetContentTranslation_A_223" hidden="1">Translation!#REF!</definedName>
    <definedName name="_sheetContentTranslation_A_224" hidden="1">Translation!#REF!</definedName>
    <definedName name="_sheetContentTranslation_A_225" hidden="1">Translation!#REF!</definedName>
    <definedName name="_sheetContentTranslation_A_226" hidden="1">Translation!#REF!</definedName>
    <definedName name="_sheetContentTranslation_A_227" hidden="1">Translation!#REF!</definedName>
    <definedName name="_sheetContentTranslation_A_228" hidden="1">Translation!#REF!</definedName>
    <definedName name="_sheetContentTranslation_A_229" hidden="1">Translation!#REF!</definedName>
    <definedName name="_sheetContentTranslation_A_23" hidden="1">Translation!$A$23</definedName>
    <definedName name="_sheetContentTranslation_A_230" hidden="1">Translation!#REF!</definedName>
    <definedName name="_sheetContentTranslation_A_231" hidden="1">Translation!#REF!</definedName>
    <definedName name="_sheetContentTranslation_A_232" hidden="1">Translation!#REF!</definedName>
    <definedName name="_sheetContentTranslation_A_233" hidden="1">Translation!$A$200</definedName>
    <definedName name="_sheetContentTranslation_A_234" hidden="1">Translation!$A$201</definedName>
    <definedName name="_sheetContentTranslation_A_235" hidden="1">Translation!$A$202</definedName>
    <definedName name="_sheetContentTranslation_A_236" hidden="1">Translation!$A$203</definedName>
    <definedName name="_sheetContentTranslation_A_237" hidden="1">Translation!$A$204</definedName>
    <definedName name="_sheetContentTranslation_A_238" hidden="1">Translation!$A$206</definedName>
    <definedName name="_sheetContentTranslation_A_239" hidden="1">Translation!$A$207</definedName>
    <definedName name="_sheetContentTranslation_A_24" hidden="1">Translation!$A$24</definedName>
    <definedName name="_sheetContentTranslation_A_240" hidden="1">Translation!$A$208</definedName>
    <definedName name="_sheetContentTranslation_A_25" hidden="1">Translation!$A$25</definedName>
    <definedName name="_sheetContentTranslation_A_26" hidden="1">Translation!$A$26</definedName>
    <definedName name="_sheetContentTranslation_A_27" hidden="1">Translation!$A$27</definedName>
    <definedName name="_sheetContentTranslation_A_28" hidden="1">Translation!$A$28</definedName>
    <definedName name="_sheetContentTranslation_A_29" hidden="1">Translation!$A$29</definedName>
    <definedName name="_sheetContentTranslation_A_3" hidden="1">Translation!$A$3</definedName>
    <definedName name="_sheetContentTranslation_A_30" hidden="1">Translation!$A$30</definedName>
    <definedName name="_sheetContentTranslation_A_31" hidden="1">Translation!$A$31</definedName>
    <definedName name="_sheetContentTranslation_A_32" hidden="1">Translation!$A$32</definedName>
    <definedName name="_sheetContentTranslation_A_33" hidden="1">Translation!$A$33</definedName>
    <definedName name="_sheetContentTranslation_A_34" hidden="1">Translation!$A$34</definedName>
    <definedName name="_sheetContentTranslation_A_35" hidden="1">Translation!$A$35</definedName>
    <definedName name="_sheetContentTranslation_A_36" hidden="1">Translation!$A$36</definedName>
    <definedName name="_sheetContentTranslation_A_37" hidden="1">Translation!$A$37</definedName>
    <definedName name="_sheetContentTranslation_A_38" hidden="1">Translation!$A$38</definedName>
    <definedName name="_sheetContentTranslation_A_39" hidden="1">Translation!$A$39</definedName>
    <definedName name="_sheetContentTranslation_A_4" hidden="1">Translation!$A$4</definedName>
    <definedName name="_sheetContentTranslation_A_40" hidden="1">Translation!$A$40</definedName>
    <definedName name="_sheetContentTranslation_A_41" hidden="1">Translation!$A$41</definedName>
    <definedName name="_sheetContentTranslation_A_42" hidden="1">Translation!$A$42</definedName>
    <definedName name="_sheetContentTranslation_A_43" hidden="1">Translation!$A$43</definedName>
    <definedName name="_sheetContentTranslation_A_44" hidden="1">Translation!$A$44</definedName>
    <definedName name="_sheetContentTranslation_A_45" hidden="1">Translation!$A$45</definedName>
    <definedName name="_sheetContentTranslation_A_46" hidden="1">Translation!$A$46</definedName>
    <definedName name="_sheetContentTranslation_A_47" hidden="1">Translation!$A$47</definedName>
    <definedName name="_sheetContentTranslation_A_48" hidden="1">Translation!$A$48</definedName>
    <definedName name="_sheetContentTranslation_A_49" hidden="1">Translation!$A$49</definedName>
    <definedName name="_sheetContentTranslation_A_5" hidden="1">Translation!$A$5</definedName>
    <definedName name="_sheetContentTranslation_A_50" hidden="1">Translation!$A$50</definedName>
    <definedName name="_sheetContentTranslation_A_51" hidden="1">Translation!$A$51</definedName>
    <definedName name="_sheetContentTranslation_A_52" hidden="1">Translation!$A$52</definedName>
    <definedName name="_sheetContentTranslation_A_53" hidden="1">Translation!$A$53</definedName>
    <definedName name="_sheetContentTranslation_A_54" hidden="1">Translation!$A$54</definedName>
    <definedName name="_sheetContentTranslation_A_55" hidden="1">Translation!$A$55</definedName>
    <definedName name="_sheetContentTranslation_A_56" hidden="1">Translation!$A$56</definedName>
    <definedName name="_sheetContentTranslation_A_57" hidden="1">Translation!$A$57</definedName>
    <definedName name="_sheetContentTranslation_A_58" hidden="1">Translation!$A$58</definedName>
    <definedName name="_sheetContentTranslation_A_59" hidden="1">Translation!$A$59</definedName>
    <definedName name="_sheetContentTranslation_A_6" hidden="1">Translation!$A$6</definedName>
    <definedName name="_sheetContentTranslation_A_60" hidden="1">Translation!$A$60</definedName>
    <definedName name="_sheetContentTranslation_A_61" hidden="1">Translation!$A$61</definedName>
    <definedName name="_sheetContentTranslation_A_62" hidden="1">Translation!$A$62</definedName>
    <definedName name="_sheetContentTranslation_A_63" hidden="1">Translation!$A$63</definedName>
    <definedName name="_sheetContentTranslation_A_64" hidden="1">Translation!$A$64</definedName>
    <definedName name="_sheetContentTranslation_A_65" hidden="1">Translation!$A$65</definedName>
    <definedName name="_sheetContentTranslation_A_66" hidden="1">Translation!$A$66</definedName>
    <definedName name="_sheetContentTranslation_A_67" hidden="1">Translation!$A$67</definedName>
    <definedName name="_sheetContentTranslation_A_68" hidden="1">Translation!$A$68</definedName>
    <definedName name="_sheetContentTranslation_A_69" hidden="1">Translation!$A$69</definedName>
    <definedName name="_sheetContentTranslation_A_7" hidden="1">Translation!$A$7</definedName>
    <definedName name="_sheetContentTranslation_A_70" hidden="1">Translation!$A$70</definedName>
    <definedName name="_sheetContentTranslation_A_71" hidden="1">Translation!$A$71</definedName>
    <definedName name="_sheetContentTranslation_A_72" hidden="1">Translation!$A$72</definedName>
    <definedName name="_sheetContentTranslation_A_73" hidden="1">Translation!$A$73</definedName>
    <definedName name="_sheetContentTranslation_A_74" hidden="1">Translation!$A$74</definedName>
    <definedName name="_sheetContentTranslation_A_75" hidden="1">Translation!$A$75</definedName>
    <definedName name="_sheetContentTranslation_A_76" hidden="1">Translation!$A$76</definedName>
    <definedName name="_sheetContentTranslation_A_77" hidden="1">Translation!$A$77</definedName>
    <definedName name="_sheetContentTranslation_A_78" hidden="1">Translation!$A$78</definedName>
    <definedName name="_sheetContentTranslation_A_79" hidden="1">Translation!$A$79</definedName>
    <definedName name="_sheetContentTranslation_A_8" hidden="1">Translation!$A$8</definedName>
    <definedName name="_sheetContentTranslation_A_80" hidden="1">Translation!$A$80</definedName>
    <definedName name="_sheetContentTranslation_A_81" hidden="1">Translation!$A$81</definedName>
    <definedName name="_sheetContentTranslation_A_82" hidden="1">Translation!$A$82</definedName>
    <definedName name="_sheetContentTranslation_A_83" hidden="1">Translation!$A$83</definedName>
    <definedName name="_sheetContentTranslation_A_84" hidden="1">Translation!$A$84</definedName>
    <definedName name="_sheetContentTranslation_A_85" hidden="1">Translation!$A$85</definedName>
    <definedName name="_sheetContentTranslation_A_86" hidden="1">Translation!$A$86</definedName>
    <definedName name="_sheetContentTranslation_A_87" hidden="1">Translation!$A$87</definedName>
    <definedName name="_sheetContentTranslation_A_88" hidden="1">Translation!$A$88</definedName>
    <definedName name="_sheetContentTranslation_A_89" hidden="1">Translation!$A$89</definedName>
    <definedName name="_sheetContentTranslation_A_9" hidden="1">Translation!$A$9</definedName>
    <definedName name="_sheetContentTranslation_A_90" hidden="1">Translation!$A$90</definedName>
    <definedName name="_sheetContentTranslation_A_91" hidden="1">Translation!$A$91</definedName>
    <definedName name="_sheetContentTranslation_A_92" hidden="1">Translation!$A$92</definedName>
    <definedName name="_sheetContentTranslation_A_93" hidden="1">Translation!$A$93</definedName>
    <definedName name="_sheetContentTranslation_A_94" hidden="1">Translation!$A$94</definedName>
    <definedName name="_sheetContentTranslation_A_95" hidden="1">Translation!$A$95</definedName>
    <definedName name="_sheetContentTranslation_A_96" hidden="1">Translation!$A$96</definedName>
    <definedName name="_sheetContentTranslation_A_97" hidden="1">Translation!$A$97</definedName>
    <definedName name="_sheetContentTranslation_A_98" hidden="1">Translation!$A$98</definedName>
    <definedName name="_sheetContentTranslation_A_99" hidden="1">Translation!$A$99</definedName>
    <definedName name="Analytical_procedures_at_group_level">Lists!$E$2</definedName>
    <definedName name="Audit_of_financial_information___assume_responsibility">Lists!$E$3</definedName>
    <definedName name="Audit_of_financial_information___make_reference">Lists!$C$3</definedName>
    <definedName name="Audit_of_one_or_more_classes_of_transactions__account_balances__or_disclosures">Lists!$D$4</definedName>
    <definedName name="Component_base">确定审计范围!$O:$O</definedName>
    <definedName name="Component_end">确定审计范围!$I:$I</definedName>
    <definedName name="Component_materiality">确定审计范围的输入值!$S$11</definedName>
    <definedName name="Component_performance_materiality">确定审计范围的输入值!$T$11</definedName>
    <definedName name="Component_Reference_SI">确定审计范围的输入值!$B$11:$B$17</definedName>
    <definedName name="Component_Risk">Lists!$F$1:$F$5</definedName>
    <definedName name="Component_significance">Lists!$B$2:$B$4</definedName>
    <definedName name="Component_significance_header">确定审计范围的输入值!$P$11</definedName>
    <definedName name="Component_Type">Lists!$A$2:$A$5</definedName>
    <definedName name="ComponentFirm">Lists!$G$1:$G$3</definedName>
    <definedName name="Confirm_Delete_Msg">Translation!$A$188</definedName>
    <definedName name="Confirm_Delete_Title">Translation!$A$189</definedName>
    <definedName name="Data_CompType_Row">确定审计范围!$C$10</definedName>
    <definedName name="Data_End">确定审计范围!$139:$139</definedName>
    <definedName name="Data_Engagement_Name">确定审计范围!$D$4</definedName>
    <definedName name="Data_FS_Base">确定审计范围!$140:$140</definedName>
    <definedName name="Data_FS_Header">确定审计范围!$C$12</definedName>
    <definedName name="Data_Period_End">确定审计范围!$D$5</definedName>
    <definedName name="Data_Start">确定审计范围!$B$1:$B$12</definedName>
    <definedName name="Delete_Benchmark_Msg">Translation!$A$190</definedName>
    <definedName name="Delete_Benchmark_Title">Translation!$A$191</definedName>
    <definedName name="Delete_FS_Caption">Translation!$A$210</definedName>
    <definedName name="Delete_FSCaptionMsg">Translation!$A$197</definedName>
    <definedName name="Equity_method_investment">Lists!$A$4</definedName>
    <definedName name="FSCaptionMsg">Translation!$A$196</definedName>
    <definedName name="Individually_financially_significant">Lists!$C$2:$C$3</definedName>
    <definedName name="IndividuallyFinanciallySignificant">Lists!$B$2</definedName>
    <definedName name="Likely_to_include_significant_risks">Lists!$D$2:$D$5</definedName>
    <definedName name="LikelyToIncludeSignificantRisks">Lists!$B$3</definedName>
    <definedName name="Materiality_msg">Translation!$A$192</definedName>
    <definedName name="Materiality_msg1">Translation!$A$193</definedName>
    <definedName name="Materiality_msg2">Translation!$A$194</definedName>
    <definedName name="Materiality_msg3">Translation!$A$195</definedName>
    <definedName name="N_A___analytical_procedures_at_group_level">Lists!$F$4</definedName>
    <definedName name="N_A___significant_component">Lists!$F$5</definedName>
    <definedName name="Not_significant">Lists!$E$2:$E$7</definedName>
    <definedName name="NotApplicable">Translation!$A$158</definedName>
    <definedName name="NotSignificant">Lists!$B$4</definedName>
    <definedName name="Other_relevant_start" localSheetId="2">确定审计范围!$A$132</definedName>
    <definedName name="Other_Risk_Error">Translation!$A$187</definedName>
    <definedName name="Other_risk_of_material_misstatement_of_the_group">Lists!$F$1</definedName>
    <definedName name="Our_firm">Lists!$G$1</definedName>
    <definedName name="Purpose_Header">确定审计范围的输入值!$R$11</definedName>
    <definedName name="Review_of_financial_information">Lists!$E$7</definedName>
    <definedName name="Scoping_Address_Col">确定审计范围的输入值!$AD$1</definedName>
    <definedName name="Scoping_Component_Header">确定审计范围的输入值!$C$11</definedName>
    <definedName name="Scoping_Component_Reference_Header">确定审计范围的输入值!$B$11</definedName>
    <definedName name="Scoping_component_type">确定审计范围的输入值!$D$11</definedName>
    <definedName name="Scoping_Component_Type_Header">确定审计范围的输入值!$V$11</definedName>
    <definedName name="Scoping_Equity_FinPosition_Header">确定审计范围的输入值!$M$11</definedName>
    <definedName name="Scoping_Equity_Ownership_Header">确定审计范围的输入值!$O$11</definedName>
    <definedName name="Scoping_Equity_PL_Header">确定审计范围的输入值!$N$11</definedName>
    <definedName name="Scoping_Firm_Name_Header">确定审计范围的输入值!$U$11</definedName>
    <definedName name="Scoping_Group_Benchmark">确定审计范围的输入值!#REF!</definedName>
    <definedName name="Scoping_Group_Materiality">确定审计范围的输入值!$D$6</definedName>
    <definedName name="Scoping_Group_PM">确定审计范围的输入值!$D$7</definedName>
    <definedName name="Scoping_Start">确定审计范围的输入值!$A$1:$A$11</definedName>
    <definedName name="Scoping_Statutory_Header">确定审计范围的输入值!$W$11</definedName>
    <definedName name="Scoping_Ticker">确定审计范围的输入值!$AE$11</definedName>
    <definedName name="Scoping_Type_Hardcode_Col">确定审计范围的输入值!$AC$1</definedName>
    <definedName name="Scoping_Type_Header">确定审计范围的输入值!$Q$11</definedName>
    <definedName name="sh_Home" localSheetId="2">确定审计范围!$A$1</definedName>
    <definedName name="sh_Home" localSheetId="3">确定审计范围的输入值!$A$1</definedName>
    <definedName name="SI_benchmark_base">确定审计范围的输入值!$Z:$AA</definedName>
    <definedName name="SI_benchmark_end">确定审计范围的输入值!$M:$M</definedName>
    <definedName name="SI_component_base">确定审计范围的输入值!$18:$18</definedName>
    <definedName name="SI_component_end">确定审计范围的输入值!$17:$17</definedName>
    <definedName name="Specified_audit_procedures">Lists!$D$5</definedName>
    <definedName name="SpellCheckComplete">Translation!$A$209</definedName>
    <definedName name="Summary_Start">按工作类型的汇总报告!$A$1:$A$9</definedName>
    <definedName name="Type_Classes_Header">按工作类型的汇总报告!$I$9</definedName>
    <definedName name="Type_Component_Base">按工作类型的汇总报告!$Y:$Y</definedName>
    <definedName name="Type_Component_name">按工作类型的汇总报告!$Y$9</definedName>
    <definedName name="Type_FS_Base">按工作类型的汇总报告!$128:$128</definedName>
    <definedName name="Type_FS_Header">按工作类型的汇总报告!$B$9</definedName>
    <definedName name="Type_Headers">按工作类型的汇总报告!$9:$9</definedName>
    <definedName name="Type_Review_Header">按工作类型的汇总报告!$K$9</definedName>
    <definedName name="Type_Specified_Header">按工作类型的汇总报告!$J$9</definedName>
    <definedName name="YesNo">Lists!$H$1:$H$2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7" l="1"/>
  <c r="K10" i="4" l="1"/>
  <c r="K9" i="4"/>
  <c r="I10" i="4" l="1"/>
  <c r="I9" i="4"/>
  <c r="A6" i="7"/>
  <c r="F4" i="3"/>
  <c r="G3" i="3"/>
  <c r="F3" i="3"/>
  <c r="G2" i="3"/>
  <c r="F2" i="3"/>
  <c r="G1" i="3"/>
  <c r="F1" i="3"/>
  <c r="F5" i="3"/>
  <c r="E7" i="3"/>
  <c r="E6" i="3"/>
  <c r="E5" i="3"/>
  <c r="D5" i="3"/>
  <c r="A5" i="3"/>
  <c r="E4" i="3"/>
  <c r="D4" i="3"/>
  <c r="B4" i="3"/>
  <c r="A4" i="3"/>
  <c r="E3" i="3"/>
  <c r="D3" i="3"/>
  <c r="C3" i="3"/>
  <c r="B3" i="3"/>
  <c r="A3" i="3"/>
  <c r="E2" i="3"/>
  <c r="D2" i="3"/>
  <c r="C2" i="3"/>
  <c r="B2" i="3"/>
  <c r="A2" i="3"/>
  <c r="E1" i="3"/>
  <c r="D1" i="3"/>
  <c r="C1" i="3"/>
  <c r="B1" i="3"/>
  <c r="A1" i="3"/>
  <c r="W9" i="6"/>
  <c r="V9" i="6"/>
  <c r="U9" i="6"/>
  <c r="S9" i="6"/>
  <c r="R9" i="6"/>
  <c r="Q9" i="6"/>
  <c r="P9" i="6"/>
  <c r="O9" i="6"/>
  <c r="N9" i="6"/>
  <c r="L9" i="6"/>
  <c r="K9" i="6"/>
  <c r="J9" i="6"/>
  <c r="I9" i="6"/>
  <c r="H9" i="6"/>
  <c r="G9" i="6"/>
  <c r="E9" i="6"/>
  <c r="D9" i="6"/>
  <c r="C9" i="6"/>
  <c r="U8" i="6"/>
  <c r="J8" i="6"/>
  <c r="I8" i="6"/>
  <c r="W7" i="6"/>
  <c r="R5" i="6"/>
  <c r="P5" i="6"/>
  <c r="N5" i="6"/>
  <c r="B5" i="6"/>
  <c r="B4" i="6"/>
  <c r="B2" i="6"/>
  <c r="B21" i="4"/>
  <c r="B20" i="4"/>
  <c r="B19" i="4"/>
  <c r="Y18" i="4"/>
  <c r="T18" i="4"/>
  <c r="S18" i="4"/>
  <c r="R18" i="4"/>
  <c r="O18" i="4"/>
  <c r="N18" i="4"/>
  <c r="M18" i="4"/>
  <c r="Y16" i="4"/>
  <c r="T16" i="4"/>
  <c r="S16" i="4"/>
  <c r="R16" i="4"/>
  <c r="O16" i="4"/>
  <c r="N16" i="4"/>
  <c r="M16" i="4"/>
  <c r="Y15" i="4"/>
  <c r="T15" i="4"/>
  <c r="S15" i="4"/>
  <c r="R15" i="4"/>
  <c r="O15" i="4"/>
  <c r="N15" i="4"/>
  <c r="M15" i="4"/>
  <c r="Y14" i="4"/>
  <c r="T14" i="4"/>
  <c r="S14" i="4"/>
  <c r="R14" i="4"/>
  <c r="O14" i="4"/>
  <c r="N14" i="4"/>
  <c r="M14" i="4"/>
  <c r="Y13" i="4"/>
  <c r="T13" i="4"/>
  <c r="S13" i="4"/>
  <c r="R13" i="4"/>
  <c r="O13" i="4"/>
  <c r="N13" i="4"/>
  <c r="M13" i="4"/>
  <c r="Y12" i="4"/>
  <c r="O12" i="4"/>
  <c r="N12" i="4"/>
  <c r="M12" i="4"/>
  <c r="X11" i="4"/>
  <c r="W11" i="4"/>
  <c r="V11" i="4"/>
  <c r="U11" i="4"/>
  <c r="T11" i="4"/>
  <c r="S11" i="4"/>
  <c r="R11" i="4"/>
  <c r="Q11" i="4"/>
  <c r="P11" i="4"/>
  <c r="O11" i="4"/>
  <c r="N11" i="4"/>
  <c r="M11" i="4"/>
  <c r="D11" i="4"/>
  <c r="C11" i="4"/>
  <c r="B11" i="4"/>
  <c r="Z10" i="4"/>
  <c r="X10" i="4"/>
  <c r="W10" i="4"/>
  <c r="M10" i="4"/>
  <c r="G10" i="4"/>
  <c r="E10" i="4"/>
  <c r="D10" i="4"/>
  <c r="Z9" i="4"/>
  <c r="G9" i="4"/>
  <c r="B7" i="4"/>
  <c r="B6" i="4"/>
  <c r="B5" i="4"/>
  <c r="B4" i="4"/>
  <c r="B2" i="4"/>
  <c r="AE1" i="4"/>
  <c r="AD1" i="4"/>
  <c r="AC1" i="4"/>
  <c r="B140" i="2"/>
  <c r="A140" i="2"/>
  <c r="B138" i="2"/>
  <c r="A138" i="2"/>
  <c r="B137" i="2"/>
  <c r="A137" i="2"/>
  <c r="B136" i="2"/>
  <c r="A136" i="2"/>
  <c r="B135" i="2"/>
  <c r="A135" i="2"/>
  <c r="B134" i="2"/>
  <c r="A134" i="2"/>
  <c r="B133" i="2"/>
  <c r="A133" i="2"/>
  <c r="C132" i="2"/>
  <c r="C129" i="2"/>
  <c r="B129" i="2"/>
  <c r="A129" i="2"/>
  <c r="C128" i="2"/>
  <c r="B128" i="2"/>
  <c r="C127" i="2"/>
  <c r="B127" i="2"/>
  <c r="A127" i="2"/>
  <c r="B126" i="2"/>
  <c r="A126" i="2"/>
  <c r="C125" i="2"/>
  <c r="B125" i="2"/>
  <c r="A125" i="2"/>
  <c r="C124" i="2"/>
  <c r="B124" i="2"/>
  <c r="C123" i="2"/>
  <c r="B123" i="2"/>
  <c r="A123" i="2"/>
  <c r="B122" i="2"/>
  <c r="A122" i="2"/>
  <c r="C121" i="2"/>
  <c r="B121" i="2"/>
  <c r="A121" i="2"/>
  <c r="C120" i="2"/>
  <c r="B120" i="2"/>
  <c r="C119" i="2"/>
  <c r="B119" i="2"/>
  <c r="A119" i="2"/>
  <c r="B118" i="2"/>
  <c r="A118" i="2"/>
  <c r="C117" i="2"/>
  <c r="B117" i="2"/>
  <c r="A117" i="2"/>
  <c r="C116" i="2"/>
  <c r="B116" i="2"/>
  <c r="C115" i="2"/>
  <c r="B115" i="2"/>
  <c r="A115" i="2"/>
  <c r="C114" i="2"/>
  <c r="B114" i="2"/>
  <c r="A114" i="2"/>
  <c r="B113" i="2"/>
  <c r="A113" i="2"/>
  <c r="C112" i="2"/>
  <c r="B112" i="2"/>
  <c r="A112" i="2"/>
  <c r="C111" i="2"/>
  <c r="B111" i="2"/>
  <c r="C110" i="2"/>
  <c r="B110" i="2"/>
  <c r="A110" i="2"/>
  <c r="C109" i="2"/>
  <c r="B109" i="2"/>
  <c r="A109" i="2"/>
  <c r="B108" i="2"/>
  <c r="A108" i="2"/>
  <c r="C107" i="2"/>
  <c r="B107" i="2"/>
  <c r="A107" i="2"/>
  <c r="C106" i="2"/>
  <c r="B106" i="2"/>
  <c r="C105" i="2"/>
  <c r="B105" i="2"/>
  <c r="A105" i="2"/>
  <c r="C104" i="2"/>
  <c r="B104" i="2"/>
  <c r="A104" i="2"/>
  <c r="C103" i="2"/>
  <c r="B103" i="2"/>
  <c r="A103" i="2"/>
  <c r="C102" i="2"/>
  <c r="B102" i="2"/>
  <c r="A102" i="2"/>
  <c r="C101" i="2"/>
  <c r="B101" i="2"/>
  <c r="A101" i="2"/>
  <c r="C100" i="2"/>
  <c r="B100" i="2"/>
  <c r="A100" i="2"/>
  <c r="C99" i="2"/>
  <c r="B99" i="2"/>
  <c r="A99" i="2"/>
  <c r="B98" i="2"/>
  <c r="A98" i="2"/>
  <c r="C97" i="2"/>
  <c r="B97" i="2"/>
  <c r="A97" i="2"/>
  <c r="C96" i="2"/>
  <c r="B96" i="2"/>
  <c r="C95" i="2"/>
  <c r="B95" i="2"/>
  <c r="A95" i="2"/>
  <c r="B94" i="2"/>
  <c r="A94" i="2"/>
  <c r="C93" i="2"/>
  <c r="B93" i="2"/>
  <c r="A93" i="2"/>
  <c r="C92" i="2"/>
  <c r="B92" i="2"/>
  <c r="C91" i="2"/>
  <c r="B91" i="2"/>
  <c r="A91" i="2"/>
  <c r="C90" i="2"/>
  <c r="B90" i="2"/>
  <c r="A90" i="2"/>
  <c r="B89" i="2"/>
  <c r="A89" i="2"/>
  <c r="C88" i="2"/>
  <c r="B88" i="2"/>
  <c r="A88" i="2"/>
  <c r="B87" i="2"/>
  <c r="A87" i="2"/>
  <c r="C86" i="2"/>
  <c r="B86" i="2"/>
  <c r="A86" i="2"/>
  <c r="C85" i="2"/>
  <c r="B85" i="2"/>
  <c r="A85" i="2"/>
  <c r="B84" i="2"/>
  <c r="A84" i="2"/>
  <c r="C83" i="2"/>
  <c r="B83" i="2"/>
  <c r="A83" i="2"/>
  <c r="C82" i="2"/>
  <c r="B82" i="2"/>
  <c r="C81" i="2"/>
  <c r="B81" i="2"/>
  <c r="A81" i="2"/>
  <c r="B80" i="2"/>
  <c r="A80" i="2"/>
  <c r="C79" i="2"/>
  <c r="B79" i="2"/>
  <c r="A79" i="2"/>
  <c r="C78" i="2"/>
  <c r="B78" i="2"/>
  <c r="C77" i="2"/>
  <c r="B77" i="2"/>
  <c r="A77" i="2"/>
  <c r="C76" i="2"/>
  <c r="B76" i="2"/>
  <c r="A76" i="2"/>
  <c r="C75" i="2"/>
  <c r="B75" i="2"/>
  <c r="A75" i="2"/>
  <c r="C74" i="2"/>
  <c r="B74" i="2"/>
  <c r="A74" i="2"/>
  <c r="C73" i="2"/>
  <c r="B73" i="2"/>
  <c r="A73" i="2"/>
  <c r="C72" i="2"/>
  <c r="B72" i="2"/>
  <c r="A72" i="2"/>
  <c r="C71" i="2"/>
  <c r="B71" i="2"/>
  <c r="A71" i="2"/>
  <c r="B70" i="2"/>
  <c r="A70" i="2"/>
  <c r="C69" i="2"/>
  <c r="B69" i="2"/>
  <c r="A69" i="2"/>
  <c r="C68" i="2"/>
  <c r="B68" i="2"/>
  <c r="C67" i="2"/>
  <c r="B67" i="2"/>
  <c r="A67" i="2"/>
  <c r="C66" i="2"/>
  <c r="B66" i="2"/>
  <c r="A66" i="2"/>
  <c r="C65" i="2"/>
  <c r="B65" i="2"/>
  <c r="A65" i="2"/>
  <c r="C64" i="2"/>
  <c r="B64" i="2"/>
  <c r="A64" i="2"/>
  <c r="C63" i="2"/>
  <c r="B63" i="2"/>
  <c r="A63" i="2"/>
  <c r="C62" i="2"/>
  <c r="B62" i="2"/>
  <c r="A62" i="2"/>
  <c r="C61" i="2"/>
  <c r="B61" i="2"/>
  <c r="A61" i="2"/>
  <c r="C60" i="2"/>
  <c r="B60" i="2"/>
  <c r="A60" i="2"/>
  <c r="C59" i="2"/>
  <c r="B59" i="2"/>
  <c r="A59" i="2"/>
  <c r="B58" i="2"/>
  <c r="A58" i="2"/>
  <c r="C57" i="2"/>
  <c r="B57" i="2"/>
  <c r="A57" i="2"/>
  <c r="C56" i="2"/>
  <c r="B56" i="2"/>
  <c r="C55" i="2"/>
  <c r="B55" i="2"/>
  <c r="A55" i="2"/>
  <c r="C54" i="2"/>
  <c r="B54" i="2"/>
  <c r="A54" i="2"/>
  <c r="C53" i="2"/>
  <c r="B53" i="2"/>
  <c r="A53" i="2"/>
  <c r="C52" i="2"/>
  <c r="B52" i="2"/>
  <c r="A52" i="2"/>
  <c r="C51" i="2"/>
  <c r="B51" i="2"/>
  <c r="A51" i="2"/>
  <c r="C50" i="2"/>
  <c r="B50" i="2"/>
  <c r="A50" i="2"/>
  <c r="C49" i="2"/>
  <c r="B49" i="2"/>
  <c r="A49" i="2"/>
  <c r="C48" i="2"/>
  <c r="B48" i="2"/>
  <c r="A48" i="2"/>
  <c r="C47" i="2"/>
  <c r="B47" i="2"/>
  <c r="A47" i="2"/>
  <c r="C46" i="2"/>
  <c r="B46" i="2"/>
  <c r="A46" i="2"/>
  <c r="C45" i="2"/>
  <c r="B45" i="2"/>
  <c r="A45" i="2"/>
  <c r="C44" i="2"/>
  <c r="B44" i="2"/>
  <c r="A44" i="2"/>
  <c r="C43" i="2"/>
  <c r="B43" i="2"/>
  <c r="A43" i="2"/>
  <c r="B42" i="2"/>
  <c r="A42" i="2"/>
  <c r="C41" i="2"/>
  <c r="B41" i="2"/>
  <c r="A41" i="2"/>
  <c r="C40" i="2"/>
  <c r="B40" i="2"/>
  <c r="C39" i="2"/>
  <c r="B39" i="2"/>
  <c r="A39" i="2"/>
  <c r="C38" i="2"/>
  <c r="B38" i="2"/>
  <c r="A38" i="2"/>
  <c r="C37" i="2"/>
  <c r="B37" i="2"/>
  <c r="A37" i="2"/>
  <c r="C36" i="2"/>
  <c r="B36" i="2"/>
  <c r="A36" i="2"/>
  <c r="C35" i="2"/>
  <c r="B35" i="2"/>
  <c r="A35" i="2"/>
  <c r="C34" i="2"/>
  <c r="B34" i="2"/>
  <c r="A34" i="2"/>
  <c r="C33" i="2"/>
  <c r="B33" i="2"/>
  <c r="A33" i="2"/>
  <c r="C32" i="2"/>
  <c r="B32" i="2"/>
  <c r="A32" i="2"/>
  <c r="C31" i="2"/>
  <c r="B31" i="2"/>
  <c r="A31" i="2"/>
  <c r="C30" i="2"/>
  <c r="B30" i="2"/>
  <c r="A30" i="2"/>
  <c r="C29" i="2"/>
  <c r="B29" i="2"/>
  <c r="A29" i="2"/>
  <c r="C28" i="2"/>
  <c r="B28" i="2"/>
  <c r="A28" i="2"/>
  <c r="B27" i="2"/>
  <c r="A27" i="2"/>
  <c r="C26" i="2"/>
  <c r="B26" i="2"/>
  <c r="A26" i="2"/>
  <c r="C25" i="2"/>
  <c r="B25" i="2"/>
  <c r="C24" i="2"/>
  <c r="B24" i="2"/>
  <c r="A24" i="2"/>
  <c r="C23" i="2"/>
  <c r="B23" i="2"/>
  <c r="A23" i="2"/>
  <c r="C22" i="2"/>
  <c r="B22" i="2"/>
  <c r="A22" i="2"/>
  <c r="C21" i="2"/>
  <c r="B21" i="2"/>
  <c r="A21" i="2"/>
  <c r="C20" i="2"/>
  <c r="B20" i="2"/>
  <c r="A20" i="2"/>
  <c r="C19" i="2"/>
  <c r="B19" i="2"/>
  <c r="A19" i="2"/>
  <c r="C18" i="2"/>
  <c r="B18" i="2"/>
  <c r="A18" i="2"/>
  <c r="C17" i="2"/>
  <c r="B17" i="2"/>
  <c r="A17" i="2"/>
  <c r="C16" i="2"/>
  <c r="B16" i="2"/>
  <c r="A16" i="2"/>
  <c r="C15" i="2"/>
  <c r="C13" i="2"/>
  <c r="C12" i="2"/>
  <c r="C11" i="2"/>
  <c r="C10" i="2"/>
  <c r="C9" i="2"/>
  <c r="M8" i="2"/>
  <c r="L8" i="2"/>
  <c r="K8" i="2"/>
  <c r="J8" i="2"/>
  <c r="C8" i="2"/>
  <c r="O7" i="2"/>
  <c r="H7" i="2"/>
  <c r="G7" i="2"/>
  <c r="F7" i="2"/>
  <c r="E7" i="2"/>
  <c r="O6" i="2"/>
  <c r="H6" i="2"/>
  <c r="G6" i="2"/>
  <c r="F6" i="2"/>
  <c r="E6" i="2"/>
  <c r="D6" i="2"/>
  <c r="C5" i="2"/>
  <c r="C4" i="2"/>
  <c r="C2" i="2"/>
  <c r="B26" i="7"/>
  <c r="B25" i="7"/>
  <c r="A25" i="7"/>
  <c r="B24" i="7"/>
  <c r="B23" i="7"/>
  <c r="B22" i="7"/>
  <c r="B21" i="7"/>
  <c r="B20" i="7"/>
  <c r="B19" i="7"/>
  <c r="A18" i="7"/>
  <c r="B17" i="7"/>
  <c r="B16" i="7"/>
  <c r="A16" i="7"/>
  <c r="B15" i="7"/>
  <c r="B14" i="7"/>
  <c r="B13" i="7"/>
  <c r="B12" i="7"/>
  <c r="A12" i="7"/>
  <c r="A10" i="7"/>
  <c r="A7" i="7"/>
  <c r="A4" i="7"/>
  <c r="A1" i="7"/>
  <c r="B7" i="8"/>
  <c r="B5" i="8"/>
  <c r="AD18" i="4"/>
  <c r="AD16" i="4"/>
  <c r="AD15" i="4"/>
  <c r="AD14" i="4"/>
  <c r="AD13" i="4"/>
  <c r="AD12" i="4"/>
  <c r="I23" i="6"/>
  <c r="K12" i="4" l="1"/>
  <c r="I12" i="4"/>
  <c r="D12" i="2"/>
  <c r="D11" i="2"/>
  <c r="I97" i="2"/>
  <c r="I107" i="2" s="1"/>
  <c r="I112" i="2" s="1"/>
  <c r="I117" i="2" s="1"/>
  <c r="I121" i="2" s="1"/>
  <c r="I125" i="2" s="1"/>
  <c r="I129" i="2" s="1"/>
  <c r="J136" i="2" l="1"/>
  <c r="M136" i="2" s="1"/>
  <c r="J135" i="2"/>
  <c r="M135" i="2" s="1"/>
  <c r="R79" i="6" l="1"/>
  <c r="H93" i="2" l="1"/>
  <c r="H97" i="2" s="1"/>
  <c r="H107" i="2" s="1"/>
  <c r="H112" i="2" s="1"/>
  <c r="H117" i="2" s="1"/>
  <c r="H121" i="2" s="1"/>
  <c r="H125" i="2" s="1"/>
  <c r="H129" i="2" s="1"/>
  <c r="H79" i="2"/>
  <c r="H83" i="2" s="1"/>
  <c r="H57" i="2"/>
  <c r="H69" i="2" s="1"/>
  <c r="H26" i="2"/>
  <c r="H41" i="2" s="1"/>
  <c r="H85" i="2" l="1"/>
  <c r="H86" i="2" s="1"/>
  <c r="G12" i="4" l="1"/>
  <c r="B62" i="6" l="1"/>
  <c r="J65" i="2"/>
  <c r="M65" i="2" s="1"/>
  <c r="B32" i="6"/>
  <c r="J35" i="2"/>
  <c r="M35" i="2" s="1"/>
  <c r="Y32" i="6" l="1"/>
  <c r="Y62" i="6"/>
  <c r="J133" i="2"/>
  <c r="M133" i="2" s="1"/>
  <c r="G93" i="2" l="1"/>
  <c r="G97" i="2" s="1"/>
  <c r="G107" i="2" s="1"/>
  <c r="G112" i="2" s="1"/>
  <c r="G117" i="2" s="1"/>
  <c r="G121" i="2" s="1"/>
  <c r="G125" i="2" s="1"/>
  <c r="G129" i="2" s="1"/>
  <c r="G79" i="2"/>
  <c r="G83" i="2" s="1"/>
  <c r="G57" i="2"/>
  <c r="G69" i="2" s="1"/>
  <c r="G85" i="2" s="1"/>
  <c r="G26" i="2"/>
  <c r="G41" i="2" s="1"/>
  <c r="G86" i="2" l="1"/>
  <c r="B13" i="4"/>
  <c r="E8" i="2"/>
  <c r="K13" i="4" l="1"/>
  <c r="I13" i="4"/>
  <c r="E11" i="2"/>
  <c r="E12" i="2"/>
  <c r="B14" i="4"/>
  <c r="F8" i="2"/>
  <c r="G13" i="4"/>
  <c r="B125" i="6"/>
  <c r="K14" i="4" l="1"/>
  <c r="I14" i="4"/>
  <c r="F11" i="2"/>
  <c r="F12" i="2"/>
  <c r="G8" i="2"/>
  <c r="B15" i="4"/>
  <c r="Y125" i="6"/>
  <c r="B105" i="6"/>
  <c r="B104" i="6"/>
  <c r="B103" i="6"/>
  <c r="F93" i="2"/>
  <c r="F97" i="2" s="1"/>
  <c r="F107" i="2" s="1"/>
  <c r="F112" i="2" s="1"/>
  <c r="F117" i="2" s="1"/>
  <c r="F121" i="2" s="1"/>
  <c r="F125" i="2" s="1"/>
  <c r="F129" i="2" s="1"/>
  <c r="L93" i="2"/>
  <c r="L97" i="2" s="1"/>
  <c r="L107" i="2" s="1"/>
  <c r="L112" i="2" s="1"/>
  <c r="L117" i="2" s="1"/>
  <c r="L121" i="2" s="1"/>
  <c r="L125" i="2" s="1"/>
  <c r="L129" i="2" s="1"/>
  <c r="K93" i="2"/>
  <c r="K97" i="2" s="1"/>
  <c r="K107" i="2" s="1"/>
  <c r="K112" i="2" s="1"/>
  <c r="K117" i="2" s="1"/>
  <c r="K121" i="2" s="1"/>
  <c r="K125" i="2" s="1"/>
  <c r="K129" i="2" s="1"/>
  <c r="E93" i="2"/>
  <c r="E97" i="2" s="1"/>
  <c r="E107" i="2" s="1"/>
  <c r="E112" i="2" s="1"/>
  <c r="E117" i="2" s="1"/>
  <c r="E121" i="2" s="1"/>
  <c r="E125" i="2" s="1"/>
  <c r="E129" i="2" s="1"/>
  <c r="D93" i="2"/>
  <c r="D97" i="2" s="1"/>
  <c r="D107" i="2" s="1"/>
  <c r="D112" i="2" s="1"/>
  <c r="D117" i="2" s="1"/>
  <c r="D121" i="2" s="1"/>
  <c r="D125" i="2" s="1"/>
  <c r="D129" i="2" s="1"/>
  <c r="O93" i="2"/>
  <c r="O97" i="2" s="1"/>
  <c r="O107" i="2" s="1"/>
  <c r="O112" i="2" s="1"/>
  <c r="O117" i="2" s="1"/>
  <c r="O121" i="2" s="1"/>
  <c r="O125" i="2" s="1"/>
  <c r="O129" i="2" s="1"/>
  <c r="J90" i="6"/>
  <c r="J94" i="6" s="1"/>
  <c r="J104" i="6" s="1"/>
  <c r="J109" i="6" s="1"/>
  <c r="J114" i="6" s="1"/>
  <c r="J118" i="6" s="1"/>
  <c r="J122" i="6" s="1"/>
  <c r="J126" i="6" s="1"/>
  <c r="I90" i="6"/>
  <c r="I94" i="6" s="1"/>
  <c r="I104" i="6" s="1"/>
  <c r="I109" i="6" s="1"/>
  <c r="I114" i="6" s="1"/>
  <c r="I118" i="6" s="1"/>
  <c r="I122" i="6" s="1"/>
  <c r="I126" i="6" s="1"/>
  <c r="B89" i="6"/>
  <c r="B90" i="6"/>
  <c r="B88" i="6"/>
  <c r="J91" i="2"/>
  <c r="M91" i="2" s="1"/>
  <c r="J140" i="2"/>
  <c r="M140" i="2" s="1"/>
  <c r="J138" i="2"/>
  <c r="M138" i="2" s="1"/>
  <c r="J137" i="2"/>
  <c r="M137" i="2" s="1"/>
  <c r="J134" i="2"/>
  <c r="M134" i="2" s="1"/>
  <c r="J127" i="2"/>
  <c r="M127" i="2" s="1"/>
  <c r="J123" i="2"/>
  <c r="M123" i="2" s="1"/>
  <c r="J119" i="2"/>
  <c r="M119" i="2" s="1"/>
  <c r="J115" i="2"/>
  <c r="M115" i="2" s="1"/>
  <c r="J114" i="2"/>
  <c r="M114" i="2" s="1"/>
  <c r="J110" i="2"/>
  <c r="M110" i="2" s="1"/>
  <c r="J109" i="2"/>
  <c r="M109" i="2" s="1"/>
  <c r="J105" i="2"/>
  <c r="M105" i="2" s="1"/>
  <c r="J104" i="2"/>
  <c r="M104" i="2" s="1"/>
  <c r="J103" i="2"/>
  <c r="M103" i="2" s="1"/>
  <c r="J102" i="2"/>
  <c r="M102" i="2" s="1"/>
  <c r="J101" i="2"/>
  <c r="M101" i="2" s="1"/>
  <c r="J100" i="2"/>
  <c r="M100" i="2" s="1"/>
  <c r="J99" i="2"/>
  <c r="M99" i="2" s="1"/>
  <c r="J95" i="2"/>
  <c r="M95" i="2" s="1"/>
  <c r="J90" i="2"/>
  <c r="M90" i="2" s="1"/>
  <c r="J81" i="2"/>
  <c r="M81" i="2" s="1"/>
  <c r="J77" i="2"/>
  <c r="M77" i="2" s="1"/>
  <c r="J76" i="2"/>
  <c r="M76" i="2" s="1"/>
  <c r="J75" i="2"/>
  <c r="M75" i="2" s="1"/>
  <c r="J74" i="2"/>
  <c r="M74" i="2" s="1"/>
  <c r="J73" i="2"/>
  <c r="M73" i="2" s="1"/>
  <c r="J72" i="2"/>
  <c r="M72" i="2" s="1"/>
  <c r="J67" i="2"/>
  <c r="M67" i="2" s="1"/>
  <c r="J66" i="2"/>
  <c r="M66" i="2" s="1"/>
  <c r="J64" i="2"/>
  <c r="M64" i="2" s="1"/>
  <c r="J63" i="2"/>
  <c r="M63" i="2" s="1"/>
  <c r="J62" i="2"/>
  <c r="M62" i="2" s="1"/>
  <c r="J61" i="2"/>
  <c r="M61" i="2" s="1"/>
  <c r="J60" i="2"/>
  <c r="M60" i="2" s="1"/>
  <c r="J59" i="2"/>
  <c r="M59" i="2" s="1"/>
  <c r="J55" i="2"/>
  <c r="M55" i="2" s="1"/>
  <c r="J54" i="2"/>
  <c r="M54" i="2" s="1"/>
  <c r="J53" i="2"/>
  <c r="M53" i="2" s="1"/>
  <c r="J52" i="2"/>
  <c r="M52" i="2" s="1"/>
  <c r="J51" i="2"/>
  <c r="M51" i="2" s="1"/>
  <c r="J50" i="2"/>
  <c r="M50" i="2" s="1"/>
  <c r="J49" i="2"/>
  <c r="M49" i="2" s="1"/>
  <c r="J48" i="2"/>
  <c r="M48" i="2" s="1"/>
  <c r="J47" i="2"/>
  <c r="M47" i="2" s="1"/>
  <c r="J46" i="2"/>
  <c r="M46" i="2" s="1"/>
  <c r="J39" i="2"/>
  <c r="M39" i="2" s="1"/>
  <c r="J38" i="2"/>
  <c r="M38" i="2" s="1"/>
  <c r="J37" i="2"/>
  <c r="M37" i="2" s="1"/>
  <c r="J36" i="2"/>
  <c r="M36" i="2" s="1"/>
  <c r="J34" i="2"/>
  <c r="M34" i="2" s="1"/>
  <c r="J33" i="2"/>
  <c r="M33" i="2" s="1"/>
  <c r="J32" i="2"/>
  <c r="M32" i="2" s="1"/>
  <c r="J31" i="2"/>
  <c r="M31" i="2" s="1"/>
  <c r="J30" i="2"/>
  <c r="M30" i="2" s="1"/>
  <c r="J29" i="2"/>
  <c r="M29" i="2" s="1"/>
  <c r="J28" i="2"/>
  <c r="M28" i="2" s="1"/>
  <c r="J24" i="2"/>
  <c r="M24" i="2" s="1"/>
  <c r="J23" i="2"/>
  <c r="M23" i="2" s="1"/>
  <c r="J22" i="2"/>
  <c r="M22" i="2" s="1"/>
  <c r="J21" i="2"/>
  <c r="M21" i="2" s="1"/>
  <c r="J20" i="2"/>
  <c r="M20" i="2" s="1"/>
  <c r="J19" i="2"/>
  <c r="M19" i="2" s="1"/>
  <c r="J18" i="2"/>
  <c r="M18" i="2" s="1"/>
  <c r="J17" i="2"/>
  <c r="M17" i="2" s="1"/>
  <c r="J16" i="2"/>
  <c r="M16" i="2" s="1"/>
  <c r="K15" i="4" l="1"/>
  <c r="I15" i="4"/>
  <c r="G11" i="2"/>
  <c r="G12" i="2"/>
  <c r="B16" i="4"/>
  <c r="B17" i="4" s="1"/>
  <c r="H8" i="2"/>
  <c r="I8" i="2" s="1"/>
  <c r="Y89" i="6"/>
  <c r="Y103" i="6"/>
  <c r="Y88" i="6"/>
  <c r="Y90" i="6"/>
  <c r="Y104" i="6"/>
  <c r="J93" i="2"/>
  <c r="J97" i="2" s="1"/>
  <c r="J107" i="2" s="1"/>
  <c r="J112" i="2" s="1"/>
  <c r="J117" i="2" s="1"/>
  <c r="J121" i="2" s="1"/>
  <c r="J125" i="2" s="1"/>
  <c r="J129" i="2" s="1"/>
  <c r="M93" i="2"/>
  <c r="M97" i="2" s="1"/>
  <c r="M107" i="2" s="1"/>
  <c r="M112" i="2" s="1"/>
  <c r="M117" i="2" s="1"/>
  <c r="M121" i="2" s="1"/>
  <c r="M125" i="2" s="1"/>
  <c r="M129" i="2" s="1"/>
  <c r="B99" i="6"/>
  <c r="I19" i="4" l="1"/>
  <c r="K18" i="4"/>
  <c r="I16" i="4"/>
  <c r="K16" i="4"/>
  <c r="H11" i="2"/>
  <c r="H12" i="2"/>
  <c r="D16" i="4"/>
  <c r="C16" i="4"/>
  <c r="G16" i="4"/>
  <c r="Z16" i="4"/>
  <c r="E16" i="4"/>
  <c r="Y99" i="6"/>
  <c r="B63" i="6"/>
  <c r="B44" i="6"/>
  <c r="C44" i="6" s="1"/>
  <c r="B33" i="6"/>
  <c r="B35" i="6"/>
  <c r="B34" i="6"/>
  <c r="O12" i="2" l="1"/>
  <c r="I18" i="4"/>
  <c r="I20" i="4"/>
  <c r="K19" i="4"/>
  <c r="K20" i="4"/>
  <c r="O11" i="2"/>
  <c r="E15" i="4"/>
  <c r="D15" i="4"/>
  <c r="C15" i="4"/>
  <c r="G15" i="4"/>
  <c r="G14" i="4"/>
  <c r="Z15" i="4"/>
  <c r="Y44" i="6"/>
  <c r="Y33" i="6"/>
  <c r="Y34" i="6"/>
  <c r="Y35" i="6"/>
  <c r="Y63" i="6"/>
  <c r="K21" i="4" l="1"/>
  <c r="L14" i="4" s="1"/>
  <c r="I21" i="4"/>
  <c r="J13" i="4" s="1"/>
  <c r="O79" i="2"/>
  <c r="L79" i="2"/>
  <c r="K79" i="2"/>
  <c r="F79" i="2"/>
  <c r="E79" i="2"/>
  <c r="D79" i="2"/>
  <c r="O57" i="2"/>
  <c r="L57" i="2"/>
  <c r="K57" i="2"/>
  <c r="F57" i="2"/>
  <c r="E57" i="2"/>
  <c r="D57" i="2"/>
  <c r="D69" i="2" s="1"/>
  <c r="O26" i="2"/>
  <c r="L26" i="2"/>
  <c r="K26" i="2"/>
  <c r="F26" i="2"/>
  <c r="E26" i="2"/>
  <c r="D26" i="2"/>
  <c r="L20" i="4" l="1"/>
  <c r="L15" i="4"/>
  <c r="L13" i="4"/>
  <c r="L19" i="4"/>
  <c r="L21" i="4"/>
  <c r="L18" i="4"/>
  <c r="L12" i="4"/>
  <c r="J16" i="4"/>
  <c r="L16" i="4"/>
  <c r="J19" i="4"/>
  <c r="J12" i="4"/>
  <c r="J15" i="4"/>
  <c r="J21" i="4"/>
  <c r="J14" i="4"/>
  <c r="J20" i="4"/>
  <c r="J18" i="4"/>
  <c r="G19" i="4"/>
  <c r="E62" i="6"/>
  <c r="D99" i="6"/>
  <c r="C90" i="6"/>
  <c r="D89" i="6"/>
  <c r="C35" i="6"/>
  <c r="D104" i="6"/>
  <c r="D103" i="6"/>
  <c r="D88" i="6"/>
  <c r="E33" i="6"/>
  <c r="E44" i="6"/>
  <c r="D35" i="6"/>
  <c r="E32" i="6"/>
  <c r="C103" i="6"/>
  <c r="C99" i="6"/>
  <c r="D125" i="6"/>
  <c r="C33" i="6"/>
  <c r="D32" i="6"/>
  <c r="E63" i="6"/>
  <c r="C62" i="6"/>
  <c r="C88" i="6"/>
  <c r="D44" i="6"/>
  <c r="G18" i="4"/>
  <c r="E125" i="6"/>
  <c r="E88" i="6"/>
  <c r="D33" i="6"/>
  <c r="E34" i="6"/>
  <c r="C104" i="6"/>
  <c r="C125" i="6"/>
  <c r="D63" i="6"/>
  <c r="E90" i="6"/>
  <c r="C63" i="6"/>
  <c r="D90" i="6"/>
  <c r="E104" i="6"/>
  <c r="E99" i="6"/>
  <c r="C89" i="6"/>
  <c r="C34" i="6"/>
  <c r="E35" i="6"/>
  <c r="C32" i="6"/>
  <c r="D34" i="6"/>
  <c r="E103" i="6"/>
  <c r="E89" i="6"/>
  <c r="F83" i="2"/>
  <c r="F69" i="2"/>
  <c r="F41" i="2"/>
  <c r="D62" i="6" l="1"/>
  <c r="G20" i="4"/>
  <c r="G21" i="4" s="1"/>
  <c r="F85" i="2"/>
  <c r="F86" i="2" s="1"/>
  <c r="E83" i="2"/>
  <c r="E69" i="2"/>
  <c r="E41" i="2"/>
  <c r="D5" i="4"/>
  <c r="D4" i="4"/>
  <c r="C5" i="6"/>
  <c r="C4" i="6"/>
  <c r="H12" i="4" l="1"/>
  <c r="H21" i="4"/>
  <c r="H16" i="4"/>
  <c r="H19" i="4"/>
  <c r="H20" i="4"/>
  <c r="H13" i="4"/>
  <c r="H18" i="4"/>
  <c r="H15" i="4"/>
  <c r="H14" i="4"/>
  <c r="E85" i="2"/>
  <c r="E86" i="2" s="1"/>
  <c r="K83" i="2" l="1"/>
  <c r="K69" i="2"/>
  <c r="K41" i="2"/>
  <c r="K85" i="2" l="1"/>
  <c r="K86" i="2" s="1"/>
  <c r="J76" i="6" l="1"/>
  <c r="J80" i="6" s="1"/>
  <c r="J54" i="6"/>
  <c r="J66" i="6" s="1"/>
  <c r="I76" i="6"/>
  <c r="I54" i="6"/>
  <c r="I80" i="6" l="1"/>
  <c r="I66" i="6"/>
  <c r="J82" i="6"/>
  <c r="B128" i="6"/>
  <c r="O83" i="2"/>
  <c r="O69" i="2"/>
  <c r="O41" i="2"/>
  <c r="B93" i="6"/>
  <c r="L83" i="2"/>
  <c r="L69" i="2"/>
  <c r="I82" i="6" l="1"/>
  <c r="Y128" i="6"/>
  <c r="Y93" i="6"/>
  <c r="C128" i="6"/>
  <c r="E128" i="6"/>
  <c r="D128" i="6"/>
  <c r="C93" i="6"/>
  <c r="E93" i="6"/>
  <c r="D93" i="6"/>
  <c r="L85" i="2"/>
  <c r="D83" i="2"/>
  <c r="D85" i="2" s="1"/>
  <c r="O85" i="2"/>
  <c r="O86" i="2" s="1"/>
  <c r="D41" i="2"/>
  <c r="B126" i="6"/>
  <c r="B124" i="6"/>
  <c r="B123" i="6"/>
  <c r="B122" i="6"/>
  <c r="B121" i="6"/>
  <c r="B120" i="6"/>
  <c r="B119" i="6"/>
  <c r="B118" i="6"/>
  <c r="B117" i="6"/>
  <c r="B116" i="6"/>
  <c r="B115" i="6"/>
  <c r="B114" i="6"/>
  <c r="B113" i="6"/>
  <c r="B112" i="6"/>
  <c r="B111" i="6"/>
  <c r="B110" i="6"/>
  <c r="B109" i="6"/>
  <c r="B108" i="6"/>
  <c r="B107" i="6"/>
  <c r="B106" i="6"/>
  <c r="B102" i="6"/>
  <c r="B101" i="6"/>
  <c r="B100" i="6"/>
  <c r="B98" i="6"/>
  <c r="B97" i="6"/>
  <c r="B96" i="6"/>
  <c r="B95" i="6"/>
  <c r="B94" i="6"/>
  <c r="B92" i="6"/>
  <c r="B87" i="6"/>
  <c r="B86" i="6"/>
  <c r="B85" i="6"/>
  <c r="B84" i="6"/>
  <c r="B82" i="6"/>
  <c r="B81" i="6"/>
  <c r="B80" i="6"/>
  <c r="B79" i="6"/>
  <c r="B78" i="6"/>
  <c r="B77" i="6"/>
  <c r="B76" i="6"/>
  <c r="B75" i="6"/>
  <c r="B74" i="6"/>
  <c r="B73" i="6"/>
  <c r="B72" i="6"/>
  <c r="B71" i="6"/>
  <c r="B70" i="6"/>
  <c r="B69" i="6"/>
  <c r="B68" i="6"/>
  <c r="B67" i="6"/>
  <c r="B66" i="6"/>
  <c r="B65" i="6"/>
  <c r="B64" i="6"/>
  <c r="B61" i="6"/>
  <c r="B60" i="6"/>
  <c r="B59" i="6"/>
  <c r="B58" i="6"/>
  <c r="B57" i="6"/>
  <c r="B56" i="6"/>
  <c r="B55" i="6"/>
  <c r="B54" i="6"/>
  <c r="B53" i="6"/>
  <c r="B52" i="6"/>
  <c r="B51" i="6"/>
  <c r="B50" i="6"/>
  <c r="B49" i="6"/>
  <c r="B48" i="6"/>
  <c r="B47" i="6"/>
  <c r="B46" i="6"/>
  <c r="B45" i="6"/>
  <c r="B43" i="6"/>
  <c r="B42" i="6"/>
  <c r="B41" i="6"/>
  <c r="B40" i="6"/>
  <c r="B39" i="6"/>
  <c r="B38" i="6"/>
  <c r="B37" i="6"/>
  <c r="B36" i="6"/>
  <c r="B31" i="6"/>
  <c r="B30" i="6"/>
  <c r="B29" i="6"/>
  <c r="B28" i="6"/>
  <c r="B27" i="6"/>
  <c r="B26" i="6"/>
  <c r="B25" i="6"/>
  <c r="B24" i="6"/>
  <c r="B23" i="6"/>
  <c r="B22" i="6"/>
  <c r="B21" i="6"/>
  <c r="B20" i="6"/>
  <c r="B19" i="6"/>
  <c r="B18" i="6"/>
  <c r="B17" i="6"/>
  <c r="B16" i="6"/>
  <c r="B15" i="6"/>
  <c r="B14" i="6"/>
  <c r="B13" i="6"/>
  <c r="B12" i="6"/>
  <c r="B11" i="6"/>
  <c r="B10" i="6"/>
  <c r="D86" i="2" l="1"/>
  <c r="E82" i="6"/>
  <c r="D82" i="6"/>
  <c r="Y16" i="6"/>
  <c r="Y36" i="6"/>
  <c r="Y13" i="6"/>
  <c r="Y21" i="6"/>
  <c r="Y14" i="6"/>
  <c r="Y18" i="6"/>
  <c r="Y26" i="6"/>
  <c r="Y30" i="6"/>
  <c r="Y38" i="6"/>
  <c r="Y47" i="6"/>
  <c r="Y51" i="6"/>
  <c r="Y59" i="6"/>
  <c r="Y65" i="6"/>
  <c r="Y69" i="6"/>
  <c r="Y73" i="6"/>
  <c r="Y100" i="6"/>
  <c r="Y107" i="6"/>
  <c r="Y111" i="6"/>
  <c r="Y15" i="6"/>
  <c r="Y19" i="6"/>
  <c r="Y27" i="6"/>
  <c r="Y31" i="6"/>
  <c r="Y43" i="6"/>
  <c r="Y48" i="6"/>
  <c r="Y52" i="6"/>
  <c r="Y56" i="6"/>
  <c r="Y60" i="6"/>
  <c r="Y66" i="6"/>
  <c r="Y70" i="6"/>
  <c r="Y74" i="6"/>
  <c r="Y78" i="6"/>
  <c r="Y82" i="6"/>
  <c r="Y87" i="6"/>
  <c r="Y96" i="6"/>
  <c r="Y101" i="6"/>
  <c r="Y108" i="6"/>
  <c r="Y112" i="6"/>
  <c r="Y116" i="6"/>
  <c r="Y120" i="6"/>
  <c r="Y124" i="6"/>
  <c r="Y28" i="6"/>
  <c r="Y49" i="6"/>
  <c r="Y53" i="6"/>
  <c r="Y57" i="6"/>
  <c r="Y61" i="6"/>
  <c r="Y71" i="6"/>
  <c r="Y75" i="6"/>
  <c r="Y79" i="6"/>
  <c r="Y92" i="6"/>
  <c r="Y97" i="6"/>
  <c r="Y102" i="6"/>
  <c r="Y109" i="6"/>
  <c r="Y113" i="6"/>
  <c r="Y117" i="6"/>
  <c r="Y121" i="6"/>
  <c r="Y126" i="6"/>
  <c r="Y20" i="6"/>
  <c r="Y45" i="6"/>
  <c r="Y17" i="6"/>
  <c r="Y25" i="6"/>
  <c r="Y29" i="6"/>
  <c r="Y46" i="6"/>
  <c r="Y50" i="6"/>
  <c r="Y54" i="6"/>
  <c r="Y58" i="6"/>
  <c r="Y64" i="6"/>
  <c r="Y72" i="6"/>
  <c r="Y76" i="6"/>
  <c r="Y80" i="6"/>
  <c r="Y94" i="6"/>
  <c r="Y98" i="6"/>
  <c r="Y106" i="6"/>
  <c r="Y114" i="6"/>
  <c r="Y118" i="6"/>
  <c r="Y122" i="6"/>
  <c r="E38" i="6"/>
  <c r="C20" i="6"/>
  <c r="E20" i="6"/>
  <c r="D20" i="6"/>
  <c r="E36" i="6"/>
  <c r="D36" i="6"/>
  <c r="C36" i="6"/>
  <c r="C17" i="6"/>
  <c r="E17" i="6"/>
  <c r="D17" i="6"/>
  <c r="D21" i="6"/>
  <c r="C21" i="6"/>
  <c r="E21" i="6"/>
  <c r="E25" i="6"/>
  <c r="D25" i="6"/>
  <c r="C25" i="6"/>
  <c r="E29" i="6"/>
  <c r="D29" i="6"/>
  <c r="C29" i="6"/>
  <c r="E37" i="6"/>
  <c r="D37" i="6"/>
  <c r="C37" i="6"/>
  <c r="E46" i="6"/>
  <c r="D46" i="6"/>
  <c r="C46" i="6"/>
  <c r="E50" i="6"/>
  <c r="D50" i="6"/>
  <c r="C50" i="6"/>
  <c r="E54" i="6"/>
  <c r="D54" i="6"/>
  <c r="E58" i="6"/>
  <c r="D58" i="6"/>
  <c r="C58" i="6"/>
  <c r="C64" i="6"/>
  <c r="E64" i="6"/>
  <c r="D64" i="6"/>
  <c r="E72" i="6"/>
  <c r="D72" i="6"/>
  <c r="C72" i="6"/>
  <c r="E76" i="6"/>
  <c r="D76" i="6"/>
  <c r="D80" i="6"/>
  <c r="E80" i="6"/>
  <c r="D94" i="6"/>
  <c r="C94" i="6"/>
  <c r="E94" i="6"/>
  <c r="C98" i="6"/>
  <c r="E98" i="6"/>
  <c r="D98" i="6"/>
  <c r="E106" i="6"/>
  <c r="D106" i="6"/>
  <c r="C106" i="6"/>
  <c r="E114" i="6"/>
  <c r="D114" i="6"/>
  <c r="D118" i="6"/>
  <c r="E118" i="6"/>
  <c r="E122" i="6"/>
  <c r="D122" i="6"/>
  <c r="E28" i="6"/>
  <c r="D28" i="6"/>
  <c r="C28" i="6"/>
  <c r="D13" i="6"/>
  <c r="E13" i="6"/>
  <c r="C13" i="6"/>
  <c r="D14" i="6"/>
  <c r="E14" i="6"/>
  <c r="C14" i="6"/>
  <c r="D18" i="6"/>
  <c r="E18" i="6"/>
  <c r="C18" i="6"/>
  <c r="E22" i="6"/>
  <c r="D22" i="6"/>
  <c r="C22" i="6"/>
  <c r="C26" i="6"/>
  <c r="E26" i="6"/>
  <c r="D26" i="6"/>
  <c r="C30" i="6"/>
  <c r="E30" i="6"/>
  <c r="D30" i="6"/>
  <c r="C47" i="6"/>
  <c r="E47" i="6"/>
  <c r="D47" i="6"/>
  <c r="C51" i="6"/>
  <c r="E51" i="6"/>
  <c r="D51" i="6"/>
  <c r="E59" i="6"/>
  <c r="D59" i="6"/>
  <c r="C59" i="6"/>
  <c r="D65" i="6"/>
  <c r="C65" i="6"/>
  <c r="E65" i="6"/>
  <c r="E69" i="6"/>
  <c r="D69" i="6"/>
  <c r="C69" i="6"/>
  <c r="E73" i="6"/>
  <c r="D73" i="6"/>
  <c r="C73" i="6"/>
  <c r="E100" i="6"/>
  <c r="D100" i="6"/>
  <c r="C100" i="6"/>
  <c r="C107" i="6"/>
  <c r="E107" i="6"/>
  <c r="D107" i="6"/>
  <c r="E111" i="6"/>
  <c r="D111" i="6"/>
  <c r="C111" i="6"/>
  <c r="E15" i="6"/>
  <c r="C15" i="6"/>
  <c r="D15" i="6"/>
  <c r="E19" i="6"/>
  <c r="D19" i="6"/>
  <c r="C19" i="6"/>
  <c r="D23" i="6"/>
  <c r="E23" i="6"/>
  <c r="D27" i="6"/>
  <c r="C27" i="6"/>
  <c r="E27" i="6"/>
  <c r="D31" i="6"/>
  <c r="C31" i="6"/>
  <c r="E31" i="6"/>
  <c r="C43" i="6"/>
  <c r="E43" i="6"/>
  <c r="D43" i="6"/>
  <c r="D48" i="6"/>
  <c r="C48" i="6"/>
  <c r="E48" i="6"/>
  <c r="D52" i="6"/>
  <c r="C52" i="6"/>
  <c r="E52" i="6"/>
  <c r="C56" i="6"/>
  <c r="E56" i="6"/>
  <c r="D56" i="6"/>
  <c r="C60" i="6"/>
  <c r="E60" i="6"/>
  <c r="D60" i="6"/>
  <c r="E66" i="6"/>
  <c r="D66" i="6"/>
  <c r="C70" i="6"/>
  <c r="E70" i="6"/>
  <c r="D70" i="6"/>
  <c r="C74" i="6"/>
  <c r="E74" i="6"/>
  <c r="D74" i="6"/>
  <c r="E78" i="6"/>
  <c r="D78" i="6"/>
  <c r="C78" i="6"/>
  <c r="E87" i="6"/>
  <c r="D87" i="6"/>
  <c r="C87" i="6"/>
  <c r="E96" i="6"/>
  <c r="D96" i="6"/>
  <c r="C96" i="6"/>
  <c r="E101" i="6"/>
  <c r="D101" i="6"/>
  <c r="C101" i="6"/>
  <c r="D108" i="6"/>
  <c r="C108" i="6"/>
  <c r="E108" i="6"/>
  <c r="C112" i="6"/>
  <c r="E112" i="6"/>
  <c r="D112" i="6"/>
  <c r="E116" i="6"/>
  <c r="D116" i="6"/>
  <c r="C116" i="6"/>
  <c r="E120" i="6"/>
  <c r="D120" i="6"/>
  <c r="C120" i="6"/>
  <c r="D124" i="6"/>
  <c r="C124" i="6"/>
  <c r="E124" i="6"/>
  <c r="E16" i="6"/>
  <c r="D16" i="6"/>
  <c r="C16" i="6"/>
  <c r="E45" i="6"/>
  <c r="D45" i="6"/>
  <c r="C45" i="6"/>
  <c r="E49" i="6"/>
  <c r="D49" i="6"/>
  <c r="C49" i="6"/>
  <c r="E53" i="6"/>
  <c r="D53" i="6"/>
  <c r="C53" i="6"/>
  <c r="D57" i="6"/>
  <c r="C57" i="6"/>
  <c r="E57" i="6"/>
  <c r="D61" i="6"/>
  <c r="C61" i="6"/>
  <c r="E61" i="6"/>
  <c r="D71" i="6"/>
  <c r="C71" i="6"/>
  <c r="E71" i="6"/>
  <c r="D75" i="6"/>
  <c r="C75" i="6"/>
  <c r="E75" i="6"/>
  <c r="C79" i="6"/>
  <c r="E79" i="6"/>
  <c r="D79" i="6"/>
  <c r="E92" i="6"/>
  <c r="D92" i="6"/>
  <c r="C92" i="6"/>
  <c r="E97" i="6"/>
  <c r="D97" i="6"/>
  <c r="C97" i="6"/>
  <c r="C102" i="6"/>
  <c r="E102" i="6"/>
  <c r="D102" i="6"/>
  <c r="E109" i="6"/>
  <c r="D109" i="6"/>
  <c r="C109" i="6"/>
  <c r="D113" i="6"/>
  <c r="C113" i="6"/>
  <c r="E113" i="6"/>
  <c r="C117" i="6"/>
  <c r="E117" i="6"/>
  <c r="D117" i="6"/>
  <c r="E121" i="6"/>
  <c r="D121" i="6"/>
  <c r="C121" i="6"/>
  <c r="E126" i="6"/>
  <c r="D126" i="6"/>
  <c r="L41" i="2"/>
  <c r="L86" i="2" s="1"/>
  <c r="S22" i="6" l="1"/>
  <c r="D38" i="6"/>
  <c r="Y23" i="6"/>
  <c r="Z12" i="4" l="1"/>
  <c r="E12" i="4"/>
  <c r="C12" i="4"/>
  <c r="D12" i="4"/>
  <c r="E13" i="4" l="1"/>
  <c r="Z13" i="4"/>
  <c r="D13" i="4"/>
  <c r="C13" i="4"/>
  <c r="M57" i="2" l="1"/>
  <c r="C54" i="6" s="1"/>
  <c r="M26" i="2"/>
  <c r="C23" i="6" s="1"/>
  <c r="M79" i="2"/>
  <c r="C76" i="6" s="1"/>
  <c r="M83" i="2" l="1"/>
  <c r="C80" i="6" s="1"/>
  <c r="M69" i="2"/>
  <c r="M41" i="2"/>
  <c r="C114" i="6"/>
  <c r="C38" i="6" l="1"/>
  <c r="M85" i="2"/>
  <c r="M86" i="2" s="1"/>
  <c r="C66" i="6"/>
  <c r="C118" i="6"/>
  <c r="C82" i="6" l="1"/>
  <c r="C122" i="6"/>
  <c r="C126" i="6" l="1"/>
  <c r="J26" i="2"/>
  <c r="J41" i="2" s="1"/>
  <c r="J57" i="2"/>
  <c r="J69" i="2" s="1"/>
  <c r="J79" i="2"/>
  <c r="J83" i="2" s="1"/>
  <c r="J85" i="2" l="1"/>
  <c r="J86" i="2" s="1"/>
  <c r="Z19" i="4" l="1"/>
  <c r="E18" i="4"/>
  <c r="Z18" i="4"/>
  <c r="Z14" i="4"/>
  <c r="E14" i="4"/>
  <c r="E19" i="4"/>
  <c r="Z20" i="4"/>
  <c r="E20" i="4"/>
  <c r="D14" i="4"/>
  <c r="D18" i="4"/>
  <c r="C18" i="4"/>
  <c r="C14" i="4"/>
  <c r="J23" i="6" l="1"/>
  <c r="J38" i="6" s="1"/>
  <c r="Q53" i="6"/>
  <c r="Q125" i="6"/>
  <c r="Q75" i="6"/>
  <c r="Q121" i="6"/>
  <c r="E21" i="4"/>
  <c r="Q37" i="6"/>
  <c r="Z21" i="4"/>
  <c r="Q22" i="6"/>
  <c r="Q93" i="6"/>
  <c r="Q65" i="6"/>
  <c r="Q117" i="6"/>
  <c r="Q108" i="6"/>
  <c r="H32" i="6"/>
  <c r="Q113" i="6"/>
  <c r="F16" i="4" l="1"/>
  <c r="AA16" i="4"/>
  <c r="H62" i="6"/>
  <c r="G62" i="6"/>
  <c r="K62" i="6"/>
  <c r="L62" i="6"/>
  <c r="G32" i="6"/>
  <c r="R32" i="6" s="1"/>
  <c r="S32" i="6" s="1"/>
  <c r="L32" i="6"/>
  <c r="K32" i="6"/>
  <c r="K61" i="6"/>
  <c r="F15" i="4"/>
  <c r="AA15" i="4"/>
  <c r="I38" i="6"/>
  <c r="F12" i="4"/>
  <c r="AA14" i="4"/>
  <c r="K99" i="6"/>
  <c r="K49" i="6"/>
  <c r="H103" i="6"/>
  <c r="K104" i="6"/>
  <c r="G93" i="6"/>
  <c r="K43" i="6"/>
  <c r="K125" i="6"/>
  <c r="AA12" i="4"/>
  <c r="AA13" i="4"/>
  <c r="AA20" i="4"/>
  <c r="F13" i="4"/>
  <c r="F20" i="4"/>
  <c r="F19" i="4"/>
  <c r="F21" i="4"/>
  <c r="F14" i="4"/>
  <c r="AA21" i="4"/>
  <c r="F18" i="4"/>
  <c r="L15" i="6"/>
  <c r="L54" i="6"/>
  <c r="L35" i="6"/>
  <c r="L93" i="6"/>
  <c r="K44" i="6"/>
  <c r="G64" i="6"/>
  <c r="L92" i="6"/>
  <c r="G122" i="6"/>
  <c r="L21" i="6"/>
  <c r="K73" i="6"/>
  <c r="K56" i="6"/>
  <c r="L51" i="6"/>
  <c r="K36" i="6"/>
  <c r="K100" i="6"/>
  <c r="H22" i="6"/>
  <c r="G37" i="6"/>
  <c r="H57" i="6"/>
  <c r="G34" i="6"/>
  <c r="G21" i="6"/>
  <c r="L126" i="6"/>
  <c r="G19" i="6"/>
  <c r="H100" i="6"/>
  <c r="K59" i="6"/>
  <c r="K71" i="6"/>
  <c r="G94" i="6"/>
  <c r="K25" i="6"/>
  <c r="K94" i="6"/>
  <c r="K90" i="6"/>
  <c r="K66" i="6"/>
  <c r="K64" i="6"/>
  <c r="K82" i="6"/>
  <c r="G106" i="6"/>
  <c r="L27" i="6"/>
  <c r="K78" i="6"/>
  <c r="L57" i="6"/>
  <c r="L38" i="6"/>
  <c r="L53" i="6"/>
  <c r="AA18" i="4"/>
  <c r="AA19" i="4"/>
  <c r="K101" i="6"/>
  <c r="K60" i="6"/>
  <c r="G60" i="6"/>
  <c r="K88" i="6"/>
  <c r="K51" i="6"/>
  <c r="L117" i="6"/>
  <c r="K102" i="6"/>
  <c r="L43" i="6"/>
  <c r="L63" i="6"/>
  <c r="H27" i="6"/>
  <c r="G107" i="6"/>
  <c r="G54" i="6"/>
  <c r="L20" i="6"/>
  <c r="H61" i="6"/>
  <c r="L80" i="6"/>
  <c r="K29" i="6"/>
  <c r="K31" i="6"/>
  <c r="G89" i="6"/>
  <c r="G73" i="6"/>
  <c r="H117" i="6"/>
  <c r="G20" i="6"/>
  <c r="H58" i="6"/>
  <c r="G71" i="6"/>
  <c r="L71" i="6"/>
  <c r="H82" i="6"/>
  <c r="K48" i="6"/>
  <c r="G17" i="6"/>
  <c r="H88" i="6"/>
  <c r="G45" i="6"/>
  <c r="G87" i="6"/>
  <c r="K72" i="6"/>
  <c r="H60" i="6"/>
  <c r="G23" i="6"/>
  <c r="L64" i="6"/>
  <c r="H101" i="6"/>
  <c r="H34" i="6"/>
  <c r="L74" i="6"/>
  <c r="K38" i="6"/>
  <c r="K33" i="6"/>
  <c r="L16" i="6"/>
  <c r="K54" i="6"/>
  <c r="K76" i="6"/>
  <c r="H59" i="6"/>
  <c r="H102" i="6"/>
  <c r="K118" i="6"/>
  <c r="K107" i="6"/>
  <c r="K122" i="6"/>
  <c r="K96" i="6"/>
  <c r="G26" i="6"/>
  <c r="G80" i="6"/>
  <c r="G97" i="6"/>
  <c r="G98" i="6"/>
  <c r="G66" i="6"/>
  <c r="G46" i="6"/>
  <c r="L33" i="6"/>
  <c r="H94" i="6"/>
  <c r="G56" i="6"/>
  <c r="L96" i="6"/>
  <c r="K114" i="6"/>
  <c r="K124" i="6"/>
  <c r="G35" i="6"/>
  <c r="H44" i="6"/>
  <c r="H111" i="6"/>
  <c r="G18" i="6"/>
  <c r="H113" i="6"/>
  <c r="G75" i="6"/>
  <c r="L29" i="6"/>
  <c r="K18" i="6"/>
  <c r="L56" i="6"/>
  <c r="G88" i="6"/>
  <c r="L113" i="6"/>
  <c r="L69" i="6"/>
  <c r="K92" i="6"/>
  <c r="G109" i="6"/>
  <c r="K75" i="6"/>
  <c r="H99" i="6"/>
  <c r="G43" i="6"/>
  <c r="K28" i="6"/>
  <c r="L104" i="6"/>
  <c r="G99" i="6"/>
  <c r="H125" i="6"/>
  <c r="G33" i="6"/>
  <c r="G27" i="6"/>
  <c r="L106" i="6"/>
  <c r="H97" i="6"/>
  <c r="G121" i="6"/>
  <c r="L97" i="6"/>
  <c r="H89" i="6"/>
  <c r="K22" i="6"/>
  <c r="L89" i="6"/>
  <c r="H53" i="6"/>
  <c r="G90" i="6"/>
  <c r="H48" i="6"/>
  <c r="G16" i="6"/>
  <c r="H74" i="6"/>
  <c r="L82" i="6"/>
  <c r="H65" i="6"/>
  <c r="K23" i="6"/>
  <c r="G117" i="6"/>
  <c r="L76" i="6"/>
  <c r="L59" i="6"/>
  <c r="H35" i="6"/>
  <c r="L122" i="6"/>
  <c r="H16" i="6"/>
  <c r="K128" i="6"/>
  <c r="H108" i="6"/>
  <c r="G69" i="6"/>
  <c r="H76" i="6"/>
  <c r="K52" i="6"/>
  <c r="H29" i="6"/>
  <c r="K69" i="6"/>
  <c r="K116" i="6"/>
  <c r="L121" i="6"/>
  <c r="K103" i="6"/>
  <c r="K47" i="6"/>
  <c r="G31" i="6"/>
  <c r="L37" i="6"/>
  <c r="L94" i="6"/>
  <c r="L19" i="6"/>
  <c r="H17" i="6"/>
  <c r="L61" i="6"/>
  <c r="H126" i="6"/>
  <c r="H71" i="6"/>
  <c r="G48" i="6"/>
  <c r="H64" i="6"/>
  <c r="H73" i="6"/>
  <c r="L48" i="6"/>
  <c r="G96" i="6"/>
  <c r="G102" i="6"/>
  <c r="G113" i="6"/>
  <c r="L28" i="6"/>
  <c r="G116" i="6"/>
  <c r="H15" i="6"/>
  <c r="K106" i="6"/>
  <c r="K34" i="6"/>
  <c r="H90" i="6"/>
  <c r="G38" i="6"/>
  <c r="G112" i="6"/>
  <c r="H80" i="6"/>
  <c r="H21" i="6"/>
  <c r="H37" i="6"/>
  <c r="H25" i="6"/>
  <c r="L25" i="6"/>
  <c r="G25" i="6"/>
  <c r="H63" i="6"/>
  <c r="L47" i="6"/>
  <c r="H30" i="6"/>
  <c r="H104" i="6"/>
  <c r="L36" i="6"/>
  <c r="L108" i="6"/>
  <c r="K111" i="6"/>
  <c r="G101" i="6"/>
  <c r="K126" i="6"/>
  <c r="K46" i="6"/>
  <c r="K63" i="6"/>
  <c r="K27" i="6"/>
  <c r="K16" i="6"/>
  <c r="G103" i="6"/>
  <c r="G118" i="6"/>
  <c r="L34" i="6"/>
  <c r="H128" i="6"/>
  <c r="H45" i="6"/>
  <c r="L116" i="6"/>
  <c r="L23" i="6"/>
  <c r="H112" i="6"/>
  <c r="H31" i="6"/>
  <c r="H70" i="6"/>
  <c r="L45" i="6"/>
  <c r="H96" i="6"/>
  <c r="G13" i="6"/>
  <c r="G15" i="6"/>
  <c r="G63" i="6"/>
  <c r="K17" i="6"/>
  <c r="H121" i="6"/>
  <c r="H38" i="6"/>
  <c r="K21" i="6"/>
  <c r="L101" i="6"/>
  <c r="K113" i="6"/>
  <c r="H98" i="6"/>
  <c r="L103" i="6"/>
  <c r="H33" i="6"/>
  <c r="G52" i="6"/>
  <c r="H28" i="6"/>
  <c r="H51" i="6"/>
  <c r="L99" i="6"/>
  <c r="L87" i="6"/>
  <c r="H43" i="6"/>
  <c r="H26" i="6"/>
  <c r="K121" i="6"/>
  <c r="G51" i="6"/>
  <c r="K65" i="6"/>
  <c r="L66" i="6"/>
  <c r="K30" i="6"/>
  <c r="L125" i="6"/>
  <c r="G47" i="6"/>
  <c r="K89" i="6"/>
  <c r="L65" i="6"/>
  <c r="G59" i="6"/>
  <c r="L17" i="6"/>
  <c r="G30" i="6"/>
  <c r="H66" i="6"/>
  <c r="G57" i="6"/>
  <c r="L75" i="6"/>
  <c r="G44" i="6"/>
  <c r="K108" i="6"/>
  <c r="G36" i="6"/>
  <c r="H18" i="6"/>
  <c r="G114" i="6"/>
  <c r="G72" i="6"/>
  <c r="L98" i="6"/>
  <c r="L22" i="6"/>
  <c r="L120" i="6"/>
  <c r="K50" i="6"/>
  <c r="K35" i="6"/>
  <c r="H78" i="6"/>
  <c r="L44" i="6"/>
  <c r="K20" i="6"/>
  <c r="G50" i="6"/>
  <c r="G14" i="6"/>
  <c r="L88" i="6"/>
  <c r="G92" i="6"/>
  <c r="L14" i="6"/>
  <c r="G126" i="6"/>
  <c r="G29" i="6"/>
  <c r="L118" i="6"/>
  <c r="H23" i="6"/>
  <c r="G58" i="6"/>
  <c r="K93" i="6"/>
  <c r="G124" i="6"/>
  <c r="G108" i="6"/>
  <c r="G104" i="6"/>
  <c r="L70" i="6"/>
  <c r="K120" i="6"/>
  <c r="K80" i="6"/>
  <c r="K57" i="6"/>
  <c r="K97" i="6"/>
  <c r="G82" i="6"/>
  <c r="H120" i="6"/>
  <c r="H72" i="6"/>
  <c r="H14" i="6"/>
  <c r="L52" i="6"/>
  <c r="G28" i="6"/>
  <c r="G125" i="6"/>
  <c r="G78" i="6"/>
  <c r="H118" i="6"/>
  <c r="L73" i="6"/>
  <c r="L102" i="6"/>
  <c r="L107" i="6"/>
  <c r="H107" i="6"/>
  <c r="G74" i="6"/>
  <c r="H87" i="6"/>
  <c r="L114" i="6"/>
  <c r="L50" i="6"/>
  <c r="L13" i="6"/>
  <c r="G65" i="6"/>
  <c r="G61" i="6"/>
  <c r="K70" i="6"/>
  <c r="K109" i="6"/>
  <c r="H122" i="6"/>
  <c r="H124" i="6"/>
  <c r="L111" i="6"/>
  <c r="H50" i="6"/>
  <c r="L26" i="6"/>
  <c r="G22" i="6"/>
  <c r="H109" i="6"/>
  <c r="H69" i="6"/>
  <c r="K53" i="6"/>
  <c r="H36" i="6"/>
  <c r="H46" i="6"/>
  <c r="H47" i="6"/>
  <c r="H54" i="6"/>
  <c r="H13" i="6"/>
  <c r="G76" i="6"/>
  <c r="H20" i="6"/>
  <c r="K37" i="6"/>
  <c r="K13" i="6"/>
  <c r="H19" i="6"/>
  <c r="G111" i="6"/>
  <c r="K98" i="6"/>
  <c r="L58" i="6"/>
  <c r="K117" i="6"/>
  <c r="L72" i="6"/>
  <c r="G49" i="6"/>
  <c r="L109" i="6"/>
  <c r="H116" i="6"/>
  <c r="L49" i="6"/>
  <c r="L100" i="6"/>
  <c r="H52" i="6"/>
  <c r="G120" i="6"/>
  <c r="H92" i="6"/>
  <c r="G100" i="6"/>
  <c r="L112" i="6"/>
  <c r="G70" i="6"/>
  <c r="K15" i="6"/>
  <c r="K58" i="6"/>
  <c r="H75" i="6"/>
  <c r="K26" i="6"/>
  <c r="L90" i="6"/>
  <c r="L78" i="6"/>
  <c r="L30" i="6"/>
  <c r="L128" i="6"/>
  <c r="L31" i="6"/>
  <c r="G128" i="6"/>
  <c r="L46" i="6"/>
  <c r="L18" i="6"/>
  <c r="H56" i="6"/>
  <c r="H106" i="6"/>
  <c r="L60" i="6"/>
  <c r="L124" i="6"/>
  <c r="G53" i="6"/>
  <c r="H114" i="6"/>
  <c r="H49" i="6"/>
  <c r="H93" i="6"/>
  <c r="K74" i="6"/>
  <c r="K87" i="6"/>
  <c r="K112" i="6"/>
  <c r="K19" i="6"/>
  <c r="K14" i="6"/>
  <c r="K45" i="6"/>
  <c r="P126" i="6" l="1"/>
  <c r="Q126" i="6" s="1"/>
  <c r="R100" i="6"/>
  <c r="S100" i="6" s="1"/>
  <c r="R53" i="6"/>
  <c r="S53" i="6" s="1"/>
  <c r="R44" i="6"/>
  <c r="S44" i="6" s="1"/>
  <c r="R65" i="6"/>
  <c r="S65" i="6" s="1"/>
  <c r="R59" i="6"/>
  <c r="S59" i="6" s="1"/>
  <c r="R58" i="6"/>
  <c r="S58" i="6" s="1"/>
  <c r="R61" i="6"/>
  <c r="S61" i="6" s="1"/>
  <c r="R128" i="6"/>
  <c r="S128" i="6" s="1"/>
  <c r="R101" i="6"/>
  <c r="S101" i="6" s="1"/>
  <c r="R125" i="6"/>
  <c r="S125" i="6" s="1"/>
  <c r="R57" i="6"/>
  <c r="S57" i="6" s="1"/>
  <c r="R82" i="6"/>
  <c r="S82" i="6" s="1"/>
  <c r="R70" i="6"/>
  <c r="S70" i="6" s="1"/>
  <c r="R103" i="6"/>
  <c r="S103" i="6" s="1"/>
  <c r="R74" i="6"/>
  <c r="S74" i="6" s="1"/>
  <c r="R111" i="6"/>
  <c r="S111" i="6" s="1"/>
  <c r="R126" i="6"/>
  <c r="R108" i="6"/>
  <c r="S108" i="6" s="1"/>
  <c r="R63" i="6"/>
  <c r="S63" i="6" s="1"/>
  <c r="R28" i="6"/>
  <c r="S28" i="6" s="1"/>
  <c r="R29" i="6"/>
  <c r="S29" i="6" s="1"/>
  <c r="R104" i="6"/>
  <c r="S104" i="6" s="1"/>
  <c r="R76" i="6"/>
  <c r="S76" i="6" s="1"/>
  <c r="R102" i="6"/>
  <c r="S102" i="6" s="1"/>
  <c r="R88" i="6"/>
  <c r="S88" i="6" s="1"/>
  <c r="R120" i="6"/>
  <c r="S120" i="6" s="1"/>
  <c r="R25" i="6"/>
  <c r="S25" i="6" s="1"/>
  <c r="R48" i="6"/>
  <c r="S48" i="6" s="1"/>
  <c r="R30" i="6"/>
  <c r="S30" i="6" s="1"/>
  <c r="R113" i="6"/>
  <c r="S113" i="6" s="1"/>
  <c r="R62" i="6"/>
  <c r="S62" i="6" s="1"/>
  <c r="R78" i="6"/>
  <c r="S78" i="6" s="1"/>
  <c r="P38" i="6"/>
  <c r="Q38" i="6" s="1"/>
  <c r="R16" i="6"/>
  <c r="S16" i="6" s="1"/>
  <c r="R49" i="6"/>
  <c r="S49" i="6" s="1"/>
  <c r="R117" i="6"/>
  <c r="S117" i="6" s="1"/>
  <c r="R33" i="6"/>
  <c r="S33" i="6" s="1"/>
  <c r="R118" i="6"/>
  <c r="S118" i="6" s="1"/>
  <c r="R96" i="6"/>
  <c r="S96" i="6" s="1"/>
  <c r="R99" i="6"/>
  <c r="S99" i="6" s="1"/>
  <c r="R72" i="6"/>
  <c r="S72" i="6" s="1"/>
  <c r="R112" i="6"/>
  <c r="S112" i="6" s="1"/>
  <c r="R69" i="6"/>
  <c r="S69" i="6" s="1"/>
  <c r="R27" i="6"/>
  <c r="S27" i="6" s="1"/>
  <c r="R97" i="6"/>
  <c r="S97" i="6" s="1"/>
  <c r="R73" i="6"/>
  <c r="S73" i="6" s="1"/>
  <c r="R107" i="6"/>
  <c r="S107" i="6" s="1"/>
  <c r="R60" i="6"/>
  <c r="S60" i="6" s="1"/>
  <c r="R114" i="6"/>
  <c r="S114" i="6" s="1"/>
  <c r="R109" i="6"/>
  <c r="S109" i="6" s="1"/>
  <c r="R75" i="6"/>
  <c r="S75" i="6" s="1"/>
  <c r="R80" i="6"/>
  <c r="S80" i="6" s="1"/>
  <c r="R89" i="6"/>
  <c r="S89" i="6" s="1"/>
  <c r="R34" i="6"/>
  <c r="S34" i="6" s="1"/>
  <c r="R56" i="6"/>
  <c r="S56" i="6" s="1"/>
  <c r="R26" i="6"/>
  <c r="S26" i="6" s="1"/>
  <c r="R94" i="6"/>
  <c r="S94" i="6" s="1"/>
  <c r="R36" i="6"/>
  <c r="S36" i="6" s="1"/>
  <c r="R51" i="6"/>
  <c r="S51" i="6" s="1"/>
  <c r="R52" i="6"/>
  <c r="S52" i="6" s="1"/>
  <c r="R106" i="6"/>
  <c r="S106" i="6" s="1"/>
  <c r="R37" i="6"/>
  <c r="S37" i="6" s="1"/>
  <c r="R122" i="6"/>
  <c r="S122" i="6" s="1"/>
  <c r="R124" i="6"/>
  <c r="S124" i="6" s="1"/>
  <c r="R92" i="6"/>
  <c r="S92" i="6" s="1"/>
  <c r="R71" i="6"/>
  <c r="S71" i="6" s="1"/>
  <c r="R121" i="6"/>
  <c r="S121" i="6" s="1"/>
  <c r="R46" i="6"/>
  <c r="S46" i="6" s="1"/>
  <c r="R87" i="6"/>
  <c r="S87" i="6" s="1"/>
  <c r="R64" i="6"/>
  <c r="S64" i="6" s="1"/>
  <c r="R47" i="6"/>
  <c r="S47" i="6" s="1"/>
  <c r="R43" i="6"/>
  <c r="S43" i="6" s="1"/>
  <c r="R35" i="6"/>
  <c r="S35" i="6" s="1"/>
  <c r="R66" i="6"/>
  <c r="S66" i="6" s="1"/>
  <c r="R45" i="6"/>
  <c r="S45" i="6" s="1"/>
  <c r="R50" i="6"/>
  <c r="S50" i="6" s="1"/>
  <c r="R13" i="6"/>
  <c r="S13" i="6" s="1"/>
  <c r="R116" i="6"/>
  <c r="S116" i="6" s="1"/>
  <c r="R31" i="6"/>
  <c r="S31" i="6" s="1"/>
  <c r="R90" i="6"/>
  <c r="S90" i="6" s="1"/>
  <c r="R98" i="6"/>
  <c r="S98" i="6" s="1"/>
  <c r="R54" i="6"/>
  <c r="S54" i="6" s="1"/>
  <c r="R93" i="6"/>
  <c r="S93" i="6" s="1"/>
  <c r="N38" i="6"/>
  <c r="R38" i="6"/>
  <c r="R17" i="6"/>
  <c r="S17" i="6" s="1"/>
  <c r="R21" i="6"/>
  <c r="S21" i="6" s="1"/>
  <c r="R18" i="6"/>
  <c r="S18" i="6" s="1"/>
  <c r="R14" i="6"/>
  <c r="S14" i="6" s="1"/>
  <c r="R15" i="6"/>
  <c r="S15" i="6" s="1"/>
  <c r="R20" i="6"/>
  <c r="S20" i="6" s="1"/>
  <c r="R19" i="6"/>
  <c r="S19" i="6" s="1"/>
  <c r="P32" i="6"/>
  <c r="Q32" i="6" s="1"/>
  <c r="N32" i="6"/>
  <c r="O32" i="6" s="1"/>
  <c r="P62" i="6"/>
  <c r="Q62" i="6" s="1"/>
  <c r="N128" i="6"/>
  <c r="O128" i="6" s="1"/>
  <c r="N62" i="6"/>
  <c r="O62" i="6" s="1"/>
  <c r="P128" i="6"/>
  <c r="Q128" i="6" s="1"/>
  <c r="P43" i="6"/>
  <c r="Q43" i="6" s="1"/>
  <c r="P92" i="6"/>
  <c r="Q92" i="6" s="1"/>
  <c r="P61" i="6"/>
  <c r="Q61" i="6" s="1"/>
  <c r="N15" i="6"/>
  <c r="P54" i="6"/>
  <c r="Q54" i="6" s="1"/>
  <c r="P90" i="6"/>
  <c r="Q90" i="6" s="1"/>
  <c r="P33" i="6"/>
  <c r="Q33" i="6" s="1"/>
  <c r="P57" i="6"/>
  <c r="Q57" i="6" s="1"/>
  <c r="P89" i="6"/>
  <c r="Q89" i="6" s="1"/>
  <c r="P66" i="6"/>
  <c r="Q66" i="6" s="1"/>
  <c r="P23" i="6"/>
  <c r="Q23" i="6" s="1"/>
  <c r="N20" i="6"/>
  <c r="P56" i="6"/>
  <c r="Q56" i="6" s="1"/>
  <c r="P100" i="6"/>
  <c r="Q100" i="6" s="1"/>
  <c r="P80" i="6"/>
  <c r="Q80" i="6" s="1"/>
  <c r="P49" i="6"/>
  <c r="Q49" i="6" s="1"/>
  <c r="P114" i="6"/>
  <c r="Q114" i="6" s="1"/>
  <c r="P107" i="6"/>
  <c r="Q107" i="6" s="1"/>
  <c r="P35" i="6"/>
  <c r="Q35" i="6" s="1"/>
  <c r="P78" i="6"/>
  <c r="Q78" i="6" s="1"/>
  <c r="P72" i="6"/>
  <c r="Q72" i="6" s="1"/>
  <c r="P102" i="6"/>
  <c r="Q102" i="6" s="1"/>
  <c r="N33" i="6"/>
  <c r="O33" i="6" s="1"/>
  <c r="P122" i="6"/>
  <c r="Q122" i="6" s="1"/>
  <c r="P71" i="6"/>
  <c r="Q71" i="6" s="1"/>
  <c r="N100" i="6"/>
  <c r="O100" i="6" s="1"/>
  <c r="P36" i="6"/>
  <c r="Q36" i="6" s="1"/>
  <c r="P48" i="6"/>
  <c r="Q48" i="6" s="1"/>
  <c r="N59" i="6"/>
  <c r="O59" i="6" s="1"/>
  <c r="P28" i="6"/>
  <c r="Q28" i="6" s="1"/>
  <c r="P82" i="6"/>
  <c r="Q82" i="6" s="1"/>
  <c r="P96" i="6"/>
  <c r="Q96" i="6" s="1"/>
  <c r="P104" i="6"/>
  <c r="Q104" i="6" s="1"/>
  <c r="N61" i="6"/>
  <c r="O61" i="6" s="1"/>
  <c r="N71" i="6"/>
  <c r="O71" i="6" s="1"/>
  <c r="P64" i="6"/>
  <c r="Q64" i="6" s="1"/>
  <c r="P87" i="6"/>
  <c r="Q87" i="6" s="1"/>
  <c r="P44" i="6"/>
  <c r="Q44" i="6" s="1"/>
  <c r="P21" i="6"/>
  <c r="Q21" i="6" s="1"/>
  <c r="P15" i="6"/>
  <c r="Q15" i="6" s="1"/>
  <c r="N107" i="6"/>
  <c r="O107" i="6" s="1"/>
  <c r="N43" i="6"/>
  <c r="O43" i="6" s="1"/>
  <c r="P25" i="6"/>
  <c r="Q25" i="6" s="1"/>
  <c r="P59" i="6"/>
  <c r="Q59" i="6" s="1"/>
  <c r="P20" i="6"/>
  <c r="Q20" i="6" s="1"/>
  <c r="N99" i="6"/>
  <c r="O99" i="6" s="1"/>
  <c r="P14" i="6"/>
  <c r="Q14" i="6" s="1"/>
  <c r="P73" i="6"/>
  <c r="Q73" i="6" s="1"/>
  <c r="N126" i="6"/>
  <c r="P27" i="6"/>
  <c r="Q27" i="6" s="1"/>
  <c r="N64" i="6"/>
  <c r="O64" i="6" s="1"/>
  <c r="P51" i="6"/>
  <c r="Q51" i="6" s="1"/>
  <c r="P101" i="6"/>
  <c r="Q101" i="6" s="1"/>
  <c r="N98" i="6"/>
  <c r="O98" i="6" s="1"/>
  <c r="P74" i="6"/>
  <c r="Q74" i="6" s="1"/>
  <c r="N56" i="6"/>
  <c r="O56" i="6" s="1"/>
  <c r="P31" i="6"/>
  <c r="Q31" i="6" s="1"/>
  <c r="N19" i="6"/>
  <c r="N69" i="6"/>
  <c r="O69" i="6" s="1"/>
  <c r="N28" i="6"/>
  <c r="O28" i="6" s="1"/>
  <c r="P63" i="6"/>
  <c r="Q63" i="6" s="1"/>
  <c r="P106" i="6"/>
  <c r="Q106" i="6" s="1"/>
  <c r="P69" i="6"/>
  <c r="Q69" i="6" s="1"/>
  <c r="P18" i="6"/>
  <c r="Q18" i="6" s="1"/>
  <c r="N76" i="6"/>
  <c r="O76" i="6" s="1"/>
  <c r="N82" i="6"/>
  <c r="O82" i="6" s="1"/>
  <c r="P118" i="6"/>
  <c r="Q118" i="6" s="1"/>
  <c r="N94" i="6"/>
  <c r="O94" i="6" s="1"/>
  <c r="N60" i="6"/>
  <c r="O60" i="6" s="1"/>
  <c r="P98" i="6"/>
  <c r="Q98" i="6" s="1"/>
  <c r="P97" i="6"/>
  <c r="Q97" i="6" s="1"/>
  <c r="P16" i="6"/>
  <c r="Q16" i="6" s="1"/>
  <c r="P76" i="6"/>
  <c r="Q76" i="6" s="1"/>
  <c r="P29" i="6"/>
  <c r="Q29" i="6" s="1"/>
  <c r="P124" i="6"/>
  <c r="Q124" i="6" s="1"/>
  <c r="N106" i="6"/>
  <c r="O106" i="6" s="1"/>
  <c r="N54" i="6"/>
  <c r="O54" i="6" s="1"/>
  <c r="N122" i="6"/>
  <c r="O122" i="6" s="1"/>
  <c r="P60" i="6"/>
  <c r="Q60" i="6" s="1"/>
  <c r="N104" i="6"/>
  <c r="O104" i="6" s="1"/>
  <c r="N58" i="6"/>
  <c r="O58" i="6" s="1"/>
  <c r="N88" i="6"/>
  <c r="O88" i="6" s="1"/>
  <c r="N114" i="6"/>
  <c r="O114" i="6" s="1"/>
  <c r="N30" i="6"/>
  <c r="O30" i="6" s="1"/>
  <c r="N63" i="6"/>
  <c r="O63" i="6" s="1"/>
  <c r="N17" i="6"/>
  <c r="P52" i="6"/>
  <c r="Q52" i="6" s="1"/>
  <c r="N45" i="6"/>
  <c r="O45" i="6" s="1"/>
  <c r="P47" i="6"/>
  <c r="Q47" i="6" s="1"/>
  <c r="P94" i="6"/>
  <c r="Q94" i="6" s="1"/>
  <c r="N18" i="6"/>
  <c r="P45" i="6"/>
  <c r="Q45" i="6" s="1"/>
  <c r="P58" i="6"/>
  <c r="Q58" i="6" s="1"/>
  <c r="N70" i="6"/>
  <c r="O70" i="6" s="1"/>
  <c r="N111" i="6"/>
  <c r="O111" i="6" s="1"/>
  <c r="N87" i="6"/>
  <c r="O87" i="6" s="1"/>
  <c r="N29" i="6"/>
  <c r="O29" i="6" s="1"/>
  <c r="P50" i="6"/>
  <c r="Q50" i="6" s="1"/>
  <c r="N66" i="6"/>
  <c r="O66" i="6" s="1"/>
  <c r="P17" i="6"/>
  <c r="Q17" i="6" s="1"/>
  <c r="P99" i="6"/>
  <c r="Q99" i="6" s="1"/>
  <c r="N73" i="6"/>
  <c r="O73" i="6" s="1"/>
  <c r="N35" i="6"/>
  <c r="O35" i="6" s="1"/>
  <c r="N26" i="6"/>
  <c r="O26" i="6" s="1"/>
  <c r="N34" i="6"/>
  <c r="O34" i="6" s="1"/>
  <c r="N97" i="6"/>
  <c r="O97" i="6" s="1"/>
  <c r="N120" i="6"/>
  <c r="O120" i="6" s="1"/>
  <c r="N92" i="6"/>
  <c r="O92" i="6" s="1"/>
  <c r="N72" i="6"/>
  <c r="O72" i="6" s="1"/>
  <c r="P30" i="6"/>
  <c r="Q30" i="6" s="1"/>
  <c r="N101" i="6"/>
  <c r="O101" i="6" s="1"/>
  <c r="N80" i="6"/>
  <c r="O80" i="6" s="1"/>
  <c r="P34" i="6"/>
  <c r="Q34" i="6" s="1"/>
  <c r="N116" i="6"/>
  <c r="O116" i="6" s="1"/>
  <c r="N96" i="6"/>
  <c r="O96" i="6" s="1"/>
  <c r="N48" i="6"/>
  <c r="O48" i="6" s="1"/>
  <c r="N31" i="6"/>
  <c r="O31" i="6" s="1"/>
  <c r="P116" i="6"/>
  <c r="Q116" i="6" s="1"/>
  <c r="N89" i="6"/>
  <c r="O89" i="6" s="1"/>
  <c r="N27" i="6"/>
  <c r="O27" i="6" s="1"/>
  <c r="P109" i="6"/>
  <c r="Q109" i="6" s="1"/>
  <c r="N44" i="6"/>
  <c r="O44" i="6" s="1"/>
  <c r="N112" i="6"/>
  <c r="O112" i="6" s="1"/>
  <c r="N23" i="6"/>
  <c r="P19" i="6"/>
  <c r="Q19" i="6" s="1"/>
  <c r="P26" i="6"/>
  <c r="Q26" i="6" s="1"/>
  <c r="P13" i="6"/>
  <c r="Q13" i="6" s="1"/>
  <c r="N46" i="6"/>
  <c r="O46" i="6" s="1"/>
  <c r="N109" i="6"/>
  <c r="O109" i="6" s="1"/>
  <c r="P70" i="6"/>
  <c r="Q70" i="6" s="1"/>
  <c r="N14" i="6"/>
  <c r="N47" i="6"/>
  <c r="O47" i="6" s="1"/>
  <c r="N118" i="6"/>
  <c r="O118" i="6" s="1"/>
  <c r="P46" i="6"/>
  <c r="Q46" i="6" s="1"/>
  <c r="P103" i="6"/>
  <c r="Q103" i="6" s="1"/>
  <c r="N74" i="6"/>
  <c r="O74" i="6" s="1"/>
  <c r="P112" i="6"/>
  <c r="Q112" i="6" s="1"/>
  <c r="N49" i="6"/>
  <c r="O49" i="6" s="1"/>
  <c r="N78" i="6"/>
  <c r="O78" i="6" s="1"/>
  <c r="P120" i="6"/>
  <c r="Q120" i="6" s="1"/>
  <c r="N124" i="6"/>
  <c r="O124" i="6" s="1"/>
  <c r="N50" i="6"/>
  <c r="O50" i="6" s="1"/>
  <c r="N36" i="6"/>
  <c r="O36" i="6" s="1"/>
  <c r="N57" i="6"/>
  <c r="O57" i="6" s="1"/>
  <c r="N51" i="6"/>
  <c r="O51" i="6" s="1"/>
  <c r="N52" i="6"/>
  <c r="O52" i="6" s="1"/>
  <c r="N13" i="6"/>
  <c r="N103" i="6"/>
  <c r="O103" i="6" s="1"/>
  <c r="P88" i="6"/>
  <c r="Q88" i="6" s="1"/>
  <c r="P111" i="6"/>
  <c r="Q111" i="6" s="1"/>
  <c r="N25" i="6"/>
  <c r="O25" i="6" s="1"/>
  <c r="N21" i="6"/>
  <c r="N90" i="6"/>
  <c r="O90" i="6" s="1"/>
  <c r="N102" i="6"/>
  <c r="O102" i="6" s="1"/>
  <c r="N16" i="6"/>
  <c r="R23" i="6" l="1"/>
  <c r="S23" i="6" s="1"/>
  <c r="O38" i="6"/>
  <c r="S38" i="6"/>
  <c r="O126" i="6"/>
  <c r="S126" i="6"/>
  <c r="O17" i="6"/>
  <c r="O16" i="6"/>
  <c r="O23" i="6"/>
  <c r="O13" i="6"/>
  <c r="O14" i="6"/>
  <c r="O18" i="6"/>
  <c r="O21" i="6"/>
  <c r="O19" i="6"/>
  <c r="O20" i="6"/>
  <c r="O15" i="6"/>
</calcChain>
</file>

<file path=xl/sharedStrings.xml><?xml version="1.0" encoding="utf-8"?>
<sst xmlns="http://schemas.openxmlformats.org/spreadsheetml/2006/main" count="412" uniqueCount="407">
  <si>
    <t>N/A - significant component</t>
  </si>
  <si>
    <t>N/A</t>
  </si>
  <si>
    <t>YOU MUST ENABLE MACROS TO USE THIS WORKBOOK</t>
  </si>
  <si>
    <t>If this is the only visible worksheet and macros have been enabled,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files and re-open the workbook.</t>
  </si>
  <si>
    <t>Component significance and scoping</t>
  </si>
  <si>
    <t>Delete these instructions and do not include them in the audit file.</t>
  </si>
  <si>
    <t xml:space="preserve">This template is used to identify components, determine their significance, and determine the type of work to be performed on components, including the identification of component auditors. It also includes the determination of component materiality and component performance materiality, when applicable. </t>
  </si>
  <si>
    <t>When obtaining an understanding of components, the group engagement team may identify risk factors, which are then considered in identifying and assessing risks of material misstatement of the group financial statements. The group engagement team may also identify likely significant risks of the group financial statements. Such understanding assists in determining the significance of the component and the type of work to be performed. Refer to the group engagement team’s documentation in the Understanding Components documentation template.</t>
  </si>
  <si>
    <t>Resources</t>
  </si>
  <si>
    <t>Video</t>
  </si>
  <si>
    <t>How-to video - Component Significance and Scoping template</t>
  </si>
  <si>
    <t>Guidance related to use of this template</t>
  </si>
  <si>
    <t>Instructions</t>
  </si>
  <si>
    <t>This template contains cells with conditional formatting and data validation, including drop-down lists. Changing certain input cells will clear or change other cells in the workbook. For best results, complete the template top-to-bottom and left-to-right.</t>
  </si>
  <si>
    <t>Adding rows and columns
Certain areas of the template, such as the 'Data input' worksheet, allow for the addition of rows and columns. In those areas, add columns as needed by pressing the buttons denoted in purple font with a "+" sign or the "+Add benchmark" button on the 'Scoping input' worksheet. Rows and columns may also be added by pressing the purple "+" buttons, which will add a row underneath the icon or a column to the right of the icon.</t>
  </si>
  <si>
    <t>Deleting rows and columns
The ability to delete most rows and columns in this template has been disabled. Rows and columns that can be deleted have a red "x" icon to the left of the row or above the column. They can be deleted by selecting the red "x" icon to the left of the row or above the column and selecting "OK" in the message box that appears.</t>
  </si>
  <si>
    <t>Data input</t>
  </si>
  <si>
    <t>This worksheet is used to capture information about the components included in the group audit. Complete this worksheet by adding or removing components as necessary (refer to the instructions above) and entering the 'Component name' and 'Component type' fields for each component. Then enter financial statement information for each component, as well as other relevant financial information, by adding or removing financial statement captions and other relevant financial information as necessary (refer to the instructions above), as well as adjustments or eliminations, as necessary. This information is used on the other worksheets of this workbook. The engagement team is responsible for ensuring the completeness and accuracy of the subtotals on this worksheet, the addition and deletion of FS captions and subtotals may require the user to update dependent totals. For best results, enter amounts as positive (negative) as opposed to debit (credit).</t>
  </si>
  <si>
    <t>One or more worksheets containing component financial information may be added to this workbook to facilitate the completion of the 'Data input' worksheet using a SUMIFS formula or a VLOOKUP formula. When using such a formula to enter component information, the financial statement captions and component names must exactly match the name of the financial statement captions and components used in the additional worksheet in order for the formulas to work correctly. Avoid duplicative uses of financial statement caption names as it will cause formulas to function incorrectly. For example, if an entity's financial statements present derivatives as both assets and liabilities, label the financial statement captions "Derivatives (Assets)" and "Derivatives (Liabilities)." If completing the template using an external source, be sure to copy and paste using "values only." Otherwise, the information copied may not be able to be subsequently edited.</t>
  </si>
  <si>
    <t>Scoping input worksheet</t>
  </si>
  <si>
    <t>This worksheet is used to determine the significance of components as well as the type of work to be performed. It also includes the identification of component auditors, as applicable. Complete this worksheet by first entering group audit materiality, group performance materiality, and the benchmark to be used for purposes of identifying individually financially significant components. Then, add or remove benchmarks as necessary (refer to instructions above); when entering the benchmarks, be careful to enter the name of the benchmark exactly as it appears on the 'Data input' worksheet (or copy and paste the name) so that amounts will pull in automatically. Next, enter financial statement information and ownership percentage for each equity method investment, as necessary. Based on the engagement team's evaluation, select the component significance and type of work to be performed. 
Certain jurisdictions allow group engagement teams to either (a) assume responsibility for the work of a component auditor, in so far as that work relates to the opinion on the group financial statements, or (b) not assume responsibility for, and make reference to, the audit of a component auditor in the auditor’s report on the group financial statements. The “audit of financial information” includes two options available when selecting the type of work to be performed by the group engagement: “audit of financial information – assume responsibility” and “audit of financial information – make reference.” Member firms that do not have these reporting options within their jurisdiction will select the “audit of financial information – assume responsibility” option in the template. The “audit of financial information – assume responsibility” includes the functionality so the group engagement team can select it and continue to document in the applicable fields and determine component materiality as necessary. 
Also complete the remaining fields.</t>
  </si>
  <si>
    <t>Significant components that are individually financially significant
Depending on the nature and circumstances of the group, appropriate benchmarks may include group assets, liabilities, cash flows, revenues, expenditures, or net income. Typically, if one or more benchmarks were used to determine materiality for the group financial statements as a whole, those same benchmarks may also be appropriate to identify components of individual financial significance; this is because factors that affect the selection of an appropriate benchmark take into account, among other things, the nature of the entity. The group engagement team may consider that components exceeding 15% of the chosen benchmark are of individual financial significance. However, because the structure of every group differs, using a single percentage threshold to determine individual financial significance for every group audit is impracticable. Accordingly, a higher or lower percentage may be appropriate depending on the nature or circumstances of the group.</t>
  </si>
  <si>
    <t>Type of work to be performed for not significant components
A group may consist only of components that are not significant or it may consist of numerous components that are not individually significant but, in the aggregate, may be of significance to the group. In such circumstances, the group engagement team obtains sufficient appropriate audit evidence on which to base the group audit opinion by selecting individual components upon which to perform one or more of the following:
● An audit of the financial information of the component using component materiality
● An audit of one or more classes of transactions, account balances, or disclosures
● A review of the financial information of the component using component materiality
● Specified audit procedures.
The group engagement team’s decision about the risks of material misstatement associated with a component as well as how many components to select, which components to select, and the type of work to be performed on the financial information of the individual components selected is a matter of professional judgment and may be affected by various factors, as described in AE 7.9.3.4.2.
Selecting components that are not significant to introduce an element of unpredictability may increase the likelihood of identifying material misstatements, particularly with respect to addressing the assessed risks of material misstatement due to fraud at the group financial statement level. Accordingly, the selection of components is often varied in each group audit. Consideration may be given to the length of time since the component was last tested, such as by the group engagement team or the internal audit function.</t>
  </si>
  <si>
    <t>Audit of one or more classes of transactions, account balances, or disclosures versus specified audit procedures
An audit of one or more classes of transactions, account balances, or disclosures differs from specified audit procedures in that the component auditor assesses the risks of material misstatement and designs further audit procedures. In addition, in an audit of one or more classes of transactions, account balances, or disclosures, the component auditor performs procedures on interrelated items, as appropriate. In an audit of one or more classes of transactions, account balances, or disclosures, the component auditor or the group engagement team may determine the materiality level to be applied. Such materiality level is set less than group materiality. Similarly, performance materiality is set less than group performance materiality. Refer to the work to be performed and completion documentation templates. On the other hand, the group engagement team designs specified audit procedures to address the assessed risks of material misstatement related to the class of transactions, account balance, or disclosure and communicates such procedures to the component auditor.</t>
  </si>
  <si>
    <t>Review of component financial information
A review is designed to obtain only limited assurance, primarily by performing inquiry and analytical procedures, that there are no material modifications that need to be made to the financial information in order for it to be in conformity with the financial reporting framework. Accordingly, a review of component financial information is not sufficient to respond to a risk of material misstatement of the group financial statements arising at the component. A review may, however, be performed to reduce the audit risk of undetected material misstatement or to incorporate an element of unpredictability. The results of a review may also provide corroborating or contradictory audit evidence with respect to the group engagement team’s scoping.</t>
  </si>
  <si>
    <t>Determining component materiality
Determining component materiality is a matter of professional judgment. To reduce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need not be allocated to all components based on their size). In addition, component materiality need not be an arithmetical portion of group materiality.
Consideration of all components, regardless of whether reference is made in the auditor’s report on the group financial statements to the audit of a component auditor,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taking into account the relative size of the component in comparison to the group.
A component auditor may be required by law, regulation, or for another reason to express an audit opinion on the financial statements of a component. In such circumstances, the materiality used for the purpose of such audit ordinarily can be expected to be less than group materiality and, accordingly, be acceptable for purposes of the group audit. Communications with the group engagement team, however, may be based on component materiality and trivial amounts, as determined by the group engagement team.</t>
  </si>
  <si>
    <t>Determining component materiality for equity method investments
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t>
  </si>
  <si>
    <t>This report is included for reference and additional analysis purposes to assist the group engagement team in scoping the group audit. It details the type of work to be performed for the financial information, which may assist the group engagement team in determining whether to perform additional procedures, which may include selecting additional components that are not significant to perform work. This summary report allows the group engagement team to document notes about the balances that the group engagement team will audit.</t>
  </si>
  <si>
    <t>Based on the details entered on the preceding worksheets, the financial statement captions appear automatically along with the amounts for components summarized by the type of work to be performed. A column is added for each component where the type of work performed is either an audit of one or more classes of transactions, account balances, or disclosures or specified procedures. Document the amounts that are in-scope by financial statement caption by entering the amounts manually or by summing the appropriate columns to the right, as applicable.</t>
  </si>
  <si>
    <t>Name of group</t>
  </si>
  <si>
    <t>Group period-end date</t>
  </si>
  <si>
    <t>+</t>
  </si>
  <si>
    <t>x</t>
  </si>
  <si>
    <t>Component reference</t>
  </si>
  <si>
    <t>Consolidated total (prior to adjustments and eliminations)</t>
  </si>
  <si>
    <t>Adjustments</t>
  </si>
  <si>
    <t>Eliminations</t>
  </si>
  <si>
    <t>Consolidated total</t>
  </si>
  <si>
    <t>Component name</t>
  </si>
  <si>
    <t>Component type</t>
  </si>
  <si>
    <t>Component significance
(from Scoping input worksheet)</t>
  </si>
  <si>
    <t>Type of work to be performed
(from Scoping input worksheet)</t>
  </si>
  <si>
    <t>Balance sheet</t>
  </si>
  <si>
    <t>Current assets</t>
  </si>
  <si>
    <t>Cash and cash equivalents</t>
  </si>
  <si>
    <t>Restricted cash</t>
  </si>
  <si>
    <t>Marketable securities at fair value</t>
  </si>
  <si>
    <t>Accounts receivable, net</t>
  </si>
  <si>
    <t>Investment in leased property, net</t>
  </si>
  <si>
    <t>Inventories</t>
  </si>
  <si>
    <t>Prepaid expenses</t>
  </si>
  <si>
    <t>Contract assets</t>
  </si>
  <si>
    <t>Other current assets</t>
  </si>
  <si>
    <t>Intentionally hidden</t>
  </si>
  <si>
    <t>Total current assets</t>
  </si>
  <si>
    <t>Debt and equity securities</t>
  </si>
  <si>
    <t>Other investments</t>
  </si>
  <si>
    <t>Derivative assets</t>
  </si>
  <si>
    <t>Deferred income tax assets, noncurrent</t>
  </si>
  <si>
    <t>Property, plant and equipment, net</t>
  </si>
  <si>
    <t>Intangible assets, net</t>
  </si>
  <si>
    <t>Goodwill</t>
  </si>
  <si>
    <t>Assets of businesses held for sale</t>
  </si>
  <si>
    <t>Assets of discontinued operations</t>
  </si>
  <si>
    <t>Related party receivables, noncurrent</t>
  </si>
  <si>
    <t>Investments in subsidiaries</t>
  </si>
  <si>
    <t>Other assets</t>
  </si>
  <si>
    <t>Total assets</t>
  </si>
  <si>
    <t>Liabilities and stockholders' equity</t>
  </si>
  <si>
    <t>Liabilities</t>
  </si>
  <si>
    <t>Current liabilities</t>
  </si>
  <si>
    <t>Accounts payable</t>
  </si>
  <si>
    <t>Accrued expenses</t>
  </si>
  <si>
    <t>Current portion of long-term debt</t>
  </si>
  <si>
    <t>Capital lease obligations, current</t>
  </si>
  <si>
    <t>Income taxes payable</t>
  </si>
  <si>
    <t>Derivative liabilities</t>
  </si>
  <si>
    <t>Deferred credits, current</t>
  </si>
  <si>
    <t>Dividends payable</t>
  </si>
  <si>
    <t>Contract liabilities</t>
  </si>
  <si>
    <t>Other current liabilities</t>
  </si>
  <si>
    <t>Total current liabilities</t>
  </si>
  <si>
    <t>Long-term debt, net</t>
  </si>
  <si>
    <t>Capital lease obligations, noncurrent</t>
  </si>
  <si>
    <t>Due to related parties, noncurrent</t>
  </si>
  <si>
    <t>Employee benefit plan obligations</t>
  </si>
  <si>
    <t>Deferred credits, noncurrent</t>
  </si>
  <si>
    <t>Deferred tax liabilities, noncurrent</t>
  </si>
  <si>
    <t>Liabilities of businesses held for sale</t>
  </si>
  <si>
    <t>Liabilities of discontinued operations</t>
  </si>
  <si>
    <t>Other liabilities</t>
  </si>
  <si>
    <t>Total liabilities</t>
  </si>
  <si>
    <t>Stockholders' equity</t>
  </si>
  <si>
    <t>Preferred stock</t>
  </si>
  <si>
    <t>Common stock</t>
  </si>
  <si>
    <t>Treasury stock</t>
  </si>
  <si>
    <t>Additional paid-in capital</t>
  </si>
  <si>
    <t>Accumulated other comprehensive income (loss)</t>
  </si>
  <si>
    <t>Retained earnings</t>
  </si>
  <si>
    <t>Total stockholders' equity attributable to parent co stockholders</t>
  </si>
  <si>
    <t>Noncontrolling interests</t>
  </si>
  <si>
    <t>Total stockholders' equity</t>
  </si>
  <si>
    <t>Total liabilities and equity</t>
  </si>
  <si>
    <t>Check</t>
  </si>
  <si>
    <t>Statement of operations</t>
  </si>
  <si>
    <t>Net sales</t>
  </si>
  <si>
    <t>Other revenue</t>
  </si>
  <si>
    <t>Total revenue</t>
  </si>
  <si>
    <t>Cost of sales</t>
  </si>
  <si>
    <t>Gross profit</t>
  </si>
  <si>
    <t>Other operating expenses</t>
  </si>
  <si>
    <t>Selling, general, &amp; administrative expenses</t>
  </si>
  <si>
    <t>Depreciation expense</t>
  </si>
  <si>
    <t>Amortization expense</t>
  </si>
  <si>
    <t>Impairment loss</t>
  </si>
  <si>
    <t>Restructuring expense</t>
  </si>
  <si>
    <t>Other general expenses</t>
  </si>
  <si>
    <t>Income (loss) from operations</t>
  </si>
  <si>
    <t>Non-operating income (expense)</t>
  </si>
  <si>
    <t>Interest income (expense)</t>
  </si>
  <si>
    <t>Income (loss) before income tax expense</t>
  </si>
  <si>
    <t>Income tax benefit (expense)</t>
  </si>
  <si>
    <t>Income (loss) from continuing operations</t>
  </si>
  <si>
    <t>Income (loss) from discontinued operations</t>
  </si>
  <si>
    <t>Income (loss) before cumulative effects of changes in accounting principles</t>
  </si>
  <si>
    <t>Gain (loss) from cumulative effects of changes in accounting principles</t>
  </si>
  <si>
    <t>Net income (loss)</t>
  </si>
  <si>
    <t>Less: Net income (loss) attributable to noncontrolling interests</t>
  </si>
  <si>
    <t>Net income (loss) attributable to parent</t>
  </si>
  <si>
    <t>Other relevant financial information</t>
  </si>
  <si>
    <t>Type</t>
  </si>
  <si>
    <t>Address</t>
  </si>
  <si>
    <t>Ticker</t>
  </si>
  <si>
    <t>Scoping input</t>
  </si>
  <si>
    <t>Group materiality</t>
  </si>
  <si>
    <t>Group performance materiality</t>
  </si>
  <si>
    <t>+ Add benchmark</t>
  </si>
  <si>
    <t>Benchmark amount</t>
  </si>
  <si>
    <t>Equity method investments</t>
  </si>
  <si>
    <t>!</t>
  </si>
  <si>
    <t>Component Reference</t>
  </si>
  <si>
    <t>Amount of equity method investment (financial position)</t>
  </si>
  <si>
    <t>Amount of equity method investment (profit or loss)</t>
  </si>
  <si>
    <t>Ownership percentage</t>
  </si>
  <si>
    <t>Component significance</t>
  </si>
  <si>
    <t>Type of work to be performed</t>
  </si>
  <si>
    <t>Purpose of audit procedures for not significant components</t>
  </si>
  <si>
    <t>Component materiality</t>
  </si>
  <si>
    <t>Component performance materiality</t>
  </si>
  <si>
    <t>Component auditor firm name</t>
  </si>
  <si>
    <t>Component auditor type</t>
  </si>
  <si>
    <t>Component auditor performing a statutory audit?</t>
  </si>
  <si>
    <t>Significant professional judgments or other comments, if any</t>
  </si>
  <si>
    <t>Summary by type of work to be performed report</t>
  </si>
  <si>
    <t>Sum of amounts not included in the audit of one or more classes of transactions, account balances, or disclosures and specified audit procedures</t>
  </si>
  <si>
    <t>Sum of amounts included in an audit of financial information, audit of one or more classes of transactions, account balances, or disclosures and specified audit procedures</t>
  </si>
  <si>
    <t>Notes</t>
  </si>
  <si>
    <t>Audit of financial information - assume responsibility</t>
  </si>
  <si>
    <t>Audit of financial information - make reference</t>
  </si>
  <si>
    <t>Audit of one or more classes of transactions, account balances, or disclosures</t>
  </si>
  <si>
    <t>Specified audit procedures</t>
  </si>
  <si>
    <t>Review of financial information</t>
  </si>
  <si>
    <t>Analytical procedures at group level</t>
  </si>
  <si>
    <t>Amount</t>
  </si>
  <si>
    <t>Amount (%)</t>
  </si>
  <si>
    <t>Areas in which substantive procedures or tests of controls will be performed by group engagement team</t>
  </si>
  <si>
    <t>Nonsubstantive analytical procedures to be performed by group engagement team at component level</t>
  </si>
  <si>
    <t>ote disabled</t>
  </si>
  <si>
    <t>Component_Type</t>
  </si>
  <si>
    <t>Component_significance</t>
  </si>
  <si>
    <t>Individually financially significant</t>
  </si>
  <si>
    <t>Likely to include significant risks</t>
  </si>
  <si>
    <t>Not significant</t>
  </si>
  <si>
    <t>Parent</t>
  </si>
  <si>
    <t>Subsidiary</t>
  </si>
  <si>
    <t>Equity method investment</t>
  </si>
  <si>
    <t>Other</t>
  </si>
  <si>
    <t>Comp_</t>
  </si>
  <si>
    <t>A review of component financial information is not sufficient to address a risk of material misstatement of the group financial statements.</t>
  </si>
  <si>
    <t>Select 'OK' to delete this component from this tab and all subsequent worksheets</t>
  </si>
  <si>
    <t>Delete component</t>
  </si>
  <si>
    <t>Select 'OK' to delete this benchmark</t>
  </si>
  <si>
    <t>Delete benchmark</t>
  </si>
  <si>
    <t>Enter a component materiality amount greater than zero and less than group materiality.</t>
  </si>
  <si>
    <t>Enter a component performance materiality amount greater than zero, less than or equal to the determined component materiality and less than group performance materiality.</t>
  </si>
  <si>
    <t>Enter a component materiality amount greater than zero.</t>
  </si>
  <si>
    <t>Enter a component performance materiality amount greater than zero.</t>
  </si>
  <si>
    <t>Select a cell within the financial information area to add a financial statement caption or other relevant financial information.</t>
  </si>
  <si>
    <t>Select 'OK' to delete this financial statement caption", vbOKCancel, "Delete FS caption</t>
  </si>
  <si>
    <t>We can only make reference to a member firm or non-member firm’s auditor’s report.</t>
  </si>
  <si>
    <t>Other risk of material misstatement of the group</t>
  </si>
  <si>
    <t>Our firm</t>
  </si>
  <si>
    <t>Sufficient appropriate audit evidence</t>
  </si>
  <si>
    <t>Another member firm</t>
  </si>
  <si>
    <t>Unpredictability</t>
  </si>
  <si>
    <t>N/A - analytical procedures at group level</t>
  </si>
  <si>
    <t>Non-member firm</t>
  </si>
  <si>
    <t>Spell check complete.</t>
  </si>
  <si>
    <t>Delete FS Caption</t>
  </si>
  <si>
    <t>Yes</t>
  </si>
  <si>
    <t>No</t>
  </si>
  <si>
    <t>必须启用宏才能使用此工作簿</t>
  </si>
  <si>
    <t>如果这是唯一可见的工作表并且启用了宏，则通常是由于以下情况之一：
1.打开工作簿并启用宏后，该工作表不会消失，工作簿中的其余工作表也不会出现。
2.当打开自动保存时试图关闭工作簿，由于自动保存过程中断，结果消息框中选择了“取消”。
如果出现上述任一情况，请保存并关闭所有打开的Excel文件，然后重新打开工作簿。</t>
    <phoneticPr fontId="29" type="noConversion"/>
  </si>
  <si>
    <t>组成部分的重要程度和确定审计范围</t>
    <phoneticPr fontId="29" type="noConversion"/>
  </si>
  <si>
    <t>删除这些说明，不要将其包含在审计档案中。</t>
    <phoneticPr fontId="29" type="noConversion"/>
  </si>
  <si>
    <t>该模板用于识别组成部分，确定其重要程度，并确定要对组成部分执行的工作类型，包括组成部分注册会计师的识别。它还包括确定组成部分重要性和组成部分实际执行的重要性（如适用）。</t>
    <phoneticPr fontId="29" type="noConversion"/>
  </si>
  <si>
    <t>在了解各组成部分时，集团项目组可以识别风险因素，然后在识别和评估集团财务报表的重大错报风险时加以考虑。集团项目组还可以确定集团财务报表中可能存在的重大风险。这种了解有助于确定组成部分的重要程度和要执行的工作类型。请参阅“了解组成部分”文档模板中的集团项目组文档。</t>
    <phoneticPr fontId="29" type="noConversion"/>
  </si>
  <si>
    <t>资源</t>
  </si>
  <si>
    <t>视频</t>
  </si>
  <si>
    <t>视频教程 - “组成部分的重要程度和确定审计范围”模板</t>
    <phoneticPr fontId="29" type="noConversion"/>
  </si>
  <si>
    <t>与使用此模板相关的指引</t>
    <phoneticPr fontId="29" type="noConversion"/>
  </si>
  <si>
    <t>说明</t>
    <phoneticPr fontId="29" type="noConversion"/>
  </si>
  <si>
    <t>此模板包含具有条件格式和数据验证的单元格，包括下拉列表。更改某些输入单元格将清除或更改工作簿中的其他单元格。为了获得最佳效果，请从上到下、从左到右完成模板。</t>
  </si>
  <si>
    <t>添加行和列
模板的某些区域（如“数据输入”工作表）允许添加行和列。在这些区域中，根据需要添加列，方法是按下“确定审计范围的输入值”工作表上用紫色字体表示的带“+”号的按钮或“+添加基准”按钮。也可以通过按下紫色的“+”按钮来添加行和列，这将在图标下方添加一行或在图标右侧添加一列。</t>
    <phoneticPr fontId="29" type="noConversion"/>
  </si>
  <si>
    <t>删除行和列
删除此模板中大多数行和列的功能已被禁用。可以删除的行和列在行的左侧或列的上方有一个红色的“x”图标。可以通过选择行左侧或列上方的红色“x”图标并在显示的消息框中选择“确定”来删除它们。</t>
    <phoneticPr fontId="29" type="noConversion"/>
  </si>
  <si>
    <t>数据输入</t>
  </si>
  <si>
    <t>可以将包含组成部分财务信息的一个或多个工作表添加到此工作簿中，以便于使用SUMIFS公式或VLOOKUP公式完成“数据输入”工作表。使用此类公式输入组成部分信息时，财务报表标题和组成部分名称必须与其他工作表中使用的财务报表标题和组成部分名称完全匹配，才能使公式正确运行。避免重复使用财务报表标题名称，因为这会导致公式无法正常运行。例如，如果被审计单位的财务报表同时将衍生工具列示为资产和负债，则将财务报表标题标记为“衍生工具（资产）”和“衍生工具（负债）”。如果使用外部来源完成模板，请确保使用“仅粘贴值”进行复制和粘贴。否则，复制的信息随后可能无法编辑。</t>
    <phoneticPr fontId="29" type="noConversion"/>
  </si>
  <si>
    <t>确定审计范围的输入值工作表</t>
    <phoneticPr fontId="29" type="noConversion"/>
  </si>
  <si>
    <r>
      <rPr>
        <b/>
        <sz val="11"/>
        <color theme="1"/>
        <rFont val="宋体"/>
        <family val="3"/>
        <charset val="134"/>
      </rPr>
      <t>单独具有财务重大性的重要组成部分</t>
    </r>
    <r>
      <rPr>
        <sz val="11"/>
        <color theme="1"/>
        <rFont val="宋体"/>
        <family val="3"/>
        <charset val="134"/>
      </rPr>
      <t xml:space="preserve">
根据集团的性质和具体情况，适当的基准可能包括集团资产、负债、现金流量、收入、费用或净利润。特别地，如果某个或某些基准曾用于确定集团财务报表作为一个整体的重要性水平，同样的基准可能对于识别单独具有财务重大性的组成部分也是适宜的。这是因为影响选择适当基准的因素除其他外，还考虑了被审计单位的性质。集团项目组可能认为超过选定基准15%的组成部分单独具有财务重大性。然而，由于每个集团的结构不同，使用单一的百分比阈值来确定每个集团审计的单独财务重大性是不可行的。因此，根据集团的性质或具体情况，较高或较低的百分比可能是适当的。</t>
    </r>
    <phoneticPr fontId="29" type="noConversion"/>
  </si>
  <si>
    <r>
      <rPr>
        <b/>
        <sz val="11"/>
        <color theme="1"/>
        <rFont val="宋体"/>
        <family val="3"/>
        <charset val="134"/>
      </rPr>
      <t>对非重要组成部分执行的工作类型</t>
    </r>
    <r>
      <rPr>
        <sz val="11"/>
        <color theme="1"/>
        <rFont val="宋体"/>
        <family val="3"/>
        <charset val="134"/>
      </rPr>
      <t xml:space="preserve">
集团可能只包括不重要的组成部分或包含许多虽单独不存在重要性但整合起来对集团具有重要性的组成部分。在这些情况下，集团项目组可以通过选取组成部分并对其执行以下一或多项工作以获取充分、适当的审计证据，作为发表集团审计意见的基础：
●使用组成部分重要性对组成部分财务信息实施审计；
●对一个或多个账户余额、一类或多类交易或披露实施审计；
●使用组成部分重要性对组成部分财务信息实施审阅；
●实施特定的审计程序。
如AE 7.9.3.4.2.所述，集团项目组对与某个组成部分相关的重大错报风险、选择多少个组成部分、选择哪些组成部分以及对选取的单个组成部分的财务信息执行的工作类型的决定是职业判断问题，可能会受到各种因素的影响。
选择不重要的组成部分引入不可预见性元素可能会增加识别重大错报的可能性，特别是关于评估集团财务报表层面由于舞弊导致的重大错报风险。因此，在每项集团审计中，对组成部分的选择通常实行定期轮换。可考虑自组成部分最后一次进行测试(如由集团项目组或内部审计部门进行测试)以来的时间长度。</t>
    </r>
    <phoneticPr fontId="29" type="noConversion"/>
  </si>
  <si>
    <r>
      <rPr>
        <b/>
        <sz val="11"/>
        <color theme="1"/>
        <rFont val="宋体"/>
        <family val="3"/>
        <charset val="134"/>
      </rPr>
      <t>对一个或多个账户余额、一类或多类交易或披露实施审计与实施特定的审计程序相比</t>
    </r>
    <r>
      <rPr>
        <sz val="11"/>
        <color theme="1"/>
        <rFont val="宋体"/>
        <family val="3"/>
        <charset val="134"/>
      </rPr>
      <t xml:space="preserve">
对一个或多个账户余额、一类或多类交易或披露实施审计与实施特定的审计程序的不同之处在于，组成部分注册会计师评估重大错报风险，并设计进一步的审计程序。此外，在对一个或多个账户余额、一类或多类交易或披露实施审计中，组成部分注册会计师酌情对关联项目执行程序。在一个或多个账户余额、一类或多类交易或披露实施审计中，组成部分注册会计师或集团项目组可以确定要应用的重要性水平。该重要性水平设置为低于集团重要性水平。同样地，实际执行的重要性设置为低于集团实际执行的重要性。请参阅要执行的工作和完成工作底稿模板。另一方面，集团项目组设计特定的审计程序，以应对与交易类别、账户余额或披露相关的重大错报的评估风险，并将此类程序与组成部分注册会计师进行沟通。</t>
    </r>
    <phoneticPr fontId="29" type="noConversion"/>
  </si>
  <si>
    <r>
      <rPr>
        <b/>
        <sz val="11"/>
        <color theme="1"/>
        <rFont val="宋体"/>
        <family val="3"/>
        <charset val="134"/>
      </rPr>
      <t>对组成部分财务信息实施审阅</t>
    </r>
    <r>
      <rPr>
        <sz val="11"/>
        <color theme="1"/>
        <rFont val="宋体"/>
        <family val="3"/>
        <charset val="134"/>
      </rPr>
      <t xml:space="preserve">
审阅仅旨在获取有限保证，主要通过执行询问和分析性程序，即不需要对财务信息进行重大修改，使其符合财务报告编制基础。因此，对组成部分财务信息的审阅不足以应对该组成部分出现的集团财务报表重大错报风险。然而，可以实施审阅，以降低未发现重大错报的审计风险，或纳入不可预见性因素。审阅结果还可以为集团项目组纳入范围的项目的审计证据提供佐证或表明存在矛盾的迹象。</t>
    </r>
    <phoneticPr fontId="29" type="noConversion"/>
  </si>
  <si>
    <r>
      <rPr>
        <b/>
        <sz val="11"/>
        <color theme="1"/>
        <rFont val="宋体"/>
        <family val="3"/>
        <charset val="134"/>
      </rPr>
      <t>确定组成部分重要性</t>
    </r>
    <r>
      <rPr>
        <sz val="11"/>
        <color theme="1"/>
        <rFont val="宋体"/>
        <family val="3"/>
        <charset val="134"/>
      </rPr>
      <t xml:space="preserve">
确定组成部分重要性属于职业判断。为降低未更正和未发现错报的汇总数超过集团财务报表整体的重要性的风险，需要将组成部分重要性设定为低于集团财务报表整体的重要性。然而，对不同组成部分确定的重要性的汇总数，有可能高于集团财务报表整体的重要性（即确定组成部分重要性时，无需采用将集团财务报表整体重要性按比例分配的方式）。此外，组成部分重要性无需成为集团整体重要性的一个数字比例。
在确定组成部分重要性时，无论集团财务报表的审计报告中是否提及组成部分注册会计师的审计工作，必须考虑所有组成部分，以降低集团财务报表中已发现和未发现错报的总和超过集团财务报表整体重要性的风险。集团项目组可以使用集团实际执行的重要性作为确定组成部分重要性的起点。然而，考虑到各组成部分相对于集团的相对规模，通过确定适当的金额，可以确定不同组成部分的不同重要性。
法律、法规或其他原因可能要求组成部分注册会计师对组成部分的财务报表发表审计意见。在这种情况下，用于此类审计的重要性通常可以预期低于集团的重要性，因此，对于集团审计而言是可接受的。然而，与集团项目组的沟通可能基于由集团项目组确定的组成部分重要性和明显微小金额。</t>
    </r>
    <phoneticPr fontId="29" type="noConversion"/>
  </si>
  <si>
    <r>
      <rPr>
        <b/>
        <sz val="11"/>
        <color theme="1"/>
        <rFont val="宋体"/>
        <family val="3"/>
        <charset val="134"/>
      </rPr>
      <t>确定按权益法核算的被投资实体的组成部分重要性</t>
    </r>
    <r>
      <rPr>
        <sz val="11"/>
        <color theme="1"/>
        <rFont val="宋体"/>
        <family val="3"/>
        <charset val="134"/>
      </rPr>
      <t xml:space="preserve">
有时，按权益法核算的被投资实体比投资方（集团）明显更大，用以支持投资方享有投资收益的证据可能主要由被投资方经审计的财务报表组成。在这种情况下，被投资方注册会计师使用的重要性可能大于投资方注册会计师使用的重要性水平。当存在这类情况时，集团项目组在确定被投资方注册会计师使用的组成部分重要性是否适合于集团财务报表审计时，可以考虑集团的持股比例及其在被投资方损益中所占份额等事项，以确定被投资方的注册会计师所使用的组成部分重要性是否适合于集团财务报表审计。也就是说，在确定组成部分重要性时，可能需要考虑基于所有权比例按权益法核算的被投资实体的错报对集团财务报表的影响。事务所的方法论为使用集团财务报表整体实际执行的重要性作为起点来确定组成部分重要性提供了方法；例如，使用集团财务报表整体实际执行的重要性（400,000）除以所有权比例（40%），得出按权益法核算的被投资实体的组成部分重要性（1,000,000）。其他方法，例如对恰当的基准应用合理的百分比或直接确定一个恰当的组成部分重要性金额，也适用。</t>
    </r>
    <phoneticPr fontId="31" type="noConversion"/>
  </si>
  <si>
    <t>本报告仅供参考和额外分析之用，以协助集团项目组确定集团审计范围。它详细说明了要对财务信息执行的工作类型，这可能有助于集团项目组确定是否执行进一步的程序，其中可能包括选择其他非重要的组成部分以执行工作。此汇总报告允许集团项目组记录有关集团项目组将审计的余额的说明。</t>
    <phoneticPr fontId="29" type="noConversion"/>
  </si>
  <si>
    <t>根据前面工作表中输入的详细信息，财务报表标题将自动显示，同时显示按要执行的工作类型汇总的组成部分的金额。如果执行的工作类型是对一个或多个账户余额、一类或多类交易或披露或特定程序的审计，则为每个组成部分添加一列。按财务报表标题手动输入金额，或在适用情况下，将适当的列加在右侧，记录纳入审计范围的金额。</t>
    <phoneticPr fontId="29" type="noConversion"/>
  </si>
  <si>
    <t>集团名称</t>
    <phoneticPr fontId="29" type="noConversion"/>
  </si>
  <si>
    <t>集团期间结束日期</t>
    <phoneticPr fontId="29" type="noConversion"/>
  </si>
  <si>
    <t>组成部分序号</t>
    <phoneticPr fontId="29" type="noConversion"/>
  </si>
  <si>
    <t>合并总额（调整和抵销前）</t>
    <phoneticPr fontId="29" type="noConversion"/>
  </si>
  <si>
    <t>调整</t>
  </si>
  <si>
    <t>抵销</t>
    <phoneticPr fontId="29" type="noConversion"/>
  </si>
  <si>
    <t>合并总额</t>
  </si>
  <si>
    <t>组成部分名称</t>
    <phoneticPr fontId="29" type="noConversion"/>
  </si>
  <si>
    <t>组成部分类型</t>
    <phoneticPr fontId="29" type="noConversion"/>
  </si>
  <si>
    <t>组成部分的重要程度（来自确定审计范围的输入值工作表）</t>
    <phoneticPr fontId="29" type="noConversion"/>
  </si>
  <si>
    <t>要执行的工作类型（来自确定审计范围的输入值工作表）</t>
    <phoneticPr fontId="29" type="noConversion"/>
  </si>
  <si>
    <t>资产负债表</t>
  </si>
  <si>
    <t>流动资产</t>
  </si>
  <si>
    <t>现金和现金等价物</t>
  </si>
  <si>
    <t>受限现金</t>
  </si>
  <si>
    <t>以公允价值计量的有价证券</t>
  </si>
  <si>
    <t>应收账款净额</t>
  </si>
  <si>
    <t>投资性房地产净额</t>
    <phoneticPr fontId="29" type="noConversion"/>
  </si>
  <si>
    <t>存货</t>
  </si>
  <si>
    <t>预付款项</t>
    <phoneticPr fontId="29" type="noConversion"/>
  </si>
  <si>
    <t>合同资产</t>
  </si>
  <si>
    <t>其他流动资产</t>
  </si>
  <si>
    <t>故意隐藏</t>
  </si>
  <si>
    <t>流动资产总额</t>
  </si>
  <si>
    <t>债务和权益证券</t>
  </si>
  <si>
    <t>其他投资</t>
  </si>
  <si>
    <t>衍生资产</t>
  </si>
  <si>
    <t>递延所得税资产（非流动）</t>
    <phoneticPr fontId="29" type="noConversion"/>
  </si>
  <si>
    <t>固定资产净额</t>
    <phoneticPr fontId="29" type="noConversion"/>
  </si>
  <si>
    <t>无形资产净额</t>
  </si>
  <si>
    <t>商誉</t>
    <phoneticPr fontId="29" type="noConversion"/>
  </si>
  <si>
    <t>持有待售资产</t>
    <phoneticPr fontId="29" type="noConversion"/>
  </si>
  <si>
    <t>终止经营资产</t>
    <phoneticPr fontId="29" type="noConversion"/>
  </si>
  <si>
    <t>应收关联方款项（非流动）</t>
    <phoneticPr fontId="29" type="noConversion"/>
  </si>
  <si>
    <t>对子公司的投资</t>
  </si>
  <si>
    <t>其他资产</t>
  </si>
  <si>
    <t>资产总额</t>
    <phoneticPr fontId="29" type="noConversion"/>
  </si>
  <si>
    <t>负债和股东权益</t>
  </si>
  <si>
    <t>负债</t>
    <phoneticPr fontId="29" type="noConversion"/>
  </si>
  <si>
    <t>流动负债</t>
  </si>
  <si>
    <t>应付账款</t>
  </si>
  <si>
    <t>应计费用</t>
  </si>
  <si>
    <t>长期借款的流动部分</t>
    <phoneticPr fontId="29" type="noConversion"/>
  </si>
  <si>
    <t>融资租赁负债（流动）</t>
    <phoneticPr fontId="29" type="noConversion"/>
  </si>
  <si>
    <t>应交所得税</t>
  </si>
  <si>
    <t>衍生负债</t>
  </si>
  <si>
    <t>递延收益（流动）</t>
    <phoneticPr fontId="29" type="noConversion"/>
  </si>
  <si>
    <t>应付股利</t>
  </si>
  <si>
    <t>合同负债</t>
  </si>
  <si>
    <t>其他流动负债</t>
  </si>
  <si>
    <t>流动负债总额</t>
  </si>
  <si>
    <t>长期借款净额</t>
    <phoneticPr fontId="29" type="noConversion"/>
  </si>
  <si>
    <t>融资租赁负债（非流动）</t>
    <phoneticPr fontId="29" type="noConversion"/>
  </si>
  <si>
    <t>应付关联方款项（非流动）</t>
    <phoneticPr fontId="29" type="noConversion"/>
  </si>
  <si>
    <t>员工福利计划负债</t>
    <phoneticPr fontId="29" type="noConversion"/>
  </si>
  <si>
    <t>递延收益（非流动）</t>
    <phoneticPr fontId="29" type="noConversion"/>
  </si>
  <si>
    <t>递延所得税负债（非流动）</t>
    <phoneticPr fontId="29" type="noConversion"/>
  </si>
  <si>
    <t>持有待售负债</t>
    <phoneticPr fontId="29" type="noConversion"/>
  </si>
  <si>
    <t>终止经营负债</t>
    <phoneticPr fontId="29" type="noConversion"/>
  </si>
  <si>
    <t>其他负债</t>
  </si>
  <si>
    <t>负债总额</t>
    <phoneticPr fontId="29" type="noConversion"/>
  </si>
  <si>
    <t>股东权益</t>
  </si>
  <si>
    <t>优先股</t>
  </si>
  <si>
    <t>普通股</t>
  </si>
  <si>
    <t>库存股</t>
  </si>
  <si>
    <t>资本公积</t>
    <phoneticPr fontId="29" type="noConversion"/>
  </si>
  <si>
    <t>累计其他综合收益（损失）</t>
    <phoneticPr fontId="29" type="noConversion"/>
  </si>
  <si>
    <t>未分配利润</t>
    <phoneticPr fontId="29" type="noConversion"/>
  </si>
  <si>
    <t>归属于母公司的股东权益总额</t>
    <phoneticPr fontId="29" type="noConversion"/>
  </si>
  <si>
    <t>非控制性权益</t>
  </si>
  <si>
    <t>股东权益合计</t>
  </si>
  <si>
    <t>负债和权益总额</t>
  </si>
  <si>
    <t>检查</t>
  </si>
  <si>
    <t>利润表</t>
    <phoneticPr fontId="29" type="noConversion"/>
  </si>
  <si>
    <t>净销售额</t>
  </si>
  <si>
    <t>其他收入</t>
  </si>
  <si>
    <t>收入总额</t>
    <phoneticPr fontId="29" type="noConversion"/>
  </si>
  <si>
    <t>销售成本</t>
  </si>
  <si>
    <t>毛利</t>
    <phoneticPr fontId="29" type="noConversion"/>
  </si>
  <si>
    <t>其他营业费用</t>
  </si>
  <si>
    <t>销售和管理费用</t>
    <phoneticPr fontId="29" type="noConversion"/>
  </si>
  <si>
    <t>折旧费用</t>
    <phoneticPr fontId="29" type="noConversion"/>
  </si>
  <si>
    <t>摊销费用</t>
  </si>
  <si>
    <t>减值损失</t>
  </si>
  <si>
    <t>重组费用</t>
  </si>
  <si>
    <t>其他一般费用</t>
    <phoneticPr fontId="29" type="noConversion"/>
  </si>
  <si>
    <t>经营收入（损失）</t>
    <phoneticPr fontId="29" type="noConversion"/>
  </si>
  <si>
    <t>营业外收入（支出）</t>
  </si>
  <si>
    <t>利息收入（费用）</t>
    <phoneticPr fontId="29" type="noConversion"/>
  </si>
  <si>
    <t>所得税费用前的收入（损失）</t>
  </si>
  <si>
    <t>所得税优惠（费用）</t>
  </si>
  <si>
    <t>子公司收益（损失）中的权益</t>
    <phoneticPr fontId="29" type="noConversion"/>
  </si>
  <si>
    <t>持续经营收入（损失）</t>
    <phoneticPr fontId="29" type="noConversion"/>
  </si>
  <si>
    <t>终止经营收入（损失）</t>
    <phoneticPr fontId="29" type="noConversion"/>
  </si>
  <si>
    <t>会计政策变更累计影响前的收入（损失）</t>
    <phoneticPr fontId="29" type="noConversion"/>
  </si>
  <si>
    <t>会计政策变更累计影响的利得（损失）</t>
    <phoneticPr fontId="29" type="noConversion"/>
  </si>
  <si>
    <t>减：归属于非控制性权益的净利润（亏损）</t>
    <phoneticPr fontId="29" type="noConversion"/>
  </si>
  <si>
    <t>归属于母公司的净利润（亏损）</t>
    <phoneticPr fontId="29" type="noConversion"/>
  </si>
  <si>
    <t>其他相关财务信息</t>
  </si>
  <si>
    <t>类型</t>
  </si>
  <si>
    <t>地址</t>
    <phoneticPr fontId="29" type="noConversion"/>
  </si>
  <si>
    <t>定时器</t>
    <phoneticPr fontId="29" type="noConversion"/>
  </si>
  <si>
    <t>确定审计范围的输入值</t>
    <phoneticPr fontId="29" type="noConversion"/>
  </si>
  <si>
    <t>集团重要性</t>
  </si>
  <si>
    <t>集团实际执行的重要性</t>
    <phoneticPr fontId="29" type="noConversion"/>
  </si>
  <si>
    <t>+添加基准</t>
  </si>
  <si>
    <t>基准金额</t>
  </si>
  <si>
    <t>按权益法核算的被投资实体</t>
    <phoneticPr fontId="29" type="noConversion"/>
  </si>
  <si>
    <t>！</t>
  </si>
  <si>
    <t>按权益法核算的被投资实体的金额（资产负债表）</t>
    <phoneticPr fontId="29" type="noConversion"/>
  </si>
  <si>
    <t>按权益法核算的被投资实体的金额（利润表）</t>
    <phoneticPr fontId="29" type="noConversion"/>
  </si>
  <si>
    <t>所有权百分比</t>
  </si>
  <si>
    <t>组成部分的重要程度</t>
    <phoneticPr fontId="29" type="noConversion"/>
  </si>
  <si>
    <t>要执行的工作类型</t>
  </si>
  <si>
    <t>对非重要组成部分实施审计程序的目的</t>
    <phoneticPr fontId="29" type="noConversion"/>
  </si>
  <si>
    <t>组成部分重要性</t>
    <phoneticPr fontId="29" type="noConversion"/>
  </si>
  <si>
    <t>组成部分实际执行的重要性</t>
    <phoneticPr fontId="29" type="noConversion"/>
  </si>
  <si>
    <t>组成部分注册会计师事务所名称</t>
    <phoneticPr fontId="29" type="noConversion"/>
  </si>
  <si>
    <t>组成部分注册会计师类型</t>
    <phoneticPr fontId="29" type="noConversion"/>
  </si>
  <si>
    <t>由组成部分注册会计师执行法定审计？</t>
    <phoneticPr fontId="29" type="noConversion"/>
  </si>
  <si>
    <t>重大职业判断或其他意见（如有）</t>
    <phoneticPr fontId="29" type="noConversion"/>
  </si>
  <si>
    <t>不适用</t>
    <phoneticPr fontId="29" type="noConversion"/>
  </si>
  <si>
    <t>不适用 - 重要组成部分</t>
    <phoneticPr fontId="29" type="noConversion"/>
  </si>
  <si>
    <t>一个或多个账户余额、一类或多类交易或披露审计以及特定审计程序中未包括的金额总和</t>
    <phoneticPr fontId="29" type="noConversion"/>
  </si>
  <si>
    <t>财务信息审计，一个或多个账户余额、一类或多类交易或披露审计以及特定审计程序中包含的金额总和</t>
    <phoneticPr fontId="29" type="noConversion"/>
  </si>
  <si>
    <t>财务信息审计 - 承担责任</t>
    <phoneticPr fontId="29" type="noConversion"/>
  </si>
  <si>
    <t>对一个或多个账户余额、一类或多类交易或披露的审计</t>
    <phoneticPr fontId="29" type="noConversion"/>
  </si>
  <si>
    <t>特定审计程序</t>
    <phoneticPr fontId="29" type="noConversion"/>
  </si>
  <si>
    <t>财务信息审阅</t>
    <phoneticPr fontId="29" type="noConversion"/>
  </si>
  <si>
    <t>集团层面的分析性程序</t>
    <phoneticPr fontId="29" type="noConversion"/>
  </si>
  <si>
    <t>金额</t>
    <phoneticPr fontId="29" type="noConversion"/>
  </si>
  <si>
    <t>金额（%）</t>
  </si>
  <si>
    <t>集团项目组将实施实质性程序或控制测试的领域</t>
    <phoneticPr fontId="29" type="noConversion"/>
  </si>
  <si>
    <t>集团项目组在组成部分层面实施的非实质性分析程序</t>
    <phoneticPr fontId="29" type="noConversion"/>
  </si>
  <si>
    <t>ote已禁用</t>
  </si>
  <si>
    <t>组成部分类型</t>
    <phoneticPr fontId="29" type="noConversion"/>
  </si>
  <si>
    <t>组成部分的重要程度</t>
    <phoneticPr fontId="29" type="noConversion"/>
  </si>
  <si>
    <t>单独具有财务重大性</t>
    <phoneticPr fontId="29" type="noConversion"/>
  </si>
  <si>
    <t>可能包括特别风险</t>
    <phoneticPr fontId="29" type="noConversion"/>
  </si>
  <si>
    <t>不重大</t>
    <phoneticPr fontId="29" type="noConversion"/>
  </si>
  <si>
    <t>母公司</t>
    <phoneticPr fontId="29" type="noConversion"/>
  </si>
  <si>
    <t>子公司</t>
    <phoneticPr fontId="29" type="noConversion"/>
  </si>
  <si>
    <t>其他</t>
    <phoneticPr fontId="29" type="noConversion"/>
  </si>
  <si>
    <t>对组成部分财务信息的审阅不足以应对集团财务报表的重大错报风险。</t>
    <phoneticPr fontId="29" type="noConversion"/>
  </si>
  <si>
    <t>选择“OK”可从此选项卡和所有后续工作表中删除此组成部分</t>
    <phoneticPr fontId="29" type="noConversion"/>
  </si>
  <si>
    <t>删除组成部分</t>
    <phoneticPr fontId="29" type="noConversion"/>
  </si>
  <si>
    <t>选择“OK”删除此基准</t>
    <phoneticPr fontId="29" type="noConversion"/>
  </si>
  <si>
    <t>删除基准</t>
  </si>
  <si>
    <t>输入大于零且小于集团重要性的组成部分重要性金额。</t>
    <phoneticPr fontId="29" type="noConversion"/>
  </si>
  <si>
    <t>输入大于零、小于或等于确定的组成部分重要性，以及小于集团实际执行重要性的组成部分实际执行重要性金额。</t>
    <phoneticPr fontId="29" type="noConversion"/>
  </si>
  <si>
    <t>输入大于零的组成部分重要性金额。</t>
    <phoneticPr fontId="29" type="noConversion"/>
  </si>
  <si>
    <t>输入大于零的组成部分实际执行重要性金额。</t>
    <phoneticPr fontId="29" type="noConversion"/>
  </si>
  <si>
    <t>在财务信息区域中选择一个单元格以添加财务报表标题或其他相关财务信息。</t>
  </si>
  <si>
    <t>选择“OK”删除此财务报表标题</t>
    <phoneticPr fontId="29" type="noConversion"/>
  </si>
  <si>
    <t>我们只能提及成员所或非成员所的审计报告。</t>
    <phoneticPr fontId="29" type="noConversion"/>
  </si>
  <si>
    <t>集团的其他重大错报风险</t>
    <phoneticPr fontId="29" type="noConversion"/>
  </si>
  <si>
    <t>我们所</t>
    <phoneticPr fontId="29" type="noConversion"/>
  </si>
  <si>
    <t>充分、适当的审计证据</t>
    <phoneticPr fontId="29" type="noConversion"/>
  </si>
  <si>
    <t>另一家成员所</t>
    <phoneticPr fontId="29" type="noConversion"/>
  </si>
  <si>
    <t>不可预见性</t>
    <phoneticPr fontId="29" type="noConversion"/>
  </si>
  <si>
    <t>不适用 - 集团层面的分析性程序</t>
    <phoneticPr fontId="29" type="noConversion"/>
  </si>
  <si>
    <t>完成拼写检查。</t>
    <phoneticPr fontId="29" type="noConversion"/>
  </si>
  <si>
    <t>删除财务报表标题</t>
    <phoneticPr fontId="29" type="noConversion"/>
  </si>
  <si>
    <t>In-line guidance (!)
Throughout the template, there is guidance input in the form of data validation input messages denoted by a grey exclamation point "!". Note that if you are unable to see the entirety of the guidance (it is cut-off), it is generally a result of the default scale setting in the display settings on the computer not being set to 100% (not the Excel zoom).</t>
    <phoneticPr fontId="29" type="noConversion"/>
  </si>
  <si>
    <t>此工作表用于获取有关集团审计中包含的组成部分的信息。根据需要添加或删除组成部分（请参阅上面的说明），并为每个组成部分输入“组成部分名称”和“组成部分类型”字段，完成此工作表。然后，根据需要添加或删除财务报表标题和其他相关财务信息（请参阅上述说明），并根据需要进行调整或抵销，从而输入每个组成部分的财务报表信息以及其他相关的财务信息。此信息用于此工作簿的其他工作表。项目组负责确保本工作表中小计项的完整性和准确性，财务报表标题和小计项的添加和删除可能需要用户更新相关合计项。为了获得最佳效果，请将金额输入为正数（负数），而不是借方（贷方）。</t>
    <phoneticPr fontId="29" type="noConversion"/>
  </si>
  <si>
    <t>Summary by type of work report</t>
    <phoneticPr fontId="29" type="noConversion"/>
  </si>
  <si>
    <t>按工作类型的汇总报告</t>
    <phoneticPr fontId="29" type="noConversion"/>
  </si>
  <si>
    <t>Equity in earnings (losses) of subsidiaries</t>
    <phoneticPr fontId="29" type="noConversion"/>
  </si>
  <si>
    <t>净利润（亏损）</t>
    <phoneticPr fontId="29" type="noConversion"/>
  </si>
  <si>
    <t>按要执行的工作类型的汇总报告</t>
    <phoneticPr fontId="29" type="noConversion"/>
  </si>
  <si>
    <t>Sum of amounts included in review of financial information and analytical procedures at group level</t>
    <phoneticPr fontId="29" type="noConversion"/>
  </si>
  <si>
    <t>集团层面财务信息审阅和分析性程序中包括的金额总和</t>
    <phoneticPr fontId="29" type="noConversion"/>
  </si>
  <si>
    <t>注释</t>
    <phoneticPr fontId="29" type="noConversion"/>
  </si>
  <si>
    <t>公司</t>
    <phoneticPr fontId="29" type="noConversion"/>
  </si>
  <si>
    <t>非成员所</t>
    <phoneticPr fontId="29" type="noConversion"/>
  </si>
  <si>
    <t>模板内的指引（！）
在整个模板中，有数据验证形式的输入指引，以灰色感叹号“！”表示。请注意，如果您无法看到整个指引（指引被剪切了），通常是由于计算机上显示设置中的默认比例设置没有设置为100%（而不是Excel缩放）。</t>
    <phoneticPr fontId="29" type="noConversion"/>
  </si>
  <si>
    <r>
      <t>2021</t>
    </r>
    <r>
      <rPr>
        <b/>
        <sz val="10"/>
        <color rgb="FFFF0000"/>
        <rFont val="宋体"/>
        <family val="2"/>
        <charset val="134"/>
      </rPr>
      <t>年6月</t>
    </r>
    <phoneticPr fontId="29" type="noConversion"/>
  </si>
  <si>
    <t>财务信息审计 - 提及组成部分注册会计师（中国准则不适用）</t>
    <phoneticPr fontId="29" type="noConversion"/>
  </si>
  <si>
    <t>不适用</t>
    <phoneticPr fontId="29" type="noConversion"/>
  </si>
  <si>
    <t>不适用 - 重要组成部分</t>
    <phoneticPr fontId="29" type="noConversion"/>
  </si>
  <si>
    <t>此工作表用于确定组成部分的重要程度以及要执行的工作类型。它还包括确定组成部分注册会计师（如适用）。首先输入集团审计重要性、集团实际执行的重要性，以及用于识别单独具有财务重大性组成部分的基准，以完成本工作表。然后，根据需要添加或删除基准（请参阅上面的说明）；输入基准时，请小心输入与“数据输入”工作表上显示的名称完全相同的基准名称（或复制并粘贴名称），以便自动提取金额。接下来，根据需要输入每个权益法投资的财务报表信息和所有权百分比。根据项目组的评估，选择组成部分的重要程度和要执行的工作类型。
某些司法管辖区允许集团项目组（1）对组成部分注册会计师的工作承担责任，只要该工作与对集团财务报表的审计意见有关，或者（2）不承担责任，也不在审计报告中提及组成部分注册会计师对集团财务报表的审计工作。“财务信息审计”包括两个选项，可用于选择集团审计业务要执行的工作类型：“财务信息审计 - 承担责任”和“财务信息审计 - 提及组成部分注册会计师（中国准则不适用）”。在其司法管辖区内没有这些报告选项的成员所将在模板中选择“财务信息审计 - 承担责任”选项。“财务信息审计 - 承担责任”包括下述功能：集团项目组可以选择该功能，并继续在适用字段进行记录，并在必要时确定组成部分重要性。
同时填写其余字段。</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</si>
</sst>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_(* #,##0.00_);_(* \(#,##0.00\);_(* &quot;-&quot;??_);_(@_)"/>
  </numFmts>
  <fonts count="33" x14ac:knownFonts="1">
    <font>
      <sz val="8"/>
      <color theme="1"/>
      <name val="arial"/>
      <family val="2"/>
    </font>
    <font>
      <sz val="11"/>
      <color theme="1"/>
      <name val="等线"/>
      <family val="2"/>
      <scheme val="minor"/>
    </font>
    <font>
      <sz val="11"/>
      <color theme="1"/>
      <name val="等线"/>
      <family val="2"/>
      <scheme val="minor"/>
    </font>
    <font>
      <sz val="8"/>
      <color theme="0"/>
      <name val="arial"/>
      <family val="2"/>
    </font>
    <font>
      <b/>
      <sz val="12"/>
      <color rgb="FF7030A0"/>
      <name val="arial"/>
      <family val="2"/>
    </font>
    <font>
      <sz val="8"/>
      <color theme="1"/>
      <name val="arial"/>
      <family val="2"/>
    </font>
    <font>
      <sz val="12"/>
      <color theme="0"/>
      <name val="arial"/>
      <family val="2"/>
    </font>
    <font>
      <b/>
      <sz val="8"/>
      <name val="arial"/>
      <family val="2"/>
    </font>
    <font>
      <b/>
      <sz val="8"/>
      <color theme="1"/>
      <name val="arial"/>
      <family val="2"/>
    </font>
    <font>
      <b/>
      <sz val="10"/>
      <color theme="0"/>
      <name val="arial"/>
      <family val="2"/>
    </font>
    <font>
      <b/>
      <sz val="12"/>
      <color rgb="FF4F2D7F"/>
      <name val="arial"/>
      <family val="2"/>
    </font>
    <font>
      <i/>
      <sz val="8"/>
      <color theme="0" tint="-0.34998626667073579"/>
      <name val="arial"/>
      <family val="2"/>
    </font>
    <font>
      <sz val="8"/>
      <color theme="0" tint="-0.34998626667073579"/>
      <name val="arial"/>
      <family val="2"/>
    </font>
    <font>
      <sz val="11"/>
      <color theme="1"/>
      <name val="等线"/>
      <family val="2"/>
      <scheme val="minor"/>
    </font>
    <font>
      <b/>
      <sz val="10"/>
      <color rgb="FFFF0000"/>
      <name val="Arial"/>
      <family val="2"/>
    </font>
    <font>
      <sz val="10"/>
      <color rgb="FFFF0000"/>
      <name val="Arial"/>
      <family val="2"/>
    </font>
    <font>
      <b/>
      <sz val="10"/>
      <color theme="1"/>
      <name val="arial"/>
      <family val="2"/>
    </font>
    <font>
      <sz val="10"/>
      <name val="Arial"/>
      <family val="2"/>
    </font>
    <font>
      <b/>
      <sz val="10"/>
      <name val="Arial"/>
      <family val="2"/>
    </font>
    <font>
      <sz val="8"/>
      <color rgb="FFFF0000"/>
      <name val="arial"/>
      <family val="2"/>
    </font>
    <font>
      <u/>
      <sz val="8"/>
      <color theme="10"/>
      <name val="arial"/>
      <family val="2"/>
    </font>
    <font>
      <b/>
      <sz val="10"/>
      <color rgb="FF4F2D7F"/>
      <name val="arial"/>
      <family val="2"/>
    </font>
    <font>
      <b/>
      <sz val="10"/>
      <color theme="0" tint="-0.499984740745262"/>
      <name val="arial"/>
      <family val="2"/>
    </font>
    <font>
      <b/>
      <sz val="10"/>
      <color theme="0" tint="-0.34998626667073579"/>
      <name val="arial"/>
      <family val="2"/>
    </font>
    <font>
      <b/>
      <sz val="11"/>
      <color theme="0" tint="-0.34998626667073579"/>
      <name val="arial"/>
      <family val="2"/>
    </font>
    <font>
      <b/>
      <sz val="12"/>
      <color theme="1"/>
      <name val="Arial"/>
      <family val="2"/>
    </font>
    <font>
      <sz val="8"/>
      <name val="等线 Light"/>
      <family val="2"/>
      <scheme val="major"/>
    </font>
    <font>
      <u/>
      <sz val="8"/>
      <color theme="10"/>
      <name val="等线 Light"/>
      <family val="2"/>
      <scheme val="major"/>
    </font>
    <font>
      <sz val="11"/>
      <color theme="1"/>
      <name val="宋体"/>
      <family val="3"/>
      <charset val="134"/>
    </font>
    <font>
      <sz val="9"/>
      <name val="宋体"/>
      <family val="3"/>
      <charset val="134"/>
    </font>
    <font>
      <b/>
      <sz val="11"/>
      <color theme="1"/>
      <name val="宋体"/>
      <family val="3"/>
      <charset val="134"/>
    </font>
    <font>
      <sz val="9"/>
      <name val="等线"/>
      <family val="2"/>
      <charset val="134"/>
      <scheme val="minor"/>
    </font>
    <font>
      <b/>
      <sz val="10"/>
      <color rgb="FFFF0000"/>
      <name val="宋体"/>
      <family val="2"/>
      <charset val="134"/>
    </font>
  </fonts>
  <fills count="5">
    <fill>
      <patternFill patternType="none"/>
    </fill>
    <fill>
      <patternFill patternType="gray125"/>
    </fill>
    <fill>
      <patternFill patternType="solid">
        <fgColor rgb="FF4F2D7F"/>
        <bgColor indexed="64"/>
      </patternFill>
    </fill>
    <fill>
      <patternFill patternType="solid">
        <fgColor theme="0" tint="-4.9989318521683403E-2"/>
        <bgColor indexed="64"/>
      </patternFill>
    </fill>
    <fill>
      <patternFill patternType="solid">
        <fgColor theme="0" tint="-0.14999847407452621"/>
        <bgColor indexed="64"/>
      </patternFill>
    </fill>
  </fills>
  <borders count="2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style="thin">
        <color indexed="64"/>
      </top>
      <bottom style="double">
        <color indexed="64"/>
      </bottom>
      <diagonal/>
    </border>
    <border>
      <left style="thin">
        <color theme="0" tint="-0.14999847407452621"/>
      </left>
      <right/>
      <top style="thin">
        <color theme="0" tint="-0.14999847407452621"/>
      </top>
      <bottom style="medium">
        <color indexed="64"/>
      </bottom>
      <diagonal/>
    </border>
    <border>
      <left/>
      <right/>
      <top style="thin">
        <color theme="0" tint="-0.14999847407452621"/>
      </top>
      <bottom style="medium">
        <color indexed="64"/>
      </bottom>
      <diagonal/>
    </border>
    <border>
      <left/>
      <right style="thin">
        <color theme="0" tint="-0.14999847407452621"/>
      </right>
      <top style="thin">
        <color theme="0" tint="-0.14999847407452621"/>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7">
    <xf numFmtId="0" fontId="0" fillId="0" borderId="0"/>
    <xf numFmtId="176" fontId="5" fillId="0" borderId="0" applyFont="0" applyFill="0" applyBorder="0" applyAlignment="0" applyProtection="0"/>
    <xf numFmtId="9" fontId="5" fillId="0" borderId="0" applyFont="0" applyFill="0" applyBorder="0" applyAlignment="0" applyProtection="0"/>
    <xf numFmtId="0" fontId="13" fillId="0" borderId="0"/>
    <xf numFmtId="0" fontId="2" fillId="0" borderId="0"/>
    <xf numFmtId="0" fontId="20" fillId="0" borderId="0" applyNumberFormat="0" applyFill="0" applyBorder="0" applyAlignment="0" applyProtection="0"/>
    <xf numFmtId="0" fontId="1" fillId="0" borderId="0"/>
  </cellStyleXfs>
  <cellXfs count="186">
    <xf numFmtId="0" fontId="0" fillId="0" borderId="0" xfId="0"/>
    <xf numFmtId="0" fontId="4" fillId="0" borderId="0" xfId="0" applyFont="1"/>
    <xf numFmtId="0" fontId="0" fillId="3" borderId="1" xfId="0" applyFill="1" applyBorder="1" applyAlignment="1">
      <alignment horizontal="center" vertical="center" wrapText="1"/>
    </xf>
    <xf numFmtId="0" fontId="6" fillId="0" borderId="0" xfId="0" applyFont="1" applyAlignment="1">
      <alignment horizontal="center"/>
    </xf>
    <xf numFmtId="0" fontId="0" fillId="3" borderId="1" xfId="0" applyFill="1" applyBorder="1" applyAlignment="1">
      <alignment horizontal="left" vertical="center" wrapText="1"/>
    </xf>
    <xf numFmtId="37" fontId="0" fillId="3" borderId="1" xfId="0" applyNumberFormat="1" applyFill="1" applyBorder="1" applyAlignment="1">
      <alignment horizontal="center" vertical="center" wrapText="1"/>
    </xf>
    <xf numFmtId="0" fontId="0" fillId="0" borderId="0" xfId="0" applyAlignment="1">
      <alignment vertical="center" wrapText="1"/>
    </xf>
    <xf numFmtId="37" fontId="0" fillId="0" borderId="10" xfId="0" applyNumberFormat="1" applyBorder="1" applyAlignment="1">
      <alignment vertical="center" wrapText="1"/>
    </xf>
    <xf numFmtId="0" fontId="0" fillId="2" borderId="0" xfId="0" applyFill="1" applyAlignment="1">
      <alignment vertical="center" wrapText="1"/>
    </xf>
    <xf numFmtId="37" fontId="0" fillId="2" borderId="0" xfId="0" applyNumberFormat="1" applyFill="1" applyAlignment="1">
      <alignment vertical="center" wrapText="1"/>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11" fillId="0" borderId="10" xfId="0" applyFont="1" applyBorder="1" applyAlignment="1">
      <alignment vertical="center" wrapText="1"/>
    </xf>
    <xf numFmtId="0" fontId="10" fillId="3" borderId="14" xfId="0" applyFont="1" applyFill="1" applyBorder="1" applyAlignment="1">
      <alignment vertical="center"/>
    </xf>
    <xf numFmtId="0" fontId="0" fillId="3" borderId="7" xfId="0" applyFill="1" applyBorder="1" applyAlignment="1">
      <alignment vertical="center" wrapText="1"/>
    </xf>
    <xf numFmtId="0" fontId="8" fillId="3" borderId="1" xfId="0" applyFont="1" applyFill="1" applyBorder="1" applyAlignment="1">
      <alignment vertical="center" wrapText="1"/>
    </xf>
    <xf numFmtId="0" fontId="11" fillId="3" borderId="10" xfId="0" applyFont="1" applyFill="1" applyBorder="1" applyAlignment="1">
      <alignment vertical="center" wrapText="1"/>
    </xf>
    <xf numFmtId="0" fontId="8" fillId="3" borderId="11" xfId="0" applyFont="1" applyFill="1" applyBorder="1" applyAlignment="1">
      <alignment vertical="center" wrapText="1"/>
    </xf>
    <xf numFmtId="0" fontId="8" fillId="3" borderId="9" xfId="0" applyFont="1" applyFill="1" applyBorder="1" applyAlignment="1">
      <alignment vertical="center" wrapText="1"/>
    </xf>
    <xf numFmtId="0" fontId="0" fillId="3" borderId="12" xfId="0" applyFill="1" applyBorder="1" applyAlignment="1">
      <alignment vertical="center" wrapText="1"/>
    </xf>
    <xf numFmtId="0" fontId="8" fillId="3" borderId="13" xfId="0" applyFont="1" applyFill="1" applyBorder="1" applyAlignment="1">
      <alignment vertical="center" wrapText="1"/>
    </xf>
    <xf numFmtId="0" fontId="0" fillId="3" borderId="10" xfId="0" applyFill="1" applyBorder="1" applyAlignment="1">
      <alignment vertical="center" wrapText="1"/>
    </xf>
    <xf numFmtId="0" fontId="0" fillId="3" borderId="1" xfId="0" applyFill="1" applyBorder="1" applyAlignment="1">
      <alignment vertical="center" wrapText="1"/>
    </xf>
    <xf numFmtId="0" fontId="10" fillId="0" borderId="14" xfId="0" applyFont="1" applyBorder="1" applyAlignment="1" applyProtection="1">
      <alignment vertical="center"/>
      <protection locked="0"/>
    </xf>
    <xf numFmtId="0" fontId="10" fillId="0" borderId="15" xfId="0" applyFont="1" applyBorder="1" applyAlignment="1" applyProtection="1">
      <alignment vertical="center"/>
      <protection locked="0"/>
    </xf>
    <xf numFmtId="0" fontId="10" fillId="0" borderId="16" xfId="0" applyFont="1" applyBorder="1" applyAlignment="1" applyProtection="1">
      <alignment vertical="center"/>
      <protection locked="0"/>
    </xf>
    <xf numFmtId="0" fontId="0" fillId="0" borderId="0" xfId="0" applyAlignment="1" applyProtection="1">
      <alignment vertical="center" wrapText="1"/>
      <protection locked="0"/>
    </xf>
    <xf numFmtId="37" fontId="0" fillId="0" borderId="8" xfId="0" applyNumberFormat="1" applyBorder="1" applyAlignment="1" applyProtection="1">
      <alignment vertical="center" wrapText="1"/>
      <protection locked="0"/>
    </xf>
    <xf numFmtId="0" fontId="0" fillId="0" borderId="7" xfId="0" applyBorder="1" applyAlignment="1" applyProtection="1">
      <alignment vertical="center" wrapText="1"/>
      <protection locked="0"/>
    </xf>
    <xf numFmtId="37" fontId="0" fillId="0" borderId="7" xfId="0" applyNumberFormat="1" applyBorder="1" applyAlignment="1" applyProtection="1">
      <alignment vertical="center" wrapText="1"/>
      <protection locked="0"/>
    </xf>
    <xf numFmtId="0" fontId="8" fillId="0" borderId="1" xfId="0" applyFont="1" applyBorder="1" applyAlignment="1" applyProtection="1">
      <alignment vertical="center" wrapText="1"/>
      <protection locked="0"/>
    </xf>
    <xf numFmtId="37" fontId="0" fillId="0" borderId="1" xfId="1" applyNumberFormat="1" applyFont="1" applyBorder="1" applyAlignment="1" applyProtection="1">
      <alignment vertical="center" wrapText="1"/>
      <protection locked="0"/>
    </xf>
    <xf numFmtId="0" fontId="0" fillId="0" borderId="1" xfId="0" applyBorder="1" applyAlignment="1" applyProtection="1">
      <alignment vertical="center" wrapText="1"/>
      <protection locked="0"/>
    </xf>
    <xf numFmtId="37" fontId="0" fillId="0" borderId="1" xfId="0" applyNumberFormat="1" applyBorder="1" applyAlignment="1" applyProtection="1">
      <alignment vertical="center" wrapText="1"/>
      <protection locked="0"/>
    </xf>
    <xf numFmtId="0" fontId="8" fillId="0" borderId="11" xfId="0" applyFont="1" applyBorder="1" applyAlignment="1" applyProtection="1">
      <alignment vertical="center" wrapText="1"/>
      <protection locked="0"/>
    </xf>
    <xf numFmtId="37" fontId="8" fillId="0" borderId="11" xfId="0" applyNumberFormat="1" applyFont="1" applyBorder="1" applyAlignment="1" applyProtection="1">
      <alignment vertical="center" wrapText="1"/>
      <protection locked="0"/>
    </xf>
    <xf numFmtId="0" fontId="8" fillId="0" borderId="9" xfId="0" applyFont="1" applyBorder="1" applyAlignment="1" applyProtection="1">
      <alignment vertical="center" wrapText="1"/>
      <protection locked="0"/>
    </xf>
    <xf numFmtId="37" fontId="8" fillId="0" borderId="9" xfId="0" applyNumberFormat="1" applyFont="1" applyBorder="1" applyAlignment="1" applyProtection="1">
      <alignment vertical="center" wrapText="1"/>
      <protection locked="0"/>
    </xf>
    <xf numFmtId="0" fontId="0" fillId="0" borderId="12" xfId="0" applyBorder="1" applyAlignment="1" applyProtection="1">
      <alignment vertical="center" wrapText="1"/>
      <protection locked="0"/>
    </xf>
    <xf numFmtId="37" fontId="0" fillId="0" borderId="12" xfId="0" applyNumberFormat="1" applyBorder="1" applyAlignment="1" applyProtection="1">
      <alignment vertical="center" wrapText="1"/>
      <protection locked="0"/>
    </xf>
    <xf numFmtId="0" fontId="8" fillId="0" borderId="13" xfId="0" applyFont="1" applyBorder="1" applyAlignment="1" applyProtection="1">
      <alignment vertical="center" wrapText="1"/>
      <protection locked="0"/>
    </xf>
    <xf numFmtId="37" fontId="8" fillId="0" borderId="13" xfId="0" applyNumberFormat="1" applyFont="1" applyBorder="1" applyAlignment="1" applyProtection="1">
      <alignment vertical="center" wrapText="1"/>
      <protection locked="0"/>
    </xf>
    <xf numFmtId="0" fontId="0" fillId="2" borderId="0" xfId="0" applyFill="1" applyAlignment="1" applyProtection="1">
      <alignment vertical="center" wrapText="1"/>
      <protection locked="0"/>
    </xf>
    <xf numFmtId="37" fontId="0" fillId="2" borderId="0" xfId="0" applyNumberFormat="1" applyFill="1" applyAlignment="1" applyProtection="1">
      <alignment vertical="center" wrapText="1"/>
      <protection locked="0"/>
    </xf>
    <xf numFmtId="37" fontId="0" fillId="0" borderId="10" xfId="0" applyNumberFormat="1" applyBorder="1" applyAlignment="1" applyProtection="1">
      <alignment vertical="center" wrapText="1"/>
      <protection locked="0"/>
    </xf>
    <xf numFmtId="0" fontId="0" fillId="0" borderId="10" xfId="0" applyBorder="1" applyAlignment="1" applyProtection="1">
      <alignment vertical="center" wrapText="1"/>
      <protection locked="0"/>
    </xf>
    <xf numFmtId="37" fontId="0" fillId="0" borderId="1" xfId="0" applyNumberFormat="1" applyBorder="1" applyAlignment="1">
      <alignment vertical="center" wrapText="1"/>
    </xf>
    <xf numFmtId="0" fontId="0" fillId="0" borderId="0" xfId="0" applyProtection="1">
      <protection locked="0"/>
    </xf>
    <xf numFmtId="0" fontId="0" fillId="3" borderId="1" xfId="0" applyFill="1" applyBorder="1" applyAlignment="1">
      <alignment vertical="center"/>
    </xf>
    <xf numFmtId="0" fontId="0" fillId="0" borderId="0" xfId="0" applyAlignment="1">
      <alignment horizontal="center"/>
    </xf>
    <xf numFmtId="1" fontId="0" fillId="0" borderId="0" xfId="1" applyNumberFormat="1" applyFont="1" applyAlignment="1" applyProtection="1">
      <alignment horizontal="center"/>
    </xf>
    <xf numFmtId="1" fontId="0" fillId="0" borderId="0" xfId="1" applyNumberFormat="1" applyFont="1" applyProtection="1">
      <protection locked="0"/>
    </xf>
    <xf numFmtId="1" fontId="0" fillId="0" borderId="0" xfId="1" applyNumberFormat="1" applyFont="1" applyFill="1" applyAlignment="1" applyProtection="1">
      <alignment horizontal="center"/>
    </xf>
    <xf numFmtId="1" fontId="0" fillId="2" borderId="0" xfId="1" applyNumberFormat="1" applyFont="1" applyFill="1" applyBorder="1" applyAlignment="1" applyProtection="1">
      <alignment vertical="center" wrapText="1"/>
      <protection locked="0"/>
    </xf>
    <xf numFmtId="1" fontId="0" fillId="0" borderId="0" xfId="1" applyNumberFormat="1" applyFont="1" applyProtection="1"/>
    <xf numFmtId="37" fontId="0" fillId="2" borderId="0" xfId="1" applyNumberFormat="1" applyFont="1" applyFill="1" applyBorder="1" applyAlignment="1" applyProtection="1">
      <alignment vertical="center" wrapText="1"/>
      <protection locked="0"/>
    </xf>
    <xf numFmtId="37" fontId="0" fillId="0" borderId="0" xfId="1" applyNumberFormat="1" applyFont="1" applyProtection="1">
      <protection locked="0"/>
    </xf>
    <xf numFmtId="37" fontId="0" fillId="0" borderId="1" xfId="1" applyNumberFormat="1" applyFont="1" applyFill="1" applyBorder="1" applyAlignment="1" applyProtection="1">
      <alignment vertical="center" wrapText="1"/>
      <protection locked="0"/>
    </xf>
    <xf numFmtId="37" fontId="11" fillId="0" borderId="10" xfId="1" applyNumberFormat="1" applyFont="1" applyFill="1" applyBorder="1" applyAlignment="1" applyProtection="1">
      <alignment vertical="center" wrapText="1"/>
      <protection locked="0"/>
    </xf>
    <xf numFmtId="37" fontId="8" fillId="0" borderId="11" xfId="1" applyNumberFormat="1" applyFont="1" applyFill="1" applyBorder="1" applyAlignment="1" applyProtection="1">
      <alignment vertical="center" wrapText="1"/>
      <protection locked="0"/>
    </xf>
    <xf numFmtId="37" fontId="0" fillId="0" borderId="7" xfId="1" applyNumberFormat="1" applyFont="1" applyFill="1" applyBorder="1" applyAlignment="1" applyProtection="1">
      <alignment vertical="center" wrapText="1"/>
      <protection locked="0"/>
    </xf>
    <xf numFmtId="37" fontId="8" fillId="0" borderId="9" xfId="1" applyNumberFormat="1" applyFont="1" applyFill="1" applyBorder="1" applyAlignment="1" applyProtection="1">
      <alignment vertical="center" wrapText="1"/>
      <protection locked="0"/>
    </xf>
    <xf numFmtId="37" fontId="8" fillId="0" borderId="1" xfId="1" applyNumberFormat="1" applyFont="1" applyFill="1" applyBorder="1" applyAlignment="1" applyProtection="1">
      <alignment vertical="center" wrapText="1"/>
      <protection locked="0"/>
    </xf>
    <xf numFmtId="37" fontId="0" fillId="0" borderId="12" xfId="1" applyNumberFormat="1" applyFont="1" applyFill="1" applyBorder="1" applyAlignment="1" applyProtection="1">
      <alignment vertical="center" wrapText="1"/>
      <protection locked="0"/>
    </xf>
    <xf numFmtId="37" fontId="8" fillId="0" borderId="13" xfId="1" applyNumberFormat="1" applyFont="1" applyFill="1" applyBorder="1" applyAlignment="1" applyProtection="1">
      <alignment vertical="center" wrapText="1"/>
      <protection locked="0"/>
    </xf>
    <xf numFmtId="37" fontId="10" fillId="0" borderId="14" xfId="1" applyNumberFormat="1" applyFont="1" applyFill="1" applyBorder="1" applyAlignment="1" applyProtection="1">
      <alignment vertical="center"/>
      <protection locked="0"/>
    </xf>
    <xf numFmtId="37" fontId="0" fillId="0" borderId="10" xfId="1" applyNumberFormat="1" applyFont="1" applyFill="1" applyBorder="1" applyAlignment="1" applyProtection="1">
      <alignment vertical="center" wrapText="1"/>
      <protection locked="0"/>
    </xf>
    <xf numFmtId="37" fontId="0" fillId="0" borderId="0" xfId="1" applyNumberFormat="1" applyFont="1" applyFill="1" applyProtection="1">
      <protection locked="0"/>
    </xf>
    <xf numFmtId="0" fontId="0" fillId="0" borderId="17" xfId="0" applyBorder="1" applyAlignment="1">
      <alignment horizontal="center" vertical="center"/>
    </xf>
    <xf numFmtId="37" fontId="0" fillId="3" borderId="1" xfId="1" applyNumberFormat="1" applyFont="1" applyFill="1" applyBorder="1" applyAlignment="1" applyProtection="1">
      <alignment vertical="center" wrapText="1"/>
    </xf>
    <xf numFmtId="10" fontId="0" fillId="3" borderId="1" xfId="2" applyNumberFormat="1" applyFont="1" applyFill="1" applyBorder="1" applyAlignment="1" applyProtection="1">
      <alignment vertical="center" wrapText="1"/>
    </xf>
    <xf numFmtId="37" fontId="11" fillId="3" borderId="10" xfId="1" applyNumberFormat="1" applyFont="1" applyFill="1" applyBorder="1" applyAlignment="1" applyProtection="1">
      <alignment vertical="center" wrapText="1"/>
    </xf>
    <xf numFmtId="10" fontId="11" fillId="3" borderId="10" xfId="2" applyNumberFormat="1" applyFont="1" applyFill="1" applyBorder="1" applyAlignment="1" applyProtection="1">
      <alignment vertical="center" wrapText="1"/>
    </xf>
    <xf numFmtId="37" fontId="8" fillId="3" borderId="11" xfId="1" applyNumberFormat="1" applyFont="1" applyFill="1" applyBorder="1" applyAlignment="1" applyProtection="1">
      <alignment vertical="center" wrapText="1"/>
    </xf>
    <xf numFmtId="10" fontId="8" fillId="3" borderId="11" xfId="2" applyNumberFormat="1" applyFont="1" applyFill="1" applyBorder="1" applyAlignment="1" applyProtection="1">
      <alignment vertical="center" wrapText="1"/>
    </xf>
    <xf numFmtId="37" fontId="0" fillId="3" borderId="7" xfId="1" applyNumberFormat="1" applyFont="1" applyFill="1" applyBorder="1" applyAlignment="1" applyProtection="1">
      <alignment vertical="center" wrapText="1"/>
    </xf>
    <xf numFmtId="10" fontId="0" fillId="3" borderId="7" xfId="2" applyNumberFormat="1" applyFont="1" applyFill="1" applyBorder="1" applyAlignment="1" applyProtection="1">
      <alignment vertical="center" wrapText="1"/>
    </xf>
    <xf numFmtId="37" fontId="8" fillId="3" borderId="9" xfId="1" applyNumberFormat="1" applyFont="1" applyFill="1" applyBorder="1" applyAlignment="1" applyProtection="1">
      <alignment vertical="center" wrapText="1"/>
    </xf>
    <xf numFmtId="10" fontId="8" fillId="3" borderId="9" xfId="2" applyNumberFormat="1" applyFont="1" applyFill="1" applyBorder="1" applyAlignment="1" applyProtection="1">
      <alignment vertical="center" wrapText="1"/>
    </xf>
    <xf numFmtId="37" fontId="8" fillId="3" borderId="1" xfId="1" applyNumberFormat="1" applyFont="1" applyFill="1" applyBorder="1" applyAlignment="1" applyProtection="1">
      <alignment vertical="center" wrapText="1"/>
    </xf>
    <xf numFmtId="10" fontId="8" fillId="3" borderId="1" xfId="2" applyNumberFormat="1" applyFont="1" applyFill="1" applyBorder="1" applyAlignment="1" applyProtection="1">
      <alignment vertical="center" wrapText="1"/>
    </xf>
    <xf numFmtId="37" fontId="0" fillId="3" borderId="12" xfId="1" applyNumberFormat="1" applyFont="1" applyFill="1" applyBorder="1" applyAlignment="1" applyProtection="1">
      <alignment vertical="center" wrapText="1"/>
    </xf>
    <xf numFmtId="10" fontId="0" fillId="3" borderId="12" xfId="2" applyNumberFormat="1" applyFont="1" applyFill="1" applyBorder="1" applyAlignment="1" applyProtection="1">
      <alignment vertical="center" wrapText="1"/>
    </xf>
    <xf numFmtId="37" fontId="8" fillId="3" borderId="13" xfId="1" applyNumberFormat="1" applyFont="1" applyFill="1" applyBorder="1" applyAlignment="1" applyProtection="1">
      <alignment vertical="center" wrapText="1"/>
    </xf>
    <xf numFmtId="10" fontId="8" fillId="3" borderId="13" xfId="2" applyNumberFormat="1" applyFont="1" applyFill="1" applyBorder="1" applyAlignment="1" applyProtection="1">
      <alignment vertical="center" wrapText="1"/>
    </xf>
    <xf numFmtId="37" fontId="8" fillId="0" borderId="0" xfId="1" applyNumberFormat="1" applyFont="1" applyFill="1" applyBorder="1" applyAlignment="1" applyProtection="1">
      <alignment vertical="center" wrapText="1"/>
    </xf>
    <xf numFmtId="10" fontId="8" fillId="0" borderId="0" xfId="2" applyNumberFormat="1" applyFont="1" applyFill="1" applyBorder="1" applyAlignment="1" applyProtection="1">
      <alignment vertical="center" wrapText="1"/>
    </xf>
    <xf numFmtId="37" fontId="0" fillId="2" borderId="0" xfId="1" applyNumberFormat="1" applyFont="1" applyFill="1" applyBorder="1" applyAlignment="1" applyProtection="1">
      <alignment vertical="center" wrapText="1"/>
    </xf>
    <xf numFmtId="10" fontId="0" fillId="2" borderId="0" xfId="2" applyNumberFormat="1" applyFont="1" applyFill="1" applyBorder="1" applyAlignment="1" applyProtection="1">
      <alignment vertical="center" wrapText="1"/>
    </xf>
    <xf numFmtId="37" fontId="10" fillId="3" borderId="14" xfId="1" applyNumberFormat="1" applyFont="1" applyFill="1" applyBorder="1" applyAlignment="1" applyProtection="1">
      <alignment vertical="center"/>
    </xf>
    <xf numFmtId="10" fontId="10" fillId="3" borderId="14" xfId="2" applyNumberFormat="1" applyFont="1" applyFill="1" applyBorder="1" applyAlignment="1" applyProtection="1">
      <alignment vertical="center"/>
    </xf>
    <xf numFmtId="37" fontId="0" fillId="3" borderId="10" xfId="1" applyNumberFormat="1" applyFont="1" applyFill="1" applyBorder="1" applyAlignment="1" applyProtection="1">
      <alignment vertical="center" wrapText="1"/>
    </xf>
    <xf numFmtId="10" fontId="0" fillId="3" borderId="10" xfId="2" applyNumberFormat="1" applyFont="1" applyFill="1" applyBorder="1" applyAlignment="1" applyProtection="1">
      <alignment vertical="center" wrapText="1"/>
    </xf>
    <xf numFmtId="37" fontId="0" fillId="0" borderId="0" xfId="1" applyNumberFormat="1" applyFont="1" applyProtection="1"/>
    <xf numFmtId="1" fontId="0" fillId="0" borderId="1" xfId="1" applyNumberFormat="1" applyFont="1" applyFill="1" applyBorder="1" applyAlignment="1" applyProtection="1">
      <alignment vertical="center" wrapText="1"/>
      <protection locked="0"/>
    </xf>
    <xf numFmtId="1" fontId="11" fillId="0" borderId="10" xfId="1" applyNumberFormat="1" applyFont="1" applyFill="1" applyBorder="1" applyAlignment="1" applyProtection="1">
      <alignment vertical="center" wrapText="1"/>
      <protection locked="0"/>
    </xf>
    <xf numFmtId="1" fontId="8" fillId="0" borderId="11" xfId="1" applyNumberFormat="1" applyFont="1" applyFill="1" applyBorder="1" applyAlignment="1" applyProtection="1">
      <alignment vertical="center" wrapText="1"/>
      <protection locked="0"/>
    </xf>
    <xf numFmtId="1" fontId="0" fillId="0" borderId="7" xfId="1" applyNumberFormat="1" applyFont="1" applyFill="1" applyBorder="1" applyAlignment="1" applyProtection="1">
      <alignment vertical="center" wrapText="1"/>
      <protection locked="0"/>
    </xf>
    <xf numFmtId="1" fontId="8" fillId="0" borderId="9" xfId="1" applyNumberFormat="1" applyFont="1" applyFill="1" applyBorder="1" applyAlignment="1" applyProtection="1">
      <alignment vertical="center" wrapText="1"/>
      <protection locked="0"/>
    </xf>
    <xf numFmtId="1" fontId="8" fillId="0" borderId="1" xfId="1" applyNumberFormat="1" applyFont="1" applyFill="1" applyBorder="1" applyAlignment="1" applyProtection="1">
      <alignment vertical="center" wrapText="1"/>
      <protection locked="0"/>
    </xf>
    <xf numFmtId="1" fontId="0" fillId="0" borderId="12" xfId="1" applyNumberFormat="1" applyFont="1" applyFill="1" applyBorder="1" applyAlignment="1" applyProtection="1">
      <alignment vertical="center" wrapText="1"/>
      <protection locked="0"/>
    </xf>
    <xf numFmtId="1" fontId="8" fillId="0" borderId="13" xfId="1" applyNumberFormat="1" applyFont="1" applyFill="1" applyBorder="1" applyAlignment="1" applyProtection="1">
      <alignment vertical="center" wrapText="1"/>
      <protection locked="0"/>
    </xf>
    <xf numFmtId="1" fontId="10" fillId="0" borderId="14" xfId="1" applyNumberFormat="1" applyFont="1" applyFill="1" applyBorder="1" applyAlignment="1" applyProtection="1">
      <alignment vertical="center"/>
      <protection locked="0"/>
    </xf>
    <xf numFmtId="1" fontId="0" fillId="0" borderId="10" xfId="1" applyNumberFormat="1" applyFont="1" applyFill="1" applyBorder="1" applyAlignment="1" applyProtection="1">
      <alignment vertical="center" wrapText="1"/>
      <protection locked="0"/>
    </xf>
    <xf numFmtId="1" fontId="0" fillId="3" borderId="1" xfId="1" applyNumberFormat="1" applyFont="1" applyFill="1" applyBorder="1" applyAlignment="1" applyProtection="1">
      <alignment vertical="center" wrapText="1"/>
    </xf>
    <xf numFmtId="1" fontId="8" fillId="0" borderId="0" xfId="1" applyNumberFormat="1" applyFont="1" applyFill="1" applyBorder="1" applyAlignment="1" applyProtection="1">
      <alignment vertical="center" wrapText="1"/>
    </xf>
    <xf numFmtId="0" fontId="12" fillId="0" borderId="0" xfId="0" applyFont="1" applyProtection="1">
      <protection locked="0"/>
    </xf>
    <xf numFmtId="0" fontId="8" fillId="0" borderId="0" xfId="0" applyFont="1" applyAlignment="1">
      <alignment vertical="center" wrapText="1"/>
    </xf>
    <xf numFmtId="37" fontId="8" fillId="0" borderId="0" xfId="0" applyNumberFormat="1" applyFont="1" applyAlignment="1">
      <alignment vertical="center" wrapText="1"/>
    </xf>
    <xf numFmtId="37" fontId="0" fillId="0" borderId="0" xfId="0" applyNumberFormat="1" applyAlignment="1">
      <alignment vertical="center" wrapText="1"/>
    </xf>
    <xf numFmtId="1" fontId="0" fillId="0" borderId="0" xfId="1" applyNumberFormat="1" applyFont="1" applyFill="1" applyProtection="1"/>
    <xf numFmtId="0" fontId="12" fillId="3" borderId="12" xfId="0" applyFont="1" applyFill="1" applyBorder="1" applyAlignment="1">
      <alignment vertical="center" wrapText="1"/>
    </xf>
    <xf numFmtId="9" fontId="0" fillId="3" borderId="1" xfId="2" applyFont="1" applyFill="1" applyBorder="1" applyAlignment="1">
      <alignment horizontal="center" vertical="center" wrapText="1"/>
    </xf>
    <xf numFmtId="9" fontId="0" fillId="3" borderId="1" xfId="2" applyFont="1" applyFill="1" applyBorder="1" applyAlignment="1" applyProtection="1">
      <alignment horizontal="center" vertical="center" wrapText="1"/>
    </xf>
    <xf numFmtId="0" fontId="10" fillId="0" borderId="0" xfId="0" applyFont="1"/>
    <xf numFmtId="0" fontId="14" fillId="0" borderId="0" xfId="4" applyFont="1" applyAlignment="1" applyProtection="1">
      <alignment vertical="center"/>
      <protection locked="0"/>
    </xf>
    <xf numFmtId="0" fontId="14" fillId="0" borderId="0" xfId="4" applyFont="1" applyAlignment="1" applyProtection="1">
      <alignment horizontal="left" vertical="center"/>
      <protection locked="0"/>
    </xf>
    <xf numFmtId="0" fontId="15" fillId="0" borderId="0" xfId="4" applyFont="1" applyAlignment="1" applyProtection="1">
      <alignment horizontal="left" vertical="center"/>
      <protection locked="0"/>
    </xf>
    <xf numFmtId="39" fontId="0" fillId="0" borderId="0" xfId="0" applyNumberFormat="1"/>
    <xf numFmtId="0" fontId="19" fillId="0" borderId="0" xfId="0" applyFont="1" applyAlignment="1" applyProtection="1">
      <alignment vertical="center" wrapText="1"/>
      <protection locked="0"/>
    </xf>
    <xf numFmtId="37" fontId="19" fillId="0" borderId="0" xfId="0" applyNumberFormat="1" applyFont="1" applyAlignment="1">
      <alignment vertical="center" wrapText="1"/>
    </xf>
    <xf numFmtId="0" fontId="8" fillId="3" borderId="11" xfId="0" applyFont="1" applyFill="1" applyBorder="1" applyAlignment="1">
      <alignment vertical="center"/>
    </xf>
    <xf numFmtId="37" fontId="0" fillId="0" borderId="11" xfId="1" applyNumberFormat="1" applyFont="1" applyFill="1" applyBorder="1" applyAlignment="1" applyProtection="1">
      <alignment vertical="center" wrapText="1"/>
      <protection locked="0"/>
    </xf>
    <xf numFmtId="37" fontId="0" fillId="3" borderId="11" xfId="1" applyNumberFormat="1" applyFont="1" applyFill="1" applyBorder="1" applyAlignment="1" applyProtection="1">
      <alignment vertical="center" wrapText="1"/>
    </xf>
    <xf numFmtId="1" fontId="0" fillId="0" borderId="11" xfId="1" applyNumberFormat="1" applyFont="1" applyFill="1" applyBorder="1" applyAlignment="1" applyProtection="1">
      <alignment vertical="center" wrapText="1"/>
      <protection locked="0"/>
    </xf>
    <xf numFmtId="0" fontId="8" fillId="0" borderId="22" xfId="0" applyFont="1" applyBorder="1"/>
    <xf numFmtId="37" fontId="8" fillId="0" borderId="11" xfId="1" applyNumberFormat="1" applyFont="1" applyBorder="1" applyAlignment="1" applyProtection="1">
      <alignment vertical="center" wrapText="1"/>
      <protection locked="0"/>
    </xf>
    <xf numFmtId="1" fontId="8" fillId="0" borderId="0" xfId="1" applyNumberFormat="1" applyFont="1" applyProtection="1">
      <protection locked="0"/>
    </xf>
    <xf numFmtId="1" fontId="8" fillId="0" borderId="22" xfId="1" applyNumberFormat="1" applyFont="1" applyBorder="1" applyAlignment="1" applyProtection="1">
      <alignment horizontal="center"/>
    </xf>
    <xf numFmtId="0" fontId="3" fillId="2" borderId="1" xfId="0" applyFont="1" applyFill="1" applyBorder="1" applyAlignment="1">
      <alignment horizontal="center" vertical="center" wrapText="1"/>
    </xf>
    <xf numFmtId="0" fontId="21" fillId="0" borderId="0" xfId="5" quotePrefix="1" applyFont="1" applyAlignment="1" applyProtection="1">
      <alignment horizontal="center" vertical="center"/>
      <protection locked="0"/>
    </xf>
    <xf numFmtId="0" fontId="18" fillId="0" borderId="0" xfId="4" quotePrefix="1" applyFont="1" applyAlignment="1" applyProtection="1">
      <alignment vertical="center"/>
      <protection locked="0"/>
    </xf>
    <xf numFmtId="37" fontId="0" fillId="0" borderId="1" xfId="0" applyNumberFormat="1" applyBorder="1" applyAlignment="1" applyProtection="1">
      <alignment horizontal="left" vertical="center"/>
      <protection locked="0"/>
    </xf>
    <xf numFmtId="0" fontId="0" fillId="3" borderId="1" xfId="0" applyFill="1" applyBorder="1" applyAlignment="1">
      <alignment horizontal="left" vertical="center"/>
    </xf>
    <xf numFmtId="0" fontId="22" fillId="0" borderId="0" xfId="0" applyFont="1" applyAlignment="1" applyProtection="1">
      <alignment horizontal="center"/>
      <protection locked="0"/>
    </xf>
    <xf numFmtId="49" fontId="14" fillId="0" borderId="0" xfId="4" quotePrefix="1" applyNumberFormat="1" applyFont="1" applyAlignment="1" applyProtection="1">
      <alignment vertical="center"/>
      <protection locked="0"/>
    </xf>
    <xf numFmtId="0" fontId="0" fillId="0" borderId="0" xfId="0" applyAlignment="1" applyProtection="1">
      <alignment horizontal="left" vertical="center"/>
      <protection locked="0"/>
    </xf>
    <xf numFmtId="0" fontId="23" fillId="0" borderId="0" xfId="5" quotePrefix="1" applyFont="1" applyAlignment="1" applyProtection="1">
      <alignment horizontal="center" vertical="center"/>
      <protection locked="0"/>
    </xf>
    <xf numFmtId="0" fontId="0" fillId="0" borderId="1" xfId="0" applyBorder="1" applyAlignment="1" applyProtection="1">
      <alignment horizontal="center" vertical="center" wrapText="1"/>
      <protection locked="0"/>
    </xf>
    <xf numFmtId="37" fontId="0" fillId="3" borderId="1" xfId="0" applyNumberFormat="1" applyFill="1" applyBorder="1" applyAlignment="1">
      <alignment vertical="center" wrapText="1"/>
    </xf>
    <xf numFmtId="37" fontId="0" fillId="3" borderId="1" xfId="0" applyNumberFormat="1" applyFill="1" applyBorder="1" applyAlignment="1" applyProtection="1">
      <alignment vertical="center" wrapText="1"/>
      <protection locked="0"/>
    </xf>
    <xf numFmtId="0" fontId="24" fillId="0" borderId="0" xfId="0" applyFont="1" applyAlignment="1">
      <alignment horizontal="center"/>
    </xf>
    <xf numFmtId="0" fontId="3" fillId="2" borderId="4" xfId="0" applyFont="1" applyFill="1" applyBorder="1" applyAlignment="1">
      <alignment vertical="center"/>
    </xf>
    <xf numFmtId="0" fontId="0" fillId="0" borderId="1" xfId="0" applyBorder="1" applyAlignment="1" applyProtection="1">
      <alignment horizontal="left" vertical="center" wrapText="1"/>
      <protection locked="0"/>
    </xf>
    <xf numFmtId="0" fontId="0" fillId="0" borderId="0" xfId="0" applyAlignment="1">
      <alignment horizontal="left"/>
    </xf>
    <xf numFmtId="37" fontId="19" fillId="0" borderId="0" xfId="0" applyNumberFormat="1" applyFont="1" applyAlignment="1" applyProtection="1">
      <alignment vertical="center" wrapText="1"/>
      <protection locked="0"/>
    </xf>
    <xf numFmtId="0" fontId="14" fillId="0" borderId="0" xfId="5" applyFont="1" applyAlignment="1" applyProtection="1">
      <alignment horizontal="center" vertical="center"/>
      <protection locked="0"/>
    </xf>
    <xf numFmtId="0" fontId="3" fillId="2" borderId="1" xfId="0" applyFont="1" applyFill="1" applyBorder="1" applyAlignment="1">
      <alignment vertical="center"/>
    </xf>
    <xf numFmtId="0" fontId="3" fillId="2" borderId="1" xfId="0" applyFont="1" applyFill="1" applyBorder="1" applyAlignment="1">
      <alignment vertical="center" wrapText="1"/>
    </xf>
    <xf numFmtId="14" fontId="0" fillId="3" borderId="1" xfId="0" applyNumberFormat="1" applyFill="1" applyBorder="1" applyAlignment="1">
      <alignment horizontal="left" vertical="center"/>
    </xf>
    <xf numFmtId="0" fontId="25" fillId="0" borderId="0" xfId="0" applyFont="1"/>
    <xf numFmtId="0" fontId="26" fillId="0" borderId="0" xfId="6" applyFont="1" applyAlignment="1">
      <alignment horizontal="left" vertical="top" wrapText="1"/>
    </xf>
    <xf numFmtId="0" fontId="27" fillId="0" borderId="0" xfId="5" applyFont="1" applyAlignment="1">
      <alignment horizontal="left" vertical="top" wrapText="1"/>
    </xf>
    <xf numFmtId="0" fontId="0" fillId="0" borderId="0" xfId="0" applyAlignment="1">
      <alignment wrapText="1"/>
    </xf>
    <xf numFmtId="0" fontId="0" fillId="4" borderId="0" xfId="0" applyFill="1" applyAlignment="1">
      <alignment wrapText="1"/>
    </xf>
    <xf numFmtId="17" fontId="0" fillId="4" borderId="0" xfId="0" applyNumberFormat="1" applyFill="1" applyAlignment="1">
      <alignment wrapText="1"/>
    </xf>
    <xf numFmtId="0" fontId="28" fillId="0" borderId="0" xfId="0" applyFont="1" applyAlignment="1">
      <alignment wrapText="1"/>
    </xf>
    <xf numFmtId="57" fontId="28" fillId="0" borderId="0" xfId="0" applyNumberFormat="1" applyFont="1" applyAlignment="1">
      <alignment wrapText="1"/>
    </xf>
    <xf numFmtId="0" fontId="0" fillId="0" borderId="0" xfId="0" applyAlignment="1">
      <alignment vertical="top" wrapText="1"/>
    </xf>
    <xf numFmtId="0" fontId="0" fillId="0" borderId="0" xfId="0" applyAlignment="1">
      <alignment vertical="top"/>
    </xf>
    <xf numFmtId="0" fontId="15" fillId="0" borderId="0" xfId="4" applyFont="1" applyAlignment="1" applyProtection="1">
      <alignment horizontal="left" vertical="center" wrapText="1"/>
      <protection locked="0"/>
    </xf>
    <xf numFmtId="0" fontId="17" fillId="3" borderId="17" xfId="4" applyFont="1" applyFill="1" applyBorder="1" applyAlignment="1" applyProtection="1">
      <alignment horizontal="left" vertical="top" wrapText="1"/>
      <protection locked="0"/>
    </xf>
    <xf numFmtId="0" fontId="17" fillId="3" borderId="18" xfId="4" applyFont="1" applyFill="1" applyBorder="1" applyAlignment="1" applyProtection="1">
      <alignment horizontal="left" vertical="top" wrapText="1"/>
      <protection locked="0"/>
    </xf>
    <xf numFmtId="0" fontId="16" fillId="4" borderId="19" xfId="4" applyFont="1" applyFill="1" applyBorder="1" applyAlignment="1" applyProtection="1">
      <alignment horizontal="left" vertical="top" wrapText="1"/>
      <protection locked="0"/>
    </xf>
    <xf numFmtId="0" fontId="16" fillId="4" borderId="20" xfId="4" applyFont="1" applyFill="1" applyBorder="1" applyAlignment="1" applyProtection="1">
      <alignment horizontal="left" vertical="top" wrapText="1"/>
      <protection locked="0"/>
    </xf>
    <xf numFmtId="0" fontId="16" fillId="4" borderId="21" xfId="4" applyFont="1" applyFill="1" applyBorder="1" applyAlignment="1" applyProtection="1">
      <alignment horizontal="left" vertical="top" wrapText="1"/>
      <protection locked="0"/>
    </xf>
    <xf numFmtId="0" fontId="17" fillId="3" borderId="23" xfId="4" applyFont="1" applyFill="1" applyBorder="1" applyAlignment="1" applyProtection="1">
      <alignment horizontal="left" vertical="top" wrapText="1"/>
      <protection locked="0"/>
    </xf>
    <xf numFmtId="0" fontId="17" fillId="3" borderId="24" xfId="4" applyFont="1" applyFill="1" applyBorder="1" applyAlignment="1" applyProtection="1">
      <alignment horizontal="left" vertical="top" wrapText="1"/>
      <protection locked="0"/>
    </xf>
    <xf numFmtId="0" fontId="3" fillId="2" borderId="1" xfId="0" applyFont="1" applyFill="1" applyBorder="1" applyAlignment="1">
      <alignment horizontal="center" vertical="distributed" wrapText="1"/>
    </xf>
    <xf numFmtId="0" fontId="3" fillId="2" borderId="1" xfId="0" applyFont="1" applyFill="1" applyBorder="1" applyAlignment="1">
      <alignment horizontal="center" vertical="center" wrapText="1"/>
    </xf>
    <xf numFmtId="0" fontId="5" fillId="0" borderId="1" xfId="0" applyFont="1" applyBorder="1" applyAlignment="1" applyProtection="1">
      <alignment horizontal="left" vertical="center" wrapText="1"/>
      <protection locked="0"/>
    </xf>
    <xf numFmtId="14" fontId="5" fillId="0" borderId="1" xfId="0" applyNumberFormat="1" applyFont="1" applyBorder="1" applyAlignment="1" applyProtection="1">
      <alignment horizontal="left" vertical="center" wrapText="1"/>
      <protection locked="0"/>
    </xf>
    <xf numFmtId="0" fontId="3" fillId="2" borderId="1" xfId="0" applyFont="1" applyFill="1" applyBorder="1" applyAlignment="1">
      <alignment vertical="center"/>
    </xf>
    <xf numFmtId="0" fontId="3" fillId="2" borderId="1" xfId="0" applyFont="1" applyFill="1" applyBorder="1" applyAlignment="1">
      <alignment vertical="center" wrapText="1"/>
    </xf>
    <xf numFmtId="0" fontId="0" fillId="0" borderId="0" xfId="0"/>
    <xf numFmtId="0" fontId="7" fillId="3" borderId="4" xfId="0" applyFont="1" applyFill="1" applyBorder="1" applyAlignment="1">
      <alignment vertical="center"/>
    </xf>
    <xf numFmtId="0" fontId="7" fillId="3" borderId="6" xfId="0" applyFont="1" applyFill="1" applyBorder="1" applyAlignment="1">
      <alignment vertical="center"/>
    </xf>
    <xf numFmtId="0" fontId="7" fillId="3" borderId="5" xfId="0" applyFont="1" applyFill="1" applyBorder="1" applyAlignment="1">
      <alignment vertical="center"/>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0" fillId="0" borderId="1" xfId="0" applyBorder="1" applyAlignment="1" applyProtection="1">
      <alignment horizontal="center" vertical="center" wrapText="1"/>
      <protection locked="0"/>
    </xf>
    <xf numFmtId="0" fontId="14" fillId="0" borderId="0" xfId="5" applyFont="1" applyAlignment="1" applyProtection="1">
      <alignment horizontal="center" vertical="center"/>
      <protection locked="0"/>
    </xf>
    <xf numFmtId="0" fontId="0" fillId="3" borderId="1" xfId="0" applyFill="1" applyBorder="1" applyAlignment="1">
      <alignment vertical="center" wrapText="1"/>
    </xf>
    <xf numFmtId="14" fontId="0" fillId="3" borderId="1" xfId="0" applyNumberFormat="1" applyFill="1" applyBorder="1" applyAlignment="1">
      <alignment horizontal="left" vertical="center"/>
    </xf>
    <xf numFmtId="0" fontId="9" fillId="2" borderId="1" xfId="0" applyFont="1" applyFill="1" applyBorder="1" applyAlignment="1">
      <alignment horizontal="center" vertical="center" wrapText="1"/>
    </xf>
  </cellXfs>
  <cellStyles count="7">
    <cellStyle name="Normal 2 2 2" xfId="3" xr:uid="{00000000-0005-0000-0000-000000000000}"/>
    <cellStyle name="Normal 5" xfId="4" xr:uid="{00000000-0005-0000-0000-000001000000}"/>
    <cellStyle name="Normal 5 3" xfId="6" xr:uid="{00000000-0005-0000-0000-000002000000}"/>
    <cellStyle name="百分比" xfId="2" builtinId="5"/>
    <cellStyle name="常规" xfId="0" builtinId="0"/>
    <cellStyle name="超链接" xfId="5" builtinId="8"/>
    <cellStyle name="千位分隔" xfId="1" builtinId="3"/>
  </cellStyles>
  <dxfs count="84">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CC"/>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CC"/>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border>
        <vertical/>
        <horizontal/>
      </border>
    </dxf>
    <dxf>
      <fill>
        <patternFill>
          <bgColor rgb="FFFFFFCC"/>
        </patternFill>
      </fill>
      <border>
        <vertical/>
        <horizontal/>
      </border>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4F2D7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3</xdr:col>
      <xdr:colOff>133351</xdr:colOff>
      <xdr:row>0</xdr:row>
      <xdr:rowOff>123825</xdr:rowOff>
    </xdr:from>
    <xdr:to>
      <xdr:col>3</xdr:col>
      <xdr:colOff>1504951</xdr:colOff>
      <xdr:row>2</xdr:row>
      <xdr:rowOff>9525</xdr:rowOff>
    </xdr:to>
    <xdr:sp macro="[0]!SpellCheck" textlink="">
      <xdr:nvSpPr>
        <xdr:cNvPr id="3" name="TextBox 2">
          <a:extLst>
            <a:ext uri="{FF2B5EF4-FFF2-40B4-BE49-F238E27FC236}">
              <a16:creationId xmlns:a16="http://schemas.microsoft.com/office/drawing/2014/main" id="{00000000-0008-0000-0200-000003000000}"/>
            </a:ext>
          </a:extLst>
        </xdr:cNvPr>
        <xdr:cNvSpPr txBox="1"/>
      </xdr:nvSpPr>
      <xdr:spPr>
        <a:xfrm>
          <a:off x="2400301" y="123825"/>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285750</xdr:colOff>
      <xdr:row>0</xdr:row>
      <xdr:rowOff>104775</xdr:rowOff>
    </xdr:from>
    <xdr:to>
      <xdr:col>3</xdr:col>
      <xdr:colOff>1657350</xdr:colOff>
      <xdr:row>1</xdr:row>
      <xdr:rowOff>190500</xdr:rowOff>
    </xdr:to>
    <xdr:sp macro="[0]!SpellCheck" textlink="">
      <xdr:nvSpPr>
        <xdr:cNvPr id="4" name="TextBox 3">
          <a:extLst>
            <a:ext uri="{FF2B5EF4-FFF2-40B4-BE49-F238E27FC236}">
              <a16:creationId xmlns:a16="http://schemas.microsoft.com/office/drawing/2014/main" id="{00000000-0008-0000-0300-000004000000}"/>
            </a:ext>
          </a:extLst>
        </xdr:cNvPr>
        <xdr:cNvSpPr txBox="1"/>
      </xdr:nvSpPr>
      <xdr:spPr>
        <a:xfrm>
          <a:off x="3000375" y="104775"/>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28575</xdr:rowOff>
    </xdr:from>
    <xdr:to>
      <xdr:col>1</xdr:col>
      <xdr:colOff>1371600</xdr:colOff>
      <xdr:row>7</xdr:row>
      <xdr:rowOff>114300</xdr:rowOff>
    </xdr:to>
    <xdr:sp macro="[0]!SpellCheck" textlink="">
      <xdr:nvSpPr>
        <xdr:cNvPr id="2" name="TextBox 1">
          <a:extLst>
            <a:ext uri="{FF2B5EF4-FFF2-40B4-BE49-F238E27FC236}">
              <a16:creationId xmlns:a16="http://schemas.microsoft.com/office/drawing/2014/main" id="{00000000-0008-0000-0400-000002000000}"/>
            </a:ext>
          </a:extLst>
        </xdr:cNvPr>
        <xdr:cNvSpPr txBox="1"/>
      </xdr:nvSpPr>
      <xdr:spPr>
        <a:xfrm>
          <a:off x="219075" y="895350"/>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5:M20"/>
  <sheetViews>
    <sheetView showGridLines="0" workbookViewId="0">
      <selection activeCell="Q19" sqref="Q19"/>
    </sheetView>
  </sheetViews>
  <sheetFormatPr defaultColWidth="9.33203125" defaultRowHeight="11.25" x14ac:dyDescent="0.2"/>
  <sheetData>
    <row r="5" spans="2:13" ht="15.75" x14ac:dyDescent="0.25">
      <c r="B5" s="151" t="str">
        <f>_sheetContentTranslation_A_3</f>
        <v>必须启用宏才能使用此工作簿</v>
      </c>
    </row>
    <row r="7" spans="2:13" x14ac:dyDescent="0.2">
      <c r="B7" s="159" t="str">
        <f>_sheetContentTranslation_A_4</f>
        <v>如果这是唯一可见的工作表并且启用了宏，则通常是由于以下情况之一：
1.打开工作簿并启用宏后，该工作表不会消失，工作簿中的其余工作表也不会出现。
2.当打开自动保存时试图关闭工作簿，由于自动保存过程中断，结果消息框中选择了“取消”。
如果出现上述任一情况，请保存并关闭所有打开的Excel文件，然后重新打开工作簿。</v>
      </c>
      <c r="C7" s="160"/>
      <c r="D7" s="160"/>
      <c r="E7" s="160"/>
      <c r="F7" s="160"/>
      <c r="G7" s="160"/>
      <c r="H7" s="160"/>
      <c r="I7" s="160"/>
      <c r="J7" s="160"/>
      <c r="K7" s="160"/>
      <c r="L7" s="160"/>
      <c r="M7" s="160"/>
    </row>
    <row r="8" spans="2:13" x14ac:dyDescent="0.2">
      <c r="B8" s="160"/>
      <c r="C8" s="160"/>
      <c r="D8" s="160"/>
      <c r="E8" s="160"/>
      <c r="F8" s="160"/>
      <c r="G8" s="160"/>
      <c r="H8" s="160"/>
      <c r="I8" s="160"/>
      <c r="J8" s="160"/>
      <c r="K8" s="160"/>
      <c r="L8" s="160"/>
      <c r="M8" s="160"/>
    </row>
    <row r="9" spans="2:13" x14ac:dyDescent="0.2">
      <c r="B9" s="160"/>
      <c r="C9" s="160"/>
      <c r="D9" s="160"/>
      <c r="E9" s="160"/>
      <c r="F9" s="160"/>
      <c r="G9" s="160"/>
      <c r="H9" s="160"/>
      <c r="I9" s="160"/>
      <c r="J9" s="160"/>
      <c r="K9" s="160"/>
      <c r="L9" s="160"/>
      <c r="M9" s="160"/>
    </row>
    <row r="10" spans="2:13" x14ac:dyDescent="0.2">
      <c r="B10" s="160"/>
      <c r="C10" s="160"/>
      <c r="D10" s="160"/>
      <c r="E10" s="160"/>
      <c r="F10" s="160"/>
      <c r="G10" s="160"/>
      <c r="H10" s="160"/>
      <c r="I10" s="160"/>
      <c r="J10" s="160"/>
      <c r="K10" s="160"/>
      <c r="L10" s="160"/>
      <c r="M10" s="160"/>
    </row>
    <row r="11" spans="2:13" x14ac:dyDescent="0.2">
      <c r="B11" s="160"/>
      <c r="C11" s="160"/>
      <c r="D11" s="160"/>
      <c r="E11" s="160"/>
      <c r="F11" s="160"/>
      <c r="G11" s="160"/>
      <c r="H11" s="160"/>
      <c r="I11" s="160"/>
      <c r="J11" s="160"/>
      <c r="K11" s="160"/>
      <c r="L11" s="160"/>
      <c r="M11" s="160"/>
    </row>
    <row r="12" spans="2:13" x14ac:dyDescent="0.2">
      <c r="B12" s="160"/>
      <c r="C12" s="160"/>
      <c r="D12" s="160"/>
      <c r="E12" s="160"/>
      <c r="F12" s="160"/>
      <c r="G12" s="160"/>
      <c r="H12" s="160"/>
      <c r="I12" s="160"/>
      <c r="J12" s="160"/>
      <c r="K12" s="160"/>
      <c r="L12" s="160"/>
      <c r="M12" s="160"/>
    </row>
    <row r="13" spans="2:13" x14ac:dyDescent="0.2">
      <c r="B13" s="160"/>
      <c r="C13" s="160"/>
      <c r="D13" s="160"/>
      <c r="E13" s="160"/>
      <c r="F13" s="160"/>
      <c r="G13" s="160"/>
      <c r="H13" s="160"/>
      <c r="I13" s="160"/>
      <c r="J13" s="160"/>
      <c r="K13" s="160"/>
      <c r="L13" s="160"/>
      <c r="M13" s="160"/>
    </row>
    <row r="14" spans="2:13" x14ac:dyDescent="0.2">
      <c r="B14" s="160"/>
      <c r="C14" s="160"/>
      <c r="D14" s="160"/>
      <c r="E14" s="160"/>
      <c r="F14" s="160"/>
      <c r="G14" s="160"/>
      <c r="H14" s="160"/>
      <c r="I14" s="160"/>
      <c r="J14" s="160"/>
      <c r="K14" s="160"/>
      <c r="L14" s="160"/>
      <c r="M14" s="160"/>
    </row>
    <row r="15" spans="2:13" x14ac:dyDescent="0.2">
      <c r="B15" s="160"/>
      <c r="C15" s="160"/>
      <c r="D15" s="160"/>
      <c r="E15" s="160"/>
      <c r="F15" s="160"/>
      <c r="G15" s="160"/>
      <c r="H15" s="160"/>
      <c r="I15" s="160"/>
      <c r="J15" s="160"/>
      <c r="K15" s="160"/>
      <c r="L15" s="160"/>
      <c r="M15" s="160"/>
    </row>
    <row r="16" spans="2:13" x14ac:dyDescent="0.2">
      <c r="B16" s="160"/>
      <c r="C16" s="160"/>
      <c r="D16" s="160"/>
      <c r="E16" s="160"/>
      <c r="F16" s="160"/>
      <c r="G16" s="160"/>
      <c r="H16" s="160"/>
      <c r="I16" s="160"/>
      <c r="J16" s="160"/>
      <c r="K16" s="160"/>
      <c r="L16" s="160"/>
      <c r="M16" s="160"/>
    </row>
    <row r="17" spans="2:13" x14ac:dyDescent="0.2">
      <c r="B17" s="160"/>
      <c r="C17" s="160"/>
      <c r="D17" s="160"/>
      <c r="E17" s="160"/>
      <c r="F17" s="160"/>
      <c r="G17" s="160"/>
      <c r="H17" s="160"/>
      <c r="I17" s="160"/>
      <c r="J17" s="160"/>
      <c r="K17" s="160"/>
      <c r="L17" s="160"/>
      <c r="M17" s="160"/>
    </row>
    <row r="18" spans="2:13" x14ac:dyDescent="0.2">
      <c r="B18" s="160"/>
      <c r="C18" s="160"/>
      <c r="D18" s="160"/>
      <c r="E18" s="160"/>
      <c r="F18" s="160"/>
      <c r="G18" s="160"/>
      <c r="H18" s="160"/>
      <c r="I18" s="160"/>
      <c r="J18" s="160"/>
      <c r="K18" s="160"/>
      <c r="L18" s="160"/>
      <c r="M18" s="160"/>
    </row>
    <row r="19" spans="2:13" x14ac:dyDescent="0.2">
      <c r="B19" s="160"/>
      <c r="C19" s="160"/>
      <c r="D19" s="160"/>
      <c r="E19" s="160"/>
      <c r="F19" s="160"/>
      <c r="G19" s="160"/>
      <c r="H19" s="160"/>
      <c r="I19" s="160"/>
      <c r="J19" s="160"/>
      <c r="K19" s="160"/>
      <c r="L19" s="160"/>
      <c r="M19" s="160"/>
    </row>
    <row r="20" spans="2:13" x14ac:dyDescent="0.2">
      <c r="B20" s="160"/>
      <c r="C20" s="160"/>
      <c r="D20" s="160"/>
      <c r="E20" s="160"/>
      <c r="F20" s="160"/>
      <c r="G20" s="160"/>
      <c r="H20" s="160"/>
      <c r="I20" s="160"/>
      <c r="J20" s="160"/>
      <c r="K20" s="160"/>
      <c r="L20" s="160"/>
      <c r="M20" s="160"/>
    </row>
  </sheetData>
  <sheetProtection formatCells="0" formatRows="0" insertRows="0" deleteRows="0" selectLockedCells="1"/>
  <mergeCells count="1">
    <mergeCell ref="B7:M20"/>
  </mergeCells>
  <phoneticPr fontId="29"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O26"/>
  <sheetViews>
    <sheetView showGridLines="0" tabSelected="1" zoomScale="89" zoomScaleNormal="89" workbookViewId="0">
      <selection activeCell="B19" sqref="B19:H19"/>
    </sheetView>
  </sheetViews>
  <sheetFormatPr defaultColWidth="9.33203125" defaultRowHeight="11.25" x14ac:dyDescent="0.2"/>
  <cols>
    <col min="1" max="1" width="22.83203125" style="48" customWidth="1"/>
    <col min="2" max="2" width="7.83203125" style="48" customWidth="1"/>
    <col min="3" max="8" width="31.6640625" style="48" customWidth="1"/>
    <col min="9" max="16384" width="9.33203125" style="48"/>
  </cols>
  <sheetData>
    <row r="1" spans="1:8" ht="15.75" x14ac:dyDescent="0.25">
      <c r="A1" s="115" t="str">
        <f>_sheetContentTranslation_A_5</f>
        <v>组成部分的重要程度和确定审计范围</v>
      </c>
      <c r="B1" s="115"/>
      <c r="C1" s="115"/>
      <c r="D1" s="115"/>
      <c r="E1" s="115"/>
      <c r="F1" s="115"/>
      <c r="G1" s="115"/>
      <c r="H1" s="115"/>
    </row>
    <row r="2" spans="1:8" ht="12.75" x14ac:dyDescent="0.2">
      <c r="A2" s="136" t="s">
        <v>402</v>
      </c>
      <c r="B2" s="116"/>
      <c r="C2" s="116"/>
      <c r="D2" s="116"/>
      <c r="E2" s="116"/>
      <c r="F2" s="116"/>
      <c r="G2" s="116"/>
      <c r="H2" s="116"/>
    </row>
    <row r="3" spans="1:8" ht="4.5" customHeight="1" x14ac:dyDescent="0.2">
      <c r="A3" s="117"/>
      <c r="B3" s="117"/>
      <c r="C3" s="117"/>
      <c r="D3" s="117"/>
      <c r="E3" s="117"/>
      <c r="F3" s="117"/>
      <c r="G3" s="117"/>
      <c r="H3" s="117"/>
    </row>
    <row r="4" spans="1:8" ht="12.75" x14ac:dyDescent="0.2">
      <c r="A4" s="116" t="str">
        <f>_sheetContentTranslation_A_7</f>
        <v>删除这些说明，不要将其包含在审计档案中。</v>
      </c>
      <c r="B4" s="116"/>
      <c r="C4" s="116"/>
      <c r="D4" s="116"/>
      <c r="E4" s="116"/>
      <c r="F4" s="116"/>
      <c r="G4" s="116"/>
      <c r="H4" s="116"/>
    </row>
    <row r="5" spans="1:8" ht="4.5" customHeight="1" x14ac:dyDescent="0.2">
      <c r="A5" s="117"/>
      <c r="B5" s="117"/>
      <c r="C5" s="117"/>
      <c r="D5" s="117"/>
      <c r="E5" s="117"/>
      <c r="F5" s="117"/>
      <c r="G5" s="117"/>
      <c r="H5" s="117"/>
    </row>
    <row r="6" spans="1:8" ht="39.75" customHeight="1" x14ac:dyDescent="0.2">
      <c r="A6" s="161" t="str">
        <f>_sheetContentTranslation_A_8</f>
        <v>该模板用于识别组成部分，确定其重要程度，并确定要对组成部分执行的工作类型，包括组成部分注册会计师的识别。它还包括确定组成部分重要性和组成部分实际执行的重要性（如适用）。</v>
      </c>
      <c r="B6" s="161"/>
      <c r="C6" s="161"/>
      <c r="D6" s="161"/>
      <c r="E6" s="161"/>
      <c r="F6" s="161"/>
      <c r="G6" s="161"/>
      <c r="H6" s="161"/>
    </row>
    <row r="7" spans="1:8" ht="45" customHeight="1" x14ac:dyDescent="0.2">
      <c r="A7" s="161" t="str">
        <f>_sheetContentTranslation_A_9</f>
        <v>在了解各组成部分时，集团项目组可以识别风险因素，然后在识别和评估集团财务报表的重大错报风险时加以考虑。集团项目组还可以确定集团财务报表中可能存在的重大风险。这种了解有助于确定组成部分的重要程度和要执行的工作类型。请参阅“了解组成部分”文档模板中的集团项目组文档。</v>
      </c>
      <c r="B7" s="161"/>
      <c r="C7" s="161"/>
      <c r="D7" s="161"/>
      <c r="E7" s="161"/>
      <c r="F7" s="161"/>
      <c r="G7" s="161"/>
      <c r="H7" s="161"/>
    </row>
    <row r="8" spans="1:8" ht="4.5" customHeight="1" x14ac:dyDescent="0.2">
      <c r="A8" s="117"/>
      <c r="B8" s="117"/>
      <c r="C8" s="117"/>
      <c r="D8" s="117"/>
      <c r="E8" s="117"/>
      <c r="F8" s="117"/>
      <c r="G8" s="117"/>
      <c r="H8" s="117"/>
    </row>
    <row r="9" spans="1:8" ht="12.75" x14ac:dyDescent="0.2">
      <c r="A9" s="152"/>
      <c r="B9" s="153"/>
      <c r="C9" s="117"/>
      <c r="D9" s="117"/>
      <c r="E9" s="117"/>
      <c r="F9" s="117"/>
      <c r="G9" s="117"/>
      <c r="H9" s="117"/>
    </row>
    <row r="10" spans="1:8" ht="12.75" x14ac:dyDescent="0.2">
      <c r="A10" s="132" t="str">
        <f>_sheetContentTranslation_A_13</f>
        <v>与使用此模板相关的指引</v>
      </c>
      <c r="B10" s="117"/>
      <c r="C10" s="117"/>
      <c r="D10" s="117"/>
      <c r="E10" s="117"/>
      <c r="F10" s="117"/>
      <c r="G10" s="117"/>
      <c r="H10" s="117"/>
    </row>
    <row r="11" spans="1:8" ht="4.5" customHeight="1" x14ac:dyDescent="0.2">
      <c r="A11" s="118"/>
      <c r="B11" s="117"/>
      <c r="C11" s="117"/>
      <c r="D11" s="117"/>
      <c r="E11" s="117"/>
      <c r="F11" s="117"/>
      <c r="G11" s="117"/>
      <c r="H11" s="117"/>
    </row>
    <row r="12" spans="1:8" ht="26.25" customHeight="1" x14ac:dyDescent="0.2">
      <c r="A12" s="164" t="str">
        <f>_sheetContentTranslation_A_14</f>
        <v>说明</v>
      </c>
      <c r="B12" s="162" t="str">
        <f>_sheetContentTranslation_A_15</f>
        <v>此模板包含具有条件格式和数据验证的单元格，包括下拉列表。更改某些输入单元格将清除或更改工作簿中的其他单元格。为了获得最佳效果，请从上到下、从左到右完成模板。</v>
      </c>
      <c r="C12" s="162"/>
      <c r="D12" s="162"/>
      <c r="E12" s="162"/>
      <c r="F12" s="162"/>
      <c r="G12" s="162"/>
      <c r="H12" s="162"/>
    </row>
    <row r="13" spans="1:8" ht="51.75" customHeight="1" x14ac:dyDescent="0.2">
      <c r="A13" s="165"/>
      <c r="B13" s="163" t="str">
        <f>_sheetContentTranslation_A_16</f>
        <v>添加行和列
模板的某些区域（如“数据输入”工作表）允许添加行和列。在这些区域中，根据需要添加列，方法是按下“确定审计范围的输入值”工作表上用紫色字体表示的带“+”号的按钮或“+添加基准”按钮。也可以通过按下紫色的“+”按钮来添加行和列，这将在图标下方添加一行或在图标右侧添加一列。</v>
      </c>
      <c r="C13" s="162"/>
      <c r="D13" s="162"/>
      <c r="E13" s="162"/>
      <c r="F13" s="162"/>
      <c r="G13" s="162"/>
      <c r="H13" s="162"/>
    </row>
    <row r="14" spans="1:8" ht="39.75" customHeight="1" x14ac:dyDescent="0.2">
      <c r="A14" s="165"/>
      <c r="B14" s="163" t="str">
        <f>_sheetContentTranslation_A_17</f>
        <v>删除行和列
删除此模板中大多数行和列的功能已被禁用。可以删除的行和列在行的左侧或列的上方有一个红色的“x”图标。可以通过选择行左侧或列上方的红色“x”图标并在显示的消息框中选择“确定”来删除它们。</v>
      </c>
      <c r="C14" s="162"/>
      <c r="D14" s="162"/>
      <c r="E14" s="162"/>
      <c r="F14" s="162"/>
      <c r="G14" s="162"/>
      <c r="H14" s="162"/>
    </row>
    <row r="15" spans="1:8" ht="39.75" customHeight="1" x14ac:dyDescent="0.2">
      <c r="A15" s="166"/>
      <c r="B15" s="163" t="str">
        <f>_sheetContentTranslation_A_18</f>
        <v>模板内的指引（！）
在整个模板中，有数据验证形式的输入指引，以灰色感叹号“！”表示。请注意，如果您无法看到整个指引（指引被剪切了），通常是由于计算机上显示设置中的默认比例设置没有设置为100%（而不是Excel缩放）。</v>
      </c>
      <c r="C15" s="162"/>
      <c r="D15" s="162"/>
      <c r="E15" s="162"/>
      <c r="F15" s="162"/>
      <c r="G15" s="162"/>
      <c r="H15" s="162"/>
    </row>
    <row r="16" spans="1:8" ht="65.25" customHeight="1" x14ac:dyDescent="0.2">
      <c r="A16" s="164" t="str">
        <f>_sheetContentTranslation_A_19</f>
        <v>数据输入</v>
      </c>
      <c r="B16" s="163" t="str">
        <f>_sheetContentTranslation_A_20</f>
        <v>此工作表用于获取有关集团审计中包含的组成部分的信息。根据需要添加或删除组成部分（请参阅上面的说明），并为每个组成部分输入“组成部分名称”和“组成部分类型”字段，完成此工作表。然后，根据需要添加或删除财务报表标题和其他相关财务信息（请参阅上述说明），并根据需要进行调整或抵销，从而输入每个组成部分的财务报表信息以及其他相关的财务信息。此信息用于此工作簿的其他工作表。项目组负责确保本工作表中小计项的完整性和准确性，财务报表标题和小计项的添加和删除可能需要用户更新相关合计项。为了获得最佳效果，请将金额输入为正数（负数），而不是借方（贷方）。</v>
      </c>
      <c r="C16" s="162"/>
      <c r="D16" s="162"/>
      <c r="E16" s="162"/>
      <c r="F16" s="162"/>
      <c r="G16" s="162"/>
      <c r="H16" s="162"/>
    </row>
    <row r="17" spans="1:15" ht="69.75" customHeight="1" x14ac:dyDescent="0.2">
      <c r="A17" s="166"/>
      <c r="B17" s="167" t="str">
        <f>_sheetContentTranslation_A_21</f>
        <v>可以将包含组成部分财务信息的一个或多个工作表添加到此工作簿中，以便于使用SUMIFS公式或VLOOKUP公式完成“数据输入”工作表。使用此类公式输入组成部分信息时，财务报表标题和组成部分名称必须与其他工作表中使用的财务报表标题和组成部分名称完全匹配，才能使公式正确运行。避免重复使用财务报表标题名称，因为这会导致公式无法正常运行。例如，如果被审计单位的财务报表同时将衍生工具列示为资产和负债，则将财务报表标题标记为“衍生工具（资产）”和“衍生工具（负债）”。如果使用外部来源完成模板，请确保使用“仅粘贴值”进行复制和粘贴。否则，复制的信息随后可能无法编辑。</v>
      </c>
      <c r="C17" s="168"/>
      <c r="D17" s="168"/>
      <c r="E17" s="168"/>
      <c r="F17" s="168"/>
      <c r="G17" s="168"/>
      <c r="H17" s="163"/>
    </row>
    <row r="18" spans="1:15" ht="177.95" customHeight="1" x14ac:dyDescent="0.2">
      <c r="A18" s="164" t="str">
        <f>_sheetContentTranslation_A_22</f>
        <v>确定审计范围的输入值工作表</v>
      </c>
      <c r="B18" s="163" t="str">
        <f>_sheetContentTranslation_A_23</f>
        <v>此工作表用于确定组成部分的重要程度以及要执行的工作类型。它还包括确定组成部分注册会计师（如适用）。首先输入集团审计重要性、集团实际执行的重要性，以及用于识别单独具有财务重大性组成部分的基准，以完成本工作表。然后，根据需要添加或删除基准（请参阅上面的说明）；输入基准时，请小心输入与“数据输入”工作表上显示的名称完全相同的基准名称（或复制并粘贴名称），以便自动提取金额。接下来，根据需要输入每个权益法投资的财务报表信息和所有权百分比。根据项目组的评估，选择组成部分的重要程度和要执行的工作类型。
某些司法管辖区允许集团项目组（1）对组成部分注册会计师的工作承担责任，只要该工作与对集团财务报表的审计意见有关，或者（2）不承担责任，也不在审计报告中提及组成部分注册会计师对集团财务报表的审计工作。“财务信息审计”包括两个选项，可用于选择集团审计业务要执行的工作类型：“财务信息审计 - 承担责任”和“财务信息审计 - 提及组成部分注册会计师（中国准则不适用）”。在其司法管辖区内没有这些报告选项的成员所将在模板中选择“财务信息审计 - 承担责任”选项。“财务信息审计 - 承担责任”包括下述功能：集团项目组可以选择该功能，并继续在适用字段进行记录，并在必要时确定组成部分重要性。
同时填写其余字段。</v>
      </c>
      <c r="C18" s="162"/>
      <c r="D18" s="162"/>
      <c r="E18" s="162"/>
      <c r="F18" s="162"/>
      <c r="G18" s="162"/>
      <c r="H18" s="162"/>
      <c r="J18"/>
      <c r="K18"/>
      <c r="L18"/>
      <c r="M18"/>
      <c r="N18"/>
      <c r="O18"/>
    </row>
    <row r="19" spans="1:15" ht="77.25" customHeight="1" x14ac:dyDescent="0.2">
      <c r="A19" s="165"/>
      <c r="B19" s="163" t="str">
        <f>_sheetContentTranslation_A_24</f>
        <v>单独具有财务重大性的重要组成部分
根据集团的性质和具体情况，适当的基准可能包括集团资产、负债、现金流量、收入、费用或净利润。特别地，如果某个或某些基准曾用于确定集团财务报表作为一个整体的重要性水平，同样的基准可能对于识别单独具有财务重大性的组成部分也是适宜的。这是因为影响选择适当基准的因素除其他外，还考虑了被审计单位的性质。集团项目组可能认为超过选定基准15%的组成部分单独具有财务重大性。然而，由于每个集团的结构不同，使用单一的百分比阈值来确定每个集团审计的单独财务重大性是不可行的。因此，根据集团的性质或具体情况，较高或较低的百分比可能是适当的。</v>
      </c>
      <c r="C19" s="162"/>
      <c r="D19" s="162"/>
      <c r="E19" s="162"/>
      <c r="F19" s="162"/>
      <c r="G19" s="162"/>
      <c r="H19" s="162"/>
    </row>
    <row r="20" spans="1:15" ht="198.75" customHeight="1" x14ac:dyDescent="0.2">
      <c r="A20" s="165"/>
      <c r="B20" s="163" t="str">
        <f>_sheetContentTranslation_A_25</f>
        <v>对非重要组成部分执行的工作类型
集团可能只包括不重要的组成部分或包含许多虽单独不存在重要性但整合起来对集团具有重要性的组成部分。在这些情况下，集团项目组可以通过选取组成部分并对其执行以下一或多项工作以获取充分、适当的审计证据，作为发表集团审计意见的基础：
●使用组成部分重要性对组成部分财务信息实施审计；
●对一个或多个账户余额、一类或多类交易或披露实施审计；
●使用组成部分重要性对组成部分财务信息实施审阅；
●实施特定的审计程序。
如AE 7.9.3.4.2.所述，集团项目组对与某个组成部分相关的重大错报风险、选择多少个组成部分、选择哪些组成部分以及对选取的单个组成部分的财务信息执行的工作类型的决定是职业判断问题，可能会受到各种因素的影响。
选择不重要的组成部分引入不可预见性元素可能会增加识别重大错报的可能性，特别是关于评估集团财务报表层面由于舞弊导致的重大错报风险。因此，在每项集团审计中，对组成部分的选择通常实行定期轮换。可考虑自组成部分最后一次进行测试(如由集团项目组或内部审计部门进行测试)以来的时间长度。</v>
      </c>
      <c r="C20" s="162"/>
      <c r="D20" s="162"/>
      <c r="E20" s="162"/>
      <c r="F20" s="162"/>
      <c r="G20" s="162"/>
      <c r="H20" s="162"/>
    </row>
    <row r="21" spans="1:15" ht="92.25" customHeight="1" x14ac:dyDescent="0.2">
      <c r="A21" s="165"/>
      <c r="B21" s="167" t="str">
        <f>_sheetContentTranslation_A_26</f>
        <v>对一个或多个账户余额、一类或多类交易或披露实施审计与实施特定的审计程序相比
对一个或多个账户余额、一类或多类交易或披露实施审计与实施特定的审计程序的不同之处在于，组成部分注册会计师评估重大错报风险，并设计进一步的审计程序。此外，在对一个或多个账户余额、一类或多类交易或披露实施审计中，组成部分注册会计师酌情对关联项目执行程序。在一个或多个账户余额、一类或多类交易或披露实施审计中，组成部分注册会计师或集团项目组可以确定要应用的重要性水平。该重要性水平设置为低于集团重要性水平。同样地，实际执行的重要性设置为低于集团实际执行的重要性。请参阅要执行的工作和完成工作底稿模板。另一方面，集团项目组设计特定的审计程序，以应对与交易类别、账户余额或披露相关的重大错报的评估风险，并将此类程序与组成部分注册会计师进行沟通。</v>
      </c>
      <c r="C21" s="168"/>
      <c r="D21" s="168"/>
      <c r="E21" s="168"/>
      <c r="F21" s="168"/>
      <c r="G21" s="168"/>
      <c r="H21" s="163"/>
    </row>
    <row r="22" spans="1:15" ht="66" customHeight="1" x14ac:dyDescent="0.2">
      <c r="A22" s="165"/>
      <c r="B22" s="167" t="str">
        <f>_sheetContentTranslation_A_27</f>
        <v>对组成部分财务信息实施审阅
审阅仅旨在获取有限保证，主要通过执行询问和分析性程序，即不需要对财务信息进行重大修改，使其符合财务报告编制基础。因此，对组成部分财务信息的审阅不足以应对该组成部分出现的集团财务报表重大错报风险。然而，可以实施审阅，以降低未发现重大错报的审计风险，或纳入不可预见性因素。审阅结果还可以为集团项目组纳入范围的项目的审计证据提供佐证或表明存在矛盾的迹象。</v>
      </c>
      <c r="C22" s="168"/>
      <c r="D22" s="168"/>
      <c r="E22" s="168"/>
      <c r="F22" s="168"/>
      <c r="G22" s="168"/>
      <c r="H22" s="163"/>
    </row>
    <row r="23" spans="1:15" ht="184.9" customHeight="1" x14ac:dyDescent="0.2">
      <c r="A23" s="165"/>
      <c r="B23" s="163" t="str">
        <f>_sheetContentTranslation_A_28</f>
        <v>确定组成部分重要性
确定组成部分重要性属于职业判断。为降低未更正和未发现错报的汇总数超过集团财务报表整体的重要性的风险，需要将组成部分重要性设定为低于集团财务报表整体的重要性。然而，对不同组成部分确定的重要性的汇总数，有可能高于集团财务报表整体的重要性（即确定组成部分重要性时，无需采用将集团财务报表整体重要性按比例分配的方式）。此外，组成部分重要性无需成为集团整体重要性的一个数字比例。
在确定组成部分重要性时，无论集团财务报表的审计报告中是否提及组成部分注册会计师的审计工作，必须考虑所有组成部分，以降低集团财务报表中已发现和未发现错报的总和超过集团财务报表整体重要性的风险。集团项目组可以使用集团实际执行的重要性作为确定组成部分重要性的起点。然而，考虑到各组成部分相对于集团的相对规模，通过确定适当的金额，可以确定不同组成部分的不同重要性。
法律、法规或其他原因可能要求组成部分注册会计师对组成部分的财务报表发表审计意见。在这种情况下，用于此类审计的重要性通常可以预期低于集团的重要性，因此，对于集团审计而言是可接受的。然而，与集团项目组的沟通可能基于由集团项目组确定的组成部分重要性和明显微小金额。</v>
      </c>
      <c r="C23" s="162"/>
      <c r="D23" s="162"/>
      <c r="E23" s="162"/>
      <c r="F23" s="162"/>
      <c r="G23" s="162"/>
      <c r="H23" s="162"/>
    </row>
    <row r="24" spans="1:15" ht="116.25" customHeight="1" x14ac:dyDescent="0.2">
      <c r="A24" s="166"/>
      <c r="B24" s="163" t="str">
        <f>_sheetContentTranslation_A_29</f>
        <v>确定按权益法核算的被投资实体的组成部分重要性
有时，按权益法核算的被投资实体比投资方（集团）明显更大，用以支持投资方享有投资收益的证据可能主要由被投资方经审计的财务报表组成。在这种情况下，被投资方注册会计师使用的重要性可能大于投资方注册会计师使用的重要性水平。当存在这类情况时，集团项目组在确定被投资方注册会计师使用的组成部分重要性是否适合于集团财务报表审计时，可以考虑集团的持股比例及其在被投资方损益中所占份额等事项，以确定被投资方的注册会计师所使用的组成部分重要性是否适合于集团财务报表审计。也就是说，在确定组成部分重要性时，可能需要考虑基于所有权比例按权益法核算的被投资实体的错报对集团财务报表的影响。事务所的方法论为使用集团财务报表整体实际执行的重要性作为起点来确定组成部分重要性提供了方法；例如，使用集团财务报表整体实际执行的重要性（400,000）除以所有权比例（40%），得出按权益法核算的被投资实体的组成部分重要性（1,000,000）。其他方法，例如对恰当的基准应用合理的百分比或直接确定一个恰当的组成部分重要性金额，也适用。</v>
      </c>
      <c r="C24" s="162"/>
      <c r="D24" s="162"/>
      <c r="E24" s="162"/>
      <c r="F24" s="162"/>
      <c r="G24" s="162"/>
      <c r="H24" s="162"/>
      <c r="I24" s="137"/>
    </row>
    <row r="25" spans="1:15" ht="41.25" customHeight="1" x14ac:dyDescent="0.2">
      <c r="A25" s="164" t="str">
        <f>_sheetContentTranslation_A_30</f>
        <v>按工作类型的汇总报告</v>
      </c>
      <c r="B25" s="163" t="str">
        <f>_sheetContentTranslation_A_31</f>
        <v>本报告仅供参考和额外分析之用，以协助集团项目组确定集团审计范围。它详细说明了要对财务信息执行的工作类型，这可能有助于集团项目组确定是否执行进一步的程序，其中可能包括选择其他非重要的组成部分以执行工作。此汇总报告允许集团项目组记录有关集团项目组将审计的余额的说明。</v>
      </c>
      <c r="C25" s="162"/>
      <c r="D25" s="162"/>
      <c r="E25" s="162"/>
      <c r="F25" s="162"/>
      <c r="G25" s="162"/>
      <c r="H25" s="162"/>
    </row>
    <row r="26" spans="1:15" ht="42.75" customHeight="1" x14ac:dyDescent="0.2">
      <c r="A26" s="166"/>
      <c r="B26" s="163" t="str">
        <f>_sheetContentTranslation_A_32</f>
        <v>根据前面工作表中输入的详细信息，财务报表标题将自动显示，同时显示按要执行的工作类型汇总的组成部分的金额。如果执行的工作类型是对一个或多个账户余额、一类或多类交易或披露或特定程序的审计，则为每个组成部分添加一列。按财务报表标题手动输入金额，或在适用情况下，将适当的列加在右侧，记录纳入审计范围的金额。</v>
      </c>
      <c r="C26" s="162"/>
      <c r="D26" s="162"/>
      <c r="E26" s="162"/>
      <c r="F26" s="162"/>
      <c r="G26" s="162"/>
      <c r="H26" s="162"/>
    </row>
  </sheetData>
  <mergeCells count="21">
    <mergeCell ref="B20:H20"/>
    <mergeCell ref="B19:H19"/>
    <mergeCell ref="B25:H25"/>
    <mergeCell ref="B26:H26"/>
    <mergeCell ref="A16:A17"/>
    <mergeCell ref="B17:H17"/>
    <mergeCell ref="A25:A26"/>
    <mergeCell ref="B18:H18"/>
    <mergeCell ref="B24:H24"/>
    <mergeCell ref="A18:A24"/>
    <mergeCell ref="B21:H21"/>
    <mergeCell ref="B22:H22"/>
    <mergeCell ref="B23:H23"/>
    <mergeCell ref="A6:H6"/>
    <mergeCell ref="B12:H12"/>
    <mergeCell ref="B13:H13"/>
    <mergeCell ref="B14:H14"/>
    <mergeCell ref="B16:H16"/>
    <mergeCell ref="A7:H7"/>
    <mergeCell ref="A12:A15"/>
    <mergeCell ref="B15:H15"/>
  </mergeCells>
  <phoneticPr fontId="29"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ata_Input">
    <pageSetUpPr autoPageBreaks="0"/>
  </sheetPr>
  <dimension ref="A1:O141"/>
  <sheetViews>
    <sheetView showGridLines="0" workbookViewId="0">
      <pane xSplit="4" ySplit="12" topLeftCell="E13" activePane="bottomRight" state="frozen"/>
      <selection activeCell="B31" sqref="B31"/>
      <selection pane="topRight" activeCell="B31" sqref="B31"/>
      <selection pane="bottomLeft" activeCell="B31" sqref="B31"/>
      <selection pane="bottomRight" activeCell="C27" sqref="C27"/>
    </sheetView>
  </sheetViews>
  <sheetFormatPr defaultColWidth="9.33203125" defaultRowHeight="11.25" x14ac:dyDescent="0.2"/>
  <cols>
    <col min="1" max="2" width="3.83203125" customWidth="1"/>
    <col min="3" max="3" width="40.83203125" customWidth="1"/>
    <col min="4" max="8" width="25.83203125" customWidth="1"/>
    <col min="9" max="9" width="2.83203125" hidden="1" customWidth="1"/>
    <col min="10" max="13" width="15.83203125" customWidth="1"/>
    <col min="15" max="15" width="25.83203125" hidden="1" customWidth="1"/>
  </cols>
  <sheetData>
    <row r="1" spans="1:15" x14ac:dyDescent="0.2">
      <c r="B1" s="48"/>
      <c r="N1" s="48"/>
    </row>
    <row r="2" spans="1:15" ht="15.75" x14ac:dyDescent="0.25">
      <c r="B2" s="48"/>
      <c r="C2" s="1" t="str">
        <f>_sheetContentTranslation_A_19</f>
        <v>数据输入</v>
      </c>
      <c r="N2" s="48"/>
    </row>
    <row r="3" spans="1:15" x14ac:dyDescent="0.2">
      <c r="B3" s="48"/>
      <c r="N3" s="48"/>
    </row>
    <row r="4" spans="1:15" ht="15.75" customHeight="1" x14ac:dyDescent="0.2">
      <c r="B4" s="48"/>
      <c r="C4" s="143" t="str">
        <f>_sheetContentTranslation_A_33</f>
        <v>集团名称</v>
      </c>
      <c r="D4" s="171"/>
      <c r="E4" s="171"/>
      <c r="N4" s="48"/>
    </row>
    <row r="5" spans="1:15" ht="15.75" customHeight="1" x14ac:dyDescent="0.2">
      <c r="B5" s="48"/>
      <c r="C5" s="143" t="str">
        <f>_sheetContentTranslation_A_34</f>
        <v>集团期间结束日期</v>
      </c>
      <c r="D5" s="172"/>
      <c r="E5" s="172"/>
      <c r="N5" s="48"/>
    </row>
    <row r="6" spans="1:15" ht="12.75" x14ac:dyDescent="0.2">
      <c r="B6" s="48"/>
      <c r="D6" s="131" t="str">
        <f>_sheetContentTranslation_A_35</f>
        <v>+</v>
      </c>
      <c r="E6" s="131" t="str">
        <f>_sheetContentTranslation_A_35</f>
        <v>+</v>
      </c>
      <c r="F6" s="131" t="str">
        <f>_sheetContentTranslation_A_35</f>
        <v>+</v>
      </c>
      <c r="G6" s="131" t="str">
        <f>_sheetContentTranslation_A_35</f>
        <v>+</v>
      </c>
      <c r="H6" s="131" t="str">
        <f>_sheetContentTranslation_A_35</f>
        <v>+</v>
      </c>
      <c r="N6" s="48"/>
      <c r="O6" s="131" t="str">
        <f>_sheetContentTranslation_A_35</f>
        <v>+</v>
      </c>
    </row>
    <row r="7" spans="1:15" ht="12.75" x14ac:dyDescent="0.2">
      <c r="B7" s="48"/>
      <c r="D7" s="147"/>
      <c r="E7" s="147" t="str">
        <f>_sheetContentTranslation_A_36</f>
        <v>x</v>
      </c>
      <c r="F7" s="147" t="str">
        <f>_sheetContentTranslation_A_36</f>
        <v>x</v>
      </c>
      <c r="G7" s="147" t="str">
        <f>_sheetContentTranslation_A_36</f>
        <v>x</v>
      </c>
      <c r="H7" s="147" t="str">
        <f>_sheetContentTranslation_A_36</f>
        <v>x</v>
      </c>
      <c r="N7" s="48"/>
      <c r="O7" s="147" t="str">
        <f>_sheetContentTranslation_A_36</f>
        <v>x</v>
      </c>
    </row>
    <row r="8" spans="1:15" x14ac:dyDescent="0.2">
      <c r="B8" s="48"/>
      <c r="C8" s="148" t="str">
        <f>_sheetContentTranslation_A_37</f>
        <v>组成部分序号</v>
      </c>
      <c r="D8" s="2">
        <v>1</v>
      </c>
      <c r="E8" s="2">
        <f t="shared" ref="E8:H8" si="0">D8+1</f>
        <v>2</v>
      </c>
      <c r="F8" s="2">
        <f t="shared" si="0"/>
        <v>3</v>
      </c>
      <c r="G8" s="2">
        <f t="shared" si="0"/>
        <v>4</v>
      </c>
      <c r="H8" s="2">
        <f t="shared" si="0"/>
        <v>5</v>
      </c>
      <c r="I8">
        <f>H8+1</f>
        <v>6</v>
      </c>
      <c r="J8" s="170" t="str">
        <f>_sheetContentTranslation_A_38</f>
        <v>合并总额（调整和抵销前）</v>
      </c>
      <c r="K8" s="170" t="str">
        <f>_sheetContentTranslation_A_39</f>
        <v>调整</v>
      </c>
      <c r="L8" s="169" t="str">
        <f>_sheetContentTranslation_A_40</f>
        <v>抵销</v>
      </c>
      <c r="M8" s="170" t="str">
        <f>_sheetContentTranslation_A_41</f>
        <v>合并总额</v>
      </c>
      <c r="N8" s="48"/>
      <c r="O8" s="2"/>
    </row>
    <row r="9" spans="1:15" ht="15.75" customHeight="1" x14ac:dyDescent="0.2">
      <c r="B9" s="48"/>
      <c r="C9" s="148" t="str">
        <f>_sheetContentTranslation_A_42</f>
        <v>组成部分名称</v>
      </c>
      <c r="D9" s="139"/>
      <c r="E9" s="139"/>
      <c r="F9" s="139"/>
      <c r="G9" s="139"/>
      <c r="H9" s="139"/>
      <c r="J9" s="170"/>
      <c r="K9" s="170"/>
      <c r="L9" s="169"/>
      <c r="M9" s="170"/>
      <c r="N9" s="48"/>
      <c r="O9" s="139"/>
    </row>
    <row r="10" spans="1:15" ht="15" customHeight="1" x14ac:dyDescent="0.2">
      <c r="B10" s="48"/>
      <c r="C10" s="148" t="str">
        <f>_sheetContentTranslation_A_43</f>
        <v>组成部分类型</v>
      </c>
      <c r="D10" s="139"/>
      <c r="E10" s="139"/>
      <c r="F10" s="139"/>
      <c r="G10" s="139"/>
      <c r="H10" s="139"/>
      <c r="J10" s="170"/>
      <c r="K10" s="170"/>
      <c r="L10" s="169"/>
      <c r="M10" s="170"/>
      <c r="N10" s="48"/>
      <c r="O10" s="139"/>
    </row>
    <row r="11" spans="1:15" ht="23.25" customHeight="1" x14ac:dyDescent="0.2">
      <c r="B11" s="48"/>
      <c r="C11" s="149" t="str">
        <f>_sheetContentTranslation_A_44</f>
        <v>组成部分的重要程度（来自确定审计范围的输入值工作表）</v>
      </c>
      <c r="D11" s="2" t="str">
        <f>IFERROR(IF(INDEX(确定审计范围的输入值!$B$11:$W$17,MATCH(确定审计范围!D$8,确定审计范围的输入值!$B$11:$B$19,0),MATCH(_sheetContentTranslation_A_149,确定审计范围的输入值!$B$11:$W$11,0))="","",INDEX(确定审计范围的输入值!$B$11:$W$17,MATCH(确定审计范围!D$8,确定审计范围的输入值!$B$11:$B$19,0),MATCH(_sheetContentTranslation_A_149,确定审计范围的输入值!$B$11:$W$11,0))),"")</f>
        <v/>
      </c>
      <c r="E11" s="2" t="str">
        <f>IFERROR(IF(INDEX(确定审计范围的输入值!$B$11:$W$17,MATCH(确定审计范围!E$8,确定审计范围的输入值!$B$11:$B$19,0),MATCH(_sheetContentTranslation_A_149,确定审计范围的输入值!$B$11:$W$11,0))="","",INDEX(确定审计范围的输入值!$B$11:$W$17,MATCH(确定审计范围!E$8,确定审计范围的输入值!$B$11:$B$19,0),MATCH(_sheetContentTranslation_A_149,确定审计范围的输入值!$B$11:$W$11,0))),"")</f>
        <v/>
      </c>
      <c r="F11" s="2" t="str">
        <f>IFERROR(IF(INDEX(确定审计范围的输入值!$B$11:$W$17,MATCH(确定审计范围!F$8,确定审计范围的输入值!$B$11:$B$19,0),MATCH(_sheetContentTranslation_A_149,确定审计范围的输入值!$B$11:$W$11,0))="","",INDEX(确定审计范围的输入值!$B$11:$W$17,MATCH(确定审计范围!F$8,确定审计范围的输入值!$B$11:$B$19,0),MATCH(_sheetContentTranslation_A_149,确定审计范围的输入值!$B$11:$W$11,0))),"")</f>
        <v/>
      </c>
      <c r="G11" s="2" t="str">
        <f>IFERROR(IF(INDEX(确定审计范围的输入值!$B$11:$W$17,MATCH(确定审计范围!G$8,确定审计范围的输入值!$B$11:$B$19,0),MATCH(_sheetContentTranslation_A_149,确定审计范围的输入值!$B$11:$W$11,0))="","",INDEX(确定审计范围的输入值!$B$11:$W$17,MATCH(确定审计范围!G$8,确定审计范围的输入值!$B$11:$B$19,0),MATCH(_sheetContentTranslation_A_149,确定审计范围的输入值!$B$11:$W$11,0))),"")</f>
        <v/>
      </c>
      <c r="H11" s="2" t="str">
        <f>IFERROR(IF(INDEX(确定审计范围的输入值!$B$11:$W$17,MATCH(确定审计范围!H$8,确定审计范围的输入值!$B$11:$B$19,0),MATCH(_sheetContentTranslation_A_149,确定审计范围的输入值!$B$11:$W$11,0))="","",INDEX(确定审计范围的输入值!$B$11:$W$17,MATCH(确定审计范围!H$8,确定审计范围的输入值!$B$11:$B$19,0),MATCH(_sheetContentTranslation_A_149,确定审计范围的输入值!$B$11:$W$11,0))),"")</f>
        <v/>
      </c>
      <c r="J11" s="170"/>
      <c r="K11" s="170"/>
      <c r="L11" s="169"/>
      <c r="M11" s="170"/>
      <c r="N11" s="48"/>
      <c r="O11" s="2" t="str">
        <f>IFERROR(IF(INDEX(确定审计范围的输入值!$B$11:$W$17,MATCH(确定审计范围!O$8,确定审计范围的输入值!$B$11:$B$19,0),MATCH(_sheetContentTranslation_A_149,确定审计范围的输入值!$B$11:$W$11,0))="","",INDEX(确定审计范围的输入值!$B$11:$W$17,MATCH(确定审计范围!O$8,确定审计范围的输入值!$B$11:$B$19,0),MATCH(_sheetContentTranslation_A_149,确定审计范围的输入值!$B$11:$W$11,0))),"")</f>
        <v/>
      </c>
    </row>
    <row r="12" spans="1:15" ht="34.5" customHeight="1" x14ac:dyDescent="0.2">
      <c r="B12" s="48"/>
      <c r="C12" s="149" t="str">
        <f>_sheetContentTranslation_A_45</f>
        <v>要执行的工作类型（来自确定审计范围的输入值工作表）</v>
      </c>
      <c r="D12" s="2" t="str">
        <f>IFERROR(IF(INDEX(确定审计范围的输入值!$B$11:$W$17,MATCH(确定审计范围!D$8,确定审计范围的输入值!$B$11:$B$19,0),MATCH(_sheetContentTranslation_A_150,确定审计范围的输入值!$B$11:$W$11,0))="","",INDEX(确定审计范围的输入值!$B$11:$W$17,MATCH(确定审计范围!D$8,确定审计范围的输入值!$B$11:$B$19,0),MATCH(_sheetContentTranslation_A_150,确定审计范围的输入值!$B$11:$W$11,0))),"")</f>
        <v/>
      </c>
      <c r="E12" s="2" t="str">
        <f>IFERROR(IF(INDEX(确定审计范围的输入值!$B$11:$W$17,MATCH(确定审计范围!E$8,确定审计范围的输入值!$B$11:$B$19,0),MATCH(_sheetContentTranslation_A_150,确定审计范围的输入值!$B$11:$W$11,0))="","",INDEX(确定审计范围的输入值!$B$11:$W$17,MATCH(确定审计范围!E$8,确定审计范围的输入值!$B$11:$B$19,0),MATCH(_sheetContentTranslation_A_150,确定审计范围的输入值!$B$11:$W$11,0))),"")</f>
        <v/>
      </c>
      <c r="F12" s="2" t="str">
        <f>IFERROR(IF(INDEX(确定审计范围的输入值!$B$11:$W$17,MATCH(确定审计范围!F$8,确定审计范围的输入值!$B$11:$B$19,0),MATCH(_sheetContentTranslation_A_150,确定审计范围的输入值!$B$11:$W$11,0))="","",INDEX(确定审计范围的输入值!$B$11:$W$17,MATCH(确定审计范围!F$8,确定审计范围的输入值!$B$11:$B$19,0),MATCH(_sheetContentTranslation_A_150,确定审计范围的输入值!$B$11:$W$11,0))),"")</f>
        <v/>
      </c>
      <c r="G12" s="2" t="str">
        <f>IFERROR(IF(INDEX(确定审计范围的输入值!$B$11:$W$17,MATCH(确定审计范围!G$8,确定审计范围的输入值!$B$11:$B$19,0),MATCH(_sheetContentTranslation_A_150,确定审计范围的输入值!$B$11:$W$11,0))="","",INDEX(确定审计范围的输入值!$B$11:$W$17,MATCH(确定审计范围!G$8,确定审计范围的输入值!$B$11:$B$19,0),MATCH(_sheetContentTranslation_A_150,确定审计范围的输入值!$B$11:$W$11,0))),"")</f>
        <v/>
      </c>
      <c r="H12" s="2" t="str">
        <f>IFERROR(IF(INDEX(确定审计范围的输入值!$B$11:$W$17,MATCH(确定审计范围!H$8,确定审计范围的输入值!$B$11:$B$19,0),MATCH(_sheetContentTranslation_A_150,确定审计范围的输入值!$B$11:$W$11,0))="","",INDEX(确定审计范围的输入值!$B$11:$W$17,MATCH(确定审计范围!H$8,确定审计范围的输入值!$B$11:$B$19,0),MATCH(_sheetContentTranslation_A_150,确定审计范围的输入值!$B$11:$W$11,0))),"")</f>
        <v/>
      </c>
      <c r="J12" s="170"/>
      <c r="K12" s="170"/>
      <c r="L12" s="169"/>
      <c r="M12" s="170"/>
      <c r="N12" s="48"/>
      <c r="O12" s="2" t="str">
        <f>IFERROR(IF(INDEX(确定审计范围的输入值!$B$11:$W$17,MATCH(确定审计范围!O$8,确定审计范围的输入值!$B$11:$B$19,0),MATCH(_sheetContentTranslation_A_150,确定审计范围的输入值!$B$11:$W$11,0))="","",INDEX(确定审计范围的输入值!$B$11:$W$17,MATCH(确定审计范围!O$8,确定审计范围的输入值!$B$11:$B$19,0),MATCH(_sheetContentTranslation_A_150,确定审计范围的输入值!$B$11:$W$11,0))),"")</f>
        <v/>
      </c>
    </row>
    <row r="13" spans="1:15" ht="16.5" thickBot="1" x14ac:dyDescent="0.25">
      <c r="B13" s="48"/>
      <c r="C13" s="24" t="str">
        <f>_sheetContentTranslation_A_46</f>
        <v>资产负债表</v>
      </c>
      <c r="D13" s="25"/>
      <c r="E13" s="28"/>
      <c r="F13" s="28"/>
      <c r="G13" s="28"/>
      <c r="H13" s="28"/>
      <c r="J13" s="25"/>
      <c r="K13" s="25"/>
      <c r="L13" s="25"/>
      <c r="M13" s="26"/>
      <c r="N13" s="27"/>
      <c r="O13" s="28"/>
    </row>
    <row r="14" spans="1:15" x14ac:dyDescent="0.2">
      <c r="B14" s="48"/>
      <c r="C14" s="29"/>
      <c r="D14" s="30"/>
      <c r="E14" s="30"/>
      <c r="F14" s="30"/>
      <c r="G14" s="30"/>
      <c r="H14" s="30"/>
      <c r="J14" s="30"/>
      <c r="K14" s="30"/>
      <c r="L14" s="30"/>
      <c r="M14" s="30"/>
      <c r="N14" s="27"/>
      <c r="O14" s="30"/>
    </row>
    <row r="15" spans="1:15" x14ac:dyDescent="0.2">
      <c r="C15" s="31" t="str">
        <f>_sheetContentTranslation_A_47</f>
        <v>流动资产</v>
      </c>
      <c r="D15" s="32"/>
      <c r="E15" s="32"/>
      <c r="F15" s="32"/>
      <c r="G15" s="32"/>
      <c r="H15" s="32"/>
      <c r="J15" s="32"/>
      <c r="K15" s="32"/>
      <c r="L15" s="32"/>
      <c r="M15" s="58"/>
      <c r="N15" s="27"/>
      <c r="O15" s="32"/>
    </row>
    <row r="16" spans="1:15" ht="12.75" x14ac:dyDescent="0.2">
      <c r="A16" s="131" t="str">
        <f t="shared" ref="A16:A24" si="1">_sheetContentTranslation_A_35</f>
        <v>+</v>
      </c>
      <c r="B16" s="147" t="str">
        <f t="shared" ref="B16:B47" si="2">_sheetContentTranslation_A_36</f>
        <v>x</v>
      </c>
      <c r="C16" s="33" t="str">
        <f>_sheetContentTranslation_A_48</f>
        <v>现金和现金等价物</v>
      </c>
      <c r="D16" s="32"/>
      <c r="E16" s="32"/>
      <c r="F16" s="32"/>
      <c r="G16" s="32"/>
      <c r="H16" s="32"/>
      <c r="J16" s="32">
        <f t="shared" ref="J16:J24" si="3">SUM(D16:I16)</f>
        <v>0</v>
      </c>
      <c r="K16" s="32"/>
      <c r="L16" s="32"/>
      <c r="M16" s="58">
        <f t="shared" ref="M16:M24" si="4">SUM(J16:L16)</f>
        <v>0</v>
      </c>
      <c r="N16" s="27"/>
      <c r="O16" s="32"/>
    </row>
    <row r="17" spans="1:15" ht="12.75" x14ac:dyDescent="0.2">
      <c r="A17" s="131" t="str">
        <f t="shared" si="1"/>
        <v>+</v>
      </c>
      <c r="B17" s="147" t="str">
        <f t="shared" si="2"/>
        <v>x</v>
      </c>
      <c r="C17" s="33" t="str">
        <f>_sheetContentTranslation_A_49</f>
        <v>受限现金</v>
      </c>
      <c r="D17" s="32"/>
      <c r="E17" s="32"/>
      <c r="F17" s="32"/>
      <c r="G17" s="32"/>
      <c r="H17" s="32"/>
      <c r="J17" s="32">
        <f t="shared" si="3"/>
        <v>0</v>
      </c>
      <c r="K17" s="32"/>
      <c r="L17" s="32"/>
      <c r="M17" s="58">
        <f t="shared" si="4"/>
        <v>0</v>
      </c>
      <c r="N17" s="27"/>
      <c r="O17" s="32"/>
    </row>
    <row r="18" spans="1:15" ht="12.75" x14ac:dyDescent="0.2">
      <c r="A18" s="131" t="str">
        <f t="shared" si="1"/>
        <v>+</v>
      </c>
      <c r="B18" s="147" t="str">
        <f t="shared" si="2"/>
        <v>x</v>
      </c>
      <c r="C18" s="33" t="str">
        <f>_sheetContentTranslation_A_50</f>
        <v>以公允价值计量的有价证券</v>
      </c>
      <c r="D18" s="34"/>
      <c r="E18" s="34"/>
      <c r="F18" s="34"/>
      <c r="G18" s="34"/>
      <c r="H18" s="34"/>
      <c r="J18" s="32">
        <f t="shared" si="3"/>
        <v>0</v>
      </c>
      <c r="K18" s="34"/>
      <c r="L18" s="34"/>
      <c r="M18" s="58">
        <f t="shared" si="4"/>
        <v>0</v>
      </c>
      <c r="N18" s="27"/>
      <c r="O18" s="34"/>
    </row>
    <row r="19" spans="1:15" ht="12.75" x14ac:dyDescent="0.2">
      <c r="A19" s="131" t="str">
        <f t="shared" si="1"/>
        <v>+</v>
      </c>
      <c r="B19" s="147" t="str">
        <f t="shared" si="2"/>
        <v>x</v>
      </c>
      <c r="C19" s="33" t="str">
        <f>_sheetContentTranslation_A_51</f>
        <v>应收账款净额</v>
      </c>
      <c r="D19" s="34"/>
      <c r="E19" s="34"/>
      <c r="F19" s="34"/>
      <c r="G19" s="34"/>
      <c r="H19" s="34"/>
      <c r="J19" s="32">
        <f t="shared" si="3"/>
        <v>0</v>
      </c>
      <c r="K19" s="34"/>
      <c r="L19" s="34"/>
      <c r="M19" s="58">
        <f t="shared" si="4"/>
        <v>0</v>
      </c>
      <c r="N19" s="27"/>
      <c r="O19" s="34"/>
    </row>
    <row r="20" spans="1:15" ht="12.75" x14ac:dyDescent="0.2">
      <c r="A20" s="131" t="str">
        <f t="shared" si="1"/>
        <v>+</v>
      </c>
      <c r="B20" s="147" t="str">
        <f t="shared" si="2"/>
        <v>x</v>
      </c>
      <c r="C20" s="33" t="str">
        <f>_sheetContentTranslation_A_52</f>
        <v>投资性房地产净额</v>
      </c>
      <c r="D20" s="34"/>
      <c r="E20" s="34"/>
      <c r="F20" s="34"/>
      <c r="G20" s="34"/>
      <c r="H20" s="34"/>
      <c r="J20" s="32">
        <f t="shared" si="3"/>
        <v>0</v>
      </c>
      <c r="K20" s="34"/>
      <c r="L20" s="34"/>
      <c r="M20" s="58">
        <f t="shared" si="4"/>
        <v>0</v>
      </c>
      <c r="N20" s="27"/>
      <c r="O20" s="34"/>
    </row>
    <row r="21" spans="1:15" ht="12.75" x14ac:dyDescent="0.2">
      <c r="A21" s="131" t="str">
        <f t="shared" si="1"/>
        <v>+</v>
      </c>
      <c r="B21" s="147" t="str">
        <f t="shared" si="2"/>
        <v>x</v>
      </c>
      <c r="C21" s="33" t="str">
        <f>_sheetContentTranslation_A_53</f>
        <v>存货</v>
      </c>
      <c r="D21" s="34"/>
      <c r="E21" s="34"/>
      <c r="F21" s="34"/>
      <c r="G21" s="34"/>
      <c r="H21" s="34"/>
      <c r="J21" s="32">
        <f t="shared" si="3"/>
        <v>0</v>
      </c>
      <c r="K21" s="34"/>
      <c r="L21" s="34"/>
      <c r="M21" s="58">
        <f t="shared" si="4"/>
        <v>0</v>
      </c>
      <c r="N21" s="27"/>
      <c r="O21" s="34"/>
    </row>
    <row r="22" spans="1:15" ht="12.75" x14ac:dyDescent="0.2">
      <c r="A22" s="131" t="str">
        <f t="shared" si="1"/>
        <v>+</v>
      </c>
      <c r="B22" s="147" t="str">
        <f t="shared" si="2"/>
        <v>x</v>
      </c>
      <c r="C22" s="33" t="str">
        <f>_sheetContentTranslation_A_54</f>
        <v>预付款项</v>
      </c>
      <c r="D22" s="34"/>
      <c r="E22" s="34"/>
      <c r="F22" s="34"/>
      <c r="G22" s="34"/>
      <c r="H22" s="34"/>
      <c r="J22" s="32">
        <f t="shared" si="3"/>
        <v>0</v>
      </c>
      <c r="K22" s="34"/>
      <c r="L22" s="34"/>
      <c r="M22" s="58">
        <f t="shared" si="4"/>
        <v>0</v>
      </c>
      <c r="N22" s="27"/>
      <c r="O22" s="34"/>
    </row>
    <row r="23" spans="1:15" ht="11.25" customHeight="1" x14ac:dyDescent="0.2">
      <c r="A23" s="131" t="str">
        <f t="shared" si="1"/>
        <v>+</v>
      </c>
      <c r="B23" s="147" t="str">
        <f t="shared" si="2"/>
        <v>x</v>
      </c>
      <c r="C23" s="33" t="str">
        <f>_sheetContentTranslation_A_55</f>
        <v>合同资产</v>
      </c>
      <c r="D23" s="34"/>
      <c r="E23" s="34"/>
      <c r="F23" s="34"/>
      <c r="G23" s="34"/>
      <c r="H23" s="34"/>
      <c r="J23" s="32">
        <f t="shared" si="3"/>
        <v>0</v>
      </c>
      <c r="K23" s="34"/>
      <c r="L23" s="34"/>
      <c r="M23" s="58">
        <f t="shared" si="4"/>
        <v>0</v>
      </c>
      <c r="N23" s="27"/>
      <c r="O23" s="34"/>
    </row>
    <row r="24" spans="1:15" ht="11.25" customHeight="1" x14ac:dyDescent="0.2">
      <c r="A24" s="131" t="str">
        <f t="shared" si="1"/>
        <v>+</v>
      </c>
      <c r="B24" s="147" t="str">
        <f t="shared" si="2"/>
        <v>x</v>
      </c>
      <c r="C24" s="33" t="str">
        <f>_sheetContentTranslation_A_56</f>
        <v>其他流动资产</v>
      </c>
      <c r="D24" s="34"/>
      <c r="E24" s="34"/>
      <c r="F24" s="34"/>
      <c r="G24" s="34"/>
      <c r="H24" s="34"/>
      <c r="J24" s="32">
        <f t="shared" si="3"/>
        <v>0</v>
      </c>
      <c r="K24" s="34"/>
      <c r="L24" s="34"/>
      <c r="M24" s="58">
        <f t="shared" si="4"/>
        <v>0</v>
      </c>
      <c r="N24" s="27"/>
      <c r="O24" s="34"/>
    </row>
    <row r="25" spans="1:15" ht="12" hidden="1" customHeight="1" x14ac:dyDescent="0.2">
      <c r="B25" s="107" t="str">
        <f t="shared" si="2"/>
        <v>x</v>
      </c>
      <c r="C25" s="13" t="str">
        <f>_sheetContentTranslation_A_57</f>
        <v>故意隐藏</v>
      </c>
      <c r="D25" s="7"/>
      <c r="E25" s="7"/>
      <c r="F25" s="7"/>
      <c r="G25" s="7"/>
      <c r="H25" s="7"/>
      <c r="J25" s="7"/>
      <c r="K25" s="7"/>
      <c r="L25" s="7"/>
      <c r="M25" s="7"/>
      <c r="N25" s="27"/>
      <c r="O25" s="7"/>
    </row>
    <row r="26" spans="1:15" ht="12.75" x14ac:dyDescent="0.2">
      <c r="A26" s="131" t="str">
        <f t="shared" ref="A26:A39" si="5">_sheetContentTranslation_A_35</f>
        <v>+</v>
      </c>
      <c r="B26" s="147" t="str">
        <f t="shared" si="2"/>
        <v>x</v>
      </c>
      <c r="C26" s="35" t="str">
        <f>_sheetContentTranslation_A_58</f>
        <v>流动资产总额</v>
      </c>
      <c r="D26" s="36">
        <f>SUM(D15:D25)</f>
        <v>0</v>
      </c>
      <c r="E26" s="36">
        <f>SUM(E15:E25)</f>
        <v>0</v>
      </c>
      <c r="F26" s="36">
        <f>SUM(F15:F25)</f>
        <v>0</v>
      </c>
      <c r="G26" s="36">
        <f>SUM(G15:G25)</f>
        <v>0</v>
      </c>
      <c r="H26" s="36">
        <f>SUM(H15:H25)</f>
        <v>0</v>
      </c>
      <c r="J26" s="36">
        <f>SUM(J15:J25)</f>
        <v>0</v>
      </c>
      <c r="K26" s="36">
        <f>SUM(K15:K25)</f>
        <v>0</v>
      </c>
      <c r="L26" s="36">
        <f>SUM(L15:L25)</f>
        <v>0</v>
      </c>
      <c r="M26" s="36">
        <f>SUM(M15:M25)</f>
        <v>0</v>
      </c>
      <c r="N26" s="27"/>
      <c r="O26" s="36">
        <f>SUM(O15:O25)</f>
        <v>0</v>
      </c>
    </row>
    <row r="27" spans="1:15" ht="12.75" x14ac:dyDescent="0.2">
      <c r="A27" s="131" t="str">
        <f t="shared" si="5"/>
        <v>+</v>
      </c>
      <c r="B27" s="147" t="str">
        <f t="shared" si="2"/>
        <v>x</v>
      </c>
      <c r="C27" s="29"/>
      <c r="D27" s="30"/>
      <c r="E27" s="30"/>
      <c r="F27" s="30"/>
      <c r="G27" s="30"/>
      <c r="H27" s="30"/>
      <c r="J27" s="30"/>
      <c r="K27" s="30"/>
      <c r="L27" s="30"/>
      <c r="M27" s="30"/>
      <c r="N27" s="27"/>
      <c r="O27" s="30"/>
    </row>
    <row r="28" spans="1:15" ht="12.75" x14ac:dyDescent="0.2">
      <c r="A28" s="131" t="str">
        <f t="shared" si="5"/>
        <v>+</v>
      </c>
      <c r="B28" s="147" t="str">
        <f t="shared" si="2"/>
        <v>x</v>
      </c>
      <c r="C28" s="33" t="str">
        <f>_sheetContentTranslation_A_59</f>
        <v>债务和权益证券</v>
      </c>
      <c r="D28" s="34"/>
      <c r="E28" s="34"/>
      <c r="F28" s="34"/>
      <c r="G28" s="34"/>
      <c r="H28" s="34"/>
      <c r="J28" s="32">
        <f t="shared" ref="J28:J39" si="6">SUM(D28:I28)</f>
        <v>0</v>
      </c>
      <c r="K28" s="34"/>
      <c r="L28" s="34"/>
      <c r="M28" s="58">
        <f t="shared" ref="M28:M39" si="7">SUM(J28:L28)</f>
        <v>0</v>
      </c>
      <c r="N28" s="27"/>
      <c r="O28" s="34"/>
    </row>
    <row r="29" spans="1:15" ht="12.75" x14ac:dyDescent="0.2">
      <c r="A29" s="131" t="str">
        <f t="shared" si="5"/>
        <v>+</v>
      </c>
      <c r="B29" s="147" t="str">
        <f t="shared" si="2"/>
        <v>x</v>
      </c>
      <c r="C29" s="33" t="str">
        <f>_sheetContentTranslation_A_60</f>
        <v>其他投资</v>
      </c>
      <c r="D29" s="34"/>
      <c r="E29" s="34"/>
      <c r="F29" s="34"/>
      <c r="G29" s="34"/>
      <c r="H29" s="34"/>
      <c r="J29" s="32">
        <f t="shared" si="6"/>
        <v>0</v>
      </c>
      <c r="K29" s="34"/>
      <c r="L29" s="34"/>
      <c r="M29" s="58">
        <f t="shared" si="7"/>
        <v>0</v>
      </c>
      <c r="N29" s="27"/>
      <c r="O29" s="34"/>
    </row>
    <row r="30" spans="1:15" ht="12.75" x14ac:dyDescent="0.2">
      <c r="A30" s="131" t="str">
        <f t="shared" si="5"/>
        <v>+</v>
      </c>
      <c r="B30" s="147" t="str">
        <f t="shared" si="2"/>
        <v>x</v>
      </c>
      <c r="C30" s="33" t="str">
        <f>_sheetContentTranslation_A_61</f>
        <v>衍生资产</v>
      </c>
      <c r="D30" s="34"/>
      <c r="E30" s="34"/>
      <c r="F30" s="34"/>
      <c r="G30" s="34"/>
      <c r="H30" s="34"/>
      <c r="J30" s="32">
        <f t="shared" si="6"/>
        <v>0</v>
      </c>
      <c r="K30" s="34"/>
      <c r="L30" s="34"/>
      <c r="M30" s="58">
        <f t="shared" si="7"/>
        <v>0</v>
      </c>
      <c r="N30" s="27"/>
      <c r="O30" s="34"/>
    </row>
    <row r="31" spans="1:15" ht="12.75" x14ac:dyDescent="0.2">
      <c r="A31" s="131" t="str">
        <f t="shared" si="5"/>
        <v>+</v>
      </c>
      <c r="B31" s="147" t="str">
        <f t="shared" si="2"/>
        <v>x</v>
      </c>
      <c r="C31" s="33" t="str">
        <f>_sheetContentTranslation_A_62</f>
        <v>递延所得税资产（非流动）</v>
      </c>
      <c r="D31" s="34"/>
      <c r="E31" s="34"/>
      <c r="F31" s="34"/>
      <c r="G31" s="34"/>
      <c r="H31" s="34"/>
      <c r="J31" s="32">
        <f t="shared" si="6"/>
        <v>0</v>
      </c>
      <c r="K31" s="34"/>
      <c r="L31" s="34"/>
      <c r="M31" s="58">
        <f t="shared" si="7"/>
        <v>0</v>
      </c>
      <c r="N31" s="27"/>
      <c r="O31" s="34"/>
    </row>
    <row r="32" spans="1:15" ht="12.75" x14ac:dyDescent="0.2">
      <c r="A32" s="131" t="str">
        <f t="shared" si="5"/>
        <v>+</v>
      </c>
      <c r="B32" s="147" t="str">
        <f t="shared" si="2"/>
        <v>x</v>
      </c>
      <c r="C32" s="33" t="str">
        <f>_sheetContentTranslation_A_63</f>
        <v>固定资产净额</v>
      </c>
      <c r="D32" s="34"/>
      <c r="E32" s="34"/>
      <c r="F32" s="34"/>
      <c r="G32" s="34"/>
      <c r="H32" s="34"/>
      <c r="J32" s="32">
        <f t="shared" si="6"/>
        <v>0</v>
      </c>
      <c r="K32" s="34"/>
      <c r="L32" s="34"/>
      <c r="M32" s="58">
        <f t="shared" si="7"/>
        <v>0</v>
      </c>
      <c r="N32" s="27"/>
      <c r="O32" s="34"/>
    </row>
    <row r="33" spans="1:15" ht="12.75" x14ac:dyDescent="0.2">
      <c r="A33" s="131" t="str">
        <f t="shared" si="5"/>
        <v>+</v>
      </c>
      <c r="B33" s="147" t="str">
        <f t="shared" si="2"/>
        <v>x</v>
      </c>
      <c r="C33" s="33" t="str">
        <f>_sheetContentTranslation_A_64</f>
        <v>无形资产净额</v>
      </c>
      <c r="D33" s="34"/>
      <c r="E33" s="34"/>
      <c r="F33" s="34"/>
      <c r="G33" s="34"/>
      <c r="H33" s="34"/>
      <c r="J33" s="32">
        <f t="shared" si="6"/>
        <v>0</v>
      </c>
      <c r="K33" s="34"/>
      <c r="L33" s="34"/>
      <c r="M33" s="58">
        <f t="shared" si="7"/>
        <v>0</v>
      </c>
      <c r="N33" s="27"/>
      <c r="O33" s="34"/>
    </row>
    <row r="34" spans="1:15" ht="12.75" x14ac:dyDescent="0.2">
      <c r="A34" s="131" t="str">
        <f t="shared" si="5"/>
        <v>+</v>
      </c>
      <c r="B34" s="147" t="str">
        <f t="shared" si="2"/>
        <v>x</v>
      </c>
      <c r="C34" s="33" t="str">
        <f>_sheetContentTranslation_A_65</f>
        <v>商誉</v>
      </c>
      <c r="D34" s="34"/>
      <c r="E34" s="34"/>
      <c r="F34" s="34"/>
      <c r="G34" s="34"/>
      <c r="H34" s="34"/>
      <c r="J34" s="32">
        <f t="shared" si="6"/>
        <v>0</v>
      </c>
      <c r="K34" s="34"/>
      <c r="L34" s="34"/>
      <c r="M34" s="58">
        <f t="shared" si="7"/>
        <v>0</v>
      </c>
      <c r="N34" s="27"/>
      <c r="O34" s="34"/>
    </row>
    <row r="35" spans="1:15" ht="11.25" customHeight="1" x14ac:dyDescent="0.2">
      <c r="A35" s="131" t="str">
        <f t="shared" si="5"/>
        <v>+</v>
      </c>
      <c r="B35" s="147" t="str">
        <f t="shared" si="2"/>
        <v>x</v>
      </c>
      <c r="C35" s="33" t="str">
        <f>_sheetContentTranslation_A_66</f>
        <v>持有待售资产</v>
      </c>
      <c r="D35" s="34"/>
      <c r="E35" s="34"/>
      <c r="F35" s="34"/>
      <c r="G35" s="34"/>
      <c r="H35" s="34"/>
      <c r="J35" s="32">
        <f t="shared" si="6"/>
        <v>0</v>
      </c>
      <c r="K35" s="34"/>
      <c r="L35" s="34"/>
      <c r="M35" s="58">
        <f>SUM(J35:L35)</f>
        <v>0</v>
      </c>
      <c r="N35" s="27"/>
      <c r="O35" s="34"/>
    </row>
    <row r="36" spans="1:15" ht="12.75" x14ac:dyDescent="0.2">
      <c r="A36" s="131" t="str">
        <f t="shared" si="5"/>
        <v>+</v>
      </c>
      <c r="B36" s="147" t="str">
        <f t="shared" si="2"/>
        <v>x</v>
      </c>
      <c r="C36" s="33" t="str">
        <f>_sheetContentTranslation_A_67</f>
        <v>终止经营资产</v>
      </c>
      <c r="D36" s="34"/>
      <c r="E36" s="34"/>
      <c r="F36" s="34"/>
      <c r="G36" s="34"/>
      <c r="H36" s="34"/>
      <c r="J36" s="32">
        <f t="shared" si="6"/>
        <v>0</v>
      </c>
      <c r="K36" s="34"/>
      <c r="L36" s="34"/>
      <c r="M36" s="58">
        <f t="shared" si="7"/>
        <v>0</v>
      </c>
      <c r="N36" s="27"/>
      <c r="O36" s="34"/>
    </row>
    <row r="37" spans="1:15" ht="12.75" x14ac:dyDescent="0.2">
      <c r="A37" s="131" t="str">
        <f t="shared" si="5"/>
        <v>+</v>
      </c>
      <c r="B37" s="147" t="str">
        <f t="shared" si="2"/>
        <v>x</v>
      </c>
      <c r="C37" s="33" t="str">
        <f>_sheetContentTranslation_A_68</f>
        <v>应收关联方款项（非流动）</v>
      </c>
      <c r="D37" s="34"/>
      <c r="E37" s="34"/>
      <c r="F37" s="34"/>
      <c r="G37" s="34"/>
      <c r="H37" s="34"/>
      <c r="J37" s="32">
        <f t="shared" si="6"/>
        <v>0</v>
      </c>
      <c r="K37" s="34"/>
      <c r="L37" s="34"/>
      <c r="M37" s="58">
        <f t="shared" si="7"/>
        <v>0</v>
      </c>
      <c r="N37" s="27"/>
      <c r="O37" s="34"/>
    </row>
    <row r="38" spans="1:15" ht="12.75" x14ac:dyDescent="0.2">
      <c r="A38" s="131" t="str">
        <f t="shared" si="5"/>
        <v>+</v>
      </c>
      <c r="B38" s="147" t="str">
        <f t="shared" si="2"/>
        <v>x</v>
      </c>
      <c r="C38" s="33" t="str">
        <f>_sheetContentTranslation_A_69</f>
        <v>对子公司的投资</v>
      </c>
      <c r="D38" s="34"/>
      <c r="E38" s="34"/>
      <c r="F38" s="34"/>
      <c r="G38" s="34"/>
      <c r="H38" s="34"/>
      <c r="J38" s="32">
        <f t="shared" si="6"/>
        <v>0</v>
      </c>
      <c r="K38" s="34"/>
      <c r="L38" s="34"/>
      <c r="M38" s="58">
        <f t="shared" si="7"/>
        <v>0</v>
      </c>
      <c r="N38" s="27"/>
      <c r="O38" s="34"/>
    </row>
    <row r="39" spans="1:15" ht="12.75" x14ac:dyDescent="0.2">
      <c r="A39" s="131" t="str">
        <f t="shared" si="5"/>
        <v>+</v>
      </c>
      <c r="B39" s="147" t="str">
        <f t="shared" si="2"/>
        <v>x</v>
      </c>
      <c r="C39" s="33" t="str">
        <f>_sheetContentTranslation_A_70</f>
        <v>其他资产</v>
      </c>
      <c r="D39" s="34"/>
      <c r="E39" s="34"/>
      <c r="F39" s="34"/>
      <c r="G39" s="34"/>
      <c r="H39" s="34"/>
      <c r="J39" s="32">
        <f t="shared" si="6"/>
        <v>0</v>
      </c>
      <c r="K39" s="34"/>
      <c r="L39" s="34"/>
      <c r="M39" s="58">
        <f t="shared" si="7"/>
        <v>0</v>
      </c>
      <c r="N39" s="27"/>
      <c r="O39" s="34"/>
    </row>
    <row r="40" spans="1:15" hidden="1" x14ac:dyDescent="0.2">
      <c r="B40" s="107" t="str">
        <f t="shared" si="2"/>
        <v>x</v>
      </c>
      <c r="C40" s="13" t="str">
        <f>_sheetContentTranslation_A_57</f>
        <v>故意隐藏</v>
      </c>
      <c r="D40" s="7"/>
      <c r="E40" s="7"/>
      <c r="F40" s="7"/>
      <c r="G40" s="7"/>
      <c r="H40" s="7"/>
      <c r="J40" s="7"/>
      <c r="K40" s="7"/>
      <c r="L40" s="7"/>
      <c r="M40" s="7"/>
      <c r="N40" s="27"/>
      <c r="O40" s="7"/>
    </row>
    <row r="41" spans="1:15" ht="15" customHeight="1" x14ac:dyDescent="0.2">
      <c r="A41" s="131" t="str">
        <f t="shared" ref="A41:A55" si="8">_sheetContentTranslation_A_35</f>
        <v>+</v>
      </c>
      <c r="B41" s="147" t="str">
        <f t="shared" si="2"/>
        <v>x</v>
      </c>
      <c r="C41" s="37" t="str">
        <f>_sheetContentTranslation_A_71</f>
        <v>资产总额</v>
      </c>
      <c r="D41" s="38">
        <f t="shared" ref="D41:H41" si="9">SUM(D26:D40)</f>
        <v>0</v>
      </c>
      <c r="E41" s="38">
        <f t="shared" si="9"/>
        <v>0</v>
      </c>
      <c r="F41" s="38">
        <f t="shared" si="9"/>
        <v>0</v>
      </c>
      <c r="G41" s="38">
        <f t="shared" si="9"/>
        <v>0</v>
      </c>
      <c r="H41" s="38">
        <f t="shared" si="9"/>
        <v>0</v>
      </c>
      <c r="J41" s="38">
        <f>SUM(J26:J40)</f>
        <v>0</v>
      </c>
      <c r="K41" s="38">
        <f>SUM(K26:K40)</f>
        <v>0</v>
      </c>
      <c r="L41" s="38">
        <f>SUM(L26:L40)</f>
        <v>0</v>
      </c>
      <c r="M41" s="38">
        <f>SUM(M26:M40)</f>
        <v>0</v>
      </c>
      <c r="N41" s="27"/>
      <c r="O41" s="38">
        <f>SUM(O26:O40)</f>
        <v>0</v>
      </c>
    </row>
    <row r="42" spans="1:15" ht="12.75" x14ac:dyDescent="0.2">
      <c r="A42" s="131" t="str">
        <f t="shared" si="8"/>
        <v>+</v>
      </c>
      <c r="B42" s="147" t="str">
        <f t="shared" si="2"/>
        <v>x</v>
      </c>
      <c r="C42" s="29"/>
      <c r="D42" s="30"/>
      <c r="E42" s="30"/>
      <c r="F42" s="30"/>
      <c r="G42" s="30"/>
      <c r="H42" s="30"/>
      <c r="J42" s="30"/>
      <c r="K42" s="30"/>
      <c r="L42" s="30"/>
      <c r="M42" s="30"/>
      <c r="N42" s="27"/>
      <c r="O42" s="30"/>
    </row>
    <row r="43" spans="1:15" ht="12.75" x14ac:dyDescent="0.2">
      <c r="A43" s="131" t="str">
        <f t="shared" si="8"/>
        <v>+</v>
      </c>
      <c r="B43" s="147" t="str">
        <f t="shared" si="2"/>
        <v>x</v>
      </c>
      <c r="C43" s="31" t="str">
        <f>_sheetContentTranslation_A_72</f>
        <v>负债和股东权益</v>
      </c>
      <c r="D43" s="34"/>
      <c r="E43" s="34"/>
      <c r="F43" s="34"/>
      <c r="G43" s="34"/>
      <c r="H43" s="34"/>
      <c r="J43" s="34"/>
      <c r="K43" s="34"/>
      <c r="L43" s="34"/>
      <c r="M43" s="34"/>
      <c r="N43" s="27"/>
      <c r="O43" s="34"/>
    </row>
    <row r="44" spans="1:15" ht="12.75" x14ac:dyDescent="0.2">
      <c r="A44" s="131" t="str">
        <f t="shared" si="8"/>
        <v>+</v>
      </c>
      <c r="B44" s="147" t="str">
        <f t="shared" si="2"/>
        <v>x</v>
      </c>
      <c r="C44" s="31" t="str">
        <f>_sheetContentTranslation_A_73</f>
        <v>负债</v>
      </c>
      <c r="D44" s="34"/>
      <c r="E44" s="34"/>
      <c r="F44" s="34"/>
      <c r="G44" s="34"/>
      <c r="H44" s="34"/>
      <c r="J44" s="34"/>
      <c r="K44" s="34"/>
      <c r="L44" s="34"/>
      <c r="M44" s="34"/>
      <c r="N44" s="27"/>
      <c r="O44" s="34"/>
    </row>
    <row r="45" spans="1:15" ht="12.75" x14ac:dyDescent="0.2">
      <c r="A45" s="131" t="str">
        <f t="shared" si="8"/>
        <v>+</v>
      </c>
      <c r="B45" s="147" t="str">
        <f t="shared" si="2"/>
        <v>x</v>
      </c>
      <c r="C45" s="31" t="str">
        <f>_sheetContentTranslation_A_74</f>
        <v>流动负债</v>
      </c>
      <c r="D45" s="34"/>
      <c r="E45" s="34"/>
      <c r="F45" s="34"/>
      <c r="G45" s="34"/>
      <c r="H45" s="34"/>
      <c r="J45" s="34"/>
      <c r="K45" s="34"/>
      <c r="L45" s="34"/>
      <c r="M45" s="34"/>
      <c r="N45" s="27"/>
      <c r="O45" s="34"/>
    </row>
    <row r="46" spans="1:15" ht="12.75" x14ac:dyDescent="0.2">
      <c r="A46" s="131" t="str">
        <f t="shared" si="8"/>
        <v>+</v>
      </c>
      <c r="B46" s="147" t="str">
        <f t="shared" si="2"/>
        <v>x</v>
      </c>
      <c r="C46" s="33" t="str">
        <f>_sheetContentTranslation_A_75</f>
        <v>应付账款</v>
      </c>
      <c r="D46" s="34"/>
      <c r="E46" s="34"/>
      <c r="F46" s="34"/>
      <c r="G46" s="34"/>
      <c r="H46" s="34"/>
      <c r="J46" s="32">
        <f t="shared" ref="J46:J55" si="10">SUM(D46:I46)</f>
        <v>0</v>
      </c>
      <c r="K46" s="34"/>
      <c r="L46" s="34"/>
      <c r="M46" s="58">
        <f t="shared" ref="M46:M55" si="11">SUM(J46:L46)</f>
        <v>0</v>
      </c>
      <c r="N46" s="27"/>
      <c r="O46" s="34"/>
    </row>
    <row r="47" spans="1:15" ht="12.75" x14ac:dyDescent="0.2">
      <c r="A47" s="131" t="str">
        <f t="shared" si="8"/>
        <v>+</v>
      </c>
      <c r="B47" s="147" t="str">
        <f t="shared" si="2"/>
        <v>x</v>
      </c>
      <c r="C47" s="33" t="str">
        <f>_sheetContentTranslation_A_76</f>
        <v>应计费用</v>
      </c>
      <c r="D47" s="34"/>
      <c r="E47" s="34"/>
      <c r="F47" s="34"/>
      <c r="G47" s="34"/>
      <c r="H47" s="34"/>
      <c r="J47" s="32">
        <f t="shared" si="10"/>
        <v>0</v>
      </c>
      <c r="K47" s="34"/>
      <c r="L47" s="34"/>
      <c r="M47" s="58">
        <f t="shared" si="11"/>
        <v>0</v>
      </c>
      <c r="N47" s="27"/>
      <c r="O47" s="34"/>
    </row>
    <row r="48" spans="1:15" ht="12.75" x14ac:dyDescent="0.2">
      <c r="A48" s="131" t="str">
        <f t="shared" si="8"/>
        <v>+</v>
      </c>
      <c r="B48" s="147" t="str">
        <f t="shared" ref="B48:B79" si="12">_sheetContentTranslation_A_36</f>
        <v>x</v>
      </c>
      <c r="C48" s="33" t="str">
        <f>_sheetContentTranslation_A_77</f>
        <v>长期借款的流动部分</v>
      </c>
      <c r="D48" s="34"/>
      <c r="E48" s="34"/>
      <c r="F48" s="34"/>
      <c r="G48" s="34"/>
      <c r="H48" s="34"/>
      <c r="J48" s="32">
        <f t="shared" si="10"/>
        <v>0</v>
      </c>
      <c r="K48" s="34"/>
      <c r="L48" s="34"/>
      <c r="M48" s="58">
        <f t="shared" si="11"/>
        <v>0</v>
      </c>
      <c r="N48" s="27"/>
      <c r="O48" s="34"/>
    </row>
    <row r="49" spans="1:15" ht="12.75" x14ac:dyDescent="0.2">
      <c r="A49" s="131" t="str">
        <f t="shared" si="8"/>
        <v>+</v>
      </c>
      <c r="B49" s="147" t="str">
        <f t="shared" si="12"/>
        <v>x</v>
      </c>
      <c r="C49" s="33" t="str">
        <f>_sheetContentTranslation_A_78</f>
        <v>融资租赁负债（流动）</v>
      </c>
      <c r="D49" s="34"/>
      <c r="E49" s="34"/>
      <c r="F49" s="34"/>
      <c r="G49" s="34"/>
      <c r="H49" s="34"/>
      <c r="J49" s="32">
        <f t="shared" si="10"/>
        <v>0</v>
      </c>
      <c r="K49" s="34"/>
      <c r="L49" s="34"/>
      <c r="M49" s="58">
        <f t="shared" si="11"/>
        <v>0</v>
      </c>
      <c r="N49" s="27"/>
      <c r="O49" s="34"/>
    </row>
    <row r="50" spans="1:15" ht="12.75" x14ac:dyDescent="0.2">
      <c r="A50" s="131" t="str">
        <f t="shared" si="8"/>
        <v>+</v>
      </c>
      <c r="B50" s="147" t="str">
        <f t="shared" si="12"/>
        <v>x</v>
      </c>
      <c r="C50" s="33" t="str">
        <f>_sheetContentTranslation_A_79</f>
        <v>应交所得税</v>
      </c>
      <c r="D50" s="34"/>
      <c r="E50" s="34"/>
      <c r="F50" s="34"/>
      <c r="G50" s="34"/>
      <c r="H50" s="34"/>
      <c r="J50" s="32">
        <f t="shared" si="10"/>
        <v>0</v>
      </c>
      <c r="K50" s="34"/>
      <c r="L50" s="34"/>
      <c r="M50" s="58">
        <f t="shared" si="11"/>
        <v>0</v>
      </c>
      <c r="N50" s="27"/>
      <c r="O50" s="34"/>
    </row>
    <row r="51" spans="1:15" ht="12.75" x14ac:dyDescent="0.2">
      <c r="A51" s="131" t="str">
        <f t="shared" si="8"/>
        <v>+</v>
      </c>
      <c r="B51" s="147" t="str">
        <f t="shared" si="12"/>
        <v>x</v>
      </c>
      <c r="C51" s="33" t="str">
        <f>_sheetContentTranslation_A_80</f>
        <v>衍生负债</v>
      </c>
      <c r="D51" s="34"/>
      <c r="E51" s="34"/>
      <c r="F51" s="34"/>
      <c r="G51" s="34"/>
      <c r="H51" s="34"/>
      <c r="J51" s="32">
        <f t="shared" si="10"/>
        <v>0</v>
      </c>
      <c r="K51" s="34"/>
      <c r="L51" s="34"/>
      <c r="M51" s="58">
        <f t="shared" si="11"/>
        <v>0</v>
      </c>
      <c r="N51" s="27"/>
      <c r="O51" s="34"/>
    </row>
    <row r="52" spans="1:15" ht="12.75" x14ac:dyDescent="0.2">
      <c r="A52" s="131" t="str">
        <f t="shared" si="8"/>
        <v>+</v>
      </c>
      <c r="B52" s="147" t="str">
        <f t="shared" si="12"/>
        <v>x</v>
      </c>
      <c r="C52" s="33" t="str">
        <f>_sheetContentTranslation_A_81</f>
        <v>递延收益（流动）</v>
      </c>
      <c r="D52" s="34"/>
      <c r="E52" s="34"/>
      <c r="F52" s="34"/>
      <c r="G52" s="34"/>
      <c r="H52" s="34"/>
      <c r="J52" s="32">
        <f t="shared" si="10"/>
        <v>0</v>
      </c>
      <c r="K52" s="34"/>
      <c r="L52" s="34"/>
      <c r="M52" s="58">
        <f t="shared" si="11"/>
        <v>0</v>
      </c>
      <c r="N52" s="27"/>
      <c r="O52" s="34"/>
    </row>
    <row r="53" spans="1:15" ht="12.75" x14ac:dyDescent="0.2">
      <c r="A53" s="131" t="str">
        <f t="shared" si="8"/>
        <v>+</v>
      </c>
      <c r="B53" s="147" t="str">
        <f t="shared" si="12"/>
        <v>x</v>
      </c>
      <c r="C53" s="33" t="str">
        <f>_sheetContentTranslation_A_82</f>
        <v>应付股利</v>
      </c>
      <c r="D53" s="34"/>
      <c r="E53" s="34"/>
      <c r="F53" s="34"/>
      <c r="G53" s="34"/>
      <c r="H53" s="34"/>
      <c r="J53" s="32">
        <f t="shared" si="10"/>
        <v>0</v>
      </c>
      <c r="K53" s="34"/>
      <c r="L53" s="34"/>
      <c r="M53" s="58">
        <f t="shared" si="11"/>
        <v>0</v>
      </c>
      <c r="N53" s="27"/>
      <c r="O53" s="34"/>
    </row>
    <row r="54" spans="1:15" ht="12.75" x14ac:dyDescent="0.2">
      <c r="A54" s="131" t="str">
        <f t="shared" si="8"/>
        <v>+</v>
      </c>
      <c r="B54" s="147" t="str">
        <f t="shared" si="12"/>
        <v>x</v>
      </c>
      <c r="C54" s="33" t="str">
        <f>_sheetContentTranslation_A_83</f>
        <v>合同负债</v>
      </c>
      <c r="D54" s="34"/>
      <c r="E54" s="34"/>
      <c r="F54" s="34"/>
      <c r="G54" s="34"/>
      <c r="H54" s="34"/>
      <c r="J54" s="32">
        <f t="shared" si="10"/>
        <v>0</v>
      </c>
      <c r="K54" s="34"/>
      <c r="L54" s="34"/>
      <c r="M54" s="58">
        <f t="shared" si="11"/>
        <v>0</v>
      </c>
      <c r="N54" s="27"/>
      <c r="O54" s="34"/>
    </row>
    <row r="55" spans="1:15" ht="12.75" x14ac:dyDescent="0.2">
      <c r="A55" s="131" t="str">
        <f t="shared" si="8"/>
        <v>+</v>
      </c>
      <c r="B55" s="147" t="str">
        <f t="shared" si="12"/>
        <v>x</v>
      </c>
      <c r="C55" s="33" t="str">
        <f>_sheetContentTranslation_A_84</f>
        <v>其他流动负债</v>
      </c>
      <c r="D55" s="34"/>
      <c r="E55" s="34"/>
      <c r="F55" s="34"/>
      <c r="G55" s="34"/>
      <c r="H55" s="34"/>
      <c r="J55" s="32">
        <f t="shared" si="10"/>
        <v>0</v>
      </c>
      <c r="K55" s="34"/>
      <c r="L55" s="34"/>
      <c r="M55" s="58">
        <f t="shared" si="11"/>
        <v>0</v>
      </c>
      <c r="N55" s="27"/>
      <c r="O55" s="34"/>
    </row>
    <row r="56" spans="1:15" hidden="1" x14ac:dyDescent="0.2">
      <c r="B56" s="107" t="str">
        <f t="shared" si="12"/>
        <v>x</v>
      </c>
      <c r="C56" s="13" t="str">
        <f>_sheetContentTranslation_A_57</f>
        <v>故意隐藏</v>
      </c>
      <c r="D56" s="7"/>
      <c r="E56" s="7"/>
      <c r="F56" s="7"/>
      <c r="G56" s="7"/>
      <c r="H56" s="7"/>
      <c r="J56" s="7"/>
      <c r="K56" s="7"/>
      <c r="L56" s="7"/>
      <c r="M56" s="7"/>
      <c r="N56" s="27"/>
      <c r="O56" s="7"/>
    </row>
    <row r="57" spans="1:15" ht="12.75" x14ac:dyDescent="0.2">
      <c r="A57" s="131" t="str">
        <f t="shared" ref="A57:A67" si="13">_sheetContentTranslation_A_35</f>
        <v>+</v>
      </c>
      <c r="B57" s="147" t="str">
        <f t="shared" si="12"/>
        <v>x</v>
      </c>
      <c r="C57" s="35" t="str">
        <f>_sheetContentTranslation_A_85</f>
        <v>流动负债总额</v>
      </c>
      <c r="D57" s="36">
        <f t="shared" ref="D57:M57" si="14">SUM(D45:D56)</f>
        <v>0</v>
      </c>
      <c r="E57" s="36">
        <f t="shared" si="14"/>
        <v>0</v>
      </c>
      <c r="F57" s="36">
        <f t="shared" si="14"/>
        <v>0</v>
      </c>
      <c r="G57" s="36">
        <f>SUM(G45:G56)</f>
        <v>0</v>
      </c>
      <c r="H57" s="36">
        <f>SUM(H45:H56)</f>
        <v>0</v>
      </c>
      <c r="J57" s="36">
        <f>SUM(J45:J56)</f>
        <v>0</v>
      </c>
      <c r="K57" s="36">
        <f t="shared" si="14"/>
        <v>0</v>
      </c>
      <c r="L57" s="36">
        <f t="shared" si="14"/>
        <v>0</v>
      </c>
      <c r="M57" s="36">
        <f t="shared" si="14"/>
        <v>0</v>
      </c>
      <c r="N57" s="27"/>
      <c r="O57" s="36">
        <f>SUM(O45:O56)</f>
        <v>0</v>
      </c>
    </row>
    <row r="58" spans="1:15" ht="12.75" x14ac:dyDescent="0.2">
      <c r="A58" s="131" t="str">
        <f t="shared" si="13"/>
        <v>+</v>
      </c>
      <c r="B58" s="147" t="str">
        <f t="shared" si="12"/>
        <v>x</v>
      </c>
      <c r="C58" s="33"/>
      <c r="D58" s="34"/>
      <c r="E58" s="34"/>
      <c r="F58" s="34"/>
      <c r="G58" s="34"/>
      <c r="H58" s="34"/>
      <c r="J58" s="34"/>
      <c r="K58" s="34"/>
      <c r="L58" s="34"/>
      <c r="M58" s="34"/>
      <c r="N58" s="27"/>
      <c r="O58" s="34"/>
    </row>
    <row r="59" spans="1:15" ht="12.75" x14ac:dyDescent="0.2">
      <c r="A59" s="131" t="str">
        <f t="shared" si="13"/>
        <v>+</v>
      </c>
      <c r="B59" s="147" t="str">
        <f t="shared" si="12"/>
        <v>x</v>
      </c>
      <c r="C59" s="33" t="str">
        <f>_sheetContentTranslation_A_86</f>
        <v>长期借款净额</v>
      </c>
      <c r="D59" s="34"/>
      <c r="E59" s="34"/>
      <c r="F59" s="34"/>
      <c r="G59" s="34"/>
      <c r="H59" s="34"/>
      <c r="J59" s="32">
        <f t="shared" ref="J59:J67" si="15">SUM(D59:I59)</f>
        <v>0</v>
      </c>
      <c r="K59" s="34"/>
      <c r="L59" s="34"/>
      <c r="M59" s="58">
        <f t="shared" ref="M59:M67" si="16">SUM(J59:L59)</f>
        <v>0</v>
      </c>
      <c r="N59" s="27"/>
      <c r="O59" s="34"/>
    </row>
    <row r="60" spans="1:15" ht="12.75" x14ac:dyDescent="0.2">
      <c r="A60" s="131" t="str">
        <f t="shared" si="13"/>
        <v>+</v>
      </c>
      <c r="B60" s="147" t="str">
        <f t="shared" si="12"/>
        <v>x</v>
      </c>
      <c r="C60" s="33" t="str">
        <f>_sheetContentTranslation_A_87</f>
        <v>融资租赁负债（非流动）</v>
      </c>
      <c r="D60" s="34"/>
      <c r="E60" s="34"/>
      <c r="F60" s="34"/>
      <c r="G60" s="34"/>
      <c r="H60" s="34"/>
      <c r="J60" s="32">
        <f t="shared" si="15"/>
        <v>0</v>
      </c>
      <c r="K60" s="34"/>
      <c r="L60" s="34"/>
      <c r="M60" s="58">
        <f t="shared" si="16"/>
        <v>0</v>
      </c>
      <c r="N60" s="27"/>
      <c r="O60" s="34"/>
    </row>
    <row r="61" spans="1:15" ht="12.75" x14ac:dyDescent="0.2">
      <c r="A61" s="131" t="str">
        <f t="shared" si="13"/>
        <v>+</v>
      </c>
      <c r="B61" s="147" t="str">
        <f t="shared" si="12"/>
        <v>x</v>
      </c>
      <c r="C61" s="33" t="str">
        <f>_sheetContentTranslation_A_88</f>
        <v>应付关联方款项（非流动）</v>
      </c>
      <c r="D61" s="34"/>
      <c r="E61" s="34"/>
      <c r="F61" s="34"/>
      <c r="G61" s="34"/>
      <c r="H61" s="34"/>
      <c r="J61" s="32">
        <f t="shared" si="15"/>
        <v>0</v>
      </c>
      <c r="K61" s="34"/>
      <c r="L61" s="34"/>
      <c r="M61" s="58">
        <f t="shared" si="16"/>
        <v>0</v>
      </c>
      <c r="N61" s="27"/>
      <c r="O61" s="34"/>
    </row>
    <row r="62" spans="1:15" ht="12.75" x14ac:dyDescent="0.2">
      <c r="A62" s="131" t="str">
        <f t="shared" si="13"/>
        <v>+</v>
      </c>
      <c r="B62" s="147" t="str">
        <f t="shared" si="12"/>
        <v>x</v>
      </c>
      <c r="C62" s="33" t="str">
        <f>_sheetContentTranslation_A_89</f>
        <v>员工福利计划负债</v>
      </c>
      <c r="D62" s="34"/>
      <c r="E62" s="34"/>
      <c r="F62" s="34"/>
      <c r="G62" s="34"/>
      <c r="H62" s="34"/>
      <c r="J62" s="32">
        <f t="shared" si="15"/>
        <v>0</v>
      </c>
      <c r="K62" s="34"/>
      <c r="L62" s="34"/>
      <c r="M62" s="58">
        <f t="shared" si="16"/>
        <v>0</v>
      </c>
      <c r="N62" s="27"/>
      <c r="O62" s="34"/>
    </row>
    <row r="63" spans="1:15" ht="12.75" x14ac:dyDescent="0.2">
      <c r="A63" s="131" t="str">
        <f t="shared" si="13"/>
        <v>+</v>
      </c>
      <c r="B63" s="147" t="str">
        <f t="shared" si="12"/>
        <v>x</v>
      </c>
      <c r="C63" s="33" t="str">
        <f>_sheetContentTranslation_A_90</f>
        <v>递延收益（非流动）</v>
      </c>
      <c r="D63" s="34"/>
      <c r="E63" s="34"/>
      <c r="F63" s="34"/>
      <c r="G63" s="34"/>
      <c r="H63" s="34"/>
      <c r="J63" s="32">
        <f t="shared" si="15"/>
        <v>0</v>
      </c>
      <c r="K63" s="34"/>
      <c r="L63" s="34"/>
      <c r="M63" s="58">
        <f t="shared" si="16"/>
        <v>0</v>
      </c>
      <c r="N63" s="27"/>
      <c r="O63" s="34"/>
    </row>
    <row r="64" spans="1:15" ht="12.75" x14ac:dyDescent="0.2">
      <c r="A64" s="131" t="str">
        <f t="shared" si="13"/>
        <v>+</v>
      </c>
      <c r="B64" s="147" t="str">
        <f t="shared" si="12"/>
        <v>x</v>
      </c>
      <c r="C64" s="33" t="str">
        <f>_sheetContentTranslation_A_91</f>
        <v>递延所得税负债（非流动）</v>
      </c>
      <c r="D64" s="34"/>
      <c r="E64" s="34"/>
      <c r="F64" s="34"/>
      <c r="G64" s="34"/>
      <c r="H64" s="34"/>
      <c r="J64" s="32">
        <f t="shared" si="15"/>
        <v>0</v>
      </c>
      <c r="K64" s="34"/>
      <c r="L64" s="34"/>
      <c r="M64" s="58">
        <f t="shared" si="16"/>
        <v>0</v>
      </c>
      <c r="N64" s="27"/>
      <c r="O64" s="34"/>
    </row>
    <row r="65" spans="1:15" ht="11.25" customHeight="1" x14ac:dyDescent="0.2">
      <c r="A65" s="131" t="str">
        <f t="shared" si="13"/>
        <v>+</v>
      </c>
      <c r="B65" s="147" t="str">
        <f t="shared" si="12"/>
        <v>x</v>
      </c>
      <c r="C65" s="33" t="str">
        <f>_sheetContentTranslation_A_92</f>
        <v>持有待售负债</v>
      </c>
      <c r="D65" s="34"/>
      <c r="E65" s="34"/>
      <c r="F65" s="34"/>
      <c r="G65" s="34"/>
      <c r="H65" s="34"/>
      <c r="J65" s="32">
        <f t="shared" si="15"/>
        <v>0</v>
      </c>
      <c r="K65" s="34"/>
      <c r="L65" s="34"/>
      <c r="M65" s="58">
        <f>SUM(J65:L65)</f>
        <v>0</v>
      </c>
      <c r="N65" s="27"/>
      <c r="O65" s="34"/>
    </row>
    <row r="66" spans="1:15" ht="12.75" x14ac:dyDescent="0.2">
      <c r="A66" s="131" t="str">
        <f t="shared" si="13"/>
        <v>+</v>
      </c>
      <c r="B66" s="147" t="str">
        <f t="shared" si="12"/>
        <v>x</v>
      </c>
      <c r="C66" s="33" t="str">
        <f>_sheetContentTranslation_A_93</f>
        <v>终止经营负债</v>
      </c>
      <c r="D66" s="34"/>
      <c r="E66" s="34"/>
      <c r="F66" s="34"/>
      <c r="G66" s="34"/>
      <c r="H66" s="34"/>
      <c r="J66" s="32">
        <f t="shared" si="15"/>
        <v>0</v>
      </c>
      <c r="K66" s="34"/>
      <c r="L66" s="34"/>
      <c r="M66" s="58">
        <f t="shared" si="16"/>
        <v>0</v>
      </c>
      <c r="N66" s="27"/>
      <c r="O66" s="34"/>
    </row>
    <row r="67" spans="1:15" ht="12.75" x14ac:dyDescent="0.2">
      <c r="A67" s="131" t="str">
        <f t="shared" si="13"/>
        <v>+</v>
      </c>
      <c r="B67" s="147" t="str">
        <f t="shared" si="12"/>
        <v>x</v>
      </c>
      <c r="C67" s="33" t="str">
        <f>_sheetContentTranslation_A_94</f>
        <v>其他负债</v>
      </c>
      <c r="D67" s="34"/>
      <c r="E67" s="34"/>
      <c r="F67" s="34"/>
      <c r="G67" s="34"/>
      <c r="H67" s="34"/>
      <c r="J67" s="32">
        <f t="shared" si="15"/>
        <v>0</v>
      </c>
      <c r="K67" s="34"/>
      <c r="L67" s="34"/>
      <c r="M67" s="58">
        <f t="shared" si="16"/>
        <v>0</v>
      </c>
      <c r="N67" s="27"/>
      <c r="O67" s="34"/>
    </row>
    <row r="68" spans="1:15" hidden="1" x14ac:dyDescent="0.2">
      <c r="B68" s="107" t="str">
        <f t="shared" si="12"/>
        <v>x</v>
      </c>
      <c r="C68" s="13" t="str">
        <f>_sheetContentTranslation_A_57</f>
        <v>故意隐藏</v>
      </c>
      <c r="D68" s="7"/>
      <c r="E68" s="7"/>
      <c r="F68" s="7"/>
      <c r="G68" s="7"/>
      <c r="H68" s="7"/>
      <c r="J68" s="7"/>
      <c r="K68" s="7"/>
      <c r="L68" s="7"/>
      <c r="M68" s="7"/>
      <c r="N68" s="27"/>
      <c r="O68" s="7"/>
    </row>
    <row r="69" spans="1:15" ht="12.75" x14ac:dyDescent="0.2">
      <c r="A69" s="131" t="str">
        <f t="shared" ref="A69:A77" si="17">_sheetContentTranslation_A_35</f>
        <v>+</v>
      </c>
      <c r="B69" s="147" t="str">
        <f t="shared" si="12"/>
        <v>x</v>
      </c>
      <c r="C69" s="37" t="str">
        <f>_sheetContentTranslation_A_95</f>
        <v>负债总额</v>
      </c>
      <c r="D69" s="38">
        <f t="shared" ref="D69:H69" si="18">SUM(D57:D68)</f>
        <v>0</v>
      </c>
      <c r="E69" s="38">
        <f t="shared" si="18"/>
        <v>0</v>
      </c>
      <c r="F69" s="38">
        <f t="shared" si="18"/>
        <v>0</v>
      </c>
      <c r="G69" s="38">
        <f t="shared" si="18"/>
        <v>0</v>
      </c>
      <c r="H69" s="38">
        <f t="shared" si="18"/>
        <v>0</v>
      </c>
      <c r="J69" s="38">
        <f>SUM(J57:J68)</f>
        <v>0</v>
      </c>
      <c r="K69" s="38">
        <f>SUM(K57:K68)</f>
        <v>0</v>
      </c>
      <c r="L69" s="38">
        <f>SUM(L57:L68)</f>
        <v>0</v>
      </c>
      <c r="M69" s="38">
        <f>SUM(M57:M68)</f>
        <v>0</v>
      </c>
      <c r="N69" s="27"/>
      <c r="O69" s="38">
        <f>SUM(O57:O68)</f>
        <v>0</v>
      </c>
    </row>
    <row r="70" spans="1:15" ht="12.75" x14ac:dyDescent="0.2">
      <c r="A70" s="131" t="str">
        <f t="shared" si="17"/>
        <v>+</v>
      </c>
      <c r="B70" s="147" t="str">
        <f t="shared" si="12"/>
        <v>x</v>
      </c>
      <c r="C70" s="29"/>
      <c r="D70" s="30"/>
      <c r="E70" s="30"/>
      <c r="F70" s="30"/>
      <c r="G70" s="30"/>
      <c r="H70" s="30"/>
      <c r="J70" s="30"/>
      <c r="K70" s="30"/>
      <c r="L70" s="30"/>
      <c r="M70" s="30"/>
      <c r="N70" s="27"/>
      <c r="O70" s="30"/>
    </row>
    <row r="71" spans="1:15" ht="12.75" x14ac:dyDescent="0.2">
      <c r="A71" s="131" t="str">
        <f t="shared" si="17"/>
        <v>+</v>
      </c>
      <c r="B71" s="147" t="str">
        <f t="shared" si="12"/>
        <v>x</v>
      </c>
      <c r="C71" s="31" t="str">
        <f>_sheetContentTranslation_A_96</f>
        <v>股东权益</v>
      </c>
      <c r="D71" s="34"/>
      <c r="E71" s="34"/>
      <c r="F71" s="34"/>
      <c r="G71" s="34"/>
      <c r="H71" s="34"/>
      <c r="J71" s="34"/>
      <c r="K71" s="34"/>
      <c r="L71" s="34"/>
      <c r="M71" s="34"/>
      <c r="N71" s="27"/>
      <c r="O71" s="34"/>
    </row>
    <row r="72" spans="1:15" ht="12.75" x14ac:dyDescent="0.2">
      <c r="A72" s="131" t="str">
        <f t="shared" si="17"/>
        <v>+</v>
      </c>
      <c r="B72" s="147" t="str">
        <f t="shared" si="12"/>
        <v>x</v>
      </c>
      <c r="C72" s="33" t="str">
        <f>_sheetContentTranslation_A_97</f>
        <v>优先股</v>
      </c>
      <c r="D72" s="34"/>
      <c r="E72" s="34"/>
      <c r="F72" s="34"/>
      <c r="G72" s="34"/>
      <c r="H72" s="34"/>
      <c r="J72" s="32">
        <f t="shared" ref="J72:J77" si="19">SUM(D72:I72)</f>
        <v>0</v>
      </c>
      <c r="K72" s="34"/>
      <c r="L72" s="34"/>
      <c r="M72" s="58">
        <f t="shared" ref="M72:M77" si="20">SUM(J72:L72)</f>
        <v>0</v>
      </c>
      <c r="N72" s="27"/>
      <c r="O72" s="34"/>
    </row>
    <row r="73" spans="1:15" ht="12.75" x14ac:dyDescent="0.2">
      <c r="A73" s="131" t="str">
        <f t="shared" si="17"/>
        <v>+</v>
      </c>
      <c r="B73" s="147" t="str">
        <f t="shared" si="12"/>
        <v>x</v>
      </c>
      <c r="C73" s="33" t="str">
        <f>_sheetContentTranslation_A_98</f>
        <v>普通股</v>
      </c>
      <c r="D73" s="34"/>
      <c r="E73" s="34"/>
      <c r="F73" s="34"/>
      <c r="G73" s="34"/>
      <c r="H73" s="34"/>
      <c r="J73" s="32">
        <f t="shared" si="19"/>
        <v>0</v>
      </c>
      <c r="K73" s="34"/>
      <c r="L73" s="34"/>
      <c r="M73" s="58">
        <f t="shared" si="20"/>
        <v>0</v>
      </c>
      <c r="N73" s="27"/>
      <c r="O73" s="34"/>
    </row>
    <row r="74" spans="1:15" ht="12.75" x14ac:dyDescent="0.2">
      <c r="A74" s="131" t="str">
        <f t="shared" si="17"/>
        <v>+</v>
      </c>
      <c r="B74" s="147" t="str">
        <f t="shared" si="12"/>
        <v>x</v>
      </c>
      <c r="C74" s="33" t="str">
        <f>_sheetContentTranslation_A_99</f>
        <v>库存股</v>
      </c>
      <c r="D74" s="34"/>
      <c r="E74" s="34"/>
      <c r="F74" s="34"/>
      <c r="G74" s="34"/>
      <c r="H74" s="34"/>
      <c r="J74" s="32">
        <f t="shared" si="19"/>
        <v>0</v>
      </c>
      <c r="K74" s="34"/>
      <c r="L74" s="34"/>
      <c r="M74" s="58">
        <f t="shared" si="20"/>
        <v>0</v>
      </c>
      <c r="N74" s="27"/>
      <c r="O74" s="34"/>
    </row>
    <row r="75" spans="1:15" ht="12.75" x14ac:dyDescent="0.2">
      <c r="A75" s="131" t="str">
        <f t="shared" si="17"/>
        <v>+</v>
      </c>
      <c r="B75" s="147" t="str">
        <f t="shared" si="12"/>
        <v>x</v>
      </c>
      <c r="C75" s="33" t="str">
        <f>_sheetContentTranslation_A_100</f>
        <v>资本公积</v>
      </c>
      <c r="D75" s="34"/>
      <c r="E75" s="34"/>
      <c r="F75" s="34"/>
      <c r="G75" s="34"/>
      <c r="H75" s="34"/>
      <c r="J75" s="32">
        <f t="shared" si="19"/>
        <v>0</v>
      </c>
      <c r="K75" s="34"/>
      <c r="L75" s="34"/>
      <c r="M75" s="58">
        <f t="shared" si="20"/>
        <v>0</v>
      </c>
      <c r="N75" s="27"/>
      <c r="O75" s="34"/>
    </row>
    <row r="76" spans="1:15" ht="12.75" x14ac:dyDescent="0.2">
      <c r="A76" s="131" t="str">
        <f t="shared" si="17"/>
        <v>+</v>
      </c>
      <c r="B76" s="147" t="str">
        <f t="shared" si="12"/>
        <v>x</v>
      </c>
      <c r="C76" s="33" t="str">
        <f>_sheetContentTranslation_A_101</f>
        <v>累计其他综合收益（损失）</v>
      </c>
      <c r="D76" s="34"/>
      <c r="E76" s="34"/>
      <c r="F76" s="34"/>
      <c r="G76" s="34"/>
      <c r="H76" s="34"/>
      <c r="J76" s="32">
        <f t="shared" si="19"/>
        <v>0</v>
      </c>
      <c r="K76" s="34"/>
      <c r="L76" s="34"/>
      <c r="M76" s="58">
        <f t="shared" si="20"/>
        <v>0</v>
      </c>
      <c r="N76" s="27"/>
      <c r="O76" s="34"/>
    </row>
    <row r="77" spans="1:15" ht="12.75" x14ac:dyDescent="0.2">
      <c r="A77" s="131" t="str">
        <f t="shared" si="17"/>
        <v>+</v>
      </c>
      <c r="B77" s="147" t="str">
        <f t="shared" si="12"/>
        <v>x</v>
      </c>
      <c r="C77" s="33" t="str">
        <f>_sheetContentTranslation_A_102</f>
        <v>未分配利润</v>
      </c>
      <c r="D77" s="34"/>
      <c r="E77" s="34"/>
      <c r="F77" s="34"/>
      <c r="G77" s="34"/>
      <c r="H77" s="34"/>
      <c r="J77" s="32">
        <f t="shared" si="19"/>
        <v>0</v>
      </c>
      <c r="K77" s="34"/>
      <c r="L77" s="34"/>
      <c r="M77" s="58">
        <f t="shared" si="20"/>
        <v>0</v>
      </c>
      <c r="N77" s="27"/>
      <c r="O77" s="34"/>
    </row>
    <row r="78" spans="1:15" hidden="1" x14ac:dyDescent="0.2">
      <c r="B78" s="107" t="str">
        <f t="shared" si="12"/>
        <v>x</v>
      </c>
      <c r="C78" s="13" t="str">
        <f>_sheetContentTranslation_A_57</f>
        <v>故意隐藏</v>
      </c>
      <c r="D78" s="7"/>
      <c r="E78" s="7"/>
      <c r="F78" s="7"/>
      <c r="G78" s="7"/>
      <c r="H78" s="7"/>
      <c r="J78" s="7"/>
      <c r="K78" s="7"/>
      <c r="L78" s="7"/>
      <c r="M78" s="7"/>
      <c r="N78" s="27"/>
      <c r="O78" s="7"/>
    </row>
    <row r="79" spans="1:15" ht="12.75" x14ac:dyDescent="0.2">
      <c r="A79" s="131" t="str">
        <f>_sheetContentTranslation_A_35</f>
        <v>+</v>
      </c>
      <c r="B79" s="147" t="str">
        <f t="shared" si="12"/>
        <v>x</v>
      </c>
      <c r="C79" s="35" t="str">
        <f>_sheetContentTranslation_A_103</f>
        <v>归属于母公司的股东权益总额</v>
      </c>
      <c r="D79" s="36">
        <f t="shared" ref="D79:H79" si="21">SUM(D71:D78)</f>
        <v>0</v>
      </c>
      <c r="E79" s="36">
        <f t="shared" si="21"/>
        <v>0</v>
      </c>
      <c r="F79" s="36">
        <f t="shared" si="21"/>
        <v>0</v>
      </c>
      <c r="G79" s="36">
        <f t="shared" si="21"/>
        <v>0</v>
      </c>
      <c r="H79" s="36">
        <f t="shared" si="21"/>
        <v>0</v>
      </c>
      <c r="J79" s="36">
        <f>SUM(J71:J78)</f>
        <v>0</v>
      </c>
      <c r="K79" s="36">
        <f>SUM(K71:K78)</f>
        <v>0</v>
      </c>
      <c r="L79" s="36">
        <f>SUM(L71:L78)</f>
        <v>0</v>
      </c>
      <c r="M79" s="36">
        <f>SUM(M71:M78)</f>
        <v>0</v>
      </c>
      <c r="N79" s="27"/>
      <c r="O79" s="36">
        <f>SUM(O71:O78)</f>
        <v>0</v>
      </c>
    </row>
    <row r="80" spans="1:15" ht="12.75" x14ac:dyDescent="0.2">
      <c r="A80" s="131" t="str">
        <f>_sheetContentTranslation_A_35</f>
        <v>+</v>
      </c>
      <c r="B80" s="147" t="str">
        <f t="shared" ref="B80:B111" si="22">_sheetContentTranslation_A_36</f>
        <v>x</v>
      </c>
      <c r="C80" s="33"/>
      <c r="D80" s="34"/>
      <c r="E80" s="34"/>
      <c r="F80" s="34"/>
      <c r="G80" s="34"/>
      <c r="H80" s="34"/>
      <c r="J80" s="34"/>
      <c r="K80" s="34"/>
      <c r="L80" s="34"/>
      <c r="M80" s="34"/>
      <c r="N80" s="27"/>
      <c r="O80" s="34"/>
    </row>
    <row r="81" spans="1:15" ht="12.75" x14ac:dyDescent="0.2">
      <c r="A81" s="131" t="str">
        <f>_sheetContentTranslation_A_35</f>
        <v>+</v>
      </c>
      <c r="B81" s="147" t="str">
        <f t="shared" si="22"/>
        <v>x</v>
      </c>
      <c r="C81" s="33" t="str">
        <f>_sheetContentTranslation_A_104</f>
        <v>非控制性权益</v>
      </c>
      <c r="D81" s="34"/>
      <c r="E81" s="34"/>
      <c r="F81" s="34"/>
      <c r="G81" s="34"/>
      <c r="H81" s="34"/>
      <c r="J81" s="32">
        <f>SUM(D81:I81)</f>
        <v>0</v>
      </c>
      <c r="K81" s="34"/>
      <c r="L81" s="34"/>
      <c r="M81" s="58">
        <f t="shared" ref="M81" si="23">SUM(J81:L81)</f>
        <v>0</v>
      </c>
      <c r="N81" s="27"/>
      <c r="O81" s="34"/>
    </row>
    <row r="82" spans="1:15" hidden="1" x14ac:dyDescent="0.2">
      <c r="B82" s="107" t="str">
        <f t="shared" si="22"/>
        <v>x</v>
      </c>
      <c r="C82" s="13" t="str">
        <f>_sheetContentTranslation_A_57</f>
        <v>故意隐藏</v>
      </c>
      <c r="D82" s="7"/>
      <c r="E82" s="7"/>
      <c r="F82" s="7"/>
      <c r="G82" s="7"/>
      <c r="H82" s="7"/>
      <c r="J82" s="7"/>
      <c r="K82" s="7"/>
      <c r="L82" s="7"/>
      <c r="M82" s="7"/>
      <c r="N82" s="27"/>
      <c r="O82" s="7"/>
    </row>
    <row r="83" spans="1:15" ht="15" customHeight="1" x14ac:dyDescent="0.2">
      <c r="A83" s="131" t="str">
        <f t="shared" ref="A83:A91" si="24">_sheetContentTranslation_A_35</f>
        <v>+</v>
      </c>
      <c r="B83" s="147" t="str">
        <f t="shared" si="22"/>
        <v>x</v>
      </c>
      <c r="C83" s="37" t="str">
        <f>_sheetContentTranslation_A_105</f>
        <v>股东权益合计</v>
      </c>
      <c r="D83" s="38">
        <f t="shared" ref="D83:H83" si="25">SUM(D79:D82)</f>
        <v>0</v>
      </c>
      <c r="E83" s="38">
        <f t="shared" si="25"/>
        <v>0</v>
      </c>
      <c r="F83" s="38">
        <f t="shared" si="25"/>
        <v>0</v>
      </c>
      <c r="G83" s="38">
        <f t="shared" si="25"/>
        <v>0</v>
      </c>
      <c r="H83" s="38">
        <f t="shared" si="25"/>
        <v>0</v>
      </c>
      <c r="J83" s="38">
        <f>SUM(J79:J82)</f>
        <v>0</v>
      </c>
      <c r="K83" s="38">
        <f t="shared" ref="K83" si="26">SUM(K79:K82)</f>
        <v>0</v>
      </c>
      <c r="L83" s="38">
        <f t="shared" ref="L83:M83" si="27">SUM(L79:L82)</f>
        <v>0</v>
      </c>
      <c r="M83" s="38">
        <f t="shared" si="27"/>
        <v>0</v>
      </c>
      <c r="N83" s="27"/>
      <c r="O83" s="38">
        <f>SUM(O79:O82)</f>
        <v>0</v>
      </c>
    </row>
    <row r="84" spans="1:15" ht="12.75" x14ac:dyDescent="0.2">
      <c r="A84" s="131" t="str">
        <f t="shared" si="24"/>
        <v>+</v>
      </c>
      <c r="B84" s="147" t="str">
        <f t="shared" si="22"/>
        <v>x</v>
      </c>
      <c r="C84" s="39"/>
      <c r="D84" s="40"/>
      <c r="E84" s="40"/>
      <c r="F84" s="40"/>
      <c r="G84" s="40"/>
      <c r="H84" s="40"/>
      <c r="J84" s="40"/>
      <c r="K84" s="40"/>
      <c r="L84" s="40"/>
      <c r="M84" s="40"/>
      <c r="N84" s="27"/>
      <c r="O84" s="40"/>
    </row>
    <row r="85" spans="1:15" ht="15" customHeight="1" thickBot="1" x14ac:dyDescent="0.25">
      <c r="A85" s="131" t="str">
        <f t="shared" si="24"/>
        <v>+</v>
      </c>
      <c r="B85" s="147" t="str">
        <f t="shared" si="22"/>
        <v>x</v>
      </c>
      <c r="C85" s="41" t="str">
        <f>_sheetContentTranslation_A_106</f>
        <v>负债和权益总额</v>
      </c>
      <c r="D85" s="42">
        <f t="shared" ref="D85:H85" si="28">SUM(D69,D83)</f>
        <v>0</v>
      </c>
      <c r="E85" s="42">
        <f t="shared" si="28"/>
        <v>0</v>
      </c>
      <c r="F85" s="42">
        <f t="shared" si="28"/>
        <v>0</v>
      </c>
      <c r="G85" s="42">
        <f t="shared" si="28"/>
        <v>0</v>
      </c>
      <c r="H85" s="42">
        <f t="shared" si="28"/>
        <v>0</v>
      </c>
      <c r="J85" s="42">
        <f>SUM(J69,J83)</f>
        <v>0</v>
      </c>
      <c r="K85" s="42">
        <f>SUM(K69,K83)</f>
        <v>0</v>
      </c>
      <c r="L85" s="42">
        <f>SUM(L69,L83)</f>
        <v>0</v>
      </c>
      <c r="M85" s="42">
        <f>SUM(M69,M83)</f>
        <v>0</v>
      </c>
      <c r="N85" s="27"/>
      <c r="O85" s="42">
        <f>SUM(O69,O83)</f>
        <v>0</v>
      </c>
    </row>
    <row r="86" spans="1:15" ht="13.5" thickTop="1" x14ac:dyDescent="0.2">
      <c r="A86" s="131" t="str">
        <f t="shared" si="24"/>
        <v>+</v>
      </c>
      <c r="B86" s="147" t="str">
        <f t="shared" si="22"/>
        <v>x</v>
      </c>
      <c r="C86" s="120" t="str">
        <f>_sheetContentTranslation_A_107</f>
        <v>检查</v>
      </c>
      <c r="D86" s="146">
        <f>ABS(D41)-ABS(D85)</f>
        <v>0</v>
      </c>
      <c r="E86" s="146">
        <f>ABS(E41)-ABS(E85)</f>
        <v>0</v>
      </c>
      <c r="F86" s="146">
        <f>ABS(F41)-ABS(F85)</f>
        <v>0</v>
      </c>
      <c r="G86" s="146">
        <f>ABS(G41)-ABS(G85)</f>
        <v>0</v>
      </c>
      <c r="H86" s="146">
        <f>ABS(H41)-ABS(H85)</f>
        <v>0</v>
      </c>
      <c r="I86" s="121"/>
      <c r="J86" s="146">
        <f>ABS(J41)-ABS(J85)</f>
        <v>0</v>
      </c>
      <c r="K86" s="146">
        <f>ABS(K41)-ABS(K85)</f>
        <v>0</v>
      </c>
      <c r="L86" s="146">
        <f>ABS(L41)-ABS(L85)</f>
        <v>0</v>
      </c>
      <c r="M86" s="146">
        <f>ABS(M41)-ABS(M85)</f>
        <v>0</v>
      </c>
      <c r="N86" s="120"/>
      <c r="O86" s="146">
        <f>ABS(O41)-ABS(O85)</f>
        <v>0</v>
      </c>
    </row>
    <row r="87" spans="1:15" ht="12.75" x14ac:dyDescent="0.2">
      <c r="A87" s="131" t="str">
        <f t="shared" si="24"/>
        <v>+</v>
      </c>
      <c r="B87" s="147" t="str">
        <f t="shared" si="22"/>
        <v>x</v>
      </c>
      <c r="C87" s="43"/>
      <c r="D87" s="44"/>
      <c r="E87" s="44"/>
      <c r="F87" s="44"/>
      <c r="G87" s="44"/>
      <c r="H87" s="44"/>
      <c r="J87" s="44"/>
      <c r="K87" s="44"/>
      <c r="L87" s="44"/>
      <c r="M87" s="44"/>
      <c r="N87" s="27"/>
      <c r="O87" s="44"/>
    </row>
    <row r="88" spans="1:15" ht="16.5" thickBot="1" x14ac:dyDescent="0.25">
      <c r="A88" s="131" t="str">
        <f t="shared" si="24"/>
        <v>+</v>
      </c>
      <c r="B88" s="147" t="str">
        <f t="shared" si="22"/>
        <v>x</v>
      </c>
      <c r="C88" s="24" t="str">
        <f>_sheetContentTranslation_A_108</f>
        <v>利润表</v>
      </c>
      <c r="D88" s="25"/>
      <c r="E88" s="25"/>
      <c r="F88" s="25"/>
      <c r="G88" s="25"/>
      <c r="H88" s="25"/>
      <c r="J88" s="25"/>
      <c r="K88" s="25"/>
      <c r="L88" s="25"/>
      <c r="M88" s="26"/>
      <c r="N88" s="27"/>
      <c r="O88" s="25"/>
    </row>
    <row r="89" spans="1:15" ht="12.75" x14ac:dyDescent="0.2">
      <c r="A89" s="131" t="str">
        <f t="shared" si="24"/>
        <v>+</v>
      </c>
      <c r="B89" s="147" t="str">
        <f t="shared" si="22"/>
        <v>x</v>
      </c>
      <c r="C89" s="33"/>
      <c r="D89" s="34"/>
      <c r="E89" s="34"/>
      <c r="F89" s="34"/>
      <c r="G89" s="34"/>
      <c r="H89" s="34"/>
      <c r="J89" s="34"/>
      <c r="K89" s="34"/>
      <c r="L89" s="34"/>
      <c r="M89" s="34"/>
      <c r="N89" s="27"/>
      <c r="O89" s="34"/>
    </row>
    <row r="90" spans="1:15" ht="11.25" customHeight="1" x14ac:dyDescent="0.2">
      <c r="A90" s="131" t="str">
        <f t="shared" si="24"/>
        <v>+</v>
      </c>
      <c r="B90" s="147" t="str">
        <f t="shared" si="22"/>
        <v>x</v>
      </c>
      <c r="C90" s="33" t="str">
        <f>_sheetContentTranslation_A_109</f>
        <v>净销售额</v>
      </c>
      <c r="D90" s="34"/>
      <c r="E90" s="34"/>
      <c r="F90" s="34"/>
      <c r="G90" s="34"/>
      <c r="H90" s="34"/>
      <c r="J90" s="32">
        <f>SUM(D90:I90)</f>
        <v>0</v>
      </c>
      <c r="K90" s="34"/>
      <c r="L90" s="34"/>
      <c r="M90" s="58">
        <f t="shared" ref="M90:M95" si="29">SUM(J90:L90)</f>
        <v>0</v>
      </c>
      <c r="N90" s="27"/>
      <c r="O90" s="34"/>
    </row>
    <row r="91" spans="1:15" ht="11.25" customHeight="1" x14ac:dyDescent="0.2">
      <c r="A91" s="131" t="str">
        <f t="shared" si="24"/>
        <v>+</v>
      </c>
      <c r="B91" s="147" t="str">
        <f t="shared" si="22"/>
        <v>x</v>
      </c>
      <c r="C91" s="33" t="str">
        <f>_sheetContentTranslation_A_110</f>
        <v>其他收入</v>
      </c>
      <c r="D91" s="34"/>
      <c r="E91" s="34"/>
      <c r="F91" s="34"/>
      <c r="G91" s="34"/>
      <c r="H91" s="34"/>
      <c r="J91" s="32">
        <f>SUM(D91:I91)</f>
        <v>0</v>
      </c>
      <c r="K91" s="34"/>
      <c r="L91" s="34"/>
      <c r="M91" s="58">
        <f>SUM(J91:L91)</f>
        <v>0</v>
      </c>
      <c r="N91" s="27"/>
      <c r="O91" s="34"/>
    </row>
    <row r="92" spans="1:15" hidden="1" x14ac:dyDescent="0.2">
      <c r="B92" s="48" t="str">
        <f t="shared" si="22"/>
        <v>x</v>
      </c>
      <c r="C92" s="13" t="str">
        <f>_sheetContentTranslation_A_57</f>
        <v>故意隐藏</v>
      </c>
      <c r="D92" s="47"/>
      <c r="E92" s="47"/>
      <c r="F92" s="47"/>
      <c r="G92" s="47"/>
      <c r="H92" s="47"/>
      <c r="J92" s="47"/>
      <c r="K92" s="47"/>
      <c r="L92" s="47"/>
      <c r="M92" s="47"/>
      <c r="N92" s="27"/>
      <c r="O92" s="47"/>
    </row>
    <row r="93" spans="1:15" ht="11.25" customHeight="1" x14ac:dyDescent="0.2">
      <c r="A93" s="131" t="str">
        <f>_sheetContentTranslation_A_35</f>
        <v>+</v>
      </c>
      <c r="B93" s="147" t="str">
        <f t="shared" si="22"/>
        <v>x</v>
      </c>
      <c r="C93" s="35" t="str">
        <f>_sheetContentTranslation_A_111</f>
        <v>收入总额</v>
      </c>
      <c r="D93" s="36">
        <f t="shared" ref="D93:E93" si="30">SUM(D90:D92)</f>
        <v>0</v>
      </c>
      <c r="E93" s="36">
        <f t="shared" si="30"/>
        <v>0</v>
      </c>
      <c r="F93" s="36">
        <f t="shared" ref="F93:H93" si="31">SUM(F90:F92)</f>
        <v>0</v>
      </c>
      <c r="G93" s="36">
        <f t="shared" si="31"/>
        <v>0</v>
      </c>
      <c r="H93" s="36">
        <f t="shared" si="31"/>
        <v>0</v>
      </c>
      <c r="I93" s="126"/>
      <c r="J93" s="127">
        <f>SUM(J90:J92)</f>
        <v>0</v>
      </c>
      <c r="K93" s="36">
        <f t="shared" ref="K93:M93" si="32">SUM(K90:K92)</f>
        <v>0</v>
      </c>
      <c r="L93" s="36">
        <f t="shared" si="32"/>
        <v>0</v>
      </c>
      <c r="M93" s="60">
        <f t="shared" si="32"/>
        <v>0</v>
      </c>
      <c r="N93" s="27"/>
      <c r="O93" s="36">
        <f>SUM(O90:O92)</f>
        <v>0</v>
      </c>
    </row>
    <row r="94" spans="1:15" ht="11.25" customHeight="1" x14ac:dyDescent="0.2">
      <c r="A94" s="131" t="str">
        <f>_sheetContentTranslation_A_35</f>
        <v>+</v>
      </c>
      <c r="B94" s="147" t="str">
        <f t="shared" si="22"/>
        <v>x</v>
      </c>
      <c r="C94" s="33"/>
      <c r="D94" s="34"/>
      <c r="E94" s="34"/>
      <c r="F94" s="34"/>
      <c r="G94" s="34"/>
      <c r="H94" s="34"/>
      <c r="J94" s="32"/>
      <c r="K94" s="34"/>
      <c r="L94" s="34"/>
      <c r="M94" s="58"/>
      <c r="N94" s="27"/>
      <c r="O94" s="34"/>
    </row>
    <row r="95" spans="1:15" ht="12.75" x14ac:dyDescent="0.2">
      <c r="A95" s="131" t="str">
        <f>_sheetContentTranslation_A_35</f>
        <v>+</v>
      </c>
      <c r="B95" s="147" t="str">
        <f t="shared" si="22"/>
        <v>x</v>
      </c>
      <c r="C95" s="33" t="str">
        <f>_sheetContentTranslation_A_112</f>
        <v>销售成本</v>
      </c>
      <c r="D95" s="34"/>
      <c r="E95" s="34"/>
      <c r="F95" s="34"/>
      <c r="G95" s="34"/>
      <c r="H95" s="34"/>
      <c r="J95" s="32">
        <f>SUM(D95:I95)</f>
        <v>0</v>
      </c>
      <c r="K95" s="34"/>
      <c r="L95" s="34"/>
      <c r="M95" s="58">
        <f t="shared" si="29"/>
        <v>0</v>
      </c>
      <c r="N95" s="27"/>
      <c r="O95" s="34"/>
    </row>
    <row r="96" spans="1:15" hidden="1" x14ac:dyDescent="0.2">
      <c r="B96" s="48" t="str">
        <f t="shared" si="22"/>
        <v>x</v>
      </c>
      <c r="C96" s="13" t="str">
        <f>_sheetContentTranslation_A_57</f>
        <v>故意隐藏</v>
      </c>
      <c r="D96" s="47"/>
      <c r="E96" s="47"/>
      <c r="F96" s="47"/>
      <c r="G96" s="47"/>
      <c r="H96" s="47"/>
      <c r="J96" s="47"/>
      <c r="K96" s="47"/>
      <c r="L96" s="47"/>
      <c r="M96" s="47"/>
      <c r="N96" s="27"/>
      <c r="O96" s="47"/>
    </row>
    <row r="97" spans="1:15" ht="12.75" x14ac:dyDescent="0.2">
      <c r="A97" s="131" t="str">
        <f t="shared" ref="A97:A105" si="33">_sheetContentTranslation_A_35</f>
        <v>+</v>
      </c>
      <c r="B97" s="147" t="str">
        <f t="shared" si="22"/>
        <v>x</v>
      </c>
      <c r="C97" s="35" t="str">
        <f>_sheetContentTranslation_A_113</f>
        <v>毛利</v>
      </c>
      <c r="D97" s="36">
        <f>D93-SUM(D94:D96)</f>
        <v>0</v>
      </c>
      <c r="E97" s="36">
        <f>E93-SUM(E94:E96)</f>
        <v>0</v>
      </c>
      <c r="F97" s="36">
        <f t="shared" ref="F97:O97" si="34">F93-SUM(F94:F96)</f>
        <v>0</v>
      </c>
      <c r="G97" s="36">
        <f t="shared" si="34"/>
        <v>0</v>
      </c>
      <c r="H97" s="36">
        <f t="shared" si="34"/>
        <v>0</v>
      </c>
      <c r="I97" s="36">
        <f t="shared" si="34"/>
        <v>0</v>
      </c>
      <c r="J97" s="36">
        <f t="shared" si="34"/>
        <v>0</v>
      </c>
      <c r="K97" s="36">
        <f t="shared" si="34"/>
        <v>0</v>
      </c>
      <c r="L97" s="36">
        <f t="shared" si="34"/>
        <v>0</v>
      </c>
      <c r="M97" s="36">
        <f t="shared" si="34"/>
        <v>0</v>
      </c>
      <c r="N97" s="27"/>
      <c r="O97" s="36">
        <f t="shared" si="34"/>
        <v>0</v>
      </c>
    </row>
    <row r="98" spans="1:15" ht="12.75" x14ac:dyDescent="0.2">
      <c r="A98" s="131" t="str">
        <f t="shared" si="33"/>
        <v>+</v>
      </c>
      <c r="B98" s="147" t="str">
        <f t="shared" si="22"/>
        <v>x</v>
      </c>
      <c r="C98" s="33"/>
      <c r="D98" s="34"/>
      <c r="E98" s="34"/>
      <c r="F98" s="34"/>
      <c r="G98" s="34"/>
      <c r="H98" s="34"/>
      <c r="J98" s="34"/>
      <c r="K98" s="34"/>
      <c r="L98" s="34"/>
      <c r="M98" s="34"/>
      <c r="N98" s="27"/>
      <c r="O98" s="34"/>
    </row>
    <row r="99" spans="1:15" ht="11.25" customHeight="1" x14ac:dyDescent="0.2">
      <c r="A99" s="131" t="str">
        <f t="shared" si="33"/>
        <v>+</v>
      </c>
      <c r="B99" s="147" t="str">
        <f t="shared" si="22"/>
        <v>x</v>
      </c>
      <c r="C99" s="33" t="str">
        <f>_sheetContentTranslation_A_114</f>
        <v>其他营业费用</v>
      </c>
      <c r="D99" s="34"/>
      <c r="E99" s="34"/>
      <c r="F99" s="34"/>
      <c r="G99" s="34"/>
      <c r="H99" s="34"/>
      <c r="J99" s="32">
        <f t="shared" ref="J99:J105" si="35">SUM(D99:I99)</f>
        <v>0</v>
      </c>
      <c r="K99" s="34"/>
      <c r="L99" s="34"/>
      <c r="M99" s="58">
        <f t="shared" ref="M99:M110" si="36">SUM(J99:L99)</f>
        <v>0</v>
      </c>
      <c r="N99" s="27"/>
      <c r="O99" s="34"/>
    </row>
    <row r="100" spans="1:15" ht="11.25" customHeight="1" x14ac:dyDescent="0.2">
      <c r="A100" s="131" t="str">
        <f t="shared" si="33"/>
        <v>+</v>
      </c>
      <c r="B100" s="147" t="str">
        <f t="shared" si="22"/>
        <v>x</v>
      </c>
      <c r="C100" s="33" t="str">
        <f>_sheetContentTranslation_A_115</f>
        <v>销售和管理费用</v>
      </c>
      <c r="D100" s="34"/>
      <c r="E100" s="34"/>
      <c r="F100" s="34"/>
      <c r="G100" s="34"/>
      <c r="H100" s="34"/>
      <c r="J100" s="32">
        <f t="shared" si="35"/>
        <v>0</v>
      </c>
      <c r="K100" s="34"/>
      <c r="L100" s="34"/>
      <c r="M100" s="58">
        <f t="shared" si="36"/>
        <v>0</v>
      </c>
      <c r="N100" s="27"/>
      <c r="O100" s="34"/>
    </row>
    <row r="101" spans="1:15" ht="11.25" customHeight="1" x14ac:dyDescent="0.2">
      <c r="A101" s="131" t="str">
        <f t="shared" si="33"/>
        <v>+</v>
      </c>
      <c r="B101" s="147" t="str">
        <f t="shared" si="22"/>
        <v>x</v>
      </c>
      <c r="C101" s="33" t="str">
        <f>_sheetContentTranslation_A_116</f>
        <v>折旧费用</v>
      </c>
      <c r="D101" s="34"/>
      <c r="E101" s="34"/>
      <c r="F101" s="34"/>
      <c r="G101" s="34"/>
      <c r="H101" s="34"/>
      <c r="J101" s="32">
        <f t="shared" si="35"/>
        <v>0</v>
      </c>
      <c r="K101" s="34"/>
      <c r="L101" s="34"/>
      <c r="M101" s="58">
        <f t="shared" si="36"/>
        <v>0</v>
      </c>
      <c r="N101" s="27"/>
      <c r="O101" s="34"/>
    </row>
    <row r="102" spans="1:15" ht="11.25" customHeight="1" x14ac:dyDescent="0.2">
      <c r="A102" s="131" t="str">
        <f t="shared" si="33"/>
        <v>+</v>
      </c>
      <c r="B102" s="147" t="str">
        <f t="shared" si="22"/>
        <v>x</v>
      </c>
      <c r="C102" s="33" t="str">
        <f>_sheetContentTranslation_A_117</f>
        <v>摊销费用</v>
      </c>
      <c r="D102" s="34"/>
      <c r="E102" s="34"/>
      <c r="F102" s="34"/>
      <c r="G102" s="34"/>
      <c r="H102" s="34"/>
      <c r="J102" s="32">
        <f t="shared" si="35"/>
        <v>0</v>
      </c>
      <c r="K102" s="34"/>
      <c r="L102" s="34"/>
      <c r="M102" s="58">
        <f t="shared" si="36"/>
        <v>0</v>
      </c>
      <c r="N102" s="27"/>
      <c r="O102" s="34"/>
    </row>
    <row r="103" spans="1:15" ht="11.25" customHeight="1" x14ac:dyDescent="0.2">
      <c r="A103" s="131" t="str">
        <f t="shared" si="33"/>
        <v>+</v>
      </c>
      <c r="B103" s="147" t="str">
        <f t="shared" si="22"/>
        <v>x</v>
      </c>
      <c r="C103" s="33" t="str">
        <f>_sheetContentTranslation_A_118</f>
        <v>减值损失</v>
      </c>
      <c r="D103" s="34"/>
      <c r="E103" s="34"/>
      <c r="F103" s="34"/>
      <c r="G103" s="34"/>
      <c r="H103" s="34"/>
      <c r="J103" s="32">
        <f t="shared" si="35"/>
        <v>0</v>
      </c>
      <c r="K103" s="34"/>
      <c r="L103" s="34"/>
      <c r="M103" s="58">
        <f t="shared" si="36"/>
        <v>0</v>
      </c>
      <c r="N103" s="27"/>
      <c r="O103" s="34"/>
    </row>
    <row r="104" spans="1:15" ht="11.25" customHeight="1" x14ac:dyDescent="0.2">
      <c r="A104" s="131" t="str">
        <f t="shared" si="33"/>
        <v>+</v>
      </c>
      <c r="B104" s="147" t="str">
        <f t="shared" si="22"/>
        <v>x</v>
      </c>
      <c r="C104" s="33" t="str">
        <f>_sheetContentTranslation_A_119</f>
        <v>重组费用</v>
      </c>
      <c r="D104" s="34"/>
      <c r="E104" s="34"/>
      <c r="F104" s="34"/>
      <c r="G104" s="34"/>
      <c r="H104" s="34"/>
      <c r="J104" s="32">
        <f t="shared" si="35"/>
        <v>0</v>
      </c>
      <c r="K104" s="34"/>
      <c r="L104" s="34"/>
      <c r="M104" s="58">
        <f t="shared" si="36"/>
        <v>0</v>
      </c>
      <c r="N104" s="27"/>
      <c r="O104" s="34"/>
    </row>
    <row r="105" spans="1:15" ht="11.25" customHeight="1" x14ac:dyDescent="0.2">
      <c r="A105" s="131" t="str">
        <f t="shared" si="33"/>
        <v>+</v>
      </c>
      <c r="B105" s="147" t="str">
        <f t="shared" si="22"/>
        <v>x</v>
      </c>
      <c r="C105" s="33" t="str">
        <f>_sheetContentTranslation_A_120</f>
        <v>其他一般费用</v>
      </c>
      <c r="D105" s="34"/>
      <c r="E105" s="34"/>
      <c r="F105" s="34"/>
      <c r="G105" s="34"/>
      <c r="H105" s="34"/>
      <c r="J105" s="32">
        <f t="shared" si="35"/>
        <v>0</v>
      </c>
      <c r="K105" s="34"/>
      <c r="L105" s="34"/>
      <c r="M105" s="58">
        <f t="shared" si="36"/>
        <v>0</v>
      </c>
      <c r="N105" s="27"/>
      <c r="O105" s="34"/>
    </row>
    <row r="106" spans="1:15" hidden="1" x14ac:dyDescent="0.2">
      <c r="B106" s="107" t="str">
        <f t="shared" si="22"/>
        <v>x</v>
      </c>
      <c r="C106" s="13" t="str">
        <f>_sheetContentTranslation_A_57</f>
        <v>故意隐藏</v>
      </c>
      <c r="D106" s="7"/>
      <c r="E106" s="7"/>
      <c r="F106" s="7"/>
      <c r="G106" s="7"/>
      <c r="H106" s="7"/>
      <c r="J106" s="7"/>
      <c r="K106" s="7"/>
      <c r="L106" s="7"/>
      <c r="M106" s="7"/>
      <c r="N106" s="27"/>
      <c r="O106" s="7"/>
    </row>
    <row r="107" spans="1:15" ht="11.25" customHeight="1" x14ac:dyDescent="0.2">
      <c r="A107" s="131" t="str">
        <f>_sheetContentTranslation_A_35</f>
        <v>+</v>
      </c>
      <c r="B107" s="147" t="str">
        <f t="shared" si="22"/>
        <v>x</v>
      </c>
      <c r="C107" s="35" t="str">
        <f>_sheetContentTranslation_A_121</f>
        <v>经营收入（损失）</v>
      </c>
      <c r="D107" s="36">
        <f>D97-SUM(D98:D106)</f>
        <v>0</v>
      </c>
      <c r="E107" s="36">
        <f t="shared" ref="E107:O107" si="37">E97-SUM(E98:E106)</f>
        <v>0</v>
      </c>
      <c r="F107" s="36">
        <f t="shared" si="37"/>
        <v>0</v>
      </c>
      <c r="G107" s="36">
        <f t="shared" si="37"/>
        <v>0</v>
      </c>
      <c r="H107" s="36">
        <f t="shared" si="37"/>
        <v>0</v>
      </c>
      <c r="I107" s="36">
        <f t="shared" si="37"/>
        <v>0</v>
      </c>
      <c r="J107" s="36">
        <f t="shared" si="37"/>
        <v>0</v>
      </c>
      <c r="K107" s="36">
        <f t="shared" si="37"/>
        <v>0</v>
      </c>
      <c r="L107" s="36">
        <f t="shared" si="37"/>
        <v>0</v>
      </c>
      <c r="M107" s="36">
        <f t="shared" si="37"/>
        <v>0</v>
      </c>
      <c r="N107" s="27"/>
      <c r="O107" s="36">
        <f t="shared" si="37"/>
        <v>0</v>
      </c>
    </row>
    <row r="108" spans="1:15" ht="11.25" customHeight="1" x14ac:dyDescent="0.2">
      <c r="A108" s="131" t="str">
        <f>_sheetContentTranslation_A_35</f>
        <v>+</v>
      </c>
      <c r="B108" s="147" t="str">
        <f t="shared" si="22"/>
        <v>x</v>
      </c>
      <c r="C108" s="33"/>
      <c r="D108" s="34"/>
      <c r="E108" s="34"/>
      <c r="F108" s="34"/>
      <c r="G108" s="34"/>
      <c r="H108" s="34"/>
      <c r="J108" s="32"/>
      <c r="K108" s="34"/>
      <c r="L108" s="34"/>
      <c r="M108" s="58"/>
      <c r="N108" s="27"/>
      <c r="O108" s="34"/>
    </row>
    <row r="109" spans="1:15" ht="11.25" customHeight="1" x14ac:dyDescent="0.2">
      <c r="A109" s="131" t="str">
        <f>_sheetContentTranslation_A_35</f>
        <v>+</v>
      </c>
      <c r="B109" s="147" t="str">
        <f t="shared" si="22"/>
        <v>x</v>
      </c>
      <c r="C109" s="33" t="str">
        <f>_sheetContentTranslation_A_122</f>
        <v>营业外收入（支出）</v>
      </c>
      <c r="D109" s="34"/>
      <c r="E109" s="34"/>
      <c r="F109" s="34"/>
      <c r="G109" s="34"/>
      <c r="H109" s="34"/>
      <c r="J109" s="32">
        <f>SUM(D109:I109)</f>
        <v>0</v>
      </c>
      <c r="K109" s="34"/>
      <c r="L109" s="34"/>
      <c r="M109" s="58">
        <f t="shared" si="36"/>
        <v>0</v>
      </c>
      <c r="N109" s="27"/>
      <c r="O109" s="34"/>
    </row>
    <row r="110" spans="1:15" ht="11.25" customHeight="1" x14ac:dyDescent="0.2">
      <c r="A110" s="131" t="str">
        <f>_sheetContentTranslation_A_35</f>
        <v>+</v>
      </c>
      <c r="B110" s="147" t="str">
        <f t="shared" si="22"/>
        <v>x</v>
      </c>
      <c r="C110" s="33" t="str">
        <f>_sheetContentTranslation_A_123</f>
        <v>利息收入（费用）</v>
      </c>
      <c r="D110" s="34"/>
      <c r="E110" s="34"/>
      <c r="F110" s="34"/>
      <c r="G110" s="34"/>
      <c r="H110" s="34"/>
      <c r="J110" s="32">
        <f>SUM(D110:I110)</f>
        <v>0</v>
      </c>
      <c r="K110" s="34"/>
      <c r="L110" s="34"/>
      <c r="M110" s="58">
        <f t="shared" si="36"/>
        <v>0</v>
      </c>
      <c r="N110" s="27"/>
      <c r="O110" s="34"/>
    </row>
    <row r="111" spans="1:15" hidden="1" x14ac:dyDescent="0.2">
      <c r="B111" s="107" t="str">
        <f t="shared" si="22"/>
        <v>x</v>
      </c>
      <c r="C111" s="13" t="str">
        <f>_sheetContentTranslation_A_57</f>
        <v>故意隐藏</v>
      </c>
      <c r="D111" s="7"/>
      <c r="E111" s="7"/>
      <c r="F111" s="7"/>
      <c r="G111" s="7"/>
      <c r="H111" s="7"/>
      <c r="J111" s="7"/>
      <c r="K111" s="7"/>
      <c r="L111" s="7"/>
      <c r="M111" s="7"/>
      <c r="N111" s="27"/>
      <c r="O111" s="7"/>
    </row>
    <row r="112" spans="1:15" ht="22.5" customHeight="1" x14ac:dyDescent="0.2">
      <c r="A112" s="131" t="str">
        <f>_sheetContentTranslation_A_35</f>
        <v>+</v>
      </c>
      <c r="B112" s="147" t="str">
        <f t="shared" ref="B112:B129" si="38">_sheetContentTranslation_A_36</f>
        <v>x</v>
      </c>
      <c r="C112" s="35" t="str">
        <f>_sheetContentTranslation_A_124</f>
        <v>所得税费用前的收入（损失）</v>
      </c>
      <c r="D112" s="36">
        <f>D107+SUM(D108:D111)</f>
        <v>0</v>
      </c>
      <c r="E112" s="36">
        <f>E107+SUM(E108:E111)</f>
        <v>0</v>
      </c>
      <c r="F112" s="36">
        <f>F107+SUM(F108:F111)</f>
        <v>0</v>
      </c>
      <c r="G112" s="36">
        <f>G107+SUM(G108:G111)</f>
        <v>0</v>
      </c>
      <c r="H112" s="36">
        <f>H107+SUM(H108:H111)</f>
        <v>0</v>
      </c>
      <c r="I112" s="36">
        <f t="shared" ref="I112" si="39">I107-SUM(I108:I111)</f>
        <v>0</v>
      </c>
      <c r="J112" s="36">
        <f>J107+SUM(J108:J111)</f>
        <v>0</v>
      </c>
      <c r="K112" s="36">
        <f>K107+SUM(K108:K111)</f>
        <v>0</v>
      </c>
      <c r="L112" s="36">
        <f>L107+SUM(L108:L111)</f>
        <v>0</v>
      </c>
      <c r="M112" s="36">
        <f>M107+SUM(M108:M111)</f>
        <v>0</v>
      </c>
      <c r="N112" s="27"/>
      <c r="O112" s="36">
        <f>O107+SUM(O108:O111)</f>
        <v>0</v>
      </c>
    </row>
    <row r="113" spans="1:15" ht="12.75" x14ac:dyDescent="0.2">
      <c r="A113" s="131" t="str">
        <f>_sheetContentTranslation_A_35</f>
        <v>+</v>
      </c>
      <c r="B113" s="147" t="str">
        <f t="shared" si="38"/>
        <v>x</v>
      </c>
      <c r="C113" s="33"/>
      <c r="D113" s="34"/>
      <c r="E113" s="34"/>
      <c r="F113" s="34"/>
      <c r="G113" s="34"/>
      <c r="H113" s="34"/>
      <c r="J113" s="34"/>
      <c r="K113" s="34"/>
      <c r="L113" s="34"/>
      <c r="M113" s="34"/>
      <c r="N113" s="27"/>
      <c r="O113" s="34"/>
    </row>
    <row r="114" spans="1:15" ht="11.25" customHeight="1" x14ac:dyDescent="0.2">
      <c r="A114" s="131" t="str">
        <f>_sheetContentTranslation_A_35</f>
        <v>+</v>
      </c>
      <c r="B114" s="147" t="str">
        <f t="shared" si="38"/>
        <v>x</v>
      </c>
      <c r="C114" s="33" t="str">
        <f>_sheetContentTranslation_A_125</f>
        <v>所得税优惠（费用）</v>
      </c>
      <c r="D114" s="34"/>
      <c r="E114" s="34"/>
      <c r="F114" s="34"/>
      <c r="G114" s="34"/>
      <c r="H114" s="34"/>
      <c r="J114" s="32">
        <f>SUM(D114:I114)</f>
        <v>0</v>
      </c>
      <c r="K114" s="34"/>
      <c r="L114" s="34"/>
      <c r="M114" s="58">
        <f t="shared" ref="M114:M115" si="40">SUM(J114:L114)</f>
        <v>0</v>
      </c>
      <c r="N114" s="27"/>
      <c r="O114" s="34"/>
    </row>
    <row r="115" spans="1:15" ht="12.75" x14ac:dyDescent="0.2">
      <c r="A115" s="131" t="str">
        <f>_sheetContentTranslation_A_35</f>
        <v>+</v>
      </c>
      <c r="B115" s="147" t="str">
        <f t="shared" si="38"/>
        <v>x</v>
      </c>
      <c r="C115" s="46" t="str">
        <f>_sheetContentTranslation_A_126</f>
        <v>子公司收益（损失）中的权益</v>
      </c>
      <c r="D115" s="45"/>
      <c r="E115" s="45"/>
      <c r="F115" s="45"/>
      <c r="G115" s="45"/>
      <c r="H115" s="45"/>
      <c r="J115" s="32">
        <f>SUM(D115:I115)</f>
        <v>0</v>
      </c>
      <c r="K115" s="45"/>
      <c r="L115" s="45"/>
      <c r="M115" s="58">
        <f t="shared" si="40"/>
        <v>0</v>
      </c>
      <c r="N115" s="27"/>
      <c r="O115" s="45"/>
    </row>
    <row r="116" spans="1:15" hidden="1" x14ac:dyDescent="0.2">
      <c r="B116" s="107" t="str">
        <f t="shared" si="38"/>
        <v>x</v>
      </c>
      <c r="C116" s="13" t="str">
        <f>_sheetContentTranslation_A_57</f>
        <v>故意隐藏</v>
      </c>
      <c r="D116" s="7"/>
      <c r="E116" s="7"/>
      <c r="F116" s="7"/>
      <c r="G116" s="7"/>
      <c r="H116" s="7"/>
      <c r="J116" s="7"/>
      <c r="K116" s="7"/>
      <c r="L116" s="7"/>
      <c r="M116" s="7"/>
      <c r="N116" s="27"/>
      <c r="O116" s="7"/>
    </row>
    <row r="117" spans="1:15" ht="12.75" x14ac:dyDescent="0.2">
      <c r="A117" s="131" t="str">
        <f>_sheetContentTranslation_A_35</f>
        <v>+</v>
      </c>
      <c r="B117" s="147" t="str">
        <f t="shared" si="38"/>
        <v>x</v>
      </c>
      <c r="C117" s="35" t="str">
        <f>_sheetContentTranslation_A_127</f>
        <v>持续经营收入（损失）</v>
      </c>
      <c r="D117" s="36">
        <f>D112+SUM(D113:D116)</f>
        <v>0</v>
      </c>
      <c r="E117" s="36">
        <f>E112+SUM(E113:E116)</f>
        <v>0</v>
      </c>
      <c r="F117" s="36">
        <f>F112+SUM(F113:F116)</f>
        <v>0</v>
      </c>
      <c r="G117" s="36">
        <f>G112+SUM(G113:G116)</f>
        <v>0</v>
      </c>
      <c r="H117" s="36">
        <f>H112+SUM(H113:H116)</f>
        <v>0</v>
      </c>
      <c r="I117" s="36">
        <f t="shared" ref="I117" si="41">I112-SUM(I113:I116)</f>
        <v>0</v>
      </c>
      <c r="J117" s="36">
        <f>J112+SUM(J113:J116)</f>
        <v>0</v>
      </c>
      <c r="K117" s="36">
        <f>K112+SUM(K113:K116)</f>
        <v>0</v>
      </c>
      <c r="L117" s="36">
        <f>L112+SUM(L113:L116)</f>
        <v>0</v>
      </c>
      <c r="M117" s="36">
        <f>M112+SUM(M113:M116)</f>
        <v>0</v>
      </c>
      <c r="N117" s="27"/>
      <c r="O117" s="36">
        <f>O112+SUM(O113:O116)</f>
        <v>0</v>
      </c>
    </row>
    <row r="118" spans="1:15" ht="12.75" x14ac:dyDescent="0.2">
      <c r="A118" s="131" t="str">
        <f>_sheetContentTranslation_A_35</f>
        <v>+</v>
      </c>
      <c r="B118" s="147" t="str">
        <f t="shared" si="38"/>
        <v>x</v>
      </c>
      <c r="C118" s="33"/>
      <c r="D118" s="34"/>
      <c r="E118" s="34"/>
      <c r="F118" s="34"/>
      <c r="G118" s="34"/>
      <c r="H118" s="34"/>
      <c r="J118" s="34"/>
      <c r="K118" s="34"/>
      <c r="L118" s="34"/>
      <c r="M118" s="34"/>
      <c r="N118" s="27"/>
      <c r="O118" s="34"/>
    </row>
    <row r="119" spans="1:15" ht="11.25" customHeight="1" x14ac:dyDescent="0.2">
      <c r="A119" s="131" t="str">
        <f>_sheetContentTranslation_A_35</f>
        <v>+</v>
      </c>
      <c r="B119" s="147" t="str">
        <f t="shared" si="38"/>
        <v>x</v>
      </c>
      <c r="C119" s="33" t="str">
        <f>_sheetContentTranslation_A_128</f>
        <v>终止经营收入（损失）</v>
      </c>
      <c r="D119" s="34"/>
      <c r="E119" s="34"/>
      <c r="F119" s="34"/>
      <c r="G119" s="34"/>
      <c r="H119" s="34"/>
      <c r="J119" s="32">
        <f>SUM(D119:I119)</f>
        <v>0</v>
      </c>
      <c r="K119" s="34"/>
      <c r="L119" s="34"/>
      <c r="M119" s="58">
        <f t="shared" ref="M119" si="42">SUM(J119:L119)</f>
        <v>0</v>
      </c>
      <c r="N119" s="27"/>
      <c r="O119" s="34"/>
    </row>
    <row r="120" spans="1:15" hidden="1" x14ac:dyDescent="0.2">
      <c r="B120" s="107" t="str">
        <f t="shared" si="38"/>
        <v>x</v>
      </c>
      <c r="C120" s="13" t="str">
        <f>_sheetContentTranslation_A_57</f>
        <v>故意隐藏</v>
      </c>
      <c r="D120" s="7"/>
      <c r="E120" s="7"/>
      <c r="F120" s="7"/>
      <c r="G120" s="7"/>
      <c r="H120" s="7"/>
      <c r="J120" s="7"/>
      <c r="K120" s="7"/>
      <c r="L120" s="7"/>
      <c r="M120" s="7"/>
      <c r="N120" s="27"/>
      <c r="O120" s="7"/>
    </row>
    <row r="121" spans="1:15" ht="12.75" x14ac:dyDescent="0.2">
      <c r="A121" s="131" t="str">
        <f>_sheetContentTranslation_A_35</f>
        <v>+</v>
      </c>
      <c r="B121" s="147" t="str">
        <f t="shared" si="38"/>
        <v>x</v>
      </c>
      <c r="C121" s="35" t="str">
        <f>_sheetContentTranslation_A_129</f>
        <v>会计政策变更累计影响前的收入（损失）</v>
      </c>
      <c r="D121" s="36">
        <f>D117+SUM(D118:D120)</f>
        <v>0</v>
      </c>
      <c r="E121" s="36">
        <f t="shared" ref="E121:O121" si="43">E117+SUM(E118:E120)</f>
        <v>0</v>
      </c>
      <c r="F121" s="36">
        <f t="shared" si="43"/>
        <v>0</v>
      </c>
      <c r="G121" s="36">
        <f t="shared" si="43"/>
        <v>0</v>
      </c>
      <c r="H121" s="36">
        <f t="shared" si="43"/>
        <v>0</v>
      </c>
      <c r="I121" s="36">
        <f t="shared" si="43"/>
        <v>0</v>
      </c>
      <c r="J121" s="36">
        <f t="shared" si="43"/>
        <v>0</v>
      </c>
      <c r="K121" s="36">
        <f t="shared" si="43"/>
        <v>0</v>
      </c>
      <c r="L121" s="36">
        <f t="shared" si="43"/>
        <v>0</v>
      </c>
      <c r="M121" s="36">
        <f t="shared" si="43"/>
        <v>0</v>
      </c>
      <c r="N121" s="27"/>
      <c r="O121" s="36">
        <f t="shared" si="43"/>
        <v>0</v>
      </c>
    </row>
    <row r="122" spans="1:15" ht="12.75" x14ac:dyDescent="0.2">
      <c r="A122" s="131" t="str">
        <f>_sheetContentTranslation_A_35</f>
        <v>+</v>
      </c>
      <c r="B122" s="147" t="str">
        <f t="shared" si="38"/>
        <v>x</v>
      </c>
      <c r="C122" s="33"/>
      <c r="D122" s="34"/>
      <c r="E122" s="34"/>
      <c r="F122" s="34"/>
      <c r="G122" s="34"/>
      <c r="H122" s="34"/>
      <c r="J122" s="34"/>
      <c r="K122" s="34"/>
      <c r="L122" s="34"/>
      <c r="M122" s="34"/>
      <c r="N122" s="27"/>
      <c r="O122" s="34"/>
    </row>
    <row r="123" spans="1:15" ht="12.75" x14ac:dyDescent="0.2">
      <c r="A123" s="131" t="str">
        <f>_sheetContentTranslation_A_35</f>
        <v>+</v>
      </c>
      <c r="B123" s="147" t="str">
        <f t="shared" si="38"/>
        <v>x</v>
      </c>
      <c r="C123" s="33" t="str">
        <f>_sheetContentTranslation_A_130</f>
        <v>会计政策变更累计影响的利得（损失）</v>
      </c>
      <c r="D123" s="34"/>
      <c r="E123" s="34"/>
      <c r="F123" s="34"/>
      <c r="G123" s="34"/>
      <c r="H123" s="34"/>
      <c r="J123" s="32">
        <f>SUM(D123:I123)</f>
        <v>0</v>
      </c>
      <c r="K123" s="34"/>
      <c r="L123" s="34"/>
      <c r="M123" s="58">
        <f t="shared" ref="M123" si="44">SUM(J123:L123)</f>
        <v>0</v>
      </c>
      <c r="N123" s="27"/>
      <c r="O123" s="34"/>
    </row>
    <row r="124" spans="1:15" hidden="1" x14ac:dyDescent="0.2">
      <c r="B124" s="107" t="str">
        <f t="shared" si="38"/>
        <v>x</v>
      </c>
      <c r="C124" s="13" t="str">
        <f>_sheetContentTranslation_A_57</f>
        <v>故意隐藏</v>
      </c>
      <c r="D124" s="7"/>
      <c r="E124" s="7"/>
      <c r="F124" s="7"/>
      <c r="G124" s="7"/>
      <c r="H124" s="7"/>
      <c r="J124" s="7"/>
      <c r="K124" s="7"/>
      <c r="L124" s="7"/>
      <c r="M124" s="7"/>
      <c r="N124" s="27"/>
      <c r="O124" s="7"/>
    </row>
    <row r="125" spans="1:15" ht="15" customHeight="1" x14ac:dyDescent="0.2">
      <c r="A125" s="131" t="str">
        <f>_sheetContentTranslation_A_35</f>
        <v>+</v>
      </c>
      <c r="B125" s="147" t="str">
        <f t="shared" si="38"/>
        <v>x</v>
      </c>
      <c r="C125" s="37" t="str">
        <f>_sheetContentTranslation_A_131</f>
        <v>净利润（亏损）</v>
      </c>
      <c r="D125" s="38">
        <f t="shared" ref="D125:K125" si="45">D121+SUM(D122:D124)</f>
        <v>0</v>
      </c>
      <c r="E125" s="38">
        <f t="shared" si="45"/>
        <v>0</v>
      </c>
      <c r="F125" s="38">
        <f t="shared" si="45"/>
        <v>0</v>
      </c>
      <c r="G125" s="38">
        <f t="shared" si="45"/>
        <v>0</v>
      </c>
      <c r="H125" s="38">
        <f t="shared" si="45"/>
        <v>0</v>
      </c>
      <c r="I125" s="38">
        <f t="shared" si="45"/>
        <v>0</v>
      </c>
      <c r="J125" s="38">
        <f t="shared" si="45"/>
        <v>0</v>
      </c>
      <c r="K125" s="38">
        <f t="shared" si="45"/>
        <v>0</v>
      </c>
      <c r="L125" s="38">
        <f>L121+SUM(L122:L124)</f>
        <v>0</v>
      </c>
      <c r="M125" s="38">
        <f>M121+SUM(M122:M124)</f>
        <v>0</v>
      </c>
      <c r="N125" s="27"/>
      <c r="O125" s="38">
        <f>O121+SUM(O122:O124)</f>
        <v>0</v>
      </c>
    </row>
    <row r="126" spans="1:15" ht="12.75" x14ac:dyDescent="0.2">
      <c r="A126" s="131" t="str">
        <f>_sheetContentTranslation_A_35</f>
        <v>+</v>
      </c>
      <c r="B126" s="147" t="str">
        <f t="shared" si="38"/>
        <v>x</v>
      </c>
      <c r="C126" s="29"/>
      <c r="D126" s="30"/>
      <c r="E126" s="30"/>
      <c r="F126" s="30"/>
      <c r="G126" s="30"/>
      <c r="H126" s="30"/>
      <c r="J126" s="30"/>
      <c r="K126" s="30"/>
      <c r="L126" s="30"/>
      <c r="M126" s="30"/>
      <c r="N126" s="27"/>
      <c r="O126" s="30"/>
    </row>
    <row r="127" spans="1:15" ht="12.75" x14ac:dyDescent="0.2">
      <c r="A127" s="131" t="str">
        <f>_sheetContentTranslation_A_35</f>
        <v>+</v>
      </c>
      <c r="B127" s="147" t="str">
        <f t="shared" si="38"/>
        <v>x</v>
      </c>
      <c r="C127" s="33" t="str">
        <f>_sheetContentTranslation_A_132</f>
        <v>减：归属于非控制性权益的净利润（亏损）</v>
      </c>
      <c r="D127" s="34"/>
      <c r="E127" s="34"/>
      <c r="F127" s="34"/>
      <c r="G127" s="34"/>
      <c r="H127" s="34"/>
      <c r="J127" s="32">
        <f>SUM(D127:I127)</f>
        <v>0</v>
      </c>
      <c r="K127" s="34"/>
      <c r="L127" s="34"/>
      <c r="M127" s="58">
        <f t="shared" ref="M127" si="46">SUM(J127:L127)</f>
        <v>0</v>
      </c>
      <c r="N127" s="27"/>
      <c r="O127" s="34"/>
    </row>
    <row r="128" spans="1:15" hidden="1" x14ac:dyDescent="0.2">
      <c r="B128" s="107" t="str">
        <f t="shared" si="38"/>
        <v>x</v>
      </c>
      <c r="C128" s="13" t="str">
        <f>_sheetContentTranslation_A_57</f>
        <v>故意隐藏</v>
      </c>
      <c r="D128" s="7"/>
      <c r="E128" s="7"/>
      <c r="F128" s="7"/>
      <c r="G128" s="7"/>
      <c r="H128" s="7"/>
      <c r="J128" s="7"/>
      <c r="K128" s="7"/>
      <c r="L128" s="7"/>
      <c r="M128" s="7"/>
      <c r="N128" s="27"/>
      <c r="O128" s="7"/>
    </row>
    <row r="129" spans="1:15" ht="13.5" thickBot="1" x14ac:dyDescent="0.25">
      <c r="A129" s="131" t="str">
        <f>_sheetContentTranslation_A_35</f>
        <v>+</v>
      </c>
      <c r="B129" s="147" t="str">
        <f t="shared" si="38"/>
        <v>x</v>
      </c>
      <c r="C129" s="41" t="str">
        <f>_sheetContentTranslation_A_133</f>
        <v>归属于母公司的净利润（亏损）</v>
      </c>
      <c r="D129" s="42">
        <f>D125-SUM(D126:D128)</f>
        <v>0</v>
      </c>
      <c r="E129" s="42">
        <f>E125-SUM(E126:E128)</f>
        <v>0</v>
      </c>
      <c r="F129" s="42">
        <f>F125-SUM(F126:F128)</f>
        <v>0</v>
      </c>
      <c r="G129" s="42">
        <f>G125-SUM(G126:G128)</f>
        <v>0</v>
      </c>
      <c r="H129" s="42">
        <f>H125-SUM(H126:H128)</f>
        <v>0</v>
      </c>
      <c r="I129" s="42">
        <f t="shared" ref="I129" si="47">I125+SUM(I126:I128)</f>
        <v>0</v>
      </c>
      <c r="J129" s="42">
        <f>J125-SUM(J126:J128)</f>
        <v>0</v>
      </c>
      <c r="K129" s="42">
        <f>K125-SUM(K126:K128)</f>
        <v>0</v>
      </c>
      <c r="L129" s="42">
        <f>L125-SUM(L126:L128)</f>
        <v>0</v>
      </c>
      <c r="M129" s="42">
        <f>M125-SUM(M126:M128)</f>
        <v>0</v>
      </c>
      <c r="N129" s="27"/>
      <c r="O129" s="42">
        <f>O125-SUM(O126:O128)</f>
        <v>0</v>
      </c>
    </row>
    <row r="130" spans="1:15" ht="12" thickTop="1" x14ac:dyDescent="0.2">
      <c r="C130" s="108"/>
      <c r="D130" s="109"/>
      <c r="E130" s="110"/>
      <c r="F130" s="110"/>
      <c r="G130" s="110"/>
      <c r="H130" s="110"/>
      <c r="J130" s="109"/>
      <c r="K130" s="109"/>
      <c r="L130" s="109"/>
      <c r="M130" s="109"/>
      <c r="N130" s="27"/>
      <c r="O130" s="110"/>
    </row>
    <row r="131" spans="1:15" x14ac:dyDescent="0.2">
      <c r="B131" s="48"/>
      <c r="C131" s="8"/>
      <c r="D131" s="9"/>
      <c r="E131" s="9"/>
      <c r="F131" s="9"/>
      <c r="G131" s="9"/>
      <c r="H131" s="9"/>
      <c r="J131" s="9"/>
      <c r="K131" s="9"/>
      <c r="L131" s="9"/>
      <c r="M131" s="9"/>
      <c r="N131" s="27"/>
      <c r="O131" s="9"/>
    </row>
    <row r="132" spans="1:15" ht="16.5" thickBot="1" x14ac:dyDescent="0.25">
      <c r="B132" s="48"/>
      <c r="C132" s="10" t="str">
        <f>_sheetContentTranslation_A_134</f>
        <v>其他相关财务信息</v>
      </c>
      <c r="D132" s="11"/>
      <c r="E132" s="11"/>
      <c r="F132" s="11"/>
      <c r="G132" s="11"/>
      <c r="H132" s="11"/>
      <c r="J132" s="11"/>
      <c r="K132" s="11"/>
      <c r="L132" s="11"/>
      <c r="M132" s="12"/>
      <c r="N132" s="27"/>
      <c r="O132" s="11"/>
    </row>
    <row r="133" spans="1:15" ht="12.75" x14ac:dyDescent="0.2">
      <c r="A133" s="131" t="str">
        <f t="shared" ref="A133:A138" si="48">_sheetContentTranslation_A_35</f>
        <v>+</v>
      </c>
      <c r="B133" s="147" t="str">
        <f t="shared" ref="B133:B138" si="49">_sheetContentTranslation_A_36</f>
        <v>x</v>
      </c>
      <c r="C133" s="33"/>
      <c r="D133" s="34"/>
      <c r="E133" s="34"/>
      <c r="F133" s="34"/>
      <c r="G133" s="34"/>
      <c r="H133" s="34"/>
      <c r="J133" s="32">
        <f t="shared" ref="J133:J138" si="50">SUM(D133:I133)</f>
        <v>0</v>
      </c>
      <c r="K133" s="34"/>
      <c r="L133" s="34"/>
      <c r="M133" s="58">
        <f t="shared" ref="M133:M138" si="51">SUM(J133:L133)</f>
        <v>0</v>
      </c>
      <c r="N133" s="27"/>
      <c r="O133" s="34"/>
    </row>
    <row r="134" spans="1:15" ht="11.25" customHeight="1" x14ac:dyDescent="0.2">
      <c r="A134" s="131" t="str">
        <f t="shared" si="48"/>
        <v>+</v>
      </c>
      <c r="B134" s="147" t="str">
        <f t="shared" si="49"/>
        <v>x</v>
      </c>
      <c r="C134" s="33"/>
      <c r="D134" s="34"/>
      <c r="E134" s="34"/>
      <c r="F134" s="34"/>
      <c r="G134" s="34"/>
      <c r="H134" s="34"/>
      <c r="J134" s="32">
        <f t="shared" si="50"/>
        <v>0</v>
      </c>
      <c r="K134" s="34"/>
      <c r="L134" s="34"/>
      <c r="M134" s="58">
        <f t="shared" si="51"/>
        <v>0</v>
      </c>
      <c r="N134" s="27"/>
      <c r="O134" s="34"/>
    </row>
    <row r="135" spans="1:15" ht="11.25" customHeight="1" x14ac:dyDescent="0.2">
      <c r="A135" s="131" t="str">
        <f t="shared" si="48"/>
        <v>+</v>
      </c>
      <c r="B135" s="147" t="str">
        <f t="shared" si="49"/>
        <v>x</v>
      </c>
      <c r="C135" s="33"/>
      <c r="D135" s="34"/>
      <c r="E135" s="34"/>
      <c r="F135" s="34"/>
      <c r="G135" s="34"/>
      <c r="H135" s="34"/>
      <c r="J135" s="32">
        <f t="shared" si="50"/>
        <v>0</v>
      </c>
      <c r="K135" s="34"/>
      <c r="L135" s="34"/>
      <c r="M135" s="58">
        <f>SUM(J135:L135)</f>
        <v>0</v>
      </c>
      <c r="N135" s="27"/>
      <c r="O135" s="34"/>
    </row>
    <row r="136" spans="1:15" ht="11.25" customHeight="1" x14ac:dyDescent="0.2">
      <c r="A136" s="131" t="str">
        <f t="shared" si="48"/>
        <v>+</v>
      </c>
      <c r="B136" s="147" t="str">
        <f t="shared" si="49"/>
        <v>x</v>
      </c>
      <c r="C136" s="33"/>
      <c r="D136" s="34"/>
      <c r="E136" s="34"/>
      <c r="F136" s="34"/>
      <c r="G136" s="34"/>
      <c r="H136" s="34"/>
      <c r="J136" s="32">
        <f t="shared" si="50"/>
        <v>0</v>
      </c>
      <c r="K136" s="34"/>
      <c r="L136" s="34"/>
      <c r="M136" s="58">
        <f>SUM(J136:L136)</f>
        <v>0</v>
      </c>
      <c r="N136" s="27"/>
      <c r="O136" s="34"/>
    </row>
    <row r="137" spans="1:15" ht="11.25" customHeight="1" x14ac:dyDescent="0.2">
      <c r="A137" s="131" t="str">
        <f t="shared" si="48"/>
        <v>+</v>
      </c>
      <c r="B137" s="147" t="str">
        <f t="shared" si="49"/>
        <v>x</v>
      </c>
      <c r="C137" s="33"/>
      <c r="D137" s="34"/>
      <c r="E137" s="34"/>
      <c r="F137" s="34"/>
      <c r="G137" s="34"/>
      <c r="H137" s="34"/>
      <c r="J137" s="32">
        <f t="shared" si="50"/>
        <v>0</v>
      </c>
      <c r="K137" s="34"/>
      <c r="L137" s="34"/>
      <c r="M137" s="58">
        <f t="shared" si="51"/>
        <v>0</v>
      </c>
      <c r="N137" s="27"/>
      <c r="O137" s="34"/>
    </row>
    <row r="138" spans="1:15" ht="11.25" customHeight="1" x14ac:dyDescent="0.2">
      <c r="A138" s="131" t="str">
        <f t="shared" si="48"/>
        <v>+</v>
      </c>
      <c r="B138" s="147" t="str">
        <f t="shared" si="49"/>
        <v>x</v>
      </c>
      <c r="C138" s="33"/>
      <c r="D138" s="34"/>
      <c r="E138" s="34"/>
      <c r="F138" s="34"/>
      <c r="G138" s="34"/>
      <c r="H138" s="34"/>
      <c r="J138" s="32">
        <f t="shared" si="50"/>
        <v>0</v>
      </c>
      <c r="K138" s="34"/>
      <c r="L138" s="34"/>
      <c r="M138" s="58">
        <f t="shared" si="51"/>
        <v>0</v>
      </c>
      <c r="N138" s="27"/>
      <c r="O138" s="34"/>
    </row>
    <row r="139" spans="1:15" x14ac:dyDescent="0.2">
      <c r="B139" s="48"/>
      <c r="C139" s="6"/>
      <c r="D139" s="6"/>
      <c r="E139" s="6"/>
      <c r="F139" s="6"/>
      <c r="G139" s="6"/>
      <c r="H139" s="6"/>
      <c r="J139" s="6"/>
      <c r="K139" s="6"/>
      <c r="L139" s="6"/>
      <c r="M139" s="6"/>
      <c r="N139" s="27"/>
      <c r="O139" s="6"/>
    </row>
    <row r="140" spans="1:15" ht="11.25" hidden="1" customHeight="1" x14ac:dyDescent="0.2">
      <c r="A140" s="131" t="str">
        <f>_sheetContentTranslation_A_35</f>
        <v>+</v>
      </c>
      <c r="B140" s="147" t="str">
        <f>_sheetContentTranslation_A_36</f>
        <v>x</v>
      </c>
      <c r="C140" s="33"/>
      <c r="D140" s="34"/>
      <c r="E140" s="34"/>
      <c r="F140" s="34"/>
      <c r="G140" s="34"/>
      <c r="H140" s="34"/>
      <c r="J140" s="32">
        <f>SUM(D140:I140)</f>
        <v>0</v>
      </c>
      <c r="K140" s="34"/>
      <c r="L140" s="34"/>
      <c r="M140" s="58">
        <f>SUM(J140:L140)</f>
        <v>0</v>
      </c>
      <c r="N140" s="27"/>
      <c r="O140" s="34"/>
    </row>
    <row r="141" spans="1:15" x14ac:dyDescent="0.2">
      <c r="B141" s="48"/>
      <c r="N141" s="48"/>
    </row>
  </sheetData>
  <sheetProtection algorithmName="SHA-512" hashValue="cLmXMWhDIsi7Rd5TnD6ip6HLacKhtYbjosIFw+XuRYIcWFIOOc+TdHB11likEmmObTFVck+/wogqcwh27k3VRQ==" saltValue="Fjj/sMh38srVOZh2fi53+g==" spinCount="100000" sheet="1" objects="1" scenarios="1" formatCells="0" formatRows="0" insertRows="0" deleteRows="0"/>
  <mergeCells count="6">
    <mergeCell ref="L8:L12"/>
    <mergeCell ref="J8:J12"/>
    <mergeCell ref="M8:M12"/>
    <mergeCell ref="K8:K12"/>
    <mergeCell ref="D4:E4"/>
    <mergeCell ref="D5:E5"/>
  </mergeCells>
  <phoneticPr fontId="29" type="noConversion"/>
  <conditionalFormatting sqref="D9">
    <cfRule type="expression" dxfId="83" priority="151">
      <formula>D9=""</formula>
    </cfRule>
  </conditionalFormatting>
  <conditionalFormatting sqref="D10">
    <cfRule type="expression" dxfId="82" priority="149">
      <formula>D10=""</formula>
    </cfRule>
  </conditionalFormatting>
  <conditionalFormatting sqref="E9">
    <cfRule type="expression" dxfId="81" priority="71">
      <formula>E9=""</formula>
    </cfRule>
  </conditionalFormatting>
  <conditionalFormatting sqref="E10">
    <cfRule type="expression" dxfId="80" priority="70">
      <formula>E10=""</formula>
    </cfRule>
  </conditionalFormatting>
  <conditionalFormatting sqref="F9">
    <cfRule type="expression" dxfId="79" priority="63">
      <formula>F9=""</formula>
    </cfRule>
  </conditionalFormatting>
  <conditionalFormatting sqref="F10">
    <cfRule type="expression" dxfId="78" priority="62">
      <formula>F10=""</formula>
    </cfRule>
  </conditionalFormatting>
  <conditionalFormatting sqref="D4">
    <cfRule type="expression" dxfId="77" priority="58">
      <formula>D4=""</formula>
    </cfRule>
  </conditionalFormatting>
  <conditionalFormatting sqref="D5">
    <cfRule type="expression" dxfId="76" priority="57">
      <formula>D5=""</formula>
    </cfRule>
  </conditionalFormatting>
  <conditionalFormatting sqref="O9">
    <cfRule type="expression" dxfId="75" priority="46">
      <formula>O9=""</formula>
    </cfRule>
  </conditionalFormatting>
  <conditionalFormatting sqref="O10">
    <cfRule type="expression" dxfId="74" priority="45">
      <formula>O10=""</formula>
    </cfRule>
  </conditionalFormatting>
  <conditionalFormatting sqref="G9">
    <cfRule type="expression" dxfId="73" priority="12">
      <formula>G9=""</formula>
    </cfRule>
  </conditionalFormatting>
  <conditionalFormatting sqref="G10">
    <cfRule type="expression" dxfId="72" priority="11">
      <formula>G10=""</formula>
    </cfRule>
  </conditionalFormatting>
  <conditionalFormatting sqref="H9">
    <cfRule type="expression" dxfId="71" priority="8">
      <formula>H9=""</formula>
    </cfRule>
  </conditionalFormatting>
  <conditionalFormatting sqref="H10">
    <cfRule type="expression" dxfId="70" priority="7">
      <formula>H10=""</formula>
    </cfRule>
  </conditionalFormatting>
  <dataValidations count="1">
    <dataValidation type="list" allowBlank="1" showInputMessage="1" showErrorMessage="1" sqref="O10 D10:H10" xr:uid="{00000000-0002-0000-0200-000000000000}">
      <formula1>Component_Type</formula1>
    </dataValidation>
  </dataValidations>
  <hyperlinks>
    <hyperlink ref="B16" location="'确定审计范围'!sh_Home" display="+" xr:uid="{00000000-0004-0000-0200-000000000000}"/>
    <hyperlink ref="A16" location="'确定审计范围'!sh_Home" display="+" xr:uid="{00000000-0004-0000-0200-000001000000}"/>
    <hyperlink ref="E6" location="'确定审计范围'!sh_Home" display="+" xr:uid="{00000000-0004-0000-0200-000002000000}"/>
    <hyperlink ref="F7" location="'确定审计范围'!sh_Home" display="+" xr:uid="{00000000-0004-0000-0200-000003000000}"/>
    <hyperlink ref="F6" location="'确定审计范围'!sh_Home" display="+" xr:uid="{00000000-0004-0000-0200-000004000000}"/>
    <hyperlink ref="D6" location="'确定审计范围'!sh_Home" display="+" xr:uid="{00000000-0004-0000-0200-000005000000}"/>
    <hyperlink ref="O7" location="'确定审计范围'!sh_Home" display="+" xr:uid="{00000000-0004-0000-0200-000006000000}"/>
    <hyperlink ref="O6" location="'确定审计范围'!sh_Home" display="+" xr:uid="{00000000-0004-0000-0200-000007000000}"/>
    <hyperlink ref="B17" location="'确定审计范围'!sh_Home" display="+" xr:uid="{00000000-0004-0000-0200-000008000000}"/>
    <hyperlink ref="B18" location="'确定审计范围'!sh_Home" display="+" xr:uid="{00000000-0004-0000-0200-000009000000}"/>
    <hyperlink ref="B19" location="'确定审计范围'!sh_Home" display="+" xr:uid="{00000000-0004-0000-0200-00000A000000}"/>
    <hyperlink ref="B20" location="'确定审计范围'!sh_Home" display="+" xr:uid="{00000000-0004-0000-0200-00000B000000}"/>
    <hyperlink ref="B21" location="'确定审计范围'!sh_Home" display="+" xr:uid="{00000000-0004-0000-0200-00000C000000}"/>
    <hyperlink ref="B22" location="'确定审计范围'!sh_Home" display="+" xr:uid="{00000000-0004-0000-0200-00000D000000}"/>
    <hyperlink ref="B23" location="'确定审计范围'!sh_Home" display="+" xr:uid="{00000000-0004-0000-0200-00000E000000}"/>
    <hyperlink ref="B24" location="'确定审计范围'!sh_Home" display="+" xr:uid="{00000000-0004-0000-0200-00000F000000}"/>
    <hyperlink ref="A17" location="'确定审计范围'!sh_Home" display="+" xr:uid="{00000000-0004-0000-0200-000010000000}"/>
    <hyperlink ref="A18" location="'确定审计范围'!sh_Home" display="+" xr:uid="{00000000-0004-0000-0200-000011000000}"/>
    <hyperlink ref="A19" location="'确定审计范围'!sh_Home" display="+" xr:uid="{00000000-0004-0000-0200-000012000000}"/>
    <hyperlink ref="A20" location="'确定审计范围'!sh_Home" display="+" xr:uid="{00000000-0004-0000-0200-000013000000}"/>
    <hyperlink ref="A21" location="'确定审计范围'!sh_Home" display="+" xr:uid="{00000000-0004-0000-0200-000014000000}"/>
    <hyperlink ref="A22" location="'确定审计范围'!sh_Home" display="+" xr:uid="{00000000-0004-0000-0200-000015000000}"/>
    <hyperlink ref="A23" location="'确定审计范围'!sh_Home" display="+" xr:uid="{00000000-0004-0000-0200-000016000000}"/>
    <hyperlink ref="A24" location="'确定审计范围'!sh_Home" display="+" xr:uid="{00000000-0004-0000-0200-000017000000}"/>
    <hyperlink ref="B28" location="'确定审计范围'!sh_Home" display="+" xr:uid="{00000000-0004-0000-0200-000018000000}"/>
    <hyperlink ref="B29" location="'确定审计范围'!sh_Home" display="+" xr:uid="{00000000-0004-0000-0200-000019000000}"/>
    <hyperlink ref="B30" location="'确定审计范围'!sh_Home" display="+" xr:uid="{00000000-0004-0000-0200-00001A000000}"/>
    <hyperlink ref="B31" location="'确定审计范围'!sh_Home" display="+" xr:uid="{00000000-0004-0000-0200-00001B000000}"/>
    <hyperlink ref="B32" location="'确定审计范围'!sh_Home" display="+" xr:uid="{00000000-0004-0000-0200-00001C000000}"/>
    <hyperlink ref="B33" location="'确定审计范围'!sh_Home" display="+" xr:uid="{00000000-0004-0000-0200-00001D000000}"/>
    <hyperlink ref="B34" location="'确定审计范围'!sh_Home" display="+" xr:uid="{00000000-0004-0000-0200-00001E000000}"/>
    <hyperlink ref="B36" location="'确定审计范围'!sh_Home" display="+" xr:uid="{00000000-0004-0000-0200-00001F000000}"/>
    <hyperlink ref="B37" location="'确定审计范围'!sh_Home" display="+" xr:uid="{00000000-0004-0000-0200-000020000000}"/>
    <hyperlink ref="B38" location="'确定审计范围'!sh_Home" display="+" xr:uid="{00000000-0004-0000-0200-000021000000}"/>
    <hyperlink ref="B39" location="'确定审计范围'!sh_Home" display="+" xr:uid="{00000000-0004-0000-0200-000022000000}"/>
    <hyperlink ref="A28" location="'确定审计范围'!sh_Home" display="+" xr:uid="{00000000-0004-0000-0200-000023000000}"/>
    <hyperlink ref="A29" location="'确定审计范围'!sh_Home" display="+" xr:uid="{00000000-0004-0000-0200-000024000000}"/>
    <hyperlink ref="A30" location="'确定审计范围'!sh_Home" display="+" xr:uid="{00000000-0004-0000-0200-000025000000}"/>
    <hyperlink ref="A31" location="'确定审计范围'!sh_Home" display="+" xr:uid="{00000000-0004-0000-0200-000026000000}"/>
    <hyperlink ref="A32" location="'确定审计范围'!sh_Home" display="+" xr:uid="{00000000-0004-0000-0200-000027000000}"/>
    <hyperlink ref="A33" location="'确定审计范围'!sh_Home" display="+" xr:uid="{00000000-0004-0000-0200-000028000000}"/>
    <hyperlink ref="A34" location="'确定审计范围'!sh_Home" display="+" xr:uid="{00000000-0004-0000-0200-000029000000}"/>
    <hyperlink ref="A36" location="'确定审计范围'!sh_Home" display="+" xr:uid="{00000000-0004-0000-0200-00002A000000}"/>
    <hyperlink ref="A37" location="'确定审计范围'!sh_Home" display="+" xr:uid="{00000000-0004-0000-0200-00002B000000}"/>
    <hyperlink ref="A38" location="'确定审计范围'!sh_Home" display="+" xr:uid="{00000000-0004-0000-0200-00002C000000}"/>
    <hyperlink ref="A39" location="'确定审计范围'!sh_Home" display="+" xr:uid="{00000000-0004-0000-0200-00002D000000}"/>
    <hyperlink ref="B133" location="'确定审计范围'!sh_Home" display="+" xr:uid="{00000000-0004-0000-0200-00002E000000}"/>
    <hyperlink ref="B134" location="'确定审计范围'!sh_Home" display="+" xr:uid="{00000000-0004-0000-0200-00002F000000}"/>
    <hyperlink ref="B137" location="'确定审计范围'!sh_Home" display="+" xr:uid="{00000000-0004-0000-0200-000030000000}"/>
    <hyperlink ref="B138" location="'确定审计范围'!sh_Home" display="+" xr:uid="{00000000-0004-0000-0200-000031000000}"/>
    <hyperlink ref="A133" location="'确定审计范围'!sh_Home" display="+" xr:uid="{00000000-0004-0000-0200-000032000000}"/>
    <hyperlink ref="A134" location="'确定审计范围'!sh_Home" display="+" xr:uid="{00000000-0004-0000-0200-000033000000}"/>
    <hyperlink ref="A137" location="'确定审计范围'!sh_Home" display="+" xr:uid="{00000000-0004-0000-0200-000034000000}"/>
    <hyperlink ref="A138" location="'确定审计范围'!sh_Home" display="+" xr:uid="{00000000-0004-0000-0200-000035000000}"/>
    <hyperlink ref="B140" location="'确定审计范围'!sh_Home" display="+" xr:uid="{00000000-0004-0000-0200-000036000000}"/>
    <hyperlink ref="A140" location="'确定审计范围'!sh_Home" display="+" xr:uid="{00000000-0004-0000-0200-000037000000}"/>
    <hyperlink ref="B26" location="'确定审计范围'!sh_Home" display="+" xr:uid="{00000000-0004-0000-0200-000038000000}"/>
    <hyperlink ref="A26" location="'确定审计范围'!sh_Home" display="+" xr:uid="{00000000-0004-0000-0200-000039000000}"/>
    <hyperlink ref="B27" location="'确定审计范围'!sh_Home" display="+" xr:uid="{00000000-0004-0000-0200-00003A000000}"/>
    <hyperlink ref="A27" location="'确定审计范围'!sh_Home" display="+" xr:uid="{00000000-0004-0000-0200-00003B000000}"/>
    <hyperlink ref="B41" location="'确定审计范围'!sh_Home" display="+" xr:uid="{00000000-0004-0000-0200-00003C000000}"/>
    <hyperlink ref="A41" location="'确定审计范围'!sh_Home" display="+" xr:uid="{00000000-0004-0000-0200-00003D000000}"/>
    <hyperlink ref="B42" location="'确定审计范围'!sh_Home" display="+" xr:uid="{00000000-0004-0000-0200-00003E000000}"/>
    <hyperlink ref="B43" location="'确定审计范围'!sh_Home" display="+" xr:uid="{00000000-0004-0000-0200-00003F000000}"/>
    <hyperlink ref="B44" location="'确定审计范围'!sh_Home" display="+" xr:uid="{00000000-0004-0000-0200-000040000000}"/>
    <hyperlink ref="B45" location="'确定审计范围'!sh_Home" display="+" xr:uid="{00000000-0004-0000-0200-000041000000}"/>
    <hyperlink ref="B46" location="'确定审计范围'!sh_Home" display="+" xr:uid="{00000000-0004-0000-0200-000042000000}"/>
    <hyperlink ref="B47" location="'确定审计范围'!sh_Home" display="+" xr:uid="{00000000-0004-0000-0200-000043000000}"/>
    <hyperlink ref="B48" location="'确定审计范围'!sh_Home" display="+" xr:uid="{00000000-0004-0000-0200-000044000000}"/>
    <hyperlink ref="B49" location="'确定审计范围'!sh_Home" display="+" xr:uid="{00000000-0004-0000-0200-000045000000}"/>
    <hyperlink ref="B50" location="'确定审计范围'!sh_Home" display="+" xr:uid="{00000000-0004-0000-0200-000046000000}"/>
    <hyperlink ref="B51" location="'确定审计范围'!sh_Home" display="+" xr:uid="{00000000-0004-0000-0200-000047000000}"/>
    <hyperlink ref="B52" location="'确定审计范围'!sh_Home" display="+" xr:uid="{00000000-0004-0000-0200-000048000000}"/>
    <hyperlink ref="B53" location="'确定审计范围'!sh_Home" display="+" xr:uid="{00000000-0004-0000-0200-000049000000}"/>
    <hyperlink ref="B54" location="'确定审计范围'!sh_Home" display="+" xr:uid="{00000000-0004-0000-0200-00004A000000}"/>
    <hyperlink ref="B55" location="'确定审计范围'!sh_Home" display="+" xr:uid="{00000000-0004-0000-0200-00004B000000}"/>
    <hyperlink ref="A42" location="'确定审计范围'!sh_Home" display="+" xr:uid="{00000000-0004-0000-0200-00004C000000}"/>
    <hyperlink ref="A43" location="'确定审计范围'!sh_Home" display="+" xr:uid="{00000000-0004-0000-0200-00004D000000}"/>
    <hyperlink ref="A44" location="'确定审计范围'!sh_Home" display="+" xr:uid="{00000000-0004-0000-0200-00004E000000}"/>
    <hyperlink ref="A45" location="'确定审计范围'!sh_Home" display="+" xr:uid="{00000000-0004-0000-0200-00004F000000}"/>
    <hyperlink ref="A46" location="'确定审计范围'!sh_Home" display="+" xr:uid="{00000000-0004-0000-0200-000050000000}"/>
    <hyperlink ref="A47" location="'确定审计范围'!sh_Home" display="+" xr:uid="{00000000-0004-0000-0200-000051000000}"/>
    <hyperlink ref="A48" location="'确定审计范围'!sh_Home" display="+" xr:uid="{00000000-0004-0000-0200-000052000000}"/>
    <hyperlink ref="A49" location="'确定审计范围'!sh_Home" display="+" xr:uid="{00000000-0004-0000-0200-000053000000}"/>
    <hyperlink ref="A50" location="'确定审计范围'!sh_Home" display="+" xr:uid="{00000000-0004-0000-0200-000054000000}"/>
    <hyperlink ref="A51" location="'确定审计范围'!sh_Home" display="+" xr:uid="{00000000-0004-0000-0200-000055000000}"/>
    <hyperlink ref="A52" location="'确定审计范围'!sh_Home" display="+" xr:uid="{00000000-0004-0000-0200-000056000000}"/>
    <hyperlink ref="A53" location="'确定审计范围'!sh_Home" display="+" xr:uid="{00000000-0004-0000-0200-000057000000}"/>
    <hyperlink ref="A54" location="'确定审计范围'!sh_Home" display="+" xr:uid="{00000000-0004-0000-0200-000058000000}"/>
    <hyperlink ref="A55" location="'确定审计范围'!sh_Home" display="+" xr:uid="{00000000-0004-0000-0200-000059000000}"/>
    <hyperlink ref="B57" location="'确定审计范围'!sh_Home" display="+" xr:uid="{00000000-0004-0000-0200-00005A000000}"/>
    <hyperlink ref="B58" location="'确定审计范围'!sh_Home" display="+" xr:uid="{00000000-0004-0000-0200-00005B000000}"/>
    <hyperlink ref="B59" location="'确定审计范围'!sh_Home" display="+" xr:uid="{00000000-0004-0000-0200-00005C000000}"/>
    <hyperlink ref="B60" location="'确定审计范围'!sh_Home" display="+" xr:uid="{00000000-0004-0000-0200-00005D000000}"/>
    <hyperlink ref="B61" location="'确定审计范围'!sh_Home" display="+" xr:uid="{00000000-0004-0000-0200-00005E000000}"/>
    <hyperlink ref="B62" location="'确定审计范围'!sh_Home" display="+" xr:uid="{00000000-0004-0000-0200-00005F000000}"/>
    <hyperlink ref="B63" location="'确定审计范围'!sh_Home" display="+" xr:uid="{00000000-0004-0000-0200-000060000000}"/>
    <hyperlink ref="B64" location="'确定审计范围'!sh_Home" display="+" xr:uid="{00000000-0004-0000-0200-000061000000}"/>
    <hyperlink ref="B66" location="'确定审计范围'!sh_Home" display="+" xr:uid="{00000000-0004-0000-0200-000062000000}"/>
    <hyperlink ref="B67" location="'确定审计范围'!sh_Home" display="+" xr:uid="{00000000-0004-0000-0200-000063000000}"/>
    <hyperlink ref="A57" location="'确定审计范围'!sh_Home" display="+" xr:uid="{00000000-0004-0000-0200-000064000000}"/>
    <hyperlink ref="A58" location="'确定审计范围'!sh_Home" display="+" xr:uid="{00000000-0004-0000-0200-000065000000}"/>
    <hyperlink ref="A59" location="'确定审计范围'!sh_Home" display="+" xr:uid="{00000000-0004-0000-0200-000066000000}"/>
    <hyperlink ref="A60" location="'确定审计范围'!sh_Home" display="+" xr:uid="{00000000-0004-0000-0200-000067000000}"/>
    <hyperlink ref="A61" location="'确定审计范围'!sh_Home" display="+" xr:uid="{00000000-0004-0000-0200-000068000000}"/>
    <hyperlink ref="A62" location="'确定审计范围'!sh_Home" display="+" xr:uid="{00000000-0004-0000-0200-000069000000}"/>
    <hyperlink ref="A63" location="'确定审计范围'!sh_Home" display="+" xr:uid="{00000000-0004-0000-0200-00006A000000}"/>
    <hyperlink ref="A64" location="'确定审计范围'!sh_Home" display="+" xr:uid="{00000000-0004-0000-0200-00006B000000}"/>
    <hyperlink ref="A66" location="'确定审计范围'!sh_Home" display="+" xr:uid="{00000000-0004-0000-0200-00006C000000}"/>
    <hyperlink ref="A67" location="'确定审计范围'!sh_Home" display="+" xr:uid="{00000000-0004-0000-0200-00006D000000}"/>
    <hyperlink ref="B69" location="'确定审计范围'!sh_Home" display="+" xr:uid="{00000000-0004-0000-0200-00006E000000}"/>
    <hyperlink ref="B70" location="'确定审计范围'!sh_Home" display="+" xr:uid="{00000000-0004-0000-0200-00006F000000}"/>
    <hyperlink ref="B71" location="'确定审计范围'!sh_Home" display="+" xr:uid="{00000000-0004-0000-0200-000070000000}"/>
    <hyperlink ref="B72" location="'确定审计范围'!sh_Home" display="+" xr:uid="{00000000-0004-0000-0200-000071000000}"/>
    <hyperlink ref="B73" location="'确定审计范围'!sh_Home" display="+" xr:uid="{00000000-0004-0000-0200-000072000000}"/>
    <hyperlink ref="B74" location="'确定审计范围'!sh_Home" display="+" xr:uid="{00000000-0004-0000-0200-000073000000}"/>
    <hyperlink ref="B75" location="'确定审计范围'!sh_Home" display="+" xr:uid="{00000000-0004-0000-0200-000074000000}"/>
    <hyperlink ref="B76" location="'确定审计范围'!sh_Home" display="+" xr:uid="{00000000-0004-0000-0200-000075000000}"/>
    <hyperlink ref="B77" location="'确定审计范围'!sh_Home" display="+" xr:uid="{00000000-0004-0000-0200-000076000000}"/>
    <hyperlink ref="A69" location="'确定审计范围'!sh_Home" display="+" xr:uid="{00000000-0004-0000-0200-000077000000}"/>
    <hyperlink ref="A70" location="'确定审计范围'!sh_Home" display="+" xr:uid="{00000000-0004-0000-0200-000078000000}"/>
    <hyperlink ref="A71" location="'确定审计范围'!sh_Home" display="+" xr:uid="{00000000-0004-0000-0200-000079000000}"/>
    <hyperlink ref="A72" location="'确定审计范围'!sh_Home" display="+" xr:uid="{00000000-0004-0000-0200-00007A000000}"/>
    <hyperlink ref="A73" location="'确定审计范围'!sh_Home" display="+" xr:uid="{00000000-0004-0000-0200-00007B000000}"/>
    <hyperlink ref="A74" location="'确定审计范围'!sh_Home" display="+" xr:uid="{00000000-0004-0000-0200-00007C000000}"/>
    <hyperlink ref="A75" location="'确定审计范围'!sh_Home" display="+" xr:uid="{00000000-0004-0000-0200-00007D000000}"/>
    <hyperlink ref="A76" location="'确定审计范围'!sh_Home" display="+" xr:uid="{00000000-0004-0000-0200-00007E000000}"/>
    <hyperlink ref="A77" location="'确定审计范围'!sh_Home" display="+" xr:uid="{00000000-0004-0000-0200-00007F000000}"/>
    <hyperlink ref="B79" location="'确定审计范围'!sh_Home" display="+" xr:uid="{00000000-0004-0000-0200-000080000000}"/>
    <hyperlink ref="B80" location="'确定审计范围'!sh_Home" display="+" xr:uid="{00000000-0004-0000-0200-000081000000}"/>
    <hyperlink ref="B81" location="'确定审计范围'!sh_Home" display="+" xr:uid="{00000000-0004-0000-0200-000082000000}"/>
    <hyperlink ref="A79" location="'确定审计范围'!sh_Home" display="+" xr:uid="{00000000-0004-0000-0200-000083000000}"/>
    <hyperlink ref="A80" location="'确定审计范围'!sh_Home" display="+" xr:uid="{00000000-0004-0000-0200-000084000000}"/>
    <hyperlink ref="A81" location="'确定审计范围'!sh_Home" display="+" xr:uid="{00000000-0004-0000-0200-000085000000}"/>
    <hyperlink ref="B83" location="'确定审计范围'!sh_Home" display="+" xr:uid="{00000000-0004-0000-0200-000086000000}"/>
    <hyperlink ref="B84" location="'确定审计范围'!sh_Home" display="+" xr:uid="{00000000-0004-0000-0200-000087000000}"/>
    <hyperlink ref="B85" location="'确定审计范围'!sh_Home" display="+" xr:uid="{00000000-0004-0000-0200-000088000000}"/>
    <hyperlink ref="B86" location="'确定审计范围'!sh_Home" display="+" xr:uid="{00000000-0004-0000-0200-000089000000}"/>
    <hyperlink ref="B87" location="'确定审计范围'!sh_Home" display="+" xr:uid="{00000000-0004-0000-0200-00008A000000}"/>
    <hyperlink ref="B88" location="'确定审计范围'!sh_Home" display="+" xr:uid="{00000000-0004-0000-0200-00008B000000}"/>
    <hyperlink ref="B89" location="'确定审计范围'!sh_Home" display="+" xr:uid="{00000000-0004-0000-0200-00008C000000}"/>
    <hyperlink ref="B90" location="'确定审计范围'!sh_Home" display="+" xr:uid="{00000000-0004-0000-0200-00008D000000}"/>
    <hyperlink ref="B91" location="'确定审计范围'!sh_Home" display="+" xr:uid="{00000000-0004-0000-0200-00008E000000}"/>
    <hyperlink ref="A83" location="'确定审计范围'!sh_Home" display="+" xr:uid="{00000000-0004-0000-0200-00008F000000}"/>
    <hyperlink ref="A84" location="'确定审计范围'!sh_Home" display="+" xr:uid="{00000000-0004-0000-0200-000090000000}"/>
    <hyperlink ref="A85" location="'确定审计范围'!sh_Home" display="+" xr:uid="{00000000-0004-0000-0200-000091000000}"/>
    <hyperlink ref="A86" location="'确定审计范围'!sh_Home" display="+" xr:uid="{00000000-0004-0000-0200-000092000000}"/>
    <hyperlink ref="A87" location="'确定审计范围'!sh_Home" display="+" xr:uid="{00000000-0004-0000-0200-000093000000}"/>
    <hyperlink ref="A88" location="'确定审计范围'!sh_Home" display="+" xr:uid="{00000000-0004-0000-0200-000094000000}"/>
    <hyperlink ref="A89" location="'确定审计范围'!sh_Home" display="+" xr:uid="{00000000-0004-0000-0200-000095000000}"/>
    <hyperlink ref="A90" location="'确定审计范围'!sh_Home" display="+" xr:uid="{00000000-0004-0000-0200-000096000000}"/>
    <hyperlink ref="A91" location="'确定审计范围'!sh_Home" display="+" xr:uid="{00000000-0004-0000-0200-000097000000}"/>
    <hyperlink ref="B93" location="'确定审计范围'!sh_Home" display="+" xr:uid="{00000000-0004-0000-0200-000098000000}"/>
    <hyperlink ref="B94" location="'确定审计范围'!sh_Home" display="+" xr:uid="{00000000-0004-0000-0200-000099000000}"/>
    <hyperlink ref="B95" location="'确定审计范围'!sh_Home" display="+" xr:uid="{00000000-0004-0000-0200-00009A000000}"/>
    <hyperlink ref="A93" location="'确定审计范围'!sh_Home" display="+" xr:uid="{00000000-0004-0000-0200-00009B000000}"/>
    <hyperlink ref="A94" location="'确定审计范围'!sh_Home" display="+" xr:uid="{00000000-0004-0000-0200-00009C000000}"/>
    <hyperlink ref="A95" location="'确定审计范围'!sh_Home" display="+" xr:uid="{00000000-0004-0000-0200-00009D000000}"/>
    <hyperlink ref="B97" location="'确定审计范围'!sh_Home" display="+" xr:uid="{00000000-0004-0000-0200-00009E000000}"/>
    <hyperlink ref="B98" location="'确定审计范围'!sh_Home" display="+" xr:uid="{00000000-0004-0000-0200-00009F000000}"/>
    <hyperlink ref="B99" location="'确定审计范围'!sh_Home" display="+" xr:uid="{00000000-0004-0000-0200-0000A0000000}"/>
    <hyperlink ref="B100" location="'确定审计范围'!sh_Home" display="+" xr:uid="{00000000-0004-0000-0200-0000A1000000}"/>
    <hyperlink ref="B101" location="'确定审计范围'!sh_Home" display="+" xr:uid="{00000000-0004-0000-0200-0000A2000000}"/>
    <hyperlink ref="B102" location="'确定审计范围'!sh_Home" display="+" xr:uid="{00000000-0004-0000-0200-0000A3000000}"/>
    <hyperlink ref="B103" location="'确定审计范围'!sh_Home" display="+" xr:uid="{00000000-0004-0000-0200-0000A4000000}"/>
    <hyperlink ref="B104" location="'确定审计范围'!sh_Home" display="+" xr:uid="{00000000-0004-0000-0200-0000A5000000}"/>
    <hyperlink ref="B105" location="'确定审计范围'!sh_Home" display="+" xr:uid="{00000000-0004-0000-0200-0000A6000000}"/>
    <hyperlink ref="A97" location="'确定审计范围'!sh_Home" display="+" xr:uid="{00000000-0004-0000-0200-0000A7000000}"/>
    <hyperlink ref="A98" location="'确定审计范围'!sh_Home" display="+" xr:uid="{00000000-0004-0000-0200-0000A8000000}"/>
    <hyperlink ref="A99" location="'确定审计范围'!sh_Home" display="+" xr:uid="{00000000-0004-0000-0200-0000A9000000}"/>
    <hyperlink ref="A100" location="'确定审计范围'!sh_Home" display="+" xr:uid="{00000000-0004-0000-0200-0000AA000000}"/>
    <hyperlink ref="A101" location="'确定审计范围'!sh_Home" display="+" xr:uid="{00000000-0004-0000-0200-0000AB000000}"/>
    <hyperlink ref="A102" location="'确定审计范围'!sh_Home" display="+" xr:uid="{00000000-0004-0000-0200-0000AC000000}"/>
    <hyperlink ref="A103" location="'确定审计范围'!sh_Home" display="+" xr:uid="{00000000-0004-0000-0200-0000AD000000}"/>
    <hyperlink ref="A104" location="'确定审计范围'!sh_Home" display="+" xr:uid="{00000000-0004-0000-0200-0000AE000000}"/>
    <hyperlink ref="A105" location="'确定审计范围'!sh_Home" display="+" xr:uid="{00000000-0004-0000-0200-0000AF000000}"/>
    <hyperlink ref="B107" location="'确定审计范围'!sh_Home" display="+" xr:uid="{00000000-0004-0000-0200-0000B0000000}"/>
    <hyperlink ref="B108" location="'确定审计范围'!sh_Home" display="+" xr:uid="{00000000-0004-0000-0200-0000B1000000}"/>
    <hyperlink ref="B109" location="'确定审计范围'!sh_Home" display="+" xr:uid="{00000000-0004-0000-0200-0000B2000000}"/>
    <hyperlink ref="B110" location="'确定审计范围'!sh_Home" display="+" xr:uid="{00000000-0004-0000-0200-0000B3000000}"/>
    <hyperlink ref="A107" location="'确定审计范围'!sh_Home" display="+" xr:uid="{00000000-0004-0000-0200-0000B4000000}"/>
    <hyperlink ref="A108" location="'确定审计范围'!sh_Home" display="+" xr:uid="{00000000-0004-0000-0200-0000B5000000}"/>
    <hyperlink ref="A109" location="'确定审计范围'!sh_Home" display="+" xr:uid="{00000000-0004-0000-0200-0000B6000000}"/>
    <hyperlink ref="A110" location="'确定审计范围'!sh_Home" display="+" xr:uid="{00000000-0004-0000-0200-0000B7000000}"/>
    <hyperlink ref="B112" location="'确定审计范围'!sh_Home" display="+" xr:uid="{00000000-0004-0000-0200-0000B8000000}"/>
    <hyperlink ref="B113" location="'确定审计范围'!sh_Home" display="+" xr:uid="{00000000-0004-0000-0200-0000B9000000}"/>
    <hyperlink ref="B114" location="'确定审计范围'!sh_Home" display="+" xr:uid="{00000000-0004-0000-0200-0000BA000000}"/>
    <hyperlink ref="B115" location="'确定审计范围'!sh_Home" display="+" xr:uid="{00000000-0004-0000-0200-0000BB000000}"/>
    <hyperlink ref="A112" location="'确定审计范围'!sh_Home" display="+" xr:uid="{00000000-0004-0000-0200-0000BC000000}"/>
    <hyperlink ref="A113" location="'确定审计范围'!sh_Home" display="+" xr:uid="{00000000-0004-0000-0200-0000BD000000}"/>
    <hyperlink ref="A114" location="'确定审计范围'!sh_Home" display="+" xr:uid="{00000000-0004-0000-0200-0000BE000000}"/>
    <hyperlink ref="A115" location="'确定审计范围'!sh_Home" display="+" xr:uid="{00000000-0004-0000-0200-0000BF000000}"/>
    <hyperlink ref="B117" location="'确定审计范围'!sh_Home" display="+" xr:uid="{00000000-0004-0000-0200-0000C0000000}"/>
    <hyperlink ref="B118" location="'确定审计范围'!sh_Home" display="+" xr:uid="{00000000-0004-0000-0200-0000C1000000}"/>
    <hyperlink ref="B119" location="'确定审计范围'!sh_Home" display="+" xr:uid="{00000000-0004-0000-0200-0000C2000000}"/>
    <hyperlink ref="A117" location="'确定审计范围'!sh_Home" display="+" xr:uid="{00000000-0004-0000-0200-0000C3000000}"/>
    <hyperlink ref="A118" location="'确定审计范围'!sh_Home" display="+" xr:uid="{00000000-0004-0000-0200-0000C4000000}"/>
    <hyperlink ref="A119" location="'确定审计范围'!sh_Home" display="+" xr:uid="{00000000-0004-0000-0200-0000C5000000}"/>
    <hyperlink ref="B121" location="'确定审计范围'!sh_Home" display="+" xr:uid="{00000000-0004-0000-0200-0000C6000000}"/>
    <hyperlink ref="B122" location="'确定审计范围'!sh_Home" display="+" xr:uid="{00000000-0004-0000-0200-0000C7000000}"/>
    <hyperlink ref="B123" location="'确定审计范围'!sh_Home" display="+" xr:uid="{00000000-0004-0000-0200-0000C8000000}"/>
    <hyperlink ref="A121" location="'确定审计范围'!sh_Home" display="+" xr:uid="{00000000-0004-0000-0200-0000C9000000}"/>
    <hyperlink ref="A122" location="'确定审计范围'!sh_Home" display="+" xr:uid="{00000000-0004-0000-0200-0000CA000000}"/>
    <hyperlink ref="A123" location="'确定审计范围'!sh_Home" display="+" xr:uid="{00000000-0004-0000-0200-0000CB000000}"/>
    <hyperlink ref="B125" location="'确定审计范围'!sh_Home" display="+" xr:uid="{00000000-0004-0000-0200-0000CC000000}"/>
    <hyperlink ref="B126" location="'确定审计范围'!sh_Home" display="+" xr:uid="{00000000-0004-0000-0200-0000CD000000}"/>
    <hyperlink ref="B127" location="'确定审计范围'!sh_Home" display="+" xr:uid="{00000000-0004-0000-0200-0000CE000000}"/>
    <hyperlink ref="A125" location="'确定审计范围'!sh_Home" display="+" xr:uid="{00000000-0004-0000-0200-0000CF000000}"/>
    <hyperlink ref="A126" location="'确定审计范围'!sh_Home" display="+" xr:uid="{00000000-0004-0000-0200-0000D0000000}"/>
    <hyperlink ref="A127" location="'确定审计范围'!sh_Home" display="+" xr:uid="{00000000-0004-0000-0200-0000D1000000}"/>
    <hyperlink ref="B129" location="'确定审计范围'!sh_Home" display="+" xr:uid="{00000000-0004-0000-0200-0000D2000000}"/>
    <hyperlink ref="A129" location="'确定审计范围'!sh_Home" display="+" xr:uid="{00000000-0004-0000-0200-0000D3000000}"/>
    <hyperlink ref="G7" location="'确定审计范围'!sh_Home" display="+" xr:uid="{00000000-0004-0000-0200-0000D4000000}"/>
    <hyperlink ref="G6" location="'确定审计范围'!sh_Home" display="+" xr:uid="{00000000-0004-0000-0200-0000D5000000}"/>
    <hyperlink ref="E7" location="'确定审计范围'!sh_Home" display="+" xr:uid="{00000000-0004-0000-0200-0000D6000000}"/>
    <hyperlink ref="B35" location="'确定审计范围'!sh_Home" display="+" xr:uid="{00000000-0004-0000-0200-0000D7000000}"/>
    <hyperlink ref="A35" location="'确定审计范围'!sh_Home" display="+" xr:uid="{00000000-0004-0000-0200-0000D8000000}"/>
    <hyperlink ref="B65" location="'确定审计范围'!sh_Home" display="+" xr:uid="{00000000-0004-0000-0200-0000D9000000}"/>
    <hyperlink ref="A65" location="'确定审计范围'!sh_Home" display="+" xr:uid="{00000000-0004-0000-0200-0000DA000000}"/>
    <hyperlink ref="H7" location="'确定审计范围'!sh_Home" display="+" xr:uid="{00000000-0004-0000-0200-0000DB000000}"/>
    <hyperlink ref="H6" location="'确定审计范围'!sh_Home" display="+" xr:uid="{00000000-0004-0000-0200-0000DC000000}"/>
    <hyperlink ref="B135" location="'确定审计范围'!sh_Home" display="+" xr:uid="{00000000-0004-0000-0200-0000DD000000}"/>
    <hyperlink ref="A135" location="'确定审计范围'!sh_Home" display="+" xr:uid="{00000000-0004-0000-0200-0000DE000000}"/>
    <hyperlink ref="B136" location="'确定审计范围'!sh_Home" display="+" xr:uid="{00000000-0004-0000-0200-0000DF000000}"/>
    <hyperlink ref="A136" location="'确定审计范围'!sh_Home" display="+" xr:uid="{00000000-0004-0000-0200-0000E0000000}"/>
  </hyperlinks>
  <pageMargins left="0.7" right="0.7" top="0.75" bottom="0.75" header="0.3" footer="0.3"/>
  <pageSetup orientation="portrait" copies="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ing_Input">
    <pageSetUpPr autoPageBreaks="0"/>
  </sheetPr>
  <dimension ref="A1:AE21"/>
  <sheetViews>
    <sheetView showGridLines="0" workbookViewId="0">
      <pane xSplit="6" ySplit="11" topLeftCell="N12" activePane="bottomRight" state="frozen"/>
      <selection activeCell="B31" sqref="B31"/>
      <selection pane="topRight" activeCell="B31" sqref="B31"/>
      <selection pane="bottomLeft" activeCell="B31" sqref="B31"/>
      <selection pane="bottomRight" activeCell="Q16" sqref="Q16"/>
    </sheetView>
  </sheetViews>
  <sheetFormatPr defaultRowHeight="11.25" x14ac:dyDescent="0.2"/>
  <cols>
    <col min="1" max="1" width="3.83203125" customWidth="1"/>
    <col min="2" max="2" width="12.83203125" customWidth="1"/>
    <col min="3" max="4" width="30.83203125" customWidth="1"/>
    <col min="5" max="5" width="25.83203125" customWidth="1"/>
    <col min="7" max="7" width="25.83203125" customWidth="1"/>
    <col min="9" max="9" width="25.83203125" customWidth="1"/>
    <col min="11" max="11" width="25.83203125" customWidth="1"/>
    <col min="13" max="14" width="25.83203125" customWidth="1"/>
    <col min="15" max="15" width="12.83203125" customWidth="1"/>
    <col min="16" max="16" width="25.83203125" customWidth="1"/>
    <col min="17" max="18" width="45.83203125" customWidth="1"/>
    <col min="19" max="23" width="25.83203125" customWidth="1"/>
    <col min="24" max="24" width="80.83203125" customWidth="1"/>
    <col min="25" max="25" width="3.83203125" customWidth="1"/>
    <col min="26" max="26" width="25.83203125" hidden="1" customWidth="1"/>
    <col min="27" max="27" width="9.33203125" hidden="1" customWidth="1"/>
    <col min="28" max="28" width="9.33203125" customWidth="1"/>
    <col min="29" max="29" width="67.1640625" hidden="1" customWidth="1"/>
    <col min="30" max="30" width="8.1640625" hidden="1" customWidth="1"/>
    <col min="31" max="31" width="6" hidden="1" customWidth="1"/>
    <col min="32" max="32" width="6" customWidth="1"/>
  </cols>
  <sheetData>
    <row r="1" spans="1:31" x14ac:dyDescent="0.2">
      <c r="A1" s="48"/>
      <c r="AC1" t="str">
        <f>_sheetContentTranslation_A_135</f>
        <v>类型</v>
      </c>
      <c r="AD1" t="str">
        <f>_sheetContentTranslation_A_136</f>
        <v>地址</v>
      </c>
      <c r="AE1" t="str">
        <f>_sheetContentTranslation_A_137</f>
        <v>定时器</v>
      </c>
    </row>
    <row r="2" spans="1:31" ht="15.75" x14ac:dyDescent="0.25">
      <c r="A2" s="48"/>
      <c r="B2" s="1" t="str">
        <f>_sheetContentTranslation_A_138</f>
        <v>确定审计范围的输入值</v>
      </c>
    </row>
    <row r="3" spans="1:31" x14ac:dyDescent="0.2">
      <c r="A3" s="48"/>
    </row>
    <row r="4" spans="1:31" ht="15" customHeight="1" x14ac:dyDescent="0.2">
      <c r="A4" s="48"/>
      <c r="B4" s="173" t="str">
        <f>_sheetContentTranslation_A_33</f>
        <v>集团名称</v>
      </c>
      <c r="C4" s="173"/>
      <c r="D4" s="134" t="str">
        <f>IF(Data_Engagement_Name="","",Data_Engagement_Name)</f>
        <v/>
      </c>
    </row>
    <row r="5" spans="1:31" ht="15" customHeight="1" x14ac:dyDescent="0.2">
      <c r="A5" s="48"/>
      <c r="B5" s="173" t="str">
        <f>_sheetContentTranslation_A_34</f>
        <v>集团期间结束日期</v>
      </c>
      <c r="C5" s="173"/>
      <c r="D5" s="150" t="str">
        <f>IF(Data_Period_End="","",Data_Period_End)</f>
        <v/>
      </c>
    </row>
    <row r="6" spans="1:31" ht="15" customHeight="1" x14ac:dyDescent="0.2">
      <c r="A6" s="48"/>
      <c r="B6" s="174" t="str">
        <f>_sheetContentTranslation_A_139</f>
        <v>集团重要性</v>
      </c>
      <c r="C6" s="174"/>
      <c r="D6" s="133"/>
    </row>
    <row r="7" spans="1:31" ht="15" customHeight="1" x14ac:dyDescent="0.2">
      <c r="A7" s="48"/>
      <c r="B7" s="174" t="str">
        <f>_sheetContentTranslation_A_140</f>
        <v>集团实际执行的重要性</v>
      </c>
      <c r="C7" s="174"/>
      <c r="D7" s="133"/>
    </row>
    <row r="8" spans="1:31" x14ac:dyDescent="0.2">
      <c r="A8" s="48"/>
    </row>
    <row r="9" spans="1:31" ht="12.75" x14ac:dyDescent="0.2">
      <c r="A9" s="48"/>
      <c r="E9" s="175"/>
      <c r="F9" s="175"/>
      <c r="G9" s="182" t="str">
        <f>_sheetContentTranslation_A_36</f>
        <v>x</v>
      </c>
      <c r="H9" s="182"/>
      <c r="I9" s="182" t="str">
        <f>_sheetContentTranslation_A_36</f>
        <v>x</v>
      </c>
      <c r="J9" s="182"/>
      <c r="K9" s="182" t="str">
        <f>_sheetContentTranslation_A_36</f>
        <v>x</v>
      </c>
      <c r="L9" s="182"/>
      <c r="Z9" s="182" t="str">
        <f>_sheetContentTranslation_A_36</f>
        <v>x</v>
      </c>
      <c r="AA9" s="182"/>
    </row>
    <row r="10" spans="1:31" ht="12.75" x14ac:dyDescent="0.2">
      <c r="A10" s="48"/>
      <c r="D10" s="138" t="str">
        <f>_sheetContentTranslation_A_141</f>
        <v>+添加基准</v>
      </c>
      <c r="E10" s="179" t="str">
        <f>_sheetContentTranslation_A_142</f>
        <v>基准金额</v>
      </c>
      <c r="F10" s="180"/>
      <c r="G10" s="179" t="str">
        <f>_sheetContentTranslation_A_142</f>
        <v>基准金额</v>
      </c>
      <c r="H10" s="180"/>
      <c r="I10" s="179" t="str">
        <f>_sheetContentTranslation_A_142</f>
        <v>基准金额</v>
      </c>
      <c r="J10" s="180"/>
      <c r="K10" s="179" t="str">
        <f>_sheetContentTranslation_A_142</f>
        <v>基准金额</v>
      </c>
      <c r="L10" s="180"/>
      <c r="M10" s="179" t="str">
        <f>_sheetContentTranslation_A_143</f>
        <v>按权益法核算的被投资实体</v>
      </c>
      <c r="N10" s="180"/>
      <c r="O10" s="180"/>
      <c r="W10" s="135" t="str">
        <f>_sheetContentTranslation_A_144</f>
        <v>！</v>
      </c>
      <c r="X10" s="135" t="str">
        <f>_sheetContentTranslation_A_144</f>
        <v>！</v>
      </c>
      <c r="Z10" s="179" t="str">
        <f>_sheetContentTranslation_A_142</f>
        <v>基准金额</v>
      </c>
      <c r="AA10" s="180"/>
    </row>
    <row r="11" spans="1:31" ht="22.5" x14ac:dyDescent="0.2">
      <c r="A11" s="48"/>
      <c r="B11" s="149" t="str">
        <f>_sheetContentTranslation_A_145</f>
        <v>组成部分序号</v>
      </c>
      <c r="C11" s="149" t="str">
        <f>_sheetContentTranslation_A_42</f>
        <v>组成部分名称</v>
      </c>
      <c r="D11" s="149" t="str">
        <f>_sheetContentTranslation_A_43</f>
        <v>组成部分类型</v>
      </c>
      <c r="E11" s="181"/>
      <c r="F11" s="181"/>
      <c r="G11" s="181"/>
      <c r="H11" s="181"/>
      <c r="I11" s="181"/>
      <c r="J11" s="181"/>
      <c r="K11" s="181"/>
      <c r="L11" s="181"/>
      <c r="M11" s="130" t="str">
        <f>_sheetContentTranslation_A_146</f>
        <v>按权益法核算的被投资实体的金额（资产负债表）</v>
      </c>
      <c r="N11" s="130" t="str">
        <f>_sheetContentTranslation_A_147</f>
        <v>按权益法核算的被投资实体的金额（利润表）</v>
      </c>
      <c r="O11" s="130" t="str">
        <f>_sheetContentTranslation_A_148</f>
        <v>所有权百分比</v>
      </c>
      <c r="P11" s="149" t="str">
        <f>_sheetContentTranslation_A_149</f>
        <v>组成部分的重要程度</v>
      </c>
      <c r="Q11" s="149" t="str">
        <f>_sheetContentTranslation_A_150</f>
        <v>要执行的工作类型</v>
      </c>
      <c r="R11" s="149" t="str">
        <f>_sheetContentTranslation_A_151</f>
        <v>对非重要组成部分实施审计程序的目的</v>
      </c>
      <c r="S11" s="149" t="str">
        <f>_sheetContentTranslation_A_152</f>
        <v>组成部分重要性</v>
      </c>
      <c r="T11" s="149" t="str">
        <f>_sheetContentTranslation_A_153</f>
        <v>组成部分实际执行的重要性</v>
      </c>
      <c r="U11" s="149" t="str">
        <f>_sheetContentTranslation_A_154</f>
        <v>组成部分注册会计师事务所名称</v>
      </c>
      <c r="V11" s="149" t="str">
        <f>_sheetContentTranslation_A_155</f>
        <v>组成部分注册会计师类型</v>
      </c>
      <c r="W11" s="149" t="str">
        <f>_sheetContentTranslation_A_156</f>
        <v>由组成部分注册会计师执行法定审计？</v>
      </c>
      <c r="X11" s="149" t="str">
        <f>_sheetContentTranslation_A_157</f>
        <v>重大职业判断或其他意见（如有）</v>
      </c>
      <c r="Z11" s="181"/>
      <c r="AA11" s="181"/>
      <c r="AE11" s="69">
        <v>33</v>
      </c>
    </row>
    <row r="12" spans="1:31" ht="24.95" customHeight="1" x14ac:dyDescent="0.2">
      <c r="A12" s="48"/>
      <c r="B12" s="2">
        <v>1</v>
      </c>
      <c r="C12" s="4" t="str">
        <f>IFERROR(IF(INDEX(确定审计范围!$C$8:$L$10,MATCH(确定审计范围的输入值!C$11,确定审计范围!$C$8:$C$10,0),MATCH(确定审计范围的输入值!$B12,确定审计范围!$C$8:$L$8,0))="","",INDEX(确定审计范围!$C$8:$L$10,MATCH(确定审计范围的输入值!C$11,确定审计范围!$C$8:$C$10,0),MATCH(确定审计范围的输入值!$B12,确定审计范围!$C$8:$L$8,0))),"")</f>
        <v/>
      </c>
      <c r="D12" s="4" t="str">
        <f>IFERROR(IF(INDEX(确定审计范围!$C$8:$L$10,MATCH(确定审计范围的输入值!D$11,确定审计范围!$C$8:$C$10,0),MATCH(确定审计范围的输入值!$B12,确定审计范围!$C$8:$L$8,0))="","",INDEX(确定审计范围!$C$8:$L$10,MATCH(确定审计范围的输入值!D$11,确定审计范围!$C$8:$C$10,0),MATCH(确定审计范围的输入值!$B12,确定审计范围!$C$8:$L$8,0))),"")</f>
        <v/>
      </c>
      <c r="E12" s="5">
        <f ca="1">IFERROR(SUMIFS(OFFSET(确定审计范围!$C:$C,,MATCH(确定审计范围的输入值!$B12,确定审计范围!$C$8:$L$8,0)-1,,),确定审计范围!$C:$C,确定审计范围的输入值!E$11),"")</f>
        <v>0</v>
      </c>
      <c r="F12" s="113" t="str">
        <f ca="1">IFERROR(E12/E$21,"")</f>
        <v/>
      </c>
      <c r="G12" s="5">
        <f ca="1">IFERROR(SUMIFS(OFFSET(确定审计范围!$C:$C,,MATCH(确定审计范围的输入值!$B12,确定审计范围!$C$8:$L$8,0)-1,,),确定审计范围!$C:$C,确定审计范围的输入值!G$11),"")</f>
        <v>0</v>
      </c>
      <c r="H12" s="113" t="str">
        <f ca="1">IFERROR(G12/G$21,"")</f>
        <v/>
      </c>
      <c r="I12" s="5">
        <f ca="1">IFERROR(SUMIFS(OFFSET(确定审计范围!$C:$C,,MATCH(确定审计范围的输入值!$B12,确定审计范围!$C$8:$L$8,0)-1,,),确定审计范围!$C:$C,确定审计范围的输入值!I$11),"")</f>
        <v>0</v>
      </c>
      <c r="J12" s="113" t="str">
        <f ca="1">IFERROR(I12/I$21,"")</f>
        <v/>
      </c>
      <c r="K12" s="5">
        <f ca="1">IFERROR(SUMIFS(OFFSET(确定审计范围!$C:$C,,MATCH(确定审计范围的输入值!$B12,确定审计范围!$C$8:$L$8,0)-1,,),确定审计范围!$C:$C,确定审计范围的输入值!K$11),"")</f>
        <v>0</v>
      </c>
      <c r="L12" s="113" t="str">
        <f ca="1">IFERROR(K12/K$21,"")</f>
        <v/>
      </c>
      <c r="M12" s="5" t="str">
        <f t="shared" ref="M12:O16" si="0">_sheetContentTranslation_A_158</f>
        <v>不适用</v>
      </c>
      <c r="N12" s="5" t="str">
        <f t="shared" si="0"/>
        <v>不适用</v>
      </c>
      <c r="O12" s="114" t="str">
        <f t="shared" si="0"/>
        <v>不适用</v>
      </c>
      <c r="P12" s="33"/>
      <c r="Q12" s="33"/>
      <c r="R12" s="23" t="s">
        <v>405</v>
      </c>
      <c r="S12" s="140" t="s">
        <v>404</v>
      </c>
      <c r="T12" s="140" t="s">
        <v>404</v>
      </c>
      <c r="U12" s="33"/>
      <c r="V12" s="144"/>
      <c r="W12" s="139"/>
      <c r="X12" s="33"/>
      <c r="Y12" s="3" t="str">
        <f>_sheetContentTranslation_A_36</f>
        <v>x</v>
      </c>
      <c r="Z12" s="5">
        <f ca="1">IFERROR(SUMIFS(OFFSET(确定审计范围!$C:$C,,MATCH(确定审计范围的输入值!$B12,确定审计范围!$C$8:$L$8,0)-1,,),确定审计范围!$C:$C,确定审计范围的输入值!Z$11),"")</f>
        <v>0</v>
      </c>
      <c r="AA12" s="113" t="str">
        <f ca="1">IFERROR(Z12/Z$21,"")</f>
        <v/>
      </c>
      <c r="AD12" t="str">
        <f>_sheetContentTranslation_A_185&amp;AE12</f>
        <v>公司</v>
      </c>
    </row>
    <row r="13" spans="1:31" ht="24.95" customHeight="1" x14ac:dyDescent="0.2">
      <c r="A13" s="48"/>
      <c r="B13" s="2">
        <f t="shared" ref="B13:B16" si="1">B12+1</f>
        <v>2</v>
      </c>
      <c r="C13" s="4" t="str">
        <f>IFERROR(IF(INDEX(确定审计范围!$C$8:$L$10,MATCH(确定审计范围的输入值!C$11,确定审计范围!$C$8:$C$10,0),MATCH(确定审计范围的输入值!$B13,确定审计范围!$C$8:$L$8,0))="","",INDEX(确定审计范围!$C$8:$L$10,MATCH(确定审计范围的输入值!C$11,确定审计范围!$C$8:$C$10,0),MATCH(确定审计范围的输入值!$B13,确定审计范围!$C$8:$L$8,0))),"")</f>
        <v/>
      </c>
      <c r="D13" s="4" t="str">
        <f>IFERROR(IF(INDEX(确定审计范围!$C$8:$L$10,MATCH(确定审计范围的输入值!D$11,确定审计范围!$C$8:$C$10,0),MATCH(确定审计范围的输入值!$B13,确定审计范围!$C$8:$L$8,0))="","",INDEX(确定审计范围!$C$8:$L$10,MATCH(确定审计范围的输入值!D$11,确定审计范围!$C$8:$C$10,0),MATCH(确定审计范围的输入值!$B13,确定审计范围!$C$8:$L$8,0))),"")</f>
        <v/>
      </c>
      <c r="E13" s="5">
        <f ca="1">IFERROR(SUMIFS(OFFSET(确定审计范围!$C:$C,,MATCH(确定审计范围的输入值!$B13,确定审计范围!$C$8:$L$8,0)-1,,),确定审计范围!$C:$C,确定审计范围的输入值!E$11),"")</f>
        <v>0</v>
      </c>
      <c r="F13" s="113" t="str">
        <f ca="1">IFERROR(E13/E$21,"")</f>
        <v/>
      </c>
      <c r="G13" s="5">
        <f ca="1">IFERROR(SUMIFS(OFFSET(确定审计范围!$C:$C,,MATCH(确定审计范围的输入值!$B13,确定审计范围!$C$8:$L$8,0)-1,,),确定审计范围!$C:$C,确定审计范围的输入值!G$11),"")</f>
        <v>0</v>
      </c>
      <c r="H13" s="113" t="str">
        <f ca="1">IFERROR(G13/G$21,"")</f>
        <v/>
      </c>
      <c r="I13" s="5">
        <f ca="1">IFERROR(SUMIFS(OFFSET(确定审计范围!$C:$C,,MATCH(确定审计范围的输入值!$B13,确定审计范围!$C$8:$L$8,0)-1,,),确定审计范围!$C:$C,确定审计范围的输入值!I$11),"")</f>
        <v>0</v>
      </c>
      <c r="J13" s="113" t="str">
        <f ca="1">IFERROR(I13/I$21,"")</f>
        <v/>
      </c>
      <c r="K13" s="5">
        <f ca="1">IFERROR(SUMIFS(OFFSET(确定审计范围!$C:$C,,MATCH(确定审计范围的输入值!$B13,确定审计范围!$C$8:$L$8,0)-1,,),确定审计范围!$C:$C,确定审计范围的输入值!K$11),"")</f>
        <v>0</v>
      </c>
      <c r="L13" s="113" t="str">
        <f ca="1">IFERROR(K13/K$21,"")</f>
        <v/>
      </c>
      <c r="M13" s="5" t="str">
        <f t="shared" si="0"/>
        <v>不适用</v>
      </c>
      <c r="N13" s="5" t="str">
        <f t="shared" si="0"/>
        <v>不适用</v>
      </c>
      <c r="O13" s="114" t="str">
        <f t="shared" si="0"/>
        <v>不适用</v>
      </c>
      <c r="P13" s="33"/>
      <c r="Q13" s="33"/>
      <c r="R13" s="23" t="str">
        <f>_sheetContentTranslation_A_159</f>
        <v>不适用 - 重要组成部分</v>
      </c>
      <c r="S13" s="140" t="str">
        <f t="shared" ref="S13:T16" si="2">_sheetContentTranslation_A_158</f>
        <v>不适用</v>
      </c>
      <c r="T13" s="140" t="str">
        <f t="shared" si="2"/>
        <v>不适用</v>
      </c>
      <c r="U13" s="33"/>
      <c r="V13" s="144"/>
      <c r="W13" s="139"/>
      <c r="X13" s="33"/>
      <c r="Y13" s="3" t="str">
        <f>_sheetContentTranslation_A_36</f>
        <v>x</v>
      </c>
      <c r="Z13" s="5">
        <f ca="1">IFERROR(SUMIFS(OFFSET(确定审计范围!$C:$C,,MATCH(确定审计范围的输入值!$B13,确定审计范围!$C$8:$L$8,0)-1,,),确定审计范围!$C:$C,确定审计范围的输入值!Z$11),"")</f>
        <v>0</v>
      </c>
      <c r="AA13" s="113" t="str">
        <f ca="1">IFERROR(Z13/Z$21,"")</f>
        <v/>
      </c>
      <c r="AD13" t="str">
        <f>_sheetContentTranslation_A_185&amp;AE13</f>
        <v>公司</v>
      </c>
    </row>
    <row r="14" spans="1:31" ht="24.95" customHeight="1" x14ac:dyDescent="0.2">
      <c r="A14" s="48"/>
      <c r="B14" s="2">
        <f t="shared" si="1"/>
        <v>3</v>
      </c>
      <c r="C14" s="4" t="str">
        <f>IFERROR(IF(INDEX(确定审计范围!$C$8:$L$10,MATCH(确定审计范围的输入值!C$11,确定审计范围!$C$8:$C$10,0),MATCH(确定审计范围的输入值!$B14,确定审计范围!$C$8:$L$8,0))="","",INDEX(确定审计范围!$C$8:$L$10,MATCH(确定审计范围的输入值!C$11,确定审计范围!$C$8:$C$10,0),MATCH(确定审计范围的输入值!$B14,确定审计范围!$C$8:$L$8,0))),"")</f>
        <v/>
      </c>
      <c r="D14" s="4" t="str">
        <f>IFERROR(IF(INDEX(确定审计范围!$C$8:$L$10,MATCH(确定审计范围的输入值!D$11,确定审计范围!$C$8:$C$10,0),MATCH(确定审计范围的输入值!$B14,确定审计范围!$C$8:$L$8,0))="","",INDEX(确定审计范围!$C$8:$L$10,MATCH(确定审计范围的输入值!D$11,确定审计范围!$C$8:$C$10,0),MATCH(确定审计范围的输入值!$B14,确定审计范围!$C$8:$L$8,0))),"")</f>
        <v/>
      </c>
      <c r="E14" s="5">
        <f ca="1">IFERROR(SUMIFS(OFFSET(确定审计范围!$C:$C,,MATCH(确定审计范围的输入值!$B14,确定审计范围!$C$8:$L$8,0)-1,,),确定审计范围!$C:$C,确定审计范围的输入值!E$11),"")</f>
        <v>0</v>
      </c>
      <c r="F14" s="113" t="str">
        <f ca="1">IFERROR(E14/E$21,"")</f>
        <v/>
      </c>
      <c r="G14" s="5">
        <f ca="1">IFERROR(SUMIFS(OFFSET(确定审计范围!$C:$C,,MATCH(确定审计范围的输入值!$B14,确定审计范围!$C$8:$L$8,0)-1,,),确定审计范围!$C:$C,确定审计范围的输入值!G$11),"")</f>
        <v>0</v>
      </c>
      <c r="H14" s="113" t="str">
        <f ca="1">IFERROR(G14/G$21,"")</f>
        <v/>
      </c>
      <c r="I14" s="5">
        <f ca="1">IFERROR(SUMIFS(OFFSET(确定审计范围!$C:$C,,MATCH(确定审计范围的输入值!$B14,确定审计范围!$C$8:$L$8,0)-1,,),确定审计范围!$C:$C,确定审计范围的输入值!I$11),"")</f>
        <v>0</v>
      </c>
      <c r="J14" s="113" t="str">
        <f ca="1">IFERROR(I14/I$21,"")</f>
        <v/>
      </c>
      <c r="K14" s="5">
        <f ca="1">IFERROR(SUMIFS(OFFSET(确定审计范围!$C:$C,,MATCH(确定审计范围的输入值!$B14,确定审计范围!$C$8:$L$8,0)-1,,),确定审计范围!$C:$C,确定审计范围的输入值!K$11),"")</f>
        <v>0</v>
      </c>
      <c r="L14" s="113" t="str">
        <f ca="1">IFERROR(K14/K$21,"")</f>
        <v/>
      </c>
      <c r="M14" s="5" t="str">
        <f t="shared" si="0"/>
        <v>不适用</v>
      </c>
      <c r="N14" s="5" t="str">
        <f t="shared" si="0"/>
        <v>不适用</v>
      </c>
      <c r="O14" s="114" t="str">
        <f t="shared" si="0"/>
        <v>不适用</v>
      </c>
      <c r="P14" s="33"/>
      <c r="Q14" s="33"/>
      <c r="R14" s="23" t="str">
        <f>_sheetContentTranslation_A_159</f>
        <v>不适用 - 重要组成部分</v>
      </c>
      <c r="S14" s="140" t="str">
        <f t="shared" si="2"/>
        <v>不适用</v>
      </c>
      <c r="T14" s="140" t="str">
        <f t="shared" si="2"/>
        <v>不适用</v>
      </c>
      <c r="U14" s="33"/>
      <c r="V14" s="144"/>
      <c r="W14" s="139"/>
      <c r="X14" s="33"/>
      <c r="Y14" s="3" t="str">
        <f>_sheetContentTranslation_A_36</f>
        <v>x</v>
      </c>
      <c r="Z14" s="5">
        <f ca="1">IFERROR(SUMIFS(OFFSET(确定审计范围!$C:$C,,MATCH(确定审计范围的输入值!$B14,确定审计范围!$C$8:$L$8,0)-1,,),确定审计范围!$C:$C,确定审计范围的输入值!Z$11),"")</f>
        <v>0</v>
      </c>
      <c r="AA14" s="113" t="str">
        <f ca="1">IFERROR(Z14/Z$21,"")</f>
        <v/>
      </c>
      <c r="AD14" t="str">
        <f>_sheetContentTranslation_A_185&amp;AE14</f>
        <v>公司</v>
      </c>
    </row>
    <row r="15" spans="1:31" ht="24.95" customHeight="1" x14ac:dyDescent="0.2">
      <c r="A15" s="48"/>
      <c r="B15" s="2">
        <f t="shared" si="1"/>
        <v>4</v>
      </c>
      <c r="C15" s="4" t="str">
        <f>IFERROR(IF(INDEX(确定审计范围!$C$8:$L$10,MATCH(确定审计范围的输入值!C$11,确定审计范围!$C$8:$C$10,0),MATCH(确定审计范围的输入值!$B15,确定审计范围!$C$8:$L$8,0))="","",INDEX(确定审计范围!$C$8:$L$10,MATCH(确定审计范围的输入值!C$11,确定审计范围!$C$8:$C$10,0),MATCH(确定审计范围的输入值!$B15,确定审计范围!$C$8:$L$8,0))),"")</f>
        <v/>
      </c>
      <c r="D15" s="4" t="str">
        <f>IFERROR(IF(INDEX(确定审计范围!$C$8:$L$10,MATCH(确定审计范围的输入值!D$11,确定审计范围!$C$8:$C$10,0),MATCH(确定审计范围的输入值!$B15,确定审计范围!$C$8:$L$8,0))="","",INDEX(确定审计范围!$C$8:$L$10,MATCH(确定审计范围的输入值!D$11,确定审计范围!$C$8:$C$10,0),MATCH(确定审计范围的输入值!$B15,确定审计范围!$C$8:$L$8,0))),"")</f>
        <v/>
      </c>
      <c r="E15" s="5">
        <f ca="1">IFERROR(SUMIFS(OFFSET(确定审计范围!$C:$C,,MATCH(确定审计范围的输入值!$B15,确定审计范围!$C$8:$L$8,0)-1,,),确定审计范围!$C:$C,确定审计范围的输入值!E$11),"")</f>
        <v>0</v>
      </c>
      <c r="F15" s="113" t="str">
        <f ca="1">IFERROR(E15/E$21,"")</f>
        <v/>
      </c>
      <c r="G15" s="5">
        <f ca="1">IFERROR(SUMIFS(OFFSET(确定审计范围!$C:$C,,MATCH(确定审计范围的输入值!$B15,确定审计范围!$C$8:$L$8,0)-1,,),确定审计范围!$C:$C,确定审计范围的输入值!G$11),"")</f>
        <v>0</v>
      </c>
      <c r="H15" s="113" t="str">
        <f ca="1">IFERROR(G15/G$21,"")</f>
        <v/>
      </c>
      <c r="I15" s="5">
        <f ca="1">IFERROR(SUMIFS(OFFSET(确定审计范围!$C:$C,,MATCH(确定审计范围的输入值!$B15,确定审计范围!$C$8:$L$8,0)-1,,),确定审计范围!$C:$C,确定审计范围的输入值!I$11),"")</f>
        <v>0</v>
      </c>
      <c r="J15" s="113" t="str">
        <f ca="1">IFERROR(I15/I$21,"")</f>
        <v/>
      </c>
      <c r="K15" s="5">
        <f ca="1">IFERROR(SUMIFS(OFFSET(确定审计范围!$C:$C,,MATCH(确定审计范围的输入值!$B15,确定审计范围!$C$8:$L$8,0)-1,,),确定审计范围!$C:$C,确定审计范围的输入值!K$11),"")</f>
        <v>0</v>
      </c>
      <c r="L15" s="113" t="str">
        <f ca="1">IFERROR(K15/K$21,"")</f>
        <v/>
      </c>
      <c r="M15" s="5" t="str">
        <f t="shared" si="0"/>
        <v>不适用</v>
      </c>
      <c r="N15" s="5" t="str">
        <f t="shared" si="0"/>
        <v>不适用</v>
      </c>
      <c r="O15" s="114" t="str">
        <f t="shared" si="0"/>
        <v>不适用</v>
      </c>
      <c r="P15" s="33"/>
      <c r="Q15" s="33"/>
      <c r="R15" s="23" t="str">
        <f>_sheetContentTranslation_A_159</f>
        <v>不适用 - 重要组成部分</v>
      </c>
      <c r="S15" s="140" t="str">
        <f t="shared" si="2"/>
        <v>不适用</v>
      </c>
      <c r="T15" s="140" t="str">
        <f t="shared" si="2"/>
        <v>不适用</v>
      </c>
      <c r="U15" s="33"/>
      <c r="V15" s="144"/>
      <c r="W15" s="139"/>
      <c r="X15" s="33"/>
      <c r="Y15" s="3" t="str">
        <f>_sheetContentTranslation_A_36</f>
        <v>x</v>
      </c>
      <c r="Z15" s="5">
        <f ca="1">IFERROR(SUMIFS(OFFSET(确定审计范围!$C:$C,,MATCH(确定审计范围的输入值!$B15,确定审计范围!$C$8:$L$8,0)-1,,),确定审计范围!$C:$C,确定审计范围的输入值!Z$11),"")</f>
        <v>0</v>
      </c>
      <c r="AA15" s="113" t="str">
        <f ca="1">IFERROR(Z15/Z$21,"")</f>
        <v/>
      </c>
      <c r="AD15" t="str">
        <f>_sheetContentTranslation_A_185&amp;AE15</f>
        <v>公司</v>
      </c>
    </row>
    <row r="16" spans="1:31" ht="24.95" customHeight="1" x14ac:dyDescent="0.2">
      <c r="A16" s="48"/>
      <c r="B16" s="2">
        <f t="shared" si="1"/>
        <v>5</v>
      </c>
      <c r="C16" s="4" t="str">
        <f>IFERROR(IF(INDEX(确定审计范围!$C$8:$L$10,MATCH(确定审计范围的输入值!C$11,确定审计范围!$C$8:$C$10,0),MATCH(确定审计范围的输入值!$B16,确定审计范围!$C$8:$L$8,0))="","",INDEX(确定审计范围!$C$8:$L$10,MATCH(确定审计范围的输入值!C$11,确定审计范围!$C$8:$C$10,0),MATCH(确定审计范围的输入值!$B16,确定审计范围!$C$8:$L$8,0))),"")</f>
        <v/>
      </c>
      <c r="D16" s="4" t="str">
        <f>IFERROR(IF(INDEX(确定审计范围!$C$8:$L$10,MATCH(确定审计范围的输入值!D$11,确定审计范围!$C$8:$C$10,0),MATCH(确定审计范围的输入值!$B16,确定审计范围!$C$8:$L$8,0))="","",INDEX(确定审计范围!$C$8:$L$10,MATCH(确定审计范围的输入值!D$11,确定审计范围!$C$8:$C$10,0),MATCH(确定审计范围的输入值!$B16,确定审计范围!$C$8:$L$8,0))),"")</f>
        <v/>
      </c>
      <c r="E16" s="5">
        <f ca="1">IFERROR(SUMIFS(OFFSET(确定审计范围!$C:$C,,MATCH(确定审计范围的输入值!$B16,确定审计范围!$C$8:$L$8,0)-1,,),确定审计范围!$C:$C,确定审计范围的输入值!E$11),"")</f>
        <v>0</v>
      </c>
      <c r="F16" s="113" t="str">
        <f ca="1">IFERROR(E16/E$21,"")</f>
        <v/>
      </c>
      <c r="G16" s="5">
        <f ca="1">IFERROR(SUMIFS(OFFSET(确定审计范围!$C:$C,,MATCH(确定审计范围的输入值!$B16,确定审计范围!$C$8:$L$8,0)-1,,),确定审计范围!$C:$C,确定审计范围的输入值!G$11),"")</f>
        <v>0</v>
      </c>
      <c r="H16" s="113" t="str">
        <f ca="1">IFERROR(G16/G$21,"")</f>
        <v/>
      </c>
      <c r="I16" s="5">
        <f ca="1">IFERROR(SUMIFS(OFFSET(确定审计范围!$C:$C,,MATCH(确定审计范围的输入值!$B16,确定审计范围!$C$8:$L$8,0)-1,,),确定审计范围!$C:$C,确定审计范围的输入值!I$11),"")</f>
        <v>0</v>
      </c>
      <c r="J16" s="113" t="str">
        <f ca="1">IFERROR(I16/I$21,"")</f>
        <v/>
      </c>
      <c r="K16" s="5">
        <f ca="1">IFERROR(SUMIFS(OFFSET(确定审计范围!$C:$C,,MATCH(确定审计范围的输入值!$B16,确定审计范围!$C$8:$L$8,0)-1,,),确定审计范围!$C:$C,确定审计范围的输入值!K$11),"")</f>
        <v>0</v>
      </c>
      <c r="L16" s="113" t="str">
        <f ca="1">IFERROR(K16/K$21,"")</f>
        <v/>
      </c>
      <c r="M16" s="5" t="str">
        <f t="shared" si="0"/>
        <v>不适用</v>
      </c>
      <c r="N16" s="5" t="str">
        <f t="shared" si="0"/>
        <v>不适用</v>
      </c>
      <c r="O16" s="114" t="str">
        <f t="shared" si="0"/>
        <v>不适用</v>
      </c>
      <c r="P16" s="33"/>
      <c r="Q16" s="33"/>
      <c r="R16" s="23" t="str">
        <f>_sheetContentTranslation_A_159</f>
        <v>不适用 - 重要组成部分</v>
      </c>
      <c r="S16" s="140" t="str">
        <f t="shared" si="2"/>
        <v>不适用</v>
      </c>
      <c r="T16" s="140" t="str">
        <f t="shared" si="2"/>
        <v>不适用</v>
      </c>
      <c r="U16" s="33"/>
      <c r="V16" s="144"/>
      <c r="W16" s="139"/>
      <c r="X16" s="33"/>
      <c r="Y16" s="3" t="str">
        <f>_sheetContentTranslation_A_36</f>
        <v>x</v>
      </c>
      <c r="Z16" s="5">
        <f ca="1">IFERROR(SUMIFS(OFFSET(确定审计范围!$C:$C,,MATCH(确定审计范围的输入值!$B16,确定审计范围!$C$8:$L$8,0)-1,,),确定审计范围!$C:$C,确定审计范围的输入值!Z$11),"")</f>
        <v>0</v>
      </c>
      <c r="AA16" s="113" t="str">
        <f ca="1">IFERROR(Z16/Z$21,"")</f>
        <v/>
      </c>
      <c r="AD16" t="str">
        <f>_sheetContentTranslation_A_185&amp;AE16</f>
        <v>公司</v>
      </c>
    </row>
    <row r="17" spans="1:31" ht="23.25" customHeight="1" x14ac:dyDescent="0.2">
      <c r="B17">
        <f>B16+1</f>
        <v>6</v>
      </c>
      <c r="S17" s="119"/>
      <c r="T17" s="119"/>
      <c r="V17" s="145"/>
      <c r="AE17">
        <v>9</v>
      </c>
    </row>
    <row r="18" spans="1:31" ht="17.25" hidden="1" customHeight="1" x14ac:dyDescent="0.2">
      <c r="A18" s="48"/>
      <c r="B18" s="2"/>
      <c r="C18" s="4" t="str">
        <f>IFERROR(IF(INDEX(确定审计范围!$C$8:$L$10,MATCH(确定审计范围的输入值!C$11,确定审计范围!$C$8:$C$10,0),MATCH(确定审计范围的输入值!$B18,确定审计范围!$C$8:$L$8,0))="","",INDEX(确定审计范围!$C$8:$L$10,MATCH(确定审计范围的输入值!C$11,确定审计范围!$C$8:$C$10,0),MATCH(确定审计范围的输入值!$B18,确定审计范围!$C$8:$L$8,0))),"")</f>
        <v/>
      </c>
      <c r="D18" s="4" t="str">
        <f>IFERROR(IF(INDEX(确定审计范围!$C$8:$L$10,MATCH(确定审计范围的输入值!D$11,确定审计范围!$C$8:$C$10,0),MATCH(确定审计范围的输入值!$B18,确定审计范围!$C$8:$L$8,0))="","",INDEX(确定审计范围!$C$8:$L$10,MATCH(确定审计范围的输入值!D$11,确定审计范围!$C$8:$C$10,0),MATCH(确定审计范围的输入值!$B18,确定审计范围!$C$8:$L$8,0))),"")</f>
        <v/>
      </c>
      <c r="E18" s="5" t="str">
        <f ca="1">IFERROR(SUMIFS(OFFSET(确定审计范围!$C:$C,,MATCH(确定审计范围的输入值!$B18,确定审计范围!$C$8:$L$8,0)-1,,),确定审计范围!$C:$C,确定审计范围的输入值!E$11),"")</f>
        <v/>
      </c>
      <c r="F18" s="113" t="str">
        <f ca="1">IFERROR(E18/E$21,"")</f>
        <v/>
      </c>
      <c r="G18" s="5" t="str">
        <f ca="1">IFERROR(SUMIFS(OFFSET(确定审计范围!$C:$C,,MATCH(确定审计范围的输入值!$B18,确定审计范围!$C$8:$L$8,0)-1,,),确定审计范围!$C:$C,确定审计范围的输入值!G$11),"")</f>
        <v/>
      </c>
      <c r="H18" s="113" t="str">
        <f ca="1">IFERROR(G18/G$21,"")</f>
        <v/>
      </c>
      <c r="I18" s="5" t="str">
        <f ca="1">IFERROR(SUMIFS(OFFSET(确定审计范围!$C:$C,,MATCH(确定审计范围的输入值!$B18,确定审计范围!$C$8:$L$8,0)-1,,),确定审计范围!$C:$C,确定审计范围的输入值!I$11),"")</f>
        <v/>
      </c>
      <c r="J18" s="113" t="str">
        <f ca="1">IFERROR(I18/I$21,"")</f>
        <v/>
      </c>
      <c r="K18" s="5" t="str">
        <f ca="1">IFERROR(SUMIFS(OFFSET(确定审计范围!$C:$C,,MATCH(确定审计范围的输入值!$B18,确定审计范围!$C$8:$L$8,0)-1,,),确定审计范围!$C:$C,确定审计范围的输入值!K$11),"")</f>
        <v/>
      </c>
      <c r="L18" s="113" t="str">
        <f ca="1">IFERROR(K18/K$21,"")</f>
        <v/>
      </c>
      <c r="M18" s="5" t="str">
        <f>_sheetContentTranslation_A_158</f>
        <v>不适用</v>
      </c>
      <c r="N18" s="5" t="str">
        <f>_sheetContentTranslation_A_158</f>
        <v>不适用</v>
      </c>
      <c r="O18" s="114" t="str">
        <f>_sheetContentTranslation_A_158</f>
        <v>不适用</v>
      </c>
      <c r="P18" s="33"/>
      <c r="Q18" s="33"/>
      <c r="R18" s="23" t="str">
        <f>_sheetContentTranslation_A_159</f>
        <v>不适用 - 重要组成部分</v>
      </c>
      <c r="S18" s="141" t="str">
        <f>_sheetContentTranslation_A_158</f>
        <v>不适用</v>
      </c>
      <c r="T18" s="141" t="str">
        <f>_sheetContentTranslation_A_158</f>
        <v>不适用</v>
      </c>
      <c r="U18" s="33"/>
      <c r="V18" s="144"/>
      <c r="W18" s="139"/>
      <c r="X18" s="33"/>
      <c r="Y18" s="3" t="str">
        <f>_sheetContentTranslation_A_36</f>
        <v>x</v>
      </c>
      <c r="Z18" s="5" t="str">
        <f ca="1">IFERROR(SUMIFS(OFFSET(确定审计范围!$C:$C,,MATCH(确定审计范围的输入值!$B18,确定审计范围!$C$8:$L$8,0)-1,,),确定审计范围!$C:$C,确定审计范围的输入值!Z$11),"")</f>
        <v/>
      </c>
      <c r="AA18" s="113" t="str">
        <f ca="1">IFERROR(Z18/Z$21,"")</f>
        <v/>
      </c>
      <c r="AD18" t="str">
        <f>_sheetContentTranslation_A_185&amp;AE18</f>
        <v>公司</v>
      </c>
    </row>
    <row r="19" spans="1:31" ht="15" customHeight="1" x14ac:dyDescent="0.2">
      <c r="A19" s="48"/>
      <c r="B19" s="176" t="str">
        <f>_sheetContentTranslation_A_39</f>
        <v>调整</v>
      </c>
      <c r="C19" s="177"/>
      <c r="D19" s="178"/>
      <c r="E19" s="5">
        <f ca="1">SUMIFS(OFFSET(确定审计范围!$C:$C,,MATCH(确定审计范围的输入值!$B19,确定审计范围!$C$8:$M$8,0)-1,,),确定审计范围!$C:$C,确定审计范围的输入值!E$11)</f>
        <v>0</v>
      </c>
      <c r="F19" s="114" t="str">
        <f ca="1">IFERROR(E19/E$21,"")</f>
        <v/>
      </c>
      <c r="G19" s="5">
        <f ca="1">SUMIFS(OFFSET(确定审计范围!$C:$C,,MATCH(确定审计范围的输入值!$B19,确定审计范围!$C$8:$M$8,0)-1,,),确定审计范围!$C:$C,确定审计范围的输入值!G$11)</f>
        <v>0</v>
      </c>
      <c r="H19" s="114" t="str">
        <f ca="1">IFERROR(G19/G$21,"")</f>
        <v/>
      </c>
      <c r="I19" s="5">
        <f ca="1">SUMIFS(OFFSET(确定审计范围!$C:$C,,MATCH(确定审计范围的输入值!$B19,确定审计范围!$C$8:$M$8,0)-1,,),确定审计范围!$C:$C,确定审计范围的输入值!I$11)</f>
        <v>0</v>
      </c>
      <c r="J19" s="114" t="str">
        <f ca="1">IFERROR(I19/I$21,"")</f>
        <v/>
      </c>
      <c r="K19" s="5">
        <f ca="1">SUMIFS(OFFSET(确定审计范围!$C:$C,,MATCH(确定审计范围的输入值!$B19,确定审计范围!$C$8:$M$8,0)-1,,),确定审计范围!$C:$C,确定审计范围的输入值!K$11)</f>
        <v>0</v>
      </c>
      <c r="L19" s="114" t="str">
        <f ca="1">IFERROR(K19/K$21,"")</f>
        <v/>
      </c>
      <c r="Z19" s="5">
        <f ca="1">SUMIFS(OFFSET(确定审计范围!$C:$C,,MATCH(确定审计范围的输入值!$B19,确定审计范围!$C$8:$M$8,0)-1,,),确定审计范围!$C:$C,确定审计范围的输入值!Z$11)</f>
        <v>0</v>
      </c>
      <c r="AA19" s="114" t="str">
        <f ca="1">IFERROR(Z19/Z$21,"")</f>
        <v/>
      </c>
    </row>
    <row r="20" spans="1:31" ht="15" customHeight="1" x14ac:dyDescent="0.2">
      <c r="A20" s="48"/>
      <c r="B20" s="176" t="str">
        <f>_sheetContentTranslation_A_40</f>
        <v>抵销</v>
      </c>
      <c r="C20" s="177"/>
      <c r="D20" s="178"/>
      <c r="E20" s="5">
        <f ca="1">SUMIFS(OFFSET(确定审计范围!$C:$C,,MATCH(确定审计范围的输入值!$B20,确定审计范围!$C$8:$M$8,0)-1,,),确定审计范围!$C:$C,确定审计范围的输入值!E$11)</f>
        <v>0</v>
      </c>
      <c r="F20" s="114" t="str">
        <f ca="1">IFERROR(E20/E$21,"")</f>
        <v/>
      </c>
      <c r="G20" s="5">
        <f ca="1">SUMIFS(OFFSET(确定审计范围!$C:$C,,MATCH(确定审计范围的输入值!$B20,确定审计范围!$C$8:$M$8,0)-1,,),确定审计范围!$C:$C,确定审计范围的输入值!G$11)</f>
        <v>0</v>
      </c>
      <c r="H20" s="114" t="str">
        <f ca="1">IFERROR(G20/G$21,"")</f>
        <v/>
      </c>
      <c r="I20" s="5">
        <f ca="1">SUMIFS(OFFSET(确定审计范围!$C:$C,,MATCH(确定审计范围的输入值!$B20,确定审计范围!$C$8:$M$8,0)-1,,),确定审计范围!$C:$C,确定审计范围的输入值!I$11)</f>
        <v>0</v>
      </c>
      <c r="J20" s="114" t="str">
        <f ca="1">IFERROR(I20/I$21,"")</f>
        <v/>
      </c>
      <c r="K20" s="5">
        <f ca="1">SUMIFS(OFFSET(确定审计范围!$C:$C,,MATCH(确定审计范围的输入值!$B20,确定审计范围!$C$8:$M$8,0)-1,,),确定审计范围!$C:$C,确定审计范围的输入值!K$11)</f>
        <v>0</v>
      </c>
      <c r="L20" s="114" t="str">
        <f ca="1">IFERROR(K20/K$21,"")</f>
        <v/>
      </c>
      <c r="Z20" s="5">
        <f ca="1">SUMIFS(OFFSET(确定审计范围!$C:$C,,MATCH(确定审计范围的输入值!$B20,确定审计范围!$C$8:$M$8,0)-1,,),确定审计范围!$C:$C,确定审计范围的输入值!Z$11)</f>
        <v>0</v>
      </c>
      <c r="AA20" s="114" t="str">
        <f ca="1">IFERROR(Z20/Z$21,"")</f>
        <v/>
      </c>
    </row>
    <row r="21" spans="1:31" ht="15" customHeight="1" x14ac:dyDescent="0.2">
      <c r="A21" s="48"/>
      <c r="B21" s="176" t="str">
        <f>_sheetContentTranslation_A_41</f>
        <v>合并总额</v>
      </c>
      <c r="C21" s="177"/>
      <c r="D21" s="178"/>
      <c r="E21" s="5">
        <f ca="1">SUM(E$12:E$20)</f>
        <v>0</v>
      </c>
      <c r="F21" s="114" t="str">
        <f ca="1">IFERROR(E21/E$21,"")</f>
        <v/>
      </c>
      <c r="G21" s="5">
        <f ca="1">SUM(G$12:G$20)</f>
        <v>0</v>
      </c>
      <c r="H21" s="114" t="str">
        <f ca="1">IFERROR(G21/G$21,"")</f>
        <v/>
      </c>
      <c r="I21" s="5">
        <f ca="1">SUM(I$12:I$20)</f>
        <v>0</v>
      </c>
      <c r="J21" s="114" t="str">
        <f ca="1">IFERROR(I21/I$21,"")</f>
        <v/>
      </c>
      <c r="K21" s="5">
        <f ca="1">SUM(K$12:K$20)</f>
        <v>0</v>
      </c>
      <c r="L21" s="114" t="str">
        <f ca="1">IFERROR(K21/K$21,"")</f>
        <v/>
      </c>
      <c r="Z21" s="5">
        <f ca="1">SUM(Z$12:Z$20)</f>
        <v>0</v>
      </c>
      <c r="AA21" s="114" t="str">
        <f ca="1">IFERROR(Z21/Z$21,"")</f>
        <v/>
      </c>
    </row>
  </sheetData>
  <sheetProtection algorithmName="SHA-512" hashValue="zNS6tC8yeZ5fPe8VTc0Vhb3QMrI22lLrHBWfzPnnjbGYr7zJCdqtzQiO7g7NIPz9MbjVsbvKd5s30GIWGY0Pvw==" saltValue="5TiYfpPSCo8pBwjOon4b4A==" spinCount="100000" sheet="1" objects="1" scenarios="1" formatCells="0" formatRows="0" insertRows="0" deleteRows="0"/>
  <mergeCells count="23">
    <mergeCell ref="Z9:AA9"/>
    <mergeCell ref="B19:D19"/>
    <mergeCell ref="B20:D20"/>
    <mergeCell ref="G9:H9"/>
    <mergeCell ref="K9:L9"/>
    <mergeCell ref="K10:L10"/>
    <mergeCell ref="K11:L11"/>
    <mergeCell ref="I9:J9"/>
    <mergeCell ref="I10:J10"/>
    <mergeCell ref="I11:J11"/>
    <mergeCell ref="B21:D21"/>
    <mergeCell ref="Z10:AA10"/>
    <mergeCell ref="Z11:AA11"/>
    <mergeCell ref="E11:F11"/>
    <mergeCell ref="E10:F10"/>
    <mergeCell ref="M10:O10"/>
    <mergeCell ref="G10:H10"/>
    <mergeCell ref="G11:H11"/>
    <mergeCell ref="B4:C4"/>
    <mergeCell ref="B5:C5"/>
    <mergeCell ref="B6:C6"/>
    <mergeCell ref="E9:F9"/>
    <mergeCell ref="B7:C7"/>
  </mergeCells>
  <phoneticPr fontId="29" type="noConversion"/>
  <conditionalFormatting sqref="P12:R12 D7">
    <cfRule type="expression" dxfId="69" priority="804">
      <formula>D7=""</formula>
    </cfRule>
  </conditionalFormatting>
  <conditionalFormatting sqref="U12:W12">
    <cfRule type="expression" dxfId="68" priority="801">
      <formula>U12=""</formula>
    </cfRule>
  </conditionalFormatting>
  <conditionalFormatting sqref="E11:F11">
    <cfRule type="expression" dxfId="67" priority="799">
      <formula>E11=""</formula>
    </cfRule>
  </conditionalFormatting>
  <conditionalFormatting sqref="D6">
    <cfRule type="expression" dxfId="66" priority="789">
      <formula>D6=""</formula>
    </cfRule>
  </conditionalFormatting>
  <conditionalFormatting sqref="Q14">
    <cfRule type="expression" dxfId="65" priority="421">
      <formula>Q14=""</formula>
    </cfRule>
  </conditionalFormatting>
  <conditionalFormatting sqref="U14:W14">
    <cfRule type="expression" dxfId="64" priority="420">
      <formula>U14=""</formula>
    </cfRule>
  </conditionalFormatting>
  <conditionalFormatting sqref="P13">
    <cfRule type="expression" dxfId="63" priority="452">
      <formula>P13=""</formula>
    </cfRule>
  </conditionalFormatting>
  <conditionalFormatting sqref="Q13">
    <cfRule type="expression" dxfId="62" priority="451">
      <formula>Q13=""</formula>
    </cfRule>
  </conditionalFormatting>
  <conditionalFormatting sqref="U13:W13">
    <cfRule type="expression" dxfId="61" priority="450">
      <formula>U13=""</formula>
    </cfRule>
  </conditionalFormatting>
  <conditionalFormatting sqref="P14">
    <cfRule type="expression" dxfId="60" priority="422">
      <formula>P14=""</formula>
    </cfRule>
  </conditionalFormatting>
  <conditionalFormatting sqref="S12:T12">
    <cfRule type="expression" dxfId="59" priority="372">
      <formula>S12=""</formula>
    </cfRule>
  </conditionalFormatting>
  <conditionalFormatting sqref="S13:T13">
    <cfRule type="expression" dxfId="58" priority="371">
      <formula>S13=""</formula>
    </cfRule>
  </conditionalFormatting>
  <conditionalFormatting sqref="S14:T14">
    <cfRule type="expression" dxfId="57" priority="370">
      <formula>S14=""</formula>
    </cfRule>
  </conditionalFormatting>
  <conditionalFormatting sqref="S18:T18">
    <cfRule type="expression" dxfId="56" priority="286">
      <formula>S18=""</formula>
    </cfRule>
  </conditionalFormatting>
  <conditionalFormatting sqref="P18:Q18">
    <cfRule type="expression" dxfId="55" priority="290">
      <formula>P18=""</formula>
    </cfRule>
  </conditionalFormatting>
  <conditionalFormatting sqref="U18:W18">
    <cfRule type="expression" dxfId="54" priority="289">
      <formula>U18=""</formula>
    </cfRule>
  </conditionalFormatting>
  <conditionalFormatting sqref="Z11:AA11">
    <cfRule type="expression" dxfId="53" priority="270">
      <formula>Z11=""</formula>
    </cfRule>
  </conditionalFormatting>
  <conditionalFormatting sqref="S15:T15">
    <cfRule type="expression" dxfId="52" priority="142">
      <formula>S15=""</formula>
    </cfRule>
  </conditionalFormatting>
  <conditionalFormatting sqref="P15:Q15">
    <cfRule type="expression" dxfId="51" priority="145">
      <formula>P15=""</formula>
    </cfRule>
  </conditionalFormatting>
  <conditionalFormatting sqref="U15:W15">
    <cfRule type="expression" dxfId="50" priority="144">
      <formula>U15=""</formula>
    </cfRule>
  </conditionalFormatting>
  <conditionalFormatting sqref="M18:O18 M12:O15">
    <cfRule type="containsBlanks" dxfId="49" priority="115">
      <formula>LEN(TRIM(M12))=0</formula>
    </cfRule>
  </conditionalFormatting>
  <conditionalFormatting sqref="R13:R15">
    <cfRule type="expression" dxfId="48" priority="106">
      <formula>R13=""</formula>
    </cfRule>
  </conditionalFormatting>
  <conditionalFormatting sqref="R18">
    <cfRule type="expression" dxfId="47" priority="105">
      <formula>R18=""</formula>
    </cfRule>
  </conditionalFormatting>
  <conditionalFormatting sqref="G11:H11">
    <cfRule type="expression" dxfId="46" priority="104">
      <formula>G11=""</formula>
    </cfRule>
  </conditionalFormatting>
  <conditionalFormatting sqref="S16:T16">
    <cfRule type="expression" dxfId="45" priority="75">
      <formula>S16=""</formula>
    </cfRule>
  </conditionalFormatting>
  <conditionalFormatting sqref="P16:Q16">
    <cfRule type="expression" dxfId="44" priority="78">
      <formula>P16=""</formula>
    </cfRule>
  </conditionalFormatting>
  <conditionalFormatting sqref="U16:W16">
    <cfRule type="expression" dxfId="43" priority="77">
      <formula>U16=""</formula>
    </cfRule>
  </conditionalFormatting>
  <conditionalFormatting sqref="M16:O16">
    <cfRule type="containsBlanks" dxfId="42" priority="73">
      <formula>LEN(TRIM(M16))=0</formula>
    </cfRule>
  </conditionalFormatting>
  <conditionalFormatting sqref="R16">
    <cfRule type="expression" dxfId="41" priority="71">
      <formula>R16=""</formula>
    </cfRule>
  </conditionalFormatting>
  <conditionalFormatting sqref="M12:N14">
    <cfRule type="expression" dxfId="40" priority="815" stopIfTrue="1">
      <formula>R23=_sheetContentTranslation_A_183</formula>
    </cfRule>
  </conditionalFormatting>
  <conditionalFormatting sqref="E12:F12">
    <cfRule type="expression" dxfId="39" priority="816" stopIfTrue="1">
      <formula>$D23=_sheetContentTranslation_A_183</formula>
    </cfRule>
  </conditionalFormatting>
  <conditionalFormatting sqref="E19:E21">
    <cfRule type="expression" dxfId="38" priority="817" stopIfTrue="1">
      <formula>$D37=_sheetContentTranslation_A_183</formula>
    </cfRule>
  </conditionalFormatting>
  <conditionalFormatting sqref="E13:F13">
    <cfRule type="expression" dxfId="37" priority="818" stopIfTrue="1">
      <formula>$D25=_sheetContentTranslation_A_183</formula>
    </cfRule>
  </conditionalFormatting>
  <conditionalFormatting sqref="E14:F14">
    <cfRule type="expression" dxfId="36" priority="819" stopIfTrue="1">
      <formula>$D27=_sheetContentTranslation_A_183</formula>
    </cfRule>
  </conditionalFormatting>
  <conditionalFormatting sqref="M18:N18">
    <cfRule type="expression" dxfId="35" priority="820" stopIfTrue="1">
      <formula>R35=_sheetContentTranslation_A_183</formula>
    </cfRule>
  </conditionalFormatting>
  <conditionalFormatting sqref="E18:F18">
    <cfRule type="expression" dxfId="34" priority="821" stopIfTrue="1">
      <formula>$D35=_sheetContentTranslation_A_183</formula>
    </cfRule>
  </conditionalFormatting>
  <conditionalFormatting sqref="Z12:AA12">
    <cfRule type="expression" dxfId="33" priority="822" stopIfTrue="1">
      <formula>$D23=_sheetContentTranslation_A_183</formula>
    </cfRule>
  </conditionalFormatting>
  <conditionalFormatting sqref="Z19:Z21">
    <cfRule type="expression" dxfId="32" priority="823" stopIfTrue="1">
      <formula>$D37=_sheetContentTranslation_A_183</formula>
    </cfRule>
  </conditionalFormatting>
  <conditionalFormatting sqref="Z13:AA13">
    <cfRule type="expression" dxfId="31" priority="824" stopIfTrue="1">
      <formula>$D25=_sheetContentTranslation_A_183</formula>
    </cfRule>
  </conditionalFormatting>
  <conditionalFormatting sqref="Z14:AA14">
    <cfRule type="expression" dxfId="30" priority="825" stopIfTrue="1">
      <formula>$D27=_sheetContentTranslation_A_183</formula>
    </cfRule>
  </conditionalFormatting>
  <conditionalFormatting sqref="Z18:AA18">
    <cfRule type="expression" dxfId="29" priority="826" stopIfTrue="1">
      <formula>$D35=_sheetContentTranslation_A_183</formula>
    </cfRule>
  </conditionalFormatting>
  <conditionalFormatting sqref="M15:N15">
    <cfRule type="expression" dxfId="28" priority="827" stopIfTrue="1">
      <formula>R29=_sheetContentTranslation_A_183</formula>
    </cfRule>
  </conditionalFormatting>
  <conditionalFormatting sqref="E15:F15">
    <cfRule type="expression" dxfId="27" priority="828" stopIfTrue="1">
      <formula>$D29=_sheetContentTranslation_A_183</formula>
    </cfRule>
  </conditionalFormatting>
  <conditionalFormatting sqref="Z15:AA15">
    <cfRule type="expression" dxfId="26" priority="829" stopIfTrue="1">
      <formula>$D29=_sheetContentTranslation_A_183</formula>
    </cfRule>
  </conditionalFormatting>
  <conditionalFormatting sqref="G12:H12">
    <cfRule type="expression" dxfId="25" priority="836" stopIfTrue="1">
      <formula>$D23=_sheetContentTranslation_A_183</formula>
    </cfRule>
  </conditionalFormatting>
  <conditionalFormatting sqref="G19:G21">
    <cfRule type="expression" dxfId="24" priority="837" stopIfTrue="1">
      <formula>$D37=_sheetContentTranslation_A_183</formula>
    </cfRule>
  </conditionalFormatting>
  <conditionalFormatting sqref="G13:H13">
    <cfRule type="expression" dxfId="23" priority="838" stopIfTrue="1">
      <formula>$D25=_sheetContentTranslation_A_183</formula>
    </cfRule>
  </conditionalFormatting>
  <conditionalFormatting sqref="G14:H14">
    <cfRule type="expression" dxfId="22" priority="839" stopIfTrue="1">
      <formula>$D27=_sheetContentTranslation_A_183</formula>
    </cfRule>
  </conditionalFormatting>
  <conditionalFormatting sqref="G18:H18">
    <cfRule type="expression" dxfId="21" priority="840" stopIfTrue="1">
      <formula>$D35=_sheetContentTranslation_A_183</formula>
    </cfRule>
  </conditionalFormatting>
  <conditionalFormatting sqref="G15:H15">
    <cfRule type="expression" dxfId="20" priority="841" stopIfTrue="1">
      <formula>$D29=_sheetContentTranslation_A_183</formula>
    </cfRule>
  </conditionalFormatting>
  <conditionalFormatting sqref="M16:N16">
    <cfRule type="expression" dxfId="19" priority="842" stopIfTrue="1">
      <formula>R31=_sheetContentTranslation_A_183</formula>
    </cfRule>
  </conditionalFormatting>
  <conditionalFormatting sqref="E16:F16">
    <cfRule type="expression" dxfId="18" priority="843" stopIfTrue="1">
      <formula>$D31=_sheetContentTranslation_A_183</formula>
    </cfRule>
  </conditionalFormatting>
  <conditionalFormatting sqref="Z16:AA16">
    <cfRule type="expression" dxfId="17" priority="844" stopIfTrue="1">
      <formula>$D31=_sheetContentTranslation_A_183</formula>
    </cfRule>
  </conditionalFormatting>
  <conditionalFormatting sqref="G16:H16">
    <cfRule type="expression" dxfId="16" priority="846" stopIfTrue="1">
      <formula>$D31=_sheetContentTranslation_A_183</formula>
    </cfRule>
  </conditionalFormatting>
  <conditionalFormatting sqref="I11:J11">
    <cfRule type="expression" dxfId="15" priority="20">
      <formula>I11=""</formula>
    </cfRule>
  </conditionalFormatting>
  <conditionalFormatting sqref="I12:J12">
    <cfRule type="expression" dxfId="14" priority="21" stopIfTrue="1">
      <formula>$D23=_sheetContentTranslation_A_183</formula>
    </cfRule>
  </conditionalFormatting>
  <conditionalFormatting sqref="I19:I21">
    <cfRule type="expression" dxfId="13" priority="22" stopIfTrue="1">
      <formula>$D37=_sheetContentTranslation_A_183</formula>
    </cfRule>
  </conditionalFormatting>
  <conditionalFormatting sqref="I13:J13">
    <cfRule type="expression" dxfId="12" priority="23" stopIfTrue="1">
      <formula>$D25=_sheetContentTranslation_A_183</formula>
    </cfRule>
  </conditionalFormatting>
  <conditionalFormatting sqref="I14:J14">
    <cfRule type="expression" dxfId="11" priority="24" stopIfTrue="1">
      <formula>$D27=_sheetContentTranslation_A_183</formula>
    </cfRule>
  </conditionalFormatting>
  <conditionalFormatting sqref="I18:J18">
    <cfRule type="expression" dxfId="10" priority="25" stopIfTrue="1">
      <formula>$D35=_sheetContentTranslation_A_183</formula>
    </cfRule>
  </conditionalFormatting>
  <conditionalFormatting sqref="I15:J15">
    <cfRule type="expression" dxfId="9" priority="26" stopIfTrue="1">
      <formula>$D29=_sheetContentTranslation_A_183</formula>
    </cfRule>
  </conditionalFormatting>
  <conditionalFormatting sqref="I16:J16">
    <cfRule type="expression" dxfId="8" priority="27" stopIfTrue="1">
      <formula>$D31=_sheetContentTranslation_A_183</formula>
    </cfRule>
  </conditionalFormatting>
  <conditionalFormatting sqref="K11:L11">
    <cfRule type="expression" dxfId="7" priority="12">
      <formula>K11=""</formula>
    </cfRule>
  </conditionalFormatting>
  <conditionalFormatting sqref="K12:L12">
    <cfRule type="expression" dxfId="6" priority="13" stopIfTrue="1">
      <formula>$D23=_sheetContentTranslation_A_183</formula>
    </cfRule>
  </conditionalFormatting>
  <conditionalFormatting sqref="K19:K21">
    <cfRule type="expression" dxfId="5" priority="14" stopIfTrue="1">
      <formula>$D37=_sheetContentTranslation_A_183</formula>
    </cfRule>
  </conditionalFormatting>
  <conditionalFormatting sqref="K13:L13">
    <cfRule type="expression" dxfId="4" priority="15" stopIfTrue="1">
      <formula>$D25=_sheetContentTranslation_A_183</formula>
    </cfRule>
  </conditionalFormatting>
  <conditionalFormatting sqref="K14:L14">
    <cfRule type="expression" dxfId="3" priority="16" stopIfTrue="1">
      <formula>$D27=_sheetContentTranslation_A_183</formula>
    </cfRule>
  </conditionalFormatting>
  <conditionalFormatting sqref="K18:L18">
    <cfRule type="expression" dxfId="2" priority="17" stopIfTrue="1">
      <formula>$D35=_sheetContentTranslation_A_183</formula>
    </cfRule>
  </conditionalFormatting>
  <conditionalFormatting sqref="K15:L15">
    <cfRule type="expression" dxfId="1" priority="18" stopIfTrue="1">
      <formula>$D29=_sheetContentTranslation_A_183</formula>
    </cfRule>
  </conditionalFormatting>
  <conditionalFormatting sqref="K16:L16">
    <cfRule type="expression" dxfId="0" priority="19" stopIfTrue="1">
      <formula>$D31=_sheetContentTranslation_A_183</formula>
    </cfRule>
  </conditionalFormatting>
  <dataValidations count="9">
    <dataValidation type="list" allowBlank="1" showInputMessage="1" showErrorMessage="1" sqref="P18 P12:P16" xr:uid="{00000000-0002-0000-0300-000000000000}">
      <formula1>Component_significance</formula1>
    </dataValidation>
    <dataValidation type="list" allowBlank="1" showInputMessage="1" showErrorMessage="1" sqref="V18 V12:V16" xr:uid="{00000000-0002-0000-0300-000001000000}">
      <formula1>ComponentFirm</formula1>
    </dataValidation>
    <dataValidation type="list" allowBlank="1" showInputMessage="1" showErrorMessage="1" sqref="W18 W12:W16" xr:uid="{00000000-0002-0000-0300-000002000000}">
      <formula1>YesNo</formula1>
    </dataValidation>
    <dataValidation type="custom" allowBlank="1" showInputMessage="1" showErrorMessage="1" errorTitle="Number" error="Value must be a number." sqref="D6" xr:uid="{00000000-0002-0000-0300-000003000000}">
      <formula1>ISNUMBER(D6)</formula1>
    </dataValidation>
    <dataValidation allowBlank="1" showInputMessage="1" showErrorMessage="1" errorTitle="Number" error="Value must be a number." sqref="E18 M18:O18 Z18 G18 M12:O16 G12:G16 Z12:Z16 I12:I16 I18 K12:K16 K18 E12:E16" xr:uid="{00000000-0002-0000-0300-000004000000}"/>
    <dataValidation type="decimal" allowBlank="1" showInputMessage="1" showErrorMessage="1" errorTitle="Group performance materiality" error="Group performance materiality must be greater than zero and less than 75% of group materiality." sqref="D7" xr:uid="{00000000-0002-0000-0300-000005000000}">
      <formula1>0.001</formula1>
      <formula2>Scoping_Group_Materiality*0.75</formula2>
    </dataValidation>
    <dataValidation allowBlank="1" showInputMessage="1" showErrorMessage="1" prompt="Select yes if component auditor is performing a standalone audit for legal, regulatory, or other reasons, including when making reference." sqref="W10" xr:uid="{00000000-0002-0000-0300-000006000000}"/>
    <dataValidation type="list" allowBlank="1" showInputMessage="1" showErrorMessage="1" sqref="R18 R12:R16" xr:uid="{00000000-0002-0000-0300-000007000000}">
      <formula1>Component_Risk</formula1>
    </dataValidation>
    <dataValidation allowBlank="1" showInputMessage="1" showErrorMessage="1" prompt="Documentation may include, for example, matters related to component significance, component materiality, or component performance materiality. It may also include other materiality or performance materiality amounts to be used for components." sqref="X10" xr:uid="{00000000-0002-0000-0300-000008000000}"/>
  </dataValidations>
  <hyperlinks>
    <hyperlink ref="Z9:AA9" location="'确定审计范围的输入值'!sh_Home" display="x" xr:uid="{00000000-0004-0000-0300-000000000000}"/>
    <hyperlink ref="D10" location="'确定审计范围的输入值'!sh_Home" display="+" xr:uid="{00000000-0004-0000-0300-000001000000}"/>
    <hyperlink ref="G9:H9" location="'确定审计范围的输入值'!sh_Home" display="x" xr:uid="{00000000-0004-0000-0300-000002000000}"/>
    <hyperlink ref="I9:J9" location="'确定审计范围的输入值'!sh_Home" display="x" xr:uid="{00000000-0004-0000-0300-000003000000}"/>
    <hyperlink ref="K9:L9" location="'确定审计范围的输入值'!sh_Home" display="x" xr:uid="{00000000-0004-0000-0300-000004000000}"/>
  </hyperlinks>
  <pageMargins left="0.7" right="0.7" top="0.75" bottom="0.75" header="0.3" footer="0.3"/>
  <pageSetup orientation="portrait" copies="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ummary"/>
  <dimension ref="B1:Z129"/>
  <sheetViews>
    <sheetView showGridLines="0" zoomScaleNormal="100" workbookViewId="0">
      <pane xSplit="2" ySplit="9" topLeftCell="R13" activePane="bottomRight" state="frozen"/>
      <selection activeCell="B31" sqref="B31"/>
      <selection pane="topRight" activeCell="B31" sqref="B31"/>
      <selection pane="bottomLeft" activeCell="B31" sqref="B31"/>
      <selection pane="bottomRight" activeCell="B31" sqref="B31"/>
    </sheetView>
  </sheetViews>
  <sheetFormatPr defaultRowHeight="11.25" x14ac:dyDescent="0.2"/>
  <cols>
    <col min="1" max="1" width="3.83203125" customWidth="1"/>
    <col min="2" max="2" width="35.83203125" customWidth="1"/>
    <col min="3" max="5" width="20.83203125" customWidth="1"/>
    <col min="6" max="6" width="3.83203125" customWidth="1"/>
    <col min="7" max="12" width="20.83203125" customWidth="1"/>
    <col min="13" max="13" width="3.83203125" customWidth="1"/>
    <col min="14" max="19" width="20.83203125" customWidth="1"/>
    <col min="20" max="20" width="3.83203125" customWidth="1"/>
    <col min="21" max="23" width="50.83203125" customWidth="1"/>
    <col min="25" max="25" width="20.83203125" hidden="1" customWidth="1"/>
  </cols>
  <sheetData>
    <row r="1" spans="2:25" x14ac:dyDescent="0.2">
      <c r="X1" s="48"/>
    </row>
    <row r="2" spans="2:25" ht="15.75" x14ac:dyDescent="0.25">
      <c r="B2" s="1" t="str">
        <f>_sheetContentTranslation_A_160</f>
        <v>按要执行的工作类型的汇总报告</v>
      </c>
      <c r="X2" s="48"/>
    </row>
    <row r="3" spans="2:25" x14ac:dyDescent="0.2">
      <c r="X3" s="48"/>
    </row>
    <row r="4" spans="2:25" ht="15" customHeight="1" x14ac:dyDescent="0.2">
      <c r="B4" s="148" t="str">
        <f>_sheetContentTranslation_A_33</f>
        <v>集团名称</v>
      </c>
      <c r="C4" s="183" t="str">
        <f>IF(Data_Engagement_Name="","",Data_Engagement_Name)</f>
        <v/>
      </c>
      <c r="D4" s="183"/>
      <c r="X4" s="48"/>
    </row>
    <row r="5" spans="2:25" ht="15" customHeight="1" x14ac:dyDescent="0.2">
      <c r="B5" s="148" t="str">
        <f>_sheetContentTranslation_A_34</f>
        <v>集团期间结束日期</v>
      </c>
      <c r="C5" s="184" t="str">
        <f>IF(Data_Period_End="","",Data_Period_End)</f>
        <v/>
      </c>
      <c r="D5" s="184"/>
      <c r="N5" s="170" t="str">
        <f>_sheetContentTranslation_A_161</f>
        <v>一个或多个账户余额、一类或多类交易或披露审计以及特定审计程序中未包括的金额总和</v>
      </c>
      <c r="O5" s="170"/>
      <c r="P5" s="170" t="str">
        <f>_sheetContentTranslation_A_162</f>
        <v>集团层面财务信息审阅和分析性程序中包括的金额总和</v>
      </c>
      <c r="Q5" s="170"/>
      <c r="R5" s="170" t="str">
        <f>_sheetContentTranslation_A_163</f>
        <v>财务信息审计，一个或多个账户余额、一类或多类交易或披露审计以及特定审计程序中包含的金额总和</v>
      </c>
      <c r="S5" s="170"/>
      <c r="X5" s="48"/>
    </row>
    <row r="6" spans="2:25" ht="15" customHeight="1" x14ac:dyDescent="0.2">
      <c r="N6" s="170"/>
      <c r="O6" s="170"/>
      <c r="P6" s="170"/>
      <c r="Q6" s="170"/>
      <c r="R6" s="170"/>
      <c r="S6" s="170"/>
      <c r="X6" s="48"/>
    </row>
    <row r="7" spans="2:25" ht="12.75" x14ac:dyDescent="0.2">
      <c r="N7" s="170"/>
      <c r="O7" s="170"/>
      <c r="P7" s="170"/>
      <c r="Q7" s="170"/>
      <c r="R7" s="170"/>
      <c r="S7" s="170"/>
      <c r="W7" s="135" t="str">
        <f>_sheetContentTranslation_A_144</f>
        <v>！</v>
      </c>
      <c r="X7" s="48"/>
    </row>
    <row r="8" spans="2:25" ht="12.75" customHeight="1" x14ac:dyDescent="0.25">
      <c r="I8" s="142" t="str">
        <f>_sheetContentTranslation_A_144</f>
        <v>！</v>
      </c>
      <c r="J8" s="142" t="str">
        <f>_sheetContentTranslation_A_144</f>
        <v>！</v>
      </c>
      <c r="N8" s="170"/>
      <c r="O8" s="170"/>
      <c r="P8" s="170"/>
      <c r="Q8" s="170"/>
      <c r="R8" s="170"/>
      <c r="S8" s="170"/>
      <c r="U8" s="185" t="str">
        <f>_sheetContentTranslation_A_164</f>
        <v>注释</v>
      </c>
      <c r="V8" s="185"/>
      <c r="W8" s="185"/>
      <c r="X8" s="48"/>
    </row>
    <row r="9" spans="2:25" ht="56.25" customHeight="1" x14ac:dyDescent="0.2">
      <c r="B9" s="149"/>
      <c r="C9" s="130" t="str">
        <f>_sheetContentTranslation_A_41</f>
        <v>合并总额</v>
      </c>
      <c r="D9" s="130" t="str">
        <f>_sheetContentTranslation_A_40</f>
        <v>抵销</v>
      </c>
      <c r="E9" s="130" t="str">
        <f>_sheetContentTranslation_A_39</f>
        <v>调整</v>
      </c>
      <c r="F9" s="50"/>
      <c r="G9" s="130" t="str">
        <f>_sheetContentTranslation_A_165</f>
        <v>财务信息审计 - 承担责任</v>
      </c>
      <c r="H9" s="130" t="str">
        <f>_sheetContentTranslation_A_166</f>
        <v>财务信息审计 - 提及组成部分注册会计师（中国准则不适用）</v>
      </c>
      <c r="I9" s="130" t="str">
        <f>_sheetContentTranslation_A_167</f>
        <v>对一个或多个账户余额、一类或多类交易或披露的审计</v>
      </c>
      <c r="J9" s="130" t="str">
        <f>_sheetContentTranslation_A_168</f>
        <v>特定审计程序</v>
      </c>
      <c r="K9" s="130" t="str">
        <f>_sheetContentTranslation_A_169</f>
        <v>财务信息审阅</v>
      </c>
      <c r="L9" s="130" t="str">
        <f>_sheetContentTranslation_A_170</f>
        <v>集团层面的分析性程序</v>
      </c>
      <c r="M9" s="50"/>
      <c r="N9" s="130" t="str">
        <f>_sheetContentTranslation_A_171</f>
        <v>金额</v>
      </c>
      <c r="O9" s="130" t="str">
        <f>_sheetContentTranslation_A_172</f>
        <v>金额（%）</v>
      </c>
      <c r="P9" s="130" t="str">
        <f>_sheetContentTranslation_A_171</f>
        <v>金额</v>
      </c>
      <c r="Q9" s="130" t="str">
        <f>_sheetContentTranslation_A_172</f>
        <v>金额（%）</v>
      </c>
      <c r="R9" s="130" t="str">
        <f>_sheetContentTranslation_A_171</f>
        <v>金额</v>
      </c>
      <c r="S9" s="130" t="str">
        <f>_sheetContentTranslation_A_172</f>
        <v>金额（%）</v>
      </c>
      <c r="T9" s="50"/>
      <c r="U9" s="130" t="str">
        <f>_sheetContentTranslation_A_173</f>
        <v>集团项目组将实施实质性程序或控制测试的领域</v>
      </c>
      <c r="V9" s="130" t="str">
        <f>_sheetContentTranslation_A_174</f>
        <v>集团项目组在组成部分层面实施的非实质性分析程序</v>
      </c>
      <c r="W9" s="130" t="str">
        <f>_sheetContentTranslation_A_157</f>
        <v>重大职业判断或其他意见（如有）</v>
      </c>
      <c r="X9" s="48"/>
      <c r="Y9" s="130"/>
    </row>
    <row r="10" spans="2:25" ht="16.5" thickBot="1" x14ac:dyDescent="0.25">
      <c r="B10" s="14" t="str">
        <f>IF(确定审计范围!$C13="","",确定审计范围!$C13)</f>
        <v>资产负债表</v>
      </c>
      <c r="C10" s="14"/>
      <c r="D10" s="14"/>
      <c r="E10" s="14"/>
      <c r="F10" s="50"/>
      <c r="G10" s="14"/>
      <c r="H10" s="14"/>
      <c r="I10" s="24"/>
      <c r="J10" s="24"/>
      <c r="K10" s="14"/>
      <c r="L10" s="14"/>
      <c r="M10" s="50"/>
      <c r="N10" s="14"/>
      <c r="O10" s="14"/>
      <c r="P10" s="14"/>
      <c r="Q10" s="14"/>
      <c r="R10" s="14"/>
      <c r="S10" s="14"/>
      <c r="T10" s="50"/>
      <c r="U10" s="24"/>
      <c r="V10" s="24"/>
      <c r="W10" s="24"/>
      <c r="X10" s="48"/>
      <c r="Y10" s="14"/>
    </row>
    <row r="11" spans="2:25" x14ac:dyDescent="0.2">
      <c r="B11" s="15" t="str">
        <f>IF(确定审计范围!$C14="","",确定审计范围!$C14)</f>
        <v/>
      </c>
      <c r="C11" s="15"/>
      <c r="D11" s="15"/>
      <c r="E11" s="15"/>
      <c r="F11" s="50"/>
      <c r="G11" s="15"/>
      <c r="H11" s="15"/>
      <c r="I11" s="58"/>
      <c r="J11" s="58"/>
      <c r="K11" s="15"/>
      <c r="L11" s="15"/>
      <c r="M11" s="50"/>
      <c r="N11" s="15"/>
      <c r="O11" s="15"/>
      <c r="P11" s="15"/>
      <c r="Q11" s="15"/>
      <c r="R11" s="15"/>
      <c r="S11" s="15"/>
      <c r="T11" s="50"/>
      <c r="U11" s="29"/>
      <c r="V11" s="29"/>
      <c r="W11" s="29"/>
      <c r="X11" s="48"/>
      <c r="Y11" s="15"/>
    </row>
    <row r="12" spans="2:25" x14ac:dyDescent="0.2">
      <c r="B12" s="16" t="str">
        <f>IF(确定审计范围!$C15="","",确定审计范围!$C15)</f>
        <v>流动资产</v>
      </c>
      <c r="C12" s="16"/>
      <c r="D12" s="16"/>
      <c r="E12" s="16"/>
      <c r="F12" s="50"/>
      <c r="G12" s="23"/>
      <c r="H12" s="23"/>
      <c r="I12" s="58"/>
      <c r="J12" s="58"/>
      <c r="K12" s="16"/>
      <c r="L12" s="16"/>
      <c r="M12" s="50"/>
      <c r="N12" s="16"/>
      <c r="O12" s="16"/>
      <c r="P12" s="16"/>
      <c r="Q12" s="16"/>
      <c r="R12" s="16"/>
      <c r="S12" s="16"/>
      <c r="T12" s="50"/>
      <c r="U12" s="31"/>
      <c r="V12" s="31"/>
      <c r="W12" s="31"/>
      <c r="X12" s="48"/>
      <c r="Y12" s="16"/>
    </row>
    <row r="13" spans="2:25" x14ac:dyDescent="0.2">
      <c r="B13" s="23" t="str">
        <f>IF(确定审计范围!$C16="","",确定审计范围!$C16)</f>
        <v>现金和现金等价物</v>
      </c>
      <c r="C13" s="70">
        <f ca="1">IFERROR(SUMIFS(OFFSET(确定审计范围!$C:$C,,MATCH(按工作类型的汇总报告!C$9,确定审计范围!$8:$8,0)-3,,),确定审计范围!$C:$C,按工作类型的汇总报告!$B13),"")</f>
        <v>0</v>
      </c>
      <c r="D13" s="70">
        <f ca="1">IFERROR(SUMIFS(OFFSET(确定审计范围!$C:$C,,MATCH(按工作类型的汇总报告!D$9,确定审计范围!$8:$8,0)-3,,),确定审计范围!$C:$C,按工作类型的汇总报告!$B13),"")</f>
        <v>0</v>
      </c>
      <c r="E13" s="70">
        <f ca="1">IFERROR(SUMIFS(OFFSET(确定审计范围!$C:$C,,MATCH(按工作类型的汇总报告!E$9,确定审计范围!$8:$8,0)-3,,),确定审计范围!$C:$C,按工作类型的汇总报告!$B13),"")</f>
        <v>0</v>
      </c>
      <c r="F13" s="51"/>
      <c r="G13" s="70">
        <f>IFERROR(SUMIFS(确定审计范围!16:16,确定审计范围!$12:$12,按工作类型的汇总报告!G$9),"")</f>
        <v>0</v>
      </c>
      <c r="H13" s="70">
        <f>IFERROR(SUMIFS(确定审计范围!16:16,确定审计范围!$12:$12,按工作类型的汇总报告!H$9),"")</f>
        <v>0</v>
      </c>
      <c r="I13" s="58"/>
      <c r="J13" s="58"/>
      <c r="K13" s="70">
        <f>IFERROR(SUMIFS(确定审计范围!16:16,确定审计范围!$12:$12,按工作类型的汇总报告!K$9),"")</f>
        <v>0</v>
      </c>
      <c r="L13" s="70">
        <f>IFERROR(SUMIFS(确定审计范围!16:16,确定审计范围!$12:$12,按工作类型的汇总报告!L$9),"")</f>
        <v>0</v>
      </c>
      <c r="M13" s="51"/>
      <c r="N13" s="70">
        <f t="shared" ref="N13:N21" ca="1" si="0">IFERROR(C13-SUM(D13:E13,G13:H13,I13,J13,K13:L13),"")</f>
        <v>0</v>
      </c>
      <c r="O13" s="71">
        <f t="shared" ref="O13:O21" ca="1" si="1">IFERROR(N13/(C13-D13-E13),0)</f>
        <v>0</v>
      </c>
      <c r="P13" s="70">
        <f>SUM(K13:L13)</f>
        <v>0</v>
      </c>
      <c r="Q13" s="71">
        <f t="shared" ref="Q13:Q23" ca="1" si="2">IFERROR(P13/(C13-D13-E13),0)</f>
        <v>0</v>
      </c>
      <c r="R13" s="70">
        <f t="shared" ref="R13:R21" si="3">G13+H13+I13+J13</f>
        <v>0</v>
      </c>
      <c r="S13" s="71">
        <f t="shared" ref="S13:S23" ca="1" si="4">IFERROR(R13/(C13-D13-E13),0)</f>
        <v>0</v>
      </c>
      <c r="T13" s="50"/>
      <c r="U13" s="58"/>
      <c r="V13" s="58"/>
      <c r="W13" s="95"/>
      <c r="X13" s="52"/>
      <c r="Y13" s="70">
        <f ca="1">IFERROR(SUMIFS(OFFSET(确定审计范围!$B:$B,,MATCH(按工作类型的汇总报告!Y$9,确定审计范围!$9:$9,0)-2),确定审计范围!$C:$C,按工作类型的汇总报告!$B13),0)</f>
        <v>0</v>
      </c>
    </row>
    <row r="14" spans="2:25" x14ac:dyDescent="0.2">
      <c r="B14" s="23" t="str">
        <f>IF(确定审计范围!$C17="","",确定审计范围!$C17)</f>
        <v>受限现金</v>
      </c>
      <c r="C14" s="70">
        <f ca="1">IFERROR(SUMIFS(OFFSET(确定审计范围!$C:$C,,MATCH(按工作类型的汇总报告!C$9,确定审计范围!$8:$8,0)-3,,),确定审计范围!$C:$C,按工作类型的汇总报告!$B14),"")</f>
        <v>0</v>
      </c>
      <c r="D14" s="70">
        <f ca="1">IFERROR(SUMIFS(OFFSET(确定审计范围!$C:$C,,MATCH(按工作类型的汇总报告!D$9,确定审计范围!$8:$8,0)-3,,),确定审计范围!$C:$C,按工作类型的汇总报告!$B14),"")</f>
        <v>0</v>
      </c>
      <c r="E14" s="70">
        <f ca="1">IFERROR(SUMIFS(OFFSET(确定审计范围!$C:$C,,MATCH(按工作类型的汇总报告!E$9,确定审计范围!$8:$8,0)-3,,),确定审计范围!$C:$C,按工作类型的汇总报告!$B14),"")</f>
        <v>0</v>
      </c>
      <c r="F14" s="51"/>
      <c r="G14" s="70">
        <f>IFERROR(SUMIFS(确定审计范围!17:17,确定审计范围!$12:$12,按工作类型的汇总报告!G$9),"")</f>
        <v>0</v>
      </c>
      <c r="H14" s="70">
        <f>IFERROR(SUMIFS(确定审计范围!17:17,确定审计范围!$12:$12,按工作类型的汇总报告!H$9),"")</f>
        <v>0</v>
      </c>
      <c r="I14" s="58"/>
      <c r="J14" s="58"/>
      <c r="K14" s="70">
        <f>IFERROR(SUMIFS(确定审计范围!17:17,确定审计范围!$12:$12,按工作类型的汇总报告!K$9),"")</f>
        <v>0</v>
      </c>
      <c r="L14" s="70">
        <f>IFERROR(SUMIFS(确定审计范围!17:17,确定审计范围!$12:$12,按工作类型的汇总报告!L$9),"")</f>
        <v>0</v>
      </c>
      <c r="M14" s="51"/>
      <c r="N14" s="70">
        <f t="shared" ca="1" si="0"/>
        <v>0</v>
      </c>
      <c r="O14" s="71">
        <f t="shared" ca="1" si="1"/>
        <v>0</v>
      </c>
      <c r="P14" s="70">
        <f t="shared" ref="P14:P21" si="5">SUM(K14:L14)</f>
        <v>0</v>
      </c>
      <c r="Q14" s="71">
        <f t="shared" ca="1" si="2"/>
        <v>0</v>
      </c>
      <c r="R14" s="70">
        <f t="shared" si="3"/>
        <v>0</v>
      </c>
      <c r="S14" s="71">
        <f t="shared" ca="1" si="4"/>
        <v>0</v>
      </c>
      <c r="T14" s="50"/>
      <c r="U14" s="58"/>
      <c r="V14" s="58"/>
      <c r="W14" s="95"/>
      <c r="X14" s="52"/>
      <c r="Y14" s="70">
        <f ca="1">IFERROR(SUMIFS(OFFSET(确定审计范围!$B:$B,,MATCH(按工作类型的汇总报告!Y$9,确定审计范围!$9:$9,0)-2),确定审计范围!$C:$C,按工作类型的汇总报告!$B14),0)</f>
        <v>0</v>
      </c>
    </row>
    <row r="15" spans="2:25" x14ac:dyDescent="0.2">
      <c r="B15" s="23" t="str">
        <f>IF(确定审计范围!$C18="","",确定审计范围!$C18)</f>
        <v>以公允价值计量的有价证券</v>
      </c>
      <c r="C15" s="70">
        <f ca="1">IFERROR(SUMIFS(OFFSET(确定审计范围!$C:$C,,MATCH(按工作类型的汇总报告!C$9,确定审计范围!$8:$8,0)-3,,),确定审计范围!$C:$C,按工作类型的汇总报告!$B15),"")</f>
        <v>0</v>
      </c>
      <c r="D15" s="70">
        <f ca="1">IFERROR(SUMIFS(OFFSET(确定审计范围!$C:$C,,MATCH(按工作类型的汇总报告!D$9,确定审计范围!$8:$8,0)-3,,),确定审计范围!$C:$C,按工作类型的汇总报告!$B15),"")</f>
        <v>0</v>
      </c>
      <c r="E15" s="70">
        <f ca="1">IFERROR(SUMIFS(OFFSET(确定审计范围!$C:$C,,MATCH(按工作类型的汇总报告!E$9,确定审计范围!$8:$8,0)-3,,),确定审计范围!$C:$C,按工作类型的汇总报告!$B15),"")</f>
        <v>0</v>
      </c>
      <c r="F15" s="51"/>
      <c r="G15" s="70">
        <f>IFERROR(SUMIFS(确定审计范围!18:18,确定审计范围!$12:$12,按工作类型的汇总报告!G$9),"")</f>
        <v>0</v>
      </c>
      <c r="H15" s="70">
        <f>IFERROR(SUMIFS(确定审计范围!18:18,确定审计范围!$12:$12,按工作类型的汇总报告!H$9),"")</f>
        <v>0</v>
      </c>
      <c r="I15" s="58"/>
      <c r="J15" s="58"/>
      <c r="K15" s="70">
        <f>IFERROR(SUMIFS(确定审计范围!18:18,确定审计范围!$12:$12,按工作类型的汇总报告!K$9),"")</f>
        <v>0</v>
      </c>
      <c r="L15" s="70">
        <f>IFERROR(SUMIFS(确定审计范围!18:18,确定审计范围!$12:$12,按工作类型的汇总报告!L$9),"")</f>
        <v>0</v>
      </c>
      <c r="M15" s="51"/>
      <c r="N15" s="70">
        <f t="shared" ca="1" si="0"/>
        <v>0</v>
      </c>
      <c r="O15" s="71">
        <f t="shared" ca="1" si="1"/>
        <v>0</v>
      </c>
      <c r="P15" s="70">
        <f t="shared" si="5"/>
        <v>0</v>
      </c>
      <c r="Q15" s="71">
        <f t="shared" ca="1" si="2"/>
        <v>0</v>
      </c>
      <c r="R15" s="70">
        <f t="shared" si="3"/>
        <v>0</v>
      </c>
      <c r="S15" s="71">
        <f t="shared" ca="1" si="4"/>
        <v>0</v>
      </c>
      <c r="T15" s="51"/>
      <c r="U15" s="58"/>
      <c r="V15" s="58"/>
      <c r="W15" s="95"/>
      <c r="X15" s="52"/>
      <c r="Y15" s="70">
        <f ca="1">IFERROR(SUMIFS(OFFSET(确定审计范围!$B:$B,,MATCH(按工作类型的汇总报告!Y$9,确定审计范围!$9:$9,0)-2),确定审计范围!$C:$C,按工作类型的汇总报告!$B15),0)</f>
        <v>0</v>
      </c>
    </row>
    <row r="16" spans="2:25" x14ac:dyDescent="0.2">
      <c r="B16" s="23" t="str">
        <f>IF(确定审计范围!$C19="","",确定审计范围!$C19)</f>
        <v>应收账款净额</v>
      </c>
      <c r="C16" s="70">
        <f ca="1">IFERROR(SUMIFS(OFFSET(确定审计范围!$C:$C,,MATCH(按工作类型的汇总报告!C$9,确定审计范围!$8:$8,0)-3,,),确定审计范围!$C:$C,按工作类型的汇总报告!$B16),"")</f>
        <v>0</v>
      </c>
      <c r="D16" s="70">
        <f ca="1">IFERROR(SUMIFS(OFFSET(确定审计范围!$C:$C,,MATCH(按工作类型的汇总报告!D$9,确定审计范围!$8:$8,0)-3,,),确定审计范围!$C:$C,按工作类型的汇总报告!$B16),"")</f>
        <v>0</v>
      </c>
      <c r="E16" s="70">
        <f ca="1">IFERROR(SUMIFS(OFFSET(确定审计范围!$C:$C,,MATCH(按工作类型的汇总报告!E$9,确定审计范围!$8:$8,0)-3,,),确定审计范围!$C:$C,按工作类型的汇总报告!$B16),"")</f>
        <v>0</v>
      </c>
      <c r="F16" s="51"/>
      <c r="G16" s="70">
        <f>IFERROR(SUMIFS(确定审计范围!19:19,确定审计范围!$12:$12,按工作类型的汇总报告!G$9),"")</f>
        <v>0</v>
      </c>
      <c r="H16" s="70">
        <f>IFERROR(SUMIFS(确定审计范围!19:19,确定审计范围!$12:$12,按工作类型的汇总报告!H$9),"")</f>
        <v>0</v>
      </c>
      <c r="I16" s="58"/>
      <c r="J16" s="58"/>
      <c r="K16" s="70">
        <f>IFERROR(SUMIFS(确定审计范围!19:19,确定审计范围!$12:$12,按工作类型的汇总报告!K$9),"")</f>
        <v>0</v>
      </c>
      <c r="L16" s="70">
        <f>IFERROR(SUMIFS(确定审计范围!19:19,确定审计范围!$12:$12,按工作类型的汇总报告!L$9),"")</f>
        <v>0</v>
      </c>
      <c r="M16" s="51"/>
      <c r="N16" s="70">
        <f t="shared" ca="1" si="0"/>
        <v>0</v>
      </c>
      <c r="O16" s="71">
        <f t="shared" ca="1" si="1"/>
        <v>0</v>
      </c>
      <c r="P16" s="70">
        <f t="shared" si="5"/>
        <v>0</v>
      </c>
      <c r="Q16" s="71">
        <f t="shared" ca="1" si="2"/>
        <v>0</v>
      </c>
      <c r="R16" s="70">
        <f t="shared" si="3"/>
        <v>0</v>
      </c>
      <c r="S16" s="71">
        <f t="shared" ca="1" si="4"/>
        <v>0</v>
      </c>
      <c r="T16" s="51"/>
      <c r="U16" s="58"/>
      <c r="V16" s="58"/>
      <c r="W16" s="95"/>
      <c r="X16" s="52"/>
      <c r="Y16" s="70">
        <f ca="1">IFERROR(SUMIFS(OFFSET(确定审计范围!$B:$B,,MATCH(按工作类型的汇总报告!Y$9,确定审计范围!$9:$9,0)-2),确定审计范围!$C:$C,按工作类型的汇总报告!$B16),0)</f>
        <v>0</v>
      </c>
    </row>
    <row r="17" spans="2:25" x14ac:dyDescent="0.2">
      <c r="B17" s="23" t="str">
        <f>IF(确定审计范围!$C20="","",确定审计范围!$C20)</f>
        <v>投资性房地产净额</v>
      </c>
      <c r="C17" s="70">
        <f ca="1">IFERROR(SUMIFS(OFFSET(确定审计范围!$C:$C,,MATCH(按工作类型的汇总报告!C$9,确定审计范围!$8:$8,0)-3,,),确定审计范围!$C:$C,按工作类型的汇总报告!$B17),"")</f>
        <v>0</v>
      </c>
      <c r="D17" s="70">
        <f ca="1">IFERROR(SUMIFS(OFFSET(确定审计范围!$C:$C,,MATCH(按工作类型的汇总报告!D$9,确定审计范围!$8:$8,0)-3,,),确定审计范围!$C:$C,按工作类型的汇总报告!$B17),"")</f>
        <v>0</v>
      </c>
      <c r="E17" s="70">
        <f ca="1">IFERROR(SUMIFS(OFFSET(确定审计范围!$C:$C,,MATCH(按工作类型的汇总报告!E$9,确定审计范围!$8:$8,0)-3,,),确定审计范围!$C:$C,按工作类型的汇总报告!$B17),"")</f>
        <v>0</v>
      </c>
      <c r="F17" s="51"/>
      <c r="G17" s="70">
        <f>IFERROR(SUMIFS(确定审计范围!20:20,确定审计范围!$12:$12,按工作类型的汇总报告!G$9),"")</f>
        <v>0</v>
      </c>
      <c r="H17" s="70">
        <f>IFERROR(SUMIFS(确定审计范围!20:20,确定审计范围!$12:$12,按工作类型的汇总报告!H$9),"")</f>
        <v>0</v>
      </c>
      <c r="I17" s="58"/>
      <c r="J17" s="58"/>
      <c r="K17" s="70">
        <f>IFERROR(SUMIFS(确定审计范围!20:20,确定审计范围!$12:$12,按工作类型的汇总报告!K$9),"")</f>
        <v>0</v>
      </c>
      <c r="L17" s="70">
        <f>IFERROR(SUMIFS(确定审计范围!20:20,确定审计范围!$12:$12,按工作类型的汇总报告!L$9),"")</f>
        <v>0</v>
      </c>
      <c r="M17" s="51"/>
      <c r="N17" s="70">
        <f t="shared" ca="1" si="0"/>
        <v>0</v>
      </c>
      <c r="O17" s="71">
        <f t="shared" ca="1" si="1"/>
        <v>0</v>
      </c>
      <c r="P17" s="70">
        <f t="shared" si="5"/>
        <v>0</v>
      </c>
      <c r="Q17" s="71">
        <f t="shared" ca="1" si="2"/>
        <v>0</v>
      </c>
      <c r="R17" s="70">
        <f t="shared" si="3"/>
        <v>0</v>
      </c>
      <c r="S17" s="71">
        <f t="shared" ca="1" si="4"/>
        <v>0</v>
      </c>
      <c r="T17" s="51"/>
      <c r="U17" s="58"/>
      <c r="V17" s="58"/>
      <c r="W17" s="95"/>
      <c r="X17" s="52"/>
      <c r="Y17" s="70">
        <f ca="1">IFERROR(SUMIFS(OFFSET(确定审计范围!$B:$B,,MATCH(按工作类型的汇总报告!Y$9,确定审计范围!$9:$9,0)-2),确定审计范围!$C:$C,按工作类型的汇总报告!$B17),0)</f>
        <v>0</v>
      </c>
    </row>
    <row r="18" spans="2:25" x14ac:dyDescent="0.2">
      <c r="B18" s="23" t="str">
        <f>IF(确定审计范围!$C21="","",确定审计范围!$C21)</f>
        <v>存货</v>
      </c>
      <c r="C18" s="70">
        <f ca="1">IFERROR(SUMIFS(OFFSET(确定审计范围!$C:$C,,MATCH(按工作类型的汇总报告!C$9,确定审计范围!$8:$8,0)-3,,),确定审计范围!$C:$C,按工作类型的汇总报告!$B18),"")</f>
        <v>0</v>
      </c>
      <c r="D18" s="70">
        <f ca="1">IFERROR(SUMIFS(OFFSET(确定审计范围!$C:$C,,MATCH(按工作类型的汇总报告!D$9,确定审计范围!$8:$8,0)-3,,),确定审计范围!$C:$C,按工作类型的汇总报告!$B18),"")</f>
        <v>0</v>
      </c>
      <c r="E18" s="70">
        <f ca="1">IFERROR(SUMIFS(OFFSET(确定审计范围!$C:$C,,MATCH(按工作类型的汇总报告!E$9,确定审计范围!$8:$8,0)-3,,),确定审计范围!$C:$C,按工作类型的汇总报告!$B18),"")</f>
        <v>0</v>
      </c>
      <c r="F18" s="51"/>
      <c r="G18" s="70">
        <f>IFERROR(SUMIFS(确定审计范围!21:21,确定审计范围!$12:$12,按工作类型的汇总报告!G$9),"")</f>
        <v>0</v>
      </c>
      <c r="H18" s="70">
        <f>IFERROR(SUMIFS(确定审计范围!21:21,确定审计范围!$12:$12,按工作类型的汇总报告!H$9),"")</f>
        <v>0</v>
      </c>
      <c r="I18" s="58"/>
      <c r="J18" s="58"/>
      <c r="K18" s="70">
        <f>IFERROR(SUMIFS(确定审计范围!21:21,确定审计范围!$12:$12,按工作类型的汇总报告!K$9),"")</f>
        <v>0</v>
      </c>
      <c r="L18" s="70">
        <f>IFERROR(SUMIFS(确定审计范围!21:21,确定审计范围!$12:$12,按工作类型的汇总报告!L$9),"")</f>
        <v>0</v>
      </c>
      <c r="M18" s="51"/>
      <c r="N18" s="70">
        <f t="shared" ca="1" si="0"/>
        <v>0</v>
      </c>
      <c r="O18" s="71">
        <f t="shared" ca="1" si="1"/>
        <v>0</v>
      </c>
      <c r="P18" s="70">
        <f t="shared" si="5"/>
        <v>0</v>
      </c>
      <c r="Q18" s="71">
        <f t="shared" ca="1" si="2"/>
        <v>0</v>
      </c>
      <c r="R18" s="70">
        <f t="shared" si="3"/>
        <v>0</v>
      </c>
      <c r="S18" s="71">
        <f t="shared" ca="1" si="4"/>
        <v>0</v>
      </c>
      <c r="T18" s="51"/>
      <c r="U18" s="58"/>
      <c r="V18" s="58"/>
      <c r="W18" s="95"/>
      <c r="X18" s="52"/>
      <c r="Y18" s="70">
        <f ca="1">IFERROR(SUMIFS(OFFSET(确定审计范围!$B:$B,,MATCH(按工作类型的汇总报告!Y$9,确定审计范围!$9:$9,0)-2),确定审计范围!$C:$C,按工作类型的汇总报告!$B18),0)</f>
        <v>0</v>
      </c>
    </row>
    <row r="19" spans="2:25" x14ac:dyDescent="0.2">
      <c r="B19" s="23" t="str">
        <f>IF(确定审计范围!$C22="","",确定审计范围!$C22)</f>
        <v>预付款项</v>
      </c>
      <c r="C19" s="70">
        <f ca="1">IFERROR(SUMIFS(OFFSET(确定审计范围!$C:$C,,MATCH(按工作类型的汇总报告!C$9,确定审计范围!$8:$8,0)-3,,),确定审计范围!$C:$C,按工作类型的汇总报告!$B19),"")</f>
        <v>0</v>
      </c>
      <c r="D19" s="70">
        <f ca="1">IFERROR(SUMIFS(OFFSET(确定审计范围!$C:$C,,MATCH(按工作类型的汇总报告!D$9,确定审计范围!$8:$8,0)-3,,),确定审计范围!$C:$C,按工作类型的汇总报告!$B19),"")</f>
        <v>0</v>
      </c>
      <c r="E19" s="70">
        <f ca="1">IFERROR(SUMIFS(OFFSET(确定审计范围!$C:$C,,MATCH(按工作类型的汇总报告!E$9,确定审计范围!$8:$8,0)-3,,),确定审计范围!$C:$C,按工作类型的汇总报告!$B19),"")</f>
        <v>0</v>
      </c>
      <c r="F19" s="51"/>
      <c r="G19" s="70">
        <f>IFERROR(SUMIFS(确定审计范围!22:22,确定审计范围!$12:$12,按工作类型的汇总报告!G$9),"")</f>
        <v>0</v>
      </c>
      <c r="H19" s="70">
        <f>IFERROR(SUMIFS(确定审计范围!22:22,确定审计范围!$12:$12,按工作类型的汇总报告!H$9),"")</f>
        <v>0</v>
      </c>
      <c r="I19" s="58"/>
      <c r="J19" s="58"/>
      <c r="K19" s="70">
        <f>IFERROR(SUMIFS(确定审计范围!22:22,确定审计范围!$12:$12,按工作类型的汇总报告!K$9),"")</f>
        <v>0</v>
      </c>
      <c r="L19" s="70">
        <f>IFERROR(SUMIFS(确定审计范围!22:22,确定审计范围!$12:$12,按工作类型的汇总报告!L$9),"")</f>
        <v>0</v>
      </c>
      <c r="M19" s="51"/>
      <c r="N19" s="70">
        <f t="shared" ca="1" si="0"/>
        <v>0</v>
      </c>
      <c r="O19" s="71">
        <f t="shared" ca="1" si="1"/>
        <v>0</v>
      </c>
      <c r="P19" s="70">
        <f t="shared" si="5"/>
        <v>0</v>
      </c>
      <c r="Q19" s="71">
        <f t="shared" ca="1" si="2"/>
        <v>0</v>
      </c>
      <c r="R19" s="70">
        <f t="shared" si="3"/>
        <v>0</v>
      </c>
      <c r="S19" s="71">
        <f t="shared" ca="1" si="4"/>
        <v>0</v>
      </c>
      <c r="T19" s="51"/>
      <c r="U19" s="58"/>
      <c r="V19" s="58"/>
      <c r="W19" s="95"/>
      <c r="X19" s="52"/>
      <c r="Y19" s="70">
        <f ca="1">IFERROR(SUMIFS(OFFSET(确定审计范围!$B:$B,,MATCH(按工作类型的汇总报告!Y$9,确定审计范围!$9:$9,0)-2),确定审计范围!$C:$C,按工作类型的汇总报告!$B19),0)</f>
        <v>0</v>
      </c>
    </row>
    <row r="20" spans="2:25" x14ac:dyDescent="0.2">
      <c r="B20" s="23" t="str">
        <f>IF(确定审计范围!$C23="","",确定审计范围!$C23)</f>
        <v>合同资产</v>
      </c>
      <c r="C20" s="70">
        <f ca="1">IFERROR(SUMIFS(OFFSET(确定审计范围!$C:$C,,MATCH(按工作类型的汇总报告!C$9,确定审计范围!$8:$8,0)-3,,),确定审计范围!$C:$C,按工作类型的汇总报告!$B20),"")</f>
        <v>0</v>
      </c>
      <c r="D20" s="70">
        <f ca="1">IFERROR(SUMIFS(OFFSET(确定审计范围!$C:$C,,MATCH(按工作类型的汇总报告!D$9,确定审计范围!$8:$8,0)-3,,),确定审计范围!$C:$C,按工作类型的汇总报告!$B20),"")</f>
        <v>0</v>
      </c>
      <c r="E20" s="70">
        <f ca="1">IFERROR(SUMIFS(OFFSET(确定审计范围!$C:$C,,MATCH(按工作类型的汇总报告!E$9,确定审计范围!$8:$8,0)-3,,),确定审计范围!$C:$C,按工作类型的汇总报告!$B20),"")</f>
        <v>0</v>
      </c>
      <c r="F20" s="51"/>
      <c r="G20" s="70">
        <f>IFERROR(SUMIFS(确定审计范围!23:23,确定审计范围!$12:$12,按工作类型的汇总报告!G$9),"")</f>
        <v>0</v>
      </c>
      <c r="H20" s="70">
        <f>IFERROR(SUMIFS(确定审计范围!23:23,确定审计范围!$12:$12,按工作类型的汇总报告!H$9),"")</f>
        <v>0</v>
      </c>
      <c r="I20" s="58"/>
      <c r="J20" s="58"/>
      <c r="K20" s="70">
        <f>IFERROR(SUMIFS(确定审计范围!23:23,确定审计范围!$12:$12,按工作类型的汇总报告!K$9),"")</f>
        <v>0</v>
      </c>
      <c r="L20" s="70">
        <f>IFERROR(SUMIFS(确定审计范围!23:23,确定审计范围!$12:$12,按工作类型的汇总报告!L$9),"")</f>
        <v>0</v>
      </c>
      <c r="M20" s="51"/>
      <c r="N20" s="70">
        <f t="shared" ca="1" si="0"/>
        <v>0</v>
      </c>
      <c r="O20" s="71">
        <f t="shared" ca="1" si="1"/>
        <v>0</v>
      </c>
      <c r="P20" s="70">
        <f t="shared" si="5"/>
        <v>0</v>
      </c>
      <c r="Q20" s="71">
        <f t="shared" ca="1" si="2"/>
        <v>0</v>
      </c>
      <c r="R20" s="70">
        <f t="shared" si="3"/>
        <v>0</v>
      </c>
      <c r="S20" s="71">
        <f t="shared" ca="1" si="4"/>
        <v>0</v>
      </c>
      <c r="T20" s="51"/>
      <c r="U20" s="58"/>
      <c r="V20" s="58"/>
      <c r="W20" s="95"/>
      <c r="X20" s="52"/>
      <c r="Y20" s="70">
        <f ca="1">IFERROR(SUMIFS(OFFSET(确定审计范围!$B:$B,,MATCH(按工作类型的汇总报告!Y$9,确定审计范围!$9:$9,0)-2),确定审计范围!$C:$C,按工作类型的汇总报告!$B20),0)</f>
        <v>0</v>
      </c>
    </row>
    <row r="21" spans="2:25" x14ac:dyDescent="0.2">
      <c r="B21" s="23" t="str">
        <f>IF(确定审计范围!$C24="","",确定审计范围!$C24)</f>
        <v>其他流动资产</v>
      </c>
      <c r="C21" s="70">
        <f ca="1">IFERROR(SUMIFS(OFFSET(确定审计范围!$C:$C,,MATCH(按工作类型的汇总报告!C$9,确定审计范围!$8:$8,0)-3,,),确定审计范围!$C:$C,按工作类型的汇总报告!$B21),"")</f>
        <v>0</v>
      </c>
      <c r="D21" s="70">
        <f ca="1">IFERROR(SUMIFS(OFFSET(确定审计范围!$C:$C,,MATCH(按工作类型的汇总报告!D$9,确定审计范围!$8:$8,0)-3,,),确定审计范围!$C:$C,按工作类型的汇总报告!$B21),"")</f>
        <v>0</v>
      </c>
      <c r="E21" s="70">
        <f ca="1">IFERROR(SUMIFS(OFFSET(确定审计范围!$C:$C,,MATCH(按工作类型的汇总报告!E$9,确定审计范围!$8:$8,0)-3,,),确定审计范围!$C:$C,按工作类型的汇总报告!$B21),"")</f>
        <v>0</v>
      </c>
      <c r="F21" s="51"/>
      <c r="G21" s="70">
        <f>IFERROR(SUMIFS(确定审计范围!24:24,确定审计范围!$12:$12,按工作类型的汇总报告!G$9),"")</f>
        <v>0</v>
      </c>
      <c r="H21" s="70">
        <f>IFERROR(SUMIFS(确定审计范围!24:24,确定审计范围!$12:$12,按工作类型的汇总报告!H$9),"")</f>
        <v>0</v>
      </c>
      <c r="I21" s="58"/>
      <c r="J21" s="58"/>
      <c r="K21" s="70">
        <f>IFERROR(SUMIFS(确定审计范围!24:24,确定审计范围!$12:$12,按工作类型的汇总报告!K$9),"")</f>
        <v>0</v>
      </c>
      <c r="L21" s="70">
        <f>IFERROR(SUMIFS(确定审计范围!24:24,确定审计范围!$12:$12,按工作类型的汇总报告!L$9),"")</f>
        <v>0</v>
      </c>
      <c r="M21" s="51"/>
      <c r="N21" s="70">
        <f t="shared" ca="1" si="0"/>
        <v>0</v>
      </c>
      <c r="O21" s="71">
        <f t="shared" ca="1" si="1"/>
        <v>0</v>
      </c>
      <c r="P21" s="70">
        <f t="shared" si="5"/>
        <v>0</v>
      </c>
      <c r="Q21" s="71">
        <f t="shared" ca="1" si="2"/>
        <v>0</v>
      </c>
      <c r="R21" s="70">
        <f t="shared" si="3"/>
        <v>0</v>
      </c>
      <c r="S21" s="71">
        <f t="shared" ca="1" si="4"/>
        <v>0</v>
      </c>
      <c r="T21" s="51"/>
      <c r="U21" s="58"/>
      <c r="V21" s="58"/>
      <c r="W21" s="95"/>
      <c r="X21" s="52"/>
      <c r="Y21" s="70">
        <f ca="1">IFERROR(SUMIFS(OFFSET(确定审计范围!$B:$B,,MATCH(按工作类型的汇总报告!Y$9,确定审计范围!$9:$9,0)-2),确定审计范围!$C:$C,按工作类型的汇总报告!$B21),0)</f>
        <v>0</v>
      </c>
    </row>
    <row r="22" spans="2:25" hidden="1" x14ac:dyDescent="0.2">
      <c r="B22" s="17" t="str">
        <f>IF(确定审计范围!$C25="","",确定审计范围!$C25)</f>
        <v>故意隐藏</v>
      </c>
      <c r="C22" s="72">
        <f ca="1">IFERROR(SUMIFS(OFFSET(确定审计范围!$C:$C,,MATCH(按工作类型的汇总报告!C$9,确定审计范围!$8:$8,0)-3,,),确定审计范围!$C:$C,按工作类型的汇总报告!$B22),"")</f>
        <v>0</v>
      </c>
      <c r="D22" s="72">
        <f ca="1">IFERROR(SUMIFS(OFFSET(确定审计范围!$C:$C,,MATCH(按工作类型的汇总报告!D$9,确定审计范围!$8:$8,0)-3,,),确定审计范围!$C:$C,按工作类型的汇总报告!$B22),"")</f>
        <v>0</v>
      </c>
      <c r="E22" s="72">
        <f ca="1">IFERROR(SUMIFS(OFFSET(确定审计范围!$C:$C,,MATCH(按工作类型的汇总报告!E$9,确定审计范围!$8:$8,0)-3,,),确定审计范围!$C:$C,按工作类型的汇总报告!$B22),"")</f>
        <v>0</v>
      </c>
      <c r="F22" s="51"/>
      <c r="G22" s="72">
        <f>IFERROR(SUMIFS(确定审计范围!25:25,确定审计范围!$12:$12,按工作类型的汇总报告!G$9),"")</f>
        <v>0</v>
      </c>
      <c r="H22" s="72">
        <f>IFERROR(SUMIFS(确定审计范围!25:25,确定审计范围!$12:$12,按工作类型的汇总报告!H$9),"")</f>
        <v>0</v>
      </c>
      <c r="I22" s="59"/>
      <c r="J22" s="59"/>
      <c r="K22" s="72">
        <f>IFERROR(SUMIFS(确定审计范围!25:25,确定审计范围!$12:$12,按工作类型的汇总报告!K$9),"")</f>
        <v>0</v>
      </c>
      <c r="L22" s="72">
        <f>IFERROR(SUMIFS(确定审计范围!25:25,确定审计范围!$12:$12,按工作类型的汇总报告!L$9),"")</f>
        <v>0</v>
      </c>
      <c r="M22" s="51"/>
      <c r="N22" s="72"/>
      <c r="O22" s="73"/>
      <c r="P22" s="72"/>
      <c r="Q22" s="73">
        <f t="shared" ca="1" si="2"/>
        <v>0</v>
      </c>
      <c r="R22" s="72"/>
      <c r="S22" s="73">
        <f t="shared" ca="1" si="4"/>
        <v>0</v>
      </c>
      <c r="T22" s="51"/>
      <c r="U22" s="59"/>
      <c r="V22" s="59"/>
      <c r="W22" s="96"/>
      <c r="X22" s="52"/>
      <c r="Y22" s="72"/>
    </row>
    <row r="23" spans="2:25" x14ac:dyDescent="0.2">
      <c r="B23" s="18" t="str">
        <f>IF(确定审计范围!$C26="","",确定审计范围!$C26)</f>
        <v>流动资产总额</v>
      </c>
      <c r="C23" s="74">
        <f ca="1">IFERROR(SUMIFS(OFFSET(确定审计范围!$C:$C,,MATCH(按工作类型的汇总报告!C$9,确定审计范围!$8:$8,0)-3,,),确定审计范围!$C:$C,按工作类型的汇总报告!$B23),"")</f>
        <v>0</v>
      </c>
      <c r="D23" s="74">
        <f ca="1">IFERROR(SUMIFS(OFFSET(确定审计范围!$C:$C,,MATCH(按工作类型的汇总报告!D$9,确定审计范围!$8:$8,0)-3,,),确定审计范围!$C:$C,按工作类型的汇总报告!$B23),"")</f>
        <v>0</v>
      </c>
      <c r="E23" s="74">
        <f ca="1">IFERROR(SUMIFS(OFFSET(确定审计范围!$C:$C,,MATCH(按工作类型的汇总报告!E$9,确定审计范围!$8:$8,0)-3,,),确定审计范围!$C:$C,按工作类型的汇总报告!$B23),"")</f>
        <v>0</v>
      </c>
      <c r="F23" s="51"/>
      <c r="G23" s="74">
        <f>IFERROR(SUMIFS(确定审计范围!26:26,确定审计范围!$12:$12,按工作类型的汇总报告!G$9),"")</f>
        <v>0</v>
      </c>
      <c r="H23" s="74">
        <f>IFERROR(SUMIFS(确定审计范围!26:26,确定审计范围!$12:$12,按工作类型的汇总报告!H$9),"")</f>
        <v>0</v>
      </c>
      <c r="I23" s="60">
        <f>SUM(I13:I22)</f>
        <v>0</v>
      </c>
      <c r="J23" s="60">
        <f>SUM(J13:J22)</f>
        <v>0</v>
      </c>
      <c r="K23" s="74">
        <f>IFERROR(SUMIFS(确定审计范围!26:26,确定审计范围!$12:$12,按工作类型的汇总报告!K$9),"")</f>
        <v>0</v>
      </c>
      <c r="L23" s="74">
        <f>IFERROR(SUMIFS(确定审计范围!26:26,确定审计范围!$12:$12,按工作类型的汇总报告!L$9),"")</f>
        <v>0</v>
      </c>
      <c r="M23" s="51"/>
      <c r="N23" s="74">
        <f ca="1">IFERROR(C23-SUM(D23:E23,G23:H23,I23,J23,K23:L23),"")</f>
        <v>0</v>
      </c>
      <c r="O23" s="75">
        <f ca="1">IFERROR(N23/(C23-D23-E23),0)</f>
        <v>0</v>
      </c>
      <c r="P23" s="74">
        <f>SUM(K23:L23)</f>
        <v>0</v>
      </c>
      <c r="Q23" s="75">
        <f t="shared" ca="1" si="2"/>
        <v>0</v>
      </c>
      <c r="R23" s="74">
        <f>SUM(R13:R22)</f>
        <v>0</v>
      </c>
      <c r="S23" s="75">
        <f t="shared" ca="1" si="4"/>
        <v>0</v>
      </c>
      <c r="T23" s="51"/>
      <c r="U23" s="60"/>
      <c r="V23" s="60"/>
      <c r="W23" s="97"/>
      <c r="X23" s="52"/>
      <c r="Y23" s="74">
        <f ca="1">SUM(Y13:Y22)</f>
        <v>0</v>
      </c>
    </row>
    <row r="24" spans="2:25" x14ac:dyDescent="0.2">
      <c r="B24" s="15" t="str">
        <f>IF(确定审计范围!$C27="","",确定审计范围!$C27)</f>
        <v/>
      </c>
      <c r="C24" s="76"/>
      <c r="D24" s="76"/>
      <c r="E24" s="76"/>
      <c r="F24" s="51"/>
      <c r="G24" s="76"/>
      <c r="H24" s="76"/>
      <c r="I24" s="61"/>
      <c r="J24" s="61"/>
      <c r="K24" s="76"/>
      <c r="L24" s="76"/>
      <c r="M24" s="51"/>
      <c r="N24" s="76"/>
      <c r="O24" s="77"/>
      <c r="P24" s="76"/>
      <c r="Q24" s="76"/>
      <c r="R24" s="76"/>
      <c r="S24" s="76"/>
      <c r="T24" s="51"/>
      <c r="U24" s="61"/>
      <c r="V24" s="61"/>
      <c r="W24" s="98"/>
      <c r="X24" s="52"/>
      <c r="Y24" s="76"/>
    </row>
    <row r="25" spans="2:25" x14ac:dyDescent="0.2">
      <c r="B25" s="23" t="str">
        <f>IF(确定审计范围!$C28="","",确定审计范围!$C28)</f>
        <v>债务和权益证券</v>
      </c>
      <c r="C25" s="70">
        <f ca="1">IFERROR(SUMIFS(OFFSET(确定审计范围!$C:$C,,MATCH(按工作类型的汇总报告!C$9,确定审计范围!$8:$8,0)-3,,),确定审计范围!$C:$C,按工作类型的汇总报告!$B25),"")</f>
        <v>0</v>
      </c>
      <c r="D25" s="70">
        <f ca="1">IFERROR(SUMIFS(OFFSET(确定审计范围!$C:$C,,MATCH(按工作类型的汇总报告!D$9,确定审计范围!$8:$8,0)-3,,),确定审计范围!$C:$C,按工作类型的汇总报告!$B25),"")</f>
        <v>0</v>
      </c>
      <c r="E25" s="70">
        <f ca="1">IFERROR(SUMIFS(OFFSET(确定审计范围!$C:$C,,MATCH(按工作类型的汇总报告!E$9,确定审计范围!$8:$8,0)-3,,),确定审计范围!$C:$C,按工作类型的汇总报告!$B25),"")</f>
        <v>0</v>
      </c>
      <c r="F25" s="51"/>
      <c r="G25" s="70">
        <f>IFERROR(SUMIFS(确定审计范围!28:28,确定审计范围!$12:$12,按工作类型的汇总报告!G$9),"")</f>
        <v>0</v>
      </c>
      <c r="H25" s="70">
        <f>IFERROR(SUMIFS(确定审计范围!28:28,确定审计范围!$12:$12,按工作类型的汇总报告!H$9),"")</f>
        <v>0</v>
      </c>
      <c r="I25" s="58"/>
      <c r="J25" s="58"/>
      <c r="K25" s="70">
        <f>IFERROR(SUMIFS(确定审计范围!28:28,确定审计范围!$12:$12,按工作类型的汇总报告!K$9),"")</f>
        <v>0</v>
      </c>
      <c r="L25" s="70">
        <f>IFERROR(SUMIFS(确定审计范围!28:28,确定审计范围!$12:$12,按工作类型的汇总报告!L$9),"")</f>
        <v>0</v>
      </c>
      <c r="M25" s="51"/>
      <c r="N25" s="70">
        <f t="shared" ref="N25:N36" ca="1" si="6">IFERROR(C25-SUM(D25:E25,G25:H25,I25,J25,K25:L25),"")</f>
        <v>0</v>
      </c>
      <c r="O25" s="71">
        <f t="shared" ref="O25:O36" ca="1" si="7">IFERROR(N25/(C25-D25-E25),0)</f>
        <v>0</v>
      </c>
      <c r="P25" s="70">
        <f t="shared" ref="P25:P36" si="8">SUM(K25:L25)</f>
        <v>0</v>
      </c>
      <c r="Q25" s="71">
        <f t="shared" ref="Q25:Q38" ca="1" si="9">IFERROR(P25/(C25-D25-E25),0)</f>
        <v>0</v>
      </c>
      <c r="R25" s="70">
        <f t="shared" ref="R25:R38" si="10">G25+H25+I25+J25</f>
        <v>0</v>
      </c>
      <c r="S25" s="71">
        <f t="shared" ref="S25:S38" ca="1" si="11">IFERROR(R25/(C25-D25-E25),0)</f>
        <v>0</v>
      </c>
      <c r="T25" s="51"/>
      <c r="U25" s="58"/>
      <c r="V25" s="58"/>
      <c r="W25" s="95"/>
      <c r="X25" s="52"/>
      <c r="Y25" s="70">
        <f ca="1">IFERROR(SUMIFS(OFFSET(确定审计范围!$B:$B,,MATCH(按工作类型的汇总报告!Y$9,确定审计范围!$9:$9,0)-2),确定审计范围!$C:$C,按工作类型的汇总报告!$B25),0)</f>
        <v>0</v>
      </c>
    </row>
    <row r="26" spans="2:25" x14ac:dyDescent="0.2">
      <c r="B26" s="23" t="str">
        <f>IF(确定审计范围!$C29="","",确定审计范围!$C29)</f>
        <v>其他投资</v>
      </c>
      <c r="C26" s="70">
        <f ca="1">IFERROR(SUMIFS(OFFSET(确定审计范围!$C:$C,,MATCH(按工作类型的汇总报告!C$9,确定审计范围!$8:$8,0)-3,,),确定审计范围!$C:$C,按工作类型的汇总报告!$B26),"")</f>
        <v>0</v>
      </c>
      <c r="D26" s="70">
        <f ca="1">IFERROR(SUMIFS(OFFSET(确定审计范围!$C:$C,,MATCH(按工作类型的汇总报告!D$9,确定审计范围!$8:$8,0)-3,,),确定审计范围!$C:$C,按工作类型的汇总报告!$B26),"")</f>
        <v>0</v>
      </c>
      <c r="E26" s="70">
        <f ca="1">IFERROR(SUMIFS(OFFSET(确定审计范围!$C:$C,,MATCH(按工作类型的汇总报告!E$9,确定审计范围!$8:$8,0)-3,,),确定审计范围!$C:$C,按工作类型的汇总报告!$B26),"")</f>
        <v>0</v>
      </c>
      <c r="F26" s="51"/>
      <c r="G26" s="70">
        <f>IFERROR(SUMIFS(确定审计范围!29:29,确定审计范围!$12:$12,按工作类型的汇总报告!G$9),"")</f>
        <v>0</v>
      </c>
      <c r="H26" s="70">
        <f>IFERROR(SUMIFS(确定审计范围!29:29,确定审计范围!$12:$12,按工作类型的汇总报告!H$9),"")</f>
        <v>0</v>
      </c>
      <c r="I26" s="58"/>
      <c r="J26" s="58"/>
      <c r="K26" s="70">
        <f>IFERROR(SUMIFS(确定审计范围!29:29,确定审计范围!$12:$12,按工作类型的汇总报告!K$9),"")</f>
        <v>0</v>
      </c>
      <c r="L26" s="70">
        <f>IFERROR(SUMIFS(确定审计范围!29:29,确定审计范围!$12:$12,按工作类型的汇总报告!L$9),"")</f>
        <v>0</v>
      </c>
      <c r="M26" s="51"/>
      <c r="N26" s="70">
        <f t="shared" ca="1" si="6"/>
        <v>0</v>
      </c>
      <c r="O26" s="71">
        <f t="shared" ca="1" si="7"/>
        <v>0</v>
      </c>
      <c r="P26" s="70">
        <f t="shared" si="8"/>
        <v>0</v>
      </c>
      <c r="Q26" s="71">
        <f t="shared" ca="1" si="9"/>
        <v>0</v>
      </c>
      <c r="R26" s="70">
        <f t="shared" si="10"/>
        <v>0</v>
      </c>
      <c r="S26" s="71">
        <f t="shared" ca="1" si="11"/>
        <v>0</v>
      </c>
      <c r="T26" s="51"/>
      <c r="U26" s="58"/>
      <c r="V26" s="58"/>
      <c r="W26" s="95"/>
      <c r="X26" s="52"/>
      <c r="Y26" s="70">
        <f ca="1">IFERROR(SUMIFS(OFFSET(确定审计范围!$B:$B,,MATCH(按工作类型的汇总报告!Y$9,确定审计范围!$9:$9,0)-2),确定审计范围!$C:$C,按工作类型的汇总报告!$B26),0)</f>
        <v>0</v>
      </c>
    </row>
    <row r="27" spans="2:25" x14ac:dyDescent="0.2">
      <c r="B27" s="23" t="str">
        <f>IF(确定审计范围!$C30="","",确定审计范围!$C30)</f>
        <v>衍生资产</v>
      </c>
      <c r="C27" s="70">
        <f ca="1">IFERROR(SUMIFS(OFFSET(确定审计范围!$C:$C,,MATCH(按工作类型的汇总报告!C$9,确定审计范围!$8:$8,0)-3,,),确定审计范围!$C:$C,按工作类型的汇总报告!$B27),"")</f>
        <v>0</v>
      </c>
      <c r="D27" s="70">
        <f ca="1">IFERROR(SUMIFS(OFFSET(确定审计范围!$C:$C,,MATCH(按工作类型的汇总报告!D$9,确定审计范围!$8:$8,0)-3,,),确定审计范围!$C:$C,按工作类型的汇总报告!$B27),"")</f>
        <v>0</v>
      </c>
      <c r="E27" s="70">
        <f ca="1">IFERROR(SUMIFS(OFFSET(确定审计范围!$C:$C,,MATCH(按工作类型的汇总报告!E$9,确定审计范围!$8:$8,0)-3,,),确定审计范围!$C:$C,按工作类型的汇总报告!$B27),"")</f>
        <v>0</v>
      </c>
      <c r="F27" s="51"/>
      <c r="G27" s="70">
        <f>IFERROR(SUMIFS(确定审计范围!30:30,确定审计范围!$12:$12,按工作类型的汇总报告!G$9),"")</f>
        <v>0</v>
      </c>
      <c r="H27" s="70">
        <f>IFERROR(SUMIFS(确定审计范围!30:30,确定审计范围!$12:$12,按工作类型的汇总报告!H$9),"")</f>
        <v>0</v>
      </c>
      <c r="I27" s="58"/>
      <c r="J27" s="58"/>
      <c r="K27" s="70">
        <f>IFERROR(SUMIFS(确定审计范围!30:30,确定审计范围!$12:$12,按工作类型的汇总报告!K$9),"")</f>
        <v>0</v>
      </c>
      <c r="L27" s="70">
        <f>IFERROR(SUMIFS(确定审计范围!30:30,确定审计范围!$12:$12,按工作类型的汇总报告!L$9),"")</f>
        <v>0</v>
      </c>
      <c r="M27" s="51"/>
      <c r="N27" s="70">
        <f t="shared" ca="1" si="6"/>
        <v>0</v>
      </c>
      <c r="O27" s="71">
        <f t="shared" ca="1" si="7"/>
        <v>0</v>
      </c>
      <c r="P27" s="70">
        <f t="shared" si="8"/>
        <v>0</v>
      </c>
      <c r="Q27" s="71">
        <f t="shared" ca="1" si="9"/>
        <v>0</v>
      </c>
      <c r="R27" s="70">
        <f t="shared" si="10"/>
        <v>0</v>
      </c>
      <c r="S27" s="71">
        <f t="shared" ca="1" si="11"/>
        <v>0</v>
      </c>
      <c r="T27" s="51"/>
      <c r="U27" s="58"/>
      <c r="V27" s="58"/>
      <c r="W27" s="95"/>
      <c r="X27" s="52"/>
      <c r="Y27" s="70">
        <f ca="1">IFERROR(SUMIFS(OFFSET(确定审计范围!$B:$B,,MATCH(按工作类型的汇总报告!Y$9,确定审计范围!$9:$9,0)-2),确定审计范围!$C:$C,按工作类型的汇总报告!$B27),0)</f>
        <v>0</v>
      </c>
    </row>
    <row r="28" spans="2:25" x14ac:dyDescent="0.2">
      <c r="B28" s="23" t="str">
        <f>IF(确定审计范围!$C31="","",确定审计范围!$C31)</f>
        <v>递延所得税资产（非流动）</v>
      </c>
      <c r="C28" s="70">
        <f ca="1">IFERROR(SUMIFS(OFFSET(确定审计范围!$C:$C,,MATCH(按工作类型的汇总报告!C$9,确定审计范围!$8:$8,0)-3,,),确定审计范围!$C:$C,按工作类型的汇总报告!$B28),"")</f>
        <v>0</v>
      </c>
      <c r="D28" s="70">
        <f ca="1">IFERROR(SUMIFS(OFFSET(确定审计范围!$C:$C,,MATCH(按工作类型的汇总报告!D$9,确定审计范围!$8:$8,0)-3,,),确定审计范围!$C:$C,按工作类型的汇总报告!$B28),"")</f>
        <v>0</v>
      </c>
      <c r="E28" s="70">
        <f ca="1">IFERROR(SUMIFS(OFFSET(确定审计范围!$C:$C,,MATCH(按工作类型的汇总报告!E$9,确定审计范围!$8:$8,0)-3,,),确定审计范围!$C:$C,按工作类型的汇总报告!$B28),"")</f>
        <v>0</v>
      </c>
      <c r="F28" s="51"/>
      <c r="G28" s="70">
        <f>IFERROR(SUMIFS(确定审计范围!31:31,确定审计范围!$12:$12,按工作类型的汇总报告!G$9),"")</f>
        <v>0</v>
      </c>
      <c r="H28" s="70">
        <f>IFERROR(SUMIFS(确定审计范围!31:31,确定审计范围!$12:$12,按工作类型的汇总报告!H$9),"")</f>
        <v>0</v>
      </c>
      <c r="I28" s="58"/>
      <c r="J28" s="58"/>
      <c r="K28" s="70">
        <f>IFERROR(SUMIFS(确定审计范围!31:31,确定审计范围!$12:$12,按工作类型的汇总报告!K$9),"")</f>
        <v>0</v>
      </c>
      <c r="L28" s="70">
        <f>IFERROR(SUMIFS(确定审计范围!31:31,确定审计范围!$12:$12,按工作类型的汇总报告!L$9),"")</f>
        <v>0</v>
      </c>
      <c r="M28" s="51"/>
      <c r="N28" s="70">
        <f t="shared" ca="1" si="6"/>
        <v>0</v>
      </c>
      <c r="O28" s="71">
        <f t="shared" ca="1" si="7"/>
        <v>0</v>
      </c>
      <c r="P28" s="70">
        <f t="shared" si="8"/>
        <v>0</v>
      </c>
      <c r="Q28" s="71">
        <f t="shared" ca="1" si="9"/>
        <v>0</v>
      </c>
      <c r="R28" s="70">
        <f t="shared" si="10"/>
        <v>0</v>
      </c>
      <c r="S28" s="71">
        <f t="shared" ca="1" si="11"/>
        <v>0</v>
      </c>
      <c r="T28" s="51"/>
      <c r="U28" s="58"/>
      <c r="V28" s="58"/>
      <c r="W28" s="95"/>
      <c r="X28" s="52"/>
      <c r="Y28" s="70">
        <f ca="1">IFERROR(SUMIFS(OFFSET(确定审计范围!$B:$B,,MATCH(按工作类型的汇总报告!Y$9,确定审计范围!$9:$9,0)-2),确定审计范围!$C:$C,按工作类型的汇总报告!$B28),0)</f>
        <v>0</v>
      </c>
    </row>
    <row r="29" spans="2:25" x14ac:dyDescent="0.2">
      <c r="B29" s="23" t="str">
        <f>IF(确定审计范围!$C32="","",确定审计范围!$C32)</f>
        <v>固定资产净额</v>
      </c>
      <c r="C29" s="70">
        <f ca="1">IFERROR(SUMIFS(OFFSET(确定审计范围!$C:$C,,MATCH(按工作类型的汇总报告!C$9,确定审计范围!$8:$8,0)-3,,),确定审计范围!$C:$C,按工作类型的汇总报告!$B29),"")</f>
        <v>0</v>
      </c>
      <c r="D29" s="70">
        <f ca="1">IFERROR(SUMIFS(OFFSET(确定审计范围!$C:$C,,MATCH(按工作类型的汇总报告!D$9,确定审计范围!$8:$8,0)-3,,),确定审计范围!$C:$C,按工作类型的汇总报告!$B29),"")</f>
        <v>0</v>
      </c>
      <c r="E29" s="70">
        <f ca="1">IFERROR(SUMIFS(OFFSET(确定审计范围!$C:$C,,MATCH(按工作类型的汇总报告!E$9,确定审计范围!$8:$8,0)-3,,),确定审计范围!$C:$C,按工作类型的汇总报告!$B29),"")</f>
        <v>0</v>
      </c>
      <c r="F29" s="51"/>
      <c r="G29" s="70">
        <f>IFERROR(SUMIFS(确定审计范围!32:32,确定审计范围!$12:$12,按工作类型的汇总报告!G$9),"")</f>
        <v>0</v>
      </c>
      <c r="H29" s="70">
        <f>IFERROR(SUMIFS(确定审计范围!32:32,确定审计范围!$12:$12,按工作类型的汇总报告!H$9),"")</f>
        <v>0</v>
      </c>
      <c r="I29" s="58"/>
      <c r="J29" s="58"/>
      <c r="K29" s="70">
        <f>IFERROR(SUMIFS(确定审计范围!32:32,确定审计范围!$12:$12,按工作类型的汇总报告!K$9),"")</f>
        <v>0</v>
      </c>
      <c r="L29" s="70">
        <f>IFERROR(SUMIFS(确定审计范围!32:32,确定审计范围!$12:$12,按工作类型的汇总报告!L$9),"")</f>
        <v>0</v>
      </c>
      <c r="M29" s="51"/>
      <c r="N29" s="70">
        <f t="shared" ca="1" si="6"/>
        <v>0</v>
      </c>
      <c r="O29" s="71">
        <f t="shared" ca="1" si="7"/>
        <v>0</v>
      </c>
      <c r="P29" s="70">
        <f t="shared" si="8"/>
        <v>0</v>
      </c>
      <c r="Q29" s="71">
        <f t="shared" ca="1" si="9"/>
        <v>0</v>
      </c>
      <c r="R29" s="70">
        <f t="shared" si="10"/>
        <v>0</v>
      </c>
      <c r="S29" s="71">
        <f t="shared" ca="1" si="11"/>
        <v>0</v>
      </c>
      <c r="T29" s="51"/>
      <c r="U29" s="58"/>
      <c r="V29" s="58"/>
      <c r="W29" s="95"/>
      <c r="X29" s="52"/>
      <c r="Y29" s="70">
        <f ca="1">IFERROR(SUMIFS(OFFSET(确定审计范围!$B:$B,,MATCH(按工作类型的汇总报告!Y$9,确定审计范围!$9:$9,0)-2),确定审计范围!$C:$C,按工作类型的汇总报告!$B29),0)</f>
        <v>0</v>
      </c>
    </row>
    <row r="30" spans="2:25" x14ac:dyDescent="0.2">
      <c r="B30" s="23" t="str">
        <f>IF(确定审计范围!$C33="","",确定审计范围!$C33)</f>
        <v>无形资产净额</v>
      </c>
      <c r="C30" s="70">
        <f ca="1">IFERROR(SUMIFS(OFFSET(确定审计范围!$C:$C,,MATCH(按工作类型的汇总报告!C$9,确定审计范围!$8:$8,0)-3,,),确定审计范围!$C:$C,按工作类型的汇总报告!$B30),"")</f>
        <v>0</v>
      </c>
      <c r="D30" s="70">
        <f ca="1">IFERROR(SUMIFS(OFFSET(确定审计范围!$C:$C,,MATCH(按工作类型的汇总报告!D$9,确定审计范围!$8:$8,0)-3,,),确定审计范围!$C:$C,按工作类型的汇总报告!$B30),"")</f>
        <v>0</v>
      </c>
      <c r="E30" s="70">
        <f ca="1">IFERROR(SUMIFS(OFFSET(确定审计范围!$C:$C,,MATCH(按工作类型的汇总报告!E$9,确定审计范围!$8:$8,0)-3,,),确定审计范围!$C:$C,按工作类型的汇总报告!$B30),"")</f>
        <v>0</v>
      </c>
      <c r="F30" s="51"/>
      <c r="G30" s="70">
        <f>IFERROR(SUMIFS(确定审计范围!33:33,确定审计范围!$12:$12,按工作类型的汇总报告!G$9),"")</f>
        <v>0</v>
      </c>
      <c r="H30" s="70">
        <f>IFERROR(SUMIFS(确定审计范围!33:33,确定审计范围!$12:$12,按工作类型的汇总报告!H$9),"")</f>
        <v>0</v>
      </c>
      <c r="I30" s="58"/>
      <c r="J30" s="58"/>
      <c r="K30" s="70">
        <f>IFERROR(SUMIFS(确定审计范围!33:33,确定审计范围!$12:$12,按工作类型的汇总报告!K$9),"")</f>
        <v>0</v>
      </c>
      <c r="L30" s="70">
        <f>IFERROR(SUMIFS(确定审计范围!33:33,确定审计范围!$12:$12,按工作类型的汇总报告!L$9),"")</f>
        <v>0</v>
      </c>
      <c r="M30" s="51"/>
      <c r="N30" s="70">
        <f t="shared" ca="1" si="6"/>
        <v>0</v>
      </c>
      <c r="O30" s="71">
        <f t="shared" ca="1" si="7"/>
        <v>0</v>
      </c>
      <c r="P30" s="70">
        <f t="shared" si="8"/>
        <v>0</v>
      </c>
      <c r="Q30" s="71">
        <f t="shared" ca="1" si="9"/>
        <v>0</v>
      </c>
      <c r="R30" s="70">
        <f t="shared" si="10"/>
        <v>0</v>
      </c>
      <c r="S30" s="71">
        <f t="shared" ca="1" si="11"/>
        <v>0</v>
      </c>
      <c r="T30" s="51"/>
      <c r="U30" s="58"/>
      <c r="V30" s="58"/>
      <c r="W30" s="95"/>
      <c r="X30" s="52"/>
      <c r="Y30" s="70">
        <f ca="1">IFERROR(SUMIFS(OFFSET(确定审计范围!$B:$B,,MATCH(按工作类型的汇总报告!Y$9,确定审计范围!$9:$9,0)-2),确定审计范围!$C:$C,按工作类型的汇总报告!$B30),0)</f>
        <v>0</v>
      </c>
    </row>
    <row r="31" spans="2:25" x14ac:dyDescent="0.2">
      <c r="B31" s="23" t="str">
        <f>IF(确定审计范围!$C34="","",确定审计范围!$C34)</f>
        <v>商誉</v>
      </c>
      <c r="C31" s="70">
        <f ca="1">IFERROR(SUMIFS(OFFSET(确定审计范围!$C:$C,,MATCH(按工作类型的汇总报告!C$9,确定审计范围!$8:$8,0)-3,,),确定审计范围!$C:$C,按工作类型的汇总报告!$B31),"")</f>
        <v>0</v>
      </c>
      <c r="D31" s="70">
        <f ca="1">IFERROR(SUMIFS(OFFSET(确定审计范围!$C:$C,,MATCH(按工作类型的汇总报告!D$9,确定审计范围!$8:$8,0)-3,,),确定审计范围!$C:$C,按工作类型的汇总报告!$B31),"")</f>
        <v>0</v>
      </c>
      <c r="E31" s="70">
        <f ca="1">IFERROR(SUMIFS(OFFSET(确定审计范围!$C:$C,,MATCH(按工作类型的汇总报告!E$9,确定审计范围!$8:$8,0)-3,,),确定审计范围!$C:$C,按工作类型的汇总报告!$B31),"")</f>
        <v>0</v>
      </c>
      <c r="F31" s="51"/>
      <c r="G31" s="70">
        <f>IFERROR(SUMIFS(确定审计范围!34:34,确定审计范围!$12:$12,按工作类型的汇总报告!G$9),"")</f>
        <v>0</v>
      </c>
      <c r="H31" s="70">
        <f>IFERROR(SUMIFS(确定审计范围!34:34,确定审计范围!$12:$12,按工作类型的汇总报告!H$9),"")</f>
        <v>0</v>
      </c>
      <c r="I31" s="58"/>
      <c r="J31" s="58"/>
      <c r="K31" s="70">
        <f>IFERROR(SUMIFS(确定审计范围!34:34,确定审计范围!$12:$12,按工作类型的汇总报告!K$9),"")</f>
        <v>0</v>
      </c>
      <c r="L31" s="70">
        <f>IFERROR(SUMIFS(确定审计范围!34:34,确定审计范围!$12:$12,按工作类型的汇总报告!L$9),"")</f>
        <v>0</v>
      </c>
      <c r="M31" s="51"/>
      <c r="N31" s="70">
        <f t="shared" ca="1" si="6"/>
        <v>0</v>
      </c>
      <c r="O31" s="71">
        <f t="shared" ca="1" si="7"/>
        <v>0</v>
      </c>
      <c r="P31" s="70">
        <f t="shared" si="8"/>
        <v>0</v>
      </c>
      <c r="Q31" s="71">
        <f t="shared" ca="1" si="9"/>
        <v>0</v>
      </c>
      <c r="R31" s="70">
        <f t="shared" si="10"/>
        <v>0</v>
      </c>
      <c r="S31" s="71">
        <f t="shared" ca="1" si="11"/>
        <v>0</v>
      </c>
      <c r="T31" s="51"/>
      <c r="U31" s="58"/>
      <c r="V31" s="58"/>
      <c r="W31" s="95"/>
      <c r="X31" s="52"/>
      <c r="Y31" s="70">
        <f ca="1">IFERROR(SUMIFS(OFFSET(确定审计范围!$B:$B,,MATCH(按工作类型的汇总报告!Y$9,确定审计范围!$9:$9,0)-2),确定审计范围!$C:$C,按工作类型的汇总报告!$B31),0)</f>
        <v>0</v>
      </c>
    </row>
    <row r="32" spans="2:25" x14ac:dyDescent="0.2">
      <c r="B32" s="23" t="str">
        <f>IF(确定审计范围!$C35="","",确定审计范围!$C35)</f>
        <v>持有待售资产</v>
      </c>
      <c r="C32" s="70">
        <f ca="1">IFERROR(SUMIFS(OFFSET(确定审计范围!$C:$C,,MATCH(按工作类型的汇总报告!C$9,确定审计范围!$8:$8,0)-3,,),确定审计范围!$C:$C,按工作类型的汇总报告!$B32),"")</f>
        <v>0</v>
      </c>
      <c r="D32" s="105">
        <f ca="1">IFERROR(SUMIFS(OFFSET(确定审计范围!$C:$C,,MATCH(按工作类型的汇总报告!D$9,确定审计范围!$8:$8,0)-3,,),确定审计范围!$C:$C,按工作类型的汇总报告!$B32),"")</f>
        <v>0</v>
      </c>
      <c r="E32" s="105">
        <f ca="1">IFERROR(SUMIFS(OFFSET(确定审计范围!$C:$C,,MATCH(按工作类型的汇总报告!E$9,确定审计范围!$8:$8,0)-3,,),确定审计范围!$C:$C,按工作类型的汇总报告!$B32),"")</f>
        <v>0</v>
      </c>
      <c r="F32" s="51"/>
      <c r="G32" s="105">
        <f>IFERROR(SUMIFS(确定审计范围!35:35,确定审计范围!$12:$12,按工作类型的汇总报告!G$9),"")</f>
        <v>0</v>
      </c>
      <c r="H32" s="105">
        <f>IFERROR(SUMIFS(确定审计范围!35:35,确定审计范围!$12:$12,按工作类型的汇总报告!H$9),"")</f>
        <v>0</v>
      </c>
      <c r="I32" s="58"/>
      <c r="J32" s="58"/>
      <c r="K32" s="70">
        <f>IFERROR(SUMIFS(确定审计范围!35:35,确定审计范围!$12:$12,按工作类型的汇总报告!K$9),"")</f>
        <v>0</v>
      </c>
      <c r="L32" s="70">
        <f>IFERROR(SUMIFS(确定审计范围!35:35,确定审计范围!$12:$12,按工作类型的汇总报告!L$9),"")</f>
        <v>0</v>
      </c>
      <c r="M32" s="51"/>
      <c r="N32" s="70">
        <f t="shared" ca="1" si="6"/>
        <v>0</v>
      </c>
      <c r="O32" s="71">
        <f t="shared" ca="1" si="7"/>
        <v>0</v>
      </c>
      <c r="P32" s="70">
        <f t="shared" si="8"/>
        <v>0</v>
      </c>
      <c r="Q32" s="71">
        <f t="shared" ca="1" si="9"/>
        <v>0</v>
      </c>
      <c r="R32" s="70">
        <f t="shared" si="10"/>
        <v>0</v>
      </c>
      <c r="S32" s="71">
        <f t="shared" ca="1" si="11"/>
        <v>0</v>
      </c>
      <c r="T32" s="51"/>
      <c r="U32" s="58"/>
      <c r="V32" s="58"/>
      <c r="W32" s="95"/>
      <c r="X32" s="52"/>
      <c r="Y32" s="70">
        <f ca="1">IFERROR(SUMIFS(OFFSET(确定审计范围!$B:$B,,MATCH(按工作类型的汇总报告!Y$9,确定审计范围!$9:$9,0)-2),确定审计范围!$C:$C,按工作类型的汇总报告!$B32),0)</f>
        <v>0</v>
      </c>
    </row>
    <row r="33" spans="2:26" s="48" customFormat="1" x14ac:dyDescent="0.2">
      <c r="B33" s="49" t="str">
        <f>IF(确定审计范围!$C36="","",确定审计范围!$C36)</f>
        <v>终止经营资产</v>
      </c>
      <c r="C33" s="70">
        <f ca="1">IFERROR(SUMIFS(OFFSET(确定审计范围!$C:$C,,MATCH(按工作类型的汇总报告!C$9,确定审计范围!$8:$8,0)-3,,),确定审计范围!$C:$C,按工作类型的汇总报告!$B33),"")</f>
        <v>0</v>
      </c>
      <c r="D33" s="70">
        <f ca="1">IFERROR(SUMIFS(OFFSET(确定审计范围!$C:$C,,MATCH(按工作类型的汇总报告!D$9,确定审计范围!$8:$8,0)-3,,),确定审计范围!$C:$C,按工作类型的汇总报告!$B33),"")</f>
        <v>0</v>
      </c>
      <c r="E33" s="70">
        <f ca="1">IFERROR(SUMIFS(OFFSET(确定审计范围!$C:$C,,MATCH(按工作类型的汇总报告!E$9,确定审计范围!$8:$8,0)-3,,),确定审计范围!$C:$C,按工作类型的汇总报告!$B33),"")</f>
        <v>0</v>
      </c>
      <c r="F33" s="51"/>
      <c r="G33" s="70">
        <f>IFERROR(SUMIFS(确定审计范围!36:36,确定审计范围!$12:$12,按工作类型的汇总报告!G$9),"")</f>
        <v>0</v>
      </c>
      <c r="H33" s="70">
        <f>IFERROR(SUMIFS(确定审计范围!36:36,确定审计范围!$12:$12,按工作类型的汇总报告!H$9),"")</f>
        <v>0</v>
      </c>
      <c r="I33" s="58"/>
      <c r="J33" s="58"/>
      <c r="K33" s="70">
        <f>IFERROR(SUMIFS(确定审计范围!36:36,确定审计范围!$12:$12,按工作类型的汇总报告!K$9),"")</f>
        <v>0</v>
      </c>
      <c r="L33" s="70">
        <f>IFERROR(SUMIFS(确定审计范围!36:36,确定审计范围!$12:$12,按工作类型的汇总报告!L$9),"")</f>
        <v>0</v>
      </c>
      <c r="M33" s="51"/>
      <c r="N33" s="70">
        <f t="shared" ca="1" si="6"/>
        <v>0</v>
      </c>
      <c r="O33" s="71">
        <f t="shared" ca="1" si="7"/>
        <v>0</v>
      </c>
      <c r="P33" s="70">
        <f t="shared" si="8"/>
        <v>0</v>
      </c>
      <c r="Q33" s="71">
        <f t="shared" ca="1" si="9"/>
        <v>0</v>
      </c>
      <c r="R33" s="70">
        <f t="shared" si="10"/>
        <v>0</v>
      </c>
      <c r="S33" s="71">
        <f t="shared" ca="1" si="11"/>
        <v>0</v>
      </c>
      <c r="T33" s="51"/>
      <c r="U33" s="58"/>
      <c r="V33" s="58"/>
      <c r="W33" s="95"/>
      <c r="X33" s="52"/>
      <c r="Y33" s="70">
        <f ca="1">IFERROR(SUMIFS(OFFSET(确定审计范围!$B:$B,,MATCH(按工作类型的汇总报告!Y$9,确定审计范围!$9:$9,0)-2),确定审计范围!$C:$C,按工作类型的汇总报告!$B33),0)</f>
        <v>0</v>
      </c>
      <c r="Z33"/>
    </row>
    <row r="34" spans="2:26" s="48" customFormat="1" x14ac:dyDescent="0.2">
      <c r="B34" s="49" t="str">
        <f>IF(确定审计范围!$C37="","",确定审计范围!$C37)</f>
        <v>应收关联方款项（非流动）</v>
      </c>
      <c r="C34" s="70">
        <f ca="1">IFERROR(SUMIFS(OFFSET(确定审计范围!$C:$C,,MATCH(按工作类型的汇总报告!C$9,确定审计范围!$8:$8,0)-3,,),确定审计范围!$C:$C,按工作类型的汇总报告!$B34),"")</f>
        <v>0</v>
      </c>
      <c r="D34" s="70">
        <f ca="1">IFERROR(SUMIFS(OFFSET(确定审计范围!$C:$C,,MATCH(按工作类型的汇总报告!D$9,确定审计范围!$8:$8,0)-3,,),确定审计范围!$C:$C,按工作类型的汇总报告!$B34),"")</f>
        <v>0</v>
      </c>
      <c r="E34" s="70">
        <f ca="1">IFERROR(SUMIFS(OFFSET(确定审计范围!$C:$C,,MATCH(按工作类型的汇总报告!E$9,确定审计范围!$8:$8,0)-3,,),确定审计范围!$C:$C,按工作类型的汇总报告!$B34),"")</f>
        <v>0</v>
      </c>
      <c r="F34" s="51"/>
      <c r="G34" s="70">
        <f>IFERROR(SUMIFS(确定审计范围!37:37,确定审计范围!$12:$12,按工作类型的汇总报告!G$9),"")</f>
        <v>0</v>
      </c>
      <c r="H34" s="70">
        <f>IFERROR(SUMIFS(确定审计范围!37:37,确定审计范围!$12:$12,按工作类型的汇总报告!H$9),"")</f>
        <v>0</v>
      </c>
      <c r="I34" s="58"/>
      <c r="J34" s="58"/>
      <c r="K34" s="70">
        <f>IFERROR(SUMIFS(确定审计范围!37:37,确定审计范围!$12:$12,按工作类型的汇总报告!K$9),"")</f>
        <v>0</v>
      </c>
      <c r="L34" s="70">
        <f>IFERROR(SUMIFS(确定审计范围!37:37,确定审计范围!$12:$12,按工作类型的汇总报告!L$9),"")</f>
        <v>0</v>
      </c>
      <c r="M34" s="51"/>
      <c r="N34" s="70">
        <f t="shared" ca="1" si="6"/>
        <v>0</v>
      </c>
      <c r="O34" s="71">
        <f t="shared" ca="1" si="7"/>
        <v>0</v>
      </c>
      <c r="P34" s="70">
        <f t="shared" si="8"/>
        <v>0</v>
      </c>
      <c r="Q34" s="71">
        <f t="shared" ca="1" si="9"/>
        <v>0</v>
      </c>
      <c r="R34" s="70">
        <f t="shared" si="10"/>
        <v>0</v>
      </c>
      <c r="S34" s="71">
        <f t="shared" ca="1" si="11"/>
        <v>0</v>
      </c>
      <c r="T34" s="51"/>
      <c r="U34" s="58"/>
      <c r="V34" s="58"/>
      <c r="W34" s="95"/>
      <c r="X34" s="52"/>
      <c r="Y34" s="70">
        <f ca="1">IFERROR(SUMIFS(OFFSET(确定审计范围!$B:$B,,MATCH(按工作类型的汇总报告!Y$9,确定审计范围!$9:$9,0)-2),确定审计范围!$C:$C,按工作类型的汇总报告!$B34),0)</f>
        <v>0</v>
      </c>
      <c r="Z34"/>
    </row>
    <row r="35" spans="2:26" s="48" customFormat="1" x14ac:dyDescent="0.2">
      <c r="B35" s="49" t="str">
        <f>IF(确定审计范围!$C38="","",确定审计范围!$C38)</f>
        <v>对子公司的投资</v>
      </c>
      <c r="C35" s="70">
        <f ca="1">IFERROR(SUMIFS(OFFSET(确定审计范围!$C:$C,,MATCH(按工作类型的汇总报告!C$9,确定审计范围!$8:$8,0)-3,,),确定审计范围!$C:$C,按工作类型的汇总报告!$B35),"")</f>
        <v>0</v>
      </c>
      <c r="D35" s="70">
        <f ca="1">IFERROR(SUMIFS(OFFSET(确定审计范围!$C:$C,,MATCH(按工作类型的汇总报告!D$9,确定审计范围!$8:$8,0)-3,,),确定审计范围!$C:$C,按工作类型的汇总报告!$B35),"")</f>
        <v>0</v>
      </c>
      <c r="E35" s="70">
        <f ca="1">IFERROR(SUMIFS(OFFSET(确定审计范围!$C:$C,,MATCH(按工作类型的汇总报告!E$9,确定审计范围!$8:$8,0)-3,,),确定审计范围!$C:$C,按工作类型的汇总报告!$B35),"")</f>
        <v>0</v>
      </c>
      <c r="F35" s="51"/>
      <c r="G35" s="70">
        <f>IFERROR(SUMIFS(确定审计范围!38:38,确定审计范围!$12:$12,按工作类型的汇总报告!G$9),"")</f>
        <v>0</v>
      </c>
      <c r="H35" s="70">
        <f>IFERROR(SUMIFS(确定审计范围!38:38,确定审计范围!$12:$12,按工作类型的汇总报告!H$9),"")</f>
        <v>0</v>
      </c>
      <c r="I35" s="58"/>
      <c r="J35" s="58"/>
      <c r="K35" s="70">
        <f>IFERROR(SUMIFS(确定审计范围!38:38,确定审计范围!$12:$12,按工作类型的汇总报告!K$9),"")</f>
        <v>0</v>
      </c>
      <c r="L35" s="70">
        <f>IFERROR(SUMIFS(确定审计范围!38:38,确定审计范围!$12:$12,按工作类型的汇总报告!L$9),"")</f>
        <v>0</v>
      </c>
      <c r="M35" s="51"/>
      <c r="N35" s="70">
        <f t="shared" ca="1" si="6"/>
        <v>0</v>
      </c>
      <c r="O35" s="71">
        <f t="shared" ca="1" si="7"/>
        <v>0</v>
      </c>
      <c r="P35" s="70">
        <f t="shared" si="8"/>
        <v>0</v>
      </c>
      <c r="Q35" s="71">
        <f t="shared" ca="1" si="9"/>
        <v>0</v>
      </c>
      <c r="R35" s="70">
        <f t="shared" si="10"/>
        <v>0</v>
      </c>
      <c r="S35" s="71">
        <f t="shared" ca="1" si="11"/>
        <v>0</v>
      </c>
      <c r="T35" s="51"/>
      <c r="U35" s="58"/>
      <c r="V35" s="58"/>
      <c r="W35" s="95"/>
      <c r="X35" s="52"/>
      <c r="Y35" s="70">
        <f ca="1">IFERROR(SUMIFS(OFFSET(确定审计范围!$B:$B,,MATCH(按工作类型的汇总报告!Y$9,确定审计范围!$9:$9,0)-2),确定审计范围!$C:$C,按工作类型的汇总报告!$B35),0)</f>
        <v>0</v>
      </c>
      <c r="Z35"/>
    </row>
    <row r="36" spans="2:26" x14ac:dyDescent="0.2">
      <c r="B36" s="23" t="str">
        <f>IF(确定审计范围!$C39="","",确定审计范围!$C39)</f>
        <v>其他资产</v>
      </c>
      <c r="C36" s="70">
        <f ca="1">IFERROR(SUMIFS(OFFSET(确定审计范围!$C:$C,,MATCH(按工作类型的汇总报告!C$9,确定审计范围!$8:$8,0)-3,,),确定审计范围!$C:$C,按工作类型的汇总报告!$B36),"")</f>
        <v>0</v>
      </c>
      <c r="D36" s="70">
        <f ca="1">IFERROR(SUMIFS(OFFSET(确定审计范围!$C:$C,,MATCH(按工作类型的汇总报告!D$9,确定审计范围!$8:$8,0)-3,,),确定审计范围!$C:$C,按工作类型的汇总报告!$B36),"")</f>
        <v>0</v>
      </c>
      <c r="E36" s="70">
        <f ca="1">IFERROR(SUMIFS(OFFSET(确定审计范围!$C:$C,,MATCH(按工作类型的汇总报告!E$9,确定审计范围!$8:$8,0)-3,,),确定审计范围!$C:$C,按工作类型的汇总报告!$B36),"")</f>
        <v>0</v>
      </c>
      <c r="F36" s="51"/>
      <c r="G36" s="70">
        <f>IFERROR(SUMIFS(确定审计范围!39:39,确定审计范围!$12:$12,按工作类型的汇总报告!G$9),"")</f>
        <v>0</v>
      </c>
      <c r="H36" s="70">
        <f>IFERROR(SUMIFS(确定审计范围!39:39,确定审计范围!$12:$12,按工作类型的汇总报告!H$9),"")</f>
        <v>0</v>
      </c>
      <c r="I36" s="58"/>
      <c r="J36" s="58"/>
      <c r="K36" s="70">
        <f>IFERROR(SUMIFS(确定审计范围!39:39,确定审计范围!$12:$12,按工作类型的汇总报告!K$9),"")</f>
        <v>0</v>
      </c>
      <c r="L36" s="70">
        <f>IFERROR(SUMIFS(确定审计范围!39:39,确定审计范围!$12:$12,按工作类型的汇总报告!L$9),"")</f>
        <v>0</v>
      </c>
      <c r="M36" s="51"/>
      <c r="N36" s="70">
        <f t="shared" ca="1" si="6"/>
        <v>0</v>
      </c>
      <c r="O36" s="71">
        <f t="shared" ca="1" si="7"/>
        <v>0</v>
      </c>
      <c r="P36" s="70">
        <f t="shared" si="8"/>
        <v>0</v>
      </c>
      <c r="Q36" s="71">
        <f t="shared" ca="1" si="9"/>
        <v>0</v>
      </c>
      <c r="R36" s="70">
        <f t="shared" si="10"/>
        <v>0</v>
      </c>
      <c r="S36" s="71">
        <f t="shared" ca="1" si="11"/>
        <v>0</v>
      </c>
      <c r="T36" s="51"/>
      <c r="U36" s="58"/>
      <c r="V36" s="58"/>
      <c r="W36" s="95"/>
      <c r="X36" s="52"/>
      <c r="Y36" s="70">
        <f ca="1">IFERROR(SUMIFS(OFFSET(确定审计范围!$B:$B,,MATCH(按工作类型的汇总报告!Y$9,确定审计范围!$9:$9,0)-2),确定审计范围!$C:$C,按工作类型的汇总报告!$B36),0)</f>
        <v>0</v>
      </c>
    </row>
    <row r="37" spans="2:26" hidden="1" x14ac:dyDescent="0.2">
      <c r="B37" s="17" t="str">
        <f>IF(确定审计范围!$C40="","",确定审计范围!$C40)</f>
        <v>故意隐藏</v>
      </c>
      <c r="C37" s="72">
        <f ca="1">IFERROR(SUMIFS(OFFSET(确定审计范围!$C:$C,,MATCH(按工作类型的汇总报告!C$9,确定审计范围!$8:$8,0)-3,,),确定审计范围!$C:$C,按工作类型的汇总报告!$B37),"")</f>
        <v>0</v>
      </c>
      <c r="D37" s="72">
        <f ca="1">IFERROR(SUMIFS(OFFSET(确定审计范围!$C:$C,,MATCH(按工作类型的汇总报告!D$9,确定审计范围!$8:$8,0)-3,,),确定审计范围!$C:$C,按工作类型的汇总报告!$B37),"")</f>
        <v>0</v>
      </c>
      <c r="E37" s="72">
        <f ca="1">IFERROR(SUMIFS(OFFSET(确定审计范围!$C:$C,,MATCH(按工作类型的汇总报告!E$9,确定审计范围!$8:$8,0)-3,,),确定审计范围!$C:$C,按工作类型的汇总报告!$B37),"")</f>
        <v>0</v>
      </c>
      <c r="F37" s="51"/>
      <c r="G37" s="72">
        <f>IFERROR(SUMIFS(确定审计范围!40:40,确定审计范围!$12:$12,按工作类型的汇总报告!G$9),"")</f>
        <v>0</v>
      </c>
      <c r="H37" s="72">
        <f>IFERROR(SUMIFS(确定审计范围!40:40,确定审计范围!$12:$12,按工作类型的汇总报告!H$9),"")</f>
        <v>0</v>
      </c>
      <c r="I37" s="59"/>
      <c r="J37" s="59"/>
      <c r="K37" s="72">
        <f>IFERROR(SUMIFS(确定审计范围!40:40,确定审计范围!$12:$12,按工作类型的汇总报告!K$9),"")</f>
        <v>0</v>
      </c>
      <c r="L37" s="72">
        <f>IFERROR(SUMIFS(确定审计范围!40:40,确定审计范围!$12:$12,按工作类型的汇总报告!L$9),"")</f>
        <v>0</v>
      </c>
      <c r="M37" s="51"/>
      <c r="N37" s="72"/>
      <c r="O37" s="73"/>
      <c r="P37" s="72"/>
      <c r="Q37" s="73">
        <f t="shared" ca="1" si="9"/>
        <v>0</v>
      </c>
      <c r="R37" s="72">
        <f t="shared" si="10"/>
        <v>0</v>
      </c>
      <c r="S37" s="73">
        <f t="shared" ca="1" si="11"/>
        <v>0</v>
      </c>
      <c r="T37" s="51"/>
      <c r="U37" s="59"/>
      <c r="V37" s="59"/>
      <c r="W37" s="96"/>
      <c r="X37" s="52"/>
      <c r="Y37" s="72"/>
    </row>
    <row r="38" spans="2:26" x14ac:dyDescent="0.2">
      <c r="B38" s="19" t="str">
        <f>IF(确定审计范围!$C41="","",确定审计范围!$C41)</f>
        <v>资产总额</v>
      </c>
      <c r="C38" s="78">
        <f ca="1">IFERROR(SUMIFS(OFFSET(确定审计范围!$C:$C,,MATCH(按工作类型的汇总报告!C$9,确定审计范围!$8:$8,0)-3,,),确定审计范围!$C:$C,按工作类型的汇总报告!$B38),"")</f>
        <v>0</v>
      </c>
      <c r="D38" s="78">
        <f ca="1">IFERROR(SUMIFS(OFFSET(确定审计范围!$C:$C,,MATCH(按工作类型的汇总报告!D$9,确定审计范围!$8:$8,0)-3,,),确定审计范围!$C:$C,按工作类型的汇总报告!$B38),"")</f>
        <v>0</v>
      </c>
      <c r="E38" s="78">
        <f ca="1">IFERROR(SUMIFS(OFFSET(确定审计范围!$C:$C,,MATCH(按工作类型的汇总报告!E$9,确定审计范围!$8:$8,0)-3,,),确定审计范围!$C:$C,按工作类型的汇总报告!$B38),"")</f>
        <v>0</v>
      </c>
      <c r="F38" s="51"/>
      <c r="G38" s="78">
        <f>IFERROR(SUMIFS(确定审计范围!41:41,确定审计范围!$12:$12,按工作类型的汇总报告!G$9),"")</f>
        <v>0</v>
      </c>
      <c r="H38" s="78">
        <f>IFERROR(SUMIFS(确定审计范围!41:41,确定审计范围!$12:$12,按工作类型的汇总报告!H$9),"")</f>
        <v>0</v>
      </c>
      <c r="I38" s="62">
        <f>SUM(I23:I37)</f>
        <v>0</v>
      </c>
      <c r="J38" s="62">
        <f>SUM(J23:J37)</f>
        <v>0</v>
      </c>
      <c r="K38" s="78">
        <f>IFERROR(SUMIFS(确定审计范围!41:41,确定审计范围!$12:$12,按工作类型的汇总报告!K$9),"")</f>
        <v>0</v>
      </c>
      <c r="L38" s="78">
        <f>IFERROR(SUMIFS(确定审计范围!41:41,确定审计范围!$12:$12,按工作类型的汇总报告!L$9),"")</f>
        <v>0</v>
      </c>
      <c r="M38" s="51"/>
      <c r="N38" s="78">
        <f ca="1">IFERROR(C38-SUM(D38:E38,G38:H38,I38,J38,K38:L38),"")</f>
        <v>0</v>
      </c>
      <c r="O38" s="79">
        <f ca="1">IFERROR(N38/(C38-D38-E38),0)</f>
        <v>0</v>
      </c>
      <c r="P38" s="78">
        <f>SUM(K38:L38)</f>
        <v>0</v>
      </c>
      <c r="Q38" s="79">
        <f t="shared" ca="1" si="9"/>
        <v>0</v>
      </c>
      <c r="R38" s="78">
        <f t="shared" si="10"/>
        <v>0</v>
      </c>
      <c r="S38" s="79">
        <f t="shared" ca="1" si="11"/>
        <v>0</v>
      </c>
      <c r="T38" s="51"/>
      <c r="U38" s="62"/>
      <c r="V38" s="62"/>
      <c r="W38" s="99"/>
      <c r="X38" s="52"/>
      <c r="Y38" s="78">
        <f ca="1">IFERROR(SUMIFS(OFFSET(确定审计范围!$B:$B,,MATCH(按工作类型的汇总报告!Y$9,确定审计范围!$9:$9,0)-2),确定审计范围!$C:$C,按工作类型的汇总报告!$B38),0)</f>
        <v>0</v>
      </c>
    </row>
    <row r="39" spans="2:26" x14ac:dyDescent="0.2">
      <c r="B39" s="15" t="str">
        <f>IF(确定审计范围!$C42="","",确定审计范围!$C42)</f>
        <v/>
      </c>
      <c r="C39" s="76"/>
      <c r="D39" s="76"/>
      <c r="E39" s="76"/>
      <c r="F39" s="51"/>
      <c r="G39" s="76"/>
      <c r="H39" s="76"/>
      <c r="I39" s="61"/>
      <c r="J39" s="61"/>
      <c r="K39" s="76"/>
      <c r="L39" s="76"/>
      <c r="M39" s="51"/>
      <c r="N39" s="76"/>
      <c r="O39" s="77"/>
      <c r="P39" s="76"/>
      <c r="Q39" s="76"/>
      <c r="R39" s="76"/>
      <c r="S39" s="76"/>
      <c r="T39" s="51"/>
      <c r="U39" s="61"/>
      <c r="V39" s="61"/>
      <c r="W39" s="98"/>
      <c r="X39" s="52"/>
      <c r="Y39" s="76"/>
    </row>
    <row r="40" spans="2:26" x14ac:dyDescent="0.2">
      <c r="B40" s="16" t="str">
        <f>IF(确定审计范围!$C43="","",确定审计范围!$C43)</f>
        <v>负债和股东权益</v>
      </c>
      <c r="C40" s="80"/>
      <c r="D40" s="80"/>
      <c r="E40" s="80"/>
      <c r="F40" s="51"/>
      <c r="G40" s="80"/>
      <c r="H40" s="80"/>
      <c r="I40" s="63"/>
      <c r="J40" s="63"/>
      <c r="K40" s="80"/>
      <c r="L40" s="80"/>
      <c r="M40" s="51"/>
      <c r="N40" s="80"/>
      <c r="O40" s="81"/>
      <c r="P40" s="80"/>
      <c r="Q40" s="80"/>
      <c r="R40" s="80"/>
      <c r="S40" s="80"/>
      <c r="T40" s="51"/>
      <c r="U40" s="63"/>
      <c r="V40" s="63"/>
      <c r="W40" s="100"/>
      <c r="X40" s="52"/>
      <c r="Y40" s="80"/>
    </row>
    <row r="41" spans="2:26" x14ac:dyDescent="0.2">
      <c r="B41" s="16" t="str">
        <f>IF(确定审计范围!$C44="","",确定审计范围!$C44)</f>
        <v>负债</v>
      </c>
      <c r="C41" s="80"/>
      <c r="D41" s="80"/>
      <c r="E41" s="80"/>
      <c r="F41" s="51"/>
      <c r="G41" s="80"/>
      <c r="H41" s="80"/>
      <c r="I41" s="63"/>
      <c r="J41" s="63"/>
      <c r="K41" s="80"/>
      <c r="L41" s="80"/>
      <c r="M41" s="51"/>
      <c r="N41" s="80"/>
      <c r="O41" s="81"/>
      <c r="P41" s="80"/>
      <c r="Q41" s="80"/>
      <c r="R41" s="80"/>
      <c r="S41" s="80"/>
      <c r="T41" s="51"/>
      <c r="U41" s="63"/>
      <c r="V41" s="63"/>
      <c r="W41" s="100"/>
      <c r="X41" s="52"/>
      <c r="Y41" s="80"/>
    </row>
    <row r="42" spans="2:26" x14ac:dyDescent="0.2">
      <c r="B42" s="16" t="str">
        <f>IF(确定审计范围!$C45="","",确定审计范围!$C45)</f>
        <v>流动负债</v>
      </c>
      <c r="C42" s="80"/>
      <c r="D42" s="80"/>
      <c r="E42" s="80"/>
      <c r="F42" s="51"/>
      <c r="G42" s="80"/>
      <c r="H42" s="80"/>
      <c r="I42" s="63"/>
      <c r="J42" s="63"/>
      <c r="K42" s="80"/>
      <c r="L42" s="80"/>
      <c r="M42" s="51"/>
      <c r="N42" s="80"/>
      <c r="O42" s="81"/>
      <c r="P42" s="80"/>
      <c r="Q42" s="80"/>
      <c r="R42" s="80"/>
      <c r="S42" s="80"/>
      <c r="T42" s="51"/>
      <c r="U42" s="63"/>
      <c r="V42" s="63"/>
      <c r="W42" s="100"/>
      <c r="X42" s="52"/>
      <c r="Y42" s="80"/>
    </row>
    <row r="43" spans="2:26" x14ac:dyDescent="0.2">
      <c r="B43" s="23" t="str">
        <f>IF(确定审计范围!$C46="","",确定审计范围!$C46)</f>
        <v>应付账款</v>
      </c>
      <c r="C43" s="70">
        <f ca="1">IFERROR(SUMIFS(OFFSET(确定审计范围!$C:$C,,MATCH(按工作类型的汇总报告!C$9,确定审计范围!$8:$8,0)-3,,),确定审计范围!$C:$C,按工作类型的汇总报告!$B43),"")</f>
        <v>0</v>
      </c>
      <c r="D43" s="70">
        <f ca="1">IFERROR(SUMIFS(OFFSET(确定审计范围!$C:$C,,MATCH(按工作类型的汇总报告!D$9,确定审计范围!$8:$8,0)-3,,),确定审计范围!$C:$C,按工作类型的汇总报告!$B43),"")</f>
        <v>0</v>
      </c>
      <c r="E43" s="70">
        <f ca="1">IFERROR(SUMIFS(OFFSET(确定审计范围!$C:$C,,MATCH(按工作类型的汇总报告!E$9,确定审计范围!$8:$8,0)-3,,),确定审计范围!$C:$C,按工作类型的汇总报告!$B43),"")</f>
        <v>0</v>
      </c>
      <c r="F43" s="51"/>
      <c r="G43" s="70">
        <f>IFERROR(SUMIFS(确定审计范围!46:46,确定审计范围!$12:$12,按工作类型的汇总报告!G$9),"")</f>
        <v>0</v>
      </c>
      <c r="H43" s="70">
        <f>IFERROR(SUMIFS(确定审计范围!46:46,确定审计范围!$12:$12,按工作类型的汇总报告!H$9),"")</f>
        <v>0</v>
      </c>
      <c r="I43" s="58"/>
      <c r="J43" s="58"/>
      <c r="K43" s="70">
        <f>IFERROR(SUMIFS(确定审计范围!46:46,确定审计范围!$12:$12,按工作类型的汇总报告!K$9),"")</f>
        <v>0</v>
      </c>
      <c r="L43" s="70">
        <f>IFERROR(SUMIFS(确定审计范围!46:46,确定审计范围!$12:$12,按工作类型的汇总报告!L$9),"")</f>
        <v>0</v>
      </c>
      <c r="M43" s="51"/>
      <c r="N43" s="70">
        <f t="shared" ref="N43:N52" ca="1" si="12">IFERROR(C43-SUM(D43:E43,G43:H43,I43,J43,K43:L43),"")</f>
        <v>0</v>
      </c>
      <c r="O43" s="71">
        <f t="shared" ref="O43:O52" ca="1" si="13">IFERROR(N43/(C43-D43-E43),0)</f>
        <v>0</v>
      </c>
      <c r="P43" s="70">
        <f t="shared" ref="P43:P52" si="14">SUM(K43:L43)</f>
        <v>0</v>
      </c>
      <c r="Q43" s="71">
        <f t="shared" ref="Q43:Q54" ca="1" si="15">IFERROR(P43/(C43-D43-E43),0)</f>
        <v>0</v>
      </c>
      <c r="R43" s="70">
        <f t="shared" ref="R43:R54" si="16">G43+H43+I43+J43</f>
        <v>0</v>
      </c>
      <c r="S43" s="71">
        <f t="shared" ref="S43:S54" ca="1" si="17">IFERROR(R43/(C43-D43-E43),0)</f>
        <v>0</v>
      </c>
      <c r="T43" s="51"/>
      <c r="U43" s="58"/>
      <c r="V43" s="58"/>
      <c r="W43" s="95"/>
      <c r="X43" s="52"/>
      <c r="Y43" s="70">
        <f ca="1">IFERROR(SUMIFS(OFFSET(确定审计范围!$B:$B,,MATCH(按工作类型的汇总报告!Y$9,确定审计范围!$9:$9,0)-2),确定审计范围!$C:$C,按工作类型的汇总报告!$B43),0)</f>
        <v>0</v>
      </c>
    </row>
    <row r="44" spans="2:26" s="48" customFormat="1" x14ac:dyDescent="0.2">
      <c r="B44" s="49" t="str">
        <f>IF(确定审计范围!$C47="","",确定审计范围!$C47)</f>
        <v>应计费用</v>
      </c>
      <c r="C44" s="70">
        <f ca="1">IFERROR(SUMIFS(OFFSET(确定审计范围!$C:$C,,MATCH(按工作类型的汇总报告!C$9,确定审计范围!$8:$8,0)-3,,),确定审计范围!$C:$C,按工作类型的汇总报告!$B44),"")</f>
        <v>0</v>
      </c>
      <c r="D44" s="70">
        <f ca="1">IFERROR(SUMIFS(OFFSET(确定审计范围!$C:$C,,MATCH(按工作类型的汇总报告!D$9,确定审计范围!$8:$8,0)-3,,),确定审计范围!$C:$C,按工作类型的汇总报告!$B44),"")</f>
        <v>0</v>
      </c>
      <c r="E44" s="70">
        <f ca="1">IFERROR(SUMIFS(OFFSET(确定审计范围!$C:$C,,MATCH(按工作类型的汇总报告!E$9,确定审计范围!$8:$8,0)-3,,),确定审计范围!$C:$C,按工作类型的汇总报告!$B44),"")</f>
        <v>0</v>
      </c>
      <c r="F44" s="51"/>
      <c r="G44" s="70">
        <f>IFERROR(SUMIFS(确定审计范围!47:47,确定审计范围!$12:$12,按工作类型的汇总报告!G$9),"")</f>
        <v>0</v>
      </c>
      <c r="H44" s="70">
        <f>IFERROR(SUMIFS(确定审计范围!47:47,确定审计范围!$12:$12,按工作类型的汇总报告!H$9),"")</f>
        <v>0</v>
      </c>
      <c r="I44" s="58"/>
      <c r="J44" s="58"/>
      <c r="K44" s="70">
        <f>IFERROR(SUMIFS(确定审计范围!47:47,确定审计范围!$12:$12,按工作类型的汇总报告!K$9),"")</f>
        <v>0</v>
      </c>
      <c r="L44" s="70">
        <f>IFERROR(SUMIFS(确定审计范围!47:47,确定审计范围!$12:$12,按工作类型的汇总报告!L$9),"")</f>
        <v>0</v>
      </c>
      <c r="M44" s="51"/>
      <c r="N44" s="70">
        <f t="shared" ca="1" si="12"/>
        <v>0</v>
      </c>
      <c r="O44" s="71">
        <f t="shared" ca="1" si="13"/>
        <v>0</v>
      </c>
      <c r="P44" s="70">
        <f t="shared" si="14"/>
        <v>0</v>
      </c>
      <c r="Q44" s="71">
        <f t="shared" ca="1" si="15"/>
        <v>0</v>
      </c>
      <c r="R44" s="70">
        <f t="shared" si="16"/>
        <v>0</v>
      </c>
      <c r="S44" s="71">
        <f t="shared" ca="1" si="17"/>
        <v>0</v>
      </c>
      <c r="T44" s="51"/>
      <c r="U44" s="58"/>
      <c r="V44" s="58"/>
      <c r="W44" s="95"/>
      <c r="X44" s="52"/>
      <c r="Y44" s="70">
        <f ca="1">IFERROR(SUMIFS(OFFSET(确定审计范围!$B:$B,,MATCH(按工作类型的汇总报告!Y$9,确定审计范围!$9:$9,0)-2),确定审计范围!$C:$C,按工作类型的汇总报告!$B44),0)</f>
        <v>0</v>
      </c>
      <c r="Z44"/>
    </row>
    <row r="45" spans="2:26" x14ac:dyDescent="0.2">
      <c r="B45" s="23" t="str">
        <f>IF(确定审计范围!$C48="","",确定审计范围!$C48)</f>
        <v>长期借款的流动部分</v>
      </c>
      <c r="C45" s="70">
        <f ca="1">IFERROR(SUMIFS(OFFSET(确定审计范围!$C:$C,,MATCH(按工作类型的汇总报告!C$9,确定审计范围!$8:$8,0)-3,,),确定审计范围!$C:$C,按工作类型的汇总报告!$B45),"")</f>
        <v>0</v>
      </c>
      <c r="D45" s="70">
        <f ca="1">IFERROR(SUMIFS(OFFSET(确定审计范围!$C:$C,,MATCH(按工作类型的汇总报告!D$9,确定审计范围!$8:$8,0)-3,,),确定审计范围!$C:$C,按工作类型的汇总报告!$B45),"")</f>
        <v>0</v>
      </c>
      <c r="E45" s="70">
        <f ca="1">IFERROR(SUMIFS(OFFSET(确定审计范围!$C:$C,,MATCH(按工作类型的汇总报告!E$9,确定审计范围!$8:$8,0)-3,,),确定审计范围!$C:$C,按工作类型的汇总报告!$B45),"")</f>
        <v>0</v>
      </c>
      <c r="F45" s="51"/>
      <c r="G45" s="70">
        <f>IFERROR(SUMIFS(确定审计范围!48:48,确定审计范围!$12:$12,按工作类型的汇总报告!G$9),"")</f>
        <v>0</v>
      </c>
      <c r="H45" s="70">
        <f>IFERROR(SUMIFS(确定审计范围!48:48,确定审计范围!$12:$12,按工作类型的汇总报告!H$9),"")</f>
        <v>0</v>
      </c>
      <c r="I45" s="58"/>
      <c r="J45" s="58"/>
      <c r="K45" s="70">
        <f>IFERROR(SUMIFS(确定审计范围!48:48,确定审计范围!$12:$12,按工作类型的汇总报告!K$9),"")</f>
        <v>0</v>
      </c>
      <c r="L45" s="70">
        <f>IFERROR(SUMIFS(确定审计范围!48:48,确定审计范围!$12:$12,按工作类型的汇总报告!L$9),"")</f>
        <v>0</v>
      </c>
      <c r="M45" s="51"/>
      <c r="N45" s="70">
        <f t="shared" ca="1" si="12"/>
        <v>0</v>
      </c>
      <c r="O45" s="71">
        <f t="shared" ca="1" si="13"/>
        <v>0</v>
      </c>
      <c r="P45" s="70">
        <f t="shared" si="14"/>
        <v>0</v>
      </c>
      <c r="Q45" s="71">
        <f t="shared" ca="1" si="15"/>
        <v>0</v>
      </c>
      <c r="R45" s="70">
        <f t="shared" si="16"/>
        <v>0</v>
      </c>
      <c r="S45" s="71">
        <f t="shared" ca="1" si="17"/>
        <v>0</v>
      </c>
      <c r="T45" s="51"/>
      <c r="U45" s="58"/>
      <c r="V45" s="58"/>
      <c r="W45" s="95"/>
      <c r="X45" s="52"/>
      <c r="Y45" s="70">
        <f ca="1">IFERROR(SUMIFS(OFFSET(确定审计范围!$B:$B,,MATCH(按工作类型的汇总报告!Y$9,确定审计范围!$9:$9,0)-2),确定审计范围!$C:$C,按工作类型的汇总报告!$B45),0)</f>
        <v>0</v>
      </c>
    </row>
    <row r="46" spans="2:26" x14ac:dyDescent="0.2">
      <c r="B46" s="23" t="str">
        <f>IF(确定审计范围!$C49="","",确定审计范围!$C49)</f>
        <v>融资租赁负债（流动）</v>
      </c>
      <c r="C46" s="70">
        <f ca="1">IFERROR(SUMIFS(OFFSET(确定审计范围!$C:$C,,MATCH(按工作类型的汇总报告!C$9,确定审计范围!$8:$8,0)-3,,),确定审计范围!$C:$C,按工作类型的汇总报告!$B46),"")</f>
        <v>0</v>
      </c>
      <c r="D46" s="70">
        <f ca="1">IFERROR(SUMIFS(OFFSET(确定审计范围!$C:$C,,MATCH(按工作类型的汇总报告!D$9,确定审计范围!$8:$8,0)-3,,),确定审计范围!$C:$C,按工作类型的汇总报告!$B46),"")</f>
        <v>0</v>
      </c>
      <c r="E46" s="70">
        <f ca="1">IFERROR(SUMIFS(OFFSET(确定审计范围!$C:$C,,MATCH(按工作类型的汇总报告!E$9,确定审计范围!$8:$8,0)-3,,),确定审计范围!$C:$C,按工作类型的汇总报告!$B46),"")</f>
        <v>0</v>
      </c>
      <c r="F46" s="51"/>
      <c r="G46" s="70">
        <f>IFERROR(SUMIFS(确定审计范围!49:49,确定审计范围!$12:$12,按工作类型的汇总报告!G$9),"")</f>
        <v>0</v>
      </c>
      <c r="H46" s="70">
        <f>IFERROR(SUMIFS(确定审计范围!49:49,确定审计范围!$12:$12,按工作类型的汇总报告!H$9),"")</f>
        <v>0</v>
      </c>
      <c r="I46" s="58"/>
      <c r="J46" s="58"/>
      <c r="K46" s="70">
        <f>IFERROR(SUMIFS(确定审计范围!49:49,确定审计范围!$12:$12,按工作类型的汇总报告!K$9),"")</f>
        <v>0</v>
      </c>
      <c r="L46" s="70">
        <f>IFERROR(SUMIFS(确定审计范围!49:49,确定审计范围!$12:$12,按工作类型的汇总报告!L$9),"")</f>
        <v>0</v>
      </c>
      <c r="M46" s="51"/>
      <c r="N46" s="70">
        <f t="shared" ca="1" si="12"/>
        <v>0</v>
      </c>
      <c r="O46" s="71">
        <f t="shared" ca="1" si="13"/>
        <v>0</v>
      </c>
      <c r="P46" s="70">
        <f t="shared" si="14"/>
        <v>0</v>
      </c>
      <c r="Q46" s="71">
        <f t="shared" ca="1" si="15"/>
        <v>0</v>
      </c>
      <c r="R46" s="70">
        <f t="shared" si="16"/>
        <v>0</v>
      </c>
      <c r="S46" s="71">
        <f t="shared" ca="1" si="17"/>
        <v>0</v>
      </c>
      <c r="T46" s="51"/>
      <c r="U46" s="58"/>
      <c r="V46" s="58"/>
      <c r="W46" s="95"/>
      <c r="X46" s="52"/>
      <c r="Y46" s="70">
        <f ca="1">IFERROR(SUMIFS(OFFSET(确定审计范围!$B:$B,,MATCH(按工作类型的汇总报告!Y$9,确定审计范围!$9:$9,0)-2),确定审计范围!$C:$C,按工作类型的汇总报告!$B46),0)</f>
        <v>0</v>
      </c>
    </row>
    <row r="47" spans="2:26" x14ac:dyDescent="0.2">
      <c r="B47" s="23" t="str">
        <f>IF(确定审计范围!$C50="","",确定审计范围!$C50)</f>
        <v>应交所得税</v>
      </c>
      <c r="C47" s="70">
        <f ca="1">IFERROR(SUMIFS(OFFSET(确定审计范围!$C:$C,,MATCH(按工作类型的汇总报告!C$9,确定审计范围!$8:$8,0)-3,,),确定审计范围!$C:$C,按工作类型的汇总报告!$B47),"")</f>
        <v>0</v>
      </c>
      <c r="D47" s="70">
        <f ca="1">IFERROR(SUMIFS(OFFSET(确定审计范围!$C:$C,,MATCH(按工作类型的汇总报告!D$9,确定审计范围!$8:$8,0)-3,,),确定审计范围!$C:$C,按工作类型的汇总报告!$B47),"")</f>
        <v>0</v>
      </c>
      <c r="E47" s="70">
        <f ca="1">IFERROR(SUMIFS(OFFSET(确定审计范围!$C:$C,,MATCH(按工作类型的汇总报告!E$9,确定审计范围!$8:$8,0)-3,,),确定审计范围!$C:$C,按工作类型的汇总报告!$B47),"")</f>
        <v>0</v>
      </c>
      <c r="F47" s="51"/>
      <c r="G47" s="70">
        <f>IFERROR(SUMIFS(确定审计范围!50:50,确定审计范围!$12:$12,按工作类型的汇总报告!G$9),"")</f>
        <v>0</v>
      </c>
      <c r="H47" s="70">
        <f>IFERROR(SUMIFS(确定审计范围!50:50,确定审计范围!$12:$12,按工作类型的汇总报告!H$9),"")</f>
        <v>0</v>
      </c>
      <c r="I47" s="58"/>
      <c r="J47" s="58"/>
      <c r="K47" s="70">
        <f>IFERROR(SUMIFS(确定审计范围!50:50,确定审计范围!$12:$12,按工作类型的汇总报告!K$9),"")</f>
        <v>0</v>
      </c>
      <c r="L47" s="70">
        <f>IFERROR(SUMIFS(确定审计范围!50:50,确定审计范围!$12:$12,按工作类型的汇总报告!L$9),"")</f>
        <v>0</v>
      </c>
      <c r="M47" s="51"/>
      <c r="N47" s="70">
        <f t="shared" ca="1" si="12"/>
        <v>0</v>
      </c>
      <c r="O47" s="71">
        <f t="shared" ca="1" si="13"/>
        <v>0</v>
      </c>
      <c r="P47" s="70">
        <f t="shared" si="14"/>
        <v>0</v>
      </c>
      <c r="Q47" s="71">
        <f t="shared" ca="1" si="15"/>
        <v>0</v>
      </c>
      <c r="R47" s="70">
        <f t="shared" si="16"/>
        <v>0</v>
      </c>
      <c r="S47" s="71">
        <f t="shared" ca="1" si="17"/>
        <v>0</v>
      </c>
      <c r="T47" s="51"/>
      <c r="U47" s="58"/>
      <c r="V47" s="58"/>
      <c r="W47" s="95"/>
      <c r="X47" s="52"/>
      <c r="Y47" s="70">
        <f ca="1">IFERROR(SUMIFS(OFFSET(确定审计范围!$B:$B,,MATCH(按工作类型的汇总报告!Y$9,确定审计范围!$9:$9,0)-2),确定审计范围!$C:$C,按工作类型的汇总报告!$B47),0)</f>
        <v>0</v>
      </c>
    </row>
    <row r="48" spans="2:26" x14ac:dyDescent="0.2">
      <c r="B48" s="23" t="str">
        <f>IF(确定审计范围!$C51="","",确定审计范围!$C51)</f>
        <v>衍生负债</v>
      </c>
      <c r="C48" s="70">
        <f ca="1">IFERROR(SUMIFS(OFFSET(确定审计范围!$C:$C,,MATCH(按工作类型的汇总报告!C$9,确定审计范围!$8:$8,0)-3,,),确定审计范围!$C:$C,按工作类型的汇总报告!$B48),"")</f>
        <v>0</v>
      </c>
      <c r="D48" s="70">
        <f ca="1">IFERROR(SUMIFS(OFFSET(确定审计范围!$C:$C,,MATCH(按工作类型的汇总报告!D$9,确定审计范围!$8:$8,0)-3,,),确定审计范围!$C:$C,按工作类型的汇总报告!$B48),"")</f>
        <v>0</v>
      </c>
      <c r="E48" s="70">
        <f ca="1">IFERROR(SUMIFS(OFFSET(确定审计范围!$C:$C,,MATCH(按工作类型的汇总报告!E$9,确定审计范围!$8:$8,0)-3,,),确定审计范围!$C:$C,按工作类型的汇总报告!$B48),"")</f>
        <v>0</v>
      </c>
      <c r="F48" s="51"/>
      <c r="G48" s="70">
        <f>IFERROR(SUMIFS(确定审计范围!51:51,确定审计范围!$12:$12,按工作类型的汇总报告!G$9),"")</f>
        <v>0</v>
      </c>
      <c r="H48" s="70">
        <f>IFERROR(SUMIFS(确定审计范围!51:51,确定审计范围!$12:$12,按工作类型的汇总报告!H$9),"")</f>
        <v>0</v>
      </c>
      <c r="I48" s="58"/>
      <c r="J48" s="58"/>
      <c r="K48" s="70">
        <f>IFERROR(SUMIFS(确定审计范围!51:51,确定审计范围!$12:$12,按工作类型的汇总报告!K$9),"")</f>
        <v>0</v>
      </c>
      <c r="L48" s="70">
        <f>IFERROR(SUMIFS(确定审计范围!51:51,确定审计范围!$12:$12,按工作类型的汇总报告!L$9),"")</f>
        <v>0</v>
      </c>
      <c r="M48" s="51"/>
      <c r="N48" s="70">
        <f t="shared" ca="1" si="12"/>
        <v>0</v>
      </c>
      <c r="O48" s="71">
        <f t="shared" ca="1" si="13"/>
        <v>0</v>
      </c>
      <c r="P48" s="70">
        <f t="shared" si="14"/>
        <v>0</v>
      </c>
      <c r="Q48" s="71">
        <f t="shared" ca="1" si="15"/>
        <v>0</v>
      </c>
      <c r="R48" s="70">
        <f t="shared" si="16"/>
        <v>0</v>
      </c>
      <c r="S48" s="71">
        <f t="shared" ca="1" si="17"/>
        <v>0</v>
      </c>
      <c r="T48" s="51"/>
      <c r="U48" s="58"/>
      <c r="V48" s="58"/>
      <c r="W48" s="95"/>
      <c r="X48" s="52"/>
      <c r="Y48" s="70">
        <f ca="1">IFERROR(SUMIFS(OFFSET(确定审计范围!$B:$B,,MATCH(按工作类型的汇总报告!Y$9,确定审计范围!$9:$9,0)-2),确定审计范围!$C:$C,按工作类型的汇总报告!$B48),0)</f>
        <v>0</v>
      </c>
    </row>
    <row r="49" spans="2:26" x14ac:dyDescent="0.2">
      <c r="B49" s="23" t="str">
        <f>IF(确定审计范围!$C52="","",确定审计范围!$C52)</f>
        <v>递延收益（流动）</v>
      </c>
      <c r="C49" s="70">
        <f ca="1">IFERROR(SUMIFS(OFFSET(确定审计范围!$C:$C,,MATCH(按工作类型的汇总报告!C$9,确定审计范围!$8:$8,0)-3,,),确定审计范围!$C:$C,按工作类型的汇总报告!$B49),"")</f>
        <v>0</v>
      </c>
      <c r="D49" s="70">
        <f ca="1">IFERROR(SUMIFS(OFFSET(确定审计范围!$C:$C,,MATCH(按工作类型的汇总报告!D$9,确定审计范围!$8:$8,0)-3,,),确定审计范围!$C:$C,按工作类型的汇总报告!$B49),"")</f>
        <v>0</v>
      </c>
      <c r="E49" s="70">
        <f ca="1">IFERROR(SUMIFS(OFFSET(确定审计范围!$C:$C,,MATCH(按工作类型的汇总报告!E$9,确定审计范围!$8:$8,0)-3,,),确定审计范围!$C:$C,按工作类型的汇总报告!$B49),"")</f>
        <v>0</v>
      </c>
      <c r="F49" s="51"/>
      <c r="G49" s="70">
        <f>IFERROR(SUMIFS(确定审计范围!52:52,确定审计范围!$12:$12,按工作类型的汇总报告!G$9),"")</f>
        <v>0</v>
      </c>
      <c r="H49" s="70">
        <f>IFERROR(SUMIFS(确定审计范围!52:52,确定审计范围!$12:$12,按工作类型的汇总报告!H$9),"")</f>
        <v>0</v>
      </c>
      <c r="I49" s="58"/>
      <c r="J49" s="58"/>
      <c r="K49" s="70">
        <f>IFERROR(SUMIFS(确定审计范围!52:52,确定审计范围!$12:$12,按工作类型的汇总报告!K$9),"")</f>
        <v>0</v>
      </c>
      <c r="L49" s="70">
        <f>IFERROR(SUMIFS(确定审计范围!52:52,确定审计范围!$12:$12,按工作类型的汇总报告!L$9),"")</f>
        <v>0</v>
      </c>
      <c r="M49" s="51"/>
      <c r="N49" s="70">
        <f t="shared" ca="1" si="12"/>
        <v>0</v>
      </c>
      <c r="O49" s="71">
        <f t="shared" ca="1" si="13"/>
        <v>0</v>
      </c>
      <c r="P49" s="70">
        <f t="shared" si="14"/>
        <v>0</v>
      </c>
      <c r="Q49" s="71">
        <f t="shared" ca="1" si="15"/>
        <v>0</v>
      </c>
      <c r="R49" s="70">
        <f t="shared" si="16"/>
        <v>0</v>
      </c>
      <c r="S49" s="71">
        <f t="shared" ca="1" si="17"/>
        <v>0</v>
      </c>
      <c r="T49" s="51"/>
      <c r="U49" s="58"/>
      <c r="V49" s="58"/>
      <c r="W49" s="95"/>
      <c r="X49" s="52"/>
      <c r="Y49" s="70">
        <f ca="1">IFERROR(SUMIFS(OFFSET(确定审计范围!$B:$B,,MATCH(按工作类型的汇总报告!Y$9,确定审计范围!$9:$9,0)-2),确定审计范围!$C:$C,按工作类型的汇总报告!$B49),0)</f>
        <v>0</v>
      </c>
    </row>
    <row r="50" spans="2:26" x14ac:dyDescent="0.2">
      <c r="B50" s="23" t="str">
        <f>IF(确定审计范围!$C53="","",确定审计范围!$C53)</f>
        <v>应付股利</v>
      </c>
      <c r="C50" s="70">
        <f ca="1">IFERROR(SUMIFS(OFFSET(确定审计范围!$C:$C,,MATCH(按工作类型的汇总报告!C$9,确定审计范围!$8:$8,0)-3,,),确定审计范围!$C:$C,按工作类型的汇总报告!$B50),"")</f>
        <v>0</v>
      </c>
      <c r="D50" s="70">
        <f ca="1">IFERROR(SUMIFS(OFFSET(确定审计范围!$C:$C,,MATCH(按工作类型的汇总报告!D$9,确定审计范围!$8:$8,0)-3,,),确定审计范围!$C:$C,按工作类型的汇总报告!$B50),"")</f>
        <v>0</v>
      </c>
      <c r="E50" s="70">
        <f ca="1">IFERROR(SUMIFS(OFFSET(确定审计范围!$C:$C,,MATCH(按工作类型的汇总报告!E$9,确定审计范围!$8:$8,0)-3,,),确定审计范围!$C:$C,按工作类型的汇总报告!$B50),"")</f>
        <v>0</v>
      </c>
      <c r="F50" s="51"/>
      <c r="G50" s="70">
        <f>IFERROR(SUMIFS(确定审计范围!53:53,确定审计范围!$12:$12,按工作类型的汇总报告!G$9),"")</f>
        <v>0</v>
      </c>
      <c r="H50" s="70">
        <f>IFERROR(SUMIFS(确定审计范围!53:53,确定审计范围!$12:$12,按工作类型的汇总报告!H$9),"")</f>
        <v>0</v>
      </c>
      <c r="I50" s="58"/>
      <c r="J50" s="58"/>
      <c r="K50" s="70">
        <f>IFERROR(SUMIFS(确定审计范围!53:53,确定审计范围!$12:$12,按工作类型的汇总报告!K$9),"")</f>
        <v>0</v>
      </c>
      <c r="L50" s="70">
        <f>IFERROR(SUMIFS(确定审计范围!53:53,确定审计范围!$12:$12,按工作类型的汇总报告!L$9),"")</f>
        <v>0</v>
      </c>
      <c r="M50" s="51"/>
      <c r="N50" s="70">
        <f t="shared" ca="1" si="12"/>
        <v>0</v>
      </c>
      <c r="O50" s="71">
        <f t="shared" ca="1" si="13"/>
        <v>0</v>
      </c>
      <c r="P50" s="70">
        <f t="shared" si="14"/>
        <v>0</v>
      </c>
      <c r="Q50" s="71">
        <f t="shared" ca="1" si="15"/>
        <v>0</v>
      </c>
      <c r="R50" s="70">
        <f t="shared" si="16"/>
        <v>0</v>
      </c>
      <c r="S50" s="71">
        <f t="shared" ca="1" si="17"/>
        <v>0</v>
      </c>
      <c r="T50" s="51"/>
      <c r="U50" s="58"/>
      <c r="V50" s="58"/>
      <c r="W50" s="95"/>
      <c r="X50" s="52"/>
      <c r="Y50" s="70">
        <f ca="1">IFERROR(SUMIFS(OFFSET(确定审计范围!$B:$B,,MATCH(按工作类型的汇总报告!Y$9,确定审计范围!$9:$9,0)-2),确定审计范围!$C:$C,按工作类型的汇总报告!$B50),0)</f>
        <v>0</v>
      </c>
    </row>
    <row r="51" spans="2:26" x14ac:dyDescent="0.2">
      <c r="B51" s="23" t="str">
        <f>IF(确定审计范围!$C54="","",确定审计范围!$C54)</f>
        <v>合同负债</v>
      </c>
      <c r="C51" s="70">
        <f ca="1">IFERROR(SUMIFS(OFFSET(确定审计范围!$C:$C,,MATCH(按工作类型的汇总报告!C$9,确定审计范围!$8:$8,0)-3,,),确定审计范围!$C:$C,按工作类型的汇总报告!$B51),"")</f>
        <v>0</v>
      </c>
      <c r="D51" s="70">
        <f ca="1">IFERROR(SUMIFS(OFFSET(确定审计范围!$C:$C,,MATCH(按工作类型的汇总报告!D$9,确定审计范围!$8:$8,0)-3,,),确定审计范围!$C:$C,按工作类型的汇总报告!$B51),"")</f>
        <v>0</v>
      </c>
      <c r="E51" s="70">
        <f ca="1">IFERROR(SUMIFS(OFFSET(确定审计范围!$C:$C,,MATCH(按工作类型的汇总报告!E$9,确定审计范围!$8:$8,0)-3,,),确定审计范围!$C:$C,按工作类型的汇总报告!$B51),"")</f>
        <v>0</v>
      </c>
      <c r="F51" s="51"/>
      <c r="G51" s="70">
        <f>IFERROR(SUMIFS(确定审计范围!54:54,确定审计范围!$12:$12,按工作类型的汇总报告!G$9),"")</f>
        <v>0</v>
      </c>
      <c r="H51" s="70">
        <f>IFERROR(SUMIFS(确定审计范围!54:54,确定审计范围!$12:$12,按工作类型的汇总报告!H$9),"")</f>
        <v>0</v>
      </c>
      <c r="I51" s="58"/>
      <c r="J51" s="58"/>
      <c r="K51" s="70">
        <f>IFERROR(SUMIFS(确定审计范围!54:54,确定审计范围!$12:$12,按工作类型的汇总报告!K$9),"")</f>
        <v>0</v>
      </c>
      <c r="L51" s="70">
        <f>IFERROR(SUMIFS(确定审计范围!54:54,确定审计范围!$12:$12,按工作类型的汇总报告!L$9),"")</f>
        <v>0</v>
      </c>
      <c r="M51" s="51"/>
      <c r="N51" s="70">
        <f t="shared" ca="1" si="12"/>
        <v>0</v>
      </c>
      <c r="O51" s="71">
        <f t="shared" ca="1" si="13"/>
        <v>0</v>
      </c>
      <c r="P51" s="70">
        <f t="shared" si="14"/>
        <v>0</v>
      </c>
      <c r="Q51" s="71">
        <f t="shared" ca="1" si="15"/>
        <v>0</v>
      </c>
      <c r="R51" s="70">
        <f t="shared" si="16"/>
        <v>0</v>
      </c>
      <c r="S51" s="71">
        <f t="shared" ca="1" si="17"/>
        <v>0</v>
      </c>
      <c r="T51" s="51"/>
      <c r="U51" s="58"/>
      <c r="V51" s="58"/>
      <c r="W51" s="95"/>
      <c r="X51" s="52"/>
      <c r="Y51" s="70">
        <f ca="1">IFERROR(SUMIFS(OFFSET(确定审计范围!$B:$B,,MATCH(按工作类型的汇总报告!Y$9,确定审计范围!$9:$9,0)-2),确定审计范围!$C:$C,按工作类型的汇总报告!$B51),0)</f>
        <v>0</v>
      </c>
    </row>
    <row r="52" spans="2:26" x14ac:dyDescent="0.2">
      <c r="B52" s="23" t="str">
        <f>IF(确定审计范围!$C55="","",确定审计范围!$C55)</f>
        <v>其他流动负债</v>
      </c>
      <c r="C52" s="70">
        <f ca="1">IFERROR(SUMIFS(OFFSET(确定审计范围!$C:$C,,MATCH(按工作类型的汇总报告!C$9,确定审计范围!$8:$8,0)-3,,),确定审计范围!$C:$C,按工作类型的汇总报告!$B52),"")</f>
        <v>0</v>
      </c>
      <c r="D52" s="70">
        <f ca="1">IFERROR(SUMIFS(OFFSET(确定审计范围!$C:$C,,MATCH(按工作类型的汇总报告!D$9,确定审计范围!$8:$8,0)-3,,),确定审计范围!$C:$C,按工作类型的汇总报告!$B52),"")</f>
        <v>0</v>
      </c>
      <c r="E52" s="70">
        <f ca="1">IFERROR(SUMIFS(OFFSET(确定审计范围!$C:$C,,MATCH(按工作类型的汇总报告!E$9,确定审计范围!$8:$8,0)-3,,),确定审计范围!$C:$C,按工作类型的汇总报告!$B52),"")</f>
        <v>0</v>
      </c>
      <c r="F52" s="51"/>
      <c r="G52" s="70">
        <f>IFERROR(SUMIFS(确定审计范围!55:55,确定审计范围!$12:$12,按工作类型的汇总报告!G$9),"")</f>
        <v>0</v>
      </c>
      <c r="H52" s="70">
        <f>IFERROR(SUMIFS(确定审计范围!55:55,确定审计范围!$12:$12,按工作类型的汇总报告!H$9),"")</f>
        <v>0</v>
      </c>
      <c r="I52" s="58"/>
      <c r="J52" s="58"/>
      <c r="K52" s="70">
        <f>IFERROR(SUMIFS(确定审计范围!55:55,确定审计范围!$12:$12,按工作类型的汇总报告!K$9),"")</f>
        <v>0</v>
      </c>
      <c r="L52" s="70">
        <f>IFERROR(SUMIFS(确定审计范围!55:55,确定审计范围!$12:$12,按工作类型的汇总报告!L$9),"")</f>
        <v>0</v>
      </c>
      <c r="M52" s="51"/>
      <c r="N52" s="70">
        <f t="shared" ca="1" si="12"/>
        <v>0</v>
      </c>
      <c r="O52" s="71">
        <f t="shared" ca="1" si="13"/>
        <v>0</v>
      </c>
      <c r="P52" s="70">
        <f t="shared" si="14"/>
        <v>0</v>
      </c>
      <c r="Q52" s="71">
        <f t="shared" ca="1" si="15"/>
        <v>0</v>
      </c>
      <c r="R52" s="70">
        <f t="shared" si="16"/>
        <v>0</v>
      </c>
      <c r="S52" s="71">
        <f t="shared" ca="1" si="17"/>
        <v>0</v>
      </c>
      <c r="T52" s="51"/>
      <c r="U52" s="58"/>
      <c r="V52" s="58"/>
      <c r="W52" s="95"/>
      <c r="X52" s="52"/>
      <c r="Y52" s="70">
        <f ca="1">IFERROR(SUMIFS(OFFSET(确定审计范围!$B:$B,,MATCH(按工作类型的汇总报告!Y$9,确定审计范围!$9:$9,0)-2),确定审计范围!$C:$C,按工作类型的汇总报告!$B52),0)</f>
        <v>0</v>
      </c>
    </row>
    <row r="53" spans="2:26" hidden="1" x14ac:dyDescent="0.2">
      <c r="B53" s="17" t="str">
        <f>IF(确定审计范围!$C56="","",确定审计范围!$C56)</f>
        <v>故意隐藏</v>
      </c>
      <c r="C53" s="72">
        <f ca="1">IFERROR(SUMIFS(OFFSET(确定审计范围!$C:$C,,MATCH(按工作类型的汇总报告!C$9,确定审计范围!$8:$8,0)-3,,),确定审计范围!$C:$C,按工作类型的汇总报告!$B53),"")</f>
        <v>0</v>
      </c>
      <c r="D53" s="72">
        <f ca="1">IFERROR(SUMIFS(OFFSET(确定审计范围!$C:$C,,MATCH(按工作类型的汇总报告!D$9,确定审计范围!$8:$8,0)-3,,),确定审计范围!$C:$C,按工作类型的汇总报告!$B53),"")</f>
        <v>0</v>
      </c>
      <c r="E53" s="72">
        <f ca="1">IFERROR(SUMIFS(OFFSET(确定审计范围!$C:$C,,MATCH(按工作类型的汇总报告!E$9,确定审计范围!$8:$8,0)-3,,),确定审计范围!$C:$C,按工作类型的汇总报告!$B53),"")</f>
        <v>0</v>
      </c>
      <c r="F53" s="51"/>
      <c r="G53" s="72">
        <f>IFERROR(SUMIFS(确定审计范围!56:56,确定审计范围!$12:$12,按工作类型的汇总报告!G$9),"")</f>
        <v>0</v>
      </c>
      <c r="H53" s="72">
        <f>IFERROR(SUMIFS(确定审计范围!56:56,确定审计范围!$12:$12,按工作类型的汇总报告!H$9),"")</f>
        <v>0</v>
      </c>
      <c r="I53" s="59"/>
      <c r="J53" s="59"/>
      <c r="K53" s="72">
        <f>IFERROR(SUMIFS(确定审计范围!56:56,确定审计范围!$12:$12,按工作类型的汇总报告!K$9),"")</f>
        <v>0</v>
      </c>
      <c r="L53" s="72">
        <f>IFERROR(SUMIFS(确定审计范围!56:56,确定审计范围!$12:$12,按工作类型的汇总报告!L$9),"")</f>
        <v>0</v>
      </c>
      <c r="M53" s="51"/>
      <c r="N53" s="72"/>
      <c r="O53" s="73"/>
      <c r="P53" s="72"/>
      <c r="Q53" s="73">
        <f t="shared" ca="1" si="15"/>
        <v>0</v>
      </c>
      <c r="R53" s="72">
        <f t="shared" si="16"/>
        <v>0</v>
      </c>
      <c r="S53" s="73">
        <f t="shared" ca="1" si="17"/>
        <v>0</v>
      </c>
      <c r="T53" s="51"/>
      <c r="U53" s="59"/>
      <c r="V53" s="59"/>
      <c r="W53" s="96"/>
      <c r="X53" s="52"/>
      <c r="Y53" s="72">
        <f ca="1">IFERROR(SUMIFS(OFFSET(确定审计范围!$B:$B,,MATCH(按工作类型的汇总报告!Y$9,确定审计范围!$9:$9,0)-2),确定审计范围!$C:$C,按工作类型的汇总报告!$B53),0)</f>
        <v>0</v>
      </c>
    </row>
    <row r="54" spans="2:26" x14ac:dyDescent="0.2">
      <c r="B54" s="18" t="str">
        <f>IF(确定审计范围!$C57="","",确定审计范围!$C57)</f>
        <v>流动负债总额</v>
      </c>
      <c r="C54" s="74">
        <f ca="1">IFERROR(SUMIFS(OFFSET(确定审计范围!$C:$C,,MATCH(按工作类型的汇总报告!C$9,确定审计范围!$8:$8,0)-3,,),确定审计范围!$C:$C,按工作类型的汇总报告!$B54),"")</f>
        <v>0</v>
      </c>
      <c r="D54" s="74">
        <f ca="1">IFERROR(SUMIFS(OFFSET(确定审计范围!$C:$C,,MATCH(按工作类型的汇总报告!D$9,确定审计范围!$8:$8,0)-3,,),确定审计范围!$C:$C,按工作类型的汇总报告!$B54),"")</f>
        <v>0</v>
      </c>
      <c r="E54" s="74">
        <f ca="1">IFERROR(SUMIFS(OFFSET(确定审计范围!$C:$C,,MATCH(按工作类型的汇总报告!E$9,确定审计范围!$8:$8,0)-3,,),确定审计范围!$C:$C,按工作类型的汇总报告!$B54),"")</f>
        <v>0</v>
      </c>
      <c r="F54" s="51"/>
      <c r="G54" s="74">
        <f>IFERROR(SUMIFS(确定审计范围!57:57,确定审计范围!$12:$12,按工作类型的汇总报告!G$9),"")</f>
        <v>0</v>
      </c>
      <c r="H54" s="74">
        <f>IFERROR(SUMIFS(确定审计范围!57:57,确定审计范围!$12:$12,按工作类型的汇总报告!H$9),"")</f>
        <v>0</v>
      </c>
      <c r="I54" s="60">
        <f>SUM(I43:I53)</f>
        <v>0</v>
      </c>
      <c r="J54" s="60">
        <f>SUM(J43:J53)</f>
        <v>0</v>
      </c>
      <c r="K54" s="74">
        <f>IFERROR(SUMIFS(确定审计范围!57:57,确定审计范围!$12:$12,按工作类型的汇总报告!K$9),"")</f>
        <v>0</v>
      </c>
      <c r="L54" s="74">
        <f>IFERROR(SUMIFS(确定审计范围!57:57,确定审计范围!$12:$12,按工作类型的汇总报告!L$9),"")</f>
        <v>0</v>
      </c>
      <c r="M54" s="51"/>
      <c r="N54" s="74">
        <f ca="1">IFERROR(C54-SUM(D54:E54,G54:H54,I54,J54,K54:L54),"")</f>
        <v>0</v>
      </c>
      <c r="O54" s="75">
        <f ca="1">IFERROR(N54/(C54-D54-E54),0)</f>
        <v>0</v>
      </c>
      <c r="P54" s="74">
        <f>SUM(K54:L54)</f>
        <v>0</v>
      </c>
      <c r="Q54" s="75">
        <f t="shared" ca="1" si="15"/>
        <v>0</v>
      </c>
      <c r="R54" s="74">
        <f t="shared" si="16"/>
        <v>0</v>
      </c>
      <c r="S54" s="75">
        <f t="shared" ca="1" si="17"/>
        <v>0</v>
      </c>
      <c r="T54" s="51"/>
      <c r="U54" s="60"/>
      <c r="V54" s="60"/>
      <c r="W54" s="97"/>
      <c r="X54" s="52"/>
      <c r="Y54" s="74">
        <f ca="1">IFERROR(SUMIFS(OFFSET(确定审计范围!$B:$B,,MATCH(按工作类型的汇总报告!Y$9,确定审计范围!$9:$9,0)-2),确定审计范围!$C:$C,按工作类型的汇总报告!$B54),0)</f>
        <v>0</v>
      </c>
    </row>
    <row r="55" spans="2:26" x14ac:dyDescent="0.2">
      <c r="B55" s="23" t="str">
        <f>IF(确定审计范围!$C58="","",确定审计范围!$C58)</f>
        <v/>
      </c>
      <c r="C55" s="70"/>
      <c r="D55" s="70"/>
      <c r="E55" s="70"/>
      <c r="F55" s="51"/>
      <c r="G55" s="70"/>
      <c r="H55" s="70"/>
      <c r="I55" s="58"/>
      <c r="J55" s="58"/>
      <c r="K55" s="70"/>
      <c r="L55" s="70"/>
      <c r="M55" s="51"/>
      <c r="N55" s="70"/>
      <c r="O55" s="71"/>
      <c r="P55" s="70"/>
      <c r="Q55" s="70"/>
      <c r="R55" s="70"/>
      <c r="S55" s="70"/>
      <c r="T55" s="51"/>
      <c r="U55" s="58"/>
      <c r="V55" s="58"/>
      <c r="W55" s="95"/>
      <c r="X55" s="52"/>
      <c r="Y55" s="70"/>
    </row>
    <row r="56" spans="2:26" x14ac:dyDescent="0.2">
      <c r="B56" s="23" t="str">
        <f>IF(确定审计范围!$C59="","",确定审计范围!$C59)</f>
        <v>长期借款净额</v>
      </c>
      <c r="C56" s="70">
        <f ca="1">IFERROR(SUMIFS(OFFSET(确定审计范围!$C:$C,,MATCH(按工作类型的汇总报告!C$9,确定审计范围!$8:$8,0)-3,,),确定审计范围!$C:$C,按工作类型的汇总报告!$B56),"")</f>
        <v>0</v>
      </c>
      <c r="D56" s="70">
        <f ca="1">IFERROR(SUMIFS(OFFSET(确定审计范围!$C:$C,,MATCH(按工作类型的汇总报告!D$9,确定审计范围!$8:$8,0)-3,,),确定审计范围!$C:$C,按工作类型的汇总报告!$B56),"")</f>
        <v>0</v>
      </c>
      <c r="E56" s="70">
        <f ca="1">IFERROR(SUMIFS(OFFSET(确定审计范围!$C:$C,,MATCH(按工作类型的汇总报告!E$9,确定审计范围!$8:$8,0)-3,,),确定审计范围!$C:$C,按工作类型的汇总报告!$B56),"")</f>
        <v>0</v>
      </c>
      <c r="F56" s="51"/>
      <c r="G56" s="70">
        <f>IFERROR(SUMIFS(确定审计范围!59:59,确定审计范围!$12:$12,按工作类型的汇总报告!G$9),"")</f>
        <v>0</v>
      </c>
      <c r="H56" s="70">
        <f>IFERROR(SUMIFS(确定审计范围!59:59,确定审计范围!$12:$12,按工作类型的汇总报告!H$9),"")</f>
        <v>0</v>
      </c>
      <c r="I56" s="58"/>
      <c r="J56" s="58"/>
      <c r="K56" s="70">
        <f>IFERROR(SUMIFS(确定审计范围!59:59,确定审计范围!$12:$12,按工作类型的汇总报告!K$9),"")</f>
        <v>0</v>
      </c>
      <c r="L56" s="70">
        <f>IFERROR(SUMIFS(确定审计范围!59:59,确定审计范围!$12:$12,按工作类型的汇总报告!L$9),"")</f>
        <v>0</v>
      </c>
      <c r="M56" s="51"/>
      <c r="N56" s="70">
        <f t="shared" ref="N56:N64" ca="1" si="18">IFERROR(C56-SUM(D56:E56,G56:H56,I56,J56,K56:L56),"")</f>
        <v>0</v>
      </c>
      <c r="O56" s="71">
        <f t="shared" ref="O56:O64" ca="1" si="19">IFERROR(N56/(C56-D56-E56),0)</f>
        <v>0</v>
      </c>
      <c r="P56" s="70">
        <f t="shared" ref="P56:P64" si="20">SUM(K56:L56)</f>
        <v>0</v>
      </c>
      <c r="Q56" s="71">
        <f t="shared" ref="Q56:Q66" ca="1" si="21">IFERROR(P56/(C56-D56-E56),0)</f>
        <v>0</v>
      </c>
      <c r="R56" s="70">
        <f t="shared" ref="R56:R66" si="22">G56+H56+I56+J56</f>
        <v>0</v>
      </c>
      <c r="S56" s="71">
        <f t="shared" ref="S56:S66" ca="1" si="23">IFERROR(R56/(C56-D56-E56),0)</f>
        <v>0</v>
      </c>
      <c r="T56" s="51"/>
      <c r="U56" s="58"/>
      <c r="V56" s="58"/>
      <c r="W56" s="95"/>
      <c r="X56" s="52"/>
      <c r="Y56" s="70">
        <f ca="1">IFERROR(SUMIFS(OFFSET(确定审计范围!$B:$B,,MATCH(按工作类型的汇总报告!Y$9,确定审计范围!$9:$9,0)-2),确定审计范围!$C:$C,按工作类型的汇总报告!$B56),0)</f>
        <v>0</v>
      </c>
    </row>
    <row r="57" spans="2:26" x14ac:dyDescent="0.2">
      <c r="B57" s="23" t="str">
        <f>IF(确定审计范围!$C60="","",确定审计范围!$C60)</f>
        <v>融资租赁负债（非流动）</v>
      </c>
      <c r="C57" s="70">
        <f ca="1">IFERROR(SUMIFS(OFFSET(确定审计范围!$C:$C,,MATCH(按工作类型的汇总报告!C$9,确定审计范围!$8:$8,0)-3,,),确定审计范围!$C:$C,按工作类型的汇总报告!$B57),"")</f>
        <v>0</v>
      </c>
      <c r="D57" s="70">
        <f ca="1">IFERROR(SUMIFS(OFFSET(确定审计范围!$C:$C,,MATCH(按工作类型的汇总报告!D$9,确定审计范围!$8:$8,0)-3,,),确定审计范围!$C:$C,按工作类型的汇总报告!$B57),"")</f>
        <v>0</v>
      </c>
      <c r="E57" s="70">
        <f ca="1">IFERROR(SUMIFS(OFFSET(确定审计范围!$C:$C,,MATCH(按工作类型的汇总报告!E$9,确定审计范围!$8:$8,0)-3,,),确定审计范围!$C:$C,按工作类型的汇总报告!$B57),"")</f>
        <v>0</v>
      </c>
      <c r="F57" s="51"/>
      <c r="G57" s="70">
        <f>IFERROR(SUMIFS(确定审计范围!60:60,确定审计范围!$12:$12,按工作类型的汇总报告!G$9),"")</f>
        <v>0</v>
      </c>
      <c r="H57" s="70">
        <f>IFERROR(SUMIFS(确定审计范围!60:60,确定审计范围!$12:$12,按工作类型的汇总报告!H$9),"")</f>
        <v>0</v>
      </c>
      <c r="I57" s="58"/>
      <c r="J57" s="58"/>
      <c r="K57" s="70">
        <f>IFERROR(SUMIFS(确定审计范围!60:60,确定审计范围!$12:$12,按工作类型的汇总报告!K$9),"")</f>
        <v>0</v>
      </c>
      <c r="L57" s="70">
        <f>IFERROR(SUMIFS(确定审计范围!60:60,确定审计范围!$12:$12,按工作类型的汇总报告!L$9),"")</f>
        <v>0</v>
      </c>
      <c r="M57" s="51"/>
      <c r="N57" s="70">
        <f t="shared" ca="1" si="18"/>
        <v>0</v>
      </c>
      <c r="O57" s="71">
        <f t="shared" ca="1" si="19"/>
        <v>0</v>
      </c>
      <c r="P57" s="70">
        <f t="shared" si="20"/>
        <v>0</v>
      </c>
      <c r="Q57" s="71">
        <f t="shared" ca="1" si="21"/>
        <v>0</v>
      </c>
      <c r="R57" s="70">
        <f t="shared" si="22"/>
        <v>0</v>
      </c>
      <c r="S57" s="71">
        <f t="shared" ca="1" si="23"/>
        <v>0</v>
      </c>
      <c r="T57" s="51"/>
      <c r="U57" s="58"/>
      <c r="V57" s="58"/>
      <c r="W57" s="95"/>
      <c r="X57" s="52"/>
      <c r="Y57" s="70">
        <f ca="1">IFERROR(SUMIFS(OFFSET(确定审计范围!$B:$B,,MATCH(按工作类型的汇总报告!Y$9,确定审计范围!$9:$9,0)-2),确定审计范围!$C:$C,按工作类型的汇总报告!$B57),0)</f>
        <v>0</v>
      </c>
    </row>
    <row r="58" spans="2:26" x14ac:dyDescent="0.2">
      <c r="B58" s="23" t="str">
        <f>IF(确定审计范围!$C61="","",确定审计范围!$C61)</f>
        <v>应付关联方款项（非流动）</v>
      </c>
      <c r="C58" s="70">
        <f ca="1">IFERROR(SUMIFS(OFFSET(确定审计范围!$C:$C,,MATCH(按工作类型的汇总报告!C$9,确定审计范围!$8:$8,0)-3,,),确定审计范围!$C:$C,按工作类型的汇总报告!$B58),"")</f>
        <v>0</v>
      </c>
      <c r="D58" s="70">
        <f ca="1">IFERROR(SUMIFS(OFFSET(确定审计范围!$C:$C,,MATCH(按工作类型的汇总报告!D$9,确定审计范围!$8:$8,0)-3,,),确定审计范围!$C:$C,按工作类型的汇总报告!$B58),"")</f>
        <v>0</v>
      </c>
      <c r="E58" s="70">
        <f ca="1">IFERROR(SUMIFS(OFFSET(确定审计范围!$C:$C,,MATCH(按工作类型的汇总报告!E$9,确定审计范围!$8:$8,0)-3,,),确定审计范围!$C:$C,按工作类型的汇总报告!$B58),"")</f>
        <v>0</v>
      </c>
      <c r="F58" s="51"/>
      <c r="G58" s="70">
        <f>IFERROR(SUMIFS(确定审计范围!61:61,确定审计范围!$12:$12,按工作类型的汇总报告!G$9),"")</f>
        <v>0</v>
      </c>
      <c r="H58" s="70">
        <f>IFERROR(SUMIFS(确定审计范围!61:61,确定审计范围!$12:$12,按工作类型的汇总报告!H$9),"")</f>
        <v>0</v>
      </c>
      <c r="I58" s="58"/>
      <c r="J58" s="58"/>
      <c r="K58" s="70">
        <f>IFERROR(SUMIFS(确定审计范围!61:61,确定审计范围!$12:$12,按工作类型的汇总报告!K$9),"")</f>
        <v>0</v>
      </c>
      <c r="L58" s="70">
        <f>IFERROR(SUMIFS(确定审计范围!61:61,确定审计范围!$12:$12,按工作类型的汇总报告!L$9),"")</f>
        <v>0</v>
      </c>
      <c r="M58" s="51"/>
      <c r="N58" s="70">
        <f t="shared" ca="1" si="18"/>
        <v>0</v>
      </c>
      <c r="O58" s="71">
        <f t="shared" ca="1" si="19"/>
        <v>0</v>
      </c>
      <c r="P58" s="70">
        <f t="shared" si="20"/>
        <v>0</v>
      </c>
      <c r="Q58" s="71">
        <f t="shared" ca="1" si="21"/>
        <v>0</v>
      </c>
      <c r="R58" s="70">
        <f t="shared" si="22"/>
        <v>0</v>
      </c>
      <c r="S58" s="71">
        <f t="shared" ca="1" si="23"/>
        <v>0</v>
      </c>
      <c r="T58" s="51"/>
      <c r="U58" s="58"/>
      <c r="V58" s="58"/>
      <c r="W58" s="95"/>
      <c r="X58" s="52"/>
      <c r="Y58" s="70">
        <f ca="1">IFERROR(SUMIFS(OFFSET(确定审计范围!$B:$B,,MATCH(按工作类型的汇总报告!Y$9,确定审计范围!$9:$9,0)-2),确定审计范围!$C:$C,按工作类型的汇总报告!$B58),0)</f>
        <v>0</v>
      </c>
    </row>
    <row r="59" spans="2:26" x14ac:dyDescent="0.2">
      <c r="B59" s="23" t="str">
        <f>IF(确定审计范围!$C62="","",确定审计范围!$C62)</f>
        <v>员工福利计划负债</v>
      </c>
      <c r="C59" s="70">
        <f ca="1">IFERROR(SUMIFS(OFFSET(确定审计范围!$C:$C,,MATCH(按工作类型的汇总报告!C$9,确定审计范围!$8:$8,0)-3,,),确定审计范围!$C:$C,按工作类型的汇总报告!$B59),"")</f>
        <v>0</v>
      </c>
      <c r="D59" s="70">
        <f ca="1">IFERROR(SUMIFS(OFFSET(确定审计范围!$C:$C,,MATCH(按工作类型的汇总报告!D$9,确定审计范围!$8:$8,0)-3,,),确定审计范围!$C:$C,按工作类型的汇总报告!$B59),"")</f>
        <v>0</v>
      </c>
      <c r="E59" s="70">
        <f ca="1">IFERROR(SUMIFS(OFFSET(确定审计范围!$C:$C,,MATCH(按工作类型的汇总报告!E$9,确定审计范围!$8:$8,0)-3,,),确定审计范围!$C:$C,按工作类型的汇总报告!$B59),"")</f>
        <v>0</v>
      </c>
      <c r="F59" s="51"/>
      <c r="G59" s="70">
        <f>IFERROR(SUMIFS(确定审计范围!62:62,确定审计范围!$12:$12,按工作类型的汇总报告!G$9),"")</f>
        <v>0</v>
      </c>
      <c r="H59" s="70">
        <f>IFERROR(SUMIFS(确定审计范围!62:62,确定审计范围!$12:$12,按工作类型的汇总报告!H$9),"")</f>
        <v>0</v>
      </c>
      <c r="I59" s="58"/>
      <c r="J59" s="58"/>
      <c r="K59" s="70">
        <f>IFERROR(SUMIFS(确定审计范围!62:62,确定审计范围!$12:$12,按工作类型的汇总报告!K$9),"")</f>
        <v>0</v>
      </c>
      <c r="L59" s="70">
        <f>IFERROR(SUMIFS(确定审计范围!62:62,确定审计范围!$12:$12,按工作类型的汇总报告!L$9),"")</f>
        <v>0</v>
      </c>
      <c r="M59" s="51"/>
      <c r="N59" s="70">
        <f t="shared" ca="1" si="18"/>
        <v>0</v>
      </c>
      <c r="O59" s="71">
        <f t="shared" ca="1" si="19"/>
        <v>0</v>
      </c>
      <c r="P59" s="70">
        <f t="shared" si="20"/>
        <v>0</v>
      </c>
      <c r="Q59" s="71">
        <f t="shared" ca="1" si="21"/>
        <v>0</v>
      </c>
      <c r="R59" s="70">
        <f t="shared" si="22"/>
        <v>0</v>
      </c>
      <c r="S59" s="71">
        <f t="shared" ca="1" si="23"/>
        <v>0</v>
      </c>
      <c r="T59" s="51"/>
      <c r="U59" s="58"/>
      <c r="V59" s="58"/>
      <c r="W59" s="95"/>
      <c r="X59" s="52"/>
      <c r="Y59" s="70">
        <f ca="1">IFERROR(SUMIFS(OFFSET(确定审计范围!$B:$B,,MATCH(按工作类型的汇总报告!Y$9,确定审计范围!$9:$9,0)-2),确定审计范围!$C:$C,按工作类型的汇总报告!$B59),0)</f>
        <v>0</v>
      </c>
    </row>
    <row r="60" spans="2:26" x14ac:dyDescent="0.2">
      <c r="B60" s="23" t="str">
        <f>IF(确定审计范围!$C63="","",确定审计范围!$C63)</f>
        <v>递延收益（非流动）</v>
      </c>
      <c r="C60" s="70">
        <f ca="1">IFERROR(SUMIFS(OFFSET(确定审计范围!$C:$C,,MATCH(按工作类型的汇总报告!C$9,确定审计范围!$8:$8,0)-3,,),确定审计范围!$C:$C,按工作类型的汇总报告!$B60),"")</f>
        <v>0</v>
      </c>
      <c r="D60" s="70">
        <f ca="1">IFERROR(SUMIFS(OFFSET(确定审计范围!$C:$C,,MATCH(按工作类型的汇总报告!D$9,确定审计范围!$8:$8,0)-3,,),确定审计范围!$C:$C,按工作类型的汇总报告!$B60),"")</f>
        <v>0</v>
      </c>
      <c r="E60" s="70">
        <f ca="1">IFERROR(SUMIFS(OFFSET(确定审计范围!$C:$C,,MATCH(按工作类型的汇总报告!E$9,确定审计范围!$8:$8,0)-3,,),确定审计范围!$C:$C,按工作类型的汇总报告!$B60),"")</f>
        <v>0</v>
      </c>
      <c r="F60" s="51"/>
      <c r="G60" s="70">
        <f>IFERROR(SUMIFS(确定审计范围!63:63,确定审计范围!$12:$12,按工作类型的汇总报告!G$9),"")</f>
        <v>0</v>
      </c>
      <c r="H60" s="70">
        <f>IFERROR(SUMIFS(确定审计范围!63:63,确定审计范围!$12:$12,按工作类型的汇总报告!H$9),"")</f>
        <v>0</v>
      </c>
      <c r="I60" s="58"/>
      <c r="J60" s="58"/>
      <c r="K60" s="70">
        <f>IFERROR(SUMIFS(确定审计范围!63:63,确定审计范围!$12:$12,按工作类型的汇总报告!K$9),"")</f>
        <v>0</v>
      </c>
      <c r="L60" s="70">
        <f>IFERROR(SUMIFS(确定审计范围!63:63,确定审计范围!$12:$12,按工作类型的汇总报告!L$9),"")</f>
        <v>0</v>
      </c>
      <c r="M60" s="51"/>
      <c r="N60" s="70">
        <f t="shared" ca="1" si="18"/>
        <v>0</v>
      </c>
      <c r="O60" s="71">
        <f t="shared" ca="1" si="19"/>
        <v>0</v>
      </c>
      <c r="P60" s="70">
        <f t="shared" si="20"/>
        <v>0</v>
      </c>
      <c r="Q60" s="71">
        <f t="shared" ca="1" si="21"/>
        <v>0</v>
      </c>
      <c r="R60" s="70">
        <f t="shared" si="22"/>
        <v>0</v>
      </c>
      <c r="S60" s="71">
        <f t="shared" ca="1" si="23"/>
        <v>0</v>
      </c>
      <c r="T60" s="51"/>
      <c r="U60" s="58"/>
      <c r="V60" s="58"/>
      <c r="W60" s="95"/>
      <c r="X60" s="52"/>
      <c r="Y60" s="70">
        <f ca="1">IFERROR(SUMIFS(OFFSET(确定审计范围!$B:$B,,MATCH(按工作类型的汇总报告!Y$9,确定审计范围!$9:$9,0)-2),确定审计范围!$C:$C,按工作类型的汇总报告!$B60),0)</f>
        <v>0</v>
      </c>
    </row>
    <row r="61" spans="2:26" x14ac:dyDescent="0.2">
      <c r="B61" s="23" t="str">
        <f>IF(确定审计范围!$C64="","",确定审计范围!$C64)</f>
        <v>递延所得税负债（非流动）</v>
      </c>
      <c r="C61" s="70">
        <f ca="1">IFERROR(SUMIFS(OFFSET(确定审计范围!$C:$C,,MATCH(按工作类型的汇总报告!C$9,确定审计范围!$8:$8,0)-3,,),确定审计范围!$C:$C,按工作类型的汇总报告!$B61),"")</f>
        <v>0</v>
      </c>
      <c r="D61" s="70">
        <f ca="1">IFERROR(SUMIFS(OFFSET(确定审计范围!$C:$C,,MATCH(按工作类型的汇总报告!D$9,确定审计范围!$8:$8,0)-3,,),确定审计范围!$C:$C,按工作类型的汇总报告!$B61),"")</f>
        <v>0</v>
      </c>
      <c r="E61" s="70">
        <f ca="1">IFERROR(SUMIFS(OFFSET(确定审计范围!$C:$C,,MATCH(按工作类型的汇总报告!E$9,确定审计范围!$8:$8,0)-3,,),确定审计范围!$C:$C,按工作类型的汇总报告!$B61),"")</f>
        <v>0</v>
      </c>
      <c r="F61" s="51"/>
      <c r="G61" s="70">
        <f>IFERROR(SUMIFS(确定审计范围!64:64,确定审计范围!$12:$12,按工作类型的汇总报告!G$9),"")</f>
        <v>0</v>
      </c>
      <c r="H61" s="70">
        <f>IFERROR(SUMIFS(确定审计范围!64:64,确定审计范围!$12:$12,按工作类型的汇总报告!H$9),"")</f>
        <v>0</v>
      </c>
      <c r="I61" s="58"/>
      <c r="J61" s="58"/>
      <c r="K61" s="70">
        <f>IFERROR(SUMIFS(确定审计范围!64:64,确定审计范围!$12:$12,按工作类型的汇总报告!K$9),"")</f>
        <v>0</v>
      </c>
      <c r="L61" s="70">
        <f>IFERROR(SUMIFS(确定审计范围!64:64,确定审计范围!$12:$12,按工作类型的汇总报告!L$9),"")</f>
        <v>0</v>
      </c>
      <c r="M61" s="51"/>
      <c r="N61" s="70">
        <f t="shared" ca="1" si="18"/>
        <v>0</v>
      </c>
      <c r="O61" s="71">
        <f t="shared" ca="1" si="19"/>
        <v>0</v>
      </c>
      <c r="P61" s="70">
        <f t="shared" si="20"/>
        <v>0</v>
      </c>
      <c r="Q61" s="71">
        <f t="shared" ca="1" si="21"/>
        <v>0</v>
      </c>
      <c r="R61" s="70">
        <f t="shared" si="22"/>
        <v>0</v>
      </c>
      <c r="S61" s="71">
        <f t="shared" ca="1" si="23"/>
        <v>0</v>
      </c>
      <c r="T61" s="51"/>
      <c r="U61" s="58"/>
      <c r="V61" s="58"/>
      <c r="W61" s="95"/>
      <c r="X61" s="52"/>
      <c r="Y61" s="70">
        <f ca="1">IFERROR(SUMIFS(OFFSET(确定审计范围!$B:$B,,MATCH(按工作类型的汇总报告!Y$9,确定审计范围!$9:$9,0)-2),确定审计范围!$C:$C,按工作类型的汇总报告!$B61),0)</f>
        <v>0</v>
      </c>
    </row>
    <row r="62" spans="2:26" x14ac:dyDescent="0.2">
      <c r="B62" s="23" t="str">
        <f>IF(确定审计范围!$C65="","",确定审计范围!$C65)</f>
        <v>持有待售负债</v>
      </c>
      <c r="C62" s="70">
        <f ca="1">IFERROR(SUMIFS(OFFSET(确定审计范围!$C:$C,,MATCH(按工作类型的汇总报告!C$9,确定审计范围!$8:$8,0)-3,,),确定审计范围!$C:$C,按工作类型的汇总报告!$B62),"")</f>
        <v>0</v>
      </c>
      <c r="D62" s="105">
        <f ca="1">IFERROR(SUMIFS(OFFSET(确定审计范围!$C:$C,,MATCH(按工作类型的汇总报告!D$9,确定审计范围!$8:$8,0)-3,,),确定审计范围!$C:$C,按工作类型的汇总报告!$B62),"")</f>
        <v>0</v>
      </c>
      <c r="E62" s="105">
        <f ca="1">IFERROR(SUMIFS(OFFSET(确定审计范围!$C:$C,,MATCH(按工作类型的汇总报告!E$9,确定审计范围!$8:$8,0)-3,,),确定审计范围!$C:$C,按工作类型的汇总报告!$B62),"")</f>
        <v>0</v>
      </c>
      <c r="F62" s="51"/>
      <c r="G62" s="70">
        <f>IFERROR(SUMIFS(确定审计范围!65:65,确定审计范围!$12:$12,按工作类型的汇总报告!G$9),"")</f>
        <v>0</v>
      </c>
      <c r="H62" s="70">
        <f>IFERROR(SUMIFS(确定审计范围!65:65,确定审计范围!$12:$12,按工作类型的汇总报告!H$9),"")</f>
        <v>0</v>
      </c>
      <c r="I62" s="58"/>
      <c r="J62" s="58"/>
      <c r="K62" s="70">
        <f>IFERROR(SUMIFS(确定审计范围!65:65,确定审计范围!$12:$12,按工作类型的汇总报告!K$9),"")</f>
        <v>0</v>
      </c>
      <c r="L62" s="70">
        <f>IFERROR(SUMIFS(确定审计范围!65:65,确定审计范围!$12:$12,按工作类型的汇总报告!L$9),"")</f>
        <v>0</v>
      </c>
      <c r="M62" s="51"/>
      <c r="N62" s="70">
        <f t="shared" ca="1" si="18"/>
        <v>0</v>
      </c>
      <c r="O62" s="71">
        <f t="shared" ca="1" si="19"/>
        <v>0</v>
      </c>
      <c r="P62" s="70">
        <f t="shared" si="20"/>
        <v>0</v>
      </c>
      <c r="Q62" s="71">
        <f t="shared" ca="1" si="21"/>
        <v>0</v>
      </c>
      <c r="R62" s="70">
        <f t="shared" si="22"/>
        <v>0</v>
      </c>
      <c r="S62" s="71">
        <f t="shared" ca="1" si="23"/>
        <v>0</v>
      </c>
      <c r="T62" s="51"/>
      <c r="U62" s="58"/>
      <c r="V62" s="58"/>
      <c r="W62" s="95"/>
      <c r="X62" s="52"/>
      <c r="Y62" s="70">
        <f ca="1">IFERROR(SUMIFS(OFFSET(确定审计范围!$B:$B,,MATCH(按工作类型的汇总报告!Y$9,确定审计范围!$9:$9,0)-2),确定审计范围!$C:$C,按工作类型的汇总报告!$B62),0)</f>
        <v>0</v>
      </c>
    </row>
    <row r="63" spans="2:26" s="48" customFormat="1" x14ac:dyDescent="0.2">
      <c r="B63" s="49" t="str">
        <f>IF(确定审计范围!$C66="","",确定审计范围!$C66)</f>
        <v>终止经营负债</v>
      </c>
      <c r="C63" s="70">
        <f ca="1">IFERROR(SUMIFS(OFFSET(确定审计范围!$C:$C,,MATCH(按工作类型的汇总报告!C$9,确定审计范围!$8:$8,0)-3,,),确定审计范围!$C:$C,按工作类型的汇总报告!$B63),"")</f>
        <v>0</v>
      </c>
      <c r="D63" s="70">
        <f ca="1">IFERROR(SUMIFS(OFFSET(确定审计范围!$C:$C,,MATCH(按工作类型的汇总报告!D$9,确定审计范围!$8:$8,0)-3,,),确定审计范围!$C:$C,按工作类型的汇总报告!$B63),"")</f>
        <v>0</v>
      </c>
      <c r="E63" s="70">
        <f ca="1">IFERROR(SUMIFS(OFFSET(确定审计范围!$C:$C,,MATCH(按工作类型的汇总报告!E$9,确定审计范围!$8:$8,0)-3,,),确定审计范围!$C:$C,按工作类型的汇总报告!$B63),"")</f>
        <v>0</v>
      </c>
      <c r="F63" s="51"/>
      <c r="G63" s="70">
        <f>IFERROR(SUMIFS(确定审计范围!66:66,确定审计范围!$12:$12,按工作类型的汇总报告!G$9),"")</f>
        <v>0</v>
      </c>
      <c r="H63" s="70">
        <f>IFERROR(SUMIFS(确定审计范围!66:66,确定审计范围!$12:$12,按工作类型的汇总报告!H$9),"")</f>
        <v>0</v>
      </c>
      <c r="I63" s="58"/>
      <c r="J63" s="58"/>
      <c r="K63" s="70">
        <f>IFERROR(SUMIFS(确定审计范围!66:66,确定审计范围!$12:$12,按工作类型的汇总报告!K$9),"")</f>
        <v>0</v>
      </c>
      <c r="L63" s="70">
        <f>IFERROR(SUMIFS(确定审计范围!66:66,确定审计范围!$12:$12,按工作类型的汇总报告!L$9),"")</f>
        <v>0</v>
      </c>
      <c r="M63" s="51"/>
      <c r="N63" s="70">
        <f t="shared" ca="1" si="18"/>
        <v>0</v>
      </c>
      <c r="O63" s="71">
        <f t="shared" ca="1" si="19"/>
        <v>0</v>
      </c>
      <c r="P63" s="70">
        <f t="shared" si="20"/>
        <v>0</v>
      </c>
      <c r="Q63" s="71">
        <f t="shared" ca="1" si="21"/>
        <v>0</v>
      </c>
      <c r="R63" s="70">
        <f t="shared" si="22"/>
        <v>0</v>
      </c>
      <c r="S63" s="71">
        <f t="shared" ca="1" si="23"/>
        <v>0</v>
      </c>
      <c r="T63" s="51"/>
      <c r="U63" s="58"/>
      <c r="V63" s="58"/>
      <c r="W63" s="95"/>
      <c r="X63" s="52"/>
      <c r="Y63" s="70">
        <f ca="1">IFERROR(SUMIFS(OFFSET(确定审计范围!$B:$B,,MATCH(按工作类型的汇总报告!Y$9,确定审计范围!$9:$9,0)-2),确定审计范围!$C:$C,按工作类型的汇总报告!$B63),0)</f>
        <v>0</v>
      </c>
      <c r="Z63"/>
    </row>
    <row r="64" spans="2:26" x14ac:dyDescent="0.2">
      <c r="B64" s="23" t="str">
        <f>IF(确定审计范围!$C67="","",确定审计范围!$C67)</f>
        <v>其他负债</v>
      </c>
      <c r="C64" s="70">
        <f ca="1">IFERROR(SUMIFS(OFFSET(确定审计范围!$C:$C,,MATCH(按工作类型的汇总报告!C$9,确定审计范围!$8:$8,0)-3,,),确定审计范围!$C:$C,按工作类型的汇总报告!$B64),"")</f>
        <v>0</v>
      </c>
      <c r="D64" s="70">
        <f ca="1">IFERROR(SUMIFS(OFFSET(确定审计范围!$C:$C,,MATCH(按工作类型的汇总报告!D$9,确定审计范围!$8:$8,0)-3,,),确定审计范围!$C:$C,按工作类型的汇总报告!$B64),"")</f>
        <v>0</v>
      </c>
      <c r="E64" s="70">
        <f ca="1">IFERROR(SUMIFS(OFFSET(确定审计范围!$C:$C,,MATCH(按工作类型的汇总报告!E$9,确定审计范围!$8:$8,0)-3,,),确定审计范围!$C:$C,按工作类型的汇总报告!$B64),"")</f>
        <v>0</v>
      </c>
      <c r="F64" s="51"/>
      <c r="G64" s="70">
        <f>IFERROR(SUMIFS(确定审计范围!67:67,确定审计范围!$12:$12,按工作类型的汇总报告!G$9),"")</f>
        <v>0</v>
      </c>
      <c r="H64" s="70">
        <f>IFERROR(SUMIFS(确定审计范围!67:67,确定审计范围!$12:$12,按工作类型的汇总报告!H$9),"")</f>
        <v>0</v>
      </c>
      <c r="I64" s="58"/>
      <c r="J64" s="58"/>
      <c r="K64" s="70">
        <f>IFERROR(SUMIFS(确定审计范围!67:67,确定审计范围!$12:$12,按工作类型的汇总报告!K$9),"")</f>
        <v>0</v>
      </c>
      <c r="L64" s="70">
        <f>IFERROR(SUMIFS(确定审计范围!67:67,确定审计范围!$12:$12,按工作类型的汇总报告!L$9),"")</f>
        <v>0</v>
      </c>
      <c r="M64" s="51"/>
      <c r="N64" s="70">
        <f t="shared" ca="1" si="18"/>
        <v>0</v>
      </c>
      <c r="O64" s="71">
        <f t="shared" ca="1" si="19"/>
        <v>0</v>
      </c>
      <c r="P64" s="70">
        <f t="shared" si="20"/>
        <v>0</v>
      </c>
      <c r="Q64" s="71">
        <f t="shared" ca="1" si="21"/>
        <v>0</v>
      </c>
      <c r="R64" s="70">
        <f t="shared" si="22"/>
        <v>0</v>
      </c>
      <c r="S64" s="71">
        <f t="shared" ca="1" si="23"/>
        <v>0</v>
      </c>
      <c r="T64" s="51"/>
      <c r="U64" s="58"/>
      <c r="V64" s="58"/>
      <c r="W64" s="95"/>
      <c r="X64" s="52"/>
      <c r="Y64" s="70">
        <f ca="1">IFERROR(SUMIFS(OFFSET(确定审计范围!$B:$B,,MATCH(按工作类型的汇总报告!Y$9,确定审计范围!$9:$9,0)-2),确定审计范围!$C:$C,按工作类型的汇总报告!$B64),0)</f>
        <v>0</v>
      </c>
    </row>
    <row r="65" spans="2:25" hidden="1" x14ac:dyDescent="0.2">
      <c r="B65" s="17" t="str">
        <f>IF(确定审计范围!$C68="","",确定审计范围!$C68)</f>
        <v>故意隐藏</v>
      </c>
      <c r="C65" s="72">
        <f ca="1">IFERROR(SUMIFS(OFFSET(确定审计范围!$C:$C,,MATCH(按工作类型的汇总报告!C$9,确定审计范围!$8:$8,0)-3,,),确定审计范围!$C:$C,按工作类型的汇总报告!$B65),"")</f>
        <v>0</v>
      </c>
      <c r="D65" s="72">
        <f ca="1">IFERROR(SUMIFS(OFFSET(确定审计范围!$C:$C,,MATCH(按工作类型的汇总报告!D$9,确定审计范围!$8:$8,0)-3,,),确定审计范围!$C:$C,按工作类型的汇总报告!$B65),"")</f>
        <v>0</v>
      </c>
      <c r="E65" s="72">
        <f ca="1">IFERROR(SUMIFS(OFFSET(确定审计范围!$C:$C,,MATCH(按工作类型的汇总报告!E$9,确定审计范围!$8:$8,0)-3,,),确定审计范围!$C:$C,按工作类型的汇总报告!$B65),"")</f>
        <v>0</v>
      </c>
      <c r="F65" s="51"/>
      <c r="G65" s="72">
        <f>IFERROR(SUMIFS(确定审计范围!68:68,确定审计范围!$12:$12,按工作类型的汇总报告!G$9),"")</f>
        <v>0</v>
      </c>
      <c r="H65" s="72">
        <f>IFERROR(SUMIFS(确定审计范围!68:68,确定审计范围!$12:$12,按工作类型的汇总报告!H$9),"")</f>
        <v>0</v>
      </c>
      <c r="I65" s="59"/>
      <c r="J65" s="59"/>
      <c r="K65" s="72">
        <f>IFERROR(SUMIFS(确定审计范围!68:68,确定审计范围!$12:$12,按工作类型的汇总报告!K$9),"")</f>
        <v>0</v>
      </c>
      <c r="L65" s="72">
        <f>IFERROR(SUMIFS(确定审计范围!68:68,确定审计范围!$12:$12,按工作类型的汇总报告!L$9),"")</f>
        <v>0</v>
      </c>
      <c r="M65" s="51"/>
      <c r="N65" s="72"/>
      <c r="O65" s="73"/>
      <c r="P65" s="72"/>
      <c r="Q65" s="73">
        <f t="shared" ca="1" si="21"/>
        <v>0</v>
      </c>
      <c r="R65" s="72">
        <f t="shared" si="22"/>
        <v>0</v>
      </c>
      <c r="S65" s="73">
        <f t="shared" ca="1" si="23"/>
        <v>0</v>
      </c>
      <c r="T65" s="51"/>
      <c r="U65" s="59"/>
      <c r="V65" s="59"/>
      <c r="W65" s="96"/>
      <c r="X65" s="52"/>
      <c r="Y65" s="72">
        <f ca="1">IFERROR(SUMIFS(OFFSET(确定审计范围!$B:$B,,MATCH(按工作类型的汇总报告!Y$9,确定审计范围!$9:$9,0)-2),确定审计范围!$C:$C,按工作类型的汇总报告!$B65),0)</f>
        <v>0</v>
      </c>
    </row>
    <row r="66" spans="2:25" x14ac:dyDescent="0.2">
      <c r="B66" s="19" t="str">
        <f>IF(确定审计范围!$C69="","",确定审计范围!$C69)</f>
        <v>负债总额</v>
      </c>
      <c r="C66" s="78">
        <f ca="1">IFERROR(SUMIFS(OFFSET(确定审计范围!$C:$C,,MATCH(按工作类型的汇总报告!C$9,确定审计范围!$8:$8,0)-3,,),确定审计范围!$C:$C,按工作类型的汇总报告!$B66),"")</f>
        <v>0</v>
      </c>
      <c r="D66" s="78">
        <f ca="1">IFERROR(SUMIFS(OFFSET(确定审计范围!$C:$C,,MATCH(按工作类型的汇总报告!D$9,确定审计范围!$8:$8,0)-3,,),确定审计范围!$C:$C,按工作类型的汇总报告!$B66),"")</f>
        <v>0</v>
      </c>
      <c r="E66" s="78">
        <f ca="1">IFERROR(SUMIFS(OFFSET(确定审计范围!$C:$C,,MATCH(按工作类型的汇总报告!E$9,确定审计范围!$8:$8,0)-3,,),确定审计范围!$C:$C,按工作类型的汇总报告!$B66),"")</f>
        <v>0</v>
      </c>
      <c r="F66" s="51"/>
      <c r="G66" s="78">
        <f>IFERROR(SUMIFS(确定审计范围!69:69,确定审计范围!$12:$12,按工作类型的汇总报告!G$9),"")</f>
        <v>0</v>
      </c>
      <c r="H66" s="78">
        <f>IFERROR(SUMIFS(确定审计范围!69:69,确定审计范围!$12:$12,按工作类型的汇总报告!H$9),"")</f>
        <v>0</v>
      </c>
      <c r="I66" s="62">
        <f>SUM(I54:I65)</f>
        <v>0</v>
      </c>
      <c r="J66" s="62">
        <f>SUM(J54:J65)</f>
        <v>0</v>
      </c>
      <c r="K66" s="78">
        <f>IFERROR(SUMIFS(确定审计范围!69:69,确定审计范围!$12:$12,按工作类型的汇总报告!K$9),"")</f>
        <v>0</v>
      </c>
      <c r="L66" s="78">
        <f>IFERROR(SUMIFS(确定审计范围!69:69,确定审计范围!$12:$12,按工作类型的汇总报告!L$9),"")</f>
        <v>0</v>
      </c>
      <c r="M66" s="51"/>
      <c r="N66" s="78">
        <f ca="1">IFERROR(C66-SUM(D66:E66,G66:H66,I66,J66,K66:L66),"")</f>
        <v>0</v>
      </c>
      <c r="O66" s="79">
        <f ca="1">IFERROR(N66/(C66-D66-E66),0)</f>
        <v>0</v>
      </c>
      <c r="P66" s="78">
        <f>SUM(K66:L66)</f>
        <v>0</v>
      </c>
      <c r="Q66" s="79">
        <f t="shared" ca="1" si="21"/>
        <v>0</v>
      </c>
      <c r="R66" s="78">
        <f t="shared" si="22"/>
        <v>0</v>
      </c>
      <c r="S66" s="79">
        <f t="shared" ca="1" si="23"/>
        <v>0</v>
      </c>
      <c r="T66" s="51"/>
      <c r="U66" s="62"/>
      <c r="V66" s="62"/>
      <c r="W66" s="99"/>
      <c r="X66" s="52"/>
      <c r="Y66" s="78">
        <f ca="1">IFERROR(SUMIFS(OFFSET(确定审计范围!$B:$B,,MATCH(按工作类型的汇总报告!Y$9,确定审计范围!$9:$9,0)-2),确定审计范围!$C:$C,按工作类型的汇总报告!$B66),0)</f>
        <v>0</v>
      </c>
    </row>
    <row r="67" spans="2:25" x14ac:dyDescent="0.2">
      <c r="B67" s="15" t="str">
        <f>IF(确定审计范围!$C70="","",确定审计范围!$C70)</f>
        <v/>
      </c>
      <c r="C67" s="76"/>
      <c r="D67" s="76"/>
      <c r="E67" s="76"/>
      <c r="F67" s="51"/>
      <c r="G67" s="76"/>
      <c r="H67" s="76"/>
      <c r="I67" s="61"/>
      <c r="J67" s="61"/>
      <c r="K67" s="76"/>
      <c r="L67" s="76"/>
      <c r="M67" s="51"/>
      <c r="N67" s="76"/>
      <c r="O67" s="77"/>
      <c r="P67" s="76"/>
      <c r="Q67" s="76"/>
      <c r="R67" s="76"/>
      <c r="S67" s="76"/>
      <c r="T67" s="51"/>
      <c r="U67" s="61"/>
      <c r="V67" s="61"/>
      <c r="W67" s="98"/>
      <c r="X67" s="52"/>
      <c r="Y67" s="76"/>
    </row>
    <row r="68" spans="2:25" x14ac:dyDescent="0.2">
      <c r="B68" s="16" t="str">
        <f>IF(确定审计范围!$C71="","",确定审计范围!$C71)</f>
        <v>股东权益</v>
      </c>
      <c r="C68" s="80"/>
      <c r="D68" s="80"/>
      <c r="E68" s="80"/>
      <c r="F68" s="51"/>
      <c r="G68" s="80"/>
      <c r="H68" s="80"/>
      <c r="I68" s="63"/>
      <c r="J68" s="63"/>
      <c r="K68" s="80"/>
      <c r="L68" s="80"/>
      <c r="M68" s="51"/>
      <c r="N68" s="80"/>
      <c r="O68" s="81"/>
      <c r="P68" s="80"/>
      <c r="Q68" s="80"/>
      <c r="R68" s="80"/>
      <c r="S68" s="80"/>
      <c r="T68" s="51"/>
      <c r="U68" s="63"/>
      <c r="V68" s="63"/>
      <c r="W68" s="100"/>
      <c r="X68" s="52"/>
      <c r="Y68" s="80"/>
    </row>
    <row r="69" spans="2:25" x14ac:dyDescent="0.2">
      <c r="B69" s="23" t="str">
        <f>IF(确定审计范围!$C72="","",确定审计范围!$C72)</f>
        <v>优先股</v>
      </c>
      <c r="C69" s="70">
        <f ca="1">IFERROR(SUMIFS(OFFSET(确定审计范围!$C:$C,,MATCH(按工作类型的汇总报告!C$9,确定审计范围!$8:$8,0)-3,,),确定审计范围!$C:$C,按工作类型的汇总报告!$B69),"")</f>
        <v>0</v>
      </c>
      <c r="D69" s="70">
        <f ca="1">IFERROR(SUMIFS(OFFSET(确定审计范围!$C:$C,,MATCH(按工作类型的汇总报告!D$9,确定审计范围!$8:$8,0)-3,,),确定审计范围!$C:$C,按工作类型的汇总报告!$B69),"")</f>
        <v>0</v>
      </c>
      <c r="E69" s="70">
        <f ca="1">IFERROR(SUMIFS(OFFSET(确定审计范围!$C:$C,,MATCH(按工作类型的汇总报告!E$9,确定审计范围!$8:$8,0)-3,,),确定审计范围!$C:$C,按工作类型的汇总报告!$B69),"")</f>
        <v>0</v>
      </c>
      <c r="F69" s="51"/>
      <c r="G69" s="70">
        <f>IFERROR(SUMIFS(确定审计范围!72:72,确定审计范围!$12:$12,按工作类型的汇总报告!G$9),"")</f>
        <v>0</v>
      </c>
      <c r="H69" s="70">
        <f>IFERROR(SUMIFS(确定审计范围!72:72,确定审计范围!$12:$12,按工作类型的汇总报告!H$9),"")</f>
        <v>0</v>
      </c>
      <c r="I69" s="58"/>
      <c r="J69" s="58"/>
      <c r="K69" s="70">
        <f>IFERROR(SUMIFS(确定审计范围!72:72,确定审计范围!$12:$12,按工作类型的汇总报告!K$9),"")</f>
        <v>0</v>
      </c>
      <c r="L69" s="70">
        <f>IFERROR(SUMIFS(确定审计范围!72:72,确定审计范围!$12:$12,按工作类型的汇总报告!L$9),"")</f>
        <v>0</v>
      </c>
      <c r="M69" s="51"/>
      <c r="N69" s="70">
        <f t="shared" ref="N69:N74" ca="1" si="24">IFERROR(C69-SUM(D69:E69,G69:H69,I69,J69,K69:L69),"")</f>
        <v>0</v>
      </c>
      <c r="O69" s="71">
        <f t="shared" ref="O69:O74" ca="1" si="25">IFERROR(N69/(C69-D69-E69),0)</f>
        <v>0</v>
      </c>
      <c r="P69" s="70">
        <f t="shared" ref="P69:P74" si="26">SUM(K69:L69)</f>
        <v>0</v>
      </c>
      <c r="Q69" s="71">
        <f t="shared" ref="Q69:Q76" ca="1" si="27">IFERROR(P69/(C69-D69-E69),0)</f>
        <v>0</v>
      </c>
      <c r="R69" s="70">
        <f t="shared" ref="R69:R76" si="28">G69+H69+I69+J69</f>
        <v>0</v>
      </c>
      <c r="S69" s="71">
        <f t="shared" ref="S69:S76" ca="1" si="29">IFERROR(R69/(C69-D69-E69),0)</f>
        <v>0</v>
      </c>
      <c r="T69" s="51"/>
      <c r="U69" s="58"/>
      <c r="V69" s="58"/>
      <c r="W69" s="95"/>
      <c r="X69" s="52"/>
      <c r="Y69" s="70">
        <f ca="1">IFERROR(SUMIFS(OFFSET(确定审计范围!$B:$B,,MATCH(按工作类型的汇总报告!Y$9,确定审计范围!$9:$9,0)-2),确定审计范围!$C:$C,按工作类型的汇总报告!$B69),0)</f>
        <v>0</v>
      </c>
    </row>
    <row r="70" spans="2:25" x14ac:dyDescent="0.2">
      <c r="B70" s="23" t="str">
        <f>IF(确定审计范围!$C73="","",确定审计范围!$C73)</f>
        <v>普通股</v>
      </c>
      <c r="C70" s="70">
        <f ca="1">IFERROR(SUMIFS(OFFSET(确定审计范围!$C:$C,,MATCH(按工作类型的汇总报告!C$9,确定审计范围!$8:$8,0)-3,,),确定审计范围!$C:$C,按工作类型的汇总报告!$B70),"")</f>
        <v>0</v>
      </c>
      <c r="D70" s="70">
        <f ca="1">IFERROR(SUMIFS(OFFSET(确定审计范围!$C:$C,,MATCH(按工作类型的汇总报告!D$9,确定审计范围!$8:$8,0)-3,,),确定审计范围!$C:$C,按工作类型的汇总报告!$B70),"")</f>
        <v>0</v>
      </c>
      <c r="E70" s="70">
        <f ca="1">IFERROR(SUMIFS(OFFSET(确定审计范围!$C:$C,,MATCH(按工作类型的汇总报告!E$9,确定审计范围!$8:$8,0)-3,,),确定审计范围!$C:$C,按工作类型的汇总报告!$B70),"")</f>
        <v>0</v>
      </c>
      <c r="F70" s="51"/>
      <c r="G70" s="70">
        <f>IFERROR(SUMIFS(确定审计范围!73:73,确定审计范围!$12:$12,按工作类型的汇总报告!G$9),"")</f>
        <v>0</v>
      </c>
      <c r="H70" s="70">
        <f>IFERROR(SUMIFS(确定审计范围!73:73,确定审计范围!$12:$12,按工作类型的汇总报告!H$9),"")</f>
        <v>0</v>
      </c>
      <c r="I70" s="58"/>
      <c r="J70" s="58"/>
      <c r="K70" s="70">
        <f>IFERROR(SUMIFS(确定审计范围!73:73,确定审计范围!$12:$12,按工作类型的汇总报告!K$9),"")</f>
        <v>0</v>
      </c>
      <c r="L70" s="70">
        <f>IFERROR(SUMIFS(确定审计范围!73:73,确定审计范围!$12:$12,按工作类型的汇总报告!L$9),"")</f>
        <v>0</v>
      </c>
      <c r="M70" s="51"/>
      <c r="N70" s="70">
        <f t="shared" ca="1" si="24"/>
        <v>0</v>
      </c>
      <c r="O70" s="71">
        <f t="shared" ca="1" si="25"/>
        <v>0</v>
      </c>
      <c r="P70" s="70">
        <f t="shared" si="26"/>
        <v>0</v>
      </c>
      <c r="Q70" s="71">
        <f t="shared" ca="1" si="27"/>
        <v>0</v>
      </c>
      <c r="R70" s="70">
        <f t="shared" si="28"/>
        <v>0</v>
      </c>
      <c r="S70" s="71">
        <f t="shared" ca="1" si="29"/>
        <v>0</v>
      </c>
      <c r="T70" s="51"/>
      <c r="U70" s="58"/>
      <c r="V70" s="58"/>
      <c r="W70" s="95"/>
      <c r="X70" s="52"/>
      <c r="Y70" s="70">
        <f ca="1">IFERROR(SUMIFS(OFFSET(确定审计范围!$B:$B,,MATCH(按工作类型的汇总报告!Y$9,确定审计范围!$9:$9,0)-2),确定审计范围!$C:$C,按工作类型的汇总报告!$B70),0)</f>
        <v>0</v>
      </c>
    </row>
    <row r="71" spans="2:25" x14ac:dyDescent="0.2">
      <c r="B71" s="23" t="str">
        <f>IF(确定审计范围!$C74="","",确定审计范围!$C74)</f>
        <v>库存股</v>
      </c>
      <c r="C71" s="70">
        <f ca="1">IFERROR(SUMIFS(OFFSET(确定审计范围!$C:$C,,MATCH(按工作类型的汇总报告!C$9,确定审计范围!$8:$8,0)-3,,),确定审计范围!$C:$C,按工作类型的汇总报告!$B71),"")</f>
        <v>0</v>
      </c>
      <c r="D71" s="70">
        <f ca="1">IFERROR(SUMIFS(OFFSET(确定审计范围!$C:$C,,MATCH(按工作类型的汇总报告!D$9,确定审计范围!$8:$8,0)-3,,),确定审计范围!$C:$C,按工作类型的汇总报告!$B71),"")</f>
        <v>0</v>
      </c>
      <c r="E71" s="70">
        <f ca="1">IFERROR(SUMIFS(OFFSET(确定审计范围!$C:$C,,MATCH(按工作类型的汇总报告!E$9,确定审计范围!$8:$8,0)-3,,),确定审计范围!$C:$C,按工作类型的汇总报告!$B71),"")</f>
        <v>0</v>
      </c>
      <c r="F71" s="51"/>
      <c r="G71" s="70">
        <f>IFERROR(SUMIFS(确定审计范围!74:74,确定审计范围!$12:$12,按工作类型的汇总报告!G$9),"")</f>
        <v>0</v>
      </c>
      <c r="H71" s="70">
        <f>IFERROR(SUMIFS(确定审计范围!74:74,确定审计范围!$12:$12,按工作类型的汇总报告!H$9),"")</f>
        <v>0</v>
      </c>
      <c r="I71" s="58"/>
      <c r="J71" s="58"/>
      <c r="K71" s="70">
        <f>IFERROR(SUMIFS(确定审计范围!74:74,确定审计范围!$12:$12,按工作类型的汇总报告!K$9),"")</f>
        <v>0</v>
      </c>
      <c r="L71" s="70">
        <f>IFERROR(SUMIFS(确定审计范围!74:74,确定审计范围!$12:$12,按工作类型的汇总报告!L$9),"")</f>
        <v>0</v>
      </c>
      <c r="M71" s="51"/>
      <c r="N71" s="70">
        <f t="shared" ca="1" si="24"/>
        <v>0</v>
      </c>
      <c r="O71" s="71">
        <f t="shared" ca="1" si="25"/>
        <v>0</v>
      </c>
      <c r="P71" s="70">
        <f t="shared" si="26"/>
        <v>0</v>
      </c>
      <c r="Q71" s="71">
        <f t="shared" ca="1" si="27"/>
        <v>0</v>
      </c>
      <c r="R71" s="70">
        <f t="shared" si="28"/>
        <v>0</v>
      </c>
      <c r="S71" s="71">
        <f t="shared" ca="1" si="29"/>
        <v>0</v>
      </c>
      <c r="T71" s="51"/>
      <c r="U71" s="58"/>
      <c r="V71" s="58"/>
      <c r="W71" s="95"/>
      <c r="X71" s="52"/>
      <c r="Y71" s="70">
        <f ca="1">IFERROR(SUMIFS(OFFSET(确定审计范围!$B:$B,,MATCH(按工作类型的汇总报告!Y$9,确定审计范围!$9:$9,0)-2),确定审计范围!$C:$C,按工作类型的汇总报告!$B71),0)</f>
        <v>0</v>
      </c>
    </row>
    <row r="72" spans="2:25" x14ac:dyDescent="0.2">
      <c r="B72" s="23" t="str">
        <f>IF(确定审计范围!$C75="","",确定审计范围!$C75)</f>
        <v>资本公积</v>
      </c>
      <c r="C72" s="70">
        <f ca="1">IFERROR(SUMIFS(OFFSET(确定审计范围!$C:$C,,MATCH(按工作类型的汇总报告!C$9,确定审计范围!$8:$8,0)-3,,),确定审计范围!$C:$C,按工作类型的汇总报告!$B72),"")</f>
        <v>0</v>
      </c>
      <c r="D72" s="70">
        <f ca="1">IFERROR(SUMIFS(OFFSET(确定审计范围!$C:$C,,MATCH(按工作类型的汇总报告!D$9,确定审计范围!$8:$8,0)-3,,),确定审计范围!$C:$C,按工作类型的汇总报告!$B72),"")</f>
        <v>0</v>
      </c>
      <c r="E72" s="70">
        <f ca="1">IFERROR(SUMIFS(OFFSET(确定审计范围!$C:$C,,MATCH(按工作类型的汇总报告!E$9,确定审计范围!$8:$8,0)-3,,),确定审计范围!$C:$C,按工作类型的汇总报告!$B72),"")</f>
        <v>0</v>
      </c>
      <c r="F72" s="51"/>
      <c r="G72" s="70">
        <f>IFERROR(SUMIFS(确定审计范围!75:75,确定审计范围!$12:$12,按工作类型的汇总报告!G$9),"")</f>
        <v>0</v>
      </c>
      <c r="H72" s="70">
        <f>IFERROR(SUMIFS(确定审计范围!75:75,确定审计范围!$12:$12,按工作类型的汇总报告!H$9),"")</f>
        <v>0</v>
      </c>
      <c r="I72" s="58"/>
      <c r="J72" s="58"/>
      <c r="K72" s="70">
        <f>IFERROR(SUMIFS(确定审计范围!75:75,确定审计范围!$12:$12,按工作类型的汇总报告!K$9),"")</f>
        <v>0</v>
      </c>
      <c r="L72" s="70">
        <f>IFERROR(SUMIFS(确定审计范围!75:75,确定审计范围!$12:$12,按工作类型的汇总报告!L$9),"")</f>
        <v>0</v>
      </c>
      <c r="M72" s="51"/>
      <c r="N72" s="70">
        <f t="shared" ca="1" si="24"/>
        <v>0</v>
      </c>
      <c r="O72" s="71">
        <f t="shared" ca="1" si="25"/>
        <v>0</v>
      </c>
      <c r="P72" s="70">
        <f t="shared" si="26"/>
        <v>0</v>
      </c>
      <c r="Q72" s="71">
        <f t="shared" ca="1" si="27"/>
        <v>0</v>
      </c>
      <c r="R72" s="70">
        <f t="shared" si="28"/>
        <v>0</v>
      </c>
      <c r="S72" s="71">
        <f t="shared" ca="1" si="29"/>
        <v>0</v>
      </c>
      <c r="T72" s="51"/>
      <c r="U72" s="58"/>
      <c r="V72" s="58"/>
      <c r="W72" s="95"/>
      <c r="X72" s="52"/>
      <c r="Y72" s="70">
        <f ca="1">IFERROR(SUMIFS(OFFSET(确定审计范围!$B:$B,,MATCH(按工作类型的汇总报告!Y$9,确定审计范围!$9:$9,0)-2),确定审计范围!$C:$C,按工作类型的汇总报告!$B72),0)</f>
        <v>0</v>
      </c>
    </row>
    <row r="73" spans="2:25" x14ac:dyDescent="0.2">
      <c r="B73" s="23" t="str">
        <f>IF(确定审计范围!$C76="","",确定审计范围!$C76)</f>
        <v>累计其他综合收益（损失）</v>
      </c>
      <c r="C73" s="70">
        <f ca="1">IFERROR(SUMIFS(OFFSET(确定审计范围!$C:$C,,MATCH(按工作类型的汇总报告!C$9,确定审计范围!$8:$8,0)-3,,),确定审计范围!$C:$C,按工作类型的汇总报告!$B73),"")</f>
        <v>0</v>
      </c>
      <c r="D73" s="70">
        <f ca="1">IFERROR(SUMIFS(OFFSET(确定审计范围!$C:$C,,MATCH(按工作类型的汇总报告!D$9,确定审计范围!$8:$8,0)-3,,),确定审计范围!$C:$C,按工作类型的汇总报告!$B73),"")</f>
        <v>0</v>
      </c>
      <c r="E73" s="70">
        <f ca="1">IFERROR(SUMIFS(OFFSET(确定审计范围!$C:$C,,MATCH(按工作类型的汇总报告!E$9,确定审计范围!$8:$8,0)-3,,),确定审计范围!$C:$C,按工作类型的汇总报告!$B73),"")</f>
        <v>0</v>
      </c>
      <c r="F73" s="51"/>
      <c r="G73" s="70">
        <f>IFERROR(SUMIFS(确定审计范围!76:76,确定审计范围!$12:$12,按工作类型的汇总报告!G$9),"")</f>
        <v>0</v>
      </c>
      <c r="H73" s="70">
        <f>IFERROR(SUMIFS(确定审计范围!76:76,确定审计范围!$12:$12,按工作类型的汇总报告!H$9),"")</f>
        <v>0</v>
      </c>
      <c r="I73" s="58"/>
      <c r="J73" s="58"/>
      <c r="K73" s="70">
        <f>IFERROR(SUMIFS(确定审计范围!76:76,确定审计范围!$12:$12,按工作类型的汇总报告!K$9),"")</f>
        <v>0</v>
      </c>
      <c r="L73" s="70">
        <f>IFERROR(SUMIFS(确定审计范围!76:76,确定审计范围!$12:$12,按工作类型的汇总报告!L$9),"")</f>
        <v>0</v>
      </c>
      <c r="M73" s="51"/>
      <c r="N73" s="70">
        <f t="shared" ca="1" si="24"/>
        <v>0</v>
      </c>
      <c r="O73" s="71">
        <f t="shared" ca="1" si="25"/>
        <v>0</v>
      </c>
      <c r="P73" s="70">
        <f t="shared" si="26"/>
        <v>0</v>
      </c>
      <c r="Q73" s="71">
        <f t="shared" ca="1" si="27"/>
        <v>0</v>
      </c>
      <c r="R73" s="70">
        <f t="shared" si="28"/>
        <v>0</v>
      </c>
      <c r="S73" s="71">
        <f t="shared" ca="1" si="29"/>
        <v>0</v>
      </c>
      <c r="T73" s="51"/>
      <c r="U73" s="58"/>
      <c r="V73" s="58"/>
      <c r="W73" s="95"/>
      <c r="X73" s="52"/>
      <c r="Y73" s="70">
        <f ca="1">IFERROR(SUMIFS(OFFSET(确定审计范围!$B:$B,,MATCH(按工作类型的汇总报告!Y$9,确定审计范围!$9:$9,0)-2),确定审计范围!$C:$C,按工作类型的汇总报告!$B73),0)</f>
        <v>0</v>
      </c>
    </row>
    <row r="74" spans="2:25" x14ac:dyDescent="0.2">
      <c r="B74" s="23" t="str">
        <f>IF(确定审计范围!$C77="","",确定审计范围!$C77)</f>
        <v>未分配利润</v>
      </c>
      <c r="C74" s="70">
        <f ca="1">IFERROR(SUMIFS(OFFSET(确定审计范围!$C:$C,,MATCH(按工作类型的汇总报告!C$9,确定审计范围!$8:$8,0)-3,,),确定审计范围!$C:$C,按工作类型的汇总报告!$B74),"")</f>
        <v>0</v>
      </c>
      <c r="D74" s="70">
        <f ca="1">IFERROR(SUMIFS(OFFSET(确定审计范围!$C:$C,,MATCH(按工作类型的汇总报告!D$9,确定审计范围!$8:$8,0)-3,,),确定审计范围!$C:$C,按工作类型的汇总报告!$B74),"")</f>
        <v>0</v>
      </c>
      <c r="E74" s="70">
        <f ca="1">IFERROR(SUMIFS(OFFSET(确定审计范围!$C:$C,,MATCH(按工作类型的汇总报告!E$9,确定审计范围!$8:$8,0)-3,,),确定审计范围!$C:$C,按工作类型的汇总报告!$B74),"")</f>
        <v>0</v>
      </c>
      <c r="F74" s="51"/>
      <c r="G74" s="70">
        <f>IFERROR(SUMIFS(确定审计范围!77:77,确定审计范围!$12:$12,按工作类型的汇总报告!G$9),"")</f>
        <v>0</v>
      </c>
      <c r="H74" s="70">
        <f>IFERROR(SUMIFS(确定审计范围!77:77,确定审计范围!$12:$12,按工作类型的汇总报告!H$9),"")</f>
        <v>0</v>
      </c>
      <c r="I74" s="58"/>
      <c r="J74" s="58"/>
      <c r="K74" s="70">
        <f>IFERROR(SUMIFS(确定审计范围!77:77,确定审计范围!$12:$12,按工作类型的汇总报告!K$9),"")</f>
        <v>0</v>
      </c>
      <c r="L74" s="70">
        <f>IFERROR(SUMIFS(确定审计范围!77:77,确定审计范围!$12:$12,按工作类型的汇总报告!L$9),"")</f>
        <v>0</v>
      </c>
      <c r="M74" s="51"/>
      <c r="N74" s="70">
        <f t="shared" ca="1" si="24"/>
        <v>0</v>
      </c>
      <c r="O74" s="71">
        <f t="shared" ca="1" si="25"/>
        <v>0</v>
      </c>
      <c r="P74" s="70">
        <f t="shared" si="26"/>
        <v>0</v>
      </c>
      <c r="Q74" s="71">
        <f t="shared" ca="1" si="27"/>
        <v>0</v>
      </c>
      <c r="R74" s="70">
        <f t="shared" si="28"/>
        <v>0</v>
      </c>
      <c r="S74" s="71">
        <f t="shared" ca="1" si="29"/>
        <v>0</v>
      </c>
      <c r="T74" s="51"/>
      <c r="U74" s="58"/>
      <c r="V74" s="58"/>
      <c r="W74" s="95"/>
      <c r="X74" s="52"/>
      <c r="Y74" s="70">
        <f ca="1">IFERROR(SUMIFS(OFFSET(确定审计范围!$B:$B,,MATCH(按工作类型的汇总报告!Y$9,确定审计范围!$9:$9,0)-2),确定审计范围!$C:$C,按工作类型的汇总报告!$B74),0)</f>
        <v>0</v>
      </c>
    </row>
    <row r="75" spans="2:25" hidden="1" x14ac:dyDescent="0.2">
      <c r="B75" s="17" t="str">
        <f>IF(确定审计范围!$C78="","",确定审计范围!$C78)</f>
        <v>故意隐藏</v>
      </c>
      <c r="C75" s="72">
        <f ca="1">IFERROR(SUMIFS(OFFSET(确定审计范围!$C:$C,,MATCH(按工作类型的汇总报告!C$9,确定审计范围!$8:$8,0)-3,,),确定审计范围!$C:$C,按工作类型的汇总报告!$B75),"")</f>
        <v>0</v>
      </c>
      <c r="D75" s="72">
        <f ca="1">IFERROR(SUMIFS(OFFSET(确定审计范围!$C:$C,,MATCH(按工作类型的汇总报告!D$9,确定审计范围!$8:$8,0)-3,,),确定审计范围!$C:$C,按工作类型的汇总报告!$B75),"")</f>
        <v>0</v>
      </c>
      <c r="E75" s="72">
        <f ca="1">IFERROR(SUMIFS(OFFSET(确定审计范围!$C:$C,,MATCH(按工作类型的汇总报告!E$9,确定审计范围!$8:$8,0)-3,,),确定审计范围!$C:$C,按工作类型的汇总报告!$B75),"")</f>
        <v>0</v>
      </c>
      <c r="F75" s="51"/>
      <c r="G75" s="72">
        <f>IFERROR(SUMIFS(确定审计范围!78:78,确定审计范围!$12:$12,按工作类型的汇总报告!G$9),"")</f>
        <v>0</v>
      </c>
      <c r="H75" s="72">
        <f>IFERROR(SUMIFS(确定审计范围!78:78,确定审计范围!$12:$12,按工作类型的汇总报告!H$9),"")</f>
        <v>0</v>
      </c>
      <c r="I75" s="59"/>
      <c r="J75" s="59"/>
      <c r="K75" s="72">
        <f>IFERROR(SUMIFS(确定审计范围!78:78,确定审计范围!$12:$12,按工作类型的汇总报告!K$9),"")</f>
        <v>0</v>
      </c>
      <c r="L75" s="72">
        <f>IFERROR(SUMIFS(确定审计范围!78:78,确定审计范围!$12:$12,按工作类型的汇总报告!L$9),"")</f>
        <v>0</v>
      </c>
      <c r="M75" s="51"/>
      <c r="N75" s="72"/>
      <c r="O75" s="73"/>
      <c r="P75" s="72"/>
      <c r="Q75" s="73">
        <f t="shared" ca="1" si="27"/>
        <v>0</v>
      </c>
      <c r="R75" s="72">
        <f t="shared" si="28"/>
        <v>0</v>
      </c>
      <c r="S75" s="73">
        <f t="shared" ca="1" si="29"/>
        <v>0</v>
      </c>
      <c r="T75" s="51"/>
      <c r="U75" s="59"/>
      <c r="V75" s="59"/>
      <c r="W75" s="96"/>
      <c r="X75" s="52"/>
      <c r="Y75" s="72">
        <f ca="1">IFERROR(SUMIFS(OFFSET(确定审计范围!$B:$B,,MATCH(按工作类型的汇总报告!Y$9,确定审计范围!$9:$9,0)-2),确定审计范围!$C:$C,按工作类型的汇总报告!$B75),0)</f>
        <v>0</v>
      </c>
    </row>
    <row r="76" spans="2:25" x14ac:dyDescent="0.2">
      <c r="B76" s="18" t="str">
        <f>IF(确定审计范围!$C79="","",确定审计范围!$C79)</f>
        <v>归属于母公司的股东权益总额</v>
      </c>
      <c r="C76" s="74">
        <f ca="1">IFERROR(SUMIFS(OFFSET(确定审计范围!$C:$C,,MATCH(按工作类型的汇总报告!C$9,确定审计范围!$8:$8,0)-3,,),确定审计范围!$C:$C,按工作类型的汇总报告!$B76),"")</f>
        <v>0</v>
      </c>
      <c r="D76" s="74">
        <f ca="1">IFERROR(SUMIFS(OFFSET(确定审计范围!$C:$C,,MATCH(按工作类型的汇总报告!D$9,确定审计范围!$8:$8,0)-3,,),确定审计范围!$C:$C,按工作类型的汇总报告!$B76),"")</f>
        <v>0</v>
      </c>
      <c r="E76" s="74">
        <f ca="1">IFERROR(SUMIFS(OFFSET(确定审计范围!$C:$C,,MATCH(按工作类型的汇总报告!E$9,确定审计范围!$8:$8,0)-3,,),确定审计范围!$C:$C,按工作类型的汇总报告!$B76),"")</f>
        <v>0</v>
      </c>
      <c r="F76" s="51"/>
      <c r="G76" s="74">
        <f>IFERROR(SUMIFS(确定审计范围!79:79,确定审计范围!$12:$12,按工作类型的汇总报告!G$9),"")</f>
        <v>0</v>
      </c>
      <c r="H76" s="74">
        <f>IFERROR(SUMIFS(确定审计范围!79:79,确定审计范围!$12:$12,按工作类型的汇总报告!H$9),"")</f>
        <v>0</v>
      </c>
      <c r="I76" s="60">
        <f>SUM(I69:I75)</f>
        <v>0</v>
      </c>
      <c r="J76" s="60">
        <f>SUM(J69:J75)</f>
        <v>0</v>
      </c>
      <c r="K76" s="74">
        <f>IFERROR(SUMIFS(确定审计范围!79:79,确定审计范围!$12:$12,按工作类型的汇总报告!K$9),"")</f>
        <v>0</v>
      </c>
      <c r="L76" s="74">
        <f>IFERROR(SUMIFS(确定审计范围!79:79,确定审计范围!$12:$12,按工作类型的汇总报告!L$9),"")</f>
        <v>0</v>
      </c>
      <c r="M76" s="51"/>
      <c r="N76" s="74">
        <f ca="1">IFERROR(C76-SUM(D76:E76,G76:H76,I76,J76,K76:L76),"")</f>
        <v>0</v>
      </c>
      <c r="O76" s="75">
        <f ca="1">IFERROR(N76/(C76-D76-E76),0)</f>
        <v>0</v>
      </c>
      <c r="P76" s="74">
        <f>SUM(K76:L76)</f>
        <v>0</v>
      </c>
      <c r="Q76" s="75">
        <f t="shared" ca="1" si="27"/>
        <v>0</v>
      </c>
      <c r="R76" s="74">
        <f t="shared" si="28"/>
        <v>0</v>
      </c>
      <c r="S76" s="75">
        <f t="shared" ca="1" si="29"/>
        <v>0</v>
      </c>
      <c r="T76" s="51"/>
      <c r="U76" s="60"/>
      <c r="V76" s="60"/>
      <c r="W76" s="97"/>
      <c r="X76" s="52"/>
      <c r="Y76" s="74">
        <f ca="1">IFERROR(SUMIFS(OFFSET(确定审计范围!$B:$B,,MATCH(按工作类型的汇总报告!Y$9,确定审计范围!$9:$9,0)-2),确定审计范围!$C:$C,按工作类型的汇总报告!$B76),0)</f>
        <v>0</v>
      </c>
    </row>
    <row r="77" spans="2:25" x14ac:dyDescent="0.2">
      <c r="B77" s="23" t="str">
        <f>IF(确定审计范围!$C80="","",确定审计范围!$C80)</f>
        <v/>
      </c>
      <c r="C77" s="70"/>
      <c r="D77" s="70"/>
      <c r="E77" s="70"/>
      <c r="F77" s="51"/>
      <c r="G77" s="70"/>
      <c r="H77" s="70"/>
      <c r="I77" s="58"/>
      <c r="J77" s="58"/>
      <c r="K77" s="70"/>
      <c r="L77" s="70"/>
      <c r="M77" s="51"/>
      <c r="N77" s="70"/>
      <c r="O77" s="71"/>
      <c r="P77" s="70"/>
      <c r="Q77" s="70"/>
      <c r="R77" s="70"/>
      <c r="S77" s="70"/>
      <c r="T77" s="51"/>
      <c r="U77" s="58"/>
      <c r="V77" s="58"/>
      <c r="W77" s="95"/>
      <c r="X77" s="52"/>
      <c r="Y77" s="70"/>
    </row>
    <row r="78" spans="2:25" x14ac:dyDescent="0.2">
      <c r="B78" s="23" t="str">
        <f>IF(确定审计范围!$C81="","",确定审计范围!$C81)</f>
        <v>非控制性权益</v>
      </c>
      <c r="C78" s="70">
        <f ca="1">IFERROR(SUMIFS(OFFSET(确定审计范围!$C:$C,,MATCH(按工作类型的汇总报告!C$9,确定审计范围!$8:$8,0)-3,,),确定审计范围!$C:$C,按工作类型的汇总报告!$B78),"")</f>
        <v>0</v>
      </c>
      <c r="D78" s="70">
        <f ca="1">IFERROR(SUMIFS(OFFSET(确定审计范围!$C:$C,,MATCH(按工作类型的汇总报告!D$9,确定审计范围!$8:$8,0)-3,,),确定审计范围!$C:$C,按工作类型的汇总报告!$B78),"")</f>
        <v>0</v>
      </c>
      <c r="E78" s="70">
        <f ca="1">IFERROR(SUMIFS(OFFSET(确定审计范围!$C:$C,,MATCH(按工作类型的汇总报告!E$9,确定审计范围!$8:$8,0)-3,,),确定审计范围!$C:$C,按工作类型的汇总报告!$B78),"")</f>
        <v>0</v>
      </c>
      <c r="F78" s="51"/>
      <c r="G78" s="70">
        <f>IFERROR(SUMIFS(确定审计范围!81:81,确定审计范围!$12:$12,按工作类型的汇总报告!G$9),"")</f>
        <v>0</v>
      </c>
      <c r="H78" s="70">
        <f>IFERROR(SUMIFS(确定审计范围!81:81,确定审计范围!$12:$12,按工作类型的汇总报告!H$9),"")</f>
        <v>0</v>
      </c>
      <c r="I78" s="58"/>
      <c r="J78" s="58"/>
      <c r="K78" s="70">
        <f>IFERROR(SUMIFS(确定审计范围!81:81,确定审计范围!$12:$12,按工作类型的汇总报告!K$9),"")</f>
        <v>0</v>
      </c>
      <c r="L78" s="70">
        <f>IFERROR(SUMIFS(确定审计范围!81:81,确定审计范围!$12:$12,按工作类型的汇总报告!L$9),"")</f>
        <v>0</v>
      </c>
      <c r="M78" s="51"/>
      <c r="N78" s="70">
        <f ca="1">IFERROR(C78-SUM(D78:E78,G78:H78,I78,J78,K78:L78),"")</f>
        <v>0</v>
      </c>
      <c r="O78" s="71">
        <f ca="1">IFERROR(N78/(C78-D78-E78),0)</f>
        <v>0</v>
      </c>
      <c r="P78" s="70">
        <f>SUM(K78:L78)</f>
        <v>0</v>
      </c>
      <c r="Q78" s="71">
        <f ca="1">IFERROR(P78/(C78-D78-E78),0)</f>
        <v>0</v>
      </c>
      <c r="R78" s="70">
        <f>G78+H78+I78+J78</f>
        <v>0</v>
      </c>
      <c r="S78" s="71">
        <f ca="1">IFERROR(R78/(C78-D78-E78),0)</f>
        <v>0</v>
      </c>
      <c r="T78" s="51"/>
      <c r="U78" s="58"/>
      <c r="V78" s="58"/>
      <c r="W78" s="95"/>
      <c r="X78" s="52"/>
      <c r="Y78" s="70">
        <f ca="1">IFERROR(SUMIFS(OFFSET(确定审计范围!$B:$B,,MATCH(按工作类型的汇总报告!Y$9,确定审计范围!$9:$9,0)-2),确定审计范围!$C:$C,按工作类型的汇总报告!$B78),0)</f>
        <v>0</v>
      </c>
    </row>
    <row r="79" spans="2:25" hidden="1" x14ac:dyDescent="0.2">
      <c r="B79" s="17" t="str">
        <f>IF(确定审计范围!$C82="","",确定审计范围!$C82)</f>
        <v>故意隐藏</v>
      </c>
      <c r="C79" s="72">
        <f ca="1">IFERROR(SUMIFS(OFFSET(确定审计范围!$C:$C,,MATCH(按工作类型的汇总报告!C$9,确定审计范围!$8:$8,0)-3,,),确定审计范围!$C:$C,按工作类型的汇总报告!$B79),"")</f>
        <v>0</v>
      </c>
      <c r="D79" s="72">
        <f ca="1">IFERROR(SUMIFS(OFFSET(确定审计范围!$C:$C,,MATCH(按工作类型的汇总报告!D$9,确定审计范围!$8:$8,0)-3,,),确定审计范围!$C:$C,按工作类型的汇总报告!$B79),"")</f>
        <v>0</v>
      </c>
      <c r="E79" s="72">
        <f ca="1">IFERROR(SUMIFS(OFFSET(确定审计范围!$C:$C,,MATCH(按工作类型的汇总报告!E$9,确定审计范围!$8:$8,0)-3,,),确定审计范围!$C:$C,按工作类型的汇总报告!$B79),"")</f>
        <v>0</v>
      </c>
      <c r="F79" s="51"/>
      <c r="G79" s="72"/>
      <c r="H79" s="72"/>
      <c r="I79" s="59"/>
      <c r="J79" s="59"/>
      <c r="K79" s="72"/>
      <c r="L79" s="72"/>
      <c r="M79" s="51"/>
      <c r="N79" s="72"/>
      <c r="O79" s="73"/>
      <c r="P79" s="72"/>
      <c r="Q79" s="72"/>
      <c r="R79" s="72">
        <f>G79+H79+I79+J79</f>
        <v>0</v>
      </c>
      <c r="S79" s="72"/>
      <c r="T79" s="51"/>
      <c r="U79" s="59"/>
      <c r="V79" s="59"/>
      <c r="W79" s="96"/>
      <c r="X79" s="52"/>
      <c r="Y79" s="72">
        <f ca="1">IFERROR(SUMIFS(OFFSET(确定审计范围!$B:$B,,MATCH(按工作类型的汇总报告!Y$9,确定审计范围!$9:$9,0)-2),确定审计范围!$C:$C,按工作类型的汇总报告!$B79),0)</f>
        <v>0</v>
      </c>
    </row>
    <row r="80" spans="2:25" x14ac:dyDescent="0.2">
      <c r="B80" s="19" t="str">
        <f>IF(确定审计范围!$C83="","",确定审计范围!$C83)</f>
        <v>股东权益合计</v>
      </c>
      <c r="C80" s="78">
        <f ca="1">IFERROR(SUMIFS(OFFSET(确定审计范围!$C:$C,,MATCH(按工作类型的汇总报告!C$9,确定审计范围!$8:$8,0)-3,,),确定审计范围!$C:$C,按工作类型的汇总报告!$B80),"")</f>
        <v>0</v>
      </c>
      <c r="D80" s="78">
        <f ca="1">IFERROR(SUMIFS(OFFSET(确定审计范围!$C:$C,,MATCH(按工作类型的汇总报告!D$9,确定审计范围!$8:$8,0)-3,,),确定审计范围!$C:$C,按工作类型的汇总报告!$B80),"")</f>
        <v>0</v>
      </c>
      <c r="E80" s="78">
        <f ca="1">IFERROR(SUMIFS(OFFSET(确定审计范围!$C:$C,,MATCH(按工作类型的汇总报告!E$9,确定审计范围!$8:$8,0)-3,,),确定审计范围!$C:$C,按工作类型的汇总报告!$B80),"")</f>
        <v>0</v>
      </c>
      <c r="F80" s="51"/>
      <c r="G80" s="78">
        <f>IFERROR(SUMIFS(确定审计范围!83:83,确定审计范围!$12:$12,按工作类型的汇总报告!G$9),"")</f>
        <v>0</v>
      </c>
      <c r="H80" s="78">
        <f>IFERROR(SUMIFS(确定审计范围!83:83,确定审计范围!$12:$12,按工作类型的汇总报告!H$9),"")</f>
        <v>0</v>
      </c>
      <c r="I80" s="62">
        <f>SUM(I76:I79)</f>
        <v>0</v>
      </c>
      <c r="J80" s="62">
        <f>SUM(J76:J79)</f>
        <v>0</v>
      </c>
      <c r="K80" s="78">
        <f>IFERROR(SUMIFS(确定审计范围!83:83,确定审计范围!$12:$12,按工作类型的汇总报告!K$9),"")</f>
        <v>0</v>
      </c>
      <c r="L80" s="78">
        <f>IFERROR(SUMIFS(确定审计范围!83:83,确定审计范围!$12:$12,按工作类型的汇总报告!L$9),"")</f>
        <v>0</v>
      </c>
      <c r="M80" s="51"/>
      <c r="N80" s="78">
        <f ca="1">IFERROR(C80-SUM(D80:E80,G80:H80,I80,J80,K80:L80),"")</f>
        <v>0</v>
      </c>
      <c r="O80" s="79">
        <f ca="1">IFERROR(N80/(C80-D80-E80),0)</f>
        <v>0</v>
      </c>
      <c r="P80" s="78">
        <f>SUM(K80:L80)</f>
        <v>0</v>
      </c>
      <c r="Q80" s="79">
        <f ca="1">IFERROR(P80/(C80-D80-E80),0)</f>
        <v>0</v>
      </c>
      <c r="R80" s="78">
        <f>G80+H80+I80+J80</f>
        <v>0</v>
      </c>
      <c r="S80" s="79">
        <f ca="1">IFERROR(R80/(C80-D80-E80),0)</f>
        <v>0</v>
      </c>
      <c r="T80" s="51"/>
      <c r="U80" s="62"/>
      <c r="V80" s="62"/>
      <c r="W80" s="99"/>
      <c r="X80" s="52"/>
      <c r="Y80" s="78">
        <f ca="1">IFERROR(SUMIFS(OFFSET(确定审计范围!$B:$B,,MATCH(按工作类型的汇总报告!Y$9,确定审计范围!$9:$9,0)-2),确定审计范围!$C:$C,按工作类型的汇总报告!$B80),0)</f>
        <v>0</v>
      </c>
    </row>
    <row r="81" spans="2:26" x14ac:dyDescent="0.2">
      <c r="B81" s="20" t="str">
        <f>IF(确定审计范围!$C84="","",确定审计范围!$C84)</f>
        <v/>
      </c>
      <c r="C81" s="82"/>
      <c r="D81" s="82"/>
      <c r="E81" s="82"/>
      <c r="F81" s="51"/>
      <c r="G81" s="82"/>
      <c r="H81" s="82"/>
      <c r="I81" s="64"/>
      <c r="J81" s="64"/>
      <c r="K81" s="82"/>
      <c r="L81" s="82"/>
      <c r="M81" s="51"/>
      <c r="N81" s="82"/>
      <c r="O81" s="83"/>
      <c r="P81" s="82"/>
      <c r="Q81" s="82"/>
      <c r="R81" s="82"/>
      <c r="S81" s="82"/>
      <c r="T81" s="51"/>
      <c r="U81" s="64"/>
      <c r="V81" s="64"/>
      <c r="W81" s="101"/>
      <c r="X81" s="52"/>
      <c r="Y81" s="82"/>
    </row>
    <row r="82" spans="2:26" ht="12" thickBot="1" x14ac:dyDescent="0.25">
      <c r="B82" s="21" t="str">
        <f>IF(确定审计范围!$C85="","",确定审计范围!$C85)</f>
        <v>负债和权益总额</v>
      </c>
      <c r="C82" s="84">
        <f ca="1">IFERROR(SUMIFS(OFFSET(确定审计范围!$C:$C,,MATCH(按工作类型的汇总报告!C$9,确定审计范围!$8:$8,0)-3,,),确定审计范围!$C:$C,按工作类型的汇总报告!$B82),"")</f>
        <v>0</v>
      </c>
      <c r="D82" s="84">
        <f ca="1">IFERROR(SUMIFS(OFFSET(确定审计范围!$C:$C,,MATCH(按工作类型的汇总报告!D$9,确定审计范围!$8:$8,0)-3,,),确定审计范围!$C:$C,按工作类型的汇总报告!$B82),"")</f>
        <v>0</v>
      </c>
      <c r="E82" s="84">
        <f ca="1">IFERROR(SUMIFS(OFFSET(确定审计范围!$C:$C,,MATCH(按工作类型的汇总报告!E$9,确定审计范围!$8:$8,0)-3,,),确定审计范围!$C:$C,按工作类型的汇总报告!$B80),"")</f>
        <v>0</v>
      </c>
      <c r="F82" s="51"/>
      <c r="G82" s="84">
        <f>IFERROR(SUMIFS(确定审计范围!85:85,确定审计范围!$12:$12,按工作类型的汇总报告!G$9),"")</f>
        <v>0</v>
      </c>
      <c r="H82" s="84">
        <f>IFERROR(SUMIFS(确定审计范围!85:85,确定审计范围!$12:$12,按工作类型的汇总报告!H$9),"")</f>
        <v>0</v>
      </c>
      <c r="I82" s="65">
        <f>SUM(I66,I80)</f>
        <v>0</v>
      </c>
      <c r="J82" s="65">
        <f>SUM(J66,J80)</f>
        <v>0</v>
      </c>
      <c r="K82" s="84">
        <f>IFERROR(SUMIFS(确定审计范围!85:85,确定审计范围!$12:$12,按工作类型的汇总报告!K$9),"")</f>
        <v>0</v>
      </c>
      <c r="L82" s="84">
        <f>IFERROR(SUMIFS(确定审计范围!85:85,确定审计范围!$12:$12,按工作类型的汇总报告!L$9),"")</f>
        <v>0</v>
      </c>
      <c r="M82" s="51"/>
      <c r="N82" s="84">
        <f ca="1">IFERROR(C82-SUM(D82:E82,G82:H82,I82,J82,K82:L82),"")</f>
        <v>0</v>
      </c>
      <c r="O82" s="85">
        <f ca="1">IFERROR(N82/(C82-D82-E82),0)</f>
        <v>0</v>
      </c>
      <c r="P82" s="84">
        <f>SUM(K82:L82)</f>
        <v>0</v>
      </c>
      <c r="Q82" s="85">
        <f ca="1">IFERROR(P82/(C82-D82-E82),0)</f>
        <v>0</v>
      </c>
      <c r="R82" s="84">
        <f>G82+H82+I82+J82</f>
        <v>0</v>
      </c>
      <c r="S82" s="85">
        <f ca="1">IFERROR(R82/(C82-D82-E82),0)</f>
        <v>0</v>
      </c>
      <c r="T82" s="51"/>
      <c r="U82" s="65"/>
      <c r="V82" s="65"/>
      <c r="W82" s="102"/>
      <c r="X82" s="52"/>
      <c r="Y82" s="84">
        <f ca="1">IFERROR(SUMIFS(OFFSET(确定审计范围!$B:$B,,MATCH(按工作类型的汇总报告!Y$9,确定审计范围!$9:$9,0)-2),确定审计范围!$C:$C,按工作类型的汇总报告!$B82),0)</f>
        <v>0</v>
      </c>
    </row>
    <row r="83" spans="2:26" ht="5.0999999999999996" customHeight="1" thickTop="1" x14ac:dyDescent="0.2">
      <c r="B83" s="108"/>
      <c r="C83" s="86"/>
      <c r="D83" s="86"/>
      <c r="E83" s="86"/>
      <c r="F83" s="53"/>
      <c r="G83" s="86"/>
      <c r="H83" s="86"/>
      <c r="I83" s="86"/>
      <c r="J83" s="86"/>
      <c r="K83" s="86"/>
      <c r="L83" s="86"/>
      <c r="M83" s="53"/>
      <c r="N83" s="86"/>
      <c r="O83" s="87"/>
      <c r="P83" s="86"/>
      <c r="Q83" s="86"/>
      <c r="R83" s="86"/>
      <c r="S83" s="86"/>
      <c r="T83" s="53"/>
      <c r="U83" s="86"/>
      <c r="V83" s="86"/>
      <c r="W83" s="106"/>
      <c r="X83" s="111"/>
      <c r="Y83" s="86"/>
    </row>
    <row r="84" spans="2:26" x14ac:dyDescent="0.2">
      <c r="B84" s="8" t="str">
        <f>IF(确定审计范围!$C87="","",确定审计范围!$C87)</f>
        <v/>
      </c>
      <c r="C84" s="88"/>
      <c r="D84" s="88"/>
      <c r="E84" s="88"/>
      <c r="F84" s="51"/>
      <c r="G84" s="88"/>
      <c r="H84" s="88"/>
      <c r="I84" s="56"/>
      <c r="J84" s="56"/>
      <c r="K84" s="88"/>
      <c r="L84" s="88"/>
      <c r="M84" s="51"/>
      <c r="N84" s="88"/>
      <c r="O84" s="89"/>
      <c r="P84" s="88"/>
      <c r="Q84" s="88"/>
      <c r="R84" s="88"/>
      <c r="S84" s="88"/>
      <c r="T84" s="51"/>
      <c r="U84" s="56"/>
      <c r="V84" s="56"/>
      <c r="W84" s="54"/>
      <c r="X84" s="52"/>
      <c r="Y84" s="88"/>
    </row>
    <row r="85" spans="2:26" ht="16.5" thickBot="1" x14ac:dyDescent="0.25">
      <c r="B85" s="14" t="str">
        <f>IF(确定审计范围!$C88="","",确定审计范围!$C88)</f>
        <v>利润表</v>
      </c>
      <c r="C85" s="90"/>
      <c r="D85" s="90"/>
      <c r="E85" s="90"/>
      <c r="F85" s="51"/>
      <c r="G85" s="90"/>
      <c r="H85" s="90"/>
      <c r="I85" s="66"/>
      <c r="J85" s="66"/>
      <c r="K85" s="90"/>
      <c r="L85" s="90"/>
      <c r="M85" s="51"/>
      <c r="N85" s="90"/>
      <c r="O85" s="91"/>
      <c r="P85" s="90"/>
      <c r="Q85" s="90"/>
      <c r="R85" s="90"/>
      <c r="S85" s="90"/>
      <c r="T85" s="51"/>
      <c r="U85" s="66"/>
      <c r="V85" s="66"/>
      <c r="W85" s="103"/>
      <c r="X85" s="52"/>
      <c r="Y85" s="90"/>
    </row>
    <row r="86" spans="2:26" x14ac:dyDescent="0.2">
      <c r="B86" s="23" t="str">
        <f>IF(确定审计范围!$C89="","",确定审计范围!$C89)</f>
        <v/>
      </c>
      <c r="C86" s="70"/>
      <c r="D86" s="70"/>
      <c r="E86" s="70"/>
      <c r="F86" s="51"/>
      <c r="G86" s="70"/>
      <c r="H86" s="70"/>
      <c r="I86" s="58"/>
      <c r="J86" s="58"/>
      <c r="K86" s="70"/>
      <c r="L86" s="70"/>
      <c r="M86" s="51"/>
      <c r="N86" s="70"/>
      <c r="O86" s="71"/>
      <c r="P86" s="70"/>
      <c r="Q86" s="70"/>
      <c r="R86" s="70"/>
      <c r="S86" s="70"/>
      <c r="T86" s="51"/>
      <c r="U86" s="58"/>
      <c r="V86" s="58"/>
      <c r="W86" s="95"/>
      <c r="X86" s="52"/>
      <c r="Y86" s="70"/>
    </row>
    <row r="87" spans="2:26" x14ac:dyDescent="0.2">
      <c r="B87" s="23" t="str">
        <f>IF(确定审计范围!$C90="","",确定审计范围!$C90)</f>
        <v>净销售额</v>
      </c>
      <c r="C87" s="70">
        <f ca="1">IFERROR(SUMIFS(OFFSET(确定审计范围!$C:$C,,MATCH(按工作类型的汇总报告!C$9,确定审计范围!$8:$8,0)-3,,),确定审计范围!$C:$C,按工作类型的汇总报告!$B87),"")</f>
        <v>0</v>
      </c>
      <c r="D87" s="70">
        <f ca="1">IFERROR(SUMIFS(OFFSET(确定审计范围!$C:$C,,MATCH(按工作类型的汇总报告!D$9,确定审计范围!$8:$8,0)-3,,),确定审计范围!$C:$C,按工作类型的汇总报告!$B87),"")</f>
        <v>0</v>
      </c>
      <c r="E87" s="70">
        <f ca="1">IFERROR(SUMIFS(OFFSET(确定审计范围!$C:$C,,MATCH(按工作类型的汇总报告!E$9,确定审计范围!$8:$8,0)-3,,),确定审计范围!$C:$C,按工作类型的汇总报告!$B87),"")</f>
        <v>0</v>
      </c>
      <c r="F87" s="51"/>
      <c r="G87" s="70">
        <f>IFERROR(SUMIFS(确定审计范围!90:90,确定审计范围!$12:$12,按工作类型的汇总报告!G$9),"")</f>
        <v>0</v>
      </c>
      <c r="H87" s="70">
        <f>IFERROR(SUMIFS(确定审计范围!90:90,确定审计范围!$12:$12,按工作类型的汇总报告!H$9),"")</f>
        <v>0</v>
      </c>
      <c r="I87" s="58"/>
      <c r="J87" s="58"/>
      <c r="K87" s="70">
        <f>IFERROR(SUMIFS(确定审计范围!90:90,确定审计范围!$12:$12,按工作类型的汇总报告!K$9),"")</f>
        <v>0</v>
      </c>
      <c r="L87" s="70">
        <f>IFERROR(SUMIFS(确定审计范围!90:90,确定审计范围!$12:$12,按工作类型的汇总报告!L$9),"")</f>
        <v>0</v>
      </c>
      <c r="M87" s="51"/>
      <c r="N87" s="70">
        <f ca="1">IFERROR(C87-SUM(D87:E87,G87:H87,I87,J87,K87:L87),"")</f>
        <v>0</v>
      </c>
      <c r="O87" s="71">
        <f ca="1">IFERROR(N87/(C87-D87-E87),0)</f>
        <v>0</v>
      </c>
      <c r="P87" s="70">
        <f t="shared" ref="P87:P92" si="30">SUM(K87:L87)</f>
        <v>0</v>
      </c>
      <c r="Q87" s="71">
        <f ca="1">IFERROR(P87/(C87-D87-E87),0)</f>
        <v>0</v>
      </c>
      <c r="R87" s="70">
        <f>G87+H87+I87+J87</f>
        <v>0</v>
      </c>
      <c r="S87" s="71">
        <f ca="1">IFERROR(R87/(C87-D87-E87),0)</f>
        <v>0</v>
      </c>
      <c r="T87" s="51"/>
      <c r="U87" s="58"/>
      <c r="V87" s="58"/>
      <c r="W87" s="95"/>
      <c r="X87" s="52"/>
      <c r="Y87" s="70">
        <f ca="1">IFERROR(SUMIFS(OFFSET(确定审计范围!$B:$B,,MATCH(按工作类型的汇总报告!Y$9,确定审计范围!$9:$9,0)-2),确定审计范围!$C:$C,按工作类型的汇总报告!$B87),0)</f>
        <v>0</v>
      </c>
    </row>
    <row r="88" spans="2:26" s="48" customFormat="1" x14ac:dyDescent="0.2">
      <c r="B88" s="49" t="str">
        <f>IF(确定审计范围!$C91="","",确定审计范围!$C91)</f>
        <v>其他收入</v>
      </c>
      <c r="C88" s="70">
        <f ca="1">IFERROR(SUMIFS(OFFSET(确定审计范围!$C:$C,,MATCH(按工作类型的汇总报告!C$9,确定审计范围!$8:$8,0)-3,,),确定审计范围!$C:$C,按工作类型的汇总报告!$B88),"")</f>
        <v>0</v>
      </c>
      <c r="D88" s="70">
        <f ca="1">IFERROR(SUMIFS(OFFSET(确定审计范围!$C:$C,,MATCH(按工作类型的汇总报告!D$9,确定审计范围!$8:$8,0)-3,,),确定审计范围!$C:$C,按工作类型的汇总报告!$B88),"")</f>
        <v>0</v>
      </c>
      <c r="E88" s="70">
        <f ca="1">IFERROR(SUMIFS(OFFSET(确定审计范围!$C:$C,,MATCH(按工作类型的汇总报告!E$9,确定审计范围!$8:$8,0)-3,,),确定审计范围!$C:$C,按工作类型的汇总报告!$B88),"")</f>
        <v>0</v>
      </c>
      <c r="F88" s="51"/>
      <c r="G88" s="70">
        <f>IFERROR(SUMIFS(确定审计范围!91:91,确定审计范围!$12:$12,按工作类型的汇总报告!G$9),"")</f>
        <v>0</v>
      </c>
      <c r="H88" s="70">
        <f>IFERROR(SUMIFS(确定审计范围!91:91,确定审计范围!$12:$12,按工作类型的汇总报告!H$9),"")</f>
        <v>0</v>
      </c>
      <c r="I88" s="58"/>
      <c r="J88" s="58"/>
      <c r="K88" s="70">
        <f>IFERROR(SUMIFS(确定审计范围!91:91,确定审计范围!$12:$12,按工作类型的汇总报告!K$9),"")</f>
        <v>0</v>
      </c>
      <c r="L88" s="70">
        <f>IFERROR(SUMIFS(确定审计范围!91:91,确定审计范围!$12:$12,按工作类型的汇总报告!L$9),"")</f>
        <v>0</v>
      </c>
      <c r="M88" s="51"/>
      <c r="N88" s="70">
        <f ca="1">IFERROR(C88-SUM(D88:E88,G88:H88,I88,J88,K88:L88),"")</f>
        <v>0</v>
      </c>
      <c r="O88" s="71">
        <f ca="1">IFERROR(N88/(C88-D88-E88),0)</f>
        <v>0</v>
      </c>
      <c r="P88" s="70">
        <f t="shared" si="30"/>
        <v>0</v>
      </c>
      <c r="Q88" s="71">
        <f ca="1">IFERROR(P88/(C88-D88-E88),0)</f>
        <v>0</v>
      </c>
      <c r="R88" s="70">
        <f>G88+H88+I88+J88</f>
        <v>0</v>
      </c>
      <c r="S88" s="71">
        <f ca="1">IFERROR(R88/(C88-D88-E88),0)</f>
        <v>0</v>
      </c>
      <c r="T88" s="51"/>
      <c r="U88" s="58"/>
      <c r="V88" s="58"/>
      <c r="W88" s="95"/>
      <c r="X88" s="52"/>
      <c r="Y88" s="70">
        <f ca="1">IFERROR(SUMIFS(OFFSET(确定审计范围!$B:$B,,MATCH(按工作类型的汇总报告!Y$9,确定审计范围!$9:$9,0)-2),确定审计范围!$C:$C,按工作类型的汇总报告!$B88),0)</f>
        <v>0</v>
      </c>
      <c r="Z88"/>
    </row>
    <row r="89" spans="2:26" hidden="1" x14ac:dyDescent="0.2">
      <c r="B89" s="17" t="str">
        <f>IF(确定审计范围!$C92="","",确定审计范围!$C92)</f>
        <v>故意隐藏</v>
      </c>
      <c r="C89" s="72">
        <f ca="1">IFERROR(SUMIFS(OFFSET(确定审计范围!$C:$C,,MATCH(按工作类型的汇总报告!C$9,确定审计范围!$8:$8,0)-3,,),确定审计范围!$C:$C,按工作类型的汇总报告!$B89),"")</f>
        <v>0</v>
      </c>
      <c r="D89" s="72">
        <f ca="1">IFERROR(SUMIFS(OFFSET(确定审计范围!$C:$C,,MATCH(按工作类型的汇总报告!D$9,确定审计范围!$8:$8,0)-3,,),确定审计范围!$C:$C,按工作类型的汇总报告!$B89),"")</f>
        <v>0</v>
      </c>
      <c r="E89" s="72">
        <f ca="1">IFERROR(SUMIFS(OFFSET(确定审计范围!$C:$C,,MATCH(按工作类型的汇总报告!E$9,确定审计范围!$8:$8,0)-3,,),确定审计范围!$C:$C,按工作类型的汇总报告!$B89),"")</f>
        <v>0</v>
      </c>
      <c r="F89" s="51"/>
      <c r="G89" s="72">
        <f>IFERROR(SUMIFS(确定审计范围!92:92,确定审计范围!$12:$12,按工作类型的汇总报告!G$9),"")</f>
        <v>0</v>
      </c>
      <c r="H89" s="72">
        <f>IFERROR(SUMIFS(确定审计范围!92:92,确定审计范围!$12:$12,按工作类型的汇总报告!H$9),"")</f>
        <v>0</v>
      </c>
      <c r="I89" s="59"/>
      <c r="J89" s="59"/>
      <c r="K89" s="72">
        <f>IFERROR(SUMIFS(确定审计范围!92:92,确定审计范围!$12:$12,按工作类型的汇总报告!K$9),"")</f>
        <v>0</v>
      </c>
      <c r="L89" s="72">
        <f>IFERROR(SUMIFS(确定审计范围!92:92,确定审计范围!$12:$12,按工作类型的汇总报告!L$9),"")</f>
        <v>0</v>
      </c>
      <c r="M89" s="51"/>
      <c r="N89" s="72">
        <f ca="1">IFERROR(C89-SUM(D89:E89,G89:H89,I89,J89,K89:L89),"")</f>
        <v>0</v>
      </c>
      <c r="O89" s="73">
        <f ca="1">IFERROR(N89/(C89-D89-E89),0)</f>
        <v>0</v>
      </c>
      <c r="P89" s="72">
        <f t="shared" si="30"/>
        <v>0</v>
      </c>
      <c r="Q89" s="73">
        <f ca="1">IFERROR(P89/(C89-D89-E89),0)</f>
        <v>0</v>
      </c>
      <c r="R89" s="72">
        <f>G89+H89+I89+J89</f>
        <v>0</v>
      </c>
      <c r="S89" s="73">
        <f ca="1">IFERROR(R89/(C89-D89-E89),0)</f>
        <v>0</v>
      </c>
      <c r="T89" s="51"/>
      <c r="U89" s="59"/>
      <c r="V89" s="59"/>
      <c r="W89" s="96"/>
      <c r="X89" s="52"/>
      <c r="Y89" s="72">
        <f ca="1">IFERROR(SUMIFS(OFFSET(确定审计范围!$B:$B,,MATCH(按工作类型的汇总报告!Y$9,确定审计范围!$9:$9,0)-2),确定审计范围!$C:$C,按工作类型的汇总报告!$B89),0)</f>
        <v>0</v>
      </c>
    </row>
    <row r="90" spans="2:26" s="48" customFormat="1" x14ac:dyDescent="0.2">
      <c r="B90" s="122" t="str">
        <f>IF(确定审计范围!$C93="","",确定审计范围!$C93)</f>
        <v>收入总额</v>
      </c>
      <c r="C90" s="74">
        <f ca="1">IFERROR(SUMIFS(OFFSET(确定审计范围!$C:$C,,MATCH(按工作类型的汇总报告!C$9,确定审计范围!$8:$8,0)-3,,),确定审计范围!$C:$C,按工作类型的汇总报告!$B90),"")</f>
        <v>0</v>
      </c>
      <c r="D90" s="74">
        <f ca="1">IFERROR(SUMIFS(OFFSET(确定审计范围!$C:$C,,MATCH(按工作类型的汇总报告!D$9,确定审计范围!$8:$8,0)-3,,),确定审计范围!$C:$C,按工作类型的汇总报告!$B90),"")</f>
        <v>0</v>
      </c>
      <c r="E90" s="74">
        <f ca="1">IFERROR(SUMIFS(OFFSET(确定审计范围!$C:$C,,MATCH(按工作类型的汇总报告!E$9,确定审计范围!$8:$8,0)-3,,),确定审计范围!$C:$C,按工作类型的汇总报告!$B90),"")</f>
        <v>0</v>
      </c>
      <c r="F90" s="51"/>
      <c r="G90" s="74">
        <f>IFERROR(SUMIFS(确定审计范围!93:93,确定审计范围!$12:$12,按工作类型的汇总报告!G$9),"")</f>
        <v>0</v>
      </c>
      <c r="H90" s="74">
        <f>IFERROR(SUMIFS(确定审计范围!93:93,确定审计范围!$12:$12,按工作类型的汇总报告!H$9),"")</f>
        <v>0</v>
      </c>
      <c r="I90" s="60">
        <f>SUM(I87:I89)</f>
        <v>0</v>
      </c>
      <c r="J90" s="60">
        <f>SUM(J87:J89)</f>
        <v>0</v>
      </c>
      <c r="K90" s="74">
        <f>IFERROR(SUMIFS(确定审计范围!93:93,确定审计范围!$12:$12,按工作类型的汇总报告!K$9),"")</f>
        <v>0</v>
      </c>
      <c r="L90" s="74">
        <f>IFERROR(SUMIFS(确定审计范围!93:93,确定审计范围!$12:$12,按工作类型的汇总报告!L$9),"")</f>
        <v>0</v>
      </c>
      <c r="M90" s="51"/>
      <c r="N90" s="74">
        <f ca="1">IFERROR(C90-SUM(D90:E90,G90:H90,I90,J90,K90:L90),"")</f>
        <v>0</v>
      </c>
      <c r="O90" s="75">
        <f ca="1">IFERROR(N90/(C90-D90-E90),0)</f>
        <v>0</v>
      </c>
      <c r="P90" s="74">
        <f t="shared" si="30"/>
        <v>0</v>
      </c>
      <c r="Q90" s="75">
        <f ca="1">IFERROR(P90/(C90-D90-E90),0)</f>
        <v>0</v>
      </c>
      <c r="R90" s="124">
        <f>G90+H90+I90+J90</f>
        <v>0</v>
      </c>
      <c r="S90" s="75">
        <f ca="1">IFERROR(R90/(C90-D90-E90),0)</f>
        <v>0</v>
      </c>
      <c r="T90" s="51"/>
      <c r="U90" s="123"/>
      <c r="V90" s="123"/>
      <c r="W90" s="125"/>
      <c r="X90" s="52"/>
      <c r="Y90" s="74">
        <f ca="1">IFERROR(SUMIFS(OFFSET(确定审计范围!$B:$B,,MATCH(按工作类型的汇总报告!Y$9,确定审计范围!$9:$9,0)-2),确定审计范围!$C:$C,按工作类型的汇总报告!$B90),0)</f>
        <v>0</v>
      </c>
      <c r="Z90"/>
    </row>
    <row r="91" spans="2:26" s="48" customFormat="1" x14ac:dyDescent="0.2">
      <c r="B91" s="49"/>
      <c r="C91" s="70"/>
      <c r="D91" s="70"/>
      <c r="E91" s="70"/>
      <c r="F91" s="51"/>
      <c r="G91" s="70"/>
      <c r="H91" s="70"/>
      <c r="I91" s="58"/>
      <c r="J91" s="58"/>
      <c r="K91" s="70"/>
      <c r="L91" s="70"/>
      <c r="M91" s="51"/>
      <c r="N91" s="70"/>
      <c r="O91" s="71"/>
      <c r="P91" s="70"/>
      <c r="Q91" s="71"/>
      <c r="R91" s="70"/>
      <c r="S91" s="71"/>
      <c r="T91" s="51"/>
      <c r="U91" s="58"/>
      <c r="V91" s="58"/>
      <c r="W91" s="95"/>
      <c r="X91" s="52"/>
      <c r="Y91" s="70"/>
      <c r="Z91"/>
    </row>
    <row r="92" spans="2:26" x14ac:dyDescent="0.2">
      <c r="B92" s="22" t="str">
        <f>IF(确定审计范围!$C95="","",确定审计范围!$C95)</f>
        <v>销售成本</v>
      </c>
      <c r="C92" s="92">
        <f ca="1">IFERROR(SUMIFS(OFFSET(确定审计范围!$C:$C,,MATCH(按工作类型的汇总报告!C$9,确定审计范围!$8:$8,0)-3,,),确定审计范围!$C:$C,按工作类型的汇总报告!$B92),"")</f>
        <v>0</v>
      </c>
      <c r="D92" s="92">
        <f ca="1">IFERROR(SUMIFS(OFFSET(确定审计范围!$C:$C,,MATCH(按工作类型的汇总报告!D$9,确定审计范围!$8:$8,0)-3,,),确定审计范围!$C:$C,按工作类型的汇总报告!$B92),"")</f>
        <v>0</v>
      </c>
      <c r="E92" s="92">
        <f ca="1">IFERROR(SUMIFS(OFFSET(确定审计范围!$C:$C,,MATCH(按工作类型的汇总报告!E$9,确定审计范围!$8:$8,0)-3,,),确定审计范围!$C:$C,按工作类型的汇总报告!$B92),"")</f>
        <v>0</v>
      </c>
      <c r="F92" s="51"/>
      <c r="G92" s="92">
        <f>IFERROR(SUMIFS(确定审计范围!95:95,确定审计范围!$12:$12,按工作类型的汇总报告!G$9),"")</f>
        <v>0</v>
      </c>
      <c r="H92" s="92">
        <f>IFERROR(SUMIFS(确定审计范围!95:95,确定审计范围!$12:$12,按工作类型的汇总报告!H$9),"")</f>
        <v>0</v>
      </c>
      <c r="I92" s="67"/>
      <c r="J92" s="67"/>
      <c r="K92" s="92">
        <f>IFERROR(SUMIFS(确定审计范围!95:95,确定审计范围!$12:$12,按工作类型的汇总报告!K$9),"")</f>
        <v>0</v>
      </c>
      <c r="L92" s="92">
        <f>IFERROR(SUMIFS(确定审计范围!95:95,确定审计范围!$12:$12,按工作类型的汇总报告!L$9),"")</f>
        <v>0</v>
      </c>
      <c r="M92" s="51"/>
      <c r="N92" s="70">
        <f ca="1">IFERROR(C92-SUM(D92:E92,G92:H92,I92,J92,K92:L92),"")</f>
        <v>0</v>
      </c>
      <c r="O92" s="93">
        <f ca="1">IFERROR(N92/(C92-D92-E92),0)</f>
        <v>0</v>
      </c>
      <c r="P92" s="70">
        <f t="shared" si="30"/>
        <v>0</v>
      </c>
      <c r="Q92" s="93">
        <f ca="1">IFERROR(P92/(C92-D92-E92),0)</f>
        <v>0</v>
      </c>
      <c r="R92" s="70">
        <f>G92+H92+I92+J92</f>
        <v>0</v>
      </c>
      <c r="S92" s="93">
        <f ca="1">IFERROR(R92/(C92-D92-E92),0)</f>
        <v>0</v>
      </c>
      <c r="T92" s="51"/>
      <c r="U92" s="67"/>
      <c r="V92" s="67"/>
      <c r="W92" s="104"/>
      <c r="X92" s="52"/>
      <c r="Y92" s="92">
        <f ca="1">IFERROR(SUMIFS(OFFSET(确定审计范围!$B:$B,,MATCH(按工作类型的汇总报告!Y$9,确定审计范围!$9:$9,0)-2),确定审计范围!$C:$C,按工作类型的汇总报告!$B92),0)</f>
        <v>0</v>
      </c>
    </row>
    <row r="93" spans="2:26" hidden="1" x14ac:dyDescent="0.2">
      <c r="B93" s="17" t="str">
        <f>IF(确定审计范围!$C96="","",确定审计范围!$C96)</f>
        <v>故意隐藏</v>
      </c>
      <c r="C93" s="72">
        <f ca="1">IFERROR(SUMIFS(OFFSET(确定审计范围!$C:$C,,MATCH(按工作类型的汇总报告!C$9,确定审计范围!$8:$8,0)-3,,),确定审计范围!$C:$C,按工作类型的汇总报告!$B93),"")</f>
        <v>0</v>
      </c>
      <c r="D93" s="72">
        <f ca="1">IFERROR(SUMIFS(OFFSET(确定审计范围!$C:$C,,MATCH(按工作类型的汇总报告!D$9,确定审计范围!$8:$8,0)-3,,),确定审计范围!$C:$C,按工作类型的汇总报告!$B93),"")</f>
        <v>0</v>
      </c>
      <c r="E93" s="72">
        <f ca="1">IFERROR(SUMIFS(OFFSET(确定审计范围!$C:$C,,MATCH(按工作类型的汇总报告!E$9,确定审计范围!$8:$8,0)-3,,),确定审计范围!$C:$C,按工作类型的汇总报告!$B93),"")</f>
        <v>0</v>
      </c>
      <c r="F93" s="51"/>
      <c r="G93" s="72">
        <f>IFERROR(SUMIFS(确定审计范围!96:96,确定审计范围!$12:$12,按工作类型的汇总报告!G$9),"")</f>
        <v>0</v>
      </c>
      <c r="H93" s="72">
        <f>IFERROR(SUMIFS(确定审计范围!96:96,确定审计范围!$12:$12,按工作类型的汇总报告!H$9),"")</f>
        <v>0</v>
      </c>
      <c r="I93" s="59"/>
      <c r="J93" s="59"/>
      <c r="K93" s="72">
        <f>IFERROR(SUMIFS(确定审计范围!96:96,确定审计范围!$12:$12,按工作类型的汇总报告!K$9),"")</f>
        <v>0</v>
      </c>
      <c r="L93" s="72">
        <f>IFERROR(SUMIFS(确定审计范围!96:96,确定审计范围!$12:$12,按工作类型的汇总报告!L$9),"")</f>
        <v>0</v>
      </c>
      <c r="M93" s="51"/>
      <c r="N93" s="72"/>
      <c r="O93" s="73"/>
      <c r="P93" s="72"/>
      <c r="Q93" s="73">
        <f ca="1">IFERROR(P93/(C93-D93-E93),0)</f>
        <v>0</v>
      </c>
      <c r="R93" s="72">
        <f>G93+H93+I93+J93</f>
        <v>0</v>
      </c>
      <c r="S93" s="73">
        <f ca="1">IFERROR(R93/(C93-D93-E93),0)</f>
        <v>0</v>
      </c>
      <c r="T93" s="51"/>
      <c r="U93" s="59"/>
      <c r="V93" s="59"/>
      <c r="W93" s="96"/>
      <c r="X93" s="52"/>
      <c r="Y93" s="72">
        <f ca="1">IFERROR(SUMIFS(OFFSET(确定审计范围!$B:$B,,MATCH(按工作类型的汇总报告!Y$9,确定审计范围!$9:$9,0)-2),确定审计范围!$C:$C,按工作类型的汇总报告!$B93),0)</f>
        <v>0</v>
      </c>
    </row>
    <row r="94" spans="2:26" x14ac:dyDescent="0.2">
      <c r="B94" s="18" t="str">
        <f>IF(确定审计范围!$C97="","",确定审计范围!$C97)</f>
        <v>毛利</v>
      </c>
      <c r="C94" s="74">
        <f ca="1">IFERROR(SUMIFS(OFFSET(确定审计范围!$C:$C,,MATCH(按工作类型的汇总报告!C$9,确定审计范围!$8:$8,0)-3,,),确定审计范围!$C:$C,按工作类型的汇总报告!$B94),"")</f>
        <v>0</v>
      </c>
      <c r="D94" s="74">
        <f ca="1">IFERROR(SUMIFS(OFFSET(确定审计范围!$C:$C,,MATCH(按工作类型的汇总报告!D$9,确定审计范围!$8:$8,0)-3,,),确定审计范围!$C:$C,按工作类型的汇总报告!$B94),"")</f>
        <v>0</v>
      </c>
      <c r="E94" s="74">
        <f ca="1">IFERROR(SUMIFS(OFFSET(确定审计范围!$C:$C,,MATCH(按工作类型的汇总报告!E$9,确定审计范围!$8:$8,0)-3,,),确定审计范围!$C:$C,按工作类型的汇总报告!$B94),"")</f>
        <v>0</v>
      </c>
      <c r="F94" s="51"/>
      <c r="G94" s="74">
        <f>IFERROR(SUMIFS(确定审计范围!97:97,确定审计范围!$12:$12,按工作类型的汇总报告!G$9),"")</f>
        <v>0</v>
      </c>
      <c r="H94" s="74">
        <f>IFERROR(SUMIFS(确定审计范围!97:97,确定审计范围!$12:$12,按工作类型的汇总报告!H$9),"")</f>
        <v>0</v>
      </c>
      <c r="I94" s="36">
        <f>I90-SUM(I91:I93)</f>
        <v>0</v>
      </c>
      <c r="J94" s="36">
        <f>J90-SUM(J91:J93)</f>
        <v>0</v>
      </c>
      <c r="K94" s="74">
        <f>IFERROR(SUMIFS(确定审计范围!97:97,确定审计范围!$12:$12,按工作类型的汇总报告!K$9),"")</f>
        <v>0</v>
      </c>
      <c r="L94" s="74">
        <f>IFERROR(SUMIFS(确定审计范围!97:97,确定审计范围!$12:$12,按工作类型的汇总报告!L$9),"")</f>
        <v>0</v>
      </c>
      <c r="M94" s="51"/>
      <c r="N94" s="74">
        <f ca="1">IFERROR(C94-SUM(D94:E94,G94:H94,I94,J94,K94:L94),"")</f>
        <v>0</v>
      </c>
      <c r="O94" s="75">
        <f ca="1">IFERROR(N94/(C94-D94-E94),0)</f>
        <v>0</v>
      </c>
      <c r="P94" s="74">
        <f>SUM(K94:L94)</f>
        <v>0</v>
      </c>
      <c r="Q94" s="75">
        <f ca="1">IFERROR(P94/(C94-D94-E94),0)</f>
        <v>0</v>
      </c>
      <c r="R94" s="74">
        <f>G94+H94+I94+J94</f>
        <v>0</v>
      </c>
      <c r="S94" s="75">
        <f ca="1">IFERROR(R94/(C94-D94-E94),0)</f>
        <v>0</v>
      </c>
      <c r="T94" s="51"/>
      <c r="U94" s="60"/>
      <c r="V94" s="60"/>
      <c r="W94" s="97"/>
      <c r="X94" s="52"/>
      <c r="Y94" s="74">
        <f ca="1">IFERROR(SUMIFS(OFFSET(确定审计范围!$B:$B,,MATCH(按工作类型的汇总报告!Y$9,确定审计范围!$9:$9,0)-2),确定审计范围!$C:$C,按工作类型的汇总报告!$B94),0)</f>
        <v>0</v>
      </c>
    </row>
    <row r="95" spans="2:26" x14ac:dyDescent="0.2">
      <c r="B95" s="23" t="str">
        <f>IF(确定审计范围!$C98="","",确定审计范围!$C98)</f>
        <v/>
      </c>
      <c r="C95" s="70"/>
      <c r="D95" s="70"/>
      <c r="E95" s="70"/>
      <c r="F95" s="51"/>
      <c r="G95" s="70"/>
      <c r="H95" s="70"/>
      <c r="I95" s="58"/>
      <c r="J95" s="58"/>
      <c r="K95" s="70"/>
      <c r="L95" s="70"/>
      <c r="M95" s="51"/>
      <c r="N95" s="70"/>
      <c r="O95" s="71"/>
      <c r="P95" s="70"/>
      <c r="Q95" s="70"/>
      <c r="R95" s="70"/>
      <c r="S95" s="70"/>
      <c r="T95" s="51"/>
      <c r="U95" s="58"/>
      <c r="V95" s="58"/>
      <c r="W95" s="95"/>
      <c r="X95" s="52"/>
      <c r="Y95" s="70"/>
    </row>
    <row r="96" spans="2:26" x14ac:dyDescent="0.2">
      <c r="B96" s="23" t="str">
        <f>IF(确定审计范围!$C99="","",确定审计范围!$C99)</f>
        <v>其他营业费用</v>
      </c>
      <c r="C96" s="70">
        <f ca="1">IFERROR(SUMIFS(OFFSET(确定审计范围!$C:$C,,MATCH(按工作类型的汇总报告!C$9,确定审计范围!$8:$8,0)-3,,),确定审计范围!$C:$C,按工作类型的汇总报告!$B96),"")</f>
        <v>0</v>
      </c>
      <c r="D96" s="70">
        <f ca="1">IFERROR(SUMIFS(OFFSET(确定审计范围!$C:$C,,MATCH(按工作类型的汇总报告!D$9,确定审计范围!$8:$8,0)-3,,),确定审计范围!$C:$C,按工作类型的汇总报告!$B96),"")</f>
        <v>0</v>
      </c>
      <c r="E96" s="70">
        <f ca="1">IFERROR(SUMIFS(OFFSET(确定审计范围!$C:$C,,MATCH(按工作类型的汇总报告!E$9,确定审计范围!$8:$8,0)-3,,),确定审计范围!$C:$C,按工作类型的汇总报告!$B96),"")</f>
        <v>0</v>
      </c>
      <c r="F96" s="51"/>
      <c r="G96" s="70">
        <f>IFERROR(SUMIFS(确定审计范围!99:99,确定审计范围!$12:$12,按工作类型的汇总报告!G$9),"")</f>
        <v>0</v>
      </c>
      <c r="H96" s="70">
        <f>IFERROR(SUMIFS(确定审计范围!99:99,确定审计范围!$12:$12,按工作类型的汇总报告!H$9),"")</f>
        <v>0</v>
      </c>
      <c r="I96" s="58"/>
      <c r="J96" s="58"/>
      <c r="K96" s="70">
        <f>IFERROR(SUMIFS(确定审计范围!99:99,确定审计范围!$12:$12,按工作类型的汇总报告!K$9),"")</f>
        <v>0</v>
      </c>
      <c r="L96" s="70">
        <f>IFERROR(SUMIFS(确定审计范围!99:99,确定审计范围!$12:$12,按工作类型的汇总报告!L$9),"")</f>
        <v>0</v>
      </c>
      <c r="M96" s="51"/>
      <c r="N96" s="70">
        <f t="shared" ref="N96:N104" ca="1" si="31">IFERROR(C96-SUM(D96:E96,G96:H96,I96,J96,K96:L96),"")</f>
        <v>0</v>
      </c>
      <c r="O96" s="71">
        <f t="shared" ref="O96:O104" ca="1" si="32">IFERROR(N96/(C96-D96-E96),0)</f>
        <v>0</v>
      </c>
      <c r="P96" s="70">
        <f t="shared" ref="P96:P104" si="33">SUM(K96:L96)</f>
        <v>0</v>
      </c>
      <c r="Q96" s="71">
        <f t="shared" ref="Q96:Q104" ca="1" si="34">IFERROR(P96/(C96-D96-E96),0)</f>
        <v>0</v>
      </c>
      <c r="R96" s="70">
        <f t="shared" ref="R96:R104" si="35">G96+H96+I96+J96</f>
        <v>0</v>
      </c>
      <c r="S96" s="71">
        <f t="shared" ref="S96:S104" ca="1" si="36">IFERROR(R96/(C96-D96-E96),0)</f>
        <v>0</v>
      </c>
      <c r="T96" s="51"/>
      <c r="U96" s="58"/>
      <c r="V96" s="58"/>
      <c r="W96" s="95"/>
      <c r="X96" s="52"/>
      <c r="Y96" s="70">
        <f ca="1">IFERROR(SUMIFS(OFFSET(确定审计范围!$B:$B,,MATCH(按工作类型的汇总报告!Y$9,确定审计范围!$9:$9,0)-2),确定审计范围!$C:$C,按工作类型的汇总报告!$B96),0)</f>
        <v>0</v>
      </c>
    </row>
    <row r="97" spans="2:26" x14ac:dyDescent="0.2">
      <c r="B97" s="23" t="str">
        <f>IF(确定审计范围!$C100="","",确定审计范围!$C100)</f>
        <v>销售和管理费用</v>
      </c>
      <c r="C97" s="70">
        <f ca="1">IFERROR(SUMIFS(OFFSET(确定审计范围!$C:$C,,MATCH(按工作类型的汇总报告!C$9,确定审计范围!$8:$8,0)-3,,),确定审计范围!$C:$C,按工作类型的汇总报告!$B97),"")</f>
        <v>0</v>
      </c>
      <c r="D97" s="70">
        <f ca="1">IFERROR(SUMIFS(OFFSET(确定审计范围!$C:$C,,MATCH(按工作类型的汇总报告!D$9,确定审计范围!$8:$8,0)-3,,),确定审计范围!$C:$C,按工作类型的汇总报告!$B97),"")</f>
        <v>0</v>
      </c>
      <c r="E97" s="70">
        <f ca="1">IFERROR(SUMIFS(OFFSET(确定审计范围!$C:$C,,MATCH(按工作类型的汇总报告!E$9,确定审计范围!$8:$8,0)-3,,),确定审计范围!$C:$C,按工作类型的汇总报告!$B97),"")</f>
        <v>0</v>
      </c>
      <c r="F97" s="51"/>
      <c r="G97" s="70">
        <f>IFERROR(SUMIFS(确定审计范围!100:100,确定审计范围!$12:$12,按工作类型的汇总报告!G$9),"")</f>
        <v>0</v>
      </c>
      <c r="H97" s="70">
        <f>IFERROR(SUMIFS(确定审计范围!100:100,确定审计范围!$12:$12,按工作类型的汇总报告!H$9),"")</f>
        <v>0</v>
      </c>
      <c r="I97" s="58"/>
      <c r="J97" s="58"/>
      <c r="K97" s="70">
        <f>IFERROR(SUMIFS(确定审计范围!100:100,确定审计范围!$12:$12,按工作类型的汇总报告!K$9),"")</f>
        <v>0</v>
      </c>
      <c r="L97" s="70">
        <f>IFERROR(SUMIFS(确定审计范围!100:100,确定审计范围!$12:$12,按工作类型的汇总报告!L$9),"")</f>
        <v>0</v>
      </c>
      <c r="M97" s="51"/>
      <c r="N97" s="70">
        <f t="shared" ca="1" si="31"/>
        <v>0</v>
      </c>
      <c r="O97" s="71">
        <f t="shared" ca="1" si="32"/>
        <v>0</v>
      </c>
      <c r="P97" s="70">
        <f t="shared" si="33"/>
        <v>0</v>
      </c>
      <c r="Q97" s="71">
        <f t="shared" ca="1" si="34"/>
        <v>0</v>
      </c>
      <c r="R97" s="70">
        <f t="shared" si="35"/>
        <v>0</v>
      </c>
      <c r="S97" s="71">
        <f t="shared" ca="1" si="36"/>
        <v>0</v>
      </c>
      <c r="T97" s="51"/>
      <c r="U97" s="58"/>
      <c r="V97" s="58"/>
      <c r="W97" s="95"/>
      <c r="X97" s="52"/>
      <c r="Y97" s="70">
        <f ca="1">IFERROR(SUMIFS(OFFSET(确定审计范围!$B:$B,,MATCH(按工作类型的汇总报告!Y$9,确定审计范围!$9:$9,0)-2),确定审计范围!$C:$C,按工作类型的汇总报告!$B97),0)</f>
        <v>0</v>
      </c>
    </row>
    <row r="98" spans="2:26" x14ac:dyDescent="0.2">
      <c r="B98" s="23" t="str">
        <f>IF(确定审计范围!$C101="","",确定审计范围!$C101)</f>
        <v>折旧费用</v>
      </c>
      <c r="C98" s="70">
        <f ca="1">IFERROR(SUMIFS(OFFSET(确定审计范围!$C:$C,,MATCH(按工作类型的汇总报告!C$9,确定审计范围!$8:$8,0)-3,,),确定审计范围!$C:$C,按工作类型的汇总报告!$B98),"")</f>
        <v>0</v>
      </c>
      <c r="D98" s="70">
        <f ca="1">IFERROR(SUMIFS(OFFSET(确定审计范围!$C:$C,,MATCH(按工作类型的汇总报告!D$9,确定审计范围!$8:$8,0)-3,,),确定审计范围!$C:$C,按工作类型的汇总报告!$B98),"")</f>
        <v>0</v>
      </c>
      <c r="E98" s="70">
        <f ca="1">IFERROR(SUMIFS(OFFSET(确定审计范围!$C:$C,,MATCH(按工作类型的汇总报告!E$9,确定审计范围!$8:$8,0)-3,,),确定审计范围!$C:$C,按工作类型的汇总报告!$B98),"")</f>
        <v>0</v>
      </c>
      <c r="F98" s="51"/>
      <c r="G98" s="70">
        <f>IFERROR(SUMIFS(确定审计范围!101:101,确定审计范围!$12:$12,按工作类型的汇总报告!G$9),"")</f>
        <v>0</v>
      </c>
      <c r="H98" s="70">
        <f>IFERROR(SUMIFS(确定审计范围!101:101,确定审计范围!$12:$12,按工作类型的汇总报告!H$9),"")</f>
        <v>0</v>
      </c>
      <c r="I98" s="58"/>
      <c r="J98" s="58"/>
      <c r="K98" s="70">
        <f>IFERROR(SUMIFS(确定审计范围!101:101,确定审计范围!$12:$12,按工作类型的汇总报告!K$9),"")</f>
        <v>0</v>
      </c>
      <c r="L98" s="70">
        <f>IFERROR(SUMIFS(确定审计范围!101:101,确定审计范围!$12:$12,按工作类型的汇总报告!L$9),"")</f>
        <v>0</v>
      </c>
      <c r="M98" s="51"/>
      <c r="N98" s="70">
        <f t="shared" ca="1" si="31"/>
        <v>0</v>
      </c>
      <c r="O98" s="71">
        <f t="shared" ca="1" si="32"/>
        <v>0</v>
      </c>
      <c r="P98" s="70">
        <f t="shared" si="33"/>
        <v>0</v>
      </c>
      <c r="Q98" s="71">
        <f t="shared" ca="1" si="34"/>
        <v>0</v>
      </c>
      <c r="R98" s="70">
        <f t="shared" si="35"/>
        <v>0</v>
      </c>
      <c r="S98" s="71">
        <f t="shared" ca="1" si="36"/>
        <v>0</v>
      </c>
      <c r="T98" s="51"/>
      <c r="U98" s="58"/>
      <c r="V98" s="58"/>
      <c r="W98" s="95"/>
      <c r="X98" s="52"/>
      <c r="Y98" s="70">
        <f ca="1">IFERROR(SUMIFS(OFFSET(确定审计范围!$B:$B,,MATCH(按工作类型的汇总报告!Y$9,确定审计范围!$9:$9,0)-2),确定审计范围!$C:$C,按工作类型的汇总报告!$B98),0)</f>
        <v>0</v>
      </c>
    </row>
    <row r="99" spans="2:26" s="48" customFormat="1" x14ac:dyDescent="0.2">
      <c r="B99" s="49" t="str">
        <f>IF(确定审计范围!$C102="","",确定审计范围!$C102)</f>
        <v>摊销费用</v>
      </c>
      <c r="C99" s="70">
        <f ca="1">IFERROR(SUMIFS(OFFSET(确定审计范围!$C:$C,,MATCH(按工作类型的汇总报告!C$9,确定审计范围!$8:$8,0)-3,,),确定审计范围!$C:$C,按工作类型的汇总报告!$B99),"")</f>
        <v>0</v>
      </c>
      <c r="D99" s="70">
        <f ca="1">IFERROR(SUMIFS(OFFSET(确定审计范围!$C:$C,,MATCH(按工作类型的汇总报告!D$9,确定审计范围!$8:$8,0)-3,,),确定审计范围!$C:$C,按工作类型的汇总报告!$B99),"")</f>
        <v>0</v>
      </c>
      <c r="E99" s="70">
        <f ca="1">IFERROR(SUMIFS(OFFSET(确定审计范围!$C:$C,,MATCH(按工作类型的汇总报告!E$9,确定审计范围!$8:$8,0)-3,,),确定审计范围!$C:$C,按工作类型的汇总报告!$B99),"")</f>
        <v>0</v>
      </c>
      <c r="F99" s="51"/>
      <c r="G99" s="70">
        <f>IFERROR(SUMIFS(确定审计范围!102:102,确定审计范围!$12:$12,按工作类型的汇总报告!G$9),"")</f>
        <v>0</v>
      </c>
      <c r="H99" s="70">
        <f>IFERROR(SUMIFS(确定审计范围!102:102,确定审计范围!$12:$12,按工作类型的汇总报告!H$9),"")</f>
        <v>0</v>
      </c>
      <c r="I99" s="58"/>
      <c r="J99" s="58"/>
      <c r="K99" s="70">
        <f>IFERROR(SUMIFS(确定审计范围!102:102,确定审计范围!$12:$12,按工作类型的汇总报告!K$9),"")</f>
        <v>0</v>
      </c>
      <c r="L99" s="70">
        <f>IFERROR(SUMIFS(确定审计范围!102:102,确定审计范围!$12:$12,按工作类型的汇总报告!L$9),"")</f>
        <v>0</v>
      </c>
      <c r="M99" s="51"/>
      <c r="N99" s="70">
        <f t="shared" ca="1" si="31"/>
        <v>0</v>
      </c>
      <c r="O99" s="71">
        <f t="shared" ca="1" si="32"/>
        <v>0</v>
      </c>
      <c r="P99" s="70">
        <f t="shared" si="33"/>
        <v>0</v>
      </c>
      <c r="Q99" s="71">
        <f t="shared" ca="1" si="34"/>
        <v>0</v>
      </c>
      <c r="R99" s="70">
        <f t="shared" si="35"/>
        <v>0</v>
      </c>
      <c r="S99" s="71">
        <f t="shared" ca="1" si="36"/>
        <v>0</v>
      </c>
      <c r="T99" s="51"/>
      <c r="U99" s="58"/>
      <c r="V99" s="58"/>
      <c r="W99" s="95"/>
      <c r="X99" s="52"/>
      <c r="Y99" s="70">
        <f ca="1">IFERROR(SUMIFS(OFFSET(确定审计范围!$B:$B,,MATCH(按工作类型的汇总报告!Y$9,确定审计范围!$9:$9,0)-2),确定审计范围!$C:$C,按工作类型的汇总报告!$B99),0)</f>
        <v>0</v>
      </c>
      <c r="Z99"/>
    </row>
    <row r="100" spans="2:26" x14ac:dyDescent="0.2">
      <c r="B100" s="23" t="str">
        <f>IF(确定审计范围!$C103="","",确定审计范围!$C103)</f>
        <v>减值损失</v>
      </c>
      <c r="C100" s="70">
        <f ca="1">IFERROR(SUMIFS(OFFSET(确定审计范围!$C:$C,,MATCH(按工作类型的汇总报告!C$9,确定审计范围!$8:$8,0)-3,,),确定审计范围!$C:$C,按工作类型的汇总报告!$B100),"")</f>
        <v>0</v>
      </c>
      <c r="D100" s="70">
        <f ca="1">IFERROR(SUMIFS(OFFSET(确定审计范围!$C:$C,,MATCH(按工作类型的汇总报告!D$9,确定审计范围!$8:$8,0)-3,,),确定审计范围!$C:$C,按工作类型的汇总报告!$B100),"")</f>
        <v>0</v>
      </c>
      <c r="E100" s="70">
        <f ca="1">IFERROR(SUMIFS(OFFSET(确定审计范围!$C:$C,,MATCH(按工作类型的汇总报告!E$9,确定审计范围!$8:$8,0)-3,,),确定审计范围!$C:$C,按工作类型的汇总报告!$B100),"")</f>
        <v>0</v>
      </c>
      <c r="F100" s="51"/>
      <c r="G100" s="70">
        <f>IFERROR(SUMIFS(确定审计范围!103:103,确定审计范围!$12:$12,按工作类型的汇总报告!G$9),"")</f>
        <v>0</v>
      </c>
      <c r="H100" s="70">
        <f>IFERROR(SUMIFS(确定审计范围!103:103,确定审计范围!$12:$12,按工作类型的汇总报告!H$9),"")</f>
        <v>0</v>
      </c>
      <c r="I100" s="58"/>
      <c r="J100" s="58"/>
      <c r="K100" s="70">
        <f>IFERROR(SUMIFS(确定审计范围!103:103,确定审计范围!$12:$12,按工作类型的汇总报告!K$9),"")</f>
        <v>0</v>
      </c>
      <c r="L100" s="70">
        <f>IFERROR(SUMIFS(确定审计范围!103:103,确定审计范围!$12:$12,按工作类型的汇总报告!L$9),"")</f>
        <v>0</v>
      </c>
      <c r="M100" s="51"/>
      <c r="N100" s="70">
        <f t="shared" ca="1" si="31"/>
        <v>0</v>
      </c>
      <c r="O100" s="71">
        <f t="shared" ca="1" si="32"/>
        <v>0</v>
      </c>
      <c r="P100" s="70">
        <f t="shared" si="33"/>
        <v>0</v>
      </c>
      <c r="Q100" s="71">
        <f t="shared" ca="1" si="34"/>
        <v>0</v>
      </c>
      <c r="R100" s="70">
        <f t="shared" si="35"/>
        <v>0</v>
      </c>
      <c r="S100" s="71">
        <f t="shared" ca="1" si="36"/>
        <v>0</v>
      </c>
      <c r="T100" s="51"/>
      <c r="U100" s="58"/>
      <c r="V100" s="58"/>
      <c r="W100" s="95"/>
      <c r="X100" s="52"/>
      <c r="Y100" s="70">
        <f ca="1">IFERROR(SUMIFS(OFFSET(确定审计范围!$B:$B,,MATCH(按工作类型的汇总报告!Y$9,确定审计范围!$9:$9,0)-2),确定审计范围!$C:$C,按工作类型的汇总报告!$B100),0)</f>
        <v>0</v>
      </c>
    </row>
    <row r="101" spans="2:26" x14ac:dyDescent="0.2">
      <c r="B101" s="23" t="str">
        <f>IF(确定审计范围!$C104="","",确定审计范围!$C104)</f>
        <v>重组费用</v>
      </c>
      <c r="C101" s="70">
        <f ca="1">IFERROR(SUMIFS(OFFSET(确定审计范围!$C:$C,,MATCH(按工作类型的汇总报告!C$9,确定审计范围!$8:$8,0)-3,,),确定审计范围!$C:$C,按工作类型的汇总报告!$B101),"")</f>
        <v>0</v>
      </c>
      <c r="D101" s="70">
        <f ca="1">IFERROR(SUMIFS(OFFSET(确定审计范围!$C:$C,,MATCH(按工作类型的汇总报告!D$9,确定审计范围!$8:$8,0)-3,,),确定审计范围!$C:$C,按工作类型的汇总报告!$B101),"")</f>
        <v>0</v>
      </c>
      <c r="E101" s="70">
        <f ca="1">IFERROR(SUMIFS(OFFSET(确定审计范围!$C:$C,,MATCH(按工作类型的汇总报告!E$9,确定审计范围!$8:$8,0)-3,,),确定审计范围!$C:$C,按工作类型的汇总报告!$B101),"")</f>
        <v>0</v>
      </c>
      <c r="F101" s="51"/>
      <c r="G101" s="70">
        <f>IFERROR(SUMIFS(确定审计范围!104:104,确定审计范围!$12:$12,按工作类型的汇总报告!G$9),"")</f>
        <v>0</v>
      </c>
      <c r="H101" s="70">
        <f>IFERROR(SUMIFS(确定审计范围!104:104,确定审计范围!$12:$12,按工作类型的汇总报告!H$9),"")</f>
        <v>0</v>
      </c>
      <c r="I101" s="58"/>
      <c r="J101" s="58"/>
      <c r="K101" s="70">
        <f>IFERROR(SUMIFS(确定审计范围!104:104,确定审计范围!$12:$12,按工作类型的汇总报告!K$9),"")</f>
        <v>0</v>
      </c>
      <c r="L101" s="70">
        <f>IFERROR(SUMIFS(确定审计范围!104:104,确定审计范围!$12:$12,按工作类型的汇总报告!L$9),"")</f>
        <v>0</v>
      </c>
      <c r="M101" s="51"/>
      <c r="N101" s="70">
        <f t="shared" ca="1" si="31"/>
        <v>0</v>
      </c>
      <c r="O101" s="71">
        <f t="shared" ca="1" si="32"/>
        <v>0</v>
      </c>
      <c r="P101" s="70">
        <f t="shared" si="33"/>
        <v>0</v>
      </c>
      <c r="Q101" s="71">
        <f t="shared" ca="1" si="34"/>
        <v>0</v>
      </c>
      <c r="R101" s="70">
        <f t="shared" si="35"/>
        <v>0</v>
      </c>
      <c r="S101" s="71">
        <f t="shared" ca="1" si="36"/>
        <v>0</v>
      </c>
      <c r="T101" s="51"/>
      <c r="U101" s="58"/>
      <c r="V101" s="58"/>
      <c r="W101" s="95"/>
      <c r="X101" s="52"/>
      <c r="Y101" s="70">
        <f ca="1">IFERROR(SUMIFS(OFFSET(确定审计范围!$B:$B,,MATCH(按工作类型的汇总报告!Y$9,确定审计范围!$9:$9,0)-2),确定审计范围!$C:$C,按工作类型的汇总报告!$B101),0)</f>
        <v>0</v>
      </c>
    </row>
    <row r="102" spans="2:26" x14ac:dyDescent="0.2">
      <c r="B102" s="23" t="str">
        <f>IF(确定审计范围!$C105="","",确定审计范围!$C105)</f>
        <v>其他一般费用</v>
      </c>
      <c r="C102" s="70">
        <f ca="1">IFERROR(SUMIFS(OFFSET(确定审计范围!$C:$C,,MATCH(按工作类型的汇总报告!C$9,确定审计范围!$8:$8,0)-3,,),确定审计范围!$C:$C,按工作类型的汇总报告!$B102),"")</f>
        <v>0</v>
      </c>
      <c r="D102" s="70">
        <f ca="1">IFERROR(SUMIFS(OFFSET(确定审计范围!$C:$C,,MATCH(按工作类型的汇总报告!D$9,确定审计范围!$8:$8,0)-3,,),确定审计范围!$C:$C,按工作类型的汇总报告!$B102),"")</f>
        <v>0</v>
      </c>
      <c r="E102" s="70">
        <f ca="1">IFERROR(SUMIFS(OFFSET(确定审计范围!$C:$C,,MATCH(按工作类型的汇总报告!E$9,确定审计范围!$8:$8,0)-3,,),确定审计范围!$C:$C,按工作类型的汇总报告!$B102),"")</f>
        <v>0</v>
      </c>
      <c r="F102" s="51"/>
      <c r="G102" s="70">
        <f>IFERROR(SUMIFS(确定审计范围!105:105,确定审计范围!$12:$12,按工作类型的汇总报告!G$9),"")</f>
        <v>0</v>
      </c>
      <c r="H102" s="70">
        <f>IFERROR(SUMIFS(确定审计范围!105:105,确定审计范围!$12:$12,按工作类型的汇总报告!H$9),"")</f>
        <v>0</v>
      </c>
      <c r="I102" s="58"/>
      <c r="J102" s="58"/>
      <c r="K102" s="70">
        <f>IFERROR(SUMIFS(确定审计范围!105:105,确定审计范围!$12:$12,按工作类型的汇总报告!K$9),"")</f>
        <v>0</v>
      </c>
      <c r="L102" s="70">
        <f>IFERROR(SUMIFS(确定审计范围!105:105,确定审计范围!$12:$12,按工作类型的汇总报告!L$9),"")</f>
        <v>0</v>
      </c>
      <c r="M102" s="51"/>
      <c r="N102" s="70">
        <f t="shared" ca="1" si="31"/>
        <v>0</v>
      </c>
      <c r="O102" s="71">
        <f t="shared" ca="1" si="32"/>
        <v>0</v>
      </c>
      <c r="P102" s="70">
        <f t="shared" si="33"/>
        <v>0</v>
      </c>
      <c r="Q102" s="71">
        <f t="shared" ca="1" si="34"/>
        <v>0</v>
      </c>
      <c r="R102" s="70">
        <f t="shared" si="35"/>
        <v>0</v>
      </c>
      <c r="S102" s="71">
        <f t="shared" ca="1" si="36"/>
        <v>0</v>
      </c>
      <c r="T102" s="51"/>
      <c r="U102" s="58"/>
      <c r="V102" s="58"/>
      <c r="W102" s="95"/>
      <c r="X102" s="52"/>
      <c r="Y102" s="70">
        <f ca="1">IFERROR(SUMIFS(OFFSET(确定审计范围!$B:$B,,MATCH(按工作类型的汇总报告!Y$9,确定审计范围!$9:$9,0)-2),确定审计范围!$C:$C,按工作类型的汇总报告!$B102),0)</f>
        <v>0</v>
      </c>
    </row>
    <row r="103" spans="2:26" hidden="1" x14ac:dyDescent="0.2">
      <c r="B103" s="17" t="str">
        <f>IF(确定审计范围!$C106="","",确定审计范围!$C106)</f>
        <v>故意隐藏</v>
      </c>
      <c r="C103" s="72">
        <f ca="1">IFERROR(SUMIFS(OFFSET(确定审计范围!$C:$C,,MATCH(按工作类型的汇总报告!C$9,确定审计范围!$8:$8,0)-3,,),确定审计范围!$C:$C,按工作类型的汇总报告!$B103),"")</f>
        <v>0</v>
      </c>
      <c r="D103" s="72">
        <f ca="1">IFERROR(SUMIFS(OFFSET(确定审计范围!$C:$C,,MATCH(按工作类型的汇总报告!D$9,确定审计范围!$8:$8,0)-3,,),确定审计范围!$C:$C,按工作类型的汇总报告!$B103),"")</f>
        <v>0</v>
      </c>
      <c r="E103" s="72">
        <f ca="1">IFERROR(SUMIFS(OFFSET(确定审计范围!$C:$C,,MATCH(按工作类型的汇总报告!E$9,确定审计范围!$8:$8,0)-3,,),确定审计范围!$C:$C,按工作类型的汇总报告!$B103),"")</f>
        <v>0</v>
      </c>
      <c r="F103" s="51"/>
      <c r="G103" s="72">
        <f>IFERROR(SUMIFS(确定审计范围!106:106,确定审计范围!$12:$12,按工作类型的汇总报告!G$9),"")</f>
        <v>0</v>
      </c>
      <c r="H103" s="72">
        <f>IFERROR(SUMIFS(确定审计范围!106:106,确定审计范围!$12:$12,按工作类型的汇总报告!H$9),"")</f>
        <v>0</v>
      </c>
      <c r="I103" s="59"/>
      <c r="J103" s="59"/>
      <c r="K103" s="72">
        <f>IFERROR(SUMIFS(确定审计范围!106:106,确定审计范围!$12:$12,按工作类型的汇总报告!K$9),"")</f>
        <v>0</v>
      </c>
      <c r="L103" s="72">
        <f>IFERROR(SUMIFS(确定审计范围!106:106,确定审计范围!$12:$12,按工作类型的汇总报告!L$9),"")</f>
        <v>0</v>
      </c>
      <c r="M103" s="51"/>
      <c r="N103" s="72">
        <f t="shared" ca="1" si="31"/>
        <v>0</v>
      </c>
      <c r="O103" s="73">
        <f t="shared" ca="1" si="32"/>
        <v>0</v>
      </c>
      <c r="P103" s="72">
        <f t="shared" si="33"/>
        <v>0</v>
      </c>
      <c r="Q103" s="73">
        <f t="shared" ca="1" si="34"/>
        <v>0</v>
      </c>
      <c r="R103" s="72">
        <f t="shared" si="35"/>
        <v>0</v>
      </c>
      <c r="S103" s="73">
        <f t="shared" ca="1" si="36"/>
        <v>0</v>
      </c>
      <c r="T103" s="51"/>
      <c r="U103" s="59"/>
      <c r="V103" s="59"/>
      <c r="W103" s="96"/>
      <c r="X103" s="52"/>
      <c r="Y103" s="72">
        <f ca="1">IFERROR(SUMIFS(OFFSET(确定审计范围!$B:$B,,MATCH(按工作类型的汇总报告!Y$9,确定审计范围!$9:$9,0)-2),确定审计范围!$C:$C,按工作类型的汇总报告!$B103),0)</f>
        <v>0</v>
      </c>
    </row>
    <row r="104" spans="2:26" s="48" customFormat="1" x14ac:dyDescent="0.2">
      <c r="B104" s="122" t="str">
        <f>IF(确定审计范围!$C107="","",确定审计范围!$C107)</f>
        <v>经营收入（损失）</v>
      </c>
      <c r="C104" s="74">
        <f ca="1">IFERROR(SUMIFS(OFFSET(确定审计范围!$C:$C,,MATCH(按工作类型的汇总报告!C$9,确定审计范围!$8:$8,0)-3,,),确定审计范围!$C:$C,按工作类型的汇总报告!$B104),"")</f>
        <v>0</v>
      </c>
      <c r="D104" s="74">
        <f ca="1">IFERROR(SUMIFS(OFFSET(确定审计范围!$C:$C,,MATCH(按工作类型的汇总报告!D$9,确定审计范围!$8:$8,0)-3,,),确定审计范围!$C:$C,按工作类型的汇总报告!$B104),"")</f>
        <v>0</v>
      </c>
      <c r="E104" s="74">
        <f ca="1">IFERROR(SUMIFS(OFFSET(确定审计范围!$C:$C,,MATCH(按工作类型的汇总报告!E$9,确定审计范围!$8:$8,0)-3,,),确定审计范围!$C:$C,按工作类型的汇总报告!$B104),"")</f>
        <v>0</v>
      </c>
      <c r="F104" s="129"/>
      <c r="G104" s="74">
        <f>IFERROR(SUMIFS(确定审计范围!107:107,确定审计范围!$12:$12,按工作类型的汇总报告!G$9),"")</f>
        <v>0</v>
      </c>
      <c r="H104" s="74">
        <f>IFERROR(SUMIFS(确定审计范围!107:107,确定审计范围!$12:$12,按工作类型的汇总报告!H$9),"")</f>
        <v>0</v>
      </c>
      <c r="I104" s="36">
        <f>I94-SUM(I95:I103)</f>
        <v>0</v>
      </c>
      <c r="J104" s="36">
        <f>J94-SUM(J95:J103)</f>
        <v>0</v>
      </c>
      <c r="K104" s="74">
        <f>IFERROR(SUMIFS(确定审计范围!107:107,确定审计范围!$12:$12,按工作类型的汇总报告!K$9),"")</f>
        <v>0</v>
      </c>
      <c r="L104" s="74">
        <f>IFERROR(SUMIFS(确定审计范围!107:107,确定审计范围!$12:$12,按工作类型的汇总报告!L$9),"")</f>
        <v>0</v>
      </c>
      <c r="M104" s="51"/>
      <c r="N104" s="74">
        <f t="shared" ca="1" si="31"/>
        <v>0</v>
      </c>
      <c r="O104" s="75">
        <f t="shared" ca="1" si="32"/>
        <v>0</v>
      </c>
      <c r="P104" s="74">
        <f t="shared" si="33"/>
        <v>0</v>
      </c>
      <c r="Q104" s="75">
        <f t="shared" ca="1" si="34"/>
        <v>0</v>
      </c>
      <c r="R104" s="74">
        <f t="shared" si="35"/>
        <v>0</v>
      </c>
      <c r="S104" s="75">
        <f t="shared" ca="1" si="36"/>
        <v>0</v>
      </c>
      <c r="T104" s="51"/>
      <c r="U104" s="60"/>
      <c r="V104" s="60"/>
      <c r="W104" s="97"/>
      <c r="X104" s="128"/>
      <c r="Y104" s="74">
        <f ca="1">IFERROR(SUMIFS(OFFSET(确定审计范围!$B:$B,,MATCH(按工作类型的汇总报告!Y$9,确定审计范围!$9:$9,0)-2),确定审计范围!$C:$C,按工作类型的汇总报告!$B104),0)</f>
        <v>0</v>
      </c>
      <c r="Z104"/>
    </row>
    <row r="105" spans="2:26" s="48" customFormat="1" x14ac:dyDescent="0.2">
      <c r="B105" s="49" t="str">
        <f>IF(确定审计范围!$C108="","",确定审计范围!$C108)</f>
        <v/>
      </c>
      <c r="C105" s="70"/>
      <c r="D105" s="70"/>
      <c r="E105" s="70"/>
      <c r="F105" s="51"/>
      <c r="G105" s="70"/>
      <c r="H105" s="70"/>
      <c r="I105" s="34"/>
      <c r="J105" s="58"/>
      <c r="K105" s="70"/>
      <c r="L105" s="70"/>
      <c r="M105" s="51"/>
      <c r="N105" s="70"/>
      <c r="O105" s="71"/>
      <c r="P105" s="70"/>
      <c r="Q105" s="70"/>
      <c r="R105" s="70"/>
      <c r="S105" s="70"/>
      <c r="T105" s="51"/>
      <c r="U105" s="58"/>
      <c r="V105" s="58"/>
      <c r="W105" s="95"/>
      <c r="X105" s="52"/>
      <c r="Y105" s="70"/>
      <c r="Z105"/>
    </row>
    <row r="106" spans="2:26" x14ac:dyDescent="0.2">
      <c r="B106" s="23" t="str">
        <f>IF(确定审计范围!$C109="","",确定审计范围!$C109)</f>
        <v>营业外收入（支出）</v>
      </c>
      <c r="C106" s="70">
        <f ca="1">IFERROR(SUMIFS(OFFSET(确定审计范围!$C:$C,,MATCH(按工作类型的汇总报告!C$9,确定审计范围!$8:$8,0)-3,,),确定审计范围!$C:$C,按工作类型的汇总报告!$B106),"")</f>
        <v>0</v>
      </c>
      <c r="D106" s="70">
        <f ca="1">IFERROR(SUMIFS(OFFSET(确定审计范围!$C:$C,,MATCH(按工作类型的汇总报告!D$9,确定审计范围!$8:$8,0)-3,,),确定审计范围!$C:$C,按工作类型的汇总报告!$B106),"")</f>
        <v>0</v>
      </c>
      <c r="E106" s="70">
        <f ca="1">IFERROR(SUMIFS(OFFSET(确定审计范围!$C:$C,,MATCH(按工作类型的汇总报告!E$9,确定审计范围!$8:$8,0)-3,,),确定审计范围!$C:$C,按工作类型的汇总报告!$B106),"")</f>
        <v>0</v>
      </c>
      <c r="F106" s="51"/>
      <c r="G106" s="70">
        <f>IFERROR(SUMIFS(确定审计范围!109:109,确定审计范围!$12:$12,按工作类型的汇总报告!G$9),"")</f>
        <v>0</v>
      </c>
      <c r="H106" s="70">
        <f>IFERROR(SUMIFS(确定审计范围!109:109,确定审计范围!$12:$12,按工作类型的汇总报告!H$9),"")</f>
        <v>0</v>
      </c>
      <c r="I106" s="34"/>
      <c r="J106" s="58"/>
      <c r="K106" s="70">
        <f>IFERROR(SUMIFS(确定审计范围!109:109,确定审计范围!$12:$12,按工作类型的汇总报告!K$9),"")</f>
        <v>0</v>
      </c>
      <c r="L106" s="70">
        <f>IFERROR(SUMIFS(确定审计范围!109:109,确定审计范围!$12:$12,按工作类型的汇总报告!L$9),"")</f>
        <v>0</v>
      </c>
      <c r="M106" s="51"/>
      <c r="N106" s="70">
        <f ca="1">IFERROR(C106-SUM(D106:E106,G106:H106,I106,J106,K106:L106),"")</f>
        <v>0</v>
      </c>
      <c r="O106" s="71">
        <f ca="1">IFERROR(N106/(C106-D106-E106),0)</f>
        <v>0</v>
      </c>
      <c r="P106" s="70">
        <f t="shared" ref="P106:P107" si="37">SUM(K106:L106)</f>
        <v>0</v>
      </c>
      <c r="Q106" s="71">
        <f ca="1">IFERROR(P106/(C106-D106-E106),0)</f>
        <v>0</v>
      </c>
      <c r="R106" s="70">
        <f>G106+H106+I106+J106</f>
        <v>0</v>
      </c>
      <c r="S106" s="71">
        <f ca="1">IFERROR(R106/(C106-D106-E106),0)</f>
        <v>0</v>
      </c>
      <c r="T106" s="51"/>
      <c r="U106" s="58"/>
      <c r="V106" s="58"/>
      <c r="W106" s="95"/>
      <c r="X106" s="52"/>
      <c r="Y106" s="70">
        <f ca="1">IFERROR(SUMIFS(OFFSET(确定审计范围!$B:$B,,MATCH(按工作类型的汇总报告!Y$9,确定审计范围!$9:$9,0)-2),确定审计范围!$C:$C,按工作类型的汇总报告!$B106),0)</f>
        <v>0</v>
      </c>
    </row>
    <row r="107" spans="2:26" x14ac:dyDescent="0.2">
      <c r="B107" s="23" t="str">
        <f>IF(确定审计范围!$C110="","",确定审计范围!$C110)</f>
        <v>利息收入（费用）</v>
      </c>
      <c r="C107" s="70">
        <f ca="1">IFERROR(SUMIFS(OFFSET(确定审计范围!$C:$C,,MATCH(按工作类型的汇总报告!C$9,确定审计范围!$8:$8,0)-3,,),确定审计范围!$C:$C,按工作类型的汇总报告!$B107),"")</f>
        <v>0</v>
      </c>
      <c r="D107" s="70">
        <f ca="1">IFERROR(SUMIFS(OFFSET(确定审计范围!$C:$C,,MATCH(按工作类型的汇总报告!D$9,确定审计范围!$8:$8,0)-3,,),确定审计范围!$C:$C,按工作类型的汇总报告!$B107),"")</f>
        <v>0</v>
      </c>
      <c r="E107" s="70">
        <f ca="1">IFERROR(SUMIFS(OFFSET(确定审计范围!$C:$C,,MATCH(按工作类型的汇总报告!E$9,确定审计范围!$8:$8,0)-3,,),确定审计范围!$C:$C,按工作类型的汇总报告!$B107),"")</f>
        <v>0</v>
      </c>
      <c r="F107" s="51"/>
      <c r="G107" s="70">
        <f>IFERROR(SUMIFS(确定审计范围!110:110,确定审计范围!$12:$12,按工作类型的汇总报告!G$9),"")</f>
        <v>0</v>
      </c>
      <c r="H107" s="70">
        <f>IFERROR(SUMIFS(确定审计范围!110:110,确定审计范围!$12:$12,按工作类型的汇总报告!H$9),"")</f>
        <v>0</v>
      </c>
      <c r="I107" s="45"/>
      <c r="J107" s="58"/>
      <c r="K107" s="70">
        <f>IFERROR(SUMIFS(确定审计范围!110:110,确定审计范围!$12:$12,按工作类型的汇总报告!K$9),"")</f>
        <v>0</v>
      </c>
      <c r="L107" s="70">
        <f>IFERROR(SUMIFS(确定审计范围!110:110,确定审计范围!$12:$12,按工作类型的汇总报告!L$9),"")</f>
        <v>0</v>
      </c>
      <c r="M107" s="51"/>
      <c r="N107" s="70">
        <f ca="1">IFERROR(C107-SUM(D107:E107,G107:H107,I107,J107,K107:L107),"")</f>
        <v>0</v>
      </c>
      <c r="O107" s="71">
        <f ca="1">IFERROR(N107/(C107-D107-E107),0)</f>
        <v>0</v>
      </c>
      <c r="P107" s="70">
        <f t="shared" si="37"/>
        <v>0</v>
      </c>
      <c r="Q107" s="71">
        <f ca="1">IFERROR(P107/(C107-D107-E107),0)</f>
        <v>0</v>
      </c>
      <c r="R107" s="70">
        <f>G107+H107+I107+J107</f>
        <v>0</v>
      </c>
      <c r="S107" s="71">
        <f ca="1">IFERROR(R107/(C107-D107-E107),0)</f>
        <v>0</v>
      </c>
      <c r="T107" s="51"/>
      <c r="U107" s="58"/>
      <c r="V107" s="58"/>
      <c r="W107" s="95"/>
      <c r="X107" s="52"/>
      <c r="Y107" s="70">
        <f ca="1">IFERROR(SUMIFS(OFFSET(确定审计范围!$B:$B,,MATCH(按工作类型的汇总报告!Y$9,确定审计范围!$9:$9,0)-2),确定审计范围!$C:$C,按工作类型的汇总报告!$B107),0)</f>
        <v>0</v>
      </c>
    </row>
    <row r="108" spans="2:26" hidden="1" x14ac:dyDescent="0.2">
      <c r="B108" s="17" t="str">
        <f>IF(确定审计范围!$C111="","",确定审计范围!$C111)</f>
        <v>故意隐藏</v>
      </c>
      <c r="C108" s="72">
        <f ca="1">IFERROR(SUMIFS(OFFSET(确定审计范围!$C:$C,,MATCH(按工作类型的汇总报告!C$9,确定审计范围!$8:$8,0)-3,,),确定审计范围!$C:$C,按工作类型的汇总报告!$B108),"")</f>
        <v>0</v>
      </c>
      <c r="D108" s="72">
        <f ca="1">IFERROR(SUMIFS(OFFSET(确定审计范围!$C:$C,,MATCH(按工作类型的汇总报告!D$9,确定审计范围!$8:$8,0)-3,,),确定审计范围!$C:$C,按工作类型的汇总报告!$B108),"")</f>
        <v>0</v>
      </c>
      <c r="E108" s="72">
        <f ca="1">IFERROR(SUMIFS(OFFSET(确定审计范围!$C:$C,,MATCH(按工作类型的汇总报告!E$9,确定审计范围!$8:$8,0)-3,,),确定审计范围!$C:$C,按工作类型的汇总报告!$B108),"")</f>
        <v>0</v>
      </c>
      <c r="F108" s="51"/>
      <c r="G108" s="72">
        <f>IFERROR(SUMIFS(确定审计范围!111:111,确定审计范围!$12:$12,按工作类型的汇总报告!G$9),"")</f>
        <v>0</v>
      </c>
      <c r="H108" s="72">
        <f>IFERROR(SUMIFS(确定审计范围!111:111,确定审计范围!$12:$12,按工作类型的汇总报告!H$9),"")</f>
        <v>0</v>
      </c>
      <c r="I108" s="7"/>
      <c r="J108" s="59"/>
      <c r="K108" s="72">
        <f>IFERROR(SUMIFS(确定审计范围!111:111,确定审计范围!$12:$12,按工作类型的汇总报告!K$9),"")</f>
        <v>0</v>
      </c>
      <c r="L108" s="72">
        <f>IFERROR(SUMIFS(确定审计范围!111:111,确定审计范围!$12:$12,按工作类型的汇总报告!L$9),"")</f>
        <v>0</v>
      </c>
      <c r="M108" s="51"/>
      <c r="N108" s="72"/>
      <c r="O108" s="73"/>
      <c r="P108" s="72"/>
      <c r="Q108" s="73">
        <f ca="1">IFERROR(P108/(C108-D108-E108),0)</f>
        <v>0</v>
      </c>
      <c r="R108" s="72">
        <f>G108+H108+I108+J108</f>
        <v>0</v>
      </c>
      <c r="S108" s="73">
        <f ca="1">IFERROR(R108/(C108-D108-E108),0)</f>
        <v>0</v>
      </c>
      <c r="T108" s="51"/>
      <c r="U108" s="59"/>
      <c r="V108" s="59"/>
      <c r="W108" s="96"/>
      <c r="X108" s="52"/>
      <c r="Y108" s="72">
        <f ca="1">IFERROR(SUMIFS(OFFSET(确定审计范围!$B:$B,,MATCH(按工作类型的汇总报告!Y$9,确定审计范围!$9:$9,0)-2),确定审计范围!$C:$C,按工作类型的汇总报告!$B108),0)</f>
        <v>0</v>
      </c>
    </row>
    <row r="109" spans="2:26" x14ac:dyDescent="0.2">
      <c r="B109" s="18" t="str">
        <f>IF(确定审计范围!$C112="","",确定审计范围!$C112)</f>
        <v>所得税费用前的收入（损失）</v>
      </c>
      <c r="C109" s="74">
        <f ca="1">IFERROR(SUMIFS(OFFSET(确定审计范围!$C:$C,,MATCH(按工作类型的汇总报告!C$9,确定审计范围!$8:$8,0)-3,,),确定审计范围!$C:$C,按工作类型的汇总报告!$B109),"")</f>
        <v>0</v>
      </c>
      <c r="D109" s="74">
        <f ca="1">IFERROR(SUMIFS(OFFSET(确定审计范围!$C:$C,,MATCH(按工作类型的汇总报告!D$9,确定审计范围!$8:$8,0)-3,,),确定审计范围!$C:$C,按工作类型的汇总报告!$B109),"")</f>
        <v>0</v>
      </c>
      <c r="E109" s="74">
        <f ca="1">IFERROR(SUMIFS(OFFSET(确定审计范围!$C:$C,,MATCH(按工作类型的汇总报告!E$9,确定审计范围!$8:$8,0)-3,,),确定审计范围!$C:$C,按工作类型的汇总报告!$B109),"")</f>
        <v>0</v>
      </c>
      <c r="F109" s="51"/>
      <c r="G109" s="74">
        <f>IFERROR(SUMIFS(确定审计范围!112:112,确定审计范围!$12:$12,按工作类型的汇总报告!G$9),"")</f>
        <v>0</v>
      </c>
      <c r="H109" s="74">
        <f>IFERROR(SUMIFS(确定审计范围!112:112,确定审计范围!$12:$12,按工作类型的汇总报告!H$9),"")</f>
        <v>0</v>
      </c>
      <c r="I109" s="36">
        <f>I104+SUM(I105:I108)</f>
        <v>0</v>
      </c>
      <c r="J109" s="36">
        <f>J104+SUM(J105:J108)</f>
        <v>0</v>
      </c>
      <c r="K109" s="74">
        <f>IFERROR(SUMIFS(确定审计范围!112:112,确定审计范围!$12:$12,按工作类型的汇总报告!K$9),"")</f>
        <v>0</v>
      </c>
      <c r="L109" s="74">
        <f>IFERROR(SUMIFS(确定审计范围!112:112,确定审计范围!$12:$12,按工作类型的汇总报告!L$9),"")</f>
        <v>0</v>
      </c>
      <c r="M109" s="51"/>
      <c r="N109" s="74">
        <f ca="1">IFERROR(C109-SUM(D109:E109,G109:H109,I109,J109,K109:L109),"")</f>
        <v>0</v>
      </c>
      <c r="O109" s="75">
        <f ca="1">IFERROR(N109/(C109-D109-E109),0)</f>
        <v>0</v>
      </c>
      <c r="P109" s="74">
        <f>SUM(K109:L109)</f>
        <v>0</v>
      </c>
      <c r="Q109" s="75">
        <f ca="1">IFERROR(P109/(C109-D109-E109),0)</f>
        <v>0</v>
      </c>
      <c r="R109" s="74">
        <f>G109+H109+I109+J109</f>
        <v>0</v>
      </c>
      <c r="S109" s="75">
        <f ca="1">IFERROR(R109/(C109-D109-E109),0)</f>
        <v>0</v>
      </c>
      <c r="T109" s="51"/>
      <c r="U109" s="60"/>
      <c r="V109" s="60"/>
      <c r="W109" s="97"/>
      <c r="X109" s="52"/>
      <c r="Y109" s="74">
        <f ca="1">IFERROR(SUMIFS(OFFSET(确定审计范围!$B:$B,,MATCH(按工作类型的汇总报告!Y$9,确定审计范围!$9:$9,0)-2),确定审计范围!$C:$C,按工作类型的汇总报告!$B109),0)</f>
        <v>0</v>
      </c>
    </row>
    <row r="110" spans="2:26" x14ac:dyDescent="0.2">
      <c r="B110" s="23" t="str">
        <f>IF(确定审计范围!$C113="","",确定审计范围!$C113)</f>
        <v/>
      </c>
      <c r="C110" s="70"/>
      <c r="D110" s="70"/>
      <c r="E110" s="70"/>
      <c r="F110" s="51"/>
      <c r="G110" s="70"/>
      <c r="H110" s="70"/>
      <c r="I110" s="34"/>
      <c r="J110" s="34"/>
      <c r="K110" s="70"/>
      <c r="L110" s="70"/>
      <c r="M110" s="51"/>
      <c r="N110" s="70"/>
      <c r="O110" s="71"/>
      <c r="P110" s="70"/>
      <c r="Q110" s="70"/>
      <c r="R110" s="70"/>
      <c r="S110" s="70"/>
      <c r="T110" s="51"/>
      <c r="U110" s="58"/>
      <c r="V110" s="58"/>
      <c r="W110" s="95"/>
      <c r="X110" s="52"/>
      <c r="Y110" s="70"/>
    </row>
    <row r="111" spans="2:26" x14ac:dyDescent="0.2">
      <c r="B111" s="23" t="str">
        <f>IF(确定审计范围!$C114="","",确定审计范围!$C114)</f>
        <v>所得税优惠（费用）</v>
      </c>
      <c r="C111" s="70">
        <f ca="1">IFERROR(SUMIFS(OFFSET(确定审计范围!$C:$C,,MATCH(按工作类型的汇总报告!C$9,确定审计范围!$8:$8,0)-3,,),确定审计范围!$C:$C,按工作类型的汇总报告!$B111),"")</f>
        <v>0</v>
      </c>
      <c r="D111" s="70">
        <f ca="1">IFERROR(SUMIFS(OFFSET(确定审计范围!$C:$C,,MATCH(按工作类型的汇总报告!D$9,确定审计范围!$8:$8,0)-3,,),确定审计范围!$C:$C,按工作类型的汇总报告!$B111),"")</f>
        <v>0</v>
      </c>
      <c r="E111" s="70">
        <f ca="1">IFERROR(SUMIFS(OFFSET(确定审计范围!$C:$C,,MATCH(按工作类型的汇总报告!E$9,确定审计范围!$8:$8,0)-3,,),确定审计范围!$C:$C,按工作类型的汇总报告!$B111),"")</f>
        <v>0</v>
      </c>
      <c r="F111" s="51"/>
      <c r="G111" s="70">
        <f>IFERROR(SUMIFS(确定审计范围!114:114,确定审计范围!$12:$12,按工作类型的汇总报告!G$9),"")</f>
        <v>0</v>
      </c>
      <c r="H111" s="70">
        <f>IFERROR(SUMIFS(确定审计范围!114:114,确定审计范围!$12:$12,按工作类型的汇总报告!H$9),"")</f>
        <v>0</v>
      </c>
      <c r="I111" s="34"/>
      <c r="J111" s="34"/>
      <c r="K111" s="70">
        <f>IFERROR(SUMIFS(确定审计范围!114:114,确定审计范围!$12:$12,按工作类型的汇总报告!K$9),"")</f>
        <v>0</v>
      </c>
      <c r="L111" s="70">
        <f>IFERROR(SUMIFS(确定审计范围!114:114,确定审计范围!$12:$12,按工作类型的汇总报告!L$9),"")</f>
        <v>0</v>
      </c>
      <c r="M111" s="51"/>
      <c r="N111" s="70">
        <f ca="1">IFERROR(C111-SUM(D111:E111,G111:H111,I111,J111,K111:L111),"")</f>
        <v>0</v>
      </c>
      <c r="O111" s="71">
        <f ca="1">IFERROR(N111/(C111-D111-E111),0)</f>
        <v>0</v>
      </c>
      <c r="P111" s="70">
        <f t="shared" ref="P111:P112" si="38">SUM(K111:L111)</f>
        <v>0</v>
      </c>
      <c r="Q111" s="71">
        <f ca="1">IFERROR(P111/(C111-D111-E111),0)</f>
        <v>0</v>
      </c>
      <c r="R111" s="70">
        <f>G111+H111+I111+J111</f>
        <v>0</v>
      </c>
      <c r="S111" s="71">
        <f ca="1">IFERROR(R111/(C111-D111-E111),0)</f>
        <v>0</v>
      </c>
      <c r="T111" s="51"/>
      <c r="U111" s="58"/>
      <c r="V111" s="58"/>
      <c r="W111" s="95"/>
      <c r="X111" s="52"/>
      <c r="Y111" s="70">
        <f ca="1">IFERROR(SUMIFS(OFFSET(确定审计范围!$B:$B,,MATCH(按工作类型的汇总报告!Y$9,确定审计范围!$9:$9,0)-2),确定审计范围!$C:$C,按工作类型的汇总报告!$B111),0)</f>
        <v>0</v>
      </c>
    </row>
    <row r="112" spans="2:26" x14ac:dyDescent="0.2">
      <c r="B112" s="22" t="str">
        <f>IF(确定审计范围!$C115="","",确定审计范围!$C115)</f>
        <v>子公司收益（损失）中的权益</v>
      </c>
      <c r="C112" s="92">
        <f ca="1">IFERROR(SUMIFS(OFFSET(确定审计范围!$C:$C,,MATCH(按工作类型的汇总报告!C$9,确定审计范围!$8:$8,0)-3,,),确定审计范围!$C:$C,按工作类型的汇总报告!$B112),"")</f>
        <v>0</v>
      </c>
      <c r="D112" s="92">
        <f ca="1">IFERROR(SUMIFS(OFFSET(确定审计范围!$C:$C,,MATCH(按工作类型的汇总报告!D$9,确定审计范围!$8:$8,0)-3,,),确定审计范围!$C:$C,按工作类型的汇总报告!$B112),"")</f>
        <v>0</v>
      </c>
      <c r="E112" s="92">
        <f ca="1">IFERROR(SUMIFS(OFFSET(确定审计范围!$C:$C,,MATCH(按工作类型的汇总报告!E$9,确定审计范围!$8:$8,0)-3,,),确定审计范围!$C:$C,按工作类型的汇总报告!$B112),"")</f>
        <v>0</v>
      </c>
      <c r="F112" s="51"/>
      <c r="G112" s="92">
        <f>IFERROR(SUMIFS(确定审计范围!115:115,确定审计范围!$12:$12,按工作类型的汇总报告!G$9),"")</f>
        <v>0</v>
      </c>
      <c r="H112" s="92">
        <f>IFERROR(SUMIFS(确定审计范围!115:115,确定审计范围!$12:$12,按工作类型的汇总报告!H$9),"")</f>
        <v>0</v>
      </c>
      <c r="I112" s="45"/>
      <c r="J112" s="45"/>
      <c r="K112" s="92">
        <f>IFERROR(SUMIFS(确定审计范围!115:115,确定审计范围!$12:$12,按工作类型的汇总报告!K$9),"")</f>
        <v>0</v>
      </c>
      <c r="L112" s="92">
        <f>IFERROR(SUMIFS(确定审计范围!115:115,确定审计范围!$12:$12,按工作类型的汇总报告!L$9),"")</f>
        <v>0</v>
      </c>
      <c r="M112" s="51"/>
      <c r="N112" s="70">
        <f ca="1">IFERROR(C112-SUM(D112:E112,G112:H112,I112,J112,K112:L112),"")</f>
        <v>0</v>
      </c>
      <c r="O112" s="93">
        <f ca="1">IFERROR(N112/(C112-D112-E112),0)</f>
        <v>0</v>
      </c>
      <c r="P112" s="70">
        <f t="shared" si="38"/>
        <v>0</v>
      </c>
      <c r="Q112" s="93">
        <f ca="1">IFERROR(P112/(C112-D112-E112),0)</f>
        <v>0</v>
      </c>
      <c r="R112" s="70">
        <f>G112+H112+I112+J112</f>
        <v>0</v>
      </c>
      <c r="S112" s="93">
        <f ca="1">IFERROR(R112/(C112-D112-E112),0)</f>
        <v>0</v>
      </c>
      <c r="T112" s="51"/>
      <c r="U112" s="67"/>
      <c r="V112" s="67"/>
      <c r="W112" s="104"/>
      <c r="X112" s="52"/>
      <c r="Y112" s="92">
        <f ca="1">IFERROR(SUMIFS(OFFSET(确定审计范围!$B:$B,,MATCH(按工作类型的汇总报告!Y$9,确定审计范围!$9:$9,0)-2),确定审计范围!$C:$C,按工作类型的汇总报告!$B112),0)</f>
        <v>0</v>
      </c>
    </row>
    <row r="113" spans="2:25" hidden="1" x14ac:dyDescent="0.2">
      <c r="B113" s="17" t="str">
        <f>IF(确定审计范围!$C116="","",确定审计范围!$C116)</f>
        <v>故意隐藏</v>
      </c>
      <c r="C113" s="72">
        <f ca="1">IFERROR(SUMIFS(OFFSET(确定审计范围!$C:$C,,MATCH(按工作类型的汇总报告!C$9,确定审计范围!$8:$8,0)-3,,),确定审计范围!$C:$C,按工作类型的汇总报告!$B113),"")</f>
        <v>0</v>
      </c>
      <c r="D113" s="72">
        <f ca="1">IFERROR(SUMIFS(OFFSET(确定审计范围!$C:$C,,MATCH(按工作类型的汇总报告!D$9,确定审计范围!$8:$8,0)-3,,),确定审计范围!$C:$C,按工作类型的汇总报告!$B113),"")</f>
        <v>0</v>
      </c>
      <c r="E113" s="72">
        <f ca="1">IFERROR(SUMIFS(OFFSET(确定审计范围!$C:$C,,MATCH(按工作类型的汇总报告!E$9,确定审计范围!$8:$8,0)-3,,),确定审计范围!$C:$C,按工作类型的汇总报告!$B113),"")</f>
        <v>0</v>
      </c>
      <c r="F113" s="51"/>
      <c r="G113" s="72">
        <f>IFERROR(SUMIFS(确定审计范围!116:116,确定审计范围!$12:$12,按工作类型的汇总报告!G$9),"")</f>
        <v>0</v>
      </c>
      <c r="H113" s="72">
        <f>IFERROR(SUMIFS(确定审计范围!116:116,确定审计范围!$12:$12,按工作类型的汇总报告!H$9),"")</f>
        <v>0</v>
      </c>
      <c r="I113" s="7"/>
      <c r="J113" s="7"/>
      <c r="K113" s="72">
        <f>IFERROR(SUMIFS(确定审计范围!116:116,确定审计范围!$12:$12,按工作类型的汇总报告!K$9),"")</f>
        <v>0</v>
      </c>
      <c r="L113" s="72">
        <f>IFERROR(SUMIFS(确定审计范围!116:116,确定审计范围!$12:$12,按工作类型的汇总报告!L$9),"")</f>
        <v>0</v>
      </c>
      <c r="M113" s="51"/>
      <c r="N113" s="72"/>
      <c r="O113" s="73"/>
      <c r="P113" s="72"/>
      <c r="Q113" s="73">
        <f ca="1">IFERROR(P113/(C113-D113-E113),0)</f>
        <v>0</v>
      </c>
      <c r="R113" s="72">
        <f>G113+H113+I113+J113</f>
        <v>0</v>
      </c>
      <c r="S113" s="73">
        <f ca="1">IFERROR(R113/(C113-D113-E113),0)</f>
        <v>0</v>
      </c>
      <c r="T113" s="51"/>
      <c r="U113" s="59"/>
      <c r="V113" s="59"/>
      <c r="W113" s="96"/>
      <c r="X113" s="52"/>
      <c r="Y113" s="72">
        <f ca="1">IFERROR(SUMIFS(OFFSET(确定审计范围!$B:$B,,MATCH(按工作类型的汇总报告!Y$9,确定审计范围!$9:$9,0)-2),确定审计范围!$C:$C,按工作类型的汇总报告!$B113),0)</f>
        <v>0</v>
      </c>
    </row>
    <row r="114" spans="2:25" x14ac:dyDescent="0.2">
      <c r="B114" s="18" t="str">
        <f>IF(确定审计范围!$C117="","",确定审计范围!$C117)</f>
        <v>持续经营收入（损失）</v>
      </c>
      <c r="C114" s="74">
        <f ca="1">IFERROR(SUMIFS(OFFSET(确定审计范围!$C:$C,,MATCH(按工作类型的汇总报告!C$9,确定审计范围!$8:$8,0)-3,,),确定审计范围!$C:$C,按工作类型的汇总报告!$B114),"")</f>
        <v>0</v>
      </c>
      <c r="D114" s="74">
        <f ca="1">IFERROR(SUMIFS(OFFSET(确定审计范围!$C:$C,,MATCH(按工作类型的汇总报告!D$9,确定审计范围!$8:$8,0)-3,,),确定审计范围!$C:$C,按工作类型的汇总报告!$B114),"")</f>
        <v>0</v>
      </c>
      <c r="E114" s="74">
        <f ca="1">IFERROR(SUMIFS(OFFSET(确定审计范围!$C:$C,,MATCH(按工作类型的汇总报告!E$9,确定审计范围!$8:$8,0)-3,,),确定审计范围!$C:$C,按工作类型的汇总报告!$B114),"")</f>
        <v>0</v>
      </c>
      <c r="F114" s="51"/>
      <c r="G114" s="74">
        <f>IFERROR(SUMIFS(确定审计范围!117:117,确定审计范围!$12:$12,按工作类型的汇总报告!G$9),"")</f>
        <v>0</v>
      </c>
      <c r="H114" s="74">
        <f>IFERROR(SUMIFS(确定审计范围!117:117,确定审计范围!$12:$12,按工作类型的汇总报告!H$9),"")</f>
        <v>0</v>
      </c>
      <c r="I114" s="36">
        <f>I109+SUM(I110:I113)</f>
        <v>0</v>
      </c>
      <c r="J114" s="36">
        <f>J109+SUM(J110:J113)</f>
        <v>0</v>
      </c>
      <c r="K114" s="74">
        <f>IFERROR(SUMIFS(确定审计范围!117:117,确定审计范围!$12:$12,按工作类型的汇总报告!K$9),"")</f>
        <v>0</v>
      </c>
      <c r="L114" s="74">
        <f>IFERROR(SUMIFS(确定审计范围!117:117,确定审计范围!$12:$12,按工作类型的汇总报告!L$9),"")</f>
        <v>0</v>
      </c>
      <c r="M114" s="51"/>
      <c r="N114" s="74">
        <f ca="1">IFERROR(C114-SUM(D114:E114,G114:H114,I114,J114,K114:L114),"")</f>
        <v>0</v>
      </c>
      <c r="O114" s="75">
        <f ca="1">IFERROR(N114/(C114-D114-E114),0)</f>
        <v>0</v>
      </c>
      <c r="P114" s="74">
        <f>SUM(K114:L114)</f>
        <v>0</v>
      </c>
      <c r="Q114" s="75">
        <f ca="1">IFERROR(P114/(C114-D114-E114),0)</f>
        <v>0</v>
      </c>
      <c r="R114" s="74">
        <f>G114+H114+I114+J114</f>
        <v>0</v>
      </c>
      <c r="S114" s="75">
        <f ca="1">IFERROR(R114/(C114-D114-E114),0)</f>
        <v>0</v>
      </c>
      <c r="T114" s="51"/>
      <c r="U114" s="60"/>
      <c r="V114" s="60"/>
      <c r="W114" s="97"/>
      <c r="X114" s="52"/>
      <c r="Y114" s="74">
        <f ca="1">IFERROR(SUMIFS(OFFSET(确定审计范围!$B:$B,,MATCH(按工作类型的汇总报告!Y$9,确定审计范围!$9:$9,0)-2),确定审计范围!$C:$C,按工作类型的汇总报告!$B114),0)</f>
        <v>0</v>
      </c>
    </row>
    <row r="115" spans="2:25" x14ac:dyDescent="0.2">
      <c r="B115" s="23" t="str">
        <f>IF(确定审计范围!$C118="","",确定审计范围!$C118)</f>
        <v/>
      </c>
      <c r="C115" s="70"/>
      <c r="D115" s="70"/>
      <c r="E115" s="70"/>
      <c r="F115" s="51"/>
      <c r="G115" s="70"/>
      <c r="H115" s="70"/>
      <c r="I115" s="34"/>
      <c r="J115" s="34"/>
      <c r="K115" s="70"/>
      <c r="L115" s="70"/>
      <c r="M115" s="51"/>
      <c r="N115" s="70"/>
      <c r="O115" s="71"/>
      <c r="P115" s="70"/>
      <c r="Q115" s="70"/>
      <c r="R115" s="70"/>
      <c r="S115" s="70"/>
      <c r="T115" s="51"/>
      <c r="U115" s="58"/>
      <c r="V115" s="58"/>
      <c r="W115" s="95"/>
      <c r="X115" s="52"/>
      <c r="Y115" s="70"/>
    </row>
    <row r="116" spans="2:25" x14ac:dyDescent="0.2">
      <c r="B116" s="23" t="str">
        <f>IF(确定审计范围!$C119="","",确定审计范围!$C119)</f>
        <v>终止经营收入（损失）</v>
      </c>
      <c r="C116" s="70">
        <f ca="1">IFERROR(SUMIFS(OFFSET(确定审计范围!$C:$C,,MATCH(按工作类型的汇总报告!C$9,确定审计范围!$8:$8,0)-3,,),确定审计范围!$C:$C,按工作类型的汇总报告!$B116),"")</f>
        <v>0</v>
      </c>
      <c r="D116" s="70">
        <f ca="1">IFERROR(SUMIFS(OFFSET(确定审计范围!$C:$C,,MATCH(按工作类型的汇总报告!D$9,确定审计范围!$8:$8,0)-3,,),确定审计范围!$C:$C,按工作类型的汇总报告!$B116),"")</f>
        <v>0</v>
      </c>
      <c r="E116" s="70">
        <f ca="1">IFERROR(SUMIFS(OFFSET(确定审计范围!$C:$C,,MATCH(按工作类型的汇总报告!E$9,确定审计范围!$8:$8,0)-3,,),确定审计范围!$C:$C,按工作类型的汇总报告!$B116),"")</f>
        <v>0</v>
      </c>
      <c r="F116" s="51"/>
      <c r="G116" s="70">
        <f>IFERROR(SUMIFS(确定审计范围!119:119,确定审计范围!$12:$12,按工作类型的汇总报告!G$9),"")</f>
        <v>0</v>
      </c>
      <c r="H116" s="70">
        <f>IFERROR(SUMIFS(确定审计范围!119:119,确定审计范围!$12:$12,按工作类型的汇总报告!H$9),"")</f>
        <v>0</v>
      </c>
      <c r="I116" s="34"/>
      <c r="J116" s="34"/>
      <c r="K116" s="70">
        <f>IFERROR(SUMIFS(确定审计范围!119:119,确定审计范围!$12:$12,按工作类型的汇总报告!K$9),"")</f>
        <v>0</v>
      </c>
      <c r="L116" s="70">
        <f>IFERROR(SUMIFS(确定审计范围!119:119,确定审计范围!$12:$12,按工作类型的汇总报告!L$9),"")</f>
        <v>0</v>
      </c>
      <c r="M116" s="51"/>
      <c r="N116" s="70">
        <f ca="1">IFERROR(C116-SUM(D116:E116,G116:H116,I116,J116,K116:L116),"")</f>
        <v>0</v>
      </c>
      <c r="O116" s="71">
        <f ca="1">IFERROR(N116/(C116-D116-E116),0)</f>
        <v>0</v>
      </c>
      <c r="P116" s="70">
        <f>SUM(K116:L116)</f>
        <v>0</v>
      </c>
      <c r="Q116" s="71">
        <f ca="1">IFERROR(P116/(C116-D116-E116),0)</f>
        <v>0</v>
      </c>
      <c r="R116" s="70">
        <f>G116+H116+I116+J116</f>
        <v>0</v>
      </c>
      <c r="S116" s="71">
        <f ca="1">IFERROR(R116/(C116-D116-E116),0)</f>
        <v>0</v>
      </c>
      <c r="T116" s="51"/>
      <c r="U116" s="58"/>
      <c r="V116" s="58"/>
      <c r="W116" s="95"/>
      <c r="X116" s="52"/>
      <c r="Y116" s="70">
        <f ca="1">IFERROR(SUMIFS(OFFSET(确定审计范围!$B:$B,,MATCH(按工作类型的汇总报告!Y$9,确定审计范围!$9:$9,0)-2),确定审计范围!$C:$C,按工作类型的汇总报告!$B116),0)</f>
        <v>0</v>
      </c>
    </row>
    <row r="117" spans="2:25" hidden="1" x14ac:dyDescent="0.2">
      <c r="B117" s="17" t="str">
        <f>IF(确定审计范围!$C120="","",确定审计范围!$C120)</f>
        <v>故意隐藏</v>
      </c>
      <c r="C117" s="72">
        <f ca="1">IFERROR(SUMIFS(OFFSET(确定审计范围!$C:$C,,MATCH(按工作类型的汇总报告!C$9,确定审计范围!$8:$8,0)-3,,),确定审计范围!$C:$C,按工作类型的汇总报告!$B117),"")</f>
        <v>0</v>
      </c>
      <c r="D117" s="72">
        <f ca="1">IFERROR(SUMIFS(OFFSET(确定审计范围!$C:$C,,MATCH(按工作类型的汇总报告!D$9,确定审计范围!$8:$8,0)-3,,),确定审计范围!$C:$C,按工作类型的汇总报告!$B117),"")</f>
        <v>0</v>
      </c>
      <c r="E117" s="72">
        <f ca="1">IFERROR(SUMIFS(OFFSET(确定审计范围!$C:$C,,MATCH(按工作类型的汇总报告!E$9,确定审计范围!$8:$8,0)-3,,),确定审计范围!$C:$C,按工作类型的汇总报告!$B117),"")</f>
        <v>0</v>
      </c>
      <c r="F117" s="51"/>
      <c r="G117" s="72">
        <f>IFERROR(SUMIFS(确定审计范围!120:120,确定审计范围!$12:$12,按工作类型的汇总报告!G$9),"")</f>
        <v>0</v>
      </c>
      <c r="H117" s="72">
        <f>IFERROR(SUMIFS(确定审计范围!120:120,确定审计范围!$12:$12,按工作类型的汇总报告!H$9),"")</f>
        <v>0</v>
      </c>
      <c r="I117" s="7"/>
      <c r="J117" s="7"/>
      <c r="K117" s="72">
        <f>IFERROR(SUMIFS(确定审计范围!120:120,确定审计范围!$12:$12,按工作类型的汇总报告!K$9),"")</f>
        <v>0</v>
      </c>
      <c r="L117" s="72">
        <f>IFERROR(SUMIFS(确定审计范围!120:120,确定审计范围!$12:$12,按工作类型的汇总报告!L$9),"")</f>
        <v>0</v>
      </c>
      <c r="M117" s="51"/>
      <c r="N117" s="72"/>
      <c r="O117" s="73"/>
      <c r="P117" s="72"/>
      <c r="Q117" s="73">
        <f ca="1">IFERROR(P117/(C117-D117-E117),0)</f>
        <v>0</v>
      </c>
      <c r="R117" s="72">
        <f>G117+H117+I117+J117</f>
        <v>0</v>
      </c>
      <c r="S117" s="73">
        <f ca="1">IFERROR(R117/(C117-D117-E117),0)</f>
        <v>0</v>
      </c>
      <c r="T117" s="51"/>
      <c r="U117" s="59"/>
      <c r="V117" s="59"/>
      <c r="W117" s="96"/>
      <c r="X117" s="52"/>
      <c r="Y117" s="72">
        <f ca="1">IFERROR(SUMIFS(OFFSET(确定审计范围!$B:$B,,MATCH(按工作类型的汇总报告!Y$9,确定审计范围!$9:$9,0)-2),确定审计范围!$C:$C,按工作类型的汇总报告!$B117),0)</f>
        <v>0</v>
      </c>
    </row>
    <row r="118" spans="2:25" ht="22.5" x14ac:dyDescent="0.2">
      <c r="B118" s="18" t="str">
        <f>IF(确定审计范围!$C121="","",确定审计范围!$C121)</f>
        <v>会计政策变更累计影响前的收入（损失）</v>
      </c>
      <c r="C118" s="74">
        <f ca="1">IFERROR(SUMIFS(OFFSET(确定审计范围!$C:$C,,MATCH(按工作类型的汇总报告!C$9,确定审计范围!$8:$8,0)-3,,),确定审计范围!$C:$C,按工作类型的汇总报告!$B118),"")</f>
        <v>0</v>
      </c>
      <c r="D118" s="74">
        <f ca="1">IFERROR(SUMIFS(OFFSET(确定审计范围!$C:$C,,MATCH(按工作类型的汇总报告!D$9,确定审计范围!$8:$8,0)-3,,),确定审计范围!$C:$C,按工作类型的汇总报告!$B118),"")</f>
        <v>0</v>
      </c>
      <c r="E118" s="74">
        <f ca="1">IFERROR(SUMIFS(OFFSET(确定审计范围!$C:$C,,MATCH(按工作类型的汇总报告!E$9,确定审计范围!$8:$8,0)-3,,),确定审计范围!$C:$C,按工作类型的汇总报告!$B118),"")</f>
        <v>0</v>
      </c>
      <c r="F118" s="51"/>
      <c r="G118" s="74">
        <f>IFERROR(SUMIFS(确定审计范围!121:121,确定审计范围!$12:$12,按工作类型的汇总报告!G$9),"")</f>
        <v>0</v>
      </c>
      <c r="H118" s="74">
        <f>IFERROR(SUMIFS(确定审计范围!121:121,确定审计范围!$12:$12,按工作类型的汇总报告!H$9),"")</f>
        <v>0</v>
      </c>
      <c r="I118" s="36">
        <f>I114+SUM(I115:I117)</f>
        <v>0</v>
      </c>
      <c r="J118" s="36">
        <f>J114+SUM(J115:J117)</f>
        <v>0</v>
      </c>
      <c r="K118" s="74">
        <f>IFERROR(SUMIFS(确定审计范围!121:121,确定审计范围!$12:$12,按工作类型的汇总报告!K$9),"")</f>
        <v>0</v>
      </c>
      <c r="L118" s="74">
        <f>IFERROR(SUMIFS(确定审计范围!121:121,确定审计范围!$12:$12,按工作类型的汇总报告!L$9),"")</f>
        <v>0</v>
      </c>
      <c r="M118" s="51"/>
      <c r="N118" s="74">
        <f ca="1">IFERROR(C118-SUM(D118:E118,G118:H118,I118,J118,K118:L118),"")</f>
        <v>0</v>
      </c>
      <c r="O118" s="75">
        <f ca="1">IFERROR(N118/(C118-D118-E118),0)</f>
        <v>0</v>
      </c>
      <c r="P118" s="74">
        <f>SUM(K118:L118)</f>
        <v>0</v>
      </c>
      <c r="Q118" s="75">
        <f ca="1">IFERROR(P118/(C118-D118-E118),0)</f>
        <v>0</v>
      </c>
      <c r="R118" s="74">
        <f>G118+H118+I118+J118</f>
        <v>0</v>
      </c>
      <c r="S118" s="75">
        <f ca="1">IFERROR(R118/(C118-D118-E118),0)</f>
        <v>0</v>
      </c>
      <c r="T118" s="51"/>
      <c r="U118" s="60"/>
      <c r="V118" s="60"/>
      <c r="W118" s="97"/>
      <c r="X118" s="52"/>
      <c r="Y118" s="74">
        <f ca="1">IFERROR(SUMIFS(OFFSET(确定审计范围!$B:$B,,MATCH(按工作类型的汇总报告!Y$9,确定审计范围!$9:$9,0)-2),确定审计范围!$C:$C,按工作类型的汇总报告!$B118),0)</f>
        <v>0</v>
      </c>
    </row>
    <row r="119" spans="2:25" x14ac:dyDescent="0.2">
      <c r="B119" s="23" t="str">
        <f>IF(确定审计范围!$C122="","",确定审计范围!$C122)</f>
        <v/>
      </c>
      <c r="C119" s="70"/>
      <c r="D119" s="70"/>
      <c r="E119" s="70"/>
      <c r="F119" s="51"/>
      <c r="G119" s="70"/>
      <c r="H119" s="70"/>
      <c r="I119" s="34"/>
      <c r="J119" s="34"/>
      <c r="K119" s="70"/>
      <c r="L119" s="70"/>
      <c r="M119" s="51"/>
      <c r="N119" s="70"/>
      <c r="O119" s="71"/>
      <c r="P119" s="70"/>
      <c r="Q119" s="70"/>
      <c r="R119" s="70"/>
      <c r="S119" s="70"/>
      <c r="T119" s="51"/>
      <c r="U119" s="58"/>
      <c r="V119" s="58"/>
      <c r="W119" s="95"/>
      <c r="X119" s="52"/>
      <c r="Y119" s="70"/>
    </row>
    <row r="120" spans="2:25" x14ac:dyDescent="0.2">
      <c r="B120" s="23" t="str">
        <f>IF(确定审计范围!$C123="","",确定审计范围!$C123)</f>
        <v>会计政策变更累计影响的利得（损失）</v>
      </c>
      <c r="C120" s="70">
        <f ca="1">IFERROR(SUMIFS(OFFSET(确定审计范围!$C:$C,,MATCH(按工作类型的汇总报告!C$9,确定审计范围!$8:$8,0)-3,,),确定审计范围!$C:$C,按工作类型的汇总报告!$B120),"")</f>
        <v>0</v>
      </c>
      <c r="D120" s="70">
        <f ca="1">IFERROR(SUMIFS(OFFSET(确定审计范围!$C:$C,,MATCH(按工作类型的汇总报告!D$9,确定审计范围!$8:$8,0)-3,,),确定审计范围!$C:$C,按工作类型的汇总报告!$B120),"")</f>
        <v>0</v>
      </c>
      <c r="E120" s="70">
        <f ca="1">IFERROR(SUMIFS(OFFSET(确定审计范围!$C:$C,,MATCH(按工作类型的汇总报告!E$9,确定审计范围!$8:$8,0)-3,,),确定审计范围!$C:$C,按工作类型的汇总报告!$B120),"")</f>
        <v>0</v>
      </c>
      <c r="F120" s="51"/>
      <c r="G120" s="70">
        <f>IFERROR(SUMIFS(确定审计范围!123:123,确定审计范围!$12:$12,按工作类型的汇总报告!G$9),"")</f>
        <v>0</v>
      </c>
      <c r="H120" s="70">
        <f>IFERROR(SUMIFS(确定审计范围!123:123,确定审计范围!$12:$12,按工作类型的汇总报告!H$9),"")</f>
        <v>0</v>
      </c>
      <c r="I120" s="34"/>
      <c r="J120" s="34"/>
      <c r="K120" s="70">
        <f>IFERROR(SUMIFS(确定审计范围!123:123,确定审计范围!$12:$12,按工作类型的汇总报告!K$9),"")</f>
        <v>0</v>
      </c>
      <c r="L120" s="70">
        <f>IFERROR(SUMIFS(确定审计范围!123:123,确定审计范围!$12:$12,按工作类型的汇总报告!L$9),"")</f>
        <v>0</v>
      </c>
      <c r="M120" s="51"/>
      <c r="N120" s="70">
        <f ca="1">IFERROR(C120-SUM(D120:E120,G120:H120,I120,J120,K120:L120),"")</f>
        <v>0</v>
      </c>
      <c r="O120" s="71">
        <f ca="1">IFERROR(N120/(C120-D120-E120),0)</f>
        <v>0</v>
      </c>
      <c r="P120" s="70">
        <f>SUM(K120:L120)</f>
        <v>0</v>
      </c>
      <c r="Q120" s="71">
        <f ca="1">IFERROR(P120/(C120-D120-E120),0)</f>
        <v>0</v>
      </c>
      <c r="R120" s="70">
        <f>G120+H120+I120+J120</f>
        <v>0</v>
      </c>
      <c r="S120" s="71">
        <f ca="1">IFERROR(R120/(C120-D120-E120),0)</f>
        <v>0</v>
      </c>
      <c r="T120" s="51"/>
      <c r="U120" s="58"/>
      <c r="V120" s="58"/>
      <c r="W120" s="95"/>
      <c r="X120" s="52"/>
      <c r="Y120" s="70">
        <f ca="1">IFERROR(SUMIFS(OFFSET(确定审计范围!$B:$B,,MATCH(按工作类型的汇总报告!Y$9,确定审计范围!$9:$9,0)-2),确定审计范围!$C:$C,按工作类型的汇总报告!$B120),0)</f>
        <v>0</v>
      </c>
    </row>
    <row r="121" spans="2:25" hidden="1" x14ac:dyDescent="0.2">
      <c r="B121" s="17" t="str">
        <f>IF(确定审计范围!$C124="","",确定审计范围!$C124)</f>
        <v>故意隐藏</v>
      </c>
      <c r="C121" s="72">
        <f ca="1">IFERROR(SUMIFS(OFFSET(确定审计范围!$C:$C,,MATCH(按工作类型的汇总报告!C$9,确定审计范围!$8:$8,0)-3,,),确定审计范围!$C:$C,按工作类型的汇总报告!$B121),"")</f>
        <v>0</v>
      </c>
      <c r="D121" s="72">
        <f ca="1">IFERROR(SUMIFS(OFFSET(确定审计范围!$C:$C,,MATCH(按工作类型的汇总报告!D$9,确定审计范围!$8:$8,0)-3,,),确定审计范围!$C:$C,按工作类型的汇总报告!$B121),"")</f>
        <v>0</v>
      </c>
      <c r="E121" s="72">
        <f ca="1">IFERROR(SUMIFS(OFFSET(确定审计范围!$C:$C,,MATCH(按工作类型的汇总报告!E$9,确定审计范围!$8:$8,0)-3,,),确定审计范围!$C:$C,按工作类型的汇总报告!$B121),"")</f>
        <v>0</v>
      </c>
      <c r="F121" s="51"/>
      <c r="G121" s="72">
        <f>IFERROR(SUMIFS(确定审计范围!124:124,确定审计范围!$12:$12,按工作类型的汇总报告!G$9),"")</f>
        <v>0</v>
      </c>
      <c r="H121" s="72">
        <f>IFERROR(SUMIFS(确定审计范围!124:124,确定审计范围!$12:$12,按工作类型的汇总报告!H$9),"")</f>
        <v>0</v>
      </c>
      <c r="I121" s="7"/>
      <c r="J121" s="7"/>
      <c r="K121" s="72">
        <f>IFERROR(SUMIFS(确定审计范围!124:124,确定审计范围!$12:$12,按工作类型的汇总报告!K$9),"")</f>
        <v>0</v>
      </c>
      <c r="L121" s="72">
        <f>IFERROR(SUMIFS(确定审计范围!124:124,确定审计范围!$12:$12,按工作类型的汇总报告!L$9),"")</f>
        <v>0</v>
      </c>
      <c r="M121" s="51"/>
      <c r="N121" s="72"/>
      <c r="O121" s="73"/>
      <c r="P121" s="72"/>
      <c r="Q121" s="73">
        <f ca="1">IFERROR(P121/(C121-D121-E121),0)</f>
        <v>0</v>
      </c>
      <c r="R121" s="72">
        <f>G121+H121+I121+J121</f>
        <v>0</v>
      </c>
      <c r="S121" s="73">
        <f ca="1">IFERROR(R121/(C121-D121-E121),0)</f>
        <v>0</v>
      </c>
      <c r="T121" s="51"/>
      <c r="U121" s="59"/>
      <c r="V121" s="59"/>
      <c r="W121" s="96"/>
      <c r="X121" s="52"/>
      <c r="Y121" s="72">
        <f ca="1">IFERROR(SUMIFS(OFFSET(确定审计范围!$B:$B,,MATCH(按工作类型的汇总报告!Y$9,确定审计范围!$9:$9,0)-2),确定审计范围!$C:$C,按工作类型的汇总报告!$B121),0)</f>
        <v>0</v>
      </c>
    </row>
    <row r="122" spans="2:25" x14ac:dyDescent="0.2">
      <c r="B122" s="19" t="str">
        <f>IF(确定审计范围!$C125="","",确定审计范围!$C125)</f>
        <v>净利润（亏损）</v>
      </c>
      <c r="C122" s="78">
        <f ca="1">IFERROR(SUMIFS(OFFSET(确定审计范围!$C:$C,,MATCH(按工作类型的汇总报告!C$9,确定审计范围!$8:$8,0)-3,,),确定审计范围!$C:$C,按工作类型的汇总报告!$B122),"")</f>
        <v>0</v>
      </c>
      <c r="D122" s="78">
        <f ca="1">IFERROR(SUMIFS(OFFSET(确定审计范围!$C:$C,,MATCH(按工作类型的汇总报告!D$9,确定审计范围!$8:$8,0)-3,,),确定审计范围!$C:$C,按工作类型的汇总报告!$B122),"")</f>
        <v>0</v>
      </c>
      <c r="E122" s="78">
        <f ca="1">IFERROR(SUMIFS(OFFSET(确定审计范围!$C:$C,,MATCH(按工作类型的汇总报告!E$9,确定审计范围!$8:$8,0)-3,,),确定审计范围!$C:$C,按工作类型的汇总报告!$B122),"")</f>
        <v>0</v>
      </c>
      <c r="F122" s="51"/>
      <c r="G122" s="78">
        <f>IFERROR(SUMIFS(确定审计范围!125:125,确定审计范围!$12:$12,按工作类型的汇总报告!G$9),"")</f>
        <v>0</v>
      </c>
      <c r="H122" s="78">
        <f>IFERROR(SUMIFS(确定审计范围!125:125,确定审计范围!$12:$12,按工作类型的汇总报告!H$9),"")</f>
        <v>0</v>
      </c>
      <c r="I122" s="38">
        <f>I118+SUM(I119:I121)</f>
        <v>0</v>
      </c>
      <c r="J122" s="38">
        <f>J118+SUM(J119:J121)</f>
        <v>0</v>
      </c>
      <c r="K122" s="78">
        <f>IFERROR(SUMIFS(确定审计范围!125:125,确定审计范围!$12:$12,按工作类型的汇总报告!K$9),"")</f>
        <v>0</v>
      </c>
      <c r="L122" s="78">
        <f>IFERROR(SUMIFS(确定审计范围!125:125,确定审计范围!$12:$12,按工作类型的汇总报告!L$9),"")</f>
        <v>0</v>
      </c>
      <c r="M122" s="51"/>
      <c r="N122" s="78">
        <f ca="1">IFERROR(C122-SUM(D122:E122,G122:H122,I122,J122,K122:L122),"")</f>
        <v>0</v>
      </c>
      <c r="O122" s="79">
        <f ca="1">IFERROR(N122/(C122-D122-E122),0)</f>
        <v>0</v>
      </c>
      <c r="P122" s="78">
        <f>SUM(K122:L122)</f>
        <v>0</v>
      </c>
      <c r="Q122" s="79">
        <f ca="1">IFERROR(P122/(C122-D122-E122),0)</f>
        <v>0</v>
      </c>
      <c r="R122" s="78">
        <f>G122+H122+I122+J122</f>
        <v>0</v>
      </c>
      <c r="S122" s="79">
        <f ca="1">IFERROR(R122/(C122-D122-E122),0)</f>
        <v>0</v>
      </c>
      <c r="T122" s="51"/>
      <c r="U122" s="62"/>
      <c r="V122" s="62"/>
      <c r="W122" s="99"/>
      <c r="X122" s="52"/>
      <c r="Y122" s="78">
        <f ca="1">IFERROR(SUMIFS(OFFSET(确定审计范围!$B:$B,,MATCH(按工作类型的汇总报告!Y$9,确定审计范围!$9:$9,0)-2),确定审计范围!$C:$C,按工作类型的汇总报告!$B122),0)</f>
        <v>0</v>
      </c>
    </row>
    <row r="123" spans="2:25" x14ac:dyDescent="0.2">
      <c r="B123" s="15" t="str">
        <f>IF(确定审计范围!$C126="","",确定审计范围!$C126)</f>
        <v/>
      </c>
      <c r="C123" s="76"/>
      <c r="D123" s="76"/>
      <c r="E123" s="76"/>
      <c r="F123" s="51"/>
      <c r="G123" s="76"/>
      <c r="H123" s="76"/>
      <c r="I123" s="30"/>
      <c r="J123" s="30"/>
      <c r="K123" s="76"/>
      <c r="L123" s="76"/>
      <c r="M123" s="51"/>
      <c r="N123" s="76"/>
      <c r="O123" s="77"/>
      <c r="P123" s="76"/>
      <c r="Q123" s="76"/>
      <c r="R123" s="76"/>
      <c r="S123" s="76"/>
      <c r="T123" s="51"/>
      <c r="U123" s="61"/>
      <c r="V123" s="61"/>
      <c r="W123" s="98"/>
      <c r="X123" s="52"/>
      <c r="Y123" s="76"/>
    </row>
    <row r="124" spans="2:25" ht="22.5" x14ac:dyDescent="0.2">
      <c r="B124" s="23" t="str">
        <f>IF(确定审计范围!$C127="","",确定审计范围!$C127)</f>
        <v>减：归属于非控制性权益的净利润（亏损）</v>
      </c>
      <c r="C124" s="70">
        <f ca="1">IFERROR(SUMIFS(OFFSET(确定审计范围!$C:$C,,MATCH(按工作类型的汇总报告!C$9,确定审计范围!$8:$8,0)-3,,),确定审计范围!$C:$C,按工作类型的汇总报告!$B124),"")</f>
        <v>0</v>
      </c>
      <c r="D124" s="70">
        <f ca="1">IFERROR(SUMIFS(OFFSET(确定审计范围!$C:$C,,MATCH(按工作类型的汇总报告!D$9,确定审计范围!$8:$8,0)-3,,),确定审计范围!$C:$C,按工作类型的汇总报告!$B124),"")</f>
        <v>0</v>
      </c>
      <c r="E124" s="70">
        <f ca="1">IFERROR(SUMIFS(OFFSET(确定审计范围!$C:$C,,MATCH(按工作类型的汇总报告!E$9,确定审计范围!$8:$8,0)-3,,),确定审计范围!$C:$C,按工作类型的汇总报告!$B124),"")</f>
        <v>0</v>
      </c>
      <c r="F124" s="51"/>
      <c r="G124" s="70">
        <f>IFERROR(SUMIFS(确定审计范围!127:127,确定审计范围!$12:$12,按工作类型的汇总报告!G$9),"")</f>
        <v>0</v>
      </c>
      <c r="H124" s="70">
        <f>IFERROR(SUMIFS(确定审计范围!127:127,确定审计范围!$12:$12,按工作类型的汇总报告!H$9),"")</f>
        <v>0</v>
      </c>
      <c r="I124" s="34"/>
      <c r="J124" s="34"/>
      <c r="K124" s="70">
        <f>IFERROR(SUMIFS(确定审计范围!127:127,确定审计范围!$12:$12,按工作类型的汇总报告!K$9),"")</f>
        <v>0</v>
      </c>
      <c r="L124" s="70">
        <f>IFERROR(SUMIFS(确定审计范围!127:127,确定审计范围!$12:$12,按工作类型的汇总报告!L$9),"")</f>
        <v>0</v>
      </c>
      <c r="M124" s="51"/>
      <c r="N124" s="70">
        <f ca="1">IFERROR(C124-SUM(D124:E124,G124:H124,I124,J124,K124:L124),"")</f>
        <v>0</v>
      </c>
      <c r="O124" s="71">
        <f ca="1">IFERROR(N124/(C124-D124-E124),0)</f>
        <v>0</v>
      </c>
      <c r="P124" s="70">
        <f>SUM(K124:L124)</f>
        <v>0</v>
      </c>
      <c r="Q124" s="71">
        <f ca="1">IFERROR(P124/(C124-D124-E124),0)</f>
        <v>0</v>
      </c>
      <c r="R124" s="70">
        <f>G124+H124+I124+J124</f>
        <v>0</v>
      </c>
      <c r="S124" s="71">
        <f ca="1">IFERROR(R124/(C124-D124-E124),0)</f>
        <v>0</v>
      </c>
      <c r="T124" s="51"/>
      <c r="U124" s="58"/>
      <c r="V124" s="58"/>
      <c r="W124" s="95"/>
      <c r="X124" s="52"/>
      <c r="Y124" s="70">
        <f ca="1">IFERROR(SUMIFS(OFFSET(确定审计范围!$B:$B,,MATCH(按工作类型的汇总报告!Y$9,确定审计范围!$9:$9,0)-2),确定审计范围!$C:$C,按工作类型的汇总报告!$B124),0)</f>
        <v>0</v>
      </c>
    </row>
    <row r="125" spans="2:25" ht="11.25" hidden="1" customHeight="1" x14ac:dyDescent="0.2">
      <c r="B125" s="112" t="str">
        <f>IF(确定审计范围!$C128="","",确定审计范围!$C128)</f>
        <v>故意隐藏</v>
      </c>
      <c r="C125" s="82">
        <f ca="1">IFERROR(SUMIFS(OFFSET(确定审计范围!$C:$C,,MATCH(按工作类型的汇总报告!C$9,确定审计范围!$8:$8,0)-3,,),确定审计范围!$C:$C,按工作类型的汇总报告!$B125),"")</f>
        <v>0</v>
      </c>
      <c r="D125" s="82">
        <f ca="1">IFERROR(SUMIFS(OFFSET(确定审计范围!$C:$C,,MATCH(按工作类型的汇总报告!D$9,确定审计范围!$8:$8,0)-3,,),确定审计范围!$C:$C,按工作类型的汇总报告!$B125),"")</f>
        <v>0</v>
      </c>
      <c r="E125" s="82">
        <f ca="1">IFERROR(SUMIFS(OFFSET(确定审计范围!$C:$C,,MATCH(按工作类型的汇总报告!E$9,确定审计范围!$8:$8,0)-3,,),确定审计范围!$C:$C,按工作类型的汇总报告!$B125),"")</f>
        <v>0</v>
      </c>
      <c r="F125" s="51"/>
      <c r="G125" s="82">
        <f>IFERROR(SUMIFS(确定审计范围!128:128,确定审计范围!$12:$12,按工作类型的汇总报告!G$9),"")</f>
        <v>0</v>
      </c>
      <c r="H125" s="82">
        <f>IFERROR(SUMIFS(确定审计范围!128:128,确定审计范围!$12:$12,按工作类型的汇总报告!H$9),"")</f>
        <v>0</v>
      </c>
      <c r="I125" s="7"/>
      <c r="J125" s="7"/>
      <c r="K125" s="82">
        <f>IFERROR(SUMIFS(确定审计范围!128:128,确定审计范围!$12:$12,按工作类型的汇总报告!K$9),"")</f>
        <v>0</v>
      </c>
      <c r="L125" s="82">
        <f>IFERROR(SUMIFS(确定审计范围!128:128,确定审计范围!$12:$12,按工作类型的汇总报告!L$9),"")</f>
        <v>0</v>
      </c>
      <c r="M125" s="51"/>
      <c r="N125" s="82"/>
      <c r="O125" s="83"/>
      <c r="P125" s="82"/>
      <c r="Q125" s="83">
        <f ca="1">IFERROR(P125/(C125-D125-E125),0)</f>
        <v>0</v>
      </c>
      <c r="R125" s="82">
        <f>G125+H125+I125+J125</f>
        <v>0</v>
      </c>
      <c r="S125" s="83">
        <f ca="1">IFERROR(R125/(C125-D125-E125),0)</f>
        <v>0</v>
      </c>
      <c r="T125" s="51"/>
      <c r="U125" s="64"/>
      <c r="V125" s="64"/>
      <c r="W125" s="101"/>
      <c r="X125" s="52"/>
      <c r="Y125" s="82">
        <f ca="1">IFERROR(SUMIFS(OFFSET(确定审计范围!$B:$B,,MATCH(按工作类型的汇总报告!Y$9,确定审计范围!$9:$9,0)-2),确定审计范围!$C:$C,按工作类型的汇总报告!$B125),0)</f>
        <v>0</v>
      </c>
    </row>
    <row r="126" spans="2:25" ht="12" thickBot="1" x14ac:dyDescent="0.25">
      <c r="B126" s="21" t="str">
        <f>IF(确定审计范围!$C129="","",确定审计范围!$C129)</f>
        <v>归属于母公司的净利润（亏损）</v>
      </c>
      <c r="C126" s="84">
        <f ca="1">IFERROR(SUMIFS(OFFSET(确定审计范围!$C:$C,,MATCH(按工作类型的汇总报告!C$9,确定审计范围!$8:$8,0)-3,,),确定审计范围!$C:$C,按工作类型的汇总报告!$B126),"")</f>
        <v>0</v>
      </c>
      <c r="D126" s="84">
        <f ca="1">IFERROR(SUMIFS(OFFSET(确定审计范围!$C:$C,,MATCH(按工作类型的汇总报告!D$9,确定审计范围!$8:$8,0)-3,,),确定审计范围!$C:$C,按工作类型的汇总报告!$B126),"")</f>
        <v>0</v>
      </c>
      <c r="E126" s="84">
        <f ca="1">IFERROR(SUMIFS(OFFSET(确定审计范围!$C:$C,,MATCH(按工作类型的汇总报告!E$9,确定审计范围!$8:$8,0)-3,,),确定审计范围!$C:$C,按工作类型的汇总报告!$B126),"")</f>
        <v>0</v>
      </c>
      <c r="F126" s="51"/>
      <c r="G126" s="84">
        <f>IFERROR(SUMIFS(确定审计范围!129:129,确定审计范围!$12:$12,按工作类型的汇总报告!G$9),"")</f>
        <v>0</v>
      </c>
      <c r="H126" s="84">
        <f>IFERROR(SUMIFS(确定审计范围!129:129,确定审计范围!$12:$12,按工作类型的汇总报告!H$9),"")</f>
        <v>0</v>
      </c>
      <c r="I126" s="42">
        <f>I122-SUM(I123:I125)</f>
        <v>0</v>
      </c>
      <c r="J126" s="42">
        <f>J122-SUM(J123:J125)</f>
        <v>0</v>
      </c>
      <c r="K126" s="84">
        <f>IFERROR(SUMIFS(确定审计范围!129:129,确定审计范围!$12:$12,按工作类型的汇总报告!K$9),"")</f>
        <v>0</v>
      </c>
      <c r="L126" s="84">
        <f>IFERROR(SUMIFS(确定审计范围!129:129,确定审计范围!$12:$12,按工作类型的汇总报告!L$9),"")</f>
        <v>0</v>
      </c>
      <c r="M126" s="51"/>
      <c r="N126" s="84">
        <f ca="1">IFERROR(C126-SUM(D126:E126,G126:H126,I126,J126,K126:L126),"")</f>
        <v>0</v>
      </c>
      <c r="O126" s="85">
        <f ca="1">IFERROR(N126/(C126-D126-E126),0)</f>
        <v>0</v>
      </c>
      <c r="P126" s="84">
        <f>SUM(K126:L126)</f>
        <v>0</v>
      </c>
      <c r="Q126" s="85">
        <f ca="1">IFERROR(P126/(C126-D126-E126),0)</f>
        <v>0</v>
      </c>
      <c r="R126" s="84">
        <f>G126+H126+I126+J126</f>
        <v>0</v>
      </c>
      <c r="S126" s="85">
        <f ca="1">IFERROR(R126/(C126-D126-E126),0)</f>
        <v>0</v>
      </c>
      <c r="T126" s="51"/>
      <c r="U126" s="65"/>
      <c r="V126" s="65"/>
      <c r="W126" s="102"/>
      <c r="X126" s="52"/>
      <c r="Y126" s="84">
        <f ca="1">IFERROR(SUMIFS(OFFSET(确定审计范围!$B:$B,,MATCH(按工作类型的汇总报告!Y$9,确定审计范围!$9:$9,0)-2),确定审计范围!$C:$C,按工作类型的汇总报告!$B126),0)</f>
        <v>0</v>
      </c>
    </row>
    <row r="127" spans="2:25" ht="12" thickTop="1" x14ac:dyDescent="0.2">
      <c r="C127" s="94"/>
      <c r="D127" s="55"/>
      <c r="E127" s="55"/>
      <c r="F127" s="51"/>
      <c r="G127" s="94"/>
      <c r="H127" s="94"/>
      <c r="I127" s="68"/>
      <c r="J127" s="68"/>
      <c r="K127" s="94"/>
      <c r="L127" s="94"/>
      <c r="M127" s="51"/>
      <c r="N127" s="94"/>
      <c r="O127" s="94"/>
      <c r="P127" s="94"/>
      <c r="Q127" s="94"/>
      <c r="R127" s="94"/>
      <c r="S127" s="94"/>
      <c r="T127" s="51"/>
      <c r="U127" s="57"/>
      <c r="V127" s="57"/>
      <c r="W127" s="52"/>
      <c r="X127" s="52"/>
      <c r="Y127" s="94"/>
    </row>
    <row r="128" spans="2:25" hidden="1" x14ac:dyDescent="0.2">
      <c r="B128" s="23" t="str">
        <f>IF(确定审计范围!$C131="","",确定审计范围!$C131)</f>
        <v/>
      </c>
      <c r="C128" s="70">
        <f ca="1">IFERROR(SUMIFS(OFFSET(确定审计范围!$C:$C,,MATCH(按工作类型的汇总报告!C$9,确定审计范围!$8:$8,0)-3,,),确定审计范围!$C:$C,按工作类型的汇总报告!$B128),"")</f>
        <v>0</v>
      </c>
      <c r="D128" s="70">
        <f ca="1">IFERROR(SUMIFS(OFFSET(确定审计范围!$C:$C,,MATCH(按工作类型的汇总报告!D$9,确定审计范围!$8:$8,0)-3,,),确定审计范围!$C:$C,按工作类型的汇总报告!$B128),"")</f>
        <v>0</v>
      </c>
      <c r="E128" s="70">
        <f ca="1">IFERROR(SUMIFS(OFFSET(确定审计范围!$C:$C,,MATCH(按工作类型的汇总报告!E$9,确定审计范围!$8:$8,0)-3,,),确定审计范围!$C:$C,按工作类型的汇总报告!$B128),"")</f>
        <v>0</v>
      </c>
      <c r="F128" s="51"/>
      <c r="G128" s="70">
        <f>IFERROR(SUMIFS(确定审计范围!131:131,确定审计范围!$12:$12,按工作类型的汇总报告!G$9),"")</f>
        <v>0</v>
      </c>
      <c r="H128" s="70">
        <f>IFERROR(SUMIFS(确定审计范围!131:131,确定审计范围!$12:$12,按工作类型的汇总报告!H$9),"")</f>
        <v>0</v>
      </c>
      <c r="I128" s="58"/>
      <c r="J128" s="58"/>
      <c r="K128" s="70">
        <f>IFERROR(SUMIFS(确定审计范围!131:131,确定审计范围!$12:$12,按工作类型的汇总报告!K$9),"")</f>
        <v>0</v>
      </c>
      <c r="L128" s="70">
        <f>IFERROR(SUMIFS(确定审计范围!131:131,确定审计范围!$12:$12,按工作类型的汇总报告!L$9),"")</f>
        <v>0</v>
      </c>
      <c r="M128" s="51"/>
      <c r="N128" s="70">
        <f ca="1">IFERROR(C128-SUM(D128:E128,G128:H128,I128,J128,K128:L128),"")</f>
        <v>0</v>
      </c>
      <c r="O128" s="71">
        <f ca="1">IFERROR(N128/(C128-D128-E128),0)</f>
        <v>0</v>
      </c>
      <c r="P128" s="70">
        <f>SUM(K128:L128)</f>
        <v>0</v>
      </c>
      <c r="Q128" s="71">
        <f ca="1">IFERROR(P128/(C128-D128-E128),0)</f>
        <v>0</v>
      </c>
      <c r="R128" s="70">
        <f>G128+H128+I128+J128</f>
        <v>0</v>
      </c>
      <c r="S128" s="71">
        <f ca="1">IFERROR(R128/(C128-D128-E128),0)</f>
        <v>0</v>
      </c>
      <c r="T128" s="51"/>
      <c r="U128" s="58"/>
      <c r="V128" s="58"/>
      <c r="W128" s="95"/>
      <c r="X128" s="52"/>
      <c r="Y128" s="70">
        <f ca="1">IFERROR(SUMIFS(OFFSET(确定审计范围!$B:$B,,MATCH(按工作类型的汇总报告!Y$9,确定审计范围!$9:$9,0)-2),确定审计范围!$C:$C,按工作类型的汇总报告!$B128),0)</f>
        <v>0</v>
      </c>
    </row>
    <row r="129" spans="3:24" x14ac:dyDescent="0.2">
      <c r="C129" s="48"/>
      <c r="D129" s="48"/>
      <c r="E129" s="48"/>
      <c r="G129" s="48"/>
      <c r="H129" s="48"/>
      <c r="I129" s="48"/>
      <c r="J129" s="48"/>
      <c r="K129" s="48"/>
      <c r="L129" s="48"/>
      <c r="N129" s="48"/>
      <c r="O129" s="48"/>
      <c r="P129" s="48"/>
      <c r="Q129" s="48"/>
      <c r="R129" s="48"/>
      <c r="S129" s="48"/>
      <c r="U129" s="48"/>
      <c r="V129" s="48"/>
      <c r="W129" s="48"/>
      <c r="X129" s="48"/>
    </row>
  </sheetData>
  <sheetProtection algorithmName="SHA-512" hashValue="IjdLHhlmHESc4U2fR7o71upMXAbOnowXhLvjOFFQRZMywiDPMhgc8QDGK3iOEUui7iTSEE8mrSut557HNQt0CA==" saltValue="SO44tLaO1cDCd+Pwrqfhjg==" spinCount="100000" sheet="1" objects="1" scenarios="1" formatCells="0" formatRows="0" insertRows="0" deleteRows="0"/>
  <mergeCells count="6">
    <mergeCell ref="C4:D4"/>
    <mergeCell ref="C5:D5"/>
    <mergeCell ref="U8:W8"/>
    <mergeCell ref="N5:O8"/>
    <mergeCell ref="P5:Q8"/>
    <mergeCell ref="R5:S8"/>
  </mergeCells>
  <phoneticPr fontId="29" type="noConversion"/>
  <dataValidations count="2">
    <dataValidation allowBlank="1" showInputMessage="1" showErrorMessage="1" prompt="The group engagement team may also refer to a separate workpaper that documents significant professional judgments, if any." sqref="W7" xr:uid="{00000000-0002-0000-0400-000000000000}"/>
    <dataValidation allowBlank="1" showInputMessage="1" showErrorMessage="1" prompt="Document the amounts that are in-scope by financial statement caption by entering the amounts manually or by summing the amounts from the applicable components using the columns to the right." sqref="I8:J8" xr:uid="{00000000-0002-0000-0400-000001000000}"/>
  </dataValidations>
  <pageMargins left="0.7" right="0.7" top="0.75" bottom="0.75" header="0.3" footer="0.3"/>
  <pageSetup orientation="portrait" r:id="rId1"/>
  <ignoredErrors>
    <ignoredError sqref="I23:J23 I38:J38" unlocked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ContentTranslation"/>
  <dimension ref="A3:B210"/>
  <sheetViews>
    <sheetView topLeftCell="A19" workbookViewId="0">
      <selection activeCell="B21" sqref="B21"/>
    </sheetView>
  </sheetViews>
  <sheetFormatPr defaultRowHeight="11.25" x14ac:dyDescent="0.2"/>
  <cols>
    <col min="1" max="1" width="80.33203125" style="154" customWidth="1"/>
    <col min="2" max="2" width="80.33203125" style="155" customWidth="1"/>
  </cols>
  <sheetData>
    <row r="3" spans="1:2" ht="14.25" x14ac:dyDescent="0.2">
      <c r="A3" s="157" t="s">
        <v>201</v>
      </c>
      <c r="B3" s="155" t="s">
        <v>2</v>
      </c>
    </row>
    <row r="4" spans="1:2" ht="108.75" x14ac:dyDescent="0.2">
      <c r="A4" s="157" t="s">
        <v>202</v>
      </c>
      <c r="B4" s="155" t="s">
        <v>3</v>
      </c>
    </row>
    <row r="5" spans="1:2" ht="14.25" x14ac:dyDescent="0.2">
      <c r="A5" s="157" t="s">
        <v>203</v>
      </c>
      <c r="B5" s="155" t="s">
        <v>4</v>
      </c>
    </row>
    <row r="6" spans="1:2" ht="14.25" x14ac:dyDescent="0.2">
      <c r="A6" s="158">
        <v>44348</v>
      </c>
      <c r="B6" s="156">
        <v>44348</v>
      </c>
    </row>
    <row r="7" spans="1:2" ht="14.25" x14ac:dyDescent="0.2">
      <c r="A7" s="157" t="s">
        <v>204</v>
      </c>
      <c r="B7" s="155" t="s">
        <v>5</v>
      </c>
    </row>
    <row r="8" spans="1:2" ht="45" x14ac:dyDescent="0.2">
      <c r="A8" s="157" t="s">
        <v>205</v>
      </c>
      <c r="B8" s="155" t="s">
        <v>6</v>
      </c>
    </row>
    <row r="9" spans="1:2" ht="68.25" x14ac:dyDescent="0.2">
      <c r="A9" s="157" t="s">
        <v>206</v>
      </c>
      <c r="B9" s="155" t="s">
        <v>7</v>
      </c>
    </row>
    <row r="10" spans="1:2" ht="14.25" x14ac:dyDescent="0.2">
      <c r="A10" s="157" t="s">
        <v>207</v>
      </c>
      <c r="B10" s="155" t="s">
        <v>8</v>
      </c>
    </row>
    <row r="11" spans="1:2" ht="14.25" x14ac:dyDescent="0.2">
      <c r="A11" s="157" t="s">
        <v>208</v>
      </c>
      <c r="B11" s="155" t="s">
        <v>9</v>
      </c>
    </row>
    <row r="12" spans="1:2" ht="14.25" x14ac:dyDescent="0.2">
      <c r="A12" s="157" t="s">
        <v>209</v>
      </c>
      <c r="B12" s="155" t="s">
        <v>10</v>
      </c>
    </row>
    <row r="13" spans="1:2" ht="14.25" x14ac:dyDescent="0.2">
      <c r="A13" s="157" t="s">
        <v>210</v>
      </c>
      <c r="B13" s="155" t="s">
        <v>11</v>
      </c>
    </row>
    <row r="14" spans="1:2" ht="14.25" x14ac:dyDescent="0.2">
      <c r="A14" s="157" t="s">
        <v>211</v>
      </c>
      <c r="B14" s="155" t="s">
        <v>12</v>
      </c>
    </row>
    <row r="15" spans="1:2" ht="41.25" x14ac:dyDescent="0.2">
      <c r="A15" s="157" t="s">
        <v>212</v>
      </c>
      <c r="B15" s="155" t="s">
        <v>13</v>
      </c>
    </row>
    <row r="16" spans="1:2" ht="81.75" x14ac:dyDescent="0.2">
      <c r="A16" s="157" t="s">
        <v>213</v>
      </c>
      <c r="B16" s="155" t="s">
        <v>14</v>
      </c>
    </row>
    <row r="17" spans="1:2" ht="56.25" x14ac:dyDescent="0.2">
      <c r="A17" s="157" t="s">
        <v>214</v>
      </c>
      <c r="B17" s="155" t="s">
        <v>15</v>
      </c>
    </row>
    <row r="18" spans="1:2" ht="68.25" x14ac:dyDescent="0.2">
      <c r="A18" s="157" t="s">
        <v>401</v>
      </c>
      <c r="B18" s="155" t="s">
        <v>389</v>
      </c>
    </row>
    <row r="19" spans="1:2" ht="14.25" x14ac:dyDescent="0.2">
      <c r="A19" s="157" t="s">
        <v>215</v>
      </c>
      <c r="B19" s="155" t="s">
        <v>16</v>
      </c>
    </row>
    <row r="20" spans="1:2" ht="123.75" x14ac:dyDescent="0.2">
      <c r="A20" s="157" t="s">
        <v>390</v>
      </c>
      <c r="B20" s="155" t="s">
        <v>17</v>
      </c>
    </row>
    <row r="21" spans="1:2" ht="122.25" x14ac:dyDescent="0.2">
      <c r="A21" s="157" t="s">
        <v>216</v>
      </c>
      <c r="B21" s="155" t="s">
        <v>18</v>
      </c>
    </row>
    <row r="22" spans="1:2" ht="14.25" x14ac:dyDescent="0.2">
      <c r="A22" s="157" t="s">
        <v>217</v>
      </c>
      <c r="B22" s="155" t="s">
        <v>19</v>
      </c>
    </row>
    <row r="23" spans="1:2" ht="270" x14ac:dyDescent="0.2">
      <c r="A23" s="157" t="s">
        <v>406</v>
      </c>
      <c r="B23" s="155" t="s">
        <v>20</v>
      </c>
    </row>
    <row r="24" spans="1:2" ht="135.75" x14ac:dyDescent="0.2">
      <c r="A24" s="157" t="s">
        <v>218</v>
      </c>
      <c r="B24" s="155" t="s">
        <v>21</v>
      </c>
    </row>
    <row r="25" spans="1:2" ht="258.75" x14ac:dyDescent="0.2">
      <c r="A25" s="157" t="s">
        <v>219</v>
      </c>
      <c r="B25" s="155" t="s">
        <v>22</v>
      </c>
    </row>
    <row r="26" spans="1:2" ht="176.25" x14ac:dyDescent="0.2">
      <c r="A26" s="157" t="s">
        <v>220</v>
      </c>
      <c r="B26" s="155" t="s">
        <v>23</v>
      </c>
    </row>
    <row r="27" spans="1:2" ht="101.25" x14ac:dyDescent="0.2">
      <c r="A27" s="157" t="s">
        <v>221</v>
      </c>
      <c r="B27" s="155" t="s">
        <v>24</v>
      </c>
    </row>
    <row r="28" spans="1:2" ht="281.25" x14ac:dyDescent="0.2">
      <c r="A28" s="157" t="s">
        <v>222</v>
      </c>
      <c r="B28" s="155" t="s">
        <v>25</v>
      </c>
    </row>
    <row r="29" spans="1:2" ht="216.75" x14ac:dyDescent="0.2">
      <c r="A29" s="157" t="s">
        <v>223</v>
      </c>
      <c r="B29" s="155" t="s">
        <v>26</v>
      </c>
    </row>
    <row r="30" spans="1:2" ht="14.25" x14ac:dyDescent="0.2">
      <c r="A30" s="157" t="s">
        <v>392</v>
      </c>
      <c r="B30" s="155" t="s">
        <v>391</v>
      </c>
    </row>
    <row r="31" spans="1:2" ht="68.25" x14ac:dyDescent="0.2">
      <c r="A31" s="157" t="s">
        <v>224</v>
      </c>
      <c r="B31" s="155" t="s">
        <v>27</v>
      </c>
    </row>
    <row r="32" spans="1:2" ht="68.25" x14ac:dyDescent="0.2">
      <c r="A32" s="157" t="s">
        <v>225</v>
      </c>
      <c r="B32" s="155" t="s">
        <v>28</v>
      </c>
    </row>
    <row r="33" spans="1:2" ht="14.25" x14ac:dyDescent="0.2">
      <c r="A33" s="157" t="s">
        <v>226</v>
      </c>
      <c r="B33" s="155" t="s">
        <v>29</v>
      </c>
    </row>
    <row r="34" spans="1:2" ht="14.25" x14ac:dyDescent="0.2">
      <c r="A34" s="157" t="s">
        <v>227</v>
      </c>
      <c r="B34" s="155" t="s">
        <v>30</v>
      </c>
    </row>
    <row r="35" spans="1:2" ht="14.25" x14ac:dyDescent="0.2">
      <c r="A35" s="157" t="s">
        <v>31</v>
      </c>
      <c r="B35" s="155" t="s">
        <v>31</v>
      </c>
    </row>
    <row r="36" spans="1:2" ht="14.25" x14ac:dyDescent="0.2">
      <c r="A36" s="157" t="s">
        <v>32</v>
      </c>
      <c r="B36" s="155" t="s">
        <v>32</v>
      </c>
    </row>
    <row r="37" spans="1:2" ht="14.25" x14ac:dyDescent="0.2">
      <c r="A37" s="157" t="s">
        <v>228</v>
      </c>
      <c r="B37" s="155" t="s">
        <v>33</v>
      </c>
    </row>
    <row r="38" spans="1:2" ht="14.25" x14ac:dyDescent="0.2">
      <c r="A38" s="157" t="s">
        <v>229</v>
      </c>
      <c r="B38" s="155" t="s">
        <v>34</v>
      </c>
    </row>
    <row r="39" spans="1:2" ht="14.25" x14ac:dyDescent="0.2">
      <c r="A39" s="157" t="s">
        <v>230</v>
      </c>
      <c r="B39" s="155" t="s">
        <v>35</v>
      </c>
    </row>
    <row r="40" spans="1:2" ht="14.25" x14ac:dyDescent="0.2">
      <c r="A40" s="157" t="s">
        <v>231</v>
      </c>
      <c r="B40" s="155" t="s">
        <v>36</v>
      </c>
    </row>
    <row r="41" spans="1:2" ht="14.25" x14ac:dyDescent="0.2">
      <c r="A41" s="157" t="s">
        <v>232</v>
      </c>
      <c r="B41" s="155" t="s">
        <v>37</v>
      </c>
    </row>
    <row r="42" spans="1:2" ht="14.25" x14ac:dyDescent="0.2">
      <c r="A42" s="157" t="s">
        <v>233</v>
      </c>
      <c r="B42" s="155" t="s">
        <v>38</v>
      </c>
    </row>
    <row r="43" spans="1:2" ht="14.25" x14ac:dyDescent="0.2">
      <c r="A43" s="157" t="s">
        <v>234</v>
      </c>
      <c r="B43" s="155" t="s">
        <v>39</v>
      </c>
    </row>
    <row r="44" spans="1:2" ht="22.5" x14ac:dyDescent="0.2">
      <c r="A44" s="157" t="s">
        <v>235</v>
      </c>
      <c r="B44" s="155" t="s">
        <v>40</v>
      </c>
    </row>
    <row r="45" spans="1:2" ht="22.5" x14ac:dyDescent="0.2">
      <c r="A45" s="157" t="s">
        <v>236</v>
      </c>
      <c r="B45" s="155" t="s">
        <v>41</v>
      </c>
    </row>
    <row r="46" spans="1:2" ht="14.25" x14ac:dyDescent="0.2">
      <c r="A46" s="157" t="s">
        <v>237</v>
      </c>
      <c r="B46" s="155" t="s">
        <v>42</v>
      </c>
    </row>
    <row r="47" spans="1:2" ht="14.25" x14ac:dyDescent="0.2">
      <c r="A47" s="157" t="s">
        <v>238</v>
      </c>
      <c r="B47" s="155" t="s">
        <v>43</v>
      </c>
    </row>
    <row r="48" spans="1:2" ht="14.25" x14ac:dyDescent="0.2">
      <c r="A48" s="157" t="s">
        <v>239</v>
      </c>
      <c r="B48" s="155" t="s">
        <v>44</v>
      </c>
    </row>
    <row r="49" spans="1:2" ht="14.25" x14ac:dyDescent="0.2">
      <c r="A49" s="157" t="s">
        <v>240</v>
      </c>
      <c r="B49" s="155" t="s">
        <v>45</v>
      </c>
    </row>
    <row r="50" spans="1:2" ht="14.25" x14ac:dyDescent="0.2">
      <c r="A50" s="157" t="s">
        <v>241</v>
      </c>
      <c r="B50" s="155" t="s">
        <v>46</v>
      </c>
    </row>
    <row r="51" spans="1:2" ht="14.25" x14ac:dyDescent="0.2">
      <c r="A51" s="157" t="s">
        <v>242</v>
      </c>
      <c r="B51" s="155" t="s">
        <v>47</v>
      </c>
    </row>
    <row r="52" spans="1:2" ht="14.25" x14ac:dyDescent="0.2">
      <c r="A52" s="157" t="s">
        <v>243</v>
      </c>
      <c r="B52" s="155" t="s">
        <v>48</v>
      </c>
    </row>
    <row r="53" spans="1:2" ht="14.25" x14ac:dyDescent="0.2">
      <c r="A53" s="157" t="s">
        <v>244</v>
      </c>
      <c r="B53" s="155" t="s">
        <v>49</v>
      </c>
    </row>
    <row r="54" spans="1:2" ht="14.25" x14ac:dyDescent="0.2">
      <c r="A54" s="157" t="s">
        <v>245</v>
      </c>
      <c r="B54" s="155" t="s">
        <v>50</v>
      </c>
    </row>
    <row r="55" spans="1:2" ht="14.25" x14ac:dyDescent="0.2">
      <c r="A55" s="157" t="s">
        <v>246</v>
      </c>
      <c r="B55" s="155" t="s">
        <v>51</v>
      </c>
    </row>
    <row r="56" spans="1:2" ht="14.25" x14ac:dyDescent="0.2">
      <c r="A56" s="157" t="s">
        <v>247</v>
      </c>
      <c r="B56" s="155" t="s">
        <v>52</v>
      </c>
    </row>
    <row r="57" spans="1:2" ht="14.25" x14ac:dyDescent="0.2">
      <c r="A57" s="157" t="s">
        <v>248</v>
      </c>
      <c r="B57" s="155" t="s">
        <v>53</v>
      </c>
    </row>
    <row r="58" spans="1:2" ht="14.25" x14ac:dyDescent="0.2">
      <c r="A58" s="157" t="s">
        <v>249</v>
      </c>
      <c r="B58" s="155" t="s">
        <v>54</v>
      </c>
    </row>
    <row r="59" spans="1:2" ht="14.25" x14ac:dyDescent="0.2">
      <c r="A59" s="157" t="s">
        <v>250</v>
      </c>
      <c r="B59" s="155" t="s">
        <v>55</v>
      </c>
    </row>
    <row r="60" spans="1:2" ht="14.25" x14ac:dyDescent="0.2">
      <c r="A60" s="157" t="s">
        <v>251</v>
      </c>
      <c r="B60" s="155" t="s">
        <v>56</v>
      </c>
    </row>
    <row r="61" spans="1:2" ht="14.25" x14ac:dyDescent="0.2">
      <c r="A61" s="157" t="s">
        <v>252</v>
      </c>
      <c r="B61" s="155" t="s">
        <v>57</v>
      </c>
    </row>
    <row r="62" spans="1:2" ht="14.25" x14ac:dyDescent="0.2">
      <c r="A62" s="157" t="s">
        <v>253</v>
      </c>
      <c r="B62" s="155" t="s">
        <v>58</v>
      </c>
    </row>
    <row r="63" spans="1:2" ht="14.25" x14ac:dyDescent="0.2">
      <c r="A63" s="157" t="s">
        <v>254</v>
      </c>
      <c r="B63" s="155" t="s">
        <v>59</v>
      </c>
    </row>
    <row r="64" spans="1:2" ht="14.25" x14ac:dyDescent="0.2">
      <c r="A64" s="157" t="s">
        <v>255</v>
      </c>
      <c r="B64" s="155" t="s">
        <v>60</v>
      </c>
    </row>
    <row r="65" spans="1:2" ht="14.25" x14ac:dyDescent="0.2">
      <c r="A65" s="157" t="s">
        <v>256</v>
      </c>
      <c r="B65" s="155" t="s">
        <v>61</v>
      </c>
    </row>
    <row r="66" spans="1:2" ht="14.25" x14ac:dyDescent="0.2">
      <c r="A66" s="157" t="s">
        <v>257</v>
      </c>
      <c r="B66" s="155" t="s">
        <v>62</v>
      </c>
    </row>
    <row r="67" spans="1:2" ht="14.25" x14ac:dyDescent="0.2">
      <c r="A67" s="157" t="s">
        <v>258</v>
      </c>
      <c r="B67" s="155" t="s">
        <v>63</v>
      </c>
    </row>
    <row r="68" spans="1:2" ht="14.25" x14ac:dyDescent="0.2">
      <c r="A68" s="157" t="s">
        <v>259</v>
      </c>
      <c r="B68" s="155" t="s">
        <v>64</v>
      </c>
    </row>
    <row r="69" spans="1:2" ht="14.25" x14ac:dyDescent="0.2">
      <c r="A69" s="157" t="s">
        <v>260</v>
      </c>
      <c r="B69" s="155" t="s">
        <v>65</v>
      </c>
    </row>
    <row r="70" spans="1:2" ht="14.25" x14ac:dyDescent="0.2">
      <c r="A70" s="157" t="s">
        <v>261</v>
      </c>
      <c r="B70" s="155" t="s">
        <v>66</v>
      </c>
    </row>
    <row r="71" spans="1:2" ht="14.25" x14ac:dyDescent="0.2">
      <c r="A71" s="157" t="s">
        <v>262</v>
      </c>
      <c r="B71" s="155" t="s">
        <v>67</v>
      </c>
    </row>
    <row r="72" spans="1:2" ht="14.25" x14ac:dyDescent="0.2">
      <c r="A72" s="157" t="s">
        <v>263</v>
      </c>
      <c r="B72" s="155" t="s">
        <v>68</v>
      </c>
    </row>
    <row r="73" spans="1:2" ht="14.25" x14ac:dyDescent="0.2">
      <c r="A73" s="157" t="s">
        <v>264</v>
      </c>
      <c r="B73" s="155" t="s">
        <v>69</v>
      </c>
    </row>
    <row r="74" spans="1:2" ht="14.25" x14ac:dyDescent="0.2">
      <c r="A74" s="157" t="s">
        <v>265</v>
      </c>
      <c r="B74" s="155" t="s">
        <v>70</v>
      </c>
    </row>
    <row r="75" spans="1:2" ht="14.25" x14ac:dyDescent="0.2">
      <c r="A75" s="157" t="s">
        <v>266</v>
      </c>
      <c r="B75" s="155" t="s">
        <v>71</v>
      </c>
    </row>
    <row r="76" spans="1:2" ht="14.25" x14ac:dyDescent="0.2">
      <c r="A76" s="157" t="s">
        <v>267</v>
      </c>
      <c r="B76" s="155" t="s">
        <v>72</v>
      </c>
    </row>
    <row r="77" spans="1:2" ht="14.25" x14ac:dyDescent="0.2">
      <c r="A77" s="157" t="s">
        <v>268</v>
      </c>
      <c r="B77" s="155" t="s">
        <v>73</v>
      </c>
    </row>
    <row r="78" spans="1:2" ht="14.25" x14ac:dyDescent="0.2">
      <c r="A78" s="157" t="s">
        <v>269</v>
      </c>
      <c r="B78" s="155" t="s">
        <v>74</v>
      </c>
    </row>
    <row r="79" spans="1:2" ht="14.25" x14ac:dyDescent="0.2">
      <c r="A79" s="157" t="s">
        <v>270</v>
      </c>
      <c r="B79" s="155" t="s">
        <v>75</v>
      </c>
    </row>
    <row r="80" spans="1:2" ht="14.25" x14ac:dyDescent="0.2">
      <c r="A80" s="157" t="s">
        <v>271</v>
      </c>
      <c r="B80" s="155" t="s">
        <v>76</v>
      </c>
    </row>
    <row r="81" spans="1:2" ht="14.25" x14ac:dyDescent="0.2">
      <c r="A81" s="157" t="s">
        <v>272</v>
      </c>
      <c r="B81" s="155" t="s">
        <v>77</v>
      </c>
    </row>
    <row r="82" spans="1:2" ht="14.25" x14ac:dyDescent="0.2">
      <c r="A82" s="157" t="s">
        <v>273</v>
      </c>
      <c r="B82" s="155" t="s">
        <v>78</v>
      </c>
    </row>
    <row r="83" spans="1:2" ht="14.25" x14ac:dyDescent="0.2">
      <c r="A83" s="157" t="s">
        <v>274</v>
      </c>
      <c r="B83" s="155" t="s">
        <v>79</v>
      </c>
    </row>
    <row r="84" spans="1:2" ht="14.25" x14ac:dyDescent="0.2">
      <c r="A84" s="157" t="s">
        <v>275</v>
      </c>
      <c r="B84" s="155" t="s">
        <v>80</v>
      </c>
    </row>
    <row r="85" spans="1:2" ht="14.25" x14ac:dyDescent="0.2">
      <c r="A85" s="157" t="s">
        <v>276</v>
      </c>
      <c r="B85" s="155" t="s">
        <v>81</v>
      </c>
    </row>
    <row r="86" spans="1:2" ht="14.25" x14ac:dyDescent="0.2">
      <c r="A86" s="157" t="s">
        <v>277</v>
      </c>
      <c r="B86" s="155" t="s">
        <v>82</v>
      </c>
    </row>
    <row r="87" spans="1:2" ht="14.25" x14ac:dyDescent="0.2">
      <c r="A87" s="157" t="s">
        <v>278</v>
      </c>
      <c r="B87" s="155" t="s">
        <v>83</v>
      </c>
    </row>
    <row r="88" spans="1:2" ht="14.25" x14ac:dyDescent="0.2">
      <c r="A88" s="157" t="s">
        <v>279</v>
      </c>
      <c r="B88" s="155" t="s">
        <v>84</v>
      </c>
    </row>
    <row r="89" spans="1:2" ht="14.25" x14ac:dyDescent="0.2">
      <c r="A89" s="157" t="s">
        <v>280</v>
      </c>
      <c r="B89" s="155" t="s">
        <v>85</v>
      </c>
    </row>
    <row r="90" spans="1:2" ht="14.25" x14ac:dyDescent="0.2">
      <c r="A90" s="157" t="s">
        <v>281</v>
      </c>
      <c r="B90" s="155" t="s">
        <v>86</v>
      </c>
    </row>
    <row r="91" spans="1:2" ht="14.25" x14ac:dyDescent="0.2">
      <c r="A91" s="157" t="s">
        <v>282</v>
      </c>
      <c r="B91" s="155" t="s">
        <v>87</v>
      </c>
    </row>
    <row r="92" spans="1:2" ht="14.25" x14ac:dyDescent="0.2">
      <c r="A92" s="157" t="s">
        <v>283</v>
      </c>
      <c r="B92" s="155" t="s">
        <v>88</v>
      </c>
    </row>
    <row r="93" spans="1:2" ht="14.25" x14ac:dyDescent="0.2">
      <c r="A93" s="157" t="s">
        <v>284</v>
      </c>
      <c r="B93" s="155" t="s">
        <v>89</v>
      </c>
    </row>
    <row r="94" spans="1:2" ht="14.25" x14ac:dyDescent="0.2">
      <c r="A94" s="157" t="s">
        <v>285</v>
      </c>
      <c r="B94" s="155" t="s">
        <v>90</v>
      </c>
    </row>
    <row r="95" spans="1:2" ht="14.25" x14ac:dyDescent="0.2">
      <c r="A95" s="157" t="s">
        <v>286</v>
      </c>
      <c r="B95" s="155" t="s">
        <v>91</v>
      </c>
    </row>
    <row r="96" spans="1:2" ht="14.25" x14ac:dyDescent="0.2">
      <c r="A96" s="157" t="s">
        <v>287</v>
      </c>
      <c r="B96" s="155" t="s">
        <v>92</v>
      </c>
    </row>
    <row r="97" spans="1:2" ht="14.25" x14ac:dyDescent="0.2">
      <c r="A97" s="157" t="s">
        <v>288</v>
      </c>
      <c r="B97" s="155" t="s">
        <v>93</v>
      </c>
    </row>
    <row r="98" spans="1:2" ht="14.25" x14ac:dyDescent="0.2">
      <c r="A98" s="157" t="s">
        <v>289</v>
      </c>
      <c r="B98" s="155" t="s">
        <v>94</v>
      </c>
    </row>
    <row r="99" spans="1:2" ht="14.25" x14ac:dyDescent="0.2">
      <c r="A99" s="157" t="s">
        <v>290</v>
      </c>
      <c r="B99" s="155" t="s">
        <v>95</v>
      </c>
    </row>
    <row r="100" spans="1:2" ht="14.25" x14ac:dyDescent="0.2">
      <c r="A100" s="157" t="s">
        <v>291</v>
      </c>
      <c r="B100" s="155" t="s">
        <v>96</v>
      </c>
    </row>
    <row r="101" spans="1:2" ht="14.25" x14ac:dyDescent="0.2">
      <c r="A101" s="157" t="s">
        <v>292</v>
      </c>
      <c r="B101" s="155" t="s">
        <v>97</v>
      </c>
    </row>
    <row r="102" spans="1:2" ht="14.25" x14ac:dyDescent="0.2">
      <c r="A102" s="157" t="s">
        <v>293</v>
      </c>
      <c r="B102" s="155" t="s">
        <v>98</v>
      </c>
    </row>
    <row r="103" spans="1:2" ht="14.25" x14ac:dyDescent="0.2">
      <c r="A103" s="157" t="s">
        <v>294</v>
      </c>
      <c r="B103" s="155" t="s">
        <v>99</v>
      </c>
    </row>
    <row r="104" spans="1:2" ht="14.25" x14ac:dyDescent="0.2">
      <c r="A104" s="157" t="s">
        <v>295</v>
      </c>
      <c r="B104" s="155" t="s">
        <v>100</v>
      </c>
    </row>
    <row r="105" spans="1:2" ht="14.25" x14ac:dyDescent="0.2">
      <c r="A105" s="157" t="s">
        <v>296</v>
      </c>
      <c r="B105" s="155" t="s">
        <v>101</v>
      </c>
    </row>
    <row r="106" spans="1:2" ht="14.25" x14ac:dyDescent="0.2">
      <c r="A106" s="157" t="s">
        <v>297</v>
      </c>
      <c r="B106" s="155" t="s">
        <v>102</v>
      </c>
    </row>
    <row r="107" spans="1:2" ht="14.25" x14ac:dyDescent="0.2">
      <c r="A107" s="157" t="s">
        <v>298</v>
      </c>
      <c r="B107" s="155" t="s">
        <v>103</v>
      </c>
    </row>
    <row r="108" spans="1:2" ht="14.25" x14ac:dyDescent="0.2">
      <c r="A108" s="157" t="s">
        <v>299</v>
      </c>
      <c r="B108" s="155" t="s">
        <v>104</v>
      </c>
    </row>
    <row r="109" spans="1:2" ht="14.25" x14ac:dyDescent="0.2">
      <c r="A109" s="157" t="s">
        <v>300</v>
      </c>
      <c r="B109" s="155" t="s">
        <v>105</v>
      </c>
    </row>
    <row r="110" spans="1:2" ht="14.25" x14ac:dyDescent="0.2">
      <c r="A110" s="157" t="s">
        <v>301</v>
      </c>
      <c r="B110" s="155" t="s">
        <v>106</v>
      </c>
    </row>
    <row r="111" spans="1:2" ht="14.25" x14ac:dyDescent="0.2">
      <c r="A111" s="157" t="s">
        <v>302</v>
      </c>
      <c r="B111" s="155" t="s">
        <v>107</v>
      </c>
    </row>
    <row r="112" spans="1:2" ht="14.25" x14ac:dyDescent="0.2">
      <c r="A112" s="157" t="s">
        <v>303</v>
      </c>
      <c r="B112" s="155" t="s">
        <v>108</v>
      </c>
    </row>
    <row r="113" spans="1:2" ht="14.25" x14ac:dyDescent="0.2">
      <c r="A113" s="157" t="s">
        <v>304</v>
      </c>
      <c r="B113" s="155" t="s">
        <v>109</v>
      </c>
    </row>
    <row r="114" spans="1:2" ht="14.25" x14ac:dyDescent="0.2">
      <c r="A114" s="157" t="s">
        <v>305</v>
      </c>
      <c r="B114" s="155" t="s">
        <v>110</v>
      </c>
    </row>
    <row r="115" spans="1:2" ht="14.25" x14ac:dyDescent="0.2">
      <c r="A115" s="157" t="s">
        <v>306</v>
      </c>
      <c r="B115" s="155" t="s">
        <v>111</v>
      </c>
    </row>
    <row r="116" spans="1:2" ht="14.25" x14ac:dyDescent="0.2">
      <c r="A116" s="157" t="s">
        <v>307</v>
      </c>
      <c r="B116" s="155" t="s">
        <v>112</v>
      </c>
    </row>
    <row r="117" spans="1:2" ht="14.25" x14ac:dyDescent="0.2">
      <c r="A117" s="157" t="s">
        <v>308</v>
      </c>
      <c r="B117" s="155" t="s">
        <v>113</v>
      </c>
    </row>
    <row r="118" spans="1:2" ht="14.25" x14ac:dyDescent="0.2">
      <c r="A118" s="157" t="s">
        <v>309</v>
      </c>
      <c r="B118" s="155" t="s">
        <v>114</v>
      </c>
    </row>
    <row r="119" spans="1:2" ht="14.25" x14ac:dyDescent="0.2">
      <c r="A119" s="157" t="s">
        <v>310</v>
      </c>
      <c r="B119" s="155" t="s">
        <v>115</v>
      </c>
    </row>
    <row r="120" spans="1:2" ht="14.25" x14ac:dyDescent="0.2">
      <c r="A120" s="157" t="s">
        <v>311</v>
      </c>
      <c r="B120" s="155" t="s">
        <v>116</v>
      </c>
    </row>
    <row r="121" spans="1:2" ht="14.25" x14ac:dyDescent="0.2">
      <c r="A121" s="157" t="s">
        <v>312</v>
      </c>
      <c r="B121" s="155" t="s">
        <v>117</v>
      </c>
    </row>
    <row r="122" spans="1:2" ht="14.25" x14ac:dyDescent="0.2">
      <c r="A122" s="157" t="s">
        <v>313</v>
      </c>
      <c r="B122" s="155" t="s">
        <v>118</v>
      </c>
    </row>
    <row r="123" spans="1:2" ht="14.25" x14ac:dyDescent="0.2">
      <c r="A123" s="157" t="s">
        <v>314</v>
      </c>
      <c r="B123" s="155" t="s">
        <v>119</v>
      </c>
    </row>
    <row r="124" spans="1:2" ht="14.25" x14ac:dyDescent="0.2">
      <c r="A124" s="157" t="s">
        <v>315</v>
      </c>
      <c r="B124" s="155" t="s">
        <v>120</v>
      </c>
    </row>
    <row r="125" spans="1:2" ht="14.25" x14ac:dyDescent="0.2">
      <c r="A125" s="157" t="s">
        <v>316</v>
      </c>
      <c r="B125" s="155" t="s">
        <v>121</v>
      </c>
    </row>
    <row r="126" spans="1:2" ht="14.25" x14ac:dyDescent="0.2">
      <c r="A126" s="157" t="s">
        <v>317</v>
      </c>
      <c r="B126" s="155" t="s">
        <v>393</v>
      </c>
    </row>
    <row r="127" spans="1:2" ht="14.25" x14ac:dyDescent="0.2">
      <c r="A127" s="157" t="s">
        <v>318</v>
      </c>
      <c r="B127" s="155" t="s">
        <v>122</v>
      </c>
    </row>
    <row r="128" spans="1:2" ht="14.25" x14ac:dyDescent="0.2">
      <c r="A128" s="157" t="s">
        <v>319</v>
      </c>
      <c r="B128" s="155" t="s">
        <v>123</v>
      </c>
    </row>
    <row r="129" spans="1:2" ht="14.25" x14ac:dyDescent="0.2">
      <c r="A129" s="157" t="s">
        <v>320</v>
      </c>
      <c r="B129" s="155" t="s">
        <v>124</v>
      </c>
    </row>
    <row r="130" spans="1:2" ht="14.25" x14ac:dyDescent="0.2">
      <c r="A130" s="157" t="s">
        <v>321</v>
      </c>
      <c r="B130" s="155" t="s">
        <v>125</v>
      </c>
    </row>
    <row r="131" spans="1:2" ht="14.25" x14ac:dyDescent="0.2">
      <c r="A131" s="157" t="s">
        <v>394</v>
      </c>
      <c r="B131" s="155" t="s">
        <v>126</v>
      </c>
    </row>
    <row r="132" spans="1:2" ht="14.25" x14ac:dyDescent="0.2">
      <c r="A132" s="157" t="s">
        <v>322</v>
      </c>
      <c r="B132" s="155" t="s">
        <v>127</v>
      </c>
    </row>
    <row r="133" spans="1:2" ht="14.25" x14ac:dyDescent="0.2">
      <c r="A133" s="157" t="s">
        <v>323</v>
      </c>
      <c r="B133" s="155" t="s">
        <v>128</v>
      </c>
    </row>
    <row r="134" spans="1:2" ht="14.25" x14ac:dyDescent="0.2">
      <c r="A134" s="157" t="s">
        <v>324</v>
      </c>
      <c r="B134" s="155" t="s">
        <v>129</v>
      </c>
    </row>
    <row r="135" spans="1:2" ht="14.25" x14ac:dyDescent="0.2">
      <c r="A135" s="157" t="s">
        <v>325</v>
      </c>
      <c r="B135" s="155" t="s">
        <v>130</v>
      </c>
    </row>
    <row r="136" spans="1:2" ht="14.25" x14ac:dyDescent="0.2">
      <c r="A136" s="157" t="s">
        <v>326</v>
      </c>
      <c r="B136" s="155" t="s">
        <v>131</v>
      </c>
    </row>
    <row r="137" spans="1:2" ht="14.25" x14ac:dyDescent="0.2">
      <c r="A137" s="157" t="s">
        <v>327</v>
      </c>
      <c r="B137" s="155" t="s">
        <v>132</v>
      </c>
    </row>
    <row r="138" spans="1:2" ht="14.25" x14ac:dyDescent="0.2">
      <c r="A138" s="157" t="s">
        <v>328</v>
      </c>
      <c r="B138" s="155" t="s">
        <v>133</v>
      </c>
    </row>
    <row r="139" spans="1:2" ht="14.25" x14ac:dyDescent="0.2">
      <c r="A139" s="157" t="s">
        <v>329</v>
      </c>
      <c r="B139" s="155" t="s">
        <v>134</v>
      </c>
    </row>
    <row r="140" spans="1:2" ht="14.25" x14ac:dyDescent="0.2">
      <c r="A140" s="157" t="s">
        <v>330</v>
      </c>
      <c r="B140" s="155" t="s">
        <v>135</v>
      </c>
    </row>
    <row r="141" spans="1:2" ht="14.25" x14ac:dyDescent="0.2">
      <c r="A141" s="157" t="s">
        <v>331</v>
      </c>
      <c r="B141" s="155" t="s">
        <v>136</v>
      </c>
    </row>
    <row r="142" spans="1:2" ht="14.25" x14ac:dyDescent="0.2">
      <c r="A142" s="157" t="s">
        <v>332</v>
      </c>
      <c r="B142" s="155" t="s">
        <v>137</v>
      </c>
    </row>
    <row r="143" spans="1:2" ht="14.25" x14ac:dyDescent="0.2">
      <c r="A143" s="157" t="s">
        <v>333</v>
      </c>
      <c r="B143" s="155" t="s">
        <v>138</v>
      </c>
    </row>
    <row r="144" spans="1:2" ht="14.25" x14ac:dyDescent="0.2">
      <c r="A144" s="157" t="s">
        <v>334</v>
      </c>
      <c r="B144" s="155" t="s">
        <v>139</v>
      </c>
    </row>
    <row r="145" spans="1:2" ht="14.25" x14ac:dyDescent="0.2">
      <c r="A145" s="157" t="s">
        <v>228</v>
      </c>
      <c r="B145" s="155" t="s">
        <v>140</v>
      </c>
    </row>
    <row r="146" spans="1:2" ht="14.25" x14ac:dyDescent="0.2">
      <c r="A146" s="157" t="s">
        <v>335</v>
      </c>
      <c r="B146" s="155" t="s">
        <v>141</v>
      </c>
    </row>
    <row r="147" spans="1:2" ht="14.25" x14ac:dyDescent="0.2">
      <c r="A147" s="157" t="s">
        <v>336</v>
      </c>
      <c r="B147" s="155" t="s">
        <v>142</v>
      </c>
    </row>
    <row r="148" spans="1:2" ht="14.25" x14ac:dyDescent="0.2">
      <c r="A148" s="157" t="s">
        <v>337</v>
      </c>
      <c r="B148" s="155" t="s">
        <v>143</v>
      </c>
    </row>
    <row r="149" spans="1:2" ht="14.25" x14ac:dyDescent="0.2">
      <c r="A149" s="157" t="s">
        <v>338</v>
      </c>
      <c r="B149" s="155" t="s">
        <v>144</v>
      </c>
    </row>
    <row r="150" spans="1:2" ht="14.25" x14ac:dyDescent="0.2">
      <c r="A150" s="157" t="s">
        <v>339</v>
      </c>
      <c r="B150" s="155" t="s">
        <v>145</v>
      </c>
    </row>
    <row r="151" spans="1:2" ht="14.25" x14ac:dyDescent="0.2">
      <c r="A151" s="157" t="s">
        <v>340</v>
      </c>
      <c r="B151" s="155" t="s">
        <v>146</v>
      </c>
    </row>
    <row r="152" spans="1:2" ht="14.25" x14ac:dyDescent="0.2">
      <c r="A152" s="157" t="s">
        <v>341</v>
      </c>
      <c r="B152" s="155" t="s">
        <v>147</v>
      </c>
    </row>
    <row r="153" spans="1:2" ht="14.25" x14ac:dyDescent="0.2">
      <c r="A153" s="157" t="s">
        <v>342</v>
      </c>
      <c r="B153" s="155" t="s">
        <v>148</v>
      </c>
    </row>
    <row r="154" spans="1:2" ht="14.25" x14ac:dyDescent="0.2">
      <c r="A154" s="157" t="s">
        <v>343</v>
      </c>
      <c r="B154" s="155" t="s">
        <v>149</v>
      </c>
    </row>
    <row r="155" spans="1:2" ht="14.25" x14ac:dyDescent="0.2">
      <c r="A155" s="157" t="s">
        <v>344</v>
      </c>
      <c r="B155" s="155" t="s">
        <v>150</v>
      </c>
    </row>
    <row r="156" spans="1:2" ht="14.25" x14ac:dyDescent="0.2">
      <c r="A156" s="157" t="s">
        <v>345</v>
      </c>
      <c r="B156" s="155" t="s">
        <v>151</v>
      </c>
    </row>
    <row r="157" spans="1:2" ht="14.25" x14ac:dyDescent="0.2">
      <c r="A157" s="157" t="s">
        <v>346</v>
      </c>
      <c r="B157" s="155" t="s">
        <v>152</v>
      </c>
    </row>
    <row r="158" spans="1:2" ht="14.25" x14ac:dyDescent="0.2">
      <c r="A158" s="157" t="s">
        <v>347</v>
      </c>
      <c r="B158" s="155" t="s">
        <v>1</v>
      </c>
    </row>
    <row r="159" spans="1:2" ht="14.25" x14ac:dyDescent="0.2">
      <c r="A159" s="157" t="s">
        <v>348</v>
      </c>
      <c r="B159" s="155" t="s">
        <v>0</v>
      </c>
    </row>
    <row r="160" spans="1:2" ht="14.25" x14ac:dyDescent="0.2">
      <c r="A160" s="157" t="s">
        <v>395</v>
      </c>
      <c r="B160" s="155" t="s">
        <v>153</v>
      </c>
    </row>
    <row r="161" spans="1:2" ht="27.75" x14ac:dyDescent="0.2">
      <c r="A161" s="157" t="s">
        <v>349</v>
      </c>
      <c r="B161" s="155" t="s">
        <v>154</v>
      </c>
    </row>
    <row r="162" spans="1:2" ht="14.25" x14ac:dyDescent="0.2">
      <c r="A162" s="157" t="s">
        <v>397</v>
      </c>
      <c r="B162" s="155" t="s">
        <v>396</v>
      </c>
    </row>
    <row r="163" spans="1:2" ht="27.75" x14ac:dyDescent="0.2">
      <c r="A163" s="157" t="s">
        <v>350</v>
      </c>
      <c r="B163" s="155" t="s">
        <v>155</v>
      </c>
    </row>
    <row r="164" spans="1:2" ht="14.25" x14ac:dyDescent="0.2">
      <c r="A164" s="157" t="s">
        <v>398</v>
      </c>
      <c r="B164" s="155" t="s">
        <v>156</v>
      </c>
    </row>
    <row r="165" spans="1:2" ht="14.25" x14ac:dyDescent="0.2">
      <c r="A165" s="157" t="s">
        <v>351</v>
      </c>
      <c r="B165" s="155" t="s">
        <v>157</v>
      </c>
    </row>
    <row r="166" spans="1:2" ht="14.25" x14ac:dyDescent="0.2">
      <c r="A166" s="157" t="s">
        <v>403</v>
      </c>
      <c r="B166" s="155" t="s">
        <v>158</v>
      </c>
    </row>
    <row r="167" spans="1:2" ht="14.25" x14ac:dyDescent="0.2">
      <c r="A167" s="157" t="s">
        <v>352</v>
      </c>
      <c r="B167" s="155" t="s">
        <v>159</v>
      </c>
    </row>
    <row r="168" spans="1:2" ht="14.25" x14ac:dyDescent="0.2">
      <c r="A168" s="157" t="s">
        <v>353</v>
      </c>
      <c r="B168" s="155" t="s">
        <v>160</v>
      </c>
    </row>
    <row r="169" spans="1:2" ht="14.25" x14ac:dyDescent="0.2">
      <c r="A169" s="157" t="s">
        <v>354</v>
      </c>
      <c r="B169" s="155" t="s">
        <v>161</v>
      </c>
    </row>
    <row r="170" spans="1:2" ht="14.25" x14ac:dyDescent="0.2">
      <c r="A170" s="157" t="s">
        <v>355</v>
      </c>
      <c r="B170" s="155" t="s">
        <v>162</v>
      </c>
    </row>
    <row r="171" spans="1:2" ht="14.25" x14ac:dyDescent="0.2">
      <c r="A171" s="157" t="s">
        <v>356</v>
      </c>
      <c r="B171" s="155" t="s">
        <v>163</v>
      </c>
    </row>
    <row r="172" spans="1:2" ht="14.25" x14ac:dyDescent="0.2">
      <c r="A172" s="157" t="s">
        <v>357</v>
      </c>
      <c r="B172" s="155" t="s">
        <v>164</v>
      </c>
    </row>
    <row r="173" spans="1:2" ht="22.5" x14ac:dyDescent="0.2">
      <c r="A173" s="157" t="s">
        <v>358</v>
      </c>
      <c r="B173" s="155" t="s">
        <v>165</v>
      </c>
    </row>
    <row r="174" spans="1:2" ht="22.5" x14ac:dyDescent="0.2">
      <c r="A174" s="157" t="s">
        <v>359</v>
      </c>
      <c r="B174" s="155" t="s">
        <v>166</v>
      </c>
    </row>
    <row r="175" spans="1:2" ht="14.25" x14ac:dyDescent="0.2">
      <c r="A175" s="157" t="s">
        <v>360</v>
      </c>
      <c r="B175" s="155" t="s">
        <v>167</v>
      </c>
    </row>
    <row r="176" spans="1:2" ht="14.25" x14ac:dyDescent="0.2">
      <c r="A176" s="157" t="s">
        <v>361</v>
      </c>
      <c r="B176" s="155" t="s">
        <v>168</v>
      </c>
    </row>
    <row r="177" spans="1:2" ht="14.25" x14ac:dyDescent="0.2">
      <c r="A177" s="157" t="s">
        <v>362</v>
      </c>
      <c r="B177" s="155" t="s">
        <v>169</v>
      </c>
    </row>
    <row r="178" spans="1:2" ht="14.25" x14ac:dyDescent="0.2">
      <c r="A178" s="157" t="s">
        <v>363</v>
      </c>
      <c r="B178" s="155" t="s">
        <v>170</v>
      </c>
    </row>
    <row r="179" spans="1:2" ht="14.25" x14ac:dyDescent="0.2">
      <c r="A179" s="157" t="s">
        <v>364</v>
      </c>
      <c r="B179" s="155" t="s">
        <v>171</v>
      </c>
    </row>
    <row r="180" spans="1:2" ht="14.25" x14ac:dyDescent="0.2">
      <c r="A180" s="157" t="s">
        <v>365</v>
      </c>
      <c r="B180" s="155" t="s">
        <v>172</v>
      </c>
    </row>
    <row r="181" spans="1:2" ht="14.25" x14ac:dyDescent="0.2">
      <c r="A181" s="157" t="s">
        <v>366</v>
      </c>
      <c r="B181" s="155" t="s">
        <v>173</v>
      </c>
    </row>
    <row r="182" spans="1:2" ht="14.25" x14ac:dyDescent="0.2">
      <c r="A182" s="157" t="s">
        <v>367</v>
      </c>
      <c r="B182" s="155" t="s">
        <v>174</v>
      </c>
    </row>
    <row r="183" spans="1:2" ht="14.25" x14ac:dyDescent="0.2">
      <c r="A183" s="157" t="s">
        <v>333</v>
      </c>
      <c r="B183" s="155" t="s">
        <v>175</v>
      </c>
    </row>
    <row r="184" spans="1:2" ht="14.25" x14ac:dyDescent="0.2">
      <c r="A184" s="157" t="s">
        <v>368</v>
      </c>
      <c r="B184" s="155" t="s">
        <v>176</v>
      </c>
    </row>
    <row r="185" spans="1:2" ht="14.25" x14ac:dyDescent="0.2">
      <c r="A185" s="157" t="s">
        <v>399</v>
      </c>
      <c r="B185" s="155" t="s">
        <v>177</v>
      </c>
    </row>
    <row r="186" spans="1:2" ht="14.25" x14ac:dyDescent="0.2">
      <c r="A186" s="158">
        <v>44136</v>
      </c>
      <c r="B186" s="156">
        <v>44136</v>
      </c>
    </row>
    <row r="187" spans="1:2" ht="22.5" x14ac:dyDescent="0.2">
      <c r="A187" s="157" t="s">
        <v>369</v>
      </c>
      <c r="B187" s="155" t="s">
        <v>178</v>
      </c>
    </row>
    <row r="188" spans="1:2" ht="14.25" x14ac:dyDescent="0.2">
      <c r="A188" s="157" t="s">
        <v>370</v>
      </c>
      <c r="B188" s="155" t="s">
        <v>179</v>
      </c>
    </row>
    <row r="189" spans="1:2" ht="14.25" x14ac:dyDescent="0.2">
      <c r="A189" s="157" t="s">
        <v>371</v>
      </c>
      <c r="B189" s="155" t="s">
        <v>180</v>
      </c>
    </row>
    <row r="190" spans="1:2" ht="14.25" x14ac:dyDescent="0.2">
      <c r="A190" s="157" t="s">
        <v>372</v>
      </c>
      <c r="B190" s="155" t="s">
        <v>181</v>
      </c>
    </row>
    <row r="191" spans="1:2" ht="14.25" x14ac:dyDescent="0.2">
      <c r="A191" s="157" t="s">
        <v>373</v>
      </c>
      <c r="B191" s="155" t="s">
        <v>182</v>
      </c>
    </row>
    <row r="192" spans="1:2" ht="14.25" x14ac:dyDescent="0.2">
      <c r="A192" s="157" t="s">
        <v>374</v>
      </c>
      <c r="B192" s="155" t="s">
        <v>183</v>
      </c>
    </row>
    <row r="193" spans="1:2" ht="27.75" x14ac:dyDescent="0.2">
      <c r="A193" s="157" t="s">
        <v>375</v>
      </c>
      <c r="B193" s="155" t="s">
        <v>184</v>
      </c>
    </row>
    <row r="194" spans="1:2" ht="14.25" x14ac:dyDescent="0.2">
      <c r="A194" s="157" t="s">
        <v>376</v>
      </c>
      <c r="B194" s="155" t="s">
        <v>185</v>
      </c>
    </row>
    <row r="195" spans="1:2" ht="14.25" x14ac:dyDescent="0.2">
      <c r="A195" s="157" t="s">
        <v>377</v>
      </c>
      <c r="B195" s="155" t="s">
        <v>186</v>
      </c>
    </row>
    <row r="196" spans="1:2" ht="27.75" x14ac:dyDescent="0.2">
      <c r="A196" s="157" t="s">
        <v>378</v>
      </c>
      <c r="B196" s="155" t="s">
        <v>187</v>
      </c>
    </row>
    <row r="197" spans="1:2" ht="14.25" x14ac:dyDescent="0.2">
      <c r="A197" s="157" t="s">
        <v>379</v>
      </c>
      <c r="B197" s="155" t="s">
        <v>188</v>
      </c>
    </row>
    <row r="198" spans="1:2" ht="14.25" x14ac:dyDescent="0.2">
      <c r="A198" s="157" t="s">
        <v>380</v>
      </c>
      <c r="B198" s="155" t="s">
        <v>189</v>
      </c>
    </row>
    <row r="199" spans="1:2" ht="14.25" x14ac:dyDescent="0.2">
      <c r="A199" s="158">
        <v>44136</v>
      </c>
      <c r="B199" s="156">
        <v>44136</v>
      </c>
    </row>
    <row r="200" spans="1:2" ht="14.25" x14ac:dyDescent="0.2">
      <c r="A200" s="157" t="s">
        <v>381</v>
      </c>
      <c r="B200" s="155" t="s">
        <v>190</v>
      </c>
    </row>
    <row r="201" spans="1:2" ht="14.25" x14ac:dyDescent="0.2">
      <c r="A201" s="157" t="s">
        <v>382</v>
      </c>
      <c r="B201" s="155" t="s">
        <v>191</v>
      </c>
    </row>
    <row r="202" spans="1:2" ht="14.25" x14ac:dyDescent="0.2">
      <c r="A202" s="157" t="s">
        <v>383</v>
      </c>
      <c r="B202" s="155" t="s">
        <v>192</v>
      </c>
    </row>
    <row r="203" spans="1:2" ht="14.25" x14ac:dyDescent="0.2">
      <c r="A203" s="157" t="s">
        <v>384</v>
      </c>
      <c r="B203" s="155" t="s">
        <v>193</v>
      </c>
    </row>
    <row r="204" spans="1:2" ht="14.25" x14ac:dyDescent="0.2">
      <c r="A204" s="157" t="s">
        <v>385</v>
      </c>
      <c r="B204" s="155" t="s">
        <v>194</v>
      </c>
    </row>
    <row r="205" spans="1:2" ht="14.25" x14ac:dyDescent="0.2">
      <c r="A205" s="157" t="s">
        <v>386</v>
      </c>
      <c r="B205" s="155" t="s">
        <v>195</v>
      </c>
    </row>
    <row r="206" spans="1:2" ht="14.25" x14ac:dyDescent="0.2">
      <c r="A206" s="157" t="s">
        <v>400</v>
      </c>
      <c r="B206" s="155" t="s">
        <v>196</v>
      </c>
    </row>
    <row r="207" spans="1:2" ht="14.25" x14ac:dyDescent="0.2">
      <c r="A207" s="158">
        <v>44136</v>
      </c>
      <c r="B207" s="156">
        <v>44136</v>
      </c>
    </row>
    <row r="208" spans="1:2" ht="14.25" x14ac:dyDescent="0.2">
      <c r="A208" s="158">
        <v>44136</v>
      </c>
      <c r="B208" s="156">
        <v>44136</v>
      </c>
    </row>
    <row r="209" spans="1:2" ht="14.25" x14ac:dyDescent="0.2">
      <c r="A209" s="157" t="s">
        <v>387</v>
      </c>
      <c r="B209" s="155" t="s">
        <v>197</v>
      </c>
    </row>
    <row r="210" spans="1:2" ht="14.25" x14ac:dyDescent="0.2">
      <c r="A210" s="157" t="s">
        <v>388</v>
      </c>
      <c r="B210" s="155" t="s">
        <v>198</v>
      </c>
    </row>
  </sheetData>
  <phoneticPr fontId="2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Lists"/>
  <dimension ref="A1:H7"/>
  <sheetViews>
    <sheetView topLeftCell="B1" workbookViewId="0">
      <selection activeCell="D5" sqref="D5"/>
    </sheetView>
  </sheetViews>
  <sheetFormatPr defaultRowHeight="11.25" x14ac:dyDescent="0.2"/>
  <cols>
    <col min="1" max="1" width="22" bestFit="1" customWidth="1"/>
    <col min="2" max="2" width="27.6640625" customWidth="1"/>
    <col min="3" max="3" width="44.33203125" bestFit="1" customWidth="1"/>
    <col min="4" max="4" width="67.1640625" customWidth="1"/>
    <col min="5" max="5" width="67.1640625" bestFit="1" customWidth="1"/>
    <col min="6" max="6" width="47" customWidth="1"/>
    <col min="7" max="7" width="27.83203125" customWidth="1"/>
  </cols>
  <sheetData>
    <row r="1" spans="1:8" x14ac:dyDescent="0.2">
      <c r="A1" t="str">
        <f>_sheetContentTranslation_A_176</f>
        <v>组成部分类型</v>
      </c>
      <c r="B1" t="str">
        <f>_sheetContentTranslation_A_177</f>
        <v>组成部分的重要程度</v>
      </c>
      <c r="C1" t="str">
        <f>_sheetContentTranslation_A_178</f>
        <v>单独具有财务重大性</v>
      </c>
      <c r="D1" t="str">
        <f>_sheetContentTranslation_A_179</f>
        <v>可能包括特别风险</v>
      </c>
      <c r="E1" t="str">
        <f>_sheetContentTranslation_A_180</f>
        <v>不重大</v>
      </c>
      <c r="F1" t="str">
        <f>_sheetContentTranslation_A_233</f>
        <v>集团的其他重大错报风险</v>
      </c>
      <c r="G1" t="str">
        <f>_sheetContentTranslation_A_234</f>
        <v>我们所</v>
      </c>
      <c r="H1" t="s">
        <v>199</v>
      </c>
    </row>
    <row r="2" spans="1:8" x14ac:dyDescent="0.2">
      <c r="A2" t="str">
        <f>_sheetContentTranslation_A_181</f>
        <v>母公司</v>
      </c>
      <c r="B2" t="str">
        <f>_sheetContentTranslation_A_178</f>
        <v>单独具有财务重大性</v>
      </c>
      <c r="C2" t="str">
        <f>_sheetContentTranslation_A_165</f>
        <v>财务信息审计 - 承担责任</v>
      </c>
      <c r="D2" t="str">
        <f>_sheetContentTranslation_A_165</f>
        <v>财务信息审计 - 承担责任</v>
      </c>
      <c r="E2" t="str">
        <f>_sheetContentTranslation_A_170</f>
        <v>集团层面的分析性程序</v>
      </c>
      <c r="F2" t="str">
        <f>_sheetContentTranslation_A_235</f>
        <v>充分、适当的审计证据</v>
      </c>
      <c r="G2" t="str">
        <f>_sheetContentTranslation_A_236</f>
        <v>另一家成员所</v>
      </c>
      <c r="H2" t="s">
        <v>200</v>
      </c>
    </row>
    <row r="3" spans="1:8" x14ac:dyDescent="0.2">
      <c r="A3" t="str">
        <f>_sheetContentTranslation_A_182</f>
        <v>子公司</v>
      </c>
      <c r="B3" t="str">
        <f>_sheetContentTranslation_A_179</f>
        <v>可能包括特别风险</v>
      </c>
      <c r="C3" t="str">
        <f>_sheetContentTranslation_A_166</f>
        <v>财务信息审计 - 提及组成部分注册会计师（中国准则不适用）</v>
      </c>
      <c r="D3" t="str">
        <f>_sheetContentTranslation_A_166</f>
        <v>财务信息审计 - 提及组成部分注册会计师（中国准则不适用）</v>
      </c>
      <c r="E3" t="str">
        <f>_sheetContentTranslation_A_165</f>
        <v>财务信息审计 - 承担责任</v>
      </c>
      <c r="F3" t="str">
        <f>_sheetContentTranslation_A_237</f>
        <v>不可预见性</v>
      </c>
      <c r="G3" t="str">
        <f>_sheetContentTranslation_A_238</f>
        <v>非成员所</v>
      </c>
    </row>
    <row r="4" spans="1:8" x14ac:dyDescent="0.2">
      <c r="A4" t="str">
        <f>_sheetContentTranslation_A_183</f>
        <v>按权益法核算的被投资实体</v>
      </c>
      <c r="B4" t="str">
        <f>_sheetContentTranslation_A_180</f>
        <v>不重大</v>
      </c>
      <c r="D4" t="str">
        <f>_sheetContentTranslation_A_167</f>
        <v>对一个或多个账户余额、一类或多类交易或披露的审计</v>
      </c>
      <c r="E4" t="str">
        <f>_sheetContentTranslation_A_166</f>
        <v>财务信息审计 - 提及组成部分注册会计师（中国准则不适用）</v>
      </c>
      <c r="F4" t="str">
        <f>Translation!A205</f>
        <v>不适用 - 集团层面的分析性程序</v>
      </c>
    </row>
    <row r="5" spans="1:8" x14ac:dyDescent="0.2">
      <c r="A5" t="str">
        <f>_sheetContentTranslation_A_184</f>
        <v>其他</v>
      </c>
      <c r="D5" t="str">
        <f>_sheetContentTranslation_A_168</f>
        <v>特定审计程序</v>
      </c>
      <c r="E5" t="str">
        <f>_sheetContentTranslation_A_167</f>
        <v>对一个或多个账户余额、一类或多类交易或披露的审计</v>
      </c>
      <c r="F5" t="str">
        <f>_sheetContentTranslation_A_159</f>
        <v>不适用 - 重要组成部分</v>
      </c>
    </row>
    <row r="6" spans="1:8" x14ac:dyDescent="0.2">
      <c r="E6" t="str">
        <f>_sheetContentTranslation_A_168</f>
        <v>特定审计程序</v>
      </c>
    </row>
    <row r="7" spans="1:8" x14ac:dyDescent="0.2">
      <c r="E7" t="str">
        <f>_sheetContentTranslation_A_169</f>
        <v>财务信息审阅</v>
      </c>
    </row>
  </sheetData>
  <sheetProtection formatCells="0" formatRows="0" insertRows="0" deleteRows="0" selectLockedCells="1"/>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3" ma:contentTypeDescription="Create a new document." ma:contentTypeScope="" ma:versionID="01ab1eac041cc811e031b37066b7fafe">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8814a818003b98a94b8ead67a3451b2c"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3:Main_x0020_topic"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Main_x0020_topic" ma:index="21" nillable="true" ma:displayName="Main topic" ma:internalName="Main_x0020_topic">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Versioncomments xmlns="ffe4ad93-ed6f-4535-b8d7-9f3717677e75" xsi:nil="true"/>
    <TaxCatchAll xmlns="aae29c38-5c64-4b4f-89da-042ea755fda5" xsi:nil="true"/>
    <Main_x0020_topic xmlns="aae29c38-5c64-4b4f-89da-042ea755fda5" xsi:nil="true"/>
  </documentManagement>
</p:properties>
</file>

<file path=customXml/itemProps1.xml><?xml version="1.0" encoding="utf-8"?>
<ds:datastoreItem xmlns:ds="http://schemas.openxmlformats.org/officeDocument/2006/customXml" ds:itemID="{EB471671-3339-4A28-97D4-331A9826F7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e4ad93-ed6f-4535-b8d7-9f3717677e75"/>
    <ds:schemaRef ds:uri="aae29c38-5c64-4b4f-89da-042ea755fd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0707943-707F-4D83-90C4-7B7D7E7C6D66}">
  <ds:schemaRefs>
    <ds:schemaRef ds:uri="http://schemas.microsoft.com/sharepoint/v3/contenttype/forms"/>
  </ds:schemaRefs>
</ds:datastoreItem>
</file>

<file path=customXml/itemProps3.xml><?xml version="1.0" encoding="utf-8"?>
<ds:datastoreItem xmlns:ds="http://schemas.openxmlformats.org/officeDocument/2006/customXml" ds:itemID="{D22DF07C-FFFC-4619-BBFB-7B45158D160D}">
  <ds:schemaRefs>
    <ds:schemaRef ds:uri="http://schemas.microsoft.com/office/2006/metadata/properties"/>
    <ds:schemaRef ds:uri="http://schemas.microsoft.com/office/infopath/2007/PartnerControls"/>
    <ds:schemaRef ds:uri="ffe4ad93-ed6f-4535-b8d7-9f3717677e75"/>
    <ds:schemaRef ds:uri="aae29c38-5c64-4b4f-89da-042ea755fd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82</vt:i4>
      </vt:variant>
    </vt:vector>
  </HeadingPairs>
  <TitlesOfParts>
    <vt:vector size="88" baseType="lpstr">
      <vt:lpstr>说明</vt:lpstr>
      <vt:lpstr>确定审计范围</vt:lpstr>
      <vt:lpstr>确定审计范围的输入值</vt:lpstr>
      <vt:lpstr>按工作类型的汇总报告</vt:lpstr>
      <vt:lpstr>Translation</vt:lpstr>
      <vt:lpstr>Lists</vt:lpstr>
      <vt:lpstr>Analytical_procedures_at_group_level</vt:lpstr>
      <vt:lpstr>Audit_of_financial_information___assume_responsibility</vt:lpstr>
      <vt:lpstr>Audit_of_financial_information___make_reference</vt:lpstr>
      <vt:lpstr>Audit_of_one_or_more_classes_of_transactions__account_balances__or_disclosures</vt:lpstr>
      <vt:lpstr>Component_base</vt:lpstr>
      <vt:lpstr>Component_end</vt:lpstr>
      <vt:lpstr>Component_materiality</vt:lpstr>
      <vt:lpstr>Component_performance_materiality</vt:lpstr>
      <vt:lpstr>Component_Reference_SI</vt:lpstr>
      <vt:lpstr>Component_Risk</vt:lpstr>
      <vt:lpstr>Component_significance</vt:lpstr>
      <vt:lpstr>Component_significance_header</vt:lpstr>
      <vt:lpstr>Component_Type</vt:lpstr>
      <vt:lpstr>ComponentFirm</vt:lpstr>
      <vt:lpstr>Confirm_Delete_Msg</vt:lpstr>
      <vt:lpstr>Confirm_Delete_Title</vt:lpstr>
      <vt:lpstr>Data_CompType_Row</vt:lpstr>
      <vt:lpstr>Data_End</vt:lpstr>
      <vt:lpstr>Data_Engagement_Name</vt:lpstr>
      <vt:lpstr>Data_FS_Base</vt:lpstr>
      <vt:lpstr>Data_FS_Header</vt:lpstr>
      <vt:lpstr>Data_Period_End</vt:lpstr>
      <vt:lpstr>Data_Start</vt:lpstr>
      <vt:lpstr>Delete_Benchmark_Msg</vt:lpstr>
      <vt:lpstr>Delete_Benchmark_Title</vt:lpstr>
      <vt:lpstr>Delete_FS_Caption</vt:lpstr>
      <vt:lpstr>Delete_FSCaptionMsg</vt:lpstr>
      <vt:lpstr>Equity_method_investment</vt:lpstr>
      <vt:lpstr>FSCaptionMsg</vt:lpstr>
      <vt:lpstr>Individually_financially_significant</vt:lpstr>
      <vt:lpstr>IndividuallyFinanciallySignificant</vt:lpstr>
      <vt:lpstr>Likely_to_include_significant_risks</vt:lpstr>
      <vt:lpstr>LikelyToIncludeSignificantRisks</vt:lpstr>
      <vt:lpstr>Materiality_msg</vt:lpstr>
      <vt:lpstr>Materiality_msg1</vt:lpstr>
      <vt:lpstr>Materiality_msg2</vt:lpstr>
      <vt:lpstr>Materiality_msg3</vt:lpstr>
      <vt:lpstr>N_A___analytical_procedures_at_group_level</vt:lpstr>
      <vt:lpstr>N_A___significant_component</vt:lpstr>
      <vt:lpstr>Not_significant</vt:lpstr>
      <vt:lpstr>NotApplicable</vt:lpstr>
      <vt:lpstr>NotSignificant</vt:lpstr>
      <vt:lpstr>确定审计范围!Other_relevant_start</vt:lpstr>
      <vt:lpstr>Other_Risk_Error</vt:lpstr>
      <vt:lpstr>Other_risk_of_material_misstatement_of_the_group</vt:lpstr>
      <vt:lpstr>Our_firm</vt:lpstr>
      <vt:lpstr>Purpose_Header</vt:lpstr>
      <vt:lpstr>Review_of_financial_information</vt:lpstr>
      <vt:lpstr>Scoping_Address_Col</vt:lpstr>
      <vt:lpstr>Scoping_Component_Header</vt:lpstr>
      <vt:lpstr>Scoping_Component_Reference_Header</vt:lpstr>
      <vt:lpstr>Scoping_component_type</vt:lpstr>
      <vt:lpstr>Scoping_Component_Type_Header</vt:lpstr>
      <vt:lpstr>Scoping_Equity_FinPosition_Header</vt:lpstr>
      <vt:lpstr>Scoping_Equity_Ownership_Header</vt:lpstr>
      <vt:lpstr>Scoping_Equity_PL_Header</vt:lpstr>
      <vt:lpstr>Scoping_Firm_Name_Header</vt:lpstr>
      <vt:lpstr>Scoping_Group_Materiality</vt:lpstr>
      <vt:lpstr>Scoping_Group_PM</vt:lpstr>
      <vt:lpstr>Scoping_Start</vt:lpstr>
      <vt:lpstr>Scoping_Statutory_Header</vt:lpstr>
      <vt:lpstr>Scoping_Ticker</vt:lpstr>
      <vt:lpstr>Scoping_Type_Hardcode_Col</vt:lpstr>
      <vt:lpstr>Scoping_Type_Header</vt:lpstr>
      <vt:lpstr>确定审计范围!sh_Home</vt:lpstr>
      <vt:lpstr>确定审计范围的输入值!sh_Home</vt:lpstr>
      <vt:lpstr>SI_benchmark_base</vt:lpstr>
      <vt:lpstr>SI_benchmark_end</vt:lpstr>
      <vt:lpstr>SI_component_base</vt:lpstr>
      <vt:lpstr>SI_component_end</vt:lpstr>
      <vt:lpstr>Specified_audit_procedures</vt:lpstr>
      <vt:lpstr>SpellCheckComplete</vt:lpstr>
      <vt:lpstr>Summary_Start</vt:lpstr>
      <vt:lpstr>Type_Classes_Header</vt:lpstr>
      <vt:lpstr>Type_Component_Base</vt:lpstr>
      <vt:lpstr>Type_Component_name</vt:lpstr>
      <vt:lpstr>Type_FS_Base</vt:lpstr>
      <vt:lpstr>Type_FS_Header</vt:lpstr>
      <vt:lpstr>Type_Headers</vt:lpstr>
      <vt:lpstr>Type_Review_Header</vt:lpstr>
      <vt:lpstr>Type_Specified_Header</vt:lpstr>
      <vt:lpstr>YesNo</vt:lpstr>
    </vt:vector>
  </TitlesOfParts>
  <Manager/>
  <Company>Grant Thornton LLP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Grant Thornton LLP</dc:creator>
  <cp:keywords/>
  <dc:description/>
  <cp:lastModifiedBy>Birdie Bai 白璐</cp:lastModifiedBy>
  <cp:revision/>
  <dcterms:created xsi:type="dcterms:W3CDTF">2019-11-25T21:43:37Z</dcterms:created>
  <dcterms:modified xsi:type="dcterms:W3CDTF">2024-11-07T06:19:01Z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0x0101005BA8A0A80888F545BB9D1A28C6C20EC8</vt:lpwstr>
  </property>
  <property fmtid="{D5CDD505-2E9C-101B-9397-08002B2CF9AE}" pid="3" name="_dlc_DocIdItemGuid">
    <vt:lpwstr>08c48b29-e384-41c2-a27f-97599edf8de6</vt:lpwstr>
  </property>
  <property fmtid="{D5CDD505-2E9C-101B-9397-08002B2CF9AE}" pid="4" name="Order">
    <vt:r8>1583300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_dlc_DocId">
    <vt:lpwstr>T4T5T3R555WE-636262436-15833</vt:lpwstr>
  </property>
  <property fmtid="{D5CDD505-2E9C-101B-9397-08002B2CF9AE}" pid="9" name="TriggerFlowInfo">
    <vt:lpwstr/>
  </property>
  <property fmtid="{D5CDD505-2E9C-101B-9397-08002B2CF9AE}" pid="10" name="_dlc_DocIdUrl">
    <vt:lpwstr>https://gtinetorg.sharepoint.com/sites/leapdocs/_layouts/15/DocIdRedir.aspx?ID=T4T5T3R555WE-636262436-15833, T4T5T3R555WE-636262436-15833</vt:lpwstr>
  </property>
  <property fmtid="{D5CDD505-2E9C-101B-9397-08002B2CF9AE}" pid="11" name="_SourceUrl">
    <vt:lpwstr/>
  </property>
  <property fmtid="{D5CDD505-2E9C-101B-9397-08002B2CF9AE}" pid="12" name="_SharedFileIndex">
    <vt:lpwstr/>
  </property>
  <property fmtid="{D5CDD505-2E9C-101B-9397-08002B2CF9AE}" pid="13" name="ComplianceAssetId">
    <vt:lpwstr/>
  </property>
  <property fmtid="{D5CDD505-2E9C-101B-9397-08002B2CF9AE}" pid="14" name="TemplateUrl">
    <vt:lpwstr/>
  </property>
</Properties>
</file>