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E:\1. Work\1. 我的工作\11 LEAP\2. Methodology\4. Templates\20231204\Group audit templates\"/>
    </mc:Choice>
  </mc:AlternateContent>
  <xr:revisionPtr revIDLastSave="0" documentId="13_ncr:1_{2465C4A1-AD41-4D5B-B5F3-D3933212237D}" xr6:coauthVersionLast="47" xr6:coauthVersionMax="47" xr10:uidLastSave="{00000000-0000-0000-0000-000000000000}"/>
  <bookViews>
    <workbookView xWindow="-120" yWindow="-120" windowWidth="29040" windowHeight="15990" activeTab="1" xr2:uid="{2BAC721E-CDEE-4EEB-82E5-02B3DCC9057F}"/>
  </bookViews>
  <sheets>
    <sheet name="指引" sheetId="4" r:id="rId1"/>
    <sheet name="组成部分重要性" sheetId="2" r:id="rId2"/>
    <sheet name="Translations" sheetId="3" state="hidden" r:id="rId3"/>
  </sheets>
  <functionGroups builtInGroupCount="19"/>
  <externalReferences>
    <externalReference r:id="rId4"/>
  </externalReferences>
  <definedNames>
    <definedName name="_sheetContentTranslation_A_10" hidden="1">Translations!$A$10</definedName>
    <definedName name="_sheetContentTranslation_A_11" hidden="1">Translations!$A$11</definedName>
    <definedName name="_sheetContentTranslation_A_12" hidden="1">Translations!$A$12</definedName>
    <definedName name="_sheetContentTranslation_A_13" hidden="1">Translations!$A$13</definedName>
    <definedName name="_sheetContentTranslation_A_14" hidden="1">Translations!$A$14</definedName>
    <definedName name="_sheetContentTranslation_A_15" hidden="1">Translations!$A$15</definedName>
    <definedName name="_sheetContentTranslation_A_16" hidden="1">Translations!$A$16</definedName>
    <definedName name="_sheetContentTranslation_A_17" hidden="1">Translations!$A$17</definedName>
    <definedName name="_sheetContentTranslation_A_18" hidden="1">Translations!$A$18</definedName>
    <definedName name="_sheetContentTranslation_A_183" hidden="1">[1]Translation!$A$183</definedName>
    <definedName name="_sheetContentTranslation_A_19" hidden="1">Translations!$A$19</definedName>
    <definedName name="_sheetContentTranslation_A_20" hidden="1">Translations!$A$20</definedName>
    <definedName name="_sheetContentTranslation_A_21" hidden="1">Translations!$A$21</definedName>
    <definedName name="_sheetContentTranslation_A_22" hidden="1">Translations!$A$22</definedName>
    <definedName name="_sheetContentTranslation_A_23" hidden="1">Translations!$A$23</definedName>
    <definedName name="_sheetContentTranslation_A_24" hidden="1">Translations!$A$24</definedName>
    <definedName name="_sheetContentTranslation_A_25" hidden="1">Translations!$A$25</definedName>
    <definedName name="_sheetContentTranslation_A_26" hidden="1">Translations!$A$26</definedName>
    <definedName name="_sheetContentTranslation_A_27" hidden="1">Translations!$A$27</definedName>
    <definedName name="_sheetContentTranslation_A_28" hidden="1">Translations!$A$28</definedName>
    <definedName name="_sheetContentTranslation_A_29" hidden="1">Translations!$A$29</definedName>
    <definedName name="_sheetContentTranslation_A_3" hidden="1">Translations!$A$3</definedName>
    <definedName name="_sheetContentTranslation_A_30" hidden="1">Translations!$A$30</definedName>
    <definedName name="_sheetContentTranslation_A_31" hidden="1">Translations!$A$31</definedName>
    <definedName name="_sheetContentTranslation_A_32" hidden="1">Translations!$A$32</definedName>
    <definedName name="_sheetContentTranslation_A_33" hidden="1">Translations!$A$33</definedName>
    <definedName name="_sheetContentTranslation_A_34" hidden="1">Translations!$A$34</definedName>
    <definedName name="_sheetContentTranslation_A_35" hidden="1">Translations!$A$35</definedName>
    <definedName name="_sheetContentTranslation_A_36" hidden="1">Translations!$A$36</definedName>
    <definedName name="_sheetContentTranslation_A_37" hidden="1">Translations!$A$37</definedName>
    <definedName name="_sheetContentTranslation_A_4" hidden="1">Translations!$A$4</definedName>
    <definedName name="_sheetContentTranslation_A_5" hidden="1">Translations!$A$5</definedName>
    <definedName name="_sheetContentTranslation_A_6" hidden="1">Translations!$A$6</definedName>
    <definedName name="_sheetContentTranslation_A_7" hidden="1">Translations!$A$7</definedName>
    <definedName name="_sheetContentTranslation_A_8" hidden="1">Translations!$A$8</definedName>
    <definedName name="_sheetContentTranslation_A_9" hidden="1">Translations!$A$9</definedName>
    <definedName name="ComponentRows">组成部分重要性!$17:$113</definedName>
    <definedName name="EquityMethodInvestments">组成部分重要性!$120:$219</definedName>
    <definedName name="NumberOfComponents">组成部分重要性!$C$12</definedName>
    <definedName name="NumberOfEquityMethodInvestments">组成部分重要性!$C$13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19" i="2" l="1"/>
  <c r="C218" i="2"/>
  <c r="C217" i="2"/>
  <c r="C216" i="2"/>
  <c r="C215" i="2"/>
  <c r="C214" i="2"/>
  <c r="C213" i="2"/>
  <c r="C212" i="2"/>
  <c r="C211" i="2"/>
  <c r="C210" i="2"/>
  <c r="C209" i="2"/>
  <c r="C208" i="2"/>
  <c r="C207" i="2"/>
  <c r="C206" i="2"/>
  <c r="C205" i="2"/>
  <c r="C204" i="2"/>
  <c r="C203" i="2"/>
  <c r="C202" i="2"/>
  <c r="C201" i="2"/>
  <c r="C200" i="2"/>
  <c r="C199" i="2"/>
  <c r="C198" i="2"/>
  <c r="C197" i="2"/>
  <c r="C196" i="2"/>
  <c r="C195" i="2"/>
  <c r="C194" i="2"/>
  <c r="C193" i="2"/>
  <c r="C192" i="2"/>
  <c r="C191" i="2"/>
  <c r="C190" i="2"/>
  <c r="C189" i="2"/>
  <c r="C188" i="2"/>
  <c r="C187" i="2"/>
  <c r="C186" i="2"/>
  <c r="C185" i="2"/>
  <c r="C184" i="2"/>
  <c r="C183" i="2"/>
  <c r="C182" i="2"/>
  <c r="C181" i="2"/>
  <c r="C180" i="2"/>
  <c r="C179" i="2"/>
  <c r="C178" i="2"/>
  <c r="C177" i="2"/>
  <c r="C176" i="2"/>
  <c r="C175" i="2"/>
  <c r="C174" i="2"/>
  <c r="C173" i="2"/>
  <c r="C172" i="2"/>
  <c r="C171" i="2"/>
  <c r="C170" i="2"/>
  <c r="C169" i="2"/>
  <c r="C168" i="2"/>
  <c r="C167" i="2"/>
  <c r="C166" i="2"/>
  <c r="C165" i="2"/>
  <c r="C164" i="2"/>
  <c r="C163" i="2"/>
  <c r="C162" i="2"/>
  <c r="C161" i="2"/>
  <c r="C160" i="2"/>
  <c r="C159" i="2"/>
  <c r="C158" i="2"/>
  <c r="C157" i="2"/>
  <c r="C156" i="2"/>
  <c r="C155" i="2"/>
  <c r="C154" i="2"/>
  <c r="C153" i="2"/>
  <c r="C152" i="2"/>
  <c r="C151" i="2"/>
  <c r="C150" i="2"/>
  <c r="C149" i="2"/>
  <c r="C148" i="2"/>
  <c r="C147" i="2"/>
  <c r="C146" i="2"/>
  <c r="C145" i="2"/>
  <c r="C144" i="2"/>
  <c r="C143" i="2"/>
  <c r="C142" i="2"/>
  <c r="C141" i="2"/>
  <c r="C140" i="2"/>
  <c r="C139" i="2"/>
  <c r="C138" i="2"/>
  <c r="C137" i="2"/>
  <c r="C136" i="2"/>
  <c r="C135" i="2"/>
  <c r="C134" i="2"/>
  <c r="C133" i="2"/>
  <c r="C132" i="2"/>
  <c r="C131" i="2"/>
  <c r="C130" i="2"/>
  <c r="C129" i="2"/>
  <c r="C128" i="2"/>
  <c r="C127" i="2"/>
  <c r="C126" i="2"/>
  <c r="C125" i="2"/>
  <c r="C124" i="2"/>
  <c r="C123" i="2"/>
  <c r="C122" i="2"/>
  <c r="C121" i="2"/>
  <c r="B14" i="4"/>
  <c r="A14" i="4"/>
  <c r="B13" i="4"/>
  <c r="A13" i="4"/>
  <c r="B12" i="4"/>
  <c r="A12" i="4"/>
  <c r="B11" i="4"/>
  <c r="A11" i="4"/>
  <c r="B10" i="4"/>
  <c r="A10" i="4"/>
  <c r="A8" i="4"/>
  <c r="A6" i="4"/>
  <c r="A4" i="4"/>
  <c r="A1" i="4"/>
  <c r="D219" i="2"/>
  <c r="F219" i="2" s="1"/>
  <c r="D218" i="2"/>
  <c r="F218" i="2" s="1"/>
  <c r="D217" i="2"/>
  <c r="F217" i="2" s="1"/>
  <c r="D216" i="2"/>
  <c r="D215" i="2"/>
  <c r="F215" i="2" s="1"/>
  <c r="D214" i="2"/>
  <c r="F214" i="2" s="1"/>
  <c r="D213" i="2"/>
  <c r="F213" i="2" s="1"/>
  <c r="D212" i="2"/>
  <c r="F212" i="2" s="1"/>
  <c r="D211" i="2"/>
  <c r="D210" i="2"/>
  <c r="F210" i="2" s="1"/>
  <c r="D209" i="2"/>
  <c r="F209" i="2" s="1"/>
  <c r="D208" i="2"/>
  <c r="F208" i="2" s="1"/>
  <c r="D207" i="2"/>
  <c r="F207" i="2" s="1"/>
  <c r="D206" i="2"/>
  <c r="D205" i="2"/>
  <c r="F205" i="2" s="1"/>
  <c r="D204" i="2"/>
  <c r="F204" i="2" s="1"/>
  <c r="D203" i="2"/>
  <c r="D202" i="2"/>
  <c r="F202" i="2" s="1"/>
  <c r="D201" i="2"/>
  <c r="D200" i="2"/>
  <c r="F200" i="2" s="1"/>
  <c r="D199" i="2"/>
  <c r="F199" i="2" s="1"/>
  <c r="D198" i="2"/>
  <c r="F198" i="2" s="1"/>
  <c r="D197" i="2"/>
  <c r="F197" i="2" s="1"/>
  <c r="D196" i="2"/>
  <c r="F196" i="2" s="1"/>
  <c r="D195" i="2"/>
  <c r="D194" i="2"/>
  <c r="D193" i="2"/>
  <c r="D192" i="2"/>
  <c r="D191" i="2"/>
  <c r="D190" i="2"/>
  <c r="F190" i="2" s="1"/>
  <c r="D189" i="2"/>
  <c r="F189" i="2" s="1"/>
  <c r="D188" i="2"/>
  <c r="F188" i="2" s="1"/>
  <c r="D187" i="2"/>
  <c r="D186" i="2"/>
  <c r="F186" i="2" s="1"/>
  <c r="D185" i="2"/>
  <c r="D184" i="2"/>
  <c r="D183" i="2"/>
  <c r="D182" i="2"/>
  <c r="D181" i="2"/>
  <c r="F181" i="2" s="1"/>
  <c r="D180" i="2"/>
  <c r="F180" i="2" s="1"/>
  <c r="D179" i="2"/>
  <c r="D178" i="2"/>
  <c r="F178" i="2" s="1"/>
  <c r="D177" i="2"/>
  <c r="D176" i="2"/>
  <c r="D175" i="2"/>
  <c r="D174" i="2"/>
  <c r="F174" i="2" s="1"/>
  <c r="D173" i="2"/>
  <c r="F173" i="2" s="1"/>
  <c r="D172" i="2"/>
  <c r="D171" i="2"/>
  <c r="D170" i="2"/>
  <c r="F170" i="2" s="1"/>
  <c r="D169" i="2"/>
  <c r="D168" i="2"/>
  <c r="D167" i="2"/>
  <c r="D166" i="2"/>
  <c r="D165" i="2"/>
  <c r="F165" i="2" s="1"/>
  <c r="D164" i="2"/>
  <c r="F164" i="2" s="1"/>
  <c r="D163" i="2"/>
  <c r="D162" i="2"/>
  <c r="F162" i="2" s="1"/>
  <c r="D161" i="2"/>
  <c r="D160" i="2"/>
  <c r="D159" i="2"/>
  <c r="D158" i="2"/>
  <c r="F158" i="2" s="1"/>
  <c r="D157" i="2"/>
  <c r="F157" i="2" s="1"/>
  <c r="D156" i="2"/>
  <c r="F156" i="2" s="1"/>
  <c r="D155" i="2"/>
  <c r="D154" i="2"/>
  <c r="F154" i="2" s="1"/>
  <c r="D153" i="2"/>
  <c r="D152" i="2"/>
  <c r="D151" i="2"/>
  <c r="D150" i="2"/>
  <c r="D149" i="2"/>
  <c r="F149" i="2" s="1"/>
  <c r="D148" i="2"/>
  <c r="F148" i="2" s="1"/>
  <c r="D147" i="2"/>
  <c r="D146" i="2"/>
  <c r="F146" i="2" s="1"/>
  <c r="D145" i="2"/>
  <c r="D144" i="2"/>
  <c r="D143" i="2"/>
  <c r="D142" i="2"/>
  <c r="F142" i="2" s="1"/>
  <c r="D141" i="2"/>
  <c r="F141" i="2" s="1"/>
  <c r="D140" i="2"/>
  <c r="F140" i="2" s="1"/>
  <c r="D139" i="2"/>
  <c r="D138" i="2"/>
  <c r="F138" i="2" s="1"/>
  <c r="D137" i="2"/>
  <c r="D136" i="2"/>
  <c r="D135" i="2"/>
  <c r="D134" i="2"/>
  <c r="D133" i="2"/>
  <c r="F133" i="2" s="1"/>
  <c r="D132" i="2"/>
  <c r="F132" i="2" s="1"/>
  <c r="D131" i="2"/>
  <c r="D130" i="2"/>
  <c r="F130" i="2" s="1"/>
  <c r="D129" i="2"/>
  <c r="D128" i="2"/>
  <c r="D127" i="2"/>
  <c r="D126" i="2"/>
  <c r="F126" i="2" s="1"/>
  <c r="D125" i="2"/>
  <c r="F125" i="2" s="1"/>
  <c r="D124" i="2"/>
  <c r="D123" i="2"/>
  <c r="D122" i="2"/>
  <c r="F122" i="2" s="1"/>
  <c r="D121" i="2"/>
  <c r="F121" i="2" s="1"/>
  <c r="F120" i="2"/>
  <c r="F206" i="2"/>
  <c r="F182" i="2"/>
  <c r="F172" i="2"/>
  <c r="F166" i="2"/>
  <c r="F150" i="2"/>
  <c r="F134" i="2"/>
  <c r="F124" i="2"/>
  <c r="F216" i="2"/>
  <c r="F211" i="2"/>
  <c r="F203" i="2"/>
  <c r="F201" i="2"/>
  <c r="F195" i="2"/>
  <c r="F194" i="2"/>
  <c r="F193" i="2"/>
  <c r="F192" i="2"/>
  <c r="F191" i="2"/>
  <c r="F187" i="2"/>
  <c r="F185" i="2"/>
  <c r="F184" i="2"/>
  <c r="F183" i="2"/>
  <c r="F179" i="2"/>
  <c r="F177" i="2"/>
  <c r="F176" i="2"/>
  <c r="F175" i="2"/>
  <c r="F171" i="2"/>
  <c r="F169" i="2"/>
  <c r="F168" i="2"/>
  <c r="F167" i="2"/>
  <c r="F163" i="2"/>
  <c r="F161" i="2"/>
  <c r="F160" i="2"/>
  <c r="F159" i="2"/>
  <c r="F155" i="2"/>
  <c r="F153" i="2"/>
  <c r="F152" i="2"/>
  <c r="F151" i="2"/>
  <c r="F147" i="2"/>
  <c r="F145" i="2"/>
  <c r="F144" i="2"/>
  <c r="F143" i="2"/>
  <c r="F139" i="2"/>
  <c r="F137" i="2"/>
  <c r="F136" i="2"/>
  <c r="F135" i="2"/>
  <c r="F131" i="2"/>
  <c r="F129" i="2"/>
  <c r="F128" i="2"/>
  <c r="F127" i="2"/>
  <c r="F123" i="2"/>
  <c r="E113" i="2"/>
  <c r="F113" i="2" s="1"/>
  <c r="E112" i="2"/>
  <c r="F112" i="2" s="1"/>
  <c r="E111" i="2"/>
  <c r="F111" i="2" s="1"/>
  <c r="E110" i="2"/>
  <c r="F110" i="2" s="1"/>
  <c r="E109" i="2"/>
  <c r="F109" i="2" s="1"/>
  <c r="E108" i="2"/>
  <c r="F108" i="2" s="1"/>
  <c r="E107" i="2"/>
  <c r="F107" i="2" s="1"/>
  <c r="E106" i="2"/>
  <c r="F106" i="2" s="1"/>
  <c r="E105" i="2"/>
  <c r="F105" i="2" s="1"/>
  <c r="E104" i="2"/>
  <c r="F104" i="2" s="1"/>
  <c r="E103" i="2"/>
  <c r="F103" i="2" s="1"/>
  <c r="E102" i="2"/>
  <c r="F102" i="2" s="1"/>
  <c r="E101" i="2"/>
  <c r="F101" i="2" s="1"/>
  <c r="E100" i="2"/>
  <c r="F100" i="2" s="1"/>
  <c r="E99" i="2"/>
  <c r="F99" i="2" s="1"/>
  <c r="E98" i="2"/>
  <c r="F98" i="2" s="1"/>
  <c r="E97" i="2"/>
  <c r="F97" i="2" s="1"/>
  <c r="E96" i="2"/>
  <c r="F96" i="2" s="1"/>
  <c r="E95" i="2"/>
  <c r="F95" i="2" s="1"/>
  <c r="E94" i="2"/>
  <c r="F94" i="2" s="1"/>
  <c r="E93" i="2"/>
  <c r="F93" i="2" s="1"/>
  <c r="E92" i="2"/>
  <c r="F92" i="2" s="1"/>
  <c r="E91" i="2"/>
  <c r="F91" i="2" s="1"/>
  <c r="E90" i="2"/>
  <c r="F90" i="2" s="1"/>
  <c r="E89" i="2"/>
  <c r="F89" i="2" s="1"/>
  <c r="E88" i="2"/>
  <c r="F88" i="2" s="1"/>
  <c r="E87" i="2"/>
  <c r="F87" i="2" s="1"/>
  <c r="E86" i="2"/>
  <c r="F86" i="2" s="1"/>
  <c r="E85" i="2"/>
  <c r="F85" i="2" s="1"/>
  <c r="E84" i="2"/>
  <c r="F84" i="2" s="1"/>
  <c r="E83" i="2"/>
  <c r="F83" i="2" s="1"/>
  <c r="E82" i="2"/>
  <c r="F82" i="2" s="1"/>
  <c r="E81" i="2"/>
  <c r="F81" i="2" s="1"/>
  <c r="E80" i="2"/>
  <c r="F80" i="2" s="1"/>
  <c r="E79" i="2"/>
  <c r="F79" i="2" s="1"/>
  <c r="E78" i="2"/>
  <c r="F78" i="2" s="1"/>
  <c r="E77" i="2"/>
  <c r="F77" i="2" s="1"/>
  <c r="E76" i="2"/>
  <c r="F76" i="2" s="1"/>
  <c r="E75" i="2"/>
  <c r="F75" i="2" s="1"/>
  <c r="E74" i="2"/>
  <c r="F74" i="2" s="1"/>
  <c r="E73" i="2"/>
  <c r="F73" i="2" s="1"/>
  <c r="E72" i="2"/>
  <c r="F72" i="2" s="1"/>
  <c r="E71" i="2"/>
  <c r="F71" i="2" s="1"/>
  <c r="E70" i="2"/>
  <c r="F70" i="2" s="1"/>
  <c r="E69" i="2"/>
  <c r="F69" i="2" s="1"/>
  <c r="E68" i="2"/>
  <c r="F68" i="2" s="1"/>
  <c r="E67" i="2"/>
  <c r="F67" i="2" s="1"/>
  <c r="E66" i="2"/>
  <c r="F66" i="2" s="1"/>
  <c r="E65" i="2"/>
  <c r="F65" i="2" s="1"/>
  <c r="E64" i="2"/>
  <c r="F64" i="2" s="1"/>
  <c r="E63" i="2"/>
  <c r="F63" i="2" s="1"/>
  <c r="E62" i="2"/>
  <c r="F62" i="2" s="1"/>
  <c r="E61" i="2"/>
  <c r="F61" i="2" s="1"/>
  <c r="E60" i="2"/>
  <c r="F60" i="2" s="1"/>
  <c r="E59" i="2"/>
  <c r="F59" i="2" s="1"/>
  <c r="E58" i="2"/>
  <c r="F58" i="2" s="1"/>
  <c r="E57" i="2"/>
  <c r="F57" i="2" s="1"/>
  <c r="E56" i="2"/>
  <c r="F56" i="2" s="1"/>
  <c r="E55" i="2"/>
  <c r="F55" i="2" s="1"/>
  <c r="E54" i="2"/>
  <c r="F54" i="2" s="1"/>
  <c r="E53" i="2"/>
  <c r="F53" i="2" s="1"/>
  <c r="E52" i="2"/>
  <c r="F52" i="2" s="1"/>
  <c r="E51" i="2"/>
  <c r="F51" i="2" s="1"/>
  <c r="E50" i="2"/>
  <c r="F50" i="2" s="1"/>
  <c r="E49" i="2"/>
  <c r="F49" i="2" s="1"/>
  <c r="E48" i="2"/>
  <c r="F48" i="2" s="1"/>
  <c r="E47" i="2"/>
  <c r="F47" i="2" s="1"/>
  <c r="E46" i="2"/>
  <c r="F46" i="2" s="1"/>
  <c r="E45" i="2"/>
  <c r="F45" i="2" s="1"/>
  <c r="E44" i="2"/>
  <c r="F44" i="2" s="1"/>
  <c r="E43" i="2"/>
  <c r="F43" i="2" s="1"/>
  <c r="E42" i="2"/>
  <c r="F42" i="2" s="1"/>
  <c r="E41" i="2"/>
  <c r="F41" i="2" s="1"/>
  <c r="E40" i="2"/>
  <c r="F40" i="2" s="1"/>
  <c r="E39" i="2"/>
  <c r="F39" i="2" s="1"/>
  <c r="E38" i="2"/>
  <c r="F38" i="2" s="1"/>
  <c r="E37" i="2"/>
  <c r="F37" i="2" s="1"/>
  <c r="E36" i="2"/>
  <c r="F36" i="2" s="1"/>
  <c r="E35" i="2"/>
  <c r="F35" i="2" s="1"/>
  <c r="E34" i="2"/>
  <c r="F34" i="2" s="1"/>
  <c r="E33" i="2"/>
  <c r="F33" i="2" s="1"/>
  <c r="E32" i="2"/>
  <c r="F32" i="2" s="1"/>
  <c r="E31" i="2"/>
  <c r="F31" i="2" s="1"/>
  <c r="E30" i="2"/>
  <c r="F30" i="2" s="1"/>
  <c r="E29" i="2"/>
  <c r="F29" i="2" s="1"/>
  <c r="E28" i="2"/>
  <c r="F28" i="2" s="1"/>
  <c r="E27" i="2"/>
  <c r="F27" i="2" s="1"/>
  <c r="E26" i="2"/>
  <c r="F26" i="2" s="1"/>
  <c r="E25" i="2"/>
  <c r="F25" i="2" s="1"/>
  <c r="E24" i="2"/>
  <c r="F24" i="2" s="1"/>
  <c r="E23" i="2"/>
  <c r="F23" i="2" s="1"/>
  <c r="E22" i="2"/>
  <c r="F22" i="2" s="1"/>
  <c r="E21" i="2"/>
  <c r="F21" i="2" s="1"/>
  <c r="E20" i="2"/>
  <c r="F20" i="2" s="1"/>
  <c r="E19" i="2"/>
  <c r="F19" i="2" s="1"/>
  <c r="E18" i="2"/>
  <c r="F18" i="2" s="1"/>
  <c r="E17" i="2"/>
  <c r="F17" i="2" s="1"/>
  <c r="B119" i="2" l="1"/>
  <c r="G118" i="2"/>
  <c r="F118" i="2"/>
  <c r="E118" i="2"/>
  <c r="D118" i="2"/>
  <c r="C118" i="2"/>
  <c r="B118" i="2"/>
  <c r="B116" i="2"/>
  <c r="B16" i="2"/>
  <c r="G15" i="2"/>
  <c r="F15" i="2"/>
  <c r="E15" i="2"/>
  <c r="D15" i="2"/>
  <c r="B15" i="2"/>
  <c r="B13" i="2"/>
  <c r="B12" i="2"/>
  <c r="B11" i="2"/>
  <c r="B10" i="2"/>
  <c r="B9" i="2"/>
  <c r="B8" i="2"/>
  <c r="B7" i="2"/>
  <c r="B5" i="2"/>
  <c r="B4" i="2"/>
  <c r="B2" i="2"/>
</calcChain>
</file>

<file path=xl/sharedStrings.xml><?xml version="1.0" encoding="utf-8"?>
<sst xmlns="http://schemas.openxmlformats.org/spreadsheetml/2006/main" count="75" uniqueCount="73">
  <si>
    <t>June 2021</t>
  </si>
  <si>
    <t>Determining component materiality</t>
  </si>
  <si>
    <t>Name of group</t>
  </si>
  <si>
    <t>Group period-end date</t>
  </si>
  <si>
    <t>Inputs</t>
  </si>
  <si>
    <t>Group materiality</t>
  </si>
  <si>
    <t>Selected benchmark</t>
  </si>
  <si>
    <t>Group benchmark amount</t>
  </si>
  <si>
    <t>Group performance materiality</t>
  </si>
  <si>
    <t>Number of components excluding equity method investments</t>
  </si>
  <si>
    <t>Number of equity method investments</t>
  </si>
  <si>
    <t>Components</t>
  </si>
  <si>
    <t>Component type</t>
  </si>
  <si>
    <t>Component benchmark amount</t>
  </si>
  <si>
    <t>Percent of group benchmark amount</t>
  </si>
  <si>
    <t>Potential component materiality
(square root approach)</t>
  </si>
  <si>
    <t>Component materiality determined</t>
  </si>
  <si>
    <t>(audit or review of financial information only)</t>
  </si>
  <si>
    <t>Equity method investments</t>
  </si>
  <si>
    <t>Components (equity method investments)</t>
  </si>
  <si>
    <t>Ownership percentage</t>
  </si>
  <si>
    <t>Potential component materiality
(equity method investment)</t>
  </si>
  <si>
    <t xml:space="preserve">Determining component materiality </t>
  </si>
  <si>
    <t>Delete these instructions and do not include them in the audit file.</t>
  </si>
  <si>
    <t xml:space="preserve">Instructional Note to Group Engagement Team: This template is used to assist the group engagement team in determining component materiality. Component materiality is required to be determined only for those components where an audit or review of the component's financial information will be performed. Component materiality is set lower than materiality for the group financial statements as a whole. This template provides an optional approach ("square root approach") where potential component materiality is determined by allocating group materiality in proportion to the relative size of the component.
</t>
  </si>
  <si>
    <t>Guidance related to use of this template</t>
  </si>
  <si>
    <t>Instructions</t>
  </si>
  <si>
    <t>This template contains cells with conditional formatting and data validation, including drop-down lists. For best results, complete the template top-to-bottom and left-to-right. Cells in light yellow requires user input.</t>
  </si>
  <si>
    <t>Information to be entered in this section comes from the "Component Significance and scoping" template.</t>
  </si>
  <si>
    <t>Adding or deleting rows</t>
  </si>
  <si>
    <t>Set the number of components (up to 100) "excluding equity method investments" and "components that are equity method investments" as applicable, in the input field. This will open the rows necessary. Adjusting the number of components allows to add or delete rows in the template. Do not add rows manually.</t>
  </si>
  <si>
    <t>Determining component materiality for equity method investments</t>
  </si>
  <si>
    <t>Sometimes the equity method investee is significantly larger than the investor (group), and the evidence to support the investor’s share of earnings from the investment may consist largely of the audited financial statements of the investee. In such cases, the materiality used by the investee’s auditor may be larger than the materiality used by the investor’s auditor. When such circumstances exist, the group engagement team may take into consideration matters such as the group’s ownership percentage and its share of the investee’s profits and losses when determining whether the component materiality used by the investee’s auditor is appropriate for purposes of the audit of the group financial statements. In other words, the determination of component materiality may take into account the effect a misstatement at the equity method investee may have on the group financial statements based on the ownership percentage. The firm’s methodology provides a method for determining component materiality using group performance materiality as a starting point; for example, dividing group performance materiality (400,000) by the ownership percentage (40%) equals component materiality (1,000,000) for the equity method investment. Other methods may be used, such as applying a reasonable measurement percentage to an appropriate benchmark or determining an appropriate component materiality amount.</t>
  </si>
  <si>
    <t>Parent</t>
  </si>
  <si>
    <t>Subsidiary</t>
  </si>
  <si>
    <t>Other</t>
  </si>
  <si>
    <t>Equity method investment</t>
  </si>
  <si>
    <t>确定组成部分重要性水平</t>
    <phoneticPr fontId="22" type="noConversion"/>
  </si>
  <si>
    <t>集团名称</t>
    <phoneticPr fontId="22" type="noConversion"/>
  </si>
  <si>
    <t>集团报表截止日</t>
    <phoneticPr fontId="22" type="noConversion"/>
  </si>
  <si>
    <t>输入值</t>
    <phoneticPr fontId="22" type="noConversion"/>
  </si>
  <si>
    <t>集团重要性水平</t>
    <phoneticPr fontId="22" type="noConversion"/>
  </si>
  <si>
    <t>选取基准</t>
    <phoneticPr fontId="22" type="noConversion"/>
  </si>
  <si>
    <t>集团基准金额</t>
    <phoneticPr fontId="22" type="noConversion"/>
  </si>
  <si>
    <t>集团实际执行的重要性</t>
    <phoneticPr fontId="22" type="noConversion"/>
  </si>
  <si>
    <t>组成部分个数，不包括权益法投资</t>
    <phoneticPr fontId="22" type="noConversion"/>
  </si>
  <si>
    <t>权益法投资的组成部分个数</t>
    <phoneticPr fontId="22" type="noConversion"/>
  </si>
  <si>
    <t>组成部分</t>
    <phoneticPr fontId="22" type="noConversion"/>
  </si>
  <si>
    <t>组成部分类型</t>
    <phoneticPr fontId="22" type="noConversion"/>
  </si>
  <si>
    <t>组成部分基准金额</t>
    <phoneticPr fontId="22" type="noConversion"/>
  </si>
  <si>
    <t>集团基准金额适用百分比</t>
    <phoneticPr fontId="22" type="noConversion"/>
  </si>
  <si>
    <t>潜在组成部分重要性
(平方根法）</t>
    <phoneticPr fontId="22" type="noConversion"/>
  </si>
  <si>
    <t>确定的组成部分重要性水平</t>
    <phoneticPr fontId="22" type="noConversion"/>
  </si>
  <si>
    <t>仅审计或审阅的财务信息</t>
    <phoneticPr fontId="22" type="noConversion"/>
  </si>
  <si>
    <t>权益法投资</t>
    <phoneticPr fontId="22" type="noConversion"/>
  </si>
  <si>
    <t>组成部分（权益法投资）</t>
    <phoneticPr fontId="22" type="noConversion"/>
  </si>
  <si>
    <t>所有权百分比</t>
    <phoneticPr fontId="22" type="noConversion"/>
  </si>
  <si>
    <t>潜在组成部分重要性
(权益法投资）</t>
    <phoneticPr fontId="22" type="noConversion"/>
  </si>
  <si>
    <t>请删除这些说明，这些说明无需包含在审计档案中。</t>
    <phoneticPr fontId="22" type="noConversion"/>
  </si>
  <si>
    <t>致集团项目组的说明： 本模板用于帮助集团项目组确定组成部分重要性水平。只有在对组成部分的财务信息进行审计或审阅时，才需要确定组成部分的重要性。组成部分的重要性应当低于集团财务报表整体的重要性。本模板提供了一种可选方法（"平方根方法"），即通过按组成部分的相对规模比例分配集团重要性来确定潜在的组成部分重要性。</t>
    <phoneticPr fontId="22" type="noConversion"/>
  </si>
  <si>
    <t>本模板使用指南</t>
  </si>
  <si>
    <t>说明</t>
    <phoneticPr fontId="22" type="noConversion"/>
  </si>
  <si>
    <t>母公司</t>
    <phoneticPr fontId="22" type="noConversion"/>
  </si>
  <si>
    <t>子公司</t>
    <phoneticPr fontId="22" type="noConversion"/>
  </si>
  <si>
    <t>其他</t>
    <phoneticPr fontId="22" type="noConversion"/>
  </si>
  <si>
    <t>添加或删除行</t>
    <phoneticPr fontId="22" type="noConversion"/>
  </si>
  <si>
    <t>本模板包含具有条件格式化和数据验证功能的单元格，包括下拉列表。为获得最佳效果，请从上到下、从左到右填写模板。浅黄色单元格需要用户输入内容。</t>
    <phoneticPr fontId="22" type="noConversion"/>
  </si>
  <si>
    <t>本部分输入的信息来自”组成部分重要程度和确定审计范围“模板。</t>
    <phoneticPr fontId="22" type="noConversion"/>
  </si>
  <si>
    <t>在输入框中设置 "不包括权益法投资 "和 "属于权益法投资的组成部分 "的组成部分个数（最多 100 个）。这可以帮助添加所需要的行。通过调整组成部分的数量可在模板中添加或删除行。请勿手动添加行。</t>
    <phoneticPr fontId="22" type="noConversion"/>
  </si>
  <si>
    <t>针对权益法投资的组成部分确定其重要性水平</t>
    <phoneticPr fontId="22" type="noConversion"/>
  </si>
  <si>
    <t xml:space="preserve">Determining component materiality is a matter of professional judgment. To reduce to the risk that the aggregate of uncorrected and undetected misstatements in the group financial statements exceeds materiality for the group financial statements as a whole, component materiality is set lower than materiality for the group financial statements as a whole. However, the aggregate of component materiality for the different components may exceed the materiality for the group financial statements as a whole (that is, group materiality does need not be allocated to all components based on their size). In addition, component materiality need not be an arithmetical portion of group materiality. 
Consideration of all components is necessary when determining component materiality to reduce the risk that the aggregate of detected and undetected misstatements in the group financial statements exceeds materiality for the group financial statements as a whole. The group engagement team may use group performance materiality as a starting point for determining component materiality. However, a different component materiality may be established for different components by determining an appropriate amount.
The following are some of the approaches the group engagement team may follow in determining component materiality:
- Set component materiality based on an allocation of group materiality in proportion to the relative size of the component - this template assists the group engagement team in determining component materiality by incorporating the square root approach (an optional approach). The allocated amount provides a guide for determining component materiality, however a lower or higher amount may be appropriate in the circumstances, taking into account group performance materiality, the type of work to be performed on the various components, and the overall group audit plan.
  -  Set component materiality at a lower level that is determined by the component auditor for an audit of the component’s financial statements that is required by statute, regulation, or for another reason. In such cases, it may be appropriate to use a higher component materiality amount in other components, provided consideration is also given to the component’s size.
</t>
    <phoneticPr fontId="22" type="noConversion"/>
  </si>
  <si>
    <t>有时，按权益法核算的被投资实体比投资方（集团）明显更大，用以支持投资方享有投资收益的证据可能主要由被投资方经审计的财务报表组成。在这种情况下，被投资方注册会计师使用的重要性可能大于投资方注册会计师使用的重要性水平。当存在这类情况时，集团项目组在确定被投资方注册会计师使用的组成部分重要性是否适合于集团财务报表审计时，可以考虑集团的持股比例及其在被投资方损益中所占份额等事项，以确定被投资方的注册会计师所使用的组成部分重要性是否适合于集团财务报表审计。也就是说，在确定组成部分重要性时，可能需要考虑基于所有权比例按权益法核算的被投资实体的错报对集团财务报表的影响。事务所的方法论为使用集团财务报表整体实际执行的重要性作为起点来确定组成部分重要性提供了方法；例如，使用集团财务报表整体实际执行的重要性（400,000）除以所有权比例（40%），得出按权益法核算的被投资实体的组成部分重要性（1,000,000）。其他方法，例如对恰当的基准应用合理的百分比或直接确定一个恰当的组成部分重要性金额，也适用。</t>
  </si>
  <si>
    <t xml:space="preserve">确定组成部分重要性属于职业判断。为降低未更正和未发现错报的汇总数超过集团财务报表整体的重要性的风险，需要将组成部分重要性设定为低于集团财务报表整体的重要性。然而，对不同组成部分确定的重要性的汇总数，有可能高于集团财务报表整体的重要性（即确定组成部分重要性时，无需采用将集团财务报表整体重要性按比例分配的方式）。此外，组成部分重要性无需成为集团整体重要性的一个数字比例。
在确定组成部分重要性时，必须考虑所有组成部分，以降低集团财务报表中已发现和未发现错报的总和超过集团财务报表整体重要性的风险。集团项目组可以使用集团实际执行的重要性作为确定组成部分重要性的起点。但是，可以通过确定适当的金额，为不同组成部分确定不同的组成部分重要性。
下列是集团参与团队在确定组成部分重要性时可采用的一些方法：
- 根据集团重要性与组成部分相对规模的分配比例确定组成部分重要性，该模板通过采用平方根法（可选方法）帮助集团项目组确定组成部分重要性。分配的金额为确定组成部分重要性提供了指引，但在具体情况下，考虑到集团实际执行的重要性、对各组成部分执行的工作类型以及集团总体审计策略和具体审计计划，较低或较高的金额都可能是适当的。
  -  将组成部分的重要性设定在一个较低的水平，该水平由组成部分注册会计师确定，用于法律法规或其他原因所要求的组成部分的财务报表审计。在这种情况下，在其他组成部分中使用较高的组成部分重要性金额可能是适当的，但也要考虑到组成部分的规模。
</t>
    <phoneticPr fontId="2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</si>
</sst>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_(* #,##0.00_);_(* \(#,##0.00\);_(* &quot;-&quot;??_);_(@_)"/>
    <numFmt numFmtId="177" formatCode="_(* #,##0_);_(* \(#,##0\);_(* &quot;-&quot;??_);_(@_)"/>
  </numFmts>
  <fonts count="23" x14ac:knownFonts="1">
    <font>
      <sz val="11"/>
      <color theme="1"/>
      <name val="等线"/>
      <family val="2"/>
      <scheme val="minor"/>
    </font>
    <font>
      <sz val="11"/>
      <color theme="1"/>
      <name val="等线"/>
      <family val="2"/>
      <scheme val="minor"/>
    </font>
    <font>
      <sz val="10"/>
      <color theme="1"/>
      <name val="Arial"/>
      <family val="2"/>
    </font>
    <font>
      <b/>
      <sz val="10"/>
      <color theme="1"/>
      <name val="Arial"/>
      <family val="2"/>
    </font>
    <font>
      <b/>
      <sz val="10"/>
      <name val="Arial"/>
      <family val="2"/>
    </font>
    <font>
      <b/>
      <sz val="10"/>
      <color rgb="FF4F2D7F"/>
      <name val="Arial"/>
      <family val="2"/>
    </font>
    <font>
      <sz val="10"/>
      <name val="Arial"/>
      <family val="2"/>
    </font>
    <font>
      <b/>
      <sz val="12"/>
      <color rgb="FF7030A0"/>
      <name val="Arial"/>
      <family val="2"/>
    </font>
    <font>
      <b/>
      <u/>
      <sz val="10"/>
      <color rgb="FF7030A0"/>
      <name val="Arial"/>
      <family val="2"/>
    </font>
    <font>
      <b/>
      <sz val="10"/>
      <color rgb="FF7030A0"/>
      <name val="Arial"/>
      <family val="2"/>
    </font>
    <font>
      <sz val="10"/>
      <color rgb="FF7030A0"/>
      <name val="Arial"/>
      <family val="2"/>
    </font>
    <font>
      <sz val="8"/>
      <color theme="0"/>
      <name val="Arial"/>
      <family val="2"/>
    </font>
    <font>
      <sz val="8"/>
      <color theme="1"/>
      <name val="arial"/>
      <family val="2"/>
    </font>
    <font>
      <b/>
      <sz val="11"/>
      <color theme="1"/>
      <name val="等线"/>
      <family val="2"/>
      <scheme val="minor"/>
    </font>
    <font>
      <b/>
      <sz val="12"/>
      <color rgb="FF4F2D7F"/>
      <name val="Arial"/>
      <family val="2"/>
    </font>
    <font>
      <b/>
      <sz val="10"/>
      <color rgb="FFFF0000"/>
      <name val="Arial"/>
      <family val="2"/>
    </font>
    <font>
      <b/>
      <sz val="12"/>
      <color theme="0"/>
      <name val="Arial"/>
      <family val="2"/>
    </font>
    <font>
      <sz val="10"/>
      <color rgb="FFFF0000"/>
      <name val="Arial"/>
      <family val="2"/>
    </font>
    <font>
      <sz val="11"/>
      <color theme="1"/>
      <name val="Arial"/>
      <family val="2"/>
    </font>
    <font>
      <sz val="9"/>
      <color rgb="FFFF0000"/>
      <name val="Arial"/>
      <family val="2"/>
    </font>
    <font>
      <sz val="10"/>
      <color rgb="FF000000"/>
      <name val="Arial"/>
      <family val="2"/>
    </font>
    <font>
      <sz val="11"/>
      <name val="等线"/>
      <family val="2"/>
      <scheme val="minor"/>
    </font>
    <font>
      <sz val="9"/>
      <name val="等线"/>
      <family val="3"/>
      <charset val="134"/>
      <scheme val="minor"/>
    </font>
  </fonts>
  <fills count="8">
    <fill>
      <patternFill patternType="none"/>
    </fill>
    <fill>
      <patternFill patternType="gray125"/>
    </fill>
    <fill>
      <patternFill patternType="solid">
        <fgColor theme="0"/>
        <bgColor indexed="64"/>
      </patternFill>
    </fill>
    <fill>
      <patternFill patternType="solid">
        <fgColor rgb="FF4F2D7F"/>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indexed="64"/>
      </bottom>
      <diagonal/>
    </border>
    <border>
      <left/>
      <right style="thin">
        <color theme="0" tint="-0.14999847407452621"/>
      </right>
      <top style="thin">
        <color theme="0" tint="-0.14999847407452621"/>
      </top>
      <bottom/>
      <diagonal/>
    </border>
    <border>
      <left/>
      <right style="thin">
        <color theme="0" tint="-0.14999847407452621"/>
      </right>
      <top/>
      <bottom style="thin">
        <color indexed="64"/>
      </bottom>
      <diagonal/>
    </border>
    <border>
      <left/>
      <right/>
      <top/>
      <bottom style="medium">
        <color indexed="64"/>
      </bottom>
      <diagonal/>
    </border>
    <border>
      <left/>
      <right/>
      <top style="thin">
        <color indexed="64"/>
      </top>
      <bottom/>
      <diagonal/>
    </border>
    <border>
      <left style="thin">
        <color theme="0" tint="-0.14999847407452621"/>
      </left>
      <right/>
      <top style="thin">
        <color theme="0" tint="-0.14999847407452621"/>
      </top>
      <bottom/>
      <diagonal/>
    </border>
    <border>
      <left style="thin">
        <color theme="0" tint="-0.14999847407452621"/>
      </left>
      <right/>
      <top style="thin">
        <color theme="0" tint="-0.14999847407452621"/>
      </top>
      <bottom style="thin">
        <color theme="0" tint="-0.14999847407452621"/>
      </bottom>
      <diagonal/>
    </border>
    <border>
      <left/>
      <right style="thin">
        <color auto="1"/>
      </right>
      <top style="thin">
        <color theme="0" tint="-0.14999847407452621"/>
      </top>
      <bottom/>
      <diagonal/>
    </border>
    <border>
      <left style="thin">
        <color theme="0" tint="-0.14999847407452621"/>
      </left>
      <right style="thin">
        <color auto="1"/>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style="thin">
        <color indexed="64"/>
      </top>
      <bottom style="thin">
        <color indexed="64"/>
      </bottom>
      <diagonal/>
    </border>
  </borders>
  <cellStyleXfs count="4">
    <xf numFmtId="0" fontId="0" fillId="0" borderId="0"/>
    <xf numFmtId="176" fontId="1" fillId="0" borderId="0" applyFont="0" applyFill="0" applyBorder="0" applyAlignment="0" applyProtection="0"/>
    <xf numFmtId="9" fontId="1" fillId="0" borderId="0" applyFont="0" applyFill="0" applyBorder="0" applyAlignment="0" applyProtection="0"/>
    <xf numFmtId="0" fontId="1" fillId="0" borderId="0"/>
  </cellStyleXfs>
  <cellXfs count="51">
    <xf numFmtId="0" fontId="0" fillId="0" borderId="0" xfId="0"/>
    <xf numFmtId="0" fontId="2" fillId="2" borderId="0" xfId="0" applyFont="1" applyFill="1"/>
    <xf numFmtId="0" fontId="3" fillId="2" borderId="0" xfId="0" applyFont="1" applyFill="1" applyAlignment="1">
      <alignment vertical="top"/>
    </xf>
    <xf numFmtId="0" fontId="4" fillId="2" borderId="0" xfId="0" applyFont="1" applyFill="1" applyAlignment="1">
      <alignment horizontal="left" vertical="top" wrapText="1"/>
    </xf>
    <xf numFmtId="0" fontId="5" fillId="2" borderId="0" xfId="0" applyFont="1" applyFill="1" applyAlignment="1">
      <alignment vertical="top"/>
    </xf>
    <xf numFmtId="9" fontId="2" fillId="2" borderId="0" xfId="2" applyFont="1" applyFill="1"/>
    <xf numFmtId="177" fontId="6" fillId="2" borderId="1" xfId="1" applyNumberFormat="1" applyFont="1" applyFill="1" applyBorder="1" applyAlignment="1">
      <alignment vertical="top"/>
    </xf>
    <xf numFmtId="0" fontId="7" fillId="2" borderId="0" xfId="0" applyFont="1" applyFill="1" applyAlignment="1">
      <alignment vertical="top"/>
    </xf>
    <xf numFmtId="0" fontId="8" fillId="2" borderId="0" xfId="0" applyFont="1" applyFill="1" applyAlignment="1">
      <alignment vertical="top"/>
    </xf>
    <xf numFmtId="0" fontId="9" fillId="2" borderId="0" xfId="0" applyFont="1" applyFill="1" applyAlignment="1">
      <alignment vertical="top"/>
    </xf>
    <xf numFmtId="0" fontId="10" fillId="2" borderId="0" xfId="0" applyFont="1" applyFill="1"/>
    <xf numFmtId="0" fontId="11" fillId="3" borderId="2" xfId="0" applyFont="1" applyFill="1" applyBorder="1" applyAlignment="1">
      <alignment vertical="center"/>
    </xf>
    <xf numFmtId="0" fontId="11" fillId="3" borderId="7" xfId="0" applyFont="1" applyFill="1" applyBorder="1" applyAlignment="1">
      <alignment horizontal="center" vertical="center"/>
    </xf>
    <xf numFmtId="0" fontId="11" fillId="3" borderId="8" xfId="0" applyFont="1" applyFill="1" applyBorder="1" applyAlignment="1">
      <alignment horizontal="center" vertical="center"/>
    </xf>
    <xf numFmtId="0" fontId="11" fillId="3" borderId="9" xfId="0" applyFont="1" applyFill="1" applyBorder="1" applyAlignment="1">
      <alignment horizontal="center" vertical="center" wrapText="1"/>
    </xf>
    <xf numFmtId="0" fontId="11" fillId="3" borderId="10" xfId="0" applyFont="1" applyFill="1" applyBorder="1" applyAlignment="1">
      <alignment vertical="center"/>
    </xf>
    <xf numFmtId="0" fontId="11" fillId="3" borderId="11" xfId="0" applyFont="1" applyFill="1" applyBorder="1" applyAlignment="1">
      <alignment horizontal="center" vertical="center" wrapText="1"/>
    </xf>
    <xf numFmtId="177" fontId="2" fillId="2" borderId="12" xfId="1" applyNumberFormat="1" applyFont="1" applyFill="1" applyBorder="1"/>
    <xf numFmtId="177" fontId="2" fillId="2" borderId="12" xfId="1" applyNumberFormat="1" applyFont="1" applyFill="1" applyBorder="1" applyAlignment="1">
      <alignment horizontal="right"/>
    </xf>
    <xf numFmtId="0" fontId="12" fillId="0" borderId="13" xfId="0" applyFont="1" applyBorder="1" applyAlignment="1" applyProtection="1">
      <alignment horizontal="left" vertical="center" wrapText="1"/>
      <protection locked="0"/>
    </xf>
    <xf numFmtId="14" fontId="12" fillId="0" borderId="13" xfId="0" applyNumberFormat="1" applyFont="1" applyBorder="1" applyAlignment="1" applyProtection="1">
      <alignment horizontal="left" vertical="center" wrapText="1"/>
      <protection locked="0"/>
    </xf>
    <xf numFmtId="0" fontId="0" fillId="0" borderId="0" xfId="0" applyAlignment="1">
      <alignment wrapText="1"/>
    </xf>
    <xf numFmtId="10" fontId="6" fillId="4" borderId="1" xfId="1" applyNumberFormat="1" applyFont="1" applyFill="1" applyBorder="1" applyAlignment="1">
      <alignment vertical="top"/>
    </xf>
    <xf numFmtId="177" fontId="6" fillId="4" borderId="1" xfId="1" applyNumberFormat="1" applyFont="1" applyFill="1" applyBorder="1" applyAlignment="1">
      <alignment vertical="top"/>
    </xf>
    <xf numFmtId="0" fontId="14" fillId="0" borderId="0" xfId="0" applyFont="1" applyAlignment="1">
      <alignment vertical="center"/>
    </xf>
    <xf numFmtId="0" fontId="13" fillId="0" borderId="0" xfId="0" applyFont="1"/>
    <xf numFmtId="17" fontId="15" fillId="0" borderId="0" xfId="0" quotePrefix="1" applyNumberFormat="1" applyFont="1" applyAlignment="1">
      <alignment horizontal="left" vertical="top" wrapText="1"/>
    </xf>
    <xf numFmtId="0" fontId="16" fillId="0" borderId="0" xfId="0" applyFont="1" applyAlignment="1">
      <alignment horizontal="left" vertical="center" wrapText="1"/>
    </xf>
    <xf numFmtId="17" fontId="15" fillId="0" borderId="0" xfId="0" quotePrefix="1" applyNumberFormat="1" applyFont="1" applyAlignment="1">
      <alignment horizontal="left" vertical="center" wrapText="1"/>
    </xf>
    <xf numFmtId="0" fontId="18" fillId="0" borderId="0" xfId="0" applyFont="1"/>
    <xf numFmtId="0" fontId="19" fillId="0" borderId="0" xfId="0" applyFont="1" applyAlignment="1">
      <alignment horizontal="left"/>
    </xf>
    <xf numFmtId="0" fontId="17" fillId="0" borderId="0" xfId="0" applyFont="1" applyAlignment="1">
      <alignment horizontal="left" vertical="top" wrapText="1"/>
    </xf>
    <xf numFmtId="0" fontId="4" fillId="0" borderId="0" xfId="3" quotePrefix="1" applyFont="1" applyAlignment="1" applyProtection="1">
      <alignment vertical="center"/>
      <protection locked="0"/>
    </xf>
    <xf numFmtId="0" fontId="3" fillId="5" borderId="1" xfId="0" applyFont="1" applyFill="1" applyBorder="1" applyAlignment="1">
      <alignment vertical="top" wrapText="1"/>
    </xf>
    <xf numFmtId="0" fontId="20" fillId="6" borderId="1" xfId="0" applyFont="1" applyFill="1" applyBorder="1" applyAlignment="1">
      <alignment vertical="top" wrapText="1"/>
    </xf>
    <xf numFmtId="0" fontId="19" fillId="0" borderId="0" xfId="0" applyFont="1" applyAlignment="1">
      <alignment wrapText="1"/>
    </xf>
    <xf numFmtId="0" fontId="3" fillId="5" borderId="1" xfId="0" applyFont="1" applyFill="1" applyBorder="1" applyAlignment="1">
      <alignment horizontal="left" vertical="top" wrapText="1"/>
    </xf>
    <xf numFmtId="0" fontId="2" fillId="6" borderId="1" xfId="0" applyFont="1" applyFill="1" applyBorder="1" applyAlignment="1">
      <alignment horizontal="left" vertical="top" wrapText="1"/>
    </xf>
    <xf numFmtId="0" fontId="17" fillId="0" borderId="0" xfId="0" applyFont="1"/>
    <xf numFmtId="0" fontId="21" fillId="0" borderId="0" xfId="0" applyFont="1"/>
    <xf numFmtId="9" fontId="6" fillId="2" borderId="1" xfId="1" applyNumberFormat="1" applyFont="1" applyFill="1" applyBorder="1" applyAlignment="1">
      <alignment vertical="top"/>
    </xf>
    <xf numFmtId="0" fontId="0" fillId="7" borderId="0" xfId="0" applyFill="1" applyAlignment="1">
      <alignment wrapText="1"/>
    </xf>
    <xf numFmtId="17" fontId="0" fillId="7" borderId="0" xfId="0" applyNumberFormat="1" applyFill="1" applyAlignment="1">
      <alignment wrapText="1"/>
    </xf>
    <xf numFmtId="0" fontId="6" fillId="6" borderId="14" xfId="3" applyFont="1" applyFill="1" applyBorder="1" applyAlignment="1">
      <alignment vertical="top" wrapText="1"/>
    </xf>
    <xf numFmtId="57" fontId="0" fillId="0" borderId="0" xfId="0" applyNumberFormat="1" applyAlignment="1">
      <alignment wrapText="1"/>
    </xf>
    <xf numFmtId="0" fontId="15" fillId="0" borderId="0" xfId="0" applyFont="1" applyAlignment="1">
      <alignment horizontal="left" vertical="top" wrapText="1"/>
    </xf>
    <xf numFmtId="0" fontId="17" fillId="0" borderId="0" xfId="0" applyFont="1" applyAlignment="1">
      <alignment horizontal="left" vertical="top" wrapText="1"/>
    </xf>
    <xf numFmtId="0" fontId="11" fillId="3" borderId="5" xfId="0" applyFont="1" applyFill="1" applyBorder="1" applyAlignment="1">
      <alignment horizontal="center" vertical="center" wrapText="1"/>
    </xf>
    <xf numFmtId="0" fontId="0" fillId="0" borderId="6" xfId="0" applyBorder="1" applyAlignment="1">
      <alignment horizontal="center" vertical="center" wrapText="1"/>
    </xf>
    <xf numFmtId="0" fontId="11" fillId="3" borderId="3" xfId="0" applyFont="1" applyFill="1" applyBorder="1" applyAlignment="1">
      <alignment horizontal="center" vertical="center" wrapText="1"/>
    </xf>
    <xf numFmtId="0" fontId="0" fillId="0" borderId="4" xfId="0" applyBorder="1" applyAlignment="1">
      <alignment horizontal="center" vertical="center" wrapText="1"/>
    </xf>
  </cellXfs>
  <cellStyles count="4">
    <cellStyle name="Normal 5" xfId="3" xr:uid="{42373A65-8983-4387-8350-5EEF189DF4DD}"/>
    <cellStyle name="百分比" xfId="2" builtinId="5"/>
    <cellStyle name="常规" xfId="0" builtinId="0"/>
    <cellStyle name="千位分隔" xfId="1" builtinId="3"/>
  </cellStyles>
  <dxfs count="13">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border>
        <vertical/>
        <horizontal/>
      </border>
    </dxf>
    <dxf>
      <fill>
        <patternFill>
          <bgColor theme="7" tint="0.79998168889431442"/>
        </patternFill>
      </fill>
      <border>
        <vertical/>
        <horizontal/>
      </border>
    </dxf>
    <dxf>
      <fill>
        <patternFill>
          <bgColor theme="7"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inetorg.sharepoint.com/GTIL-DevOps/Voyager/Methodology%20Templates/Group%20audit%20templates/Component%20Significance%20and%20Scoping/Development/Component%20Significance%20and%20Scoping-GTIL%20-%20Translatable%20M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Instructions"/>
      <sheetName val="Data input"/>
      <sheetName val="Scoping input"/>
      <sheetName val="Summary by type of work report"/>
      <sheetName val="Translation"/>
      <sheetName val="List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59DB8-065C-4875-A43F-32CA217E84E6}">
  <sheetPr codeName="Sheet2"/>
  <dimension ref="A1:D15"/>
  <sheetViews>
    <sheetView zoomScale="81" zoomScaleNormal="81" workbookViewId="0">
      <selection activeCell="B25" sqref="B25"/>
    </sheetView>
  </sheetViews>
  <sheetFormatPr defaultRowHeight="14.25" x14ac:dyDescent="0.2"/>
  <cols>
    <col min="1" max="1" width="27.75" customWidth="1"/>
    <col min="2" max="2" width="112.75" customWidth="1"/>
    <col min="3" max="3" width="1.125" customWidth="1"/>
    <col min="4" max="5" width="18.75" customWidth="1"/>
  </cols>
  <sheetData>
    <row r="1" spans="1:4" ht="15.75" x14ac:dyDescent="0.2">
      <c r="A1" s="24" t="str">
        <f>_sheetContentTranslation_A_24</f>
        <v>确定组成部分重要性水平</v>
      </c>
      <c r="B1" s="24"/>
      <c r="D1" s="25"/>
    </row>
    <row r="2" spans="1:4" ht="15.75" x14ac:dyDescent="0.2">
      <c r="A2" s="26" t="s">
        <v>0</v>
      </c>
      <c r="B2" s="27"/>
    </row>
    <row r="3" spans="1:4" ht="15.75" x14ac:dyDescent="0.2">
      <c r="A3" s="28"/>
      <c r="B3" s="27"/>
    </row>
    <row r="4" spans="1:4" x14ac:dyDescent="0.2">
      <c r="A4" s="45" t="str">
        <f>_sheetContentTranslation_A_26</f>
        <v>请删除这些说明，这些说明无需包含在审计档案中。</v>
      </c>
      <c r="B4" s="45"/>
    </row>
    <row r="5" spans="1:4" ht="15.75" x14ac:dyDescent="0.2">
      <c r="A5" s="28"/>
      <c r="B5" s="27"/>
    </row>
    <row r="6" spans="1:4" s="29" customFormat="1" ht="57.95" customHeight="1" x14ac:dyDescent="0.2">
      <c r="A6" s="46" t="str">
        <f>_sheetContentTranslation_A_27</f>
        <v>致集团项目组的说明： 本模板用于帮助集团项目组确定组成部分重要性水平。只有在对组成部分的财务信息进行审计或审阅时，才需要确定组成部分的重要性。组成部分的重要性应当低于集团财务报表整体的重要性。本模板提供了一种可选方法（"平方根方法"），即通过按组成部分的相对规模比例分配集团重要性来确定潜在的组成部分重要性。</v>
      </c>
      <c r="B6" s="46"/>
      <c r="D6" s="30"/>
    </row>
    <row r="7" spans="1:4" s="29" customFormat="1" x14ac:dyDescent="0.2">
      <c r="A7" s="31"/>
      <c r="B7" s="31"/>
    </row>
    <row r="8" spans="1:4" s="29" customFormat="1" x14ac:dyDescent="0.2">
      <c r="A8" s="32" t="str">
        <f>_sheetContentTranslation_A_28</f>
        <v>本模板使用指南</v>
      </c>
      <c r="B8" s="31"/>
    </row>
    <row r="9" spans="1:4" s="29" customFormat="1" x14ac:dyDescent="0.2">
      <c r="A9" s="32"/>
      <c r="B9" s="31"/>
    </row>
    <row r="10" spans="1:4" s="29" customFormat="1" x14ac:dyDescent="0.2">
      <c r="A10" s="33" t="str">
        <f>_sheetContentTranslation_A_29</f>
        <v>说明</v>
      </c>
      <c r="B10" s="34" t="str">
        <f>_sheetContentTranslation_A_30</f>
        <v>本模板包含具有条件格式化和数据验证功能的单元格，包括下拉列表。为获得最佳效果，请从上到下、从左到右填写模板。浅黄色单元格需要用户输入内容。</v>
      </c>
      <c r="D10" s="35"/>
    </row>
    <row r="11" spans="1:4" s="29" customFormat="1" x14ac:dyDescent="0.2">
      <c r="A11" s="33" t="str">
        <f>_sheetContentTranslation_A_6</f>
        <v>输入值</v>
      </c>
      <c r="B11" s="43" t="str">
        <f>_sheetContentTranslation_A_31</f>
        <v>本部分输入的信息来自”组成部分重要程度和确定审计范围“模板。</v>
      </c>
    </row>
    <row r="12" spans="1:4" s="29" customFormat="1" ht="25.5" x14ac:dyDescent="0.2">
      <c r="A12" s="33" t="str">
        <f>_sheetContentTranslation_A_32</f>
        <v>添加或删除行</v>
      </c>
      <c r="B12" s="43" t="str">
        <f>_sheetContentTranslation_A_33</f>
        <v>在输入框中设置 "不包括权益法投资 "和 "属于权益法投资的组成部分 "的组成部分个数（最多 100 个）。这可以帮助添加所需要的行。通过调整组成部分的数量可在模板中添加或删除行。请勿手动添加行。</v>
      </c>
      <c r="D12" s="35"/>
    </row>
    <row r="13" spans="1:4" s="29" customFormat="1" ht="280.5" x14ac:dyDescent="0.2">
      <c r="A13" s="36" t="str">
        <f>_sheetContentTranslation_A_3</f>
        <v>确定组成部分重要性水平</v>
      </c>
      <c r="B13" s="37" t="str">
        <f>_sheetContentTranslation_A_34</f>
        <v xml:space="preserve">确定组成部分重要性属于职业判断。为降低未更正和未发现错报的汇总数超过集团财务报表整体的重要性的风险，需要将组成部分重要性设定为低于集团财务报表整体的重要性。然而，对不同组成部分确定的重要性的汇总数，有可能高于集团财务报表整体的重要性（即确定组成部分重要性时，无需采用将集团财务报表整体重要性按比例分配的方式）。此外，组成部分重要性无需成为集团整体重要性的一个数字比例。
在确定组成部分重要性时，必须考虑所有组成部分，以降低集团财务报表中已发现和未发现错报的总和超过集团财务报表整体重要性的风险。集团项目组可以使用集团实际执行的重要性作为确定组成部分重要性的起点。但是，可以通过确定适当的金额，为不同组成部分确定不同的组成部分重要性。
下列是集团参与团队在确定组成部分重要性时可采用的一些方法：
- 根据集团重要性与组成部分相对规模的分配比例确定组成部分重要性，该模板通过采用平方根法（可选方法）帮助集团项目组确定组成部分重要性。分配的金额为确定组成部分重要性提供了指引，但在具体情况下，考虑到集团实际执行的重要性、对各组成部分执行的工作类型以及集团总体审计策略和具体审计计划，较低或较高的金额都可能是适当的。
  -  将组成部分的重要性设定在一个较低的水平，该水平由组成部分注册会计师确定，用于法律法规或其他原因所要求的组成部分的财务报表审计。在这种情况下，在其他组成部分中使用较高的组成部分重要性金额可能是适当的，但也要考虑到组成部分的规模。
</v>
      </c>
    </row>
    <row r="14" spans="1:4" s="29" customFormat="1" ht="127.5" x14ac:dyDescent="0.2">
      <c r="A14" s="36" t="str">
        <f>_sheetContentTranslation_A_35</f>
        <v>针对权益法投资的组成部分确定其重要性水平</v>
      </c>
      <c r="B14" s="37" t="str">
        <f>_sheetContentTranslation_A_36</f>
        <v>有时，按权益法核算的被投资实体比投资方（集团）明显更大，用以支持投资方享有投资收益的证据可能主要由被投资方经审计的财务报表组成。在这种情况下，被投资方注册会计师使用的重要性可能大于投资方注册会计师使用的重要性水平。当存在这类情况时，集团项目组在确定被投资方注册会计师使用的组成部分重要性是否适合于集团财务报表审计时，可以考虑集团的持股比例及其在被投资方损益中所占份额等事项，以确定被投资方的注册会计师所使用的组成部分重要性是否适合于集团财务报表审计。也就是说，在确定组成部分重要性时，可能需要考虑基于所有权比例按权益法核算的被投资实体的错报对集团财务报表的影响。事务所的方法论为使用集团财务报表整体实际执行的重要性作为起点来确定组成部分重要性提供了方法；例如，使用集团财务报表整体实际执行的重要性（400,000）除以所有权比例（40%），得出按权益法核算的被投资实体的组成部分重要性（1,000,000）。其他方法，例如对恰当的基准应用合理的百分比或直接确定一个恰当的组成部分重要性金额，也适用。</v>
      </c>
      <c r="D14" s="38"/>
    </row>
    <row r="15" spans="1:4" x14ac:dyDescent="0.2">
      <c r="A15" s="39"/>
      <c r="B15" s="39"/>
    </row>
  </sheetData>
  <mergeCells count="2">
    <mergeCell ref="A4:B4"/>
    <mergeCell ref="A6:B6"/>
  </mergeCells>
  <phoneticPr fontId="22" type="noConversion"/>
  <pageMargins left="0.7" right="0.7" top="0.75" bottom="0.75" header="0.3" footer="0.3"/>
  <pageSetup orientation="portrait"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0CE18-4D90-4F77-BA78-81E5EADFA090}">
  <sheetPr codeName="Sheet1"/>
  <dimension ref="B1:G219"/>
  <sheetViews>
    <sheetView tabSelected="1" workbookViewId="0">
      <selection activeCell="B232" sqref="B232"/>
    </sheetView>
  </sheetViews>
  <sheetFormatPr defaultColWidth="11.375" defaultRowHeight="12.75" x14ac:dyDescent="0.2"/>
  <cols>
    <col min="1" max="1" width="5.625" style="1" customWidth="1"/>
    <col min="2" max="2" width="58.625" style="1" customWidth="1"/>
    <col min="3" max="3" width="43.375" style="1" customWidth="1"/>
    <col min="4" max="4" width="20.375" style="1" customWidth="1"/>
    <col min="5" max="5" width="23.625" style="1" customWidth="1"/>
    <col min="6" max="6" width="37" style="1" customWidth="1"/>
    <col min="7" max="7" width="26.625" style="1" customWidth="1"/>
    <col min="8" max="16384" width="11.375" style="1"/>
  </cols>
  <sheetData>
    <row r="1" spans="2:7" x14ac:dyDescent="0.2">
      <c r="B1" s="2"/>
      <c r="C1" s="2"/>
    </row>
    <row r="2" spans="2:7" ht="15.75" x14ac:dyDescent="0.2">
      <c r="B2" s="7" t="str">
        <f>_sheetContentTranslation_A_3</f>
        <v>确定组成部分重要性水平</v>
      </c>
      <c r="C2" s="7"/>
      <c r="D2" s="8"/>
      <c r="E2" s="9"/>
      <c r="F2" s="9"/>
      <c r="G2" s="10"/>
    </row>
    <row r="3" spans="2:7" ht="15.75" x14ac:dyDescent="0.2">
      <c r="B3" s="7"/>
      <c r="C3" s="7"/>
      <c r="D3" s="8"/>
      <c r="E3" s="9"/>
      <c r="F3" s="9"/>
      <c r="G3" s="10"/>
    </row>
    <row r="4" spans="2:7" x14ac:dyDescent="0.2">
      <c r="B4" s="15" t="str">
        <f>_sheetContentTranslation_A_4</f>
        <v>集团名称</v>
      </c>
      <c r="C4" s="19"/>
      <c r="F4" s="9"/>
      <c r="G4" s="10"/>
    </row>
    <row r="5" spans="2:7" x14ac:dyDescent="0.2">
      <c r="B5" s="15" t="str">
        <f>_sheetContentTranslation_A_5</f>
        <v>集团报表截止日</v>
      </c>
      <c r="C5" s="20"/>
      <c r="F5" s="9"/>
      <c r="G5" s="10"/>
    </row>
    <row r="6" spans="2:7" ht="12.75" customHeight="1" x14ac:dyDescent="0.2">
      <c r="B6" s="3"/>
      <c r="C6" s="3"/>
      <c r="D6" s="3"/>
      <c r="E6" s="3"/>
      <c r="F6" s="3"/>
    </row>
    <row r="7" spans="2:7" ht="14.25" customHeight="1" x14ac:dyDescent="0.2">
      <c r="B7" s="14" t="str">
        <f>_sheetContentTranslation_A_6</f>
        <v>输入值</v>
      </c>
      <c r="C7" s="16"/>
      <c r="D7" s="4"/>
      <c r="E7" s="4"/>
      <c r="F7" s="3"/>
    </row>
    <row r="8" spans="2:7" x14ac:dyDescent="0.2">
      <c r="B8" s="11" t="str">
        <f>_sheetContentTranslation_A_7</f>
        <v>集团重要性水平</v>
      </c>
      <c r="C8" s="17"/>
      <c r="D8" s="4"/>
      <c r="E8" s="4"/>
      <c r="F8" s="4"/>
      <c r="G8" s="5"/>
    </row>
    <row r="9" spans="2:7" x14ac:dyDescent="0.2">
      <c r="B9" s="11" t="str">
        <f>_sheetContentTranslation_A_8</f>
        <v>选取基准</v>
      </c>
      <c r="C9" s="18"/>
      <c r="D9" s="4"/>
      <c r="E9" s="4"/>
      <c r="F9" s="4"/>
    </row>
    <row r="10" spans="2:7" x14ac:dyDescent="0.2">
      <c r="B10" s="11" t="str">
        <f>_sheetContentTranslation_A_9</f>
        <v>集团基准金额</v>
      </c>
      <c r="C10" s="17"/>
      <c r="D10" s="4"/>
      <c r="E10" s="4"/>
      <c r="F10" s="4"/>
    </row>
    <row r="11" spans="2:7" ht="12.75" customHeight="1" x14ac:dyDescent="0.2">
      <c r="B11" s="11" t="str">
        <f>_sheetContentTranslation_A_10</f>
        <v>集团实际执行的重要性</v>
      </c>
      <c r="C11" s="17"/>
      <c r="D11" s="4"/>
      <c r="E11" s="4"/>
      <c r="F11" s="4"/>
    </row>
    <row r="12" spans="2:7" ht="12.75" customHeight="1" x14ac:dyDescent="0.2">
      <c r="B12" s="11" t="str">
        <f>_sheetContentTranslation_A_11</f>
        <v>组成部分个数，不包括权益法投资</v>
      </c>
      <c r="C12" s="17"/>
      <c r="D12" s="4"/>
      <c r="E12" s="4"/>
      <c r="F12" s="4"/>
    </row>
    <row r="13" spans="2:7" ht="12.75" customHeight="1" x14ac:dyDescent="0.2">
      <c r="B13" s="11" t="str">
        <f>_sheetContentTranslation_A_12</f>
        <v>权益法投资的组成部分个数</v>
      </c>
      <c r="C13" s="17"/>
      <c r="D13" s="4"/>
      <c r="E13" s="4"/>
      <c r="F13" s="4"/>
    </row>
    <row r="14" spans="2:7" x14ac:dyDescent="0.2">
      <c r="B14" s="4"/>
      <c r="C14" s="4"/>
      <c r="D14" s="4"/>
      <c r="E14" s="4"/>
      <c r="F14" s="4"/>
    </row>
    <row r="15" spans="2:7" ht="12.75" customHeight="1" x14ac:dyDescent="0.2">
      <c r="B15" s="13" t="str">
        <f>_sheetContentTranslation_A_13</f>
        <v>组成部分</v>
      </c>
      <c r="C15" s="47"/>
      <c r="D15" s="47" t="str">
        <f>_sheetContentTranslation_A_15</f>
        <v>组成部分基准金额</v>
      </c>
      <c r="E15" s="49" t="str">
        <f>_sheetContentTranslation_A_16</f>
        <v>集团基准金额适用百分比</v>
      </c>
      <c r="F15" s="49" t="str">
        <f>_sheetContentTranslation_A_17</f>
        <v>潜在组成部分重要性
(平方根法）</v>
      </c>
      <c r="G15" s="49" t="str">
        <f>_sheetContentTranslation_A_18</f>
        <v>确定的组成部分重要性水平</v>
      </c>
    </row>
    <row r="16" spans="2:7" ht="14.25" customHeight="1" x14ac:dyDescent="0.2">
      <c r="B16" s="12" t="str">
        <f>_sheetContentTranslation_A_19</f>
        <v>仅审计或审阅的财务信息</v>
      </c>
      <c r="C16" s="48"/>
      <c r="D16" s="48"/>
      <c r="E16" s="50"/>
      <c r="F16" s="50"/>
      <c r="G16" s="50"/>
    </row>
    <row r="17" spans="2:7" x14ac:dyDescent="0.2">
      <c r="B17" s="6"/>
      <c r="C17" s="6"/>
      <c r="D17" s="6"/>
      <c r="E17" s="22" t="str">
        <f>IFERROR(D17/$C$10,"")</f>
        <v/>
      </c>
      <c r="F17" s="23" t="str">
        <f>IFERROR(MROUND($C$8*SQRT(E17), 1000),"")</f>
        <v/>
      </c>
      <c r="G17" s="6"/>
    </row>
    <row r="18" spans="2:7" x14ac:dyDescent="0.2">
      <c r="B18" s="6"/>
      <c r="C18" s="6"/>
      <c r="D18" s="6"/>
      <c r="E18" s="22" t="str">
        <f>IFERROR(D18/$C$10,"")</f>
        <v/>
      </c>
      <c r="F18" s="23" t="str">
        <f t="shared" ref="F18:F81" si="0">IFERROR(MROUND($C$8*SQRT(E18), 1000),"")</f>
        <v/>
      </c>
      <c r="G18" s="6"/>
    </row>
    <row r="19" spans="2:7" x14ac:dyDescent="0.2">
      <c r="B19" s="6"/>
      <c r="C19" s="6"/>
      <c r="D19" s="6"/>
      <c r="E19" s="22" t="str">
        <f t="shared" ref="E19:E82" si="1">IFERROR(D19/$C$10,"")</f>
        <v/>
      </c>
      <c r="F19" s="23" t="str">
        <f t="shared" si="0"/>
        <v/>
      </c>
      <c r="G19" s="6"/>
    </row>
    <row r="20" spans="2:7" hidden="1" x14ac:dyDescent="0.2">
      <c r="B20" s="6"/>
      <c r="C20" s="6"/>
      <c r="D20" s="6"/>
      <c r="E20" s="22" t="str">
        <f t="shared" si="1"/>
        <v/>
      </c>
      <c r="F20" s="23" t="str">
        <f t="shared" si="0"/>
        <v/>
      </c>
      <c r="G20" s="6"/>
    </row>
    <row r="21" spans="2:7" hidden="1" x14ac:dyDescent="0.2">
      <c r="B21" s="6"/>
      <c r="C21" s="6"/>
      <c r="D21" s="6"/>
      <c r="E21" s="22" t="str">
        <f t="shared" si="1"/>
        <v/>
      </c>
      <c r="F21" s="23" t="str">
        <f t="shared" si="0"/>
        <v/>
      </c>
      <c r="G21" s="6"/>
    </row>
    <row r="22" spans="2:7" hidden="1" x14ac:dyDescent="0.2">
      <c r="B22" s="6"/>
      <c r="C22" s="6"/>
      <c r="D22" s="6"/>
      <c r="E22" s="22" t="str">
        <f t="shared" si="1"/>
        <v/>
      </c>
      <c r="F22" s="23" t="str">
        <f t="shared" si="0"/>
        <v/>
      </c>
      <c r="G22" s="6"/>
    </row>
    <row r="23" spans="2:7" hidden="1" x14ac:dyDescent="0.2">
      <c r="B23" s="6"/>
      <c r="C23" s="6"/>
      <c r="D23" s="6"/>
      <c r="E23" s="22" t="str">
        <f t="shared" si="1"/>
        <v/>
      </c>
      <c r="F23" s="23" t="str">
        <f t="shared" si="0"/>
        <v/>
      </c>
      <c r="G23" s="6"/>
    </row>
    <row r="24" spans="2:7" hidden="1" x14ac:dyDescent="0.2">
      <c r="B24" s="6"/>
      <c r="C24" s="6"/>
      <c r="D24" s="6"/>
      <c r="E24" s="22" t="str">
        <f t="shared" si="1"/>
        <v/>
      </c>
      <c r="F24" s="23" t="str">
        <f t="shared" si="0"/>
        <v/>
      </c>
      <c r="G24" s="6"/>
    </row>
    <row r="25" spans="2:7" hidden="1" x14ac:dyDescent="0.2">
      <c r="B25" s="6"/>
      <c r="C25" s="6"/>
      <c r="D25" s="6"/>
      <c r="E25" s="22" t="str">
        <f t="shared" si="1"/>
        <v/>
      </c>
      <c r="F25" s="23" t="str">
        <f t="shared" si="0"/>
        <v/>
      </c>
      <c r="G25" s="6"/>
    </row>
    <row r="26" spans="2:7" hidden="1" x14ac:dyDescent="0.2">
      <c r="B26" s="6"/>
      <c r="C26" s="6"/>
      <c r="D26" s="6"/>
      <c r="E26" s="22" t="str">
        <f t="shared" si="1"/>
        <v/>
      </c>
      <c r="F26" s="23" t="str">
        <f t="shared" si="0"/>
        <v/>
      </c>
      <c r="G26" s="6"/>
    </row>
    <row r="27" spans="2:7" hidden="1" x14ac:dyDescent="0.2">
      <c r="B27" s="6"/>
      <c r="C27" s="6"/>
      <c r="D27" s="6"/>
      <c r="E27" s="22" t="str">
        <f t="shared" si="1"/>
        <v/>
      </c>
      <c r="F27" s="23" t="str">
        <f t="shared" si="0"/>
        <v/>
      </c>
      <c r="G27" s="6"/>
    </row>
    <row r="28" spans="2:7" hidden="1" x14ac:dyDescent="0.2">
      <c r="B28" s="6"/>
      <c r="C28" s="6"/>
      <c r="D28" s="6"/>
      <c r="E28" s="22" t="str">
        <f t="shared" si="1"/>
        <v/>
      </c>
      <c r="F28" s="23" t="str">
        <f t="shared" si="0"/>
        <v/>
      </c>
      <c r="G28" s="6"/>
    </row>
    <row r="29" spans="2:7" hidden="1" x14ac:dyDescent="0.2">
      <c r="B29" s="6"/>
      <c r="C29" s="6"/>
      <c r="D29" s="6"/>
      <c r="E29" s="22" t="str">
        <f t="shared" si="1"/>
        <v/>
      </c>
      <c r="F29" s="23" t="str">
        <f t="shared" si="0"/>
        <v/>
      </c>
      <c r="G29" s="6"/>
    </row>
    <row r="30" spans="2:7" hidden="1" x14ac:dyDescent="0.2">
      <c r="B30" s="6"/>
      <c r="C30" s="6"/>
      <c r="D30" s="6"/>
      <c r="E30" s="22" t="str">
        <f t="shared" si="1"/>
        <v/>
      </c>
      <c r="F30" s="23" t="str">
        <f t="shared" si="0"/>
        <v/>
      </c>
      <c r="G30" s="6"/>
    </row>
    <row r="31" spans="2:7" hidden="1" x14ac:dyDescent="0.2">
      <c r="B31" s="6"/>
      <c r="C31" s="6"/>
      <c r="D31" s="6"/>
      <c r="E31" s="22" t="str">
        <f t="shared" si="1"/>
        <v/>
      </c>
      <c r="F31" s="23" t="str">
        <f t="shared" si="0"/>
        <v/>
      </c>
      <c r="G31" s="6"/>
    </row>
    <row r="32" spans="2:7" hidden="1" x14ac:dyDescent="0.2">
      <c r="B32" s="6"/>
      <c r="C32" s="6"/>
      <c r="D32" s="6"/>
      <c r="E32" s="22" t="str">
        <f t="shared" si="1"/>
        <v/>
      </c>
      <c r="F32" s="23" t="str">
        <f t="shared" si="0"/>
        <v/>
      </c>
      <c r="G32" s="6"/>
    </row>
    <row r="33" spans="2:7" hidden="1" x14ac:dyDescent="0.2">
      <c r="B33" s="6"/>
      <c r="C33" s="6"/>
      <c r="D33" s="6"/>
      <c r="E33" s="22" t="str">
        <f t="shared" si="1"/>
        <v/>
      </c>
      <c r="F33" s="23" t="str">
        <f t="shared" si="0"/>
        <v/>
      </c>
      <c r="G33" s="6"/>
    </row>
    <row r="34" spans="2:7" hidden="1" x14ac:dyDescent="0.2">
      <c r="B34" s="6"/>
      <c r="C34" s="6"/>
      <c r="D34" s="6"/>
      <c r="E34" s="22" t="str">
        <f t="shared" si="1"/>
        <v/>
      </c>
      <c r="F34" s="23" t="str">
        <f t="shared" si="0"/>
        <v/>
      </c>
      <c r="G34" s="6"/>
    </row>
    <row r="35" spans="2:7" hidden="1" x14ac:dyDescent="0.2">
      <c r="B35" s="6"/>
      <c r="C35" s="6"/>
      <c r="D35" s="6"/>
      <c r="E35" s="22" t="str">
        <f t="shared" si="1"/>
        <v/>
      </c>
      <c r="F35" s="23" t="str">
        <f t="shared" si="0"/>
        <v/>
      </c>
      <c r="G35" s="6"/>
    </row>
    <row r="36" spans="2:7" hidden="1" x14ac:dyDescent="0.2">
      <c r="B36" s="6"/>
      <c r="C36" s="6"/>
      <c r="D36" s="6"/>
      <c r="E36" s="22" t="str">
        <f t="shared" si="1"/>
        <v/>
      </c>
      <c r="F36" s="23" t="str">
        <f t="shared" si="0"/>
        <v/>
      </c>
      <c r="G36" s="6"/>
    </row>
    <row r="37" spans="2:7" hidden="1" x14ac:dyDescent="0.2">
      <c r="B37" s="6"/>
      <c r="C37" s="6"/>
      <c r="D37" s="6"/>
      <c r="E37" s="22" t="str">
        <f t="shared" si="1"/>
        <v/>
      </c>
      <c r="F37" s="23" t="str">
        <f t="shared" si="0"/>
        <v/>
      </c>
      <c r="G37" s="6"/>
    </row>
    <row r="38" spans="2:7" hidden="1" x14ac:dyDescent="0.2">
      <c r="B38" s="6"/>
      <c r="C38" s="6"/>
      <c r="D38" s="6"/>
      <c r="E38" s="22" t="str">
        <f t="shared" si="1"/>
        <v/>
      </c>
      <c r="F38" s="23" t="str">
        <f t="shared" si="0"/>
        <v/>
      </c>
      <c r="G38" s="6"/>
    </row>
    <row r="39" spans="2:7" hidden="1" x14ac:dyDescent="0.2">
      <c r="B39" s="6"/>
      <c r="C39" s="6"/>
      <c r="D39" s="6"/>
      <c r="E39" s="22" t="str">
        <f t="shared" si="1"/>
        <v/>
      </c>
      <c r="F39" s="23" t="str">
        <f t="shared" si="0"/>
        <v/>
      </c>
      <c r="G39" s="6"/>
    </row>
    <row r="40" spans="2:7" hidden="1" x14ac:dyDescent="0.2">
      <c r="B40" s="6"/>
      <c r="C40" s="6"/>
      <c r="D40" s="6"/>
      <c r="E40" s="22" t="str">
        <f t="shared" si="1"/>
        <v/>
      </c>
      <c r="F40" s="23" t="str">
        <f t="shared" si="0"/>
        <v/>
      </c>
      <c r="G40" s="6"/>
    </row>
    <row r="41" spans="2:7" hidden="1" x14ac:dyDescent="0.2">
      <c r="B41" s="6"/>
      <c r="C41" s="6"/>
      <c r="D41" s="6"/>
      <c r="E41" s="22" t="str">
        <f t="shared" si="1"/>
        <v/>
      </c>
      <c r="F41" s="23" t="str">
        <f t="shared" si="0"/>
        <v/>
      </c>
      <c r="G41" s="6"/>
    </row>
    <row r="42" spans="2:7" hidden="1" x14ac:dyDescent="0.2">
      <c r="B42" s="6"/>
      <c r="C42" s="6"/>
      <c r="D42" s="6"/>
      <c r="E42" s="22" t="str">
        <f t="shared" si="1"/>
        <v/>
      </c>
      <c r="F42" s="23" t="str">
        <f t="shared" si="0"/>
        <v/>
      </c>
      <c r="G42" s="6"/>
    </row>
    <row r="43" spans="2:7" hidden="1" x14ac:dyDescent="0.2">
      <c r="B43" s="6"/>
      <c r="C43" s="6"/>
      <c r="D43" s="6"/>
      <c r="E43" s="22" t="str">
        <f t="shared" si="1"/>
        <v/>
      </c>
      <c r="F43" s="23" t="str">
        <f t="shared" si="0"/>
        <v/>
      </c>
      <c r="G43" s="6"/>
    </row>
    <row r="44" spans="2:7" hidden="1" x14ac:dyDescent="0.2">
      <c r="B44" s="6"/>
      <c r="C44" s="6"/>
      <c r="D44" s="6"/>
      <c r="E44" s="22" t="str">
        <f t="shared" si="1"/>
        <v/>
      </c>
      <c r="F44" s="23" t="str">
        <f t="shared" si="0"/>
        <v/>
      </c>
      <c r="G44" s="6"/>
    </row>
    <row r="45" spans="2:7" hidden="1" x14ac:dyDescent="0.2">
      <c r="B45" s="6"/>
      <c r="C45" s="6"/>
      <c r="D45" s="6"/>
      <c r="E45" s="22" t="str">
        <f t="shared" si="1"/>
        <v/>
      </c>
      <c r="F45" s="23" t="str">
        <f t="shared" si="0"/>
        <v/>
      </c>
      <c r="G45" s="6"/>
    </row>
    <row r="46" spans="2:7" hidden="1" x14ac:dyDescent="0.2">
      <c r="B46" s="6"/>
      <c r="C46" s="6"/>
      <c r="D46" s="6"/>
      <c r="E46" s="22" t="str">
        <f t="shared" si="1"/>
        <v/>
      </c>
      <c r="F46" s="23" t="str">
        <f t="shared" si="0"/>
        <v/>
      </c>
      <c r="G46" s="6"/>
    </row>
    <row r="47" spans="2:7" hidden="1" x14ac:dyDescent="0.2">
      <c r="B47" s="6"/>
      <c r="C47" s="6"/>
      <c r="D47" s="6"/>
      <c r="E47" s="22" t="str">
        <f t="shared" si="1"/>
        <v/>
      </c>
      <c r="F47" s="23" t="str">
        <f t="shared" si="0"/>
        <v/>
      </c>
      <c r="G47" s="6"/>
    </row>
    <row r="48" spans="2:7" hidden="1" x14ac:dyDescent="0.2">
      <c r="B48" s="6"/>
      <c r="C48" s="6"/>
      <c r="D48" s="6"/>
      <c r="E48" s="22" t="str">
        <f t="shared" si="1"/>
        <v/>
      </c>
      <c r="F48" s="23" t="str">
        <f t="shared" si="0"/>
        <v/>
      </c>
      <c r="G48" s="6"/>
    </row>
    <row r="49" spans="2:7" hidden="1" x14ac:dyDescent="0.2">
      <c r="B49" s="6"/>
      <c r="C49" s="6"/>
      <c r="D49" s="6"/>
      <c r="E49" s="22" t="str">
        <f t="shared" si="1"/>
        <v/>
      </c>
      <c r="F49" s="23" t="str">
        <f t="shared" si="0"/>
        <v/>
      </c>
      <c r="G49" s="6"/>
    </row>
    <row r="50" spans="2:7" hidden="1" x14ac:dyDescent="0.2">
      <c r="B50" s="6"/>
      <c r="C50" s="6"/>
      <c r="D50" s="6"/>
      <c r="E50" s="22" t="str">
        <f t="shared" si="1"/>
        <v/>
      </c>
      <c r="F50" s="23" t="str">
        <f t="shared" si="0"/>
        <v/>
      </c>
      <c r="G50" s="6"/>
    </row>
    <row r="51" spans="2:7" hidden="1" x14ac:dyDescent="0.2">
      <c r="B51" s="6"/>
      <c r="C51" s="6"/>
      <c r="D51" s="6"/>
      <c r="E51" s="22" t="str">
        <f t="shared" si="1"/>
        <v/>
      </c>
      <c r="F51" s="23" t="str">
        <f t="shared" si="0"/>
        <v/>
      </c>
      <c r="G51" s="6"/>
    </row>
    <row r="52" spans="2:7" hidden="1" x14ac:dyDescent="0.2">
      <c r="B52" s="6"/>
      <c r="C52" s="6"/>
      <c r="D52" s="6"/>
      <c r="E52" s="22" t="str">
        <f t="shared" si="1"/>
        <v/>
      </c>
      <c r="F52" s="23" t="str">
        <f t="shared" si="0"/>
        <v/>
      </c>
      <c r="G52" s="6"/>
    </row>
    <row r="53" spans="2:7" hidden="1" x14ac:dyDescent="0.2">
      <c r="B53" s="6"/>
      <c r="C53" s="6"/>
      <c r="D53" s="6"/>
      <c r="E53" s="22" t="str">
        <f t="shared" si="1"/>
        <v/>
      </c>
      <c r="F53" s="23" t="str">
        <f t="shared" si="0"/>
        <v/>
      </c>
      <c r="G53" s="6"/>
    </row>
    <row r="54" spans="2:7" hidden="1" x14ac:dyDescent="0.2">
      <c r="B54" s="6"/>
      <c r="C54" s="6"/>
      <c r="D54" s="6"/>
      <c r="E54" s="22" t="str">
        <f t="shared" si="1"/>
        <v/>
      </c>
      <c r="F54" s="23" t="str">
        <f t="shared" si="0"/>
        <v/>
      </c>
      <c r="G54" s="6"/>
    </row>
    <row r="55" spans="2:7" hidden="1" x14ac:dyDescent="0.2">
      <c r="B55" s="6"/>
      <c r="C55" s="6"/>
      <c r="D55" s="6"/>
      <c r="E55" s="22" t="str">
        <f t="shared" si="1"/>
        <v/>
      </c>
      <c r="F55" s="23" t="str">
        <f t="shared" si="0"/>
        <v/>
      </c>
      <c r="G55" s="6"/>
    </row>
    <row r="56" spans="2:7" hidden="1" x14ac:dyDescent="0.2">
      <c r="B56" s="6"/>
      <c r="C56" s="6"/>
      <c r="D56" s="6"/>
      <c r="E56" s="22" t="str">
        <f t="shared" si="1"/>
        <v/>
      </c>
      <c r="F56" s="23" t="str">
        <f t="shared" si="0"/>
        <v/>
      </c>
      <c r="G56" s="6"/>
    </row>
    <row r="57" spans="2:7" hidden="1" x14ac:dyDescent="0.2">
      <c r="B57" s="6"/>
      <c r="C57" s="6"/>
      <c r="D57" s="6"/>
      <c r="E57" s="22" t="str">
        <f t="shared" si="1"/>
        <v/>
      </c>
      <c r="F57" s="23" t="str">
        <f t="shared" si="0"/>
        <v/>
      </c>
      <c r="G57" s="6"/>
    </row>
    <row r="58" spans="2:7" hidden="1" x14ac:dyDescent="0.2">
      <c r="B58" s="6"/>
      <c r="C58" s="6"/>
      <c r="D58" s="6"/>
      <c r="E58" s="22" t="str">
        <f t="shared" si="1"/>
        <v/>
      </c>
      <c r="F58" s="23" t="str">
        <f t="shared" si="0"/>
        <v/>
      </c>
      <c r="G58" s="6"/>
    </row>
    <row r="59" spans="2:7" hidden="1" x14ac:dyDescent="0.2">
      <c r="B59" s="6"/>
      <c r="C59" s="6"/>
      <c r="D59" s="6"/>
      <c r="E59" s="22" t="str">
        <f t="shared" si="1"/>
        <v/>
      </c>
      <c r="F59" s="23" t="str">
        <f t="shared" si="0"/>
        <v/>
      </c>
      <c r="G59" s="6"/>
    </row>
    <row r="60" spans="2:7" hidden="1" x14ac:dyDescent="0.2">
      <c r="B60" s="6"/>
      <c r="C60" s="6"/>
      <c r="D60" s="6"/>
      <c r="E60" s="22" t="str">
        <f t="shared" si="1"/>
        <v/>
      </c>
      <c r="F60" s="23" t="str">
        <f t="shared" si="0"/>
        <v/>
      </c>
      <c r="G60" s="6"/>
    </row>
    <row r="61" spans="2:7" hidden="1" x14ac:dyDescent="0.2">
      <c r="B61" s="6"/>
      <c r="C61" s="6"/>
      <c r="D61" s="6"/>
      <c r="E61" s="22" t="str">
        <f t="shared" si="1"/>
        <v/>
      </c>
      <c r="F61" s="23" t="str">
        <f t="shared" si="0"/>
        <v/>
      </c>
      <c r="G61" s="6"/>
    </row>
    <row r="62" spans="2:7" hidden="1" x14ac:dyDescent="0.2">
      <c r="B62" s="6"/>
      <c r="C62" s="6"/>
      <c r="D62" s="6"/>
      <c r="E62" s="22" t="str">
        <f t="shared" si="1"/>
        <v/>
      </c>
      <c r="F62" s="23" t="str">
        <f t="shared" si="0"/>
        <v/>
      </c>
      <c r="G62" s="6"/>
    </row>
    <row r="63" spans="2:7" hidden="1" x14ac:dyDescent="0.2">
      <c r="B63" s="6"/>
      <c r="C63" s="6"/>
      <c r="D63" s="6"/>
      <c r="E63" s="22" t="str">
        <f t="shared" si="1"/>
        <v/>
      </c>
      <c r="F63" s="23" t="str">
        <f t="shared" si="0"/>
        <v/>
      </c>
      <c r="G63" s="6"/>
    </row>
    <row r="64" spans="2:7" hidden="1" x14ac:dyDescent="0.2">
      <c r="B64" s="6"/>
      <c r="C64" s="6"/>
      <c r="D64" s="6"/>
      <c r="E64" s="22" t="str">
        <f t="shared" si="1"/>
        <v/>
      </c>
      <c r="F64" s="23" t="str">
        <f t="shared" si="0"/>
        <v/>
      </c>
      <c r="G64" s="6"/>
    </row>
    <row r="65" spans="2:7" hidden="1" x14ac:dyDescent="0.2">
      <c r="B65" s="6"/>
      <c r="C65" s="6"/>
      <c r="D65" s="6"/>
      <c r="E65" s="22" t="str">
        <f t="shared" si="1"/>
        <v/>
      </c>
      <c r="F65" s="23" t="str">
        <f t="shared" si="0"/>
        <v/>
      </c>
      <c r="G65" s="6"/>
    </row>
    <row r="66" spans="2:7" hidden="1" x14ac:dyDescent="0.2">
      <c r="B66" s="6"/>
      <c r="C66" s="6"/>
      <c r="D66" s="6"/>
      <c r="E66" s="22" t="str">
        <f t="shared" si="1"/>
        <v/>
      </c>
      <c r="F66" s="23" t="str">
        <f t="shared" si="0"/>
        <v/>
      </c>
      <c r="G66" s="6"/>
    </row>
    <row r="67" spans="2:7" hidden="1" x14ac:dyDescent="0.2">
      <c r="B67" s="6"/>
      <c r="C67" s="6"/>
      <c r="D67" s="6"/>
      <c r="E67" s="22" t="str">
        <f t="shared" si="1"/>
        <v/>
      </c>
      <c r="F67" s="23" t="str">
        <f t="shared" si="0"/>
        <v/>
      </c>
      <c r="G67" s="6"/>
    </row>
    <row r="68" spans="2:7" hidden="1" x14ac:dyDescent="0.2">
      <c r="B68" s="6"/>
      <c r="C68" s="6"/>
      <c r="D68" s="6"/>
      <c r="E68" s="22" t="str">
        <f t="shared" si="1"/>
        <v/>
      </c>
      <c r="F68" s="23" t="str">
        <f t="shared" si="0"/>
        <v/>
      </c>
      <c r="G68" s="6"/>
    </row>
    <row r="69" spans="2:7" hidden="1" x14ac:dyDescent="0.2">
      <c r="B69" s="6"/>
      <c r="C69" s="6"/>
      <c r="D69" s="6"/>
      <c r="E69" s="22" t="str">
        <f t="shared" si="1"/>
        <v/>
      </c>
      <c r="F69" s="23" t="str">
        <f t="shared" si="0"/>
        <v/>
      </c>
      <c r="G69" s="6"/>
    </row>
    <row r="70" spans="2:7" hidden="1" x14ac:dyDescent="0.2">
      <c r="B70" s="6"/>
      <c r="C70" s="6"/>
      <c r="D70" s="6"/>
      <c r="E70" s="22" t="str">
        <f t="shared" si="1"/>
        <v/>
      </c>
      <c r="F70" s="23" t="str">
        <f t="shared" si="0"/>
        <v/>
      </c>
      <c r="G70" s="6"/>
    </row>
    <row r="71" spans="2:7" hidden="1" x14ac:dyDescent="0.2">
      <c r="B71" s="6"/>
      <c r="C71" s="6"/>
      <c r="D71" s="6"/>
      <c r="E71" s="22" t="str">
        <f t="shared" si="1"/>
        <v/>
      </c>
      <c r="F71" s="23" t="str">
        <f t="shared" si="0"/>
        <v/>
      </c>
      <c r="G71" s="6"/>
    </row>
    <row r="72" spans="2:7" hidden="1" x14ac:dyDescent="0.2">
      <c r="B72" s="6"/>
      <c r="C72" s="6"/>
      <c r="D72" s="6"/>
      <c r="E72" s="22" t="str">
        <f t="shared" si="1"/>
        <v/>
      </c>
      <c r="F72" s="23" t="str">
        <f t="shared" si="0"/>
        <v/>
      </c>
      <c r="G72" s="6"/>
    </row>
    <row r="73" spans="2:7" hidden="1" x14ac:dyDescent="0.2">
      <c r="B73" s="6"/>
      <c r="C73" s="6"/>
      <c r="D73" s="6"/>
      <c r="E73" s="22" t="str">
        <f t="shared" si="1"/>
        <v/>
      </c>
      <c r="F73" s="23" t="str">
        <f t="shared" si="0"/>
        <v/>
      </c>
      <c r="G73" s="6"/>
    </row>
    <row r="74" spans="2:7" hidden="1" x14ac:dyDescent="0.2">
      <c r="B74" s="6"/>
      <c r="C74" s="6"/>
      <c r="D74" s="6"/>
      <c r="E74" s="22" t="str">
        <f t="shared" si="1"/>
        <v/>
      </c>
      <c r="F74" s="23" t="str">
        <f t="shared" si="0"/>
        <v/>
      </c>
      <c r="G74" s="6"/>
    </row>
    <row r="75" spans="2:7" hidden="1" x14ac:dyDescent="0.2">
      <c r="B75" s="6"/>
      <c r="C75" s="6"/>
      <c r="D75" s="6"/>
      <c r="E75" s="22" t="str">
        <f t="shared" si="1"/>
        <v/>
      </c>
      <c r="F75" s="23" t="str">
        <f t="shared" si="0"/>
        <v/>
      </c>
      <c r="G75" s="6"/>
    </row>
    <row r="76" spans="2:7" hidden="1" x14ac:dyDescent="0.2">
      <c r="B76" s="6"/>
      <c r="C76" s="6"/>
      <c r="D76" s="6"/>
      <c r="E76" s="22" t="str">
        <f t="shared" si="1"/>
        <v/>
      </c>
      <c r="F76" s="23" t="str">
        <f t="shared" si="0"/>
        <v/>
      </c>
      <c r="G76" s="6"/>
    </row>
    <row r="77" spans="2:7" hidden="1" x14ac:dyDescent="0.2">
      <c r="B77" s="6"/>
      <c r="C77" s="6"/>
      <c r="D77" s="6"/>
      <c r="E77" s="22" t="str">
        <f t="shared" si="1"/>
        <v/>
      </c>
      <c r="F77" s="23" t="str">
        <f t="shared" si="0"/>
        <v/>
      </c>
      <c r="G77" s="6"/>
    </row>
    <row r="78" spans="2:7" hidden="1" x14ac:dyDescent="0.2">
      <c r="B78" s="6"/>
      <c r="C78" s="6"/>
      <c r="D78" s="6"/>
      <c r="E78" s="22" t="str">
        <f t="shared" si="1"/>
        <v/>
      </c>
      <c r="F78" s="23" t="str">
        <f t="shared" si="0"/>
        <v/>
      </c>
      <c r="G78" s="6"/>
    </row>
    <row r="79" spans="2:7" hidden="1" x14ac:dyDescent="0.2">
      <c r="B79" s="6"/>
      <c r="C79" s="6"/>
      <c r="D79" s="6"/>
      <c r="E79" s="22" t="str">
        <f t="shared" si="1"/>
        <v/>
      </c>
      <c r="F79" s="23" t="str">
        <f t="shared" si="0"/>
        <v/>
      </c>
      <c r="G79" s="6"/>
    </row>
    <row r="80" spans="2:7" hidden="1" x14ac:dyDescent="0.2">
      <c r="B80" s="6"/>
      <c r="C80" s="6"/>
      <c r="D80" s="6"/>
      <c r="E80" s="22" t="str">
        <f t="shared" si="1"/>
        <v/>
      </c>
      <c r="F80" s="23" t="str">
        <f t="shared" si="0"/>
        <v/>
      </c>
      <c r="G80" s="6"/>
    </row>
    <row r="81" spans="2:7" hidden="1" x14ac:dyDescent="0.2">
      <c r="B81" s="6"/>
      <c r="C81" s="6"/>
      <c r="D81" s="6"/>
      <c r="E81" s="22" t="str">
        <f t="shared" si="1"/>
        <v/>
      </c>
      <c r="F81" s="23" t="str">
        <f t="shared" si="0"/>
        <v/>
      </c>
      <c r="G81" s="6"/>
    </row>
    <row r="82" spans="2:7" hidden="1" x14ac:dyDescent="0.2">
      <c r="B82" s="6"/>
      <c r="C82" s="6"/>
      <c r="D82" s="6"/>
      <c r="E82" s="22" t="str">
        <f t="shared" si="1"/>
        <v/>
      </c>
      <c r="F82" s="23" t="str">
        <f t="shared" ref="F82:F113" si="2">IFERROR(MROUND($C$8*SQRT(E82), 1000),"")</f>
        <v/>
      </c>
      <c r="G82" s="6"/>
    </row>
    <row r="83" spans="2:7" hidden="1" x14ac:dyDescent="0.2">
      <c r="B83" s="6"/>
      <c r="C83" s="6"/>
      <c r="D83" s="6"/>
      <c r="E83" s="22" t="str">
        <f t="shared" ref="E83:E113" si="3">IFERROR(D83/$C$10,"")</f>
        <v/>
      </c>
      <c r="F83" s="23" t="str">
        <f t="shared" si="2"/>
        <v/>
      </c>
      <c r="G83" s="6"/>
    </row>
    <row r="84" spans="2:7" hidden="1" x14ac:dyDescent="0.2">
      <c r="B84" s="6"/>
      <c r="C84" s="6"/>
      <c r="D84" s="6"/>
      <c r="E84" s="22" t="str">
        <f t="shared" si="3"/>
        <v/>
      </c>
      <c r="F84" s="23" t="str">
        <f t="shared" si="2"/>
        <v/>
      </c>
      <c r="G84" s="6"/>
    </row>
    <row r="85" spans="2:7" hidden="1" x14ac:dyDescent="0.2">
      <c r="B85" s="6"/>
      <c r="C85" s="6"/>
      <c r="D85" s="6"/>
      <c r="E85" s="22" t="str">
        <f t="shared" si="3"/>
        <v/>
      </c>
      <c r="F85" s="23" t="str">
        <f t="shared" si="2"/>
        <v/>
      </c>
      <c r="G85" s="6"/>
    </row>
    <row r="86" spans="2:7" hidden="1" x14ac:dyDescent="0.2">
      <c r="B86" s="6"/>
      <c r="C86" s="6"/>
      <c r="D86" s="6"/>
      <c r="E86" s="22" t="str">
        <f t="shared" si="3"/>
        <v/>
      </c>
      <c r="F86" s="23" t="str">
        <f t="shared" si="2"/>
        <v/>
      </c>
      <c r="G86" s="6"/>
    </row>
    <row r="87" spans="2:7" hidden="1" x14ac:dyDescent="0.2">
      <c r="B87" s="6"/>
      <c r="C87" s="6"/>
      <c r="D87" s="6"/>
      <c r="E87" s="22" t="str">
        <f t="shared" si="3"/>
        <v/>
      </c>
      <c r="F87" s="23" t="str">
        <f t="shared" si="2"/>
        <v/>
      </c>
      <c r="G87" s="6"/>
    </row>
    <row r="88" spans="2:7" hidden="1" x14ac:dyDescent="0.2">
      <c r="B88" s="6"/>
      <c r="C88" s="6"/>
      <c r="D88" s="6"/>
      <c r="E88" s="22" t="str">
        <f t="shared" si="3"/>
        <v/>
      </c>
      <c r="F88" s="23" t="str">
        <f t="shared" si="2"/>
        <v/>
      </c>
      <c r="G88" s="6"/>
    </row>
    <row r="89" spans="2:7" hidden="1" x14ac:dyDescent="0.2">
      <c r="B89" s="6"/>
      <c r="C89" s="6"/>
      <c r="D89" s="6"/>
      <c r="E89" s="22" t="str">
        <f t="shared" si="3"/>
        <v/>
      </c>
      <c r="F89" s="23" t="str">
        <f t="shared" si="2"/>
        <v/>
      </c>
      <c r="G89" s="6"/>
    </row>
    <row r="90" spans="2:7" hidden="1" x14ac:dyDescent="0.2">
      <c r="B90" s="6"/>
      <c r="C90" s="6"/>
      <c r="D90" s="6"/>
      <c r="E90" s="22" t="str">
        <f t="shared" si="3"/>
        <v/>
      </c>
      <c r="F90" s="23" t="str">
        <f t="shared" si="2"/>
        <v/>
      </c>
      <c r="G90" s="6"/>
    </row>
    <row r="91" spans="2:7" hidden="1" x14ac:dyDescent="0.2">
      <c r="B91" s="6"/>
      <c r="C91" s="6"/>
      <c r="D91" s="6"/>
      <c r="E91" s="22" t="str">
        <f t="shared" si="3"/>
        <v/>
      </c>
      <c r="F91" s="23" t="str">
        <f t="shared" si="2"/>
        <v/>
      </c>
      <c r="G91" s="6"/>
    </row>
    <row r="92" spans="2:7" hidden="1" x14ac:dyDescent="0.2">
      <c r="B92" s="6"/>
      <c r="C92" s="6"/>
      <c r="D92" s="6"/>
      <c r="E92" s="22" t="str">
        <f t="shared" si="3"/>
        <v/>
      </c>
      <c r="F92" s="23" t="str">
        <f t="shared" si="2"/>
        <v/>
      </c>
      <c r="G92" s="6"/>
    </row>
    <row r="93" spans="2:7" hidden="1" x14ac:dyDescent="0.2">
      <c r="B93" s="6"/>
      <c r="C93" s="6"/>
      <c r="D93" s="6"/>
      <c r="E93" s="22" t="str">
        <f t="shared" si="3"/>
        <v/>
      </c>
      <c r="F93" s="23" t="str">
        <f t="shared" si="2"/>
        <v/>
      </c>
      <c r="G93" s="6"/>
    </row>
    <row r="94" spans="2:7" hidden="1" x14ac:dyDescent="0.2">
      <c r="B94" s="6"/>
      <c r="C94" s="6"/>
      <c r="D94" s="6"/>
      <c r="E94" s="22" t="str">
        <f t="shared" si="3"/>
        <v/>
      </c>
      <c r="F94" s="23" t="str">
        <f t="shared" si="2"/>
        <v/>
      </c>
      <c r="G94" s="6"/>
    </row>
    <row r="95" spans="2:7" hidden="1" x14ac:dyDescent="0.2">
      <c r="B95" s="6"/>
      <c r="C95" s="6"/>
      <c r="D95" s="6"/>
      <c r="E95" s="22" t="str">
        <f t="shared" si="3"/>
        <v/>
      </c>
      <c r="F95" s="23" t="str">
        <f t="shared" si="2"/>
        <v/>
      </c>
      <c r="G95" s="6"/>
    </row>
    <row r="96" spans="2:7" hidden="1" x14ac:dyDescent="0.2">
      <c r="B96" s="6"/>
      <c r="C96" s="6"/>
      <c r="D96" s="6"/>
      <c r="E96" s="22" t="str">
        <f t="shared" si="3"/>
        <v/>
      </c>
      <c r="F96" s="23" t="str">
        <f t="shared" si="2"/>
        <v/>
      </c>
      <c r="G96" s="6"/>
    </row>
    <row r="97" spans="2:7" hidden="1" x14ac:dyDescent="0.2">
      <c r="B97" s="6"/>
      <c r="C97" s="6"/>
      <c r="D97" s="6"/>
      <c r="E97" s="22" t="str">
        <f t="shared" si="3"/>
        <v/>
      </c>
      <c r="F97" s="23" t="str">
        <f t="shared" si="2"/>
        <v/>
      </c>
      <c r="G97" s="6"/>
    </row>
    <row r="98" spans="2:7" hidden="1" x14ac:dyDescent="0.2">
      <c r="B98" s="6"/>
      <c r="C98" s="6"/>
      <c r="D98" s="6"/>
      <c r="E98" s="22" t="str">
        <f t="shared" si="3"/>
        <v/>
      </c>
      <c r="F98" s="23" t="str">
        <f t="shared" si="2"/>
        <v/>
      </c>
      <c r="G98" s="6"/>
    </row>
    <row r="99" spans="2:7" hidden="1" x14ac:dyDescent="0.2">
      <c r="B99" s="6"/>
      <c r="C99" s="6"/>
      <c r="D99" s="6"/>
      <c r="E99" s="22" t="str">
        <f t="shared" si="3"/>
        <v/>
      </c>
      <c r="F99" s="23" t="str">
        <f t="shared" si="2"/>
        <v/>
      </c>
      <c r="G99" s="6"/>
    </row>
    <row r="100" spans="2:7" hidden="1" x14ac:dyDescent="0.2">
      <c r="B100" s="6"/>
      <c r="C100" s="6"/>
      <c r="D100" s="6"/>
      <c r="E100" s="22" t="str">
        <f t="shared" si="3"/>
        <v/>
      </c>
      <c r="F100" s="23" t="str">
        <f t="shared" si="2"/>
        <v/>
      </c>
      <c r="G100" s="6"/>
    </row>
    <row r="101" spans="2:7" hidden="1" x14ac:dyDescent="0.2">
      <c r="B101" s="6"/>
      <c r="C101" s="6"/>
      <c r="D101" s="6"/>
      <c r="E101" s="22" t="str">
        <f t="shared" si="3"/>
        <v/>
      </c>
      <c r="F101" s="23" t="str">
        <f t="shared" si="2"/>
        <v/>
      </c>
      <c r="G101" s="6"/>
    </row>
    <row r="102" spans="2:7" hidden="1" x14ac:dyDescent="0.2">
      <c r="B102" s="6"/>
      <c r="C102" s="6"/>
      <c r="D102" s="6"/>
      <c r="E102" s="22" t="str">
        <f t="shared" si="3"/>
        <v/>
      </c>
      <c r="F102" s="23" t="str">
        <f t="shared" si="2"/>
        <v/>
      </c>
      <c r="G102" s="6"/>
    </row>
    <row r="103" spans="2:7" hidden="1" x14ac:dyDescent="0.2">
      <c r="B103" s="6"/>
      <c r="C103" s="6"/>
      <c r="D103" s="6"/>
      <c r="E103" s="22" t="str">
        <f t="shared" si="3"/>
        <v/>
      </c>
      <c r="F103" s="23" t="str">
        <f t="shared" si="2"/>
        <v/>
      </c>
      <c r="G103" s="6"/>
    </row>
    <row r="104" spans="2:7" hidden="1" x14ac:dyDescent="0.2">
      <c r="B104" s="6"/>
      <c r="C104" s="6"/>
      <c r="D104" s="6"/>
      <c r="E104" s="22" t="str">
        <f t="shared" si="3"/>
        <v/>
      </c>
      <c r="F104" s="23" t="str">
        <f t="shared" si="2"/>
        <v/>
      </c>
      <c r="G104" s="6"/>
    </row>
    <row r="105" spans="2:7" hidden="1" x14ac:dyDescent="0.2">
      <c r="B105" s="6"/>
      <c r="C105" s="6"/>
      <c r="D105" s="6"/>
      <c r="E105" s="22" t="str">
        <f t="shared" si="3"/>
        <v/>
      </c>
      <c r="F105" s="23" t="str">
        <f t="shared" si="2"/>
        <v/>
      </c>
      <c r="G105" s="6"/>
    </row>
    <row r="106" spans="2:7" hidden="1" x14ac:dyDescent="0.2">
      <c r="B106" s="6"/>
      <c r="C106" s="6"/>
      <c r="D106" s="6"/>
      <c r="E106" s="22" t="str">
        <f t="shared" si="3"/>
        <v/>
      </c>
      <c r="F106" s="23" t="str">
        <f t="shared" si="2"/>
        <v/>
      </c>
      <c r="G106" s="6"/>
    </row>
    <row r="107" spans="2:7" hidden="1" x14ac:dyDescent="0.2">
      <c r="B107" s="6"/>
      <c r="C107" s="6"/>
      <c r="D107" s="6"/>
      <c r="E107" s="22" t="str">
        <f t="shared" si="3"/>
        <v/>
      </c>
      <c r="F107" s="23" t="str">
        <f t="shared" si="2"/>
        <v/>
      </c>
      <c r="G107" s="6"/>
    </row>
    <row r="108" spans="2:7" hidden="1" x14ac:dyDescent="0.2">
      <c r="B108" s="6"/>
      <c r="C108" s="6"/>
      <c r="D108" s="6"/>
      <c r="E108" s="22" t="str">
        <f t="shared" si="3"/>
        <v/>
      </c>
      <c r="F108" s="23" t="str">
        <f t="shared" si="2"/>
        <v/>
      </c>
      <c r="G108" s="6"/>
    </row>
    <row r="109" spans="2:7" hidden="1" x14ac:dyDescent="0.2">
      <c r="B109" s="6"/>
      <c r="C109" s="6"/>
      <c r="D109" s="6"/>
      <c r="E109" s="22" t="str">
        <f t="shared" si="3"/>
        <v/>
      </c>
      <c r="F109" s="23" t="str">
        <f t="shared" si="2"/>
        <v/>
      </c>
      <c r="G109" s="6"/>
    </row>
    <row r="110" spans="2:7" hidden="1" x14ac:dyDescent="0.2">
      <c r="B110" s="6"/>
      <c r="C110" s="6"/>
      <c r="D110" s="6"/>
      <c r="E110" s="22" t="str">
        <f t="shared" si="3"/>
        <v/>
      </c>
      <c r="F110" s="23" t="str">
        <f t="shared" si="2"/>
        <v/>
      </c>
      <c r="G110" s="6"/>
    </row>
    <row r="111" spans="2:7" hidden="1" x14ac:dyDescent="0.2">
      <c r="B111" s="6"/>
      <c r="C111" s="6"/>
      <c r="D111" s="6"/>
      <c r="E111" s="22" t="str">
        <f t="shared" si="3"/>
        <v/>
      </c>
      <c r="F111" s="23" t="str">
        <f t="shared" si="2"/>
        <v/>
      </c>
      <c r="G111" s="6"/>
    </row>
    <row r="112" spans="2:7" hidden="1" x14ac:dyDescent="0.2">
      <c r="B112" s="6"/>
      <c r="C112" s="6"/>
      <c r="D112" s="6"/>
      <c r="E112" s="22" t="str">
        <f t="shared" si="3"/>
        <v/>
      </c>
      <c r="F112" s="23" t="str">
        <f t="shared" si="2"/>
        <v/>
      </c>
      <c r="G112" s="6"/>
    </row>
    <row r="113" spans="2:7" hidden="1" x14ac:dyDescent="0.2">
      <c r="B113" s="6"/>
      <c r="C113" s="6"/>
      <c r="D113" s="6"/>
      <c r="E113" s="22" t="str">
        <f t="shared" si="3"/>
        <v/>
      </c>
      <c r="F113" s="23" t="str">
        <f t="shared" si="2"/>
        <v/>
      </c>
      <c r="G113" s="6"/>
    </row>
    <row r="114" spans="2:7" x14ac:dyDescent="0.2">
      <c r="B114" s="4"/>
      <c r="C114" s="4"/>
      <c r="E114" s="4"/>
      <c r="F114" s="4"/>
    </row>
    <row r="116" spans="2:7" ht="15.75" x14ac:dyDescent="0.2">
      <c r="B116" s="7" t="str">
        <f>_sheetContentTranslation_A_20</f>
        <v>权益法投资</v>
      </c>
      <c r="C116" s="7"/>
      <c r="D116" s="7"/>
      <c r="E116" s="7"/>
      <c r="F116" s="7"/>
      <c r="G116" s="7"/>
    </row>
    <row r="118" spans="2:7" ht="12.75" customHeight="1" x14ac:dyDescent="0.2">
      <c r="B118" s="13" t="str">
        <f>_sheetContentTranslation_A_21</f>
        <v>组成部分（权益法投资）</v>
      </c>
      <c r="C118" s="47" t="str">
        <f>_sheetContentTranslation_A_14</f>
        <v>组成部分类型</v>
      </c>
      <c r="D118" s="47" t="str">
        <f>_sheetContentTranslation_A_10</f>
        <v>集团实际执行的重要性</v>
      </c>
      <c r="E118" s="49" t="str">
        <f>_sheetContentTranslation_A_22</f>
        <v>所有权百分比</v>
      </c>
      <c r="F118" s="49" t="str">
        <f>_sheetContentTranslation_A_23</f>
        <v>潜在组成部分重要性
(权益法投资）</v>
      </c>
      <c r="G118" s="49" t="str">
        <f>_sheetContentTranslation_A_18</f>
        <v>确定的组成部分重要性水平</v>
      </c>
    </row>
    <row r="119" spans="2:7" ht="13.5" thickBot="1" x14ac:dyDescent="0.25">
      <c r="B119" s="12" t="str">
        <f>_sheetContentTranslation_A_19</f>
        <v>仅审计或审阅的财务信息</v>
      </c>
      <c r="C119" s="48"/>
      <c r="D119" s="48"/>
      <c r="E119" s="50"/>
      <c r="F119" s="50"/>
      <c r="G119" s="50"/>
    </row>
    <row r="120" spans="2:7" x14ac:dyDescent="0.2">
      <c r="B120" s="6"/>
      <c r="C120" s="23"/>
      <c r="D120" s="23"/>
      <c r="E120" s="40"/>
      <c r="F120" s="23" t="str">
        <f>IFERROR(D120/E120,"")</f>
        <v/>
      </c>
      <c r="G120" s="6"/>
    </row>
    <row r="121" spans="2:7" hidden="1" x14ac:dyDescent="0.2">
      <c r="B121" s="6"/>
      <c r="C121" s="23" t="str">
        <f>Translations!$A$41</f>
        <v>权益法投资</v>
      </c>
      <c r="D121" s="23">
        <f t="shared" ref="D121:D184" si="4">$C$11</f>
        <v>0</v>
      </c>
      <c r="E121" s="40"/>
      <c r="F121" s="23" t="str">
        <f t="shared" ref="F121:F184" si="5">IFERROR(D121/E121,"")</f>
        <v/>
      </c>
      <c r="G121" s="6"/>
    </row>
    <row r="122" spans="2:7" hidden="1" x14ac:dyDescent="0.2">
      <c r="B122" s="6"/>
      <c r="C122" s="23" t="str">
        <f>Translations!$A$41</f>
        <v>权益法投资</v>
      </c>
      <c r="D122" s="23">
        <f t="shared" si="4"/>
        <v>0</v>
      </c>
      <c r="E122" s="40"/>
      <c r="F122" s="23" t="str">
        <f t="shared" si="5"/>
        <v/>
      </c>
      <c r="G122" s="6"/>
    </row>
    <row r="123" spans="2:7" hidden="1" x14ac:dyDescent="0.2">
      <c r="B123" s="6"/>
      <c r="C123" s="23" t="str">
        <f>Translations!$A$41</f>
        <v>权益法投资</v>
      </c>
      <c r="D123" s="23">
        <f t="shared" si="4"/>
        <v>0</v>
      </c>
      <c r="E123" s="40"/>
      <c r="F123" s="23" t="str">
        <f t="shared" si="5"/>
        <v/>
      </c>
      <c r="G123" s="6"/>
    </row>
    <row r="124" spans="2:7" hidden="1" x14ac:dyDescent="0.2">
      <c r="B124" s="6"/>
      <c r="C124" s="23" t="str">
        <f>Translations!$A$41</f>
        <v>权益法投资</v>
      </c>
      <c r="D124" s="23">
        <f t="shared" si="4"/>
        <v>0</v>
      </c>
      <c r="E124" s="40"/>
      <c r="F124" s="23" t="str">
        <f t="shared" si="5"/>
        <v/>
      </c>
      <c r="G124" s="6"/>
    </row>
    <row r="125" spans="2:7" hidden="1" x14ac:dyDescent="0.2">
      <c r="B125" s="6"/>
      <c r="C125" s="23" t="str">
        <f>Translations!$A$41</f>
        <v>权益法投资</v>
      </c>
      <c r="D125" s="23">
        <f t="shared" si="4"/>
        <v>0</v>
      </c>
      <c r="E125" s="40"/>
      <c r="F125" s="23" t="str">
        <f t="shared" si="5"/>
        <v/>
      </c>
      <c r="G125" s="6"/>
    </row>
    <row r="126" spans="2:7" hidden="1" x14ac:dyDescent="0.2">
      <c r="B126" s="6"/>
      <c r="C126" s="23" t="str">
        <f>Translations!$A$41</f>
        <v>权益法投资</v>
      </c>
      <c r="D126" s="23">
        <f t="shared" si="4"/>
        <v>0</v>
      </c>
      <c r="E126" s="40"/>
      <c r="F126" s="23" t="str">
        <f t="shared" si="5"/>
        <v/>
      </c>
      <c r="G126" s="6"/>
    </row>
    <row r="127" spans="2:7" hidden="1" x14ac:dyDescent="0.2">
      <c r="B127" s="6"/>
      <c r="C127" s="23" t="str">
        <f>Translations!$A$41</f>
        <v>权益法投资</v>
      </c>
      <c r="D127" s="23">
        <f t="shared" si="4"/>
        <v>0</v>
      </c>
      <c r="E127" s="40"/>
      <c r="F127" s="23" t="str">
        <f t="shared" si="5"/>
        <v/>
      </c>
      <c r="G127" s="6"/>
    </row>
    <row r="128" spans="2:7" hidden="1" x14ac:dyDescent="0.2">
      <c r="B128" s="6"/>
      <c r="C128" s="23" t="str">
        <f>Translations!$A$41</f>
        <v>权益法投资</v>
      </c>
      <c r="D128" s="23">
        <f t="shared" si="4"/>
        <v>0</v>
      </c>
      <c r="E128" s="40"/>
      <c r="F128" s="23" t="str">
        <f t="shared" si="5"/>
        <v/>
      </c>
      <c r="G128" s="6"/>
    </row>
    <row r="129" spans="2:7" hidden="1" x14ac:dyDescent="0.2">
      <c r="B129" s="6"/>
      <c r="C129" s="23" t="str">
        <f>Translations!$A$41</f>
        <v>权益法投资</v>
      </c>
      <c r="D129" s="23">
        <f t="shared" si="4"/>
        <v>0</v>
      </c>
      <c r="E129" s="40"/>
      <c r="F129" s="23" t="str">
        <f t="shared" si="5"/>
        <v/>
      </c>
      <c r="G129" s="6"/>
    </row>
    <row r="130" spans="2:7" hidden="1" x14ac:dyDescent="0.2">
      <c r="B130" s="6"/>
      <c r="C130" s="23" t="str">
        <f>Translations!$A$41</f>
        <v>权益法投资</v>
      </c>
      <c r="D130" s="23">
        <f t="shared" si="4"/>
        <v>0</v>
      </c>
      <c r="E130" s="40"/>
      <c r="F130" s="23" t="str">
        <f t="shared" si="5"/>
        <v/>
      </c>
      <c r="G130" s="6"/>
    </row>
    <row r="131" spans="2:7" hidden="1" x14ac:dyDescent="0.2">
      <c r="B131" s="6"/>
      <c r="C131" s="23" t="str">
        <f>Translations!$A$41</f>
        <v>权益法投资</v>
      </c>
      <c r="D131" s="23">
        <f t="shared" si="4"/>
        <v>0</v>
      </c>
      <c r="E131" s="40"/>
      <c r="F131" s="23" t="str">
        <f t="shared" si="5"/>
        <v/>
      </c>
      <c r="G131" s="6"/>
    </row>
    <row r="132" spans="2:7" hidden="1" x14ac:dyDescent="0.2">
      <c r="B132" s="6"/>
      <c r="C132" s="23" t="str">
        <f>Translations!$A$41</f>
        <v>权益法投资</v>
      </c>
      <c r="D132" s="23">
        <f t="shared" si="4"/>
        <v>0</v>
      </c>
      <c r="E132" s="40"/>
      <c r="F132" s="23" t="str">
        <f t="shared" si="5"/>
        <v/>
      </c>
      <c r="G132" s="6"/>
    </row>
    <row r="133" spans="2:7" hidden="1" x14ac:dyDescent="0.2">
      <c r="B133" s="6"/>
      <c r="C133" s="23" t="str">
        <f>Translations!$A$41</f>
        <v>权益法投资</v>
      </c>
      <c r="D133" s="23">
        <f t="shared" si="4"/>
        <v>0</v>
      </c>
      <c r="E133" s="40"/>
      <c r="F133" s="23" t="str">
        <f t="shared" si="5"/>
        <v/>
      </c>
      <c r="G133" s="6"/>
    </row>
    <row r="134" spans="2:7" hidden="1" x14ac:dyDescent="0.2">
      <c r="B134" s="6"/>
      <c r="C134" s="23" t="str">
        <f>Translations!$A$41</f>
        <v>权益法投资</v>
      </c>
      <c r="D134" s="23">
        <f t="shared" si="4"/>
        <v>0</v>
      </c>
      <c r="E134" s="40"/>
      <c r="F134" s="23" t="str">
        <f t="shared" si="5"/>
        <v/>
      </c>
      <c r="G134" s="6"/>
    </row>
    <row r="135" spans="2:7" hidden="1" x14ac:dyDescent="0.2">
      <c r="B135" s="6"/>
      <c r="C135" s="23" t="str">
        <f>Translations!$A$41</f>
        <v>权益法投资</v>
      </c>
      <c r="D135" s="23">
        <f t="shared" si="4"/>
        <v>0</v>
      </c>
      <c r="E135" s="40"/>
      <c r="F135" s="23" t="str">
        <f t="shared" si="5"/>
        <v/>
      </c>
      <c r="G135" s="6"/>
    </row>
    <row r="136" spans="2:7" hidden="1" x14ac:dyDescent="0.2">
      <c r="B136" s="6"/>
      <c r="C136" s="23" t="str">
        <f>Translations!$A$41</f>
        <v>权益法投资</v>
      </c>
      <c r="D136" s="23">
        <f t="shared" si="4"/>
        <v>0</v>
      </c>
      <c r="E136" s="40"/>
      <c r="F136" s="23" t="str">
        <f t="shared" si="5"/>
        <v/>
      </c>
      <c r="G136" s="6"/>
    </row>
    <row r="137" spans="2:7" hidden="1" x14ac:dyDescent="0.2">
      <c r="B137" s="6"/>
      <c r="C137" s="23" t="str">
        <f>Translations!$A$41</f>
        <v>权益法投资</v>
      </c>
      <c r="D137" s="23">
        <f t="shared" si="4"/>
        <v>0</v>
      </c>
      <c r="E137" s="40"/>
      <c r="F137" s="23" t="str">
        <f t="shared" si="5"/>
        <v/>
      </c>
      <c r="G137" s="6"/>
    </row>
    <row r="138" spans="2:7" hidden="1" x14ac:dyDescent="0.2">
      <c r="B138" s="6"/>
      <c r="C138" s="23" t="str">
        <f>Translations!$A$41</f>
        <v>权益法投资</v>
      </c>
      <c r="D138" s="23">
        <f t="shared" si="4"/>
        <v>0</v>
      </c>
      <c r="E138" s="40"/>
      <c r="F138" s="23" t="str">
        <f t="shared" si="5"/>
        <v/>
      </c>
      <c r="G138" s="6"/>
    </row>
    <row r="139" spans="2:7" hidden="1" x14ac:dyDescent="0.2">
      <c r="B139" s="6"/>
      <c r="C139" s="23" t="str">
        <f>Translations!$A$41</f>
        <v>权益法投资</v>
      </c>
      <c r="D139" s="23">
        <f t="shared" si="4"/>
        <v>0</v>
      </c>
      <c r="E139" s="40"/>
      <c r="F139" s="23" t="str">
        <f t="shared" si="5"/>
        <v/>
      </c>
      <c r="G139" s="6"/>
    </row>
    <row r="140" spans="2:7" hidden="1" x14ac:dyDescent="0.2">
      <c r="B140" s="6"/>
      <c r="C140" s="23" t="str">
        <f>Translations!$A$41</f>
        <v>权益法投资</v>
      </c>
      <c r="D140" s="23">
        <f t="shared" si="4"/>
        <v>0</v>
      </c>
      <c r="E140" s="40"/>
      <c r="F140" s="23" t="str">
        <f t="shared" si="5"/>
        <v/>
      </c>
      <c r="G140" s="6"/>
    </row>
    <row r="141" spans="2:7" hidden="1" x14ac:dyDescent="0.2">
      <c r="B141" s="6"/>
      <c r="C141" s="23" t="str">
        <f>Translations!$A$41</f>
        <v>权益法投资</v>
      </c>
      <c r="D141" s="23">
        <f t="shared" si="4"/>
        <v>0</v>
      </c>
      <c r="E141" s="40"/>
      <c r="F141" s="23" t="str">
        <f t="shared" si="5"/>
        <v/>
      </c>
      <c r="G141" s="6"/>
    </row>
    <row r="142" spans="2:7" hidden="1" x14ac:dyDescent="0.2">
      <c r="B142" s="6"/>
      <c r="C142" s="23" t="str">
        <f>Translations!$A$41</f>
        <v>权益法投资</v>
      </c>
      <c r="D142" s="23">
        <f t="shared" si="4"/>
        <v>0</v>
      </c>
      <c r="E142" s="40"/>
      <c r="F142" s="23" t="str">
        <f t="shared" si="5"/>
        <v/>
      </c>
      <c r="G142" s="6"/>
    </row>
    <row r="143" spans="2:7" hidden="1" x14ac:dyDescent="0.2">
      <c r="B143" s="6"/>
      <c r="C143" s="23" t="str">
        <f>Translations!$A$41</f>
        <v>权益法投资</v>
      </c>
      <c r="D143" s="23">
        <f t="shared" si="4"/>
        <v>0</v>
      </c>
      <c r="E143" s="40"/>
      <c r="F143" s="23" t="str">
        <f t="shared" si="5"/>
        <v/>
      </c>
      <c r="G143" s="6"/>
    </row>
    <row r="144" spans="2:7" hidden="1" x14ac:dyDescent="0.2">
      <c r="B144" s="6"/>
      <c r="C144" s="23" t="str">
        <f>Translations!$A$41</f>
        <v>权益法投资</v>
      </c>
      <c r="D144" s="23">
        <f t="shared" si="4"/>
        <v>0</v>
      </c>
      <c r="E144" s="40"/>
      <c r="F144" s="23" t="str">
        <f t="shared" si="5"/>
        <v/>
      </c>
      <c r="G144" s="6"/>
    </row>
    <row r="145" spans="2:7" hidden="1" x14ac:dyDescent="0.2">
      <c r="B145" s="6"/>
      <c r="C145" s="23" t="str">
        <f>Translations!$A$41</f>
        <v>权益法投资</v>
      </c>
      <c r="D145" s="23">
        <f t="shared" si="4"/>
        <v>0</v>
      </c>
      <c r="E145" s="40"/>
      <c r="F145" s="23" t="str">
        <f t="shared" si="5"/>
        <v/>
      </c>
      <c r="G145" s="6"/>
    </row>
    <row r="146" spans="2:7" hidden="1" x14ac:dyDescent="0.2">
      <c r="B146" s="6"/>
      <c r="C146" s="23" t="str">
        <f>Translations!$A$41</f>
        <v>权益法投资</v>
      </c>
      <c r="D146" s="23">
        <f t="shared" si="4"/>
        <v>0</v>
      </c>
      <c r="E146" s="40"/>
      <c r="F146" s="23" t="str">
        <f t="shared" si="5"/>
        <v/>
      </c>
      <c r="G146" s="6"/>
    </row>
    <row r="147" spans="2:7" hidden="1" x14ac:dyDescent="0.2">
      <c r="B147" s="6"/>
      <c r="C147" s="23" t="str">
        <f>Translations!$A$41</f>
        <v>权益法投资</v>
      </c>
      <c r="D147" s="23">
        <f t="shared" si="4"/>
        <v>0</v>
      </c>
      <c r="E147" s="40"/>
      <c r="F147" s="23" t="str">
        <f t="shared" si="5"/>
        <v/>
      </c>
      <c r="G147" s="6"/>
    </row>
    <row r="148" spans="2:7" hidden="1" x14ac:dyDescent="0.2">
      <c r="B148" s="6"/>
      <c r="C148" s="23" t="str">
        <f>Translations!$A$41</f>
        <v>权益法投资</v>
      </c>
      <c r="D148" s="23">
        <f t="shared" si="4"/>
        <v>0</v>
      </c>
      <c r="E148" s="40"/>
      <c r="F148" s="23" t="str">
        <f t="shared" si="5"/>
        <v/>
      </c>
      <c r="G148" s="6"/>
    </row>
    <row r="149" spans="2:7" hidden="1" x14ac:dyDescent="0.2">
      <c r="B149" s="6"/>
      <c r="C149" s="23" t="str">
        <f>Translations!$A$41</f>
        <v>权益法投资</v>
      </c>
      <c r="D149" s="23">
        <f t="shared" si="4"/>
        <v>0</v>
      </c>
      <c r="E149" s="40"/>
      <c r="F149" s="23" t="str">
        <f t="shared" si="5"/>
        <v/>
      </c>
      <c r="G149" s="6"/>
    </row>
    <row r="150" spans="2:7" hidden="1" x14ac:dyDescent="0.2">
      <c r="B150" s="6"/>
      <c r="C150" s="23" t="str">
        <f>Translations!$A$41</f>
        <v>权益法投资</v>
      </c>
      <c r="D150" s="23">
        <f t="shared" si="4"/>
        <v>0</v>
      </c>
      <c r="E150" s="40"/>
      <c r="F150" s="23" t="str">
        <f t="shared" si="5"/>
        <v/>
      </c>
      <c r="G150" s="6"/>
    </row>
    <row r="151" spans="2:7" hidden="1" x14ac:dyDescent="0.2">
      <c r="B151" s="6"/>
      <c r="C151" s="23" t="str">
        <f>Translations!$A$41</f>
        <v>权益法投资</v>
      </c>
      <c r="D151" s="23">
        <f t="shared" si="4"/>
        <v>0</v>
      </c>
      <c r="E151" s="40"/>
      <c r="F151" s="23" t="str">
        <f t="shared" si="5"/>
        <v/>
      </c>
      <c r="G151" s="6"/>
    </row>
    <row r="152" spans="2:7" hidden="1" x14ac:dyDescent="0.2">
      <c r="B152" s="6"/>
      <c r="C152" s="23" t="str">
        <f>Translations!$A$41</f>
        <v>权益法投资</v>
      </c>
      <c r="D152" s="23">
        <f t="shared" si="4"/>
        <v>0</v>
      </c>
      <c r="E152" s="40"/>
      <c r="F152" s="23" t="str">
        <f t="shared" si="5"/>
        <v/>
      </c>
      <c r="G152" s="6"/>
    </row>
    <row r="153" spans="2:7" hidden="1" x14ac:dyDescent="0.2">
      <c r="B153" s="6"/>
      <c r="C153" s="23" t="str">
        <f>Translations!$A$41</f>
        <v>权益法投资</v>
      </c>
      <c r="D153" s="23">
        <f t="shared" si="4"/>
        <v>0</v>
      </c>
      <c r="E153" s="40"/>
      <c r="F153" s="23" t="str">
        <f t="shared" si="5"/>
        <v/>
      </c>
      <c r="G153" s="6"/>
    </row>
    <row r="154" spans="2:7" hidden="1" x14ac:dyDescent="0.2">
      <c r="B154" s="6"/>
      <c r="C154" s="23" t="str">
        <f>Translations!$A$41</f>
        <v>权益法投资</v>
      </c>
      <c r="D154" s="23">
        <f t="shared" si="4"/>
        <v>0</v>
      </c>
      <c r="E154" s="40"/>
      <c r="F154" s="23" t="str">
        <f t="shared" si="5"/>
        <v/>
      </c>
      <c r="G154" s="6"/>
    </row>
    <row r="155" spans="2:7" hidden="1" x14ac:dyDescent="0.2">
      <c r="B155" s="6"/>
      <c r="C155" s="23" t="str">
        <f>Translations!$A$41</f>
        <v>权益法投资</v>
      </c>
      <c r="D155" s="23">
        <f t="shared" si="4"/>
        <v>0</v>
      </c>
      <c r="E155" s="40"/>
      <c r="F155" s="23" t="str">
        <f t="shared" si="5"/>
        <v/>
      </c>
      <c r="G155" s="6"/>
    </row>
    <row r="156" spans="2:7" hidden="1" x14ac:dyDescent="0.2">
      <c r="B156" s="6"/>
      <c r="C156" s="23" t="str">
        <f>Translations!$A$41</f>
        <v>权益法投资</v>
      </c>
      <c r="D156" s="23">
        <f t="shared" si="4"/>
        <v>0</v>
      </c>
      <c r="E156" s="40"/>
      <c r="F156" s="23" t="str">
        <f t="shared" si="5"/>
        <v/>
      </c>
      <c r="G156" s="6"/>
    </row>
    <row r="157" spans="2:7" hidden="1" x14ac:dyDescent="0.2">
      <c r="B157" s="6"/>
      <c r="C157" s="23" t="str">
        <f>Translations!$A$41</f>
        <v>权益法投资</v>
      </c>
      <c r="D157" s="23">
        <f t="shared" si="4"/>
        <v>0</v>
      </c>
      <c r="E157" s="40"/>
      <c r="F157" s="23" t="str">
        <f t="shared" si="5"/>
        <v/>
      </c>
      <c r="G157" s="6"/>
    </row>
    <row r="158" spans="2:7" hidden="1" x14ac:dyDescent="0.2">
      <c r="B158" s="6"/>
      <c r="C158" s="23" t="str">
        <f>Translations!$A$41</f>
        <v>权益法投资</v>
      </c>
      <c r="D158" s="23">
        <f t="shared" si="4"/>
        <v>0</v>
      </c>
      <c r="E158" s="40"/>
      <c r="F158" s="23" t="str">
        <f t="shared" si="5"/>
        <v/>
      </c>
      <c r="G158" s="6"/>
    </row>
    <row r="159" spans="2:7" hidden="1" x14ac:dyDescent="0.2">
      <c r="B159" s="6"/>
      <c r="C159" s="23" t="str">
        <f>Translations!$A$41</f>
        <v>权益法投资</v>
      </c>
      <c r="D159" s="23">
        <f t="shared" si="4"/>
        <v>0</v>
      </c>
      <c r="E159" s="40"/>
      <c r="F159" s="23" t="str">
        <f t="shared" si="5"/>
        <v/>
      </c>
      <c r="G159" s="6"/>
    </row>
    <row r="160" spans="2:7" hidden="1" x14ac:dyDescent="0.2">
      <c r="B160" s="6"/>
      <c r="C160" s="23" t="str">
        <f>Translations!$A$41</f>
        <v>权益法投资</v>
      </c>
      <c r="D160" s="23">
        <f t="shared" si="4"/>
        <v>0</v>
      </c>
      <c r="E160" s="40"/>
      <c r="F160" s="23" t="str">
        <f t="shared" si="5"/>
        <v/>
      </c>
      <c r="G160" s="6"/>
    </row>
    <row r="161" spans="2:7" hidden="1" x14ac:dyDescent="0.2">
      <c r="B161" s="6"/>
      <c r="C161" s="23" t="str">
        <f>Translations!$A$41</f>
        <v>权益法投资</v>
      </c>
      <c r="D161" s="23">
        <f t="shared" si="4"/>
        <v>0</v>
      </c>
      <c r="E161" s="40"/>
      <c r="F161" s="23" t="str">
        <f t="shared" si="5"/>
        <v/>
      </c>
      <c r="G161" s="6"/>
    </row>
    <row r="162" spans="2:7" hidden="1" x14ac:dyDescent="0.2">
      <c r="B162" s="6"/>
      <c r="C162" s="23" t="str">
        <f>Translations!$A$41</f>
        <v>权益法投资</v>
      </c>
      <c r="D162" s="23">
        <f t="shared" si="4"/>
        <v>0</v>
      </c>
      <c r="E162" s="40"/>
      <c r="F162" s="23" t="str">
        <f t="shared" si="5"/>
        <v/>
      </c>
      <c r="G162" s="6"/>
    </row>
    <row r="163" spans="2:7" hidden="1" x14ac:dyDescent="0.2">
      <c r="B163" s="6"/>
      <c r="C163" s="23" t="str">
        <f>Translations!$A$41</f>
        <v>权益法投资</v>
      </c>
      <c r="D163" s="23">
        <f t="shared" si="4"/>
        <v>0</v>
      </c>
      <c r="E163" s="40"/>
      <c r="F163" s="23" t="str">
        <f t="shared" si="5"/>
        <v/>
      </c>
      <c r="G163" s="6"/>
    </row>
    <row r="164" spans="2:7" hidden="1" x14ac:dyDescent="0.2">
      <c r="B164" s="6"/>
      <c r="C164" s="23" t="str">
        <f>Translations!$A$41</f>
        <v>权益法投资</v>
      </c>
      <c r="D164" s="23">
        <f t="shared" si="4"/>
        <v>0</v>
      </c>
      <c r="E164" s="40"/>
      <c r="F164" s="23" t="str">
        <f t="shared" si="5"/>
        <v/>
      </c>
      <c r="G164" s="6"/>
    </row>
    <row r="165" spans="2:7" hidden="1" x14ac:dyDescent="0.2">
      <c r="B165" s="6"/>
      <c r="C165" s="23" t="str">
        <f>Translations!$A$41</f>
        <v>权益法投资</v>
      </c>
      <c r="D165" s="23">
        <f t="shared" si="4"/>
        <v>0</v>
      </c>
      <c r="E165" s="40"/>
      <c r="F165" s="23" t="str">
        <f t="shared" si="5"/>
        <v/>
      </c>
      <c r="G165" s="6"/>
    </row>
    <row r="166" spans="2:7" hidden="1" x14ac:dyDescent="0.2">
      <c r="B166" s="6"/>
      <c r="C166" s="23" t="str">
        <f>Translations!$A$41</f>
        <v>权益法投资</v>
      </c>
      <c r="D166" s="23">
        <f t="shared" si="4"/>
        <v>0</v>
      </c>
      <c r="E166" s="40"/>
      <c r="F166" s="23" t="str">
        <f t="shared" si="5"/>
        <v/>
      </c>
      <c r="G166" s="6"/>
    </row>
    <row r="167" spans="2:7" hidden="1" x14ac:dyDescent="0.2">
      <c r="B167" s="6"/>
      <c r="C167" s="23" t="str">
        <f>Translations!$A$41</f>
        <v>权益法投资</v>
      </c>
      <c r="D167" s="23">
        <f t="shared" si="4"/>
        <v>0</v>
      </c>
      <c r="E167" s="40"/>
      <c r="F167" s="23" t="str">
        <f t="shared" si="5"/>
        <v/>
      </c>
      <c r="G167" s="6"/>
    </row>
    <row r="168" spans="2:7" hidden="1" x14ac:dyDescent="0.2">
      <c r="B168" s="6"/>
      <c r="C168" s="23" t="str">
        <f>Translations!$A$41</f>
        <v>权益法投资</v>
      </c>
      <c r="D168" s="23">
        <f t="shared" si="4"/>
        <v>0</v>
      </c>
      <c r="E168" s="40"/>
      <c r="F168" s="23" t="str">
        <f t="shared" si="5"/>
        <v/>
      </c>
      <c r="G168" s="6"/>
    </row>
    <row r="169" spans="2:7" hidden="1" x14ac:dyDescent="0.2">
      <c r="B169" s="6"/>
      <c r="C169" s="23" t="str">
        <f>Translations!$A$41</f>
        <v>权益法投资</v>
      </c>
      <c r="D169" s="23">
        <f t="shared" si="4"/>
        <v>0</v>
      </c>
      <c r="E169" s="40"/>
      <c r="F169" s="23" t="str">
        <f t="shared" si="5"/>
        <v/>
      </c>
      <c r="G169" s="6"/>
    </row>
    <row r="170" spans="2:7" hidden="1" x14ac:dyDescent="0.2">
      <c r="B170" s="6"/>
      <c r="C170" s="23" t="str">
        <f>Translations!$A$41</f>
        <v>权益法投资</v>
      </c>
      <c r="D170" s="23">
        <f t="shared" si="4"/>
        <v>0</v>
      </c>
      <c r="E170" s="40"/>
      <c r="F170" s="23" t="str">
        <f t="shared" si="5"/>
        <v/>
      </c>
      <c r="G170" s="6"/>
    </row>
    <row r="171" spans="2:7" hidden="1" x14ac:dyDescent="0.2">
      <c r="B171" s="6"/>
      <c r="C171" s="23" t="str">
        <f>Translations!$A$41</f>
        <v>权益法投资</v>
      </c>
      <c r="D171" s="23">
        <f t="shared" si="4"/>
        <v>0</v>
      </c>
      <c r="E171" s="40"/>
      <c r="F171" s="23" t="str">
        <f t="shared" si="5"/>
        <v/>
      </c>
      <c r="G171" s="6"/>
    </row>
    <row r="172" spans="2:7" hidden="1" x14ac:dyDescent="0.2">
      <c r="B172" s="6"/>
      <c r="C172" s="23" t="str">
        <f>Translations!$A$41</f>
        <v>权益法投资</v>
      </c>
      <c r="D172" s="23">
        <f t="shared" si="4"/>
        <v>0</v>
      </c>
      <c r="E172" s="40"/>
      <c r="F172" s="23" t="str">
        <f t="shared" si="5"/>
        <v/>
      </c>
      <c r="G172" s="6"/>
    </row>
    <row r="173" spans="2:7" hidden="1" x14ac:dyDescent="0.2">
      <c r="B173" s="6"/>
      <c r="C173" s="23" t="str">
        <f>Translations!$A$41</f>
        <v>权益法投资</v>
      </c>
      <c r="D173" s="23">
        <f t="shared" si="4"/>
        <v>0</v>
      </c>
      <c r="E173" s="40"/>
      <c r="F173" s="23" t="str">
        <f t="shared" si="5"/>
        <v/>
      </c>
      <c r="G173" s="6"/>
    </row>
    <row r="174" spans="2:7" hidden="1" x14ac:dyDescent="0.2">
      <c r="B174" s="6"/>
      <c r="C174" s="23" t="str">
        <f>Translations!$A$41</f>
        <v>权益法投资</v>
      </c>
      <c r="D174" s="23">
        <f t="shared" si="4"/>
        <v>0</v>
      </c>
      <c r="E174" s="40"/>
      <c r="F174" s="23" t="str">
        <f t="shared" si="5"/>
        <v/>
      </c>
      <c r="G174" s="6"/>
    </row>
    <row r="175" spans="2:7" hidden="1" x14ac:dyDescent="0.2">
      <c r="B175" s="6"/>
      <c r="C175" s="23" t="str">
        <f>Translations!$A$41</f>
        <v>权益法投资</v>
      </c>
      <c r="D175" s="23">
        <f t="shared" si="4"/>
        <v>0</v>
      </c>
      <c r="E175" s="40"/>
      <c r="F175" s="23" t="str">
        <f t="shared" si="5"/>
        <v/>
      </c>
      <c r="G175" s="6"/>
    </row>
    <row r="176" spans="2:7" hidden="1" x14ac:dyDescent="0.2">
      <c r="B176" s="6"/>
      <c r="C176" s="23" t="str">
        <f>Translations!$A$41</f>
        <v>权益法投资</v>
      </c>
      <c r="D176" s="23">
        <f t="shared" si="4"/>
        <v>0</v>
      </c>
      <c r="E176" s="40"/>
      <c r="F176" s="23" t="str">
        <f t="shared" si="5"/>
        <v/>
      </c>
      <c r="G176" s="6"/>
    </row>
    <row r="177" spans="2:7" hidden="1" x14ac:dyDescent="0.2">
      <c r="B177" s="6"/>
      <c r="C177" s="23" t="str">
        <f>Translations!$A$41</f>
        <v>权益法投资</v>
      </c>
      <c r="D177" s="23">
        <f t="shared" si="4"/>
        <v>0</v>
      </c>
      <c r="E177" s="40"/>
      <c r="F177" s="23" t="str">
        <f t="shared" si="5"/>
        <v/>
      </c>
      <c r="G177" s="6"/>
    </row>
    <row r="178" spans="2:7" hidden="1" x14ac:dyDescent="0.2">
      <c r="B178" s="6"/>
      <c r="C178" s="23" t="str">
        <f>Translations!$A$41</f>
        <v>权益法投资</v>
      </c>
      <c r="D178" s="23">
        <f t="shared" si="4"/>
        <v>0</v>
      </c>
      <c r="E178" s="40"/>
      <c r="F178" s="23" t="str">
        <f t="shared" si="5"/>
        <v/>
      </c>
      <c r="G178" s="6"/>
    </row>
    <row r="179" spans="2:7" hidden="1" x14ac:dyDescent="0.2">
      <c r="B179" s="6"/>
      <c r="C179" s="23" t="str">
        <f>Translations!$A$41</f>
        <v>权益法投资</v>
      </c>
      <c r="D179" s="23">
        <f t="shared" si="4"/>
        <v>0</v>
      </c>
      <c r="E179" s="40"/>
      <c r="F179" s="23" t="str">
        <f t="shared" si="5"/>
        <v/>
      </c>
      <c r="G179" s="6"/>
    </row>
    <row r="180" spans="2:7" hidden="1" x14ac:dyDescent="0.2">
      <c r="B180" s="6"/>
      <c r="C180" s="23" t="str">
        <f>Translations!$A$41</f>
        <v>权益法投资</v>
      </c>
      <c r="D180" s="23">
        <f t="shared" si="4"/>
        <v>0</v>
      </c>
      <c r="E180" s="40"/>
      <c r="F180" s="23" t="str">
        <f t="shared" si="5"/>
        <v/>
      </c>
      <c r="G180" s="6"/>
    </row>
    <row r="181" spans="2:7" hidden="1" x14ac:dyDescent="0.2">
      <c r="B181" s="6"/>
      <c r="C181" s="23" t="str">
        <f>Translations!$A$41</f>
        <v>权益法投资</v>
      </c>
      <c r="D181" s="23">
        <f t="shared" si="4"/>
        <v>0</v>
      </c>
      <c r="E181" s="40"/>
      <c r="F181" s="23" t="str">
        <f t="shared" si="5"/>
        <v/>
      </c>
      <c r="G181" s="6"/>
    </row>
    <row r="182" spans="2:7" hidden="1" x14ac:dyDescent="0.2">
      <c r="B182" s="6"/>
      <c r="C182" s="23" t="str">
        <f>Translations!$A$41</f>
        <v>权益法投资</v>
      </c>
      <c r="D182" s="23">
        <f t="shared" si="4"/>
        <v>0</v>
      </c>
      <c r="E182" s="40"/>
      <c r="F182" s="23" t="str">
        <f t="shared" si="5"/>
        <v/>
      </c>
      <c r="G182" s="6"/>
    </row>
    <row r="183" spans="2:7" hidden="1" x14ac:dyDescent="0.2">
      <c r="B183" s="6"/>
      <c r="C183" s="23" t="str">
        <f>Translations!$A$41</f>
        <v>权益法投资</v>
      </c>
      <c r="D183" s="23">
        <f t="shared" si="4"/>
        <v>0</v>
      </c>
      <c r="E183" s="40"/>
      <c r="F183" s="23" t="str">
        <f t="shared" si="5"/>
        <v/>
      </c>
      <c r="G183" s="6"/>
    </row>
    <row r="184" spans="2:7" hidden="1" x14ac:dyDescent="0.2">
      <c r="B184" s="6"/>
      <c r="C184" s="23" t="str">
        <f>Translations!$A$41</f>
        <v>权益法投资</v>
      </c>
      <c r="D184" s="23">
        <f t="shared" si="4"/>
        <v>0</v>
      </c>
      <c r="E184" s="40"/>
      <c r="F184" s="23" t="str">
        <f t="shared" si="5"/>
        <v/>
      </c>
      <c r="G184" s="6"/>
    </row>
    <row r="185" spans="2:7" hidden="1" x14ac:dyDescent="0.2">
      <c r="B185" s="6"/>
      <c r="C185" s="23" t="str">
        <f>Translations!$A$41</f>
        <v>权益法投资</v>
      </c>
      <c r="D185" s="23">
        <f t="shared" ref="D185:D219" si="6">$C$11</f>
        <v>0</v>
      </c>
      <c r="E185" s="40"/>
      <c r="F185" s="23" t="str">
        <f t="shared" ref="F185:F219" si="7">IFERROR(D185/E185,"")</f>
        <v/>
      </c>
      <c r="G185" s="6"/>
    </row>
    <row r="186" spans="2:7" hidden="1" x14ac:dyDescent="0.2">
      <c r="B186" s="6"/>
      <c r="C186" s="23" t="str">
        <f>Translations!$A$41</f>
        <v>权益法投资</v>
      </c>
      <c r="D186" s="23">
        <f t="shared" si="6"/>
        <v>0</v>
      </c>
      <c r="E186" s="40"/>
      <c r="F186" s="23" t="str">
        <f t="shared" si="7"/>
        <v/>
      </c>
      <c r="G186" s="6"/>
    </row>
    <row r="187" spans="2:7" hidden="1" x14ac:dyDescent="0.2">
      <c r="B187" s="6"/>
      <c r="C187" s="23" t="str">
        <f>Translations!$A$41</f>
        <v>权益法投资</v>
      </c>
      <c r="D187" s="23">
        <f t="shared" si="6"/>
        <v>0</v>
      </c>
      <c r="E187" s="40"/>
      <c r="F187" s="23" t="str">
        <f t="shared" si="7"/>
        <v/>
      </c>
      <c r="G187" s="6"/>
    </row>
    <row r="188" spans="2:7" hidden="1" x14ac:dyDescent="0.2">
      <c r="B188" s="6"/>
      <c r="C188" s="23" t="str">
        <f>Translations!$A$41</f>
        <v>权益法投资</v>
      </c>
      <c r="D188" s="23">
        <f t="shared" si="6"/>
        <v>0</v>
      </c>
      <c r="E188" s="40"/>
      <c r="F188" s="23" t="str">
        <f t="shared" si="7"/>
        <v/>
      </c>
      <c r="G188" s="6"/>
    </row>
    <row r="189" spans="2:7" hidden="1" x14ac:dyDescent="0.2">
      <c r="B189" s="6"/>
      <c r="C189" s="23" t="str">
        <f>Translations!$A$41</f>
        <v>权益法投资</v>
      </c>
      <c r="D189" s="23">
        <f t="shared" si="6"/>
        <v>0</v>
      </c>
      <c r="E189" s="40"/>
      <c r="F189" s="23" t="str">
        <f t="shared" si="7"/>
        <v/>
      </c>
      <c r="G189" s="6"/>
    </row>
    <row r="190" spans="2:7" hidden="1" x14ac:dyDescent="0.2">
      <c r="B190" s="6"/>
      <c r="C190" s="23" t="str">
        <f>Translations!$A$41</f>
        <v>权益法投资</v>
      </c>
      <c r="D190" s="23">
        <f t="shared" si="6"/>
        <v>0</v>
      </c>
      <c r="E190" s="40"/>
      <c r="F190" s="23" t="str">
        <f t="shared" si="7"/>
        <v/>
      </c>
      <c r="G190" s="6"/>
    </row>
    <row r="191" spans="2:7" hidden="1" x14ac:dyDescent="0.2">
      <c r="B191" s="6"/>
      <c r="C191" s="23" t="str">
        <f>Translations!$A$41</f>
        <v>权益法投资</v>
      </c>
      <c r="D191" s="23">
        <f t="shared" si="6"/>
        <v>0</v>
      </c>
      <c r="E191" s="40"/>
      <c r="F191" s="23" t="str">
        <f t="shared" si="7"/>
        <v/>
      </c>
      <c r="G191" s="6"/>
    </row>
    <row r="192" spans="2:7" hidden="1" x14ac:dyDescent="0.2">
      <c r="B192" s="6"/>
      <c r="C192" s="23" t="str">
        <f>Translations!$A$41</f>
        <v>权益法投资</v>
      </c>
      <c r="D192" s="23">
        <f t="shared" si="6"/>
        <v>0</v>
      </c>
      <c r="E192" s="40"/>
      <c r="F192" s="23" t="str">
        <f t="shared" si="7"/>
        <v/>
      </c>
      <c r="G192" s="6"/>
    </row>
    <row r="193" spans="2:7" hidden="1" x14ac:dyDescent="0.2">
      <c r="B193" s="6"/>
      <c r="C193" s="23" t="str">
        <f>Translations!$A$41</f>
        <v>权益法投资</v>
      </c>
      <c r="D193" s="23">
        <f t="shared" si="6"/>
        <v>0</v>
      </c>
      <c r="E193" s="40"/>
      <c r="F193" s="23" t="str">
        <f t="shared" si="7"/>
        <v/>
      </c>
      <c r="G193" s="6"/>
    </row>
    <row r="194" spans="2:7" hidden="1" x14ac:dyDescent="0.2">
      <c r="B194" s="6"/>
      <c r="C194" s="23" t="str">
        <f>Translations!$A$41</f>
        <v>权益法投资</v>
      </c>
      <c r="D194" s="23">
        <f t="shared" si="6"/>
        <v>0</v>
      </c>
      <c r="E194" s="40"/>
      <c r="F194" s="23" t="str">
        <f t="shared" si="7"/>
        <v/>
      </c>
      <c r="G194" s="6"/>
    </row>
    <row r="195" spans="2:7" hidden="1" x14ac:dyDescent="0.2">
      <c r="B195" s="6"/>
      <c r="C195" s="23" t="str">
        <f>Translations!$A$41</f>
        <v>权益法投资</v>
      </c>
      <c r="D195" s="23">
        <f t="shared" si="6"/>
        <v>0</v>
      </c>
      <c r="E195" s="40"/>
      <c r="F195" s="23" t="str">
        <f t="shared" si="7"/>
        <v/>
      </c>
      <c r="G195" s="6"/>
    </row>
    <row r="196" spans="2:7" hidden="1" x14ac:dyDescent="0.2">
      <c r="B196" s="6"/>
      <c r="C196" s="23" t="str">
        <f>Translations!$A$41</f>
        <v>权益法投资</v>
      </c>
      <c r="D196" s="23">
        <f t="shared" si="6"/>
        <v>0</v>
      </c>
      <c r="E196" s="40"/>
      <c r="F196" s="23" t="str">
        <f t="shared" si="7"/>
        <v/>
      </c>
      <c r="G196" s="6"/>
    </row>
    <row r="197" spans="2:7" hidden="1" x14ac:dyDescent="0.2">
      <c r="B197" s="6"/>
      <c r="C197" s="23" t="str">
        <f>Translations!$A$41</f>
        <v>权益法投资</v>
      </c>
      <c r="D197" s="23">
        <f t="shared" si="6"/>
        <v>0</v>
      </c>
      <c r="E197" s="40"/>
      <c r="F197" s="23" t="str">
        <f t="shared" si="7"/>
        <v/>
      </c>
      <c r="G197" s="6"/>
    </row>
    <row r="198" spans="2:7" hidden="1" x14ac:dyDescent="0.2">
      <c r="B198" s="6"/>
      <c r="C198" s="23" t="str">
        <f>Translations!$A$41</f>
        <v>权益法投资</v>
      </c>
      <c r="D198" s="23">
        <f t="shared" si="6"/>
        <v>0</v>
      </c>
      <c r="E198" s="40"/>
      <c r="F198" s="23" t="str">
        <f t="shared" si="7"/>
        <v/>
      </c>
      <c r="G198" s="6"/>
    </row>
    <row r="199" spans="2:7" hidden="1" x14ac:dyDescent="0.2">
      <c r="B199" s="6"/>
      <c r="C199" s="23" t="str">
        <f>Translations!$A$41</f>
        <v>权益法投资</v>
      </c>
      <c r="D199" s="23">
        <f t="shared" si="6"/>
        <v>0</v>
      </c>
      <c r="E199" s="40"/>
      <c r="F199" s="23" t="str">
        <f t="shared" si="7"/>
        <v/>
      </c>
      <c r="G199" s="6"/>
    </row>
    <row r="200" spans="2:7" hidden="1" x14ac:dyDescent="0.2">
      <c r="B200" s="6"/>
      <c r="C200" s="23" t="str">
        <f>Translations!$A$41</f>
        <v>权益法投资</v>
      </c>
      <c r="D200" s="23">
        <f t="shared" si="6"/>
        <v>0</v>
      </c>
      <c r="E200" s="40"/>
      <c r="F200" s="23" t="str">
        <f t="shared" si="7"/>
        <v/>
      </c>
      <c r="G200" s="6"/>
    </row>
    <row r="201" spans="2:7" hidden="1" x14ac:dyDescent="0.2">
      <c r="B201" s="6"/>
      <c r="C201" s="23" t="str">
        <f>Translations!$A$41</f>
        <v>权益法投资</v>
      </c>
      <c r="D201" s="23">
        <f t="shared" si="6"/>
        <v>0</v>
      </c>
      <c r="E201" s="40"/>
      <c r="F201" s="23" t="str">
        <f t="shared" si="7"/>
        <v/>
      </c>
      <c r="G201" s="6"/>
    </row>
    <row r="202" spans="2:7" hidden="1" x14ac:dyDescent="0.2">
      <c r="B202" s="6"/>
      <c r="C202" s="23" t="str">
        <f>Translations!$A$41</f>
        <v>权益法投资</v>
      </c>
      <c r="D202" s="23">
        <f t="shared" si="6"/>
        <v>0</v>
      </c>
      <c r="E202" s="40"/>
      <c r="F202" s="23" t="str">
        <f t="shared" si="7"/>
        <v/>
      </c>
      <c r="G202" s="6"/>
    </row>
    <row r="203" spans="2:7" hidden="1" x14ac:dyDescent="0.2">
      <c r="B203" s="6"/>
      <c r="C203" s="23" t="str">
        <f>Translations!$A$41</f>
        <v>权益法投资</v>
      </c>
      <c r="D203" s="23">
        <f t="shared" si="6"/>
        <v>0</v>
      </c>
      <c r="E203" s="40"/>
      <c r="F203" s="23" t="str">
        <f t="shared" si="7"/>
        <v/>
      </c>
      <c r="G203" s="6"/>
    </row>
    <row r="204" spans="2:7" hidden="1" x14ac:dyDescent="0.2">
      <c r="B204" s="6"/>
      <c r="C204" s="23" t="str">
        <f>Translations!$A$41</f>
        <v>权益法投资</v>
      </c>
      <c r="D204" s="23">
        <f t="shared" si="6"/>
        <v>0</v>
      </c>
      <c r="E204" s="40"/>
      <c r="F204" s="23" t="str">
        <f t="shared" si="7"/>
        <v/>
      </c>
      <c r="G204" s="6"/>
    </row>
    <row r="205" spans="2:7" hidden="1" x14ac:dyDescent="0.2">
      <c r="B205" s="6"/>
      <c r="C205" s="23" t="str">
        <f>Translations!$A$41</f>
        <v>权益法投资</v>
      </c>
      <c r="D205" s="23">
        <f t="shared" si="6"/>
        <v>0</v>
      </c>
      <c r="E205" s="40"/>
      <c r="F205" s="23" t="str">
        <f t="shared" si="7"/>
        <v/>
      </c>
      <c r="G205" s="6"/>
    </row>
    <row r="206" spans="2:7" hidden="1" x14ac:dyDescent="0.2">
      <c r="B206" s="6"/>
      <c r="C206" s="23" t="str">
        <f>Translations!$A$41</f>
        <v>权益法投资</v>
      </c>
      <c r="D206" s="23">
        <f t="shared" si="6"/>
        <v>0</v>
      </c>
      <c r="E206" s="40"/>
      <c r="F206" s="23" t="str">
        <f t="shared" si="7"/>
        <v/>
      </c>
      <c r="G206" s="6"/>
    </row>
    <row r="207" spans="2:7" hidden="1" x14ac:dyDescent="0.2">
      <c r="B207" s="6"/>
      <c r="C207" s="23" t="str">
        <f>Translations!$A$41</f>
        <v>权益法投资</v>
      </c>
      <c r="D207" s="23">
        <f t="shared" si="6"/>
        <v>0</v>
      </c>
      <c r="E207" s="40"/>
      <c r="F207" s="23" t="str">
        <f t="shared" si="7"/>
        <v/>
      </c>
      <c r="G207" s="6"/>
    </row>
    <row r="208" spans="2:7" hidden="1" x14ac:dyDescent="0.2">
      <c r="B208" s="6"/>
      <c r="C208" s="23" t="str">
        <f>Translations!$A$41</f>
        <v>权益法投资</v>
      </c>
      <c r="D208" s="23">
        <f t="shared" si="6"/>
        <v>0</v>
      </c>
      <c r="E208" s="40"/>
      <c r="F208" s="23" t="str">
        <f t="shared" si="7"/>
        <v/>
      </c>
      <c r="G208" s="6"/>
    </row>
    <row r="209" spans="2:7" hidden="1" x14ac:dyDescent="0.2">
      <c r="B209" s="6"/>
      <c r="C209" s="23" t="str">
        <f>Translations!$A$41</f>
        <v>权益法投资</v>
      </c>
      <c r="D209" s="23">
        <f t="shared" si="6"/>
        <v>0</v>
      </c>
      <c r="E209" s="40"/>
      <c r="F209" s="23" t="str">
        <f t="shared" si="7"/>
        <v/>
      </c>
      <c r="G209" s="6"/>
    </row>
    <row r="210" spans="2:7" hidden="1" x14ac:dyDescent="0.2">
      <c r="B210" s="6"/>
      <c r="C210" s="23" t="str">
        <f>Translations!$A$41</f>
        <v>权益法投资</v>
      </c>
      <c r="D210" s="23">
        <f t="shared" si="6"/>
        <v>0</v>
      </c>
      <c r="E210" s="40"/>
      <c r="F210" s="23" t="str">
        <f t="shared" si="7"/>
        <v/>
      </c>
      <c r="G210" s="6"/>
    </row>
    <row r="211" spans="2:7" hidden="1" x14ac:dyDescent="0.2">
      <c r="B211" s="6"/>
      <c r="C211" s="23" t="str">
        <f>Translations!$A$41</f>
        <v>权益法投资</v>
      </c>
      <c r="D211" s="23">
        <f t="shared" si="6"/>
        <v>0</v>
      </c>
      <c r="E211" s="40"/>
      <c r="F211" s="23" t="str">
        <f t="shared" si="7"/>
        <v/>
      </c>
      <c r="G211" s="6"/>
    </row>
    <row r="212" spans="2:7" hidden="1" x14ac:dyDescent="0.2">
      <c r="B212" s="6"/>
      <c r="C212" s="23" t="str">
        <f>Translations!$A$41</f>
        <v>权益法投资</v>
      </c>
      <c r="D212" s="23">
        <f t="shared" si="6"/>
        <v>0</v>
      </c>
      <c r="E212" s="40"/>
      <c r="F212" s="23" t="str">
        <f t="shared" si="7"/>
        <v/>
      </c>
      <c r="G212" s="6"/>
    </row>
    <row r="213" spans="2:7" hidden="1" x14ac:dyDescent="0.2">
      <c r="B213" s="6"/>
      <c r="C213" s="23" t="str">
        <f>Translations!$A$41</f>
        <v>权益法投资</v>
      </c>
      <c r="D213" s="23">
        <f t="shared" si="6"/>
        <v>0</v>
      </c>
      <c r="E213" s="40"/>
      <c r="F213" s="23" t="str">
        <f t="shared" si="7"/>
        <v/>
      </c>
      <c r="G213" s="6"/>
    </row>
    <row r="214" spans="2:7" hidden="1" x14ac:dyDescent="0.2">
      <c r="B214" s="6"/>
      <c r="C214" s="23" t="str">
        <f>Translations!$A$41</f>
        <v>权益法投资</v>
      </c>
      <c r="D214" s="23">
        <f t="shared" si="6"/>
        <v>0</v>
      </c>
      <c r="E214" s="40"/>
      <c r="F214" s="23" t="str">
        <f t="shared" si="7"/>
        <v/>
      </c>
      <c r="G214" s="6"/>
    </row>
    <row r="215" spans="2:7" hidden="1" x14ac:dyDescent="0.2">
      <c r="B215" s="6"/>
      <c r="C215" s="23" t="str">
        <f>Translations!$A$41</f>
        <v>权益法投资</v>
      </c>
      <c r="D215" s="23">
        <f t="shared" si="6"/>
        <v>0</v>
      </c>
      <c r="E215" s="40"/>
      <c r="F215" s="23" t="str">
        <f t="shared" si="7"/>
        <v/>
      </c>
      <c r="G215" s="6"/>
    </row>
    <row r="216" spans="2:7" hidden="1" x14ac:dyDescent="0.2">
      <c r="B216" s="6"/>
      <c r="C216" s="23" t="str">
        <f>Translations!$A$41</f>
        <v>权益法投资</v>
      </c>
      <c r="D216" s="23">
        <f t="shared" si="6"/>
        <v>0</v>
      </c>
      <c r="E216" s="40"/>
      <c r="F216" s="23" t="str">
        <f t="shared" si="7"/>
        <v/>
      </c>
      <c r="G216" s="6"/>
    </row>
    <row r="217" spans="2:7" hidden="1" x14ac:dyDescent="0.2">
      <c r="B217" s="6"/>
      <c r="C217" s="23" t="str">
        <f>Translations!$A$41</f>
        <v>权益法投资</v>
      </c>
      <c r="D217" s="23">
        <f t="shared" si="6"/>
        <v>0</v>
      </c>
      <c r="E217" s="40"/>
      <c r="F217" s="23" t="str">
        <f t="shared" si="7"/>
        <v/>
      </c>
      <c r="G217" s="6"/>
    </row>
    <row r="218" spans="2:7" hidden="1" x14ac:dyDescent="0.2">
      <c r="B218" s="6"/>
      <c r="C218" s="23" t="str">
        <f>Translations!$A$41</f>
        <v>权益法投资</v>
      </c>
      <c r="D218" s="23">
        <f t="shared" si="6"/>
        <v>0</v>
      </c>
      <c r="E218" s="40"/>
      <c r="F218" s="23" t="str">
        <f t="shared" si="7"/>
        <v/>
      </c>
      <c r="G218" s="6"/>
    </row>
    <row r="219" spans="2:7" hidden="1" x14ac:dyDescent="0.2">
      <c r="B219" s="6"/>
      <c r="C219" s="23" t="str">
        <f>Translations!$A$41</f>
        <v>权益法投资</v>
      </c>
      <c r="D219" s="23">
        <f t="shared" si="6"/>
        <v>0</v>
      </c>
      <c r="E219" s="40"/>
      <c r="F219" s="23" t="str">
        <f t="shared" si="7"/>
        <v/>
      </c>
      <c r="G219" s="6"/>
    </row>
  </sheetData>
  <sheetProtection selectLockedCells="1"/>
  <mergeCells count="10">
    <mergeCell ref="C15:C16"/>
    <mergeCell ref="C118:C119"/>
    <mergeCell ref="F15:F16"/>
    <mergeCell ref="G15:G16"/>
    <mergeCell ref="D118:D119"/>
    <mergeCell ref="E118:E119"/>
    <mergeCell ref="F118:F119"/>
    <mergeCell ref="G118:G119"/>
    <mergeCell ref="D15:D16"/>
    <mergeCell ref="E15:E16"/>
  </mergeCells>
  <phoneticPr fontId="22" type="noConversion"/>
  <conditionalFormatting sqref="C8:C10">
    <cfRule type="containsBlanks" dxfId="12" priority="22">
      <formula>LEN(TRIM(C8))=0</formula>
    </cfRule>
  </conditionalFormatting>
  <conditionalFormatting sqref="C11:C13">
    <cfRule type="containsBlanks" dxfId="11" priority="21">
      <formula>LEN(TRIM(C11))=0</formula>
    </cfRule>
  </conditionalFormatting>
  <conditionalFormatting sqref="C4">
    <cfRule type="expression" dxfId="10" priority="20">
      <formula>C4=""</formula>
    </cfRule>
  </conditionalFormatting>
  <conditionalFormatting sqref="C5">
    <cfRule type="expression" dxfId="9" priority="19">
      <formula>C5=""</formula>
    </cfRule>
  </conditionalFormatting>
  <conditionalFormatting sqref="B19:D20 B23:D113">
    <cfRule type="containsBlanks" dxfId="8" priority="14">
      <formula>LEN(TRIM(B19))=0</formula>
    </cfRule>
  </conditionalFormatting>
  <conditionalFormatting sqref="B120:B219">
    <cfRule type="containsBlanks" dxfId="7" priority="13">
      <formula>LEN(TRIM(B120))=0</formula>
    </cfRule>
  </conditionalFormatting>
  <conditionalFormatting sqref="B21:D22">
    <cfRule type="containsBlanks" dxfId="6" priority="7">
      <formula>LEN(TRIM(B21))=0</formula>
    </cfRule>
  </conditionalFormatting>
  <conditionalFormatting sqref="C17:C18">
    <cfRule type="containsBlanks" dxfId="5" priority="6">
      <formula>LEN(TRIM(C17))=0</formula>
    </cfRule>
  </conditionalFormatting>
  <conditionalFormatting sqref="D17:D18">
    <cfRule type="containsBlanks" dxfId="4" priority="5">
      <formula>LEN(TRIM(D17))=0</formula>
    </cfRule>
  </conditionalFormatting>
  <conditionalFormatting sqref="B17:B18">
    <cfRule type="containsBlanks" dxfId="3" priority="4">
      <formula>LEN(TRIM(B17))=0</formula>
    </cfRule>
  </conditionalFormatting>
  <conditionalFormatting sqref="G17:G113">
    <cfRule type="containsBlanks" dxfId="2" priority="3">
      <formula>LEN(TRIM(G17))=0</formula>
    </cfRule>
  </conditionalFormatting>
  <conditionalFormatting sqref="G120:G219">
    <cfRule type="containsBlanks" dxfId="1" priority="2">
      <formula>LEN(TRIM(G120))=0</formula>
    </cfRule>
  </conditionalFormatting>
  <conditionalFormatting sqref="E120:E219">
    <cfRule type="containsBlanks" dxfId="0" priority="1">
      <formula>LEN(TRIM(E120))=0</formula>
    </cfRule>
  </conditionalFormatting>
  <dataValidations count="1">
    <dataValidation allowBlank="1" showInputMessage="1" showErrorMessage="1" errorTitle="Number" error="Value must be a number." sqref="D17:D18 D21:D22" xr:uid="{16190DEA-A43A-46F5-874D-F5A12C5919A6}"/>
  </dataValidations>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A3732B3A-60D3-446E-A87E-2CD1FC8EE7E2}">
          <x14:formula1>
            <xm:f>Translations!$A$38:$A$40</xm:f>
          </x14:formula1>
          <xm:sqref>C17:C113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7E107-E5F7-4598-AC1F-B8DF6C7DAB6E}">
  <sheetPr codeName="sheetContentTranslation"/>
  <dimension ref="A1:D90"/>
  <sheetViews>
    <sheetView topLeftCell="A34" workbookViewId="0">
      <selection activeCell="A35" sqref="A35"/>
    </sheetView>
  </sheetViews>
  <sheetFormatPr defaultRowHeight="14.25" x14ac:dyDescent="0.2"/>
  <cols>
    <col min="1" max="1" width="70" customWidth="1"/>
    <col min="2" max="2" width="68.375" customWidth="1"/>
  </cols>
  <sheetData>
    <row r="1" spans="1:2" x14ac:dyDescent="0.2">
      <c r="A1" s="21"/>
      <c r="B1" s="41"/>
    </row>
    <row r="2" spans="1:2" x14ac:dyDescent="0.2">
      <c r="A2" s="21"/>
      <c r="B2" s="41"/>
    </row>
    <row r="3" spans="1:2" x14ac:dyDescent="0.2">
      <c r="A3" s="21" t="s">
        <v>37</v>
      </c>
      <c r="B3" s="41" t="s">
        <v>1</v>
      </c>
    </row>
    <row r="4" spans="1:2" x14ac:dyDescent="0.2">
      <c r="A4" s="21" t="s">
        <v>38</v>
      </c>
      <c r="B4" s="41" t="s">
        <v>2</v>
      </c>
    </row>
    <row r="5" spans="1:2" x14ac:dyDescent="0.2">
      <c r="A5" s="21" t="s">
        <v>39</v>
      </c>
      <c r="B5" s="41" t="s">
        <v>3</v>
      </c>
    </row>
    <row r="6" spans="1:2" x14ac:dyDescent="0.2">
      <c r="A6" s="21" t="s">
        <v>40</v>
      </c>
      <c r="B6" s="41" t="s">
        <v>4</v>
      </c>
    </row>
    <row r="7" spans="1:2" x14ac:dyDescent="0.2">
      <c r="A7" s="21" t="s">
        <v>41</v>
      </c>
      <c r="B7" s="41" t="s">
        <v>5</v>
      </c>
    </row>
    <row r="8" spans="1:2" x14ac:dyDescent="0.2">
      <c r="A8" s="21" t="s">
        <v>42</v>
      </c>
      <c r="B8" s="41" t="s">
        <v>6</v>
      </c>
    </row>
    <row r="9" spans="1:2" x14ac:dyDescent="0.2">
      <c r="A9" s="21" t="s">
        <v>43</v>
      </c>
      <c r="B9" s="41" t="s">
        <v>7</v>
      </c>
    </row>
    <row r="10" spans="1:2" x14ac:dyDescent="0.2">
      <c r="A10" s="21" t="s">
        <v>44</v>
      </c>
      <c r="B10" s="41" t="s">
        <v>8</v>
      </c>
    </row>
    <row r="11" spans="1:2" x14ac:dyDescent="0.2">
      <c r="A11" s="21" t="s">
        <v>45</v>
      </c>
      <c r="B11" s="41" t="s">
        <v>9</v>
      </c>
    </row>
    <row r="12" spans="1:2" x14ac:dyDescent="0.2">
      <c r="A12" s="21" t="s">
        <v>46</v>
      </c>
      <c r="B12" s="41" t="s">
        <v>10</v>
      </c>
    </row>
    <row r="13" spans="1:2" x14ac:dyDescent="0.2">
      <c r="A13" s="21" t="s">
        <v>47</v>
      </c>
      <c r="B13" s="41" t="s">
        <v>11</v>
      </c>
    </row>
    <row r="14" spans="1:2" x14ac:dyDescent="0.2">
      <c r="A14" s="21" t="s">
        <v>48</v>
      </c>
      <c r="B14" s="41" t="s">
        <v>12</v>
      </c>
    </row>
    <row r="15" spans="1:2" x14ac:dyDescent="0.2">
      <c r="A15" s="21" t="s">
        <v>49</v>
      </c>
      <c r="B15" s="41" t="s">
        <v>13</v>
      </c>
    </row>
    <row r="16" spans="1:2" x14ac:dyDescent="0.2">
      <c r="A16" s="21" t="s">
        <v>50</v>
      </c>
      <c r="B16" s="41" t="s">
        <v>14</v>
      </c>
    </row>
    <row r="17" spans="1:2" ht="28.5" x14ac:dyDescent="0.2">
      <c r="A17" s="21" t="s">
        <v>51</v>
      </c>
      <c r="B17" s="41" t="s">
        <v>15</v>
      </c>
    </row>
    <row r="18" spans="1:2" x14ac:dyDescent="0.2">
      <c r="A18" s="21" t="s">
        <v>52</v>
      </c>
      <c r="B18" s="41" t="s">
        <v>16</v>
      </c>
    </row>
    <row r="19" spans="1:2" x14ac:dyDescent="0.2">
      <c r="A19" s="21" t="s">
        <v>53</v>
      </c>
      <c r="B19" s="41" t="s">
        <v>17</v>
      </c>
    </row>
    <row r="20" spans="1:2" x14ac:dyDescent="0.2">
      <c r="A20" s="21" t="s">
        <v>54</v>
      </c>
      <c r="B20" s="41" t="s">
        <v>18</v>
      </c>
    </row>
    <row r="21" spans="1:2" x14ac:dyDescent="0.2">
      <c r="A21" s="21" t="s">
        <v>55</v>
      </c>
      <c r="B21" s="41" t="s">
        <v>19</v>
      </c>
    </row>
    <row r="22" spans="1:2" x14ac:dyDescent="0.2">
      <c r="A22" s="21" t="s">
        <v>56</v>
      </c>
      <c r="B22" s="41" t="s">
        <v>20</v>
      </c>
    </row>
    <row r="23" spans="1:2" ht="28.5" x14ac:dyDescent="0.2">
      <c r="A23" s="21" t="s">
        <v>57</v>
      </c>
      <c r="B23" s="41" t="s">
        <v>21</v>
      </c>
    </row>
    <row r="24" spans="1:2" x14ac:dyDescent="0.2">
      <c r="A24" s="21" t="s">
        <v>37</v>
      </c>
      <c r="B24" s="41" t="s">
        <v>22</v>
      </c>
    </row>
    <row r="25" spans="1:2" x14ac:dyDescent="0.2">
      <c r="A25" s="44">
        <v>44348</v>
      </c>
      <c r="B25" s="42">
        <v>44348</v>
      </c>
    </row>
    <row r="26" spans="1:2" x14ac:dyDescent="0.2">
      <c r="A26" s="21" t="s">
        <v>58</v>
      </c>
      <c r="B26" s="41" t="s">
        <v>23</v>
      </c>
    </row>
    <row r="27" spans="1:2" ht="128.25" x14ac:dyDescent="0.2">
      <c r="A27" s="21" t="s">
        <v>59</v>
      </c>
      <c r="B27" s="41" t="s">
        <v>24</v>
      </c>
    </row>
    <row r="28" spans="1:2" x14ac:dyDescent="0.2">
      <c r="A28" s="21" t="s">
        <v>60</v>
      </c>
      <c r="B28" s="41" t="s">
        <v>25</v>
      </c>
    </row>
    <row r="29" spans="1:2" x14ac:dyDescent="0.2">
      <c r="A29" s="21" t="s">
        <v>61</v>
      </c>
      <c r="B29" s="41" t="s">
        <v>26</v>
      </c>
    </row>
    <row r="30" spans="1:2" ht="42.75" x14ac:dyDescent="0.2">
      <c r="A30" s="21" t="s">
        <v>66</v>
      </c>
      <c r="B30" s="41" t="s">
        <v>27</v>
      </c>
    </row>
    <row r="31" spans="1:2" ht="28.5" x14ac:dyDescent="0.2">
      <c r="A31" s="21" t="s">
        <v>67</v>
      </c>
      <c r="B31" s="41" t="s">
        <v>28</v>
      </c>
    </row>
    <row r="32" spans="1:2" x14ac:dyDescent="0.2">
      <c r="A32" s="21" t="s">
        <v>65</v>
      </c>
      <c r="B32" s="41" t="s">
        <v>29</v>
      </c>
    </row>
    <row r="33" spans="1:4" ht="57" x14ac:dyDescent="0.2">
      <c r="A33" s="21" t="s">
        <v>68</v>
      </c>
      <c r="B33" s="41" t="s">
        <v>30</v>
      </c>
    </row>
    <row r="34" spans="1:4" ht="409.5" x14ac:dyDescent="0.2">
      <c r="A34" s="21" t="s">
        <v>72</v>
      </c>
      <c r="B34" s="41" t="s">
        <v>70</v>
      </c>
    </row>
    <row r="35" spans="1:4" x14ac:dyDescent="0.2">
      <c r="A35" s="21" t="s">
        <v>69</v>
      </c>
      <c r="B35" s="41" t="s">
        <v>31</v>
      </c>
      <c r="D35" s="21"/>
    </row>
    <row r="36" spans="1:4" ht="270.75" x14ac:dyDescent="0.2">
      <c r="A36" s="21" t="s">
        <v>71</v>
      </c>
      <c r="B36" s="41" t="s">
        <v>32</v>
      </c>
    </row>
    <row r="37" spans="1:4" x14ac:dyDescent="0.2">
      <c r="A37" s="44">
        <v>44348</v>
      </c>
      <c r="B37" s="42">
        <v>44348</v>
      </c>
    </row>
    <row r="38" spans="1:4" x14ac:dyDescent="0.2">
      <c r="A38" s="21" t="s">
        <v>62</v>
      </c>
      <c r="B38" s="41" t="s">
        <v>33</v>
      </c>
    </row>
    <row r="39" spans="1:4" x14ac:dyDescent="0.2">
      <c r="A39" s="21" t="s">
        <v>63</v>
      </c>
      <c r="B39" s="41" t="s">
        <v>34</v>
      </c>
    </row>
    <row r="40" spans="1:4" x14ac:dyDescent="0.2">
      <c r="A40" s="21" t="s">
        <v>64</v>
      </c>
      <c r="B40" s="41" t="s">
        <v>35</v>
      </c>
    </row>
    <row r="41" spans="1:4" x14ac:dyDescent="0.2">
      <c r="A41" s="21" t="s">
        <v>54</v>
      </c>
      <c r="B41" s="41" t="s">
        <v>36</v>
      </c>
    </row>
    <row r="42" spans="1:4" x14ac:dyDescent="0.2">
      <c r="A42" s="21"/>
      <c r="B42" s="41"/>
    </row>
    <row r="43" spans="1:4" x14ac:dyDescent="0.2">
      <c r="A43" s="21"/>
      <c r="B43" s="41"/>
    </row>
    <row r="44" spans="1:4" x14ac:dyDescent="0.2">
      <c r="A44" s="21"/>
      <c r="B44" s="41"/>
    </row>
    <row r="45" spans="1:4" x14ac:dyDescent="0.2">
      <c r="A45" s="21"/>
      <c r="B45" s="41"/>
    </row>
    <row r="46" spans="1:4" x14ac:dyDescent="0.2">
      <c r="A46" s="21"/>
      <c r="B46" s="41"/>
    </row>
    <row r="47" spans="1:4" x14ac:dyDescent="0.2">
      <c r="A47" s="21"/>
      <c r="B47" s="41"/>
    </row>
    <row r="48" spans="1:4" x14ac:dyDescent="0.2">
      <c r="A48" s="21"/>
      <c r="B48" s="41"/>
    </row>
    <row r="49" spans="1:2" x14ac:dyDescent="0.2">
      <c r="A49" s="21"/>
      <c r="B49" s="41"/>
    </row>
    <row r="50" spans="1:2" x14ac:dyDescent="0.2">
      <c r="A50" s="21"/>
      <c r="B50" s="41"/>
    </row>
    <row r="51" spans="1:2" x14ac:dyDescent="0.2">
      <c r="A51" s="21"/>
      <c r="B51" s="41"/>
    </row>
    <row r="52" spans="1:2" x14ac:dyDescent="0.2">
      <c r="A52" s="21"/>
      <c r="B52" s="41"/>
    </row>
    <row r="53" spans="1:2" x14ac:dyDescent="0.2">
      <c r="A53" s="21"/>
      <c r="B53" s="41"/>
    </row>
    <row r="54" spans="1:2" x14ac:dyDescent="0.2">
      <c r="A54" s="21"/>
      <c r="B54" s="41"/>
    </row>
    <row r="55" spans="1:2" x14ac:dyDescent="0.2">
      <c r="A55" s="21"/>
      <c r="B55" s="41"/>
    </row>
    <row r="56" spans="1:2" x14ac:dyDescent="0.2">
      <c r="A56" s="21"/>
      <c r="B56" s="41"/>
    </row>
    <row r="57" spans="1:2" x14ac:dyDescent="0.2">
      <c r="A57" s="21"/>
      <c r="B57" s="21"/>
    </row>
    <row r="58" spans="1:2" x14ac:dyDescent="0.2">
      <c r="A58" s="21"/>
      <c r="B58" s="21"/>
    </row>
    <row r="59" spans="1:2" x14ac:dyDescent="0.2">
      <c r="A59" s="21"/>
      <c r="B59" s="21"/>
    </row>
    <row r="60" spans="1:2" x14ac:dyDescent="0.2">
      <c r="A60" s="21"/>
      <c r="B60" s="21"/>
    </row>
    <row r="61" spans="1:2" x14ac:dyDescent="0.2">
      <c r="A61" s="21"/>
      <c r="B61" s="21"/>
    </row>
    <row r="62" spans="1:2" x14ac:dyDescent="0.2">
      <c r="A62" s="21"/>
      <c r="B62" s="21"/>
    </row>
    <row r="63" spans="1:2" x14ac:dyDescent="0.2">
      <c r="A63" s="21"/>
      <c r="B63" s="21"/>
    </row>
    <row r="64" spans="1:2" x14ac:dyDescent="0.2">
      <c r="A64" s="21"/>
      <c r="B64" s="21"/>
    </row>
    <row r="65" spans="1:2" x14ac:dyDescent="0.2">
      <c r="A65" s="21"/>
      <c r="B65" s="21"/>
    </row>
    <row r="66" spans="1:2" x14ac:dyDescent="0.2">
      <c r="A66" s="21"/>
      <c r="B66" s="21"/>
    </row>
    <row r="67" spans="1:2" x14ac:dyDescent="0.2">
      <c r="A67" s="21"/>
      <c r="B67" s="21"/>
    </row>
    <row r="68" spans="1:2" x14ac:dyDescent="0.2">
      <c r="A68" s="21"/>
      <c r="B68" s="21"/>
    </row>
    <row r="69" spans="1:2" x14ac:dyDescent="0.2">
      <c r="A69" s="21"/>
      <c r="B69" s="21"/>
    </row>
    <row r="70" spans="1:2" x14ac:dyDescent="0.2">
      <c r="A70" s="21"/>
      <c r="B70" s="21"/>
    </row>
    <row r="71" spans="1:2" x14ac:dyDescent="0.2">
      <c r="A71" s="21"/>
      <c r="B71" s="21"/>
    </row>
    <row r="72" spans="1:2" x14ac:dyDescent="0.2">
      <c r="A72" s="21"/>
      <c r="B72" s="21"/>
    </row>
    <row r="73" spans="1:2" x14ac:dyDescent="0.2">
      <c r="A73" s="21"/>
      <c r="B73" s="21"/>
    </row>
    <row r="74" spans="1:2" x14ac:dyDescent="0.2">
      <c r="A74" s="21"/>
      <c r="B74" s="21"/>
    </row>
    <row r="75" spans="1:2" x14ac:dyDescent="0.2">
      <c r="A75" s="21"/>
      <c r="B75" s="21"/>
    </row>
    <row r="76" spans="1:2" x14ac:dyDescent="0.2">
      <c r="A76" s="21"/>
      <c r="B76" s="21"/>
    </row>
    <row r="77" spans="1:2" x14ac:dyDescent="0.2">
      <c r="A77" s="21"/>
      <c r="B77" s="21"/>
    </row>
    <row r="78" spans="1:2" x14ac:dyDescent="0.2">
      <c r="A78" s="21"/>
      <c r="B78" s="21"/>
    </row>
    <row r="79" spans="1:2" x14ac:dyDescent="0.2">
      <c r="A79" s="21"/>
      <c r="B79" s="21"/>
    </row>
    <row r="80" spans="1:2" x14ac:dyDescent="0.2">
      <c r="A80" s="21"/>
      <c r="B80" s="21"/>
    </row>
    <row r="81" spans="1:2" x14ac:dyDescent="0.2">
      <c r="A81" s="21"/>
      <c r="B81" s="21"/>
    </row>
    <row r="82" spans="1:2" x14ac:dyDescent="0.2">
      <c r="A82" s="21"/>
      <c r="B82" s="21"/>
    </row>
    <row r="83" spans="1:2" x14ac:dyDescent="0.2">
      <c r="A83" s="21"/>
      <c r="B83" s="21"/>
    </row>
    <row r="84" spans="1:2" x14ac:dyDescent="0.2">
      <c r="A84" s="21"/>
      <c r="B84" s="21"/>
    </row>
    <row r="85" spans="1:2" x14ac:dyDescent="0.2">
      <c r="A85" s="21"/>
      <c r="B85" s="21"/>
    </row>
    <row r="86" spans="1:2" x14ac:dyDescent="0.2">
      <c r="A86" s="21"/>
      <c r="B86" s="21"/>
    </row>
    <row r="87" spans="1:2" x14ac:dyDescent="0.2">
      <c r="A87" s="21"/>
      <c r="B87" s="21"/>
    </row>
    <row r="88" spans="1:2" x14ac:dyDescent="0.2">
      <c r="A88" s="21"/>
      <c r="B88" s="21"/>
    </row>
    <row r="89" spans="1:2" x14ac:dyDescent="0.2">
      <c r="A89" s="21"/>
      <c r="B89" s="21"/>
    </row>
    <row r="90" spans="1:2" x14ac:dyDescent="0.2">
      <c r="A90" s="21"/>
      <c r="B90" s="21"/>
    </row>
  </sheetData>
  <phoneticPr fontId="2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BA8A0A80888F545BB9D1A28C6C20EC8" ma:contentTypeVersion="13" ma:contentTypeDescription="Create a new document." ma:contentTypeScope="" ma:versionID="01ab1eac041cc811e031b37066b7fafe">
  <xsd:schema xmlns:xsd="http://www.w3.org/2001/XMLSchema" xmlns:xs="http://www.w3.org/2001/XMLSchema" xmlns:p="http://schemas.microsoft.com/office/2006/metadata/properties" xmlns:ns2="ffe4ad93-ed6f-4535-b8d7-9f3717677e75" xmlns:ns3="aae29c38-5c64-4b4f-89da-042ea755fda5" targetNamespace="http://schemas.microsoft.com/office/2006/metadata/properties" ma:root="true" ma:fieldsID="8814a818003b98a94b8ead67a3451b2c" ns2:_="" ns3:_="">
    <xsd:import namespace="ffe4ad93-ed6f-4535-b8d7-9f3717677e75"/>
    <xsd:import namespace="aae29c38-5c64-4b4f-89da-042ea755fda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Versioncomments" minOccurs="0"/>
                <xsd:element ref="ns2:lcf76f155ced4ddcb4097134ff3c332f" minOccurs="0"/>
                <xsd:element ref="ns3:TaxCatchAll"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3:Main_x0020_topic"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e4ad93-ed6f-4535-b8d7-9f3717677e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Versioncomments" ma:index="12" nillable="true" ma:displayName="Version comments" ma:format="Dropdown" ma:internalName="Versioncomments">
      <xsd:simpleType>
        <xsd:restriction base="dms:Note">
          <xsd:maxLength value="255"/>
        </xsd:restriction>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6a785552-9cbc-4ad1-85a9-7bdd3352d37e" ma:termSetId="09814cd3-568e-fe90-9814-8d621ff8fb84" ma:anchorId="fba54fb3-c3e1-fe81-a776-ca4b69148c4d" ma:open="true" ma:isKeyword="false">
      <xsd:complexType>
        <xsd:sequence>
          <xsd:element ref="pc:Terms" minOccurs="0" maxOccurs="1"/>
        </xsd:sequence>
      </xsd:complex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ae29c38-5c64-4b4f-89da-042ea755fda5"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e78da1e-b515-4546-8b6d-a94f81144609}" ma:internalName="TaxCatchAll" ma:showField="CatchAllData" ma:web="aae29c38-5c64-4b4f-89da-042ea755fd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Main_x0020_topic" ma:index="21" nillable="true" ma:displayName="Main topic" ma:internalName="Main_x0020_topic">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ffe4ad93-ed6f-4535-b8d7-9f3717677e75">
      <Terms xmlns="http://schemas.microsoft.com/office/infopath/2007/PartnerControls"/>
    </lcf76f155ced4ddcb4097134ff3c332f>
    <Versioncomments xmlns="ffe4ad93-ed6f-4535-b8d7-9f3717677e75" xsi:nil="true"/>
    <TaxCatchAll xmlns="aae29c38-5c64-4b4f-89da-042ea755fda5" xsi:nil="true"/>
    <Main_x0020_topic xmlns="aae29c38-5c64-4b4f-89da-042ea755fda5" xsi:nil="true"/>
  </documentManagement>
</p:properties>
</file>

<file path=customXml/itemProps1.xml><?xml version="1.0" encoding="utf-8"?>
<ds:datastoreItem xmlns:ds="http://schemas.openxmlformats.org/officeDocument/2006/customXml" ds:itemID="{53CDC5A4-BA85-44ED-B6FA-A12708FEAFBF}">
  <ds:schemaRefs>
    <ds:schemaRef ds:uri="http://schemas.microsoft.com/sharepoint/v3/contenttype/forms"/>
  </ds:schemaRefs>
</ds:datastoreItem>
</file>

<file path=customXml/itemProps2.xml><?xml version="1.0" encoding="utf-8"?>
<ds:datastoreItem xmlns:ds="http://schemas.openxmlformats.org/officeDocument/2006/customXml" ds:itemID="{D22B2B56-977C-42C1-AE85-0C0B5B44AC9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fe4ad93-ed6f-4535-b8d7-9f3717677e75"/>
    <ds:schemaRef ds:uri="aae29c38-5c64-4b4f-89da-042ea755fd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0B4F598-0246-4EA1-929D-0BC9BAA73129}">
  <ds:schemaRefs>
    <ds:schemaRef ds:uri="http://schemas.microsoft.com/office/2006/metadata/properties"/>
    <ds:schemaRef ds:uri="http://schemas.microsoft.com/office/infopath/2007/PartnerControls"/>
    <ds:schemaRef ds:uri="ffe4ad93-ed6f-4535-b8d7-9f3717677e75"/>
    <ds:schemaRef ds:uri="aae29c38-5c64-4b4f-89da-042ea755fda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4</vt:i4>
      </vt:variant>
    </vt:vector>
  </HeadingPairs>
  <TitlesOfParts>
    <vt:vector size="7" baseType="lpstr">
      <vt:lpstr>指引</vt:lpstr>
      <vt:lpstr>组成部分重要性</vt:lpstr>
      <vt:lpstr>Translations</vt:lpstr>
      <vt:lpstr>ComponentRows</vt:lpstr>
      <vt:lpstr>EquityMethodInvestments</vt:lpstr>
      <vt:lpstr>NumberOfComponents</vt:lpstr>
      <vt:lpstr>NumberOfEquityMethodInvestments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Andy Barnhart</dc:creator>
  <cp:keywords/>
  <dc:description/>
  <cp:lastModifiedBy>Birdie Bai 白璐</cp:lastModifiedBy>
  <cp:revision/>
  <dcterms:created xsi:type="dcterms:W3CDTF">2021-04-21T14:12:25Z</dcterms:created>
  <dcterms:modified xsi:type="dcterms:W3CDTF">2023-12-19T01:42:32Z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0x0101005BA8A0A80888F545BB9D1A28C6C20EC8</vt:lpwstr>
  </property>
  <property fmtid="{D5CDD505-2E9C-101B-9397-08002B2CF9AE}" pid="3" name="_dlc_DocIdItemGuid">
    <vt:lpwstr>d86d9444-767a-4b0d-a56f-b70d839ddafe</vt:lpwstr>
  </property>
  <property fmtid="{D5CDD505-2E9C-101B-9397-08002B2CF9AE}" pid="4" name="Order">
    <vt:r8>1531100</vt:r8>
  </property>
  <property fmtid="{D5CDD505-2E9C-101B-9397-08002B2CF9AE}" pid="5" name="xd_Signature">
    <vt:bool>false</vt:bool>
  </property>
  <property fmtid="{D5CDD505-2E9C-101B-9397-08002B2CF9AE}" pid="6" name="xd_ProgID">
    <vt:lpwstr/>
  </property>
  <property fmtid="{D5CDD505-2E9C-101B-9397-08002B2CF9AE}" pid="7" name="_ExtendedDescription">
    <vt:lpwstr/>
  </property>
  <property fmtid="{D5CDD505-2E9C-101B-9397-08002B2CF9AE}" pid="8" name="_dlc_DocId">
    <vt:lpwstr>T4T5T3R555WE-636262436-15311</vt:lpwstr>
  </property>
  <property fmtid="{D5CDD505-2E9C-101B-9397-08002B2CF9AE}" pid="9" name="TriggerFlowInfo">
    <vt:lpwstr/>
  </property>
  <property fmtid="{D5CDD505-2E9C-101B-9397-08002B2CF9AE}" pid="10" name="_dlc_DocIdUrl">
    <vt:lpwstr>https://gtinetorg.sharepoint.com/sites/leapdocs/_layouts/15/DocIdRedir.aspx?ID=T4T5T3R555WE-636262436-15311, T4T5T3R555WE-636262436-15311</vt:lpwstr>
  </property>
  <property fmtid="{D5CDD505-2E9C-101B-9397-08002B2CF9AE}" pid="11" name="_SourceUrl">
    <vt:lpwstr/>
  </property>
  <property fmtid="{D5CDD505-2E9C-101B-9397-08002B2CF9AE}" pid="12" name="_SharedFileIndex">
    <vt:lpwstr/>
  </property>
  <property fmtid="{D5CDD505-2E9C-101B-9397-08002B2CF9AE}" pid="13" name="ComplianceAssetId">
    <vt:lpwstr/>
  </property>
  <property fmtid="{D5CDD505-2E9C-101B-9397-08002B2CF9AE}" pid="14" name="TemplateUrl">
    <vt:lpwstr/>
  </property>
</Properties>
</file>