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932"/>
  </bookViews>
  <sheets>
    <sheet name="A14-3 缺陷汇总" sheetId="4" r:id="rId1"/>
    <sheet name="A14-3-1 IT控制缺陷评价" sheetId="1" r:id="rId2"/>
    <sheet name="IT控制缺陷沟通会议纪要" sheetId="6" r:id="rId3"/>
    <sheet name="【示例1】信息系统一般控制缺陷评价" sheetId="2" r:id="rId4"/>
    <sheet name="【示例2】信息系统一般控制缺陷评价" sheetId="3" r:id="rId5"/>
    <sheet name="【参考】 IT一般控制的值得关注的缺陷" sheetId="5" r:id="rId6"/>
  </sheets>
  <externalReferences>
    <externalReference r:id="rId7"/>
  </externalReferences>
  <definedNames>
    <definedName name="bb" hidden="1">[1]索引!$D$15:$D$76</definedName>
    <definedName name="_xlnm.Print_Area" localSheetId="5">'【参考】 IT一般控制的值得关注的缺陷'!$A$1:$J$31</definedName>
    <definedName name="_xlnm.Print_Area" localSheetId="3">【示例1】信息系统一般控制缺陷评价!$A$1:$F$21</definedName>
    <definedName name="_xlnm.Print_Area" localSheetId="4">【示例2】信息系统一般控制缺陷评价!$A$1:$F$23</definedName>
    <definedName name="_xlnm.Print_Area" localSheetId="0">'A14-3 缺陷汇总'!$A$1:$V$18</definedName>
    <definedName name="_xlnm.Print_Area" localSheetId="1">'A14-3-1 IT控制缺陷评价'!$A$1:$F$22</definedName>
    <definedName name="_xlnm.Print_Area" localSheetId="2">IT控制缺陷沟通会议纪要!$A$1:$D$26</definedName>
    <definedName name="本循环科目" hidden="1">[1]索引!$D$15:$D$76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tc={66B0DEB9-7E35-4AB9-A69C-3BF6BE970FEB}</author>
    <author>韩天佩</author>
    <author>tc={C1528278-9A7D-4787-9969-F13492F439D7}</author>
    <author>tc={0E6E8ACC-E922-41F7-931E-F0EE182D0E70}</author>
  </authors>
  <commentList>
    <comment ref="A9"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与&lt;C21-1  IT审计发现汇总表&gt;保持一致，不可删减</t>
        </r>
      </text>
    </comment>
    <comment ref="C9" authorId="1">
      <text>
        <r>
          <rPr>
            <b/>
            <sz val="9"/>
            <rFont val="宋体"/>
            <charset val="134"/>
          </rPr>
          <t>韩天佩:</t>
        </r>
        <r>
          <rPr>
            <sz val="9"/>
            <rFont val="宋体"/>
            <charset val="134"/>
          </rPr>
          <t xml:space="preserve">
技术基础设施、安全管理、技术引进、开发和维护、与销售循环相关的控制等</t>
        </r>
      </text>
    </comment>
    <comment ref="R9" authorId="2">
      <text>
        <r>
          <rPr>
            <sz val="10"/>
            <rFont val="宋体"/>
            <charset val="134"/>
          </rPr>
          <t>注释:
    适用于内控审计、整合审计</t>
        </r>
      </text>
    </comment>
    <comment ref="S9" authorId="3">
      <text>
        <r>
          <rPr>
            <sz val="10"/>
            <rFont val="宋体"/>
            <charset val="134"/>
          </rPr>
          <t>注释:
    适用于财报审计</t>
        </r>
      </text>
    </comment>
  </commentList>
</comments>
</file>

<file path=xl/sharedStrings.xml><?xml version="1.0" encoding="utf-8"?>
<sst xmlns="http://schemas.openxmlformats.org/spreadsheetml/2006/main" count="224" uniqueCount="184">
  <si>
    <r>
      <rPr>
        <b/>
        <sz val="12"/>
        <rFont val="Arial Narrow"/>
        <charset val="134"/>
      </rPr>
      <t>IT</t>
    </r>
    <r>
      <rPr>
        <b/>
        <sz val="12"/>
        <rFont val="宋体"/>
        <charset val="134"/>
      </rPr>
      <t>控制测试缺陷汇总</t>
    </r>
  </si>
  <si>
    <r>
      <rPr>
        <sz val="10"/>
        <color rgb="FF000000"/>
        <rFont val="宋体"/>
        <charset val="134"/>
      </rPr>
      <t>被审计单位：</t>
    </r>
  </si>
  <si>
    <r>
      <rPr>
        <sz val="10"/>
        <color indexed="8"/>
        <rFont val="宋体"/>
        <charset val="134"/>
      </rPr>
      <t>编制人：</t>
    </r>
  </si>
  <si>
    <r>
      <rPr>
        <sz val="10"/>
        <color rgb="FF000000"/>
        <rFont val="宋体"/>
        <charset val="134"/>
      </rPr>
      <t>编制日期：</t>
    </r>
  </si>
  <si>
    <r>
      <rPr>
        <sz val="10"/>
        <color indexed="8"/>
        <rFont val="宋体"/>
        <charset val="134"/>
      </rPr>
      <t>索引号：</t>
    </r>
  </si>
  <si>
    <t>A14-3</t>
  </si>
  <si>
    <r>
      <rPr>
        <sz val="10"/>
        <color rgb="FF000000"/>
        <rFont val="宋体"/>
        <charset val="134"/>
      </rPr>
      <t>截止日：</t>
    </r>
  </si>
  <si>
    <r>
      <rPr>
        <sz val="10"/>
        <color indexed="8"/>
        <rFont val="宋体"/>
        <charset val="134"/>
      </rPr>
      <t>复核人：</t>
    </r>
  </si>
  <si>
    <r>
      <rPr>
        <sz val="10"/>
        <color rgb="FF000000"/>
        <rFont val="宋体"/>
        <charset val="134"/>
      </rPr>
      <t>复核日期：</t>
    </r>
  </si>
  <si>
    <r>
      <rPr>
        <sz val="10"/>
        <color rgb="FF000000"/>
        <rFont val="宋体"/>
        <charset val="134"/>
      </rPr>
      <t>页次：</t>
    </r>
  </si>
  <si>
    <r>
      <rPr>
        <b/>
        <sz val="10"/>
        <color theme="1"/>
        <rFont val="宋体"/>
        <charset val="134"/>
      </rPr>
      <t>测试步骤：</t>
    </r>
  </si>
  <si>
    <r>
      <rPr>
        <sz val="10"/>
        <color theme="1"/>
        <rFont val="Arial Narrow"/>
        <charset val="134"/>
      </rPr>
      <t>1.</t>
    </r>
    <r>
      <rPr>
        <sz val="10"/>
        <color theme="1"/>
        <rFont val="宋体"/>
        <charset val="134"/>
      </rPr>
      <t>汇总信息系统一般控制和依赖的自动控制的（如在审计范围内）审计发现，并与</t>
    </r>
    <r>
      <rPr>
        <sz val="10"/>
        <color theme="1"/>
        <rFont val="Arial Narrow"/>
        <charset val="134"/>
      </rPr>
      <t>IT</t>
    </r>
    <r>
      <rPr>
        <sz val="10"/>
        <color theme="1"/>
        <rFont val="宋体"/>
        <charset val="134"/>
      </rPr>
      <t>专家讨论已发现缺陷的潜在影响；</t>
    </r>
  </si>
  <si>
    <r>
      <rPr>
        <sz val="10"/>
        <color theme="1"/>
        <rFont val="Arial Narrow"/>
        <charset val="134"/>
      </rPr>
      <t>2.</t>
    </r>
    <r>
      <rPr>
        <sz val="10"/>
        <color theme="1"/>
        <rFont val="宋体"/>
        <charset val="134"/>
      </rPr>
      <t>和项目组成员讨论信息系统审计的工作结果，以及需要采取的进一步审计步骤，需要时对审计计划进行更新；</t>
    </r>
  </si>
  <si>
    <r>
      <rPr>
        <sz val="10"/>
        <color theme="1"/>
        <rFont val="Arial Narrow"/>
        <charset val="134"/>
      </rPr>
      <t>3.</t>
    </r>
    <r>
      <rPr>
        <sz val="10"/>
        <color theme="1"/>
        <rFont val="宋体"/>
        <charset val="134"/>
      </rPr>
      <t>记录与</t>
    </r>
    <r>
      <rPr>
        <sz val="10"/>
        <color theme="1"/>
        <rFont val="Arial Narrow"/>
        <charset val="134"/>
      </rPr>
      <t>IT</t>
    </r>
    <r>
      <rPr>
        <sz val="10"/>
        <color theme="1"/>
        <rFont val="宋体"/>
        <charset val="134"/>
      </rPr>
      <t>专家及项目组成员讨论的结果，形成会议纪要；</t>
    </r>
  </si>
  <si>
    <r>
      <rPr>
        <sz val="10"/>
        <color theme="1"/>
        <rFont val="Arial Narrow"/>
        <charset val="134"/>
      </rPr>
      <t>4.</t>
    </r>
    <r>
      <rPr>
        <sz val="10"/>
        <color theme="1"/>
        <rFont val="宋体"/>
        <charset val="134"/>
      </rPr>
      <t>根据上述信息完成以下表格：</t>
    </r>
  </si>
  <si>
    <r>
      <rPr>
        <b/>
        <sz val="10"/>
        <color theme="1"/>
        <rFont val="宋体"/>
        <charset val="134"/>
      </rPr>
      <t>缺陷编号</t>
    </r>
  </si>
  <si>
    <t>类别</t>
  </si>
  <si>
    <r>
      <rPr>
        <b/>
        <sz val="10"/>
        <color theme="1"/>
        <rFont val="宋体"/>
        <charset val="134"/>
      </rPr>
      <t>控制类型</t>
    </r>
  </si>
  <si>
    <t>涉及应用程序</t>
  </si>
  <si>
    <t>问题描述</t>
  </si>
  <si>
    <r>
      <rPr>
        <b/>
        <sz val="10"/>
        <color theme="1"/>
        <rFont val="宋体"/>
        <charset val="134"/>
      </rPr>
      <t>补偿性控制及有效性</t>
    </r>
  </si>
  <si>
    <r>
      <rPr>
        <b/>
        <sz val="10"/>
        <color theme="1"/>
        <rFont val="宋体"/>
        <charset val="134"/>
      </rPr>
      <t>风险及影响</t>
    </r>
  </si>
  <si>
    <r>
      <rPr>
        <b/>
        <sz val="10"/>
        <color theme="1"/>
        <rFont val="宋体"/>
        <charset val="134"/>
      </rPr>
      <t>相关报表项目</t>
    </r>
  </si>
  <si>
    <r>
      <rPr>
        <b/>
        <sz val="10"/>
        <color theme="1"/>
        <rFont val="宋体"/>
        <charset val="134"/>
      </rPr>
      <t>财务报表认定</t>
    </r>
  </si>
  <si>
    <t>缺陷认定结论</t>
  </si>
  <si>
    <t>是否为值得关注的缺陷</t>
  </si>
  <si>
    <r>
      <rPr>
        <b/>
        <sz val="10"/>
        <color theme="1"/>
        <rFont val="宋体"/>
        <charset val="134"/>
      </rPr>
      <t>审计对策</t>
    </r>
  </si>
  <si>
    <r>
      <rPr>
        <b/>
        <sz val="10"/>
        <color theme="1"/>
        <rFont val="宋体"/>
        <charset val="134"/>
      </rPr>
      <t>反馈</t>
    </r>
  </si>
  <si>
    <r>
      <rPr>
        <b/>
        <sz val="10"/>
        <color theme="1"/>
        <rFont val="宋体"/>
        <charset val="134"/>
      </rPr>
      <t>整改措施及期限（如适用）</t>
    </r>
  </si>
  <si>
    <r>
      <rPr>
        <b/>
        <sz val="10"/>
        <color theme="1"/>
        <rFont val="宋体"/>
        <charset val="134"/>
      </rPr>
      <t>发生</t>
    </r>
  </si>
  <si>
    <r>
      <rPr>
        <b/>
        <sz val="10"/>
        <color theme="1"/>
        <rFont val="宋体"/>
        <charset val="134"/>
      </rPr>
      <t>完整性</t>
    </r>
  </si>
  <si>
    <r>
      <rPr>
        <b/>
        <sz val="10"/>
        <color theme="1"/>
        <rFont val="宋体"/>
        <charset val="134"/>
      </rPr>
      <t>准确性</t>
    </r>
  </si>
  <si>
    <r>
      <rPr>
        <b/>
        <sz val="10"/>
        <color theme="1"/>
        <rFont val="宋体"/>
        <charset val="134"/>
      </rPr>
      <t>截止</t>
    </r>
  </si>
  <si>
    <r>
      <rPr>
        <b/>
        <sz val="10"/>
        <color theme="1"/>
        <rFont val="宋体"/>
        <charset val="134"/>
      </rPr>
      <t>分类</t>
    </r>
  </si>
  <si>
    <r>
      <rPr>
        <b/>
        <sz val="10"/>
        <color theme="1"/>
        <rFont val="宋体"/>
        <charset val="134"/>
      </rPr>
      <t>存在</t>
    </r>
  </si>
  <si>
    <r>
      <rPr>
        <b/>
        <sz val="10"/>
        <color theme="1"/>
        <rFont val="宋体"/>
        <charset val="134"/>
      </rPr>
      <t>权利和义务</t>
    </r>
  </si>
  <si>
    <r>
      <rPr>
        <b/>
        <sz val="10"/>
        <color theme="1"/>
        <rFont val="宋体"/>
        <charset val="134"/>
      </rPr>
      <t>计价和分摊</t>
    </r>
  </si>
  <si>
    <r>
      <rPr>
        <b/>
        <sz val="10"/>
        <color theme="1"/>
        <rFont val="宋体"/>
        <charset val="134"/>
      </rPr>
      <t>列报</t>
    </r>
  </si>
  <si>
    <t>IT一般控制</t>
  </si>
  <si>
    <t>变更管理</t>
  </si>
  <si>
    <t>人力资源系统</t>
  </si>
  <si>
    <r>
      <rPr>
        <i/>
        <sz val="10"/>
        <color rgb="FFFF0000"/>
        <rFont val="宋体"/>
        <charset val="134"/>
      </rPr>
      <t>在信息系统一般控制的程序变更审计过程中，审计师发现人力资源系统的变更抽样测试中，抽取的</t>
    </r>
    <r>
      <rPr>
        <i/>
        <sz val="10"/>
        <color rgb="FFFF0000"/>
        <rFont val="Arial Narrow"/>
        <charset val="134"/>
      </rPr>
      <t>3</t>
    </r>
    <r>
      <rPr>
        <i/>
        <sz val="10"/>
        <color rgb="FFFF0000"/>
        <rFont val="宋体"/>
        <charset val="134"/>
      </rPr>
      <t>个样本中，有</t>
    </r>
    <r>
      <rPr>
        <i/>
        <sz val="10"/>
        <color rgb="FFFF0000"/>
        <rFont val="Arial Narrow"/>
        <charset val="134"/>
      </rPr>
      <t>1</t>
    </r>
    <r>
      <rPr>
        <i/>
        <sz val="10"/>
        <color rgb="FFFF0000"/>
        <rFont val="宋体"/>
        <charset val="134"/>
      </rPr>
      <t>个变更的用户接受性测试</t>
    </r>
    <r>
      <rPr>
        <i/>
        <sz val="10"/>
        <color rgb="FFFF0000"/>
        <rFont val="Arial Narrow"/>
        <charset val="134"/>
      </rPr>
      <t>UAT</t>
    </r>
    <r>
      <rPr>
        <i/>
        <sz val="10"/>
        <color rgb="FFFF0000"/>
        <rFont val="宋体"/>
        <charset val="134"/>
      </rPr>
      <t>没有用户部门的验收确认，发现异常。</t>
    </r>
  </si>
  <si>
    <t>性质判断：进一步了解了UAT测试没有用户部门验收确认的原因，了解到这个抽样样本的变更为一次紧急Bug修复，IT部门在接收到变更需求后进行了快速修正并通知了相关部门关键用户进行测试。IT审计师访谈了相关部门的关键用户之后确认用户部门知晓该变更，并且做过相关测试，这次因为涉及功能点较小，所以口头进行了确认，而且变更后系统没有出现问题。
此外，IT审计师通过系统调出了审计期间该系统所有程序变更清单，发现审计期间该系统共发生程序变更9次。审计师将所有变更与变更文档进行了一一匹配，确认变更为系统Bug修复，报表展示优化等，没有发现涉及到审计范围内应用控制相关的程序变更。
IT审计师考虑到对其他系统的程序变更控制测试中，没有发现异常，程序变更的开发、测试和实施职责及环境进行了有效分离，因此，程序变更领域的整体控制良好，加之被审计单位信息技术整体控制环境健康。</t>
  </si>
  <si>
    <t>程序变更测试作为验证程序变更的正确性具有至关重要的作用。特别是用户接受性测试，起到了验证用户需求是否得到满足的最直接方式。缺乏适当的用户接受性测试可能导致变更任务与变更需求的不一致，且无法被及时纠正。</t>
  </si>
  <si>
    <t>薪酬/费用/成本</t>
  </si>
  <si>
    <t>√</t>
  </si>
  <si>
    <t>信息处理控制</t>
  </si>
  <si>
    <t>接口测试</t>
  </si>
  <si>
    <t>广告系统Oracle系统</t>
  </si>
  <si>
    <r>
      <rPr>
        <i/>
        <sz val="10"/>
        <color rgb="FFFF0000"/>
        <rFont val="宋体"/>
        <charset val="134"/>
      </rPr>
      <t>在进行广告系统与</t>
    </r>
    <r>
      <rPr>
        <i/>
        <sz val="10"/>
        <color rgb="FFFF0000"/>
        <rFont val="Arial Narrow"/>
        <charset val="134"/>
      </rPr>
      <t>Oracle</t>
    </r>
    <r>
      <rPr>
        <i/>
        <sz val="10"/>
        <color rgb="FFFF0000"/>
        <rFont val="宋体"/>
        <charset val="134"/>
      </rPr>
      <t>系统接口测试的过程中，审计师发现对于这个接口的数据传输，缺乏对传输监控的复核及跟踪机制，无法及时发现并跟进传输失败或错误。</t>
    </r>
  </si>
  <si>
    <t>从系统中调用该接口投入正式使用以来的接口监控记录，查看传输情况。经确认，该接口为每日接口，跟进系统监控记录，全年共发生传输异常事件15起。
IT审计师对这15天的传输数据进行了数据核对。从广告系统中通过后台查询语句抓取了这15天的源数据（广告展示及有效点击结算数据），从Oracle系统中抓取了这15天的目标数据（广告收入入账数据）。通过数据比对，确认两个系统中的数据一致。</t>
  </si>
  <si>
    <t>系统接口的监控缺乏及时的复核及跟进措施，可能导致数据传输失败或错误不能及时被发现和解决处理，从而产生数据的不一致。</t>
  </si>
  <si>
    <t>广告收入</t>
  </si>
  <si>
    <t>会计分录细节测试</t>
  </si>
  <si>
    <t>会计分录完整性测试</t>
  </si>
  <si>
    <t>Oracle系统</t>
  </si>
  <si>
    <r>
      <rPr>
        <i/>
        <sz val="10"/>
        <color rgb="FFFF0000"/>
        <rFont val="宋体"/>
        <charset val="134"/>
      </rPr>
      <t>在进行</t>
    </r>
    <r>
      <rPr>
        <i/>
        <sz val="10"/>
        <color rgb="FFFF0000"/>
        <rFont val="Arial Narrow"/>
        <charset val="134"/>
      </rPr>
      <t>Oracle</t>
    </r>
    <r>
      <rPr>
        <i/>
        <sz val="10"/>
        <color rgb="FFFF0000"/>
        <rFont val="宋体"/>
        <charset val="134"/>
      </rPr>
      <t>系统日记账完整性验证的过程中，审计师发现日记账和试算平衡表之间不能完全匹配，</t>
    </r>
    <r>
      <rPr>
        <i/>
        <sz val="10"/>
        <color rgb="FFFF0000"/>
        <rFont val="Arial Narrow"/>
        <charset val="134"/>
      </rPr>
      <t>3</t>
    </r>
    <r>
      <rPr>
        <i/>
        <sz val="10"/>
        <color rgb="FFFF0000"/>
        <rFont val="宋体"/>
        <charset val="134"/>
      </rPr>
      <t>个科目之间存在差异。</t>
    </r>
  </si>
  <si>
    <r>
      <rPr>
        <i/>
        <sz val="10"/>
        <color rgb="FFFF0000"/>
        <rFont val="宋体"/>
        <charset val="134"/>
      </rPr>
      <t>根据序时账与科目余额表发生额的比对结果，提取出了存在差异科目的对应分录，通过比对得到产生差异的额外</t>
    </r>
    <r>
      <rPr>
        <i/>
        <sz val="10"/>
        <color rgb="FFFF0000"/>
        <rFont val="Arial Narrow"/>
        <charset val="134"/>
      </rPr>
      <t>/</t>
    </r>
    <r>
      <rPr>
        <i/>
        <sz val="10"/>
        <color rgb="FFFF0000"/>
        <rFont val="宋体"/>
        <charset val="134"/>
      </rPr>
      <t>缺少凭证。</t>
    </r>
  </si>
  <si>
    <t>日记账的不完整性会直接导致财务报表的不完整；财务报表的直接调整，可能产生舞弊风险。</t>
  </si>
  <si>
    <r>
      <rPr>
        <i/>
        <sz val="10"/>
        <color rgb="FFFF0000"/>
        <rFont val="Arial Narrow"/>
        <charset val="134"/>
      </rPr>
      <t>XX 3</t>
    </r>
    <r>
      <rPr>
        <i/>
        <sz val="10"/>
        <color rgb="FFFF0000"/>
        <rFont val="宋体"/>
        <charset val="134"/>
      </rPr>
      <t>个差异科目</t>
    </r>
  </si>
  <si>
    <r>
      <rPr>
        <sz val="10"/>
        <color rgb="FF0000FF"/>
        <rFont val="宋体"/>
        <charset val="134"/>
      </rPr>
      <t>【说明】：</t>
    </r>
    <r>
      <rPr>
        <sz val="10"/>
        <color rgb="FF0000FF"/>
        <rFont val="Arial Narrow"/>
        <charset val="134"/>
      </rPr>
      <t xml:space="preserve">
1.GTIL </t>
    </r>
    <r>
      <rPr>
        <sz val="10"/>
        <color rgb="FF0000FF"/>
        <rFont val="宋体"/>
        <charset val="134"/>
      </rPr>
      <t>指出，由于重要缺陷和重大缺陷并不是审计准则中的概念，也没有在全球范围内得到普遍使用，因此，在</t>
    </r>
    <r>
      <rPr>
        <sz val="10"/>
        <color rgb="FF0000FF"/>
        <rFont val="Arial Narrow"/>
        <charset val="134"/>
      </rPr>
      <t xml:space="preserve">GTIL </t>
    </r>
    <r>
      <rPr>
        <sz val="10"/>
        <color rgb="FF0000FF"/>
        <rFont val="宋体"/>
        <charset val="134"/>
      </rPr>
      <t>的方法论中并没有采用这一概念。然而，根据中国《企业内部控制审计指引》，将内部控制存在的缺陷按其严重程度分为重大缺陷、重要缺陷和一般缺陷，其中</t>
    </r>
    <r>
      <rPr>
        <sz val="10"/>
        <color rgb="FF0000FF"/>
        <rFont val="宋体"/>
        <charset val="134"/>
      </rPr>
      <t>“</t>
    </r>
    <r>
      <rPr>
        <sz val="10"/>
        <color rgb="FF0000FF"/>
        <rFont val="宋体"/>
        <charset val="134"/>
      </rPr>
      <t>值得关注的内部控制缺陷</t>
    </r>
    <r>
      <rPr>
        <sz val="10"/>
        <color rgb="FF0000FF"/>
        <rFont val="宋体"/>
        <charset val="134"/>
      </rPr>
      <t>”</t>
    </r>
    <r>
      <rPr>
        <sz val="10"/>
        <color rgb="FF0000FF"/>
        <rFont val="宋体"/>
        <charset val="134"/>
      </rPr>
      <t>包含</t>
    </r>
    <r>
      <rPr>
        <sz val="10"/>
        <color rgb="FF0000FF"/>
        <rFont val="宋体"/>
        <charset val="134"/>
      </rPr>
      <t>“</t>
    </r>
    <r>
      <rPr>
        <sz val="10"/>
        <color rgb="FF0000FF"/>
        <rFont val="宋体"/>
        <charset val="134"/>
      </rPr>
      <t>重大缺陷</t>
    </r>
    <r>
      <rPr>
        <sz val="10"/>
        <color rgb="FF0000FF"/>
        <rFont val="宋体"/>
        <charset val="134"/>
      </rPr>
      <t>”</t>
    </r>
    <r>
      <rPr>
        <sz val="10"/>
        <color rgb="FF0000FF"/>
        <rFont val="宋体"/>
        <charset val="134"/>
      </rPr>
      <t>和</t>
    </r>
    <r>
      <rPr>
        <sz val="10"/>
        <color rgb="FF0000FF"/>
        <rFont val="宋体"/>
        <charset val="134"/>
      </rPr>
      <t>“</t>
    </r>
    <r>
      <rPr>
        <sz val="10"/>
        <color rgb="FF0000FF"/>
        <rFont val="宋体"/>
        <charset val="134"/>
      </rPr>
      <t>重要缺陷</t>
    </r>
    <r>
      <rPr>
        <sz val="10"/>
        <color rgb="FF0000FF"/>
        <rFont val="宋体"/>
        <charset val="134"/>
      </rPr>
      <t>”</t>
    </r>
    <r>
      <rPr>
        <sz val="10"/>
        <color rgb="FF0000FF"/>
        <rFont val="宋体"/>
        <charset val="134"/>
      </rPr>
      <t>。</t>
    </r>
    <r>
      <rPr>
        <sz val="10"/>
        <color rgb="FF0000FF"/>
        <rFont val="Arial Narrow"/>
        <charset val="134"/>
      </rPr>
      <t xml:space="preserve">
2.</t>
    </r>
    <r>
      <rPr>
        <sz val="10"/>
        <color rgb="FF0000FF"/>
        <rFont val="宋体"/>
        <charset val="134"/>
      </rPr>
      <t>为准确评估IT控制缺陷对财务报表的潜在影响，针对&lt;C21-1 IT审计发现汇总表&gt;中列示的所有缺陷，财审团队须依据sheet&lt;A14-3-1 IT控制缺陷评价&gt;工作表所规定的步骤与标准，逐一执行缺陷评价与认定。</t>
    </r>
  </si>
  <si>
    <t>致同会计师事务所</t>
  </si>
  <si>
    <r>
      <rPr>
        <b/>
        <sz val="12"/>
        <rFont val="Arial Narrow"/>
        <charset val="134"/>
      </rPr>
      <t>IT</t>
    </r>
    <r>
      <rPr>
        <b/>
        <sz val="12"/>
        <rFont val="宋体"/>
        <charset val="134"/>
      </rPr>
      <t>控制缺陷评价</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</si>
  <si>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</si>
  <si>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</si>
  <si>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</si>
  <si>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</si>
  <si>
    <t>A14-3-1</t>
  </si>
  <si>
    <r>
      <rPr>
        <sz val="10"/>
        <rFont val="宋体"/>
        <charset val="134"/>
      </rPr>
      <t>截止日：</t>
    </r>
  </si>
  <si>
    <r>
      <rPr>
        <sz val="10"/>
        <rFont val="宋体"/>
        <charset val="134"/>
      </rPr>
      <t>复核人：</t>
    </r>
  </si>
  <si>
    <r>
      <rPr>
        <sz val="10"/>
        <rFont val="宋体"/>
        <charset val="134"/>
      </rPr>
      <t>复核日期：</t>
    </r>
  </si>
  <si>
    <r>
      <rPr>
        <sz val="10"/>
        <rFont val="宋体"/>
        <charset val="134"/>
      </rPr>
      <t>页</t>
    </r>
    <r>
      <rPr>
        <sz val="10"/>
        <rFont val="Arial Narrow"/>
        <charset val="134"/>
      </rPr>
      <t xml:space="preserve">   </t>
    </r>
    <r>
      <rPr>
        <sz val="10"/>
        <rFont val="宋体"/>
        <charset val="134"/>
      </rPr>
      <t>次：</t>
    </r>
  </si>
  <si>
    <r>
      <rPr>
        <b/>
        <sz val="10"/>
        <rFont val="宋体"/>
        <charset val="134"/>
      </rPr>
      <t>缺陷描述：</t>
    </r>
  </si>
  <si>
    <r>
      <rPr>
        <b/>
        <sz val="10"/>
        <color indexed="8"/>
        <rFont val="宋体"/>
        <charset val="134"/>
      </rPr>
      <t>评价步骤</t>
    </r>
  </si>
  <si>
    <r>
      <rPr>
        <b/>
        <sz val="10"/>
        <color indexed="8"/>
        <rFont val="宋体"/>
        <charset val="134"/>
      </rPr>
      <t>是</t>
    </r>
    <r>
      <rPr>
        <b/>
        <sz val="10"/>
        <color indexed="8"/>
        <rFont val="Arial Narrow"/>
        <charset val="134"/>
      </rPr>
      <t>/</t>
    </r>
    <r>
      <rPr>
        <b/>
        <sz val="10"/>
        <color indexed="8"/>
        <rFont val="宋体"/>
        <charset val="134"/>
      </rPr>
      <t>否</t>
    </r>
  </si>
  <si>
    <r>
      <rPr>
        <b/>
        <sz val="10"/>
        <color theme="1"/>
        <rFont val="宋体"/>
        <charset val="134"/>
      </rPr>
      <t>分析方法及获取的资料</t>
    </r>
  </si>
  <si>
    <r>
      <rPr>
        <b/>
        <sz val="10"/>
        <color indexed="8"/>
        <rFont val="宋体"/>
        <charset val="134"/>
      </rPr>
      <t>评价分析过程</t>
    </r>
  </si>
  <si>
    <r>
      <rPr>
        <b/>
        <sz val="10"/>
        <color indexed="8"/>
        <rFont val="宋体"/>
        <charset val="134"/>
      </rPr>
      <t>备注</t>
    </r>
  </si>
  <si>
    <r>
      <rPr>
        <sz val="10"/>
        <color rgb="FF000000"/>
        <rFont val="Arial Narrow"/>
        <charset val="134"/>
      </rPr>
      <t>Step 1</t>
    </r>
    <r>
      <rPr>
        <sz val="10"/>
        <color rgb="FF000000"/>
        <rFont val="宋体"/>
        <charset val="134"/>
      </rPr>
      <t>：</t>
    </r>
    <r>
      <rPr>
        <sz val="10"/>
        <color rgb="FF000000"/>
        <rFont val="Arial Narrow"/>
        <charset val="134"/>
      </rPr>
      <t xml:space="preserve">
</t>
    </r>
    <r>
      <rPr>
        <sz val="10"/>
        <color rgb="FF000000"/>
        <rFont val="宋体"/>
        <charset val="134"/>
      </rPr>
      <t>是否存在补偿性控制（经过测试或评估的）以达到相同的控制目标？缺陷是否被利用？</t>
    </r>
    <r>
      <rPr>
        <sz val="10"/>
        <color rgb="FF000000"/>
        <rFont val="Arial Narrow"/>
        <charset val="134"/>
      </rPr>
      <t xml:space="preserve">
</t>
    </r>
    <r>
      <rPr>
        <sz val="10"/>
        <color rgb="FF0000FF"/>
        <rFont val="Arial Narrow"/>
        <charset val="134"/>
      </rPr>
      <t>[</t>
    </r>
    <r>
      <rPr>
        <sz val="10"/>
        <color rgb="FF0000FF"/>
        <rFont val="宋体"/>
        <charset val="134"/>
      </rPr>
      <t>注</t>
    </r>
    <r>
      <rPr>
        <sz val="10"/>
        <color rgb="FF0000FF"/>
        <rFont val="Arial Narrow"/>
        <charset val="134"/>
      </rPr>
      <t>1]</t>
    </r>
  </si>
  <si>
    <r>
      <rPr>
        <sz val="10"/>
        <color rgb="FF000000"/>
        <rFont val="Arial Narrow"/>
        <charset val="134"/>
      </rPr>
      <t>Step 2</t>
    </r>
    <r>
      <rPr>
        <sz val="10"/>
        <color rgb="FF000000"/>
        <rFont val="宋体"/>
        <charset val="134"/>
      </rPr>
      <t>：</t>
    </r>
    <r>
      <rPr>
        <sz val="10"/>
        <color rgb="FF000000"/>
        <rFont val="Arial Narrow"/>
        <charset val="134"/>
      </rPr>
      <t xml:space="preserve">
</t>
    </r>
    <r>
      <rPr>
        <sz val="10"/>
        <color rgb="FF000000"/>
        <rFont val="宋体"/>
        <charset val="134"/>
      </rPr>
      <t>是否有与</t>
    </r>
    <r>
      <rPr>
        <sz val="10"/>
        <color rgb="FF000000"/>
        <rFont val="Arial Narrow"/>
        <charset val="134"/>
      </rPr>
      <t>ITGC</t>
    </r>
    <r>
      <rPr>
        <sz val="10"/>
        <color rgb="FF000000"/>
        <rFont val="宋体"/>
        <charset val="134"/>
      </rPr>
      <t>缺陷有关或由其造成的应用层面控制缺陷在业务流程层面控制缺陷评价表中进行评价？</t>
    </r>
    <r>
      <rPr>
        <sz val="10"/>
        <color rgb="FF0000FF"/>
        <rFont val="Arial Narrow"/>
        <charset val="134"/>
      </rPr>
      <t>[</t>
    </r>
    <r>
      <rPr>
        <sz val="10"/>
        <color rgb="FF0000FF"/>
        <rFont val="宋体"/>
        <charset val="134"/>
      </rPr>
      <t>注</t>
    </r>
    <r>
      <rPr>
        <sz val="10"/>
        <color rgb="FF0000FF"/>
        <rFont val="Arial Narrow"/>
        <charset val="134"/>
      </rPr>
      <t>2]</t>
    </r>
  </si>
  <si>
    <t/>
  </si>
  <si>
    <r>
      <rPr>
        <sz val="10"/>
        <color rgb="FF000000"/>
        <rFont val="Arial Narrow"/>
        <charset val="134"/>
      </rPr>
      <t>Step 3</t>
    </r>
    <r>
      <rPr>
        <sz val="10"/>
        <color rgb="FF000000"/>
        <rFont val="宋体"/>
        <charset val="134"/>
      </rPr>
      <t>：</t>
    </r>
    <r>
      <rPr>
        <sz val="10"/>
        <color rgb="FF000000"/>
        <rFont val="Arial Narrow"/>
        <charset val="134"/>
      </rPr>
      <t xml:space="preserve">
</t>
    </r>
    <r>
      <rPr>
        <sz val="10"/>
        <color rgb="FF000000"/>
        <rFont val="宋体"/>
        <charset val="134"/>
      </rPr>
      <t>与</t>
    </r>
    <r>
      <rPr>
        <sz val="10"/>
        <color rgb="FF000000"/>
        <rFont val="Arial Narrow"/>
        <charset val="134"/>
      </rPr>
      <t>ITGC</t>
    </r>
    <r>
      <rPr>
        <sz val="10"/>
        <color rgb="FF000000"/>
        <rFont val="宋体"/>
        <charset val="134"/>
      </rPr>
      <t>缺陷有关或由其造成的应用层面缺陷是否被评价为重大缺陷？</t>
    </r>
    <r>
      <rPr>
        <sz val="10"/>
        <color rgb="FF0000FF"/>
        <rFont val="Arial Narrow"/>
        <charset val="134"/>
      </rPr>
      <t>[</t>
    </r>
    <r>
      <rPr>
        <sz val="10"/>
        <color rgb="FF0000FF"/>
        <rFont val="宋体"/>
        <charset val="134"/>
      </rPr>
      <t>注</t>
    </r>
    <r>
      <rPr>
        <sz val="10"/>
        <color rgb="FF0000FF"/>
        <rFont val="Arial Narrow"/>
        <charset val="134"/>
      </rPr>
      <t>3]</t>
    </r>
  </si>
  <si>
    <r>
      <rPr>
        <sz val="10"/>
        <color indexed="8"/>
        <rFont val="Arial Narrow"/>
        <charset val="134"/>
      </rPr>
      <t>Step 4</t>
    </r>
    <r>
      <rPr>
        <sz val="10"/>
        <color indexed="8"/>
        <rFont val="宋体"/>
        <charset val="134"/>
      </rPr>
      <t>：</t>
    </r>
    <r>
      <rPr>
        <sz val="10"/>
        <color indexed="8"/>
        <rFont val="Arial Narrow"/>
        <charset val="134"/>
      </rPr>
      <t xml:space="preserve">
</t>
    </r>
    <r>
      <rPr>
        <sz val="10"/>
        <color indexed="8"/>
        <rFont val="宋体"/>
        <charset val="134"/>
      </rPr>
      <t>此缺陷（或缺陷汇总）的重要程度是否足以引起负责监督企业财务报告的相关人员（财务总监、总会计师、首席财务官、董事会成员、监事会成员等）的关注？</t>
    </r>
    <r>
      <rPr>
        <sz val="10"/>
        <color indexed="12"/>
        <rFont val="Arial Narrow"/>
        <charset val="134"/>
      </rPr>
      <t>[</t>
    </r>
    <r>
      <rPr>
        <sz val="10"/>
        <color indexed="12"/>
        <rFont val="宋体"/>
        <charset val="134"/>
      </rPr>
      <t>注</t>
    </r>
    <r>
      <rPr>
        <sz val="10"/>
        <color indexed="12"/>
        <rFont val="Arial Narrow"/>
        <charset val="134"/>
      </rPr>
      <t>4]</t>
    </r>
  </si>
  <si>
    <r>
      <rPr>
        <sz val="10"/>
        <color indexed="8"/>
        <rFont val="Arial Narrow"/>
        <charset val="134"/>
      </rPr>
      <t>Step 5</t>
    </r>
    <r>
      <rPr>
        <sz val="10"/>
        <color indexed="8"/>
        <rFont val="宋体"/>
        <charset val="134"/>
      </rPr>
      <t>：</t>
    </r>
    <r>
      <rPr>
        <sz val="10"/>
        <color indexed="8"/>
        <rFont val="Arial Narrow"/>
        <charset val="134"/>
      </rPr>
      <t xml:space="preserve">
</t>
    </r>
    <r>
      <rPr>
        <sz val="10"/>
        <color indexed="8"/>
        <rFont val="宋体"/>
        <charset val="134"/>
      </rPr>
      <t>一个足够知情、有胜任能力并且客观的管理人员（如监管机构人员、投资人等）是否会认为此缺陷（或缺陷汇总）为重大缺陷？</t>
    </r>
    <r>
      <rPr>
        <sz val="10"/>
        <color indexed="12"/>
        <rFont val="Arial Narrow"/>
        <charset val="134"/>
      </rPr>
      <t>[</t>
    </r>
    <r>
      <rPr>
        <sz val="10"/>
        <color indexed="12"/>
        <rFont val="宋体"/>
        <charset val="134"/>
      </rPr>
      <t>注</t>
    </r>
    <r>
      <rPr>
        <sz val="10"/>
        <color indexed="12"/>
        <rFont val="Arial Narrow"/>
        <charset val="134"/>
      </rPr>
      <t>5]</t>
    </r>
  </si>
  <si>
    <r>
      <rPr>
        <sz val="10"/>
        <color indexed="8"/>
        <rFont val="Arial Narrow"/>
        <charset val="134"/>
      </rPr>
      <t>Step 6</t>
    </r>
    <r>
      <rPr>
        <sz val="10"/>
        <color indexed="8"/>
        <rFont val="宋体"/>
        <charset val="134"/>
      </rPr>
      <t>：</t>
    </r>
    <r>
      <rPr>
        <sz val="10"/>
        <color indexed="8"/>
        <rFont val="Arial Narrow"/>
        <charset val="134"/>
      </rPr>
      <t xml:space="preserve">
</t>
    </r>
    <r>
      <rPr>
        <sz val="10"/>
        <color indexed="8"/>
        <rFont val="宋体"/>
        <charset val="134"/>
      </rPr>
      <t>在考虑所有事实情况（包括定性因素）后，判断重大审计调整、更正已经公布的财务报表等情况是否并不表明存在控制缺陷？</t>
    </r>
    <r>
      <rPr>
        <sz val="10"/>
        <color indexed="12"/>
        <rFont val="Arial Narrow"/>
        <charset val="134"/>
      </rPr>
      <t>[</t>
    </r>
    <r>
      <rPr>
        <sz val="10"/>
        <color indexed="12"/>
        <rFont val="宋体"/>
        <charset val="134"/>
      </rPr>
      <t>注</t>
    </r>
    <r>
      <rPr>
        <sz val="10"/>
        <color indexed="12"/>
        <rFont val="Arial Narrow"/>
        <charset val="134"/>
      </rPr>
      <t>6]</t>
    </r>
  </si>
  <si>
    <r>
      <rPr>
        <b/>
        <sz val="10"/>
        <color indexed="8"/>
        <rFont val="宋体"/>
        <charset val="134"/>
      </rPr>
      <t>初</t>
    </r>
    <r>
      <rPr>
        <b/>
        <sz val="10"/>
        <color indexed="8"/>
        <rFont val="Arial Narrow"/>
        <charset val="134"/>
      </rPr>
      <t xml:space="preserve"> </t>
    </r>
    <r>
      <rPr>
        <b/>
        <sz val="10"/>
        <color indexed="8"/>
        <rFont val="宋体"/>
        <charset val="134"/>
      </rPr>
      <t>步</t>
    </r>
    <r>
      <rPr>
        <b/>
        <sz val="10"/>
        <color indexed="8"/>
        <rFont val="Arial Narrow"/>
        <charset val="134"/>
      </rPr>
      <t xml:space="preserve"> </t>
    </r>
    <r>
      <rPr>
        <b/>
        <sz val="10"/>
        <color indexed="8"/>
        <rFont val="宋体"/>
        <charset val="134"/>
      </rPr>
      <t>评</t>
    </r>
    <r>
      <rPr>
        <b/>
        <sz val="10"/>
        <color indexed="8"/>
        <rFont val="Arial Narrow"/>
        <charset val="134"/>
      </rPr>
      <t xml:space="preserve"> </t>
    </r>
    <r>
      <rPr>
        <b/>
        <sz val="10"/>
        <color indexed="8"/>
        <rFont val="宋体"/>
        <charset val="134"/>
      </rPr>
      <t>价</t>
    </r>
    <r>
      <rPr>
        <b/>
        <sz val="10"/>
        <color indexed="8"/>
        <rFont val="Arial Narrow"/>
        <charset val="134"/>
      </rPr>
      <t xml:space="preserve"> </t>
    </r>
    <r>
      <rPr>
        <b/>
        <sz val="10"/>
        <color indexed="8"/>
        <rFont val="宋体"/>
        <charset val="134"/>
      </rPr>
      <t>结</t>
    </r>
    <r>
      <rPr>
        <b/>
        <sz val="10"/>
        <color indexed="8"/>
        <rFont val="Arial Narrow"/>
        <charset val="134"/>
      </rPr>
      <t xml:space="preserve"> </t>
    </r>
    <r>
      <rPr>
        <b/>
        <sz val="10"/>
        <color indexed="8"/>
        <rFont val="宋体"/>
        <charset val="134"/>
      </rPr>
      <t>论</t>
    </r>
  </si>
  <si>
    <r>
      <rPr>
        <b/>
        <sz val="10"/>
        <color indexed="8"/>
        <rFont val="宋体"/>
        <charset val="134"/>
      </rPr>
      <t>该控制缺陷为</t>
    </r>
    <r>
      <rPr>
        <b/>
        <sz val="10"/>
        <color indexed="10"/>
        <rFont val="宋体"/>
        <charset val="134"/>
      </rPr>
      <t>重大缺陷</t>
    </r>
    <r>
      <rPr>
        <b/>
        <sz val="10"/>
        <color indexed="10"/>
        <rFont val="Arial Narrow"/>
        <charset val="134"/>
      </rPr>
      <t>/</t>
    </r>
    <r>
      <rPr>
        <b/>
        <sz val="10"/>
        <color indexed="10"/>
        <rFont val="宋体"/>
        <charset val="134"/>
      </rPr>
      <t>重要缺陷</t>
    </r>
    <r>
      <rPr>
        <b/>
        <sz val="10"/>
        <color indexed="10"/>
        <rFont val="Arial Narrow"/>
        <charset val="134"/>
      </rPr>
      <t>/</t>
    </r>
    <r>
      <rPr>
        <b/>
        <sz val="10"/>
        <color indexed="10"/>
        <rFont val="宋体"/>
        <charset val="134"/>
      </rPr>
      <t>一般缺陷</t>
    </r>
    <r>
      <rPr>
        <b/>
        <sz val="10"/>
        <color indexed="8"/>
        <rFont val="宋体"/>
        <charset val="134"/>
      </rPr>
      <t>。</t>
    </r>
  </si>
  <si>
    <r>
      <rPr>
        <b/>
        <sz val="10"/>
        <color indexed="8"/>
        <rFont val="宋体"/>
        <charset val="134"/>
      </rPr>
      <t>该缺陷属于</t>
    </r>
    <r>
      <rPr>
        <b/>
        <sz val="10"/>
        <color indexed="10"/>
        <rFont val="宋体"/>
        <charset val="134"/>
      </rPr>
      <t>设计缺陷</t>
    </r>
    <r>
      <rPr>
        <b/>
        <sz val="10"/>
        <color indexed="10"/>
        <rFont val="Arial Narrow"/>
        <charset val="134"/>
      </rPr>
      <t>/</t>
    </r>
    <r>
      <rPr>
        <b/>
        <sz val="10"/>
        <color indexed="10"/>
        <rFont val="宋体"/>
        <charset val="134"/>
      </rPr>
      <t>运行缺陷</t>
    </r>
    <r>
      <rPr>
        <b/>
        <sz val="10"/>
        <color indexed="8"/>
        <rFont val="宋体"/>
        <charset val="134"/>
      </rPr>
      <t>。</t>
    </r>
  </si>
  <si>
    <r>
      <rPr>
        <b/>
        <sz val="10"/>
        <color rgb="FF0000FF"/>
        <rFont val="宋体"/>
        <charset val="134"/>
      </rPr>
      <t>注</t>
    </r>
    <r>
      <rPr>
        <b/>
        <sz val="10"/>
        <color rgb="FF0000FF"/>
        <rFont val="Arial Narrow"/>
        <charset val="134"/>
      </rPr>
      <t>1</t>
    </r>
    <r>
      <rPr>
        <b/>
        <sz val="10"/>
        <color rgb="FF0000FF"/>
        <rFont val="宋体"/>
        <charset val="134"/>
      </rPr>
      <t>：补充性</t>
    </r>
    <r>
      <rPr>
        <b/>
        <sz val="10"/>
        <color rgb="FF0000FF"/>
        <rFont val="Arial Narrow"/>
        <charset val="134"/>
      </rPr>
      <t>/</t>
    </r>
    <r>
      <rPr>
        <b/>
        <sz val="10"/>
        <color rgb="FF0000FF"/>
        <rFont val="宋体"/>
        <charset val="134"/>
      </rPr>
      <t>冗余性控制</t>
    </r>
  </si>
  <si>
    <r>
      <rPr>
        <sz val="10"/>
        <color indexed="12"/>
        <rFont val="宋体"/>
        <charset val="134"/>
      </rPr>
      <t>补充性控制：作为整体发挥作用以取得相同的目标（同一过程的控制措施共同运行，但通常精确性相对较差）；</t>
    </r>
  </si>
  <si>
    <r>
      <rPr>
        <sz val="10"/>
        <color rgb="FF0000FF"/>
        <rFont val="宋体"/>
        <charset val="134"/>
      </rPr>
      <t>要有效发挥作用，不应允许出现同样的差错。</t>
    </r>
  </si>
  <si>
    <r>
      <rPr>
        <sz val="10"/>
        <color rgb="FF0000FF"/>
        <rFont val="宋体"/>
        <charset val="134"/>
      </rPr>
      <t>冗余性控制：取得和其他控制措施同样的目标（在同一过程中和其他控制措施一样防止或发现相同差错）。</t>
    </r>
  </si>
  <si>
    <r>
      <rPr>
        <sz val="10"/>
        <color rgb="FF0000FF"/>
        <rFont val="宋体"/>
        <charset val="134"/>
      </rPr>
      <t>补偿性控制：保持精确运行以防止或发现错报</t>
    </r>
    <r>
      <rPr>
        <sz val="10"/>
        <color rgb="FF0000FF"/>
        <rFont val="Arial Narrow"/>
        <charset val="134"/>
      </rPr>
      <t xml:space="preserve"> </t>
    </r>
    <r>
      <rPr>
        <sz val="10"/>
        <color rgb="FF0000FF"/>
        <rFont val="宋体"/>
        <charset val="134"/>
      </rPr>
      <t>－</t>
    </r>
    <r>
      <rPr>
        <sz val="10"/>
        <color rgb="FF0000FF"/>
        <rFont val="Arial Narrow"/>
        <charset val="134"/>
      </rPr>
      <t xml:space="preserve"> </t>
    </r>
    <r>
      <rPr>
        <sz val="10"/>
        <color rgb="FF0000FF"/>
        <rFont val="宋体"/>
        <charset val="134"/>
      </rPr>
      <t>如果适当的话，不仅是无关紧要的或重大的错报（这些控制应是运营或</t>
    </r>
  </si>
  <si>
    <r>
      <rPr>
        <sz val="10"/>
        <color rgb="FF0000FF"/>
        <rFont val="宋体"/>
        <charset val="134"/>
      </rPr>
      <t>业务层面的监控措施，通常处于同一过程中，且以相同的精确程度运行）。</t>
    </r>
  </si>
  <si>
    <r>
      <rPr>
        <sz val="10"/>
        <color indexed="12"/>
        <rFont val="宋体"/>
        <charset val="134"/>
      </rPr>
      <t>在进行缺陷评价时，注册会计师应当评价补充性</t>
    </r>
    <r>
      <rPr>
        <sz val="10"/>
        <color indexed="12"/>
        <rFont val="Arial Narrow"/>
        <charset val="134"/>
      </rPr>
      <t>/</t>
    </r>
    <r>
      <rPr>
        <sz val="10"/>
        <color indexed="12"/>
        <rFont val="宋体"/>
        <charset val="134"/>
      </rPr>
      <t>冗余性</t>
    </r>
    <r>
      <rPr>
        <sz val="10"/>
        <color indexed="12"/>
        <rFont val="Arial Narrow"/>
        <charset val="134"/>
      </rPr>
      <t>/</t>
    </r>
    <r>
      <rPr>
        <sz val="10"/>
        <color indexed="12"/>
        <rFont val="宋体"/>
        <charset val="134"/>
      </rPr>
      <t>补偿性控制的影响。</t>
    </r>
  </si>
  <si>
    <r>
      <rPr>
        <sz val="10"/>
        <color indexed="12"/>
        <rFont val="宋体"/>
        <charset val="134"/>
      </rPr>
      <t>（</t>
    </r>
    <r>
      <rPr>
        <sz val="10"/>
        <color indexed="12"/>
        <rFont val="Arial Narrow"/>
        <charset val="134"/>
      </rPr>
      <t>1</t>
    </r>
    <r>
      <rPr>
        <sz val="10"/>
        <color indexed="12"/>
        <rFont val="宋体"/>
        <charset val="134"/>
      </rPr>
      <t>）是否存在补充性</t>
    </r>
    <r>
      <rPr>
        <sz val="10"/>
        <color indexed="12"/>
        <rFont val="Arial Narrow"/>
        <charset val="134"/>
      </rPr>
      <t>/</t>
    </r>
    <r>
      <rPr>
        <sz val="10"/>
        <color indexed="12"/>
        <rFont val="宋体"/>
        <charset val="134"/>
      </rPr>
      <t>冗余性</t>
    </r>
    <r>
      <rPr>
        <sz val="10"/>
        <color indexed="12"/>
        <rFont val="Arial Narrow"/>
        <charset val="134"/>
      </rPr>
      <t>/</t>
    </r>
    <r>
      <rPr>
        <sz val="10"/>
        <color indexed="12"/>
        <rFont val="宋体"/>
        <charset val="134"/>
      </rPr>
      <t>补偿性控制；</t>
    </r>
  </si>
  <si>
    <r>
      <rPr>
        <sz val="10"/>
        <color indexed="12"/>
        <rFont val="宋体"/>
        <charset val="134"/>
      </rPr>
      <t>（</t>
    </r>
    <r>
      <rPr>
        <sz val="10"/>
        <color indexed="12"/>
        <rFont val="Arial Narrow"/>
        <charset val="134"/>
      </rPr>
      <t>2</t>
    </r>
    <r>
      <rPr>
        <sz val="10"/>
        <color indexed="12"/>
        <rFont val="宋体"/>
        <charset val="134"/>
      </rPr>
      <t>）补充性</t>
    </r>
    <r>
      <rPr>
        <sz val="10"/>
        <color indexed="12"/>
        <rFont val="Arial Narrow"/>
        <charset val="134"/>
      </rPr>
      <t>/</t>
    </r>
    <r>
      <rPr>
        <sz val="10"/>
        <color indexed="12"/>
        <rFont val="宋体"/>
        <charset val="134"/>
      </rPr>
      <t>冗余性</t>
    </r>
    <r>
      <rPr>
        <sz val="10"/>
        <color indexed="12"/>
        <rFont val="Arial Narrow"/>
        <charset val="134"/>
      </rPr>
      <t>/</t>
    </r>
    <r>
      <rPr>
        <sz val="10"/>
        <color indexed="12"/>
        <rFont val="宋体"/>
        <charset val="134"/>
      </rPr>
      <t>补偿性控制是否有足够的精确度以防止或发现并纠正可能发生的重大错报；</t>
    </r>
  </si>
  <si>
    <r>
      <rPr>
        <sz val="10"/>
        <color indexed="12"/>
        <rFont val="宋体"/>
        <charset val="134"/>
      </rPr>
      <t>（</t>
    </r>
    <r>
      <rPr>
        <sz val="10"/>
        <color indexed="12"/>
        <rFont val="Arial Narrow"/>
        <charset val="134"/>
      </rPr>
      <t>3</t>
    </r>
    <r>
      <rPr>
        <sz val="10"/>
        <color indexed="12"/>
        <rFont val="宋体"/>
        <charset val="134"/>
      </rPr>
      <t>）应当对补充性</t>
    </r>
    <r>
      <rPr>
        <sz val="10"/>
        <color indexed="12"/>
        <rFont val="Arial Narrow"/>
        <charset val="134"/>
      </rPr>
      <t>/</t>
    </r>
    <r>
      <rPr>
        <sz val="10"/>
        <color indexed="12"/>
        <rFont val="宋体"/>
        <charset val="134"/>
      </rPr>
      <t>冗余性</t>
    </r>
    <r>
      <rPr>
        <sz val="10"/>
        <color indexed="12"/>
        <rFont val="Arial Narrow"/>
        <charset val="134"/>
      </rPr>
      <t>/</t>
    </r>
    <r>
      <rPr>
        <sz val="10"/>
        <color indexed="12"/>
        <rFont val="宋体"/>
        <charset val="134"/>
      </rPr>
      <t>补偿性控制开展必要的测试工作，获取并记录补充性</t>
    </r>
    <r>
      <rPr>
        <sz val="10"/>
        <color indexed="12"/>
        <rFont val="Arial Narrow"/>
        <charset val="134"/>
      </rPr>
      <t>/</t>
    </r>
    <r>
      <rPr>
        <sz val="10"/>
        <color indexed="12"/>
        <rFont val="宋体"/>
        <charset val="134"/>
      </rPr>
      <t>冗余性</t>
    </r>
    <r>
      <rPr>
        <sz val="10"/>
        <color indexed="12"/>
        <rFont val="Arial Narrow"/>
        <charset val="134"/>
      </rPr>
      <t>/</t>
    </r>
    <r>
      <rPr>
        <sz val="10"/>
        <color indexed="12"/>
        <rFont val="宋体"/>
        <charset val="134"/>
      </rPr>
      <t>补偿性控制运行有效的证据。</t>
    </r>
  </si>
  <si>
    <r>
      <rPr>
        <sz val="10"/>
        <color indexed="12"/>
        <rFont val="宋体"/>
        <charset val="134"/>
      </rPr>
      <t>补偿性控制可能与其补偿或替代的控制不在同一个层面，如某些控制在子公司层面实施，但补偿性控制存在于集团层面。</t>
    </r>
  </si>
  <si>
    <r>
      <rPr>
        <b/>
        <sz val="10"/>
        <color indexed="12"/>
        <rFont val="宋体"/>
        <charset val="134"/>
      </rPr>
      <t>注</t>
    </r>
    <r>
      <rPr>
        <b/>
        <sz val="10"/>
        <color indexed="12"/>
        <rFont val="Arial Narrow"/>
        <charset val="134"/>
      </rPr>
      <t>2</t>
    </r>
    <r>
      <rPr>
        <b/>
        <sz val="10"/>
        <color indexed="12"/>
        <rFont val="宋体"/>
        <charset val="134"/>
      </rPr>
      <t>：信息系统一般控制缺陷对应用控制的影响</t>
    </r>
  </si>
  <si>
    <r>
      <rPr>
        <sz val="10"/>
        <color rgb="FF0000FF"/>
        <rFont val="宋体"/>
        <charset val="134"/>
      </rPr>
      <t>信息系统一般控制缺陷往往会对应用系统控制的有效性产生负面影响，从而增加财务报表错报的可能性。</t>
    </r>
  </si>
  <si>
    <r>
      <rPr>
        <sz val="10"/>
        <color rgb="FF0000FF"/>
        <rFont val="宋体"/>
        <charset val="134"/>
      </rPr>
      <t>因此，对信息系统一般控制缺陷的评价应当考虑应用控制缺陷的情况，以判断信息系统一般控制缺陷是否会</t>
    </r>
  </si>
  <si>
    <r>
      <rPr>
        <sz val="10"/>
        <color rgb="FF0000FF"/>
        <rFont val="宋体"/>
        <charset val="134"/>
      </rPr>
      <t>直接导致财务报表错报。</t>
    </r>
  </si>
  <si>
    <r>
      <rPr>
        <sz val="10"/>
        <color rgb="FF0000FF"/>
        <rFont val="宋体"/>
        <charset val="134"/>
      </rPr>
      <t>信息系统一般控制支持应用控制的持续有效运行。因此，当注册会计师发现信息系统一般控制存在缺陷时，必须考虑与</t>
    </r>
  </si>
  <si>
    <r>
      <rPr>
        <sz val="10"/>
        <color rgb="FF0000FF"/>
        <rFont val="宋体"/>
        <charset val="134"/>
      </rPr>
      <t>该信息系统一般控制缺陷相关的应用控制或者依赖于该信息系统一般控制的人工控制，对审计计划作出必要的调整。</t>
    </r>
  </si>
  <si>
    <r>
      <rPr>
        <b/>
        <sz val="10"/>
        <color indexed="12"/>
        <rFont val="宋体"/>
        <charset val="134"/>
      </rPr>
      <t>注</t>
    </r>
    <r>
      <rPr>
        <b/>
        <sz val="10"/>
        <color indexed="12"/>
        <rFont val="Arial Narrow"/>
        <charset val="134"/>
      </rPr>
      <t>3</t>
    </r>
    <r>
      <rPr>
        <b/>
        <sz val="10"/>
        <color indexed="12"/>
        <rFont val="宋体"/>
        <charset val="134"/>
      </rPr>
      <t>：通常信息系统一般控制缺陷与应用控制缺陷的重要性分类一致</t>
    </r>
  </si>
  <si>
    <r>
      <rPr>
        <sz val="10"/>
        <color rgb="FF0000FF"/>
        <rFont val="宋体"/>
        <charset val="134"/>
      </rPr>
      <t>如果应用控制缺陷与信息系统一般控制缺陷相关或由一般控制缺陷所引致，则需要将信息系统一般控制缺陷与应用控制</t>
    </r>
  </si>
  <si>
    <r>
      <rPr>
        <sz val="10"/>
        <color rgb="FF0000FF"/>
        <rFont val="宋体"/>
        <charset val="134"/>
      </rPr>
      <t>缺陷结合起来评价，并且通常信息系统一般控制缺陷与应用控制缺陷的重要性分类是一致的。</t>
    </r>
  </si>
  <si>
    <r>
      <rPr>
        <sz val="10"/>
        <color rgb="FF0000FF"/>
        <rFont val="宋体"/>
        <charset val="134"/>
      </rPr>
      <t>信息系统一般控制缺陷不会直接导致错报。然而，错报却可能由无效的应用系统控制造成。因此，如果不存在应用</t>
    </r>
  </si>
  <si>
    <r>
      <rPr>
        <sz val="10"/>
        <color rgb="FF0000FF"/>
        <rFont val="宋体"/>
        <charset val="134"/>
      </rPr>
      <t>系统控制缺陷，仅仅信息系统一般控制缺陷通常并不会形成重大缺陷。</t>
    </r>
  </si>
  <si>
    <r>
      <rPr>
        <b/>
        <sz val="10"/>
        <color indexed="12"/>
        <rFont val="宋体"/>
        <charset val="134"/>
      </rPr>
      <t>注</t>
    </r>
    <r>
      <rPr>
        <b/>
        <sz val="10"/>
        <color indexed="12"/>
        <rFont val="Arial Narrow"/>
        <charset val="134"/>
      </rPr>
      <t>4</t>
    </r>
    <r>
      <rPr>
        <b/>
        <sz val="10"/>
        <color indexed="12"/>
        <rFont val="宋体"/>
        <charset val="134"/>
      </rPr>
      <t>：监督财报的人员的关注</t>
    </r>
  </si>
  <si>
    <r>
      <rPr>
        <sz val="10"/>
        <color indexed="12"/>
        <rFont val="宋体"/>
        <charset val="134"/>
      </rPr>
      <t>若缺陷会导致负责监督财务报告的人员对公允列报失去充分合理的信心，则其足以引起负责监督企业财务报告的人员的关注。</t>
    </r>
  </si>
  <si>
    <r>
      <rPr>
        <sz val="10"/>
        <color indexed="12"/>
        <rFont val="宋体"/>
        <charset val="134"/>
      </rPr>
      <t>此时该缺陷不应被评价为一般缺陷。</t>
    </r>
  </si>
  <si>
    <r>
      <rPr>
        <sz val="10"/>
        <color indexed="12"/>
        <rFont val="宋体"/>
        <charset val="134"/>
      </rPr>
      <t>负责监督企业财务报告的人员通常主要关注：</t>
    </r>
  </si>
  <si>
    <r>
      <rPr>
        <sz val="10"/>
        <color indexed="12"/>
        <rFont val="宋体"/>
        <charset val="134"/>
      </rPr>
      <t>（</t>
    </r>
    <r>
      <rPr>
        <sz val="10"/>
        <color indexed="12"/>
        <rFont val="Arial Narrow"/>
        <charset val="134"/>
      </rPr>
      <t>1</t>
    </r>
    <r>
      <rPr>
        <sz val="10"/>
        <color indexed="12"/>
        <rFont val="宋体"/>
        <charset val="134"/>
      </rPr>
      <t>）控制缺陷在去年已存在并被确认为重要缺陷或重大缺陷；</t>
    </r>
  </si>
  <si>
    <r>
      <rPr>
        <sz val="10"/>
        <color indexed="12"/>
        <rFont val="宋体"/>
        <charset val="134"/>
      </rPr>
      <t>（</t>
    </r>
    <r>
      <rPr>
        <sz val="10"/>
        <color indexed="12"/>
        <rFont val="Arial Narrow"/>
        <charset val="134"/>
      </rPr>
      <t>2</t>
    </r>
    <r>
      <rPr>
        <sz val="10"/>
        <color indexed="12"/>
        <rFont val="宋体"/>
        <charset val="134"/>
      </rPr>
      <t>）控制缺陷存在于企业新兴业务或高风险业务中；</t>
    </r>
  </si>
  <si>
    <r>
      <rPr>
        <sz val="10"/>
        <color indexed="12"/>
        <rFont val="宋体"/>
        <charset val="134"/>
      </rPr>
      <t>（</t>
    </r>
    <r>
      <rPr>
        <sz val="10"/>
        <color indexed="12"/>
        <rFont val="Arial Narrow"/>
        <charset val="134"/>
      </rPr>
      <t>3</t>
    </r>
    <r>
      <rPr>
        <sz val="10"/>
        <color indexed="12"/>
        <rFont val="宋体"/>
        <charset val="134"/>
      </rPr>
      <t>）控制缺陷存在于董事会或审计委员会高度关注的领域内，如特殊组成部分或敏感业务。</t>
    </r>
  </si>
  <si>
    <r>
      <rPr>
        <b/>
        <sz val="10"/>
        <color indexed="12"/>
        <rFont val="宋体"/>
        <charset val="134"/>
      </rPr>
      <t>注</t>
    </r>
    <r>
      <rPr>
        <b/>
        <sz val="10"/>
        <color indexed="12"/>
        <rFont val="Arial Narrow"/>
        <charset val="134"/>
      </rPr>
      <t>5</t>
    </r>
    <r>
      <rPr>
        <b/>
        <sz val="10"/>
        <color indexed="12"/>
        <rFont val="宋体"/>
        <charset val="134"/>
      </rPr>
      <t>：审慎的第三方的判断</t>
    </r>
  </si>
  <si>
    <r>
      <rPr>
        <sz val="10"/>
        <color indexed="12"/>
        <rFont val="宋体"/>
        <charset val="134"/>
      </rPr>
      <t>本步骤的目的是注册会计师在对内部控制缺陷进行定性和定量分析评价的基础上，充分发挥职业谨慎态度，从第三方（如监管</t>
    </r>
  </si>
  <si>
    <r>
      <rPr>
        <sz val="10"/>
        <color indexed="12"/>
        <rFont val="宋体"/>
        <charset val="134"/>
      </rPr>
      <t>机构人员、投资人等）的角度客观地重新审视内部控制缺陷（或缺陷组合）的严重性，从而得出内部控制是否有效的结论。</t>
    </r>
  </si>
  <si>
    <r>
      <rPr>
        <b/>
        <sz val="10"/>
        <color indexed="12"/>
        <rFont val="宋体"/>
        <charset val="134"/>
      </rPr>
      <t>注</t>
    </r>
    <r>
      <rPr>
        <b/>
        <sz val="10"/>
        <color indexed="12"/>
        <rFont val="Arial Narrow"/>
        <charset val="134"/>
      </rPr>
      <t>6</t>
    </r>
    <r>
      <rPr>
        <b/>
        <sz val="10"/>
        <color indexed="12"/>
        <rFont val="宋体"/>
        <charset val="134"/>
      </rPr>
      <t>：重大审计调整、更正错报的性质</t>
    </r>
  </si>
  <si>
    <r>
      <rPr>
        <sz val="10"/>
        <color indexed="12"/>
        <rFont val="宋体"/>
        <charset val="134"/>
      </rPr>
      <t>《上市公司实施企业内部控制规范体系监管问题解答》（</t>
    </r>
    <r>
      <rPr>
        <sz val="10"/>
        <color indexed="12"/>
        <rFont val="Arial Narrow"/>
        <charset val="134"/>
      </rPr>
      <t>2012</t>
    </r>
    <r>
      <rPr>
        <sz val="10"/>
        <color indexed="12"/>
        <rFont val="宋体"/>
        <charset val="134"/>
      </rPr>
      <t>年第</t>
    </r>
    <r>
      <rPr>
        <sz val="10"/>
        <color indexed="12"/>
        <rFont val="Arial Narrow"/>
        <charset val="134"/>
      </rPr>
      <t>1</t>
    </r>
    <r>
      <rPr>
        <sz val="10"/>
        <color indexed="12"/>
        <rFont val="宋体"/>
        <charset val="134"/>
      </rPr>
      <t>期，总第</t>
    </r>
    <r>
      <rPr>
        <sz val="10"/>
        <color indexed="12"/>
        <rFont val="Arial Narrow"/>
        <charset val="134"/>
      </rPr>
      <t>2</t>
    </r>
    <r>
      <rPr>
        <sz val="10"/>
        <color indexed="12"/>
        <rFont val="宋体"/>
        <charset val="134"/>
      </rPr>
      <t>期）：被审计客户的当期财务报表审计过程中</t>
    </r>
  </si>
  <si>
    <r>
      <rPr>
        <sz val="10"/>
        <color indexed="12"/>
        <rFont val="宋体"/>
        <charset val="134"/>
      </rPr>
      <t>出现重大审计调整或重大前期差错更正，注册会计师在进行与财务报告相关内部控制审计时，应将其视为内部控制可能存在</t>
    </r>
  </si>
  <si>
    <r>
      <rPr>
        <sz val="10"/>
        <color indexed="12"/>
        <rFont val="宋体"/>
        <charset val="134"/>
      </rPr>
      <t>重大缺陷的迹象。注册会计师不应仅因被审计客户当期存在重大审计调整或是在当期发生对前期财务报表差错的更正，即认为</t>
    </r>
  </si>
  <si>
    <r>
      <rPr>
        <sz val="10"/>
        <color indexed="12"/>
        <rFont val="宋体"/>
        <charset val="134"/>
      </rPr>
      <t>财务报告内部控制存在重大缺陷。</t>
    </r>
  </si>
  <si>
    <r>
      <rPr>
        <sz val="10"/>
        <color indexed="12"/>
        <rFont val="宋体"/>
        <charset val="134"/>
      </rPr>
      <t>《企业内部控制评价指引讲解》</t>
    </r>
    <r>
      <rPr>
        <sz val="10"/>
        <color indexed="12"/>
        <rFont val="Arial Narrow"/>
        <charset val="134"/>
      </rPr>
      <t>P404</t>
    </r>
    <r>
      <rPr>
        <sz val="10"/>
        <color indexed="12"/>
        <rFont val="宋体"/>
        <charset val="134"/>
      </rPr>
      <t>：如果企业的财务报表存在错报，必然表明该企业的财务报告内部控制存在缺陷。</t>
    </r>
  </si>
  <si>
    <r>
      <rPr>
        <b/>
        <sz val="10"/>
        <color indexed="12"/>
        <rFont val="宋体"/>
        <charset val="134"/>
      </rPr>
      <t>注</t>
    </r>
    <r>
      <rPr>
        <b/>
        <sz val="10"/>
        <color indexed="12"/>
        <rFont val="Arial Narrow"/>
        <charset val="134"/>
      </rPr>
      <t>7</t>
    </r>
    <r>
      <rPr>
        <b/>
        <sz val="10"/>
        <color indexed="12"/>
        <rFont val="宋体"/>
        <charset val="134"/>
      </rPr>
      <t>：缺陷分类</t>
    </r>
  </si>
  <si>
    <r>
      <rPr>
        <sz val="10"/>
        <color indexed="12"/>
        <rFont val="宋体"/>
        <charset val="134"/>
      </rPr>
      <t>根据《企业内部控制评价指引》（财会〔</t>
    </r>
    <r>
      <rPr>
        <sz val="10"/>
        <color indexed="12"/>
        <rFont val="Arial Narrow"/>
        <charset val="134"/>
      </rPr>
      <t>2010</t>
    </r>
    <r>
      <rPr>
        <sz val="10"/>
        <color indexed="12"/>
        <rFont val="宋体"/>
        <charset val="134"/>
      </rPr>
      <t>〕</t>
    </r>
    <r>
      <rPr>
        <sz val="10"/>
        <color indexed="12"/>
        <rFont val="Arial Narrow"/>
        <charset val="134"/>
      </rPr>
      <t>11</t>
    </r>
    <r>
      <rPr>
        <sz val="10"/>
        <color indexed="12"/>
        <rFont val="宋体"/>
        <charset val="134"/>
      </rPr>
      <t>号）第十七条：</t>
    </r>
  </si>
  <si>
    <r>
      <rPr>
        <sz val="10"/>
        <color rgb="FF0000FF"/>
        <rFont val="宋体"/>
        <charset val="134"/>
      </rPr>
      <t>对内部控制缺陷进行初步认定，并按其影响程度分为重大缺陷、重要缺陷和一般缺陷。</t>
    </r>
    <r>
      <rPr>
        <sz val="10"/>
        <color rgb="FF0000FF"/>
        <rFont val="Arial Narrow"/>
        <charset val="134"/>
      </rPr>
      <t xml:space="preserve">
  </t>
    </r>
    <r>
      <rPr>
        <sz val="10"/>
        <color rgb="FF0000FF"/>
        <rFont val="宋体"/>
        <charset val="134"/>
      </rPr>
      <t>重大缺陷，是指一个或多个控制缺陷的组合，可能导致企业严重偏离控制目标。</t>
    </r>
    <r>
      <rPr>
        <sz val="10"/>
        <color rgb="FF0000FF"/>
        <rFont val="Arial Narrow"/>
        <charset val="134"/>
      </rPr>
      <t xml:space="preserve">
  </t>
    </r>
    <r>
      <rPr>
        <sz val="10"/>
        <color rgb="FF0000FF"/>
        <rFont val="宋体"/>
        <charset val="134"/>
      </rPr>
      <t>重要缺陷，是指一个或多个控制缺陷的组合，其严重程度和经济后果低于重大缺陷，但仍有可能导致企业偏离控制目标。</t>
    </r>
    <r>
      <rPr>
        <sz val="10"/>
        <color rgb="FF0000FF"/>
        <rFont val="Arial Narrow"/>
        <charset val="134"/>
      </rPr>
      <t xml:space="preserve">
  </t>
    </r>
    <r>
      <rPr>
        <sz val="10"/>
        <color rgb="FF0000FF"/>
        <rFont val="宋体"/>
        <charset val="134"/>
      </rPr>
      <t>一般缺陷，是指除重大缺陷、重要缺陷之外的其他缺陷。</t>
    </r>
  </si>
  <si>
    <r>
      <rPr>
        <sz val="10"/>
        <color rgb="FF0000FF"/>
        <rFont val="Arial Narrow"/>
        <charset val="134"/>
      </rPr>
      <t xml:space="preserve">GTIL </t>
    </r>
    <r>
      <rPr>
        <sz val="10"/>
        <color rgb="FF0000FF"/>
        <rFont val="宋体"/>
        <charset val="134"/>
      </rPr>
      <t>指出，由于重要缺陷和重大缺陷并不是审计准则中的概念，也没有在全球范围内得到普遍使用，因此，在</t>
    </r>
    <r>
      <rPr>
        <sz val="10"/>
        <color rgb="FF0000FF"/>
        <rFont val="Arial Narrow"/>
        <charset val="134"/>
      </rPr>
      <t xml:space="preserve">GTIL </t>
    </r>
    <r>
      <rPr>
        <sz val="10"/>
        <color rgb="FF0000FF"/>
        <rFont val="宋体"/>
        <charset val="134"/>
      </rPr>
      <t>的方法论中并没有采用这一概念。然而，根据中国《企业内部控制审计指引》，将内部控制存在的缺陷按其严重程度分为重大缺陷、重要缺陷和一般缺陷，其中</t>
    </r>
    <r>
      <rPr>
        <sz val="10"/>
        <color rgb="FF0000FF"/>
        <rFont val="Arial Narrow"/>
        <charset val="134"/>
      </rPr>
      <t>“</t>
    </r>
    <r>
      <rPr>
        <sz val="10"/>
        <color rgb="FF0000FF"/>
        <rFont val="宋体"/>
        <charset val="134"/>
      </rPr>
      <t>值得关注的内部控制缺陷</t>
    </r>
    <r>
      <rPr>
        <sz val="10"/>
        <color rgb="FF0000FF"/>
        <rFont val="Arial Narrow"/>
        <charset val="134"/>
      </rPr>
      <t>”</t>
    </r>
    <r>
      <rPr>
        <sz val="10"/>
        <color rgb="FF0000FF"/>
        <rFont val="宋体"/>
        <charset val="134"/>
      </rPr>
      <t>包含</t>
    </r>
    <r>
      <rPr>
        <sz val="10"/>
        <color rgb="FF0000FF"/>
        <rFont val="Arial Narrow"/>
        <charset val="134"/>
      </rPr>
      <t>“</t>
    </r>
    <r>
      <rPr>
        <sz val="10"/>
        <color rgb="FF0000FF"/>
        <rFont val="宋体"/>
        <charset val="134"/>
      </rPr>
      <t>重大缺陷</t>
    </r>
    <r>
      <rPr>
        <sz val="10"/>
        <color rgb="FF0000FF"/>
        <rFont val="Arial Narrow"/>
        <charset val="134"/>
      </rPr>
      <t>”</t>
    </r>
    <r>
      <rPr>
        <sz val="10"/>
        <color rgb="FF0000FF"/>
        <rFont val="宋体"/>
        <charset val="134"/>
      </rPr>
      <t>和</t>
    </r>
    <r>
      <rPr>
        <sz val="10"/>
        <color rgb="FF0000FF"/>
        <rFont val="Arial Narrow"/>
        <charset val="134"/>
      </rPr>
      <t>“</t>
    </r>
    <r>
      <rPr>
        <sz val="10"/>
        <color rgb="FF0000FF"/>
        <rFont val="宋体"/>
        <charset val="134"/>
      </rPr>
      <t>重要缺陷</t>
    </r>
    <r>
      <rPr>
        <sz val="10"/>
        <color rgb="FF0000FF"/>
        <rFont val="Arial Narrow"/>
        <charset val="134"/>
      </rPr>
      <t>”</t>
    </r>
    <r>
      <rPr>
        <sz val="10"/>
        <color rgb="FF0000FF"/>
        <rFont val="宋体"/>
        <charset val="134"/>
      </rPr>
      <t>。</t>
    </r>
  </si>
  <si>
    <t>IT控制缺陷沟通会议纪要</t>
  </si>
  <si>
    <r>
      <rPr>
        <sz val="10"/>
        <color theme="1"/>
        <rFont val="宋体"/>
        <charset val="134"/>
      </rPr>
      <t>会议主题</t>
    </r>
  </si>
  <si>
    <r>
      <rPr>
        <sz val="10"/>
        <color theme="1"/>
        <rFont val="宋体"/>
        <charset val="134"/>
      </rPr>
      <t>会议时间</t>
    </r>
  </si>
  <si>
    <r>
      <rPr>
        <sz val="10"/>
        <color theme="1"/>
        <rFont val="宋体"/>
        <charset val="134"/>
      </rPr>
      <t>会议方式</t>
    </r>
  </si>
  <si>
    <r>
      <rPr>
        <sz val="10"/>
        <color theme="1"/>
        <rFont val="宋体"/>
        <charset val="134"/>
      </rPr>
      <t>会议地点</t>
    </r>
  </si>
  <si>
    <r>
      <rPr>
        <sz val="10"/>
        <color rgb="FF000000"/>
        <rFont val="宋体"/>
        <charset val="134"/>
      </rPr>
      <t>参会人员</t>
    </r>
  </si>
  <si>
    <r>
      <rPr>
        <sz val="10"/>
        <color rgb="FF0000FF"/>
        <rFont val="宋体"/>
        <charset val="134"/>
      </rPr>
      <t>明确人员及职责</t>
    </r>
  </si>
  <si>
    <r>
      <rPr>
        <sz val="10"/>
        <color theme="1"/>
        <rFont val="宋体"/>
        <charset val="134"/>
      </rPr>
      <t>编制人</t>
    </r>
  </si>
  <si>
    <r>
      <rPr>
        <sz val="10"/>
        <color theme="1"/>
        <rFont val="宋体"/>
        <charset val="134"/>
      </rPr>
      <t>编制时间</t>
    </r>
  </si>
  <si>
    <t>复核人</t>
  </si>
  <si>
    <r>
      <rPr>
        <sz val="10"/>
        <color theme="1"/>
        <rFont val="宋体"/>
        <charset val="134"/>
      </rPr>
      <t>复核时间</t>
    </r>
  </si>
  <si>
    <r>
      <rPr>
        <b/>
        <sz val="10"/>
        <color theme="1"/>
        <rFont val="Arial Narrow"/>
        <charset val="134"/>
      </rPr>
      <t>IT</t>
    </r>
    <r>
      <rPr>
        <b/>
        <sz val="10"/>
        <color theme="1"/>
        <rFont val="宋体"/>
        <charset val="134"/>
      </rPr>
      <t>控制缺陷对财务报表影响的讨论记录</t>
    </r>
  </si>
  <si>
    <r>
      <rPr>
        <i/>
        <sz val="10"/>
        <color rgb="FF0000FF"/>
        <rFont val="宋体"/>
        <charset val="134"/>
      </rPr>
      <t>请根据&lt;C21-1  IT审计发现汇总表&gt;内容逐项讨论，包括：
1、IT审计团队针对每项IT控制缺陷的评估意见及理由</t>
    </r>
    <r>
      <rPr>
        <i/>
        <sz val="10"/>
        <color rgb="FF0000FF"/>
        <rFont val="Arial Narrow"/>
        <charset val="134"/>
      </rPr>
      <t xml:space="preserve">
-</t>
    </r>
    <r>
      <rPr>
        <i/>
        <sz val="10"/>
        <color rgb="FF0000FF"/>
        <rFont val="宋体"/>
        <charset val="134"/>
      </rPr>
      <t>缺陷性质</t>
    </r>
    <r>
      <rPr>
        <i/>
        <sz val="10"/>
        <color rgb="FF0000FF"/>
        <rFont val="Arial Narrow"/>
        <charset val="134"/>
      </rPr>
      <t xml:space="preserve">
-</t>
    </r>
    <r>
      <rPr>
        <i/>
        <sz val="10"/>
        <color rgb="FF0000FF"/>
        <rFont val="宋体"/>
        <charset val="134"/>
      </rPr>
      <t>可能影响的财务科目</t>
    </r>
    <r>
      <rPr>
        <i/>
        <sz val="10"/>
        <color rgb="FF0000FF"/>
        <rFont val="Arial Narrow"/>
        <charset val="134"/>
      </rPr>
      <t xml:space="preserve">
-</t>
    </r>
    <r>
      <rPr>
        <i/>
        <sz val="10"/>
        <color rgb="FF0000FF"/>
        <rFont val="宋体"/>
        <charset val="134"/>
      </rPr>
      <t>是否可能导致错报</t>
    </r>
    <r>
      <rPr>
        <i/>
        <sz val="10"/>
        <color rgb="FF0000FF"/>
        <rFont val="Arial Narrow"/>
        <charset val="134"/>
      </rPr>
      <t>/</t>
    </r>
    <r>
      <rPr>
        <i/>
        <sz val="10"/>
        <color rgb="FF0000FF"/>
        <rFont val="宋体"/>
        <charset val="134"/>
      </rPr>
      <t>漏报
- ……
等
2、财审团队针对每项IT控制缺陷的评估意见及理由
- 是否认可IT审计团队评估意见
- 缺陷对财务报表的影响程度
- 是否构成重大缺陷
- 是否影响审计意见/审计程序调整
- ……
等
3、财审团队针对每项IT控制缺陷的评价结论
4、相关的证明文件及索引号等……</t>
    </r>
  </si>
  <si>
    <r>
      <rPr>
        <b/>
        <sz val="10"/>
        <rFont val="宋体"/>
        <charset val="134"/>
      </rPr>
      <t>示例</t>
    </r>
    <r>
      <rPr>
        <b/>
        <sz val="10"/>
        <rFont val="Arial Narrow"/>
        <charset val="134"/>
      </rPr>
      <t>-</t>
    </r>
    <r>
      <rPr>
        <b/>
        <sz val="10"/>
        <rFont val="宋体"/>
        <charset val="134"/>
      </rPr>
      <t>IT控制缺陷评价（一般缺陷）</t>
    </r>
  </si>
  <si>
    <r>
      <rPr>
        <sz val="10"/>
        <rFont val="宋体"/>
        <charset val="134"/>
      </rPr>
      <t>被审计单位：</t>
    </r>
    <r>
      <rPr>
        <sz val="10"/>
        <rFont val="Arial Narrow"/>
        <charset val="134"/>
      </rPr>
      <t>G</t>
    </r>
    <r>
      <rPr>
        <sz val="10"/>
        <rFont val="宋体"/>
        <charset val="134"/>
      </rPr>
      <t>公司</t>
    </r>
  </si>
  <si>
    <r>
      <rPr>
        <sz val="10"/>
        <rFont val="宋体"/>
        <charset val="134"/>
      </rPr>
      <t>编制人：</t>
    </r>
    <r>
      <rPr>
        <sz val="10"/>
        <rFont val="Arial Narrow"/>
        <charset val="134"/>
      </rPr>
      <t>ccc</t>
    </r>
  </si>
  <si>
    <r>
      <rPr>
        <sz val="10"/>
        <rFont val="宋体"/>
        <charset val="134"/>
      </rPr>
      <t>日期：</t>
    </r>
    <r>
      <rPr>
        <sz val="10"/>
        <rFont val="Arial Narrow"/>
        <charset val="134"/>
      </rPr>
      <t>2024.3.11</t>
    </r>
  </si>
  <si>
    <t>索引号：</t>
  </si>
  <si>
    <t>A14-3-2</t>
  </si>
  <si>
    <r>
      <rPr>
        <sz val="10"/>
        <rFont val="宋体"/>
        <charset val="134"/>
      </rPr>
      <t>截止日：</t>
    </r>
    <r>
      <rPr>
        <sz val="10"/>
        <rFont val="Arial Narrow"/>
        <charset val="134"/>
      </rPr>
      <t>2023</t>
    </r>
    <r>
      <rPr>
        <sz val="10"/>
        <rFont val="宋体"/>
        <charset val="134"/>
      </rPr>
      <t>年</t>
    </r>
    <r>
      <rPr>
        <sz val="10"/>
        <rFont val="Arial Narrow"/>
        <charset val="134"/>
      </rPr>
      <t>12</t>
    </r>
    <r>
      <rPr>
        <sz val="10"/>
        <rFont val="宋体"/>
        <charset val="134"/>
      </rPr>
      <t>月</t>
    </r>
    <r>
      <rPr>
        <sz val="10"/>
        <rFont val="Arial Narrow"/>
        <charset val="134"/>
      </rPr>
      <t>31</t>
    </r>
    <r>
      <rPr>
        <sz val="10"/>
        <rFont val="宋体"/>
        <charset val="134"/>
      </rPr>
      <t>日</t>
    </r>
  </si>
  <si>
    <r>
      <rPr>
        <sz val="10"/>
        <rFont val="宋体"/>
        <charset val="134"/>
      </rPr>
      <t>复核人：</t>
    </r>
    <r>
      <rPr>
        <sz val="10"/>
        <rFont val="Arial Narrow"/>
        <charset val="134"/>
      </rPr>
      <t>bbb</t>
    </r>
  </si>
  <si>
    <r>
      <rPr>
        <sz val="10"/>
        <rFont val="宋体"/>
        <charset val="134"/>
      </rPr>
      <t>日期：</t>
    </r>
    <r>
      <rPr>
        <sz val="10"/>
        <rFont val="Arial Narrow"/>
        <charset val="134"/>
      </rPr>
      <t>2024.3.13</t>
    </r>
  </si>
  <si>
    <t>缺陷描述：</t>
  </si>
  <si>
    <t>注册会计师在对G公司的信息系统内部控制进行测试时发现，企业于年初对两个系统作了重大变更却未进行用户接受测试。其他年内的系统变更均进行了用户接受测试。
注册会计师通过审阅《应用系统对应表》，确认两次程序变更对财务报表科目的影响有限。</t>
  </si>
  <si>
    <t>评价步骤</t>
  </si>
  <si>
    <t>分析方法及获取的资料</t>
  </si>
  <si>
    <t>评价分析过程</t>
  </si>
  <si>
    <r>
      <rPr>
        <sz val="10"/>
        <color rgb="FF000000"/>
        <rFont val="Arial Narrow"/>
        <charset val="134"/>
      </rPr>
      <t>Step 1</t>
    </r>
    <r>
      <rPr>
        <sz val="10"/>
        <color rgb="FF000000"/>
        <rFont val="宋体"/>
        <charset val="134"/>
      </rPr>
      <t>：</t>
    </r>
    <r>
      <rPr>
        <sz val="10"/>
        <color rgb="FF000000"/>
        <rFont val="Arial Narrow"/>
        <charset val="134"/>
      </rPr>
      <t xml:space="preserve">
</t>
    </r>
    <r>
      <rPr>
        <sz val="10"/>
        <color rgb="FF000000"/>
        <rFont val="宋体"/>
        <charset val="134"/>
      </rPr>
      <t>是否存在补偿性控制（经过测试或评估的）以达到相同的控制目标？缺陷是否被利用？</t>
    </r>
  </si>
  <si>
    <t>是</t>
  </si>
  <si>
    <r>
      <rPr>
        <sz val="10"/>
        <color indexed="8"/>
        <rFont val="Arial Narrow"/>
        <charset val="134"/>
      </rPr>
      <t>Step 2</t>
    </r>
    <r>
      <rPr>
        <sz val="10"/>
        <color indexed="8"/>
        <rFont val="宋体"/>
        <charset val="134"/>
      </rPr>
      <t>：</t>
    </r>
    <r>
      <rPr>
        <sz val="10"/>
        <color indexed="8"/>
        <rFont val="Arial Narrow"/>
        <charset val="134"/>
      </rPr>
      <t xml:space="preserve">
</t>
    </r>
    <r>
      <rPr>
        <sz val="10"/>
        <color indexed="8"/>
        <rFont val="宋体"/>
        <charset val="134"/>
      </rPr>
      <t>是否有与</t>
    </r>
    <r>
      <rPr>
        <sz val="10"/>
        <color indexed="8"/>
        <rFont val="Arial Narrow"/>
        <charset val="134"/>
      </rPr>
      <t>ITGC</t>
    </r>
    <r>
      <rPr>
        <sz val="10"/>
        <color indexed="8"/>
        <rFont val="宋体"/>
        <charset val="134"/>
      </rPr>
      <t>缺陷有关或由其造成的应用层面控制缺陷在业务流程层面控制缺陷评价表中进行评价？</t>
    </r>
  </si>
  <si>
    <r>
      <rPr>
        <sz val="10"/>
        <color indexed="8"/>
        <rFont val="Arial Narrow"/>
        <charset val="134"/>
      </rPr>
      <t>Step 3</t>
    </r>
    <r>
      <rPr>
        <sz val="10"/>
        <color indexed="8"/>
        <rFont val="宋体"/>
        <charset val="134"/>
      </rPr>
      <t>：</t>
    </r>
    <r>
      <rPr>
        <sz val="10"/>
        <color indexed="8"/>
        <rFont val="Arial Narrow"/>
        <charset val="134"/>
      </rPr>
      <t xml:space="preserve">
</t>
    </r>
    <r>
      <rPr>
        <sz val="10"/>
        <color indexed="8"/>
        <rFont val="宋体"/>
        <charset val="134"/>
      </rPr>
      <t>与</t>
    </r>
    <r>
      <rPr>
        <sz val="10"/>
        <color indexed="8"/>
        <rFont val="Arial Narrow"/>
        <charset val="134"/>
      </rPr>
      <t>ITGC</t>
    </r>
    <r>
      <rPr>
        <sz val="10"/>
        <color indexed="8"/>
        <rFont val="宋体"/>
        <charset val="134"/>
      </rPr>
      <t>缺陷有关或由其造成的应用层面缺陷是否被评价为重大缺陷？</t>
    </r>
  </si>
  <si>
    <r>
      <rPr>
        <sz val="10"/>
        <color indexed="8"/>
        <rFont val="Arial Narrow"/>
        <charset val="134"/>
      </rPr>
      <t>Step 4</t>
    </r>
    <r>
      <rPr>
        <sz val="10"/>
        <color indexed="8"/>
        <rFont val="宋体"/>
        <charset val="134"/>
      </rPr>
      <t>：</t>
    </r>
    <r>
      <rPr>
        <sz val="10"/>
        <color indexed="8"/>
        <rFont val="Arial Narrow"/>
        <charset val="134"/>
      </rPr>
      <t xml:space="preserve">
</t>
    </r>
    <r>
      <rPr>
        <sz val="10"/>
        <color indexed="8"/>
        <rFont val="宋体"/>
        <charset val="134"/>
      </rPr>
      <t>此缺陷（或缺陷汇总）的重要程度是否足以引起负责监督企业财务报告的相关人员（财务总监、总会计师、首席财务官、董事会成员、监事会成员等）的关注？</t>
    </r>
  </si>
  <si>
    <t>虽然该系统在企业内广泛使用、影响大；但是由于该系统程序变更在年初发生，因此，注册会计师可以合理确信企业有充足的时间发现程序后数据错误并修改。该缺陷造成财务报表错报的可能性不大。同时，注册会计师通过审阅《应用系统对应表》，确认两次程序变更对财务报表科目的影响有限。因此，注册会计师合理判断业务主管负责人可以接受此缺陷。</t>
  </si>
  <si>
    <t>T3</t>
  </si>
  <si>
    <r>
      <rPr>
        <sz val="10"/>
        <color indexed="8"/>
        <rFont val="Arial Narrow"/>
        <charset val="134"/>
      </rPr>
      <t>Step 5</t>
    </r>
    <r>
      <rPr>
        <sz val="10"/>
        <color indexed="8"/>
        <rFont val="宋体"/>
        <charset val="134"/>
      </rPr>
      <t>：</t>
    </r>
    <r>
      <rPr>
        <sz val="10"/>
        <color indexed="8"/>
        <rFont val="Arial Narrow"/>
        <charset val="134"/>
      </rPr>
      <t xml:space="preserve">
</t>
    </r>
    <r>
      <rPr>
        <sz val="10"/>
        <color indexed="8"/>
        <rFont val="宋体"/>
        <charset val="134"/>
      </rPr>
      <t>一个足够知情、有胜任能力并且客观的管理人员（如监管机构人员、投资人等）是否会认为此缺陷（或缺陷汇总）为重大缺陷？</t>
    </r>
  </si>
  <si>
    <r>
      <rPr>
        <sz val="10"/>
        <color indexed="8"/>
        <rFont val="Arial Narrow"/>
        <charset val="134"/>
      </rPr>
      <t>Step 6</t>
    </r>
    <r>
      <rPr>
        <sz val="10"/>
        <color indexed="8"/>
        <rFont val="宋体"/>
        <charset val="134"/>
      </rPr>
      <t>：</t>
    </r>
    <r>
      <rPr>
        <sz val="10"/>
        <color indexed="8"/>
        <rFont val="Arial Narrow"/>
        <charset val="134"/>
      </rPr>
      <t xml:space="preserve">
</t>
    </r>
    <r>
      <rPr>
        <sz val="10"/>
        <color indexed="8"/>
        <rFont val="宋体"/>
        <charset val="134"/>
      </rPr>
      <t>在考虑所有事实情况（包括定性因素）后，判断重大审计调整、更正已经公布的财务报表等情况是否并不表明存在控制缺陷？</t>
    </r>
  </si>
  <si>
    <t>否</t>
  </si>
  <si>
    <r>
      <rPr>
        <b/>
        <sz val="10"/>
        <color indexed="8"/>
        <rFont val="宋体"/>
        <charset val="134"/>
      </rPr>
      <t>该控制缺陷为</t>
    </r>
    <r>
      <rPr>
        <b/>
        <sz val="10"/>
        <color indexed="10"/>
        <rFont val="宋体"/>
        <charset val="134"/>
      </rPr>
      <t>一般缺陷</t>
    </r>
    <r>
      <rPr>
        <b/>
        <sz val="10"/>
        <color indexed="8"/>
        <rFont val="宋体"/>
        <charset val="134"/>
      </rPr>
      <t>。</t>
    </r>
  </si>
  <si>
    <r>
      <rPr>
        <b/>
        <sz val="10"/>
        <color indexed="8"/>
        <rFont val="宋体"/>
        <charset val="134"/>
      </rPr>
      <t>该缺陷属于</t>
    </r>
    <r>
      <rPr>
        <b/>
        <sz val="10"/>
        <color indexed="10"/>
        <rFont val="宋体"/>
        <charset val="134"/>
      </rPr>
      <t>运行缺陷</t>
    </r>
    <r>
      <rPr>
        <b/>
        <sz val="10"/>
        <color indexed="8"/>
        <rFont val="宋体"/>
        <charset val="134"/>
      </rPr>
      <t>。</t>
    </r>
  </si>
  <si>
    <r>
      <rPr>
        <b/>
        <sz val="10"/>
        <rFont val="宋体"/>
        <charset val="134"/>
      </rPr>
      <t>示例</t>
    </r>
    <r>
      <rPr>
        <b/>
        <sz val="10"/>
        <rFont val="Arial Narrow"/>
        <charset val="134"/>
      </rPr>
      <t>-</t>
    </r>
    <r>
      <rPr>
        <b/>
        <sz val="10"/>
        <rFont val="宋体"/>
        <charset val="134"/>
      </rPr>
      <t>信息系统一般控制缺陷评价（重大缺陷）</t>
    </r>
  </si>
  <si>
    <t>A14-3-3</t>
  </si>
  <si>
    <r>
      <rPr>
        <sz val="10"/>
        <color theme="1"/>
        <rFont val="宋体"/>
        <charset val="134"/>
      </rPr>
      <t>页</t>
    </r>
    <r>
      <rPr>
        <sz val="10"/>
        <color theme="1"/>
        <rFont val="Arial Narrow"/>
        <charset val="134"/>
      </rPr>
      <t xml:space="preserve">   </t>
    </r>
    <r>
      <rPr>
        <sz val="10"/>
        <color theme="1"/>
        <rFont val="宋体"/>
        <charset val="134"/>
      </rPr>
      <t>次：</t>
    </r>
  </si>
  <si>
    <t>注册会计师在对G公司的信息系统内部控制进行测试时发现，程序员直接修改企业生产环境下采购系统的程序，且该采购系统为企业自行开发的系统。该信息系统一般控制缺陷对应的应用控制为采购系统中的三单配比控制。
注册会计师对三单配比控制进行测试后发现，该控制在下半年被程序员错误修改，使得三单配比控制失效。
三单配比控制失效将导致“票到货未到”不能被及时发现。
财务报表整体重要性确定为2 000万元。这项控制活动与10 000万元存货入库单以及付款相关。</t>
  </si>
  <si>
    <t>备注</t>
  </si>
  <si>
    <r>
      <rPr>
        <sz val="10"/>
        <color rgb="FF000000"/>
        <rFont val="宋体"/>
        <charset val="134"/>
      </rPr>
      <t>由于该采购系统为企业自行开发，系统内并未建立任何补充性或冗余性或补偿性控制。同时，公司也没有建立人工控制以发现和解决</t>
    </r>
    <r>
      <rPr>
        <sz val="10"/>
        <color rgb="FF000000"/>
        <rFont val="Arial Narrow"/>
        <charset val="134"/>
      </rPr>
      <t>“</t>
    </r>
    <r>
      <rPr>
        <sz val="10"/>
        <color rgb="FF000000"/>
        <rFont val="宋体"/>
        <charset val="134"/>
      </rPr>
      <t>票到货未到</t>
    </r>
    <r>
      <rPr>
        <sz val="10"/>
        <color rgb="FF000000"/>
        <rFont val="Arial Narrow"/>
        <charset val="134"/>
      </rPr>
      <t>”</t>
    </r>
    <r>
      <rPr>
        <sz val="10"/>
        <color rgb="FF000000"/>
        <rFont val="宋体"/>
        <charset val="134"/>
      </rPr>
      <t>的情况。</t>
    </r>
  </si>
  <si>
    <r>
      <rPr>
        <sz val="10"/>
        <color rgb="FF000000"/>
        <rFont val="Arial Narrow"/>
        <charset val="134"/>
      </rPr>
      <t>Step 2</t>
    </r>
    <r>
      <rPr>
        <sz val="10"/>
        <color rgb="FF000000"/>
        <rFont val="宋体"/>
        <charset val="134"/>
      </rPr>
      <t>：</t>
    </r>
    <r>
      <rPr>
        <sz val="10"/>
        <color rgb="FF000000"/>
        <rFont val="Arial Narrow"/>
        <charset val="134"/>
      </rPr>
      <t xml:space="preserve">
</t>
    </r>
    <r>
      <rPr>
        <sz val="10"/>
        <color rgb="FF000000"/>
        <rFont val="宋体"/>
        <charset val="134"/>
      </rPr>
      <t>是否有与</t>
    </r>
    <r>
      <rPr>
        <sz val="10"/>
        <color rgb="FF000000"/>
        <rFont val="Arial Narrow"/>
        <charset val="134"/>
      </rPr>
      <t>ITGC</t>
    </r>
    <r>
      <rPr>
        <sz val="10"/>
        <color rgb="FF000000"/>
        <rFont val="宋体"/>
        <charset val="134"/>
      </rPr>
      <t>缺陷有关或由其造成的应用层面控制缺陷在业务流程层面控制缺陷评价表中进行评价？</t>
    </r>
  </si>
  <si>
    <t>该程序变更中程序员的权限设置虽然属于信息系统一般控制，但是其引发了应用控制缺陷，因此该控制缺陷与财务报表认定直接相关（存在或发生）。</t>
  </si>
  <si>
    <r>
      <rPr>
        <sz val="10"/>
        <color rgb="FF000000"/>
        <rFont val="Arial Narrow"/>
        <charset val="134"/>
      </rPr>
      <t>Step 3</t>
    </r>
    <r>
      <rPr>
        <sz val="10"/>
        <color rgb="FF000000"/>
        <rFont val="宋体"/>
        <charset val="134"/>
      </rPr>
      <t>：</t>
    </r>
    <r>
      <rPr>
        <sz val="10"/>
        <color rgb="FF000000"/>
        <rFont val="Arial Narrow"/>
        <charset val="134"/>
      </rPr>
      <t xml:space="preserve">
</t>
    </r>
    <r>
      <rPr>
        <sz val="10"/>
        <color rgb="FF000000"/>
        <rFont val="宋体"/>
        <charset val="134"/>
      </rPr>
      <t>与</t>
    </r>
    <r>
      <rPr>
        <sz val="10"/>
        <color rgb="FF000000"/>
        <rFont val="Arial Narrow"/>
        <charset val="134"/>
      </rPr>
      <t>ITGC</t>
    </r>
    <r>
      <rPr>
        <sz val="10"/>
        <color rgb="FF000000"/>
        <rFont val="宋体"/>
        <charset val="134"/>
      </rPr>
      <t>缺陷有关或由其造成的应用层面缺陷是否被评价为重大缺陷？</t>
    </r>
  </si>
  <si>
    <r>
      <rPr>
        <sz val="10"/>
        <color theme="1"/>
        <rFont val="宋体"/>
        <charset val="134"/>
      </rPr>
      <t>三单配比控制失效将导致</t>
    </r>
    <r>
      <rPr>
        <sz val="10"/>
        <color theme="1"/>
        <rFont val="Arial Narrow"/>
        <charset val="134"/>
      </rPr>
      <t>“</t>
    </r>
    <r>
      <rPr>
        <sz val="10"/>
        <color theme="1"/>
        <rFont val="宋体"/>
        <charset val="134"/>
      </rPr>
      <t>票到货未到</t>
    </r>
    <r>
      <rPr>
        <sz val="10"/>
        <color theme="1"/>
        <rFont val="Arial Narrow"/>
        <charset val="134"/>
      </rPr>
      <t>”</t>
    </r>
    <r>
      <rPr>
        <sz val="10"/>
        <color theme="1"/>
        <rFont val="宋体"/>
        <charset val="134"/>
      </rPr>
      <t>不能被及时发现，企业有可能出现重大虚假采购。所涉及金额大于</t>
    </r>
    <r>
      <rPr>
        <sz val="10"/>
        <color theme="1"/>
        <rFont val="Arial Narrow"/>
        <charset val="134"/>
      </rPr>
      <t>10 000</t>
    </r>
    <r>
      <rPr>
        <sz val="10"/>
        <color theme="1"/>
        <rFont val="宋体"/>
        <charset val="134"/>
      </rPr>
      <t>万元，超过了重要性水平。</t>
    </r>
  </si>
  <si>
    <r>
      <rPr>
        <sz val="10"/>
        <color indexed="8"/>
        <rFont val="宋体"/>
        <charset val="134"/>
      </rPr>
      <t>重要性水平</t>
    </r>
    <r>
      <rPr>
        <sz val="10"/>
        <color indexed="8"/>
        <rFont val="Arial Narrow"/>
        <charset val="134"/>
      </rPr>
      <t>TE</t>
    </r>
    <r>
      <rPr>
        <sz val="10"/>
        <color indexed="8"/>
        <rFont val="宋体"/>
        <charset val="134"/>
      </rPr>
      <t>：</t>
    </r>
    <r>
      <rPr>
        <sz val="10"/>
        <color indexed="8"/>
        <rFont val="Arial Narrow"/>
        <charset val="134"/>
      </rPr>
      <t>1200</t>
    </r>
    <r>
      <rPr>
        <sz val="10"/>
        <color indexed="8"/>
        <rFont val="宋体"/>
        <charset val="134"/>
      </rPr>
      <t>万元</t>
    </r>
  </si>
  <si>
    <r>
      <rPr>
        <b/>
        <sz val="10"/>
        <color indexed="8"/>
        <rFont val="宋体"/>
        <charset val="134"/>
      </rPr>
      <t>该控制缺陷为</t>
    </r>
    <r>
      <rPr>
        <b/>
        <sz val="10"/>
        <color indexed="10"/>
        <rFont val="宋体"/>
        <charset val="134"/>
      </rPr>
      <t>重大缺陷</t>
    </r>
    <r>
      <rPr>
        <b/>
        <sz val="10"/>
        <color indexed="8"/>
        <rFont val="宋体"/>
        <charset val="134"/>
      </rPr>
      <t>。</t>
    </r>
  </si>
  <si>
    <r>
      <rPr>
        <sz val="10"/>
        <color rgb="FF0000E1"/>
        <rFont val="宋体"/>
        <charset val="134"/>
      </rPr>
      <t>控制缺陷包括为应对技术基础设施、安全管理或技术引进、开发和维护</t>
    </r>
    <r>
      <rPr>
        <sz val="10"/>
        <color rgb="FF0000E1"/>
        <rFont val="Arial Narrow"/>
        <charset val="134"/>
      </rPr>
      <t>(QRG 3 – 35C)</t>
    </r>
    <r>
      <rPr>
        <sz val="10"/>
        <color rgb="FF0000E1"/>
        <rFont val="宋体"/>
        <charset val="134"/>
      </rPr>
      <t>的</t>
    </r>
    <r>
      <rPr>
        <sz val="10"/>
        <color rgb="FF0000E1"/>
        <rFont val="Arial Narrow"/>
        <charset val="134"/>
      </rPr>
      <t>IT</t>
    </r>
    <r>
      <rPr>
        <sz val="10"/>
        <color rgb="FF0000E1"/>
        <rFont val="宋体"/>
        <charset val="134"/>
      </rPr>
      <t>一般控制缺失或无效。控制缺陷可能也与职责分离相关。</t>
    </r>
    <r>
      <rPr>
        <sz val="10"/>
        <color rgb="FF0000E1"/>
        <rFont val="Arial Narrow"/>
        <charset val="134"/>
      </rPr>
      <t xml:space="preserve">
</t>
    </r>
    <r>
      <rPr>
        <sz val="10"/>
        <color rgb="FF0000E1"/>
        <rFont val="宋体"/>
        <charset val="134"/>
      </rPr>
      <t>与</t>
    </r>
    <r>
      <rPr>
        <sz val="10"/>
        <color rgb="FF0000E1"/>
        <rFont val="Arial Narrow"/>
        <charset val="134"/>
      </rPr>
      <t>IT</t>
    </r>
    <r>
      <rPr>
        <sz val="10"/>
        <color rgb="FF0000E1"/>
        <rFont val="宋体"/>
        <charset val="134"/>
      </rPr>
      <t>相关的职责分离通常涉及将授权和审批、设计和开发、复核和检查以及执行职责分离。此外，当承担</t>
    </r>
    <r>
      <rPr>
        <sz val="10"/>
        <color rgb="FF0000E1"/>
        <rFont val="Arial Narrow"/>
        <charset val="134"/>
      </rPr>
      <t>IT</t>
    </r>
    <r>
      <rPr>
        <sz val="10"/>
        <color rgb="FF0000E1"/>
        <rFont val="宋体"/>
        <charset val="134"/>
      </rPr>
      <t>相关职责的人员同时也在被审计单位的业务流程或被审计单位的财务报告流程中也担任角色时（即，有能力生成、记录、处理或报告被审计单位的交易、事项或情况或维护相关资产、负债或权益的会计责任的人员），也存在职责分离问题。</t>
    </r>
  </si>
  <si>
    <r>
      <rPr>
        <sz val="10"/>
        <color rgb="FF0000E1"/>
        <rFont val="宋体"/>
        <charset val="134"/>
      </rPr>
      <t>在</t>
    </r>
    <r>
      <rPr>
        <sz val="10"/>
        <color rgb="FF0000E1"/>
        <rFont val="Arial Narrow"/>
        <charset val="134"/>
      </rPr>
      <t>IT</t>
    </r>
    <r>
      <rPr>
        <sz val="10"/>
        <color rgb="FF0000E1"/>
        <rFont val="宋体"/>
        <charset val="134"/>
      </rPr>
      <t>一般控制中识别出的为应对因使用信息技术导致的风险的值得关注的缺陷将影响计划信赖控制的程度</t>
    </r>
    <r>
      <rPr>
        <sz val="10"/>
        <color rgb="FF0000E1"/>
        <rFont val="Arial Narrow"/>
        <charset val="134"/>
      </rPr>
      <t>(QRG 3 – 36A)</t>
    </r>
    <r>
      <rPr>
        <sz val="10"/>
        <color rgb="FF0000E1"/>
        <rFont val="宋体"/>
        <charset val="134"/>
      </rPr>
      <t>。</t>
    </r>
  </si>
  <si>
    <r>
      <rPr>
        <sz val="10"/>
        <color rgb="FF0000E1"/>
        <rFont val="宋体"/>
        <charset val="134"/>
      </rPr>
      <t>下列情况可能表明存在</t>
    </r>
    <r>
      <rPr>
        <sz val="10"/>
        <color rgb="FF0000E1"/>
        <rFont val="Arial Narrow"/>
        <charset val="134"/>
      </rPr>
      <t>IT</t>
    </r>
    <r>
      <rPr>
        <sz val="10"/>
        <color rgb="FF0000E1"/>
        <rFont val="宋体"/>
        <charset val="134"/>
      </rPr>
      <t>一般控制值得关注的缺陷：</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对</t>
    </r>
    <r>
      <rPr>
        <sz val="10"/>
        <color rgb="FF0000E1"/>
        <rFont val="Arial Narrow"/>
        <charset val="134"/>
      </rPr>
      <t>IT</t>
    </r>
    <r>
      <rPr>
        <sz val="10"/>
        <color rgb="FF0000E1"/>
        <rFont val="宋体"/>
        <charset val="134"/>
      </rPr>
      <t>系统的变更要求未经批准；</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对</t>
    </r>
    <r>
      <rPr>
        <sz val="10"/>
        <color rgb="FF0000E1"/>
        <rFont val="Arial Narrow"/>
        <charset val="134"/>
      </rPr>
      <t>IT</t>
    </r>
    <r>
      <rPr>
        <sz val="10"/>
        <color rgb="FF0000E1"/>
        <rFont val="宋体"/>
        <charset val="134"/>
      </rPr>
      <t>系统的变更在执行前未经测试和批准；</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在变更过程中未执行数据转换测试；</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未恰当配置电脑以防止不适当的用户访问个人系统；</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正式用户账户建立和维护程序尚未建立以要求、建立、发布、暂停、变更和删除用户账户；</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未使用用户和组文档控制数据访问权限；</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对编码、数据、配置和相关要素的访问未限制给适当的</t>
    </r>
    <r>
      <rPr>
        <sz val="10"/>
        <color rgb="FF0000E1"/>
        <rFont val="Arial Narrow"/>
        <charset val="134"/>
      </rPr>
      <t>IT</t>
    </r>
    <r>
      <rPr>
        <sz val="10"/>
        <color rgb="FF0000E1"/>
        <rFont val="宋体"/>
        <charset val="134"/>
      </rPr>
      <t>人员；</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职责分离问题；</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未经授权的访问企图未被记录和调查；</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系统管理特权未限制给适当的个人；</t>
    </r>
    <r>
      <rPr>
        <sz val="10"/>
        <color rgb="FF0000E1"/>
        <rFont val="Arial Narrow"/>
        <charset val="134"/>
      </rPr>
      <t xml:space="preserve"> 
</t>
    </r>
    <r>
      <rPr>
        <sz val="10"/>
        <color rgb="FF0000E1"/>
        <rFont val="Wingdings 2"/>
        <charset val="2"/>
      </rPr>
      <t></t>
    </r>
    <r>
      <rPr>
        <sz val="10"/>
        <color rgb="FF0000E1"/>
        <rFont val="Arial Narrow"/>
        <charset val="134"/>
      </rPr>
      <t xml:space="preserve"> </t>
    </r>
    <r>
      <rPr>
        <sz val="10"/>
        <color rgb="FF0000E1"/>
        <rFont val="宋体"/>
        <charset val="134"/>
      </rPr>
      <t>外部访问不包括有限的访问时点或采用安全传输协定（例如，</t>
    </r>
    <r>
      <rPr>
        <sz val="10"/>
        <color rgb="FF0000E1"/>
        <rFont val="Arial Narrow"/>
        <charset val="134"/>
      </rPr>
      <t>VPN</t>
    </r>
    <r>
      <rPr>
        <sz val="10"/>
        <color rgb="FF0000E1"/>
        <rFont val="宋体"/>
        <charset val="134"/>
      </rPr>
      <t>，</t>
    </r>
    <r>
      <rPr>
        <sz val="10"/>
        <color rgb="FF0000E1"/>
        <rFont val="Arial Narrow"/>
        <charset val="134"/>
      </rPr>
      <t>https</t>
    </r>
    <r>
      <rPr>
        <sz val="10"/>
        <color rgb="FF0000E1"/>
        <rFont val="宋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</si>
</sst>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2]* #,##0.00_);_([$€-2]* \(#,##0.00\);_([$€-2]* &quot;-&quot;??_)"/>
  </numFmts>
  <fonts count="76">
    <font>
      <sz val="11"/>
      <color theme="1"/>
      <name val="宋体"/>
      <charset val="134"/>
      <scheme val="minor"/>
    </font>
    <font>
      <sz val="10"/>
      <color rgb="FF0000E1"/>
      <name val="Arial Narrow"/>
      <charset val="134"/>
    </font>
    <font>
      <sz val="10"/>
      <color theme="1"/>
      <name val="Arial Narrow"/>
      <charset val="134"/>
    </font>
    <font>
      <sz val="10"/>
      <name val="Arial Narrow"/>
      <charset val="134"/>
    </font>
    <font>
      <b/>
      <sz val="10"/>
      <name val="宋体"/>
      <charset val="134"/>
    </font>
    <font>
      <b/>
      <sz val="10"/>
      <name val="Arial Narrow"/>
      <charset val="134"/>
    </font>
    <font>
      <sz val="10"/>
      <name val="宋体"/>
      <charset val="134"/>
    </font>
    <font>
      <sz val="10"/>
      <color theme="1"/>
      <name val="宋体"/>
      <charset val="134"/>
    </font>
    <font>
      <b/>
      <sz val="10"/>
      <color indexed="8"/>
      <name val="宋体"/>
      <charset val="134"/>
    </font>
    <font>
      <b/>
      <sz val="10"/>
      <color theme="1"/>
      <name val="宋体"/>
      <charset val="134"/>
    </font>
    <font>
      <b/>
      <sz val="10"/>
      <color theme="1"/>
      <name val="Arial Narrow"/>
      <charset val="134"/>
    </font>
    <font>
      <sz val="10"/>
      <color rgb="FF000000"/>
      <name val="Arial Narrow"/>
      <charset val="134"/>
    </font>
    <font>
      <sz val="10"/>
      <color rgb="FF000000"/>
      <name val="宋体"/>
      <charset val="134"/>
    </font>
    <font>
      <sz val="10"/>
      <color indexed="8"/>
      <name val="宋体"/>
      <charset val="134"/>
    </font>
    <font>
      <sz val="10"/>
      <color indexed="8"/>
      <name val="Arial Narrow"/>
      <charset val="134"/>
    </font>
    <font>
      <b/>
      <sz val="10"/>
      <color indexed="8"/>
      <name val="Arial Narrow"/>
      <charset val="134"/>
    </font>
    <font>
      <sz val="10"/>
      <color rgb="FF0000FF"/>
      <name val="Arial Narrow"/>
      <charset val="134"/>
    </font>
    <font>
      <i/>
      <sz val="10"/>
      <color rgb="FF0000FF"/>
      <name val="宋体"/>
      <charset val="134"/>
    </font>
    <font>
      <b/>
      <sz val="12"/>
      <name val="宋体"/>
      <charset val="134"/>
    </font>
    <font>
      <b/>
      <sz val="12"/>
      <name val="Arial Narrow"/>
      <charset val="134"/>
    </font>
    <font>
      <b/>
      <sz val="10"/>
      <color rgb="FF0000FF"/>
      <name val="宋体"/>
      <charset val="134"/>
    </font>
    <font>
      <sz val="10"/>
      <color indexed="12"/>
      <name val="Arial Narrow"/>
      <charset val="134"/>
    </font>
    <font>
      <b/>
      <sz val="10"/>
      <color indexed="12"/>
      <name val="Arial Narrow"/>
      <charset val="134"/>
    </font>
    <font>
      <sz val="10"/>
      <color rgb="FF0000CC"/>
      <name val="Arial Narrow"/>
      <charset val="134"/>
    </font>
    <font>
      <sz val="12"/>
      <name val="Arial Narrow"/>
      <charset val="134"/>
    </font>
    <font>
      <sz val="11"/>
      <color theme="1"/>
      <name val="Arial Narrow"/>
      <charset val="134"/>
    </font>
    <font>
      <b/>
      <sz val="10"/>
      <color rgb="FF000000"/>
      <name val="宋体"/>
      <charset val="134"/>
    </font>
    <font>
      <i/>
      <sz val="10"/>
      <color rgb="FFFF0000"/>
      <name val="Arial Narrow"/>
      <charset val="134"/>
    </font>
    <font>
      <i/>
      <sz val="10"/>
      <color rgb="FFFF0000"/>
      <name val="宋体"/>
      <charset val="134"/>
    </font>
    <font>
      <sz val="10"/>
      <color rgb="FFFF0000"/>
      <name val="Arial Narrow"/>
      <charset val="134"/>
    </font>
    <font>
      <sz val="10"/>
      <color rgb="FF0000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7"/>
      <name val="Helv"/>
      <charset val="134"/>
    </font>
    <font>
      <b/>
      <sz val="10"/>
      <name val="MS Sans Serif"/>
      <charset val="134"/>
    </font>
    <font>
      <u/>
      <sz val="7.5"/>
      <color indexed="36"/>
      <name val="Arial"/>
      <charset val="134"/>
    </font>
    <font>
      <sz val="8"/>
      <name val="Arial"/>
      <charset val="134"/>
    </font>
    <font>
      <u/>
      <sz val="7.5"/>
      <color indexed="12"/>
      <name val="Arial"/>
      <charset val="134"/>
    </font>
    <font>
      <sz val="12"/>
      <name val="宋体"/>
      <charset val="134"/>
    </font>
    <font>
      <sz val="10"/>
      <name val="Courier"/>
      <charset val="134"/>
    </font>
    <font>
      <sz val="12"/>
      <name val="Garamond"/>
      <charset val="134"/>
    </font>
    <font>
      <sz val="7"/>
      <color indexed="10"/>
      <name val="Helv"/>
      <charset val="134"/>
    </font>
    <font>
      <sz val="12"/>
      <name val="Times New Roman"/>
      <charset val="134"/>
    </font>
    <font>
      <u/>
      <sz val="12"/>
      <color indexed="12"/>
      <name val="宋体"/>
      <charset val="134"/>
    </font>
    <font>
      <u/>
      <sz val="10"/>
      <color indexed="12"/>
      <name val="Arial"/>
      <charset val="134"/>
    </font>
    <font>
      <sz val="12"/>
      <name val="楷体_GB2312"/>
      <charset val="134"/>
    </font>
    <font>
      <sz val="10"/>
      <color indexed="8"/>
      <name val="Arial"/>
      <charset val="134"/>
    </font>
    <font>
      <sz val="10"/>
      <color indexed="12"/>
      <name val="宋体"/>
      <charset val="134"/>
    </font>
    <font>
      <b/>
      <sz val="10"/>
      <color indexed="10"/>
      <name val="宋体"/>
      <charset val="134"/>
    </font>
    <font>
      <b/>
      <sz val="10"/>
      <color indexed="12"/>
      <name val="宋体"/>
      <charset val="134"/>
    </font>
    <font>
      <b/>
      <sz val="10"/>
      <color indexed="10"/>
      <name val="Arial Narrow"/>
      <charset val="134"/>
    </font>
    <font>
      <b/>
      <sz val="10"/>
      <color rgb="FF0000FF"/>
      <name val="Arial Narrow"/>
      <charset val="134"/>
    </font>
    <font>
      <sz val="10"/>
      <color rgb="FF0000E1"/>
      <name val="宋体"/>
      <charset val="134"/>
    </font>
    <font>
      <sz val="10"/>
      <color rgb="FF0000E1"/>
      <name val="Wingdings 2"/>
      <charset val="2"/>
    </font>
    <font>
      <i/>
      <sz val="10"/>
      <color rgb="FF0000FF"/>
      <name val="Arial Narrow"/>
      <charset val="134"/>
    </font>
    <font>
      <sz val="9"/>
      <name val="宋体"/>
      <charset val="134"/>
    </font>
    <font>
      <sz val="10"/>
      <name val="宋体"/>
      <charset val="134"/>
    </font>
    <font>
      <b/>
      <sz val="9"/>
      <name val="宋体"/>
      <charset val="134"/>
    </font>
  </fonts>
  <fills count="38">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theme="7"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26">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style="hair">
        <color auto="1"/>
      </bottom>
      <diagonal/>
    </border>
    <border>
      <left style="hair">
        <color rgb="FF000000"/>
      </left>
      <right style="hair">
        <color rgb="FF000000"/>
      </right>
      <top style="hair">
        <color rgb="FF000000"/>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style="thin">
        <color auto="1"/>
      </left>
      <right style="thin">
        <color auto="1"/>
      </right>
      <top style="thin">
        <color auto="1"/>
      </top>
      <bottom style="thin">
        <color auto="1"/>
      </bottom>
      <diagonal/>
    </border>
  </borders>
  <cellStyleXfs count="8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5" borderId="16"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7" applyNumberFormat="0" applyFill="0" applyAlignment="0" applyProtection="0">
      <alignment vertical="center"/>
    </xf>
    <xf numFmtId="0" fontId="37" fillId="0" borderId="17" applyNumberFormat="0" applyFill="0" applyAlignment="0" applyProtection="0">
      <alignment vertical="center"/>
    </xf>
    <xf numFmtId="0" fontId="38" fillId="0" borderId="18" applyNumberFormat="0" applyFill="0" applyAlignment="0" applyProtection="0">
      <alignment vertical="center"/>
    </xf>
    <xf numFmtId="0" fontId="38" fillId="0" borderId="0" applyNumberFormat="0" applyFill="0" applyBorder="0" applyAlignment="0" applyProtection="0">
      <alignment vertical="center"/>
    </xf>
    <xf numFmtId="0" fontId="39" fillId="6" borderId="19" applyNumberFormat="0" applyAlignment="0" applyProtection="0">
      <alignment vertical="center"/>
    </xf>
    <xf numFmtId="0" fontId="40" fillId="7" borderId="20" applyNumberFormat="0" applyAlignment="0" applyProtection="0">
      <alignment vertical="center"/>
    </xf>
    <xf numFmtId="0" fontId="41" fillId="7" borderId="19" applyNumberFormat="0" applyAlignment="0" applyProtection="0">
      <alignment vertical="center"/>
    </xf>
    <xf numFmtId="0" fontId="42" fillId="8" borderId="21" applyNumberFormat="0" applyAlignment="0" applyProtection="0">
      <alignment vertical="center"/>
    </xf>
    <xf numFmtId="0" fontId="43" fillId="0" borderId="22" applyNumberFormat="0" applyFill="0" applyAlignment="0" applyProtection="0">
      <alignment vertical="center"/>
    </xf>
    <xf numFmtId="0" fontId="44" fillId="0" borderId="23" applyNumberFormat="0" applyFill="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8" fillId="12"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49"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48" fillId="35" borderId="0" applyNumberFormat="0" applyBorder="0" applyAlignment="0" applyProtection="0">
      <alignment vertical="center"/>
    </xf>
    <xf numFmtId="0" fontId="50" fillId="0" borderId="0"/>
    <xf numFmtId="3" fontId="51" fillId="0" borderId="0"/>
    <xf numFmtId="176" fontId="52" fillId="0" borderId="24" applyAlignment="0" applyProtection="0"/>
    <xf numFmtId="177"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178" fontId="50" fillId="0" borderId="0" applyFont="0" applyFill="0" applyBorder="0" applyAlignment="0" applyProtection="0"/>
    <xf numFmtId="179" fontId="50" fillId="0" borderId="0" applyFont="0" applyFill="0" applyBorder="0" applyAlignment="0" applyProtection="0"/>
    <xf numFmtId="180" fontId="50" fillId="0" borderId="0" applyFont="0" applyFill="0" applyBorder="0" applyAlignment="0" applyProtection="0"/>
    <xf numFmtId="41" fontId="50" fillId="0" borderId="0" applyFont="0" applyFill="0" applyBorder="0" applyAlignment="0" applyProtection="0"/>
    <xf numFmtId="43" fontId="50" fillId="0" borderId="0" applyFont="0" applyFill="0" applyBorder="0" applyAlignment="0" applyProtection="0"/>
    <xf numFmtId="0" fontId="53" fillId="0" borderId="0" applyNumberFormat="0" applyFill="0" applyBorder="0" applyAlignment="0" applyProtection="0">
      <alignment vertical="top"/>
      <protection locked="0"/>
    </xf>
    <xf numFmtId="38" fontId="54" fillId="36" borderId="0" applyNumberFormat="0" applyBorder="0" applyAlignment="0" applyProtection="0"/>
    <xf numFmtId="0" fontId="55" fillId="0" borderId="0" applyNumberFormat="0" applyFill="0" applyBorder="0" applyAlignment="0" applyProtection="0">
      <alignment vertical="top"/>
      <protection locked="0"/>
    </xf>
    <xf numFmtId="10" fontId="54" fillId="37" borderId="25" applyNumberFormat="0" applyBorder="0" applyAlignment="0" applyProtection="0"/>
    <xf numFmtId="181" fontId="56" fillId="0" borderId="0" applyFont="0" applyFill="0" applyBorder="0" applyAlignment="0" applyProtection="0"/>
    <xf numFmtId="182" fontId="56" fillId="0" borderId="0" applyFont="0" applyFill="0" applyBorder="0" applyAlignment="0" applyProtection="0"/>
    <xf numFmtId="0" fontId="57" fillId="0" borderId="0"/>
    <xf numFmtId="183" fontId="56" fillId="0" borderId="0"/>
    <xf numFmtId="0" fontId="50" fillId="0" borderId="0"/>
    <xf numFmtId="0" fontId="58" fillId="0" borderId="0"/>
    <xf numFmtId="10" fontId="50" fillId="0" borderId="0" applyFont="0" applyFill="0" applyBorder="0" applyAlignment="0" applyProtection="0"/>
    <xf numFmtId="3" fontId="59" fillId="0" borderId="0"/>
    <xf numFmtId="0" fontId="56" fillId="0" borderId="0">
      <protection locked="0"/>
    </xf>
    <xf numFmtId="184" fontId="0" fillId="0" borderId="0">
      <alignment vertical="center"/>
    </xf>
    <xf numFmtId="0" fontId="60" fillId="0" borderId="0"/>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56" fillId="0" borderId="0"/>
    <xf numFmtId="41" fontId="56" fillId="0" borderId="0" applyFont="0" applyFill="0" applyBorder="0" applyAlignment="0" applyProtection="0"/>
    <xf numFmtId="43" fontId="56" fillId="0" borderId="0" applyFont="0" applyFill="0" applyBorder="0" applyAlignment="0" applyProtection="0"/>
    <xf numFmtId="41" fontId="63" fillId="0" borderId="0" applyFont="0" applyFill="0" applyBorder="0" applyAlignment="0" applyProtection="0"/>
    <xf numFmtId="43" fontId="63" fillId="0" borderId="0" applyFont="0" applyFill="0" applyBorder="0" applyAlignment="0" applyProtection="0"/>
    <xf numFmtId="43" fontId="50" fillId="0" borderId="0" applyFont="0" applyFill="0" applyBorder="0" applyAlignment="0" applyProtection="0"/>
    <xf numFmtId="0" fontId="64" fillId="0" borderId="0">
      <alignment vertical="top"/>
    </xf>
  </cellStyleXfs>
  <cellXfs count="137">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3" fillId="2" borderId="0" xfId="0" applyFont="1" applyFill="1">
      <alignment vertical="center"/>
    </xf>
    <xf numFmtId="0" fontId="2" fillId="0" borderId="0" xfId="0" applyFont="1">
      <alignment vertical="center"/>
    </xf>
    <xf numFmtId="0" fontId="4" fillId="2" borderId="0" xfId="75" applyFont="1" applyFill="1" applyAlignment="1">
      <alignment horizontal="center" vertical="center"/>
    </xf>
    <xf numFmtId="0" fontId="5" fillId="2" borderId="0" xfId="75" applyFont="1" applyFill="1" applyAlignment="1">
      <alignment horizontal="center" vertical="center"/>
    </xf>
    <xf numFmtId="0" fontId="4" fillId="2" borderId="0" xfId="0" applyFont="1" applyFill="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6" fillId="2" borderId="0" xfId="0" applyFont="1" applyFill="1" applyAlignment="1" applyProtection="1">
      <alignment horizontal="left" vertical="center"/>
      <protection locked="0"/>
    </xf>
    <xf numFmtId="0" fontId="3" fillId="2" borderId="0" xfId="0" applyFont="1" applyFill="1" applyAlignment="1" applyProtection="1">
      <alignment horizontal="left" vertical="center"/>
      <protection locked="0"/>
    </xf>
    <xf numFmtId="0" fontId="6" fillId="2" borderId="0" xfId="0" applyFont="1" applyFill="1" applyAlignment="1" applyProtection="1">
      <alignment horizontal="right" vertical="center"/>
      <protection locked="0"/>
    </xf>
    <xf numFmtId="0" fontId="7" fillId="0" borderId="0" xfId="0" applyFont="1" applyAlignment="1">
      <alignment horizontal="right" vertical="center"/>
    </xf>
    <xf numFmtId="0" fontId="4" fillId="2" borderId="0" xfId="0" applyFont="1" applyFill="1" applyAlignment="1" applyProtection="1">
      <alignment horizontal="left" vertical="center"/>
      <protection locked="0"/>
    </xf>
    <xf numFmtId="0" fontId="2" fillId="2" borderId="0" xfId="0" applyFont="1" applyFill="1" applyAlignment="1">
      <alignment horizontal="left" vertical="center"/>
    </xf>
    <xf numFmtId="0" fontId="6" fillId="0" borderId="1" xfId="0" applyFont="1" applyBorder="1" applyAlignment="1" applyProtection="1">
      <alignment horizontal="left" vertical="center" wrapText="1"/>
      <protection locked="0"/>
    </xf>
    <xf numFmtId="0" fontId="4" fillId="0" borderId="2" xfId="0" applyFont="1" applyBorder="1" applyAlignment="1" applyProtection="1">
      <alignment horizontal="left" vertical="center"/>
      <protection locked="0"/>
    </xf>
    <xf numFmtId="0" fontId="4" fillId="0" borderId="3" xfId="0" applyFont="1" applyBorder="1" applyAlignment="1" applyProtection="1">
      <alignment horizontal="left" vertical="center"/>
      <protection locked="0"/>
    </xf>
    <xf numFmtId="0" fontId="4" fillId="0" borderId="4" xfId="0" applyFont="1" applyBorder="1" applyAlignment="1" applyProtection="1">
      <alignment horizontal="left" vertical="center"/>
      <protection locked="0"/>
    </xf>
    <xf numFmtId="0" fontId="4" fillId="0" borderId="0" xfId="0" applyFont="1" applyAlignment="1" applyProtection="1">
      <alignment horizontal="left" vertical="center"/>
      <protection locked="0"/>
    </xf>
    <xf numFmtId="0" fontId="4" fillId="0" borderId="5"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7"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8" fillId="3" borderId="9" xfId="0" applyFont="1" applyFill="1" applyBorder="1" applyAlignment="1">
      <alignment horizontal="center" vertical="center"/>
    </xf>
    <xf numFmtId="0" fontId="9" fillId="3" borderId="10" xfId="0" applyFont="1" applyFill="1" applyBorder="1" applyAlignment="1">
      <alignment horizontal="center" vertical="center" wrapText="1"/>
    </xf>
    <xf numFmtId="0" fontId="8"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1" fillId="0" borderId="1" xfId="0" applyFont="1" applyBorder="1" applyAlignment="1">
      <alignment horizontal="left" vertical="center" wrapText="1"/>
    </xf>
    <xf numFmtId="0" fontId="7" fillId="0" borderId="12" xfId="0" applyFont="1" applyBorder="1" applyAlignment="1">
      <alignment horizontal="center" vertical="center" wrapText="1"/>
    </xf>
    <xf numFmtId="0" fontId="2" fillId="0" borderId="3" xfId="0" applyFont="1" applyBorder="1" applyAlignment="1">
      <alignment horizontal="center" vertical="center" wrapText="1"/>
    </xf>
    <xf numFmtId="0" fontId="1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horizontal="left"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0" fontId="13" fillId="0" borderId="6" xfId="0" applyFont="1" applyBorder="1" applyAlignment="1">
      <alignment horizontal="left" vertical="center" wrapText="1"/>
    </xf>
    <xf numFmtId="0" fontId="2" fillId="0" borderId="8" xfId="0" applyFont="1" applyBorder="1" applyAlignment="1">
      <alignment horizontal="left" vertical="center" wrapText="1"/>
    </xf>
    <xf numFmtId="0" fontId="2" fillId="0" borderId="13" xfId="0" applyFont="1" applyBorder="1" applyAlignment="1">
      <alignment horizontal="left" vertical="center" wrapText="1"/>
    </xf>
    <xf numFmtId="0" fontId="7" fillId="0" borderId="1" xfId="0" applyFont="1" applyBorder="1" applyAlignment="1">
      <alignment horizontal="left" vertical="center" wrapText="1"/>
    </xf>
    <xf numFmtId="0" fontId="13" fillId="0" borderId="12" xfId="0" applyFont="1" applyBorder="1" applyAlignment="1">
      <alignment horizontal="left" vertical="center" wrapText="1"/>
    </xf>
    <xf numFmtId="0" fontId="7" fillId="0" borderId="13" xfId="0" applyFont="1" applyBorder="1" applyAlignment="1">
      <alignment horizontal="left" vertical="center" wrapText="1"/>
    </xf>
    <xf numFmtId="0" fontId="14" fillId="0" borderId="1" xfId="0" applyFont="1" applyBorder="1" applyAlignment="1">
      <alignment horizontal="left" vertical="center" wrapText="1"/>
    </xf>
    <xf numFmtId="0" fontId="2" fillId="0" borderId="12" xfId="0" applyFont="1" applyBorder="1" applyAlignment="1">
      <alignment horizontal="center" vertical="center" wrapText="1"/>
    </xf>
    <xf numFmtId="0" fontId="2" fillId="0" borderId="1" xfId="0" applyFont="1" applyBorder="1" applyAlignment="1">
      <alignment horizontal="left" vertical="center" wrapText="1"/>
    </xf>
    <xf numFmtId="0" fontId="14" fillId="0" borderId="6" xfId="0" applyFont="1" applyBorder="1" applyAlignment="1">
      <alignment horizontal="left" vertical="center" wrapText="1"/>
    </xf>
    <xf numFmtId="0" fontId="3" fillId="0" borderId="8" xfId="0" applyFont="1" applyBorder="1" applyAlignment="1">
      <alignment horizontal="left" vertical="center" wrapText="1"/>
    </xf>
    <xf numFmtId="0" fontId="8" fillId="0" borderId="1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1" xfId="0" applyFont="1" applyBorder="1" applyAlignment="1">
      <alignment horizontal="center" vertical="center" wrapText="1"/>
    </xf>
    <xf numFmtId="0" fontId="8" fillId="0" borderId="9" xfId="0" applyFont="1" applyBorder="1" applyAlignment="1">
      <alignment horizontal="left" vertical="center" wrapText="1"/>
    </xf>
    <xf numFmtId="0" fontId="5" fillId="0" borderId="3" xfId="0" applyFont="1" applyBorder="1" applyAlignment="1" applyProtection="1">
      <alignment horizontal="left" vertical="center"/>
      <protection locked="0"/>
    </xf>
    <xf numFmtId="0" fontId="5" fillId="0" borderId="8" xfId="0" applyFont="1" applyBorder="1" applyAlignment="1" applyProtection="1">
      <alignment horizontal="left" vertical="center"/>
      <protection locked="0"/>
    </xf>
    <xf numFmtId="0" fontId="15" fillId="3" borderId="9" xfId="0" applyFont="1" applyFill="1" applyBorder="1" applyAlignment="1">
      <alignment horizontal="center" vertical="center"/>
    </xf>
    <xf numFmtId="0" fontId="15" fillId="0" borderId="9" xfId="0" applyFont="1" applyBorder="1" applyAlignment="1">
      <alignment horizontal="left" vertical="center" wrapText="1"/>
    </xf>
    <xf numFmtId="0" fontId="3" fillId="0" borderId="0" xfId="0" applyFont="1">
      <alignment vertical="center"/>
    </xf>
    <xf numFmtId="0" fontId="9" fillId="3" borderId="9" xfId="0" applyFont="1" applyFill="1" applyBorder="1" applyAlignment="1">
      <alignment horizontal="center" vertical="center"/>
    </xf>
    <xf numFmtId="0" fontId="10" fillId="3" borderId="9" xfId="0" applyFont="1" applyFill="1" applyBorder="1" applyAlignment="1">
      <alignment horizontal="center" vertical="center"/>
    </xf>
    <xf numFmtId="0" fontId="2" fillId="2" borderId="9" xfId="0" applyFont="1" applyFill="1" applyBorder="1" applyAlignment="1">
      <alignment horizontal="justify" vertical="center" wrapText="1"/>
    </xf>
    <xf numFmtId="0" fontId="2" fillId="2" borderId="9" xfId="0" applyFont="1" applyFill="1" applyBorder="1" applyAlignment="1">
      <alignment horizontal="center" vertical="center" wrapText="1"/>
    </xf>
    <xf numFmtId="0" fontId="11" fillId="2" borderId="9" xfId="0" applyFont="1" applyFill="1" applyBorder="1" applyAlignment="1">
      <alignment horizontal="justify" vertical="center" wrapText="1"/>
    </xf>
    <xf numFmtId="0" fontId="16" fillId="2" borderId="9" xfId="0" applyFont="1" applyFill="1" applyBorder="1" applyAlignment="1">
      <alignment horizontal="justify" vertical="center" wrapText="1"/>
    </xf>
    <xf numFmtId="0" fontId="7" fillId="2" borderId="0" xfId="0" applyFont="1" applyFill="1">
      <alignment vertical="center"/>
    </xf>
    <xf numFmtId="0" fontId="10" fillId="3" borderId="9" xfId="0" applyFont="1" applyFill="1" applyBorder="1" applyAlignment="1">
      <alignment horizontal="center" vertical="center" wrapText="1"/>
    </xf>
    <xf numFmtId="49" fontId="17" fillId="2" borderId="1" xfId="0" applyNumberFormat="1" applyFont="1" applyFill="1" applyBorder="1" applyAlignment="1">
      <alignment horizontal="left" vertical="top" wrapText="1"/>
    </xf>
    <xf numFmtId="49" fontId="17" fillId="2" borderId="2" xfId="0" applyNumberFormat="1" applyFont="1" applyFill="1" applyBorder="1" applyAlignment="1">
      <alignment horizontal="left" vertical="top" wrapText="1"/>
    </xf>
    <xf numFmtId="49" fontId="17" fillId="2" borderId="3" xfId="0" applyNumberFormat="1" applyFont="1" applyFill="1" applyBorder="1" applyAlignment="1">
      <alignment horizontal="left" vertical="top" wrapText="1"/>
    </xf>
    <xf numFmtId="49" fontId="17" fillId="2" borderId="4" xfId="0" applyNumberFormat="1" applyFont="1" applyFill="1" applyBorder="1" applyAlignment="1">
      <alignment horizontal="left" vertical="top" wrapText="1"/>
    </xf>
    <xf numFmtId="49" fontId="17" fillId="2" borderId="0" xfId="0" applyNumberFormat="1" applyFont="1" applyFill="1" applyBorder="1" applyAlignment="1">
      <alignment horizontal="left" vertical="top" wrapText="1"/>
    </xf>
    <xf numFmtId="49" fontId="17" fillId="2" borderId="5" xfId="0" applyNumberFormat="1" applyFont="1" applyFill="1" applyBorder="1" applyAlignment="1">
      <alignment horizontal="left" vertical="top" wrapText="1"/>
    </xf>
    <xf numFmtId="49" fontId="17" fillId="2" borderId="6" xfId="0" applyNumberFormat="1" applyFont="1" applyFill="1" applyBorder="1" applyAlignment="1">
      <alignment horizontal="left" vertical="top" wrapText="1"/>
    </xf>
    <xf numFmtId="49" fontId="17" fillId="2" borderId="7" xfId="0" applyNumberFormat="1" applyFont="1" applyFill="1" applyBorder="1" applyAlignment="1">
      <alignment horizontal="left" vertical="top" wrapText="1"/>
    </xf>
    <xf numFmtId="49" fontId="17" fillId="2" borderId="8" xfId="0" applyNumberFormat="1" applyFont="1" applyFill="1" applyBorder="1" applyAlignment="1">
      <alignment horizontal="left" vertical="top" wrapText="1"/>
    </xf>
    <xf numFmtId="0" fontId="2" fillId="0" borderId="0" xfId="0" applyFont="1" applyAlignment="1">
      <alignment vertical="top"/>
    </xf>
    <xf numFmtId="0" fontId="18" fillId="2" borderId="0" xfId="75" applyFont="1" applyFill="1" applyAlignment="1">
      <alignment horizontal="center" vertical="center"/>
    </xf>
    <xf numFmtId="0" fontId="19" fillId="2" borderId="0" xfId="75" applyFont="1" applyFill="1" applyAlignment="1">
      <alignment horizontal="center" vertical="center"/>
    </xf>
    <xf numFmtId="0" fontId="19" fillId="2" borderId="0" xfId="0" applyFont="1" applyFill="1" applyAlignment="1" applyProtection="1">
      <alignment horizontal="center" vertical="center"/>
      <protection locked="0"/>
    </xf>
    <xf numFmtId="0" fontId="3" fillId="2" borderId="0" xfId="0" applyFont="1" applyFill="1" applyAlignment="1" applyProtection="1">
      <alignment horizontal="right" vertical="center"/>
      <protection locked="0"/>
    </xf>
    <xf numFmtId="0" fontId="14" fillId="2" borderId="0" xfId="73" applyFont="1" applyFill="1" applyAlignment="1" applyProtection="1">
      <alignment horizontal="left" vertical="center"/>
    </xf>
    <xf numFmtId="0" fontId="5" fillId="2" borderId="0" xfId="0" applyFont="1" applyFill="1" applyAlignment="1" applyProtection="1">
      <alignment horizontal="left" vertical="center"/>
      <protection locked="0"/>
    </xf>
    <xf numFmtId="0" fontId="2" fillId="0" borderId="0" xfId="0" applyFont="1" applyAlignment="1">
      <alignment horizontal="left" vertical="center"/>
    </xf>
    <xf numFmtId="0" fontId="5" fillId="2" borderId="1" xfId="0" applyFont="1" applyFill="1" applyBorder="1" applyAlignment="1" applyProtection="1">
      <alignment horizontal="left" vertical="top"/>
      <protection locked="0"/>
    </xf>
    <xf numFmtId="0" fontId="5" fillId="2" borderId="2" xfId="0" applyFont="1" applyFill="1" applyBorder="1" applyAlignment="1" applyProtection="1">
      <alignment horizontal="left" vertical="top"/>
      <protection locked="0"/>
    </xf>
    <xf numFmtId="0" fontId="5" fillId="2" borderId="3" xfId="0" applyFont="1" applyFill="1" applyBorder="1" applyAlignment="1" applyProtection="1">
      <alignment horizontal="left" vertical="top"/>
      <protection locked="0"/>
    </xf>
    <xf numFmtId="0" fontId="5" fillId="2" borderId="4" xfId="0" applyFont="1" applyFill="1" applyBorder="1" applyAlignment="1" applyProtection="1">
      <alignment horizontal="left" vertical="top"/>
      <protection locked="0"/>
    </xf>
    <xf numFmtId="0" fontId="5" fillId="2" borderId="0" xfId="0" applyFont="1" applyFill="1" applyAlignment="1" applyProtection="1">
      <alignment horizontal="left" vertical="top"/>
      <protection locked="0"/>
    </xf>
    <xf numFmtId="0" fontId="5" fillId="2" borderId="5" xfId="0" applyFont="1" applyFill="1" applyBorder="1" applyAlignment="1" applyProtection="1">
      <alignment horizontal="left" vertical="top"/>
      <protection locked="0"/>
    </xf>
    <xf numFmtId="0" fontId="5" fillId="2" borderId="6" xfId="0" applyFont="1" applyFill="1" applyBorder="1" applyAlignment="1" applyProtection="1">
      <alignment horizontal="left" vertical="top"/>
      <protection locked="0"/>
    </xf>
    <xf numFmtId="0" fontId="5" fillId="2" borderId="7" xfId="0" applyFont="1" applyFill="1" applyBorder="1" applyAlignment="1" applyProtection="1">
      <alignment horizontal="left" vertical="top"/>
      <protection locked="0"/>
    </xf>
    <xf numFmtId="0" fontId="5" fillId="2" borderId="8" xfId="0" applyFont="1" applyFill="1" applyBorder="1" applyAlignment="1" applyProtection="1">
      <alignment horizontal="left" vertical="top"/>
      <protection locked="0"/>
    </xf>
    <xf numFmtId="0" fontId="15" fillId="4" borderId="9" xfId="0" applyFont="1" applyFill="1" applyBorder="1" applyAlignment="1">
      <alignment horizontal="center" vertical="center"/>
    </xf>
    <xf numFmtId="0" fontId="10" fillId="4" borderId="11" xfId="0" applyFont="1" applyFill="1" applyBorder="1" applyAlignment="1">
      <alignment horizontal="center" vertical="center" wrapText="1"/>
    </xf>
    <xf numFmtId="0" fontId="15"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15" fillId="0" borderId="10" xfId="0" applyFont="1" applyBorder="1" applyAlignment="1">
      <alignment horizontal="center" vertical="center" wrapText="1"/>
    </xf>
    <xf numFmtId="0" fontId="20" fillId="0" borderId="0" xfId="0" applyFont="1">
      <alignment vertical="center"/>
    </xf>
    <xf numFmtId="0" fontId="21" fillId="0" borderId="0" xfId="0" applyFont="1">
      <alignment vertical="center"/>
    </xf>
    <xf numFmtId="0" fontId="16" fillId="0" borderId="0" xfId="0" applyFont="1">
      <alignment vertical="center"/>
    </xf>
    <xf numFmtId="0" fontId="22" fillId="0" borderId="0" xfId="0" applyFont="1">
      <alignment vertical="center"/>
    </xf>
    <xf numFmtId="0" fontId="23" fillId="0" borderId="0" xfId="0" applyFont="1" applyAlignment="1">
      <alignment vertical="center" wrapText="1"/>
    </xf>
    <xf numFmtId="0" fontId="16" fillId="0" borderId="0" xfId="0" applyFont="1" applyAlignment="1">
      <alignment horizontal="left" vertical="center" wrapText="1"/>
    </xf>
    <xf numFmtId="0" fontId="24" fillId="0" borderId="0" xfId="73" applyFont="1" applyAlignment="1">
      <alignment horizontal="center" vertical="center"/>
      <protection locked="0"/>
    </xf>
    <xf numFmtId="184" fontId="25" fillId="0" borderId="0" xfId="74" applyFont="1">
      <alignment vertical="center"/>
    </xf>
    <xf numFmtId="0" fontId="24" fillId="0" borderId="0" xfId="73" applyFont="1" applyAlignment="1">
      <alignment horizontal="left" vertical="center"/>
      <protection locked="0"/>
    </xf>
    <xf numFmtId="0" fontId="19" fillId="2" borderId="0" xfId="73" applyFont="1" applyFill="1" applyAlignment="1">
      <alignment horizontal="center" vertical="center"/>
      <protection locked="0"/>
    </xf>
    <xf numFmtId="0" fontId="11" fillId="2" borderId="0" xfId="73" applyFont="1" applyFill="1" applyAlignment="1" applyProtection="1">
      <alignment horizontal="left" vertical="center"/>
    </xf>
    <xf numFmtId="0" fontId="14" fillId="2" borderId="0" xfId="73" applyFont="1" applyFill="1" applyAlignment="1" applyProtection="1">
      <alignment horizontal="center" vertical="center"/>
    </xf>
    <xf numFmtId="0" fontId="14" fillId="0" borderId="0" xfId="73" applyFont="1" applyAlignment="1" applyProtection="1">
      <alignment horizontal="left" vertical="center"/>
    </xf>
    <xf numFmtId="0" fontId="10" fillId="2" borderId="0" xfId="73" applyFont="1" applyFill="1" applyAlignment="1" applyProtection="1">
      <alignment horizontal="left" vertical="center"/>
    </xf>
    <xf numFmtId="0" fontId="2" fillId="2" borderId="0" xfId="73" applyFont="1" applyFill="1" applyAlignment="1" applyProtection="1">
      <alignment horizontal="left" vertical="center"/>
    </xf>
    <xf numFmtId="0" fontId="24" fillId="2" borderId="0" xfId="73" applyFont="1" applyFill="1" applyAlignment="1">
      <alignment horizontal="left" vertical="center"/>
      <protection locked="0"/>
    </xf>
    <xf numFmtId="0" fontId="2" fillId="2" borderId="0" xfId="73" applyFont="1" applyFill="1" applyAlignment="1" applyProtection="1">
      <alignment horizontal="center" vertical="center"/>
    </xf>
    <xf numFmtId="0" fontId="24" fillId="0" borderId="0" xfId="73" applyFont="1" applyAlignment="1" applyProtection="1">
      <alignment horizontal="left" vertical="center"/>
    </xf>
    <xf numFmtId="0" fontId="10" fillId="3" borderId="9" xfId="73" applyFont="1" applyFill="1" applyBorder="1" applyAlignment="1" applyProtection="1">
      <alignment horizontal="center" vertical="center" wrapText="1"/>
    </xf>
    <xf numFmtId="0" fontId="9" fillId="3" borderId="9" xfId="73" applyFont="1" applyFill="1" applyBorder="1" applyAlignment="1" applyProtection="1">
      <alignment horizontal="center" vertical="center" wrapText="1"/>
    </xf>
    <xf numFmtId="0" fontId="26" fillId="3" borderId="15" xfId="0" applyFont="1" applyFill="1" applyBorder="1" applyAlignment="1">
      <alignment horizontal="center" vertical="center" wrapText="1"/>
    </xf>
    <xf numFmtId="0" fontId="9" fillId="3" borderId="12" xfId="73" applyFont="1" applyFill="1" applyBorder="1" applyAlignment="1" applyProtection="1">
      <alignment horizontal="center" vertical="center" wrapText="1"/>
    </xf>
    <xf numFmtId="0" fontId="10" fillId="3" borderId="12" xfId="73" applyFont="1" applyFill="1" applyBorder="1" applyAlignment="1" applyProtection="1">
      <alignment horizontal="center" vertical="center" wrapText="1"/>
    </xf>
    <xf numFmtId="0" fontId="24" fillId="0" borderId="0" xfId="73" applyFont="1" applyAlignment="1" applyProtection="1">
      <alignment horizontal="center" vertical="center"/>
    </xf>
    <xf numFmtId="0" fontId="10" fillId="3" borderId="13" xfId="73" applyFont="1" applyFill="1" applyBorder="1" applyAlignment="1" applyProtection="1">
      <alignment horizontal="center" vertical="center" wrapText="1"/>
    </xf>
    <xf numFmtId="0" fontId="27" fillId="0" borderId="15" xfId="0" applyFont="1" applyBorder="1" applyAlignment="1">
      <alignment horizontal="center" vertical="center" wrapText="1"/>
    </xf>
    <xf numFmtId="0" fontId="28" fillId="0" borderId="15" xfId="0" applyFont="1" applyBorder="1" applyAlignment="1">
      <alignment horizontal="left" vertical="center" wrapText="1"/>
    </xf>
    <xf numFmtId="0" fontId="28" fillId="0" borderId="15" xfId="0" applyFont="1" applyBorder="1" applyAlignment="1">
      <alignment horizontal="center" vertical="center" wrapText="1"/>
    </xf>
    <xf numFmtId="0" fontId="29" fillId="0" borderId="9" xfId="73" applyFont="1" applyBorder="1" applyAlignment="1" applyProtection="1">
      <alignment horizontal="center" vertical="center"/>
    </xf>
    <xf numFmtId="0" fontId="2" fillId="0" borderId="9" xfId="73" applyFont="1" applyBorder="1" applyAlignment="1" applyProtection="1">
      <alignment horizontal="left" vertical="center"/>
    </xf>
    <xf numFmtId="0" fontId="27" fillId="0" borderId="15" xfId="0" applyFont="1" applyBorder="1" applyAlignment="1">
      <alignment horizontal="justify" vertical="center" wrapText="1"/>
    </xf>
    <xf numFmtId="0" fontId="2" fillId="0" borderId="9" xfId="73" applyFont="1" applyBorder="1" applyAlignment="1" applyProtection="1">
      <alignment horizontal="center" vertical="center"/>
    </xf>
    <xf numFmtId="0" fontId="2" fillId="0" borderId="9" xfId="73" applyFont="1" applyBorder="1" applyAlignment="1" applyProtection="1">
      <alignment horizontal="left" vertical="center" wrapText="1"/>
    </xf>
    <xf numFmtId="0" fontId="3" fillId="2" borderId="0" xfId="73" applyFont="1" applyFill="1" applyAlignment="1" applyProtection="1">
      <alignment horizontal="left" vertical="center"/>
    </xf>
    <xf numFmtId="0" fontId="30" fillId="0" borderId="0" xfId="73" applyFont="1" applyAlignment="1" applyProtection="1">
      <alignment horizontal="left" vertical="center" wrapText="1"/>
    </xf>
    <xf numFmtId="0" fontId="16" fillId="0" borderId="0" xfId="73" applyFont="1" applyAlignment="1" applyProtection="1">
      <alignment horizontal="left" vertical="center" wrapText="1"/>
    </xf>
    <xf numFmtId="0" fontId="16" fillId="0" borderId="0" xfId="73" applyFont="1" applyAlignment="1" applyProtection="1">
      <alignment horizontal="center" vertical="center" wrapText="1"/>
    </xf>
  </cellXfs>
  <cellStyles count="8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Revenue Control Testing - Hainan (Manchun2)" xfId="49"/>
    <cellStyle name="Black" xfId="50"/>
    <cellStyle name="Border" xfId="51"/>
    <cellStyle name="Comma [0]_1995" xfId="52"/>
    <cellStyle name="Comma 2" xfId="53"/>
    <cellStyle name="Comma 2 2" xfId="54"/>
    <cellStyle name="Comma 3" xfId="55"/>
    <cellStyle name="Comma_1995" xfId="56"/>
    <cellStyle name="Currency [0]_1995" xfId="57"/>
    <cellStyle name="Currency_1995" xfId="58"/>
    <cellStyle name="Dezimal [0]_laroux" xfId="59"/>
    <cellStyle name="Dezimal_laroux" xfId="60"/>
    <cellStyle name="Followed Hyperlink_AheadBehind.xls Chart 23" xfId="61"/>
    <cellStyle name="Grey" xfId="62"/>
    <cellStyle name="Hyperlink_AheadBehind.xls Chart 23" xfId="63"/>
    <cellStyle name="Input [yellow]" xfId="64"/>
    <cellStyle name="Milliers [0]_laroux" xfId="65"/>
    <cellStyle name="Milliers_laroux" xfId="66"/>
    <cellStyle name="Non défini" xfId="67"/>
    <cellStyle name="Normal - Style1" xfId="68"/>
    <cellStyle name="Normal 2" xfId="69"/>
    <cellStyle name="Normal_22-Jun EUS Forecasts" xfId="70"/>
    <cellStyle name="Percent [2]" xfId="71"/>
    <cellStyle name="Red" xfId="72"/>
    <cellStyle name="常规 2" xfId="73"/>
    <cellStyle name="常规 7" xfId="74"/>
    <cellStyle name="常规_c-资产类" xfId="75"/>
    <cellStyle name="超链接 2" xfId="76"/>
    <cellStyle name="超链接 3" xfId="77"/>
    <cellStyle name="普通_laroux" xfId="78"/>
    <cellStyle name="千分位[0]_宁波" xfId="79"/>
    <cellStyle name="千分位_宁波" xfId="80"/>
    <cellStyle name="千位[0]_laroux" xfId="81"/>
    <cellStyle name="千位_laroux" xfId="82"/>
    <cellStyle name="千位分隔 2" xfId="83"/>
    <cellStyle name="样式 1" xfId="84"/>
  </cellStyles>
  <tableStyles count="0" defaultTableStyle="TableStyleMedium9" defaultPivotStyle="PivotStyleLight16"/>
  <colors>
    <mruColors>
      <color rgb="000000FF"/>
      <color rgb="000000E1"/>
      <color rgb="00FF0000"/>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xdr:colOff>
      <xdr:row>1</xdr:row>
      <xdr:rowOff>30480</xdr:rowOff>
    </xdr:from>
    <xdr:to>
      <xdr:col>6</xdr:col>
      <xdr:colOff>37465</xdr:colOff>
      <xdr:row>28</xdr:row>
      <xdr:rowOff>290195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905" y="1045845"/>
          <a:ext cx="4561840" cy="4991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d.docs.live.n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19"/>
  <sheetViews>
    <sheetView tabSelected="1" view="pageBreakPreview" zoomScaleNormal="100" workbookViewId="0">
      <selection activeCell="A1" sqref="A1:V1"/>
    </sheetView>
  </sheetViews>
  <sheetFormatPr defaultColWidth="9" defaultRowHeight="15.6"/>
  <cols>
    <col min="1" max="1" width="11.7777777777778" style="108" customWidth="1"/>
    <col min="2" max="4" width="9.22222222222222" style="108" customWidth="1"/>
    <col min="5" max="5" width="12.6666666666667" style="108" customWidth="1"/>
    <col min="6" max="6" width="26.6666666666667" style="108" customWidth="1"/>
    <col min="7" max="8" width="12.6666666666667" style="108" customWidth="1"/>
    <col min="9" max="17" width="3.77777777777778" style="106" customWidth="1"/>
    <col min="18" max="22" width="11.1111111111111" style="108" customWidth="1"/>
    <col min="23" max="24" width="9" style="108"/>
    <col min="25" max="25" width="12.1111111111111" style="108" customWidth="1"/>
    <col min="26" max="280" width="9" style="108"/>
    <col min="281" max="281" width="12.1111111111111" style="108" customWidth="1"/>
    <col min="282" max="536" width="9" style="108"/>
    <col min="537" max="537" width="12.1111111111111" style="108" customWidth="1"/>
    <col min="538" max="792" width="9" style="108"/>
    <col min="793" max="793" width="12.1111111111111" style="108" customWidth="1"/>
    <col min="794" max="1048" width="9" style="108"/>
    <col min="1049" max="1049" width="12.1111111111111" style="108" customWidth="1"/>
    <col min="1050" max="1304" width="9" style="108"/>
    <col min="1305" max="1305" width="12.1111111111111" style="108" customWidth="1"/>
    <col min="1306" max="1560" width="9" style="108"/>
    <col min="1561" max="1561" width="12.1111111111111" style="108" customWidth="1"/>
    <col min="1562" max="1816" width="9" style="108"/>
    <col min="1817" max="1817" width="12.1111111111111" style="108" customWidth="1"/>
    <col min="1818" max="2072" width="9" style="108"/>
    <col min="2073" max="2073" width="12.1111111111111" style="108" customWidth="1"/>
    <col min="2074" max="2328" width="9" style="108"/>
    <col min="2329" max="2329" width="12.1111111111111" style="108" customWidth="1"/>
    <col min="2330" max="2584" width="9" style="108"/>
    <col min="2585" max="2585" width="12.1111111111111" style="108" customWidth="1"/>
    <col min="2586" max="2840" width="9" style="108"/>
    <col min="2841" max="2841" width="12.1111111111111" style="108" customWidth="1"/>
    <col min="2842" max="3096" width="9" style="108"/>
    <col min="3097" max="3097" width="12.1111111111111" style="108" customWidth="1"/>
    <col min="3098" max="3352" width="9" style="108"/>
    <col min="3353" max="3353" width="12.1111111111111" style="108" customWidth="1"/>
    <col min="3354" max="3608" width="9" style="108"/>
    <col min="3609" max="3609" width="12.1111111111111" style="108" customWidth="1"/>
    <col min="3610" max="3864" width="9" style="108"/>
    <col min="3865" max="3865" width="12.1111111111111" style="108" customWidth="1"/>
    <col min="3866" max="4120" width="9" style="108"/>
    <col min="4121" max="4121" width="12.1111111111111" style="108" customWidth="1"/>
    <col min="4122" max="4376" width="9" style="108"/>
    <col min="4377" max="4377" width="12.1111111111111" style="108" customWidth="1"/>
    <col min="4378" max="4632" width="9" style="108"/>
    <col min="4633" max="4633" width="12.1111111111111" style="108" customWidth="1"/>
    <col min="4634" max="4888" width="9" style="108"/>
    <col min="4889" max="4889" width="12.1111111111111" style="108" customWidth="1"/>
    <col min="4890" max="5144" width="9" style="108"/>
    <col min="5145" max="5145" width="12.1111111111111" style="108" customWidth="1"/>
    <col min="5146" max="5400" width="9" style="108"/>
    <col min="5401" max="5401" width="12.1111111111111" style="108" customWidth="1"/>
    <col min="5402" max="5656" width="9" style="108"/>
    <col min="5657" max="5657" width="12.1111111111111" style="108" customWidth="1"/>
    <col min="5658" max="5912" width="9" style="108"/>
    <col min="5913" max="5913" width="12.1111111111111" style="108" customWidth="1"/>
    <col min="5914" max="6168" width="9" style="108"/>
    <col min="6169" max="6169" width="12.1111111111111" style="108" customWidth="1"/>
    <col min="6170" max="6424" width="9" style="108"/>
    <col min="6425" max="6425" width="12.1111111111111" style="108" customWidth="1"/>
    <col min="6426" max="6680" width="9" style="108"/>
    <col min="6681" max="6681" width="12.1111111111111" style="108" customWidth="1"/>
    <col min="6682" max="6936" width="9" style="108"/>
    <col min="6937" max="6937" width="12.1111111111111" style="108" customWidth="1"/>
    <col min="6938" max="7192" width="9" style="108"/>
    <col min="7193" max="7193" width="12.1111111111111" style="108" customWidth="1"/>
    <col min="7194" max="7448" width="9" style="108"/>
    <col min="7449" max="7449" width="12.1111111111111" style="108" customWidth="1"/>
    <col min="7450" max="7704" width="9" style="108"/>
    <col min="7705" max="7705" width="12.1111111111111" style="108" customWidth="1"/>
    <col min="7706" max="7960" width="9" style="108"/>
    <col min="7961" max="7961" width="12.1111111111111" style="108" customWidth="1"/>
    <col min="7962" max="8216" width="9" style="108"/>
    <col min="8217" max="8217" width="12.1111111111111" style="108" customWidth="1"/>
    <col min="8218" max="8472" width="9" style="108"/>
    <col min="8473" max="8473" width="12.1111111111111" style="108" customWidth="1"/>
    <col min="8474" max="8728" width="9" style="108"/>
    <col min="8729" max="8729" width="12.1111111111111" style="108" customWidth="1"/>
    <col min="8730" max="8984" width="9" style="108"/>
    <col min="8985" max="8985" width="12.1111111111111" style="108" customWidth="1"/>
    <col min="8986" max="9240" width="9" style="108"/>
    <col min="9241" max="9241" width="12.1111111111111" style="108" customWidth="1"/>
    <col min="9242" max="9496" width="9" style="108"/>
    <col min="9497" max="9497" width="12.1111111111111" style="108" customWidth="1"/>
    <col min="9498" max="9752" width="9" style="108"/>
    <col min="9753" max="9753" width="12.1111111111111" style="108" customWidth="1"/>
    <col min="9754" max="10008" width="9" style="108"/>
    <col min="10009" max="10009" width="12.1111111111111" style="108" customWidth="1"/>
    <col min="10010" max="10264" width="9" style="108"/>
    <col min="10265" max="10265" width="12.1111111111111" style="108" customWidth="1"/>
    <col min="10266" max="10520" width="9" style="108"/>
    <col min="10521" max="10521" width="12.1111111111111" style="108" customWidth="1"/>
    <col min="10522" max="10776" width="9" style="108"/>
    <col min="10777" max="10777" width="12.1111111111111" style="108" customWidth="1"/>
    <col min="10778" max="11032" width="9" style="108"/>
    <col min="11033" max="11033" width="12.1111111111111" style="108" customWidth="1"/>
    <col min="11034" max="11288" width="9" style="108"/>
    <col min="11289" max="11289" width="12.1111111111111" style="108" customWidth="1"/>
    <col min="11290" max="11544" width="9" style="108"/>
    <col min="11545" max="11545" width="12.1111111111111" style="108" customWidth="1"/>
    <col min="11546" max="11800" width="9" style="108"/>
    <col min="11801" max="11801" width="12.1111111111111" style="108" customWidth="1"/>
    <col min="11802" max="12056" width="9" style="108"/>
    <col min="12057" max="12057" width="12.1111111111111" style="108" customWidth="1"/>
    <col min="12058" max="12312" width="9" style="108"/>
    <col min="12313" max="12313" width="12.1111111111111" style="108" customWidth="1"/>
    <col min="12314" max="12568" width="9" style="108"/>
    <col min="12569" max="12569" width="12.1111111111111" style="108" customWidth="1"/>
    <col min="12570" max="12824" width="9" style="108"/>
    <col min="12825" max="12825" width="12.1111111111111" style="108" customWidth="1"/>
    <col min="12826" max="13080" width="9" style="108"/>
    <col min="13081" max="13081" width="12.1111111111111" style="108" customWidth="1"/>
    <col min="13082" max="13336" width="9" style="108"/>
    <col min="13337" max="13337" width="12.1111111111111" style="108" customWidth="1"/>
    <col min="13338" max="13592" width="9" style="108"/>
    <col min="13593" max="13593" width="12.1111111111111" style="108" customWidth="1"/>
    <col min="13594" max="13848" width="9" style="108"/>
    <col min="13849" max="13849" width="12.1111111111111" style="108" customWidth="1"/>
    <col min="13850" max="14104" width="9" style="108"/>
    <col min="14105" max="14105" width="12.1111111111111" style="108" customWidth="1"/>
    <col min="14106" max="14360" width="9" style="108"/>
    <col min="14361" max="14361" width="12.1111111111111" style="108" customWidth="1"/>
    <col min="14362" max="14616" width="9" style="108"/>
    <col min="14617" max="14617" width="12.1111111111111" style="108" customWidth="1"/>
    <col min="14618" max="14872" width="9" style="108"/>
    <col min="14873" max="14873" width="12.1111111111111" style="108" customWidth="1"/>
    <col min="14874" max="15128" width="9" style="108"/>
    <col min="15129" max="15129" width="12.1111111111111" style="108" customWidth="1"/>
    <col min="15130" max="15384" width="9" style="108"/>
    <col min="15385" max="15385" width="12.1111111111111" style="108" customWidth="1"/>
    <col min="15386" max="15640" width="9" style="108"/>
    <col min="15641" max="15641" width="12.1111111111111" style="108" customWidth="1"/>
    <col min="15642" max="15896" width="9" style="108"/>
    <col min="15897" max="15897" width="12.1111111111111" style="108" customWidth="1"/>
    <col min="15898" max="16152" width="9" style="108"/>
    <col min="16153" max="16153" width="12.1111111111111" style="108" customWidth="1"/>
    <col min="16154" max="16384" width="9" style="108"/>
  </cols>
  <sheetData>
    <row r="1" ht="19.95" customHeight="1" spans="1:24">
      <c r="A1" s="109" t="s">
        <v>0</v>
      </c>
      <c r="B1" s="109"/>
      <c r="C1" s="109"/>
      <c r="D1" s="109"/>
      <c r="E1" s="109"/>
      <c r="F1" s="109"/>
      <c r="G1" s="109"/>
      <c r="H1" s="109"/>
      <c r="I1" s="109"/>
      <c r="J1" s="109"/>
      <c r="K1" s="109"/>
      <c r="L1" s="109"/>
      <c r="M1" s="109"/>
      <c r="N1" s="109"/>
      <c r="O1" s="109"/>
      <c r="P1" s="109"/>
      <c r="Q1" s="109"/>
      <c r="R1" s="109"/>
      <c r="S1" s="109"/>
      <c r="T1" s="109"/>
      <c r="U1" s="109"/>
      <c r="V1" s="109"/>
    </row>
    <row r="2" ht="19.95" customHeight="1" spans="1:24">
      <c r="A2" s="110" t="s">
        <v>1</v>
      </c>
      <c r="B2" s="81"/>
      <c r="C2" s="81"/>
      <c r="D2" s="81"/>
      <c r="E2" s="81" t="s">
        <v>2</v>
      </c>
      <c r="F2" s="81"/>
      <c r="G2" s="81"/>
      <c r="H2" s="81"/>
      <c r="I2" s="110" t="s">
        <v>3</v>
      </c>
      <c r="J2" s="111"/>
      <c r="K2" s="111"/>
      <c r="L2" s="111"/>
      <c r="M2" s="111"/>
      <c r="N2" s="111"/>
      <c r="O2" s="111"/>
      <c r="P2" s="111"/>
      <c r="Q2" s="111"/>
      <c r="R2" s="81"/>
      <c r="S2" s="81"/>
      <c r="T2" s="81"/>
      <c r="U2" s="81" t="s">
        <v>4</v>
      </c>
      <c r="V2" s="81" t="s">
        <v>5</v>
      </c>
      <c r="X2" s="112"/>
    </row>
    <row r="3" ht="19.95" customHeight="1" spans="1:24">
      <c r="A3" s="110" t="s">
        <v>6</v>
      </c>
      <c r="B3" s="81"/>
      <c r="C3" s="81"/>
      <c r="D3" s="81"/>
      <c r="E3" s="81" t="s">
        <v>7</v>
      </c>
      <c r="F3" s="81"/>
      <c r="G3" s="81"/>
      <c r="H3" s="81"/>
      <c r="I3" s="110" t="s">
        <v>8</v>
      </c>
      <c r="J3" s="111"/>
      <c r="K3" s="111"/>
      <c r="L3" s="111"/>
      <c r="M3" s="111"/>
      <c r="N3" s="111"/>
      <c r="O3" s="111"/>
      <c r="P3" s="111"/>
      <c r="Q3" s="111"/>
      <c r="R3" s="81"/>
      <c r="S3" s="81"/>
      <c r="T3" s="81"/>
      <c r="U3" s="110" t="s">
        <v>9</v>
      </c>
      <c r="V3" s="110">
        <v>1</v>
      </c>
      <c r="X3" s="112"/>
    </row>
    <row r="4" ht="19.95" customHeight="1" spans="1:24">
      <c r="A4" s="113" t="s">
        <v>10</v>
      </c>
      <c r="B4" s="114"/>
      <c r="C4" s="115"/>
      <c r="D4" s="115"/>
      <c r="E4" s="114"/>
      <c r="F4" s="114"/>
      <c r="G4" s="114"/>
      <c r="H4" s="114"/>
      <c r="I4" s="116"/>
      <c r="J4" s="116"/>
      <c r="K4" s="116"/>
      <c r="L4" s="116"/>
      <c r="M4" s="116"/>
      <c r="N4" s="116"/>
      <c r="O4" s="116"/>
      <c r="P4" s="116"/>
      <c r="Q4" s="116"/>
      <c r="R4" s="114"/>
      <c r="S4" s="114"/>
      <c r="T4" s="114"/>
      <c r="U4" s="114"/>
      <c r="V4" s="114"/>
      <c r="W4" s="117"/>
      <c r="X4" s="117"/>
    </row>
    <row r="5" ht="19.95" customHeight="1" spans="1:24">
      <c r="A5" s="114" t="s">
        <v>11</v>
      </c>
      <c r="B5" s="114"/>
      <c r="C5" s="114"/>
      <c r="D5" s="114"/>
      <c r="E5" s="114"/>
      <c r="F5" s="114"/>
      <c r="G5" s="114"/>
      <c r="H5" s="114"/>
      <c r="I5" s="114"/>
      <c r="J5" s="114"/>
      <c r="K5" s="114"/>
      <c r="L5" s="114"/>
      <c r="M5" s="114"/>
      <c r="N5" s="114"/>
      <c r="O5" s="114"/>
      <c r="P5" s="114"/>
      <c r="Q5" s="114"/>
      <c r="R5" s="114"/>
      <c r="S5" s="114"/>
      <c r="T5" s="114"/>
      <c r="U5" s="114"/>
      <c r="V5" s="114"/>
      <c r="W5" s="117"/>
      <c r="X5" s="117"/>
    </row>
    <row r="6" ht="19.95" customHeight="1" spans="1:24">
      <c r="A6" s="114" t="s">
        <v>12</v>
      </c>
      <c r="B6" s="114"/>
      <c r="C6" s="114"/>
      <c r="D6" s="114"/>
      <c r="E6" s="114"/>
      <c r="F6" s="114"/>
      <c r="G6" s="114"/>
      <c r="H6" s="114"/>
      <c r="I6" s="114"/>
      <c r="J6" s="114"/>
      <c r="K6" s="114"/>
      <c r="L6" s="114"/>
      <c r="M6" s="114"/>
      <c r="N6" s="114"/>
      <c r="O6" s="114"/>
      <c r="P6" s="114"/>
      <c r="Q6" s="114"/>
      <c r="R6" s="114"/>
      <c r="S6" s="114"/>
      <c r="T6" s="114"/>
      <c r="U6" s="114"/>
      <c r="V6" s="114"/>
      <c r="W6" s="117"/>
      <c r="X6" s="117"/>
    </row>
    <row r="7" ht="19.95" customHeight="1" spans="1:24">
      <c r="A7" s="114" t="s">
        <v>13</v>
      </c>
      <c r="B7" s="114"/>
      <c r="C7" s="114"/>
      <c r="D7" s="114"/>
      <c r="E7" s="114"/>
      <c r="F7" s="114"/>
      <c r="G7" s="114"/>
      <c r="H7" s="114"/>
      <c r="I7" s="114"/>
      <c r="J7" s="114"/>
      <c r="K7" s="114"/>
      <c r="L7" s="114"/>
      <c r="M7" s="114"/>
      <c r="N7" s="114"/>
      <c r="O7" s="114"/>
      <c r="P7" s="114"/>
      <c r="Q7" s="114"/>
      <c r="R7" s="114"/>
      <c r="S7" s="114"/>
      <c r="T7" s="114"/>
      <c r="U7" s="114"/>
      <c r="V7" s="114"/>
      <c r="W7" s="117"/>
      <c r="X7" s="117"/>
    </row>
    <row r="8" ht="19.95" customHeight="1" spans="1:24">
      <c r="A8" s="114" t="s">
        <v>14</v>
      </c>
      <c r="B8" s="114"/>
      <c r="C8" s="114"/>
      <c r="D8" s="114"/>
      <c r="E8" s="114"/>
      <c r="F8" s="114"/>
      <c r="G8" s="114"/>
      <c r="H8" s="114"/>
      <c r="I8" s="114"/>
      <c r="J8" s="114"/>
      <c r="K8" s="114"/>
      <c r="L8" s="114"/>
      <c r="M8" s="114"/>
      <c r="N8" s="114"/>
      <c r="O8" s="114"/>
      <c r="P8" s="114"/>
      <c r="Q8" s="114"/>
      <c r="R8" s="114"/>
      <c r="S8" s="114"/>
      <c r="T8" s="114"/>
      <c r="U8" s="114"/>
      <c r="V8" s="114"/>
      <c r="W8" s="117"/>
      <c r="X8" s="117"/>
    </row>
    <row r="9" s="106" customFormat="1" ht="19.95" customHeight="1" spans="1:24">
      <c r="A9" s="118" t="s">
        <v>15</v>
      </c>
      <c r="B9" s="119" t="s">
        <v>16</v>
      </c>
      <c r="C9" s="118" t="s">
        <v>17</v>
      </c>
      <c r="D9" s="120" t="s">
        <v>18</v>
      </c>
      <c r="E9" s="121" t="s">
        <v>19</v>
      </c>
      <c r="F9" s="118" t="s">
        <v>20</v>
      </c>
      <c r="G9" s="118" t="s">
        <v>21</v>
      </c>
      <c r="H9" s="118" t="s">
        <v>22</v>
      </c>
      <c r="I9" s="118" t="s">
        <v>23</v>
      </c>
      <c r="J9" s="118"/>
      <c r="K9" s="118"/>
      <c r="L9" s="118"/>
      <c r="M9" s="118"/>
      <c r="N9" s="118"/>
      <c r="O9" s="118"/>
      <c r="P9" s="118"/>
      <c r="Q9" s="118"/>
      <c r="R9" s="121" t="s">
        <v>24</v>
      </c>
      <c r="S9" s="121" t="s">
        <v>25</v>
      </c>
      <c r="T9" s="122" t="s">
        <v>26</v>
      </c>
      <c r="U9" s="122" t="s">
        <v>27</v>
      </c>
      <c r="V9" s="122" t="s">
        <v>28</v>
      </c>
      <c r="W9" s="123"/>
      <c r="X9" s="123"/>
    </row>
    <row r="10" s="107" customFormat="1" ht="60" spans="1:24">
      <c r="A10" s="118"/>
      <c r="B10" s="118"/>
      <c r="C10" s="118"/>
      <c r="D10" s="120"/>
      <c r="E10" s="124"/>
      <c r="F10" s="118"/>
      <c r="G10" s="118"/>
      <c r="H10" s="118"/>
      <c r="I10" s="118" t="s">
        <v>29</v>
      </c>
      <c r="J10" s="118" t="s">
        <v>30</v>
      </c>
      <c r="K10" s="118" t="s">
        <v>31</v>
      </c>
      <c r="L10" s="118" t="s">
        <v>32</v>
      </c>
      <c r="M10" s="118" t="s">
        <v>33</v>
      </c>
      <c r="N10" s="118" t="s">
        <v>34</v>
      </c>
      <c r="O10" s="118" t="s">
        <v>35</v>
      </c>
      <c r="P10" s="118" t="s">
        <v>36</v>
      </c>
      <c r="Q10" s="118" t="s">
        <v>37</v>
      </c>
      <c r="R10" s="124"/>
      <c r="S10" s="124"/>
      <c r="T10" s="124"/>
      <c r="U10" s="124"/>
      <c r="V10" s="124"/>
    </row>
    <row r="11" ht="360" spans="1:24">
      <c r="A11" s="125">
        <v>1</v>
      </c>
      <c r="B11" s="126" t="s">
        <v>38</v>
      </c>
      <c r="C11" s="127" t="s">
        <v>39</v>
      </c>
      <c r="D11" s="126" t="s">
        <v>40</v>
      </c>
      <c r="E11" s="126" t="s">
        <v>41</v>
      </c>
      <c r="F11" s="126" t="s">
        <v>42</v>
      </c>
      <c r="G11" s="126" t="s">
        <v>43</v>
      </c>
      <c r="H11" s="126" t="s">
        <v>44</v>
      </c>
      <c r="I11" s="128"/>
      <c r="J11" s="128" t="s">
        <v>45</v>
      </c>
      <c r="K11" s="128" t="s">
        <v>45</v>
      </c>
      <c r="L11" s="128"/>
      <c r="M11" s="128"/>
      <c r="N11" s="128"/>
      <c r="O11" s="128"/>
      <c r="P11" s="128" t="s">
        <v>45</v>
      </c>
      <c r="Q11" s="128"/>
      <c r="R11" s="129"/>
      <c r="S11" s="129"/>
      <c r="T11" s="129"/>
      <c r="U11" s="129"/>
      <c r="V11" s="129"/>
      <c r="W11" s="117"/>
      <c r="X11" s="117"/>
    </row>
    <row r="12" ht="180" spans="1:24">
      <c r="A12" s="127">
        <v>2</v>
      </c>
      <c r="B12" s="126" t="s">
        <v>46</v>
      </c>
      <c r="C12" s="127" t="s">
        <v>47</v>
      </c>
      <c r="D12" s="126" t="s">
        <v>48</v>
      </c>
      <c r="E12" s="126" t="s">
        <v>49</v>
      </c>
      <c r="F12" s="126" t="s">
        <v>50</v>
      </c>
      <c r="G12" s="126" t="s">
        <v>51</v>
      </c>
      <c r="H12" s="126" t="s">
        <v>52</v>
      </c>
      <c r="I12" s="128"/>
      <c r="J12" s="128" t="s">
        <v>45</v>
      </c>
      <c r="K12" s="128" t="s">
        <v>45</v>
      </c>
      <c r="L12" s="128"/>
      <c r="M12" s="128"/>
      <c r="N12" s="128"/>
      <c r="O12" s="128"/>
      <c r="P12" s="128" t="s">
        <v>45</v>
      </c>
      <c r="Q12" s="128"/>
      <c r="R12" s="129"/>
      <c r="S12" s="129"/>
      <c r="T12" s="129"/>
      <c r="U12" s="129"/>
      <c r="V12" s="129"/>
      <c r="W12" s="117"/>
      <c r="X12" s="117"/>
    </row>
    <row r="13" ht="123.6" spans="1:24">
      <c r="A13" s="125">
        <v>3</v>
      </c>
      <c r="B13" s="126" t="s">
        <v>53</v>
      </c>
      <c r="C13" s="127" t="s">
        <v>54</v>
      </c>
      <c r="D13" s="126" t="s">
        <v>55</v>
      </c>
      <c r="E13" s="126" t="s">
        <v>56</v>
      </c>
      <c r="F13" s="126" t="s">
        <v>57</v>
      </c>
      <c r="G13" s="126" t="s">
        <v>58</v>
      </c>
      <c r="H13" s="130" t="s">
        <v>59</v>
      </c>
      <c r="I13" s="128"/>
      <c r="J13" s="128" t="s">
        <v>45</v>
      </c>
      <c r="K13" s="128" t="s">
        <v>45</v>
      </c>
      <c r="L13" s="128"/>
      <c r="M13" s="128"/>
      <c r="N13" s="128"/>
      <c r="O13" s="128"/>
      <c r="P13" s="128" t="s">
        <v>45</v>
      </c>
      <c r="Q13" s="128"/>
      <c r="R13" s="129"/>
      <c r="S13" s="129"/>
      <c r="T13" s="129"/>
      <c r="U13" s="129"/>
      <c r="V13" s="129"/>
      <c r="W13" s="117"/>
      <c r="X13" s="117"/>
    </row>
    <row r="14" ht="19.95" customHeight="1" spans="1:24">
      <c r="A14" s="131"/>
      <c r="B14" s="131"/>
      <c r="C14" s="132"/>
      <c r="D14" s="132"/>
      <c r="E14" s="132"/>
      <c r="F14" s="132"/>
      <c r="G14" s="129"/>
      <c r="H14" s="129"/>
      <c r="I14" s="131"/>
      <c r="J14" s="131"/>
      <c r="K14" s="131"/>
      <c r="L14" s="131"/>
      <c r="M14" s="131"/>
      <c r="N14" s="131"/>
      <c r="O14" s="131"/>
      <c r="P14" s="131"/>
      <c r="Q14" s="131"/>
      <c r="R14" s="129"/>
      <c r="S14" s="129"/>
      <c r="T14" s="129"/>
      <c r="U14" s="129"/>
      <c r="V14" s="129"/>
      <c r="W14" s="117"/>
      <c r="X14" s="117"/>
    </row>
    <row r="15" ht="19.95" customHeight="1" spans="1:24">
      <c r="A15" s="131"/>
      <c r="B15" s="131"/>
      <c r="C15" s="132"/>
      <c r="D15" s="132"/>
      <c r="E15" s="132"/>
      <c r="F15" s="132"/>
      <c r="G15" s="129"/>
      <c r="H15" s="129"/>
      <c r="I15" s="131"/>
      <c r="J15" s="131"/>
      <c r="K15" s="131"/>
      <c r="L15" s="131"/>
      <c r="M15" s="131"/>
      <c r="N15" s="131"/>
      <c r="O15" s="131"/>
      <c r="P15" s="131"/>
      <c r="Q15" s="131"/>
      <c r="R15" s="129"/>
      <c r="S15" s="129"/>
      <c r="T15" s="129"/>
      <c r="U15" s="129"/>
      <c r="V15" s="129"/>
      <c r="W15" s="117"/>
      <c r="X15" s="117"/>
    </row>
    <row r="16" ht="19.95" customHeight="1" spans="1:24">
      <c r="A16" s="131"/>
      <c r="B16" s="131"/>
      <c r="C16" s="132"/>
      <c r="D16" s="132"/>
      <c r="E16" s="132"/>
      <c r="F16" s="132"/>
      <c r="G16" s="129"/>
      <c r="H16" s="129"/>
      <c r="I16" s="131"/>
      <c r="J16" s="131"/>
      <c r="K16" s="131"/>
      <c r="L16" s="131"/>
      <c r="M16" s="131"/>
      <c r="N16" s="131"/>
      <c r="O16" s="131"/>
      <c r="P16" s="131"/>
      <c r="Q16" s="131"/>
      <c r="R16" s="129"/>
      <c r="S16" s="129"/>
      <c r="T16" s="129"/>
      <c r="U16" s="129"/>
      <c r="V16" s="129"/>
      <c r="W16" s="117"/>
      <c r="X16" s="117"/>
    </row>
    <row r="17" ht="19.95" customHeight="1" spans="1:24">
      <c r="A17" s="131"/>
      <c r="B17" s="131"/>
      <c r="C17" s="132"/>
      <c r="D17" s="132"/>
      <c r="E17" s="132"/>
      <c r="F17" s="132"/>
      <c r="G17" s="129"/>
      <c r="H17" s="129"/>
      <c r="I17" s="131"/>
      <c r="J17" s="131"/>
      <c r="K17" s="131"/>
      <c r="L17" s="131"/>
      <c r="M17" s="131"/>
      <c r="N17" s="131"/>
      <c r="O17" s="131"/>
      <c r="P17" s="131"/>
      <c r="Q17" s="131"/>
      <c r="R17" s="129"/>
      <c r="S17" s="129"/>
      <c r="T17" s="129"/>
      <c r="U17" s="129"/>
      <c r="V17" s="129"/>
      <c r="W17" s="117"/>
      <c r="X17" s="117"/>
    </row>
    <row r="18" ht="19.95" customHeight="1" spans="1:24">
      <c r="A18" s="133"/>
      <c r="B18" s="114"/>
      <c r="C18" s="114"/>
      <c r="D18" s="114"/>
      <c r="E18" s="114"/>
      <c r="F18" s="114"/>
      <c r="G18" s="114"/>
      <c r="H18" s="114"/>
      <c r="I18" s="114"/>
      <c r="J18" s="114"/>
      <c r="K18" s="114"/>
      <c r="L18" s="114"/>
      <c r="M18" s="114"/>
      <c r="N18" s="114"/>
      <c r="O18" s="114"/>
      <c r="P18" s="114"/>
      <c r="Q18" s="114"/>
      <c r="R18" s="114"/>
      <c r="S18" s="114"/>
      <c r="T18" s="114"/>
      <c r="U18" s="114"/>
      <c r="V18" s="114"/>
      <c r="W18" s="117"/>
      <c r="X18" s="117"/>
    </row>
    <row r="19" ht="63" customHeight="1" spans="1:24">
      <c r="A19" s="134" t="s">
        <v>60</v>
      </c>
      <c r="B19" s="135"/>
      <c r="C19" s="135"/>
      <c r="D19" s="135"/>
      <c r="E19" s="135"/>
      <c r="F19" s="135"/>
      <c r="G19" s="135"/>
      <c r="H19" s="135"/>
      <c r="I19" s="136"/>
      <c r="J19" s="136"/>
      <c r="K19" s="136"/>
      <c r="L19" s="136"/>
      <c r="M19" s="136"/>
      <c r="N19" s="136"/>
      <c r="O19" s="136"/>
      <c r="P19" s="136"/>
      <c r="Q19" s="136"/>
      <c r="R19" s="135"/>
      <c r="S19" s="135"/>
      <c r="T19" s="135"/>
      <c r="U19" s="135"/>
      <c r="V19" s="135"/>
    </row>
  </sheetData>
  <mergeCells count="21">
    <mergeCell ref="A1:V1"/>
    <mergeCell ref="A5:V5"/>
    <mergeCell ref="A6:V6"/>
    <mergeCell ref="A7:V7"/>
    <mergeCell ref="A8:V8"/>
    <mergeCell ref="I9:Q9"/>
    <mergeCell ref="A18:V18"/>
    <mergeCell ref="A19:V19"/>
    <mergeCell ref="A9:A10"/>
    <mergeCell ref="B9:B10"/>
    <mergeCell ref="C9:C10"/>
    <mergeCell ref="D9:D10"/>
    <mergeCell ref="E9:E10"/>
    <mergeCell ref="F9:F10"/>
    <mergeCell ref="G9:G10"/>
    <mergeCell ref="H9:H10"/>
    <mergeCell ref="R9:R10"/>
    <mergeCell ref="S9:S10"/>
    <mergeCell ref="T9:T10"/>
    <mergeCell ref="U9:U10"/>
    <mergeCell ref="V9:V10"/>
  </mergeCells>
  <dataValidations count="4">
    <dataValidation type="list" allowBlank="1" showInputMessage="1" showErrorMessage="1" sqref="B11:B17">
      <formula1>"IT一般控制,信息处理控制,CAATs,会计分录细节测试,其他"</formula1>
    </dataValidation>
    <dataValidation type="list" allowBlank="1" showInputMessage="1" showErrorMessage="1" sqref="R11:R16">
      <formula1>"重大缺陷,重要缺陷,一般缺陷"</formula1>
    </dataValidation>
    <dataValidation type="list" allowBlank="1" showInputMessage="1" showErrorMessage="1" sqref="S11:S17">
      <formula1>"是,否"</formula1>
    </dataValidation>
    <dataValidation type="list" allowBlank="1" showInputMessage="1" showErrorMessage="1" sqref="I11:Q17">
      <formula1>"√"</formula1>
    </dataValidation>
  </dataValidations>
  <pageMargins left="0.708333333333333" right="0.708333333333333" top="0.747916666666667" bottom="0.747916666666667" header="0.314583333333333" footer="0.314583333333333"/>
  <pageSetup paperSize="9" scale="69" orientation="landscape" blackAndWhite="1" horizontalDpi="600"/>
  <headerFooter>
    <oddFooter>&amp;C&amp;P/&amp;N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73"/>
  <sheetViews>
    <sheetView view="pageBreakPreview" zoomScaleNormal="110" topLeftCell="A9" workbookViewId="0">
      <selection activeCell="B10" sqref="B10:B11"/>
    </sheetView>
  </sheetViews>
  <sheetFormatPr defaultColWidth="9" defaultRowHeight="13.8" outlineLevelCol="5"/>
  <cols>
    <col min="1" max="1" width="36.2222222222222" style="6" customWidth="1"/>
    <col min="2" max="3" width="14.6666666666667" style="6" customWidth="1"/>
    <col min="4" max="4" width="16.3333333333333" style="6" customWidth="1"/>
    <col min="5" max="5" width="17.1111111111111" style="6" customWidth="1"/>
    <col min="6" max="6" width="15.1111111111111" style="6" customWidth="1"/>
    <col min="7" max="16384" width="9" style="6"/>
  </cols>
  <sheetData>
    <row r="1" ht="19.95" customHeight="1" spans="1:6">
      <c r="A1" s="77" t="s">
        <v>61</v>
      </c>
      <c r="B1" s="78"/>
      <c r="C1" s="78"/>
      <c r="D1" s="78"/>
      <c r="E1" s="78"/>
      <c r="F1" s="78"/>
    </row>
    <row r="2" ht="19.95" customHeight="1" spans="1:6">
      <c r="A2" s="79" t="s">
        <v>62</v>
      </c>
      <c r="B2" s="79"/>
      <c r="C2" s="79"/>
      <c r="D2" s="79"/>
      <c r="E2" s="79"/>
      <c r="F2" s="79"/>
    </row>
    <row r="3" ht="19.95" customHeight="1" spans="1:6">
      <c r="A3" s="12" t="s">
        <v>63</v>
      </c>
      <c r="B3" s="12" t="s">
        <v>64</v>
      </c>
      <c r="C3" s="12"/>
      <c r="D3" s="12" t="s">
        <v>65</v>
      </c>
      <c r="E3" s="80" t="s">
        <v>66</v>
      </c>
      <c r="F3" s="81" t="s">
        <v>67</v>
      </c>
    </row>
    <row r="4" ht="19.95" customHeight="1" spans="1:6">
      <c r="A4" s="12" t="s">
        <v>68</v>
      </c>
      <c r="B4" s="12" t="s">
        <v>69</v>
      </c>
      <c r="C4" s="12"/>
      <c r="D4" s="12" t="s">
        <v>70</v>
      </c>
      <c r="E4" s="80" t="s">
        <v>71</v>
      </c>
      <c r="F4" s="16">
        <v>2</v>
      </c>
    </row>
    <row r="5" ht="19.95" customHeight="1" spans="1:6">
      <c r="A5" s="82" t="s">
        <v>72</v>
      </c>
      <c r="B5" s="12"/>
      <c r="C5" s="12"/>
      <c r="D5" s="12"/>
      <c r="E5" s="80"/>
      <c r="F5" s="83"/>
    </row>
    <row r="6" s="76" customFormat="1" ht="19.95" customHeight="1" spans="1:6">
      <c r="A6" s="84"/>
      <c r="B6" s="85"/>
      <c r="C6" s="85"/>
      <c r="D6" s="85"/>
      <c r="E6" s="85"/>
      <c r="F6" s="86"/>
    </row>
    <row r="7" s="76" customFormat="1" ht="19.95" customHeight="1" spans="1:6">
      <c r="A7" s="87"/>
      <c r="B7" s="88"/>
      <c r="C7" s="88"/>
      <c r="D7" s="88"/>
      <c r="E7" s="88"/>
      <c r="F7" s="89"/>
    </row>
    <row r="8" s="76" customFormat="1" ht="19.95" customHeight="1" spans="1:6">
      <c r="A8" s="90"/>
      <c r="B8" s="91"/>
      <c r="C8" s="91"/>
      <c r="D8" s="91"/>
      <c r="E8" s="91"/>
      <c r="F8" s="92"/>
    </row>
    <row r="9" ht="29.25" customHeight="1" spans="1:6">
      <c r="A9" s="93" t="s">
        <v>73</v>
      </c>
      <c r="B9" s="93" t="s">
        <v>74</v>
      </c>
      <c r="C9" s="94" t="s">
        <v>75</v>
      </c>
      <c r="D9" s="95" t="s">
        <v>76</v>
      </c>
      <c r="E9" s="96"/>
      <c r="F9" s="93" t="s">
        <v>77</v>
      </c>
    </row>
    <row r="10" ht="28.05" customHeight="1" spans="1:6">
      <c r="A10" s="30" t="s">
        <v>78</v>
      </c>
      <c r="B10" s="46"/>
      <c r="C10" s="97"/>
      <c r="D10" s="45"/>
      <c r="E10" s="34"/>
      <c r="F10" s="35"/>
    </row>
    <row r="11" ht="40.05" customHeight="1" spans="1:6">
      <c r="A11" s="36"/>
      <c r="B11" s="37"/>
      <c r="C11" s="98"/>
      <c r="D11" s="48" t="str">
        <f>IF(B10="否","进入Step 2",IF(B10="是","进入Step 4",""))</f>
        <v/>
      </c>
      <c r="E11" s="40"/>
      <c r="F11" s="41"/>
    </row>
    <row r="12" ht="28.05" customHeight="1" spans="1:6">
      <c r="A12" s="30" t="s">
        <v>79</v>
      </c>
      <c r="B12" s="46"/>
      <c r="C12" s="97"/>
      <c r="D12" s="47"/>
      <c r="E12" s="34"/>
      <c r="F12" s="35"/>
    </row>
    <row r="13" ht="28.05" customHeight="1" spans="1:6">
      <c r="A13" s="36"/>
      <c r="B13" s="37"/>
      <c r="C13" s="98"/>
      <c r="D13" s="48"/>
      <c r="E13" s="40"/>
      <c r="F13" s="41" t="s">
        <v>80</v>
      </c>
    </row>
    <row r="14" ht="28.05" customHeight="1" spans="1:6">
      <c r="A14" s="30" t="s">
        <v>81</v>
      </c>
      <c r="B14" s="46"/>
      <c r="C14" s="97"/>
      <c r="D14" s="47"/>
      <c r="E14" s="34"/>
      <c r="F14" s="35"/>
    </row>
    <row r="15" ht="27" customHeight="1" spans="1:6">
      <c r="A15" s="36"/>
      <c r="B15" s="37"/>
      <c r="C15" s="98"/>
      <c r="D15" s="48"/>
      <c r="E15" s="40"/>
      <c r="F15" s="41" t="s">
        <v>80</v>
      </c>
    </row>
    <row r="16" ht="31.95" customHeight="1" spans="1:6">
      <c r="A16" s="45" t="s">
        <v>82</v>
      </c>
      <c r="B16" s="46"/>
      <c r="C16" s="97"/>
      <c r="D16" s="47"/>
      <c r="E16" s="34"/>
      <c r="F16" s="35"/>
    </row>
    <row r="17" ht="39" customHeight="1" spans="1:6">
      <c r="A17" s="36"/>
      <c r="B17" s="37"/>
      <c r="C17" s="98"/>
      <c r="D17" s="48" t="str">
        <f>IF(B16="否","属于 一般缺陷（但须考虑汇总后的结果）",IF(B16="是","进入Step 5",""))</f>
        <v/>
      </c>
      <c r="E17" s="40"/>
      <c r="F17" s="41"/>
    </row>
    <row r="18" ht="42" customHeight="1" spans="1:6">
      <c r="A18" s="45" t="s">
        <v>83</v>
      </c>
      <c r="B18" s="46"/>
      <c r="C18" s="97"/>
      <c r="D18" s="47"/>
      <c r="E18" s="34"/>
      <c r="F18" s="35"/>
    </row>
    <row r="19" ht="28.05" customHeight="1" spans="1:6">
      <c r="A19" s="36"/>
      <c r="B19" s="37"/>
      <c r="C19" s="98"/>
      <c r="D19" s="48" t="str">
        <f>IF(B18="否","属于 重要缺陷（但须考虑汇总后的结果）",IF(B18="是","属于 重大缺陷",""))</f>
        <v/>
      </c>
      <c r="E19" s="40"/>
      <c r="F19" s="41" t="s">
        <v>80</v>
      </c>
    </row>
    <row r="20" ht="34.05" customHeight="1" spans="1:6">
      <c r="A20" s="45" t="s">
        <v>84</v>
      </c>
      <c r="B20" s="46"/>
      <c r="C20" s="97"/>
      <c r="D20" s="45"/>
      <c r="E20" s="34"/>
      <c r="F20" s="35"/>
    </row>
    <row r="21" ht="34.95" customHeight="1" spans="1:6">
      <c r="A21" s="36"/>
      <c r="B21" s="37"/>
      <c r="C21" s="98"/>
      <c r="D21" s="48"/>
      <c r="E21" s="40"/>
      <c r="F21" s="41"/>
    </row>
    <row r="22" ht="42" customHeight="1" spans="1:6">
      <c r="A22" s="99" t="s">
        <v>85</v>
      </c>
      <c r="B22" s="99" t="s">
        <v>86</v>
      </c>
      <c r="C22" s="51"/>
      <c r="D22" s="51"/>
      <c r="E22" s="52"/>
      <c r="F22" s="57" t="s">
        <v>87</v>
      </c>
    </row>
    <row r="23" spans="1:6">
      <c r="A23" s="100" t="s">
        <v>88</v>
      </c>
    </row>
    <row r="24" spans="1:6">
      <c r="A24" s="101" t="s">
        <v>89</v>
      </c>
    </row>
    <row r="25" spans="1:6">
      <c r="A25" s="102" t="s">
        <v>90</v>
      </c>
    </row>
    <row r="26" spans="1:6">
      <c r="A26" s="102" t="s">
        <v>91</v>
      </c>
    </row>
    <row r="27" spans="1:6">
      <c r="A27" s="102" t="s">
        <v>92</v>
      </c>
    </row>
    <row r="28" spans="1:6">
      <c r="A28" s="102" t="s">
        <v>93</v>
      </c>
    </row>
    <row r="29" spans="1:6">
      <c r="A29" s="101" t="s">
        <v>94</v>
      </c>
    </row>
    <row r="30" spans="1:6">
      <c r="A30" s="101" t="s">
        <v>95</v>
      </c>
    </row>
    <row r="31" spans="1:6">
      <c r="A31" s="101" t="s">
        <v>96</v>
      </c>
    </row>
    <row r="32" spans="1:6">
      <c r="A32" s="101" t="s">
        <v>97</v>
      </c>
    </row>
    <row r="33" spans="1:6">
      <c r="A33" s="101" t="s">
        <v>98</v>
      </c>
    </row>
    <row r="34" spans="1:6">
      <c r="A34" s="102"/>
    </row>
    <row r="35" spans="1:6">
      <c r="A35" s="103" t="s">
        <v>99</v>
      </c>
      <c r="B35" s="104"/>
      <c r="C35" s="104"/>
      <c r="D35" s="104"/>
      <c r="E35" s="104"/>
      <c r="F35" s="104"/>
    </row>
    <row r="36" spans="1:6">
      <c r="A36" s="102" t="s">
        <v>100</v>
      </c>
      <c r="B36" s="104"/>
      <c r="C36" s="104"/>
      <c r="D36" s="104"/>
      <c r="E36" s="104"/>
      <c r="F36" s="104"/>
    </row>
    <row r="37" spans="1:6">
      <c r="A37" s="102" t="s">
        <v>101</v>
      </c>
      <c r="B37" s="104"/>
      <c r="C37" s="104"/>
      <c r="D37" s="104"/>
      <c r="E37" s="104"/>
      <c r="F37" s="104"/>
    </row>
    <row r="38" spans="1:6">
      <c r="A38" s="102" t="s">
        <v>102</v>
      </c>
      <c r="B38" s="104"/>
      <c r="C38" s="104"/>
      <c r="D38" s="104"/>
      <c r="E38" s="104"/>
      <c r="F38" s="104"/>
    </row>
    <row r="39" spans="1:6">
      <c r="A39" s="102" t="s">
        <v>103</v>
      </c>
      <c r="B39" s="104"/>
      <c r="C39" s="104"/>
      <c r="D39" s="104"/>
      <c r="E39" s="104"/>
      <c r="F39" s="104"/>
    </row>
    <row r="40" spans="1:6">
      <c r="A40" s="102" t="s">
        <v>104</v>
      </c>
      <c r="B40" s="104"/>
      <c r="C40" s="104"/>
      <c r="D40" s="104"/>
      <c r="E40" s="104"/>
      <c r="F40" s="104"/>
    </row>
    <row r="41" spans="1:6">
      <c r="A41" s="102"/>
      <c r="B41" s="104"/>
      <c r="C41" s="104"/>
      <c r="D41" s="104"/>
      <c r="E41" s="104"/>
      <c r="F41" s="104"/>
    </row>
    <row r="42" spans="1:6">
      <c r="A42" s="103" t="s">
        <v>105</v>
      </c>
      <c r="B42" s="104"/>
      <c r="C42" s="104"/>
      <c r="D42" s="104"/>
      <c r="E42" s="104"/>
      <c r="F42" s="104"/>
    </row>
    <row r="43" spans="1:6">
      <c r="A43" s="102" t="s">
        <v>106</v>
      </c>
      <c r="B43" s="104"/>
      <c r="C43" s="104"/>
      <c r="D43" s="104"/>
      <c r="E43" s="104"/>
      <c r="F43" s="104"/>
    </row>
    <row r="44" spans="1:6">
      <c r="A44" s="102" t="s">
        <v>107</v>
      </c>
      <c r="B44" s="104"/>
      <c r="C44" s="104"/>
      <c r="D44" s="104"/>
      <c r="E44" s="104"/>
      <c r="F44" s="104"/>
    </row>
    <row r="45" ht="17.1" customHeight="1" spans="1:6">
      <c r="A45" s="102" t="s">
        <v>108</v>
      </c>
    </row>
    <row r="46" spans="1:6">
      <c r="A46" s="102" t="s">
        <v>109</v>
      </c>
    </row>
    <row r="47" spans="1:6">
      <c r="A47" s="102"/>
    </row>
    <row r="48" spans="1:6">
      <c r="A48" s="103" t="s">
        <v>110</v>
      </c>
    </row>
    <row r="49" spans="1:1">
      <c r="A49" s="101" t="s">
        <v>111</v>
      </c>
    </row>
    <row r="50" spans="1:1">
      <c r="A50" s="101" t="s">
        <v>112</v>
      </c>
    </row>
    <row r="51" spans="1:1">
      <c r="A51" s="101" t="s">
        <v>113</v>
      </c>
    </row>
    <row r="52" spans="1:1">
      <c r="A52" s="101" t="s">
        <v>114</v>
      </c>
    </row>
    <row r="53" spans="1:1">
      <c r="A53" s="101" t="s">
        <v>115</v>
      </c>
    </row>
    <row r="54" spans="1:1">
      <c r="A54" s="101" t="s">
        <v>116</v>
      </c>
    </row>
    <row r="56" ht="17.1" customHeight="1" spans="1:1">
      <c r="A56" s="103" t="s">
        <v>117</v>
      </c>
    </row>
    <row r="57" ht="17.1" customHeight="1" spans="1:1">
      <c r="A57" s="101" t="s">
        <v>118</v>
      </c>
    </row>
    <row r="58" ht="17.1" customHeight="1" spans="1:1">
      <c r="A58" s="101" t="s">
        <v>119</v>
      </c>
    </row>
    <row r="59" spans="1:1">
      <c r="A59" s="102"/>
    </row>
    <row r="60" spans="1:1">
      <c r="A60" s="103" t="s">
        <v>120</v>
      </c>
    </row>
    <row r="61" spans="1:1">
      <c r="A61" s="101" t="s">
        <v>121</v>
      </c>
    </row>
    <row r="62" spans="1:1">
      <c r="A62" s="101" t="s">
        <v>122</v>
      </c>
    </row>
    <row r="63" spans="1:1">
      <c r="A63" s="101" t="s">
        <v>123</v>
      </c>
    </row>
    <row r="64" spans="1:1">
      <c r="A64" s="101" t="s">
        <v>124</v>
      </c>
    </row>
    <row r="65" spans="1:6">
      <c r="A65" s="101" t="s">
        <v>125</v>
      </c>
    </row>
    <row r="67" spans="1:6">
      <c r="A67" s="103" t="s">
        <v>126</v>
      </c>
    </row>
    <row r="68" spans="1:6">
      <c r="A68" s="101" t="s">
        <v>127</v>
      </c>
    </row>
    <row r="69" spans="1:6">
      <c r="A69" s="105" t="s">
        <v>128</v>
      </c>
      <c r="B69" s="105"/>
      <c r="C69" s="105"/>
      <c r="D69" s="105"/>
      <c r="E69" s="105"/>
      <c r="F69" s="105"/>
    </row>
    <row r="70" ht="43.05" customHeight="1" spans="1:6">
      <c r="A70" s="105" t="s">
        <v>129</v>
      </c>
      <c r="B70" s="105"/>
      <c r="C70" s="105"/>
      <c r="D70" s="105"/>
      <c r="E70" s="105"/>
      <c r="F70" s="105"/>
    </row>
    <row r="73" spans="1:6">
      <c r="B73" s="102"/>
    </row>
  </sheetData>
  <mergeCells count="37">
    <mergeCell ref="A1:F1"/>
    <mergeCell ref="A2:F2"/>
    <mergeCell ref="D9:E9"/>
    <mergeCell ref="D10:E10"/>
    <mergeCell ref="D11:E11"/>
    <mergeCell ref="D12:E12"/>
    <mergeCell ref="D13:E13"/>
    <mergeCell ref="D14:E14"/>
    <mergeCell ref="D15:E15"/>
    <mergeCell ref="D16:E16"/>
    <mergeCell ref="D17:E17"/>
    <mergeCell ref="D18:E18"/>
    <mergeCell ref="D19:E19"/>
    <mergeCell ref="D20:E20"/>
    <mergeCell ref="D21:E21"/>
    <mergeCell ref="B22:E22"/>
    <mergeCell ref="A69:F69"/>
    <mergeCell ref="A70:F70"/>
    <mergeCell ref="A10:A11"/>
    <mergeCell ref="A12:A13"/>
    <mergeCell ref="A14:A15"/>
    <mergeCell ref="A16:A17"/>
    <mergeCell ref="A18:A19"/>
    <mergeCell ref="A20:A21"/>
    <mergeCell ref="B10:B11"/>
    <mergeCell ref="B12:B13"/>
    <mergeCell ref="B14:B15"/>
    <mergeCell ref="B16:B17"/>
    <mergeCell ref="B18:B19"/>
    <mergeCell ref="B20:B21"/>
    <mergeCell ref="C10:C11"/>
    <mergeCell ref="C12:C13"/>
    <mergeCell ref="C14:C15"/>
    <mergeCell ref="C16:C17"/>
    <mergeCell ref="C18:C19"/>
    <mergeCell ref="C20:C21"/>
    <mergeCell ref="A6:F8"/>
  </mergeCells>
  <dataValidations count="1">
    <dataValidation type="list" allowBlank="1" showInputMessage="1" showErrorMessage="1" sqref="B10:B21">
      <formula1>"是,否"</formula1>
    </dataValidation>
  </dataValidations>
  <pageMargins left="0.708333333333333" right="0.708333333333333" top="0.747916666666667" bottom="0.747916666666667" header="0.314583333333333" footer="0.314583333333333"/>
  <pageSetup paperSize="9" scale="77" orientation="portrait" blackAndWhite="1" horizontalDpi="600"/>
  <headerFooter>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26"/>
  <sheetViews>
    <sheetView view="pageBreakPreview" zoomScaleNormal="100" topLeftCell="A7" workbookViewId="0">
      <selection activeCell="A8" sqref="A8:D26"/>
    </sheetView>
  </sheetViews>
  <sheetFormatPr defaultColWidth="8.88888888888889" defaultRowHeight="13.8" outlineLevelCol="3"/>
  <cols>
    <col min="1" max="1" width="19" style="2" customWidth="1"/>
    <col min="2" max="2" width="26.6666666666667" style="2" customWidth="1"/>
    <col min="3" max="3" width="19.6666666666667" style="2" customWidth="1"/>
    <col min="4" max="4" width="29.4444444444444" style="2" customWidth="1"/>
    <col min="5" max="16384" width="8.88888888888889" style="2"/>
  </cols>
  <sheetData>
    <row r="1" ht="19.95" customHeight="1" spans="1:4">
      <c r="A1" s="59" t="s">
        <v>130</v>
      </c>
      <c r="B1" s="60"/>
      <c r="C1" s="60"/>
      <c r="D1" s="60"/>
    </row>
    <row r="2" ht="19.95" customHeight="1" spans="1:4">
      <c r="A2" s="61" t="s">
        <v>131</v>
      </c>
      <c r="B2" s="61"/>
      <c r="C2" s="61" t="s">
        <v>132</v>
      </c>
      <c r="D2" s="62"/>
    </row>
    <row r="3" ht="19.95" customHeight="1" spans="1:4">
      <c r="A3" s="61" t="s">
        <v>133</v>
      </c>
      <c r="B3" s="61"/>
      <c r="C3" s="61" t="s">
        <v>134</v>
      </c>
      <c r="D3" s="61"/>
    </row>
    <row r="4" ht="19.95" customHeight="1" spans="1:4">
      <c r="A4" s="63" t="s">
        <v>135</v>
      </c>
      <c r="B4" s="64" t="s">
        <v>136</v>
      </c>
      <c r="C4" s="64"/>
      <c r="D4" s="64"/>
    </row>
    <row r="5" ht="19.95" customHeight="1" spans="1:4">
      <c r="A5" s="61" t="s">
        <v>137</v>
      </c>
      <c r="B5" s="63"/>
      <c r="C5" s="61" t="s">
        <v>138</v>
      </c>
      <c r="D5" s="62"/>
    </row>
    <row r="6" ht="19.95" customHeight="1" spans="1:4">
      <c r="A6" s="65" t="s">
        <v>139</v>
      </c>
      <c r="B6" s="63"/>
      <c r="C6" s="61" t="s">
        <v>140</v>
      </c>
      <c r="D6" s="62"/>
    </row>
    <row r="7" ht="19.95" customHeight="1" spans="1:4">
      <c r="A7" s="66" t="s">
        <v>141</v>
      </c>
      <c r="B7" s="66"/>
      <c r="C7" s="66"/>
      <c r="D7" s="66"/>
    </row>
    <row r="8" ht="19.95" customHeight="1" spans="1:4">
      <c r="A8" s="67" t="s">
        <v>142</v>
      </c>
      <c r="B8" s="68"/>
      <c r="C8" s="68"/>
      <c r="D8" s="69"/>
    </row>
    <row r="9" ht="19.95" customHeight="1" spans="1:4">
      <c r="A9" s="70"/>
      <c r="B9" s="71"/>
      <c r="C9" s="71"/>
      <c r="D9" s="72"/>
    </row>
    <row r="10" ht="19.95" customHeight="1" spans="1:4">
      <c r="A10" s="70"/>
      <c r="B10" s="71"/>
      <c r="C10" s="71"/>
      <c r="D10" s="72"/>
    </row>
    <row r="11" ht="19.95" customHeight="1" spans="1:4">
      <c r="A11" s="70"/>
      <c r="B11" s="71"/>
      <c r="C11" s="71"/>
      <c r="D11" s="72"/>
    </row>
    <row r="12" ht="19.95" customHeight="1" spans="1:4">
      <c r="A12" s="70"/>
      <c r="B12" s="71"/>
      <c r="C12" s="71"/>
      <c r="D12" s="72"/>
    </row>
    <row r="13" ht="19.95" customHeight="1" spans="1:4">
      <c r="A13" s="70"/>
      <c r="B13" s="71"/>
      <c r="C13" s="71"/>
      <c r="D13" s="72"/>
    </row>
    <row r="14" ht="19.95" customHeight="1" spans="1:4">
      <c r="A14" s="70"/>
      <c r="B14" s="71"/>
      <c r="C14" s="71"/>
      <c r="D14" s="72"/>
    </row>
    <row r="15" ht="19.95" customHeight="1" spans="1:4">
      <c r="A15" s="70"/>
      <c r="B15" s="71"/>
      <c r="C15" s="71"/>
      <c r="D15" s="72"/>
    </row>
    <row r="16" ht="19.95" customHeight="1" spans="1:4">
      <c r="A16" s="70"/>
      <c r="B16" s="71"/>
      <c r="C16" s="71"/>
      <c r="D16" s="72"/>
    </row>
    <row r="17" ht="19.95" customHeight="1" spans="1:4">
      <c r="A17" s="70"/>
      <c r="B17" s="71"/>
      <c r="C17" s="71"/>
      <c r="D17" s="72"/>
    </row>
    <row r="18" ht="19.95" customHeight="1" spans="1:4">
      <c r="A18" s="70"/>
      <c r="B18" s="71"/>
      <c r="C18" s="71"/>
      <c r="D18" s="72"/>
    </row>
    <row r="19" ht="19.95" customHeight="1" spans="1:4">
      <c r="A19" s="70"/>
      <c r="B19" s="71"/>
      <c r="C19" s="71"/>
      <c r="D19" s="72"/>
    </row>
    <row r="20" ht="19.95" customHeight="1" spans="1:4">
      <c r="A20" s="70"/>
      <c r="B20" s="71"/>
      <c r="C20" s="71"/>
      <c r="D20" s="72"/>
    </row>
    <row r="21" ht="19.95" customHeight="1" spans="1:4">
      <c r="A21" s="70"/>
      <c r="B21" s="71"/>
      <c r="C21" s="71"/>
      <c r="D21" s="72"/>
    </row>
    <row r="22" ht="19.95" customHeight="1" spans="1:4">
      <c r="A22" s="70"/>
      <c r="B22" s="71"/>
      <c r="C22" s="71"/>
      <c r="D22" s="72"/>
    </row>
    <row r="23" ht="19.95" customHeight="1" spans="1:4">
      <c r="A23" s="70"/>
      <c r="B23" s="71"/>
      <c r="C23" s="71"/>
      <c r="D23" s="72"/>
    </row>
    <row r="24" ht="19.95" customHeight="1" spans="1:4">
      <c r="A24" s="70"/>
      <c r="B24" s="71"/>
      <c r="C24" s="71"/>
      <c r="D24" s="72"/>
    </row>
    <row r="25" ht="19.95" customHeight="1" spans="1:4">
      <c r="A25" s="70"/>
      <c r="B25" s="71"/>
      <c r="C25" s="71"/>
      <c r="D25" s="72"/>
    </row>
    <row r="26" ht="19.95" customHeight="1" spans="1:4">
      <c r="A26" s="73"/>
      <c r="B26" s="74"/>
      <c r="C26" s="74"/>
      <c r="D26" s="75"/>
    </row>
  </sheetData>
  <mergeCells count="4">
    <mergeCell ref="A1:D1"/>
    <mergeCell ref="B4:D4"/>
    <mergeCell ref="A7:D7"/>
    <mergeCell ref="A8:D26"/>
  </mergeCells>
  <printOptions horizontalCentered="1"/>
  <pageMargins left="0.708333333333333" right="0.708333333333333" top="0.747916666666667" bottom="0.747916666666667" header="0.314583333333333" footer="0.314583333333333"/>
  <pageSetup paperSize="9" scale="92" orientation="portrait" blackAndWhite="1" horizontalDpi="600"/>
  <headerFooter>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5" tint="0.399945066682943"/>
  </sheetPr>
  <dimension ref="A1:F22"/>
  <sheetViews>
    <sheetView view="pageBreakPreview" zoomScaleNormal="130" topLeftCell="A11" workbookViewId="0">
      <selection activeCell="A8" sqref="A8:E26"/>
    </sheetView>
  </sheetViews>
  <sheetFormatPr defaultColWidth="9" defaultRowHeight="13.8" outlineLevelCol="5"/>
  <cols>
    <col min="1" max="1" width="31.8888888888889" style="6" customWidth="1"/>
    <col min="2" max="2" width="13.2222222222222" style="6" customWidth="1"/>
    <col min="3" max="3" width="15.8888888888889" style="6" customWidth="1"/>
    <col min="4" max="4" width="21" style="6" customWidth="1"/>
    <col min="5" max="5" width="16.1111111111111" style="6" customWidth="1"/>
    <col min="6" max="6" width="15.2222222222222" style="6" customWidth="1"/>
    <col min="7" max="16384" width="9" style="6"/>
  </cols>
  <sheetData>
    <row r="1" ht="19.95" customHeight="1" spans="1:6">
      <c r="A1" s="7" t="s">
        <v>61</v>
      </c>
      <c r="B1" s="8"/>
      <c r="C1" s="8"/>
      <c r="D1" s="8"/>
      <c r="E1" s="8"/>
      <c r="F1" s="8"/>
    </row>
    <row r="2" ht="19.95" customHeight="1" spans="1:6">
      <c r="A2" s="9" t="s">
        <v>143</v>
      </c>
      <c r="B2" s="10"/>
      <c r="C2" s="10"/>
      <c r="D2" s="10"/>
      <c r="E2" s="10"/>
      <c r="F2" s="10"/>
    </row>
    <row r="3" ht="19.95" customHeight="1" spans="1:6">
      <c r="A3" s="11" t="s">
        <v>144</v>
      </c>
      <c r="B3" s="11" t="s">
        <v>145</v>
      </c>
      <c r="C3" s="12"/>
      <c r="D3" s="11" t="s">
        <v>146</v>
      </c>
      <c r="E3" s="13" t="s">
        <v>147</v>
      </c>
      <c r="F3" s="12" t="s">
        <v>148</v>
      </c>
    </row>
    <row r="4" ht="19.95" customHeight="1" spans="1:6">
      <c r="A4" s="11" t="s">
        <v>149</v>
      </c>
      <c r="B4" s="11" t="s">
        <v>150</v>
      </c>
      <c r="C4" s="12"/>
      <c r="D4" s="11" t="s">
        <v>151</v>
      </c>
      <c r="E4" s="13" t="s">
        <v>71</v>
      </c>
      <c r="F4" s="16">
        <v>3</v>
      </c>
    </row>
    <row r="5" ht="19.95" customHeight="1" spans="1:6">
      <c r="A5" s="15" t="s">
        <v>152</v>
      </c>
      <c r="B5" s="11"/>
      <c r="C5" s="12"/>
      <c r="D5" s="11"/>
      <c r="E5" s="13"/>
      <c r="F5" s="16"/>
    </row>
    <row r="6" ht="19.95" customHeight="1" spans="1:6">
      <c r="A6" s="17" t="s">
        <v>153</v>
      </c>
      <c r="B6" s="18"/>
      <c r="C6" s="18"/>
      <c r="D6" s="18"/>
      <c r="E6" s="18"/>
      <c r="F6" s="54"/>
    </row>
    <row r="7" ht="19.95" customHeight="1" spans="1:6">
      <c r="A7" s="23"/>
      <c r="B7" s="24"/>
      <c r="C7" s="24"/>
      <c r="D7" s="24"/>
      <c r="E7" s="24"/>
      <c r="F7" s="55"/>
    </row>
    <row r="8" ht="28.05" customHeight="1" spans="1:6">
      <c r="A8" s="26" t="s">
        <v>154</v>
      </c>
      <c r="B8" s="26" t="s">
        <v>74</v>
      </c>
      <c r="C8" s="27" t="s">
        <v>155</v>
      </c>
      <c r="D8" s="28" t="s">
        <v>156</v>
      </c>
      <c r="E8" s="29"/>
      <c r="F8" s="56" t="s">
        <v>77</v>
      </c>
    </row>
    <row r="9" ht="31.05" customHeight="1" spans="1:6">
      <c r="A9" s="30" t="s">
        <v>157</v>
      </c>
      <c r="B9" s="31" t="s">
        <v>158</v>
      </c>
      <c r="C9" s="32"/>
      <c r="D9" s="45"/>
      <c r="E9" s="34"/>
      <c r="F9" s="35"/>
    </row>
    <row r="10" ht="31.05" customHeight="1" spans="1:6">
      <c r="A10" s="36"/>
      <c r="B10" s="37"/>
      <c r="C10" s="38"/>
      <c r="D10" s="39" t="str">
        <f>IF(B9="否","进入Step 2",IF(B9="是","进入Step 4",""))</f>
        <v>进入Step 4</v>
      </c>
      <c r="E10" s="40"/>
      <c r="F10" s="41"/>
    </row>
    <row r="11" ht="31.05" customHeight="1" spans="1:6">
      <c r="A11" s="45" t="s">
        <v>159</v>
      </c>
      <c r="B11" s="31"/>
      <c r="C11" s="32"/>
      <c r="D11" s="47"/>
      <c r="E11" s="34"/>
      <c r="F11" s="35"/>
    </row>
    <row r="12" ht="31.05" customHeight="1" spans="1:6">
      <c r="A12" s="36"/>
      <c r="B12" s="37"/>
      <c r="C12" s="38"/>
      <c r="D12" s="39"/>
      <c r="E12" s="40"/>
      <c r="F12" s="41" t="str">
        <f>IF(D12="属于 重大缺陷","进入Step 6","")</f>
        <v/>
      </c>
    </row>
    <row r="13" ht="31.05" customHeight="1" spans="1:6">
      <c r="A13" s="45" t="s">
        <v>160</v>
      </c>
      <c r="B13" s="46"/>
      <c r="C13" s="32"/>
      <c r="D13" s="47"/>
      <c r="E13" s="34"/>
      <c r="F13" s="35"/>
    </row>
    <row r="14" ht="31.05" customHeight="1" spans="1:6">
      <c r="A14" s="36"/>
      <c r="B14" s="37"/>
      <c r="C14" s="38"/>
      <c r="D14" s="48"/>
      <c r="E14" s="40"/>
      <c r="F14" s="41" t="str">
        <f>IF(D14="属于 重大缺陷","进入Step 6","")</f>
        <v/>
      </c>
    </row>
    <row r="15" ht="117" customHeight="1" spans="1:6">
      <c r="A15" s="45" t="s">
        <v>161</v>
      </c>
      <c r="B15" s="31" t="s">
        <v>158</v>
      </c>
      <c r="C15" s="32"/>
      <c r="D15" s="42" t="s">
        <v>162</v>
      </c>
      <c r="E15" s="34"/>
      <c r="F15" s="35"/>
    </row>
    <row r="16" ht="19.95" customHeight="1" spans="1:6">
      <c r="A16" s="36"/>
      <c r="B16" s="37"/>
      <c r="C16" s="38"/>
      <c r="D16" s="39" t="str">
        <f>IF(B15="否","属于 一般缺陷（但须考虑汇总后的结果）",IF(B15="是","进入Step 5",""))</f>
        <v>进入Step 5</v>
      </c>
      <c r="E16" s="40"/>
      <c r="F16" s="37" t="s">
        <v>163</v>
      </c>
    </row>
    <row r="17" ht="40.05" customHeight="1" spans="1:6">
      <c r="A17" s="45" t="s">
        <v>164</v>
      </c>
      <c r="B17" s="46" t="s">
        <v>158</v>
      </c>
      <c r="C17" s="32"/>
      <c r="D17" s="47"/>
      <c r="E17" s="34"/>
      <c r="F17" s="35"/>
    </row>
    <row r="18" ht="31.05" customHeight="1" spans="1:6">
      <c r="A18" s="36"/>
      <c r="B18" s="37"/>
      <c r="C18" s="38"/>
      <c r="D18" s="48" t="str">
        <f>IF(B17="否","属于 重要缺陷（但须考虑汇总后的结果）",IF(B17="是","属于 重大缺陷",""))</f>
        <v>属于 重大缺陷</v>
      </c>
      <c r="E18" s="40"/>
      <c r="F18" s="41" t="str">
        <f>IF(D18="属于 重大缺陷","进入Step 6","")</f>
        <v>进入Step 6</v>
      </c>
    </row>
    <row r="19" ht="36" customHeight="1" spans="1:6">
      <c r="A19" s="45" t="s">
        <v>165</v>
      </c>
      <c r="B19" s="46" t="s">
        <v>166</v>
      </c>
      <c r="C19" s="32"/>
      <c r="D19" s="45"/>
      <c r="E19" s="34"/>
      <c r="F19" s="35"/>
    </row>
    <row r="20" ht="31.05" customHeight="1" spans="1:6">
      <c r="A20" s="36"/>
      <c r="B20" s="37"/>
      <c r="C20" s="38"/>
      <c r="D20" s="48" t="str">
        <f>IF(B19="否","属于 重大缺陷",IF(B19="是","不属于缺陷",""))</f>
        <v>属于 重大缺陷</v>
      </c>
      <c r="E20" s="40"/>
      <c r="F20" s="41"/>
    </row>
    <row r="21" ht="28.95" customHeight="1" spans="1:6">
      <c r="A21" s="50" t="s">
        <v>85</v>
      </c>
      <c r="B21" s="50" t="s">
        <v>167</v>
      </c>
      <c r="C21" s="51"/>
      <c r="D21" s="51"/>
      <c r="E21" s="52"/>
      <c r="F21" s="57" t="s">
        <v>168</v>
      </c>
    </row>
    <row r="22" spans="1:6">
      <c r="E22" s="58"/>
    </row>
  </sheetData>
  <mergeCells count="35">
    <mergeCell ref="A1:F1"/>
    <mergeCell ref="A2:F2"/>
    <mergeCell ref="D8:E8"/>
    <mergeCell ref="D9:E9"/>
    <mergeCell ref="D10:E10"/>
    <mergeCell ref="D11:E11"/>
    <mergeCell ref="D12:E12"/>
    <mergeCell ref="D13:E13"/>
    <mergeCell ref="D14:E14"/>
    <mergeCell ref="D15:E15"/>
    <mergeCell ref="D16:E16"/>
    <mergeCell ref="D17:E17"/>
    <mergeCell ref="D18:E18"/>
    <mergeCell ref="D19:E19"/>
    <mergeCell ref="D20:E20"/>
    <mergeCell ref="B21:E21"/>
    <mergeCell ref="A9:A10"/>
    <mergeCell ref="A11:A12"/>
    <mergeCell ref="A13:A14"/>
    <mergeCell ref="A15:A16"/>
    <mergeCell ref="A17:A18"/>
    <mergeCell ref="A19:A20"/>
    <mergeCell ref="B9:B10"/>
    <mergeCell ref="B11:B12"/>
    <mergeCell ref="B13:B14"/>
    <mergeCell ref="B15:B16"/>
    <mergeCell ref="B17:B18"/>
    <mergeCell ref="B19:B20"/>
    <mergeCell ref="C9:C10"/>
    <mergeCell ref="C11:C12"/>
    <mergeCell ref="C13:C14"/>
    <mergeCell ref="C15:C16"/>
    <mergeCell ref="C17:C18"/>
    <mergeCell ref="C19:C20"/>
    <mergeCell ref="A6:F7"/>
  </mergeCells>
  <dataValidations count="1">
    <dataValidation type="list" allowBlank="1" showInputMessage="1" showErrorMessage="1" sqref="B9:B20">
      <formula1>"是,否"</formula1>
    </dataValidation>
  </dataValidations>
  <printOptions horizontalCentered="1"/>
  <pageMargins left="0.708333333333333" right="0.708333333333333" top="0.747916666666667" bottom="0.747916666666667" header="0.314583333333333" footer="0.314583333333333"/>
  <pageSetup paperSize="9" scale="92" orientation="portrait" blackAndWhite="1" horizontalDpi="600"/>
  <headerFooter>
    <oddFooter>&amp;C&amp;P/&amp;N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5" tint="0.399945066682943"/>
  </sheetPr>
  <dimension ref="A1:F23"/>
  <sheetViews>
    <sheetView view="pageBreakPreview" zoomScaleNormal="130" workbookViewId="0">
      <selection activeCell="A6" sqref="A6:F26"/>
    </sheetView>
  </sheetViews>
  <sheetFormatPr defaultColWidth="14" defaultRowHeight="13.8" outlineLevelCol="5"/>
  <cols>
    <col min="1" max="1" width="33.2222222222222" style="6" customWidth="1"/>
    <col min="2" max="2" width="14" style="6" customWidth="1"/>
    <col min="3" max="3" width="15.8888888888889" style="6" customWidth="1"/>
    <col min="4" max="4" width="17.2222222222222" style="6" customWidth="1"/>
    <col min="5" max="5" width="21.5555555555556" style="6" customWidth="1"/>
    <col min="6" max="16383" width="14" style="6" customWidth="1"/>
    <col min="16384" max="16384" width="14" style="6"/>
  </cols>
  <sheetData>
    <row r="1" ht="19.95" customHeight="1" spans="1:6">
      <c r="A1" s="7" t="s">
        <v>61</v>
      </c>
      <c r="B1" s="8"/>
      <c r="C1" s="8"/>
      <c r="D1" s="8"/>
      <c r="E1" s="8"/>
      <c r="F1" s="8"/>
    </row>
    <row r="2" ht="24" customHeight="1" spans="1:6">
      <c r="A2" s="9" t="s">
        <v>169</v>
      </c>
      <c r="B2" s="10"/>
      <c r="C2" s="10"/>
      <c r="D2" s="10"/>
      <c r="E2" s="10"/>
      <c r="F2" s="10"/>
    </row>
    <row r="3" ht="17.25" customHeight="1" spans="1:6">
      <c r="A3" s="11" t="s">
        <v>144</v>
      </c>
      <c r="B3" s="11" t="s">
        <v>145</v>
      </c>
      <c r="C3" s="12"/>
      <c r="D3" s="11" t="s">
        <v>146</v>
      </c>
      <c r="E3" s="13" t="s">
        <v>147</v>
      </c>
      <c r="F3" s="12" t="s">
        <v>170</v>
      </c>
    </row>
    <row r="4" ht="17.25" customHeight="1" spans="1:6">
      <c r="A4" s="11" t="s">
        <v>149</v>
      </c>
      <c r="B4" s="11" t="s">
        <v>150</v>
      </c>
      <c r="C4" s="12"/>
      <c r="D4" s="11" t="s">
        <v>151</v>
      </c>
      <c r="E4" s="14" t="s">
        <v>171</v>
      </c>
      <c r="F4" s="11">
        <v>4</v>
      </c>
    </row>
    <row r="5" ht="19.95" customHeight="1" spans="1:6">
      <c r="A5" s="15" t="s">
        <v>152</v>
      </c>
      <c r="B5" s="11"/>
      <c r="C5" s="12"/>
      <c r="D5" s="11"/>
      <c r="E5" s="13"/>
      <c r="F5" s="16"/>
    </row>
    <row r="6" ht="17.25" customHeight="1" spans="1:6">
      <c r="A6" s="17" t="s">
        <v>172</v>
      </c>
      <c r="B6" s="18"/>
      <c r="C6" s="18"/>
      <c r="D6" s="18"/>
      <c r="E6" s="18"/>
      <c r="F6" s="19"/>
    </row>
    <row r="7" ht="17.25" customHeight="1" spans="1:6">
      <c r="A7" s="20"/>
      <c r="B7" s="21"/>
      <c r="C7" s="21"/>
      <c r="D7" s="21"/>
      <c r="E7" s="21"/>
      <c r="F7" s="22"/>
    </row>
    <row r="8" ht="17.25" customHeight="1" spans="1:6">
      <c r="A8" s="20"/>
      <c r="B8" s="21"/>
      <c r="C8" s="21"/>
      <c r="D8" s="21"/>
      <c r="E8" s="21"/>
      <c r="F8" s="22"/>
    </row>
    <row r="9" ht="17.25" customHeight="1" spans="1:6">
      <c r="A9" s="23"/>
      <c r="B9" s="24"/>
      <c r="C9" s="24"/>
      <c r="D9" s="24"/>
      <c r="E9" s="24"/>
      <c r="F9" s="25"/>
    </row>
    <row r="10" ht="32.25" customHeight="1" spans="1:6">
      <c r="A10" s="26" t="s">
        <v>154</v>
      </c>
      <c r="B10" s="26" t="s">
        <v>74</v>
      </c>
      <c r="C10" s="27" t="s">
        <v>155</v>
      </c>
      <c r="D10" s="28" t="s">
        <v>156</v>
      </c>
      <c r="E10" s="29"/>
      <c r="F10" s="26" t="s">
        <v>173</v>
      </c>
    </row>
    <row r="11" ht="64.2" customHeight="1" spans="1:6">
      <c r="A11" s="30" t="s">
        <v>157</v>
      </c>
      <c r="B11" s="31" t="s">
        <v>166</v>
      </c>
      <c r="C11" s="32"/>
      <c r="D11" s="33" t="s">
        <v>174</v>
      </c>
      <c r="E11" s="34"/>
      <c r="F11" s="35"/>
    </row>
    <row r="12" ht="17.25" customHeight="1" spans="1:6">
      <c r="A12" s="36"/>
      <c r="B12" s="37"/>
      <c r="C12" s="38"/>
      <c r="D12" s="39" t="str">
        <f>IF(B11="否","进入Step 2",IF(B11="是","进入Step 4",""))</f>
        <v>进入Step 2</v>
      </c>
      <c r="E12" s="40"/>
      <c r="F12" s="41"/>
    </row>
    <row r="13" ht="63" customHeight="1" spans="1:6">
      <c r="A13" s="30" t="s">
        <v>175</v>
      </c>
      <c r="B13" s="31" t="s">
        <v>158</v>
      </c>
      <c r="C13" s="32"/>
      <c r="D13" s="42" t="s">
        <v>176</v>
      </c>
      <c r="E13" s="34"/>
      <c r="F13" s="35"/>
    </row>
    <row r="14" ht="17.25" customHeight="1" spans="1:6">
      <c r="A14" s="36"/>
      <c r="B14" s="37"/>
      <c r="C14" s="38"/>
      <c r="D14" s="39" t="str">
        <f>IF(B13="是","进入Step 3",IF(B13="否","进入Step 4",""))</f>
        <v>进入Step 3</v>
      </c>
      <c r="E14" s="40"/>
      <c r="F14" s="41" t="str">
        <f>IF(D14="属于 重大缺陷","进入Step 6","")</f>
        <v/>
      </c>
    </row>
    <row r="15" ht="62.25" customHeight="1" spans="1:6">
      <c r="A15" s="30" t="s">
        <v>177</v>
      </c>
      <c r="B15" s="31" t="s">
        <v>158</v>
      </c>
      <c r="C15" s="32"/>
      <c r="D15" s="42" t="s">
        <v>178</v>
      </c>
      <c r="E15" s="34"/>
      <c r="F15" s="43" t="s">
        <v>179</v>
      </c>
    </row>
    <row r="16" ht="17.25" customHeight="1" spans="1:6">
      <c r="A16" s="36"/>
      <c r="B16" s="37"/>
      <c r="C16" s="38"/>
      <c r="D16" s="39" t="str">
        <f>IF(B15="是","属于 重大缺陷",IF(B15="否","进入Step 4",""))</f>
        <v>属于 重大缺陷</v>
      </c>
      <c r="E16" s="40"/>
      <c r="F16" s="44" t="str">
        <f>IF(D16="属于 重大缺陷","进入Step 6","")</f>
        <v>进入Step 6</v>
      </c>
    </row>
    <row r="17" ht="82.95" customHeight="1" spans="1:6">
      <c r="A17" s="45" t="s">
        <v>161</v>
      </c>
      <c r="B17" s="46"/>
      <c r="C17" s="32"/>
      <c r="D17" s="47"/>
      <c r="E17" s="34"/>
      <c r="F17" s="35"/>
    </row>
    <row r="18" ht="17.25" customHeight="1" spans="1:6">
      <c r="A18" s="36"/>
      <c r="B18" s="37"/>
      <c r="C18" s="38"/>
      <c r="D18" s="48" t="str">
        <f>IF(B17="否","属于 一般缺陷（但须考虑汇总后的结果）",IF(B17="是","进入Step 5",""))</f>
        <v/>
      </c>
      <c r="E18" s="40"/>
      <c r="F18" s="37"/>
    </row>
    <row r="19" ht="63" customHeight="1" spans="1:6">
      <c r="A19" s="45" t="s">
        <v>164</v>
      </c>
      <c r="B19" s="46"/>
      <c r="C19" s="32"/>
      <c r="D19" s="47"/>
      <c r="E19" s="34"/>
      <c r="F19" s="35"/>
    </row>
    <row r="20" ht="17.25" customHeight="1" spans="1:6">
      <c r="A20" s="36"/>
      <c r="B20" s="37"/>
      <c r="C20" s="38"/>
      <c r="D20" s="48" t="str">
        <f>IF(B19="否","属于 重要缺陷（但须考虑汇总后的结果）",IF(B19="是","属于 重大缺陷",""))</f>
        <v/>
      </c>
      <c r="E20" s="40"/>
      <c r="F20" s="41" t="str">
        <f>IF(D20="属于 重大缺陷","进入Step 6","")</f>
        <v/>
      </c>
    </row>
    <row r="21" ht="57" customHeight="1" spans="1:6">
      <c r="A21" s="45" t="s">
        <v>165</v>
      </c>
      <c r="B21" s="31" t="s">
        <v>166</v>
      </c>
      <c r="C21" s="32"/>
      <c r="D21" s="45"/>
      <c r="E21" s="34"/>
      <c r="F21" s="35"/>
    </row>
    <row r="22" ht="17.25" customHeight="1" spans="1:6">
      <c r="A22" s="36"/>
      <c r="B22" s="37"/>
      <c r="C22" s="38"/>
      <c r="D22" s="39" t="str">
        <f>IF(B21="否","属于 重大缺陷",IF(B21="是","不属于缺陷",""))</f>
        <v>属于 重大缺陷</v>
      </c>
      <c r="E22" s="49"/>
      <c r="F22" s="41"/>
    </row>
    <row r="23" ht="42" customHeight="1" spans="1:6">
      <c r="A23" s="50" t="s">
        <v>85</v>
      </c>
      <c r="B23" s="50" t="s">
        <v>180</v>
      </c>
      <c r="C23" s="51"/>
      <c r="D23" s="51"/>
      <c r="E23" s="52"/>
      <c r="F23" s="53" t="s">
        <v>168</v>
      </c>
    </row>
  </sheetData>
  <mergeCells count="35">
    <mergeCell ref="A1:F1"/>
    <mergeCell ref="A2:F2"/>
    <mergeCell ref="D10:E10"/>
    <mergeCell ref="D11:E11"/>
    <mergeCell ref="D12:E12"/>
    <mergeCell ref="D13:E13"/>
    <mergeCell ref="D14:E14"/>
    <mergeCell ref="D15:E15"/>
    <mergeCell ref="D16:E16"/>
    <mergeCell ref="D17:E17"/>
    <mergeCell ref="D18:E18"/>
    <mergeCell ref="D19:E19"/>
    <mergeCell ref="D20:E20"/>
    <mergeCell ref="D21:E21"/>
    <mergeCell ref="D22:E22"/>
    <mergeCell ref="B23:E23"/>
    <mergeCell ref="A11:A12"/>
    <mergeCell ref="A13:A14"/>
    <mergeCell ref="A15:A16"/>
    <mergeCell ref="A17:A18"/>
    <mergeCell ref="A19:A20"/>
    <mergeCell ref="A21:A22"/>
    <mergeCell ref="B11:B12"/>
    <mergeCell ref="B13:B14"/>
    <mergeCell ref="B15:B16"/>
    <mergeCell ref="B17:B18"/>
    <mergeCell ref="B19:B20"/>
    <mergeCell ref="B21:B22"/>
    <mergeCell ref="C11:C12"/>
    <mergeCell ref="C13:C14"/>
    <mergeCell ref="C15:C16"/>
    <mergeCell ref="C17:C18"/>
    <mergeCell ref="C19:C20"/>
    <mergeCell ref="C21:C22"/>
    <mergeCell ref="A6:F9"/>
  </mergeCells>
  <dataValidations count="1">
    <dataValidation type="list" allowBlank="1" showInputMessage="1" showErrorMessage="1" sqref="B11:B22">
      <formula1>"是,否"</formula1>
    </dataValidation>
  </dataValidations>
  <printOptions horizontalCentered="1"/>
  <pageMargins left="0.708333333333333" right="0.708333333333333" top="0.747916666666667" bottom="0.747916666666667" header="0.314583333333333" footer="0.314583333333333"/>
  <pageSetup paperSize="9" scale="92" orientation="portrait" blackAndWhite="1" horizontalDpi="600"/>
  <headerFooter>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5" tint="0.399975585192419"/>
  </sheetPr>
  <dimension ref="A1:L31"/>
  <sheetViews>
    <sheetView view="pageBreakPreview" zoomScaleNormal="100" workbookViewId="0">
      <selection activeCell="A8" sqref="A8:D26"/>
    </sheetView>
  </sheetViews>
  <sheetFormatPr defaultColWidth="11" defaultRowHeight="13.8"/>
  <cols>
    <col min="1" max="1" width="11" style="2" customWidth="1"/>
    <col min="2" max="16384" width="11" style="2"/>
  </cols>
  <sheetData>
    <row r="1" s="1" customFormat="1" ht="79.95" customHeight="1" spans="1:12">
      <c r="A1" s="3" t="s">
        <v>181</v>
      </c>
      <c r="B1" s="3"/>
      <c r="C1" s="3"/>
      <c r="D1" s="3"/>
      <c r="E1" s="3"/>
      <c r="F1" s="3"/>
      <c r="G1" s="3"/>
      <c r="H1" s="3"/>
      <c r="I1" s="3"/>
      <c r="J1" s="3"/>
      <c r="L1" s="4"/>
    </row>
    <row r="24" spans="1:10">
      <c r="E24" s="5"/>
    </row>
    <row r="29" ht="79.05" customHeight="1"/>
    <row r="30" s="1" customFormat="1" ht="31.05" customHeight="1" spans="1:10">
      <c r="A30" s="3" t="s">
        <v>182</v>
      </c>
      <c r="B30" s="3"/>
      <c r="C30" s="3"/>
      <c r="D30" s="3"/>
      <c r="E30" s="3"/>
      <c r="F30" s="3"/>
      <c r="G30" s="3"/>
      <c r="H30" s="3"/>
      <c r="I30" s="3"/>
      <c r="J30" s="3"/>
    </row>
    <row r="31" s="1" customFormat="1" ht="165" customHeight="1" spans="1:10">
      <c r="A31" s="3" t="s">
        <v>183</v>
      </c>
      <c r="B31" s="3"/>
      <c r="C31" s="3"/>
      <c r="D31" s="3"/>
      <c r="E31" s="3"/>
      <c r="F31" s="3"/>
      <c r="G31" s="3"/>
      <c r="H31" s="3"/>
      <c r="I31" s="3"/>
      <c r="J31" s="3"/>
    </row>
  </sheetData>
  <mergeCells count="3">
    <mergeCell ref="A1:J1"/>
    <mergeCell ref="A30:J30"/>
    <mergeCell ref="A31:J31"/>
  </mergeCells>
  <printOptions horizontalCentered="1"/>
  <pageMargins left="0.708333333333333" right="0.708333333333333" top="0.747916666666667" bottom="0.747916666666667" header="0.314583333333333" footer="0.314583333333333"/>
  <pageSetup paperSize="9" scale="92" orientation="portrait" blackAndWhite="1" horizontalDpi="600"/>
  <headerFooter>
    <oddFooter>&amp;C&amp;P/&amp;N</oddFooter>
  </headerFooter>
  <drawing r:id="rId1"/>
</worksheet>
</file>

<file path=docProps/app.xml><?xml version="1.0" encoding="utf-8"?>
<Properties xmlns="http://schemas.openxmlformats.org/officeDocument/2006/extended-properties" xmlns:vt="http://schemas.openxmlformats.org/officeDocument/2006/docPropsVTypes">
  <Company>Grant Thornton International</Company>
  <Application>Microsoft Excel</Application>
  <HeadingPairs>
    <vt:vector size="2" baseType="variant">
      <vt:variant>
        <vt:lpstr>工作表</vt:lpstr>
      </vt:variant>
      <vt:variant>
        <vt:i4>6</vt:i4>
      </vt:variant>
    </vt:vector>
  </HeadingPairs>
  <TitlesOfParts>
    <vt:vector size="6" baseType="lpstr">
      <vt:lpstr>A14-3 缺陷汇总</vt:lpstr>
      <vt:lpstr>A14-3-1 IT控制缺陷评价</vt:lpstr>
      <vt:lpstr>IT控制缺陷沟通会议纪要</vt:lpstr>
      <vt:lpstr>【示例1】信息系统一般控制缺陷评价</vt:lpstr>
      <vt:lpstr>【示例2】信息系统一般控制缺陷评价</vt:lpstr>
      <vt:lpstr>【参考】 IT一般控制的值得关注的缺陷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小坦克2号^O^</cp:lastModifiedBy>
  <dcterms:created xsi:type="dcterms:W3CDTF">2013-12-17T02:12:00Z</dcterms:created>
  <dcterms:modified xsi:type="dcterms:W3CDTF">2025-11-03T02:15:46Z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40700F06400B4B4E8FD7BC1D0FF6A6CB_13</vt:lpwstr>
  </property>
  <property fmtid="{D5CDD505-2E9C-101B-9397-08002B2CF9AE}" pid="3" name="KSOProductBuildVer">
    <vt:lpwstr>2052-12.1.0.23542</vt:lpwstr>
  </property>
</Properties>
</file>