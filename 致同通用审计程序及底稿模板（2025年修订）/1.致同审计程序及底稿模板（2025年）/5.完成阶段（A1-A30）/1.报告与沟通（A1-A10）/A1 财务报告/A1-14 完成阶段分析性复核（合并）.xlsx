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底稿模板-10.31\完成阶段\"/>
    </mc:Choice>
  </mc:AlternateContent>
  <bookViews>
    <workbookView xWindow="0" yWindow="0" windowWidth="23040" windowHeight="8520" tabRatio="747"/>
  </bookViews>
  <sheets>
    <sheet name="完成阶段的分析性复核A1-14" sheetId="4" r:id="rId1"/>
    <sheet name="已审资产负债横向分析A1-14-1" sheetId="10" r:id="rId2"/>
    <sheet name="已审资产负债纵向分析A1-14-2" sheetId="11" r:id="rId3"/>
    <sheet name="已审利润横向分析A1-14-3" sheetId="12" r:id="rId4"/>
    <sheet name="已审利润纵向分析A1-14-4" sheetId="13" r:id="rId5"/>
    <sheet name="已审报表比率分析A1-14-5" sheetId="14" r:id="rId6"/>
    <sheet name="同行业对比分析A1-14-6" sheetId="15" r:id="rId7"/>
    <sheet name="EPS-ROE(参考)" sheetId="16" r:id="rId8"/>
    <sheet name="GT_Custom" sheetId="9" state="hidden" r:id="rId9"/>
    <sheet name="A1-14-7非财务信息分析" sheetId="1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13102" localSheetId="7">#REF!</definedName>
    <definedName name="_13102" localSheetId="6">#REF!</definedName>
    <definedName name="_13102">#REF!</definedName>
    <definedName name="_13302" localSheetId="7">#REF!</definedName>
    <definedName name="_13302" localSheetId="6">#REF!</definedName>
    <definedName name="_13302">#REF!</definedName>
    <definedName name="_13398" localSheetId="7">#REF!</definedName>
    <definedName name="_13398" localSheetId="6">#REF!</definedName>
    <definedName name="_13398">#REF!</definedName>
    <definedName name="_18102" localSheetId="7">#REF!</definedName>
    <definedName name="_18102" localSheetId="6">#REF!</definedName>
    <definedName name="_18102">#REF!</definedName>
    <definedName name="_18198" localSheetId="7">#REF!</definedName>
    <definedName name="_18198" localSheetId="6">#REF!</definedName>
    <definedName name="_18198">#REF!</definedName>
    <definedName name="_1其他资产_开办费除外_明细表" localSheetId="7">#REF!</definedName>
    <definedName name="_2003附注">[1]附注汇总!$C$5:$AY$646</definedName>
    <definedName name="_2其他资产_开办费除外_明细表" localSheetId="6">#REF!</definedName>
    <definedName name="_2其他资产_开办费除外_明细表">#REF!</definedName>
    <definedName name="_scn11" localSheetId="7">#REF!</definedName>
    <definedName name="_scn11" localSheetId="6">#REF!</definedName>
    <definedName name="_scn11">#REF!</definedName>
    <definedName name="_scn15" localSheetId="7">#REF!</definedName>
    <definedName name="_scn15" localSheetId="6">#REF!</definedName>
    <definedName name="_scn15">#REF!</definedName>
    <definedName name="_scn16" localSheetId="7">#REF!</definedName>
    <definedName name="_scn16" localSheetId="6">#REF!</definedName>
    <definedName name="_scn16">#REF!</definedName>
    <definedName name="_scn17" localSheetId="7">#REF!</definedName>
    <definedName name="_scn17" localSheetId="6">#REF!</definedName>
    <definedName name="_scn17">#REF!</definedName>
    <definedName name="_scn19" localSheetId="7">#REF!</definedName>
    <definedName name="_scn19" localSheetId="6">#REF!</definedName>
    <definedName name="_scn19">#REF!</definedName>
    <definedName name="_scn2" localSheetId="7">#REF!</definedName>
    <definedName name="_scn2" localSheetId="6">#REF!</definedName>
    <definedName name="_scn2">#REF!</definedName>
    <definedName name="_scn20" localSheetId="7">#REF!</definedName>
    <definedName name="_scn20" localSheetId="6">#REF!</definedName>
    <definedName name="_scn20">#REF!</definedName>
    <definedName name="_scn3" localSheetId="7">#REF!</definedName>
    <definedName name="_scn3" localSheetId="6">#REF!</definedName>
    <definedName name="_scn3">#REF!</definedName>
    <definedName name="_scn4" localSheetId="7">#REF!</definedName>
    <definedName name="_scn4" localSheetId="6">#REF!</definedName>
    <definedName name="_scn4">#REF!</definedName>
    <definedName name="_scn5" localSheetId="7">#REF!</definedName>
    <definedName name="_scn5" localSheetId="6">#REF!</definedName>
    <definedName name="_scn5">#REF!</definedName>
    <definedName name="_scn6" localSheetId="7">#REF!</definedName>
    <definedName name="_scn6" localSheetId="6">#REF!</definedName>
    <definedName name="_scn6">#REF!</definedName>
    <definedName name="_scn7" localSheetId="7">#REF!</definedName>
    <definedName name="_scn7" localSheetId="6">#REF!</definedName>
    <definedName name="_scn7">#REF!</definedName>
    <definedName name="_scn8" localSheetId="7">#REF!</definedName>
    <definedName name="_scn8" localSheetId="6">#REF!</definedName>
    <definedName name="_scn8">#REF!</definedName>
    <definedName name="_scn9" localSheetId="7">#REF!</definedName>
    <definedName name="_scn9" localSheetId="6">#REF!</definedName>
    <definedName name="_scn9">#REF!</definedName>
    <definedName name="_scq1" localSheetId="7">#REF!</definedName>
    <definedName name="_scq1" localSheetId="6">#REF!</definedName>
    <definedName name="_scq1">#REF!</definedName>
    <definedName name="_scq11" localSheetId="7">#REF!</definedName>
    <definedName name="_scq11" localSheetId="6">#REF!</definedName>
    <definedName name="_scq11">#REF!</definedName>
    <definedName name="_scq15" localSheetId="7">#REF!</definedName>
    <definedName name="_scq15" localSheetId="6">#REF!</definedName>
    <definedName name="_scq15">#REF!</definedName>
    <definedName name="_scq16" localSheetId="7">#REF!</definedName>
    <definedName name="_scq16" localSheetId="6">#REF!</definedName>
    <definedName name="_scq16">#REF!</definedName>
    <definedName name="_scq17" localSheetId="7">#REF!</definedName>
    <definedName name="_scq17" localSheetId="6">#REF!</definedName>
    <definedName name="_scq17">#REF!</definedName>
    <definedName name="_scq19" localSheetId="7">#REF!</definedName>
    <definedName name="_scq19" localSheetId="6">#REF!</definedName>
    <definedName name="_scq19">#REF!</definedName>
    <definedName name="_scq2" localSheetId="7">#REF!</definedName>
    <definedName name="_scq2" localSheetId="6">#REF!</definedName>
    <definedName name="_scq2">#REF!</definedName>
    <definedName name="_scq20" localSheetId="7">#REF!</definedName>
    <definedName name="_scq20" localSheetId="6">#REF!</definedName>
    <definedName name="_scq20">#REF!</definedName>
    <definedName name="_scq3" localSheetId="7">#REF!</definedName>
    <definedName name="_scq3" localSheetId="6">#REF!</definedName>
    <definedName name="_scq3">#REF!</definedName>
    <definedName name="_scq4" localSheetId="7">#REF!</definedName>
    <definedName name="_scq4" localSheetId="6">#REF!</definedName>
    <definedName name="_scq4">#REF!</definedName>
    <definedName name="_scq5" localSheetId="7">#REF!</definedName>
    <definedName name="_scq5" localSheetId="6">#REF!</definedName>
    <definedName name="_scq5">#REF!</definedName>
    <definedName name="_scq6" localSheetId="7">#REF!</definedName>
    <definedName name="_scq6" localSheetId="6">#REF!</definedName>
    <definedName name="_scq6">#REF!</definedName>
    <definedName name="_scq7" localSheetId="7">#REF!</definedName>
    <definedName name="_scq7" localSheetId="6">#REF!</definedName>
    <definedName name="_scq7">#REF!</definedName>
    <definedName name="_scq8" localSheetId="7">#REF!</definedName>
    <definedName name="_scq8" localSheetId="6">#REF!</definedName>
    <definedName name="_scq8">#REF!</definedName>
    <definedName name="_scq9" localSheetId="7">#REF!</definedName>
    <definedName name="_scq9" localSheetId="6">#REF!</definedName>
    <definedName name="_scq9">#REF!</definedName>
    <definedName name="a" localSheetId="6">#REF!</definedName>
    <definedName name="a">#REF!</definedName>
    <definedName name="Approach">[2]选择键!$G$2:$G$6</definedName>
    <definedName name="as" localSheetId="6">#REF!</definedName>
    <definedName name="as">#REF!</definedName>
    <definedName name="AS2DocOpenMode" hidden="1">"AS2DocumentEdit"</definedName>
    <definedName name="AS2WebLink1" localSheetId="6">#REF!</definedName>
    <definedName name="AS2WebLink1">#REF!</definedName>
    <definedName name="AS2WebLink10" localSheetId="6">#REF!</definedName>
    <definedName name="AS2WebLink10">#REF!</definedName>
    <definedName name="AS2WebLink11" localSheetId="6">#REF!</definedName>
    <definedName name="AS2WebLink11">#REF!</definedName>
    <definedName name="AS2WebLink12" localSheetId="6">#REF!</definedName>
    <definedName name="AS2WebLink12">#REF!</definedName>
    <definedName name="AS2WebLink13" localSheetId="6">#REF!</definedName>
    <definedName name="AS2WebLink13">#REF!</definedName>
    <definedName name="AS2WebLink14" localSheetId="6">#REF!</definedName>
    <definedName name="AS2WebLink14">#REF!</definedName>
    <definedName name="AS2WebLink15" localSheetId="6">#REF!</definedName>
    <definedName name="AS2WebLink15">#REF!</definedName>
    <definedName name="AS2WebLink16" localSheetId="6">#REF!</definedName>
    <definedName name="AS2WebLink16">#REF!</definedName>
    <definedName name="AS2WebLink17" localSheetId="6">#REF!</definedName>
    <definedName name="AS2WebLink17">#REF!</definedName>
    <definedName name="AS2WebLink18" localSheetId="6">#REF!</definedName>
    <definedName name="AS2WebLink18">#REF!</definedName>
    <definedName name="AS2WebLink19" localSheetId="6">#REF!</definedName>
    <definedName name="AS2WebLink19">#REF!</definedName>
    <definedName name="AS2WebLink2" localSheetId="6">#REF!</definedName>
    <definedName name="AS2WebLink2">#REF!</definedName>
    <definedName name="AS2WebLink21" localSheetId="6">#REF!</definedName>
    <definedName name="AS2WebLink21">#REF!</definedName>
    <definedName name="AS2WebLink22" localSheetId="6">#REF!</definedName>
    <definedName name="AS2WebLink22">#REF!</definedName>
    <definedName name="AS2WebLink23" localSheetId="6">#REF!</definedName>
    <definedName name="AS2WebLink23">#REF!</definedName>
    <definedName name="AS2WebLink24" localSheetId="6">#REF!</definedName>
    <definedName name="AS2WebLink24">#REF!</definedName>
    <definedName name="AS2WebLink3" localSheetId="6">#REF!</definedName>
    <definedName name="AS2WebLink3">#REF!</definedName>
    <definedName name="AS2WebLink4" localSheetId="6">#REF!</definedName>
    <definedName name="AS2WebLink4">#REF!</definedName>
    <definedName name="AS2WebLink5" localSheetId="6">#REF!</definedName>
    <definedName name="AS2WebLink5">#REF!</definedName>
    <definedName name="AS2WebLink6" localSheetId="6">#REF!</definedName>
    <definedName name="AS2WebLink6">#REF!</definedName>
    <definedName name="AS2WebLink7" localSheetId="6">#REF!</definedName>
    <definedName name="AS2WebLink7">#REF!</definedName>
    <definedName name="AS2WebLink8" localSheetId="6">[3]Summary!#REF!</definedName>
    <definedName name="AS2WebLink8">[3]Summary!#REF!</definedName>
    <definedName name="AS2WebLink9" localSheetId="6">#REF!</definedName>
    <definedName name="AS2WebLink9">#REF!</definedName>
    <definedName name="b" localSheetId="6">#REF!</definedName>
    <definedName name="b">#REF!</definedName>
    <definedName name="baoji">[4]本期报表!$A$6:$D$139</definedName>
    <definedName name="bv" localSheetId="6">#REF!</definedName>
    <definedName name="bv">#REF!</definedName>
    <definedName name="Cash_Receipts" localSheetId="6">#REF!</definedName>
    <definedName name="Cash_Receipts">#REF!</definedName>
    <definedName name="CD">[2]选择键!$D$2:$D$5</definedName>
    <definedName name="CM">[2]选择键!$D$2:$D$4</definedName>
    <definedName name="CT">[2]选择键!$B$2:$B$10</definedName>
    <definedName name="Customer_Setup" localSheetId="6">#REF!</definedName>
    <definedName name="Customer_Setup">#REF!</definedName>
    <definedName name="d" localSheetId="6">#REF!</definedName>
    <definedName name="d">#REF!</definedName>
    <definedName name="data" localSheetId="6">[5]B!#REF!</definedName>
    <definedName name="data">[5]B!#REF!</definedName>
    <definedName name="_xlnm.Database" localSheetId="7">[6]B!#REF!</definedName>
    <definedName name="_xlnm.Database" localSheetId="6">[7]B!#REF!</definedName>
    <definedName name="_xlnm.Database">[7]B!#REF!</definedName>
    <definedName name="DD">[2]选择键!$C$2:$C$4</definedName>
    <definedName name="df" localSheetId="6">#REF!</definedName>
    <definedName name="df">#REF!</definedName>
    <definedName name="dfs" localSheetId="6">#REF!</definedName>
    <definedName name="dfs">#REF!</definedName>
    <definedName name="e" localSheetId="6">#REF!</definedName>
    <definedName name="e">#REF!</definedName>
    <definedName name="er" localSheetId="6">#REF!</definedName>
    <definedName name="er">#REF!</definedName>
    <definedName name="eve">[8]XL4Poppy!$C$39</definedName>
    <definedName name="f" localSheetId="6">#REF!</definedName>
    <definedName name="f">#REF!</definedName>
    <definedName name="fg" localSheetId="6">#REF!</definedName>
    <definedName name="fg">#REF!</definedName>
    <definedName name="fgd" localSheetId="6">#REF!</definedName>
    <definedName name="fgd">#REF!</definedName>
    <definedName name="fgh" localSheetId="6">#REF!</definedName>
    <definedName name="fgh">#REF!</definedName>
    <definedName name="g" localSheetId="6">#REF!</definedName>
    <definedName name="g">#REF!</definedName>
    <definedName name="h" localSheetId="6">#REF!</definedName>
    <definedName name="h">#REF!</definedName>
    <definedName name="hv" localSheetId="7">#REF!</definedName>
    <definedName name="hv" localSheetId="6">#REF!</definedName>
    <definedName name="hv">#REF!</definedName>
    <definedName name="i" localSheetId="6">#REF!</definedName>
    <definedName name="i">#REF!</definedName>
    <definedName name="Invoicing" localSheetId="6">#REF!</definedName>
    <definedName name="Invoicing">#REF!</definedName>
    <definedName name="jk" localSheetId="6">#REF!</definedName>
    <definedName name="jk">#REF!</definedName>
    <definedName name="k" localSheetId="6">#REF!</definedName>
    <definedName name="k">#REF!</definedName>
    <definedName name="kj" localSheetId="6">#REF!</definedName>
    <definedName name="kj">#REF!</definedName>
    <definedName name="kklist">'[9]&lt;原报&gt;资产负债表'!$F$6:$F$110</definedName>
    <definedName name="kl" localSheetId="6">#REF!</definedName>
    <definedName name="kl">#REF!</definedName>
    <definedName name="KMDM" localSheetId="6">#REF!</definedName>
    <definedName name="KMDM">#REF!</definedName>
    <definedName name="l" localSheetId="6">#REF!</definedName>
    <definedName name="l">#REF!</definedName>
    <definedName name="lk" localSheetId="6">#REF!</definedName>
    <definedName name="lk">#REF!</definedName>
    <definedName name="m" localSheetId="6">#REF!</definedName>
    <definedName name="m">#REF!</definedName>
    <definedName name="mn" localSheetId="6">#REF!</definedName>
    <definedName name="mn">#REF!</definedName>
    <definedName name="n" localSheetId="6">#REF!</definedName>
    <definedName name="n">#REF!</definedName>
    <definedName name="nm" localSheetId="6">#REF!</definedName>
    <definedName name="nm">#REF!</definedName>
    <definedName name="o" localSheetId="6">#REF!</definedName>
    <definedName name="o">#REF!</definedName>
    <definedName name="op" localSheetId="6">#REF!</definedName>
    <definedName name="op">#REF!</definedName>
    <definedName name="p" localSheetId="6">#REF!</definedName>
    <definedName name="p">#REF!</definedName>
    <definedName name="_xlnm.Print_Area" localSheetId="7">'EPS-ROE(参考)'!$A$2:$I$40</definedName>
    <definedName name="_xlnm.Print_Area" localSheetId="0">'完成阶段的分析性复核A1-14'!$A$1:$E$36</definedName>
    <definedName name="_xlnm.Print_Area" localSheetId="5">'已审报表比率分析A1-14-5'!$A$1:$J$46</definedName>
    <definedName name="_xlnm.Print_Area" localSheetId="4">'已审利润纵向分析A1-14-4'!$A$1:$I$73</definedName>
    <definedName name="_xlnm.Print_Area" localSheetId="2">'已审资产负债纵向分析A1-14-2'!$A$1:$R$52</definedName>
    <definedName name="_xlnm.Print_Area">#REF!</definedName>
    <definedName name="Print_Area_MI" localSheetId="6">#REF!</definedName>
    <definedName name="Print_Area_MI">#REF!</definedName>
    <definedName name="_xlnm.Print_Titles" localSheetId="0">'完成阶段的分析性复核A1-14'!$1:$2</definedName>
    <definedName name="_xlnm.Print_Titles" localSheetId="5">'已审报表比率分析A1-14-5'!$1:$5</definedName>
    <definedName name="Priority">[2]选择键!$A$2:$A$5</definedName>
    <definedName name="q" localSheetId="6">#REF!</definedName>
    <definedName name="q">#REF!</definedName>
    <definedName name="rt" localSheetId="6">#REF!</definedName>
    <definedName name="rt">#REF!</definedName>
    <definedName name="rty" localSheetId="6">#REF!</definedName>
    <definedName name="rty">#REF!</definedName>
    <definedName name="s" localSheetId="6">#REF!</definedName>
    <definedName name="s">#REF!</definedName>
    <definedName name="sa" localSheetId="6">#REF!</definedName>
    <definedName name="sa">#REF!</definedName>
    <definedName name="Sales_Adj" localSheetId="6">#REF!</definedName>
    <definedName name="Sales_Adj">#REF!</definedName>
    <definedName name="scn" localSheetId="7">#REF!</definedName>
    <definedName name="scn" localSheetId="6">#REF!</definedName>
    <definedName name="scn">#REF!</definedName>
    <definedName name="scq" localSheetId="7">#REF!</definedName>
    <definedName name="scq" localSheetId="6">#REF!</definedName>
    <definedName name="scq">#REF!</definedName>
    <definedName name="sda" localSheetId="6">#REF!</definedName>
    <definedName name="sda">#REF!</definedName>
    <definedName name="Shipping" localSheetId="6">#REF!</definedName>
    <definedName name="Shipping">#REF!</definedName>
    <definedName name="Solution">[2]选择键!$E$13:$E$16</definedName>
    <definedName name="ss" localSheetId="7">#REF!</definedName>
    <definedName name="ss" localSheetId="6">#REF!</definedName>
    <definedName name="ss">#REF!</definedName>
    <definedName name="sss" localSheetId="6">[10]营业费用测试!#REF!</definedName>
    <definedName name="sss">[10]营业费用测试!#REF!</definedName>
    <definedName name="t" localSheetId="6">#REF!</definedName>
    <definedName name="t">#REF!</definedName>
    <definedName name="TextRefCopy1" localSheetId="7">#REF!</definedName>
    <definedName name="TextRefCopy1" localSheetId="6">#REF!</definedName>
    <definedName name="TextRefCopy1">#REF!</definedName>
    <definedName name="TextRefCopy10" localSheetId="7">#REF!</definedName>
    <definedName name="TextRefCopy10" localSheetId="6">#REF!</definedName>
    <definedName name="TextRefCopy10">#REF!</definedName>
    <definedName name="TextRefCopy100" localSheetId="7">#REF!</definedName>
    <definedName name="TextRefCopy100" localSheetId="6">#REF!</definedName>
    <definedName name="TextRefCopy100">#REF!</definedName>
    <definedName name="TextRefCopy101" localSheetId="7">#REF!</definedName>
    <definedName name="TextRefCopy101" localSheetId="6">#REF!</definedName>
    <definedName name="TextRefCopy101">#REF!</definedName>
    <definedName name="TextRefCopy102" localSheetId="7">#REF!</definedName>
    <definedName name="TextRefCopy102" localSheetId="6">#REF!</definedName>
    <definedName name="TextRefCopy102">#REF!</definedName>
    <definedName name="TextRefCopy103" localSheetId="7">#REF!</definedName>
    <definedName name="TextRefCopy103" localSheetId="6">#REF!</definedName>
    <definedName name="TextRefCopy103">#REF!</definedName>
    <definedName name="TextRefCopy104" localSheetId="7">#REF!</definedName>
    <definedName name="TextRefCopy104" localSheetId="6">#REF!</definedName>
    <definedName name="TextRefCopy104">#REF!</definedName>
    <definedName name="TextRefCopy105" localSheetId="7">#REF!</definedName>
    <definedName name="TextRefCopy105" localSheetId="6">#REF!</definedName>
    <definedName name="TextRefCopy105">#REF!</definedName>
    <definedName name="TextRefCopy106" localSheetId="7">#REF!</definedName>
    <definedName name="TextRefCopy106" localSheetId="6">#REF!</definedName>
    <definedName name="TextRefCopy106">#REF!</definedName>
    <definedName name="TextRefCopy107" localSheetId="7">#REF!</definedName>
    <definedName name="TextRefCopy107" localSheetId="6">#REF!</definedName>
    <definedName name="TextRefCopy107">#REF!</definedName>
    <definedName name="TextRefCopy108" localSheetId="7">#REF!</definedName>
    <definedName name="TextRefCopy108" localSheetId="6">#REF!</definedName>
    <definedName name="TextRefCopy108">#REF!</definedName>
    <definedName name="TextRefCopy109" localSheetId="7">#REF!</definedName>
    <definedName name="TextRefCopy109" localSheetId="6">#REF!</definedName>
    <definedName name="TextRefCopy109">#REF!</definedName>
    <definedName name="TextRefCopy11" localSheetId="7">#REF!</definedName>
    <definedName name="TextRefCopy11" localSheetId="6">#REF!</definedName>
    <definedName name="TextRefCopy11">#REF!</definedName>
    <definedName name="TextRefCopy110" localSheetId="6">'[11]35.1租赁明细'!#REF!</definedName>
    <definedName name="TextRefCopy110">'[11]35.1租赁明细'!#REF!</definedName>
    <definedName name="TextRefCopy112" localSheetId="6">#REF!</definedName>
    <definedName name="TextRefCopy112">#REF!</definedName>
    <definedName name="TextRefCopy113" localSheetId="6">'[11]35.1租赁明细'!#REF!</definedName>
    <definedName name="TextRefCopy113">'[11]35.1租赁明细'!#REF!</definedName>
    <definedName name="TextRefCopy12" localSheetId="7">#REF!</definedName>
    <definedName name="TextRefCopy12" localSheetId="6">#REF!</definedName>
    <definedName name="TextRefCopy12">#REF!</definedName>
    <definedName name="TextRefCopy120" localSheetId="7">#REF!</definedName>
    <definedName name="TextRefCopy120" localSheetId="6">#REF!</definedName>
    <definedName name="TextRefCopy120">#REF!</definedName>
    <definedName name="TextRefCopy121" localSheetId="7">#REF!</definedName>
    <definedName name="TextRefCopy121" localSheetId="6">#REF!</definedName>
    <definedName name="TextRefCopy121">#REF!</definedName>
    <definedName name="TextRefCopy122" localSheetId="7">#REF!</definedName>
    <definedName name="TextRefCopy122" localSheetId="6">#REF!</definedName>
    <definedName name="TextRefCopy122">#REF!</definedName>
    <definedName name="TextRefCopy123" localSheetId="7">#REF!</definedName>
    <definedName name="TextRefCopy123" localSheetId="6">#REF!</definedName>
    <definedName name="TextRefCopy123">#REF!</definedName>
    <definedName name="TextRefCopy124" localSheetId="7">#REF!</definedName>
    <definedName name="TextRefCopy124" localSheetId="6">#REF!</definedName>
    <definedName name="TextRefCopy124">#REF!</definedName>
    <definedName name="TextRefCopy125" localSheetId="7">#REF!</definedName>
    <definedName name="TextRefCopy125" localSheetId="6">#REF!</definedName>
    <definedName name="TextRefCopy125">#REF!</definedName>
    <definedName name="TextRefCopy126" localSheetId="7">#REF!</definedName>
    <definedName name="TextRefCopy126" localSheetId="6">#REF!</definedName>
    <definedName name="TextRefCopy126">#REF!</definedName>
    <definedName name="TextRefCopy127" localSheetId="7">#REF!</definedName>
    <definedName name="TextRefCopy127" localSheetId="6">#REF!</definedName>
    <definedName name="TextRefCopy127">#REF!</definedName>
    <definedName name="TextRefCopy128" localSheetId="7">#REF!</definedName>
    <definedName name="TextRefCopy128" localSheetId="6">#REF!</definedName>
    <definedName name="TextRefCopy128">#REF!</definedName>
    <definedName name="TextRefCopy129" localSheetId="7">#REF!</definedName>
    <definedName name="TextRefCopy129" localSheetId="6">#REF!</definedName>
    <definedName name="TextRefCopy129">#REF!</definedName>
    <definedName name="TextRefCopy13" localSheetId="7">#REF!</definedName>
    <definedName name="TextRefCopy13" localSheetId="6">#REF!</definedName>
    <definedName name="TextRefCopy13">#REF!</definedName>
    <definedName name="TextRefCopy130" localSheetId="7">#REF!</definedName>
    <definedName name="TextRefCopy130" localSheetId="6">#REF!</definedName>
    <definedName name="TextRefCopy130">#REF!</definedName>
    <definedName name="TextRefCopy131" localSheetId="7">#REF!</definedName>
    <definedName name="TextRefCopy131" localSheetId="6">#REF!</definedName>
    <definedName name="TextRefCopy131">#REF!</definedName>
    <definedName name="TextRefCopy137" localSheetId="7">#REF!</definedName>
    <definedName name="TextRefCopy137" localSheetId="6">#REF!</definedName>
    <definedName name="TextRefCopy137">#REF!</definedName>
    <definedName name="TextRefCopy14" localSheetId="7">#REF!</definedName>
    <definedName name="TextRefCopy14" localSheetId="6">#REF!</definedName>
    <definedName name="TextRefCopy14">#REF!</definedName>
    <definedName name="TextRefCopy149" localSheetId="7">#REF!</definedName>
    <definedName name="TextRefCopy149" localSheetId="6">#REF!</definedName>
    <definedName name="TextRefCopy149">#REF!</definedName>
    <definedName name="TextRefCopy15" localSheetId="7">#REF!</definedName>
    <definedName name="TextRefCopy15" localSheetId="6">#REF!</definedName>
    <definedName name="TextRefCopy15">#REF!</definedName>
    <definedName name="TextRefCopy150" localSheetId="7">#REF!</definedName>
    <definedName name="TextRefCopy150" localSheetId="6">#REF!</definedName>
    <definedName name="TextRefCopy150">#REF!</definedName>
    <definedName name="TextRefCopy151" localSheetId="7">#REF!</definedName>
    <definedName name="TextRefCopy151" localSheetId="6">#REF!</definedName>
    <definedName name="TextRefCopy151">#REF!</definedName>
    <definedName name="TextRefCopy16" localSheetId="7">#REF!</definedName>
    <definedName name="TextRefCopy16" localSheetId="6">#REF!</definedName>
    <definedName name="TextRefCopy16">#REF!</definedName>
    <definedName name="TextRefCopy17" localSheetId="7">#REF!</definedName>
    <definedName name="TextRefCopy17" localSheetId="6">#REF!</definedName>
    <definedName name="TextRefCopy17">#REF!</definedName>
    <definedName name="TextRefCopy18" localSheetId="7">#REF!</definedName>
    <definedName name="TextRefCopy18" localSheetId="6">#REF!</definedName>
    <definedName name="TextRefCopy18">#REF!</definedName>
    <definedName name="TextRefCopy19" localSheetId="7">#REF!</definedName>
    <definedName name="TextRefCopy19" localSheetId="6">#REF!</definedName>
    <definedName name="TextRefCopy19">#REF!</definedName>
    <definedName name="TextRefCopy190" localSheetId="7">#REF!</definedName>
    <definedName name="TextRefCopy190" localSheetId="6">#REF!</definedName>
    <definedName name="TextRefCopy190">#REF!</definedName>
    <definedName name="TextRefCopy191" localSheetId="7">#REF!</definedName>
    <definedName name="TextRefCopy191" localSheetId="6">#REF!</definedName>
    <definedName name="TextRefCopy191">#REF!</definedName>
    <definedName name="TextRefCopy2" localSheetId="7">#REF!</definedName>
    <definedName name="TextRefCopy2" localSheetId="6">#REF!</definedName>
    <definedName name="TextRefCopy2">#REF!</definedName>
    <definedName name="TextRefCopy20" localSheetId="7">#REF!</definedName>
    <definedName name="TextRefCopy20" localSheetId="6">#REF!</definedName>
    <definedName name="TextRefCopy20">#REF!</definedName>
    <definedName name="TextRefCopy21" localSheetId="7">#REF!</definedName>
    <definedName name="TextRefCopy21" localSheetId="6">#REF!</definedName>
    <definedName name="TextRefCopy21">#REF!</definedName>
    <definedName name="TextRefCopy22" localSheetId="7">#REF!</definedName>
    <definedName name="TextRefCopy22" localSheetId="6">#REF!</definedName>
    <definedName name="TextRefCopy22">#REF!</definedName>
    <definedName name="TextRefCopy221" localSheetId="7">'[12]Investment Property'!#REF!</definedName>
    <definedName name="TextRefCopy221" localSheetId="6">'[12]Investment Property'!#REF!</definedName>
    <definedName name="TextRefCopy221">'[12]Investment Property'!#REF!</definedName>
    <definedName name="TextRefCopy222" localSheetId="7">'[12]Investment Property'!#REF!</definedName>
    <definedName name="TextRefCopy222" localSheetId="6">'[12]Investment Property'!#REF!</definedName>
    <definedName name="TextRefCopy222">'[12]Investment Property'!#REF!</definedName>
    <definedName name="TextRefCopy23" localSheetId="7">#REF!</definedName>
    <definedName name="TextRefCopy23" localSheetId="6">#REF!</definedName>
    <definedName name="TextRefCopy23">#REF!</definedName>
    <definedName name="TextRefCopy24" localSheetId="7">#REF!</definedName>
    <definedName name="TextRefCopy24" localSheetId="6">#REF!</definedName>
    <definedName name="TextRefCopy24">#REF!</definedName>
    <definedName name="TextRefCopy25" localSheetId="7">#REF!</definedName>
    <definedName name="TextRefCopy25" localSheetId="6">#REF!</definedName>
    <definedName name="TextRefCopy25">#REF!</definedName>
    <definedName name="TextRefCopy26" localSheetId="7">#REF!</definedName>
    <definedName name="TextRefCopy26" localSheetId="6">#REF!</definedName>
    <definedName name="TextRefCopy26">#REF!</definedName>
    <definedName name="TextRefCopy27" localSheetId="7">#REF!</definedName>
    <definedName name="TextRefCopy27" localSheetId="6">#REF!</definedName>
    <definedName name="TextRefCopy27">#REF!</definedName>
    <definedName name="TextRefCopy28" localSheetId="7">#REF!</definedName>
    <definedName name="TextRefCopy28" localSheetId="6">#REF!</definedName>
    <definedName name="TextRefCopy28">#REF!</definedName>
    <definedName name="TextRefCopy29" localSheetId="7">#REF!</definedName>
    <definedName name="TextRefCopy29" localSheetId="6">#REF!</definedName>
    <definedName name="TextRefCopy29">#REF!</definedName>
    <definedName name="TextRefCopy3" localSheetId="7">#REF!</definedName>
    <definedName name="TextRefCopy3" localSheetId="6">#REF!</definedName>
    <definedName name="TextRefCopy3">#REF!</definedName>
    <definedName name="TextRefCopy30" localSheetId="7">#REF!</definedName>
    <definedName name="TextRefCopy30" localSheetId="6">#REF!</definedName>
    <definedName name="TextRefCopy30">#REF!</definedName>
    <definedName name="TextRefCopy31" localSheetId="7">#REF!</definedName>
    <definedName name="TextRefCopy31" localSheetId="6">#REF!</definedName>
    <definedName name="TextRefCopy31">#REF!</definedName>
    <definedName name="TextRefCopy32" localSheetId="7">#REF!</definedName>
    <definedName name="TextRefCopy32" localSheetId="6">#REF!</definedName>
    <definedName name="TextRefCopy32">#REF!</definedName>
    <definedName name="TextRefCopy33" localSheetId="7">#REF!</definedName>
    <definedName name="TextRefCopy33" localSheetId="6">#REF!</definedName>
    <definedName name="TextRefCopy33">#REF!</definedName>
    <definedName name="TextRefCopy34" localSheetId="7">#REF!</definedName>
    <definedName name="TextRefCopy34" localSheetId="6">#REF!</definedName>
    <definedName name="TextRefCopy34">#REF!</definedName>
    <definedName name="TextRefCopy35" localSheetId="7">#REF!</definedName>
    <definedName name="TextRefCopy35" localSheetId="6">#REF!</definedName>
    <definedName name="TextRefCopy35">#REF!</definedName>
    <definedName name="TextRefCopy36" localSheetId="7">#REF!</definedName>
    <definedName name="TextRefCopy36" localSheetId="6">#REF!</definedName>
    <definedName name="TextRefCopy36">#REF!</definedName>
    <definedName name="TextRefCopy37" localSheetId="7">#REF!</definedName>
    <definedName name="TextRefCopy37" localSheetId="6">#REF!</definedName>
    <definedName name="TextRefCopy37">#REF!</definedName>
    <definedName name="TextRefCopy38" localSheetId="7">#REF!</definedName>
    <definedName name="TextRefCopy38" localSheetId="6">#REF!</definedName>
    <definedName name="TextRefCopy38">#REF!</definedName>
    <definedName name="TextRefCopy39" localSheetId="7">#REF!</definedName>
    <definedName name="TextRefCopy39" localSheetId="6">#REF!</definedName>
    <definedName name="TextRefCopy39">#REF!</definedName>
    <definedName name="TextRefCopy4" localSheetId="7">#REF!</definedName>
    <definedName name="TextRefCopy4" localSheetId="6">#REF!</definedName>
    <definedName name="TextRefCopy4">#REF!</definedName>
    <definedName name="TextRefCopy40" localSheetId="7">#REF!</definedName>
    <definedName name="TextRefCopy40" localSheetId="6">#REF!</definedName>
    <definedName name="TextRefCopy40">#REF!</definedName>
    <definedName name="TextRefCopy41" localSheetId="7">#REF!</definedName>
    <definedName name="TextRefCopy41" localSheetId="6">#REF!</definedName>
    <definedName name="TextRefCopy41">#REF!</definedName>
    <definedName name="TextRefCopy42" localSheetId="7">#REF!</definedName>
    <definedName name="TextRefCopy42" localSheetId="6">#REF!</definedName>
    <definedName name="TextRefCopy42">#REF!</definedName>
    <definedName name="TextRefCopy43" localSheetId="7">#REF!</definedName>
    <definedName name="TextRefCopy43" localSheetId="6">#REF!</definedName>
    <definedName name="TextRefCopy43">#REF!</definedName>
    <definedName name="TextRefCopy44" localSheetId="7">#REF!</definedName>
    <definedName name="TextRefCopy44" localSheetId="6">#REF!</definedName>
    <definedName name="TextRefCopy44">#REF!</definedName>
    <definedName name="TextRefCopy45" localSheetId="7">#REF!</definedName>
    <definedName name="TextRefCopy45" localSheetId="6">#REF!</definedName>
    <definedName name="TextRefCopy45">#REF!</definedName>
    <definedName name="TextRefCopy46" localSheetId="7">#REF!</definedName>
    <definedName name="TextRefCopy46" localSheetId="6">#REF!</definedName>
    <definedName name="TextRefCopy46">#REF!</definedName>
    <definedName name="TextRefCopy47" localSheetId="7">#REF!</definedName>
    <definedName name="TextRefCopy47" localSheetId="6">#REF!</definedName>
    <definedName name="TextRefCopy47">#REF!</definedName>
    <definedName name="TextRefCopy48" localSheetId="7">#REF!</definedName>
    <definedName name="TextRefCopy48" localSheetId="6">#REF!</definedName>
    <definedName name="TextRefCopy48">#REF!</definedName>
    <definedName name="TextRefCopy49" localSheetId="7">#REF!</definedName>
    <definedName name="TextRefCopy49" localSheetId="6">#REF!</definedName>
    <definedName name="TextRefCopy49">#REF!</definedName>
    <definedName name="TextRefCopy5" localSheetId="7">#REF!</definedName>
    <definedName name="TextRefCopy5" localSheetId="6">#REF!</definedName>
    <definedName name="TextRefCopy5">#REF!</definedName>
    <definedName name="TextRefCopy50" localSheetId="7">#REF!</definedName>
    <definedName name="TextRefCopy50" localSheetId="6">#REF!</definedName>
    <definedName name="TextRefCopy50">#REF!</definedName>
    <definedName name="TextRefCopy51" localSheetId="7">#REF!</definedName>
    <definedName name="TextRefCopy51" localSheetId="6">#REF!</definedName>
    <definedName name="TextRefCopy51">#REF!</definedName>
    <definedName name="TextRefCopy52" localSheetId="7">#REF!</definedName>
    <definedName name="TextRefCopy52" localSheetId="6">#REF!</definedName>
    <definedName name="TextRefCopy52">#REF!</definedName>
    <definedName name="TextRefCopy53" localSheetId="7">#REF!</definedName>
    <definedName name="TextRefCopy53" localSheetId="6">#REF!</definedName>
    <definedName name="TextRefCopy53">#REF!</definedName>
    <definedName name="TextRefCopy54" localSheetId="7">#REF!</definedName>
    <definedName name="TextRefCopy54" localSheetId="6">#REF!</definedName>
    <definedName name="TextRefCopy54">#REF!</definedName>
    <definedName name="TextRefCopy55" localSheetId="7">#REF!</definedName>
    <definedName name="TextRefCopy55" localSheetId="6">#REF!</definedName>
    <definedName name="TextRefCopy55">#REF!</definedName>
    <definedName name="TextRefCopy56" localSheetId="7">#REF!</definedName>
    <definedName name="TextRefCopy56" localSheetId="6">#REF!</definedName>
    <definedName name="TextRefCopy56">#REF!</definedName>
    <definedName name="TextRefCopy57" localSheetId="7">#REF!</definedName>
    <definedName name="TextRefCopy57" localSheetId="6">#REF!</definedName>
    <definedName name="TextRefCopy57">#REF!</definedName>
    <definedName name="TextRefCopy58" localSheetId="7">#REF!</definedName>
    <definedName name="TextRefCopy58" localSheetId="6">#REF!</definedName>
    <definedName name="TextRefCopy58">#REF!</definedName>
    <definedName name="TextRefCopy59" localSheetId="7">#REF!</definedName>
    <definedName name="TextRefCopy59" localSheetId="6">#REF!</definedName>
    <definedName name="TextRefCopy59">#REF!</definedName>
    <definedName name="TextRefCopy6" localSheetId="7">#REF!</definedName>
    <definedName name="TextRefCopy6" localSheetId="6">#REF!</definedName>
    <definedName name="TextRefCopy6">#REF!</definedName>
    <definedName name="TextRefCopy60" localSheetId="7">#REF!</definedName>
    <definedName name="TextRefCopy60" localSheetId="6">#REF!</definedName>
    <definedName name="TextRefCopy60">#REF!</definedName>
    <definedName name="TextRefCopy61" localSheetId="7">#REF!</definedName>
    <definedName name="TextRefCopy61" localSheetId="6">#REF!</definedName>
    <definedName name="TextRefCopy61">#REF!</definedName>
    <definedName name="TextRefCopy62" localSheetId="7">#REF!</definedName>
    <definedName name="TextRefCopy62" localSheetId="6">#REF!</definedName>
    <definedName name="TextRefCopy62">#REF!</definedName>
    <definedName name="TextRefCopy63" localSheetId="7">#REF!</definedName>
    <definedName name="TextRefCopy63" localSheetId="6">#REF!</definedName>
    <definedName name="TextRefCopy63">#REF!</definedName>
    <definedName name="TextRefCopy64" localSheetId="7">#REF!</definedName>
    <definedName name="TextRefCopy64" localSheetId="6">#REF!</definedName>
    <definedName name="TextRefCopy64">#REF!</definedName>
    <definedName name="TextRefCopy65" localSheetId="7">#REF!</definedName>
    <definedName name="TextRefCopy65" localSheetId="6">#REF!</definedName>
    <definedName name="TextRefCopy65">#REF!</definedName>
    <definedName name="TextRefCopy66" localSheetId="7">#REF!</definedName>
    <definedName name="TextRefCopy66" localSheetId="6">#REF!</definedName>
    <definedName name="TextRefCopy66">#REF!</definedName>
    <definedName name="TextRefCopy67" localSheetId="7">#REF!</definedName>
    <definedName name="TextRefCopy67" localSheetId="6">#REF!</definedName>
    <definedName name="TextRefCopy67">#REF!</definedName>
    <definedName name="TextRefCopy68" localSheetId="7">#REF!</definedName>
    <definedName name="TextRefCopy68" localSheetId="6">#REF!</definedName>
    <definedName name="TextRefCopy68">#REF!</definedName>
    <definedName name="TextRefCopy69" localSheetId="7">#REF!</definedName>
    <definedName name="TextRefCopy69" localSheetId="6">#REF!</definedName>
    <definedName name="TextRefCopy69">#REF!</definedName>
    <definedName name="TextRefCopy7" localSheetId="7">#REF!</definedName>
    <definedName name="TextRefCopy7" localSheetId="6">#REF!</definedName>
    <definedName name="TextRefCopy7">#REF!</definedName>
    <definedName name="TextRefCopy70" localSheetId="7">#REF!</definedName>
    <definedName name="TextRefCopy70" localSheetId="6">#REF!</definedName>
    <definedName name="TextRefCopy70">#REF!</definedName>
    <definedName name="TextRefCopy71" localSheetId="7">#REF!</definedName>
    <definedName name="TextRefCopy71" localSheetId="6">#REF!</definedName>
    <definedName name="TextRefCopy71">#REF!</definedName>
    <definedName name="TextRefCopy72" localSheetId="7">#REF!</definedName>
    <definedName name="TextRefCopy72" localSheetId="6">#REF!</definedName>
    <definedName name="TextRefCopy72">#REF!</definedName>
    <definedName name="TextRefCopy73" localSheetId="7">#REF!</definedName>
    <definedName name="TextRefCopy73" localSheetId="6">#REF!</definedName>
    <definedName name="TextRefCopy73">#REF!</definedName>
    <definedName name="TextRefCopy74" localSheetId="7">#REF!</definedName>
    <definedName name="TextRefCopy74" localSheetId="6">#REF!</definedName>
    <definedName name="TextRefCopy74">#REF!</definedName>
    <definedName name="TextRefCopy75" localSheetId="7">#REF!</definedName>
    <definedName name="TextRefCopy75" localSheetId="6">#REF!</definedName>
    <definedName name="TextRefCopy75">#REF!</definedName>
    <definedName name="TextRefCopy76" localSheetId="7">#REF!</definedName>
    <definedName name="TextRefCopy76" localSheetId="6">#REF!</definedName>
    <definedName name="TextRefCopy76">#REF!</definedName>
    <definedName name="TextRefCopy77" localSheetId="7">#REF!</definedName>
    <definedName name="TextRefCopy77" localSheetId="6">#REF!</definedName>
    <definedName name="TextRefCopy77">#REF!</definedName>
    <definedName name="TextRefCopy78" localSheetId="7">#REF!</definedName>
    <definedName name="TextRefCopy78" localSheetId="6">#REF!</definedName>
    <definedName name="TextRefCopy78">#REF!</definedName>
    <definedName name="TextRefCopy79" localSheetId="7">#REF!</definedName>
    <definedName name="TextRefCopy79" localSheetId="6">#REF!</definedName>
    <definedName name="TextRefCopy79">#REF!</definedName>
    <definedName name="TextRefCopy8" localSheetId="7">#REF!</definedName>
    <definedName name="TextRefCopy8" localSheetId="6">#REF!</definedName>
    <definedName name="TextRefCopy8">#REF!</definedName>
    <definedName name="TextRefCopy80" localSheetId="7">#REF!</definedName>
    <definedName name="TextRefCopy80" localSheetId="6">#REF!</definedName>
    <definedName name="TextRefCopy80">#REF!</definedName>
    <definedName name="TextRefCopy81" localSheetId="7">#REF!</definedName>
    <definedName name="TextRefCopy81" localSheetId="6">#REF!</definedName>
    <definedName name="TextRefCopy81">#REF!</definedName>
    <definedName name="TextRefCopy82" localSheetId="7">#REF!</definedName>
    <definedName name="TextRefCopy82" localSheetId="6">#REF!</definedName>
    <definedName name="TextRefCopy82">#REF!</definedName>
    <definedName name="TextRefCopy83" localSheetId="7">#REF!</definedName>
    <definedName name="TextRefCopy83" localSheetId="6">#REF!</definedName>
    <definedName name="TextRefCopy83">#REF!</definedName>
    <definedName name="TextRefCopy84" localSheetId="7">#REF!</definedName>
    <definedName name="TextRefCopy84" localSheetId="6">#REF!</definedName>
    <definedName name="TextRefCopy84">#REF!</definedName>
    <definedName name="TextRefCopy85" localSheetId="7">#REF!</definedName>
    <definedName name="TextRefCopy85" localSheetId="6">#REF!</definedName>
    <definedName name="TextRefCopy85">#REF!</definedName>
    <definedName name="TextRefCopy86" localSheetId="7">#REF!</definedName>
    <definedName name="TextRefCopy86" localSheetId="6">#REF!</definedName>
    <definedName name="TextRefCopy86">#REF!</definedName>
    <definedName name="TextRefCopy87" localSheetId="7">#REF!</definedName>
    <definedName name="TextRefCopy87" localSheetId="6">#REF!</definedName>
    <definedName name="TextRefCopy87">#REF!</definedName>
    <definedName name="TextRefCopy88" localSheetId="7">#REF!</definedName>
    <definedName name="TextRefCopy88" localSheetId="6">#REF!</definedName>
    <definedName name="TextRefCopy88">#REF!</definedName>
    <definedName name="TextRefCopy89" localSheetId="7">#REF!</definedName>
    <definedName name="TextRefCopy89" localSheetId="6">#REF!</definedName>
    <definedName name="TextRefCopy89">#REF!</definedName>
    <definedName name="TextRefCopy9" localSheetId="7">#REF!</definedName>
    <definedName name="TextRefCopy9" localSheetId="6">#REF!</definedName>
    <definedName name="TextRefCopy9">#REF!</definedName>
    <definedName name="TextRefCopy90" localSheetId="7">#REF!</definedName>
    <definedName name="TextRefCopy90" localSheetId="6">#REF!</definedName>
    <definedName name="TextRefCopy90">#REF!</definedName>
    <definedName name="TextRefCopy91" localSheetId="7">#REF!</definedName>
    <definedName name="TextRefCopy91" localSheetId="6">#REF!</definedName>
    <definedName name="TextRefCopy91">#REF!</definedName>
    <definedName name="TextRefCopy92" localSheetId="7">#REF!</definedName>
    <definedName name="TextRefCopy92" localSheetId="6">#REF!</definedName>
    <definedName name="TextRefCopy92">#REF!</definedName>
    <definedName name="TextRefCopy93" localSheetId="7">#REF!</definedName>
    <definedName name="TextRefCopy93" localSheetId="6">#REF!</definedName>
    <definedName name="TextRefCopy93">#REF!</definedName>
    <definedName name="TextRefCopy94" localSheetId="7">#REF!</definedName>
    <definedName name="TextRefCopy94" localSheetId="6">#REF!</definedName>
    <definedName name="TextRefCopy94">#REF!</definedName>
    <definedName name="TextRefCopy95" localSheetId="7">#REF!</definedName>
    <definedName name="TextRefCopy95" localSheetId="6">#REF!</definedName>
    <definedName name="TextRefCopy95">#REF!</definedName>
    <definedName name="TextRefCopy96" localSheetId="7">#REF!</definedName>
    <definedName name="TextRefCopy96" localSheetId="6">#REF!</definedName>
    <definedName name="TextRefCopy96">#REF!</definedName>
    <definedName name="TextRefCopy97" localSheetId="7">#REF!</definedName>
    <definedName name="TextRefCopy97" localSheetId="6">#REF!</definedName>
    <definedName name="TextRefCopy97">#REF!</definedName>
    <definedName name="TextRefCopy98" localSheetId="7">#REF!</definedName>
    <definedName name="TextRefCopy98" localSheetId="6">#REF!</definedName>
    <definedName name="TextRefCopy98">#REF!</definedName>
    <definedName name="TextRefCopy99" localSheetId="7">#REF!</definedName>
    <definedName name="TextRefCopy99" localSheetId="6">#REF!</definedName>
    <definedName name="TextRefCopy99">#REF!</definedName>
    <definedName name="TextRefCopyRangeCount" hidden="1">136</definedName>
    <definedName name="Total_AR_Value" localSheetId="6">#REF!</definedName>
    <definedName name="Total_AR_Value">#REF!</definedName>
    <definedName name="ty" localSheetId="6">#REF!</definedName>
    <definedName name="ty">#REF!</definedName>
    <definedName name="u" localSheetId="6">#REF!</definedName>
    <definedName name="u">#REF!</definedName>
    <definedName name="UFPrn20000310061247" localSheetId="6">#REF!</definedName>
    <definedName name="UFPrn20000310061247">#REF!</definedName>
    <definedName name="UFPrn20000324091925" localSheetId="7">#REF!</definedName>
    <definedName name="UFPrn20000324091925" localSheetId="6">#REF!</definedName>
    <definedName name="UFPrn20000324091925">#REF!</definedName>
    <definedName name="UFPrn20021008134934" localSheetId="7">#REF!</definedName>
    <definedName name="UFPrn20021008134934" localSheetId="6">#REF!</definedName>
    <definedName name="UFPrn20021008134934">#REF!</definedName>
    <definedName name="ui" localSheetId="6">#REF!</definedName>
    <definedName name="ui">#REF!</definedName>
    <definedName name="uio" localSheetId="6">#REF!</definedName>
    <definedName name="uio">#REF!</definedName>
    <definedName name="v" localSheetId="6">#REF!</definedName>
    <definedName name="v">#REF!</definedName>
    <definedName name="vb" localSheetId="6">#REF!</definedName>
    <definedName name="vb">#REF!</definedName>
    <definedName name="w" localSheetId="6">#REF!</definedName>
    <definedName name="w">#REF!</definedName>
    <definedName name="Warranty" localSheetId="6">#REF!</definedName>
    <definedName name="Warranty">#REF!</definedName>
    <definedName name="wer" localSheetId="6">#REF!</definedName>
    <definedName name="wer">#REF!</definedName>
    <definedName name="xc" localSheetId="6">#REF!</definedName>
    <definedName name="xc">#REF!</definedName>
    <definedName name="xcv" localSheetId="6">#REF!</definedName>
    <definedName name="xcv">#REF!</definedName>
    <definedName name="XREF_COLUMN_1" localSheetId="7" hidden="1">#REF!</definedName>
    <definedName name="XREF_COLUMN_1" localSheetId="6" hidden="1">#REF!</definedName>
    <definedName name="XREF_COLUMN_1" hidden="1">#REF!</definedName>
    <definedName name="XREF_COLUMN_2" localSheetId="6" hidden="1">[13]Breakdown!#REF!</definedName>
    <definedName name="XREF_COLUMN_2" hidden="1">[13]Breakdown!#REF!</definedName>
    <definedName name="XREF_COLUMN_3" localSheetId="6" hidden="1">#REF!</definedName>
    <definedName name="XREF_COLUMN_3" hidden="1">#REF!</definedName>
    <definedName name="XREF_COLUMN_5" localSheetId="6" hidden="1">'[14]2004'!#REF!</definedName>
    <definedName name="XREF_COLUMN_5" hidden="1">'[14]2004'!#REF!</definedName>
    <definedName name="XRefActiveRow" localSheetId="7" hidden="1">#REF!</definedName>
    <definedName name="XRefActiveRow" localSheetId="6" hidden="1">#REF!</definedName>
    <definedName name="XRefActiveRow" hidden="1">#REF!</definedName>
    <definedName name="XRefColumnsCount" hidden="1">2</definedName>
    <definedName name="XRefCopy1" localSheetId="7" hidden="1">#REF!</definedName>
    <definedName name="XRefCopy1" localSheetId="6" hidden="1">#REF!</definedName>
    <definedName name="XRefCopy1" hidden="1">#REF!</definedName>
    <definedName name="XRefCopy1Row" localSheetId="7" hidden="1">#REF!</definedName>
    <definedName name="XRefCopy1Row" localSheetId="6" hidden="1">#REF!</definedName>
    <definedName name="XRefCopy1Row" hidden="1">#REF!</definedName>
    <definedName name="XRefCopy2Row" localSheetId="7" hidden="1">#REF!</definedName>
    <definedName name="XRefCopy2Row" localSheetId="6" hidden="1">#REF!</definedName>
    <definedName name="XRefCopy2Row" hidden="1">#REF!</definedName>
    <definedName name="XRefCopyRangeCount" hidden="1">2</definedName>
    <definedName name="XRefPaste1" localSheetId="6" hidden="1">#REF!</definedName>
    <definedName name="XRefPaste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Row" localSheetId="6" hidden="1">#REF!</definedName>
    <definedName name="XRefPaste2Row" hidden="1">#REF!</definedName>
    <definedName name="XRefPaste3" localSheetId="6" hidden="1">#REF!</definedName>
    <definedName name="XRefPaste3" hidden="1">#REF!</definedName>
    <definedName name="XRefPaste3Row" localSheetId="6" hidden="1">#REF!</definedName>
    <definedName name="XRefPaste3Row" hidden="1">#REF!</definedName>
    <definedName name="XRefPasteRangeCount" hidden="1">2</definedName>
    <definedName name="y" localSheetId="6">#REF!</definedName>
    <definedName name="y">#REF!</definedName>
    <definedName name="yu" localSheetId="6">#REF!</definedName>
    <definedName name="yu">#REF!</definedName>
    <definedName name="Z_9A8CA204_20A8_11D5_8CC7_F77182B33125_.wvu.Rows" localSheetId="6" hidden="1">'同行业对比分析A1-14-6'!#REF!,'同行业对比分析A1-14-6'!#REF!,'同行业对比分析A1-14-6'!#REF!,'同行业对比分析A1-14-6'!#REF!</definedName>
    <definedName name="Z_9A8CA204_20A8_11D5_8CC7_F77182B33125_.wvu.Rows" localSheetId="3" hidden="1">'已审利润横向分析A1-14-3'!#REF!,'已审利润横向分析A1-14-3'!$11:$12,'已审利润横向分析A1-14-3'!$19:$19,'已审利润横向分析A1-14-3'!$28:$28</definedName>
    <definedName name="Z_9A8CA204_20A8_11D5_8CC7_F77182B33125_.wvu.Rows" localSheetId="4" hidden="1">'已审利润纵向分析A1-14-4'!#REF!,'已审利润纵向分析A1-14-4'!$11:$12,'已审利润纵向分析A1-14-4'!$19:$19,'已审利润纵向分析A1-14-4'!$28:$28</definedName>
    <definedName name="Z_9A8CA204_20A8_11D5_8CC7_F77182B33125_.wvu.Rows" localSheetId="1" hidden="1">'已审资产负债横向分析A1-14-1'!#REF!,'已审资产负债横向分析A1-14-1'!#REF!</definedName>
    <definedName name="Z_9A8CA204_20A8_11D5_8CC7_F77182B33125_.wvu.Rows" localSheetId="2" hidden="1">'已审资产负债纵向分析A1-14-2'!#REF!,'已审资产负债纵向分析A1-14-2'!#REF!</definedName>
    <definedName name="zhjjl" localSheetId="6">#REF!</definedName>
    <definedName name="zhjjl">#REF!</definedName>
    <definedName name="巴拉贡库" localSheetId="6">#REF!</definedName>
    <definedName name="巴拉贡库">#REF!</definedName>
    <definedName name="包头2">[15]本期报表!$A$6:$D$139</definedName>
    <definedName name="包头报表">[15]本期报表!$A$6:$D$139</definedName>
    <definedName name="包头报表1">[15]本期报表!$A$6:$D$139</definedName>
    <definedName name="本期报表">[16]本期报表!$A$6:$D$139</definedName>
    <definedName name="本循环科目" hidden="1">[17]索引!$D$15:$D$76</definedName>
    <definedName name="表" localSheetId="6">#REF!</definedName>
    <definedName name="表">#REF!</definedName>
    <definedName name="场地租赁合同书" localSheetId="6">#REF!</definedName>
    <definedName name="场地租赁合同书">#REF!</definedName>
    <definedName name="场内联营厂商合同书" localSheetId="6">#REF!</definedName>
    <definedName name="场内联营厂商合同书">#REF!</definedName>
    <definedName name="存货93期初" localSheetId="7">[18]企业表一!$C$7</definedName>
    <definedName name="存货93期初">[19]企业表一!$C$7</definedName>
    <definedName name="存货93期末" localSheetId="7">[18]企业表一!$D$7</definedName>
    <definedName name="存货93期末">[19]企业表一!$D$7</definedName>
    <definedName name="存货94期初" localSheetId="7">[18]企业表一!$E$7</definedName>
    <definedName name="存货94期初">[19]企业表一!$E$7</definedName>
    <definedName name="存货94期末" localSheetId="7">[18]企业表一!$F$7</definedName>
    <definedName name="存货94期末">[19]企业表一!$F$7</definedName>
    <definedName name="存货95期初" localSheetId="7">[18]企业表一!$G$7</definedName>
    <definedName name="存货95期初">[19]企业表一!$G$7</definedName>
    <definedName name="存货95期末" localSheetId="7">[18]企业表一!$H$7</definedName>
    <definedName name="存货95期末">[19]企业表一!$H$7</definedName>
    <definedName name="待处理固定资产净损失明细表" localSheetId="7">#REF!</definedName>
    <definedName name="待处理固定资产净损失明细表" localSheetId="6">#REF!</definedName>
    <definedName name="待处理固定资产净损失明细表">#REF!</definedName>
    <definedName name="东胜库" localSheetId="6">#REF!</definedName>
    <definedName name="东胜库">#REF!</definedName>
    <definedName name="短期投资_债券_明细表" localSheetId="7">#REF!</definedName>
    <definedName name="短期投资_债券_明细表" localSheetId="6">#REF!</definedName>
    <definedName name="短期投资_债券_明细表">#REF!</definedName>
    <definedName name="负债合计93期末" localSheetId="7">[18]企业表一!$D$17</definedName>
    <definedName name="负债合计93期末">[19]企业表一!$D$17</definedName>
    <definedName name="负债合计94期末" localSheetId="7">[18]企业表一!$F$17</definedName>
    <definedName name="负债合计94期末">[19]企业表一!$F$17</definedName>
    <definedName name="负债合计95期末" localSheetId="7">[18]企业表一!$H$17</definedName>
    <definedName name="负债合计95期末">[19]企业表一!$H$17</definedName>
    <definedName name="管理费用明细表" localSheetId="7">#REF!</definedName>
    <definedName name="管理费用明细表" localSheetId="6">#REF!</definedName>
    <definedName name="管理费用明细表">#REF!</definedName>
    <definedName name="广州库">[20]广州库!$A$1:$O$2970</definedName>
    <definedName name="合并价差明细表" localSheetId="7">#REF!</definedName>
    <definedName name="合并价差明细表" localSheetId="6">#REF!</definedName>
    <definedName name="合并价差明细表">#REF!</definedName>
    <definedName name="汇率" localSheetId="7">#REF!</definedName>
    <definedName name="汇率" localSheetId="6">#REF!</definedName>
    <definedName name="汇率">#REF!</definedName>
    <definedName name="截止日">[21]表头信息!$B$3</definedName>
    <definedName name="借贷">[22]科目名称表!$A$2:$A$3</definedName>
    <definedName name="进项税" localSheetId="6">#REF!</definedName>
    <definedName name="进项税">#REF!</definedName>
    <definedName name="净_利_润93" localSheetId="7">'[18]M-5C'!$B$24</definedName>
    <definedName name="净_利_润93">'[19]M-5C'!$B$24</definedName>
    <definedName name="净_利_润94" localSheetId="7">'[18]M-5C'!$D$24</definedName>
    <definedName name="净_利_润94">'[19]M-5C'!$D$24</definedName>
    <definedName name="净_利_润95" localSheetId="7">'[18]M-5C'!$F$24</definedName>
    <definedName name="净_利_润95">'[19]M-5C'!$F$24</definedName>
    <definedName name="净资产合计93期初" localSheetId="7">[18]企业表一!$C$20</definedName>
    <definedName name="净资产合计93期初">[19]企业表一!$C$20</definedName>
    <definedName name="净资产合计93期末" localSheetId="7">[18]企业表一!$D$20</definedName>
    <definedName name="净资产合计93期末">[19]企业表一!$D$20</definedName>
    <definedName name="净资产合计94期初" localSheetId="7">[18]企业表一!$E$20</definedName>
    <definedName name="净资产合计94期初">[19]企业表一!$E$20</definedName>
    <definedName name="净资产合计94期末" localSheetId="7">[18]企业表一!$F$20</definedName>
    <definedName name="净资产合计94期末">[19]企业表一!$F$20</definedName>
    <definedName name="净资产合计95期初" localSheetId="7">[18]企业表一!$G$20</definedName>
    <definedName name="净资产合计95期初">[19]企业表一!$G$20</definedName>
    <definedName name="净资产合计95期末" localSheetId="7">[18]企业表一!$H$20</definedName>
    <definedName name="净资产合计95期末">[19]企业表一!$H$20</definedName>
    <definedName name="开办费明细表" localSheetId="7">#REF!</definedName>
    <definedName name="开办费明细表" localSheetId="6">#REF!</definedName>
    <definedName name="开办费明细表">#REF!</definedName>
    <definedName name="累计折旧明细表" localSheetId="7">#REF!</definedName>
    <definedName name="累计折旧明细表" localSheetId="6">#REF!</definedName>
    <definedName name="累计折旧明细表">#REF!</definedName>
    <definedName name="利_润_总_额93" localSheetId="7">'[18]M-5A'!$B$10</definedName>
    <definedName name="利_润_总_额93">'[19]M-5A'!$B$10</definedName>
    <definedName name="利_润_总_额94" localSheetId="7">'[18]M-5A'!$C$10</definedName>
    <definedName name="利_润_总_额94">'[19]M-5A'!$C$10</definedName>
    <definedName name="利_润_总_额95" localSheetId="7">'[18]M-5A'!$D$10</definedName>
    <definedName name="利_润_总_额95">'[19]M-5A'!$D$10</definedName>
    <definedName name="流_动_资_产93" localSheetId="7">'[18]M-5A'!$B$15</definedName>
    <definedName name="流_动_资_产93">'[19]M-5A'!$B$15</definedName>
    <definedName name="流_动_资_产94" localSheetId="7">'[18]M-5A'!$C$15</definedName>
    <definedName name="流_动_资_产94">'[19]M-5A'!$C$15</definedName>
    <definedName name="流_动_资_产95" localSheetId="7">'[18]M-5A'!$D$15</definedName>
    <definedName name="流_动_资_产95">'[19]M-5A'!$D$15</definedName>
    <definedName name="流动负债93期末" localSheetId="7">[18]企业表一!$D$15</definedName>
    <definedName name="流动负债93期末">[19]企业表一!$D$15</definedName>
    <definedName name="流动负债94期末" localSheetId="7">[18]企业表一!$F$15</definedName>
    <definedName name="流动负债94期末">[19]企业表一!$F$15</definedName>
    <definedName name="流动负债95期末" localSheetId="7">[18]企业表一!$H$15</definedName>
    <definedName name="流动负债95期末">[19]企业表一!$H$15</definedName>
    <definedName name="评估汇总项目" localSheetId="6">[23]项目信息!#REF!</definedName>
    <definedName name="评估汇总项目">[23]项目信息!#REF!</definedName>
    <definedName name="其他货币资金明细表" localSheetId="7">#REF!</definedName>
    <definedName name="其他货币资金明细表" localSheetId="6">#REF!</definedName>
    <definedName name="其他货币资金明细表">#REF!</definedName>
    <definedName name="其他未交款明细表" localSheetId="7">#REF!</definedName>
    <definedName name="其他未交款明细表" localSheetId="6">#REF!</definedName>
    <definedName name="其他未交款明细表">#REF!</definedName>
    <definedName name="其他应付款明细表" localSheetId="7">#REF!</definedName>
    <definedName name="其他应付款明细表" localSheetId="6">#REF!</definedName>
    <definedName name="其他应付款明细表">#REF!</definedName>
    <definedName name="其他应收款明细表" localSheetId="7">#REF!</definedName>
    <definedName name="其他应收款明细表" localSheetId="6">#REF!</definedName>
    <definedName name="其他应收款明细表">#REF!</definedName>
    <definedName name="上期报表">[24]上期报表!$A$6:$D$150</definedName>
    <definedName name="生产成本2">[25]生产成本账!$A$2:$D$235</definedName>
    <definedName name="生产列1" localSheetId="7">#REF!</definedName>
    <definedName name="生产列1" localSheetId="6">#REF!</definedName>
    <definedName name="生产列1">#REF!</definedName>
    <definedName name="生产列11" localSheetId="7">#REF!</definedName>
    <definedName name="生产列11" localSheetId="6">#REF!</definedName>
    <definedName name="生产列11">#REF!</definedName>
    <definedName name="生产列15" localSheetId="7">#REF!</definedName>
    <definedName name="生产列15" localSheetId="6">#REF!</definedName>
    <definedName name="生产列15">#REF!</definedName>
    <definedName name="生产列16" localSheetId="7">#REF!</definedName>
    <definedName name="生产列16" localSheetId="6">#REF!</definedName>
    <definedName name="生产列16">#REF!</definedName>
    <definedName name="生产列17" localSheetId="7">#REF!</definedName>
    <definedName name="生产列17" localSheetId="6">#REF!</definedName>
    <definedName name="生产列17">#REF!</definedName>
    <definedName name="生产列19" localSheetId="7">#REF!</definedName>
    <definedName name="生产列19" localSheetId="6">#REF!</definedName>
    <definedName name="生产列19">#REF!</definedName>
    <definedName name="生产列2" localSheetId="7">#REF!</definedName>
    <definedName name="生产列2" localSheetId="6">#REF!</definedName>
    <definedName name="生产列2">#REF!</definedName>
    <definedName name="生产列20" localSheetId="7">#REF!</definedName>
    <definedName name="生产列20" localSheetId="6">#REF!</definedName>
    <definedName name="生产列20">#REF!</definedName>
    <definedName name="生产列3" localSheetId="7">#REF!</definedName>
    <definedName name="生产列3" localSheetId="6">#REF!</definedName>
    <definedName name="生产列3">#REF!</definedName>
    <definedName name="生产列4" localSheetId="7">#REF!</definedName>
    <definedName name="生产列4" localSheetId="6">#REF!</definedName>
    <definedName name="生产列4">#REF!</definedName>
    <definedName name="生产列5" localSheetId="7">#REF!</definedName>
    <definedName name="生产列5" localSheetId="6">#REF!</definedName>
    <definedName name="生产列5">#REF!</definedName>
    <definedName name="生产列6" localSheetId="7">#REF!</definedName>
    <definedName name="生产列6" localSheetId="6">#REF!</definedName>
    <definedName name="生产列6">#REF!</definedName>
    <definedName name="生产列7" localSheetId="7">#REF!</definedName>
    <definedName name="生产列7" localSheetId="6">#REF!</definedName>
    <definedName name="生产列7">#REF!</definedName>
    <definedName name="生产列8" localSheetId="7">#REF!</definedName>
    <definedName name="生产列8" localSheetId="6">#REF!</definedName>
    <definedName name="生产列8">#REF!</definedName>
    <definedName name="生产列9" localSheetId="7">#REF!</definedName>
    <definedName name="生产列9" localSheetId="6">#REF!</definedName>
    <definedName name="生产列9">#REF!</definedName>
    <definedName name="生产期" localSheetId="7">#REF!</definedName>
    <definedName name="生产期" localSheetId="6">#REF!</definedName>
    <definedName name="生产期">#REF!</definedName>
    <definedName name="生产期1" localSheetId="7">#REF!</definedName>
    <definedName name="生产期1" localSheetId="6">#REF!</definedName>
    <definedName name="生产期1">#REF!</definedName>
    <definedName name="生产期11" localSheetId="7">#REF!</definedName>
    <definedName name="生产期11" localSheetId="6">#REF!</definedName>
    <definedName name="生产期11">#REF!</definedName>
    <definedName name="生产期15" localSheetId="7">#REF!</definedName>
    <definedName name="生产期15" localSheetId="6">#REF!</definedName>
    <definedName name="生产期15">#REF!</definedName>
    <definedName name="生产期16" localSheetId="7">#REF!</definedName>
    <definedName name="生产期16" localSheetId="6">#REF!</definedName>
    <definedName name="生产期16">#REF!</definedName>
    <definedName name="生产期17" localSheetId="7">#REF!</definedName>
    <definedName name="生产期17" localSheetId="6">#REF!</definedName>
    <definedName name="生产期17">#REF!</definedName>
    <definedName name="生产期19" localSheetId="7">#REF!</definedName>
    <definedName name="生产期19" localSheetId="6">#REF!</definedName>
    <definedName name="生产期19">#REF!</definedName>
    <definedName name="生产期2" localSheetId="7">#REF!</definedName>
    <definedName name="生产期2" localSheetId="6">#REF!</definedName>
    <definedName name="生产期2">#REF!</definedName>
    <definedName name="生产期20" localSheetId="7">#REF!</definedName>
    <definedName name="生产期20" localSheetId="6">#REF!</definedName>
    <definedName name="生产期20">#REF!</definedName>
    <definedName name="生产期3" localSheetId="7">#REF!</definedName>
    <definedName name="生产期3" localSheetId="6">#REF!</definedName>
    <definedName name="生产期3">#REF!</definedName>
    <definedName name="生产期4" localSheetId="7">#REF!</definedName>
    <definedName name="生产期4" localSheetId="6">#REF!</definedName>
    <definedName name="生产期4">#REF!</definedName>
    <definedName name="生产期5" localSheetId="7">#REF!</definedName>
    <definedName name="生产期5" localSheetId="6">#REF!</definedName>
    <definedName name="生产期5">#REF!</definedName>
    <definedName name="生产期6" localSheetId="7">#REF!</definedName>
    <definedName name="生产期6" localSheetId="6">#REF!</definedName>
    <definedName name="生产期6">#REF!</definedName>
    <definedName name="生产期7" localSheetId="7">#REF!</definedName>
    <definedName name="生产期7" localSheetId="6">#REF!</definedName>
    <definedName name="生产期7">#REF!</definedName>
    <definedName name="生产期8" localSheetId="7">#REF!</definedName>
    <definedName name="生产期8" localSheetId="6">#REF!</definedName>
    <definedName name="生产期8">#REF!</definedName>
    <definedName name="生产期9" localSheetId="7">#REF!</definedName>
    <definedName name="生产期9" localSheetId="6">#REF!</definedName>
    <definedName name="生产期9">#REF!</definedName>
    <definedName name="收入对" localSheetId="6">#REF!</definedName>
    <definedName name="收入对">#REF!</definedName>
    <definedName name="宋体" localSheetId="6">[26]现金!#REF!</definedName>
    <definedName name="宋体">[26]现金!#REF!</definedName>
    <definedName name="速_动_资_产93" localSheetId="7">'[18]M-5A'!$B$14</definedName>
    <definedName name="速_动_资_产93">'[19]M-5A'!$B$14</definedName>
    <definedName name="速_动_资_产94" localSheetId="7">'[18]M-5A'!$C$14</definedName>
    <definedName name="速_动_资_产94">'[19]M-5A'!$C$14</definedName>
    <definedName name="速_动_资_产95" localSheetId="7">'[18]M-5A'!$D$14</definedName>
    <definedName name="速_动_资_产95">'[19]M-5A'!$D$14</definedName>
    <definedName name="未">[27]本期报表!$A$6:$D$139</definedName>
    <definedName name="未交税金明细表" localSheetId="7">#REF!</definedName>
    <definedName name="未交税金明细表" localSheetId="6">#REF!</definedName>
    <definedName name="未交税金明细表">#REF!</definedName>
    <definedName name="温">[28]本期报表!$A$6:$D$150</definedName>
    <definedName name="无对应明细表的报表项目" localSheetId="7">#REF!</definedName>
    <definedName name="无对应明细表的报表项目" localSheetId="6">#REF!</definedName>
    <definedName name="无对应明细表的报表项目">#REF!</definedName>
    <definedName name="已交增值税" localSheetId="6">#REF!</definedName>
    <definedName name="已交增值税">#REF!</definedName>
    <definedName name="以前年度损益调整明细表" localSheetId="7">#REF!</definedName>
    <definedName name="以前年度损益调整明细表" localSheetId="6">#REF!</definedName>
    <definedName name="以前年度损益调整明细表">#REF!</definedName>
    <definedName name="银行存款" localSheetId="7">[29]银行借款询证!#REF!</definedName>
    <definedName name="银行存款" localSheetId="6">[30]银行借款询证!#REF!</definedName>
    <definedName name="银行存款">[30]银行借款询证!#REF!</definedName>
    <definedName name="应付福利费" localSheetId="6">#REF!</definedName>
    <definedName name="应付福利费">#REF!</definedName>
    <definedName name="应付工资" localSheetId="6">#REF!</definedName>
    <definedName name="应付工资">#REF!</definedName>
    <definedName name="应付票据明细表" localSheetId="7">#REF!</definedName>
    <definedName name="应付票据明细表" localSheetId="6">#REF!</definedName>
    <definedName name="应付票据明细表">#REF!</definedName>
    <definedName name="应收帐款93期初" localSheetId="7">[18]企业表一!$C$6</definedName>
    <definedName name="应收帐款93期初">[19]企业表一!$C$6</definedName>
    <definedName name="应收帐款93期末" localSheetId="7">[18]企业表一!$D$6</definedName>
    <definedName name="应收帐款93期末">[19]企业表一!$D$6</definedName>
    <definedName name="应收帐款94期初" localSheetId="7">[18]企业表一!$E$6</definedName>
    <definedName name="应收帐款94期初">[19]企业表一!$E$6</definedName>
    <definedName name="应收帐款94期末" localSheetId="7">[18]企业表一!$F$6</definedName>
    <definedName name="应收帐款94期末">[19]企业表一!$F$6</definedName>
    <definedName name="应收帐款95期初" localSheetId="7">[18]企业表一!$G$6</definedName>
    <definedName name="应收帐款95期初">[19]企业表一!$G$6</definedName>
    <definedName name="应收帐款95期末" localSheetId="7">[18]企业表一!$H$6</definedName>
    <definedName name="应收帐款95期末">[19]企业表一!$H$6</definedName>
    <definedName name="营业外支出明细表" localSheetId="7">#REF!</definedName>
    <definedName name="营业外支出明细表" localSheetId="6">#REF!</definedName>
    <definedName name="营业外支出明细表">#REF!</definedName>
    <definedName name="预付帐款明细表" localSheetId="7">#REF!</definedName>
    <definedName name="预付帐款明细表" localSheetId="6">#REF!</definedName>
    <definedName name="预付帐款明细表">#REF!</definedName>
    <definedName name="预收货款明细表" localSheetId="7">#REF!</definedName>
    <definedName name="预收货款明细表" localSheetId="6">#REF!</definedName>
    <definedName name="预收货款明细表">#REF!</definedName>
    <definedName name="预提" localSheetId="6">#REF!</definedName>
    <definedName name="预提">#REF!</definedName>
    <definedName name="预提费用" localSheetId="6">#REF!</definedName>
    <definedName name="预提费用">#REF!</definedName>
    <definedName name="预提费用明细表" localSheetId="7">#REF!</definedName>
    <definedName name="预提费用明细表" localSheetId="6">#REF!</definedName>
    <definedName name="预提费用明细表">#REF!</definedName>
    <definedName name="资产合计93期初" localSheetId="7">[18]企业表一!$C$14</definedName>
    <definedName name="资产合计93期初">[19]企业表一!$C$14</definedName>
    <definedName name="资产合计93期末" localSheetId="7">[18]企业表一!$D$14</definedName>
    <definedName name="资产合计93期末">[19]企业表一!$D$14</definedName>
    <definedName name="资产合计94期初" localSheetId="7">[18]企业表一!$E$14</definedName>
    <definedName name="资产合计94期初">[19]企业表一!$E$14</definedName>
    <definedName name="资产合计94期末" localSheetId="7">[18]企业表一!$F$14</definedName>
    <definedName name="资产合计94期末">[19]企业表一!$F$14</definedName>
    <definedName name="资产合计95期初" localSheetId="7">[18]企业表一!$G$14</definedName>
    <definedName name="资产合计95期初">[19]企业表一!$G$14</definedName>
    <definedName name="资产合计95期末" localSheetId="7">[18]企业表一!$H$14</definedName>
    <definedName name="资产合计95期末">[19]企业表一!$H$14</definedName>
    <definedName name="전" localSheetId="6">#REF!</definedName>
    <definedName name="전">#REF!</definedName>
    <definedName name="주택사업본부" localSheetId="6">#REF!</definedName>
    <definedName name="주택사업본부">#REF!</definedName>
    <definedName name="철구사업본부" localSheetId="6">#REF!</definedName>
    <definedName name="철구사업본부">#REF!</definedName>
  </definedNames>
  <calcPr calcId="162913"/>
</workbook>
</file>

<file path=xl/calcChain.xml><?xml version="1.0" encoding="utf-8"?>
<calcChain xmlns="http://schemas.openxmlformats.org/spreadsheetml/2006/main">
  <c r="E27" i="13" l="1"/>
  <c r="C21" i="11"/>
  <c r="N46" i="11" l="1"/>
  <c r="L46" i="11"/>
  <c r="N33" i="11"/>
  <c r="L33" i="11"/>
  <c r="L46" i="10" l="1"/>
  <c r="K46" i="10"/>
  <c r="L33" i="10"/>
  <c r="K33" i="10"/>
  <c r="D21" i="10"/>
  <c r="C21" i="10"/>
  <c r="F41" i="14"/>
  <c r="G30" i="14"/>
  <c r="F26" i="14"/>
  <c r="G25" i="14"/>
  <c r="G15" i="14"/>
  <c r="F15" i="14"/>
  <c r="G14" i="14"/>
  <c r="G8" i="14"/>
  <c r="G7" i="14"/>
  <c r="D27" i="12" l="1"/>
  <c r="C27" i="12"/>
  <c r="C30" i="12" s="1"/>
  <c r="C27" i="13"/>
  <c r="C30" i="13" s="1"/>
  <c r="E26" i="12"/>
  <c r="F26" i="12"/>
  <c r="F39" i="13"/>
  <c r="F38" i="13"/>
  <c r="F36" i="13"/>
  <c r="F35" i="13"/>
  <c r="D39" i="13"/>
  <c r="D38" i="13"/>
  <c r="D36" i="13"/>
  <c r="D35" i="13"/>
  <c r="F25" i="13"/>
  <c r="F26" i="13"/>
  <c r="D25" i="13"/>
  <c r="D26" i="13"/>
  <c r="F39" i="12"/>
  <c r="E39" i="12"/>
  <c r="F38" i="12"/>
  <c r="E38" i="12"/>
  <c r="F36" i="12"/>
  <c r="E36" i="12"/>
  <c r="F35" i="12"/>
  <c r="E35" i="12"/>
  <c r="E25" i="12"/>
  <c r="F25" i="12"/>
  <c r="G35" i="13" l="1"/>
  <c r="G36" i="13"/>
  <c r="G38" i="13"/>
  <c r="G39" i="13"/>
  <c r="G25" i="13"/>
  <c r="G26" i="13"/>
  <c r="D27" i="13"/>
  <c r="A3" i="13"/>
  <c r="A3" i="17" s="1"/>
  <c r="A3" i="11"/>
  <c r="B8" i="11" l="1"/>
  <c r="B9" i="11" s="1"/>
  <c r="M17" i="10"/>
  <c r="M18" i="10"/>
  <c r="E40" i="10"/>
  <c r="E41" i="10"/>
  <c r="E42" i="10"/>
  <c r="E44" i="10"/>
  <c r="E45" i="10"/>
  <c r="E46" i="10"/>
  <c r="E16" i="10"/>
  <c r="E17" i="10"/>
  <c r="E18" i="10"/>
  <c r="E19" i="10"/>
  <c r="E26" i="10"/>
  <c r="E27" i="10"/>
  <c r="E28" i="10"/>
  <c r="E29" i="10"/>
  <c r="E30" i="10"/>
  <c r="E31" i="10"/>
  <c r="E36" i="10"/>
  <c r="E37" i="10"/>
  <c r="E38" i="10"/>
  <c r="E39" i="10"/>
  <c r="B8" i="10"/>
  <c r="B9" i="10" s="1"/>
  <c r="B10" i="11" l="1"/>
  <c r="B11" i="11" s="1"/>
  <c r="B12" i="11" s="1"/>
  <c r="B10" i="10"/>
  <c r="B11" i="10" s="1"/>
  <c r="B12" i="10" s="1"/>
  <c r="B13" i="11" l="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13" i="10"/>
  <c r="B14" i="10" s="1"/>
  <c r="B15" i="10" s="1"/>
  <c r="B16" i="10" s="1"/>
  <c r="B17" i="10" s="1"/>
  <c r="B18" i="10" s="1"/>
  <c r="B19" i="10" s="1"/>
  <c r="B20" i="10" s="1"/>
  <c r="B21" i="10" s="1"/>
  <c r="B22" i="10" s="1"/>
  <c r="B23" i="10" s="1"/>
  <c r="B24" i="10" s="1"/>
  <c r="B25" i="10" s="1"/>
  <c r="B26" i="10" s="1"/>
  <c r="B27" i="10" s="1"/>
  <c r="B28" i="10" s="1"/>
  <c r="B29" i="10" s="1"/>
  <c r="B30" i="10" s="1"/>
  <c r="E73" i="13"/>
  <c r="F73" i="13" s="1"/>
  <c r="C73" i="13"/>
  <c r="D73" i="13" s="1"/>
  <c r="F72" i="13"/>
  <c r="D72" i="13"/>
  <c r="F71" i="13"/>
  <c r="D71" i="13"/>
  <c r="F70" i="13"/>
  <c r="D70" i="13"/>
  <c r="F69" i="13"/>
  <c r="D69" i="13"/>
  <c r="F68" i="13"/>
  <c r="D68" i="13"/>
  <c r="F67" i="13"/>
  <c r="D67" i="13"/>
  <c r="F66" i="13"/>
  <c r="D66" i="13"/>
  <c r="F65" i="13"/>
  <c r="D65" i="13"/>
  <c r="F64" i="13"/>
  <c r="D64" i="13"/>
  <c r="F63" i="13"/>
  <c r="D63" i="13"/>
  <c r="F58" i="13"/>
  <c r="D58" i="13"/>
  <c r="F57" i="13"/>
  <c r="D57" i="13"/>
  <c r="E55" i="13"/>
  <c r="E54" i="13"/>
  <c r="E53" i="13"/>
  <c r="E52" i="13"/>
  <c r="E51" i="13"/>
  <c r="E50" i="13"/>
  <c r="E49" i="13"/>
  <c r="E48" i="13"/>
  <c r="E47" i="13"/>
  <c r="E46" i="13"/>
  <c r="E45" i="13"/>
  <c r="E44" i="13"/>
  <c r="E43" i="13"/>
  <c r="E42" i="13"/>
  <c r="E41" i="13"/>
  <c r="E40" i="13"/>
  <c r="F32" i="13"/>
  <c r="D32" i="13"/>
  <c r="F31" i="13"/>
  <c r="D31" i="13"/>
  <c r="F29" i="13"/>
  <c r="D29" i="13"/>
  <c r="F28" i="13"/>
  <c r="D28" i="13"/>
  <c r="E30" i="13"/>
  <c r="F24" i="13"/>
  <c r="D24" i="13"/>
  <c r="F23" i="13"/>
  <c r="D23" i="13"/>
  <c r="F22" i="13"/>
  <c r="D22" i="13"/>
  <c r="F21" i="13"/>
  <c r="D21" i="13"/>
  <c r="F20" i="13"/>
  <c r="D20" i="13"/>
  <c r="F19" i="13"/>
  <c r="D19" i="13"/>
  <c r="F18" i="13"/>
  <c r="D18" i="13"/>
  <c r="F17" i="13"/>
  <c r="D17" i="13"/>
  <c r="F16" i="13"/>
  <c r="D16" i="13"/>
  <c r="F15" i="13"/>
  <c r="D15" i="13"/>
  <c r="F14" i="13"/>
  <c r="D14" i="13"/>
  <c r="F13" i="13"/>
  <c r="D13" i="13"/>
  <c r="F12" i="13"/>
  <c r="D12" i="13"/>
  <c r="F11" i="13"/>
  <c r="D11" i="13"/>
  <c r="F10" i="13"/>
  <c r="D10" i="13"/>
  <c r="F9" i="13"/>
  <c r="D9" i="13"/>
  <c r="F8" i="13"/>
  <c r="D8" i="13"/>
  <c r="F7" i="13"/>
  <c r="D7" i="13"/>
  <c r="F3" i="13"/>
  <c r="B3" i="13"/>
  <c r="F2" i="13"/>
  <c r="B2" i="13"/>
  <c r="A2" i="13"/>
  <c r="D73" i="12"/>
  <c r="C73" i="12"/>
  <c r="F72" i="12"/>
  <c r="G72" i="12" s="1"/>
  <c r="E72" i="12"/>
  <c r="F71" i="12"/>
  <c r="G71" i="12" s="1"/>
  <c r="E71" i="12"/>
  <c r="F70" i="12"/>
  <c r="G70" i="12" s="1"/>
  <c r="E70" i="12"/>
  <c r="F69" i="12"/>
  <c r="G69" i="12" s="1"/>
  <c r="E69" i="12"/>
  <c r="F68" i="12"/>
  <c r="G68" i="12" s="1"/>
  <c r="E68" i="12"/>
  <c r="F67" i="12"/>
  <c r="G67" i="12" s="1"/>
  <c r="E67" i="12"/>
  <c r="F66" i="12"/>
  <c r="G66" i="12" s="1"/>
  <c r="E66" i="12"/>
  <c r="F65" i="12"/>
  <c r="G65" i="12" s="1"/>
  <c r="E65" i="12"/>
  <c r="F64" i="12"/>
  <c r="G64" i="12" s="1"/>
  <c r="E64" i="12"/>
  <c r="F63" i="12"/>
  <c r="G63" i="12" s="1"/>
  <c r="E63" i="12"/>
  <c r="G62" i="12"/>
  <c r="E62" i="12"/>
  <c r="E61" i="12"/>
  <c r="E60" i="12"/>
  <c r="E59" i="12"/>
  <c r="F58" i="12"/>
  <c r="G58" i="12" s="1"/>
  <c r="E58" i="12"/>
  <c r="F57" i="12"/>
  <c r="G57" i="12" s="1"/>
  <c r="E57" i="12"/>
  <c r="G56" i="12"/>
  <c r="E56" i="12"/>
  <c r="E55" i="12"/>
  <c r="E54" i="12"/>
  <c r="E53" i="12"/>
  <c r="E52" i="12"/>
  <c r="E51" i="12"/>
  <c r="E50" i="12"/>
  <c r="E49" i="12"/>
  <c r="E48" i="12"/>
  <c r="E47" i="12"/>
  <c r="E46" i="12"/>
  <c r="E45" i="12"/>
  <c r="E44" i="12"/>
  <c r="E43" i="12"/>
  <c r="E42" i="12"/>
  <c r="E41" i="12"/>
  <c r="E40" i="12"/>
  <c r="G39" i="12"/>
  <c r="G38" i="12"/>
  <c r="F32" i="12"/>
  <c r="G32" i="12" s="1"/>
  <c r="E32" i="12"/>
  <c r="F31" i="12"/>
  <c r="G31" i="12" s="1"/>
  <c r="E31" i="12"/>
  <c r="F29" i="12"/>
  <c r="G29" i="12" s="1"/>
  <c r="E29" i="12"/>
  <c r="F28" i="12"/>
  <c r="G28" i="12" s="1"/>
  <c r="E28" i="12"/>
  <c r="D30" i="12"/>
  <c r="D33" i="12" s="1"/>
  <c r="F24" i="12"/>
  <c r="G24" i="12" s="1"/>
  <c r="E24" i="12"/>
  <c r="F23" i="12"/>
  <c r="G23" i="12" s="1"/>
  <c r="E23" i="12"/>
  <c r="F22" i="12"/>
  <c r="G22" i="12" s="1"/>
  <c r="E22" i="12"/>
  <c r="F21" i="12"/>
  <c r="G21" i="12" s="1"/>
  <c r="E21" i="12"/>
  <c r="F20" i="12"/>
  <c r="G20" i="12" s="1"/>
  <c r="E20" i="12"/>
  <c r="F19" i="12"/>
  <c r="G19" i="12" s="1"/>
  <c r="E19" i="12"/>
  <c r="F18" i="12"/>
  <c r="G18" i="12" s="1"/>
  <c r="E18" i="12"/>
  <c r="F17" i="12"/>
  <c r="G17" i="12" s="1"/>
  <c r="E17" i="12"/>
  <c r="F16" i="12"/>
  <c r="G16" i="12" s="1"/>
  <c r="E16" i="12"/>
  <c r="F15" i="12"/>
  <c r="G15" i="12" s="1"/>
  <c r="E15" i="12"/>
  <c r="F14" i="12"/>
  <c r="G14" i="12" s="1"/>
  <c r="E14" i="12"/>
  <c r="F13" i="12"/>
  <c r="G13" i="12" s="1"/>
  <c r="E13" i="12"/>
  <c r="F12" i="12"/>
  <c r="G12" i="12" s="1"/>
  <c r="E12" i="12"/>
  <c r="F11" i="12"/>
  <c r="G11" i="12" s="1"/>
  <c r="E11" i="12"/>
  <c r="F10" i="12"/>
  <c r="G10" i="12" s="1"/>
  <c r="E10" i="12"/>
  <c r="F9" i="12"/>
  <c r="G9" i="12" s="1"/>
  <c r="E9" i="12"/>
  <c r="F8" i="12"/>
  <c r="G8" i="12" s="1"/>
  <c r="E8" i="12"/>
  <c r="F7" i="12"/>
  <c r="G7" i="12" s="1"/>
  <c r="E7" i="12"/>
  <c r="E3" i="12"/>
  <c r="B3" i="12"/>
  <c r="E2" i="12"/>
  <c r="B2" i="12"/>
  <c r="A2" i="12"/>
  <c r="E48" i="11"/>
  <c r="C48" i="11"/>
  <c r="N48" i="11"/>
  <c r="L48" i="11"/>
  <c r="N21" i="11"/>
  <c r="L21" i="11"/>
  <c r="E21" i="11"/>
  <c r="J4" i="11"/>
  <c r="G3" i="11"/>
  <c r="P3" i="11" s="1"/>
  <c r="E3" i="11"/>
  <c r="N3" i="11" s="1"/>
  <c r="J3" i="11"/>
  <c r="G2" i="11"/>
  <c r="P2" i="11" s="1"/>
  <c r="E2" i="11"/>
  <c r="N2" i="11" s="1"/>
  <c r="A2" i="11"/>
  <c r="J2" i="11" s="1"/>
  <c r="D48" i="10"/>
  <c r="C48" i="10"/>
  <c r="N47" i="10"/>
  <c r="O47" i="10" s="1"/>
  <c r="M47" i="10"/>
  <c r="F47" i="10"/>
  <c r="G47" i="10" s="1"/>
  <c r="E47" i="10"/>
  <c r="L48" i="10"/>
  <c r="F46" i="10"/>
  <c r="G46" i="10" s="1"/>
  <c r="N45" i="10"/>
  <c r="O45" i="10" s="1"/>
  <c r="M45" i="10"/>
  <c r="F45" i="10"/>
  <c r="G45" i="10" s="1"/>
  <c r="N44" i="10"/>
  <c r="O44" i="10" s="1"/>
  <c r="M44" i="10"/>
  <c r="F44" i="10"/>
  <c r="G44" i="10" s="1"/>
  <c r="N43" i="10"/>
  <c r="O43" i="10" s="1"/>
  <c r="M43" i="10"/>
  <c r="F42" i="10"/>
  <c r="G42" i="10" s="1"/>
  <c r="N41" i="10"/>
  <c r="O41" i="10" s="1"/>
  <c r="M41" i="10"/>
  <c r="F40" i="10"/>
  <c r="G40" i="10" s="1"/>
  <c r="N40" i="10"/>
  <c r="O40" i="10" s="1"/>
  <c r="M40" i="10"/>
  <c r="F39" i="10"/>
  <c r="G39" i="10" s="1"/>
  <c r="N36" i="10"/>
  <c r="O36" i="10" s="1"/>
  <c r="M36" i="10"/>
  <c r="F35" i="10"/>
  <c r="G35" i="10" s="1"/>
  <c r="E35" i="10"/>
  <c r="O35" i="10"/>
  <c r="F34" i="10"/>
  <c r="G34" i="10" s="1"/>
  <c r="E34" i="10"/>
  <c r="F33" i="10"/>
  <c r="G33" i="10" s="1"/>
  <c r="E33" i="10"/>
  <c r="F32" i="10"/>
  <c r="G32" i="10" s="1"/>
  <c r="E32" i="10"/>
  <c r="N32" i="10"/>
  <c r="O32" i="10" s="1"/>
  <c r="M32" i="10"/>
  <c r="F31" i="10"/>
  <c r="G31" i="10" s="1"/>
  <c r="N31" i="10"/>
  <c r="O31" i="10" s="1"/>
  <c r="M31" i="10"/>
  <c r="N29" i="10"/>
  <c r="O29" i="10" s="1"/>
  <c r="M29" i="10"/>
  <c r="F30" i="10"/>
  <c r="G30" i="10" s="1"/>
  <c r="F29" i="10"/>
  <c r="G29" i="10" s="1"/>
  <c r="N28" i="10"/>
  <c r="O28" i="10" s="1"/>
  <c r="M28" i="10"/>
  <c r="F28" i="10"/>
  <c r="G28" i="10" s="1"/>
  <c r="N27" i="10"/>
  <c r="O27" i="10" s="1"/>
  <c r="M27" i="10"/>
  <c r="F27" i="10"/>
  <c r="G27" i="10" s="1"/>
  <c r="N25" i="10"/>
  <c r="O25" i="10" s="1"/>
  <c r="M25" i="10"/>
  <c r="F25" i="10"/>
  <c r="G25" i="10" s="1"/>
  <c r="E25" i="10"/>
  <c r="N24" i="10"/>
  <c r="O24" i="10" s="1"/>
  <c r="M24" i="10"/>
  <c r="F24" i="10"/>
  <c r="G24" i="10" s="1"/>
  <c r="E24" i="10"/>
  <c r="N23" i="10"/>
  <c r="O23" i="10" s="1"/>
  <c r="M23" i="10"/>
  <c r="F23" i="10"/>
  <c r="G23" i="10" s="1"/>
  <c r="E23" i="10"/>
  <c r="O22" i="10"/>
  <c r="G22" i="10"/>
  <c r="L21" i="10"/>
  <c r="K21" i="10"/>
  <c r="N20" i="10"/>
  <c r="O20" i="10" s="1"/>
  <c r="M20" i="10"/>
  <c r="F20" i="10"/>
  <c r="G20" i="10" s="1"/>
  <c r="E20" i="10"/>
  <c r="N19" i="10"/>
  <c r="O19" i="10" s="1"/>
  <c r="M19" i="10"/>
  <c r="F19" i="10"/>
  <c r="G19" i="10" s="1"/>
  <c r="N18" i="10"/>
  <c r="O18" i="10" s="1"/>
  <c r="F18" i="10"/>
  <c r="G18" i="10" s="1"/>
  <c r="N16" i="10"/>
  <c r="O16" i="10" s="1"/>
  <c r="M16" i="10"/>
  <c r="F16" i="10"/>
  <c r="G16" i="10" s="1"/>
  <c r="N15" i="10"/>
  <c r="O15" i="10" s="1"/>
  <c r="M15" i="10"/>
  <c r="F15" i="10"/>
  <c r="G15" i="10" s="1"/>
  <c r="E15" i="10"/>
  <c r="F14" i="10"/>
  <c r="G14" i="10" s="1"/>
  <c r="E14" i="10"/>
  <c r="F13" i="10"/>
  <c r="G13" i="10" s="1"/>
  <c r="E13" i="10"/>
  <c r="N14" i="10"/>
  <c r="O14" i="10" s="1"/>
  <c r="M14" i="10"/>
  <c r="N13" i="10"/>
  <c r="O13" i="10" s="1"/>
  <c r="M13" i="10"/>
  <c r="N12" i="10"/>
  <c r="O12" i="10" s="1"/>
  <c r="M12" i="10"/>
  <c r="F12" i="10"/>
  <c r="G12" i="10" s="1"/>
  <c r="E12" i="10"/>
  <c r="N11" i="10"/>
  <c r="O11" i="10" s="1"/>
  <c r="M11" i="10"/>
  <c r="F11" i="10"/>
  <c r="G11" i="10" s="1"/>
  <c r="E11" i="10"/>
  <c r="N9" i="10"/>
  <c r="O9" i="10" s="1"/>
  <c r="M9" i="10"/>
  <c r="F9" i="10"/>
  <c r="G9" i="10" s="1"/>
  <c r="E9" i="10"/>
  <c r="N8" i="10"/>
  <c r="O8" i="10" s="1"/>
  <c r="M8" i="10"/>
  <c r="F8" i="10"/>
  <c r="G8" i="10" s="1"/>
  <c r="E8" i="10"/>
  <c r="N3" i="10"/>
  <c r="L3" i="10"/>
  <c r="I3" i="10"/>
  <c r="N2" i="10"/>
  <c r="L2" i="10"/>
  <c r="I2" i="10"/>
  <c r="G19" i="14" l="1"/>
  <c r="G18" i="14"/>
  <c r="F27" i="14"/>
  <c r="G17" i="14"/>
  <c r="G43" i="14"/>
  <c r="F18" i="14"/>
  <c r="F25" i="14"/>
  <c r="G31" i="14"/>
  <c r="F17" i="14"/>
  <c r="G22" i="14"/>
  <c r="F36" i="14"/>
  <c r="G23" i="14"/>
  <c r="G9" i="14"/>
  <c r="G36" i="14"/>
  <c r="K7" i="11"/>
  <c r="K8" i="11" s="1"/>
  <c r="K9" i="11" s="1"/>
  <c r="K10" i="11" s="1"/>
  <c r="K11" i="11" s="1"/>
  <c r="K12" i="11" s="1"/>
  <c r="K13" i="11" s="1"/>
  <c r="K14" i="11" s="1"/>
  <c r="K15" i="11" s="1"/>
  <c r="K16" i="11" s="1"/>
  <c r="K17" i="11" s="1"/>
  <c r="K18" i="11" s="1"/>
  <c r="K19" i="11" s="1"/>
  <c r="K20" i="11" s="1"/>
  <c r="K21" i="11" s="1"/>
  <c r="K22" i="11" s="1"/>
  <c r="K23" i="11" s="1"/>
  <c r="K24" i="11" s="1"/>
  <c r="K25" i="11" s="1"/>
  <c r="K26" i="11" s="1"/>
  <c r="K27" i="11" s="1"/>
  <c r="K28" i="11" s="1"/>
  <c r="K29" i="11" s="1"/>
  <c r="K30" i="11" s="1"/>
  <c r="K31" i="11" s="1"/>
  <c r="K32" i="11" s="1"/>
  <c r="K33" i="11" s="1"/>
  <c r="K34" i="11" s="1"/>
  <c r="K35" i="11" s="1"/>
  <c r="K36" i="11" s="1"/>
  <c r="K37" i="11" s="1"/>
  <c r="K38" i="11" s="1"/>
  <c r="K39" i="11" s="1"/>
  <c r="K40" i="11" s="1"/>
  <c r="K41" i="11" s="1"/>
  <c r="K42" i="11" s="1"/>
  <c r="K43" i="11" s="1"/>
  <c r="K44" i="11" s="1"/>
  <c r="K45" i="11" s="1"/>
  <c r="K46" i="11" s="1"/>
  <c r="K47" i="11" s="1"/>
  <c r="K48" i="11" s="1"/>
  <c r="K49" i="11" s="1"/>
  <c r="B44" i="11"/>
  <c r="B45" i="11" s="1"/>
  <c r="B46" i="11" s="1"/>
  <c r="B47" i="11" s="1"/>
  <c r="B48" i="11" s="1"/>
  <c r="L34" i="10"/>
  <c r="L49" i="10" s="1"/>
  <c r="B31" i="10"/>
  <c r="B32" i="10" s="1"/>
  <c r="B33" i="10" s="1"/>
  <c r="B34" i="10" s="1"/>
  <c r="B35" i="10" s="1"/>
  <c r="B36" i="10" s="1"/>
  <c r="B37" i="10" s="1"/>
  <c r="B38" i="10" s="1"/>
  <c r="B39" i="10" s="1"/>
  <c r="B40" i="10" s="1"/>
  <c r="B41" i="10" s="1"/>
  <c r="G28" i="13"/>
  <c r="H28" i="13" s="1"/>
  <c r="G32" i="13"/>
  <c r="H32" i="13" s="1"/>
  <c r="G7" i="13"/>
  <c r="H7" i="13" s="1"/>
  <c r="G10" i="13"/>
  <c r="H10" i="13" s="1"/>
  <c r="N34" i="11"/>
  <c r="F48" i="10"/>
  <c r="G48" i="10" s="1"/>
  <c r="G14" i="13"/>
  <c r="H14" i="13" s="1"/>
  <c r="G24" i="13"/>
  <c r="H24" i="13" s="1"/>
  <c r="G15" i="13"/>
  <c r="H15" i="13" s="1"/>
  <c r="G8" i="13"/>
  <c r="H8" i="13" s="1"/>
  <c r="G13" i="13"/>
  <c r="H13" i="13" s="1"/>
  <c r="G16" i="13"/>
  <c r="H16" i="13" s="1"/>
  <c r="G18" i="13"/>
  <c r="H18" i="13" s="1"/>
  <c r="G21" i="13"/>
  <c r="H21" i="13" s="1"/>
  <c r="G22" i="13"/>
  <c r="H22" i="13" s="1"/>
  <c r="G9" i="13"/>
  <c r="H9" i="13" s="1"/>
  <c r="G11" i="13"/>
  <c r="H11" i="13" s="1"/>
  <c r="G20" i="13"/>
  <c r="H20" i="13" s="1"/>
  <c r="G23" i="13"/>
  <c r="H23" i="13" s="1"/>
  <c r="G12" i="13"/>
  <c r="H12" i="13" s="1"/>
  <c r="G17" i="13"/>
  <c r="H17" i="13" s="1"/>
  <c r="G19" i="13"/>
  <c r="H19" i="13" s="1"/>
  <c r="F27" i="13"/>
  <c r="G27" i="13" s="1"/>
  <c r="H27" i="13" s="1"/>
  <c r="F73" i="12"/>
  <c r="G73" i="12" s="1"/>
  <c r="E73" i="12"/>
  <c r="G31" i="13"/>
  <c r="H31" i="13" s="1"/>
  <c r="H38" i="13"/>
  <c r="G57" i="13"/>
  <c r="H57" i="13" s="1"/>
  <c r="G63" i="13"/>
  <c r="H63" i="13" s="1"/>
  <c r="G65" i="13"/>
  <c r="H65" i="13" s="1"/>
  <c r="G67" i="13"/>
  <c r="H67" i="13" s="1"/>
  <c r="G69" i="13"/>
  <c r="H69" i="13" s="1"/>
  <c r="G71" i="13"/>
  <c r="H71" i="13" s="1"/>
  <c r="L34" i="11"/>
  <c r="L49" i="11" s="1"/>
  <c r="M34" i="11" s="1"/>
  <c r="N46" i="10"/>
  <c r="O46" i="10" s="1"/>
  <c r="C49" i="10"/>
  <c r="E27" i="12"/>
  <c r="G29" i="13"/>
  <c r="H29" i="13" s="1"/>
  <c r="H39" i="13"/>
  <c r="G58" i="13"/>
  <c r="H58" i="13" s="1"/>
  <c r="G64" i="13"/>
  <c r="H64" i="13" s="1"/>
  <c r="G66" i="13"/>
  <c r="H66" i="13" s="1"/>
  <c r="G68" i="13"/>
  <c r="H68" i="13" s="1"/>
  <c r="G70" i="13"/>
  <c r="H70" i="13" s="1"/>
  <c r="G72" i="13"/>
  <c r="H72" i="13" s="1"/>
  <c r="C49" i="11"/>
  <c r="E21" i="10"/>
  <c r="M33" i="10"/>
  <c r="E48" i="10"/>
  <c r="M21" i="10"/>
  <c r="M46" i="10"/>
  <c r="F30" i="13"/>
  <c r="E33" i="13"/>
  <c r="L12" i="13" s="1"/>
  <c r="G73" i="13"/>
  <c r="H73" i="13" s="1"/>
  <c r="F27" i="12"/>
  <c r="G27" i="12" s="1"/>
  <c r="E30" i="12"/>
  <c r="E49" i="11"/>
  <c r="K34" i="10"/>
  <c r="D49" i="10"/>
  <c r="N21" i="10"/>
  <c r="O21" i="10" s="1"/>
  <c r="N33" i="10"/>
  <c r="O33" i="10" s="1"/>
  <c r="F21" i="10"/>
  <c r="G21" i="10" s="1"/>
  <c r="K48" i="10"/>
  <c r="N48" i="10" s="1"/>
  <c r="O48" i="10" s="1"/>
  <c r="F33" i="13" l="1"/>
  <c r="L10" i="13"/>
  <c r="G40" i="14"/>
  <c r="G21" i="14"/>
  <c r="G39" i="14"/>
  <c r="D33" i="11"/>
  <c r="G10" i="14"/>
  <c r="G29" i="14"/>
  <c r="G37" i="14"/>
  <c r="N49" i="11"/>
  <c r="O33" i="11" s="1"/>
  <c r="F23" i="14"/>
  <c r="F21" i="14"/>
  <c r="G44" i="14"/>
  <c r="F22" i="14"/>
  <c r="G27" i="14"/>
  <c r="G26" i="14"/>
  <c r="B42" i="10"/>
  <c r="B43" i="10" s="1"/>
  <c r="B44" i="10" s="1"/>
  <c r="B45" i="10" s="1"/>
  <c r="B46" i="10" s="1"/>
  <c r="B47" i="10" s="1"/>
  <c r="B48" i="10" s="1"/>
  <c r="B49" i="10" s="1"/>
  <c r="J7" i="10" s="1"/>
  <c r="J8" i="10" s="1"/>
  <c r="J9" i="10" s="1"/>
  <c r="J10" i="10" s="1"/>
  <c r="J11" i="10" s="1"/>
  <c r="J12" i="10" s="1"/>
  <c r="J13" i="10" s="1"/>
  <c r="J14" i="10" s="1"/>
  <c r="J15" i="10" s="1"/>
  <c r="J16" i="10" s="1"/>
  <c r="J17" i="10" s="1"/>
  <c r="J18" i="10" s="1"/>
  <c r="J19" i="10" s="1"/>
  <c r="J20" i="10" s="1"/>
  <c r="J21" i="10" s="1"/>
  <c r="J22" i="10" s="1"/>
  <c r="J23" i="10" s="1"/>
  <c r="J24" i="10" s="1"/>
  <c r="J25" i="10" s="1"/>
  <c r="J26" i="10" s="1"/>
  <c r="J27" i="10" s="1"/>
  <c r="M34" i="10"/>
  <c r="E49" i="10"/>
  <c r="D13" i="11"/>
  <c r="D30" i="11"/>
  <c r="D49" i="11"/>
  <c r="D20" i="11"/>
  <c r="D37" i="11"/>
  <c r="D21" i="11"/>
  <c r="D22" i="11"/>
  <c r="D38" i="11"/>
  <c r="D29" i="11"/>
  <c r="D46" i="11"/>
  <c r="D16" i="11"/>
  <c r="D25" i="11"/>
  <c r="D32" i="11"/>
  <c r="D41" i="11"/>
  <c r="D11" i="11"/>
  <c r="D17" i="11"/>
  <c r="D26" i="11"/>
  <c r="D34" i="11"/>
  <c r="D42" i="11"/>
  <c r="C33" i="13"/>
  <c r="D33" i="13" s="1"/>
  <c r="D30" i="13"/>
  <c r="G30" i="13" s="1"/>
  <c r="H30" i="13" s="1"/>
  <c r="D48" i="11"/>
  <c r="D9" i="11"/>
  <c r="D15" i="11"/>
  <c r="D19" i="11"/>
  <c r="D24" i="11"/>
  <c r="D28" i="11"/>
  <c r="D31" i="11"/>
  <c r="D36" i="11"/>
  <c r="D40" i="11"/>
  <c r="D45" i="11"/>
  <c r="D47" i="11"/>
  <c r="D8" i="11"/>
  <c r="D12" i="11"/>
  <c r="D14" i="11"/>
  <c r="D18" i="11"/>
  <c r="D23" i="11"/>
  <c r="D27" i="11"/>
  <c r="D35" i="11"/>
  <c r="D39" i="11"/>
  <c r="D43" i="11"/>
  <c r="C33" i="12"/>
  <c r="F33" i="12" s="1"/>
  <c r="G33" i="12" s="1"/>
  <c r="F30" i="12"/>
  <c r="G30" i="12" s="1"/>
  <c r="F47" i="11"/>
  <c r="F33" i="11"/>
  <c r="G33" i="11" s="1"/>
  <c r="H33" i="11" s="1"/>
  <c r="F49" i="11"/>
  <c r="F46" i="11"/>
  <c r="F43" i="11"/>
  <c r="F42" i="11"/>
  <c r="F38" i="11"/>
  <c r="G38" i="11" s="1"/>
  <c r="H38" i="11" s="1"/>
  <c r="F37" i="11"/>
  <c r="G37" i="11" s="1"/>
  <c r="H37" i="11" s="1"/>
  <c r="F36" i="11"/>
  <c r="F32" i="11"/>
  <c r="F31" i="11"/>
  <c r="F29" i="11"/>
  <c r="F25" i="11"/>
  <c r="F24" i="11"/>
  <c r="F23" i="11"/>
  <c r="F19" i="11"/>
  <c r="F18" i="11"/>
  <c r="F14" i="11"/>
  <c r="F12" i="11"/>
  <c r="F8" i="11"/>
  <c r="F48" i="11"/>
  <c r="F45" i="11"/>
  <c r="F41" i="11"/>
  <c r="G41" i="11" s="1"/>
  <c r="H41" i="11" s="1"/>
  <c r="F40" i="11"/>
  <c r="F39" i="11"/>
  <c r="F35" i="11"/>
  <c r="F34" i="11"/>
  <c r="G34" i="11" s="1"/>
  <c r="H34" i="11" s="1"/>
  <c r="F30" i="11"/>
  <c r="F28" i="11"/>
  <c r="F27" i="11"/>
  <c r="F26" i="11"/>
  <c r="F22" i="11"/>
  <c r="F20" i="11"/>
  <c r="F17" i="11"/>
  <c r="F16" i="11"/>
  <c r="F15" i="11"/>
  <c r="F13" i="11"/>
  <c r="F11" i="11"/>
  <c r="F9" i="11"/>
  <c r="F21" i="11"/>
  <c r="M21" i="11"/>
  <c r="M47" i="11"/>
  <c r="M49" i="11"/>
  <c r="M45" i="11"/>
  <c r="M44" i="11"/>
  <c r="M43" i="11"/>
  <c r="M42" i="11"/>
  <c r="M41" i="11"/>
  <c r="M40" i="11"/>
  <c r="M39" i="11"/>
  <c r="M38" i="11"/>
  <c r="M37" i="11"/>
  <c r="M36" i="11"/>
  <c r="M35" i="11"/>
  <c r="M32" i="11"/>
  <c r="M31" i="11"/>
  <c r="M29" i="11"/>
  <c r="M28" i="11"/>
  <c r="M27" i="11"/>
  <c r="M26" i="11"/>
  <c r="M25" i="11"/>
  <c r="M24" i="11"/>
  <c r="M23" i="11"/>
  <c r="M22" i="11"/>
  <c r="M20" i="11"/>
  <c r="M19" i="11"/>
  <c r="M18" i="11"/>
  <c r="M17" i="11"/>
  <c r="M16" i="11"/>
  <c r="M15" i="11"/>
  <c r="M14" i="11"/>
  <c r="M13" i="11"/>
  <c r="M12" i="11"/>
  <c r="M11" i="11"/>
  <c r="M9" i="11"/>
  <c r="M8" i="11"/>
  <c r="M46" i="11"/>
  <c r="M33" i="11"/>
  <c r="P33" i="11" s="1"/>
  <c r="Q33" i="11" s="1"/>
  <c r="O41" i="11"/>
  <c r="O27" i="11"/>
  <c r="O16" i="11"/>
  <c r="O9" i="11"/>
  <c r="O39" i="11"/>
  <c r="O32" i="11"/>
  <c r="O24" i="11"/>
  <c r="O18" i="11"/>
  <c r="O8" i="11"/>
  <c r="M48" i="11"/>
  <c r="M48" i="10"/>
  <c r="N34" i="10"/>
  <c r="O34" i="10" s="1"/>
  <c r="K49" i="10"/>
  <c r="N49" i="10" s="1"/>
  <c r="O49" i="10" s="1"/>
  <c r="F49" i="10"/>
  <c r="G49" i="10" s="1"/>
  <c r="G33" i="13" l="1"/>
  <c r="H33" i="13" s="1"/>
  <c r="G25" i="11"/>
  <c r="H25" i="11" s="1"/>
  <c r="G8" i="11"/>
  <c r="H8" i="11" s="1"/>
  <c r="O23" i="11"/>
  <c r="P23" i="11" s="1"/>
  <c r="Q23" i="11" s="1"/>
  <c r="O38" i="11"/>
  <c r="P38" i="11" s="1"/>
  <c r="Q38" i="11" s="1"/>
  <c r="O15" i="11"/>
  <c r="O35" i="11"/>
  <c r="O17" i="11"/>
  <c r="P17" i="11" s="1"/>
  <c r="Q17" i="11" s="1"/>
  <c r="O31" i="11"/>
  <c r="O44" i="11"/>
  <c r="O26" i="11"/>
  <c r="O40" i="11"/>
  <c r="P40" i="11" s="1"/>
  <c r="Q40" i="11" s="1"/>
  <c r="O49" i="11"/>
  <c r="G16" i="11"/>
  <c r="H16" i="11" s="1"/>
  <c r="O48" i="11"/>
  <c r="P48" i="11" s="1"/>
  <c r="Q48" i="11" s="1"/>
  <c r="O46" i="11"/>
  <c r="P46" i="11" s="1"/>
  <c r="Q46" i="11" s="1"/>
  <c r="O12" i="11"/>
  <c r="O22" i="11"/>
  <c r="O28" i="11"/>
  <c r="O37" i="11"/>
  <c r="P37" i="11" s="1"/>
  <c r="Q37" i="11" s="1"/>
  <c r="O43" i="11"/>
  <c r="O14" i="11"/>
  <c r="O21" i="11"/>
  <c r="O47" i="11"/>
  <c r="P47" i="11" s="1"/>
  <c r="Q47" i="11" s="1"/>
  <c r="O34" i="11"/>
  <c r="P34" i="11" s="1"/>
  <c r="Q34" i="11" s="1"/>
  <c r="O11" i="11"/>
  <c r="O19" i="11"/>
  <c r="O25" i="11"/>
  <c r="P25" i="11" s="1"/>
  <c r="Q25" i="11" s="1"/>
  <c r="O36" i="11"/>
  <c r="P36" i="11" s="1"/>
  <c r="Q36" i="11" s="1"/>
  <c r="O42" i="11"/>
  <c r="O13" i="11"/>
  <c r="O20" i="11"/>
  <c r="P20" i="11" s="1"/>
  <c r="Q20" i="11" s="1"/>
  <c r="O29" i="11"/>
  <c r="P29" i="11" s="1"/>
  <c r="Q29" i="11" s="1"/>
  <c r="O45" i="11"/>
  <c r="G30" i="11"/>
  <c r="H30" i="11" s="1"/>
  <c r="J28" i="10"/>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G48" i="11"/>
  <c r="H48" i="11" s="1"/>
  <c r="G42" i="11"/>
  <c r="H42" i="11" s="1"/>
  <c r="G11" i="11"/>
  <c r="H11" i="11" s="1"/>
  <c r="G15" i="11"/>
  <c r="H15" i="11" s="1"/>
  <c r="G13" i="11"/>
  <c r="H13" i="11" s="1"/>
  <c r="G43" i="11"/>
  <c r="H43" i="11" s="1"/>
  <c r="G26" i="11"/>
  <c r="H26" i="11" s="1"/>
  <c r="G46" i="11"/>
  <c r="H46" i="11" s="1"/>
  <c r="G22" i="11"/>
  <c r="H22" i="11" s="1"/>
  <c r="G36" i="11"/>
  <c r="H36" i="11" s="1"/>
  <c r="G21" i="11"/>
  <c r="H21" i="11" s="1"/>
  <c r="G49" i="11"/>
  <c r="H49" i="11" s="1"/>
  <c r="G29" i="11"/>
  <c r="H29" i="11" s="1"/>
  <c r="G28" i="11"/>
  <c r="H28" i="11" s="1"/>
  <c r="G24" i="11"/>
  <c r="H24" i="11" s="1"/>
  <c r="G32" i="11"/>
  <c r="H32" i="11" s="1"/>
  <c r="G39" i="11"/>
  <c r="H39" i="11" s="1"/>
  <c r="G20" i="11"/>
  <c r="H20" i="11" s="1"/>
  <c r="G14" i="11"/>
  <c r="H14" i="11" s="1"/>
  <c r="G40" i="11"/>
  <c r="H40" i="11" s="1"/>
  <c r="G19" i="11"/>
  <c r="H19" i="11" s="1"/>
  <c r="G9" i="11"/>
  <c r="H9" i="11" s="1"/>
  <c r="G17" i="11"/>
  <c r="H17" i="11" s="1"/>
  <c r="G27" i="11"/>
  <c r="H27" i="11" s="1"/>
  <c r="G12" i="11"/>
  <c r="H12" i="11" s="1"/>
  <c r="G23" i="11"/>
  <c r="H23" i="11" s="1"/>
  <c r="G45" i="11"/>
  <c r="H45" i="11" s="1"/>
  <c r="M49" i="10"/>
  <c r="G35" i="11"/>
  <c r="H35" i="11" s="1"/>
  <c r="G18" i="11"/>
  <c r="H18" i="11" s="1"/>
  <c r="G47" i="11"/>
  <c r="H47" i="11" s="1"/>
  <c r="G31" i="11"/>
  <c r="H31" i="11" s="1"/>
  <c r="P13" i="11"/>
  <c r="Q13" i="11" s="1"/>
  <c r="P24" i="11"/>
  <c r="Q24" i="11" s="1"/>
  <c r="P8" i="11"/>
  <c r="Q8" i="11" s="1"/>
  <c r="P12" i="11"/>
  <c r="Q12" i="11" s="1"/>
  <c r="P18" i="11"/>
  <c r="Q18" i="11" s="1"/>
  <c r="P27" i="11"/>
  <c r="Q27" i="11" s="1"/>
  <c r="P31" i="11"/>
  <c r="Q31" i="11" s="1"/>
  <c r="P41" i="11"/>
  <c r="Q41" i="11" s="1"/>
  <c r="P45" i="11"/>
  <c r="Q45" i="11" s="1"/>
  <c r="E33" i="12"/>
  <c r="P11" i="11"/>
  <c r="Q11" i="11" s="1"/>
  <c r="P22" i="11"/>
  <c r="Q22" i="11" s="1"/>
  <c r="P26" i="11"/>
  <c r="Q26" i="11" s="1"/>
  <c r="P44" i="11"/>
  <c r="Q44" i="11" s="1"/>
  <c r="P21" i="11"/>
  <c r="Q21" i="11" s="1"/>
  <c r="P14" i="11"/>
  <c r="Q14" i="11" s="1"/>
  <c r="P16" i="11"/>
  <c r="Q16" i="11" s="1"/>
  <c r="P35" i="11"/>
  <c r="Q35" i="11" s="1"/>
  <c r="P39" i="11"/>
  <c r="Q39" i="11" s="1"/>
  <c r="P43" i="11"/>
  <c r="Q43" i="11" s="1"/>
  <c r="P49" i="11"/>
  <c r="Q49" i="11" s="1"/>
  <c r="P9" i="11"/>
  <c r="Q9" i="11" s="1"/>
  <c r="P15" i="11"/>
  <c r="Q15" i="11" s="1"/>
  <c r="P19" i="11"/>
  <c r="Q19" i="11" s="1"/>
  <c r="P28" i="11"/>
  <c r="Q28" i="11" s="1"/>
  <c r="P32" i="11"/>
  <c r="Q32" i="11" s="1"/>
  <c r="P42" i="11"/>
  <c r="Q42" i="11" s="1"/>
  <c r="H15" i="14" l="1"/>
  <c r="E15" i="14"/>
  <c r="C28" i="16"/>
  <c r="C36" i="16" s="1"/>
  <c r="D17" i="16"/>
  <c r="C17" i="16"/>
  <c r="D9" i="16"/>
  <c r="D11" i="16" s="1"/>
  <c r="C9" i="16"/>
  <c r="C11" i="16" s="1"/>
  <c r="A3" i="15"/>
  <c r="G46" i="14"/>
  <c r="H46" i="14" s="1"/>
  <c r="E46" i="14"/>
  <c r="I46" i="14" s="1"/>
  <c r="J46" i="14" s="1"/>
  <c r="E45" i="14"/>
  <c r="I45" i="14" s="1"/>
  <c r="J45" i="14" s="1"/>
  <c r="E44" i="14"/>
  <c r="I44" i="14" s="1"/>
  <c r="J44" i="14" s="1"/>
  <c r="E43" i="14"/>
  <c r="I43" i="14" s="1"/>
  <c r="J43" i="14" s="1"/>
  <c r="H41" i="14"/>
  <c r="E41" i="14"/>
  <c r="I41" i="14" s="1"/>
  <c r="J41" i="14" s="1"/>
  <c r="E40" i="14"/>
  <c r="I40" i="14" s="1"/>
  <c r="J40" i="14" s="1"/>
  <c r="E39" i="14"/>
  <c r="I39" i="14" s="1"/>
  <c r="J39" i="14" s="1"/>
  <c r="G38" i="14"/>
  <c r="H38" i="14" s="1"/>
  <c r="E38" i="14"/>
  <c r="I38" i="14" s="1"/>
  <c r="J38" i="14" s="1"/>
  <c r="E37" i="14"/>
  <c r="I37" i="14" s="1"/>
  <c r="J37" i="14" s="1"/>
  <c r="E36" i="14"/>
  <c r="I36" i="14" s="1"/>
  <c r="J36" i="14" s="1"/>
  <c r="E34" i="14"/>
  <c r="I34" i="14" s="1"/>
  <c r="J34" i="14" s="1"/>
  <c r="G33" i="14"/>
  <c r="H33" i="14" s="1"/>
  <c r="G34" i="14" s="1"/>
  <c r="F33" i="14"/>
  <c r="E33" i="14"/>
  <c r="I33" i="14" s="1"/>
  <c r="J33" i="14" s="1"/>
  <c r="G32" i="14"/>
  <c r="H32" i="14" s="1"/>
  <c r="F34" i="14" s="1"/>
  <c r="F32" i="14"/>
  <c r="E32" i="14"/>
  <c r="I32" i="14" s="1"/>
  <c r="J32" i="14" s="1"/>
  <c r="F31" i="14"/>
  <c r="E31" i="14"/>
  <c r="I31" i="14" s="1"/>
  <c r="J31" i="14" s="1"/>
  <c r="H30" i="14"/>
  <c r="F30" i="14"/>
  <c r="E30" i="14"/>
  <c r="I30" i="14" s="1"/>
  <c r="J30" i="14" s="1"/>
  <c r="F29" i="14"/>
  <c r="E29" i="14"/>
  <c r="I29" i="14" s="1"/>
  <c r="J29" i="14" s="1"/>
  <c r="E27" i="14"/>
  <c r="I27" i="14" s="1"/>
  <c r="E26" i="14"/>
  <c r="I26" i="14" s="1"/>
  <c r="J26" i="14" s="1"/>
  <c r="E25" i="14"/>
  <c r="I25" i="14" s="1"/>
  <c r="G24" i="14"/>
  <c r="H24" i="14" s="1"/>
  <c r="E24" i="14"/>
  <c r="I24" i="14" s="1"/>
  <c r="E23" i="14"/>
  <c r="I23" i="14" s="1"/>
  <c r="E22" i="14"/>
  <c r="I22" i="14" s="1"/>
  <c r="E21" i="14"/>
  <c r="I21" i="14" s="1"/>
  <c r="J20" i="14"/>
  <c r="F19" i="14"/>
  <c r="E19" i="14"/>
  <c r="I19" i="14" s="1"/>
  <c r="E18" i="14"/>
  <c r="I18" i="14" s="1"/>
  <c r="E17" i="14"/>
  <c r="I17" i="14" s="1"/>
  <c r="E14" i="14"/>
  <c r="I14" i="14" s="1"/>
  <c r="J14" i="14" s="1"/>
  <c r="G13" i="14"/>
  <c r="E13" i="14"/>
  <c r="I13" i="14" s="1"/>
  <c r="J13" i="14" s="1"/>
  <c r="G12" i="14"/>
  <c r="E12" i="14"/>
  <c r="I12" i="14" s="1"/>
  <c r="J12" i="14" s="1"/>
  <c r="G11" i="14"/>
  <c r="F11" i="14"/>
  <c r="E11" i="14"/>
  <c r="I11" i="14" s="1"/>
  <c r="J11" i="14" s="1"/>
  <c r="E10" i="14"/>
  <c r="I10" i="14" s="1"/>
  <c r="J10" i="14" s="1"/>
  <c r="E9" i="14"/>
  <c r="I9" i="14" s="1"/>
  <c r="J9" i="14" s="1"/>
  <c r="H8" i="14"/>
  <c r="F8" i="14"/>
  <c r="E8" i="14"/>
  <c r="I8" i="14" s="1"/>
  <c r="J8" i="14" s="1"/>
  <c r="E7" i="14"/>
  <c r="I7" i="14" s="1"/>
  <c r="J7" i="14" s="1"/>
  <c r="F14" i="14"/>
  <c r="H14" i="14" s="1"/>
  <c r="A3" i="14"/>
  <c r="H36" i="14"/>
  <c r="F2" i="14"/>
  <c r="C2" i="17"/>
  <c r="H11" i="14" l="1"/>
  <c r="H25" i="14"/>
  <c r="J25" i="14" s="1"/>
  <c r="A2" i="17"/>
  <c r="D3" i="17"/>
  <c r="C3" i="17"/>
  <c r="F3" i="14"/>
  <c r="D2" i="17"/>
  <c r="F2" i="15"/>
  <c r="D16" i="16"/>
  <c r="D18" i="16" s="1"/>
  <c r="C15" i="16" s="1"/>
  <c r="C26" i="16" s="1"/>
  <c r="D4" i="16" s="1"/>
  <c r="H34" i="14"/>
  <c r="J24" i="14"/>
  <c r="A2" i="15"/>
  <c r="A2" i="14"/>
  <c r="H18" i="14"/>
  <c r="J18" i="14" s="1"/>
  <c r="H43" i="14"/>
  <c r="H17" i="14"/>
  <c r="J17" i="14" s="1"/>
  <c r="H19" i="14"/>
  <c r="J19" i="14" s="1"/>
  <c r="F4" i="16"/>
  <c r="C12" i="16"/>
  <c r="D3" i="15"/>
  <c r="C3" i="14"/>
  <c r="F10" i="14"/>
  <c r="F24" i="14"/>
  <c r="F7" i="14"/>
  <c r="H31" i="14"/>
  <c r="H7" i="14"/>
  <c r="H9" i="14"/>
  <c r="G4" i="16"/>
  <c r="D26" i="16"/>
  <c r="D45" i="16" s="1"/>
  <c r="D12" i="16"/>
  <c r="D30" i="16"/>
  <c r="D36" i="16" s="1"/>
  <c r="G45" i="16" s="1"/>
  <c r="F12" i="14"/>
  <c r="H12" i="14" s="1"/>
  <c r="C45" i="16" l="1"/>
  <c r="F3" i="15"/>
  <c r="H37" i="14"/>
  <c r="H10" i="14"/>
  <c r="H29" i="14"/>
  <c r="F5" i="16"/>
  <c r="D5" i="16"/>
  <c r="G5" i="16"/>
  <c r="G46" i="16"/>
  <c r="F46" i="16"/>
  <c r="D46" i="16"/>
  <c r="C46" i="16"/>
  <c r="D2" i="15"/>
  <c r="C2" i="14"/>
  <c r="F45" i="16"/>
  <c r="H22" i="14"/>
  <c r="J22" i="14" s="1"/>
  <c r="C16" i="16"/>
  <c r="C18" i="16" s="1"/>
  <c r="C4" i="16" s="1"/>
  <c r="H23" i="14"/>
  <c r="J23" i="14" s="1"/>
  <c r="H40" i="14"/>
  <c r="H21" i="14"/>
  <c r="J21" i="14" s="1"/>
  <c r="H39" i="14"/>
  <c r="G45" i="14"/>
  <c r="H45" i="14" s="1"/>
  <c r="F9" i="14"/>
  <c r="F13" i="14"/>
  <c r="H13" i="14" s="1"/>
  <c r="H26" i="14"/>
  <c r="H44" i="14"/>
  <c r="H27" i="14"/>
  <c r="J27" i="14" s="1"/>
  <c r="C5" i="16" l="1"/>
</calcChain>
</file>

<file path=xl/comments1.xml><?xml version="1.0" encoding="utf-8"?>
<comments xmlns="http://schemas.openxmlformats.org/spreadsheetml/2006/main">
  <authors>
    <author>Windows 用户</author>
  </authors>
  <commentList>
    <comment ref="A11" authorId="0" shapeId="0">
      <text>
        <r>
          <rPr>
            <b/>
            <sz val="9"/>
            <color indexed="81"/>
            <rFont val="宋体"/>
            <family val="3"/>
            <charset val="134"/>
          </rPr>
          <t>Windows 用户:</t>
        </r>
        <r>
          <rPr>
            <sz val="9"/>
            <color indexed="81"/>
            <rFont val="宋体"/>
            <family val="3"/>
            <charset val="134"/>
          </rPr>
          <t xml:space="preserve">
应收票据+应收账款</t>
        </r>
      </text>
    </comment>
    <comment ref="I11" authorId="0" shapeId="0">
      <text>
        <r>
          <rPr>
            <b/>
            <sz val="9"/>
            <color indexed="81"/>
            <rFont val="宋体"/>
            <family val="3"/>
            <charset val="134"/>
          </rPr>
          <t>Windows 用户:</t>
        </r>
        <r>
          <rPr>
            <sz val="9"/>
            <color indexed="81"/>
            <rFont val="宋体"/>
            <family val="3"/>
            <charset val="134"/>
          </rPr>
          <t xml:space="preserve">
应付票据+应付账款</t>
        </r>
      </text>
    </comment>
    <comment ref="A13" authorId="0" shapeId="0">
      <text>
        <r>
          <rPr>
            <b/>
            <sz val="9"/>
            <color indexed="81"/>
            <rFont val="宋体"/>
            <family val="3"/>
            <charset val="134"/>
          </rPr>
          <t>Windows 用户:</t>
        </r>
        <r>
          <rPr>
            <sz val="9"/>
            <color indexed="81"/>
            <rFont val="宋体"/>
            <family val="3"/>
            <charset val="134"/>
          </rPr>
          <t xml:space="preserve">
应收利息+应收股利+其他应收款</t>
        </r>
      </text>
    </comment>
    <comment ref="I15" authorId="0" shapeId="0">
      <text>
        <r>
          <rPr>
            <b/>
            <sz val="9"/>
            <color indexed="81"/>
            <rFont val="宋体"/>
            <family val="3"/>
            <charset val="134"/>
          </rPr>
          <t>Windows 用户:</t>
        </r>
        <r>
          <rPr>
            <sz val="9"/>
            <color indexed="81"/>
            <rFont val="宋体"/>
            <family val="3"/>
            <charset val="134"/>
          </rPr>
          <t xml:space="preserve">
应付股利+应付利息+其他应付款</t>
        </r>
      </text>
    </comment>
    <comment ref="I27" authorId="0" shapeId="0">
      <text>
        <r>
          <rPr>
            <b/>
            <sz val="9"/>
            <color indexed="81"/>
            <rFont val="宋体"/>
            <family val="3"/>
            <charset val="134"/>
          </rPr>
          <t>Windows 用户:</t>
        </r>
        <r>
          <rPr>
            <sz val="9"/>
            <color indexed="81"/>
            <rFont val="宋体"/>
            <family val="3"/>
            <charset val="134"/>
          </rPr>
          <t xml:space="preserve">
长期应付款+专项应付款</t>
        </r>
      </text>
    </comment>
    <comment ref="A29" authorId="0" shapeId="0">
      <text>
        <r>
          <rPr>
            <b/>
            <sz val="9"/>
            <color indexed="81"/>
            <rFont val="宋体"/>
            <family val="3"/>
            <charset val="134"/>
          </rPr>
          <t>Windows 用户:</t>
        </r>
        <r>
          <rPr>
            <sz val="9"/>
            <color indexed="81"/>
            <rFont val="宋体"/>
            <family val="3"/>
            <charset val="134"/>
          </rPr>
          <t xml:space="preserve">
固定资产+固定资产清理</t>
        </r>
      </text>
    </comment>
    <comment ref="A30" authorId="0" shapeId="0">
      <text>
        <r>
          <rPr>
            <b/>
            <sz val="9"/>
            <color indexed="81"/>
            <rFont val="宋体"/>
            <family val="3"/>
            <charset val="134"/>
          </rPr>
          <t>Windows 用户:在建工程+工程物资</t>
        </r>
      </text>
    </comment>
  </commentList>
</comments>
</file>

<file path=xl/comments2.xml><?xml version="1.0" encoding="utf-8"?>
<comments xmlns="http://schemas.openxmlformats.org/spreadsheetml/2006/main">
  <authors>
    <author>Windows 用户</author>
  </authors>
  <commentList>
    <comment ref="A11" authorId="0" shapeId="0">
      <text>
        <r>
          <rPr>
            <b/>
            <sz val="9"/>
            <color indexed="81"/>
            <rFont val="宋体"/>
            <family val="3"/>
            <charset val="134"/>
          </rPr>
          <t>Windows 用户:</t>
        </r>
        <r>
          <rPr>
            <sz val="9"/>
            <color indexed="81"/>
            <rFont val="宋体"/>
            <family val="3"/>
            <charset val="134"/>
          </rPr>
          <t xml:space="preserve">
应收账款+应收票据</t>
        </r>
      </text>
    </comment>
    <comment ref="J11" authorId="0" shapeId="0">
      <text>
        <r>
          <rPr>
            <b/>
            <sz val="9"/>
            <color indexed="81"/>
            <rFont val="宋体"/>
            <family val="3"/>
            <charset val="134"/>
          </rPr>
          <t>Windows 用户:</t>
        </r>
        <r>
          <rPr>
            <sz val="9"/>
            <color indexed="81"/>
            <rFont val="宋体"/>
            <family val="3"/>
            <charset val="134"/>
          </rPr>
          <t xml:space="preserve">
应付票据+应付账款</t>
        </r>
      </text>
    </comment>
    <comment ref="A13" authorId="0" shapeId="0">
      <text>
        <r>
          <rPr>
            <b/>
            <sz val="9"/>
            <color indexed="81"/>
            <rFont val="宋体"/>
            <family val="3"/>
            <charset val="134"/>
          </rPr>
          <t>Windows 用户:</t>
        </r>
        <r>
          <rPr>
            <sz val="9"/>
            <color indexed="81"/>
            <rFont val="宋体"/>
            <family val="3"/>
            <charset val="134"/>
          </rPr>
          <t xml:space="preserve">
应收利息+应收票据+其他应收款</t>
        </r>
      </text>
    </comment>
    <comment ref="J15" authorId="0" shapeId="0">
      <text>
        <r>
          <rPr>
            <b/>
            <sz val="9"/>
            <color indexed="81"/>
            <rFont val="宋体"/>
            <family val="3"/>
            <charset val="134"/>
          </rPr>
          <t>Windows 用户:</t>
        </r>
        <r>
          <rPr>
            <sz val="9"/>
            <color indexed="81"/>
            <rFont val="宋体"/>
            <family val="3"/>
            <charset val="134"/>
          </rPr>
          <t xml:space="preserve">
应付利息+应付股利+其他应付款</t>
        </r>
      </text>
    </comment>
    <comment ref="J27" authorId="0" shapeId="0">
      <text>
        <r>
          <rPr>
            <b/>
            <sz val="9"/>
            <color indexed="81"/>
            <rFont val="宋体"/>
            <family val="3"/>
            <charset val="134"/>
          </rPr>
          <t>Windows 用户:</t>
        </r>
        <r>
          <rPr>
            <sz val="9"/>
            <color indexed="81"/>
            <rFont val="宋体"/>
            <family val="3"/>
            <charset val="134"/>
          </rPr>
          <t xml:space="preserve">
长期应付款+专项应付款</t>
        </r>
      </text>
    </comment>
    <comment ref="A29" authorId="0" shapeId="0">
      <text>
        <r>
          <rPr>
            <b/>
            <sz val="9"/>
            <color indexed="81"/>
            <rFont val="宋体"/>
            <family val="3"/>
            <charset val="134"/>
          </rPr>
          <t>Windows 用户:</t>
        </r>
        <r>
          <rPr>
            <sz val="9"/>
            <color indexed="81"/>
            <rFont val="宋体"/>
            <family val="3"/>
            <charset val="134"/>
          </rPr>
          <t xml:space="preserve">
固定资产+固定资产清理</t>
        </r>
      </text>
    </comment>
    <comment ref="A30" authorId="0" shapeId="0">
      <text>
        <r>
          <rPr>
            <b/>
            <sz val="9"/>
            <color indexed="81"/>
            <rFont val="宋体"/>
            <family val="3"/>
            <charset val="134"/>
          </rPr>
          <t>Windows 用户:</t>
        </r>
        <r>
          <rPr>
            <sz val="9"/>
            <color indexed="81"/>
            <rFont val="宋体"/>
            <family val="3"/>
            <charset val="134"/>
          </rPr>
          <t xml:space="preserve">
在建工程+工程物资</t>
        </r>
      </text>
    </comment>
  </commentList>
</comments>
</file>

<file path=xl/comments3.xml><?xml version="1.0" encoding="utf-8"?>
<comments xmlns="http://schemas.openxmlformats.org/spreadsheetml/2006/main">
  <authors>
    <author>Windows 用户</author>
  </authors>
  <commentList>
    <comment ref="G14" authorId="0" shapeId="0">
      <text>
        <r>
          <rPr>
            <b/>
            <sz val="9"/>
            <color indexed="81"/>
            <rFont val="宋体"/>
            <family val="3"/>
            <charset val="134"/>
          </rPr>
          <t>Windows 用户:</t>
        </r>
        <r>
          <rPr>
            <sz val="9"/>
            <color indexed="81"/>
            <rFont val="宋体"/>
            <family val="3"/>
            <charset val="134"/>
          </rPr>
          <t xml:space="preserve">
需不需要包含研发费用</t>
        </r>
      </text>
    </comment>
    <comment ref="G32" authorId="0" shapeId="0">
      <text>
        <r>
          <rPr>
            <b/>
            <sz val="9"/>
            <color indexed="81"/>
            <rFont val="宋体"/>
            <family val="3"/>
            <charset val="134"/>
          </rPr>
          <t>Windows 用户:报表中包含应收票据</t>
        </r>
      </text>
    </comment>
  </commentList>
</comments>
</file>

<file path=xl/sharedStrings.xml><?xml version="1.0" encoding="utf-8"?>
<sst xmlns="http://schemas.openxmlformats.org/spreadsheetml/2006/main" count="710" uniqueCount="472">
  <si>
    <r>
      <rPr>
        <sz val="10"/>
        <rFont val="宋体"/>
        <family val="3"/>
        <charset val="134"/>
      </rPr>
      <t>执行人及日期</t>
    </r>
    <phoneticPr fontId="4" type="noConversion"/>
  </si>
  <si>
    <r>
      <rPr>
        <sz val="10"/>
        <rFont val="宋体"/>
        <family val="3"/>
        <charset val="134"/>
      </rPr>
      <t>工作底稿索引</t>
    </r>
  </si>
  <si>
    <r>
      <rPr>
        <sz val="10"/>
        <rFont val="宋体"/>
        <family val="3"/>
        <charset val="134"/>
      </rPr>
      <t>（一）财务信息各构成要素之间的关系</t>
    </r>
    <phoneticPr fontId="4" type="noConversion"/>
  </si>
  <si>
    <r>
      <t>1</t>
    </r>
    <r>
      <rPr>
        <sz val="10"/>
        <rFont val="宋体"/>
        <family val="3"/>
        <charset val="134"/>
      </rPr>
      <t>、以前期间可比信息</t>
    </r>
    <phoneticPr fontId="3" type="noConversion"/>
  </si>
  <si>
    <r>
      <t>2</t>
    </r>
    <r>
      <rPr>
        <sz val="10"/>
        <rFont val="宋体"/>
        <family val="3"/>
        <charset val="134"/>
      </rPr>
      <t>、与被审单位预期结果的比较</t>
    </r>
    <phoneticPr fontId="3" type="noConversion"/>
  </si>
  <si>
    <r>
      <rPr>
        <sz val="10"/>
        <rFont val="宋体"/>
        <family val="3"/>
        <charset val="134"/>
      </rPr>
      <t>（二）财务信息与相关非财务信息之间的关系</t>
    </r>
    <phoneticPr fontId="3" type="noConversion"/>
  </si>
  <si>
    <r>
      <rPr>
        <sz val="10"/>
        <rFont val="宋体"/>
        <family val="3"/>
        <charset val="134"/>
      </rPr>
      <t>被审计单位名称：</t>
    </r>
    <r>
      <rPr>
        <sz val="10"/>
        <rFont val="Arial Narrow"/>
        <family val="2"/>
      </rPr>
      <t xml:space="preserve">   </t>
    </r>
    <phoneticPr fontId="4" type="noConversion"/>
  </si>
  <si>
    <r>
      <rPr>
        <sz val="10"/>
        <rFont val="宋体"/>
        <family val="3"/>
        <charset val="134"/>
      </rPr>
      <t>截止日</t>
    </r>
    <r>
      <rPr>
        <sz val="10"/>
        <rFont val="Arial Narrow"/>
        <family val="2"/>
      </rPr>
      <t>/</t>
    </r>
    <r>
      <rPr>
        <sz val="10"/>
        <rFont val="宋体"/>
        <family val="3"/>
        <charset val="134"/>
      </rPr>
      <t>会计期间：</t>
    </r>
    <phoneticPr fontId="4" type="noConversion"/>
  </si>
  <si>
    <r>
      <t>1</t>
    </r>
    <r>
      <rPr>
        <sz val="10"/>
        <rFont val="宋体"/>
        <family val="3"/>
        <charset val="134"/>
      </rPr>
      <t>、</t>
    </r>
    <r>
      <rPr>
        <sz val="10"/>
        <rFont val="Arial Narrow"/>
        <family val="2"/>
      </rPr>
      <t>…</t>
    </r>
    <phoneticPr fontId="3" type="noConversion"/>
  </si>
  <si>
    <r>
      <t>2</t>
    </r>
    <r>
      <rPr>
        <sz val="10"/>
        <rFont val="宋体"/>
        <family val="3"/>
        <charset val="134"/>
      </rPr>
      <t>、</t>
    </r>
    <r>
      <rPr>
        <sz val="10"/>
        <rFont val="Arial Narrow"/>
        <family val="2"/>
      </rPr>
      <t>…</t>
    </r>
    <phoneticPr fontId="3" type="noConversion"/>
  </si>
  <si>
    <t>编制人：</t>
    <phoneticPr fontId="3" type="noConversion"/>
  </si>
  <si>
    <t>复核人：</t>
    <phoneticPr fontId="3" type="noConversion"/>
  </si>
  <si>
    <t>日期：</t>
    <phoneticPr fontId="3"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</si>
  <si>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</si>
  <si>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t xml:space="preserve">  致同会计师事务所</t>
  </si>
  <si>
    <t>C1</t>
  </si>
  <si>
    <t>Custom 1</t>
  </si>
  <si>
    <t>C2</t>
  </si>
  <si>
    <t>Custom 2</t>
  </si>
  <si>
    <t>C3</t>
  </si>
  <si>
    <t>Custom 3</t>
  </si>
  <si>
    <t>C4</t>
  </si>
  <si>
    <t>Custom 4</t>
  </si>
  <si>
    <t>C5</t>
  </si>
  <si>
    <t>Custom 5</t>
  </si>
  <si>
    <t>C6</t>
  </si>
  <si>
    <t>Custom 6</t>
  </si>
  <si>
    <t>C7</t>
  </si>
  <si>
    <t>Custom 7</t>
  </si>
  <si>
    <t>C8</t>
  </si>
  <si>
    <t>Custom 8</t>
  </si>
  <si>
    <r>
      <t xml:space="preserve">  </t>
    </r>
    <r>
      <rPr>
        <b/>
        <sz val="10"/>
        <rFont val="宋体"/>
        <family val="3"/>
        <charset val="134"/>
      </rPr>
      <t>二、审计程序</t>
    </r>
    <phoneticPr fontId="3" type="noConversion"/>
  </si>
  <si>
    <r>
      <t>3</t>
    </r>
    <r>
      <rPr>
        <sz val="10"/>
        <rFont val="宋体"/>
        <family val="3"/>
        <charset val="134"/>
      </rPr>
      <t>、与被审单位实际结果的比较</t>
    </r>
    <phoneticPr fontId="3" type="noConversion"/>
  </si>
  <si>
    <r>
      <t>1</t>
    </r>
    <r>
      <rPr>
        <sz val="10"/>
        <rFont val="宋体"/>
        <family val="3"/>
        <charset val="134"/>
      </rPr>
      <t>、确定财务报表整体是否与注册会计师对被审单位了解一致；</t>
    </r>
    <phoneticPr fontId="4" type="noConversion"/>
  </si>
  <si>
    <r>
      <t>2</t>
    </r>
    <r>
      <rPr>
        <sz val="10"/>
        <rFont val="宋体"/>
        <family val="3"/>
        <charset val="134"/>
      </rPr>
      <t>、是否存在以前未识别的重大错报风险。</t>
    </r>
    <phoneticPr fontId="4" type="noConversion"/>
  </si>
  <si>
    <t>（四）需要增加的分析性程序</t>
    <phoneticPr fontId="3" type="noConversion"/>
  </si>
  <si>
    <t>（三）与同行业的比较</t>
    <phoneticPr fontId="3" type="noConversion"/>
  </si>
  <si>
    <r>
      <t>1</t>
    </r>
    <r>
      <rPr>
        <sz val="10"/>
        <rFont val="宋体"/>
        <family val="3"/>
        <charset val="134"/>
      </rPr>
      <t>、同行业公司选择</t>
    </r>
    <phoneticPr fontId="3" type="noConversion"/>
  </si>
  <si>
    <r>
      <t>2</t>
    </r>
    <r>
      <rPr>
        <sz val="10"/>
        <rFont val="宋体"/>
        <family val="3"/>
        <charset val="134"/>
      </rPr>
      <t>、同行业公司主要财务数据</t>
    </r>
    <phoneticPr fontId="3" type="noConversion"/>
  </si>
  <si>
    <r>
      <t>3</t>
    </r>
    <r>
      <rPr>
        <sz val="10"/>
        <rFont val="宋体"/>
        <family val="3"/>
        <charset val="134"/>
      </rPr>
      <t>、同行业公司对比分析</t>
    </r>
    <phoneticPr fontId="3" type="noConversion"/>
  </si>
  <si>
    <t>（五）对差异的进一步调查或解释</t>
    <phoneticPr fontId="3" type="noConversion"/>
  </si>
  <si>
    <r>
      <t>1</t>
    </r>
    <r>
      <rPr>
        <sz val="10"/>
        <rFont val="宋体"/>
        <family val="3"/>
        <charset val="134"/>
      </rPr>
      <t>、需要进一步调查或解释的差异</t>
    </r>
    <phoneticPr fontId="3" type="noConversion"/>
  </si>
  <si>
    <r>
      <t>2</t>
    </r>
    <r>
      <rPr>
        <sz val="10"/>
        <rFont val="宋体"/>
        <family val="3"/>
        <charset val="134"/>
      </rPr>
      <t>、涉及的审计证据</t>
    </r>
    <phoneticPr fontId="3" type="noConversion"/>
  </si>
  <si>
    <r>
      <t>3</t>
    </r>
    <r>
      <rPr>
        <sz val="10"/>
        <rFont val="宋体"/>
        <family val="3"/>
        <charset val="134"/>
      </rPr>
      <t>、需要实施的进一步审计程序</t>
    </r>
    <phoneticPr fontId="3" type="noConversion"/>
  </si>
  <si>
    <r>
      <t xml:space="preserve">  </t>
    </r>
    <r>
      <rPr>
        <b/>
        <sz val="10"/>
        <rFont val="宋体"/>
        <family val="3"/>
        <charset val="134"/>
      </rPr>
      <t>一、审计目标</t>
    </r>
    <phoneticPr fontId="3" type="noConversion"/>
  </si>
  <si>
    <r>
      <t>1</t>
    </r>
    <r>
      <rPr>
        <sz val="9"/>
        <rFont val="宋体"/>
        <family val="3"/>
        <charset val="134"/>
      </rPr>
      <t>、长期资本报酬率</t>
    </r>
    <phoneticPr fontId="4" type="noConversion"/>
  </si>
  <si>
    <r>
      <t>2</t>
    </r>
    <r>
      <rPr>
        <sz val="9"/>
        <rFont val="宋体"/>
        <family val="3"/>
        <charset val="134"/>
      </rPr>
      <t>、资本金收益率</t>
    </r>
    <phoneticPr fontId="4" type="noConversion"/>
  </si>
  <si>
    <r>
      <t>3</t>
    </r>
    <r>
      <rPr>
        <sz val="9"/>
        <rFont val="宋体"/>
        <family val="3"/>
        <charset val="134"/>
      </rPr>
      <t>、股东权益报酬率</t>
    </r>
    <phoneticPr fontId="4" type="noConversion"/>
  </si>
  <si>
    <r>
      <t>4</t>
    </r>
    <r>
      <rPr>
        <sz val="9"/>
        <rFont val="宋体"/>
        <family val="3"/>
        <charset val="134"/>
      </rPr>
      <t>、总资产报酬率</t>
    </r>
    <phoneticPr fontId="4" type="noConversion"/>
  </si>
  <si>
    <r>
      <t>5</t>
    </r>
    <r>
      <rPr>
        <sz val="9"/>
        <rFont val="宋体"/>
        <family val="3"/>
        <charset val="134"/>
      </rPr>
      <t>、毛利率</t>
    </r>
    <phoneticPr fontId="4" type="noConversion"/>
  </si>
  <si>
    <r>
      <t>6</t>
    </r>
    <r>
      <rPr>
        <sz val="9"/>
        <rFont val="宋体"/>
        <family val="3"/>
        <charset val="134"/>
      </rPr>
      <t>、营业利润率</t>
    </r>
    <phoneticPr fontId="4" type="noConversion"/>
  </si>
  <si>
    <r>
      <t>7</t>
    </r>
    <r>
      <rPr>
        <sz val="9"/>
        <rFont val="宋体"/>
        <family val="3"/>
        <charset val="134"/>
      </rPr>
      <t>、销售净利率</t>
    </r>
    <phoneticPr fontId="4" type="noConversion"/>
  </si>
  <si>
    <r>
      <t>8</t>
    </r>
    <r>
      <rPr>
        <sz val="9"/>
        <rFont val="宋体"/>
        <family val="3"/>
        <charset val="134"/>
      </rPr>
      <t>、成本费用利润率</t>
    </r>
    <phoneticPr fontId="4" type="noConversion"/>
  </si>
  <si>
    <r>
      <t>1</t>
    </r>
    <r>
      <rPr>
        <sz val="9"/>
        <rFont val="宋体"/>
        <family val="3"/>
        <charset val="134"/>
      </rPr>
      <t>、流动比率</t>
    </r>
    <phoneticPr fontId="4" type="noConversion"/>
  </si>
  <si>
    <r>
      <t>2</t>
    </r>
    <r>
      <rPr>
        <sz val="9"/>
        <rFont val="宋体"/>
        <family val="3"/>
        <charset val="134"/>
      </rPr>
      <t>、速动比率</t>
    </r>
    <phoneticPr fontId="4" type="noConversion"/>
  </si>
  <si>
    <r>
      <t>3</t>
    </r>
    <r>
      <rPr>
        <sz val="9"/>
        <rFont val="宋体"/>
        <family val="3"/>
        <charset val="134"/>
      </rPr>
      <t>、现金比率</t>
    </r>
    <phoneticPr fontId="4" type="noConversion"/>
  </si>
  <si>
    <r>
      <t>1</t>
    </r>
    <r>
      <rPr>
        <sz val="9"/>
        <rFont val="宋体"/>
        <family val="3"/>
        <charset val="134"/>
      </rPr>
      <t>、资产负债比率</t>
    </r>
    <phoneticPr fontId="4" type="noConversion"/>
  </si>
  <si>
    <r>
      <t>2</t>
    </r>
    <r>
      <rPr>
        <sz val="9"/>
        <rFont val="宋体"/>
        <family val="3"/>
        <charset val="134"/>
      </rPr>
      <t>、产权比率</t>
    </r>
    <phoneticPr fontId="4" type="noConversion"/>
  </si>
  <si>
    <r>
      <t>3</t>
    </r>
    <r>
      <rPr>
        <sz val="9"/>
        <rFont val="宋体"/>
        <family val="3"/>
        <charset val="134"/>
      </rPr>
      <t>、有形净值债务比率</t>
    </r>
    <phoneticPr fontId="4" type="noConversion"/>
  </si>
  <si>
    <r>
      <t>4</t>
    </r>
    <r>
      <rPr>
        <sz val="9"/>
        <rFont val="宋体"/>
        <family val="3"/>
        <charset val="134"/>
      </rPr>
      <t>、利息保障倍数</t>
    </r>
    <phoneticPr fontId="4" type="noConversion"/>
  </si>
  <si>
    <r>
      <t>5</t>
    </r>
    <r>
      <rPr>
        <sz val="9"/>
        <rFont val="宋体"/>
        <family val="3"/>
        <charset val="134"/>
      </rPr>
      <t>、营运资金长期负债比率</t>
    </r>
    <phoneticPr fontId="4" type="noConversion"/>
  </si>
  <si>
    <r>
      <t>6</t>
    </r>
    <r>
      <rPr>
        <sz val="9"/>
        <rFont val="宋体"/>
        <family val="3"/>
        <charset val="134"/>
      </rPr>
      <t>、长期负债比率</t>
    </r>
    <phoneticPr fontId="4" type="noConversion"/>
  </si>
  <si>
    <r>
      <t>7</t>
    </r>
    <r>
      <rPr>
        <sz val="9"/>
        <rFont val="宋体"/>
        <family val="3"/>
        <charset val="134"/>
      </rPr>
      <t>、融资结构弹性比率</t>
    </r>
    <phoneticPr fontId="4" type="noConversion"/>
  </si>
  <si>
    <r>
      <t>1</t>
    </r>
    <r>
      <rPr>
        <sz val="9"/>
        <rFont val="宋体"/>
        <family val="3"/>
        <charset val="134"/>
      </rPr>
      <t>、总资产周转率</t>
    </r>
    <phoneticPr fontId="4" type="noConversion"/>
  </si>
  <si>
    <r>
      <t>2</t>
    </r>
    <r>
      <rPr>
        <sz val="9"/>
        <rFont val="宋体"/>
        <family val="3"/>
        <charset val="134"/>
      </rPr>
      <t>、固定资产周转率</t>
    </r>
    <phoneticPr fontId="4" type="noConversion"/>
  </si>
  <si>
    <r>
      <t>3</t>
    </r>
    <r>
      <rPr>
        <sz val="9"/>
        <rFont val="宋体"/>
        <family val="3"/>
        <charset val="134"/>
      </rPr>
      <t>、流动资产周转率</t>
    </r>
    <phoneticPr fontId="4" type="noConversion"/>
  </si>
  <si>
    <r>
      <t>4</t>
    </r>
    <r>
      <rPr>
        <sz val="9"/>
        <rFont val="宋体"/>
        <family val="3"/>
        <charset val="134"/>
      </rPr>
      <t>、应收账款周转率</t>
    </r>
    <phoneticPr fontId="4" type="noConversion"/>
  </si>
  <si>
    <r>
      <t>5</t>
    </r>
    <r>
      <rPr>
        <sz val="9"/>
        <rFont val="宋体"/>
        <family val="3"/>
        <charset val="134"/>
      </rPr>
      <t>、存货周转率</t>
    </r>
    <phoneticPr fontId="4" type="noConversion"/>
  </si>
  <si>
    <r>
      <t>6</t>
    </r>
    <r>
      <rPr>
        <sz val="9"/>
        <rFont val="宋体"/>
        <family val="3"/>
        <charset val="134"/>
      </rPr>
      <t>、营业周期</t>
    </r>
    <phoneticPr fontId="4" type="noConversion"/>
  </si>
  <si>
    <r>
      <t>1</t>
    </r>
    <r>
      <rPr>
        <sz val="9"/>
        <rFont val="宋体"/>
        <family val="3"/>
        <charset val="134"/>
      </rPr>
      <t>、资本保值增值率</t>
    </r>
    <phoneticPr fontId="4" type="noConversion"/>
  </si>
  <si>
    <r>
      <t>2</t>
    </r>
    <r>
      <rPr>
        <sz val="9"/>
        <rFont val="宋体"/>
        <family val="3"/>
        <charset val="134"/>
      </rPr>
      <t>、社会贡献率</t>
    </r>
    <phoneticPr fontId="4" type="noConversion"/>
  </si>
  <si>
    <r>
      <t>3</t>
    </r>
    <r>
      <rPr>
        <sz val="9"/>
        <rFont val="宋体"/>
        <family val="3"/>
        <charset val="134"/>
      </rPr>
      <t>、社会积累率</t>
    </r>
    <phoneticPr fontId="4" type="noConversion"/>
  </si>
  <si>
    <r>
      <t>4</t>
    </r>
    <r>
      <rPr>
        <sz val="9"/>
        <rFont val="宋体"/>
        <family val="3"/>
        <charset val="134"/>
      </rPr>
      <t>、不良资产比率</t>
    </r>
    <phoneticPr fontId="4" type="noConversion"/>
  </si>
  <si>
    <r>
      <t>5</t>
    </r>
    <r>
      <rPr>
        <sz val="9"/>
        <rFont val="宋体"/>
        <family val="3"/>
        <charset val="134"/>
      </rPr>
      <t>、资产损失率</t>
    </r>
    <phoneticPr fontId="4" type="noConversion"/>
  </si>
  <si>
    <r>
      <t>6</t>
    </r>
    <r>
      <rPr>
        <sz val="9"/>
        <rFont val="宋体"/>
        <family val="3"/>
        <charset val="134"/>
      </rPr>
      <t>、固定资产成新率</t>
    </r>
    <phoneticPr fontId="4" type="noConversion"/>
  </si>
  <si>
    <r>
      <t>3</t>
    </r>
    <r>
      <rPr>
        <sz val="9"/>
        <rFont val="宋体"/>
        <family val="3"/>
        <charset val="134"/>
      </rPr>
      <t>、净利润现金保证比率</t>
    </r>
    <phoneticPr fontId="4" type="noConversion"/>
  </si>
  <si>
    <r>
      <t>4</t>
    </r>
    <r>
      <rPr>
        <sz val="9"/>
        <rFont val="宋体"/>
        <family val="3"/>
        <charset val="134"/>
      </rPr>
      <t>、销售收入现金回收比率</t>
    </r>
    <phoneticPr fontId="4" type="noConversion"/>
  </si>
  <si>
    <t>注：</t>
    <phoneticPr fontId="4" type="noConversion"/>
  </si>
  <si>
    <r>
      <t>1</t>
    </r>
    <r>
      <rPr>
        <sz val="9"/>
        <rFont val="宋体"/>
        <family val="3"/>
        <charset val="134"/>
      </rPr>
      <t>、凡涉及平均数的比率，按年末、年初算术平均计算。</t>
    </r>
    <phoneticPr fontId="4"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</si>
  <si>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4"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</si>
  <si>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4" type="noConversion"/>
  </si>
  <si>
    <t>A</t>
  </si>
  <si>
    <t>B</t>
  </si>
  <si>
    <t>C</t>
  </si>
  <si>
    <t>D</t>
  </si>
  <si>
    <t>E</t>
  </si>
  <si>
    <t>P</t>
    <phoneticPr fontId="20" type="noConversion"/>
  </si>
  <si>
    <t>ROE=——————————————————</t>
  </si>
  <si>
    <t>E0+NP÷2+Ei×Mi÷M0-Ej×Mj÷M0±Ek×Mk÷M0</t>
  </si>
  <si>
    <t>DEPS=———————————————————————————————————————————</t>
  </si>
  <si>
    <r>
      <t>S</t>
    </r>
    <r>
      <rPr>
        <sz val="10"/>
        <rFont val="宋体"/>
        <family val="3"/>
        <charset val="134"/>
      </rPr>
      <t>＝</t>
    </r>
    <r>
      <rPr>
        <sz val="10"/>
        <rFont val="Arial Narrow"/>
        <family val="2"/>
      </rPr>
      <t>S0</t>
    </r>
    <r>
      <rPr>
        <sz val="10"/>
        <rFont val="宋体"/>
        <family val="3"/>
        <charset val="134"/>
      </rPr>
      <t>＋</t>
    </r>
    <r>
      <rPr>
        <sz val="10"/>
        <rFont val="Arial Narrow"/>
        <family val="2"/>
      </rPr>
      <t>S1</t>
    </r>
    <r>
      <rPr>
        <sz val="10"/>
        <rFont val="宋体"/>
        <family val="3"/>
        <charset val="134"/>
      </rPr>
      <t>＋</t>
    </r>
    <r>
      <rPr>
        <sz val="10"/>
        <rFont val="Arial Narrow"/>
        <family val="2"/>
      </rPr>
      <t>Si×Mi÷M0</t>
    </r>
    <r>
      <rPr>
        <sz val="10"/>
        <rFont val="宋体"/>
        <family val="3"/>
        <charset val="134"/>
      </rPr>
      <t>－</t>
    </r>
    <r>
      <rPr>
        <sz val="10"/>
        <rFont val="Arial Narrow"/>
        <family val="2"/>
      </rPr>
      <t>Sj×Mj÷M0</t>
    </r>
    <r>
      <rPr>
        <sz val="10"/>
        <rFont val="宋体"/>
        <family val="3"/>
        <charset val="134"/>
      </rPr>
      <t>－</t>
    </r>
    <r>
      <rPr>
        <sz val="10"/>
        <rFont val="Arial Narrow"/>
        <family val="2"/>
      </rPr>
      <t>Sk</t>
    </r>
    <phoneticPr fontId="20" type="noConversion"/>
  </si>
  <si>
    <t>注：</t>
    <phoneticPr fontId="20" type="noConversion"/>
  </si>
  <si>
    <r>
      <t>为了保持会计指标的前后期可比性，企业应当在</t>
    </r>
    <r>
      <rPr>
        <sz val="10"/>
        <color indexed="10"/>
        <rFont val="宋体"/>
        <family val="3"/>
        <charset val="134"/>
      </rPr>
      <t>派发股票股利、公积金转增资本、拆股和并股</t>
    </r>
    <r>
      <rPr>
        <sz val="10"/>
        <color indexed="12"/>
        <rFont val="宋体"/>
        <family val="3"/>
        <charset val="134"/>
      </rPr>
      <t>相关报批手续全部完成后，</t>
    </r>
    <r>
      <rPr>
        <sz val="10"/>
        <color indexed="10"/>
        <rFont val="宋体"/>
        <family val="3"/>
        <charset val="134"/>
      </rPr>
      <t>按调整后的股数重新计算各列报期间的每股收益。</t>
    </r>
    <phoneticPr fontId="20" type="noConversion"/>
  </si>
  <si>
    <t>上述变化发生于资产负债表日至财务报告批准报出日之间的，应当以调整后的股数重新计算各列报期间的每股收益。</t>
    <phoneticPr fontId="20" type="noConversion"/>
  </si>
  <si>
    <r>
      <t>计算基本每股收益时，应当考虑配股中的送股因素，将这部分无对价的送股</t>
    </r>
    <r>
      <rPr>
        <sz val="10"/>
        <color indexed="12"/>
        <rFont val="Arial Narrow"/>
        <family val="2"/>
      </rPr>
      <t>(</t>
    </r>
    <r>
      <rPr>
        <sz val="10"/>
        <color indexed="12"/>
        <rFont val="宋体"/>
        <family val="3"/>
        <charset val="134"/>
      </rPr>
      <t>不是全部配发的普通股</t>
    </r>
    <r>
      <rPr>
        <sz val="10"/>
        <color indexed="12"/>
        <rFont val="Arial Narrow"/>
        <family val="2"/>
      </rPr>
      <t>)</t>
    </r>
    <r>
      <rPr>
        <sz val="10"/>
        <color indexed="12"/>
        <rFont val="宋体"/>
        <family val="3"/>
        <charset val="134"/>
      </rPr>
      <t>视同列报最早期间期初就已发行在外，</t>
    </r>
    <phoneticPr fontId="20" type="noConversion"/>
  </si>
  <si>
    <t>并据以调整各列报期间发行在外普通股的加权平均数，计算各列报期间的每股收益。</t>
    <phoneticPr fontId="20" type="noConversion"/>
  </si>
  <si>
    <t>为此，企业首先应当计算出一个调整系数，再用配股前发行在外普通股的股数乘以该调整系数，得出计算每股收益时应采用的普通股股数。</t>
    <phoneticPr fontId="20" type="noConversion"/>
  </si>
  <si>
    <t>不存在稀释性潜在普通股的企业应当在利润表中单独列示基本每股收益。</t>
    <phoneticPr fontId="20" type="noConversion"/>
  </si>
  <si>
    <t>潜在普通股主要有可转换公司债券、认股权证、股份期权等。</t>
    <phoneticPr fontId="20" type="noConversion"/>
  </si>
  <si>
    <t xml:space="preserve">       审计完成阶段的分析性复核（合并报表）     </t>
    <phoneticPr fontId="4" type="noConversion"/>
  </si>
  <si>
    <r>
      <rPr>
        <sz val="10"/>
        <rFont val="宋体"/>
        <family val="3"/>
        <charset val="134"/>
      </rPr>
      <t>索引号：</t>
    </r>
    <r>
      <rPr>
        <sz val="10"/>
        <rFont val="Arial Narrow"/>
        <family val="2"/>
      </rPr>
      <t>A1-14-1</t>
    </r>
    <phoneticPr fontId="3" type="noConversion"/>
  </si>
  <si>
    <r>
      <rPr>
        <b/>
        <sz val="14"/>
        <rFont val="隶书"/>
        <family val="3"/>
        <charset val="134"/>
      </rPr>
      <t>已审利润表（合并）横向分析</t>
    </r>
    <phoneticPr fontId="4" type="noConversion"/>
  </si>
  <si>
    <r>
      <rPr>
        <sz val="10"/>
        <rFont val="宋体"/>
        <family val="3"/>
        <charset val="134"/>
      </rPr>
      <t>页次：</t>
    </r>
    <r>
      <rPr>
        <sz val="10"/>
        <rFont val="Arial Narrow"/>
        <family val="2"/>
      </rPr>
      <t>1</t>
    </r>
  </si>
  <si>
    <r>
      <rPr>
        <b/>
        <sz val="10"/>
        <rFont val="长城仿宋"/>
        <family val="3"/>
        <charset val="134"/>
      </rPr>
      <t>项目</t>
    </r>
  </si>
  <si>
    <r>
      <rPr>
        <sz val="10"/>
        <rFont val="宋体"/>
        <family val="3"/>
        <charset val="134"/>
      </rPr>
      <t>上年审定数</t>
    </r>
    <phoneticPr fontId="4" type="noConversion"/>
  </si>
  <si>
    <r>
      <rPr>
        <sz val="10"/>
        <rFont val="宋体"/>
        <family val="3"/>
        <charset val="134"/>
      </rPr>
      <t>本年审定数</t>
    </r>
    <phoneticPr fontId="4" type="noConversion"/>
  </si>
  <si>
    <r>
      <rPr>
        <sz val="10"/>
        <rFont val="宋体"/>
        <family val="3"/>
        <charset val="134"/>
      </rPr>
      <t>变动状况（显著</t>
    </r>
    <r>
      <rPr>
        <sz val="10"/>
        <rFont val="Arial Narrow"/>
        <family val="2"/>
      </rPr>
      <t>/</t>
    </r>
    <r>
      <rPr>
        <sz val="10"/>
        <rFont val="宋体"/>
        <family val="3"/>
        <charset val="134"/>
      </rPr>
      <t>关注</t>
    </r>
    <r>
      <rPr>
        <sz val="10"/>
        <rFont val="Arial Narrow"/>
        <family val="2"/>
      </rPr>
      <t>)</t>
    </r>
    <phoneticPr fontId="4" type="noConversion"/>
  </si>
  <si>
    <r>
      <rPr>
        <sz val="10"/>
        <rFont val="宋体"/>
        <family val="3"/>
        <charset val="134"/>
      </rPr>
      <t>显著变动原因分析；需进一步调查或解释的差异</t>
    </r>
    <phoneticPr fontId="4" type="noConversion"/>
  </si>
  <si>
    <r>
      <rPr>
        <sz val="9"/>
        <rFont val="宋体"/>
        <family val="3"/>
        <charset val="134"/>
      </rPr>
      <t>①</t>
    </r>
    <phoneticPr fontId="4" type="noConversion"/>
  </si>
  <si>
    <r>
      <rPr>
        <sz val="9"/>
        <rFont val="宋体"/>
        <family val="3"/>
        <charset val="134"/>
      </rPr>
      <t>②</t>
    </r>
  </si>
  <si>
    <r>
      <rPr>
        <sz val="9"/>
        <rFont val="宋体"/>
        <family val="3"/>
        <charset val="134"/>
      </rPr>
      <t>③</t>
    </r>
    <r>
      <rPr>
        <sz val="9"/>
        <rFont val="Arial Narrow"/>
        <family val="2"/>
      </rPr>
      <t>=</t>
    </r>
    <r>
      <rPr>
        <sz val="9"/>
        <rFont val="宋体"/>
        <family val="3"/>
        <charset val="134"/>
      </rPr>
      <t>②</t>
    </r>
    <r>
      <rPr>
        <sz val="9"/>
        <rFont val="Arial Narrow"/>
        <family val="2"/>
      </rPr>
      <t>-</t>
    </r>
    <r>
      <rPr>
        <sz val="9"/>
        <rFont val="宋体"/>
        <family val="3"/>
        <charset val="134"/>
      </rPr>
      <t>①</t>
    </r>
  </si>
  <si>
    <r>
      <rPr>
        <sz val="9"/>
        <rFont val="宋体"/>
        <family val="3"/>
        <charset val="134"/>
      </rPr>
      <t>④</t>
    </r>
    <r>
      <rPr>
        <sz val="9"/>
        <rFont val="Arial Narrow"/>
        <family val="2"/>
      </rPr>
      <t>=</t>
    </r>
    <r>
      <rPr>
        <sz val="9"/>
        <rFont val="宋体"/>
        <family val="3"/>
        <charset val="134"/>
      </rPr>
      <t>③</t>
    </r>
    <r>
      <rPr>
        <sz val="9"/>
        <rFont val="Arial Narrow"/>
        <family val="2"/>
      </rPr>
      <t>/</t>
    </r>
    <r>
      <rPr>
        <sz val="9"/>
        <rFont val="宋体"/>
        <family val="3"/>
        <charset val="134"/>
      </rPr>
      <t>①</t>
    </r>
  </si>
  <si>
    <r>
      <rPr>
        <b/>
        <sz val="10"/>
        <rFont val="宋体"/>
        <family val="3"/>
        <charset val="134"/>
      </rPr>
      <t>一、营业收入</t>
    </r>
  </si>
  <si>
    <r>
      <rPr>
        <sz val="10"/>
        <rFont val="宋体"/>
        <family val="3"/>
        <charset val="134"/>
      </rPr>
      <t>其中：主营业务收入</t>
    </r>
  </si>
  <si>
    <r>
      <rPr>
        <sz val="10"/>
        <rFont val="宋体"/>
        <family val="3"/>
        <charset val="134"/>
      </rPr>
      <t>其他业务收入</t>
    </r>
  </si>
  <si>
    <r>
      <rPr>
        <sz val="10"/>
        <rFont val="宋体"/>
        <family val="3"/>
        <charset val="134"/>
      </rPr>
      <t>减：营业成本</t>
    </r>
  </si>
  <si>
    <r>
      <rPr>
        <sz val="10"/>
        <rFont val="宋体"/>
        <family val="3"/>
        <charset val="134"/>
      </rPr>
      <t>其中：主营业务成本</t>
    </r>
  </si>
  <si>
    <r>
      <rPr>
        <sz val="10"/>
        <rFont val="宋体"/>
        <family val="3"/>
        <charset val="134"/>
      </rPr>
      <t>其他业务成本</t>
    </r>
  </si>
  <si>
    <r>
      <rPr>
        <sz val="10"/>
        <rFont val="宋体"/>
        <family val="3"/>
        <charset val="134"/>
      </rPr>
      <t>销售费用</t>
    </r>
  </si>
  <si>
    <r>
      <rPr>
        <sz val="10"/>
        <rFont val="宋体"/>
        <family val="3"/>
        <charset val="134"/>
      </rPr>
      <t>管理费用</t>
    </r>
  </si>
  <si>
    <r>
      <rPr>
        <sz val="10"/>
        <rFont val="宋体"/>
        <family val="3"/>
        <charset val="134"/>
      </rPr>
      <t>其中：业务招待费</t>
    </r>
  </si>
  <si>
    <r>
      <rPr>
        <sz val="10"/>
        <rFont val="宋体"/>
        <family val="3"/>
        <charset val="134"/>
      </rPr>
      <t>财务费用</t>
    </r>
  </si>
  <si>
    <r>
      <rPr>
        <sz val="10"/>
        <rFont val="宋体"/>
        <family val="3"/>
        <charset val="134"/>
      </rPr>
      <t>资产减值损失</t>
    </r>
  </si>
  <si>
    <r>
      <rPr>
        <b/>
        <sz val="10"/>
        <rFont val="宋体"/>
        <family val="3"/>
        <charset val="134"/>
      </rPr>
      <t>二、营业利润（亏损以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</si>
  <si>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sz val="10"/>
        <rFont val="宋体"/>
        <family val="3"/>
        <charset val="134"/>
      </rPr>
      <t>加：营业外收入</t>
    </r>
  </si>
  <si>
    <r>
      <rPr>
        <sz val="10"/>
        <rFont val="宋体"/>
        <family val="3"/>
        <charset val="134"/>
      </rPr>
      <t>减：营业外支出</t>
    </r>
  </si>
  <si>
    <r>
      <rPr>
        <b/>
        <sz val="10"/>
        <rFont val="宋体"/>
        <family val="3"/>
        <charset val="134"/>
      </rPr>
      <t>三、利润总额（亏损总额以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</si>
  <si>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sz val="10"/>
        <rFont val="宋体"/>
        <family val="3"/>
        <charset val="134"/>
      </rPr>
      <t>减：所得税费用</t>
    </r>
  </si>
  <si>
    <r>
      <rPr>
        <b/>
        <sz val="10"/>
        <rFont val="宋体"/>
        <family val="3"/>
        <charset val="134"/>
      </rPr>
      <t>四、净利润（净亏损以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</si>
  <si>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b/>
        <sz val="10"/>
        <color indexed="12"/>
        <rFont val="宋体"/>
        <family val="3"/>
        <charset val="134"/>
      </rPr>
      <t>五、其他综合收益税后净额</t>
    </r>
    <phoneticPr fontId="4" type="noConversion"/>
  </si>
  <si>
    <r>
      <t xml:space="preserve">    </t>
    </r>
    <r>
      <rPr>
        <sz val="10"/>
        <color theme="1"/>
        <rFont val="宋体"/>
        <family val="3"/>
        <charset val="134"/>
      </rPr>
      <t>归属于母公司股东的其他综合收益的税后净额</t>
    </r>
  </si>
  <si>
    <r>
      <rPr>
        <sz val="10"/>
        <color theme="1"/>
        <rFont val="宋体"/>
        <family val="3"/>
        <charset val="134"/>
      </rPr>
      <t>（一）以后不能重分类进损益的其他综合收益</t>
    </r>
  </si>
  <si>
    <r>
      <t>3</t>
    </r>
    <r>
      <rPr>
        <sz val="10"/>
        <color theme="1"/>
        <rFont val="宋体"/>
        <family val="3"/>
        <charset val="134"/>
      </rPr>
      <t>、其他（不适用的删除）</t>
    </r>
  </si>
  <si>
    <r>
      <rPr>
        <sz val="10"/>
        <color theme="1"/>
        <rFont val="宋体"/>
        <family val="3"/>
        <charset val="134"/>
      </rPr>
      <t>（二）以后将重分类进损益的其他综合收益</t>
    </r>
  </si>
  <si>
    <r>
      <t>2</t>
    </r>
    <r>
      <rPr>
        <sz val="10"/>
        <color theme="1"/>
        <rFont val="宋体"/>
        <family val="3"/>
        <charset val="134"/>
      </rPr>
      <t>、可供出售金融资产公允价值变动损益（不适用的删除）</t>
    </r>
  </si>
  <si>
    <r>
      <t>3</t>
    </r>
    <r>
      <rPr>
        <sz val="10"/>
        <color theme="1"/>
        <rFont val="宋体"/>
        <family val="3"/>
        <charset val="134"/>
      </rPr>
      <t>、持有至到期投资重分类为可供出售金融资产损益（不适用的删除）</t>
    </r>
  </si>
  <si>
    <r>
      <t>4</t>
    </r>
    <r>
      <rPr>
        <sz val="10"/>
        <color theme="1"/>
        <rFont val="宋体"/>
        <family val="3"/>
        <charset val="134"/>
      </rPr>
      <t>、现金流量套期损益的有效部分（不适用的删除）</t>
    </r>
  </si>
  <si>
    <r>
      <t>5</t>
    </r>
    <r>
      <rPr>
        <sz val="10"/>
        <color theme="1"/>
        <rFont val="宋体"/>
        <family val="3"/>
        <charset val="134"/>
      </rPr>
      <t>、外币财务报表折算差额（不适用的删除）</t>
    </r>
  </si>
  <si>
    <r>
      <t>6</t>
    </r>
    <r>
      <rPr>
        <sz val="10"/>
        <color theme="1"/>
        <rFont val="宋体"/>
        <family val="3"/>
        <charset val="134"/>
      </rPr>
      <t>、自用房地产或作为存货的房地产转换为以公允价值计量的投资性房地产在转换日公允价值大于账面价值部分（不适用的删除）</t>
    </r>
  </si>
  <si>
    <r>
      <t>7</t>
    </r>
    <r>
      <rPr>
        <sz val="10"/>
        <color theme="1"/>
        <rFont val="宋体"/>
        <family val="3"/>
        <charset val="134"/>
      </rPr>
      <t>、多次交易分步处置子公司股权构成一揽子交易的，丧失控制权之前各次交易处置价款与对应净资产账面价值份额的差额（不适用的删除）</t>
    </r>
  </si>
  <si>
    <r>
      <t>8</t>
    </r>
    <r>
      <rPr>
        <sz val="10"/>
        <color theme="1"/>
        <rFont val="宋体"/>
        <family val="3"/>
        <charset val="134"/>
      </rPr>
      <t>、其他（不适用的删除）</t>
    </r>
  </si>
  <si>
    <r>
      <t xml:space="preserve">    </t>
    </r>
    <r>
      <rPr>
        <sz val="10"/>
        <color theme="1"/>
        <rFont val="宋体"/>
        <family val="3"/>
        <charset val="134"/>
      </rPr>
      <t>归属于少数股东的其他综合收益的税后净额</t>
    </r>
  </si>
  <si>
    <r>
      <rPr>
        <b/>
        <sz val="10"/>
        <color indexed="12"/>
        <rFont val="宋体"/>
        <family val="3"/>
        <charset val="134"/>
      </rPr>
      <t>六、每股收益</t>
    </r>
    <phoneticPr fontId="4" type="noConversion"/>
  </si>
  <si>
    <r>
      <rPr>
        <sz val="10"/>
        <color indexed="12"/>
        <rFont val="宋体"/>
        <family val="3"/>
        <charset val="134"/>
      </rPr>
      <t>㈠基本每股收益</t>
    </r>
  </si>
  <si>
    <r>
      <rPr>
        <sz val="10"/>
        <color indexed="12"/>
        <rFont val="宋体"/>
        <family val="3"/>
        <charset val="134"/>
      </rPr>
      <t>㈡稀释每股收益</t>
    </r>
  </si>
  <si>
    <r>
      <rPr>
        <b/>
        <sz val="10"/>
        <color indexed="12"/>
        <rFont val="宋体"/>
        <family val="3"/>
        <charset val="134"/>
      </rPr>
      <t>七、综合收益总额</t>
    </r>
    <phoneticPr fontId="4" type="noConversion"/>
  </si>
  <si>
    <r>
      <rPr>
        <sz val="10"/>
        <color indexed="12"/>
        <rFont val="宋体"/>
        <family val="3"/>
        <charset val="134"/>
      </rPr>
      <t>归属于母公司股东的综合收益总额</t>
    </r>
  </si>
  <si>
    <r>
      <rPr>
        <sz val="10"/>
        <color indexed="12"/>
        <rFont val="宋体"/>
        <family val="3"/>
        <charset val="134"/>
      </rPr>
      <t>归属于少数股东的综合收益总额</t>
    </r>
  </si>
  <si>
    <r>
      <rPr>
        <b/>
        <sz val="10"/>
        <color indexed="12"/>
        <rFont val="宋体"/>
        <family val="3"/>
        <charset val="134"/>
      </rPr>
      <t>八、利润分配</t>
    </r>
    <phoneticPr fontId="4" type="noConversion"/>
  </si>
  <si>
    <r>
      <rPr>
        <sz val="10"/>
        <color indexed="12"/>
        <rFont val="宋体"/>
        <family val="3"/>
        <charset val="134"/>
      </rPr>
      <t>㈠年初未分配利润</t>
    </r>
  </si>
  <si>
    <r>
      <rPr>
        <sz val="10"/>
        <color indexed="12"/>
        <rFont val="宋体"/>
        <family val="3"/>
        <charset val="134"/>
      </rPr>
      <t>㈡可供分配的利润</t>
    </r>
  </si>
  <si>
    <r>
      <t>1.</t>
    </r>
    <r>
      <rPr>
        <sz val="10"/>
        <color indexed="12"/>
        <rFont val="宋体"/>
        <family val="3"/>
        <charset val="134"/>
      </rPr>
      <t>提取法定盈余公积</t>
    </r>
  </si>
  <si>
    <r>
      <t>2.</t>
    </r>
    <r>
      <rPr>
        <sz val="10"/>
        <color indexed="12"/>
        <rFont val="宋体"/>
        <family val="3"/>
        <charset val="134"/>
      </rPr>
      <t>其他</t>
    </r>
  </si>
  <si>
    <r>
      <rPr>
        <sz val="10"/>
        <color indexed="12"/>
        <rFont val="宋体"/>
        <family val="3"/>
        <charset val="134"/>
      </rPr>
      <t>㈢可供投资者分配的利润</t>
    </r>
  </si>
  <si>
    <r>
      <t>1.</t>
    </r>
    <r>
      <rPr>
        <sz val="10"/>
        <color indexed="12"/>
        <rFont val="宋体"/>
        <family val="3"/>
        <charset val="134"/>
      </rPr>
      <t>应付优先股股利</t>
    </r>
  </si>
  <si>
    <r>
      <t>2.</t>
    </r>
    <r>
      <rPr>
        <sz val="10"/>
        <color indexed="12"/>
        <rFont val="宋体"/>
        <family val="3"/>
        <charset val="134"/>
      </rPr>
      <t>提取任意盈余公积</t>
    </r>
  </si>
  <si>
    <r>
      <t>3.</t>
    </r>
    <r>
      <rPr>
        <sz val="10"/>
        <color indexed="12"/>
        <rFont val="宋体"/>
        <family val="3"/>
        <charset val="134"/>
      </rPr>
      <t>应付普通股股利（应付利润）</t>
    </r>
  </si>
  <si>
    <r>
      <t>4.</t>
    </r>
    <r>
      <rPr>
        <sz val="10"/>
        <color indexed="12"/>
        <rFont val="宋体"/>
        <family val="3"/>
        <charset val="134"/>
      </rPr>
      <t>转作资本（或股本）的普通股股利</t>
    </r>
  </si>
  <si>
    <r>
      <t>5.</t>
    </r>
    <r>
      <rPr>
        <sz val="10"/>
        <color indexed="12"/>
        <rFont val="宋体"/>
        <family val="3"/>
        <charset val="134"/>
      </rPr>
      <t>其他</t>
    </r>
  </si>
  <si>
    <r>
      <rPr>
        <b/>
        <sz val="10"/>
        <color indexed="12"/>
        <rFont val="宋体"/>
        <family val="3"/>
        <charset val="134"/>
      </rPr>
      <t>九、未分配利润</t>
    </r>
    <phoneticPr fontId="4" type="noConversion"/>
  </si>
  <si>
    <r>
      <rPr>
        <b/>
        <sz val="14"/>
        <rFont val="隶书"/>
        <family val="3"/>
        <charset val="134"/>
      </rPr>
      <t>已审资产负债表（合并）横向趋势分析－资产</t>
    </r>
    <phoneticPr fontId="4" type="noConversion"/>
  </si>
  <si>
    <r>
      <rPr>
        <b/>
        <sz val="14"/>
        <rFont val="隶书"/>
        <family val="3"/>
        <charset val="134"/>
      </rPr>
      <t>已审资产负债表（合并）横向趋势分析－负债</t>
    </r>
    <phoneticPr fontId="4" type="noConversion"/>
  </si>
  <si>
    <r>
      <rPr>
        <sz val="10"/>
        <rFont val="宋体"/>
        <family val="3"/>
        <charset val="134"/>
      </rPr>
      <t>客户名称：</t>
    </r>
  </si>
  <si>
    <r>
      <rPr>
        <sz val="10"/>
        <rFont val="宋体"/>
        <family val="3"/>
        <charset val="134"/>
      </rPr>
      <t>编制人：</t>
    </r>
    <phoneticPr fontId="4" type="noConversion"/>
  </si>
  <si>
    <r>
      <rPr>
        <sz val="10"/>
        <rFont val="宋体"/>
        <family val="3"/>
        <charset val="134"/>
      </rPr>
      <t>日期：</t>
    </r>
    <phoneticPr fontId="4" type="noConversion"/>
  </si>
  <si>
    <r>
      <rPr>
        <sz val="10"/>
        <rFont val="宋体"/>
        <family val="3"/>
        <charset val="134"/>
      </rPr>
      <t>索引：</t>
    </r>
    <r>
      <rPr>
        <sz val="10"/>
        <rFont val="Arial Narrow"/>
        <family val="2"/>
      </rPr>
      <t>A1-14-1</t>
    </r>
    <phoneticPr fontId="4" type="noConversion"/>
  </si>
  <si>
    <r>
      <rPr>
        <sz val="10"/>
        <rFont val="宋体"/>
        <family val="3"/>
        <charset val="134"/>
      </rPr>
      <t>复核人：</t>
    </r>
    <phoneticPr fontId="4" type="noConversion"/>
  </si>
  <si>
    <r>
      <rPr>
        <sz val="10"/>
        <rFont val="宋体"/>
        <family val="3"/>
        <charset val="134"/>
      </rPr>
      <t>页次：</t>
    </r>
    <r>
      <rPr>
        <sz val="10"/>
        <rFont val="Arial Narrow"/>
        <family val="2"/>
      </rPr>
      <t>2</t>
    </r>
  </si>
  <si>
    <r>
      <rPr>
        <b/>
        <sz val="10"/>
        <rFont val="宋体"/>
        <family val="3"/>
        <charset val="134"/>
      </rPr>
      <t>资产</t>
    </r>
  </si>
  <si>
    <r>
      <rPr>
        <sz val="10"/>
        <rFont val="宋体"/>
        <family val="3"/>
        <charset val="134"/>
      </rPr>
      <t>行次</t>
    </r>
    <phoneticPr fontId="4" type="noConversion"/>
  </si>
  <si>
    <r>
      <rPr>
        <sz val="10"/>
        <rFont val="宋体"/>
        <family val="3"/>
        <charset val="134"/>
      </rPr>
      <t>上年审定数</t>
    </r>
    <phoneticPr fontId="4" type="noConversion"/>
  </si>
  <si>
    <r>
      <rPr>
        <sz val="10"/>
        <rFont val="宋体"/>
        <family val="3"/>
        <charset val="134"/>
      </rPr>
      <t>本年审定数</t>
    </r>
    <phoneticPr fontId="4" type="noConversion"/>
  </si>
  <si>
    <r>
      <rPr>
        <sz val="10"/>
        <rFont val="宋体"/>
        <family val="3"/>
        <charset val="134"/>
      </rPr>
      <t>本年比上年增长</t>
    </r>
    <phoneticPr fontId="4" type="noConversion"/>
  </si>
  <si>
    <r>
      <rPr>
        <sz val="10"/>
        <rFont val="宋体"/>
        <family val="3"/>
        <charset val="134"/>
      </rPr>
      <t>变动状况（显著</t>
    </r>
    <r>
      <rPr>
        <sz val="10"/>
        <rFont val="Arial Narrow"/>
        <family val="2"/>
      </rPr>
      <t>/</t>
    </r>
    <r>
      <rPr>
        <sz val="10"/>
        <rFont val="宋体"/>
        <family val="3"/>
        <charset val="134"/>
      </rPr>
      <t>关注</t>
    </r>
    <r>
      <rPr>
        <sz val="10"/>
        <rFont val="Arial Narrow"/>
        <family val="2"/>
      </rPr>
      <t>)</t>
    </r>
    <phoneticPr fontId="4" type="noConversion"/>
  </si>
  <si>
    <r>
      <rPr>
        <sz val="10"/>
        <rFont val="宋体"/>
        <family val="3"/>
        <charset val="134"/>
      </rPr>
      <t>显著变动原因分析；需进一步调查或解释的差异</t>
    </r>
    <phoneticPr fontId="4" type="noConversion"/>
  </si>
  <si>
    <r>
      <rPr>
        <b/>
        <sz val="10"/>
        <rFont val="宋体"/>
        <family val="3"/>
        <charset val="134"/>
      </rPr>
      <t>负债及股东权益</t>
    </r>
  </si>
  <si>
    <r>
      <rPr>
        <sz val="10"/>
        <rFont val="宋体"/>
        <family val="3"/>
        <charset val="134"/>
      </rPr>
      <t>变动额</t>
    </r>
    <phoneticPr fontId="4" type="noConversion"/>
  </si>
  <si>
    <r>
      <rPr>
        <sz val="10"/>
        <rFont val="宋体"/>
        <family val="3"/>
        <charset val="134"/>
      </rPr>
      <t>变动％</t>
    </r>
    <phoneticPr fontId="4" type="noConversion"/>
  </si>
  <si>
    <r>
      <rPr>
        <sz val="9"/>
        <rFont val="宋体"/>
        <family val="3"/>
        <charset val="134"/>
      </rPr>
      <t>①</t>
    </r>
    <phoneticPr fontId="4" type="noConversion"/>
  </si>
  <si>
    <r>
      <rPr>
        <sz val="9"/>
        <rFont val="宋体"/>
        <family val="3"/>
        <charset val="134"/>
      </rPr>
      <t>①</t>
    </r>
    <phoneticPr fontId="4" type="noConversion"/>
  </si>
  <si>
    <r>
      <rPr>
        <sz val="10"/>
        <rFont val="宋体"/>
        <family val="3"/>
        <charset val="134"/>
      </rPr>
      <t>流动资产：</t>
    </r>
  </si>
  <si>
    <r>
      <rPr>
        <sz val="10"/>
        <rFont val="Times New Roman"/>
        <family val="1"/>
      </rPr>
      <t>流动负债：</t>
    </r>
  </si>
  <si>
    <r>
      <rPr>
        <sz val="10"/>
        <rFont val="宋体"/>
        <family val="3"/>
        <charset val="134"/>
      </rPr>
      <t>货币资金</t>
    </r>
  </si>
  <si>
    <r>
      <rPr>
        <sz val="10"/>
        <rFont val="宋体"/>
        <family val="3"/>
        <charset val="134"/>
      </rPr>
      <t>短期借款</t>
    </r>
  </si>
  <si>
    <r>
      <rPr>
        <sz val="10"/>
        <rFont val="宋体"/>
        <family val="3"/>
        <charset val="134"/>
      </rPr>
      <t>以公允价值计量且其变动计入当期损益的金融资产</t>
    </r>
    <phoneticPr fontId="4" type="noConversion"/>
  </si>
  <si>
    <r>
      <rPr>
        <sz val="10"/>
        <rFont val="宋体"/>
        <family val="3"/>
        <charset val="134"/>
      </rPr>
      <t>以公允价值计量且其变动计入当期损益的金融负债</t>
    </r>
    <phoneticPr fontId="4" type="noConversion"/>
  </si>
  <si>
    <r>
      <rPr>
        <sz val="10"/>
        <rFont val="宋体"/>
        <family val="3"/>
        <charset val="134"/>
      </rPr>
      <t>预付账款</t>
    </r>
  </si>
  <si>
    <r>
      <rPr>
        <sz val="10"/>
        <rFont val="宋体"/>
        <family val="3"/>
        <charset val="134"/>
      </rPr>
      <t>预收账款</t>
    </r>
  </si>
  <si>
    <r>
      <rPr>
        <sz val="10"/>
        <rFont val="宋体"/>
        <family val="3"/>
        <charset val="134"/>
      </rPr>
      <t>应付职工薪酬</t>
    </r>
  </si>
  <si>
    <r>
      <rPr>
        <sz val="10"/>
        <rFont val="宋体"/>
        <family val="3"/>
        <charset val="134"/>
      </rPr>
      <t>应交税费</t>
    </r>
  </si>
  <si>
    <r>
      <rPr>
        <sz val="10"/>
        <rFont val="宋体"/>
        <family val="3"/>
        <charset val="134"/>
      </rPr>
      <t>其他应收款</t>
    </r>
  </si>
  <si>
    <r>
      <rPr>
        <sz val="10"/>
        <rFont val="宋体"/>
        <family val="3"/>
        <charset val="134"/>
      </rPr>
      <t>存货</t>
    </r>
  </si>
  <si>
    <r>
      <rPr>
        <sz val="10"/>
        <rFont val="宋体"/>
        <family val="3"/>
        <charset val="134"/>
      </rPr>
      <t>其中：原材料</t>
    </r>
  </si>
  <si>
    <r>
      <rPr>
        <sz val="10"/>
        <rFont val="宋体"/>
        <family val="3"/>
        <charset val="134"/>
      </rPr>
      <t>其他应付款</t>
    </r>
  </si>
  <si>
    <r>
      <rPr>
        <sz val="10"/>
        <rFont val="宋体"/>
        <family val="3"/>
        <charset val="134"/>
      </rPr>
      <t>库存商品（产成品）</t>
    </r>
  </si>
  <si>
    <r>
      <rPr>
        <sz val="10"/>
        <rFont val="宋体"/>
        <family val="3"/>
        <charset val="134"/>
      </rPr>
      <t>一年内到期的非流动负债</t>
    </r>
  </si>
  <si>
    <r>
      <rPr>
        <sz val="10"/>
        <rFont val="宋体"/>
        <family val="3"/>
        <charset val="134"/>
      </rPr>
      <t>一年内到期的非流动资产</t>
    </r>
  </si>
  <si>
    <r>
      <rPr>
        <sz val="10"/>
        <rFont val="宋体"/>
        <family val="3"/>
        <charset val="134"/>
      </rPr>
      <t>其他流动负债</t>
    </r>
  </si>
  <si>
    <r>
      <rPr>
        <sz val="10"/>
        <rFont val="宋体"/>
        <family val="3"/>
        <charset val="134"/>
      </rPr>
      <t>其他流动资产</t>
    </r>
  </si>
  <si>
    <r>
      <rPr>
        <b/>
        <sz val="10"/>
        <rFont val="宋体"/>
        <family val="3"/>
        <charset val="134"/>
      </rPr>
      <t>流动资产合计</t>
    </r>
  </si>
  <si>
    <r>
      <rPr>
        <b/>
        <sz val="10"/>
        <rFont val="宋体"/>
        <family val="3"/>
        <charset val="134"/>
      </rPr>
      <t>流动负债合计</t>
    </r>
  </si>
  <si>
    <r>
      <rPr>
        <sz val="10"/>
        <rFont val="宋体"/>
        <family val="3"/>
        <charset val="134"/>
      </rPr>
      <t>非流动资产</t>
    </r>
    <r>
      <rPr>
        <sz val="10"/>
        <rFont val="Arial Narrow"/>
        <family val="2"/>
      </rPr>
      <t>:</t>
    </r>
  </si>
  <si>
    <r>
      <rPr>
        <sz val="10"/>
        <rFont val="宋体"/>
        <family val="3"/>
        <charset val="134"/>
      </rPr>
      <t>非流动负债</t>
    </r>
    <r>
      <rPr>
        <sz val="10"/>
        <rFont val="Arial Narrow"/>
        <family val="2"/>
      </rPr>
      <t>:</t>
    </r>
  </si>
  <si>
    <r>
      <rPr>
        <sz val="10"/>
        <rFont val="宋体"/>
        <family val="3"/>
        <charset val="134"/>
      </rPr>
      <t>可供出售金融资产</t>
    </r>
  </si>
  <si>
    <r>
      <rPr>
        <sz val="10"/>
        <rFont val="宋体"/>
        <family val="3"/>
        <charset val="134"/>
      </rPr>
      <t>长期借款</t>
    </r>
  </si>
  <si>
    <r>
      <rPr>
        <sz val="10"/>
        <rFont val="宋体"/>
        <family val="3"/>
        <charset val="134"/>
      </rPr>
      <t>持有至到期投资</t>
    </r>
  </si>
  <si>
    <r>
      <rPr>
        <sz val="10"/>
        <rFont val="宋体"/>
        <family val="3"/>
        <charset val="134"/>
      </rPr>
      <t>应付债券</t>
    </r>
  </si>
  <si>
    <r>
      <rPr>
        <sz val="10"/>
        <rFont val="宋体"/>
        <family val="3"/>
        <charset val="134"/>
      </rPr>
      <t>长期应收款</t>
    </r>
  </si>
  <si>
    <r>
      <rPr>
        <sz val="10"/>
        <rFont val="宋体"/>
        <family val="3"/>
        <charset val="134"/>
      </rPr>
      <t>其中：优先股</t>
    </r>
    <phoneticPr fontId="4" type="noConversion"/>
  </si>
  <si>
    <r>
      <rPr>
        <sz val="10"/>
        <rFont val="宋体"/>
        <family val="3"/>
        <charset val="134"/>
      </rPr>
      <t>设定受益计划净资产</t>
    </r>
    <phoneticPr fontId="4" type="noConversion"/>
  </si>
  <si>
    <r>
      <t xml:space="preserve">      </t>
    </r>
    <r>
      <rPr>
        <sz val="10"/>
        <rFont val="宋体"/>
        <family val="3"/>
        <charset val="134"/>
      </rPr>
      <t>永续债</t>
    </r>
    <phoneticPr fontId="4" type="noConversion"/>
  </si>
  <si>
    <r>
      <rPr>
        <sz val="10"/>
        <rFont val="宋体"/>
        <family val="3"/>
        <charset val="134"/>
      </rPr>
      <t>长期股权投资</t>
    </r>
  </si>
  <si>
    <r>
      <rPr>
        <sz val="10"/>
        <rFont val="宋体"/>
        <family val="3"/>
        <charset val="134"/>
      </rPr>
      <t>长期应付款</t>
    </r>
  </si>
  <si>
    <r>
      <rPr>
        <sz val="10"/>
        <rFont val="宋体"/>
        <family val="3"/>
        <charset val="134"/>
      </rPr>
      <t>投资性房地产</t>
    </r>
  </si>
  <si>
    <r>
      <rPr>
        <sz val="10"/>
        <rFont val="宋体"/>
        <family val="3"/>
        <charset val="134"/>
      </rPr>
      <t>长期应付职工薪酬</t>
    </r>
    <phoneticPr fontId="4" type="noConversion"/>
  </si>
  <si>
    <r>
      <rPr>
        <sz val="10"/>
        <rFont val="宋体"/>
        <family val="3"/>
        <charset val="134"/>
      </rPr>
      <t>固定资产</t>
    </r>
  </si>
  <si>
    <r>
      <rPr>
        <sz val="10"/>
        <rFont val="宋体"/>
        <family val="3"/>
        <charset val="134"/>
      </rPr>
      <t>在建工程</t>
    </r>
  </si>
  <si>
    <r>
      <rPr>
        <sz val="10"/>
        <rFont val="宋体"/>
        <family val="3"/>
        <charset val="134"/>
      </rPr>
      <t>预计负债</t>
    </r>
  </si>
  <si>
    <r>
      <rPr>
        <sz val="10"/>
        <rFont val="宋体"/>
        <family val="3"/>
        <charset val="134"/>
      </rPr>
      <t>递延收益</t>
    </r>
    <phoneticPr fontId="4" type="noConversion"/>
  </si>
  <si>
    <r>
      <rPr>
        <sz val="10"/>
        <rFont val="宋体"/>
        <family val="3"/>
        <charset val="134"/>
      </rPr>
      <t>递延所得税负债</t>
    </r>
  </si>
  <si>
    <r>
      <rPr>
        <sz val="10"/>
        <rFont val="宋体"/>
        <family val="3"/>
        <charset val="134"/>
      </rPr>
      <t>生产性生物资产</t>
    </r>
  </si>
  <si>
    <r>
      <rPr>
        <sz val="10"/>
        <rFont val="宋体"/>
        <family val="3"/>
        <charset val="134"/>
      </rPr>
      <t>其他非流动负债</t>
    </r>
  </si>
  <si>
    <r>
      <rPr>
        <sz val="10"/>
        <rFont val="宋体"/>
        <family val="3"/>
        <charset val="134"/>
      </rPr>
      <t>油气资产</t>
    </r>
  </si>
  <si>
    <r>
      <rPr>
        <b/>
        <sz val="10"/>
        <rFont val="宋体"/>
        <family val="3"/>
        <charset val="134"/>
      </rPr>
      <t>非流动负债合计</t>
    </r>
  </si>
  <si>
    <r>
      <rPr>
        <sz val="10"/>
        <rFont val="宋体"/>
        <family val="3"/>
        <charset val="134"/>
      </rPr>
      <t>无形资产</t>
    </r>
  </si>
  <si>
    <r>
      <rPr>
        <b/>
        <sz val="10"/>
        <rFont val="宋体"/>
        <family val="3"/>
        <charset val="134"/>
      </rPr>
      <t>负债合计</t>
    </r>
  </si>
  <si>
    <r>
      <rPr>
        <sz val="10"/>
        <rFont val="宋体"/>
        <family val="3"/>
        <charset val="134"/>
      </rPr>
      <t>开发支出</t>
    </r>
  </si>
  <si>
    <r>
      <rPr>
        <i/>
        <sz val="10"/>
        <rFont val="宋体"/>
        <family val="3"/>
        <charset val="134"/>
      </rPr>
      <t>股东权益：</t>
    </r>
  </si>
  <si>
    <r>
      <rPr>
        <sz val="10"/>
        <rFont val="宋体"/>
        <family val="3"/>
        <charset val="134"/>
      </rPr>
      <t>商誉</t>
    </r>
  </si>
  <si>
    <r>
      <rPr>
        <sz val="10"/>
        <rFont val="宋体"/>
        <family val="3"/>
        <charset val="134"/>
      </rPr>
      <t>股本</t>
    </r>
  </si>
  <si>
    <r>
      <rPr>
        <sz val="10"/>
        <rFont val="宋体"/>
        <family val="3"/>
        <charset val="134"/>
      </rPr>
      <t>长期待摊费用</t>
    </r>
  </si>
  <si>
    <r>
      <rPr>
        <sz val="10"/>
        <rFont val="宋体"/>
        <family val="3"/>
        <charset val="134"/>
      </rPr>
      <t>其他权益工具</t>
    </r>
    <phoneticPr fontId="4" type="noConversion"/>
  </si>
  <si>
    <r>
      <rPr>
        <sz val="10"/>
        <rFont val="宋体"/>
        <family val="3"/>
        <charset val="134"/>
      </rPr>
      <t>递延所得税资产</t>
    </r>
  </si>
  <si>
    <r>
      <rPr>
        <sz val="10"/>
        <rFont val="宋体"/>
        <family val="3"/>
        <charset val="134"/>
      </rPr>
      <t>其他非流动资产</t>
    </r>
  </si>
  <si>
    <r>
      <rPr>
        <sz val="10"/>
        <rFont val="宋体"/>
        <family val="3"/>
        <charset val="134"/>
      </rPr>
      <t>资本公积</t>
    </r>
  </si>
  <si>
    <r>
      <rPr>
        <sz val="10"/>
        <rFont val="宋体"/>
        <family val="3"/>
        <charset val="134"/>
      </rPr>
      <t>减：库存股</t>
    </r>
  </si>
  <si>
    <r>
      <rPr>
        <sz val="10"/>
        <rFont val="宋体"/>
        <family val="3"/>
        <charset val="134"/>
      </rPr>
      <t>其他综合收益</t>
    </r>
    <phoneticPr fontId="4" type="noConversion"/>
  </si>
  <si>
    <r>
      <rPr>
        <sz val="10"/>
        <rFont val="宋体"/>
        <family val="3"/>
        <charset val="134"/>
      </rPr>
      <t>专项储备</t>
    </r>
    <phoneticPr fontId="4" type="noConversion"/>
  </si>
  <si>
    <r>
      <rPr>
        <sz val="10"/>
        <rFont val="宋体"/>
        <family val="3"/>
        <charset val="134"/>
      </rPr>
      <t>盈余公积</t>
    </r>
  </si>
  <si>
    <r>
      <rPr>
        <sz val="10"/>
        <rFont val="宋体"/>
        <family val="3"/>
        <charset val="134"/>
      </rPr>
      <t>未分配利润</t>
    </r>
  </si>
  <si>
    <r>
      <rPr>
        <sz val="10"/>
        <rFont val="宋体"/>
        <family val="3"/>
        <charset val="134"/>
      </rPr>
      <t>归属于母公司股东权益合计</t>
    </r>
  </si>
  <si>
    <r>
      <rPr>
        <sz val="10"/>
        <rFont val="宋体"/>
        <family val="3"/>
        <charset val="134"/>
      </rPr>
      <t>少数股东权益</t>
    </r>
  </si>
  <si>
    <r>
      <rPr>
        <b/>
        <sz val="10"/>
        <rFont val="宋体"/>
        <family val="3"/>
        <charset val="134"/>
      </rPr>
      <t>非流动资产合计</t>
    </r>
  </si>
  <si>
    <r>
      <rPr>
        <b/>
        <sz val="10"/>
        <rFont val="宋体"/>
        <family val="3"/>
        <charset val="134"/>
      </rPr>
      <t>股东权益合计</t>
    </r>
  </si>
  <si>
    <r>
      <rPr>
        <b/>
        <sz val="10"/>
        <rFont val="宋体"/>
        <family val="3"/>
        <charset val="134"/>
      </rPr>
      <t>资产总计</t>
    </r>
  </si>
  <si>
    <r>
      <rPr>
        <b/>
        <sz val="10"/>
        <rFont val="宋体"/>
        <family val="3"/>
        <charset val="134"/>
      </rPr>
      <t>负债和股东权益合计</t>
    </r>
  </si>
  <si>
    <r>
      <rPr>
        <b/>
        <sz val="14"/>
        <rFont val="隶书"/>
        <family val="3"/>
        <charset val="134"/>
      </rPr>
      <t>已审资产负债表（合并）纵向趋势分析－资产</t>
    </r>
    <phoneticPr fontId="4" type="noConversion"/>
  </si>
  <si>
    <r>
      <rPr>
        <b/>
        <sz val="14"/>
        <rFont val="隶书"/>
        <family val="3"/>
        <charset val="134"/>
      </rPr>
      <t>已审资产负债表（合并）纵向趋势分析－负债</t>
    </r>
    <phoneticPr fontId="4" type="noConversion"/>
  </si>
  <si>
    <r>
      <rPr>
        <sz val="10"/>
        <rFont val="宋体"/>
        <family val="3"/>
        <charset val="134"/>
      </rPr>
      <t>索引：</t>
    </r>
    <r>
      <rPr>
        <sz val="10"/>
        <rFont val="Arial Narrow"/>
        <family val="2"/>
      </rPr>
      <t>A1-13-2</t>
    </r>
    <phoneticPr fontId="4" type="noConversion"/>
  </si>
  <si>
    <r>
      <rPr>
        <sz val="10"/>
        <rFont val="宋体"/>
        <family val="3"/>
        <charset val="134"/>
      </rPr>
      <t>行次</t>
    </r>
    <phoneticPr fontId="4" type="noConversion"/>
  </si>
  <si>
    <r>
      <rPr>
        <sz val="10"/>
        <rFont val="宋体"/>
        <family val="3"/>
        <charset val="134"/>
      </rPr>
      <t>本年比上年</t>
    </r>
    <r>
      <rPr>
        <sz val="10"/>
        <rFont val="Arial Narrow"/>
        <family val="2"/>
      </rPr>
      <t xml:space="preserve">
</t>
    </r>
    <r>
      <rPr>
        <sz val="10"/>
        <rFont val="宋体"/>
        <family val="3"/>
        <charset val="134"/>
      </rPr>
      <t>增长差异</t>
    </r>
    <phoneticPr fontId="4" type="noConversion"/>
  </si>
  <si>
    <r>
      <rPr>
        <sz val="10"/>
        <rFont val="宋体"/>
        <family val="3"/>
        <charset val="134"/>
      </rPr>
      <t>审定数</t>
    </r>
    <phoneticPr fontId="4" type="noConversion"/>
  </si>
  <si>
    <r>
      <rPr>
        <sz val="10"/>
        <rFont val="宋体"/>
        <family val="3"/>
        <charset val="134"/>
      </rPr>
      <t>比重</t>
    </r>
    <r>
      <rPr>
        <sz val="10"/>
        <rFont val="Arial Narrow"/>
        <family val="2"/>
      </rPr>
      <t>%</t>
    </r>
    <phoneticPr fontId="4" type="noConversion"/>
  </si>
  <si>
    <r>
      <rPr>
        <sz val="10"/>
        <rFont val="宋体"/>
        <family val="3"/>
        <charset val="134"/>
      </rPr>
      <t>②</t>
    </r>
    <phoneticPr fontId="4" type="noConversion"/>
  </si>
  <si>
    <r>
      <rPr>
        <sz val="10"/>
        <rFont val="宋体"/>
        <family val="3"/>
        <charset val="134"/>
      </rPr>
      <t>③</t>
    </r>
    <phoneticPr fontId="4" type="noConversion"/>
  </si>
  <si>
    <r>
      <rPr>
        <sz val="10"/>
        <rFont val="宋体"/>
        <family val="3"/>
        <charset val="134"/>
      </rPr>
      <t>④</t>
    </r>
    <phoneticPr fontId="4" type="noConversion"/>
  </si>
  <si>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②</t>
    </r>
    <phoneticPr fontId="4" type="noConversion"/>
  </si>
  <si>
    <r>
      <rPr>
        <sz val="10"/>
        <rFont val="宋体"/>
        <family val="3"/>
        <charset val="134"/>
      </rPr>
      <t>以公允价值计量且其变动计入当期损益的金融资产</t>
    </r>
    <phoneticPr fontId="4" type="noConversion"/>
  </si>
  <si>
    <r>
      <rPr>
        <sz val="10"/>
        <rFont val="宋体"/>
        <family val="3"/>
        <charset val="134"/>
      </rPr>
      <t>以公允价值计量且其变动计入当期损益的金融负债</t>
    </r>
    <phoneticPr fontId="4" type="noConversion"/>
  </si>
  <si>
    <r>
      <rPr>
        <sz val="10"/>
        <rFont val="宋体"/>
        <family val="3"/>
        <charset val="134"/>
      </rPr>
      <t>其中：优先股</t>
    </r>
    <phoneticPr fontId="4" type="noConversion"/>
  </si>
  <si>
    <r>
      <rPr>
        <sz val="10"/>
        <rFont val="宋体"/>
        <family val="3"/>
        <charset val="134"/>
      </rPr>
      <t>设定受益计划净资产</t>
    </r>
    <phoneticPr fontId="4" type="noConversion"/>
  </si>
  <si>
    <r>
      <t xml:space="preserve">      </t>
    </r>
    <r>
      <rPr>
        <sz val="10"/>
        <rFont val="宋体"/>
        <family val="3"/>
        <charset val="134"/>
      </rPr>
      <t>永续债</t>
    </r>
    <phoneticPr fontId="4" type="noConversion"/>
  </si>
  <si>
    <r>
      <rPr>
        <sz val="10"/>
        <rFont val="宋体"/>
        <family val="3"/>
        <charset val="134"/>
      </rPr>
      <t>长期应付职工薪酬</t>
    </r>
    <phoneticPr fontId="4" type="noConversion"/>
  </si>
  <si>
    <r>
      <rPr>
        <sz val="10"/>
        <rFont val="宋体"/>
        <family val="3"/>
        <charset val="134"/>
      </rPr>
      <t>递延收益</t>
    </r>
    <phoneticPr fontId="4" type="noConversion"/>
  </si>
  <si>
    <r>
      <rPr>
        <sz val="10"/>
        <rFont val="宋体"/>
        <family val="3"/>
        <charset val="134"/>
      </rPr>
      <t>其他权益工具</t>
    </r>
    <phoneticPr fontId="4" type="noConversion"/>
  </si>
  <si>
    <r>
      <rPr>
        <sz val="10"/>
        <rFont val="宋体"/>
        <family val="3"/>
        <charset val="134"/>
      </rPr>
      <t>其他综合收益</t>
    </r>
    <phoneticPr fontId="4" type="noConversion"/>
  </si>
  <si>
    <r>
      <rPr>
        <sz val="10"/>
        <rFont val="宋体"/>
        <family val="3"/>
        <charset val="134"/>
      </rPr>
      <t>专项储备</t>
    </r>
    <phoneticPr fontId="4" type="noConversion"/>
  </si>
  <si>
    <r>
      <rPr>
        <sz val="10"/>
        <rFont val="宋体"/>
        <family val="3"/>
        <charset val="134"/>
      </rPr>
      <t>索引：</t>
    </r>
    <r>
      <rPr>
        <sz val="10"/>
        <rFont val="Arial Narrow"/>
        <family val="2"/>
      </rPr>
      <t>A1-13-3</t>
    </r>
    <phoneticPr fontId="4" type="noConversion"/>
  </si>
  <si>
    <r>
      <rPr>
        <b/>
        <sz val="10"/>
        <rFont val="长城仿宋"/>
        <family val="3"/>
        <charset val="134"/>
      </rPr>
      <t>行次</t>
    </r>
    <phoneticPr fontId="25" type="noConversion"/>
  </si>
  <si>
    <r>
      <rPr>
        <b/>
        <sz val="14"/>
        <rFont val="隶书"/>
        <family val="3"/>
        <charset val="134"/>
      </rPr>
      <t>已审利润表（合并）纵向分析</t>
    </r>
    <phoneticPr fontId="4" type="noConversion"/>
  </si>
  <si>
    <r>
      <rPr>
        <sz val="10"/>
        <rFont val="宋体"/>
        <family val="3"/>
        <charset val="134"/>
      </rPr>
      <t>索引：</t>
    </r>
    <r>
      <rPr>
        <sz val="10"/>
        <rFont val="Arial Narrow"/>
        <family val="2"/>
      </rPr>
      <t>A1-13-4</t>
    </r>
    <phoneticPr fontId="4" type="noConversion"/>
  </si>
  <si>
    <r>
      <rPr>
        <sz val="10"/>
        <rFont val="宋体"/>
        <family val="3"/>
        <charset val="134"/>
      </rPr>
      <t>本年比上年</t>
    </r>
    <r>
      <rPr>
        <sz val="10"/>
        <rFont val="Arial Narrow"/>
        <family val="2"/>
      </rPr>
      <t xml:space="preserve">
</t>
    </r>
    <r>
      <rPr>
        <sz val="10"/>
        <rFont val="宋体"/>
        <family val="3"/>
        <charset val="134"/>
      </rPr>
      <t>增长差异</t>
    </r>
    <phoneticPr fontId="4" type="noConversion"/>
  </si>
  <si>
    <r>
      <rPr>
        <sz val="10"/>
        <rFont val="宋体"/>
        <family val="3"/>
        <charset val="134"/>
      </rPr>
      <t>显著变动原因分析；需进一步调查或解释的差异</t>
    </r>
  </si>
  <si>
    <r>
      <rPr>
        <sz val="10"/>
        <rFont val="宋体"/>
        <family val="3"/>
        <charset val="134"/>
      </rPr>
      <t>已审数</t>
    </r>
  </si>
  <si>
    <r>
      <rPr>
        <sz val="10"/>
        <rFont val="宋体"/>
        <family val="3"/>
        <charset val="134"/>
      </rPr>
      <t>比重</t>
    </r>
    <r>
      <rPr>
        <sz val="10"/>
        <rFont val="Arial Narrow"/>
        <family val="2"/>
      </rPr>
      <t>%</t>
    </r>
    <phoneticPr fontId="4" type="noConversion"/>
  </si>
  <si>
    <r>
      <rPr>
        <sz val="10"/>
        <rFont val="宋体"/>
        <family val="3"/>
        <charset val="134"/>
      </rPr>
      <t>审定数</t>
    </r>
    <phoneticPr fontId="4" type="noConversion"/>
  </si>
  <si>
    <r>
      <rPr>
        <sz val="10"/>
        <rFont val="宋体"/>
        <family val="3"/>
        <charset val="134"/>
      </rPr>
      <t>②</t>
    </r>
    <phoneticPr fontId="4" type="noConversion"/>
  </si>
  <si>
    <r>
      <rPr>
        <sz val="10"/>
        <rFont val="宋体"/>
        <family val="3"/>
        <charset val="134"/>
      </rPr>
      <t>③</t>
    </r>
    <phoneticPr fontId="4" type="noConversion"/>
  </si>
  <si>
    <r>
      <rPr>
        <sz val="10"/>
        <rFont val="宋体"/>
        <family val="3"/>
        <charset val="134"/>
      </rPr>
      <t>④</t>
    </r>
    <phoneticPr fontId="4" type="noConversion"/>
  </si>
  <si>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②</t>
    </r>
    <phoneticPr fontId="4" type="noConversion"/>
  </si>
  <si>
    <r>
      <rPr>
        <b/>
        <sz val="10"/>
        <color indexed="12"/>
        <rFont val="宋体"/>
        <family val="3"/>
        <charset val="134"/>
      </rPr>
      <t>五、其他综合收益税后净额</t>
    </r>
    <phoneticPr fontId="4" type="noConversion"/>
  </si>
  <si>
    <r>
      <rPr>
        <b/>
        <sz val="10"/>
        <color indexed="12"/>
        <rFont val="宋体"/>
        <family val="3"/>
        <charset val="134"/>
      </rPr>
      <t>六、每股收益</t>
    </r>
    <phoneticPr fontId="4" type="noConversion"/>
  </si>
  <si>
    <r>
      <rPr>
        <b/>
        <sz val="10"/>
        <color indexed="12"/>
        <rFont val="宋体"/>
        <family val="3"/>
        <charset val="134"/>
      </rPr>
      <t>七、综合收益总额</t>
    </r>
    <phoneticPr fontId="4" type="noConversion"/>
  </si>
  <si>
    <r>
      <rPr>
        <b/>
        <sz val="10"/>
        <color indexed="12"/>
        <rFont val="宋体"/>
        <family val="3"/>
        <charset val="134"/>
      </rPr>
      <t>八、利润分配</t>
    </r>
    <phoneticPr fontId="4" type="noConversion"/>
  </si>
  <si>
    <r>
      <rPr>
        <b/>
        <sz val="10"/>
        <color indexed="12"/>
        <rFont val="宋体"/>
        <family val="3"/>
        <charset val="134"/>
      </rPr>
      <t>九、未分配利润</t>
    </r>
    <phoneticPr fontId="4" type="noConversion"/>
  </si>
  <si>
    <r>
      <rPr>
        <b/>
        <sz val="14"/>
        <rFont val="隶书"/>
        <family val="3"/>
        <charset val="134"/>
      </rPr>
      <t>已审报表财务比率分析</t>
    </r>
    <phoneticPr fontId="4" type="noConversion"/>
  </si>
  <si>
    <r>
      <rPr>
        <sz val="10"/>
        <rFont val="宋体"/>
        <family val="3"/>
        <charset val="134"/>
      </rPr>
      <t>索引：</t>
    </r>
    <r>
      <rPr>
        <sz val="10"/>
        <rFont val="Arial Narrow"/>
        <family val="2"/>
      </rPr>
      <t>A1-14-5</t>
    </r>
    <phoneticPr fontId="4" type="noConversion"/>
  </si>
  <si>
    <r>
      <rPr>
        <b/>
        <sz val="9"/>
        <rFont val="宋体"/>
        <family val="3"/>
        <charset val="134"/>
      </rPr>
      <t>指标名称</t>
    </r>
    <phoneticPr fontId="4" type="noConversion"/>
  </si>
  <si>
    <r>
      <rPr>
        <b/>
        <sz val="9"/>
        <rFont val="宋体"/>
        <family val="3"/>
        <charset val="134"/>
      </rPr>
      <t>计算公式</t>
    </r>
    <phoneticPr fontId="4" type="noConversion"/>
  </si>
  <si>
    <r>
      <rPr>
        <b/>
        <sz val="9"/>
        <rFont val="宋体"/>
        <family val="3"/>
        <charset val="134"/>
      </rPr>
      <t>上年审定数</t>
    </r>
    <phoneticPr fontId="4" type="noConversion"/>
  </si>
  <si>
    <r>
      <rPr>
        <b/>
        <sz val="9"/>
        <rFont val="宋体"/>
        <family val="3"/>
        <charset val="134"/>
      </rPr>
      <t>本年审定数</t>
    </r>
    <phoneticPr fontId="4" type="noConversion"/>
  </si>
  <si>
    <r>
      <rPr>
        <b/>
        <sz val="9"/>
        <rFont val="宋体"/>
        <family val="3"/>
        <charset val="134"/>
      </rPr>
      <t>增减</t>
    </r>
    <phoneticPr fontId="4" type="noConversion"/>
  </si>
  <si>
    <r>
      <rPr>
        <b/>
        <sz val="9"/>
        <rFont val="宋体"/>
        <family val="3"/>
        <charset val="134"/>
      </rPr>
      <t>结论</t>
    </r>
    <phoneticPr fontId="4" type="noConversion"/>
  </si>
  <si>
    <r>
      <rPr>
        <b/>
        <sz val="9"/>
        <rFont val="宋体"/>
        <family val="3"/>
        <charset val="134"/>
      </rPr>
      <t>分子数值</t>
    </r>
    <phoneticPr fontId="4" type="noConversion"/>
  </si>
  <si>
    <r>
      <rPr>
        <b/>
        <sz val="9"/>
        <rFont val="宋体"/>
        <family val="3"/>
        <charset val="134"/>
      </rPr>
      <t>分母数值</t>
    </r>
    <phoneticPr fontId="4" type="noConversion"/>
  </si>
  <si>
    <r>
      <rPr>
        <b/>
        <sz val="9"/>
        <rFont val="宋体"/>
        <family val="3"/>
        <charset val="134"/>
      </rPr>
      <t>指标值</t>
    </r>
    <phoneticPr fontId="4" type="noConversion"/>
  </si>
  <si>
    <r>
      <rPr>
        <sz val="9"/>
        <rFont val="宋体"/>
        <family val="3"/>
        <charset val="134"/>
      </rPr>
      <t>一、获利能力分析</t>
    </r>
    <phoneticPr fontId="4" type="noConversion"/>
  </si>
  <si>
    <r>
      <rPr>
        <sz val="9"/>
        <rFont val="宋体"/>
        <family val="3"/>
        <charset val="134"/>
      </rPr>
      <t>（利润总额</t>
    </r>
    <r>
      <rPr>
        <sz val="9"/>
        <rFont val="Arial Narrow"/>
        <family val="2"/>
      </rPr>
      <t>+</t>
    </r>
    <r>
      <rPr>
        <sz val="9"/>
        <rFont val="宋体"/>
        <family val="3"/>
        <charset val="134"/>
      </rPr>
      <t>利息支出净额）</t>
    </r>
    <r>
      <rPr>
        <sz val="9"/>
        <rFont val="Arial Narrow"/>
        <family val="2"/>
      </rPr>
      <t>/</t>
    </r>
    <r>
      <rPr>
        <sz val="9"/>
        <rFont val="宋体"/>
        <family val="3"/>
        <charset val="134"/>
      </rPr>
      <t>（长期负债平均值</t>
    </r>
    <r>
      <rPr>
        <sz val="9"/>
        <rFont val="Arial Narrow"/>
        <family val="2"/>
      </rPr>
      <t>+</t>
    </r>
    <r>
      <rPr>
        <sz val="9"/>
        <rFont val="宋体"/>
        <family val="3"/>
        <charset val="134"/>
      </rPr>
      <t>所有者权益平均值）</t>
    </r>
    <phoneticPr fontId="4" type="noConversion"/>
  </si>
  <si>
    <r>
      <rPr>
        <sz val="9"/>
        <rFont val="宋体"/>
        <family val="3"/>
        <charset val="134"/>
      </rPr>
      <t>属于母公司所有者的净利润</t>
    </r>
    <r>
      <rPr>
        <sz val="9"/>
        <rFont val="Arial Narrow"/>
        <family val="2"/>
      </rPr>
      <t>(annualized)/</t>
    </r>
    <r>
      <rPr>
        <sz val="9"/>
        <rFont val="宋体"/>
        <family val="3"/>
        <charset val="134"/>
      </rPr>
      <t>资本金总额</t>
    </r>
    <phoneticPr fontId="4" type="noConversion"/>
  </si>
  <si>
    <r>
      <rPr>
        <sz val="9"/>
        <rFont val="宋体"/>
        <family val="3"/>
        <charset val="134"/>
      </rPr>
      <t>净利润</t>
    </r>
    <r>
      <rPr>
        <sz val="9"/>
        <rFont val="Arial Narrow"/>
        <family val="2"/>
      </rPr>
      <t>(annualized)/</t>
    </r>
    <r>
      <rPr>
        <sz val="9"/>
        <rFont val="宋体"/>
        <family val="3"/>
        <charset val="134"/>
      </rPr>
      <t>股东权益平均值</t>
    </r>
    <phoneticPr fontId="4" type="noConversion"/>
  </si>
  <si>
    <r>
      <rPr>
        <sz val="9"/>
        <rFont val="宋体"/>
        <family val="3"/>
        <charset val="134"/>
      </rPr>
      <t>（利润总额</t>
    </r>
    <r>
      <rPr>
        <sz val="9"/>
        <rFont val="Arial Narrow"/>
        <family val="2"/>
      </rPr>
      <t>+</t>
    </r>
    <r>
      <rPr>
        <sz val="9"/>
        <rFont val="宋体"/>
        <family val="3"/>
        <charset val="134"/>
      </rPr>
      <t>利息支出净额）</t>
    </r>
    <r>
      <rPr>
        <sz val="9"/>
        <rFont val="Arial Narrow"/>
        <family val="2"/>
      </rPr>
      <t>(annualized)/</t>
    </r>
    <r>
      <rPr>
        <sz val="9"/>
        <rFont val="宋体"/>
        <family val="3"/>
        <charset val="134"/>
      </rPr>
      <t>平均资产总值</t>
    </r>
    <phoneticPr fontId="4" type="noConversion"/>
  </si>
  <si>
    <r>
      <rPr>
        <sz val="9"/>
        <rFont val="宋体"/>
        <family val="3"/>
        <charset val="134"/>
      </rPr>
      <t>毛利</t>
    </r>
    <r>
      <rPr>
        <sz val="9"/>
        <rFont val="Arial Narrow"/>
        <family val="2"/>
      </rPr>
      <t>/</t>
    </r>
    <r>
      <rPr>
        <sz val="9"/>
        <rFont val="宋体"/>
        <family val="3"/>
        <charset val="134"/>
      </rPr>
      <t>营业收入净额</t>
    </r>
    <phoneticPr fontId="4" type="noConversion"/>
  </si>
  <si>
    <r>
      <rPr>
        <sz val="9"/>
        <rFont val="宋体"/>
        <family val="3"/>
        <charset val="134"/>
      </rPr>
      <t>（营业利润</t>
    </r>
    <r>
      <rPr>
        <sz val="9"/>
        <rFont val="Arial Narrow"/>
        <family val="2"/>
      </rPr>
      <t>+</t>
    </r>
    <r>
      <rPr>
        <sz val="9"/>
        <rFont val="宋体"/>
        <family val="3"/>
        <charset val="134"/>
      </rPr>
      <t>利息支出净额）</t>
    </r>
    <r>
      <rPr>
        <sz val="9"/>
        <rFont val="Arial Narrow"/>
        <family val="2"/>
      </rPr>
      <t>/</t>
    </r>
    <r>
      <rPr>
        <sz val="9"/>
        <rFont val="宋体"/>
        <family val="3"/>
        <charset val="134"/>
      </rPr>
      <t>营业收入净额</t>
    </r>
    <phoneticPr fontId="4" type="noConversion"/>
  </si>
  <si>
    <r>
      <rPr>
        <sz val="9"/>
        <rFont val="宋体"/>
        <family val="3"/>
        <charset val="134"/>
      </rPr>
      <t>净利润</t>
    </r>
    <r>
      <rPr>
        <sz val="9"/>
        <rFont val="Arial Narrow"/>
        <family val="2"/>
      </rPr>
      <t>/</t>
    </r>
    <r>
      <rPr>
        <sz val="9"/>
        <rFont val="宋体"/>
        <family val="3"/>
        <charset val="134"/>
      </rPr>
      <t>营业收入净额</t>
    </r>
    <phoneticPr fontId="4" type="noConversion"/>
  </si>
  <si>
    <r>
      <t>9</t>
    </r>
    <r>
      <rPr>
        <sz val="9"/>
        <rFont val="宋体"/>
        <family val="3"/>
        <charset val="134"/>
      </rPr>
      <t>、研究开发费用比例</t>
    </r>
    <phoneticPr fontId="4" type="noConversion"/>
  </si>
  <si>
    <r>
      <rPr>
        <sz val="9"/>
        <rFont val="宋体"/>
        <family val="3"/>
        <charset val="134"/>
      </rPr>
      <t>研究开发费用</t>
    </r>
    <r>
      <rPr>
        <sz val="9"/>
        <rFont val="Arial Narrow"/>
        <family val="2"/>
      </rPr>
      <t>/</t>
    </r>
    <r>
      <rPr>
        <sz val="9"/>
        <rFont val="宋体"/>
        <family val="3"/>
        <charset val="134"/>
      </rPr>
      <t>主营业务收入</t>
    </r>
    <phoneticPr fontId="4" type="noConversion"/>
  </si>
  <si>
    <r>
      <rPr>
        <sz val="9"/>
        <rFont val="宋体"/>
        <family val="3"/>
        <charset val="134"/>
      </rPr>
      <t>二、短期偿债能力分析</t>
    </r>
    <phoneticPr fontId="4" type="noConversion"/>
  </si>
  <si>
    <r>
      <rPr>
        <sz val="9"/>
        <rFont val="宋体"/>
        <family val="3"/>
        <charset val="134"/>
      </rPr>
      <t>流动资产</t>
    </r>
    <r>
      <rPr>
        <sz val="9"/>
        <rFont val="Arial Narrow"/>
        <family val="2"/>
      </rPr>
      <t>/</t>
    </r>
    <r>
      <rPr>
        <sz val="9"/>
        <rFont val="宋体"/>
        <family val="3"/>
        <charset val="134"/>
      </rPr>
      <t>流动负债</t>
    </r>
    <phoneticPr fontId="4" type="noConversion"/>
  </si>
  <si>
    <r>
      <rPr>
        <sz val="9"/>
        <rFont val="宋体"/>
        <family val="3"/>
        <charset val="134"/>
      </rPr>
      <t>速动资产</t>
    </r>
    <r>
      <rPr>
        <sz val="9"/>
        <rFont val="Arial Narrow"/>
        <family val="2"/>
      </rPr>
      <t>/</t>
    </r>
    <r>
      <rPr>
        <sz val="9"/>
        <rFont val="宋体"/>
        <family val="3"/>
        <charset val="134"/>
      </rPr>
      <t>流动负债</t>
    </r>
    <phoneticPr fontId="4" type="noConversion"/>
  </si>
  <si>
    <r>
      <rPr>
        <sz val="9"/>
        <rFont val="宋体"/>
        <family val="3"/>
        <charset val="134"/>
      </rPr>
      <t>（货币资金</t>
    </r>
    <r>
      <rPr>
        <sz val="9"/>
        <rFont val="Arial Narrow"/>
        <family val="2"/>
      </rPr>
      <t>+</t>
    </r>
    <r>
      <rPr>
        <sz val="9"/>
        <rFont val="宋体"/>
        <family val="3"/>
        <charset val="134"/>
      </rPr>
      <t>交易性金融资产）</t>
    </r>
    <r>
      <rPr>
        <sz val="9"/>
        <rFont val="Arial Narrow"/>
        <family val="2"/>
      </rPr>
      <t>/</t>
    </r>
    <r>
      <rPr>
        <sz val="9"/>
        <rFont val="宋体"/>
        <family val="3"/>
        <charset val="134"/>
      </rPr>
      <t>流动负债</t>
    </r>
    <phoneticPr fontId="4" type="noConversion"/>
  </si>
  <si>
    <r>
      <rPr>
        <sz val="9"/>
        <rFont val="宋体"/>
        <family val="3"/>
        <charset val="134"/>
      </rPr>
      <t>三、长期偿债能力分析</t>
    </r>
    <phoneticPr fontId="4" type="noConversion"/>
  </si>
  <si>
    <r>
      <rPr>
        <sz val="9"/>
        <rFont val="宋体"/>
        <family val="3"/>
        <charset val="134"/>
      </rPr>
      <t>负债总额</t>
    </r>
    <r>
      <rPr>
        <sz val="9"/>
        <rFont val="Arial Narrow"/>
        <family val="2"/>
      </rPr>
      <t>/</t>
    </r>
    <r>
      <rPr>
        <sz val="9"/>
        <rFont val="宋体"/>
        <family val="3"/>
        <charset val="134"/>
      </rPr>
      <t>资产总额</t>
    </r>
    <phoneticPr fontId="4" type="noConversion"/>
  </si>
  <si>
    <r>
      <rPr>
        <sz val="9"/>
        <rFont val="宋体"/>
        <family val="3"/>
        <charset val="134"/>
      </rPr>
      <t>负债总额</t>
    </r>
    <r>
      <rPr>
        <sz val="9"/>
        <rFont val="Arial Narrow"/>
        <family val="2"/>
      </rPr>
      <t>/</t>
    </r>
    <r>
      <rPr>
        <sz val="9"/>
        <rFont val="宋体"/>
        <family val="3"/>
        <charset val="134"/>
      </rPr>
      <t>所有者权益总额</t>
    </r>
    <phoneticPr fontId="4" type="noConversion"/>
  </si>
  <si>
    <r>
      <rPr>
        <sz val="9"/>
        <rFont val="宋体"/>
        <family val="3"/>
        <charset val="134"/>
      </rPr>
      <t>负债总额</t>
    </r>
    <r>
      <rPr>
        <sz val="9"/>
        <rFont val="Arial Narrow"/>
        <family val="2"/>
      </rPr>
      <t>/</t>
    </r>
    <r>
      <rPr>
        <sz val="9"/>
        <rFont val="宋体"/>
        <family val="3"/>
        <charset val="134"/>
      </rPr>
      <t>（所有者权益</t>
    </r>
    <r>
      <rPr>
        <sz val="9"/>
        <rFont val="Arial Narrow"/>
        <family val="2"/>
      </rPr>
      <t>-</t>
    </r>
    <r>
      <rPr>
        <sz val="9"/>
        <rFont val="宋体"/>
        <family val="3"/>
        <charset val="134"/>
      </rPr>
      <t>无形资产</t>
    </r>
    <r>
      <rPr>
        <sz val="9"/>
        <rFont val="Arial Narrow"/>
        <family val="2"/>
      </rPr>
      <t>-</t>
    </r>
    <r>
      <rPr>
        <sz val="9"/>
        <rFont val="宋体"/>
        <family val="3"/>
        <charset val="134"/>
      </rPr>
      <t>开发支出</t>
    </r>
    <r>
      <rPr>
        <sz val="9"/>
        <rFont val="Arial Narrow"/>
        <family val="2"/>
      </rPr>
      <t>-</t>
    </r>
    <r>
      <rPr>
        <sz val="9"/>
        <rFont val="宋体"/>
        <family val="3"/>
        <charset val="134"/>
      </rPr>
      <t>商誉</t>
    </r>
    <r>
      <rPr>
        <sz val="9"/>
        <rFont val="Arial Narrow"/>
        <family val="2"/>
      </rPr>
      <t>-</t>
    </r>
    <r>
      <rPr>
        <sz val="9"/>
        <rFont val="宋体"/>
        <family val="3"/>
        <charset val="134"/>
      </rPr>
      <t>递延资产）</t>
    </r>
    <phoneticPr fontId="4" type="noConversion"/>
  </si>
  <si>
    <r>
      <rPr>
        <sz val="9"/>
        <rFont val="宋体"/>
        <family val="3"/>
        <charset val="134"/>
      </rPr>
      <t>（税前利润</t>
    </r>
    <r>
      <rPr>
        <sz val="9"/>
        <rFont val="Arial Narrow"/>
        <family val="2"/>
      </rPr>
      <t>+</t>
    </r>
    <r>
      <rPr>
        <sz val="9"/>
        <rFont val="宋体"/>
        <family val="3"/>
        <charset val="134"/>
      </rPr>
      <t>利息支出净额）</t>
    </r>
    <r>
      <rPr>
        <sz val="9"/>
        <rFont val="Arial Narrow"/>
        <family val="2"/>
      </rPr>
      <t>/</t>
    </r>
    <r>
      <rPr>
        <sz val="9"/>
        <rFont val="宋体"/>
        <family val="3"/>
        <charset val="134"/>
      </rPr>
      <t>利息支出净额</t>
    </r>
    <phoneticPr fontId="4" type="noConversion"/>
  </si>
  <si>
    <r>
      <rPr>
        <sz val="9"/>
        <rFont val="宋体"/>
        <family val="3"/>
        <charset val="134"/>
      </rPr>
      <t>（流动资产</t>
    </r>
    <r>
      <rPr>
        <sz val="9"/>
        <rFont val="Arial Narrow"/>
        <family val="2"/>
      </rPr>
      <t>-</t>
    </r>
    <r>
      <rPr>
        <sz val="9"/>
        <rFont val="宋体"/>
        <family val="3"/>
        <charset val="134"/>
      </rPr>
      <t>流动负债）</t>
    </r>
    <r>
      <rPr>
        <sz val="9"/>
        <rFont val="Arial Narrow"/>
        <family val="2"/>
      </rPr>
      <t>/</t>
    </r>
    <r>
      <rPr>
        <sz val="9"/>
        <rFont val="宋体"/>
        <family val="3"/>
        <charset val="134"/>
      </rPr>
      <t>非流动负债</t>
    </r>
    <phoneticPr fontId="4" type="noConversion"/>
  </si>
  <si>
    <r>
      <rPr>
        <sz val="9"/>
        <rFont val="宋体"/>
        <family val="3"/>
        <charset val="134"/>
      </rPr>
      <t>非流动负债</t>
    </r>
    <r>
      <rPr>
        <sz val="9"/>
        <rFont val="Arial Narrow"/>
        <family val="2"/>
      </rPr>
      <t>/</t>
    </r>
    <r>
      <rPr>
        <sz val="9"/>
        <rFont val="宋体"/>
        <family val="3"/>
        <charset val="134"/>
      </rPr>
      <t>负债总额</t>
    </r>
    <phoneticPr fontId="4" type="noConversion"/>
  </si>
  <si>
    <r>
      <rPr>
        <sz val="9"/>
        <rFont val="宋体"/>
        <family val="3"/>
        <charset val="134"/>
      </rPr>
      <t>弹性融资（流动负债融资</t>
    </r>
    <r>
      <rPr>
        <sz val="9"/>
        <rFont val="Arial Narrow"/>
        <family val="2"/>
      </rPr>
      <t>+</t>
    </r>
    <r>
      <rPr>
        <sz val="9"/>
        <rFont val="宋体"/>
        <family val="3"/>
        <charset val="134"/>
      </rPr>
      <t>未分配利润）</t>
    </r>
    <r>
      <rPr>
        <sz val="9"/>
        <rFont val="Arial Narrow"/>
        <family val="2"/>
      </rPr>
      <t>/</t>
    </r>
    <r>
      <rPr>
        <sz val="9"/>
        <rFont val="宋体"/>
        <family val="3"/>
        <charset val="134"/>
      </rPr>
      <t>融资总量</t>
    </r>
    <phoneticPr fontId="4" type="noConversion"/>
  </si>
  <si>
    <r>
      <rPr>
        <sz val="9"/>
        <rFont val="宋体"/>
        <family val="3"/>
        <charset val="134"/>
      </rPr>
      <t>四、资产管理效率分析</t>
    </r>
    <phoneticPr fontId="4" type="noConversion"/>
  </si>
  <si>
    <r>
      <rPr>
        <sz val="9"/>
        <rFont val="宋体"/>
        <family val="3"/>
        <charset val="134"/>
      </rPr>
      <t>营业收入净额</t>
    </r>
    <r>
      <rPr>
        <sz val="9"/>
        <rFont val="Arial Narrow"/>
        <family val="2"/>
      </rPr>
      <t>(annualized)/</t>
    </r>
    <r>
      <rPr>
        <sz val="9"/>
        <rFont val="宋体"/>
        <family val="3"/>
        <charset val="134"/>
      </rPr>
      <t>平均资产总额</t>
    </r>
    <phoneticPr fontId="4" type="noConversion"/>
  </si>
  <si>
    <r>
      <rPr>
        <sz val="9"/>
        <rFont val="宋体"/>
        <family val="3"/>
        <charset val="134"/>
      </rPr>
      <t>营业收入净额</t>
    </r>
    <r>
      <rPr>
        <sz val="9"/>
        <rFont val="Arial Narrow"/>
        <family val="2"/>
      </rPr>
      <t>(annualized)/</t>
    </r>
    <r>
      <rPr>
        <sz val="9"/>
        <rFont val="宋体"/>
        <family val="3"/>
        <charset val="134"/>
      </rPr>
      <t>固定资产平均净值</t>
    </r>
    <phoneticPr fontId="4" type="noConversion"/>
  </si>
  <si>
    <r>
      <rPr>
        <sz val="9"/>
        <rFont val="宋体"/>
        <family val="3"/>
        <charset val="134"/>
      </rPr>
      <t>营业收入净额</t>
    </r>
    <r>
      <rPr>
        <sz val="9"/>
        <rFont val="Arial Narrow"/>
        <family val="2"/>
      </rPr>
      <t>(annualized)/</t>
    </r>
    <r>
      <rPr>
        <sz val="9"/>
        <rFont val="宋体"/>
        <family val="3"/>
        <charset val="134"/>
      </rPr>
      <t>流动资产平均占用额</t>
    </r>
    <phoneticPr fontId="4" type="noConversion"/>
  </si>
  <si>
    <r>
      <rPr>
        <sz val="9"/>
        <rFont val="宋体"/>
        <family val="3"/>
        <charset val="134"/>
      </rPr>
      <t>赊销收入净额</t>
    </r>
    <r>
      <rPr>
        <sz val="9"/>
        <rFont val="Arial Narrow"/>
        <family val="2"/>
      </rPr>
      <t>(annualized)/</t>
    </r>
    <r>
      <rPr>
        <sz val="9"/>
        <rFont val="宋体"/>
        <family val="3"/>
        <charset val="134"/>
      </rPr>
      <t>应收账款平均余额</t>
    </r>
    <phoneticPr fontId="4" type="noConversion"/>
  </si>
  <si>
    <r>
      <rPr>
        <sz val="9"/>
        <rFont val="宋体"/>
        <family val="3"/>
        <charset val="134"/>
      </rPr>
      <t>营业成本</t>
    </r>
    <r>
      <rPr>
        <sz val="9"/>
        <rFont val="Arial Narrow"/>
        <family val="2"/>
      </rPr>
      <t>(annualized)/</t>
    </r>
    <r>
      <rPr>
        <sz val="9"/>
        <rFont val="宋体"/>
        <family val="3"/>
        <charset val="134"/>
      </rPr>
      <t>存货平均余额</t>
    </r>
    <phoneticPr fontId="4" type="noConversion"/>
  </si>
  <si>
    <r>
      <rPr>
        <sz val="9"/>
        <rFont val="宋体"/>
        <family val="3"/>
        <charset val="134"/>
      </rPr>
      <t>应收账款周转天数</t>
    </r>
    <r>
      <rPr>
        <sz val="9"/>
        <rFont val="Arial Narrow"/>
        <family val="2"/>
      </rPr>
      <t>+</t>
    </r>
    <r>
      <rPr>
        <sz val="9"/>
        <rFont val="宋体"/>
        <family val="3"/>
        <charset val="134"/>
      </rPr>
      <t>存货周转天数</t>
    </r>
    <phoneticPr fontId="4" type="noConversion"/>
  </si>
  <si>
    <r>
      <rPr>
        <sz val="9"/>
        <rFont val="宋体"/>
        <family val="3"/>
        <charset val="134"/>
      </rPr>
      <t>五、资产管理效果分析</t>
    </r>
    <phoneticPr fontId="4" type="noConversion"/>
  </si>
  <si>
    <r>
      <rPr>
        <sz val="9"/>
        <rFont val="宋体"/>
        <family val="3"/>
        <charset val="134"/>
      </rPr>
      <t>期末所有者权益总额</t>
    </r>
    <r>
      <rPr>
        <sz val="9"/>
        <rFont val="Arial Narrow"/>
        <family val="2"/>
      </rPr>
      <t>/</t>
    </r>
    <r>
      <rPr>
        <sz val="9"/>
        <rFont val="宋体"/>
        <family val="3"/>
        <charset val="134"/>
      </rPr>
      <t>期初所有者权益总额</t>
    </r>
    <phoneticPr fontId="4" type="noConversion"/>
  </si>
  <si>
    <r>
      <rPr>
        <sz val="9"/>
        <rFont val="宋体"/>
        <family val="3"/>
        <charset val="134"/>
      </rPr>
      <t>企业社会贡献总额</t>
    </r>
    <r>
      <rPr>
        <sz val="9"/>
        <rFont val="Arial Narrow"/>
        <family val="2"/>
      </rPr>
      <t>(annualized)/</t>
    </r>
    <r>
      <rPr>
        <sz val="9"/>
        <rFont val="宋体"/>
        <family val="3"/>
        <charset val="134"/>
      </rPr>
      <t>平均资产总额</t>
    </r>
    <phoneticPr fontId="4" type="noConversion"/>
  </si>
  <si>
    <r>
      <rPr>
        <sz val="9"/>
        <rFont val="宋体"/>
        <family val="3"/>
        <charset val="134"/>
      </rPr>
      <t>上交国家财政总额</t>
    </r>
    <r>
      <rPr>
        <sz val="9"/>
        <rFont val="Arial Narrow"/>
        <family val="2"/>
      </rPr>
      <t>/</t>
    </r>
    <r>
      <rPr>
        <sz val="9"/>
        <rFont val="宋体"/>
        <family val="3"/>
        <charset val="134"/>
      </rPr>
      <t>企业社会贡献总额</t>
    </r>
    <phoneticPr fontId="4" type="noConversion"/>
  </si>
  <si>
    <r>
      <rPr>
        <sz val="9"/>
        <rFont val="宋体"/>
        <family val="3"/>
        <charset val="134"/>
      </rPr>
      <t>年末不良资产</t>
    </r>
    <r>
      <rPr>
        <sz val="9"/>
        <rFont val="Arial Narrow"/>
        <family val="2"/>
      </rPr>
      <t>/</t>
    </r>
    <r>
      <rPr>
        <sz val="9"/>
        <rFont val="宋体"/>
        <family val="3"/>
        <charset val="134"/>
      </rPr>
      <t>年末资产总额</t>
    </r>
    <phoneticPr fontId="4" type="noConversion"/>
  </si>
  <si>
    <r>
      <rPr>
        <sz val="9"/>
        <rFont val="宋体"/>
        <family val="3"/>
        <charset val="134"/>
      </rPr>
      <t>待处理资产损失净额</t>
    </r>
    <r>
      <rPr>
        <sz val="9"/>
        <rFont val="Arial Narrow"/>
        <family val="2"/>
      </rPr>
      <t>/</t>
    </r>
    <r>
      <rPr>
        <sz val="9"/>
        <rFont val="宋体"/>
        <family val="3"/>
        <charset val="134"/>
      </rPr>
      <t>年末资产总额</t>
    </r>
    <phoneticPr fontId="4" type="noConversion"/>
  </si>
  <si>
    <r>
      <rPr>
        <sz val="9"/>
        <rFont val="宋体"/>
        <family val="3"/>
        <charset val="134"/>
      </rPr>
      <t>平均固定资产净值</t>
    </r>
    <r>
      <rPr>
        <sz val="9"/>
        <rFont val="Arial Narrow"/>
        <family val="2"/>
      </rPr>
      <t>/</t>
    </r>
    <r>
      <rPr>
        <sz val="9"/>
        <rFont val="宋体"/>
        <family val="3"/>
        <charset val="134"/>
      </rPr>
      <t>平均固定资产原价</t>
    </r>
    <phoneticPr fontId="4" type="noConversion"/>
  </si>
  <si>
    <r>
      <rPr>
        <sz val="9"/>
        <rFont val="宋体"/>
        <family val="3"/>
        <charset val="134"/>
      </rPr>
      <t>六、现金流量分析</t>
    </r>
    <phoneticPr fontId="4" type="noConversion"/>
  </si>
  <si>
    <r>
      <t>1</t>
    </r>
    <r>
      <rPr>
        <sz val="9"/>
        <rFont val="宋体"/>
        <family val="3"/>
        <charset val="134"/>
      </rPr>
      <t>、经营活动净现金比率</t>
    </r>
    <r>
      <rPr>
        <sz val="9"/>
        <rFont val="Arial Narrow"/>
        <family val="2"/>
      </rPr>
      <t>1</t>
    </r>
    <phoneticPr fontId="4" type="noConversion"/>
  </si>
  <si>
    <r>
      <rPr>
        <sz val="9"/>
        <rFont val="宋体"/>
        <family val="3"/>
        <charset val="134"/>
      </rPr>
      <t>经营活动净现金流量</t>
    </r>
    <r>
      <rPr>
        <sz val="9"/>
        <rFont val="Arial Narrow"/>
        <family val="2"/>
      </rPr>
      <t>/</t>
    </r>
    <r>
      <rPr>
        <sz val="9"/>
        <rFont val="宋体"/>
        <family val="3"/>
        <charset val="134"/>
      </rPr>
      <t>流动负债</t>
    </r>
    <phoneticPr fontId="4" type="noConversion"/>
  </si>
  <si>
    <r>
      <t>2</t>
    </r>
    <r>
      <rPr>
        <sz val="9"/>
        <rFont val="宋体"/>
        <family val="3"/>
        <charset val="134"/>
      </rPr>
      <t>、经营活动净现金比率</t>
    </r>
    <r>
      <rPr>
        <sz val="9"/>
        <rFont val="Arial Narrow"/>
        <family val="2"/>
      </rPr>
      <t>2</t>
    </r>
    <phoneticPr fontId="4" type="noConversion"/>
  </si>
  <si>
    <r>
      <rPr>
        <sz val="9"/>
        <rFont val="宋体"/>
        <family val="3"/>
        <charset val="134"/>
      </rPr>
      <t>经营活动净现金流量</t>
    </r>
    <r>
      <rPr>
        <sz val="9"/>
        <rFont val="Arial Narrow"/>
        <family val="2"/>
      </rPr>
      <t>/</t>
    </r>
    <r>
      <rPr>
        <sz val="9"/>
        <rFont val="宋体"/>
        <family val="3"/>
        <charset val="134"/>
      </rPr>
      <t>负债总额</t>
    </r>
    <phoneticPr fontId="4" type="noConversion"/>
  </si>
  <si>
    <r>
      <rPr>
        <sz val="9"/>
        <rFont val="宋体"/>
        <family val="3"/>
        <charset val="134"/>
      </rPr>
      <t>经营活动净现金流量</t>
    </r>
    <r>
      <rPr>
        <sz val="9"/>
        <rFont val="Arial Narrow"/>
        <family val="2"/>
      </rPr>
      <t>/</t>
    </r>
    <r>
      <rPr>
        <sz val="9"/>
        <rFont val="宋体"/>
        <family val="3"/>
        <charset val="134"/>
      </rPr>
      <t>净利润</t>
    </r>
    <phoneticPr fontId="4" type="noConversion"/>
  </si>
  <si>
    <r>
      <rPr>
        <sz val="9"/>
        <rFont val="宋体"/>
        <family val="3"/>
        <charset val="134"/>
      </rPr>
      <t>经营活动净现金流量</t>
    </r>
    <r>
      <rPr>
        <sz val="9"/>
        <rFont val="Arial Narrow"/>
        <family val="2"/>
      </rPr>
      <t>/</t>
    </r>
    <r>
      <rPr>
        <sz val="9"/>
        <rFont val="宋体"/>
        <family val="3"/>
        <charset val="134"/>
      </rPr>
      <t>营业收入净额</t>
    </r>
    <phoneticPr fontId="4" type="noConversion"/>
  </si>
  <si>
    <r>
      <rPr>
        <b/>
        <sz val="14"/>
        <rFont val="隶书"/>
        <family val="3"/>
        <charset val="134"/>
      </rPr>
      <t>同行业对比分析</t>
    </r>
    <phoneticPr fontId="4" type="noConversion"/>
  </si>
  <si>
    <r>
      <rPr>
        <sz val="10"/>
        <rFont val="宋体"/>
        <family val="3"/>
        <charset val="134"/>
      </rPr>
      <t>索引：</t>
    </r>
    <r>
      <rPr>
        <sz val="10"/>
        <rFont val="Arial Narrow"/>
        <family val="2"/>
      </rPr>
      <t>A1-14-6</t>
    </r>
    <phoneticPr fontId="4" type="noConversion"/>
  </si>
  <si>
    <r>
      <rPr>
        <b/>
        <sz val="10"/>
        <rFont val="宋体"/>
        <family val="3"/>
        <charset val="134"/>
      </rPr>
      <t>一、同行业公司选择</t>
    </r>
    <phoneticPr fontId="4" type="noConversion"/>
  </si>
  <si>
    <r>
      <rPr>
        <b/>
        <sz val="10"/>
        <rFont val="楷体_GB2312"/>
        <family val="1"/>
        <charset val="134"/>
      </rPr>
      <t>公司名称
（证券简称</t>
    </r>
    <r>
      <rPr>
        <b/>
        <sz val="10"/>
        <rFont val="Arial Narrow"/>
        <family val="2"/>
      </rPr>
      <t>/</t>
    </r>
    <r>
      <rPr>
        <b/>
        <sz val="10"/>
        <rFont val="楷体_GB2312"/>
        <family val="1"/>
        <charset val="134"/>
      </rPr>
      <t>证券代码）</t>
    </r>
    <phoneticPr fontId="4" type="noConversion"/>
  </si>
  <si>
    <r>
      <rPr>
        <b/>
        <sz val="10"/>
        <rFont val="Arial"/>
        <family val="2"/>
      </rPr>
      <t>首发上市日期</t>
    </r>
  </si>
  <si>
    <r>
      <rPr>
        <b/>
        <sz val="10"/>
        <rFont val="楷体_GB2312"/>
        <family val="1"/>
        <charset val="134"/>
      </rPr>
      <t>省份</t>
    </r>
  </si>
  <si>
    <r>
      <rPr>
        <b/>
        <sz val="10"/>
        <rFont val="楷体_GB2312"/>
        <family val="1"/>
        <charset val="134"/>
      </rPr>
      <t>主营业务</t>
    </r>
    <r>
      <rPr>
        <b/>
        <sz val="10"/>
        <rFont val="Arial Narrow"/>
        <family val="2"/>
      </rPr>
      <t>/</t>
    </r>
    <r>
      <rPr>
        <b/>
        <sz val="10"/>
        <rFont val="楷体_GB2312"/>
        <family val="1"/>
        <charset val="134"/>
      </rPr>
      <t>产品收入占比（分类别）</t>
    </r>
    <phoneticPr fontId="4" type="noConversion"/>
  </si>
  <si>
    <r>
      <rPr>
        <sz val="10"/>
        <rFont val="宋体"/>
        <family val="3"/>
        <charset val="134"/>
      </rPr>
      <t>数据来源：</t>
    </r>
    <phoneticPr fontId="4" type="noConversion"/>
  </si>
  <si>
    <r>
      <rPr>
        <b/>
        <sz val="10"/>
        <rFont val="楷体_GB2312"/>
        <family val="1"/>
        <charset val="134"/>
      </rPr>
      <t>资产总额（亿元）</t>
    </r>
    <phoneticPr fontId="4" type="noConversion"/>
  </si>
  <si>
    <r>
      <rPr>
        <b/>
        <sz val="10"/>
        <rFont val="楷体_GB2312"/>
        <family val="1"/>
        <charset val="134"/>
      </rPr>
      <t>净资产额（亿元）</t>
    </r>
    <phoneticPr fontId="4" type="noConversion"/>
  </si>
  <si>
    <r>
      <rPr>
        <b/>
        <sz val="10"/>
        <rFont val="楷体_GB2312"/>
        <family val="1"/>
        <charset val="134"/>
      </rPr>
      <t>营业收入（亿元）</t>
    </r>
    <phoneticPr fontId="4" type="noConversion"/>
  </si>
  <si>
    <r>
      <rPr>
        <b/>
        <sz val="10"/>
        <rFont val="楷体_GB2312"/>
        <family val="1"/>
        <charset val="134"/>
      </rPr>
      <t>净利润（亿元）</t>
    </r>
    <phoneticPr fontId="4" type="noConversion"/>
  </si>
  <si>
    <r>
      <rPr>
        <b/>
        <sz val="10"/>
        <rFont val="楷体_GB2312"/>
        <family val="1"/>
        <charset val="134"/>
      </rPr>
      <t>净资产收益率（</t>
    </r>
    <r>
      <rPr>
        <b/>
        <sz val="10"/>
        <rFont val="Arial Narrow"/>
        <family val="2"/>
      </rPr>
      <t>%</t>
    </r>
    <r>
      <rPr>
        <b/>
        <sz val="10"/>
        <rFont val="楷体_GB2312"/>
        <family val="1"/>
        <charset val="134"/>
      </rPr>
      <t>）</t>
    </r>
  </si>
  <si>
    <r>
      <rPr>
        <b/>
        <sz val="10"/>
        <rFont val="楷体_GB2312"/>
        <family val="1"/>
        <charset val="134"/>
      </rPr>
      <t>存货周转率（次）</t>
    </r>
  </si>
  <si>
    <r>
      <rPr>
        <b/>
        <sz val="10"/>
        <rFont val="楷体_GB2312"/>
        <family val="1"/>
        <charset val="134"/>
      </rPr>
      <t>资产负债率（</t>
    </r>
    <r>
      <rPr>
        <b/>
        <sz val="10"/>
        <rFont val="Arial Narrow"/>
        <family val="2"/>
      </rPr>
      <t>%</t>
    </r>
    <r>
      <rPr>
        <b/>
        <sz val="10"/>
        <rFont val="楷体_GB2312"/>
        <family val="1"/>
        <charset val="134"/>
      </rPr>
      <t>）</t>
    </r>
  </si>
  <si>
    <r>
      <rPr>
        <b/>
        <sz val="10"/>
        <rFont val="宋体"/>
        <family val="3"/>
        <charset val="134"/>
      </rPr>
      <t>三、同行业公司对比分析</t>
    </r>
    <phoneticPr fontId="4" type="noConversion"/>
  </si>
  <si>
    <r>
      <rPr>
        <b/>
        <sz val="10"/>
        <rFont val="宋体"/>
        <family val="3"/>
        <charset val="134"/>
      </rPr>
      <t>净资产收益率（</t>
    </r>
    <r>
      <rPr>
        <b/>
        <sz val="10"/>
        <rFont val="Arial Narrow"/>
        <family val="2"/>
      </rPr>
      <t>%</t>
    </r>
    <r>
      <rPr>
        <b/>
        <sz val="10"/>
        <rFont val="宋体"/>
        <family val="3"/>
        <charset val="134"/>
      </rPr>
      <t>）</t>
    </r>
    <phoneticPr fontId="4" type="noConversion"/>
  </si>
  <si>
    <r>
      <rPr>
        <b/>
        <sz val="10"/>
        <rFont val="宋体"/>
        <family val="3"/>
        <charset val="134"/>
      </rPr>
      <t>综合毛利率（</t>
    </r>
    <r>
      <rPr>
        <b/>
        <sz val="10"/>
        <rFont val="Arial Narrow"/>
        <family val="2"/>
      </rPr>
      <t>%</t>
    </r>
    <r>
      <rPr>
        <b/>
        <sz val="10"/>
        <rFont val="宋体"/>
        <family val="3"/>
        <charset val="134"/>
      </rPr>
      <t>）</t>
    </r>
    <phoneticPr fontId="4" type="noConversion"/>
  </si>
  <si>
    <r>
      <rPr>
        <sz val="10"/>
        <color rgb="FFFF0000"/>
        <rFont val="楷体_GB2312"/>
        <family val="1"/>
        <charset val="134"/>
      </rPr>
      <t>行业平均</t>
    </r>
  </si>
  <si>
    <r>
      <rPr>
        <sz val="10"/>
        <color rgb="FFFF0000"/>
        <rFont val="楷体_GB2312"/>
        <family val="1"/>
        <charset val="134"/>
      </rPr>
      <t>被审计单位</t>
    </r>
  </si>
  <si>
    <r>
      <rPr>
        <b/>
        <sz val="10"/>
        <color rgb="FFFF0000"/>
        <rFont val="Arial Narrow"/>
        <family val="2"/>
      </rPr>
      <t>XX</t>
    </r>
    <r>
      <rPr>
        <b/>
        <sz val="10"/>
        <rFont val="楷体_GB2312"/>
        <family val="1"/>
        <charset val="134"/>
      </rPr>
      <t>毛利率（</t>
    </r>
    <r>
      <rPr>
        <b/>
        <sz val="10"/>
        <rFont val="Arial Narrow"/>
        <family val="2"/>
      </rPr>
      <t>%</t>
    </r>
    <r>
      <rPr>
        <b/>
        <sz val="10"/>
        <rFont val="楷体_GB2312"/>
        <family val="1"/>
        <charset val="134"/>
      </rPr>
      <t>）</t>
    </r>
    <phoneticPr fontId="4" type="noConversion"/>
  </si>
  <si>
    <r>
      <rPr>
        <b/>
        <sz val="10"/>
        <rFont val="Arial"/>
        <family val="2"/>
      </rPr>
      <t>应收账款周转率（次）</t>
    </r>
    <phoneticPr fontId="4" type="noConversion"/>
  </si>
  <si>
    <r>
      <rPr>
        <b/>
        <sz val="10"/>
        <rFont val="Arial"/>
        <family val="2"/>
      </rPr>
      <t>存货周转率（次）</t>
    </r>
    <phoneticPr fontId="4" type="noConversion"/>
  </si>
  <si>
    <r>
      <rPr>
        <b/>
        <sz val="10"/>
        <rFont val="宋体"/>
        <family val="3"/>
        <charset val="134"/>
      </rPr>
      <t>审计说明：</t>
    </r>
    <phoneticPr fontId="4" type="noConversion"/>
  </si>
  <si>
    <r>
      <rPr>
        <b/>
        <sz val="10"/>
        <rFont val="Arial Unicode MS"/>
        <family val="2"/>
        <charset val="134"/>
      </rPr>
      <t>报告期利润</t>
    </r>
    <phoneticPr fontId="20" type="noConversion"/>
  </si>
  <si>
    <r>
      <rPr>
        <b/>
        <sz val="10"/>
        <rFont val="宋体"/>
        <family val="3"/>
        <charset val="134"/>
      </rPr>
      <t>净资产收益率</t>
    </r>
  </si>
  <si>
    <r>
      <rPr>
        <b/>
        <sz val="10"/>
        <rFont val="宋体"/>
        <family val="3"/>
        <charset val="134"/>
      </rPr>
      <t>每股收益</t>
    </r>
  </si>
  <si>
    <r>
      <rPr>
        <b/>
        <sz val="10"/>
        <rFont val="宋体"/>
        <family val="3"/>
        <charset val="134"/>
      </rPr>
      <t>全面摊薄</t>
    </r>
  </si>
  <si>
    <r>
      <rPr>
        <b/>
        <sz val="10"/>
        <rFont val="宋体"/>
        <family val="3"/>
        <charset val="134"/>
      </rPr>
      <t>加权平均</t>
    </r>
  </si>
  <si>
    <r>
      <rPr>
        <b/>
        <sz val="10"/>
        <rFont val="宋体"/>
        <family val="3"/>
        <charset val="134"/>
      </rPr>
      <t>基本每股收益</t>
    </r>
    <phoneticPr fontId="20" type="noConversion"/>
  </si>
  <si>
    <r>
      <rPr>
        <b/>
        <sz val="10"/>
        <rFont val="宋体"/>
        <family val="3"/>
        <charset val="134"/>
      </rPr>
      <t>稀释每股收益</t>
    </r>
    <phoneticPr fontId="20" type="noConversion"/>
  </si>
  <si>
    <r>
      <rPr>
        <sz val="10"/>
        <rFont val="宋体"/>
        <family val="3"/>
        <charset val="134"/>
      </rPr>
      <t>归属于公司普通股股东的净利润</t>
    </r>
    <phoneticPr fontId="20" type="noConversion"/>
  </si>
  <si>
    <r>
      <rPr>
        <sz val="10"/>
        <rFont val="宋体"/>
        <family val="3"/>
        <charset val="134"/>
      </rPr>
      <t>扣除非经常性损益后归属于公司普通股股东的净利润</t>
    </r>
  </si>
  <si>
    <r>
      <rPr>
        <b/>
        <sz val="10"/>
        <rFont val="宋体"/>
        <family val="3"/>
        <charset val="134"/>
      </rPr>
      <t>项目</t>
    </r>
    <phoneticPr fontId="20" type="noConversion"/>
  </si>
  <si>
    <r>
      <rPr>
        <b/>
        <sz val="10"/>
        <rFont val="宋体"/>
        <family val="3"/>
        <charset val="134"/>
      </rPr>
      <t>本年数据</t>
    </r>
    <phoneticPr fontId="20" type="noConversion"/>
  </si>
  <si>
    <r>
      <rPr>
        <b/>
        <sz val="10"/>
        <rFont val="宋体"/>
        <family val="3"/>
        <charset val="134"/>
      </rPr>
      <t>上年数据</t>
    </r>
    <phoneticPr fontId="20" type="noConversion"/>
  </si>
  <si>
    <r>
      <rPr>
        <sz val="10"/>
        <rFont val="宋体"/>
        <family val="3"/>
        <charset val="134"/>
      </rPr>
      <t>归属于母公司股东的净利润</t>
    </r>
    <phoneticPr fontId="20" type="noConversion"/>
  </si>
  <si>
    <r>
      <rPr>
        <sz val="10"/>
        <rFont val="宋体"/>
        <family val="3"/>
        <charset val="134"/>
      </rPr>
      <t>减项</t>
    </r>
    <phoneticPr fontId="20" type="noConversion"/>
  </si>
  <si>
    <r>
      <rPr>
        <sz val="10"/>
        <rFont val="宋体"/>
        <family val="3"/>
        <charset val="134"/>
      </rPr>
      <t>已确认为费用的稀释性潜在普通股利息</t>
    </r>
    <phoneticPr fontId="20" type="noConversion"/>
  </si>
  <si>
    <r>
      <rPr>
        <sz val="10"/>
        <rFont val="宋体"/>
        <family val="3"/>
        <charset val="134"/>
      </rPr>
      <t>归属于公司普通股股东的净利润</t>
    </r>
    <r>
      <rPr>
        <sz val="10"/>
        <rFont val="Arial Narrow"/>
        <family val="2"/>
      </rPr>
      <t>NP</t>
    </r>
    <phoneticPr fontId="20" type="noConversion"/>
  </si>
  <si>
    <r>
      <rPr>
        <sz val="10"/>
        <rFont val="宋体"/>
        <family val="3"/>
        <charset val="134"/>
      </rPr>
      <t>扣除非经常性损益后归属于公司普通股股东的净利润</t>
    </r>
    <r>
      <rPr>
        <sz val="10"/>
        <rFont val="Arial Narrow"/>
        <family val="2"/>
      </rPr>
      <t>P</t>
    </r>
    <phoneticPr fontId="20" type="noConversion"/>
  </si>
  <si>
    <r>
      <rPr>
        <sz val="10"/>
        <rFont val="宋体"/>
        <family val="3"/>
        <charset val="134"/>
      </rPr>
      <t>转换费用</t>
    </r>
    <phoneticPr fontId="20" type="noConversion"/>
  </si>
  <si>
    <r>
      <rPr>
        <sz val="10"/>
        <rFont val="宋体"/>
        <family val="3"/>
        <charset val="134"/>
      </rPr>
      <t>非经常性损益（母＋子公司中母普通股股东所占份额）</t>
    </r>
    <phoneticPr fontId="20" type="noConversion"/>
  </si>
  <si>
    <r>
      <rPr>
        <sz val="10"/>
        <rFont val="宋体"/>
        <family val="3"/>
        <charset val="134"/>
      </rPr>
      <t>所得税率</t>
    </r>
    <phoneticPr fontId="20" type="noConversion"/>
  </si>
  <si>
    <r>
      <rPr>
        <sz val="10"/>
        <rFont val="宋体"/>
        <family val="3"/>
        <charset val="134"/>
      </rPr>
      <t>归属于公司普通股股东的期初净资产</t>
    </r>
    <r>
      <rPr>
        <sz val="10"/>
        <rFont val="Arial Narrow"/>
        <family val="2"/>
      </rPr>
      <t>E0</t>
    </r>
    <phoneticPr fontId="20" type="noConversion"/>
  </si>
  <si>
    <r>
      <rPr>
        <sz val="10"/>
        <rFont val="宋体"/>
        <family val="3"/>
        <charset val="134"/>
      </rPr>
      <t>期末净资产</t>
    </r>
  </si>
  <si>
    <r>
      <rPr>
        <sz val="10"/>
        <rFont val="宋体"/>
        <family val="3"/>
        <charset val="134"/>
      </rPr>
      <t>少数股东权益</t>
    </r>
    <phoneticPr fontId="20" type="noConversion"/>
  </si>
  <si>
    <r>
      <rPr>
        <sz val="10"/>
        <rFont val="宋体"/>
        <family val="3"/>
        <charset val="134"/>
      </rPr>
      <t>归属于公司普通股股东的期末净资产</t>
    </r>
    <r>
      <rPr>
        <sz val="10"/>
        <rFont val="Arial Narrow"/>
        <family val="2"/>
      </rPr>
      <t>E</t>
    </r>
    <phoneticPr fontId="20" type="noConversion"/>
  </si>
  <si>
    <r>
      <rPr>
        <sz val="10"/>
        <rFont val="宋体"/>
        <family val="3"/>
        <charset val="134"/>
      </rPr>
      <t>报告期月份数</t>
    </r>
    <r>
      <rPr>
        <sz val="10"/>
        <rFont val="Arial Narrow"/>
        <family val="2"/>
      </rPr>
      <t>M0</t>
    </r>
    <phoneticPr fontId="20" type="noConversion"/>
  </si>
  <si>
    <r>
      <rPr>
        <sz val="10"/>
        <rFont val="宋体"/>
        <family val="3"/>
        <charset val="134"/>
      </rPr>
      <t>发行新股或债转股等新增的、归属于公司普通股股东的净资产</t>
    </r>
    <r>
      <rPr>
        <sz val="10"/>
        <rFont val="Arial Narrow"/>
        <family val="2"/>
      </rPr>
      <t>Ei</t>
    </r>
    <phoneticPr fontId="20" type="noConversion"/>
  </si>
  <si>
    <r>
      <rPr>
        <sz val="10"/>
        <rFont val="宋体"/>
        <family val="3"/>
        <charset val="134"/>
      </rPr>
      <t>全面摊薄净资产收益率＝</t>
    </r>
    <r>
      <rPr>
        <sz val="10"/>
        <rFont val="Arial Narrow"/>
        <family val="2"/>
      </rPr>
      <t>P÷E</t>
    </r>
    <phoneticPr fontId="20" type="noConversion"/>
  </si>
  <si>
    <r>
      <rPr>
        <sz val="10"/>
        <rFont val="宋体"/>
        <family val="3"/>
        <charset val="134"/>
      </rPr>
      <t>新增净资产下一个月份至报告期期末的月份</t>
    </r>
    <r>
      <rPr>
        <sz val="10"/>
        <rFont val="Arial Narrow"/>
        <family val="2"/>
      </rPr>
      <t>Mi</t>
    </r>
    <phoneticPr fontId="20" type="noConversion"/>
  </si>
  <si>
    <r>
      <rPr>
        <sz val="10"/>
        <rFont val="宋体"/>
        <family val="3"/>
        <charset val="134"/>
      </rPr>
      <t>回购或现金分红等减少的、归属于公司普通股股东的净资产</t>
    </r>
    <r>
      <rPr>
        <sz val="10"/>
        <rFont val="Arial Narrow"/>
        <family val="2"/>
      </rPr>
      <t>Ej</t>
    </r>
    <phoneticPr fontId="20" type="noConversion"/>
  </si>
  <si>
    <r>
      <rPr>
        <sz val="10"/>
        <rFont val="宋体"/>
        <family val="3"/>
        <charset val="134"/>
      </rPr>
      <t>加权平均净资产收益率：</t>
    </r>
    <phoneticPr fontId="20" type="noConversion"/>
  </si>
  <si>
    <r>
      <rPr>
        <sz val="10"/>
        <rFont val="宋体"/>
        <family val="3"/>
        <charset val="134"/>
      </rPr>
      <t>减少净资产下一个月份至报告期期末的月份</t>
    </r>
    <r>
      <rPr>
        <sz val="10"/>
        <rFont val="Arial Narrow"/>
        <family val="2"/>
      </rPr>
      <t>Mj</t>
    </r>
    <phoneticPr fontId="20" type="noConversion"/>
  </si>
  <si>
    <r>
      <rPr>
        <sz val="10"/>
        <rFont val="宋体"/>
        <family val="3"/>
        <charset val="134"/>
      </rPr>
      <t>其他交易或事项引起的净资产增减变动</t>
    </r>
    <r>
      <rPr>
        <sz val="10"/>
        <rFont val="Arial Narrow"/>
        <family val="2"/>
      </rPr>
      <t>Ek</t>
    </r>
    <phoneticPr fontId="20" type="noConversion"/>
  </si>
  <si>
    <r>
      <rPr>
        <sz val="10"/>
        <rFont val="宋体"/>
        <family val="3"/>
        <charset val="134"/>
      </rPr>
      <t>发生其他净资产增减变动下一月份起至报告期期末的月份数</t>
    </r>
    <r>
      <rPr>
        <sz val="10"/>
        <rFont val="Arial Narrow"/>
        <family val="2"/>
      </rPr>
      <t>Mk</t>
    </r>
    <phoneticPr fontId="20" type="noConversion"/>
  </si>
  <si>
    <r>
      <rPr>
        <sz val="10"/>
        <rFont val="Times New Roman"/>
        <family val="1"/>
      </rPr>
      <t>加权平均净资产测算</t>
    </r>
  </si>
  <si>
    <r>
      <rPr>
        <sz val="10"/>
        <rFont val="宋体"/>
        <family val="3"/>
        <charset val="134"/>
      </rPr>
      <t>期初股份总数</t>
    </r>
    <r>
      <rPr>
        <sz val="10"/>
        <rFont val="Arial Narrow"/>
        <family val="2"/>
      </rPr>
      <t>S0</t>
    </r>
    <phoneticPr fontId="20" type="noConversion"/>
  </si>
  <si>
    <r>
      <rPr>
        <sz val="10"/>
        <rFont val="宋体"/>
        <family val="3"/>
        <charset val="134"/>
      </rPr>
      <t>期末股份总数</t>
    </r>
    <phoneticPr fontId="20" type="noConversion"/>
  </si>
  <si>
    <r>
      <rPr>
        <sz val="10"/>
        <rFont val="宋体"/>
        <family val="3"/>
        <charset val="134"/>
      </rPr>
      <t>公积金转增股本或股票股利分配等增加股份数</t>
    </r>
    <r>
      <rPr>
        <sz val="10"/>
        <rFont val="Arial Narrow"/>
        <family val="2"/>
      </rPr>
      <t>S1</t>
    </r>
    <phoneticPr fontId="20" type="noConversion"/>
  </si>
  <si>
    <r>
      <rPr>
        <sz val="10"/>
        <rFont val="宋体"/>
        <family val="3"/>
        <charset val="134"/>
      </rPr>
      <t>稀释性普通股</t>
    </r>
    <phoneticPr fontId="20" type="noConversion"/>
  </si>
  <si>
    <r>
      <rPr>
        <sz val="10"/>
        <rFont val="宋体"/>
        <family val="3"/>
        <charset val="134"/>
      </rPr>
      <t>发行新股或债转股等增加股份数</t>
    </r>
    <r>
      <rPr>
        <sz val="10"/>
        <rFont val="Arial Narrow"/>
        <family val="2"/>
      </rPr>
      <t>Si</t>
    </r>
    <phoneticPr fontId="20" type="noConversion"/>
  </si>
  <si>
    <r>
      <rPr>
        <sz val="10"/>
        <rFont val="宋体"/>
        <family val="3"/>
        <charset val="134"/>
      </rPr>
      <t>增加股份下一月份起至报告期期末的月份数</t>
    </r>
    <r>
      <rPr>
        <sz val="10"/>
        <rFont val="Arial Narrow"/>
        <family val="2"/>
      </rPr>
      <t>Mi</t>
    </r>
    <phoneticPr fontId="20" type="noConversion"/>
  </si>
  <si>
    <r>
      <rPr>
        <sz val="10"/>
        <rFont val="宋体"/>
        <family val="3"/>
        <charset val="134"/>
      </rPr>
      <t>回购或缩股等减少股份数</t>
    </r>
    <r>
      <rPr>
        <sz val="10"/>
        <rFont val="Arial Narrow"/>
        <family val="2"/>
      </rPr>
      <t>Sj</t>
    </r>
    <phoneticPr fontId="20" type="noConversion"/>
  </si>
  <si>
    <r>
      <rPr>
        <sz val="10"/>
        <rFont val="宋体"/>
        <family val="3"/>
        <charset val="134"/>
      </rPr>
      <t>减少股份下一月份起至报告期期末的月份数</t>
    </r>
    <r>
      <rPr>
        <sz val="10"/>
        <rFont val="Arial Narrow"/>
        <family val="2"/>
      </rPr>
      <t>Mj</t>
    </r>
    <phoneticPr fontId="20" type="noConversion"/>
  </si>
  <si>
    <r>
      <rPr>
        <sz val="10"/>
        <rFont val="宋体"/>
        <family val="3"/>
        <charset val="134"/>
      </rPr>
      <t>为报告期缩股数</t>
    </r>
    <r>
      <rPr>
        <sz val="10"/>
        <rFont val="Arial Narrow"/>
        <family val="2"/>
      </rPr>
      <t>Sk</t>
    </r>
    <phoneticPr fontId="20" type="noConversion"/>
  </si>
  <si>
    <r>
      <rPr>
        <sz val="10"/>
        <rFont val="宋体"/>
        <family val="3"/>
        <charset val="134"/>
      </rPr>
      <t>发行在外的普通股加权平均数</t>
    </r>
    <r>
      <rPr>
        <sz val="10"/>
        <rFont val="Arial Narrow"/>
        <family val="2"/>
      </rPr>
      <t>S</t>
    </r>
    <phoneticPr fontId="20" type="noConversion"/>
  </si>
  <si>
    <r>
      <rPr>
        <sz val="10"/>
        <rFont val="宋体"/>
        <family val="3"/>
        <charset val="134"/>
      </rPr>
      <t>稀释每股收益：</t>
    </r>
    <phoneticPr fontId="20" type="noConversion"/>
  </si>
  <si>
    <r>
      <t>P+</t>
    </r>
    <r>
      <rPr>
        <sz val="10"/>
        <rFont val="Times New Roman"/>
        <family val="1"/>
      </rPr>
      <t>（已确认为费用的稀释性潜在普通股利息－转换费用）</t>
    </r>
    <r>
      <rPr>
        <sz val="10"/>
        <rFont val="Arial Narrow"/>
        <family val="2"/>
      </rPr>
      <t>×</t>
    </r>
    <r>
      <rPr>
        <sz val="10"/>
        <rFont val="Times New Roman"/>
        <family val="1"/>
      </rPr>
      <t>（</t>
    </r>
    <r>
      <rPr>
        <sz val="10"/>
        <rFont val="Arial Narrow"/>
        <family val="2"/>
      </rPr>
      <t>1</t>
    </r>
    <r>
      <rPr>
        <sz val="10"/>
        <rFont val="Times New Roman"/>
        <family val="1"/>
      </rPr>
      <t>－所得税率）</t>
    </r>
  </si>
  <si>
    <r>
      <rPr>
        <sz val="10"/>
        <rFont val="宋体"/>
        <family val="3"/>
        <charset val="134"/>
      </rPr>
      <t>基本每股收益＝</t>
    </r>
    <r>
      <rPr>
        <sz val="10"/>
        <rFont val="Arial Narrow"/>
        <family val="2"/>
      </rPr>
      <t>P÷S</t>
    </r>
    <phoneticPr fontId="20" type="noConversion"/>
  </si>
  <si>
    <r>
      <t>S0</t>
    </r>
    <r>
      <rPr>
        <sz val="10"/>
        <rFont val="Times New Roman"/>
        <family val="1"/>
      </rPr>
      <t>＋</t>
    </r>
    <r>
      <rPr>
        <sz val="10"/>
        <rFont val="Arial Narrow"/>
        <family val="2"/>
      </rPr>
      <t>S1</t>
    </r>
    <r>
      <rPr>
        <sz val="10"/>
        <rFont val="Times New Roman"/>
        <family val="1"/>
      </rPr>
      <t>＋</t>
    </r>
    <r>
      <rPr>
        <sz val="10"/>
        <rFont val="Arial Narrow"/>
        <family val="2"/>
      </rPr>
      <t>Si×Mi÷M0</t>
    </r>
    <r>
      <rPr>
        <sz val="10"/>
        <rFont val="Times New Roman"/>
        <family val="1"/>
      </rPr>
      <t>－</t>
    </r>
    <r>
      <rPr>
        <sz val="10"/>
        <rFont val="Arial Narrow"/>
        <family val="2"/>
      </rPr>
      <t>Sj×Mj÷M0</t>
    </r>
    <r>
      <rPr>
        <sz val="10"/>
        <rFont val="Times New Roman"/>
        <family val="1"/>
      </rPr>
      <t>－</t>
    </r>
    <r>
      <rPr>
        <sz val="10"/>
        <rFont val="Arial Narrow"/>
        <family val="2"/>
      </rPr>
      <t>Sk</t>
    </r>
    <r>
      <rPr>
        <sz val="10"/>
        <rFont val="Times New Roman"/>
        <family val="1"/>
      </rPr>
      <t>＋认股权证、股份期权、可转换债券等增加的普通股加权平均数</t>
    </r>
  </si>
  <si>
    <r>
      <rPr>
        <b/>
        <sz val="10"/>
        <rFont val="Arial Unicode MS"/>
        <family val="2"/>
        <charset val="134"/>
      </rPr>
      <t>上期利润</t>
    </r>
    <phoneticPr fontId="20" type="noConversion"/>
  </si>
  <si>
    <r>
      <rPr>
        <b/>
        <sz val="14"/>
        <rFont val="隶书"/>
        <family val="3"/>
        <charset val="134"/>
      </rPr>
      <t>已审利润表横向分析</t>
    </r>
    <phoneticPr fontId="4" type="noConversion"/>
  </si>
  <si>
    <r>
      <rPr>
        <sz val="10"/>
        <rFont val="宋体"/>
        <family val="3"/>
        <charset val="134"/>
      </rPr>
      <t>索引：</t>
    </r>
    <r>
      <rPr>
        <sz val="10"/>
        <rFont val="Arial Narrow"/>
        <family val="2"/>
      </rPr>
      <t>A1-14-7</t>
    </r>
    <phoneticPr fontId="4" type="noConversion"/>
  </si>
  <si>
    <r>
      <rPr>
        <b/>
        <sz val="10"/>
        <rFont val="宋体"/>
        <family val="3"/>
        <charset val="134"/>
      </rPr>
      <t>一、审计目标：通过将财务信息与已知的非财务信息对比，考虑其内在的逻辑关系，分析财务信息的合理性。</t>
    </r>
    <phoneticPr fontId="4" type="noConversion"/>
  </si>
  <si>
    <r>
      <rPr>
        <b/>
        <sz val="10"/>
        <rFont val="宋体"/>
        <family val="3"/>
        <charset val="134"/>
      </rPr>
      <t>财务信息</t>
    </r>
  </si>
  <si>
    <r>
      <rPr>
        <b/>
        <sz val="10"/>
        <rFont val="宋体"/>
        <family val="3"/>
        <charset val="134"/>
      </rPr>
      <t>非财务信息</t>
    </r>
  </si>
  <si>
    <r>
      <rPr>
        <b/>
        <sz val="10"/>
        <rFont val="宋体"/>
        <family val="3"/>
        <charset val="134"/>
      </rPr>
      <t>按内在联系分析财务信息是否合理</t>
    </r>
  </si>
  <si>
    <r>
      <rPr>
        <b/>
        <sz val="10"/>
        <rFont val="Times New Roman"/>
        <family val="1"/>
      </rPr>
      <t>可能存在的错漏报项目</t>
    </r>
  </si>
  <si>
    <r>
      <rPr>
        <b/>
        <sz val="10"/>
        <rFont val="宋体"/>
        <family val="3"/>
        <charset val="134"/>
      </rPr>
      <t>说明或索引号</t>
    </r>
    <phoneticPr fontId="70" type="noConversion"/>
  </si>
  <si>
    <r>
      <rPr>
        <sz val="10"/>
        <rFont val="宋体"/>
        <family val="3"/>
        <charset val="134"/>
      </rPr>
      <t>总体评价：</t>
    </r>
  </si>
  <si>
    <r>
      <rPr>
        <b/>
        <sz val="10"/>
        <rFont val="宋体"/>
        <family val="3"/>
        <charset val="134"/>
      </rPr>
      <t>审计结论：</t>
    </r>
    <phoneticPr fontId="4" type="noConversion"/>
  </si>
  <si>
    <t>税金及附加</t>
    <phoneticPr fontId="4" type="noConversion"/>
  </si>
  <si>
    <r>
      <rPr>
        <sz val="10"/>
        <rFont val="宋体"/>
        <family val="3"/>
        <charset val="134"/>
      </rPr>
      <t>会计时点：</t>
    </r>
    <r>
      <rPr>
        <sz val="10"/>
        <rFont val="Arial Narrow"/>
        <family val="2"/>
      </rPr>
      <t>2017.12.31</t>
    </r>
    <phoneticPr fontId="4" type="noConversion"/>
  </si>
  <si>
    <r>
      <rPr>
        <sz val="10"/>
        <rFont val="宋体"/>
        <family val="3"/>
        <charset val="134"/>
      </rPr>
      <t>会计期间：</t>
    </r>
    <r>
      <rPr>
        <sz val="10"/>
        <rFont val="Arial Narrow"/>
        <family val="2"/>
      </rPr>
      <t>2017</t>
    </r>
    <r>
      <rPr>
        <sz val="10"/>
        <rFont val="宋体"/>
        <family val="3"/>
        <charset val="134"/>
      </rPr>
      <t>年度</t>
    </r>
    <phoneticPr fontId="4" type="noConversion"/>
  </si>
  <si>
    <r>
      <t>2017</t>
    </r>
    <r>
      <rPr>
        <b/>
        <sz val="10"/>
        <color rgb="FFFF0000"/>
        <rFont val="楷体_GB2312"/>
        <family val="1"/>
        <charset val="134"/>
      </rPr>
      <t>年产量</t>
    </r>
    <phoneticPr fontId="4" type="noConversion"/>
  </si>
  <si>
    <r>
      <t>2016</t>
    </r>
    <r>
      <rPr>
        <b/>
        <sz val="10"/>
        <color rgb="FFFF0000"/>
        <rFont val="楷体_GB2312"/>
        <family val="1"/>
        <charset val="134"/>
      </rPr>
      <t>年产量</t>
    </r>
    <phoneticPr fontId="4" type="noConversion"/>
  </si>
  <si>
    <r>
      <t>2015</t>
    </r>
    <r>
      <rPr>
        <b/>
        <sz val="10"/>
        <color rgb="FFFF0000"/>
        <rFont val="楷体_GB2312"/>
        <family val="1"/>
        <charset val="134"/>
      </rPr>
      <t>年产量</t>
    </r>
    <phoneticPr fontId="4" type="noConversion"/>
  </si>
  <si>
    <r>
      <rPr>
        <b/>
        <sz val="10"/>
        <rFont val="宋体"/>
        <family val="3"/>
        <charset val="134"/>
      </rPr>
      <t>二、同行业公司主要财务数据</t>
    </r>
    <r>
      <rPr>
        <b/>
        <sz val="10"/>
        <rFont val="Arial Narrow"/>
        <family val="2"/>
      </rPr>
      <t>(</t>
    </r>
    <r>
      <rPr>
        <b/>
        <sz val="10"/>
        <color rgb="FFFF0000"/>
        <rFont val="Arial Narrow"/>
        <family val="2"/>
      </rPr>
      <t>2017</t>
    </r>
    <r>
      <rPr>
        <b/>
        <sz val="10"/>
        <color rgb="FFFF0000"/>
        <rFont val="宋体"/>
        <family val="3"/>
        <charset val="134"/>
      </rPr>
      <t>年</t>
    </r>
    <r>
      <rPr>
        <b/>
        <sz val="10"/>
        <rFont val="Arial Narrow"/>
        <family val="2"/>
      </rPr>
      <t>)</t>
    </r>
    <phoneticPr fontId="4" type="noConversion"/>
  </si>
  <si>
    <r>
      <t>2017</t>
    </r>
    <r>
      <rPr>
        <b/>
        <sz val="10"/>
        <color rgb="FFFF0000"/>
        <rFont val="楷体_GB2312"/>
        <family val="1"/>
        <charset val="134"/>
      </rPr>
      <t>年</t>
    </r>
    <phoneticPr fontId="4" type="noConversion"/>
  </si>
  <si>
    <r>
      <t>2016</t>
    </r>
    <r>
      <rPr>
        <b/>
        <sz val="10"/>
        <color rgb="FFFF0000"/>
        <rFont val="楷体_GB2312"/>
        <family val="1"/>
        <charset val="134"/>
      </rPr>
      <t>年</t>
    </r>
    <phoneticPr fontId="4" type="noConversion"/>
  </si>
  <si>
    <r>
      <t>2015</t>
    </r>
    <r>
      <rPr>
        <sz val="10"/>
        <color rgb="FFFF0000"/>
        <rFont val="楷体_GB2312"/>
        <family val="1"/>
        <charset val="134"/>
      </rPr>
      <t>年</t>
    </r>
    <r>
      <rPr>
        <b/>
        <sz val="10"/>
        <color rgb="FFFF0000"/>
        <rFont val="楷体_GB2312"/>
        <family val="1"/>
        <charset val="134"/>
      </rPr>
      <t/>
    </r>
    <phoneticPr fontId="4" type="noConversion"/>
  </si>
  <si>
    <t>持有待售资产</t>
  </si>
  <si>
    <t>持有待售负债</t>
  </si>
  <si>
    <t xml:space="preserve"> （一）按经营持续性分类</t>
  </si>
  <si>
    <t xml:space="preserve">   1、持续经营净利润（净亏损以“-”号填列）</t>
  </si>
  <si>
    <t xml:space="preserve">   2、终止经营净利润（净亏损以“-”号填列）</t>
  </si>
  <si>
    <t xml:space="preserve"> （二）按所有权归属分类</t>
  </si>
  <si>
    <t xml:space="preserve">   1、归属于母公司股东的净利润</t>
  </si>
  <si>
    <t xml:space="preserve">   2、少数股东损益</t>
  </si>
  <si>
    <t>衍生金融资产</t>
    <phoneticPr fontId="4" type="noConversion"/>
  </si>
  <si>
    <t>衍生金融负债</t>
    <phoneticPr fontId="4" type="noConversion"/>
  </si>
  <si>
    <t>应收票据及应收账款</t>
    <phoneticPr fontId="4" type="noConversion"/>
  </si>
  <si>
    <t>应付票据及应付账款</t>
    <phoneticPr fontId="4" type="noConversion"/>
  </si>
  <si>
    <t>衍生金融资产</t>
    <phoneticPr fontId="4" type="noConversion"/>
  </si>
  <si>
    <t>衍生金融负责</t>
    <phoneticPr fontId="4" type="noConversion"/>
  </si>
  <si>
    <t>应收票据及应收账款</t>
    <phoneticPr fontId="4" type="noConversion"/>
  </si>
  <si>
    <t>研发费用</t>
    <phoneticPr fontId="4" type="noConversion"/>
  </si>
  <si>
    <t>加：其他收益</t>
    <phoneticPr fontId="4" type="noConversion"/>
  </si>
  <si>
    <r>
      <rPr>
        <sz val="10"/>
        <rFont val="宋体"/>
        <family val="3"/>
        <charset val="134"/>
      </rPr>
      <t xml:space="preserve">    投资收益（损失以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</si>
  <si>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 xml:space="preserve">   其中：对联营企业和合营企业的投资收益</t>
    <phoneticPr fontId="4" type="noConversion"/>
  </si>
  <si>
    <t xml:space="preserve">   公允价值变动收益(损失以“-”号填列）</t>
    <phoneticPr fontId="4" type="noConversion"/>
  </si>
  <si>
    <t xml:space="preserve">   资产处置收益(损失以“-”号填列）</t>
    <phoneticPr fontId="4" type="noConversion"/>
  </si>
  <si>
    <r>
      <rPr>
        <sz val="10"/>
        <rFont val="宋体"/>
        <family val="3"/>
        <charset val="134"/>
      </rPr>
      <t xml:space="preserve">      投资收益（损失以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</si>
  <si>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1、重新计量设定受益计划变动额</t>
    <phoneticPr fontId="4" type="noConversion"/>
  </si>
  <si>
    <t>2、权益法下不能转损益的其他综合收益</t>
    <phoneticPr fontId="4" type="noConversion"/>
  </si>
  <si>
    <t>1、权益法下可转损益的其他综合收益</t>
    <phoneticPr fontId="4" type="noConversion"/>
  </si>
  <si>
    <t xml:space="preserve">     利息收入</t>
    <phoneticPr fontId="4" type="noConversion"/>
  </si>
  <si>
    <t xml:space="preserve"> 其中：对联营企业和合营企业的投资收益</t>
    <phoneticPr fontId="4" type="noConversion"/>
  </si>
  <si>
    <t xml:space="preserve"> 公允价值变动收益(损失以“-”号填列）</t>
    <phoneticPr fontId="4" type="noConversion"/>
  </si>
  <si>
    <t xml:space="preserve"> 资产处置收益(损失以“-”号填列）</t>
    <phoneticPr fontId="4" type="noConversion"/>
  </si>
  <si>
    <r>
      <t>1</t>
    </r>
    <r>
      <rPr>
        <sz val="10"/>
        <color theme="1"/>
        <rFont val="宋体"/>
        <family val="3"/>
        <charset val="134"/>
      </rPr>
      <t>、重新计量设定受益计划变动额</t>
    </r>
    <phoneticPr fontId="4" type="noConversion"/>
  </si>
  <si>
    <r>
      <t>2</t>
    </r>
    <r>
      <rPr>
        <sz val="10"/>
        <color theme="1"/>
        <rFont val="宋体"/>
        <family val="3"/>
        <charset val="134"/>
      </rPr>
      <t>、权益法下不能转损益的其他综合收益</t>
    </r>
    <phoneticPr fontId="4" type="noConversion"/>
  </si>
  <si>
    <t>1、权益法下可转损益的其他综合收益</t>
    <phoneticPr fontId="4" type="noConversion"/>
  </si>
  <si>
    <r>
      <rPr>
        <sz val="9"/>
        <rFont val="宋体"/>
        <family val="3"/>
        <charset val="134"/>
      </rPr>
      <t>营业利润</t>
    </r>
    <r>
      <rPr>
        <sz val="9"/>
        <rFont val="Arial Narrow"/>
        <family val="2"/>
      </rPr>
      <t>/</t>
    </r>
    <r>
      <rPr>
        <sz val="9"/>
        <rFont val="宋体"/>
        <family val="3"/>
        <charset val="134"/>
      </rPr>
      <t>（营业成本</t>
    </r>
    <r>
      <rPr>
        <sz val="9"/>
        <rFont val="Arial Narrow"/>
        <family val="2"/>
      </rPr>
      <t>+</t>
    </r>
    <r>
      <rPr>
        <sz val="9"/>
        <rFont val="宋体"/>
        <family val="3"/>
        <charset val="134"/>
      </rPr>
      <t>销售费用</t>
    </r>
    <r>
      <rPr>
        <sz val="9"/>
        <rFont val="Arial Narrow"/>
        <family val="2"/>
      </rPr>
      <t>+</t>
    </r>
    <r>
      <rPr>
        <sz val="9"/>
        <rFont val="宋体"/>
        <family val="3"/>
        <charset val="134"/>
      </rPr>
      <t>管理费用</t>
    </r>
    <r>
      <rPr>
        <sz val="9"/>
        <rFont val="Arial Narrow"/>
        <family val="2"/>
      </rPr>
      <t>+</t>
    </r>
    <r>
      <rPr>
        <sz val="9"/>
        <rFont val="宋体"/>
        <family val="3"/>
        <charset val="134"/>
      </rPr>
      <t>财务费用+研发费用）</t>
    </r>
    <phoneticPr fontId="4" type="noConversion"/>
  </si>
  <si>
    <t>其中：利息费用</t>
    <phoneticPr fontId="4" type="noConversion"/>
  </si>
  <si>
    <t xml:space="preserve">     利息收入</t>
    <phoneticPr fontId="4" type="noConversion"/>
  </si>
  <si>
    <t>上市公司需填写信息：</t>
    <phoneticPr fontId="4" type="noConversion"/>
  </si>
  <si>
    <t>上市板块</t>
    <phoneticPr fontId="4" type="noConversion"/>
  </si>
  <si>
    <t>扣除非经常性损益后的净利润</t>
    <phoneticPr fontId="4" type="noConversion"/>
  </si>
  <si>
    <t>是否需出具营业收入扣除情况说明专项核查报告</t>
    <phoneticPr fontId="4" type="noConversion"/>
  </si>
  <si>
    <t>是否需出具非经常性损益专项核查报告</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</si>
</sst>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0">
    <numFmt numFmtId="8" formatCode="&quot;¥&quot;#,##0.00;[Red]&quot;¥&quot;\-#,##0.00"/>
    <numFmt numFmtId="41" formatCode="_ * #,##0_ ;_ * \-#,##0_ ;_ * &quot;-&quot;_ ;_ @_ "/>
    <numFmt numFmtId="43" formatCode="_ * #,##0.00_ ;_ * \-#,##0.00_ ;_ * &quot;-&quot;??_ ;_ @_ "/>
    <numFmt numFmtId="176" formatCode="#,##0.00_ "/>
    <numFmt numFmtId="177" formatCode="_(* #,##0_);_(* \(#,##0\);_(* &quot;-&quot;_);_(@_)"/>
    <numFmt numFmtId="178" formatCode="0.00_ "/>
    <numFmt numFmtId="179" formatCode="0.0%"/>
    <numFmt numFmtId="180" formatCode="0.0000_ "/>
    <numFmt numFmtId="181" formatCode="_ * #,##0_ ;_ * \-#,##0_ ;_ * &quot;-&quot;??_ ;_ @_ "/>
    <numFmt numFmtId="182" formatCode="_-#,##0_-;\(#,##0\);_-\ \ &quot;-&quot;_-;_-@_-"/>
    <numFmt numFmtId="183" formatCode="_-#,##0.00_-;\(#,##0.00\);_-\ \ &quot;-&quot;_-;_-@_-"/>
    <numFmt numFmtId="184" formatCode="mmm/dd/yyyy;_-\ &quot;N/A&quot;_-;_-\ &quot;-&quot;_-"/>
    <numFmt numFmtId="185" formatCode="mmm/yyyy;_-\ &quot;N/A&quot;_-;_-\ &quot;-&quot;_-"/>
    <numFmt numFmtId="186" formatCode="_-#,##0%_-;\(#,##0%\);_-\ &quot;-&quot;_-"/>
    <numFmt numFmtId="187" formatCode="_-#,###,_-;\(#,###,\);_-\ \ &quot;-&quot;_-;_-@_-"/>
    <numFmt numFmtId="188" formatCode="_-#,###.00,_-;\(#,###.00,\);_-\ \ &quot;-&quot;_-;_-@_-"/>
    <numFmt numFmtId="189" formatCode="_-#0&quot;.&quot;0,_-;\(#0&quot;.&quot;0,\);_-\ \ &quot;-&quot;_-;_-@_-"/>
    <numFmt numFmtId="190" formatCode="_-#0&quot;.&quot;0000_-;\(#0&quot;.&quot;0000\);_-\ \ &quot;-&quot;_-;_-@_-"/>
    <numFmt numFmtId="191" formatCode="0%;\(0%\)"/>
    <numFmt numFmtId="192" formatCode="&quot;$&quot;#,##0_);\(&quot;$&quot;#,##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2]* #,##0.00_);_([$€-2]* \(#,##0.00\);_([$€-2]* &quot;-&quot;??_)"/>
    <numFmt numFmtId="200" formatCode="&quot;\&quot;#,##0;[Red]&quot;\&quot;&quot;\&quot;\-#,##0"/>
    <numFmt numFmtId="201" formatCode="&quot;\&quot;#,##0.00;[Red]&quot;\&quot;&quot;\&quot;\-#,##0.00"/>
    <numFmt numFmtId="202" formatCode="_(&quot;$&quot;* #,##0_);_(&quot;$&quot;* \(#,##0\);_(&quot;$&quot;* &quot;-&quot;_);_(@_)"/>
    <numFmt numFmtId="203" formatCode="_(&quot;$&quot;* #,##0.00_);_(&quot;$&quot;* \(#,##0.00\);_(&quot;$&quot;* &quot;-&quot;??_);_(@_)"/>
    <numFmt numFmtId="204" formatCode="_-* #,##0_-;\-* #,##0_-;_-* &quot;-&quot;??_-;_-@_-"/>
    <numFmt numFmtId="205" formatCode="0.00000000000_);[Red]\(0.00000000000\)"/>
    <numFmt numFmtId="206" formatCode="&quot;\&quot;#,##0;&quot;\&quot;&quot;\&quot;\-#,##0"/>
    <numFmt numFmtId="207" formatCode="0%_);\(0%\)"/>
    <numFmt numFmtId="208" formatCode="0.0000000"/>
    <numFmt numFmtId="209" formatCode="0.000000"/>
    <numFmt numFmtId="210" formatCode="0.00000000"/>
    <numFmt numFmtId="211" formatCode="_ * #,##0_)\ _F_ ;_ * \(#,##0\)\ _F_ ;_ * &quot;-&quot;_)\ _F_ ;_ @_ "/>
    <numFmt numFmtId="212" formatCode="#,##0_ "/>
  </numFmts>
  <fonts count="91">
    <font>
      <sz val="10"/>
      <name val="Helv"/>
      <family val="2"/>
    </font>
    <font>
      <sz val="12"/>
      <name val="宋体"/>
      <family val="3"/>
      <charset val="134"/>
    </font>
    <font>
      <sz val="12"/>
      <name val="Times New Roman"/>
      <family val="1"/>
    </font>
    <font>
      <b/>
      <sz val="14"/>
      <name val="Times New Roman"/>
      <family val="1"/>
    </font>
    <font>
      <sz val="9"/>
      <name val="宋体"/>
      <family val="3"/>
      <charset val="134"/>
    </font>
    <font>
      <sz val="10"/>
      <name val="宋体"/>
      <family val="3"/>
      <charset val="134"/>
    </font>
    <font>
      <b/>
      <sz val="10"/>
      <name val="Arial Narrow"/>
      <family val="2"/>
    </font>
    <font>
      <sz val="9"/>
      <name val="Arial Narrow"/>
      <family val="2"/>
    </font>
    <font>
      <sz val="10"/>
      <name val="Arial Narrow"/>
      <family val="2"/>
    </font>
    <font>
      <b/>
      <sz val="9"/>
      <name val="Arial Narrow"/>
      <family val="2"/>
    </font>
    <font>
      <sz val="12"/>
      <name val="Arial Narrow"/>
      <family val="2"/>
    </font>
    <font>
      <b/>
      <sz val="10"/>
      <name val="宋体"/>
      <family val="3"/>
      <charset val="134"/>
    </font>
    <font>
      <b/>
      <sz val="9"/>
      <name val="宋体"/>
      <family val="3"/>
      <charset val="134"/>
    </font>
    <font>
      <sz val="12"/>
      <name val="宋体"/>
      <family val="3"/>
      <charset val="134"/>
      <scheme val="minor"/>
    </font>
    <font>
      <sz val="10"/>
      <name val="宋体"/>
      <family val="3"/>
      <charset val="134"/>
      <scheme val="minor"/>
    </font>
    <font>
      <b/>
      <sz val="12"/>
      <name val="宋体"/>
      <family val="3"/>
      <charset val="134"/>
      <scheme val="minor"/>
    </font>
    <font>
      <sz val="9"/>
      <name val="宋体"/>
      <family val="3"/>
      <charset val="134"/>
    </font>
    <font>
      <sz val="10"/>
      <name val="Arial"/>
      <family val="2"/>
    </font>
    <font>
      <b/>
      <sz val="14"/>
      <color indexed="18"/>
      <name val="隶书"/>
      <family val="3"/>
      <charset val="134"/>
    </font>
    <font>
      <i/>
      <sz val="10"/>
      <name val="宋体"/>
      <family val="3"/>
      <charset val="134"/>
    </font>
    <font>
      <sz val="10"/>
      <name val="Times New Roman"/>
      <family val="1"/>
    </font>
    <font>
      <sz val="9"/>
      <name val="Times New Roman"/>
      <family val="1"/>
    </font>
    <font>
      <b/>
      <sz val="9"/>
      <color indexed="12"/>
      <name val="Arial Narrow"/>
      <family val="2"/>
    </font>
    <font>
      <b/>
      <sz val="9"/>
      <name val="Times New Roman"/>
      <family val="1"/>
    </font>
    <font>
      <b/>
      <sz val="10"/>
      <name val="长城仿宋"/>
      <family val="3"/>
      <charset val="134"/>
    </font>
    <font>
      <sz val="11"/>
      <name val="Times New Roman"/>
      <family val="1"/>
    </font>
    <font>
      <sz val="10"/>
      <name val="长城仿宋"/>
      <family val="3"/>
      <charset val="134"/>
    </font>
    <font>
      <b/>
      <sz val="10"/>
      <color indexed="12"/>
      <name val="Arial Narrow"/>
      <family val="2"/>
    </font>
    <font>
      <b/>
      <sz val="10"/>
      <color indexed="12"/>
      <name val="宋体"/>
      <family val="3"/>
      <charset val="134"/>
    </font>
    <font>
      <sz val="10"/>
      <color indexed="12"/>
      <name val="宋体"/>
      <family val="3"/>
      <charset val="134"/>
    </font>
    <font>
      <sz val="10"/>
      <color indexed="12"/>
      <name val="Arial Narrow"/>
      <family val="2"/>
    </font>
    <font>
      <b/>
      <sz val="11"/>
      <color indexed="10"/>
      <name val="Arial Narrow"/>
      <family val="2"/>
    </font>
    <font>
      <b/>
      <sz val="10"/>
      <name val="楷体_GB2312"/>
      <family val="1"/>
      <charset val="134"/>
    </font>
    <font>
      <b/>
      <sz val="10"/>
      <name val="Arial"/>
      <family val="2"/>
    </font>
    <font>
      <b/>
      <sz val="10"/>
      <color rgb="FFFF0000"/>
      <name val="楷体_GB2312"/>
      <family val="1"/>
      <charset val="134"/>
    </font>
    <font>
      <sz val="10"/>
      <color rgb="FFFF0000"/>
      <name val="楷体_GB2312"/>
      <family val="1"/>
      <charset val="134"/>
    </font>
    <font>
      <b/>
      <sz val="10"/>
      <color rgb="FFFF0000"/>
      <name val="宋体"/>
      <family val="3"/>
      <charset val="134"/>
    </font>
    <font>
      <b/>
      <sz val="10"/>
      <name val="Arial Unicode MS"/>
      <family val="2"/>
      <charset val="134"/>
    </font>
    <font>
      <sz val="10"/>
      <color indexed="10"/>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b/>
      <sz val="8"/>
      <name val="Arial"/>
      <family val="2"/>
    </font>
    <font>
      <sz val="10"/>
      <name val="MS Sans Serif"/>
      <family val="2"/>
    </font>
    <font>
      <sz val="8"/>
      <name val="Arial"/>
      <family val="2"/>
    </font>
    <font>
      <u/>
      <sz val="7.5"/>
      <color indexed="36"/>
      <name val="Arial"/>
      <family val="2"/>
    </font>
    <font>
      <b/>
      <sz val="12"/>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sz val="10"/>
      <name val="Geneva"/>
      <family val="2"/>
    </font>
    <font>
      <sz val="11"/>
      <name val="明朝"/>
      <family val="3"/>
      <charset val="134"/>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4"/>
      <name val="隶书"/>
      <family val="3"/>
      <charset val="134"/>
    </font>
    <font>
      <sz val="9"/>
      <name val="宋体"/>
      <family val="2"/>
      <charset val="134"/>
      <scheme val="minor"/>
    </font>
    <font>
      <b/>
      <sz val="10"/>
      <name val="Times New Roman"/>
      <family val="1"/>
    </font>
    <font>
      <sz val="10"/>
      <color theme="1"/>
      <name val="宋体"/>
      <family val="3"/>
      <charset val="134"/>
    </font>
    <font>
      <sz val="11"/>
      <name val="Arial Narrow"/>
      <family val="2"/>
    </font>
    <font>
      <b/>
      <sz val="11"/>
      <name val="Arial Narrow"/>
      <family val="2"/>
    </font>
    <font>
      <b/>
      <sz val="14"/>
      <name val="Arial Narrow"/>
      <family val="2"/>
    </font>
    <font>
      <sz val="10"/>
      <color theme="1"/>
      <name val="Arial Narrow"/>
      <family val="2"/>
    </font>
    <font>
      <i/>
      <sz val="10"/>
      <name val="Arial Narrow"/>
      <family val="2"/>
    </font>
    <font>
      <sz val="9"/>
      <color indexed="12"/>
      <name val="Arial Narrow"/>
      <family val="2"/>
    </font>
    <font>
      <b/>
      <sz val="12"/>
      <color indexed="12"/>
      <name val="Arial Narrow"/>
      <family val="2"/>
    </font>
    <font>
      <b/>
      <sz val="14"/>
      <color indexed="18"/>
      <name val="Arial Narrow"/>
      <family val="2"/>
    </font>
    <font>
      <b/>
      <sz val="10"/>
      <color rgb="FFFF0000"/>
      <name val="Arial Narrow"/>
      <family val="2"/>
    </font>
    <font>
      <sz val="10"/>
      <color rgb="FFFF0000"/>
      <name val="Arial Narrow"/>
      <family val="2"/>
    </font>
    <font>
      <sz val="9"/>
      <color indexed="81"/>
      <name val="宋体"/>
      <family val="3"/>
      <charset val="134"/>
    </font>
    <font>
      <b/>
      <sz val="9"/>
      <color indexed="81"/>
      <name val="宋体"/>
      <family val="3"/>
      <charset val="134"/>
    </font>
    <font>
      <sz val="11"/>
      <color theme="1"/>
      <name val="Arial Narrow"/>
      <family val="2"/>
    </font>
    <font>
      <sz val="9"/>
      <color theme="1"/>
      <name val="Arial Narrow"/>
      <family val="2"/>
    </font>
    <font>
      <sz val="12"/>
      <color theme="1"/>
      <name val="Arial Narrow"/>
      <family val="2"/>
    </font>
    <font>
      <sz val="12"/>
      <color theme="1"/>
      <name val="宋体"/>
      <family val="3"/>
      <charset val="134"/>
    </font>
    <font>
      <sz val="10"/>
      <name val="Helv"/>
      <family val="2"/>
    </font>
    <font>
      <b/>
      <sz val="10"/>
      <color rgb="FFFF0000"/>
      <name val="长城仿宋"/>
      <family val="3"/>
      <charset val="134"/>
    </font>
  </fonts>
  <fills count="17">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DE9D9"/>
        <bgColor indexed="64"/>
      </patternFill>
    </fill>
    <fill>
      <patternFill patternType="solid">
        <fgColor indexed="49"/>
        <bgColor indexed="64"/>
      </patternFill>
    </fill>
    <fill>
      <patternFill patternType="solid">
        <fgColor theme="0" tint="-0.14999847407452621"/>
        <bgColor indexed="64"/>
      </patternFill>
    </fill>
    <fill>
      <patternFill patternType="solid">
        <fgColor indexed="41"/>
        <bgColor indexed="64"/>
      </patternFill>
    </fill>
    <fill>
      <patternFill patternType="solid">
        <fgColor indexed="43"/>
        <bgColor indexed="64"/>
      </patternFill>
    </fill>
    <fill>
      <patternFill patternType="solid">
        <fgColor indexed="13"/>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71">
    <border>
      <left/>
      <right/>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thin">
        <color indexed="64"/>
      </top>
      <bottom style="thin">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medium">
        <color indexed="64"/>
      </top>
      <bottom/>
      <diagonal/>
    </border>
    <border>
      <left/>
      <right style="hair">
        <color indexed="64"/>
      </right>
      <top/>
      <bottom style="thin">
        <color indexed="64"/>
      </bottom>
      <diagonal/>
    </border>
    <border>
      <left style="thin">
        <color rgb="FFF79646"/>
      </left>
      <right style="thin">
        <color rgb="FFF79646"/>
      </right>
      <top style="thin">
        <color rgb="FFF79646"/>
      </top>
      <bottom style="thin">
        <color rgb="FFF79646"/>
      </bottom>
      <diagonal/>
    </border>
    <border>
      <left style="thick">
        <color indexed="63"/>
      </left>
      <right style="hair">
        <color indexed="8"/>
      </right>
      <top style="thick">
        <color indexed="63"/>
      </top>
      <bottom style="hair">
        <color indexed="8"/>
      </bottom>
      <diagonal/>
    </border>
    <border>
      <left style="hair">
        <color indexed="8"/>
      </left>
      <right style="hair">
        <color indexed="8"/>
      </right>
      <top style="thick">
        <color indexed="63"/>
      </top>
      <bottom style="hair">
        <color indexed="8"/>
      </bottom>
      <diagonal/>
    </border>
    <border>
      <left style="hair">
        <color indexed="8"/>
      </left>
      <right style="thick">
        <color indexed="41"/>
      </right>
      <top style="thick">
        <color indexed="63"/>
      </top>
      <bottom style="hair">
        <color indexed="8"/>
      </bottom>
      <diagonal/>
    </border>
    <border>
      <left style="thick">
        <color indexed="63"/>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ck">
        <color indexed="41"/>
      </right>
      <top style="hair">
        <color indexed="8"/>
      </top>
      <bottom style="thin">
        <color indexed="8"/>
      </bottom>
      <diagonal/>
    </border>
    <border>
      <left style="thick">
        <color indexed="63"/>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ck">
        <color indexed="41"/>
      </right>
      <top style="thin">
        <color indexed="8"/>
      </top>
      <bottom style="hair">
        <color indexed="8"/>
      </bottom>
      <diagonal/>
    </border>
    <border>
      <left style="thick">
        <color indexed="63"/>
      </left>
      <right style="hair">
        <color indexed="8"/>
      </right>
      <top style="hair">
        <color indexed="8"/>
      </top>
      <bottom style="thick">
        <color indexed="41"/>
      </bottom>
      <diagonal/>
    </border>
    <border>
      <left style="hair">
        <color indexed="8"/>
      </left>
      <right style="hair">
        <color indexed="8"/>
      </right>
      <top style="hair">
        <color indexed="8"/>
      </top>
      <bottom style="thick">
        <color indexed="41"/>
      </bottom>
      <diagonal/>
    </border>
    <border>
      <left style="hair">
        <color indexed="8"/>
      </left>
      <right style="thick">
        <color indexed="41"/>
      </right>
      <top style="hair">
        <color indexed="8"/>
      </top>
      <bottom style="thick">
        <color indexed="41"/>
      </bottom>
      <diagonal/>
    </border>
    <border>
      <left/>
      <right/>
      <top/>
      <bottom style="thick">
        <color indexed="40"/>
      </bottom>
      <diagonal/>
    </border>
    <border>
      <left/>
      <right/>
      <top/>
      <bottom style="thin">
        <color indexed="64"/>
      </bottom>
      <diagonal/>
    </border>
    <border>
      <left/>
      <right/>
      <top/>
      <bottom style="dashed">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rgb="FF7030A0"/>
      </left>
      <right style="thin">
        <color indexed="64"/>
      </right>
      <top style="thin">
        <color rgb="FF7030A0"/>
      </top>
      <bottom style="thin">
        <color indexed="64"/>
      </bottom>
      <diagonal/>
    </border>
    <border>
      <left style="thin">
        <color indexed="64"/>
      </left>
      <right style="thin">
        <color indexed="64"/>
      </right>
      <top style="thin">
        <color rgb="FF7030A0"/>
      </top>
      <bottom style="thin">
        <color indexed="64"/>
      </bottom>
      <diagonal/>
    </border>
    <border>
      <left style="thin">
        <color indexed="64"/>
      </left>
      <right style="thin">
        <color rgb="FF7030A0"/>
      </right>
      <top style="thin">
        <color rgb="FF7030A0"/>
      </top>
      <bottom style="thin">
        <color indexed="64"/>
      </bottom>
      <diagonal/>
    </border>
    <border>
      <left style="thin">
        <color rgb="FF7030A0"/>
      </left>
      <right style="thin">
        <color indexed="64"/>
      </right>
      <top style="thin">
        <color indexed="64"/>
      </top>
      <bottom style="thin">
        <color indexed="64"/>
      </bottom>
      <diagonal/>
    </border>
    <border>
      <left style="thin">
        <color indexed="64"/>
      </left>
      <right style="thin">
        <color rgb="FF7030A0"/>
      </right>
      <top style="thin">
        <color indexed="64"/>
      </top>
      <bottom style="thin">
        <color indexed="64"/>
      </bottom>
      <diagonal/>
    </border>
    <border>
      <left style="thin">
        <color rgb="FF7030A0"/>
      </left>
      <right/>
      <top/>
      <bottom/>
      <diagonal/>
    </border>
    <border>
      <left/>
      <right style="thin">
        <color rgb="FF7030A0"/>
      </right>
      <top/>
      <bottom/>
      <diagonal/>
    </border>
    <border>
      <left style="thin">
        <color rgb="FF7030A0"/>
      </left>
      <right/>
      <top style="thin">
        <color indexed="64"/>
      </top>
      <bottom/>
      <diagonal/>
    </border>
    <border>
      <left/>
      <right style="thin">
        <color rgb="FF7030A0"/>
      </right>
      <top style="thin">
        <color indexed="64"/>
      </top>
      <bottom/>
      <diagonal/>
    </border>
    <border>
      <left style="thin">
        <color rgb="FF7030A0"/>
      </left>
      <right/>
      <top/>
      <bottom style="thin">
        <color rgb="FF7030A0"/>
      </bottom>
      <diagonal/>
    </border>
    <border>
      <left/>
      <right/>
      <top/>
      <bottom style="thin">
        <color rgb="FF7030A0"/>
      </bottom>
      <diagonal/>
    </border>
    <border>
      <left/>
      <right style="thin">
        <color rgb="FF7030A0"/>
      </right>
      <top/>
      <bottom style="thin">
        <color rgb="FF7030A0"/>
      </bottom>
      <diagonal/>
    </border>
    <border>
      <left style="hair">
        <color indexed="64"/>
      </left>
      <right style="hair">
        <color indexed="64"/>
      </right>
      <top style="thin">
        <color indexed="64"/>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s>
  <cellStyleXfs count="142">
    <xf numFmtId="0" fontId="0" fillId="0" borderId="0">
      <protection locked="0"/>
    </xf>
    <xf numFmtId="0" fontId="1" fillId="0" borderId="0"/>
    <xf numFmtId="0" fontId="2" fillId="0" borderId="0"/>
    <xf numFmtId="0" fontId="1" fillId="0" borderId="0">
      <protection locked="0"/>
    </xf>
    <xf numFmtId="0" fontId="4" fillId="0" borderId="0">
      <protection locked="0"/>
    </xf>
    <xf numFmtId="43" fontId="1" fillId="0" borderId="0" applyFont="0" applyFill="0" applyBorder="0" applyAlignment="0" applyProtection="0"/>
    <xf numFmtId="9" fontId="2" fillId="0" borderId="0" applyFont="0" applyFill="0" applyBorder="0" applyAlignment="0" applyProtection="0"/>
    <xf numFmtId="177" fontId="2" fillId="0" borderId="0" applyFont="0" applyFill="0" applyBorder="0" applyAlignment="0" applyProtection="0"/>
    <xf numFmtId="0" fontId="1" fillId="0" borderId="0">
      <protection locked="0"/>
    </xf>
    <xf numFmtId="0" fontId="20" fillId="0" borderId="0">
      <protection locked="0"/>
    </xf>
    <xf numFmtId="0" fontId="1" fillId="0" borderId="0">
      <protection locked="0"/>
    </xf>
    <xf numFmtId="0" fontId="17" fillId="0" borderId="0"/>
    <xf numFmtId="0" fontId="17" fillId="0" borderId="0"/>
    <xf numFmtId="0" fontId="17" fillId="0" borderId="0"/>
    <xf numFmtId="0" fontId="17" fillId="0" borderId="0"/>
    <xf numFmtId="49" fontId="20" fillId="0" borderId="0" applyProtection="0">
      <alignment horizontal="left"/>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xf>
    <xf numFmtId="0" fontId="39" fillId="0" borderId="0">
      <alignment vertical="top"/>
      <protection locked="0"/>
    </xf>
    <xf numFmtId="0" fontId="39" fillId="0" borderId="0">
      <alignment vertical="top"/>
    </xf>
    <xf numFmtId="0" fontId="39" fillId="0" borderId="0">
      <alignment vertical="top"/>
      <protection locked="0"/>
    </xf>
    <xf numFmtId="0" fontId="39" fillId="0" borderId="0">
      <alignment vertical="top"/>
      <protection locked="0"/>
    </xf>
    <xf numFmtId="0" fontId="39" fillId="0" borderId="0">
      <alignment vertical="top"/>
      <protection locked="0"/>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182" fontId="20" fillId="0" borderId="0" applyFill="0" applyBorder="0" applyProtection="0">
      <alignment horizontal="right"/>
    </xf>
    <xf numFmtId="183" fontId="20" fillId="0" borderId="0" applyFill="0" applyBorder="0" applyProtection="0">
      <alignment horizontal="right"/>
    </xf>
    <xf numFmtId="184" fontId="40" fillId="0" borderId="0" applyFill="0" applyBorder="0" applyProtection="0">
      <alignment horizontal="center"/>
    </xf>
    <xf numFmtId="185" fontId="40" fillId="0" borderId="0" applyFill="0" applyBorder="0" applyProtection="0">
      <alignment horizontal="center"/>
    </xf>
    <xf numFmtId="186" fontId="41" fillId="0" borderId="0" applyFill="0" applyBorder="0" applyProtection="0">
      <alignment horizontal="right"/>
    </xf>
    <xf numFmtId="187" fontId="20" fillId="0" borderId="0" applyFill="0" applyBorder="0" applyProtection="0">
      <alignment horizontal="right"/>
    </xf>
    <xf numFmtId="188" fontId="20" fillId="0" borderId="0" applyFill="0" applyBorder="0" applyProtection="0">
      <alignment horizontal="right"/>
    </xf>
    <xf numFmtId="189" fontId="20" fillId="0" borderId="0" applyFill="0" applyBorder="0" applyProtection="0">
      <alignment horizontal="right"/>
    </xf>
    <xf numFmtId="190" fontId="20" fillId="0" borderId="0" applyFill="0" applyBorder="0" applyProtection="0">
      <alignment horizontal="right"/>
    </xf>
    <xf numFmtId="191" fontId="42" fillId="0" borderId="0" applyFont="0" applyFill="0" applyBorder="0" applyAlignment="0" applyProtection="0"/>
    <xf numFmtId="179" fontId="42" fillId="0" borderId="0" applyFont="0" applyFill="0" applyBorder="0" applyAlignment="0" applyProtection="0"/>
    <xf numFmtId="10" fontId="42" fillId="0" borderId="0" applyFont="0" applyFill="0" applyBorder="0" applyAlignment="0" applyProtection="0"/>
    <xf numFmtId="3" fontId="43" fillId="0" borderId="0"/>
    <xf numFmtId="192" fontId="44" fillId="0" borderId="51" applyAlignment="0" applyProtection="0"/>
    <xf numFmtId="193" fontId="1" fillId="0" borderId="0" applyFill="0" applyBorder="0" applyAlignment="0"/>
    <xf numFmtId="0" fontId="45" fillId="0" borderId="49" applyNumberFormat="0" applyFill="0" applyProtection="0">
      <alignment horizontal="center"/>
    </xf>
    <xf numFmtId="0" fontId="46" fillId="0" borderId="52">
      <alignment horizontal="center"/>
    </xf>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194" fontId="17" fillId="0" borderId="0"/>
    <xf numFmtId="38" fontId="47" fillId="0" borderId="0" applyFont="0" applyFill="0" applyBorder="0" applyAlignment="0" applyProtection="0"/>
    <xf numFmtId="37" fontId="42" fillId="0" borderId="0" applyFont="0" applyFill="0" applyBorder="0" applyAlignment="0" applyProtection="0"/>
    <xf numFmtId="195" fontId="42" fillId="0" borderId="0" applyFont="0" applyFill="0" applyBorder="0" applyAlignment="0" applyProtection="0"/>
    <xf numFmtId="39" fontId="42" fillId="0" borderId="0" applyFont="0" applyFill="0" applyBorder="0" applyAlignment="0" applyProtection="0"/>
    <xf numFmtId="40" fontId="47" fillId="0" borderId="0" applyFont="0" applyFill="0" applyBorder="0" applyAlignment="0" applyProtection="0"/>
    <xf numFmtId="196" fontId="1" fillId="0" borderId="0" applyFont="0" applyFill="0" applyBorder="0" applyAlignment="0" applyProtection="0"/>
    <xf numFmtId="192" fontId="42" fillId="0" borderId="0" applyFont="0" applyFill="0" applyBorder="0" applyAlignment="0" applyProtection="0"/>
    <xf numFmtId="197" fontId="42" fillId="0" borderId="0" applyFont="0" applyFill="0" applyBorder="0" applyAlignment="0" applyProtection="0"/>
    <xf numFmtId="198" fontId="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21" fillId="0" borderId="0">
      <alignment horizontal="left"/>
    </xf>
    <xf numFmtId="0" fontId="48" fillId="9" borderId="53"/>
    <xf numFmtId="199" fontId="20" fillId="0" borderId="0" applyFont="0" applyFill="0" applyBorder="0" applyAlignment="0" applyProtection="0"/>
    <xf numFmtId="0" fontId="49" fillId="0" borderId="0" applyNumberFormat="0" applyFill="0" applyBorder="0" applyAlignment="0" applyProtection="0">
      <alignment vertical="top"/>
      <protection locked="0"/>
    </xf>
    <xf numFmtId="38" fontId="48" fillId="3" borderId="0" applyNumberFormat="0" applyBorder="0" applyAlignment="0" applyProtection="0"/>
    <xf numFmtId="0" fontId="50" fillId="0" borderId="54" applyNumberFormat="0" applyAlignment="0" applyProtection="0">
      <alignment horizontal="left" vertical="center"/>
    </xf>
    <xf numFmtId="0" fontId="50" fillId="0" borderId="8">
      <alignment horizontal="left" vertical="center"/>
    </xf>
    <xf numFmtId="14" fontId="33" fillId="10" borderId="55">
      <alignment horizontal="center" vertical="center" wrapText="1"/>
    </xf>
    <xf numFmtId="0" fontId="51" fillId="0" borderId="0" applyNumberFormat="0" applyFill="0" applyBorder="0" applyAlignment="0" applyProtection="0">
      <alignment vertical="top"/>
      <protection locked="0"/>
    </xf>
    <xf numFmtId="10" fontId="48" fillId="11" borderId="53" applyNumberFormat="0" applyBorder="0" applyAlignment="0" applyProtection="0"/>
    <xf numFmtId="0" fontId="20" fillId="0" borderId="0" applyNumberFormat="0" applyFont="0" applyFill="0" applyBorder="0" applyProtection="0">
      <alignment horizontal="left" vertical="center"/>
    </xf>
    <xf numFmtId="41" fontId="17" fillId="0" borderId="0" applyFont="0" applyFill="0" applyBorder="0" applyAlignment="0" applyProtection="0"/>
    <xf numFmtId="43" fontId="17"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17" fillId="0" borderId="0" applyFont="0" applyFill="0" applyBorder="0" applyAlignment="0" applyProtection="0"/>
    <xf numFmtId="203" fontId="17" fillId="0" borderId="0" applyFont="0" applyFill="0" applyBorder="0" applyAlignment="0" applyProtection="0"/>
    <xf numFmtId="204" fontId="17" fillId="0" borderId="0" applyFont="0" applyFill="0" applyBorder="0" applyAlignment="0" applyProtection="0"/>
    <xf numFmtId="205" fontId="1" fillId="0" borderId="0" applyFont="0" applyFill="0" applyBorder="0" applyAlignment="0" applyProtection="0"/>
    <xf numFmtId="37" fontId="52" fillId="0" borderId="0"/>
    <xf numFmtId="0" fontId="53" fillId="0" borderId="0"/>
    <xf numFmtId="206" fontId="1" fillId="0" borderId="0"/>
    <xf numFmtId="0" fontId="47" fillId="0" borderId="0"/>
    <xf numFmtId="0" fontId="54" fillId="0" borderId="0"/>
    <xf numFmtId="207" fontId="17" fillId="0" borderId="0" applyFont="0" applyFill="0" applyBorder="0" applyAlignment="0" applyProtection="0"/>
    <xf numFmtId="10" fontId="17" fillId="0" borderId="0" applyFont="0" applyFill="0" applyBorder="0" applyAlignment="0" applyProtection="0"/>
    <xf numFmtId="0" fontId="48" fillId="3" borderId="53"/>
    <xf numFmtId="4" fontId="21" fillId="0" borderId="0">
      <alignment horizontal="right"/>
    </xf>
    <xf numFmtId="3" fontId="55" fillId="0" borderId="0"/>
    <xf numFmtId="4" fontId="56" fillId="0" borderId="0">
      <alignment horizontal="right"/>
    </xf>
    <xf numFmtId="0" fontId="57" fillId="12" borderId="0">
      <alignment horizontal="left" vertical="center"/>
    </xf>
    <xf numFmtId="0" fontId="57" fillId="12" borderId="0">
      <alignment horizontal="right" vertical="center"/>
    </xf>
    <xf numFmtId="0" fontId="58" fillId="0" borderId="0">
      <alignment horizontal="left"/>
    </xf>
    <xf numFmtId="0" fontId="59" fillId="0" borderId="53">
      <alignment horizontal="center"/>
    </xf>
    <xf numFmtId="0" fontId="59" fillId="0" borderId="0">
      <alignment horizontal="center" vertical="center"/>
    </xf>
    <xf numFmtId="0" fontId="60" fillId="13" borderId="0" applyNumberFormat="0" applyFill="0">
      <alignment horizontal="left" vertical="center"/>
    </xf>
    <xf numFmtId="0" fontId="61" fillId="0" borderId="0" applyFill="0" applyBorder="0" applyProtection="0">
      <alignment horizontal="left" vertical="top"/>
    </xf>
    <xf numFmtId="0" fontId="23" fillId="0" borderId="0">
      <alignment horizontal="center"/>
    </xf>
    <xf numFmtId="0" fontId="62" fillId="0" borderId="0" applyNumberFormat="0" applyFont="0" applyFill="0" applyBorder="0" applyProtection="0">
      <alignment horizontal="center" vertical="center" wrapText="1"/>
    </xf>
    <xf numFmtId="9" fontId="63" fillId="0" borderId="0" applyFont="0" applyFill="0" applyBorder="0" applyAlignment="0" applyProtection="0"/>
    <xf numFmtId="4" fontId="64" fillId="0" borderId="0">
      <alignment horizontal="right"/>
    </xf>
    <xf numFmtId="0" fontId="65" fillId="0" borderId="0" applyNumberFormat="0" applyFill="0" applyBorder="0" applyAlignment="0" applyProtection="0">
      <alignment vertical="top"/>
      <protection locked="0"/>
    </xf>
    <xf numFmtId="0" fontId="44" fillId="0" borderId="0" applyNumberFormat="0" applyFill="0" applyBorder="0" applyAlignment="0" applyProtection="0"/>
    <xf numFmtId="4" fontId="62" fillId="0" borderId="0" applyFont="0" applyFill="0" applyBorder="0" applyAlignment="0" applyProtection="0"/>
    <xf numFmtId="41" fontId="17" fillId="0" borderId="0" applyFont="0" applyFill="0" applyBorder="0" applyAlignment="0" applyProtection="0"/>
    <xf numFmtId="208" fontId="2" fillId="0" borderId="0" applyFont="0" applyFill="0" applyBorder="0" applyAlignment="0" applyProtection="0"/>
    <xf numFmtId="8" fontId="1" fillId="0" borderId="0" applyFont="0" applyFill="0" applyBorder="0" applyAlignment="0" applyProtection="0"/>
    <xf numFmtId="209" fontId="2" fillId="0" borderId="0" applyFont="0" applyFill="0" applyBorder="0" applyAlignment="0" applyProtection="0"/>
    <xf numFmtId="210" fontId="2" fillId="0" borderId="0" applyFont="0" applyFill="0" applyBorder="0" applyAlignment="0" applyProtection="0"/>
    <xf numFmtId="0" fontId="20" fillId="0" borderId="0"/>
    <xf numFmtId="0" fontId="20" fillId="0" borderId="0" applyFont="0" applyFill="0" applyBorder="0" applyAlignment="0" applyProtection="0"/>
    <xf numFmtId="0" fontId="20"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66" fillId="0" borderId="0"/>
    <xf numFmtId="203" fontId="17" fillId="0" borderId="0" applyFont="0" applyFill="0" applyBorder="0" applyAlignment="0" applyProtection="0"/>
    <xf numFmtId="211" fontId="1" fillId="0" borderId="0" applyFont="0" applyFill="0" applyBorder="0" applyAlignment="0" applyProtection="0"/>
    <xf numFmtId="38" fontId="67" fillId="0" borderId="0" applyFont="0" applyFill="0" applyBorder="0" applyAlignment="0" applyProtection="0"/>
    <xf numFmtId="40" fontId="67" fillId="0" borderId="0" applyFont="0" applyFill="0" applyBorder="0" applyAlignment="0" applyProtection="0"/>
    <xf numFmtId="0" fontId="67" fillId="0" borderId="0" applyFont="0" applyFill="0" applyBorder="0" applyAlignment="0" applyProtection="0"/>
    <xf numFmtId="0" fontId="67" fillId="0" borderId="0" applyFont="0" applyFill="0" applyBorder="0" applyAlignment="0" applyProtection="0"/>
    <xf numFmtId="0" fontId="68" fillId="0" borderId="0"/>
    <xf numFmtId="0" fontId="2" fillId="0" borderId="0">
      <alignment vertical="center" shrinkToFit="1"/>
    </xf>
    <xf numFmtId="43" fontId="89" fillId="0" borderId="0" applyFont="0" applyFill="0" applyBorder="0" applyAlignment="0" applyProtection="0">
      <alignment vertical="center"/>
    </xf>
  </cellStyleXfs>
  <cellXfs count="392">
    <xf numFmtId="0" fontId="0" fillId="0" borderId="0" xfId="0">
      <protection locked="0"/>
    </xf>
    <xf numFmtId="0" fontId="10" fillId="0" borderId="0" xfId="1" applyFont="1"/>
    <xf numFmtId="0" fontId="8" fillId="0" borderId="0" xfId="1" applyFont="1" applyBorder="1" applyAlignment="1">
      <alignment horizontal="left" vertical="center"/>
    </xf>
    <xf numFmtId="0" fontId="8" fillId="0" borderId="14" xfId="1" applyFont="1" applyBorder="1" applyAlignment="1">
      <alignment vertical="center"/>
    </xf>
    <xf numFmtId="0" fontId="8" fillId="0" borderId="9" xfId="1" applyFont="1" applyBorder="1" applyAlignment="1">
      <alignment vertical="center"/>
    </xf>
    <xf numFmtId="0" fontId="8" fillId="0" borderId="15" xfId="1" quotePrefix="1" applyFont="1" applyBorder="1" applyAlignment="1">
      <alignment horizontal="left" vertical="center"/>
    </xf>
    <xf numFmtId="0" fontId="8" fillId="0" borderId="0" xfId="1" applyFont="1" applyBorder="1" applyAlignment="1">
      <alignment vertical="center"/>
    </xf>
    <xf numFmtId="0" fontId="8" fillId="0" borderId="16" xfId="1" applyFont="1" applyBorder="1" applyAlignment="1">
      <alignment vertical="center"/>
    </xf>
    <xf numFmtId="0" fontId="8" fillId="0" borderId="15" xfId="1" applyFont="1" applyBorder="1" applyAlignment="1">
      <alignment horizontal="left" vertical="center"/>
    </xf>
    <xf numFmtId="0" fontId="8" fillId="0" borderId="17" xfId="1" applyFont="1" applyBorder="1" applyAlignment="1">
      <alignment horizontal="centerContinuous" vertical="center"/>
    </xf>
    <xf numFmtId="0" fontId="8" fillId="0" borderId="15" xfId="1" applyFont="1" applyBorder="1" applyAlignment="1">
      <alignment vertical="center"/>
    </xf>
    <xf numFmtId="0" fontId="8" fillId="0" borderId="0" xfId="1" applyFont="1" applyBorder="1" applyAlignment="1">
      <alignment vertical="center" wrapText="1"/>
    </xf>
    <xf numFmtId="0" fontId="8" fillId="0" borderId="11" xfId="1" applyFont="1" applyBorder="1" applyAlignment="1">
      <alignment vertical="center"/>
    </xf>
    <xf numFmtId="0" fontId="8" fillId="0" borderId="18" xfId="1" applyFont="1" applyBorder="1" applyAlignment="1">
      <alignment vertical="center" wrapText="1"/>
    </xf>
    <xf numFmtId="0" fontId="5" fillId="0" borderId="0" xfId="1" applyFont="1" applyBorder="1" applyAlignment="1">
      <alignment horizontal="left" vertical="center"/>
    </xf>
    <xf numFmtId="0" fontId="13" fillId="0" borderId="0" xfId="1" applyFont="1"/>
    <xf numFmtId="0" fontId="14" fillId="0" borderId="0" xfId="1" applyFont="1" applyBorder="1" applyAlignment="1">
      <alignment vertical="center"/>
    </xf>
    <xf numFmtId="0" fontId="14" fillId="0" borderId="15" xfId="1" applyFont="1" applyBorder="1" applyAlignment="1">
      <alignment vertical="center"/>
    </xf>
    <xf numFmtId="0" fontId="14" fillId="0" borderId="15" xfId="1" applyFont="1" applyBorder="1" applyAlignment="1"/>
    <xf numFmtId="0" fontId="14" fillId="0" borderId="0" xfId="1" applyFont="1" applyBorder="1" applyAlignment="1"/>
    <xf numFmtId="0" fontId="14" fillId="0" borderId="11" xfId="1" applyFont="1" applyBorder="1" applyAlignment="1"/>
    <xf numFmtId="0" fontId="14" fillId="0" borderId="18" xfId="1" applyFont="1" applyBorder="1" applyAlignment="1"/>
    <xf numFmtId="0" fontId="6" fillId="0" borderId="5" xfId="1" applyFont="1" applyBorder="1" applyAlignment="1">
      <alignment vertical="center"/>
    </xf>
    <xf numFmtId="0" fontId="5" fillId="0" borderId="15" xfId="1" applyFont="1" applyBorder="1" applyAlignment="1">
      <alignment vertical="center"/>
    </xf>
    <xf numFmtId="0" fontId="8" fillId="0" borderId="4" xfId="1" applyFont="1" applyBorder="1" applyAlignment="1">
      <alignment horizontal="centerContinuous" vertical="center"/>
    </xf>
    <xf numFmtId="0" fontId="8" fillId="0" borderId="22" xfId="1" applyFont="1" applyBorder="1" applyAlignment="1">
      <alignment vertical="center"/>
    </xf>
    <xf numFmtId="0" fontId="8" fillId="0" borderId="10" xfId="1" applyFont="1" applyBorder="1" applyAlignment="1">
      <alignment vertical="center"/>
    </xf>
    <xf numFmtId="0" fontId="14" fillId="0" borderId="22" xfId="1" applyFont="1" applyBorder="1" applyAlignment="1">
      <alignment vertical="center"/>
    </xf>
    <xf numFmtId="0" fontId="14" fillId="0" borderId="10" xfId="1" applyFont="1" applyBorder="1" applyAlignment="1">
      <alignment vertical="center"/>
    </xf>
    <xf numFmtId="0" fontId="6" fillId="0" borderId="7" xfId="1" applyFont="1" applyBorder="1" applyAlignment="1">
      <alignment vertical="center"/>
    </xf>
    <xf numFmtId="0" fontId="1" fillId="0" borderId="0" xfId="3" applyFill="1" applyAlignment="1" applyProtection="1">
      <alignment vertical="center"/>
      <protection hidden="1"/>
    </xf>
    <xf numFmtId="176" fontId="8" fillId="0" borderId="0" xfId="4" applyNumberFormat="1" applyFont="1" applyAlignment="1">
      <alignment vertical="center"/>
      <protection locked="0"/>
    </xf>
    <xf numFmtId="176" fontId="8" fillId="0" borderId="0" xfId="4" applyNumberFormat="1" applyFont="1" applyAlignment="1" applyProtection="1">
      <alignment vertical="center"/>
    </xf>
    <xf numFmtId="0" fontId="8" fillId="0" borderId="1" xfId="3" applyFont="1" applyFill="1" applyBorder="1" applyAlignment="1" applyProtection="1">
      <alignment horizontal="center" vertical="center" shrinkToFit="1"/>
    </xf>
    <xf numFmtId="0" fontId="8" fillId="0" borderId="1" xfId="3" applyFont="1" applyFill="1" applyBorder="1" applyAlignment="1" applyProtection="1">
      <alignment horizontal="left" vertical="center" shrinkToFit="1"/>
    </xf>
    <xf numFmtId="43" fontId="7" fillId="0" borderId="4" xfId="5" applyNumberFormat="1" applyFont="1" applyFill="1" applyBorder="1" applyAlignment="1" applyProtection="1">
      <alignment horizontal="right" vertical="center" shrinkToFit="1"/>
    </xf>
    <xf numFmtId="10" fontId="7" fillId="0" borderId="4" xfId="6" applyNumberFormat="1" applyFont="1" applyFill="1" applyBorder="1" applyAlignment="1" applyProtection="1">
      <alignment horizontal="center" vertical="center" shrinkToFit="1"/>
    </xf>
    <xf numFmtId="43" fontId="22" fillId="0" borderId="4" xfId="5" applyNumberFormat="1" applyFont="1" applyFill="1" applyBorder="1" applyAlignment="1" applyProtection="1">
      <alignment horizontal="right" vertical="center" shrinkToFit="1"/>
    </xf>
    <xf numFmtId="10" fontId="22" fillId="0" borderId="4" xfId="6" applyNumberFormat="1" applyFont="1" applyFill="1" applyBorder="1" applyAlignment="1" applyProtection="1">
      <alignment horizontal="center" vertical="center" shrinkToFit="1"/>
    </xf>
    <xf numFmtId="43" fontId="22" fillId="0" borderId="30" xfId="5" applyNumberFormat="1" applyFont="1" applyFill="1" applyBorder="1" applyAlignment="1" applyProtection="1">
      <alignment horizontal="right" vertical="center" shrinkToFit="1"/>
    </xf>
    <xf numFmtId="10" fontId="22" fillId="0" borderId="30" xfId="6" applyNumberFormat="1" applyFont="1" applyFill="1" applyBorder="1" applyAlignment="1" applyProtection="1">
      <alignment horizontal="center" vertical="center" shrinkToFit="1"/>
    </xf>
    <xf numFmtId="43" fontId="22" fillId="0" borderId="31" xfId="5" applyNumberFormat="1" applyFont="1" applyFill="1" applyBorder="1" applyAlignment="1" applyProtection="1">
      <alignment horizontal="right" vertical="center" shrinkToFit="1"/>
    </xf>
    <xf numFmtId="10" fontId="22" fillId="0" borderId="31" xfId="6" applyNumberFormat="1" applyFont="1" applyFill="1" applyBorder="1" applyAlignment="1" applyProtection="1">
      <alignment horizontal="center" vertical="center" shrinkToFit="1"/>
    </xf>
    <xf numFmtId="0" fontId="5" fillId="0" borderId="0" xfId="3" applyFont="1" applyFill="1" applyAlignment="1" applyProtection="1">
      <alignment vertical="center"/>
      <protection hidden="1"/>
    </xf>
    <xf numFmtId="176" fontId="8" fillId="0" borderId="0" xfId="4" applyNumberFormat="1" applyFont="1" applyAlignment="1" applyProtection="1">
      <alignment horizontal="left" vertical="center"/>
    </xf>
    <xf numFmtId="0" fontId="10" fillId="0" borderId="1" xfId="3" applyFont="1" applyFill="1" applyBorder="1" applyAlignment="1" applyProtection="1">
      <alignment vertical="center" shrinkToFit="1"/>
    </xf>
    <xf numFmtId="10" fontId="7" fillId="0" borderId="4" xfId="6" applyNumberFormat="1" applyFont="1" applyFill="1" applyBorder="1" applyAlignment="1" applyProtection="1">
      <alignment horizontal="right" vertical="center" shrinkToFit="1"/>
    </xf>
    <xf numFmtId="43" fontId="7" fillId="0" borderId="4" xfId="5" applyNumberFormat="1" applyFont="1" applyFill="1" applyBorder="1" applyAlignment="1" applyProtection="1">
      <alignment horizontal="center" vertical="center" shrinkToFit="1"/>
    </xf>
    <xf numFmtId="10" fontId="22" fillId="0" borderId="4" xfId="6" applyNumberFormat="1" applyFont="1" applyFill="1" applyBorder="1" applyAlignment="1" applyProtection="1">
      <alignment horizontal="right" vertical="center" shrinkToFit="1"/>
    </xf>
    <xf numFmtId="43" fontId="22" fillId="0" borderId="4" xfId="5" applyNumberFormat="1" applyFont="1" applyFill="1" applyBorder="1" applyAlignment="1" applyProtection="1">
      <alignment horizontal="center" vertical="center" shrinkToFit="1"/>
    </xf>
    <xf numFmtId="43" fontId="22" fillId="0" borderId="12" xfId="5" applyNumberFormat="1" applyFont="1" applyFill="1" applyBorder="1" applyAlignment="1" applyProtection="1">
      <alignment horizontal="right" vertical="center" shrinkToFit="1"/>
    </xf>
    <xf numFmtId="43" fontId="9" fillId="0" borderId="30" xfId="5" applyNumberFormat="1" applyFont="1" applyFill="1" applyBorder="1" applyAlignment="1" applyProtection="1">
      <alignment horizontal="center" vertical="center" shrinkToFit="1"/>
    </xf>
    <xf numFmtId="10" fontId="22" fillId="0" borderId="30" xfId="6" applyNumberFormat="1" applyFont="1" applyFill="1" applyBorder="1" applyAlignment="1" applyProtection="1">
      <alignment horizontal="right" vertical="center" shrinkToFit="1"/>
    </xf>
    <xf numFmtId="43" fontId="22" fillId="0" borderId="30" xfId="5" applyNumberFormat="1" applyFont="1" applyFill="1" applyBorder="1" applyAlignment="1" applyProtection="1">
      <alignment horizontal="center" vertical="center" shrinkToFit="1"/>
    </xf>
    <xf numFmtId="176" fontId="8" fillId="0" borderId="0" xfId="4" applyNumberFormat="1" applyFont="1" applyBorder="1" applyAlignment="1">
      <alignment vertical="center"/>
      <protection locked="0"/>
    </xf>
    <xf numFmtId="176" fontId="8" fillId="0" borderId="0" xfId="4" applyNumberFormat="1" applyFont="1" applyBorder="1" applyAlignment="1" applyProtection="1">
      <alignment horizontal="left" vertical="center"/>
    </xf>
    <xf numFmtId="43" fontId="26" fillId="0" borderId="0" xfId="7" applyNumberFormat="1" applyFont="1" applyFill="1" applyBorder="1" applyAlignment="1">
      <alignment vertical="center"/>
    </xf>
    <xf numFmtId="43" fontId="6" fillId="0" borderId="10" xfId="5" applyFont="1" applyFill="1" applyBorder="1" applyAlignment="1" applyProtection="1">
      <alignment vertical="center" shrinkToFit="1"/>
    </xf>
    <xf numFmtId="10" fontId="9" fillId="0" borderId="4" xfId="6" applyNumberFormat="1" applyFont="1" applyFill="1" applyBorder="1" applyAlignment="1" applyProtection="1">
      <alignment horizontal="center" vertical="center" shrinkToFit="1"/>
    </xf>
    <xf numFmtId="43" fontId="6" fillId="0" borderId="4" xfId="5" applyNumberFormat="1" applyFont="1" applyFill="1" applyBorder="1" applyAlignment="1" applyProtection="1">
      <alignment horizontal="center" vertical="center" shrinkToFit="1"/>
    </xf>
    <xf numFmtId="43" fontId="8" fillId="0" borderId="10" xfId="5" applyFont="1" applyFill="1" applyBorder="1" applyAlignment="1" applyProtection="1">
      <alignment vertical="center" shrinkToFit="1"/>
    </xf>
    <xf numFmtId="43" fontId="8" fillId="0" borderId="4" xfId="5" applyFont="1" applyFill="1" applyBorder="1" applyAlignment="1" applyProtection="1">
      <alignment vertical="center" shrinkToFit="1"/>
    </xf>
    <xf numFmtId="43" fontId="8" fillId="0" borderId="4" xfId="5" applyNumberFormat="1" applyFont="1" applyFill="1" applyBorder="1" applyAlignment="1" applyProtection="1">
      <alignment horizontal="center" vertical="center" shrinkToFit="1"/>
    </xf>
    <xf numFmtId="43" fontId="27" fillId="0" borderId="4" xfId="5" applyFont="1" applyFill="1" applyBorder="1" applyAlignment="1" applyProtection="1">
      <alignment vertical="center" shrinkToFit="1"/>
    </xf>
    <xf numFmtId="43" fontId="27" fillId="0" borderId="4" xfId="5" applyNumberFormat="1" applyFont="1" applyFill="1" applyBorder="1" applyAlignment="1" applyProtection="1">
      <alignment horizontal="center" vertical="center" shrinkToFit="1"/>
    </xf>
    <xf numFmtId="43" fontId="6" fillId="0" borderId="4" xfId="5" applyFont="1" applyFill="1" applyBorder="1" applyAlignment="1" applyProtection="1">
      <alignment vertical="center" shrinkToFit="1"/>
    </xf>
    <xf numFmtId="43" fontId="8" fillId="0" borderId="6" xfId="5" applyFont="1" applyFill="1" applyBorder="1" applyAlignment="1" applyProtection="1">
      <alignment vertical="center" shrinkToFit="1"/>
    </xf>
    <xf numFmtId="10" fontId="7" fillId="0" borderId="6" xfId="6" applyNumberFormat="1" applyFont="1" applyFill="1" applyBorder="1" applyAlignment="1" applyProtection="1">
      <alignment horizontal="center" vertical="center" shrinkToFit="1"/>
    </xf>
    <xf numFmtId="43" fontId="8" fillId="0" borderId="6" xfId="5" applyNumberFormat="1" applyFont="1" applyFill="1" applyBorder="1" applyAlignment="1" applyProtection="1">
      <alignment horizontal="center" vertical="center" shrinkToFit="1"/>
    </xf>
    <xf numFmtId="43" fontId="27" fillId="0" borderId="30" xfId="5" applyFont="1" applyFill="1" applyBorder="1" applyAlignment="1" applyProtection="1">
      <alignment vertical="center" shrinkToFit="1"/>
    </xf>
    <xf numFmtId="10" fontId="30" fillId="0" borderId="30" xfId="6" applyNumberFormat="1" applyFont="1" applyFill="1" applyBorder="1" applyAlignment="1" applyProtection="1">
      <alignment horizontal="center" vertical="center" shrinkToFit="1"/>
    </xf>
    <xf numFmtId="43" fontId="27" fillId="0" borderId="30" xfId="5" applyFont="1" applyFill="1" applyBorder="1" applyAlignment="1" applyProtection="1">
      <alignment horizontal="center" vertical="center" shrinkToFit="1"/>
    </xf>
    <xf numFmtId="43" fontId="8" fillId="0" borderId="0" xfId="5" applyFont="1" applyFill="1" applyAlignment="1" applyProtection="1">
      <alignment vertical="center"/>
      <protection locked="0"/>
    </xf>
    <xf numFmtId="43" fontId="8" fillId="0" borderId="0" xfId="5" applyFont="1" applyFill="1" applyAlignment="1" applyProtection="1">
      <alignment vertical="center"/>
      <protection hidden="1"/>
    </xf>
    <xf numFmtId="10" fontId="9" fillId="0" borderId="4" xfId="6" applyNumberFormat="1" applyFont="1" applyFill="1" applyBorder="1" applyAlignment="1" applyProtection="1">
      <alignment horizontal="right" vertical="center" shrinkToFit="1"/>
    </xf>
    <xf numFmtId="43" fontId="27" fillId="0" borderId="10" xfId="5" applyFont="1" applyFill="1" applyBorder="1" applyAlignment="1" applyProtection="1">
      <alignment vertical="center" shrinkToFit="1"/>
    </xf>
    <xf numFmtId="43" fontId="9" fillId="0" borderId="4" xfId="5" applyNumberFormat="1" applyFont="1" applyFill="1" applyBorder="1" applyAlignment="1" applyProtection="1">
      <alignment horizontal="center" vertical="center" shrinkToFit="1"/>
    </xf>
    <xf numFmtId="43" fontId="8" fillId="0" borderId="22" xfId="5" applyFont="1" applyFill="1" applyBorder="1" applyAlignment="1" applyProtection="1">
      <alignment vertical="center" shrinkToFit="1"/>
    </xf>
    <xf numFmtId="10" fontId="7" fillId="0" borderId="6" xfId="6" applyNumberFormat="1" applyFont="1" applyFill="1" applyBorder="1" applyAlignment="1" applyProtection="1">
      <alignment horizontal="right" vertical="center" shrinkToFit="1"/>
    </xf>
    <xf numFmtId="43" fontId="7" fillId="0" borderId="6" xfId="5" applyNumberFormat="1" applyFont="1" applyFill="1" applyBorder="1" applyAlignment="1" applyProtection="1">
      <alignment horizontal="center" vertical="center" shrinkToFit="1"/>
    </xf>
    <xf numFmtId="10" fontId="27" fillId="0" borderId="30" xfId="6" applyNumberFormat="1" applyFont="1" applyFill="1" applyBorder="1" applyAlignment="1" applyProtection="1">
      <alignment vertical="center" shrinkToFit="1"/>
    </xf>
    <xf numFmtId="10" fontId="27" fillId="0" borderId="30" xfId="6" applyNumberFormat="1" applyFont="1" applyFill="1" applyBorder="1" applyAlignment="1" applyProtection="1">
      <alignment horizontal="center" vertical="center" shrinkToFit="1"/>
    </xf>
    <xf numFmtId="0" fontId="4" fillId="0" borderId="0" xfId="3" applyFont="1" applyFill="1">
      <protection locked="0"/>
    </xf>
    <xf numFmtId="176" fontId="8" fillId="0" borderId="0" xfId="4" applyNumberFormat="1" applyFont="1" applyFill="1" applyAlignment="1">
      <alignment vertical="center" shrinkToFit="1"/>
      <protection locked="0"/>
    </xf>
    <xf numFmtId="176" fontId="8" fillId="0" borderId="0" xfId="4" applyNumberFormat="1" applyFont="1" applyFill="1" applyAlignment="1">
      <alignment vertical="center"/>
      <protection locked="0"/>
    </xf>
    <xf numFmtId="176" fontId="8" fillId="0" borderId="0" xfId="4" applyNumberFormat="1" applyFont="1" applyFill="1" applyAlignment="1" applyProtection="1">
      <alignment vertical="center"/>
    </xf>
    <xf numFmtId="176" fontId="31" fillId="0" borderId="0" xfId="4" applyNumberFormat="1" applyFont="1" applyFill="1" applyAlignment="1" applyProtection="1">
      <alignment horizontal="center" vertical="center"/>
    </xf>
    <xf numFmtId="43" fontId="4" fillId="0" borderId="0" xfId="8" applyNumberFormat="1" applyFont="1" applyFill="1" applyAlignment="1" applyProtection="1">
      <alignment vertical="center"/>
    </xf>
    <xf numFmtId="43" fontId="7" fillId="0" borderId="0" xfId="8" applyNumberFormat="1" applyFont="1" applyFill="1" applyAlignment="1">
      <alignment vertical="center"/>
      <protection locked="0"/>
    </xf>
    <xf numFmtId="43" fontId="7" fillId="0" borderId="0" xfId="8" applyNumberFormat="1" applyFont="1" applyFill="1" applyAlignment="1" applyProtection="1">
      <alignment vertical="center"/>
    </xf>
    <xf numFmtId="176" fontId="8" fillId="0" borderId="0" xfId="4" applyNumberFormat="1" applyFont="1" applyFill="1" applyAlignment="1" applyProtection="1">
      <alignment horizontal="left" vertical="center"/>
    </xf>
    <xf numFmtId="0" fontId="4" fillId="0" borderId="0" xfId="3" applyFont="1" applyFill="1" applyAlignment="1">
      <alignment horizontal="center" vertical="center" shrinkToFit="1"/>
      <protection locked="0"/>
    </xf>
    <xf numFmtId="0" fontId="4" fillId="0" borderId="0" xfId="3" applyFont="1" applyFill="1" applyBorder="1">
      <protection locked="0"/>
    </xf>
    <xf numFmtId="43" fontId="7" fillId="0" borderId="4" xfId="5" applyFont="1" applyFill="1" applyBorder="1" applyAlignment="1">
      <alignment horizontal="right" shrinkToFit="1"/>
    </xf>
    <xf numFmtId="179" fontId="7" fillId="0" borderId="4" xfId="3" applyNumberFormat="1" applyFont="1" applyFill="1" applyBorder="1" applyAlignment="1">
      <alignment horizontal="right"/>
      <protection locked="0"/>
    </xf>
    <xf numFmtId="43" fontId="7" fillId="3" borderId="4" xfId="5" applyFont="1" applyFill="1" applyBorder="1" applyAlignment="1">
      <alignment horizontal="right" shrinkToFit="1"/>
    </xf>
    <xf numFmtId="179" fontId="7" fillId="3" borderId="4" xfId="3" applyNumberFormat="1" applyFont="1" applyFill="1" applyBorder="1" applyAlignment="1">
      <alignment horizontal="right"/>
      <protection locked="0"/>
    </xf>
    <xf numFmtId="43" fontId="7" fillId="0" borderId="4" xfId="5" applyFont="1" applyFill="1" applyBorder="1" applyAlignment="1" applyProtection="1">
      <alignment horizontal="right"/>
      <protection locked="0"/>
    </xf>
    <xf numFmtId="43" fontId="7" fillId="0" borderId="4" xfId="5" applyFont="1" applyFill="1" applyBorder="1" applyAlignment="1" applyProtection="1">
      <alignment horizontal="center"/>
      <protection locked="0"/>
    </xf>
    <xf numFmtId="43" fontId="7" fillId="3" borderId="4" xfId="5" applyFont="1" applyFill="1" applyBorder="1" applyAlignment="1" applyProtection="1">
      <alignment horizontal="center"/>
      <protection locked="0"/>
    </xf>
    <xf numFmtId="179" fontId="7" fillId="3" borderId="4" xfId="3" applyNumberFormat="1" applyFont="1" applyFill="1" applyBorder="1" applyAlignment="1">
      <alignment horizontal="center"/>
      <protection locked="0"/>
    </xf>
    <xf numFmtId="43" fontId="7" fillId="0" borderId="6" xfId="5" applyFont="1" applyFill="1" applyBorder="1" applyAlignment="1">
      <alignment shrinkToFit="1"/>
    </xf>
    <xf numFmtId="179" fontId="7" fillId="0" borderId="6" xfId="3" applyNumberFormat="1" applyFont="1" applyFill="1" applyBorder="1" applyAlignment="1">
      <alignment horizontal="right"/>
      <protection locked="0"/>
    </xf>
    <xf numFmtId="43" fontId="7" fillId="0" borderId="6" xfId="5" applyFont="1" applyFill="1" applyBorder="1" applyAlignment="1">
      <alignment horizontal="right" shrinkToFit="1"/>
    </xf>
    <xf numFmtId="43" fontId="7" fillId="0" borderId="30" xfId="5" applyFont="1" applyFill="1" applyBorder="1" applyAlignment="1">
      <alignment shrinkToFit="1"/>
    </xf>
    <xf numFmtId="179" fontId="7" fillId="0" borderId="30" xfId="3" applyNumberFormat="1" applyFont="1" applyFill="1" applyBorder="1" applyAlignment="1">
      <alignment horizontal="right"/>
      <protection locked="0"/>
    </xf>
    <xf numFmtId="43" fontId="7" fillId="0" borderId="30" xfId="5" applyFont="1" applyFill="1" applyBorder="1" applyAlignment="1">
      <alignment horizontal="right" shrinkToFit="1"/>
    </xf>
    <xf numFmtId="0" fontId="4" fillId="0" borderId="0" xfId="3" applyFont="1" applyFill="1" applyBorder="1" applyAlignment="1">
      <alignment horizontal="center" shrinkToFit="1"/>
      <protection locked="0"/>
    </xf>
    <xf numFmtId="43" fontId="4" fillId="0" borderId="0" xfId="5" applyFont="1" applyFill="1" applyBorder="1"/>
    <xf numFmtId="0" fontId="4" fillId="0" borderId="0" xfId="3" applyFont="1" applyFill="1" applyBorder="1" applyAlignment="1">
      <alignment horizontal="center"/>
      <protection locked="0"/>
    </xf>
    <xf numFmtId="0" fontId="21" fillId="0" borderId="0" xfId="3" applyFont="1" applyFill="1" applyBorder="1">
      <protection locked="0"/>
    </xf>
    <xf numFmtId="0" fontId="4" fillId="0" borderId="0" xfId="3" applyFont="1" applyFill="1" applyAlignment="1">
      <alignment horizontal="center" shrinkToFit="1"/>
      <protection locked="0"/>
    </xf>
    <xf numFmtId="43" fontId="4" fillId="0" borderId="0" xfId="5" applyFont="1" applyFill="1"/>
    <xf numFmtId="0" fontId="4" fillId="0" borderId="0" xfId="3" applyFont="1" applyFill="1" applyAlignment="1">
      <alignment horizontal="center"/>
      <protection locked="0"/>
    </xf>
    <xf numFmtId="4" fontId="18" fillId="0" borderId="0" xfId="3" applyNumberFormat="1" applyFont="1" applyFill="1" applyAlignment="1" applyProtection="1">
      <alignment horizontal="center" vertical="center" shrinkToFit="1"/>
    </xf>
    <xf numFmtId="0" fontId="17" fillId="0" borderId="0" xfId="3" applyFont="1" applyFill="1" applyAlignment="1" applyProtection="1">
      <alignment vertical="center"/>
      <protection hidden="1"/>
    </xf>
    <xf numFmtId="0" fontId="8" fillId="5" borderId="0" xfId="9" applyFont="1" applyFill="1">
      <protection locked="0"/>
    </xf>
    <xf numFmtId="0" fontId="8" fillId="0" borderId="0" xfId="9" applyFont="1">
      <protection locked="0"/>
    </xf>
    <xf numFmtId="0" fontId="6" fillId="0" borderId="40" xfId="10" applyFont="1" applyFill="1" applyBorder="1" applyAlignment="1">
      <alignment horizontal="center" wrapText="1"/>
      <protection locked="0"/>
    </xf>
    <xf numFmtId="10" fontId="8" fillId="6" borderId="43" xfId="6" applyNumberFormat="1" applyFont="1" applyFill="1" applyBorder="1" applyAlignment="1" applyProtection="1">
      <alignment horizontal="center" wrapText="1"/>
      <protection locked="0"/>
    </xf>
    <xf numFmtId="10" fontId="8" fillId="0" borderId="43" xfId="6" applyNumberFormat="1" applyFont="1" applyFill="1" applyBorder="1" applyAlignment="1" applyProtection="1">
      <alignment horizontal="center" wrapText="1"/>
      <protection locked="0"/>
    </xf>
    <xf numFmtId="180" fontId="8" fillId="0" borderId="43" xfId="6" applyNumberFormat="1" applyFont="1" applyFill="1" applyBorder="1" applyAlignment="1" applyProtection="1">
      <alignment horizontal="center" wrapText="1"/>
      <protection locked="0"/>
    </xf>
    <xf numFmtId="180" fontId="8" fillId="0" borderId="44" xfId="6" applyNumberFormat="1" applyFont="1" applyFill="1" applyBorder="1" applyAlignment="1" applyProtection="1">
      <alignment horizontal="center" wrapText="1"/>
      <protection locked="0"/>
    </xf>
    <xf numFmtId="10" fontId="8" fillId="6" borderId="46" xfId="6" applyNumberFormat="1" applyFont="1" applyFill="1" applyBorder="1" applyAlignment="1" applyProtection="1">
      <alignment horizontal="center" wrapText="1"/>
      <protection locked="0"/>
    </xf>
    <xf numFmtId="10" fontId="8" fillId="0" borderId="46" xfId="6" applyNumberFormat="1" applyFont="1" applyFill="1" applyBorder="1" applyAlignment="1" applyProtection="1">
      <alignment horizontal="center" wrapText="1"/>
      <protection locked="0"/>
    </xf>
    <xf numFmtId="180" fontId="8" fillId="0" borderId="46" xfId="6" applyNumberFormat="1" applyFont="1" applyFill="1" applyBorder="1" applyAlignment="1" applyProtection="1">
      <alignment horizontal="center" wrapText="1"/>
      <protection locked="0"/>
    </xf>
    <xf numFmtId="180" fontId="8" fillId="0" borderId="47" xfId="6" applyNumberFormat="1" applyFont="1" applyFill="1" applyBorder="1" applyAlignment="1" applyProtection="1">
      <alignment horizontal="center" wrapText="1"/>
      <protection locked="0"/>
    </xf>
    <xf numFmtId="0" fontId="6" fillId="0" borderId="48" xfId="9" applyFont="1" applyBorder="1" applyAlignment="1">
      <alignment horizontal="center"/>
      <protection locked="0"/>
    </xf>
    <xf numFmtId="0" fontId="8" fillId="0" borderId="48" xfId="9" applyFont="1" applyBorder="1">
      <protection locked="0"/>
    </xf>
    <xf numFmtId="43" fontId="8" fillId="0" borderId="0" xfId="5" applyFont="1" applyBorder="1" applyAlignment="1" applyProtection="1">
      <alignment horizontal="center"/>
      <protection locked="0"/>
    </xf>
    <xf numFmtId="0" fontId="6" fillId="0" borderId="0" xfId="9" applyFont="1" applyBorder="1" applyAlignment="1">
      <alignment horizontal="center"/>
      <protection locked="0"/>
    </xf>
    <xf numFmtId="0" fontId="8" fillId="0" borderId="0" xfId="9" applyFont="1" applyBorder="1" applyAlignment="1">
      <alignment horizontal="centerContinuous"/>
      <protection locked="0"/>
    </xf>
    <xf numFmtId="0" fontId="8" fillId="0" borderId="0" xfId="9" applyFont="1" applyBorder="1">
      <protection locked="0"/>
    </xf>
    <xf numFmtId="0" fontId="8" fillId="0" borderId="49" xfId="9" applyFont="1" applyBorder="1" applyAlignment="1">
      <alignment horizontal="centerContinuous"/>
      <protection locked="0"/>
    </xf>
    <xf numFmtId="43" fontId="8" fillId="0" borderId="0" xfId="5" applyFont="1" applyBorder="1" applyProtection="1">
      <protection locked="0"/>
    </xf>
    <xf numFmtId="43" fontId="8" fillId="7" borderId="50" xfId="5" applyFont="1" applyFill="1" applyBorder="1" applyProtection="1">
      <protection locked="0"/>
    </xf>
    <xf numFmtId="43" fontId="8" fillId="0" borderId="49" xfId="5" applyFont="1" applyBorder="1" applyProtection="1">
      <protection locked="0"/>
    </xf>
    <xf numFmtId="4" fontId="8" fillId="0" borderId="0" xfId="9" applyNumberFormat="1" applyFont="1">
      <protection locked="0"/>
    </xf>
    <xf numFmtId="43" fontId="8" fillId="0" borderId="0" xfId="5" applyFont="1" applyProtection="1">
      <protection locked="0"/>
    </xf>
    <xf numFmtId="43" fontId="8" fillId="0" borderId="0" xfId="9" applyNumberFormat="1" applyFont="1">
      <protection locked="0"/>
    </xf>
    <xf numFmtId="43" fontId="8" fillId="7" borderId="0" xfId="5" applyFont="1" applyFill="1" applyBorder="1" applyProtection="1">
      <protection locked="0"/>
    </xf>
    <xf numFmtId="9" fontId="8" fillId="7" borderId="50" xfId="5" applyNumberFormat="1" applyFont="1" applyFill="1" applyBorder="1" applyAlignment="1" applyProtection="1">
      <alignment horizontal="center"/>
      <protection locked="0"/>
    </xf>
    <xf numFmtId="43" fontId="8" fillId="0" borderId="0" xfId="5" applyFont="1" applyFill="1" applyBorder="1" applyProtection="1">
      <protection locked="0"/>
    </xf>
    <xf numFmtId="43" fontId="8" fillId="7" borderId="0" xfId="9" applyNumberFormat="1" applyFont="1" applyFill="1">
      <protection locked="0"/>
    </xf>
    <xf numFmtId="0" fontId="8" fillId="6" borderId="0" xfId="9" applyFont="1" applyFill="1">
      <protection locked="0"/>
    </xf>
    <xf numFmtId="0" fontId="8" fillId="7" borderId="0" xfId="9" applyFont="1" applyFill="1">
      <protection locked="0"/>
    </xf>
    <xf numFmtId="4" fontId="8" fillId="7" borderId="0" xfId="9" applyNumberFormat="1" applyFont="1" applyFill="1">
      <protection locked="0"/>
    </xf>
    <xf numFmtId="0" fontId="8" fillId="0" borderId="0" xfId="9" applyFont="1" applyAlignment="1">
      <alignment horizontal="right"/>
      <protection locked="0"/>
    </xf>
    <xf numFmtId="0" fontId="8" fillId="0" borderId="0" xfId="9" applyFont="1" applyAlignment="1">
      <alignment horizontal="centerContinuous"/>
      <protection locked="0"/>
    </xf>
    <xf numFmtId="43" fontId="8" fillId="7" borderId="0" xfId="5" applyFont="1" applyFill="1" applyProtection="1">
      <protection locked="0"/>
    </xf>
    <xf numFmtId="43" fontId="8" fillId="8" borderId="0" xfId="5" applyFont="1" applyFill="1" applyProtection="1">
      <protection locked="0"/>
    </xf>
    <xf numFmtId="43" fontId="8" fillId="0" borderId="50" xfId="5" applyFont="1" applyBorder="1" applyProtection="1">
      <protection locked="0"/>
    </xf>
    <xf numFmtId="43" fontId="6" fillId="7" borderId="50" xfId="5" applyFont="1" applyFill="1" applyBorder="1" applyAlignment="1" applyProtection="1">
      <alignment horizontal="centerContinuous"/>
      <protection locked="0"/>
    </xf>
    <xf numFmtId="181" fontId="8" fillId="7" borderId="50" xfId="5" applyNumberFormat="1" applyFont="1" applyFill="1" applyBorder="1" applyProtection="1">
      <protection locked="0"/>
    </xf>
    <xf numFmtId="0" fontId="8" fillId="7" borderId="50" xfId="9" applyFont="1" applyFill="1" applyBorder="1">
      <protection locked="0"/>
    </xf>
    <xf numFmtId="181" fontId="8" fillId="7" borderId="0" xfId="5" applyNumberFormat="1" applyFont="1" applyFill="1" applyProtection="1">
      <protection locked="0"/>
    </xf>
    <xf numFmtId="0" fontId="28" fillId="0" borderId="0" xfId="9" applyFont="1">
      <protection locked="0"/>
    </xf>
    <xf numFmtId="10" fontId="8" fillId="0" borderId="0" xfId="6" applyNumberFormat="1" applyFont="1" applyAlignment="1" applyProtection="1">
      <alignment horizontal="center"/>
      <protection locked="0"/>
    </xf>
    <xf numFmtId="180" fontId="8" fillId="0" borderId="0" xfId="9" applyNumberFormat="1" applyFont="1" applyAlignment="1">
      <alignment horizontal="center"/>
      <protection locked="0"/>
    </xf>
    <xf numFmtId="0" fontId="29" fillId="0" borderId="0" xfId="9" applyFont="1">
      <protection locked="0"/>
    </xf>
    <xf numFmtId="0" fontId="30" fillId="0" borderId="0" xfId="9" applyFont="1">
      <protection locked="0"/>
    </xf>
    <xf numFmtId="4" fontId="69" fillId="0" borderId="0" xfId="3" applyNumberFormat="1" applyFont="1" applyFill="1" applyBorder="1" applyAlignment="1" applyProtection="1">
      <alignment vertical="center" shrinkToFit="1"/>
    </xf>
    <xf numFmtId="3" fontId="73" fillId="0" borderId="1" xfId="3" applyNumberFormat="1" applyFont="1" applyFill="1" applyBorder="1" applyAlignment="1" applyProtection="1">
      <alignment horizontal="center" vertical="center" shrinkToFit="1"/>
    </xf>
    <xf numFmtId="3" fontId="73" fillId="0" borderId="6" xfId="3" applyNumberFormat="1" applyFont="1" applyFill="1" applyBorder="1" applyAlignment="1" applyProtection="1">
      <alignment horizontal="center" vertical="center" shrinkToFit="1"/>
    </xf>
    <xf numFmtId="3" fontId="8" fillId="0" borderId="68" xfId="3" applyNumberFormat="1" applyFont="1" applyFill="1" applyBorder="1" applyAlignment="1" applyProtection="1">
      <alignment horizontal="center" vertical="center" shrinkToFit="1"/>
    </xf>
    <xf numFmtId="3" fontId="8" fillId="0" borderId="4" xfId="3" applyNumberFormat="1" applyFont="1" applyFill="1" applyBorder="1" applyAlignment="1" applyProtection="1">
      <alignment horizontal="center" vertical="center" shrinkToFit="1"/>
    </xf>
    <xf numFmtId="212" fontId="74" fillId="0" borderId="29" xfId="3" applyNumberFormat="1" applyFont="1" applyFill="1" applyBorder="1" applyAlignment="1" applyProtection="1">
      <alignment vertical="center" shrinkToFit="1"/>
    </xf>
    <xf numFmtId="0" fontId="6" fillId="0" borderId="37" xfId="10" applyFont="1" applyFill="1" applyBorder="1" applyAlignment="1">
      <alignment horizontal="center" wrapText="1"/>
      <protection locked="0"/>
    </xf>
    <xf numFmtId="176" fontId="8" fillId="0" borderId="0" xfId="4" applyNumberFormat="1" applyFont="1" applyBorder="1" applyAlignment="1" applyProtection="1">
      <alignment vertical="center"/>
    </xf>
    <xf numFmtId="0" fontId="8" fillId="0" borderId="25" xfId="3" applyFont="1" applyBorder="1" applyAlignment="1" applyProtection="1">
      <alignment horizontal="centerContinuous" vertical="center"/>
    </xf>
    <xf numFmtId="0" fontId="8" fillId="0" borderId="4" xfId="3" applyFont="1" applyBorder="1" applyAlignment="1" applyProtection="1">
      <alignment horizontal="centerContinuous" vertical="center"/>
    </xf>
    <xf numFmtId="0" fontId="7" fillId="0" borderId="12" xfId="3" applyFont="1" applyBorder="1" applyAlignment="1" applyProtection="1">
      <alignment horizontal="center" vertical="center"/>
    </xf>
    <xf numFmtId="43" fontId="6" fillId="0" borderId="19" xfId="7" applyNumberFormat="1" applyFont="1" applyFill="1" applyBorder="1" applyAlignment="1" applyProtection="1">
      <alignment vertical="center"/>
    </xf>
    <xf numFmtId="0" fontId="8" fillId="0" borderId="10" xfId="7" applyNumberFormat="1" applyFont="1" applyFill="1" applyBorder="1" applyAlignment="1" applyProtection="1">
      <alignment horizontal="center" vertical="center"/>
    </xf>
    <xf numFmtId="43" fontId="6" fillId="0" borderId="11" xfId="7" applyNumberFormat="1" applyFont="1" applyFill="1" applyBorder="1" applyAlignment="1" applyProtection="1">
      <alignment horizontal="left" vertical="center" shrinkToFit="1"/>
      <protection locked="0"/>
    </xf>
    <xf numFmtId="43" fontId="8" fillId="0" borderId="3" xfId="7" applyNumberFormat="1" applyFont="1" applyFill="1" applyBorder="1" applyAlignment="1" applyProtection="1">
      <alignment vertical="center"/>
    </xf>
    <xf numFmtId="0" fontId="8" fillId="0" borderId="4" xfId="7" applyNumberFormat="1" applyFont="1" applyFill="1" applyBorder="1" applyAlignment="1" applyProtection="1">
      <alignment horizontal="center" vertical="center"/>
    </xf>
    <xf numFmtId="43" fontId="7" fillId="0" borderId="5" xfId="5" applyNumberFormat="1" applyFont="1" applyFill="1" applyBorder="1" applyAlignment="1" applyProtection="1">
      <alignment horizontal="left" vertical="center" shrinkToFit="1"/>
      <protection locked="0"/>
    </xf>
    <xf numFmtId="43" fontId="8" fillId="0" borderId="5" xfId="7" applyNumberFormat="1" applyFont="1" applyFill="1" applyBorder="1" applyAlignment="1" applyProtection="1">
      <alignment horizontal="left" vertical="center" shrinkToFit="1"/>
      <protection locked="0"/>
    </xf>
    <xf numFmtId="43" fontId="6" fillId="0" borderId="3" xfId="7" applyNumberFormat="1" applyFont="1" applyFill="1" applyBorder="1" applyAlignment="1" applyProtection="1">
      <alignment vertical="center"/>
    </xf>
    <xf numFmtId="43" fontId="6" fillId="0" borderId="5" xfId="7" applyNumberFormat="1" applyFont="1" applyFill="1" applyBorder="1" applyAlignment="1" applyProtection="1">
      <alignment horizontal="left" vertical="center" shrinkToFit="1"/>
      <protection locked="0"/>
    </xf>
    <xf numFmtId="0" fontId="8" fillId="0" borderId="3" xfId="7" applyNumberFormat="1" applyFont="1" applyFill="1" applyBorder="1" applyAlignment="1" applyProtection="1">
      <alignment vertical="center"/>
    </xf>
    <xf numFmtId="43" fontId="27" fillId="0" borderId="3" xfId="7" applyNumberFormat="1" applyFont="1" applyFill="1" applyBorder="1" applyAlignment="1" applyProtection="1">
      <alignment vertical="center"/>
    </xf>
    <xf numFmtId="43" fontId="30" fillId="0" borderId="3" xfId="7" applyNumberFormat="1" applyFont="1" applyFill="1" applyBorder="1" applyAlignment="1" applyProtection="1">
      <alignment vertical="center"/>
    </xf>
    <xf numFmtId="43" fontId="30" fillId="0" borderId="9" xfId="7" applyNumberFormat="1" applyFont="1" applyFill="1" applyBorder="1" applyAlignment="1" applyProtection="1">
      <alignment vertical="center"/>
    </xf>
    <xf numFmtId="43" fontId="8" fillId="0" borderId="7" xfId="7" applyNumberFormat="1" applyFont="1" applyFill="1" applyBorder="1" applyAlignment="1" applyProtection="1">
      <alignment horizontal="left" vertical="center" shrinkToFit="1"/>
      <protection locked="0"/>
    </xf>
    <xf numFmtId="43" fontId="27" fillId="0" borderId="29" xfId="7" applyNumberFormat="1" applyFont="1" applyFill="1" applyBorder="1" applyAlignment="1" applyProtection="1">
      <alignment vertical="center"/>
    </xf>
    <xf numFmtId="0" fontId="10" fillId="0" borderId="31" xfId="3" applyFont="1" applyFill="1" applyBorder="1" applyAlignment="1" applyProtection="1">
      <alignment horizontal="left" vertical="center" shrinkToFit="1"/>
      <protection locked="0"/>
    </xf>
    <xf numFmtId="176" fontId="8" fillId="0" borderId="21" xfId="3" applyNumberFormat="1" applyFont="1" applyFill="1" applyBorder="1" applyAlignment="1" applyProtection="1">
      <alignment horizontal="left" vertical="center" shrinkToFit="1"/>
    </xf>
    <xf numFmtId="0" fontId="8" fillId="0" borderId="2" xfId="3" applyFont="1" applyFill="1" applyBorder="1" applyAlignment="1" applyProtection="1">
      <alignment horizontal="left" vertical="center" shrinkToFit="1"/>
      <protection locked="0"/>
    </xf>
    <xf numFmtId="0" fontId="8" fillId="0" borderId="21" xfId="3" applyFont="1" applyFill="1" applyBorder="1" applyAlignment="1" applyProtection="1">
      <alignment horizontal="left" vertical="center" shrinkToFit="1"/>
    </xf>
    <xf numFmtId="0" fontId="7" fillId="0" borderId="2" xfId="3" applyFont="1" applyFill="1" applyBorder="1" applyAlignment="1" applyProtection="1">
      <alignment horizontal="left" vertical="center" shrinkToFit="1"/>
      <protection hidden="1"/>
    </xf>
    <xf numFmtId="176" fontId="8" fillId="0" borderId="3" xfId="3" applyNumberFormat="1" applyFont="1" applyFill="1" applyBorder="1" applyAlignment="1" applyProtection="1">
      <alignment horizontal="left" vertical="center" shrinkToFit="1"/>
    </xf>
    <xf numFmtId="0" fontId="8" fillId="0" borderId="3" xfId="3" applyFont="1" applyFill="1" applyBorder="1" applyAlignment="1" applyProtection="1">
      <alignment horizontal="left" vertical="center" shrinkToFit="1"/>
    </xf>
    <xf numFmtId="0" fontId="7" fillId="0" borderId="17" xfId="3" applyFont="1" applyFill="1" applyBorder="1" applyAlignment="1" applyProtection="1">
      <alignment horizontal="left" vertical="center" shrinkToFit="1"/>
      <protection hidden="1"/>
    </xf>
    <xf numFmtId="176" fontId="6" fillId="0" borderId="3" xfId="3" applyNumberFormat="1" applyFont="1" applyFill="1" applyBorder="1" applyAlignment="1" applyProtection="1">
      <alignment horizontal="center" vertical="center" shrinkToFit="1"/>
    </xf>
    <xf numFmtId="43" fontId="9" fillId="0" borderId="5" xfId="5" applyNumberFormat="1" applyFont="1" applyFill="1" applyBorder="1" applyAlignment="1" applyProtection="1">
      <alignment horizontal="left" vertical="center" shrinkToFit="1"/>
      <protection locked="0"/>
    </xf>
    <xf numFmtId="0" fontId="6" fillId="0" borderId="3" xfId="3" applyFont="1" applyFill="1" applyBorder="1" applyAlignment="1" applyProtection="1">
      <alignment horizontal="center" vertical="center" shrinkToFit="1"/>
    </xf>
    <xf numFmtId="0" fontId="22" fillId="0" borderId="17" xfId="3" applyFont="1" applyFill="1" applyBorder="1" applyAlignment="1" applyProtection="1">
      <alignment horizontal="left" vertical="center" shrinkToFit="1"/>
      <protection hidden="1"/>
    </xf>
    <xf numFmtId="0" fontId="77" fillId="0" borderId="3" xfId="3" applyFont="1" applyFill="1" applyBorder="1" applyAlignment="1" applyProtection="1">
      <alignment horizontal="left" vertical="center" shrinkToFit="1"/>
    </xf>
    <xf numFmtId="0" fontId="6" fillId="0" borderId="20" xfId="3" applyFont="1" applyFill="1" applyBorder="1" applyAlignment="1" applyProtection="1">
      <alignment horizontal="center" vertical="center" shrinkToFit="1"/>
    </xf>
    <xf numFmtId="0" fontId="7" fillId="0" borderId="28" xfId="3" applyFont="1" applyFill="1" applyBorder="1" applyAlignment="1" applyProtection="1">
      <alignment horizontal="left" vertical="center" shrinkToFit="1"/>
      <protection hidden="1"/>
    </xf>
    <xf numFmtId="176" fontId="6" fillId="0" borderId="29" xfId="3" applyNumberFormat="1" applyFont="1" applyFill="1" applyBorder="1" applyAlignment="1" applyProtection="1">
      <alignment horizontal="center" vertical="center" shrinkToFit="1"/>
    </xf>
    <xf numFmtId="43" fontId="78" fillId="0" borderId="31" xfId="5" applyNumberFormat="1" applyFont="1" applyFill="1" applyBorder="1" applyAlignment="1" applyProtection="1">
      <alignment horizontal="left" vertical="center" shrinkToFit="1"/>
      <protection locked="0"/>
    </xf>
    <xf numFmtId="0" fontId="6" fillId="0" borderId="29" xfId="3" applyFont="1" applyFill="1" applyBorder="1" applyAlignment="1" applyProtection="1">
      <alignment horizontal="center" vertical="center" shrinkToFit="1"/>
    </xf>
    <xf numFmtId="0" fontId="7" fillId="0" borderId="32" xfId="3" applyFont="1" applyFill="1" applyBorder="1" applyAlignment="1" applyProtection="1">
      <alignment horizontal="left" vertical="center" shrinkToFit="1"/>
      <protection hidden="1"/>
    </xf>
    <xf numFmtId="0" fontId="8" fillId="0" borderId="0" xfId="3" applyFont="1" applyFill="1" applyAlignment="1" applyProtection="1">
      <alignment vertical="center"/>
      <protection hidden="1"/>
    </xf>
    <xf numFmtId="0" fontId="10" fillId="0" borderId="0" xfId="3" applyFont="1" applyFill="1" applyAlignment="1" applyProtection="1">
      <alignment vertical="center"/>
      <protection hidden="1"/>
    </xf>
    <xf numFmtId="0" fontId="8" fillId="0" borderId="3" xfId="3" applyFont="1" applyBorder="1" applyAlignment="1" applyProtection="1">
      <alignment horizontal="center" vertical="center"/>
    </xf>
    <xf numFmtId="0" fontId="8" fillId="0" borderId="4" xfId="3" applyFont="1" applyBorder="1" applyAlignment="1" applyProtection="1">
      <alignment horizontal="center" vertical="center"/>
    </xf>
    <xf numFmtId="0" fontId="8" fillId="0" borderId="12" xfId="3" applyFont="1" applyBorder="1" applyAlignment="1" applyProtection="1">
      <alignment horizontal="center" vertical="center"/>
    </xf>
    <xf numFmtId="0" fontId="10" fillId="0" borderId="2" xfId="3" applyFont="1" applyFill="1" applyBorder="1" applyAlignment="1" applyProtection="1">
      <alignment horizontal="left" vertical="center" shrinkToFit="1"/>
      <protection locked="0"/>
    </xf>
    <xf numFmtId="43" fontId="7" fillId="0" borderId="5" xfId="5" applyNumberFormat="1" applyFont="1" applyFill="1" applyBorder="1" applyAlignment="1" applyProtection="1">
      <alignment horizontal="right" vertical="center" shrinkToFit="1"/>
      <protection locked="0"/>
    </xf>
    <xf numFmtId="0" fontId="10" fillId="0" borderId="17" xfId="3" applyFont="1" applyFill="1" applyBorder="1" applyAlignment="1" applyProtection="1">
      <alignment horizontal="left" vertical="center" shrinkToFit="1"/>
      <protection locked="0"/>
    </xf>
    <xf numFmtId="0" fontId="79" fillId="0" borderId="17" xfId="3" applyFont="1" applyFill="1" applyBorder="1" applyAlignment="1" applyProtection="1">
      <alignment horizontal="left" vertical="center" shrinkToFit="1"/>
      <protection locked="0"/>
    </xf>
    <xf numFmtId="43" fontId="78" fillId="0" borderId="5" xfId="5" applyNumberFormat="1" applyFont="1" applyFill="1" applyBorder="1" applyAlignment="1" applyProtection="1">
      <alignment horizontal="right" vertical="center" shrinkToFit="1"/>
      <protection locked="0"/>
    </xf>
    <xf numFmtId="0" fontId="10" fillId="0" borderId="28" xfId="3" applyFont="1" applyFill="1" applyBorder="1" applyAlignment="1" applyProtection="1">
      <alignment horizontal="left" vertical="center" shrinkToFit="1"/>
      <protection locked="0"/>
    </xf>
    <xf numFmtId="43" fontId="78" fillId="0" borderId="31" xfId="5" applyNumberFormat="1" applyFont="1" applyFill="1" applyBorder="1" applyAlignment="1" applyProtection="1">
      <alignment horizontal="right" vertical="center" shrinkToFit="1"/>
      <protection locked="0"/>
    </xf>
    <xf numFmtId="0" fontId="10" fillId="0" borderId="32" xfId="3" applyFont="1" applyFill="1" applyBorder="1" applyAlignment="1" applyProtection="1">
      <alignment horizontal="left" vertical="center" shrinkToFit="1"/>
      <protection locked="0"/>
    </xf>
    <xf numFmtId="43" fontId="8" fillId="0" borderId="11" xfId="7" applyNumberFormat="1" applyFont="1" applyFill="1" applyBorder="1" applyAlignment="1" applyProtection="1">
      <alignment horizontal="left" vertical="center" shrinkToFit="1"/>
      <protection locked="0"/>
    </xf>
    <xf numFmtId="43" fontId="27" fillId="0" borderId="5" xfId="7" applyNumberFormat="1" applyFont="1" applyFill="1" applyBorder="1" applyAlignment="1" applyProtection="1">
      <alignment horizontal="left" vertical="center" shrinkToFit="1"/>
      <protection locked="0"/>
    </xf>
    <xf numFmtId="0" fontId="79" fillId="0" borderId="31" xfId="3" applyFont="1" applyFill="1" applyBorder="1" applyAlignment="1" applyProtection="1">
      <alignment horizontal="left" vertical="center" shrinkToFit="1"/>
      <protection locked="0"/>
    </xf>
    <xf numFmtId="43" fontId="9" fillId="0" borderId="12" xfId="5" applyFont="1" applyFill="1" applyBorder="1" applyAlignment="1">
      <alignment horizontal="center" vertical="center" shrinkToFit="1"/>
    </xf>
    <xf numFmtId="0" fontId="9" fillId="0" borderId="12" xfId="3" applyFont="1" applyFill="1" applyBorder="1" applyAlignment="1">
      <alignment horizontal="center" vertical="center" shrinkToFit="1"/>
      <protection locked="0"/>
    </xf>
    <xf numFmtId="0" fontId="7" fillId="3" borderId="21" xfId="3" applyFont="1" applyFill="1" applyBorder="1" applyAlignment="1">
      <alignment horizontal="left"/>
      <protection locked="0"/>
    </xf>
    <xf numFmtId="0" fontId="7" fillId="3" borderId="1" xfId="3" applyFont="1" applyFill="1" applyBorder="1" applyAlignment="1">
      <alignment horizontal="center" vertical="center" shrinkToFit="1"/>
      <protection locked="0"/>
    </xf>
    <xf numFmtId="43" fontId="7" fillId="3" borderId="1" xfId="5" applyFont="1" applyFill="1" applyBorder="1" applyAlignment="1">
      <alignment horizontal="right"/>
    </xf>
    <xf numFmtId="178" fontId="7" fillId="3" borderId="1" xfId="3" applyNumberFormat="1" applyFont="1" applyFill="1" applyBorder="1" applyAlignment="1">
      <alignment horizontal="right"/>
      <protection locked="0"/>
    </xf>
    <xf numFmtId="178" fontId="7" fillId="3" borderId="2" xfId="3" applyNumberFormat="1" applyFont="1" applyFill="1" applyBorder="1" applyAlignment="1">
      <alignment horizontal="center"/>
      <protection locked="0"/>
    </xf>
    <xf numFmtId="0" fontId="7" fillId="0" borderId="3" xfId="3" applyFont="1" applyFill="1" applyBorder="1" applyAlignment="1">
      <alignment horizontal="left"/>
      <protection locked="0"/>
    </xf>
    <xf numFmtId="0" fontId="7" fillId="0" borderId="4" xfId="3" applyFont="1" applyFill="1" applyBorder="1" applyAlignment="1">
      <alignment horizontal="center" shrinkToFit="1"/>
      <protection locked="0"/>
    </xf>
    <xf numFmtId="178" fontId="7" fillId="0" borderId="5" xfId="3" applyNumberFormat="1" applyFont="1" applyFill="1" applyBorder="1" applyAlignment="1">
      <alignment horizontal="center"/>
      <protection locked="0"/>
    </xf>
    <xf numFmtId="0" fontId="7" fillId="0" borderId="3" xfId="3" applyFont="1" applyFill="1" applyBorder="1">
      <protection locked="0"/>
    </xf>
    <xf numFmtId="0" fontId="7" fillId="3" borderId="3" xfId="3" applyFont="1" applyFill="1" applyBorder="1" applyAlignment="1">
      <alignment horizontal="left"/>
      <protection locked="0"/>
    </xf>
    <xf numFmtId="0" fontId="7" fillId="3" borderId="4" xfId="3" applyFont="1" applyFill="1" applyBorder="1" applyAlignment="1">
      <alignment horizontal="center" shrinkToFit="1"/>
      <protection locked="0"/>
    </xf>
    <xf numFmtId="178" fontId="7" fillId="3" borderId="5" xfId="3" applyNumberFormat="1" applyFont="1" applyFill="1" applyBorder="1" applyAlignment="1">
      <alignment horizontal="center"/>
      <protection locked="0"/>
    </xf>
    <xf numFmtId="0" fontId="7" fillId="3" borderId="3" xfId="3" applyFont="1" applyFill="1" applyBorder="1">
      <protection locked="0"/>
    </xf>
    <xf numFmtId="0" fontId="7" fillId="0" borderId="9" xfId="3" applyFont="1" applyFill="1" applyBorder="1">
      <protection locked="0"/>
    </xf>
    <xf numFmtId="0" fontId="7" fillId="0" borderId="6" xfId="3" applyFont="1" applyFill="1" applyBorder="1" applyAlignment="1">
      <alignment horizontal="center" shrinkToFit="1"/>
      <protection locked="0"/>
    </xf>
    <xf numFmtId="178" fontId="7" fillId="0" borderId="7" xfId="3" applyNumberFormat="1" applyFont="1" applyFill="1" applyBorder="1" applyAlignment="1">
      <alignment horizontal="center"/>
      <protection locked="0"/>
    </xf>
    <xf numFmtId="0" fontId="7" fillId="0" borderId="29" xfId="3" applyFont="1" applyFill="1" applyBorder="1">
      <protection locked="0"/>
    </xf>
    <xf numFmtId="0" fontId="7" fillId="0" borderId="30" xfId="3" applyFont="1" applyFill="1" applyBorder="1" applyAlignment="1">
      <alignment horizontal="center" shrinkToFit="1"/>
      <protection locked="0"/>
    </xf>
    <xf numFmtId="178" fontId="7" fillId="0" borderId="31" xfId="3" applyNumberFormat="1" applyFont="1" applyFill="1" applyBorder="1" applyAlignment="1">
      <alignment horizontal="center"/>
      <protection locked="0"/>
    </xf>
    <xf numFmtId="4" fontId="75" fillId="0" borderId="0" xfId="3" applyNumberFormat="1" applyFont="1" applyFill="1" applyAlignment="1" applyProtection="1">
      <alignment horizontal="centerContinuous" vertical="center" shrinkToFit="1"/>
    </xf>
    <xf numFmtId="4" fontId="80" fillId="0" borderId="0" xfId="3" applyNumberFormat="1" applyFont="1" applyFill="1" applyAlignment="1" applyProtection="1">
      <alignment horizontal="centerContinuous" vertical="center" shrinkToFit="1"/>
    </xf>
    <xf numFmtId="0" fontId="6" fillId="0" borderId="0" xfId="3" applyFont="1" applyFill="1" applyAlignment="1" applyProtection="1">
      <alignment vertical="center"/>
      <protection hidden="1"/>
    </xf>
    <xf numFmtId="0" fontId="6" fillId="0" borderId="35" xfId="0" applyFont="1" applyBorder="1" applyAlignment="1">
      <alignment horizontal="center" vertical="center" wrapText="1"/>
      <protection locked="0"/>
    </xf>
    <xf numFmtId="14" fontId="6" fillId="0" borderId="35" xfId="0" applyNumberFormat="1" applyFont="1" applyBorder="1" applyAlignment="1">
      <alignment horizontal="center" vertical="center" wrapText="1"/>
      <protection locked="0"/>
    </xf>
    <xf numFmtId="0" fontId="81" fillId="0" borderId="35" xfId="0" applyFont="1" applyBorder="1" applyAlignment="1">
      <alignment horizontal="center" vertical="center" wrapText="1"/>
      <protection locked="0"/>
    </xf>
    <xf numFmtId="0" fontId="82" fillId="4" borderId="35" xfId="0" applyFont="1" applyFill="1" applyBorder="1" applyAlignment="1">
      <alignment horizontal="center" vertical="center" wrapText="1"/>
      <protection locked="0"/>
    </xf>
    <xf numFmtId="14" fontId="8" fillId="4" borderId="35" xfId="0" applyNumberFormat="1" applyFont="1" applyFill="1" applyBorder="1" applyAlignment="1">
      <alignment horizontal="center" vertical="center" wrapText="1"/>
      <protection locked="0"/>
    </xf>
    <xf numFmtId="0" fontId="8" fillId="4" borderId="35" xfId="0" applyFont="1" applyFill="1" applyBorder="1" applyAlignment="1">
      <alignment horizontal="center" vertical="center" wrapText="1"/>
      <protection locked="0"/>
    </xf>
    <xf numFmtId="0" fontId="82" fillId="0" borderId="35" xfId="0" applyFont="1" applyBorder="1" applyAlignment="1">
      <alignment horizontal="center" vertical="center" wrapText="1"/>
      <protection locked="0"/>
    </xf>
    <xf numFmtId="14" fontId="8" fillId="0" borderId="35" xfId="0" applyNumberFormat="1" applyFont="1" applyBorder="1" applyAlignment="1">
      <alignment horizontal="center" vertical="center" wrapText="1"/>
      <protection locked="0"/>
    </xf>
    <xf numFmtId="0" fontId="8" fillId="0" borderId="35" xfId="0" applyFont="1" applyBorder="1" applyAlignment="1">
      <alignment horizontal="center" vertical="center" wrapText="1"/>
      <protection locked="0"/>
    </xf>
    <xf numFmtId="0" fontId="6" fillId="0" borderId="7" xfId="3" applyFont="1" applyFill="1" applyBorder="1" applyAlignment="1" applyProtection="1">
      <alignment vertical="center"/>
      <protection hidden="1"/>
    </xf>
    <xf numFmtId="0" fontId="8" fillId="0" borderId="14" xfId="3" applyFont="1" applyFill="1" applyBorder="1" applyAlignment="1" applyProtection="1">
      <alignment vertical="center"/>
      <protection hidden="1"/>
    </xf>
    <xf numFmtId="0" fontId="8" fillId="0" borderId="9" xfId="3" applyFont="1" applyFill="1" applyBorder="1" applyAlignment="1" applyProtection="1">
      <alignment vertical="center"/>
      <protection hidden="1"/>
    </xf>
    <xf numFmtId="0" fontId="8" fillId="0" borderId="15" xfId="3" applyFont="1" applyFill="1" applyBorder="1" applyAlignment="1" applyProtection="1">
      <alignment vertical="center"/>
      <protection hidden="1"/>
    </xf>
    <xf numFmtId="0" fontId="8" fillId="0" borderId="0" xfId="3" applyFont="1" applyFill="1" applyBorder="1" applyAlignment="1" applyProtection="1">
      <alignment vertical="center"/>
      <protection hidden="1"/>
    </xf>
    <xf numFmtId="0" fontId="8" fillId="0" borderId="16" xfId="3" applyFont="1" applyFill="1" applyBorder="1" applyAlignment="1" applyProtection="1">
      <alignment vertical="center"/>
      <protection hidden="1"/>
    </xf>
    <xf numFmtId="0" fontId="10" fillId="0" borderId="11" xfId="3" applyFont="1" applyFill="1" applyBorder="1" applyAlignment="1" applyProtection="1">
      <alignment vertical="center"/>
      <protection hidden="1"/>
    </xf>
    <xf numFmtId="0" fontId="10" fillId="0" borderId="18" xfId="3" applyFont="1" applyFill="1" applyBorder="1" applyAlignment="1" applyProtection="1">
      <alignment vertical="center"/>
      <protection hidden="1"/>
    </xf>
    <xf numFmtId="0" fontId="10" fillId="0" borderId="19" xfId="3" applyFont="1" applyFill="1" applyBorder="1" applyAlignment="1" applyProtection="1">
      <alignment vertical="center"/>
      <protection hidden="1"/>
    </xf>
    <xf numFmtId="0" fontId="6" fillId="6" borderId="40" xfId="10" applyFont="1" applyFill="1" applyBorder="1" applyAlignment="1">
      <alignment horizontal="center" wrapText="1"/>
      <protection locked="0"/>
    </xf>
    <xf numFmtId="0" fontId="6" fillId="0" borderId="41" xfId="10" applyFont="1" applyFill="1" applyBorder="1" applyAlignment="1">
      <alignment horizontal="center" wrapText="1"/>
      <protection locked="0"/>
    </xf>
    <xf numFmtId="0" fontId="8" fillId="0" borderId="42" xfId="10" applyFont="1" applyFill="1" applyBorder="1" applyAlignment="1">
      <alignment horizontal="center" wrapText="1"/>
      <protection locked="0"/>
    </xf>
    <xf numFmtId="0" fontId="8" fillId="0" borderId="45" xfId="10" applyFont="1" applyFill="1" applyBorder="1" applyAlignment="1">
      <alignment horizontal="center" wrapText="1"/>
      <protection locked="0"/>
    </xf>
    <xf numFmtId="0" fontId="8" fillId="0" borderId="0" xfId="9" applyFont="1" applyBorder="1" applyAlignment="1">
      <alignment horizontal="left"/>
      <protection locked="0"/>
    </xf>
    <xf numFmtId="0" fontId="8" fillId="0" borderId="49" xfId="9" applyFont="1" applyBorder="1">
      <protection locked="0"/>
    </xf>
    <xf numFmtId="0" fontId="8" fillId="7" borderId="50" xfId="9" applyFont="1" applyFill="1" applyBorder="1" applyAlignment="1">
      <alignment horizontal="center"/>
      <protection locked="0"/>
    </xf>
    <xf numFmtId="0" fontId="8" fillId="0" borderId="0" xfId="9" applyFont="1" applyFill="1">
      <protection locked="0"/>
    </xf>
    <xf numFmtId="0" fontId="8" fillId="0" borderId="0" xfId="9" applyFont="1" applyAlignment="1">
      <alignment horizontal="left"/>
      <protection locked="0"/>
    </xf>
    <xf numFmtId="0" fontId="8" fillId="0" borderId="0" xfId="10" applyFont="1">
      <protection locked="0"/>
    </xf>
    <xf numFmtId="0" fontId="6" fillId="0" borderId="0" xfId="0" applyFont="1">
      <protection locked="0"/>
    </xf>
    <xf numFmtId="0" fontId="8" fillId="0" borderId="0" xfId="0" applyFont="1">
      <protection locked="0"/>
    </xf>
    <xf numFmtId="0" fontId="6" fillId="0" borderId="56" xfId="140" applyNumberFormat="1" applyFont="1" applyFill="1" applyBorder="1" applyAlignment="1">
      <alignment horizontal="center" vertical="center"/>
    </xf>
    <xf numFmtId="0" fontId="6" fillId="0" borderId="57" xfId="140" applyNumberFormat="1" applyFont="1" applyFill="1" applyBorder="1" applyAlignment="1">
      <alignment horizontal="center" vertical="center"/>
    </xf>
    <xf numFmtId="0" fontId="6" fillId="0" borderId="58" xfId="140" applyNumberFormat="1" applyFont="1" applyFill="1" applyBorder="1" applyAlignment="1">
      <alignment horizontal="center" vertical="center"/>
    </xf>
    <xf numFmtId="0" fontId="8" fillId="0" borderId="59" xfId="140" applyNumberFormat="1" applyFont="1" applyFill="1" applyBorder="1" applyAlignment="1">
      <alignment vertical="center"/>
    </xf>
    <xf numFmtId="0" fontId="8" fillId="0" borderId="53" xfId="140" applyNumberFormat="1" applyFont="1" applyFill="1" applyBorder="1" applyAlignment="1">
      <alignment vertical="center"/>
    </xf>
    <xf numFmtId="0" fontId="8" fillId="0" borderId="60" xfId="140" applyNumberFormat="1" applyFont="1" applyFill="1" applyBorder="1" applyAlignment="1">
      <alignment vertical="center"/>
    </xf>
    <xf numFmtId="0" fontId="8" fillId="0" borderId="61" xfId="140" applyNumberFormat="1" applyFont="1" applyFill="1" applyBorder="1" applyAlignment="1">
      <alignment vertical="center"/>
    </xf>
    <xf numFmtId="0" fontId="8" fillId="0" borderId="0" xfId="140" applyNumberFormat="1" applyFont="1" applyFill="1" applyBorder="1" applyAlignment="1">
      <alignment vertical="center"/>
    </xf>
    <xf numFmtId="0" fontId="8" fillId="0" borderId="62" xfId="140" applyNumberFormat="1" applyFont="1" applyFill="1" applyBorder="1" applyAlignment="1">
      <alignment vertical="center"/>
    </xf>
    <xf numFmtId="0" fontId="8" fillId="0" borderId="63" xfId="140" applyNumberFormat="1" applyFont="1" applyFill="1" applyBorder="1" applyAlignment="1">
      <alignment vertical="center"/>
    </xf>
    <xf numFmtId="0" fontId="8" fillId="0" borderId="51" xfId="140" applyNumberFormat="1" applyFont="1" applyFill="1" applyBorder="1" applyAlignment="1">
      <alignment vertical="center"/>
    </xf>
    <xf numFmtId="0" fontId="8" fillId="0" borderId="64" xfId="140" applyNumberFormat="1" applyFont="1" applyFill="1" applyBorder="1" applyAlignment="1">
      <alignment vertical="center"/>
    </xf>
    <xf numFmtId="0" fontId="8" fillId="0" borderId="65" xfId="140" applyNumberFormat="1" applyFont="1" applyFill="1" applyBorder="1" applyAlignment="1">
      <alignment vertical="center"/>
    </xf>
    <xf numFmtId="0" fontId="8" fillId="0" borderId="66" xfId="140" applyNumberFormat="1" applyFont="1" applyFill="1" applyBorder="1" applyAlignment="1">
      <alignment vertical="center"/>
    </xf>
    <xf numFmtId="0" fontId="8" fillId="0" borderId="67" xfId="140" applyNumberFormat="1" applyFont="1" applyFill="1" applyBorder="1" applyAlignment="1">
      <alignment vertical="center"/>
    </xf>
    <xf numFmtId="43" fontId="5" fillId="0" borderId="3" xfId="7" applyNumberFormat="1" applyFont="1" applyFill="1" applyBorder="1" applyAlignment="1" applyProtection="1">
      <alignment vertical="center"/>
    </xf>
    <xf numFmtId="0" fontId="6" fillId="0" borderId="3" xfId="3" applyFont="1" applyFill="1" applyBorder="1" applyAlignment="1" applyProtection="1">
      <alignment horizontal="center" vertical="center" shrinkToFit="1"/>
    </xf>
    <xf numFmtId="43" fontId="76" fillId="0" borderId="3" xfId="7" applyNumberFormat="1" applyFont="1" applyFill="1" applyBorder="1" applyAlignment="1" applyProtection="1">
      <alignment vertical="center" wrapText="1"/>
    </xf>
    <xf numFmtId="43" fontId="6" fillId="2" borderId="3" xfId="7" applyNumberFormat="1" applyFont="1" applyFill="1" applyBorder="1" applyAlignment="1" applyProtection="1">
      <alignment vertical="center"/>
    </xf>
    <xf numFmtId="43" fontId="11" fillId="2" borderId="3" xfId="7" applyNumberFormat="1" applyFont="1" applyFill="1" applyBorder="1" applyAlignment="1" applyProtection="1">
      <alignment vertical="center"/>
    </xf>
    <xf numFmtId="43" fontId="8" fillId="2" borderId="3" xfId="7" applyNumberFormat="1" applyFont="1" applyFill="1" applyBorder="1" applyAlignment="1" applyProtection="1">
      <alignment vertical="center"/>
    </xf>
    <xf numFmtId="0" fontId="8" fillId="0" borderId="12" xfId="7" applyNumberFormat="1" applyFont="1" applyFill="1" applyBorder="1" applyAlignment="1" applyProtection="1">
      <alignment horizontal="center" vertical="center"/>
    </xf>
    <xf numFmtId="0" fontId="8" fillId="0" borderId="1" xfId="7" applyNumberFormat="1" applyFont="1" applyFill="1" applyBorder="1" applyAlignment="1" applyProtection="1">
      <alignment horizontal="center" vertical="center"/>
    </xf>
    <xf numFmtId="176" fontId="5" fillId="0" borderId="3" xfId="3" applyNumberFormat="1" applyFont="1" applyFill="1" applyBorder="1" applyAlignment="1" applyProtection="1">
      <alignment horizontal="left" vertical="center" shrinkToFit="1"/>
    </xf>
    <xf numFmtId="0" fontId="5" fillId="0" borderId="3" xfId="3" applyFont="1" applyFill="1" applyBorder="1" applyAlignment="1" applyProtection="1">
      <alignment horizontal="left" vertical="center" shrinkToFit="1"/>
    </xf>
    <xf numFmtId="176" fontId="5" fillId="15" borderId="3" xfId="3" applyNumberFormat="1" applyFont="1" applyFill="1" applyBorder="1" applyAlignment="1" applyProtection="1">
      <alignment horizontal="left" vertical="center" shrinkToFit="1"/>
    </xf>
    <xf numFmtId="0" fontId="5" fillId="15" borderId="3" xfId="3" applyFont="1" applyFill="1" applyBorder="1" applyAlignment="1" applyProtection="1">
      <alignment horizontal="left" vertical="center" shrinkToFit="1"/>
    </xf>
    <xf numFmtId="176" fontId="8" fillId="15" borderId="3" xfId="3" applyNumberFormat="1" applyFont="1" applyFill="1" applyBorder="1" applyAlignment="1" applyProtection="1">
      <alignment horizontal="left" vertical="center" shrinkToFit="1"/>
    </xf>
    <xf numFmtId="0" fontId="8" fillId="15" borderId="3" xfId="3" applyFont="1" applyFill="1" applyBorder="1" applyAlignment="1" applyProtection="1">
      <alignment horizontal="left" vertical="center" shrinkToFit="1"/>
    </xf>
    <xf numFmtId="43" fontId="76" fillId="15" borderId="3" xfId="7" applyNumberFormat="1" applyFont="1" applyFill="1" applyBorder="1" applyAlignment="1" applyProtection="1">
      <alignment vertical="center" wrapText="1"/>
    </xf>
    <xf numFmtId="43" fontId="5" fillId="15" borderId="3" xfId="7" applyNumberFormat="1" applyFont="1" applyFill="1" applyBorder="1" applyAlignment="1" applyProtection="1">
      <alignment vertical="center"/>
    </xf>
    <xf numFmtId="43" fontId="7" fillId="16" borderId="4" xfId="5" applyFont="1" applyFill="1" applyBorder="1" applyAlignment="1">
      <alignment horizontal="right" shrinkToFit="1"/>
    </xf>
    <xf numFmtId="43" fontId="7" fillId="14" borderId="4" xfId="5" applyFont="1" applyFill="1" applyBorder="1" applyAlignment="1">
      <alignment horizontal="right" shrinkToFit="1"/>
    </xf>
    <xf numFmtId="0" fontId="7" fillId="14" borderId="4" xfId="3" applyFont="1" applyFill="1" applyBorder="1" applyAlignment="1">
      <alignment horizontal="center" shrinkToFit="1"/>
      <protection locked="0"/>
    </xf>
    <xf numFmtId="176" fontId="6" fillId="0" borderId="3" xfId="3" applyNumberFormat="1" applyFont="1" applyFill="1" applyBorder="1" applyAlignment="1" applyProtection="1">
      <alignment horizontal="center" vertical="center" shrinkToFit="1"/>
    </xf>
    <xf numFmtId="0" fontId="6" fillId="0" borderId="3" xfId="3" applyFont="1" applyFill="1" applyBorder="1" applyAlignment="1" applyProtection="1">
      <alignment horizontal="center" vertical="center" shrinkToFit="1"/>
    </xf>
    <xf numFmtId="0" fontId="6" fillId="0" borderId="20" xfId="3" applyFont="1" applyFill="1" applyBorder="1" applyAlignment="1" applyProtection="1">
      <alignment horizontal="center" vertical="center" shrinkToFit="1"/>
    </xf>
    <xf numFmtId="0" fontId="8" fillId="0" borderId="25" xfId="3" applyFont="1" applyFill="1" applyBorder="1" applyAlignment="1" applyProtection="1">
      <alignment horizontal="centerContinuous" vertical="center"/>
    </xf>
    <xf numFmtId="0" fontId="8" fillId="0" borderId="4" xfId="3" applyFont="1" applyFill="1" applyBorder="1" applyAlignment="1" applyProtection="1">
      <alignment horizontal="centerContinuous" vertical="center"/>
    </xf>
    <xf numFmtId="0" fontId="7" fillId="0" borderId="12" xfId="3" applyFont="1" applyFill="1" applyBorder="1" applyAlignment="1" applyProtection="1">
      <alignment horizontal="center" vertical="center"/>
    </xf>
    <xf numFmtId="212" fontId="74" fillId="0" borderId="29" xfId="3" applyNumberFormat="1" applyFont="1" applyFill="1" applyBorder="1" applyAlignment="1" applyProtection="1">
      <alignment horizontal="center" vertical="center" shrinkToFit="1"/>
    </xf>
    <xf numFmtId="176" fontId="72" fillId="0" borderId="3" xfId="3" applyNumberFormat="1" applyFont="1" applyFill="1" applyBorder="1" applyAlignment="1" applyProtection="1">
      <alignment horizontal="left" vertical="center" shrinkToFit="1"/>
    </xf>
    <xf numFmtId="3" fontId="85" fillId="0" borderId="6" xfId="3" applyNumberFormat="1" applyFont="1" applyFill="1" applyBorder="1" applyAlignment="1" applyProtection="1">
      <alignment horizontal="center" vertical="center" shrinkToFit="1"/>
    </xf>
    <xf numFmtId="43" fontId="86" fillId="0" borderId="4" xfId="5" applyNumberFormat="1" applyFont="1" applyFill="1" applyBorder="1" applyAlignment="1" applyProtection="1">
      <alignment horizontal="right" vertical="center" shrinkToFit="1"/>
    </xf>
    <xf numFmtId="10" fontId="86" fillId="0" borderId="4" xfId="6" applyNumberFormat="1" applyFont="1" applyFill="1" applyBorder="1" applyAlignment="1" applyProtection="1">
      <alignment horizontal="right" vertical="center" shrinkToFit="1"/>
    </xf>
    <xf numFmtId="10" fontId="86" fillId="0" borderId="4" xfId="6" applyNumberFormat="1" applyFont="1" applyFill="1" applyBorder="1" applyAlignment="1" applyProtection="1">
      <alignment horizontal="center" vertical="center" shrinkToFit="1"/>
    </xf>
    <xf numFmtId="43" fontId="86" fillId="0" borderId="4" xfId="5" applyNumberFormat="1" applyFont="1" applyFill="1" applyBorder="1" applyAlignment="1" applyProtection="1">
      <alignment horizontal="center" vertical="center" shrinkToFit="1"/>
    </xf>
    <xf numFmtId="43" fontId="86" fillId="0" borderId="5" xfId="5" applyNumberFormat="1" applyFont="1" applyFill="1" applyBorder="1" applyAlignment="1" applyProtection="1">
      <alignment horizontal="right" vertical="center" shrinkToFit="1"/>
      <protection locked="0"/>
    </xf>
    <xf numFmtId="0" fontId="72" fillId="0" borderId="3" xfId="3" applyFont="1" applyFill="1" applyBorder="1" applyAlignment="1" applyProtection="1">
      <alignment horizontal="left" vertical="center" shrinkToFit="1"/>
    </xf>
    <xf numFmtId="3" fontId="76" fillId="0" borderId="4" xfId="3" applyNumberFormat="1" applyFont="1" applyFill="1" applyBorder="1" applyAlignment="1" applyProtection="1">
      <alignment horizontal="center" vertical="center" shrinkToFit="1"/>
    </xf>
    <xf numFmtId="0" fontId="87" fillId="0" borderId="17" xfId="3" applyFont="1" applyFill="1" applyBorder="1" applyAlignment="1" applyProtection="1">
      <alignment horizontal="left" vertical="center" shrinkToFit="1"/>
      <protection locked="0"/>
    </xf>
    <xf numFmtId="0" fontId="88" fillId="0" borderId="0" xfId="3" applyFont="1" applyFill="1" applyAlignment="1" applyProtection="1">
      <alignment vertical="center"/>
      <protection hidden="1"/>
    </xf>
    <xf numFmtId="43" fontId="11" fillId="0" borderId="3" xfId="7" applyNumberFormat="1" applyFont="1" applyFill="1" applyBorder="1" applyAlignment="1" applyProtection="1">
      <alignment vertical="center"/>
    </xf>
    <xf numFmtId="0" fontId="15" fillId="0" borderId="0" xfId="1" applyFont="1" applyFill="1" applyBorder="1" applyAlignment="1">
      <alignment horizontal="center" vertical="center"/>
    </xf>
    <xf numFmtId="0" fontId="15" fillId="0" borderId="0" xfId="2" applyFont="1" applyAlignment="1">
      <alignment horizontal="center" vertical="center"/>
    </xf>
    <xf numFmtId="0" fontId="8" fillId="0" borderId="25" xfId="3" applyFont="1" applyFill="1" applyBorder="1" applyAlignment="1" applyProtection="1">
      <alignment horizontal="center" vertical="center"/>
    </xf>
    <xf numFmtId="0" fontId="8" fillId="0" borderId="4" xfId="3" applyFont="1" applyFill="1" applyBorder="1" applyAlignment="1" applyProtection="1">
      <alignment horizontal="center" vertical="center"/>
    </xf>
    <xf numFmtId="0" fontId="8" fillId="0" borderId="25" xfId="3" applyFont="1" applyFill="1" applyBorder="1" applyAlignment="1" applyProtection="1">
      <alignment horizontal="center" vertical="center" wrapText="1" shrinkToFit="1"/>
    </xf>
    <xf numFmtId="0" fontId="8" fillId="0" borderId="4" xfId="3" applyFont="1" applyFill="1" applyBorder="1" applyAlignment="1" applyProtection="1">
      <alignment horizontal="center" vertical="center" wrapText="1" shrinkToFit="1"/>
    </xf>
    <xf numFmtId="0" fontId="8" fillId="0" borderId="12" xfId="3" applyFont="1" applyFill="1" applyBorder="1" applyAlignment="1" applyProtection="1">
      <alignment horizontal="center" vertical="center" wrapText="1" shrinkToFit="1"/>
    </xf>
    <xf numFmtId="0" fontId="8" fillId="0" borderId="26" xfId="3" applyFont="1" applyFill="1" applyBorder="1" applyAlignment="1" applyProtection="1">
      <alignment horizontal="center" vertical="center" wrapText="1" shrinkToFit="1"/>
    </xf>
    <xf numFmtId="0" fontId="8" fillId="0" borderId="5" xfId="3" applyFont="1" applyFill="1" applyBorder="1" applyAlignment="1" applyProtection="1">
      <alignment horizontal="center" vertical="center" wrapText="1" shrinkToFit="1"/>
    </xf>
    <xf numFmtId="0" fontId="8" fillId="0" borderId="13" xfId="3" applyFont="1" applyFill="1" applyBorder="1" applyAlignment="1" applyProtection="1">
      <alignment horizontal="center" vertical="center" wrapText="1" shrinkToFit="1"/>
    </xf>
    <xf numFmtId="4" fontId="75" fillId="0" borderId="0" xfId="3" applyNumberFormat="1" applyFont="1" applyFill="1" applyAlignment="1" applyProtection="1">
      <alignment horizontal="center" vertical="center" shrinkToFit="1"/>
    </xf>
    <xf numFmtId="176" fontId="6" fillId="0" borderId="23" xfId="3" applyNumberFormat="1" applyFont="1" applyFill="1" applyBorder="1" applyAlignment="1" applyProtection="1">
      <alignment horizontal="center" vertical="center" shrinkToFit="1"/>
    </xf>
    <xf numFmtId="176" fontId="6" fillId="0" borderId="3" xfId="3" applyNumberFormat="1" applyFont="1" applyFill="1" applyBorder="1" applyAlignment="1" applyProtection="1">
      <alignment horizontal="center" vertical="center" shrinkToFit="1"/>
    </xf>
    <xf numFmtId="176" fontId="6" fillId="0" borderId="20" xfId="3" applyNumberFormat="1" applyFont="1" applyFill="1" applyBorder="1" applyAlignment="1" applyProtection="1">
      <alignment horizontal="center" vertical="center" shrinkToFit="1"/>
    </xf>
    <xf numFmtId="3" fontId="8" fillId="0" borderId="24" xfId="3" applyNumberFormat="1" applyFont="1" applyFill="1" applyBorder="1" applyAlignment="1" applyProtection="1">
      <alignment horizontal="center" vertical="center" wrapText="1" shrinkToFit="1"/>
    </xf>
    <xf numFmtId="3" fontId="8" fillId="0" borderId="22" xfId="3" applyNumberFormat="1" applyFont="1" applyFill="1" applyBorder="1" applyAlignment="1" applyProtection="1">
      <alignment horizontal="center" vertical="center" wrapText="1" shrinkToFit="1"/>
    </xf>
    <xf numFmtId="3" fontId="8" fillId="0" borderId="27" xfId="3" applyNumberFormat="1" applyFont="1" applyFill="1" applyBorder="1" applyAlignment="1" applyProtection="1">
      <alignment horizontal="center" vertical="center" wrapText="1" shrinkToFit="1"/>
    </xf>
    <xf numFmtId="0" fontId="6" fillId="0" borderId="23" xfId="3" applyFont="1" applyFill="1" applyBorder="1" applyAlignment="1" applyProtection="1">
      <alignment horizontal="center" vertical="center" shrinkToFit="1"/>
    </xf>
    <xf numFmtId="0" fontId="6" fillId="0" borderId="3" xfId="3" applyFont="1" applyFill="1" applyBorder="1" applyAlignment="1" applyProtection="1">
      <alignment horizontal="center" vertical="center" shrinkToFit="1"/>
    </xf>
    <xf numFmtId="0" fontId="6" fillId="0" borderId="20" xfId="3" applyFont="1" applyFill="1" applyBorder="1" applyAlignment="1" applyProtection="1">
      <alignment horizontal="center" vertical="center" shrinkToFit="1"/>
    </xf>
    <xf numFmtId="0" fontId="8" fillId="0" borderId="24" xfId="3" applyFont="1" applyFill="1" applyBorder="1" applyAlignment="1" applyProtection="1">
      <alignment horizontal="center" vertical="center" wrapText="1" shrinkToFit="1"/>
    </xf>
    <xf numFmtId="0" fontId="8" fillId="0" borderId="22" xfId="3" applyFont="1" applyFill="1" applyBorder="1" applyAlignment="1" applyProtection="1">
      <alignment horizontal="center" vertical="center" wrapText="1" shrinkToFit="1"/>
    </xf>
    <xf numFmtId="0" fontId="8" fillId="0" borderId="27" xfId="3" applyFont="1" applyFill="1" applyBorder="1" applyAlignment="1" applyProtection="1">
      <alignment horizontal="center" vertical="center" wrapText="1" shrinkToFit="1"/>
    </xf>
    <xf numFmtId="0" fontId="8" fillId="0" borderId="26" xfId="3" applyFont="1" applyFill="1" applyBorder="1" applyAlignment="1" applyProtection="1">
      <alignment horizontal="center" vertical="center" wrapText="1" shrinkToFit="1"/>
      <protection locked="0"/>
    </xf>
    <xf numFmtId="0" fontId="8" fillId="0" borderId="5" xfId="3" applyFont="1" applyFill="1" applyBorder="1" applyAlignment="1" applyProtection="1">
      <alignment horizontal="center" vertical="center" wrapText="1" shrinkToFit="1"/>
      <protection locked="0"/>
    </xf>
    <xf numFmtId="0" fontId="8" fillId="0" borderId="13" xfId="3" applyFont="1" applyFill="1" applyBorder="1" applyAlignment="1" applyProtection="1">
      <alignment horizontal="center" vertical="center" wrapText="1" shrinkToFit="1"/>
      <protection locked="0"/>
    </xf>
    <xf numFmtId="0" fontId="8" fillId="0" borderId="26" xfId="3" applyFont="1" applyBorder="1" applyAlignment="1" applyProtection="1">
      <alignment horizontal="center" vertical="center"/>
    </xf>
    <xf numFmtId="0" fontId="8" fillId="0" borderId="23" xfId="3" applyFont="1" applyBorder="1" applyAlignment="1" applyProtection="1">
      <alignment horizontal="center" vertical="center"/>
    </xf>
    <xf numFmtId="0" fontId="8" fillId="0" borderId="24" xfId="3" applyFont="1" applyBorder="1" applyAlignment="1" applyProtection="1">
      <alignment horizontal="center" vertical="center" wrapText="1"/>
    </xf>
    <xf numFmtId="0" fontId="8" fillId="0" borderId="10" xfId="3" applyFont="1" applyBorder="1" applyAlignment="1" applyProtection="1">
      <alignment horizontal="center" vertical="center"/>
    </xf>
    <xf numFmtId="4" fontId="75" fillId="0" borderId="0" xfId="3" applyNumberFormat="1" applyFont="1" applyFill="1" applyBorder="1" applyAlignment="1" applyProtection="1">
      <alignment horizontal="center" vertical="center" shrinkToFit="1"/>
    </xf>
    <xf numFmtId="43" fontId="6" fillId="0" borderId="23" xfId="7" applyNumberFormat="1" applyFont="1" applyFill="1" applyBorder="1" applyAlignment="1" applyProtection="1">
      <alignment horizontal="center" vertical="center"/>
    </xf>
    <xf numFmtId="43" fontId="6" fillId="0" borderId="3" xfId="7" applyNumberFormat="1" applyFont="1" applyFill="1" applyBorder="1" applyAlignment="1" applyProtection="1">
      <alignment horizontal="center" vertical="center"/>
    </xf>
    <xf numFmtId="43" fontId="6" fillId="0" borderId="20" xfId="7" applyNumberFormat="1" applyFont="1" applyFill="1" applyBorder="1" applyAlignment="1" applyProtection="1">
      <alignment horizontal="center" vertical="center"/>
    </xf>
    <xf numFmtId="43" fontId="6" fillId="0" borderId="24" xfId="7" applyNumberFormat="1" applyFont="1" applyFill="1" applyBorder="1" applyAlignment="1" applyProtection="1">
      <alignment horizontal="center" vertical="center" wrapText="1"/>
    </xf>
    <xf numFmtId="43" fontId="6" fillId="0" borderId="22" xfId="7" applyNumberFormat="1" applyFont="1" applyFill="1" applyBorder="1" applyAlignment="1" applyProtection="1">
      <alignment horizontal="center" vertical="center" wrapText="1"/>
    </xf>
    <xf numFmtId="43" fontId="6" fillId="0" borderId="27" xfId="7" applyNumberFormat="1" applyFont="1" applyFill="1" applyBorder="1" applyAlignment="1" applyProtection="1">
      <alignment horizontal="center" vertical="center" wrapText="1"/>
    </xf>
    <xf numFmtId="0" fontId="8" fillId="0" borderId="25" xfId="3" applyFont="1" applyBorder="1" applyAlignment="1" applyProtection="1">
      <alignment horizontal="center" vertical="center"/>
    </xf>
    <xf numFmtId="0" fontId="8" fillId="0" borderId="4" xfId="3" applyFont="1" applyBorder="1" applyAlignment="1" applyProtection="1">
      <alignment horizontal="center" vertical="center"/>
    </xf>
    <xf numFmtId="0" fontId="8" fillId="0" borderId="25" xfId="3" applyFont="1" applyBorder="1" applyAlignment="1" applyProtection="1">
      <alignment horizontal="center" vertical="center" wrapText="1"/>
    </xf>
    <xf numFmtId="0" fontId="75" fillId="0" borderId="0" xfId="3" applyFont="1" applyFill="1" applyAlignment="1">
      <alignment horizontal="center"/>
      <protection locked="0"/>
    </xf>
    <xf numFmtId="0" fontId="9" fillId="0" borderId="33" xfId="3" applyFont="1" applyFill="1" applyBorder="1" applyAlignment="1">
      <alignment horizontal="center" vertical="center" shrinkToFit="1"/>
      <protection locked="0"/>
    </xf>
    <xf numFmtId="0" fontId="9" fillId="0" borderId="34" xfId="3" applyFont="1" applyFill="1" applyBorder="1" applyAlignment="1">
      <alignment horizontal="center" vertical="center" shrinkToFit="1"/>
      <protection locked="0"/>
    </xf>
    <xf numFmtId="0" fontId="9" fillId="0" borderId="24" xfId="3" applyFont="1" applyFill="1" applyBorder="1" applyAlignment="1">
      <alignment horizontal="center" vertical="center" shrinkToFit="1"/>
      <protection locked="0"/>
    </xf>
    <xf numFmtId="0" fontId="9" fillId="0" borderId="27" xfId="3" applyFont="1" applyFill="1" applyBorder="1" applyAlignment="1">
      <alignment horizontal="center" vertical="center" shrinkToFit="1"/>
      <protection locked="0"/>
    </xf>
    <xf numFmtId="0" fontId="9" fillId="0" borderId="25" xfId="3" applyFont="1" applyFill="1" applyBorder="1" applyAlignment="1">
      <alignment horizontal="center" vertical="center" shrinkToFit="1"/>
      <protection locked="0"/>
    </xf>
    <xf numFmtId="0" fontId="9" fillId="0" borderId="12" xfId="3" applyFont="1" applyFill="1" applyBorder="1" applyAlignment="1">
      <alignment horizontal="center" vertical="center" shrinkToFit="1"/>
      <protection locked="0"/>
    </xf>
    <xf numFmtId="0" fontId="9" fillId="0" borderId="26" xfId="3" applyFont="1" applyFill="1" applyBorder="1" applyAlignment="1">
      <alignment horizontal="center" vertical="center" shrinkToFit="1"/>
      <protection locked="0"/>
    </xf>
    <xf numFmtId="0" fontId="9" fillId="0" borderId="13" xfId="3" applyFont="1" applyFill="1" applyBorder="1" applyAlignment="1">
      <alignment horizontal="center" vertical="center" shrinkToFit="1"/>
      <protection locked="0"/>
    </xf>
    <xf numFmtId="0" fontId="6" fillId="0" borderId="35" xfId="0" applyFont="1" applyBorder="1" applyAlignment="1">
      <alignment horizontal="center" vertical="center" wrapText="1"/>
      <protection locked="0"/>
    </xf>
    <xf numFmtId="0" fontId="6" fillId="0" borderId="36" xfId="10" applyFont="1" applyFill="1" applyBorder="1" applyAlignment="1">
      <alignment horizontal="center" vertical="center" wrapText="1"/>
      <protection locked="0"/>
    </xf>
    <xf numFmtId="0" fontId="6" fillId="0" borderId="39" xfId="10" applyFont="1" applyFill="1" applyBorder="1" applyAlignment="1">
      <alignment horizontal="center" vertical="center" wrapText="1"/>
      <protection locked="0"/>
    </xf>
    <xf numFmtId="0" fontId="6" fillId="0" borderId="37" xfId="10" applyFont="1" applyFill="1" applyBorder="1" applyAlignment="1">
      <alignment horizontal="center" wrapText="1"/>
      <protection locked="0"/>
    </xf>
    <xf numFmtId="0" fontId="6" fillId="0" borderId="38" xfId="10" applyFont="1" applyFill="1" applyBorder="1" applyAlignment="1">
      <alignment horizontal="center" wrapText="1"/>
      <protection locked="0"/>
    </xf>
    <xf numFmtId="43" fontId="90" fillId="0" borderId="69" xfId="7" applyNumberFormat="1" applyFont="1" applyFill="1" applyBorder="1" applyAlignment="1">
      <alignment horizontal="center" vertical="center"/>
    </xf>
    <xf numFmtId="43" fontId="90" fillId="0" borderId="69" xfId="7" applyNumberFormat="1" applyFont="1" applyFill="1" applyBorder="1" applyAlignment="1">
      <alignment horizontal="left" vertical="center" wrapText="1"/>
    </xf>
    <xf numFmtId="43" fontId="90" fillId="0" borderId="70" xfId="7" applyNumberFormat="1" applyFont="1" applyFill="1" applyBorder="1" applyAlignment="1">
      <alignment horizontal="center" vertical="center"/>
    </xf>
    <xf numFmtId="43" fontId="90" fillId="0" borderId="10" xfId="7" applyNumberFormat="1" applyFont="1" applyFill="1" applyBorder="1" applyAlignment="1">
      <alignment horizontal="center" vertical="center"/>
    </xf>
    <xf numFmtId="43" fontId="90" fillId="0" borderId="0" xfId="7" applyNumberFormat="1" applyFont="1" applyFill="1" applyBorder="1" applyAlignment="1">
      <alignment vertical="center"/>
    </xf>
    <xf numFmtId="43" fontId="24" fillId="0" borderId="0" xfId="7" applyNumberFormat="1" applyFont="1" applyFill="1" applyBorder="1" applyAlignment="1">
      <alignment vertical="center"/>
    </xf>
    <xf numFmtId="43" fontId="90" fillId="0" borderId="69" xfId="7" applyNumberFormat="1" applyFont="1" applyFill="1" applyBorder="1" applyAlignment="1">
      <alignment horizontal="left" vertical="center"/>
    </xf>
    <xf numFmtId="43" fontId="90" fillId="0" borderId="69" xfId="7" applyNumberFormat="1" applyFont="1" applyFill="1" applyBorder="1" applyAlignment="1">
      <alignment vertical="center"/>
    </xf>
    <xf numFmtId="43" fontId="81" fillId="0" borderId="69" xfId="141" applyFont="1" applyFill="1" applyBorder="1" applyAlignment="1">
      <alignment vertical="center"/>
    </xf>
  </cellXfs>
  <cellStyles count="142">
    <cellStyle name="?" xfId="11"/>
    <cellStyle name="?餡_x000c_k" xfId="12"/>
    <cellStyle name="?餡_x000c_k?_x000d_^" xfId="13"/>
    <cellStyle name="?餡_x000c_k?_x000d_^黇_x0001_??_x0007__x0001__x0001_" xfId="14"/>
    <cellStyle name="@_text" xfId="15"/>
    <cellStyle name="_2005审计报表及附注-中国建材股份模板（房屋）" xfId="16"/>
    <cellStyle name="_2006年年报审计PBC表-XXX" xfId="17"/>
    <cellStyle name="_2006年年报审计填报资料" xfId="18"/>
    <cellStyle name="_PBC审核提示" xfId="19"/>
    <cellStyle name="_宝丽华房地产20051231" xfId="20"/>
    <cellStyle name="_保证金-企业填写部分" xfId="21"/>
    <cellStyle name="_北新房屋2004年审-刘" xfId="22"/>
    <cellStyle name="_北新股份2005年审工作底稿" xfId="23"/>
    <cellStyle name="_北新建材关连交易基础表051230（10－12月版）更新稿" xfId="24"/>
    <cellStyle name="_北新建材-会计报表附注模版" xfId="25"/>
    <cellStyle name="_北新龙之星2004年审工作底稿" xfId="26"/>
    <cellStyle name="_北新物流2005底稿-刘" xfId="27"/>
    <cellStyle name="_北新置换memo" xfId="28"/>
    <cellStyle name="_存货结转测试" xfId="29"/>
    <cellStyle name="_存货数量与明细05.12" xfId="30"/>
    <cellStyle name="_动力厂2004年审工作底稿-刘" xfId="31"/>
    <cellStyle name="_分工" xfId="32"/>
    <cellStyle name="_工程施工项目现场审计提示" xfId="33"/>
    <cellStyle name="_关联交易" xfId="34"/>
    <cellStyle name="_关联交易、往来统计表" xfId="35"/>
    <cellStyle name="_合并报表审计套餐(CAS-V0.0)" xfId="36"/>
    <cellStyle name="_科目核对表" xfId="37"/>
    <cellStyle name="_母PL" xfId="38"/>
    <cellStyle name="_人员分工备忘录" xfId="39"/>
    <cellStyle name="_审计所需资料清单－子公司" xfId="40"/>
    <cellStyle name="_长期借款－江阴" xfId="41"/>
    <cellStyle name="{Comma [0]}" xfId="42"/>
    <cellStyle name="{Comma}" xfId="43"/>
    <cellStyle name="{Date}" xfId="44"/>
    <cellStyle name="{Month}" xfId="45"/>
    <cellStyle name="{Percent}" xfId="46"/>
    <cellStyle name="{Thousand [0]}" xfId="47"/>
    <cellStyle name="{Thousand}" xfId="48"/>
    <cellStyle name="{Z'0000(1 dec)}" xfId="49"/>
    <cellStyle name="{Z'0000(4 dec)}" xfId="50"/>
    <cellStyle name="0%" xfId="51"/>
    <cellStyle name="0.0%" xfId="52"/>
    <cellStyle name="0.00%" xfId="53"/>
    <cellStyle name="Black" xfId="54"/>
    <cellStyle name="Border" xfId="55"/>
    <cellStyle name="Calc Currency (0)" xfId="56"/>
    <cellStyle name="Col Heads" xfId="57"/>
    <cellStyle name="Column_Title" xfId="58"/>
    <cellStyle name="Comma  - Style1" xfId="59"/>
    <cellStyle name="Comma  - Style2" xfId="60"/>
    <cellStyle name="Comma  - Style3" xfId="61"/>
    <cellStyle name="Comma  - Style4" xfId="62"/>
    <cellStyle name="Comma  - Style5" xfId="63"/>
    <cellStyle name="Comma  - Style6" xfId="64"/>
    <cellStyle name="Comma  - Style7" xfId="65"/>
    <cellStyle name="Comma  - Style8" xfId="66"/>
    <cellStyle name="Comma [0]_ rislugp" xfId="67"/>
    <cellStyle name="Comma,0" xfId="68"/>
    <cellStyle name="Comma,1" xfId="69"/>
    <cellStyle name="Comma,2" xfId="70"/>
    <cellStyle name="Comma_ rislugp" xfId="71"/>
    <cellStyle name="Currency [0]_ rislugp" xfId="72"/>
    <cellStyle name="Currency,0" xfId="73"/>
    <cellStyle name="Currency,2" xfId="74"/>
    <cellStyle name="Currency_ rislugp" xfId="75"/>
    <cellStyle name="Dezimal [0]_laroux" xfId="76"/>
    <cellStyle name="Dezimal_laroux" xfId="77"/>
    <cellStyle name="entry" xfId="78"/>
    <cellStyle name="entry box" xfId="79"/>
    <cellStyle name="Euro" xfId="80"/>
    <cellStyle name="Followed Hyperlink_AheadBehind.xls Chart 23" xfId="81"/>
    <cellStyle name="Grey" xfId="82"/>
    <cellStyle name="Header1" xfId="83"/>
    <cellStyle name="Header2" xfId="84"/>
    <cellStyle name="Heading" xfId="85"/>
    <cellStyle name="Hyperlink_AheadBehind.xls Chart 23" xfId="86"/>
    <cellStyle name="Input [yellow]" xfId="87"/>
    <cellStyle name="left" xfId="88"/>
    <cellStyle name="Millares [0]_laroux" xfId="89"/>
    <cellStyle name="Millares_laroux" xfId="90"/>
    <cellStyle name="Milliers [0]_laroux" xfId="91"/>
    <cellStyle name="Milliers_laroux" xfId="92"/>
    <cellStyle name="Moneda [0]_laroux" xfId="93"/>
    <cellStyle name="Moneda_laroux" xfId="94"/>
    <cellStyle name="Mon閠aire [0]_laroux" xfId="95"/>
    <cellStyle name="Mon閠aire_laroux" xfId="96"/>
    <cellStyle name="no dec" xfId="97"/>
    <cellStyle name="Non défini" xfId="98"/>
    <cellStyle name="Normal - Style1" xfId="99"/>
    <cellStyle name="Normal_ rislugp" xfId="100"/>
    <cellStyle name="Normalny_Arkusz1" xfId="101"/>
    <cellStyle name="Percent (0)" xfId="102"/>
    <cellStyle name="Percent [2]" xfId="103"/>
    <cellStyle name="Prefilled" xfId="104"/>
    <cellStyle name="price" xfId="105"/>
    <cellStyle name="Red" xfId="106"/>
    <cellStyle name="revised" xfId="107"/>
    <cellStyle name="S4" xfId="108"/>
    <cellStyle name="S5" xfId="109"/>
    <cellStyle name="section" xfId="110"/>
    <cellStyle name="style" xfId="111"/>
    <cellStyle name="style1" xfId="112"/>
    <cellStyle name="style2" xfId="113"/>
    <cellStyle name="Tickmark" xfId="114"/>
    <cellStyle name="title" xfId="115"/>
    <cellStyle name="wrap" xfId="116"/>
    <cellStyle name="パーセント_laroux" xfId="117"/>
    <cellStyle name="百分比 2" xfId="6"/>
    <cellStyle name="標準_１１月価格表" xfId="118"/>
    <cellStyle name="常规" xfId="0" builtinId="0"/>
    <cellStyle name="常规_2003年调整表1" xfId="4"/>
    <cellStyle name="常规_⒂A12审计完成分析性复核" xfId="1"/>
    <cellStyle name="常规_c-资产类" xfId="2"/>
    <cellStyle name="常规_EPS-ROE计算（新）" xfId="10"/>
    <cellStyle name="常规_sheet" xfId="9"/>
    <cellStyle name="常规_WOOKSHEET2" xfId="140"/>
    <cellStyle name="常规_合并报表审计套餐(CAS-V0.0)" xfId="3"/>
    <cellStyle name="常规_试算表(三建主业)" xfId="8"/>
    <cellStyle name="超级链接_B4-1审计项目工时预算与控制表(集团)" xfId="119"/>
    <cellStyle name="分级显示行_1_4附件二凯旋评估表" xfId="120"/>
    <cellStyle name="桁区切り [0.00]_１１月価格表" xfId="121"/>
    <cellStyle name="桁区切り_１１月価格表" xfId="122"/>
    <cellStyle name="霓付 [0]_97MBO" xfId="123"/>
    <cellStyle name="霓付_97MBO" xfId="124"/>
    <cellStyle name="烹拳 [0]_97MBO" xfId="125"/>
    <cellStyle name="烹拳_97MBO" xfId="126"/>
    <cellStyle name="普通_ 白土" xfId="127"/>
    <cellStyle name="千分位[0]_ 白土" xfId="128"/>
    <cellStyle name="千分位_ 白土" xfId="129"/>
    <cellStyle name="千位[0]_97汇总" xfId="130"/>
    <cellStyle name="千位_97汇总" xfId="131"/>
    <cellStyle name="千位分隔" xfId="141" builtinId="3"/>
    <cellStyle name="千位分隔[0]_审计调整试算平衡表（修改中）" xfId="7"/>
    <cellStyle name="千位分隔_合并报表审计套餐(CAS-V0.0)" xfId="5"/>
    <cellStyle name="钎霖_laroux" xfId="132"/>
    <cellStyle name="通貨 [0.00]_１１月価格表" xfId="133"/>
    <cellStyle name="通貨_１１月価格表" xfId="134"/>
    <cellStyle name="콤마 [0]_BOILER-CO1" xfId="135"/>
    <cellStyle name="콤마_BOILER-CO1" xfId="136"/>
    <cellStyle name="통화 [0]_BOILER-CO1" xfId="137"/>
    <cellStyle name="통화_BOILER-CO1" xfId="138"/>
    <cellStyle name="표준_0N-HANDLING " xfId="139"/>
  </cellStyles>
  <dxfs count="16">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8</xdr:row>
      <xdr:rowOff>47625</xdr:rowOff>
    </xdr:from>
    <xdr:to>
      <xdr:col>0</xdr:col>
      <xdr:colOff>752475</xdr:colOff>
      <xdr:row>9</xdr:row>
      <xdr:rowOff>95250</xdr:rowOff>
    </xdr:to>
    <xdr:sp macro="" textlink="">
      <xdr:nvSpPr>
        <xdr:cNvPr id="2"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3"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21</xdr:row>
      <xdr:rowOff>47625</xdr:rowOff>
    </xdr:from>
    <xdr:to>
      <xdr:col>0</xdr:col>
      <xdr:colOff>752475</xdr:colOff>
      <xdr:row>22</xdr:row>
      <xdr:rowOff>95250</xdr:rowOff>
    </xdr:to>
    <xdr:sp macro="" textlink="">
      <xdr:nvSpPr>
        <xdr:cNvPr id="4" name="Text Box 3"/>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21</xdr:row>
      <xdr:rowOff>47625</xdr:rowOff>
    </xdr:from>
    <xdr:to>
      <xdr:col>0</xdr:col>
      <xdr:colOff>752475</xdr:colOff>
      <xdr:row>22</xdr:row>
      <xdr:rowOff>95250</xdr:rowOff>
    </xdr:to>
    <xdr:sp macro="" textlink="">
      <xdr:nvSpPr>
        <xdr:cNvPr id="5" name="Text Box 4"/>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6"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7"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22</xdr:row>
      <xdr:rowOff>47625</xdr:rowOff>
    </xdr:from>
    <xdr:to>
      <xdr:col>0</xdr:col>
      <xdr:colOff>752475</xdr:colOff>
      <xdr:row>23</xdr:row>
      <xdr:rowOff>95250</xdr:rowOff>
    </xdr:to>
    <xdr:sp macro="" textlink="">
      <xdr:nvSpPr>
        <xdr:cNvPr id="8" name="Text Box 3"/>
        <xdr:cNvSpPr txBox="1">
          <a:spLocks noChangeArrowheads="1"/>
        </xdr:cNvSpPr>
      </xdr:nvSpPr>
      <xdr:spPr bwMode="auto">
        <a:xfrm>
          <a:off x="676275" y="43243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22</xdr:row>
      <xdr:rowOff>47625</xdr:rowOff>
    </xdr:from>
    <xdr:to>
      <xdr:col>0</xdr:col>
      <xdr:colOff>752475</xdr:colOff>
      <xdr:row>23</xdr:row>
      <xdr:rowOff>95250</xdr:rowOff>
    </xdr:to>
    <xdr:sp macro="" textlink="">
      <xdr:nvSpPr>
        <xdr:cNvPr id="9" name="Text Box 4"/>
        <xdr:cNvSpPr txBox="1">
          <a:spLocks noChangeArrowheads="1"/>
        </xdr:cNvSpPr>
      </xdr:nvSpPr>
      <xdr:spPr bwMode="auto">
        <a:xfrm>
          <a:off x="676275" y="43243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10"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11"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8</xdr:row>
      <xdr:rowOff>47625</xdr:rowOff>
    </xdr:from>
    <xdr:to>
      <xdr:col>0</xdr:col>
      <xdr:colOff>762000</xdr:colOff>
      <xdr:row>9</xdr:row>
      <xdr:rowOff>95250</xdr:rowOff>
    </xdr:to>
    <xdr:sp macro="" textlink="">
      <xdr:nvSpPr>
        <xdr:cNvPr id="2" name="Text Box 1"/>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685800</xdr:colOff>
      <xdr:row>8</xdr:row>
      <xdr:rowOff>47625</xdr:rowOff>
    </xdr:from>
    <xdr:to>
      <xdr:col>0</xdr:col>
      <xdr:colOff>762000</xdr:colOff>
      <xdr:row>9</xdr:row>
      <xdr:rowOff>95250</xdr:rowOff>
    </xdr:to>
    <xdr:sp macro="" textlink="">
      <xdr:nvSpPr>
        <xdr:cNvPr id="3" name="Text Box 2"/>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685800</xdr:colOff>
      <xdr:row>8</xdr:row>
      <xdr:rowOff>47625</xdr:rowOff>
    </xdr:from>
    <xdr:to>
      <xdr:col>0</xdr:col>
      <xdr:colOff>762000</xdr:colOff>
      <xdr:row>9</xdr:row>
      <xdr:rowOff>95250</xdr:rowOff>
    </xdr:to>
    <xdr:sp macro="" textlink="">
      <xdr:nvSpPr>
        <xdr:cNvPr id="4" name="Text Box 1"/>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685800</xdr:colOff>
      <xdr:row>8</xdr:row>
      <xdr:rowOff>47625</xdr:rowOff>
    </xdr:from>
    <xdr:to>
      <xdr:col>0</xdr:col>
      <xdr:colOff>762000</xdr:colOff>
      <xdr:row>9</xdr:row>
      <xdr:rowOff>95250</xdr:rowOff>
    </xdr:to>
    <xdr:sp macro="" textlink="">
      <xdr:nvSpPr>
        <xdr:cNvPr id="5" name="Text Box 2"/>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6"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7"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8"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9"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a/LOCALS~1/Temp/Rar$DI00.858/Control%20Matrix%20Template%20v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40%20Prepaid%20Exp.%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y%20Documents\&#24037;&#20316;&#24213;&#31295;12.11\&#22303;&#22320;&#24213;&#3129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94;&#21153;/cec&#22659;&#22806;&#36164;&#20135;&#23457;&#35745;/&#21512;&#24182;/worksheets/btg/&#26412;&#37096;&#24213;&#31295;/3.15&#39318;&#26053;&#38598;&#22242;&#26412;&#37096;&#22871;&#3918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20Documents/&#21326;&#32852;&#32929;&#20221;/04/&#27827;&#21335;/&#27827;&#21335;&#21326;&#32852;%20(version%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3457;&#35745;/4&#26376;/2270%20For%20MORGAN-Consolidation%202002-200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20Documents/600277&#20159;&#21033;&#31185;&#25216;/2003&#24180;&#23457;/c-&#20013;&#33647;&#26448;/&#20013;&#33647;&#26448;&#26126;&#32454;&#24080;/&#24211;&#23384;&#25968;&#37327;&#37329;&#39069;&#2408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1326;&#32852;2004&#20013;&#26399;/&#23458;&#25143;&#36164;&#26009;/&#32852;&#37319;&#34920;&#2668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5780;&#20272;&#26126;&#32454;&#34920;&#27169;&#26495;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CUME~1/yjr/LOCALS~1/Temp/My%20Documents/2003/&#21326;&#32852;/&#24180;&#23457;/&#20854;&#20182;/&#21512;&#24182;&#25253;&#34920;&#20998;&#2651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1243;&#24207;/&#31243;&#24207;/11&#35780;&#20272;&#26126;&#32454;&#34920;/v4.6/01%20&#21333;&#20307;&#35780;&#20272;&#31995;&#32479;&#65288;V4.5&#65289;.xlt"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5105;&#30340;&#24037;&#20316;/&#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1-13%20&#23436;&#25104;&#38454;&#27573;&#20998;&#26512;&#24615;&#22797;&#26680;&#65288;&#27597;&#20844;&#21496;&#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cell r="AY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cell r="AY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J96">
            <v>0</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H116">
            <v>0</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G160">
            <v>0</v>
          </cell>
          <cell r="AH160">
            <v>0</v>
          </cell>
          <cell r="AI160">
            <v>0</v>
          </cell>
          <cell r="AJ160">
            <v>71554</v>
          </cell>
          <cell r="AK160">
            <v>132817.66</v>
          </cell>
          <cell r="AL160">
            <v>0</v>
          </cell>
          <cell r="AM160">
            <v>0</v>
          </cell>
          <cell r="AN160">
            <v>0</v>
          </cell>
          <cell r="AO160">
            <v>0</v>
          </cell>
          <cell r="AP160">
            <v>0</v>
          </cell>
          <cell r="AQ160">
            <v>0</v>
          </cell>
          <cell r="AR160">
            <v>0</v>
          </cell>
          <cell r="AS160">
            <v>0</v>
          </cell>
          <cell r="AT160">
            <v>0</v>
          </cell>
          <cell r="AU160">
            <v>130749.15</v>
          </cell>
          <cell r="AV160">
            <v>0</v>
          </cell>
          <cell r="AW160">
            <v>0</v>
          </cell>
          <cell r="AX160">
            <v>0</v>
          </cell>
          <cell r="AY160">
            <v>0</v>
          </cell>
        </row>
        <row r="161">
          <cell r="C161">
            <v>0</v>
          </cell>
          <cell r="E161">
            <v>0</v>
          </cell>
          <cell r="L161">
            <v>0</v>
          </cell>
          <cell r="N161">
            <v>0</v>
          </cell>
          <cell r="AP161">
            <v>0</v>
          </cell>
        </row>
        <row r="162">
          <cell r="C162">
            <v>0</v>
          </cell>
          <cell r="E162">
            <v>0</v>
          </cell>
          <cell r="L162">
            <v>0</v>
          </cell>
          <cell r="N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cell r="AY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row>
        <row r="170">
          <cell r="C170">
            <v>0</v>
          </cell>
          <cell r="E170">
            <v>0</v>
          </cell>
          <cell r="L170">
            <v>0</v>
          </cell>
          <cell r="N170">
            <v>0</v>
          </cell>
          <cell r="AP170">
            <v>0</v>
          </cell>
        </row>
        <row r="171">
          <cell r="C171">
            <v>0</v>
          </cell>
          <cell r="E171">
            <v>0</v>
          </cell>
          <cell r="L171">
            <v>0</v>
          </cell>
          <cell r="N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row>
        <row r="172">
          <cell r="C172">
            <v>0</v>
          </cell>
          <cell r="E172">
            <v>0</v>
          </cell>
          <cell r="L172">
            <v>0</v>
          </cell>
          <cell r="N172">
            <v>0</v>
          </cell>
          <cell r="AP172">
            <v>0</v>
          </cell>
        </row>
        <row r="173">
          <cell r="C173">
            <v>0</v>
          </cell>
          <cell r="E173">
            <v>0</v>
          </cell>
          <cell r="L173">
            <v>0</v>
          </cell>
          <cell r="N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cell r="AY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cell r="AY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cell r="AT208">
            <v>0</v>
          </cell>
          <cell r="AU208">
            <v>0</v>
          </cell>
          <cell r="AV208">
            <v>0</v>
          </cell>
          <cell r="AW208">
            <v>0</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I209">
            <v>0</v>
          </cell>
          <cell r="AJ209">
            <v>15762</v>
          </cell>
          <cell r="AK209">
            <v>0</v>
          </cell>
          <cell r="AL209">
            <v>0</v>
          </cell>
          <cell r="AM209">
            <v>0</v>
          </cell>
          <cell r="AN209">
            <v>0</v>
          </cell>
          <cell r="AO209">
            <v>0</v>
          </cell>
          <cell r="AP209">
            <v>18000</v>
          </cell>
          <cell r="AQ209">
            <v>0</v>
          </cell>
          <cell r="AR209">
            <v>0</v>
          </cell>
          <cell r="AS209">
            <v>0</v>
          </cell>
          <cell r="AT209">
            <v>0</v>
          </cell>
          <cell r="AU209">
            <v>0</v>
          </cell>
          <cell r="AV209">
            <v>0</v>
          </cell>
          <cell r="AW209">
            <v>0</v>
          </cell>
          <cell r="AX209">
            <v>0</v>
          </cell>
          <cell r="AY209">
            <v>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H215">
            <v>0</v>
          </cell>
          <cell r="AI215">
            <v>0</v>
          </cell>
          <cell r="AJ215">
            <v>0</v>
          </cell>
          <cell r="AK215">
            <v>44300</v>
          </cell>
          <cell r="AL215">
            <v>207360</v>
          </cell>
          <cell r="AM215">
            <v>436500</v>
          </cell>
          <cell r="AN215">
            <v>0</v>
          </cell>
          <cell r="AO215">
            <v>4952251</v>
          </cell>
          <cell r="AP215">
            <v>1888200</v>
          </cell>
          <cell r="AQ215">
            <v>0</v>
          </cell>
          <cell r="AR215">
            <v>1681740</v>
          </cell>
          <cell r="AS215">
            <v>0</v>
          </cell>
          <cell r="AT215">
            <v>6562500</v>
          </cell>
          <cell r="AU215">
            <v>0</v>
          </cell>
          <cell r="AV215">
            <v>2786744</v>
          </cell>
          <cell r="AW215">
            <v>0</v>
          </cell>
          <cell r="AX215">
            <v>1887600</v>
          </cell>
          <cell r="AY215">
            <v>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H219">
            <v>0</v>
          </cell>
          <cell r="AI219">
            <v>216423.14</v>
          </cell>
          <cell r="AJ219">
            <v>73753.42</v>
          </cell>
          <cell r="AK219">
            <v>0</v>
          </cell>
          <cell r="AL219">
            <v>146044.85</v>
          </cell>
          <cell r="AM219">
            <v>0</v>
          </cell>
          <cell r="AN219">
            <v>0</v>
          </cell>
          <cell r="AO219">
            <v>33600</v>
          </cell>
          <cell r="AP219">
            <v>270187.59999999998</v>
          </cell>
          <cell r="AQ219">
            <v>157361</v>
          </cell>
          <cell r="AR219">
            <v>5503.34</v>
          </cell>
          <cell r="AS219">
            <v>19720</v>
          </cell>
          <cell r="AT219">
            <v>52788.89</v>
          </cell>
          <cell r="AU219">
            <v>59693</v>
          </cell>
          <cell r="AV219">
            <v>0</v>
          </cell>
          <cell r="AW219">
            <v>346006.94</v>
          </cell>
          <cell r="AX219">
            <v>12766.17</v>
          </cell>
          <cell r="AY219">
            <v>0</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H225">
            <v>0</v>
          </cell>
          <cell r="AI225">
            <v>0</v>
          </cell>
          <cell r="AJ225">
            <v>0</v>
          </cell>
          <cell r="AK225">
            <v>44300</v>
          </cell>
          <cell r="AL225">
            <v>207360</v>
          </cell>
          <cell r="AM225">
            <v>436500</v>
          </cell>
          <cell r="AN225">
            <v>0</v>
          </cell>
          <cell r="AO225">
            <v>4321929.46</v>
          </cell>
          <cell r="AP225">
            <v>1373200</v>
          </cell>
          <cell r="AQ225">
            <v>0</v>
          </cell>
          <cell r="AR225">
            <v>1716360</v>
          </cell>
          <cell r="AS225">
            <v>0</v>
          </cell>
          <cell r="AT225">
            <v>6217500</v>
          </cell>
          <cell r="AU225">
            <v>0</v>
          </cell>
          <cell r="AV225">
            <v>1261743</v>
          </cell>
          <cell r="AW225">
            <v>0</v>
          </cell>
          <cell r="AX225">
            <v>0</v>
          </cell>
          <cell r="AY225">
            <v>0</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K229">
            <v>0</v>
          </cell>
          <cell r="AL229">
            <v>146044.85</v>
          </cell>
          <cell r="AM229">
            <v>0</v>
          </cell>
          <cell r="AN229">
            <v>0</v>
          </cell>
          <cell r="AO229">
            <v>23200</v>
          </cell>
          <cell r="AP229">
            <v>252859.29</v>
          </cell>
          <cell r="AQ229">
            <v>91590.83</v>
          </cell>
          <cell r="AR229">
            <v>5503.34</v>
          </cell>
          <cell r="AS229">
            <v>19720</v>
          </cell>
          <cell r="AT229">
            <v>52788.89</v>
          </cell>
          <cell r="AU229">
            <v>18588.98</v>
          </cell>
          <cell r="AV229">
            <v>0</v>
          </cell>
          <cell r="AW229">
            <v>346006.94</v>
          </cell>
          <cell r="AX229">
            <v>5445.32</v>
          </cell>
          <cell r="AY229">
            <v>0</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cell r="AT303">
            <v>0</v>
          </cell>
          <cell r="AU303">
            <v>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H304">
            <v>0</v>
          </cell>
          <cell r="AI304">
            <v>0</v>
          </cell>
          <cell r="AJ304">
            <v>550500</v>
          </cell>
          <cell r="AK304">
            <v>590400</v>
          </cell>
          <cell r="AL304">
            <v>431577.4</v>
          </cell>
          <cell r="AM304">
            <v>0</v>
          </cell>
          <cell r="AN304">
            <v>205300</v>
          </cell>
          <cell r="AO304">
            <v>244000</v>
          </cell>
          <cell r="AP304">
            <v>725600</v>
          </cell>
          <cell r="AQ304">
            <v>1214660</v>
          </cell>
          <cell r="AR304">
            <v>0</v>
          </cell>
          <cell r="AS304">
            <v>88160</v>
          </cell>
          <cell r="AT304">
            <v>0</v>
          </cell>
          <cell r="AU304">
            <v>0</v>
          </cell>
          <cell r="AV304">
            <v>0</v>
          </cell>
          <cell r="AW304">
            <v>0</v>
          </cell>
          <cell r="AX304">
            <v>0</v>
          </cell>
          <cell r="AY304">
            <v>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Q305">
            <v>0</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G312">
            <v>0</v>
          </cell>
          <cell r="AH312">
            <v>3481.6</v>
          </cell>
          <cell r="AI312">
            <v>29340</v>
          </cell>
          <cell r="AJ312">
            <v>253258</v>
          </cell>
          <cell r="AK312">
            <v>23635</v>
          </cell>
          <cell r="AL312">
            <v>373107.03</v>
          </cell>
          <cell r="AM312">
            <v>0</v>
          </cell>
          <cell r="AN312">
            <v>64655.07</v>
          </cell>
          <cell r="AO312">
            <v>55700</v>
          </cell>
          <cell r="AP312">
            <v>161311.28</v>
          </cell>
          <cell r="AQ312">
            <v>0</v>
          </cell>
          <cell r="AR312">
            <v>0</v>
          </cell>
          <cell r="AS312">
            <v>129500</v>
          </cell>
          <cell r="AT312">
            <v>2209469.4</v>
          </cell>
          <cell r="AU312">
            <v>741807.2</v>
          </cell>
          <cell r="AV312">
            <v>0</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I314">
            <v>0</v>
          </cell>
          <cell r="AJ314">
            <v>0</v>
          </cell>
          <cell r="AK314">
            <v>25035330.23</v>
          </cell>
          <cell r="AL314">
            <v>12768890.5</v>
          </cell>
          <cell r="AM314">
            <v>0</v>
          </cell>
          <cell r="AN314">
            <v>12739079.789999999</v>
          </cell>
          <cell r="AO314">
            <v>3686600.65</v>
          </cell>
          <cell r="AP314">
            <v>1707023.79</v>
          </cell>
          <cell r="AQ314">
            <v>0</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cell r="AU340">
            <v>0</v>
          </cell>
          <cell r="AV340">
            <v>0</v>
          </cell>
          <cell r="AW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G341">
            <v>0</v>
          </cell>
          <cell r="AH341">
            <v>0</v>
          </cell>
          <cell r="AI341">
            <v>0</v>
          </cell>
          <cell r="AJ341">
            <v>262737.09999999998</v>
          </cell>
          <cell r="AK341">
            <v>155174.96</v>
          </cell>
          <cell r="AL341">
            <v>127910.1</v>
          </cell>
          <cell r="AM341">
            <v>0</v>
          </cell>
          <cell r="AN341">
            <v>31284.04</v>
          </cell>
          <cell r="AO341">
            <v>61903.31</v>
          </cell>
          <cell r="AP341">
            <v>174614.7</v>
          </cell>
          <cell r="AQ341">
            <v>446592.86</v>
          </cell>
          <cell r="AR341">
            <v>0</v>
          </cell>
          <cell r="AS341">
            <v>36323.07</v>
          </cell>
          <cell r="AT341">
            <v>0</v>
          </cell>
          <cell r="AU341">
            <v>0</v>
          </cell>
          <cell r="AV341">
            <v>0</v>
          </cell>
          <cell r="AW341">
            <v>0</v>
          </cell>
          <cell r="AX341">
            <v>0</v>
          </cell>
          <cell r="AY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Q342">
            <v>0</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H348">
            <v>0</v>
          </cell>
          <cell r="AI348">
            <v>8104.45</v>
          </cell>
          <cell r="AJ348">
            <v>112772.7</v>
          </cell>
          <cell r="AK348">
            <v>122037</v>
          </cell>
          <cell r="AL348">
            <v>111100.06</v>
          </cell>
          <cell r="AM348">
            <v>0</v>
          </cell>
          <cell r="AN348">
            <v>19503.5</v>
          </cell>
          <cell r="AO348">
            <v>46359.96</v>
          </cell>
          <cell r="AP348">
            <v>137863.94</v>
          </cell>
          <cell r="AQ348">
            <v>210455.4</v>
          </cell>
          <cell r="AR348">
            <v>0</v>
          </cell>
          <cell r="AS348">
            <v>13178.46</v>
          </cell>
          <cell r="AT348">
            <v>0</v>
          </cell>
          <cell r="AU348">
            <v>0</v>
          </cell>
          <cell r="AV348">
            <v>0</v>
          </cell>
          <cell r="AW348">
            <v>34983.360000000001</v>
          </cell>
          <cell r="AX348">
            <v>0</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Q349">
            <v>0</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I351">
            <v>0</v>
          </cell>
          <cell r="AJ351">
            <v>0</v>
          </cell>
          <cell r="AK351">
            <v>3237580.98</v>
          </cell>
          <cell r="AL351">
            <v>4763422.41</v>
          </cell>
          <cell r="AM351">
            <v>0</v>
          </cell>
          <cell r="AN351">
            <v>1682299.97</v>
          </cell>
          <cell r="AO351">
            <v>859451.71</v>
          </cell>
          <cell r="AP351">
            <v>367907.17</v>
          </cell>
          <cell r="AQ351">
            <v>0</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cell r="AY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cell r="AY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cell r="AY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N415">
            <v>0</v>
          </cell>
          <cell r="AO415">
            <v>4825.6400000000003</v>
          </cell>
          <cell r="AP415">
            <v>6373</v>
          </cell>
          <cell r="AQ415">
            <v>10469</v>
          </cell>
          <cell r="AR415">
            <v>4036.5</v>
          </cell>
          <cell r="AS415">
            <v>6460</v>
          </cell>
          <cell r="AT415">
            <v>0</v>
          </cell>
          <cell r="AU415">
            <v>14742</v>
          </cell>
          <cell r="AV415">
            <v>2109.56</v>
          </cell>
          <cell r="AW415">
            <v>1172.0999999999999</v>
          </cell>
          <cell r="AX415">
            <v>2929.32</v>
          </cell>
          <cell r="AY415">
            <v>0</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K437">
            <v>0</v>
          </cell>
          <cell r="AL437">
            <v>164602.79999999999</v>
          </cell>
          <cell r="AM437">
            <v>232829.62</v>
          </cell>
          <cell r="AN437">
            <v>92203.08</v>
          </cell>
          <cell r="AO437">
            <v>10000</v>
          </cell>
          <cell r="AP437">
            <v>30000</v>
          </cell>
          <cell r="AQ437">
            <v>144500</v>
          </cell>
          <cell r="AR437">
            <v>0</v>
          </cell>
          <cell r="AS437">
            <v>0</v>
          </cell>
          <cell r="AT437">
            <v>0</v>
          </cell>
          <cell r="AU437">
            <v>237121.96</v>
          </cell>
          <cell r="AV437">
            <v>50386</v>
          </cell>
          <cell r="AW437">
            <v>0</v>
          </cell>
          <cell r="AX437">
            <v>238230.39999999999</v>
          </cell>
          <cell r="AY437">
            <v>0</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G438">
            <v>0</v>
          </cell>
          <cell r="AH438">
            <v>1915000</v>
          </cell>
          <cell r="AI438">
            <v>0</v>
          </cell>
          <cell r="AJ438">
            <v>0</v>
          </cell>
          <cell r="AK438">
            <v>175082.67</v>
          </cell>
          <cell r="AL438">
            <v>714147.88</v>
          </cell>
          <cell r="AM438">
            <v>535832</v>
          </cell>
          <cell r="AN438">
            <v>16500</v>
          </cell>
          <cell r="AO438">
            <v>0</v>
          </cell>
          <cell r="AP438">
            <v>0</v>
          </cell>
          <cell r="AQ438">
            <v>0</v>
          </cell>
          <cell r="AR438">
            <v>0</v>
          </cell>
          <cell r="AS438">
            <v>0</v>
          </cell>
          <cell r="AT438">
            <v>0</v>
          </cell>
          <cell r="AU438">
            <v>0</v>
          </cell>
          <cell r="AV438">
            <v>0</v>
          </cell>
          <cell r="AW438">
            <v>0</v>
          </cell>
          <cell r="AX438">
            <v>0</v>
          </cell>
          <cell r="AY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cell r="AY476">
            <v>0</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cell r="AY487">
            <v>0</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cell r="AY488">
            <v>0</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H514">
            <v>0</v>
          </cell>
          <cell r="AI514">
            <v>6641888.2800000003</v>
          </cell>
          <cell r="AJ514">
            <v>8231085.3300000001</v>
          </cell>
          <cell r="AK514">
            <v>4465808.82</v>
          </cell>
          <cell r="AL514">
            <v>538868.4</v>
          </cell>
          <cell r="AM514">
            <v>0</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H574">
            <v>0</v>
          </cell>
          <cell r="AI574">
            <v>188424.43</v>
          </cell>
          <cell r="AJ574">
            <v>183393.42</v>
          </cell>
          <cell r="AK574">
            <v>149466.39000000001</v>
          </cell>
          <cell r="AL574">
            <v>0</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H575">
            <v>0</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cell r="AY575">
            <v>0</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G577">
            <v>0</v>
          </cell>
          <cell r="AH577">
            <v>0</v>
          </cell>
          <cell r="AI577">
            <v>0</v>
          </cell>
          <cell r="AJ577">
            <v>0</v>
          </cell>
          <cell r="AK577">
            <v>0</v>
          </cell>
          <cell r="AL577">
            <v>0</v>
          </cell>
          <cell r="AM577">
            <v>0</v>
          </cell>
          <cell r="AN577">
            <v>0</v>
          </cell>
          <cell r="AO577">
            <v>0</v>
          </cell>
          <cell r="AP577">
            <v>0</v>
          </cell>
          <cell r="AQ577">
            <v>0</v>
          </cell>
          <cell r="AR577">
            <v>15288.98</v>
          </cell>
          <cell r="AS577">
            <v>0</v>
          </cell>
          <cell r="AT577">
            <v>0</v>
          </cell>
          <cell r="AU577">
            <v>0</v>
          </cell>
          <cell r="AV577">
            <v>0</v>
          </cell>
          <cell r="AW577">
            <v>0</v>
          </cell>
          <cell r="AX577">
            <v>0</v>
          </cell>
          <cell r="AY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row r="2">
          <cell r="A2" t="str">
            <v>（请选择）</v>
          </cell>
          <cell r="B2" t="str">
            <v>（请选择）</v>
          </cell>
          <cell r="C2" t="str">
            <v>（请选择）</v>
          </cell>
          <cell r="D2" t="str">
            <v>（请选择）</v>
          </cell>
          <cell r="G2" t="str">
            <v>（请选择）</v>
          </cell>
        </row>
        <row r="3">
          <cell r="A3" t="str">
            <v>一般控制</v>
          </cell>
          <cell r="B3" t="str">
            <v>每日多次</v>
          </cell>
          <cell r="C3" t="str">
            <v>是</v>
          </cell>
          <cell r="D3" t="str">
            <v>手工</v>
          </cell>
          <cell r="G3" t="str">
            <v>询问</v>
          </cell>
        </row>
        <row r="4">
          <cell r="A4" t="str">
            <v>关键控制</v>
          </cell>
          <cell r="B4" t="str">
            <v>每日</v>
          </cell>
          <cell r="C4" t="str">
            <v>否</v>
          </cell>
          <cell r="D4" t="str">
            <v>自动</v>
          </cell>
          <cell r="G4" t="str">
            <v>观察</v>
          </cell>
        </row>
        <row r="5">
          <cell r="B5" t="str">
            <v>每周</v>
          </cell>
          <cell r="D5" t="str">
            <v>手工加自动</v>
          </cell>
          <cell r="G5" t="str">
            <v>检查</v>
          </cell>
        </row>
        <row r="6">
          <cell r="B6" t="str">
            <v>每月</v>
          </cell>
          <cell r="G6" t="str">
            <v>再次执行</v>
          </cell>
        </row>
        <row r="7">
          <cell r="B7" t="str">
            <v>每季</v>
          </cell>
        </row>
        <row r="8">
          <cell r="B8" t="str">
            <v>每年</v>
          </cell>
        </row>
        <row r="9">
          <cell r="B9" t="str">
            <v>每半年</v>
          </cell>
        </row>
        <row r="10">
          <cell r="B10" t="str">
            <v>业务发生时</v>
          </cell>
        </row>
        <row r="13">
          <cell r="E13" t="str">
            <v>（请选择）</v>
          </cell>
        </row>
        <row r="14">
          <cell r="E14" t="str">
            <v>尚未开始</v>
          </cell>
        </row>
        <row r="15">
          <cell r="E15" t="str">
            <v>进程中</v>
          </cell>
        </row>
        <row r="16">
          <cell r="E16" t="str">
            <v>已完成</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9">
          <cell r="C39" t="b">
            <v>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s>
    <sheetDataSet>
      <sheetData sheetId="0" refreshError="1"/>
      <sheetData sheetId="1" refreshError="1">
        <row r="6">
          <cell r="F6" t="str">
            <v>货币资金</v>
          </cell>
        </row>
        <row r="7">
          <cell r="F7" t="str">
            <v>短期投资</v>
          </cell>
        </row>
        <row r="8">
          <cell r="F8" t="str">
            <v>应收票据</v>
          </cell>
        </row>
        <row r="9">
          <cell r="F9" t="str">
            <v>应收股利</v>
          </cell>
        </row>
        <row r="10">
          <cell r="F10" t="str">
            <v>应收利息</v>
          </cell>
        </row>
        <row r="11">
          <cell r="F11" t="str">
            <v>应收账款</v>
          </cell>
        </row>
        <row r="12">
          <cell r="F12" t="str">
            <v>其他应收款</v>
          </cell>
        </row>
        <row r="13">
          <cell r="F13" t="str">
            <v>预付账款</v>
          </cell>
        </row>
        <row r="14">
          <cell r="F14" t="str">
            <v>期货保证金</v>
          </cell>
        </row>
        <row r="15">
          <cell r="F15" t="str">
            <v>应收补贴款</v>
          </cell>
        </row>
        <row r="16">
          <cell r="F16" t="str">
            <v>应收出口退税</v>
          </cell>
        </row>
        <row r="17">
          <cell r="F17" t="str">
            <v xml:space="preserve">存货 </v>
          </cell>
        </row>
        <row r="18">
          <cell r="F18" t="str">
            <v>待摊费用</v>
          </cell>
        </row>
        <row r="19">
          <cell r="F19" t="str">
            <v>待处理流动资产净损失</v>
          </cell>
        </row>
        <row r="20">
          <cell r="F20" t="str">
            <v>一年内到期的长期债权投资</v>
          </cell>
        </row>
        <row r="21">
          <cell r="F21" t="str">
            <v>其他流动资产</v>
          </cell>
        </row>
        <row r="22">
          <cell r="F22" t="str">
            <v>长期股权投资</v>
          </cell>
        </row>
        <row r="23">
          <cell r="F23" t="str">
            <v>长期债权投资</v>
          </cell>
        </row>
        <row r="24">
          <cell r="F24" t="str">
            <v>合并价差</v>
          </cell>
        </row>
        <row r="25">
          <cell r="F25" t="str">
            <v>固定资产原价</v>
          </cell>
        </row>
        <row r="26">
          <cell r="F26" t="str">
            <v>累计折旧</v>
          </cell>
        </row>
        <row r="27">
          <cell r="F27" t="str">
            <v>固定资产减值准备</v>
          </cell>
        </row>
        <row r="28">
          <cell r="F28" t="str">
            <v>固定资产清理</v>
          </cell>
        </row>
        <row r="29">
          <cell r="F29" t="str">
            <v>工程物资</v>
          </cell>
        </row>
        <row r="30">
          <cell r="F30" t="str">
            <v>在建工程</v>
          </cell>
        </row>
        <row r="31">
          <cell r="F31" t="str">
            <v>待处理固定资产净损失</v>
          </cell>
        </row>
        <row r="32">
          <cell r="F32" t="str">
            <v>无形资产</v>
          </cell>
        </row>
        <row r="33">
          <cell r="F33" t="str">
            <v>长期待摊费用（递延资产）</v>
          </cell>
        </row>
        <row r="34">
          <cell r="F34" t="str">
            <v>其他长期资产</v>
          </cell>
        </row>
        <row r="35">
          <cell r="F35" t="str">
            <v>递延税款借项</v>
          </cell>
        </row>
        <row r="37">
          <cell r="F37" t="str">
            <v>短期借款</v>
          </cell>
        </row>
        <row r="38">
          <cell r="F38" t="str">
            <v>应付票据</v>
          </cell>
        </row>
        <row r="39">
          <cell r="F39" t="str">
            <v>应付账款</v>
          </cell>
        </row>
        <row r="40">
          <cell r="F40" t="str">
            <v>预收账款</v>
          </cell>
        </row>
        <row r="41">
          <cell r="F41" t="str">
            <v>应付工资</v>
          </cell>
        </row>
        <row r="42">
          <cell r="F42" t="str">
            <v>应付福利费</v>
          </cell>
        </row>
        <row r="43">
          <cell r="F43" t="str">
            <v>应付股利（利润）</v>
          </cell>
        </row>
        <row r="44">
          <cell r="F44" t="str">
            <v>应付利息</v>
          </cell>
        </row>
        <row r="45">
          <cell r="F45" t="str">
            <v>应交税金</v>
          </cell>
        </row>
        <row r="46">
          <cell r="F46" t="str">
            <v>其他应交款</v>
          </cell>
        </row>
        <row r="47">
          <cell r="F47" t="str">
            <v>其他应付款</v>
          </cell>
        </row>
        <row r="48">
          <cell r="F48" t="str">
            <v>预提费用</v>
          </cell>
        </row>
        <row r="49">
          <cell r="F49" t="str">
            <v>预计负债</v>
          </cell>
        </row>
        <row r="50">
          <cell r="F50" t="str">
            <v>递延收益</v>
          </cell>
        </row>
        <row r="51">
          <cell r="F51" t="str">
            <v>一年内到期的长期负债</v>
          </cell>
        </row>
        <row r="52">
          <cell r="F52" t="str">
            <v>其他流动负债</v>
          </cell>
        </row>
        <row r="53">
          <cell r="F53" t="str">
            <v>长期借款</v>
          </cell>
        </row>
        <row r="54">
          <cell r="F54" t="str">
            <v>应付债券</v>
          </cell>
        </row>
        <row r="55">
          <cell r="F55" t="str">
            <v>长期应付款</v>
          </cell>
        </row>
        <row r="56">
          <cell r="F56" t="str">
            <v>专项应付款</v>
          </cell>
        </row>
        <row r="57">
          <cell r="F57" t="str">
            <v>其他长期负债</v>
          </cell>
        </row>
        <row r="58">
          <cell r="F58" t="str">
            <v>递延税款贷项</v>
          </cell>
        </row>
        <row r="60">
          <cell r="F60" t="str">
            <v>少数股东权益</v>
          </cell>
        </row>
        <row r="61">
          <cell r="F61" t="str">
            <v>国家资本</v>
          </cell>
        </row>
        <row r="62">
          <cell r="F62" t="str">
            <v>集体资本</v>
          </cell>
        </row>
        <row r="63">
          <cell r="F63" t="str">
            <v>法人资本</v>
          </cell>
        </row>
        <row r="64">
          <cell r="F64" t="str">
            <v>个人资本</v>
          </cell>
        </row>
        <row r="65">
          <cell r="F65" t="str">
            <v>外商资本</v>
          </cell>
        </row>
        <row r="66">
          <cell r="F66" t="str">
            <v>资本公积</v>
          </cell>
        </row>
        <row r="67">
          <cell r="F67" t="str">
            <v>盈余公积</v>
          </cell>
        </row>
        <row r="68">
          <cell r="F68" t="str">
            <v>未确认的投资损失</v>
          </cell>
        </row>
        <row r="69">
          <cell r="F69" t="str">
            <v>未分配利润</v>
          </cell>
        </row>
        <row r="70">
          <cell r="F70" t="str">
            <v>外币报表折算差额</v>
          </cell>
        </row>
        <row r="72">
          <cell r="F72" t="str">
            <v>主营业务收入</v>
          </cell>
        </row>
        <row r="73">
          <cell r="F73" t="str">
            <v>折扣与折让</v>
          </cell>
        </row>
        <row r="74">
          <cell r="F74" t="str">
            <v>主营业务成本</v>
          </cell>
        </row>
        <row r="75">
          <cell r="F75" t="str">
            <v>主营业务税金及附加</v>
          </cell>
        </row>
        <row r="76">
          <cell r="F76" t="str">
            <v>经营费用</v>
          </cell>
        </row>
        <row r="77">
          <cell r="F77" t="str">
            <v>其他</v>
          </cell>
        </row>
        <row r="78">
          <cell r="F78" t="str">
            <v>递延收益</v>
          </cell>
        </row>
        <row r="79">
          <cell r="F79" t="str">
            <v>代购代销收入</v>
          </cell>
        </row>
        <row r="80">
          <cell r="F80" t="str">
            <v>其他业务利润</v>
          </cell>
        </row>
        <row r="81">
          <cell r="F81" t="str">
            <v>营业费用</v>
          </cell>
        </row>
        <row r="82">
          <cell r="F82" t="str">
            <v>管理费用</v>
          </cell>
        </row>
        <row r="83">
          <cell r="F83" t="str">
            <v>财务费用</v>
          </cell>
        </row>
        <row r="84">
          <cell r="F84" t="str">
            <v>投资收益</v>
          </cell>
        </row>
        <row r="85">
          <cell r="F85" t="str">
            <v>期货收益</v>
          </cell>
        </row>
        <row r="86">
          <cell r="F86" t="str">
            <v>补贴收入</v>
          </cell>
        </row>
        <row r="87">
          <cell r="F87" t="str">
            <v>营业外收入</v>
          </cell>
        </row>
        <row r="88">
          <cell r="F88" t="str">
            <v>营业外支出</v>
          </cell>
        </row>
        <row r="89">
          <cell r="F89" t="str">
            <v>所得税</v>
          </cell>
        </row>
        <row r="90">
          <cell r="F90" t="str">
            <v>少数股东损益</v>
          </cell>
        </row>
        <row r="91">
          <cell r="F91" t="str">
            <v>未确认的投资损失</v>
          </cell>
        </row>
        <row r="92">
          <cell r="F92" t="str">
            <v>年初未分配利润</v>
          </cell>
        </row>
        <row r="93">
          <cell r="F93" t="str">
            <v>盈余公积补亏</v>
          </cell>
        </row>
        <row r="94">
          <cell r="F94" t="str">
            <v>其他调整因素</v>
          </cell>
        </row>
        <row r="95">
          <cell r="F95" t="str">
            <v>提取法定盈余公积</v>
          </cell>
        </row>
        <row r="96">
          <cell r="F96" t="str">
            <v>提取法定公益金</v>
          </cell>
        </row>
        <row r="97">
          <cell r="F97" t="str">
            <v>提取职工奖励及福利基金</v>
          </cell>
        </row>
        <row r="98">
          <cell r="F98" t="str">
            <v>提取储备基金</v>
          </cell>
        </row>
        <row r="99">
          <cell r="F99" t="str">
            <v xml:space="preserve">提取企业发展基金 </v>
          </cell>
        </row>
        <row r="100">
          <cell r="F100" t="str">
            <v xml:space="preserve">利润归还投资 </v>
          </cell>
        </row>
        <row r="101">
          <cell r="F101" t="str">
            <v>单项留用的利润</v>
          </cell>
        </row>
        <row r="102">
          <cell r="F102" t="str">
            <v>补充流动资本</v>
          </cell>
        </row>
        <row r="103">
          <cell r="F103" t="str">
            <v>应付优先股股利</v>
          </cell>
        </row>
        <row r="104">
          <cell r="F104" t="str">
            <v>提取任意盈余公积</v>
          </cell>
        </row>
        <row r="105">
          <cell r="F105" t="str">
            <v>应付普通股股利</v>
          </cell>
        </row>
        <row r="106">
          <cell r="F106" t="str">
            <v>转作资本（股本）的普通股股利</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sheetData sheetId="26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完成阶段的分析性复核A1-13"/>
      <sheetName val="已审资产负债横向分析A1-13-1"/>
      <sheetName val="已审资产负债纵向分析A1-13-2"/>
      <sheetName val="已审利润横向分析A1-13-3"/>
      <sheetName val="已审利润纵向分析A1-13-4"/>
      <sheetName val="已审报表比率分析A1-13-5"/>
      <sheetName val="GT_Custom"/>
    </sheetNames>
    <sheetDataSet>
      <sheetData sheetId="0" refreshError="1"/>
      <sheetData sheetId="1">
        <row r="2">
          <cell r="A2" t="str">
            <v>客户名称：</v>
          </cell>
          <cell r="D2" t="str">
            <v>编制人：</v>
          </cell>
          <cell r="F2" t="str">
            <v>日期：</v>
          </cell>
        </row>
        <row r="3">
          <cell r="D3" t="str">
            <v>复核人：</v>
          </cell>
          <cell r="F3" t="str">
            <v>日期：</v>
          </cell>
        </row>
        <row r="4">
          <cell r="I4" t="str">
            <v>负债及股东权益</v>
          </cell>
        </row>
      </sheetData>
      <sheetData sheetId="2">
        <row r="2">
          <cell r="A2" t="str">
            <v>客户名称：</v>
          </cell>
          <cell r="E2" t="str">
            <v>编制人：</v>
          </cell>
          <cell r="G2" t="str">
            <v>日期：</v>
          </cell>
        </row>
        <row r="3">
          <cell r="E3" t="str">
            <v>复核人：</v>
          </cell>
          <cell r="G3" t="str">
            <v>日期：</v>
          </cell>
        </row>
      </sheetData>
      <sheetData sheetId="3">
        <row r="2">
          <cell r="A2" t="str">
            <v>客户名称：</v>
          </cell>
          <cell r="B2" t="str">
            <v>编制人：</v>
          </cell>
          <cell r="E2" t="str">
            <v>日期：</v>
          </cell>
        </row>
        <row r="3">
          <cell r="B3" t="str">
            <v>复核人：</v>
          </cell>
          <cell r="E3" t="str">
            <v>日期：</v>
          </cell>
        </row>
      </sheetData>
      <sheetData sheetId="4">
        <row r="27">
          <cell r="E27">
            <v>0</v>
          </cell>
        </row>
      </sheetData>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tabSelected="1" zoomScale="145" zoomScaleNormal="145" zoomScaleSheetLayoutView="130" workbookViewId="0">
      <selection sqref="A1:E1"/>
    </sheetView>
  </sheetViews>
  <sheetFormatPr defaultColWidth="9.109375" defaultRowHeight="15.6"/>
  <cols>
    <col min="1" max="1" width="37.88671875" style="15" customWidth="1"/>
    <col min="2" max="2" width="9.6640625" style="15" customWidth="1"/>
    <col min="3" max="3" width="13.6640625" style="15" customWidth="1"/>
    <col min="4" max="4" width="13.44140625" style="15" customWidth="1"/>
    <col min="5" max="5" width="14.33203125" style="15" customWidth="1"/>
    <col min="6" max="16384" width="9.109375" style="15"/>
  </cols>
  <sheetData>
    <row r="1" spans="1:5">
      <c r="A1" s="330" t="s">
        <v>14</v>
      </c>
      <c r="B1" s="330"/>
      <c r="C1" s="330"/>
      <c r="D1" s="330"/>
      <c r="E1" s="330"/>
    </row>
    <row r="2" spans="1:5" ht="22.5" customHeight="1">
      <c r="A2" s="329" t="s">
        <v>99</v>
      </c>
      <c r="B2" s="329"/>
      <c r="C2" s="329"/>
      <c r="D2" s="329"/>
      <c r="E2" s="329"/>
    </row>
    <row r="3" spans="1:5" s="1" customFormat="1" ht="22.5" customHeight="1">
      <c r="A3" s="2" t="s">
        <v>6</v>
      </c>
      <c r="B3" s="14" t="s">
        <v>10</v>
      </c>
      <c r="D3" s="14" t="s">
        <v>12</v>
      </c>
      <c r="E3" s="2" t="s">
        <v>100</v>
      </c>
    </row>
    <row r="4" spans="1:5" s="1" customFormat="1" ht="22.5" customHeight="1">
      <c r="A4" s="2" t="s">
        <v>7</v>
      </c>
      <c r="B4" s="14" t="s">
        <v>11</v>
      </c>
      <c r="D4" s="14" t="s">
        <v>12</v>
      </c>
      <c r="E4" s="2" t="s">
        <v>13</v>
      </c>
    </row>
    <row r="5" spans="1:5" s="1" customFormat="1" ht="18.75" customHeight="1">
      <c r="A5" s="29" t="s">
        <v>44</v>
      </c>
      <c r="B5" s="3"/>
      <c r="C5" s="3"/>
      <c r="D5" s="3"/>
      <c r="E5" s="4"/>
    </row>
    <row r="6" spans="1:5" s="1" customFormat="1" ht="18.75" customHeight="1">
      <c r="A6" s="5" t="s">
        <v>33</v>
      </c>
      <c r="B6" s="6"/>
      <c r="C6" s="6"/>
      <c r="D6" s="6"/>
      <c r="E6" s="7"/>
    </row>
    <row r="7" spans="1:5" s="1" customFormat="1" ht="18.75" customHeight="1">
      <c r="A7" s="5" t="s">
        <v>34</v>
      </c>
      <c r="B7" s="6"/>
      <c r="C7" s="6"/>
      <c r="D7" s="6"/>
      <c r="E7" s="7"/>
    </row>
    <row r="8" spans="1:5" s="1" customFormat="1" ht="18.75" customHeight="1">
      <c r="A8" s="8"/>
      <c r="B8" s="6"/>
      <c r="C8" s="6"/>
      <c r="D8" s="6"/>
      <c r="E8" s="7"/>
    </row>
    <row r="9" spans="1:5" s="1" customFormat="1" ht="18.75" customHeight="1">
      <c r="A9" s="22" t="s">
        <v>31</v>
      </c>
      <c r="B9" s="9"/>
      <c r="C9" s="9"/>
      <c r="D9" s="24" t="s">
        <v>0</v>
      </c>
      <c r="E9" s="24" t="s">
        <v>1</v>
      </c>
    </row>
    <row r="10" spans="1:5" s="1" customFormat="1" ht="18.75" customHeight="1">
      <c r="A10" s="10" t="s">
        <v>2</v>
      </c>
      <c r="B10" s="6"/>
      <c r="C10" s="6"/>
      <c r="D10" s="25"/>
      <c r="E10" s="25"/>
    </row>
    <row r="11" spans="1:5" s="1" customFormat="1" ht="18.75" customHeight="1">
      <c r="A11" s="10" t="s">
        <v>3</v>
      </c>
      <c r="B11" s="6"/>
      <c r="C11" s="6"/>
      <c r="D11" s="25"/>
      <c r="E11" s="25"/>
    </row>
    <row r="12" spans="1:5" s="1" customFormat="1" ht="18.75" customHeight="1">
      <c r="A12" s="10" t="s">
        <v>4</v>
      </c>
      <c r="B12" s="6"/>
      <c r="C12" s="6"/>
      <c r="D12" s="25"/>
      <c r="E12" s="25"/>
    </row>
    <row r="13" spans="1:5" s="1" customFormat="1" ht="18.75" customHeight="1">
      <c r="A13" s="10" t="s">
        <v>32</v>
      </c>
      <c r="B13" s="6"/>
      <c r="C13" s="6"/>
      <c r="D13" s="25"/>
      <c r="E13" s="25"/>
    </row>
    <row r="14" spans="1:5" s="1" customFormat="1" ht="18.75" customHeight="1">
      <c r="A14" s="10"/>
      <c r="B14" s="6"/>
      <c r="C14" s="6"/>
      <c r="D14" s="25"/>
      <c r="E14" s="25"/>
    </row>
    <row r="15" spans="1:5" s="1" customFormat="1" ht="18.75" customHeight="1">
      <c r="A15" s="10"/>
      <c r="B15" s="6"/>
      <c r="C15" s="6"/>
      <c r="D15" s="25"/>
      <c r="E15" s="25"/>
    </row>
    <row r="16" spans="1:5" s="1" customFormat="1" ht="18.75" customHeight="1">
      <c r="A16" s="10" t="s">
        <v>5</v>
      </c>
      <c r="B16" s="6"/>
      <c r="C16" s="6"/>
      <c r="D16" s="25"/>
      <c r="E16" s="25"/>
    </row>
    <row r="17" spans="1:5" s="1" customFormat="1" ht="18.75" customHeight="1">
      <c r="A17" s="10" t="s">
        <v>3</v>
      </c>
      <c r="B17" s="6"/>
      <c r="C17" s="6"/>
      <c r="D17" s="25"/>
      <c r="E17" s="25"/>
    </row>
    <row r="18" spans="1:5" s="1" customFormat="1" ht="19.5" customHeight="1">
      <c r="A18" s="10" t="s">
        <v>4</v>
      </c>
      <c r="B18" s="11"/>
      <c r="C18" s="11"/>
      <c r="D18" s="25"/>
      <c r="E18" s="25"/>
    </row>
    <row r="19" spans="1:5" s="1" customFormat="1" ht="19.5" customHeight="1">
      <c r="A19" s="10" t="s">
        <v>32</v>
      </c>
      <c r="B19" s="11"/>
      <c r="C19" s="11"/>
      <c r="D19" s="25"/>
      <c r="E19" s="25"/>
    </row>
    <row r="20" spans="1:5" s="1" customFormat="1" ht="19.5" customHeight="1">
      <c r="A20" s="10"/>
      <c r="B20" s="11"/>
      <c r="C20" s="11"/>
      <c r="D20" s="25"/>
      <c r="E20" s="25"/>
    </row>
    <row r="21" spans="1:5" s="1" customFormat="1" ht="18.75" customHeight="1">
      <c r="A21" s="23" t="s">
        <v>36</v>
      </c>
      <c r="B21" s="6"/>
      <c r="C21" s="6"/>
      <c r="D21" s="25"/>
      <c r="E21" s="25"/>
    </row>
    <row r="22" spans="1:5" s="1" customFormat="1" ht="18.75" customHeight="1">
      <c r="A22" s="10" t="s">
        <v>37</v>
      </c>
      <c r="B22" s="6"/>
      <c r="C22" s="6"/>
      <c r="D22" s="25"/>
      <c r="E22" s="25"/>
    </row>
    <row r="23" spans="1:5" s="1" customFormat="1" ht="18.75" customHeight="1">
      <c r="A23" s="10" t="s">
        <v>38</v>
      </c>
      <c r="B23" s="6"/>
      <c r="C23" s="6"/>
      <c r="D23" s="25"/>
      <c r="E23" s="25"/>
    </row>
    <row r="24" spans="1:5" s="1" customFormat="1" ht="18.75" customHeight="1">
      <c r="A24" s="10" t="s">
        <v>39</v>
      </c>
      <c r="B24" s="6"/>
      <c r="C24" s="6"/>
      <c r="D24" s="25"/>
      <c r="E24" s="25"/>
    </row>
    <row r="25" spans="1:5" s="1" customFormat="1" ht="18.75" customHeight="1">
      <c r="A25" s="10"/>
      <c r="B25" s="6"/>
      <c r="C25" s="6"/>
      <c r="D25" s="25"/>
      <c r="E25" s="25"/>
    </row>
    <row r="26" spans="1:5" s="1" customFormat="1" ht="18.75" customHeight="1">
      <c r="A26" s="23" t="s">
        <v>35</v>
      </c>
      <c r="B26" s="6"/>
      <c r="C26" s="6"/>
      <c r="D26" s="25"/>
      <c r="E26" s="25"/>
    </row>
    <row r="27" spans="1:5" s="1" customFormat="1" ht="18.75" customHeight="1">
      <c r="A27" s="10" t="s">
        <v>8</v>
      </c>
      <c r="B27" s="6"/>
      <c r="C27" s="6"/>
      <c r="D27" s="25"/>
      <c r="E27" s="25"/>
    </row>
    <row r="28" spans="1:5" s="1" customFormat="1" ht="18.75" customHeight="1">
      <c r="A28" s="10" t="s">
        <v>9</v>
      </c>
      <c r="B28" s="6"/>
      <c r="C28" s="6"/>
      <c r="D28" s="25"/>
      <c r="E28" s="25"/>
    </row>
    <row r="29" spans="1:5" s="1" customFormat="1" ht="18.75" customHeight="1">
      <c r="A29" s="10"/>
      <c r="B29" s="6"/>
      <c r="C29" s="6"/>
      <c r="D29" s="25"/>
      <c r="E29" s="25"/>
    </row>
    <row r="30" spans="1:5" s="1" customFormat="1" ht="18.75" customHeight="1">
      <c r="A30" s="10"/>
      <c r="B30" s="6"/>
      <c r="C30" s="6"/>
      <c r="D30" s="25"/>
      <c r="E30" s="25"/>
    </row>
    <row r="31" spans="1:5" s="1" customFormat="1" ht="18.75" customHeight="1">
      <c r="A31" s="23" t="s">
        <v>40</v>
      </c>
      <c r="B31" s="6"/>
      <c r="C31" s="6"/>
      <c r="D31" s="25"/>
      <c r="E31" s="25"/>
    </row>
    <row r="32" spans="1:5" s="1" customFormat="1" ht="18.75" customHeight="1">
      <c r="A32" s="10" t="s">
        <v>41</v>
      </c>
      <c r="B32" s="6"/>
      <c r="C32" s="6"/>
      <c r="D32" s="25"/>
      <c r="E32" s="25"/>
    </row>
    <row r="33" spans="1:5" s="1" customFormat="1" ht="21" customHeight="1">
      <c r="A33" s="10" t="s">
        <v>42</v>
      </c>
      <c r="B33" s="11"/>
      <c r="C33" s="11"/>
      <c r="D33" s="25"/>
      <c r="E33" s="25"/>
    </row>
    <row r="34" spans="1:5" s="1" customFormat="1" ht="21" customHeight="1">
      <c r="A34" s="10" t="s">
        <v>43</v>
      </c>
      <c r="B34" s="11"/>
      <c r="C34" s="11"/>
      <c r="D34" s="25"/>
      <c r="E34" s="25"/>
    </row>
    <row r="35" spans="1:5" s="1" customFormat="1" ht="21" customHeight="1">
      <c r="A35" s="10"/>
      <c r="B35" s="11"/>
      <c r="C35" s="11"/>
      <c r="D35" s="25"/>
      <c r="E35" s="25"/>
    </row>
    <row r="36" spans="1:5" s="1" customFormat="1" ht="21" customHeight="1">
      <c r="A36" s="12"/>
      <c r="B36" s="13"/>
      <c r="C36" s="13"/>
      <c r="D36" s="26"/>
      <c r="E36" s="26"/>
    </row>
    <row r="37" spans="1:5" s="1" customFormat="1" ht="21" customHeight="1">
      <c r="A37" s="10"/>
      <c r="B37" s="11"/>
      <c r="C37" s="11"/>
      <c r="D37" s="25"/>
      <c r="E37" s="25"/>
    </row>
    <row r="38" spans="1:5" s="1" customFormat="1" ht="21" customHeight="1">
      <c r="A38" s="10"/>
      <c r="B38" s="11"/>
      <c r="C38" s="11"/>
      <c r="D38" s="25"/>
      <c r="E38" s="25"/>
    </row>
    <row r="39" spans="1:5" s="1" customFormat="1" ht="18.75" customHeight="1">
      <c r="A39" s="10"/>
      <c r="B39" s="6"/>
      <c r="C39" s="6"/>
      <c r="D39" s="25"/>
      <c r="E39" s="25"/>
    </row>
    <row r="40" spans="1:5" ht="18.75" customHeight="1">
      <c r="A40" s="17"/>
      <c r="B40" s="16"/>
      <c r="C40" s="16"/>
      <c r="D40" s="27"/>
      <c r="E40" s="27"/>
    </row>
    <row r="41" spans="1:5" ht="18.75" customHeight="1">
      <c r="A41" s="17"/>
      <c r="B41" s="16"/>
      <c r="C41" s="16"/>
      <c r="D41" s="27"/>
      <c r="E41" s="27"/>
    </row>
    <row r="42" spans="1:5" ht="18.75" customHeight="1">
      <c r="A42" s="17"/>
      <c r="B42" s="16"/>
      <c r="C42" s="16"/>
      <c r="D42" s="27"/>
      <c r="E42" s="27"/>
    </row>
    <row r="43" spans="1:5" ht="18.75" customHeight="1">
      <c r="A43" s="17"/>
      <c r="B43" s="16"/>
      <c r="C43" s="16"/>
      <c r="D43" s="27"/>
      <c r="E43" s="27"/>
    </row>
    <row r="44" spans="1:5" ht="18.75" customHeight="1">
      <c r="A44" s="17"/>
      <c r="B44" s="16"/>
      <c r="C44" s="16"/>
      <c r="D44" s="27"/>
      <c r="E44" s="27"/>
    </row>
    <row r="45" spans="1:5" ht="18" customHeight="1">
      <c r="A45" s="18"/>
      <c r="B45" s="19"/>
      <c r="C45" s="19"/>
      <c r="D45" s="27"/>
      <c r="E45" s="27"/>
    </row>
    <row r="46" spans="1:5" ht="18" customHeight="1">
      <c r="A46" s="18"/>
      <c r="B46" s="19"/>
      <c r="C46" s="19"/>
      <c r="D46" s="27"/>
      <c r="E46" s="27"/>
    </row>
    <row r="47" spans="1:5" ht="18" customHeight="1">
      <c r="A47" s="18"/>
      <c r="B47" s="19"/>
      <c r="C47" s="19"/>
      <c r="D47" s="27"/>
      <c r="E47" s="27"/>
    </row>
    <row r="48" spans="1:5" ht="18" customHeight="1">
      <c r="A48" s="18"/>
      <c r="B48" s="19"/>
      <c r="C48" s="19"/>
      <c r="D48" s="27"/>
      <c r="E48" s="27"/>
    </row>
    <row r="49" spans="1:5" ht="18" customHeight="1">
      <c r="A49" s="18"/>
      <c r="B49" s="19"/>
      <c r="C49" s="19"/>
      <c r="D49" s="27"/>
      <c r="E49" s="27"/>
    </row>
    <row r="50" spans="1:5" ht="18" customHeight="1">
      <c r="A50" s="20"/>
      <c r="B50" s="21"/>
      <c r="C50" s="21"/>
      <c r="D50" s="28"/>
      <c r="E50" s="28"/>
    </row>
  </sheetData>
  <mergeCells count="2">
    <mergeCell ref="A2:E2"/>
    <mergeCell ref="A1:E1"/>
  </mergeCells>
  <phoneticPr fontId="3" type="noConversion"/>
  <printOptions horizontalCentered="1"/>
  <pageMargins left="0.74803149606299213" right="0.35433070866141736" top="0.98425196850393704" bottom="0.98425196850393704"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50"/>
  <sheetViews>
    <sheetView showZeros="0" view="pageBreakPreview" zoomScaleNormal="100" zoomScaleSheetLayoutView="100" workbookViewId="0">
      <pane xSplit="2" ySplit="6" topLeftCell="C49" activePane="bottomRight" state="frozen"/>
      <selection sqref="A1:H1"/>
      <selection pane="topRight" sqref="A1:H1"/>
      <selection pane="bottomLeft" sqref="A1:H1"/>
      <selection pane="bottomRight" activeCell="I27" sqref="I27"/>
    </sheetView>
  </sheetViews>
  <sheetFormatPr defaultColWidth="10.33203125" defaultRowHeight="15.6"/>
  <cols>
    <col min="1" max="1" width="26.44140625" style="43" customWidth="1"/>
    <col min="2" max="2" width="12.5546875" style="43" customWidth="1"/>
    <col min="3" max="3" width="14" style="30" customWidth="1"/>
    <col min="4" max="4" width="16" style="30" customWidth="1"/>
    <col min="5" max="5" width="12.33203125" style="30" customWidth="1"/>
    <col min="6" max="6" width="8.5546875" style="30" bestFit="1" customWidth="1"/>
    <col min="7" max="7" width="9" style="30" customWidth="1"/>
    <col min="8" max="8" width="17.109375" style="30" customWidth="1"/>
    <col min="9" max="9" width="21" style="43" customWidth="1"/>
    <col min="10" max="10" width="3.5546875" style="43" customWidth="1"/>
    <col min="11" max="11" width="14.109375" style="30" customWidth="1"/>
    <col min="12" max="12" width="13.6640625" style="30" customWidth="1"/>
    <col min="13" max="13" width="12.44140625" style="30" customWidth="1"/>
    <col min="14" max="14" width="8.5546875" style="30" bestFit="1" customWidth="1"/>
    <col min="15" max="15" width="8.88671875" style="30" customWidth="1"/>
    <col min="16" max="16" width="17.109375" style="30" customWidth="1"/>
    <col min="17" max="16384" width="10.33203125" style="30"/>
  </cols>
  <sheetData>
    <row r="1" spans="1:16" ht="18">
      <c r="A1" s="339" t="s">
        <v>160</v>
      </c>
      <c r="B1" s="339"/>
      <c r="C1" s="339"/>
      <c r="D1" s="339"/>
      <c r="E1" s="339"/>
      <c r="F1" s="339"/>
      <c r="G1" s="339"/>
      <c r="H1" s="339"/>
      <c r="I1" s="339" t="s">
        <v>161</v>
      </c>
      <c r="J1" s="339"/>
      <c r="K1" s="339"/>
      <c r="L1" s="339"/>
      <c r="M1" s="339"/>
      <c r="N1" s="339"/>
      <c r="O1" s="339"/>
      <c r="P1" s="339"/>
    </row>
    <row r="2" spans="1:16" s="84" customFormat="1" ht="15" customHeight="1">
      <c r="A2" s="85" t="s">
        <v>162</v>
      </c>
      <c r="D2" s="90" t="s">
        <v>163</v>
      </c>
      <c r="F2" s="90" t="s">
        <v>164</v>
      </c>
      <c r="G2" s="85"/>
      <c r="H2" s="90" t="s">
        <v>165</v>
      </c>
      <c r="I2" s="85" t="str">
        <f>A2</f>
        <v>客户名称：</v>
      </c>
      <c r="L2" s="90" t="str">
        <f>D2</f>
        <v>编制人：</v>
      </c>
      <c r="N2" s="90" t="str">
        <f>F2</f>
        <v>日期：</v>
      </c>
      <c r="O2" s="85"/>
      <c r="P2" s="90" t="s">
        <v>165</v>
      </c>
    </row>
    <row r="3" spans="1:16" s="84" customFormat="1" ht="17.25" customHeight="1" thickBot="1">
      <c r="A3" s="85" t="s">
        <v>423</v>
      </c>
      <c r="D3" s="85" t="s">
        <v>166</v>
      </c>
      <c r="E3" s="85"/>
      <c r="F3" s="90" t="s">
        <v>164</v>
      </c>
      <c r="G3" s="85"/>
      <c r="H3" s="90" t="s">
        <v>102</v>
      </c>
      <c r="I3" s="85" t="str">
        <f>A3</f>
        <v>会计时点：2017.12.31</v>
      </c>
      <c r="L3" s="85" t="str">
        <f>D3</f>
        <v>复核人：</v>
      </c>
      <c r="M3" s="85"/>
      <c r="N3" s="90" t="str">
        <f>F3</f>
        <v>日期：</v>
      </c>
      <c r="O3" s="85"/>
      <c r="P3" s="90" t="s">
        <v>167</v>
      </c>
    </row>
    <row r="4" spans="1:16" ht="14.25" customHeight="1">
      <c r="A4" s="340" t="s">
        <v>168</v>
      </c>
      <c r="B4" s="343" t="s">
        <v>169</v>
      </c>
      <c r="C4" s="331" t="s">
        <v>170</v>
      </c>
      <c r="D4" s="331" t="s">
        <v>171</v>
      </c>
      <c r="E4" s="313" t="s">
        <v>172</v>
      </c>
      <c r="F4" s="313"/>
      <c r="G4" s="333" t="s">
        <v>173</v>
      </c>
      <c r="H4" s="336" t="s">
        <v>174</v>
      </c>
      <c r="I4" s="346" t="s">
        <v>175</v>
      </c>
      <c r="J4" s="349" t="s">
        <v>169</v>
      </c>
      <c r="K4" s="331" t="s">
        <v>170</v>
      </c>
      <c r="L4" s="331" t="s">
        <v>171</v>
      </c>
      <c r="M4" s="313" t="s">
        <v>172</v>
      </c>
      <c r="N4" s="313"/>
      <c r="O4" s="333" t="s">
        <v>173</v>
      </c>
      <c r="P4" s="336" t="s">
        <v>174</v>
      </c>
    </row>
    <row r="5" spans="1:16">
      <c r="A5" s="341"/>
      <c r="B5" s="344"/>
      <c r="C5" s="332"/>
      <c r="D5" s="332"/>
      <c r="E5" s="314" t="s">
        <v>176</v>
      </c>
      <c r="F5" s="314" t="s">
        <v>177</v>
      </c>
      <c r="G5" s="334"/>
      <c r="H5" s="337"/>
      <c r="I5" s="347"/>
      <c r="J5" s="350"/>
      <c r="K5" s="332"/>
      <c r="L5" s="332"/>
      <c r="M5" s="314" t="s">
        <v>176</v>
      </c>
      <c r="N5" s="314" t="s">
        <v>177</v>
      </c>
      <c r="O5" s="334"/>
      <c r="P5" s="337"/>
    </row>
    <row r="6" spans="1:16">
      <c r="A6" s="342"/>
      <c r="B6" s="345"/>
      <c r="C6" s="315" t="s">
        <v>178</v>
      </c>
      <c r="D6" s="315" t="s">
        <v>109</v>
      </c>
      <c r="E6" s="315" t="s">
        <v>110</v>
      </c>
      <c r="F6" s="315" t="s">
        <v>111</v>
      </c>
      <c r="G6" s="335"/>
      <c r="H6" s="338"/>
      <c r="I6" s="348"/>
      <c r="J6" s="351"/>
      <c r="K6" s="315" t="s">
        <v>179</v>
      </c>
      <c r="L6" s="315" t="s">
        <v>109</v>
      </c>
      <c r="M6" s="315" t="s">
        <v>110</v>
      </c>
      <c r="N6" s="315" t="s">
        <v>111</v>
      </c>
      <c r="O6" s="335"/>
      <c r="P6" s="338"/>
    </row>
    <row r="7" spans="1:16" ht="13.95" customHeight="1">
      <c r="A7" s="188" t="s">
        <v>180</v>
      </c>
      <c r="B7" s="162">
        <v>1</v>
      </c>
      <c r="C7" s="33"/>
      <c r="D7" s="33"/>
      <c r="E7" s="34"/>
      <c r="F7" s="34"/>
      <c r="G7" s="34"/>
      <c r="H7" s="189"/>
      <c r="I7" s="190" t="s">
        <v>181</v>
      </c>
      <c r="J7" s="164">
        <f>B49+1</f>
        <v>44</v>
      </c>
      <c r="K7" s="33"/>
      <c r="L7" s="33"/>
      <c r="M7" s="34"/>
      <c r="N7" s="45"/>
      <c r="O7" s="45"/>
      <c r="P7" s="191"/>
    </row>
    <row r="8" spans="1:16" ht="13.95" customHeight="1">
      <c r="A8" s="192" t="s">
        <v>182</v>
      </c>
      <c r="B8" s="163">
        <f>B7+1</f>
        <v>2</v>
      </c>
      <c r="C8" s="35"/>
      <c r="D8" s="35"/>
      <c r="E8" s="35">
        <f t="shared" ref="E8:E21" si="0">D8-C8</f>
        <v>0</v>
      </c>
      <c r="F8" s="36" t="str">
        <f t="shared" ref="F8:F21" si="1">IF(AND(C8=0,D8=0),"",IF(C8=0,100%,IF(D8=0,-100%,E8/C8)))</f>
        <v/>
      </c>
      <c r="G8" s="47" t="str">
        <f>IF(F8="","",IF(OR(ABS(F8)&gt;=30%,ABS(E8)&gt;=$D$49*5%,ABS(E8)&gt;='[31]已审利润纵向分析A1-13-4'!$E$27*10%),"显著",IF(ABS(F8)&gt;=10%,"关注","")))</f>
        <v/>
      </c>
      <c r="H8" s="177"/>
      <c r="I8" s="193" t="s">
        <v>183</v>
      </c>
      <c r="J8" s="165">
        <f>J7+1</f>
        <v>45</v>
      </c>
      <c r="K8" s="35"/>
      <c r="L8" s="35"/>
      <c r="M8" s="35">
        <f t="shared" ref="M8:M21" si="2">L8-K8</f>
        <v>0</v>
      </c>
      <c r="N8" s="36" t="str">
        <f t="shared" ref="N8:N21" si="3">IF(AND(K8=0,L8=0),"",IF(K8=0,100%,IF(L8=0,-100%,M8/K8)))</f>
        <v/>
      </c>
      <c r="O8" s="47" t="str">
        <f>IF(N8="","",IF(OR(ABS(N8)&gt;=30%,ABS(M8)&gt;=$D$49*5%,ABS(M8)&gt;='[31]已审利润纵向分析A1-13-4'!$E$27*10%),"显著",IF(ABS(N8)&gt;=10%,"关注","")))</f>
        <v/>
      </c>
      <c r="P8" s="194"/>
    </row>
    <row r="9" spans="1:16" ht="13.95" customHeight="1">
      <c r="A9" s="192" t="s">
        <v>184</v>
      </c>
      <c r="B9" s="163">
        <f t="shared" ref="B9" si="4">B8+1</f>
        <v>3</v>
      </c>
      <c r="C9" s="35"/>
      <c r="D9" s="35"/>
      <c r="E9" s="35">
        <f t="shared" si="0"/>
        <v>0</v>
      </c>
      <c r="F9" s="36" t="str">
        <f t="shared" si="1"/>
        <v/>
      </c>
      <c r="G9" s="47" t="str">
        <f>IF(F9="","",IF(OR(ABS(F9)&gt;=30%,ABS(E9)&gt;=$D$49*5%,ABS(E9)&gt;='[31]已审利润纵向分析A1-13-4'!$E$27*10%),"显著",IF(ABS(F9)&gt;=10%,"关注","")))</f>
        <v/>
      </c>
      <c r="H9" s="177"/>
      <c r="I9" s="193" t="s">
        <v>185</v>
      </c>
      <c r="J9" s="165">
        <f t="shared" ref="J9" si="5">J8+1</f>
        <v>46</v>
      </c>
      <c r="K9" s="35"/>
      <c r="L9" s="35"/>
      <c r="M9" s="35">
        <f t="shared" si="2"/>
        <v>0</v>
      </c>
      <c r="N9" s="36" t="str">
        <f t="shared" si="3"/>
        <v/>
      </c>
      <c r="O9" s="47" t="str">
        <f>IF(N9="","",IF(OR(ABS(N9)&gt;=30%,ABS(M9)&gt;=$D$49*5%,ABS(M9)&gt;='[31]已审利润纵向分析A1-13-4'!$E$27*10%),"显著",IF(ABS(N9)&gt;=10%,"关注","")))</f>
        <v/>
      </c>
      <c r="P9" s="194"/>
    </row>
    <row r="10" spans="1:16" ht="20.25" customHeight="1">
      <c r="A10" s="299" t="s">
        <v>440</v>
      </c>
      <c r="B10" s="163">
        <f>B9+1</f>
        <v>4</v>
      </c>
      <c r="C10" s="35"/>
      <c r="D10" s="35"/>
      <c r="E10" s="35"/>
      <c r="F10" s="36"/>
      <c r="G10" s="47"/>
      <c r="H10" s="177"/>
      <c r="I10" s="300" t="s">
        <v>441</v>
      </c>
      <c r="J10" s="165">
        <f>J9+1</f>
        <v>47</v>
      </c>
      <c r="K10" s="35"/>
      <c r="L10" s="35"/>
      <c r="M10" s="35"/>
      <c r="N10" s="36"/>
      <c r="O10" s="47"/>
      <c r="P10" s="194"/>
    </row>
    <row r="11" spans="1:16" ht="13.95" customHeight="1">
      <c r="A11" s="301" t="s">
        <v>442</v>
      </c>
      <c r="B11" s="163">
        <f t="shared" ref="B11:B49" si="6">B10+1</f>
        <v>5</v>
      </c>
      <c r="C11" s="35"/>
      <c r="D11" s="35"/>
      <c r="E11" s="35">
        <f t="shared" si="0"/>
        <v>0</v>
      </c>
      <c r="F11" s="36" t="str">
        <f t="shared" si="1"/>
        <v/>
      </c>
      <c r="G11" s="47" t="str">
        <f>IF(F11="","",IF(OR(ABS(F11)&gt;=30%,ABS(E11)&gt;=$D$49*5%,ABS(E11)&gt;='[31]已审利润纵向分析A1-13-4'!$E$27*10%),"显著",IF(ABS(F11)&gt;=10%,"关注","")))</f>
        <v/>
      </c>
      <c r="H11" s="177"/>
      <c r="I11" s="302" t="s">
        <v>443</v>
      </c>
      <c r="J11" s="165">
        <f t="shared" ref="J11:J48" si="7">J10+1</f>
        <v>48</v>
      </c>
      <c r="K11" s="35"/>
      <c r="L11" s="35"/>
      <c r="M11" s="35">
        <f t="shared" si="2"/>
        <v>0</v>
      </c>
      <c r="N11" s="36" t="str">
        <f t="shared" si="3"/>
        <v/>
      </c>
      <c r="O11" s="47" t="str">
        <f>IF(N11="","",IF(OR(ABS(N11)&gt;=30%,ABS(M11)&gt;=$D$49*5%,ABS(M11)&gt;='[31]已审利润纵向分析A1-13-4'!$E$27*10%),"显著",IF(ABS(N11)&gt;=10%,"关注","")))</f>
        <v/>
      </c>
      <c r="P11" s="194"/>
    </row>
    <row r="12" spans="1:16" ht="13.95" customHeight="1">
      <c r="A12" s="192" t="s">
        <v>186</v>
      </c>
      <c r="B12" s="163">
        <f t="shared" si="6"/>
        <v>6</v>
      </c>
      <c r="C12" s="35"/>
      <c r="D12" s="35"/>
      <c r="E12" s="35">
        <f t="shared" si="0"/>
        <v>0</v>
      </c>
      <c r="F12" s="36" t="str">
        <f t="shared" si="1"/>
        <v/>
      </c>
      <c r="G12" s="47" t="str">
        <f>IF(F12="","",IF(OR(ABS(F12)&gt;=30%,ABS(E12)&gt;=$D$49*5%,ABS(E12)&gt;='[31]已审利润纵向分析A1-13-4'!$E$27*10%),"显著",IF(ABS(F12)&gt;=10%,"关注","")))</f>
        <v/>
      </c>
      <c r="H12" s="177"/>
      <c r="I12" s="193" t="s">
        <v>187</v>
      </c>
      <c r="J12" s="165">
        <f t="shared" si="7"/>
        <v>49</v>
      </c>
      <c r="K12" s="35"/>
      <c r="L12" s="35"/>
      <c r="M12" s="35">
        <f t="shared" si="2"/>
        <v>0</v>
      </c>
      <c r="N12" s="36" t="str">
        <f t="shared" si="3"/>
        <v/>
      </c>
      <c r="O12" s="47" t="str">
        <f>IF(N12="","",IF(OR(ABS(N12)&gt;=30%,ABS(M12)&gt;=$D$49*5%,ABS(M12)&gt;='[31]已审利润纵向分析A1-13-4'!$E$27*10%),"显著",IF(ABS(N12)&gt;=10%,"关注","")))</f>
        <v/>
      </c>
      <c r="P12" s="194"/>
    </row>
    <row r="13" spans="1:16" ht="13.95" customHeight="1">
      <c r="A13" s="303" t="s">
        <v>190</v>
      </c>
      <c r="B13" s="163">
        <f t="shared" si="6"/>
        <v>7</v>
      </c>
      <c r="C13" s="35"/>
      <c r="D13" s="35"/>
      <c r="E13" s="35">
        <f t="shared" si="0"/>
        <v>0</v>
      </c>
      <c r="F13" s="36" t="str">
        <f t="shared" si="1"/>
        <v/>
      </c>
      <c r="G13" s="47" t="str">
        <f>IF(F13="","",IF(OR(ABS(F13)&gt;=30%,ABS(E13)&gt;=$D$49*5%,ABS(E13)&gt;='[31]已审利润纵向分析A1-13-4'!$E$27*10%),"显著",IF(ABS(F13)&gt;=10%,"关注","")))</f>
        <v/>
      </c>
      <c r="H13" s="177"/>
      <c r="I13" s="193" t="s">
        <v>188</v>
      </c>
      <c r="J13" s="165">
        <f t="shared" si="7"/>
        <v>50</v>
      </c>
      <c r="K13" s="35"/>
      <c r="L13" s="35"/>
      <c r="M13" s="35">
        <f t="shared" si="2"/>
        <v>0</v>
      </c>
      <c r="N13" s="36" t="str">
        <f t="shared" si="3"/>
        <v/>
      </c>
      <c r="O13" s="47" t="str">
        <f>IF(N13="","",IF(OR(ABS(N13)&gt;=30%,ABS(M13)&gt;=$D$49*5%,ABS(M13)&gt;='[31]已审利润纵向分析A1-13-4'!$E$27*10%),"显著",IF(ABS(N13)&gt;=10%,"关注","")))</f>
        <v/>
      </c>
      <c r="P13" s="194"/>
    </row>
    <row r="14" spans="1:16" ht="13.95" customHeight="1">
      <c r="A14" s="192" t="s">
        <v>191</v>
      </c>
      <c r="B14" s="163">
        <f t="shared" si="6"/>
        <v>8</v>
      </c>
      <c r="C14" s="35"/>
      <c r="D14" s="35"/>
      <c r="E14" s="35">
        <f t="shared" si="0"/>
        <v>0</v>
      </c>
      <c r="F14" s="36" t="str">
        <f t="shared" si="1"/>
        <v/>
      </c>
      <c r="G14" s="47" t="str">
        <f>IF(F14="","",IF(OR(ABS(F14)&gt;=30%,ABS(E14)&gt;=$D$49*5%,ABS(E14)&gt;='[31]已审利润纵向分析A1-13-4'!$E$27*10%),"显著",IF(ABS(F14)&gt;=10%,"关注","")))</f>
        <v/>
      </c>
      <c r="H14" s="177"/>
      <c r="I14" s="193" t="s">
        <v>189</v>
      </c>
      <c r="J14" s="165">
        <f t="shared" si="7"/>
        <v>51</v>
      </c>
      <c r="K14" s="35"/>
      <c r="L14" s="35"/>
      <c r="M14" s="35">
        <f t="shared" si="2"/>
        <v>0</v>
      </c>
      <c r="N14" s="36" t="str">
        <f t="shared" si="3"/>
        <v/>
      </c>
      <c r="O14" s="47" t="str">
        <f>IF(N14="","",IF(OR(ABS(N14)&gt;=30%,ABS(M14)&gt;=$D$49*5%,ABS(M14)&gt;='[31]已审利润纵向分析A1-13-4'!$E$27*10%),"显著",IF(ABS(N14)&gt;=10%,"关注","")))</f>
        <v/>
      </c>
      <c r="P14" s="194"/>
    </row>
    <row r="15" spans="1:16" ht="13.95" customHeight="1">
      <c r="A15" s="192" t="s">
        <v>192</v>
      </c>
      <c r="B15" s="163">
        <f t="shared" si="6"/>
        <v>9</v>
      </c>
      <c r="C15" s="35"/>
      <c r="D15" s="35"/>
      <c r="E15" s="35">
        <f t="shared" si="0"/>
        <v>0</v>
      </c>
      <c r="F15" s="36" t="str">
        <f t="shared" si="1"/>
        <v/>
      </c>
      <c r="G15" s="47" t="str">
        <f>IF(F15="","",IF(OR(ABS(F15)&gt;=30%,ABS(E15)&gt;=$D$49*5%,ABS(E15)&gt;='[31]已审利润纵向分析A1-13-4'!$E$27*10%),"显著",IF(ABS(F15)&gt;=10%,"关注","")))</f>
        <v/>
      </c>
      <c r="H15" s="177"/>
      <c r="I15" s="304" t="s">
        <v>193</v>
      </c>
      <c r="J15" s="165">
        <f t="shared" si="7"/>
        <v>52</v>
      </c>
      <c r="K15" s="35"/>
      <c r="L15" s="35"/>
      <c r="M15" s="35">
        <f t="shared" si="2"/>
        <v>0</v>
      </c>
      <c r="N15" s="36" t="str">
        <f t="shared" si="3"/>
        <v/>
      </c>
      <c r="O15" s="47" t="str">
        <f>IF(N15="","",IF(OR(ABS(N15)&gt;=30%,ABS(M15)&gt;=$D$49*5%,ABS(M15)&gt;='[31]已审利润纵向分析A1-13-4'!$E$27*10%),"显著",IF(ABS(N15)&gt;=10%,"关注","")))</f>
        <v/>
      </c>
      <c r="P15" s="194"/>
    </row>
    <row r="16" spans="1:16" ht="13.95" customHeight="1">
      <c r="A16" s="192" t="s">
        <v>194</v>
      </c>
      <c r="B16" s="163">
        <f t="shared" si="6"/>
        <v>10</v>
      </c>
      <c r="C16" s="35"/>
      <c r="D16" s="35"/>
      <c r="E16" s="35">
        <f t="shared" si="0"/>
        <v>0</v>
      </c>
      <c r="F16" s="36" t="str">
        <f t="shared" si="1"/>
        <v/>
      </c>
      <c r="G16" s="47" t="str">
        <f>IF(F16="","",IF(OR(ABS(F16)&gt;=30%,ABS(E16)&gt;=$D$49*5%,ABS(E16)&gt;='[31]已审利润纵向分析A1-13-4'!$E$27*10%),"显著",IF(ABS(F16)&gt;=10%,"关注","")))</f>
        <v/>
      </c>
      <c r="H16" s="177"/>
      <c r="I16" s="193" t="s">
        <v>433</v>
      </c>
      <c r="J16" s="165">
        <f t="shared" si="7"/>
        <v>53</v>
      </c>
      <c r="K16" s="35"/>
      <c r="L16" s="35"/>
      <c r="M16" s="35">
        <f t="shared" si="2"/>
        <v>0</v>
      </c>
      <c r="N16" s="36" t="str">
        <f t="shared" si="3"/>
        <v/>
      </c>
      <c r="O16" s="47" t="str">
        <f>IF(N16="","",IF(OR(ABS(N16)&gt;=30%,ABS(M16)&gt;=$D$49*5%,ABS(M16)&gt;='[31]已审利润纵向分析A1-13-4'!$E$27*10%),"显著",IF(ABS(N16)&gt;=10%,"关注","")))</f>
        <v/>
      </c>
      <c r="P16" s="194"/>
    </row>
    <row r="17" spans="1:16" ht="13.95" customHeight="1">
      <c r="A17" s="192" t="s">
        <v>432</v>
      </c>
      <c r="B17" s="163">
        <f t="shared" si="6"/>
        <v>11</v>
      </c>
      <c r="C17" s="35"/>
      <c r="D17" s="35"/>
      <c r="E17" s="35">
        <f t="shared" si="0"/>
        <v>0</v>
      </c>
      <c r="F17" s="36"/>
      <c r="G17" s="47"/>
      <c r="H17" s="177"/>
      <c r="I17" s="193" t="s">
        <v>195</v>
      </c>
      <c r="J17" s="165">
        <f t="shared" si="7"/>
        <v>54</v>
      </c>
      <c r="K17" s="35"/>
      <c r="L17" s="35"/>
      <c r="M17" s="35">
        <f t="shared" si="2"/>
        <v>0</v>
      </c>
      <c r="N17" s="36"/>
      <c r="O17" s="47"/>
      <c r="P17" s="194"/>
    </row>
    <row r="18" spans="1:16" ht="13.95" customHeight="1">
      <c r="A18" s="192" t="s">
        <v>196</v>
      </c>
      <c r="B18" s="163">
        <f t="shared" si="6"/>
        <v>12</v>
      </c>
      <c r="C18" s="35"/>
      <c r="D18" s="35"/>
      <c r="E18" s="35">
        <f t="shared" si="0"/>
        <v>0</v>
      </c>
      <c r="F18" s="36" t="str">
        <f t="shared" si="1"/>
        <v/>
      </c>
      <c r="G18" s="47" t="str">
        <f>IF(F18="","",IF(OR(ABS(F18)&gt;=30%,ABS(E18)&gt;=$D$49*5%,ABS(E18)&gt;='[31]已审利润纵向分析A1-13-4'!$E$27*10%),"显著",IF(ABS(F18)&gt;=10%,"关注","")))</f>
        <v/>
      </c>
      <c r="H18" s="177"/>
      <c r="I18" s="193" t="s">
        <v>197</v>
      </c>
      <c r="J18" s="165">
        <f t="shared" si="7"/>
        <v>55</v>
      </c>
      <c r="K18" s="35"/>
      <c r="L18" s="35"/>
      <c r="M18" s="35">
        <f t="shared" si="2"/>
        <v>0</v>
      </c>
      <c r="N18" s="36" t="str">
        <f t="shared" si="3"/>
        <v/>
      </c>
      <c r="O18" s="47" t="str">
        <f>IF(N18="","",IF(OR(ABS(N18)&gt;=30%,ABS(M18)&gt;=$D$49*5%,ABS(M18)&gt;='[31]已审利润纵向分析A1-13-4'!$E$27*10%),"显著",IF(ABS(N18)&gt;=10%,"关注","")))</f>
        <v/>
      </c>
      <c r="P18" s="194"/>
    </row>
    <row r="19" spans="1:16" ht="13.95" customHeight="1">
      <c r="A19" s="192" t="s">
        <v>198</v>
      </c>
      <c r="B19" s="163">
        <f t="shared" si="6"/>
        <v>13</v>
      </c>
      <c r="C19" s="35"/>
      <c r="D19" s="35"/>
      <c r="E19" s="35">
        <f t="shared" si="0"/>
        <v>0</v>
      </c>
      <c r="F19" s="36" t="str">
        <f t="shared" si="1"/>
        <v/>
      </c>
      <c r="G19" s="47" t="str">
        <f>IF(F19="","",IF(OR(ABS(F19)&gt;=30%,ABS(E19)&gt;=$D$49*5%,ABS(E19)&gt;='[31]已审利润纵向分析A1-13-4'!$E$27*10%),"显著",IF(ABS(F19)&gt;=10%,"关注","")))</f>
        <v/>
      </c>
      <c r="H19" s="177"/>
      <c r="I19" s="193">
        <v>0</v>
      </c>
      <c r="J19" s="165">
        <f t="shared" si="7"/>
        <v>56</v>
      </c>
      <c r="K19" s="35"/>
      <c r="L19" s="35"/>
      <c r="M19" s="35">
        <f t="shared" si="2"/>
        <v>0</v>
      </c>
      <c r="N19" s="36" t="str">
        <f t="shared" si="3"/>
        <v/>
      </c>
      <c r="O19" s="47" t="str">
        <f>IF(N19="","",IF(OR(ABS(N19)&gt;=30%,ABS(M19)&gt;=$D$49*5%,ABS(M19)&gt;='[31]已审利润纵向分析A1-13-4'!$E$27*10%),"显著",IF(ABS(N19)&gt;=10%,"关注","")))</f>
        <v/>
      </c>
      <c r="P19" s="194"/>
    </row>
    <row r="20" spans="1:16" ht="13.95" customHeight="1">
      <c r="A20" s="192">
        <v>0</v>
      </c>
      <c r="B20" s="163">
        <f t="shared" si="6"/>
        <v>14</v>
      </c>
      <c r="C20" s="35"/>
      <c r="D20" s="35"/>
      <c r="E20" s="35">
        <f t="shared" si="0"/>
        <v>0</v>
      </c>
      <c r="F20" s="36" t="str">
        <f t="shared" si="1"/>
        <v/>
      </c>
      <c r="G20" s="47" t="str">
        <f>IF(F20="","",IF(OR(ABS(F20)&gt;=30%,ABS(E20)&gt;=$D$49*5%,ABS(E20)&gt;='[31]已审利润纵向分析A1-13-4'!$E$27*10%),"显著",IF(ABS(F20)&gt;=10%,"关注","")))</f>
        <v/>
      </c>
      <c r="H20" s="177"/>
      <c r="I20" s="193">
        <v>0</v>
      </c>
      <c r="J20" s="165">
        <f t="shared" si="7"/>
        <v>57</v>
      </c>
      <c r="K20" s="35"/>
      <c r="L20" s="35"/>
      <c r="M20" s="35">
        <f t="shared" si="2"/>
        <v>0</v>
      </c>
      <c r="N20" s="36" t="str">
        <f t="shared" si="3"/>
        <v/>
      </c>
      <c r="O20" s="47" t="str">
        <f>IF(N20="","",IF(OR(ABS(N20)&gt;=30%,ABS(M20)&gt;=$D$49*5%,ABS(M20)&gt;='[31]已审利润纵向分析A1-13-4'!$E$27*10%),"显著",IF(ABS(N20)&gt;=10%,"关注","")))</f>
        <v/>
      </c>
      <c r="P20" s="194"/>
    </row>
    <row r="21" spans="1:16" ht="13.95" customHeight="1">
      <c r="A21" s="310" t="s">
        <v>199</v>
      </c>
      <c r="B21" s="163">
        <f t="shared" si="6"/>
        <v>15</v>
      </c>
      <c r="C21" s="37">
        <f>SUM(C8:C20)-C15-C16</f>
        <v>0</v>
      </c>
      <c r="D21" s="37">
        <f>SUM(D8:D20)-D15-D16</f>
        <v>0</v>
      </c>
      <c r="E21" s="37">
        <f t="shared" si="0"/>
        <v>0</v>
      </c>
      <c r="F21" s="38" t="str">
        <f t="shared" si="1"/>
        <v/>
      </c>
      <c r="G21" s="76" t="str">
        <f>IF(F21="","",IF(OR(ABS(F21)&gt;=30%,ABS(E21)&gt;=$D$49*5%,ABS(E21)&gt;='[31]已审利润纵向分析A1-13-4'!$E$27*10%),"显著",IF(ABS(F21)&gt;=10%,"关注","")))</f>
        <v/>
      </c>
      <c r="H21" s="196"/>
      <c r="I21" s="311" t="s">
        <v>200</v>
      </c>
      <c r="J21" s="165">
        <f t="shared" si="7"/>
        <v>58</v>
      </c>
      <c r="K21" s="37">
        <f>SUM(K8:K20)</f>
        <v>0</v>
      </c>
      <c r="L21" s="37">
        <f>SUM(L8:L20)</f>
        <v>0</v>
      </c>
      <c r="M21" s="37">
        <f t="shared" si="2"/>
        <v>0</v>
      </c>
      <c r="N21" s="38" t="str">
        <f t="shared" si="3"/>
        <v/>
      </c>
      <c r="O21" s="49" t="str">
        <f>IF(N21="","",IF(OR(ABS(N21)&gt;=30%,ABS(M21)&gt;=$D$49*5%,ABS(M21)&gt;='[31]已审利润纵向分析A1-13-4'!$E$27*10%),"显著",IF(ABS(N21)&gt;=10%,"关注","")))</f>
        <v/>
      </c>
      <c r="P21" s="198"/>
    </row>
    <row r="22" spans="1:16" ht="13.95" customHeight="1">
      <c r="A22" s="192" t="s">
        <v>201</v>
      </c>
      <c r="B22" s="163">
        <f t="shared" si="6"/>
        <v>16</v>
      </c>
      <c r="C22" s="35"/>
      <c r="D22" s="35"/>
      <c r="E22" s="35"/>
      <c r="F22" s="36"/>
      <c r="G22" s="47" t="str">
        <f>IF(F22="","",IF(OR(ABS(F22)&gt;=30%,ABS(E22)&gt;=$D$49*5%,ABS(E22)&gt;='[31]已审利润纵向分析A1-13-4'!$E$27*10%),"显著",IF(ABS(F22)&gt;=10%,"关注","")))</f>
        <v/>
      </c>
      <c r="H22" s="177"/>
      <c r="I22" s="193" t="s">
        <v>202</v>
      </c>
      <c r="J22" s="165">
        <f t="shared" si="7"/>
        <v>59</v>
      </c>
      <c r="K22" s="35"/>
      <c r="L22" s="35"/>
      <c r="M22" s="35"/>
      <c r="N22" s="36"/>
      <c r="O22" s="47" t="str">
        <f>IF(N22="","",IF(OR(ABS(N22)&gt;=30%,ABS(M22)&gt;=$D$49*5%,ABS(M22)&gt;='[31]已审利润纵向分析A1-13-4'!$E$27*10%),"显著",IF(ABS(N22)&gt;=10%,"关注","")))</f>
        <v/>
      </c>
      <c r="P22" s="194"/>
    </row>
    <row r="23" spans="1:16" ht="13.95" customHeight="1">
      <c r="A23" s="192" t="s">
        <v>203</v>
      </c>
      <c r="B23" s="163">
        <f t="shared" si="6"/>
        <v>17</v>
      </c>
      <c r="C23" s="35"/>
      <c r="D23" s="35"/>
      <c r="E23" s="35">
        <f t="shared" ref="E23:E49" si="8">D23-C23</f>
        <v>0</v>
      </c>
      <c r="F23" s="36" t="str">
        <f t="shared" ref="F23:F49" si="9">IF(AND(C23=0,D23=0),"",IF(C23=0,100%,IF(D23=0,-100%,E23/C23)))</f>
        <v/>
      </c>
      <c r="G23" s="47" t="str">
        <f>IF(F23="","",IF(OR(ABS(F23)&gt;=30%,ABS(E23)&gt;=$D$49*5%,ABS(E23)&gt;='[31]已审利润纵向分析A1-13-4'!$E$27*10%),"显著",IF(ABS(F23)&gt;=10%,"关注","")))</f>
        <v/>
      </c>
      <c r="H23" s="177"/>
      <c r="I23" s="193" t="s">
        <v>204</v>
      </c>
      <c r="J23" s="165">
        <f t="shared" si="7"/>
        <v>60</v>
      </c>
      <c r="K23" s="35"/>
      <c r="L23" s="35"/>
      <c r="M23" s="35">
        <f t="shared" ref="M23:M34" si="10">L23-K23</f>
        <v>0</v>
      </c>
      <c r="N23" s="36" t="str">
        <f t="shared" ref="N23:N34" si="11">IF(AND(K23=0,L23=0),"",IF(K23=0,100%,IF(L23=0,-100%,M23/K23)))</f>
        <v/>
      </c>
      <c r="O23" s="47" t="str">
        <f>IF(N23="","",IF(OR(ABS(N23)&gt;=30%,ABS(M23)&gt;=$D$49*5%,ABS(M23)&gt;='[31]已审利润纵向分析A1-13-4'!$E$27*10%),"显著",IF(ABS(N23)&gt;=10%,"关注","")))</f>
        <v/>
      </c>
      <c r="P23" s="194"/>
    </row>
    <row r="24" spans="1:16" ht="13.95" customHeight="1">
      <c r="A24" s="192" t="s">
        <v>205</v>
      </c>
      <c r="B24" s="163">
        <f t="shared" si="6"/>
        <v>18</v>
      </c>
      <c r="C24" s="35"/>
      <c r="D24" s="35"/>
      <c r="E24" s="35">
        <f t="shared" si="8"/>
        <v>0</v>
      </c>
      <c r="F24" s="36" t="str">
        <f t="shared" si="9"/>
        <v/>
      </c>
      <c r="G24" s="47" t="str">
        <f>IF(F24="","",IF(OR(ABS(F24)&gt;=30%,ABS(E24)&gt;=$D$49*5%,ABS(E24)&gt;='[31]已审利润纵向分析A1-13-4'!$E$27*10%),"显著",IF(ABS(F24)&gt;=10%,"关注","")))</f>
        <v/>
      </c>
      <c r="H24" s="177"/>
      <c r="I24" s="193" t="s">
        <v>206</v>
      </c>
      <c r="J24" s="165">
        <f t="shared" si="7"/>
        <v>61</v>
      </c>
      <c r="K24" s="35"/>
      <c r="L24" s="35"/>
      <c r="M24" s="35">
        <f t="shared" si="10"/>
        <v>0</v>
      </c>
      <c r="N24" s="36" t="str">
        <f t="shared" si="11"/>
        <v/>
      </c>
      <c r="O24" s="47" t="str">
        <f>IF(N24="","",IF(OR(ABS(N24)&gt;=30%,ABS(M24)&gt;=$D$49*5%,ABS(M24)&gt;='[31]已审利润纵向分析A1-13-4'!$E$27*10%),"显著",IF(ABS(N24)&gt;=10%,"关注","")))</f>
        <v/>
      </c>
      <c r="P24" s="194"/>
    </row>
    <row r="25" spans="1:16" ht="13.95" customHeight="1">
      <c r="A25" s="192" t="s">
        <v>207</v>
      </c>
      <c r="B25" s="163">
        <f t="shared" si="6"/>
        <v>19</v>
      </c>
      <c r="C25" s="35"/>
      <c r="D25" s="35"/>
      <c r="E25" s="35">
        <f t="shared" si="8"/>
        <v>0</v>
      </c>
      <c r="F25" s="36" t="str">
        <f t="shared" si="9"/>
        <v/>
      </c>
      <c r="G25" s="47" t="str">
        <f>IF(F25="","",IF(OR(ABS(F25)&gt;=30%,ABS(E25)&gt;=$D$49*5%,ABS(E25)&gt;='[31]已审利润纵向分析A1-13-4'!$E$27*10%),"显著",IF(ABS(F25)&gt;=10%,"关注","")))</f>
        <v/>
      </c>
      <c r="H25" s="177"/>
      <c r="I25" s="193" t="s">
        <v>208</v>
      </c>
      <c r="J25" s="165">
        <f t="shared" si="7"/>
        <v>62</v>
      </c>
      <c r="K25" s="35"/>
      <c r="L25" s="35"/>
      <c r="M25" s="35">
        <f t="shared" si="10"/>
        <v>0</v>
      </c>
      <c r="N25" s="36" t="str">
        <f t="shared" si="11"/>
        <v/>
      </c>
      <c r="O25" s="47" t="str">
        <f>IF(N25="","",IF(OR(ABS(N25)&gt;=30%,ABS(M25)&gt;=$D$49*5%,ABS(M25)&gt;='[31]已审利润纵向分析A1-13-4'!$E$27*10%),"显著",IF(ABS(N25)&gt;=10%,"关注","")))</f>
        <v/>
      </c>
      <c r="P25" s="194"/>
    </row>
    <row r="26" spans="1:16" ht="13.95" customHeight="1">
      <c r="A26" s="192" t="s">
        <v>209</v>
      </c>
      <c r="B26" s="163">
        <f t="shared" si="6"/>
        <v>20</v>
      </c>
      <c r="C26" s="35"/>
      <c r="D26" s="35"/>
      <c r="E26" s="35">
        <f t="shared" si="8"/>
        <v>0</v>
      </c>
      <c r="F26" s="36"/>
      <c r="G26" s="47"/>
      <c r="H26" s="177"/>
      <c r="I26" s="193" t="s">
        <v>210</v>
      </c>
      <c r="J26" s="165">
        <f t="shared" si="7"/>
        <v>63</v>
      </c>
      <c r="K26" s="35"/>
      <c r="L26" s="35"/>
      <c r="M26" s="35"/>
      <c r="N26" s="36"/>
      <c r="O26" s="47"/>
      <c r="P26" s="194"/>
    </row>
    <row r="27" spans="1:16" ht="13.95" customHeight="1">
      <c r="A27" s="192" t="s">
        <v>211</v>
      </c>
      <c r="B27" s="163">
        <f t="shared" si="6"/>
        <v>21</v>
      </c>
      <c r="C27" s="35"/>
      <c r="D27" s="35"/>
      <c r="E27" s="35">
        <f t="shared" si="8"/>
        <v>0</v>
      </c>
      <c r="F27" s="36" t="str">
        <f t="shared" si="9"/>
        <v/>
      </c>
      <c r="G27" s="47" t="str">
        <f>IF(F27="","",IF(OR(ABS(F27)&gt;=30%,ABS(E27)&gt;=$D$49*5%,ABS(E27)&gt;='[31]已审利润纵向分析A1-13-4'!$E$27*10%),"显著",IF(ABS(F27)&gt;=10%,"关注","")))</f>
        <v/>
      </c>
      <c r="H27" s="177"/>
      <c r="I27" s="304" t="s">
        <v>212</v>
      </c>
      <c r="J27" s="165">
        <f t="shared" si="7"/>
        <v>64</v>
      </c>
      <c r="K27" s="35"/>
      <c r="L27" s="35"/>
      <c r="M27" s="35">
        <f t="shared" si="10"/>
        <v>0</v>
      </c>
      <c r="N27" s="36" t="str">
        <f t="shared" si="11"/>
        <v/>
      </c>
      <c r="O27" s="47" t="str">
        <f>IF(N27="","",IF(OR(ABS(N27)&gt;=30%,ABS(M27)&gt;=$D$49*5%,ABS(M27)&gt;='[31]已审利润纵向分析A1-13-4'!$E$27*10%),"显著",IF(ABS(N27)&gt;=10%,"关注","")))</f>
        <v/>
      </c>
      <c r="P27" s="194"/>
    </row>
    <row r="28" spans="1:16" ht="13.95" customHeight="1">
      <c r="A28" s="192" t="s">
        <v>213</v>
      </c>
      <c r="B28" s="163">
        <f t="shared" si="6"/>
        <v>22</v>
      </c>
      <c r="C28" s="35"/>
      <c r="D28" s="35"/>
      <c r="E28" s="35">
        <f t="shared" si="8"/>
        <v>0</v>
      </c>
      <c r="F28" s="36" t="str">
        <f t="shared" si="9"/>
        <v/>
      </c>
      <c r="G28" s="47" t="str">
        <f>IF(F28="","",IF(OR(ABS(F28)&gt;=30%,ABS(E28)&gt;=$D$49*5%,ABS(E28)&gt;='[31]已审利润纵向分析A1-13-4'!$E$27*10%),"显著",IF(ABS(F28)&gt;=10%,"关注","")))</f>
        <v/>
      </c>
      <c r="H28" s="177"/>
      <c r="I28" s="193" t="s">
        <v>214</v>
      </c>
      <c r="J28" s="165">
        <f t="shared" si="7"/>
        <v>65</v>
      </c>
      <c r="K28" s="35"/>
      <c r="L28" s="35"/>
      <c r="M28" s="35">
        <f t="shared" si="10"/>
        <v>0</v>
      </c>
      <c r="N28" s="36" t="str">
        <f t="shared" si="11"/>
        <v/>
      </c>
      <c r="O28" s="47" t="str">
        <f>IF(N28="","",IF(OR(ABS(N28)&gt;=30%,ABS(M28)&gt;=$D$49*5%,ABS(M28)&gt;='[31]已审利润纵向分析A1-13-4'!$E$27*10%),"显著",IF(ABS(N28)&gt;=10%,"关注","")))</f>
        <v/>
      </c>
      <c r="P28" s="194"/>
    </row>
    <row r="29" spans="1:16" ht="13.95" customHeight="1">
      <c r="A29" s="303" t="s">
        <v>215</v>
      </c>
      <c r="B29" s="163">
        <f t="shared" si="6"/>
        <v>23</v>
      </c>
      <c r="C29" s="35"/>
      <c r="D29" s="35"/>
      <c r="E29" s="35">
        <f t="shared" si="8"/>
        <v>0</v>
      </c>
      <c r="F29" s="36" t="str">
        <f t="shared" si="9"/>
        <v/>
      </c>
      <c r="G29" s="47" t="str">
        <f>IF(F29="","",IF(OR(ABS(F29)&gt;=30%,ABS(E29)&gt;=$D$49*5%,ABS(E29)&gt;='[31]已审利润纵向分析A1-13-4'!$E$27*10%),"显著",IF(ABS(F29)&gt;=10%,"关注","")))</f>
        <v/>
      </c>
      <c r="H29" s="177"/>
      <c r="I29" s="193" t="s">
        <v>217</v>
      </c>
      <c r="J29" s="165">
        <f t="shared" si="7"/>
        <v>66</v>
      </c>
      <c r="K29" s="35"/>
      <c r="L29" s="35"/>
      <c r="M29" s="35">
        <f t="shared" si="10"/>
        <v>0</v>
      </c>
      <c r="N29" s="36" t="str">
        <f t="shared" si="11"/>
        <v/>
      </c>
      <c r="O29" s="47" t="str">
        <f>IF(N29="","",IF(OR(ABS(N29)&gt;=30%,ABS(M29)&gt;=$D$49*5%,ABS(M29)&gt;='[31]已审利润纵向分析A1-13-4'!$E$27*10%),"显著",IF(ABS(N29)&gt;=10%,"关注","")))</f>
        <v/>
      </c>
      <c r="P29" s="194"/>
    </row>
    <row r="30" spans="1:16" ht="13.95" customHeight="1">
      <c r="A30" s="303" t="s">
        <v>216</v>
      </c>
      <c r="B30" s="163">
        <f t="shared" si="6"/>
        <v>24</v>
      </c>
      <c r="C30" s="35"/>
      <c r="D30" s="35"/>
      <c r="E30" s="35">
        <f t="shared" si="8"/>
        <v>0</v>
      </c>
      <c r="F30" s="36" t="str">
        <f t="shared" si="9"/>
        <v/>
      </c>
      <c r="G30" s="47" t="str">
        <f>IF(F30="","",IF(OR(ABS(F30)&gt;=30%,ABS(E30)&gt;=$D$49*5%,ABS(E30)&gt;='[31]已审利润纵向分析A1-13-4'!$E$27*10%),"显著",IF(ABS(F30)&gt;=10%,"关注","")))</f>
        <v/>
      </c>
      <c r="H30" s="177"/>
      <c r="I30" s="193" t="s">
        <v>218</v>
      </c>
      <c r="J30" s="165">
        <f t="shared" si="7"/>
        <v>67</v>
      </c>
      <c r="K30" s="35"/>
      <c r="L30" s="35"/>
      <c r="M30" s="35"/>
      <c r="N30" s="36"/>
      <c r="O30" s="47"/>
      <c r="P30" s="194"/>
    </row>
    <row r="31" spans="1:16" ht="13.95" customHeight="1">
      <c r="A31" s="192" t="s">
        <v>220</v>
      </c>
      <c r="B31" s="163">
        <f t="shared" si="6"/>
        <v>25</v>
      </c>
      <c r="C31" s="35"/>
      <c r="D31" s="35"/>
      <c r="E31" s="35">
        <f t="shared" si="8"/>
        <v>0</v>
      </c>
      <c r="F31" s="36" t="str">
        <f t="shared" si="9"/>
        <v/>
      </c>
      <c r="G31" s="47" t="str">
        <f>IF(F31="","",IF(OR(ABS(F31)&gt;=30%,ABS(E31)&gt;=$D$49*5%,ABS(E31)&gt;='[31]已审利润纵向分析A1-13-4'!$E$27*10%),"显著",IF(ABS(F31)&gt;=10%,"关注","")))</f>
        <v/>
      </c>
      <c r="H31" s="177"/>
      <c r="I31" s="193" t="s">
        <v>219</v>
      </c>
      <c r="J31" s="165">
        <f t="shared" si="7"/>
        <v>68</v>
      </c>
      <c r="K31" s="35"/>
      <c r="L31" s="35"/>
      <c r="M31" s="35">
        <f t="shared" si="10"/>
        <v>0</v>
      </c>
      <c r="N31" s="36" t="str">
        <f t="shared" si="11"/>
        <v/>
      </c>
      <c r="O31" s="47" t="str">
        <f>IF(N31="","",IF(OR(ABS(N31)&gt;=30%,ABS(M31)&gt;=$D$49*5%,ABS(M31)&gt;='[31]已审利润纵向分析A1-13-4'!$E$27*10%),"显著",IF(ABS(N31)&gt;=10%,"关注","")))</f>
        <v/>
      </c>
      <c r="P31" s="194"/>
    </row>
    <row r="32" spans="1:16" ht="13.95" customHeight="1">
      <c r="A32" s="192" t="s">
        <v>222</v>
      </c>
      <c r="B32" s="163">
        <f t="shared" si="6"/>
        <v>26</v>
      </c>
      <c r="C32" s="35"/>
      <c r="D32" s="35"/>
      <c r="E32" s="35">
        <f t="shared" si="8"/>
        <v>0</v>
      </c>
      <c r="F32" s="36" t="str">
        <f t="shared" si="9"/>
        <v/>
      </c>
      <c r="G32" s="47" t="str">
        <f>IF(F32="","",IF(OR(ABS(F32)&gt;=30%,ABS(E32)&gt;=$D$49*5%,ABS(E32)&gt;='[31]已审利润纵向分析A1-13-4'!$E$27*10%),"显著",IF(ABS(F32)&gt;=10%,"关注","")))</f>
        <v/>
      </c>
      <c r="H32" s="177"/>
      <c r="I32" s="193" t="s">
        <v>221</v>
      </c>
      <c r="J32" s="165">
        <f t="shared" si="7"/>
        <v>69</v>
      </c>
      <c r="K32" s="35"/>
      <c r="L32" s="35"/>
      <c r="M32" s="35">
        <f t="shared" si="10"/>
        <v>0</v>
      </c>
      <c r="N32" s="36" t="str">
        <f t="shared" si="11"/>
        <v/>
      </c>
      <c r="O32" s="47" t="str">
        <f>IF(N32="","",IF(OR(ABS(N32)&gt;=30%,ABS(M32)&gt;=$D$49*5%,ABS(M32)&gt;='[31]已审利润纵向分析A1-13-4'!$E$27*10%),"显著",IF(ABS(N32)&gt;=10%,"关注","")))</f>
        <v/>
      </c>
      <c r="P32" s="194"/>
    </row>
    <row r="33" spans="1:16" ht="13.95" customHeight="1">
      <c r="A33" s="192" t="s">
        <v>224</v>
      </c>
      <c r="B33" s="163">
        <f t="shared" si="6"/>
        <v>27</v>
      </c>
      <c r="C33" s="35"/>
      <c r="D33" s="35"/>
      <c r="E33" s="35">
        <f t="shared" si="8"/>
        <v>0</v>
      </c>
      <c r="F33" s="36" t="str">
        <f t="shared" si="9"/>
        <v/>
      </c>
      <c r="G33" s="47" t="str">
        <f>IF(F33="","",IF(OR(ABS(F33)&gt;=30%,ABS(E33)&gt;=$D$49*5%,ABS(E33)&gt;='[31]已审利润纵向分析A1-13-4'!$E$27*10%),"显著",IF(ABS(F33)&gt;=10%,"关注","")))</f>
        <v/>
      </c>
      <c r="H33" s="177"/>
      <c r="I33" s="311" t="s">
        <v>223</v>
      </c>
      <c r="J33" s="165">
        <f t="shared" si="7"/>
        <v>70</v>
      </c>
      <c r="K33" s="37">
        <f>SUM(K23:K32)-K25-K26</f>
        <v>0</v>
      </c>
      <c r="L33" s="37">
        <f>SUM(L23:L32)-L25-L26</f>
        <v>0</v>
      </c>
      <c r="M33" s="37">
        <f t="shared" si="10"/>
        <v>0</v>
      </c>
      <c r="N33" s="38" t="str">
        <f t="shared" si="11"/>
        <v/>
      </c>
      <c r="O33" s="49" t="str">
        <f>IF(N33="","",IF(OR(ABS(N33)&gt;=30%,ABS(M33)&gt;=$D$49*5%,ABS(M33)&gt;='[31]已审利润纵向分析A1-13-4'!$E$27*10%),"显著",IF(ABS(N33)&gt;=10%,"关注","")))</f>
        <v/>
      </c>
      <c r="P33" s="198"/>
    </row>
    <row r="34" spans="1:16" ht="13.95" customHeight="1">
      <c r="A34" s="192" t="s">
        <v>226</v>
      </c>
      <c r="B34" s="163">
        <f t="shared" si="6"/>
        <v>28</v>
      </c>
      <c r="C34" s="35"/>
      <c r="D34" s="35"/>
      <c r="E34" s="35">
        <f t="shared" si="8"/>
        <v>0</v>
      </c>
      <c r="F34" s="36" t="str">
        <f t="shared" si="9"/>
        <v/>
      </c>
      <c r="G34" s="47" t="str">
        <f>IF(F34="","",IF(OR(ABS(F34)&gt;=30%,ABS(E34)&gt;=$D$49*5%,ABS(E34)&gt;='[31]已审利润纵向分析A1-13-4'!$E$27*10%),"显著",IF(ABS(F34)&gt;=10%,"关注","")))</f>
        <v/>
      </c>
      <c r="H34" s="177"/>
      <c r="I34" s="311" t="s">
        <v>225</v>
      </c>
      <c r="J34" s="165">
        <f t="shared" si="7"/>
        <v>71</v>
      </c>
      <c r="K34" s="37">
        <f>SUM(K21,K33)</f>
        <v>0</v>
      </c>
      <c r="L34" s="37">
        <f>SUM(L21,L33)</f>
        <v>0</v>
      </c>
      <c r="M34" s="37">
        <f t="shared" si="10"/>
        <v>0</v>
      </c>
      <c r="N34" s="38" t="str">
        <f t="shared" si="11"/>
        <v/>
      </c>
      <c r="O34" s="49" t="str">
        <f>IF(N34="","",IF(OR(ABS(N34)&gt;=30%,ABS(M34)&gt;=$D$49*5%,ABS(M34)&gt;='[31]已审利润纵向分析A1-13-4'!$E$27*10%),"显著",IF(ABS(N34)&gt;=10%,"关注","")))</f>
        <v/>
      </c>
      <c r="P34" s="198"/>
    </row>
    <row r="35" spans="1:16" ht="13.95" customHeight="1">
      <c r="A35" s="192" t="s">
        <v>228</v>
      </c>
      <c r="B35" s="163">
        <f t="shared" si="6"/>
        <v>29</v>
      </c>
      <c r="C35" s="35"/>
      <c r="D35" s="35"/>
      <c r="E35" s="35">
        <f t="shared" si="8"/>
        <v>0</v>
      </c>
      <c r="F35" s="36" t="str">
        <f t="shared" si="9"/>
        <v/>
      </c>
      <c r="G35" s="47" t="str">
        <f>IF(F35="","",IF(OR(ABS(F35)&gt;=30%,ABS(E35)&gt;=$D$49*5%,ABS(E35)&gt;='[31]已审利润纵向分析A1-13-4'!$E$27*10%),"显著",IF(ABS(F35)&gt;=10%,"关注","")))</f>
        <v/>
      </c>
      <c r="H35" s="177"/>
      <c r="I35" s="199" t="s">
        <v>227</v>
      </c>
      <c r="J35" s="165">
        <f t="shared" si="7"/>
        <v>72</v>
      </c>
      <c r="K35" s="35"/>
      <c r="L35" s="35"/>
      <c r="M35" s="35"/>
      <c r="N35" s="36"/>
      <c r="O35" s="47" t="str">
        <f>IF(N35="","",IF(OR(ABS(N35)&gt;=30%,ABS(M35)&gt;=$D$49*5%,ABS(M35)&gt;='[31]已审利润纵向分析A1-13-4'!$E$27*10%),"显著",IF(ABS(N35)&gt;=10%,"关注","")))</f>
        <v/>
      </c>
      <c r="P35" s="194"/>
    </row>
    <row r="36" spans="1:16" ht="13.95" customHeight="1">
      <c r="A36" s="192" t="s">
        <v>230</v>
      </c>
      <c r="B36" s="163">
        <f t="shared" si="6"/>
        <v>30</v>
      </c>
      <c r="C36" s="35"/>
      <c r="D36" s="35"/>
      <c r="E36" s="35">
        <f t="shared" si="8"/>
        <v>0</v>
      </c>
      <c r="F36" s="36"/>
      <c r="G36" s="47"/>
      <c r="H36" s="177"/>
      <c r="I36" s="193" t="s">
        <v>229</v>
      </c>
      <c r="J36" s="165">
        <f t="shared" si="7"/>
        <v>73</v>
      </c>
      <c r="K36" s="35"/>
      <c r="L36" s="35"/>
      <c r="M36" s="35">
        <f t="shared" ref="M36:M49" si="12">L36-K36</f>
        <v>0</v>
      </c>
      <c r="N36" s="36" t="str">
        <f t="shared" ref="N36:N49" si="13">IF(AND(K36=0,L36=0),"",IF(K36=0,100%,IF(L36=0,-100%,M36/K36)))</f>
        <v/>
      </c>
      <c r="O36" s="47" t="str">
        <f>IF(N36="","",IF(OR(ABS(N36)&gt;=30%,ABS(M36)&gt;=$D$49*5%,ABS(M36)&gt;='[31]已审利润纵向分析A1-13-4'!$E$27*10%),"显著",IF(ABS(N36)&gt;=10%,"关注","")))</f>
        <v/>
      </c>
      <c r="P36" s="194"/>
    </row>
    <row r="37" spans="1:16" ht="13.95" customHeight="1">
      <c r="A37" s="192" t="s">
        <v>232</v>
      </c>
      <c r="B37" s="163">
        <f t="shared" si="6"/>
        <v>31</v>
      </c>
      <c r="C37" s="35"/>
      <c r="D37" s="35"/>
      <c r="E37" s="35">
        <f t="shared" si="8"/>
        <v>0</v>
      </c>
      <c r="F37" s="36"/>
      <c r="G37" s="47"/>
      <c r="H37" s="177"/>
      <c r="I37" s="193" t="s">
        <v>231</v>
      </c>
      <c r="J37" s="165">
        <f t="shared" si="7"/>
        <v>74</v>
      </c>
      <c r="K37" s="35"/>
      <c r="L37" s="35"/>
      <c r="M37" s="35"/>
      <c r="N37" s="36"/>
      <c r="O37" s="47"/>
      <c r="P37" s="194"/>
    </row>
    <row r="38" spans="1:16" ht="13.95" customHeight="1">
      <c r="A38" s="192" t="s">
        <v>233</v>
      </c>
      <c r="B38" s="163">
        <f t="shared" si="6"/>
        <v>32</v>
      </c>
      <c r="C38" s="35"/>
      <c r="D38" s="35"/>
      <c r="E38" s="35">
        <f t="shared" si="8"/>
        <v>0</v>
      </c>
      <c r="F38" s="36"/>
      <c r="G38" s="47"/>
      <c r="H38" s="177"/>
      <c r="I38" s="193" t="s">
        <v>208</v>
      </c>
      <c r="J38" s="165">
        <f t="shared" si="7"/>
        <v>75</v>
      </c>
      <c r="K38" s="35"/>
      <c r="L38" s="35"/>
      <c r="M38" s="35"/>
      <c r="N38" s="36"/>
      <c r="O38" s="47"/>
      <c r="P38" s="194"/>
    </row>
    <row r="39" spans="1:16" ht="13.95" customHeight="1">
      <c r="A39" s="192"/>
      <c r="B39" s="163">
        <f t="shared" si="6"/>
        <v>33</v>
      </c>
      <c r="C39" s="35"/>
      <c r="D39" s="35"/>
      <c r="E39" s="35">
        <f t="shared" si="8"/>
        <v>0</v>
      </c>
      <c r="F39" s="36" t="str">
        <f t="shared" si="9"/>
        <v/>
      </c>
      <c r="G39" s="47" t="str">
        <f>IF(F39="","",IF(OR(ABS(F39)&gt;=30%,ABS(E39)&gt;=$D$49*5%,ABS(E39)&gt;='[31]已审利润纵向分析A1-13-4'!$E$27*10%),"显著",IF(ABS(F39)&gt;=10%,"关注","")))</f>
        <v/>
      </c>
      <c r="H39" s="177"/>
      <c r="I39" s="193" t="s">
        <v>210</v>
      </c>
      <c r="J39" s="165">
        <f t="shared" si="7"/>
        <v>76</v>
      </c>
      <c r="K39" s="35"/>
      <c r="L39" s="35"/>
      <c r="M39" s="35"/>
      <c r="N39" s="36"/>
      <c r="O39" s="47"/>
      <c r="P39" s="194"/>
    </row>
    <row r="40" spans="1:16" ht="13.95" customHeight="1">
      <c r="A40" s="192"/>
      <c r="B40" s="163">
        <f t="shared" si="6"/>
        <v>34</v>
      </c>
      <c r="C40" s="35"/>
      <c r="D40" s="35"/>
      <c r="E40" s="35">
        <f t="shared" si="8"/>
        <v>0</v>
      </c>
      <c r="F40" s="36" t="str">
        <f t="shared" si="9"/>
        <v/>
      </c>
      <c r="G40" s="47" t="str">
        <f>IF(F40="","",IF(OR(ABS(F40)&gt;=30%,ABS(E40)&gt;=$D$49*5%,ABS(E40)&gt;='[31]已审利润纵向分析A1-13-4'!$E$27*10%),"显著",IF(ABS(F40)&gt;=10%,"关注","")))</f>
        <v/>
      </c>
      <c r="H40" s="177"/>
      <c r="I40" s="193" t="s">
        <v>234</v>
      </c>
      <c r="J40" s="165">
        <f t="shared" si="7"/>
        <v>77</v>
      </c>
      <c r="K40" s="35"/>
      <c r="L40" s="35"/>
      <c r="M40" s="35">
        <f t="shared" si="12"/>
        <v>0</v>
      </c>
      <c r="N40" s="36" t="str">
        <f t="shared" si="13"/>
        <v/>
      </c>
      <c r="O40" s="47" t="str">
        <f>IF(N40="","",IF(OR(ABS(N40)&gt;=30%,ABS(M40)&gt;=$D$49*5%,ABS(M40)&gt;='[31]已审利润纵向分析A1-13-4'!$E$27*10%),"显著",IF(ABS(N40)&gt;=10%,"关注","")))</f>
        <v/>
      </c>
      <c r="P40" s="194"/>
    </row>
    <row r="41" spans="1:16" ht="13.95" customHeight="1">
      <c r="A41" s="192"/>
      <c r="B41" s="163">
        <f t="shared" si="6"/>
        <v>35</v>
      </c>
      <c r="C41" s="35"/>
      <c r="D41" s="35"/>
      <c r="E41" s="35">
        <f t="shared" si="8"/>
        <v>0</v>
      </c>
      <c r="F41" s="36"/>
      <c r="G41" s="47"/>
      <c r="H41" s="177"/>
      <c r="I41" s="193" t="s">
        <v>235</v>
      </c>
      <c r="J41" s="165">
        <f t="shared" si="7"/>
        <v>78</v>
      </c>
      <c r="K41" s="35"/>
      <c r="L41" s="35"/>
      <c r="M41" s="35">
        <f t="shared" si="12"/>
        <v>0</v>
      </c>
      <c r="N41" s="36" t="str">
        <f t="shared" si="13"/>
        <v/>
      </c>
      <c r="O41" s="47" t="str">
        <f>IF(N41="","",IF(OR(ABS(N41)&gt;=30%,ABS(M41)&gt;=$D$49*5%,ABS(M41)&gt;='[31]已审利润纵向分析A1-13-4'!$E$27*10%),"显著",IF(ABS(N41)&gt;=10%,"关注","")))</f>
        <v/>
      </c>
      <c r="P41" s="194"/>
    </row>
    <row r="42" spans="1:16" ht="13.95" customHeight="1">
      <c r="A42" s="192"/>
      <c r="B42" s="163">
        <f t="shared" si="6"/>
        <v>36</v>
      </c>
      <c r="C42" s="35"/>
      <c r="D42" s="35"/>
      <c r="E42" s="35">
        <f t="shared" si="8"/>
        <v>0</v>
      </c>
      <c r="F42" s="36" t="str">
        <f t="shared" si="9"/>
        <v/>
      </c>
      <c r="G42" s="47" t="str">
        <f>IF(F42="","",IF(OR(ABS(F42)&gt;=30%,ABS(E42)&gt;=$D$49*5%,ABS(E42)&gt;='[31]已审利润纵向分析A1-13-4'!$E$27*10%),"显著",IF(ABS(F42)&gt;=10%,"关注","")))</f>
        <v/>
      </c>
      <c r="H42" s="177"/>
      <c r="I42" s="193" t="s">
        <v>236</v>
      </c>
      <c r="J42" s="165">
        <f t="shared" si="7"/>
        <v>79</v>
      </c>
      <c r="K42" s="35"/>
      <c r="L42" s="35"/>
      <c r="M42" s="35"/>
      <c r="N42" s="36"/>
      <c r="O42" s="47"/>
      <c r="P42" s="194"/>
    </row>
    <row r="43" spans="1:16" ht="13.95" customHeight="1">
      <c r="A43" s="192"/>
      <c r="B43" s="163">
        <f t="shared" si="6"/>
        <v>37</v>
      </c>
      <c r="C43" s="35"/>
      <c r="D43" s="35"/>
      <c r="E43" s="35"/>
      <c r="F43" s="36"/>
      <c r="G43" s="47"/>
      <c r="H43" s="177"/>
      <c r="I43" s="193" t="s">
        <v>237</v>
      </c>
      <c r="J43" s="165">
        <f t="shared" si="7"/>
        <v>80</v>
      </c>
      <c r="K43" s="35"/>
      <c r="L43" s="35"/>
      <c r="M43" s="35">
        <f t="shared" si="12"/>
        <v>0</v>
      </c>
      <c r="N43" s="36" t="str">
        <f t="shared" si="13"/>
        <v/>
      </c>
      <c r="O43" s="47" t="str">
        <f>IF(N43="","",IF(OR(ABS(N43)&gt;=30%,ABS(M43)&gt;=$D$49*5%,ABS(M43)&gt;='[31]已审利润纵向分析A1-13-4'!$E$27*10%),"显著",IF(ABS(N43)&gt;=10%,"关注","")))</f>
        <v/>
      </c>
      <c r="P43" s="194"/>
    </row>
    <row r="44" spans="1:16" ht="13.95" customHeight="1">
      <c r="A44" s="192"/>
      <c r="B44" s="163">
        <f t="shared" si="6"/>
        <v>38</v>
      </c>
      <c r="C44" s="35"/>
      <c r="D44" s="35"/>
      <c r="E44" s="35">
        <f t="shared" si="8"/>
        <v>0</v>
      </c>
      <c r="F44" s="36" t="str">
        <f t="shared" si="9"/>
        <v/>
      </c>
      <c r="G44" s="47" t="str">
        <f>IF(F44="","",IF(OR(ABS(F44)&gt;=30%,ABS(E44)&gt;=$D$49*5%,ABS(E44)&gt;='[31]已审利润纵向分析A1-13-4'!$E$27*10%),"显著",IF(ABS(F44)&gt;=10%,"关注","")))</f>
        <v/>
      </c>
      <c r="H44" s="177"/>
      <c r="I44" s="193" t="s">
        <v>238</v>
      </c>
      <c r="J44" s="165">
        <f t="shared" si="7"/>
        <v>81</v>
      </c>
      <c r="K44" s="35"/>
      <c r="L44" s="35"/>
      <c r="M44" s="35">
        <f t="shared" si="12"/>
        <v>0</v>
      </c>
      <c r="N44" s="36" t="str">
        <f t="shared" si="13"/>
        <v/>
      </c>
      <c r="O44" s="47" t="str">
        <f>IF(N44="","",IF(OR(ABS(N44)&gt;=30%,ABS(M44)&gt;=$D$49*5%,ABS(M44)&gt;='[31]已审利润纵向分析A1-13-4'!$E$27*10%),"显著",IF(ABS(N44)&gt;=10%,"关注","")))</f>
        <v/>
      </c>
      <c r="P44" s="194"/>
    </row>
    <row r="45" spans="1:16" ht="13.95" customHeight="1">
      <c r="A45" s="192">
        <v>0</v>
      </c>
      <c r="B45" s="163">
        <f t="shared" si="6"/>
        <v>39</v>
      </c>
      <c r="C45" s="35"/>
      <c r="D45" s="35"/>
      <c r="E45" s="35">
        <f t="shared" si="8"/>
        <v>0</v>
      </c>
      <c r="F45" s="36" t="str">
        <f t="shared" si="9"/>
        <v/>
      </c>
      <c r="G45" s="47" t="str">
        <f>IF(F45="","",IF(OR(ABS(F45)&gt;=30%,ABS(E45)&gt;=$D$49*5%,ABS(E45)&gt;='[31]已审利润纵向分析A1-13-4'!$E$27*10%),"显著",IF(ABS(F45)&gt;=10%,"关注","")))</f>
        <v/>
      </c>
      <c r="H45" s="177"/>
      <c r="I45" s="193" t="s">
        <v>239</v>
      </c>
      <c r="J45" s="165">
        <f t="shared" si="7"/>
        <v>82</v>
      </c>
      <c r="K45" s="35"/>
      <c r="L45" s="35"/>
      <c r="M45" s="35">
        <f t="shared" si="12"/>
        <v>0</v>
      </c>
      <c r="N45" s="36" t="str">
        <f t="shared" si="13"/>
        <v/>
      </c>
      <c r="O45" s="47" t="str">
        <f>IF(N45="","",IF(OR(ABS(N45)&gt;=30%,ABS(M45)&gt;=$D$49*5%,ABS(M45)&gt;='[31]已审利润纵向分析A1-13-4'!$E$27*10%),"显著",IF(ABS(N45)&gt;=10%,"关注","")))</f>
        <v/>
      </c>
      <c r="P45" s="194"/>
    </row>
    <row r="46" spans="1:16" ht="13.95" customHeight="1">
      <c r="A46" s="192">
        <v>0</v>
      </c>
      <c r="B46" s="163">
        <f t="shared" si="6"/>
        <v>40</v>
      </c>
      <c r="C46" s="35"/>
      <c r="D46" s="35"/>
      <c r="E46" s="35">
        <f t="shared" si="8"/>
        <v>0</v>
      </c>
      <c r="F46" s="36" t="str">
        <f t="shared" si="9"/>
        <v/>
      </c>
      <c r="G46" s="47" t="str">
        <f>IF(F46="","",IF(OR(ABS(F46)&gt;=30%,ABS(E46)&gt;=$D$49*5%,ABS(E46)&gt;='[31]已审利润纵向分析A1-13-4'!$E$27*10%),"显著",IF(ABS(F46)&gt;=10%,"关注","")))</f>
        <v/>
      </c>
      <c r="H46" s="177"/>
      <c r="I46" s="193" t="s">
        <v>240</v>
      </c>
      <c r="J46" s="165">
        <f t="shared" si="7"/>
        <v>83</v>
      </c>
      <c r="K46" s="35">
        <f>K36+K37+K40-K41+K42+K43+K44+K45</f>
        <v>0</v>
      </c>
      <c r="L46" s="35">
        <f>L36+L37+L40-L41+L42+L43+L44+L45</f>
        <v>0</v>
      </c>
      <c r="M46" s="35">
        <f t="shared" si="12"/>
        <v>0</v>
      </c>
      <c r="N46" s="36" t="str">
        <f t="shared" si="13"/>
        <v/>
      </c>
      <c r="O46" s="47" t="str">
        <f>IF(N46="","",IF(OR(ABS(N46)&gt;=30%,ABS(M46)&gt;=$D$49*5%,ABS(M46)&gt;='[31]已审利润纵向分析A1-13-4'!$E$27*10%),"显著",IF(ABS(N46)&gt;=10%,"关注","")))</f>
        <v/>
      </c>
      <c r="P46" s="194"/>
    </row>
    <row r="47" spans="1:16" ht="13.95" customHeight="1">
      <c r="A47" s="192">
        <v>0</v>
      </c>
      <c r="B47" s="163">
        <f t="shared" si="6"/>
        <v>41</v>
      </c>
      <c r="C47" s="35"/>
      <c r="D47" s="35"/>
      <c r="E47" s="35">
        <f t="shared" si="8"/>
        <v>0</v>
      </c>
      <c r="F47" s="36" t="str">
        <f t="shared" si="9"/>
        <v/>
      </c>
      <c r="G47" s="47" t="str">
        <f>IF(F47="","",IF(OR(ABS(F47)&gt;=30%,ABS(E47)&gt;=$D$49*5%,ABS(E47)&gt;='[31]已审利润纵向分析A1-13-4'!$E$27*10%),"显著",IF(ABS(F47)&gt;=10%,"关注","")))</f>
        <v/>
      </c>
      <c r="H47" s="177"/>
      <c r="I47" s="193" t="s">
        <v>241</v>
      </c>
      <c r="J47" s="165">
        <f t="shared" si="7"/>
        <v>84</v>
      </c>
      <c r="K47" s="35"/>
      <c r="L47" s="35"/>
      <c r="M47" s="35">
        <f t="shared" si="12"/>
        <v>0</v>
      </c>
      <c r="N47" s="36" t="str">
        <f t="shared" si="13"/>
        <v/>
      </c>
      <c r="O47" s="47" t="str">
        <f>IF(N47="","",IF(OR(ABS(N47)&gt;=30%,ABS(M47)&gt;=$D$49*5%,ABS(M47)&gt;='[31]已审利润纵向分析A1-13-4'!$E$27*10%),"显著",IF(ABS(N47)&gt;=10%,"关注","")))</f>
        <v/>
      </c>
      <c r="P47" s="194"/>
    </row>
    <row r="48" spans="1:16" ht="13.95" customHeight="1">
      <c r="A48" s="310" t="s">
        <v>242</v>
      </c>
      <c r="B48" s="163">
        <f t="shared" si="6"/>
        <v>42</v>
      </c>
      <c r="C48" s="37">
        <f>SUM(C23:C47)</f>
        <v>0</v>
      </c>
      <c r="D48" s="37">
        <f>SUM(D23:D47)</f>
        <v>0</v>
      </c>
      <c r="E48" s="37">
        <f t="shared" si="8"/>
        <v>0</v>
      </c>
      <c r="F48" s="38" t="str">
        <f t="shared" si="9"/>
        <v/>
      </c>
      <c r="G48" s="76" t="str">
        <f>IF(F48="","",IF(OR(ABS(F48)&gt;=30%,ABS(E48)&gt;=$D$49*5%,ABS(E48)&gt;='[31]已审利润纵向分析A1-13-4'!$E$27*10%),"显著",IF(ABS(F48)&gt;=10%,"关注","")))</f>
        <v/>
      </c>
      <c r="H48" s="196"/>
      <c r="I48" s="312" t="s">
        <v>243</v>
      </c>
      <c r="J48" s="165">
        <f t="shared" si="7"/>
        <v>85</v>
      </c>
      <c r="K48" s="37">
        <f>SUM(K46:K47)</f>
        <v>0</v>
      </c>
      <c r="L48" s="37">
        <f>SUM(L46:L47)</f>
        <v>0</v>
      </c>
      <c r="M48" s="37">
        <f t="shared" si="12"/>
        <v>0</v>
      </c>
      <c r="N48" s="38" t="str">
        <f t="shared" si="13"/>
        <v/>
      </c>
      <c r="O48" s="49" t="str">
        <f>IF(N48="","",IF(OR(ABS(N48)&gt;=30%,ABS(M48)&gt;=$D$49*5%,ABS(M48)&gt;='[31]已审利润纵向分析A1-13-4'!$E$27*10%),"显著",IF(ABS(N48)&gt;=10%,"关注","")))</f>
        <v/>
      </c>
      <c r="P48" s="201"/>
    </row>
    <row r="49" spans="1:16" ht="13.95" customHeight="1" thickBot="1">
      <c r="A49" s="202" t="s">
        <v>244</v>
      </c>
      <c r="B49" s="316">
        <f t="shared" si="6"/>
        <v>43</v>
      </c>
      <c r="C49" s="39">
        <f>SUM(C21,C48)</f>
        <v>0</v>
      </c>
      <c r="D49" s="39">
        <f>SUM(D21,D48)</f>
        <v>0</v>
      </c>
      <c r="E49" s="39">
        <f t="shared" si="8"/>
        <v>0</v>
      </c>
      <c r="F49" s="40" t="str">
        <f t="shared" si="9"/>
        <v/>
      </c>
      <c r="G49" s="53" t="str">
        <f>IF(F49="","",IF(OR(ABS(F49)&gt;=30%,ABS(E49)&gt;=$D$49*5%,ABS(E49)&gt;='[31]已审利润纵向分析A1-13-4'!$E$27*10%),"显著",IF(ABS(F49)&gt;=10%,"关注","")))</f>
        <v/>
      </c>
      <c r="H49" s="203"/>
      <c r="I49" s="204" t="s">
        <v>245</v>
      </c>
      <c r="J49" s="166">
        <f>J48+1</f>
        <v>86</v>
      </c>
      <c r="K49" s="39">
        <f>SUM(K34,K48)</f>
        <v>0</v>
      </c>
      <c r="L49" s="39">
        <f>SUM(L34,L48)</f>
        <v>0</v>
      </c>
      <c r="M49" s="41">
        <f t="shared" si="12"/>
        <v>0</v>
      </c>
      <c r="N49" s="42" t="str">
        <f t="shared" si="13"/>
        <v/>
      </c>
      <c r="O49" s="53" t="str">
        <f>IF(N49="","",IF(OR(ABS(N49)&gt;=30%,ABS(M49)&gt;=$D$49*5%,ABS(M49)&gt;='[31]已审利润纵向分析A1-13-4'!$E$27*10%),"显著",IF(ABS(N49)&gt;=10%,"关注","")))</f>
        <v/>
      </c>
      <c r="P49" s="205"/>
    </row>
    <row r="50" spans="1:16" ht="13.95" customHeight="1">
      <c r="A50" s="206"/>
      <c r="B50" s="163"/>
      <c r="C50" s="207"/>
      <c r="D50" s="207"/>
      <c r="E50" s="207"/>
      <c r="F50" s="207"/>
      <c r="G50" s="207"/>
      <c r="H50" s="207"/>
      <c r="I50" s="206"/>
      <c r="J50" s="206"/>
      <c r="K50" s="207"/>
      <c r="L50" s="207"/>
      <c r="M50" s="207"/>
      <c r="N50" s="207"/>
      <c r="O50" s="207"/>
      <c r="P50" s="207"/>
    </row>
  </sheetData>
  <sheetProtection formatCells="0" insertRows="0" autoFilter="0" pivotTables="0"/>
  <mergeCells count="14">
    <mergeCell ref="K4:K5"/>
    <mergeCell ref="L4:L5"/>
    <mergeCell ref="O4:O6"/>
    <mergeCell ref="P4:P6"/>
    <mergeCell ref="A1:H1"/>
    <mergeCell ref="I1:P1"/>
    <mergeCell ref="A4:A6"/>
    <mergeCell ref="B4:B6"/>
    <mergeCell ref="C4:C5"/>
    <mergeCell ref="D4:D5"/>
    <mergeCell ref="G4:G6"/>
    <mergeCell ref="H4:H6"/>
    <mergeCell ref="I4:I6"/>
    <mergeCell ref="J4:J6"/>
  </mergeCells>
  <phoneticPr fontId="4" type="noConversion"/>
  <conditionalFormatting sqref="H7:M7 C7:F7 J7:J48">
    <cfRule type="cellIs" dxfId="15" priority="9" stopIfTrue="1" operator="equal">
      <formula>"            对不起，请到参数表中确定报表类型！"</formula>
    </cfRule>
    <cfRule type="cellIs" dxfId="14" priority="10" stopIfTrue="1" operator="equal">
      <formula>"对不起，试用期已到，请查看系统信息，并与作者联系。"</formula>
    </cfRule>
  </conditionalFormatting>
  <conditionalFormatting sqref="G7">
    <cfRule type="cellIs" dxfId="13" priority="11" stopIfTrue="1" operator="equal">
      <formula>"异常"</formula>
    </cfRule>
  </conditionalFormatting>
  <conditionalFormatting sqref="O8:O49 G8:G49">
    <cfRule type="cellIs" dxfId="12" priority="12" stopIfTrue="1" operator="equal">
      <formula>"显著"</formula>
    </cfRule>
  </conditionalFormatting>
  <printOptions horizontalCentered="1"/>
  <pageMargins left="0.35" right="0.23622047244094491" top="0.67" bottom="0.27" header="0.33" footer="0.2"/>
  <pageSetup paperSize="9" scale="86" fitToWidth="2" orientation="portrait" blackAndWhite="1" r:id="rId1"/>
  <headerFooter alignWithMargins="0"/>
  <colBreaks count="1" manualBreakCount="1">
    <brk id="8"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R50"/>
  <sheetViews>
    <sheetView showZeros="0" view="pageBreakPreview" zoomScaleNormal="100" zoomScaleSheetLayoutView="100" workbookViewId="0">
      <pane xSplit="2" ySplit="6" topLeftCell="C43" activePane="bottomRight" state="frozen"/>
      <selection sqref="A1:H1"/>
      <selection pane="topRight" sqref="A1:H1"/>
      <selection pane="bottomLeft" sqref="A1:H1"/>
      <selection pane="bottomRight" activeCell="H34" sqref="H34"/>
    </sheetView>
  </sheetViews>
  <sheetFormatPr defaultColWidth="10.33203125" defaultRowHeight="15.6"/>
  <cols>
    <col min="1" max="1" width="26.44140625" style="43" customWidth="1"/>
    <col min="2" max="2" width="3" style="43" customWidth="1"/>
    <col min="3" max="3" width="14" style="30" customWidth="1"/>
    <col min="4" max="4" width="8" style="30" customWidth="1"/>
    <col min="5" max="5" width="12" style="30" customWidth="1"/>
    <col min="6" max="6" width="8.88671875" style="30" customWidth="1"/>
    <col min="7" max="7" width="11.6640625" style="30" customWidth="1"/>
    <col min="8" max="8" width="9" style="30" customWidth="1"/>
    <col min="9" max="9" width="13.44140625" style="30" customWidth="1"/>
    <col min="10" max="10" width="21" style="43" customWidth="1"/>
    <col min="11" max="11" width="3.5546875" style="43" customWidth="1"/>
    <col min="12" max="12" width="14.109375" style="30" customWidth="1"/>
    <col min="13" max="13" width="7.33203125" style="30" customWidth="1"/>
    <col min="14" max="14" width="12" style="30" customWidth="1"/>
    <col min="15" max="15" width="9" style="30" customWidth="1"/>
    <col min="16" max="16" width="11" style="30" bestFit="1" customWidth="1"/>
    <col min="17" max="17" width="8.33203125" style="30" customWidth="1"/>
    <col min="18" max="18" width="14.109375" style="30" customWidth="1"/>
    <col min="19" max="16384" width="10.33203125" style="30"/>
  </cols>
  <sheetData>
    <row r="1" spans="1:18" ht="18">
      <c r="A1" s="339" t="s">
        <v>246</v>
      </c>
      <c r="B1" s="339"/>
      <c r="C1" s="339"/>
      <c r="D1" s="339"/>
      <c r="E1" s="339"/>
      <c r="F1" s="339"/>
      <c r="G1" s="339"/>
      <c r="H1" s="339"/>
      <c r="I1" s="339"/>
      <c r="J1" s="339" t="s">
        <v>247</v>
      </c>
      <c r="K1" s="339"/>
      <c r="L1" s="339"/>
      <c r="M1" s="339"/>
      <c r="N1" s="339"/>
      <c r="O1" s="339"/>
      <c r="P1" s="339"/>
      <c r="Q1" s="339"/>
      <c r="R1" s="339"/>
    </row>
    <row r="2" spans="1:18" s="31" customFormat="1" ht="15" customHeight="1">
      <c r="A2" s="32" t="str">
        <f>'[31]已审资产负债横向分析A1-13-1'!A2</f>
        <v>客户名称：</v>
      </c>
      <c r="B2" s="84"/>
      <c r="E2" s="44" t="str">
        <f>'[31]已审资产负债横向分析A1-13-1'!D2</f>
        <v>编制人：</v>
      </c>
      <c r="G2" s="44" t="str">
        <f>'[31]已审资产负债横向分析A1-13-1'!F2</f>
        <v>日期：</v>
      </c>
      <c r="H2" s="32"/>
      <c r="I2" s="44" t="s">
        <v>248</v>
      </c>
      <c r="J2" s="32" t="str">
        <f>A2</f>
        <v>客户名称：</v>
      </c>
      <c r="N2" s="44" t="str">
        <f>E2</f>
        <v>编制人：</v>
      </c>
      <c r="O2" s="44"/>
      <c r="P2" s="32" t="str">
        <f>G2</f>
        <v>日期：</v>
      </c>
      <c r="Q2" s="32"/>
      <c r="R2" s="44" t="s">
        <v>248</v>
      </c>
    </row>
    <row r="3" spans="1:18" s="31" customFormat="1" ht="17.25" customHeight="1" thickBot="1">
      <c r="A3" s="32" t="str">
        <f>'已审资产负债横向分析A1-14-1'!A3</f>
        <v>会计时点：2017.12.31</v>
      </c>
      <c r="B3" s="84"/>
      <c r="E3" s="32" t="str">
        <f>'[31]已审资产负债横向分析A1-13-1'!D3</f>
        <v>复核人：</v>
      </c>
      <c r="F3" s="32"/>
      <c r="G3" s="44" t="str">
        <f>'[31]已审资产负债横向分析A1-13-1'!F3</f>
        <v>日期：</v>
      </c>
      <c r="H3" s="32"/>
      <c r="I3" s="44" t="s">
        <v>102</v>
      </c>
      <c r="J3" s="32" t="str">
        <f>A3</f>
        <v>会计时点：2017.12.31</v>
      </c>
      <c r="N3" s="44" t="str">
        <f>E3</f>
        <v>复核人：</v>
      </c>
      <c r="O3" s="44"/>
      <c r="P3" s="44" t="str">
        <f>G3</f>
        <v>日期：</v>
      </c>
      <c r="Q3" s="32"/>
      <c r="R3" s="44" t="s">
        <v>167</v>
      </c>
    </row>
    <row r="4" spans="1:18" ht="14.25" customHeight="1">
      <c r="A4" s="340" t="s">
        <v>168</v>
      </c>
      <c r="B4" s="343" t="s">
        <v>249</v>
      </c>
      <c r="C4" s="355" t="s">
        <v>104</v>
      </c>
      <c r="D4" s="356"/>
      <c r="E4" s="355" t="s">
        <v>105</v>
      </c>
      <c r="F4" s="356"/>
      <c r="G4" s="357" t="s">
        <v>250</v>
      </c>
      <c r="H4" s="333" t="s">
        <v>106</v>
      </c>
      <c r="I4" s="352" t="s">
        <v>107</v>
      </c>
      <c r="J4" s="346" t="str">
        <f>'[31]已审资产负债横向分析A1-13-1'!I4:I6</f>
        <v>负债及股东权益</v>
      </c>
      <c r="K4" s="349" t="s">
        <v>249</v>
      </c>
      <c r="L4" s="355" t="s">
        <v>104</v>
      </c>
      <c r="M4" s="356"/>
      <c r="N4" s="355" t="s">
        <v>105</v>
      </c>
      <c r="O4" s="356"/>
      <c r="P4" s="357" t="s">
        <v>250</v>
      </c>
      <c r="Q4" s="333" t="s">
        <v>106</v>
      </c>
      <c r="R4" s="352" t="s">
        <v>107</v>
      </c>
    </row>
    <row r="5" spans="1:18">
      <c r="A5" s="341"/>
      <c r="B5" s="344"/>
      <c r="C5" s="208" t="s">
        <v>251</v>
      </c>
      <c r="D5" s="209" t="s">
        <v>252</v>
      </c>
      <c r="E5" s="208" t="s">
        <v>251</v>
      </c>
      <c r="F5" s="209" t="s">
        <v>252</v>
      </c>
      <c r="G5" s="358"/>
      <c r="H5" s="334"/>
      <c r="I5" s="353"/>
      <c r="J5" s="347"/>
      <c r="K5" s="350"/>
      <c r="L5" s="208" t="s">
        <v>251</v>
      </c>
      <c r="M5" s="209" t="s">
        <v>252</v>
      </c>
      <c r="N5" s="208" t="s">
        <v>251</v>
      </c>
      <c r="O5" s="209" t="s">
        <v>252</v>
      </c>
      <c r="P5" s="358"/>
      <c r="Q5" s="334"/>
      <c r="R5" s="353"/>
    </row>
    <row r="6" spans="1:18">
      <c r="A6" s="342"/>
      <c r="B6" s="345"/>
      <c r="C6" s="171" t="s">
        <v>108</v>
      </c>
      <c r="D6" s="210" t="s">
        <v>253</v>
      </c>
      <c r="E6" s="210" t="s">
        <v>254</v>
      </c>
      <c r="F6" s="210" t="s">
        <v>255</v>
      </c>
      <c r="G6" s="210" t="s">
        <v>256</v>
      </c>
      <c r="H6" s="335"/>
      <c r="I6" s="354"/>
      <c r="J6" s="348"/>
      <c r="K6" s="351"/>
      <c r="L6" s="171" t="s">
        <v>108</v>
      </c>
      <c r="M6" s="210" t="s">
        <v>253</v>
      </c>
      <c r="N6" s="210" t="s">
        <v>254</v>
      </c>
      <c r="O6" s="210" t="s">
        <v>255</v>
      </c>
      <c r="P6" s="210" t="s">
        <v>256</v>
      </c>
      <c r="Q6" s="335"/>
      <c r="R6" s="354"/>
    </row>
    <row r="7" spans="1:18" ht="13.95" customHeight="1">
      <c r="A7" s="188" t="s">
        <v>180</v>
      </c>
      <c r="B7" s="162">
        <v>1</v>
      </c>
      <c r="C7" s="33"/>
      <c r="D7" s="33"/>
      <c r="E7" s="33"/>
      <c r="F7" s="33"/>
      <c r="G7" s="34"/>
      <c r="H7" s="34"/>
      <c r="I7" s="189"/>
      <c r="J7" s="190" t="s">
        <v>181</v>
      </c>
      <c r="K7" s="164">
        <f>B49+1</f>
        <v>44</v>
      </c>
      <c r="L7" s="33"/>
      <c r="M7" s="33"/>
      <c r="N7" s="33"/>
      <c r="O7" s="33"/>
      <c r="P7" s="45"/>
      <c r="Q7" s="45"/>
      <c r="R7" s="211"/>
    </row>
    <row r="8" spans="1:18" ht="13.95" customHeight="1">
      <c r="A8" s="192" t="s">
        <v>182</v>
      </c>
      <c r="B8" s="163">
        <f>B7+1</f>
        <v>2</v>
      </c>
      <c r="C8" s="35"/>
      <c r="D8" s="46" t="str">
        <f>IF(AND(C8&lt;&gt;0,$C$49&lt;&gt;0),C8/$C$49,"")</f>
        <v/>
      </c>
      <c r="E8" s="35"/>
      <c r="F8" s="46" t="str">
        <f>IF(AND(E8&lt;&gt;0,$E$49&lt;&gt;0),E8/$E$49,"")</f>
        <v/>
      </c>
      <c r="G8" s="36" t="str">
        <f t="shared" ref="G8:G49" si="0">IF(AND(D8="",F8=""),"",IF(D8="",F8,IF(F8="",-D8,F8-D8)))</f>
        <v/>
      </c>
      <c r="H8" s="47" t="str">
        <f t="shared" ref="H8:H49" si="1">IF(G8="","",IF(ABS(G8)&gt;=30%,"显著",IF(ABS(G8)&gt;=10%,"关注","")))</f>
        <v/>
      </c>
      <c r="I8" s="212"/>
      <c r="J8" s="193" t="s">
        <v>183</v>
      </c>
      <c r="K8" s="165">
        <f>K7+1</f>
        <v>45</v>
      </c>
      <c r="L8" s="35"/>
      <c r="M8" s="46" t="str">
        <f>IF(AND(L8&lt;&gt;0,$L$49&lt;&gt;0),L8/$L$49,"")</f>
        <v/>
      </c>
      <c r="N8" s="35"/>
      <c r="O8" s="46" t="str">
        <f>IF(AND(N8&lt;&gt;0,$N$49&lt;&gt;0),N8/$N$49,"")</f>
        <v/>
      </c>
      <c r="P8" s="36" t="str">
        <f t="shared" ref="P8:P49" si="2">IF(AND(M8="",O8=""),"",IF(M8="",O8,IF(O8="",-M8,O8-M8)))</f>
        <v/>
      </c>
      <c r="Q8" s="47" t="str">
        <f t="shared" ref="Q8:Q47" si="3">IF(P8="","",IF(ABS(P8)&gt;=30%,"显著",IF(ABS(P8)&gt;=10%,"关注","")))</f>
        <v/>
      </c>
      <c r="R8" s="213"/>
    </row>
    <row r="9" spans="1:18" ht="13.95" customHeight="1">
      <c r="A9" s="192" t="s">
        <v>257</v>
      </c>
      <c r="B9" s="163">
        <f t="shared" ref="B9" si="4">B8+1</f>
        <v>3</v>
      </c>
      <c r="C9" s="35"/>
      <c r="D9" s="46" t="str">
        <f>IF(AND(C9&lt;&gt;0,$C$49&lt;&gt;0),C9/$C$49,"")</f>
        <v/>
      </c>
      <c r="E9" s="35"/>
      <c r="F9" s="46" t="str">
        <f>IF(AND(E9&lt;&gt;0,$E$49&lt;&gt;0),E9/$E$49,"")</f>
        <v/>
      </c>
      <c r="G9" s="36" t="str">
        <f t="shared" si="0"/>
        <v/>
      </c>
      <c r="H9" s="47" t="str">
        <f t="shared" si="1"/>
        <v/>
      </c>
      <c r="I9" s="212"/>
      <c r="J9" s="193" t="s">
        <v>258</v>
      </c>
      <c r="K9" s="165">
        <f t="shared" ref="K9" si="5">K8+1</f>
        <v>46</v>
      </c>
      <c r="L9" s="35"/>
      <c r="M9" s="46" t="str">
        <f>IF(AND(L9&lt;&gt;0,$L$49&lt;&gt;0),L9/$L$49,"")</f>
        <v/>
      </c>
      <c r="N9" s="35"/>
      <c r="O9" s="46" t="str">
        <f>IF(AND(N9&lt;&gt;0,$N$49&lt;&gt;0),N9/$N$49,"")</f>
        <v/>
      </c>
      <c r="P9" s="36" t="str">
        <f t="shared" si="2"/>
        <v/>
      </c>
      <c r="Q9" s="47" t="str">
        <f t="shared" si="3"/>
        <v/>
      </c>
      <c r="R9" s="213"/>
    </row>
    <row r="10" spans="1:18" s="327" customFormat="1" ht="13.95" customHeight="1">
      <c r="A10" s="317" t="s">
        <v>444</v>
      </c>
      <c r="B10" s="318">
        <f>B9+1</f>
        <v>4</v>
      </c>
      <c r="C10" s="319"/>
      <c r="D10" s="320"/>
      <c r="E10" s="319"/>
      <c r="F10" s="320"/>
      <c r="G10" s="321"/>
      <c r="H10" s="322"/>
      <c r="I10" s="323"/>
      <c r="J10" s="324" t="s">
        <v>445</v>
      </c>
      <c r="K10" s="325">
        <f>K9+1</f>
        <v>47</v>
      </c>
      <c r="L10" s="319"/>
      <c r="M10" s="320"/>
      <c r="N10" s="319"/>
      <c r="O10" s="320"/>
      <c r="P10" s="321"/>
      <c r="Q10" s="322"/>
      <c r="R10" s="326"/>
    </row>
    <row r="11" spans="1:18" ht="13.95" customHeight="1">
      <c r="A11" s="301" t="s">
        <v>446</v>
      </c>
      <c r="B11" s="163">
        <f t="shared" ref="B11:B48" si="6">B10+1</f>
        <v>5</v>
      </c>
      <c r="C11" s="35"/>
      <c r="D11" s="46" t="str">
        <f t="shared" ref="D11:D43" si="7">IF(AND(C11&lt;&gt;0,$C$49&lt;&gt;0),C11/$C$49,"")</f>
        <v/>
      </c>
      <c r="E11" s="35"/>
      <c r="F11" s="46" t="str">
        <f t="shared" ref="F11:F43" si="8">IF(AND(E11&lt;&gt;0,$E$49&lt;&gt;0),E11/$E$49,"")</f>
        <v/>
      </c>
      <c r="G11" s="36" t="str">
        <f t="shared" si="0"/>
        <v/>
      </c>
      <c r="H11" s="47" t="str">
        <f t="shared" si="1"/>
        <v/>
      </c>
      <c r="I11" s="212"/>
      <c r="J11" s="302" t="s">
        <v>443</v>
      </c>
      <c r="K11" s="165">
        <f t="shared" ref="K11:K48" si="9">K10+1</f>
        <v>48</v>
      </c>
      <c r="L11" s="35"/>
      <c r="M11" s="46" t="str">
        <f t="shared" ref="M11:M29" si="10">IF(AND(L11&lt;&gt;0,$L$49&lt;&gt;0),L11/$L$49,"")</f>
        <v/>
      </c>
      <c r="N11" s="35"/>
      <c r="O11" s="46" t="str">
        <f t="shared" ref="O11:O29" si="11">IF(AND(N11&lt;&gt;0,$N$49&lt;&gt;0),N11/$N$49,"")</f>
        <v/>
      </c>
      <c r="P11" s="36" t="str">
        <f t="shared" si="2"/>
        <v/>
      </c>
      <c r="Q11" s="47" t="str">
        <f t="shared" si="3"/>
        <v/>
      </c>
      <c r="R11" s="213"/>
    </row>
    <row r="12" spans="1:18" ht="13.95" customHeight="1">
      <c r="A12" s="192" t="s">
        <v>186</v>
      </c>
      <c r="B12" s="163">
        <f t="shared" si="6"/>
        <v>6</v>
      </c>
      <c r="C12" s="35"/>
      <c r="D12" s="46" t="str">
        <f t="shared" si="7"/>
        <v/>
      </c>
      <c r="E12" s="35"/>
      <c r="F12" s="46" t="str">
        <f t="shared" si="8"/>
        <v/>
      </c>
      <c r="G12" s="36" t="str">
        <f t="shared" si="0"/>
        <v/>
      </c>
      <c r="H12" s="47" t="str">
        <f t="shared" si="1"/>
        <v/>
      </c>
      <c r="I12" s="212"/>
      <c r="J12" s="193" t="s">
        <v>187</v>
      </c>
      <c r="K12" s="165">
        <f t="shared" si="9"/>
        <v>49</v>
      </c>
      <c r="L12" s="35"/>
      <c r="M12" s="46" t="str">
        <f t="shared" si="10"/>
        <v/>
      </c>
      <c r="N12" s="35"/>
      <c r="O12" s="46" t="str">
        <f t="shared" si="11"/>
        <v/>
      </c>
      <c r="P12" s="36" t="str">
        <f t="shared" si="2"/>
        <v/>
      </c>
      <c r="Q12" s="47" t="str">
        <f t="shared" si="3"/>
        <v/>
      </c>
      <c r="R12" s="213"/>
    </row>
    <row r="13" spans="1:18" ht="13.95" customHeight="1">
      <c r="A13" s="303" t="s">
        <v>190</v>
      </c>
      <c r="B13" s="163">
        <f t="shared" si="6"/>
        <v>7</v>
      </c>
      <c r="C13" s="35"/>
      <c r="D13" s="46" t="str">
        <f t="shared" si="7"/>
        <v/>
      </c>
      <c r="E13" s="35"/>
      <c r="F13" s="46" t="str">
        <f t="shared" si="8"/>
        <v/>
      </c>
      <c r="G13" s="36" t="str">
        <f t="shared" si="0"/>
        <v/>
      </c>
      <c r="H13" s="47" t="str">
        <f t="shared" si="1"/>
        <v/>
      </c>
      <c r="I13" s="212"/>
      <c r="J13" s="193" t="s">
        <v>188</v>
      </c>
      <c r="K13" s="165">
        <f t="shared" si="9"/>
        <v>50</v>
      </c>
      <c r="L13" s="35"/>
      <c r="M13" s="46" t="str">
        <f t="shared" si="10"/>
        <v/>
      </c>
      <c r="N13" s="35"/>
      <c r="O13" s="46" t="str">
        <f t="shared" si="11"/>
        <v/>
      </c>
      <c r="P13" s="36" t="str">
        <f t="shared" si="2"/>
        <v/>
      </c>
      <c r="Q13" s="47" t="str">
        <f t="shared" si="3"/>
        <v/>
      </c>
      <c r="R13" s="213"/>
    </row>
    <row r="14" spans="1:18" ht="13.95" customHeight="1">
      <c r="A14" s="192" t="s">
        <v>191</v>
      </c>
      <c r="B14" s="163">
        <f t="shared" si="6"/>
        <v>8</v>
      </c>
      <c r="C14" s="35"/>
      <c r="D14" s="46" t="str">
        <f t="shared" si="7"/>
        <v/>
      </c>
      <c r="E14" s="35"/>
      <c r="F14" s="46" t="str">
        <f t="shared" si="8"/>
        <v/>
      </c>
      <c r="G14" s="36" t="str">
        <f t="shared" si="0"/>
        <v/>
      </c>
      <c r="H14" s="47" t="str">
        <f t="shared" si="1"/>
        <v/>
      </c>
      <c r="I14" s="212"/>
      <c r="J14" s="193" t="s">
        <v>189</v>
      </c>
      <c r="K14" s="165">
        <f t="shared" si="9"/>
        <v>51</v>
      </c>
      <c r="L14" s="35"/>
      <c r="M14" s="46" t="str">
        <f t="shared" si="10"/>
        <v/>
      </c>
      <c r="N14" s="35"/>
      <c r="O14" s="46" t="str">
        <f t="shared" si="11"/>
        <v/>
      </c>
      <c r="P14" s="36" t="str">
        <f t="shared" si="2"/>
        <v/>
      </c>
      <c r="Q14" s="47" t="str">
        <f t="shared" si="3"/>
        <v/>
      </c>
      <c r="R14" s="213"/>
    </row>
    <row r="15" spans="1:18" ht="13.95" customHeight="1">
      <c r="A15" s="192" t="s">
        <v>192</v>
      </c>
      <c r="B15" s="163">
        <f t="shared" si="6"/>
        <v>9</v>
      </c>
      <c r="C15" s="35"/>
      <c r="D15" s="46" t="str">
        <f t="shared" si="7"/>
        <v/>
      </c>
      <c r="E15" s="35"/>
      <c r="F15" s="46" t="str">
        <f t="shared" si="8"/>
        <v/>
      </c>
      <c r="G15" s="36" t="str">
        <f t="shared" si="0"/>
        <v/>
      </c>
      <c r="H15" s="47" t="str">
        <f t="shared" si="1"/>
        <v/>
      </c>
      <c r="I15" s="212"/>
      <c r="J15" s="304" t="s">
        <v>193</v>
      </c>
      <c r="K15" s="165">
        <f t="shared" si="9"/>
        <v>52</v>
      </c>
      <c r="L15" s="35"/>
      <c r="M15" s="46" t="str">
        <f t="shared" si="10"/>
        <v/>
      </c>
      <c r="N15" s="35"/>
      <c r="O15" s="46" t="str">
        <f t="shared" si="11"/>
        <v/>
      </c>
      <c r="P15" s="36" t="str">
        <f t="shared" si="2"/>
        <v/>
      </c>
      <c r="Q15" s="47" t="str">
        <f t="shared" si="3"/>
        <v/>
      </c>
      <c r="R15" s="213"/>
    </row>
    <row r="16" spans="1:18" ht="13.95" customHeight="1">
      <c r="A16" s="192" t="s">
        <v>194</v>
      </c>
      <c r="B16" s="163">
        <f t="shared" si="6"/>
        <v>10</v>
      </c>
      <c r="C16" s="35"/>
      <c r="D16" s="46" t="str">
        <f t="shared" si="7"/>
        <v/>
      </c>
      <c r="E16" s="35"/>
      <c r="F16" s="46" t="str">
        <f t="shared" si="8"/>
        <v/>
      </c>
      <c r="G16" s="36" t="str">
        <f t="shared" si="0"/>
        <v/>
      </c>
      <c r="H16" s="47" t="str">
        <f t="shared" si="1"/>
        <v/>
      </c>
      <c r="I16" s="212"/>
      <c r="J16" s="193" t="s">
        <v>433</v>
      </c>
      <c r="K16" s="165">
        <f t="shared" si="9"/>
        <v>53</v>
      </c>
      <c r="L16" s="35"/>
      <c r="M16" s="46" t="str">
        <f t="shared" si="10"/>
        <v/>
      </c>
      <c r="N16" s="35"/>
      <c r="O16" s="46" t="str">
        <f t="shared" si="11"/>
        <v/>
      </c>
      <c r="P16" s="36" t="str">
        <f t="shared" si="2"/>
        <v/>
      </c>
      <c r="Q16" s="47" t="str">
        <f t="shared" si="3"/>
        <v/>
      </c>
      <c r="R16" s="213"/>
    </row>
    <row r="17" spans="1:18" ht="13.95" customHeight="1">
      <c r="A17" s="192" t="s">
        <v>432</v>
      </c>
      <c r="B17" s="163">
        <f t="shared" si="6"/>
        <v>11</v>
      </c>
      <c r="C17" s="35"/>
      <c r="D17" s="46" t="str">
        <f t="shared" si="7"/>
        <v/>
      </c>
      <c r="E17" s="35"/>
      <c r="F17" s="46" t="str">
        <f t="shared" si="8"/>
        <v/>
      </c>
      <c r="G17" s="36" t="str">
        <f t="shared" si="0"/>
        <v/>
      </c>
      <c r="H17" s="47" t="str">
        <f t="shared" si="1"/>
        <v/>
      </c>
      <c r="I17" s="212"/>
      <c r="J17" s="193" t="s">
        <v>195</v>
      </c>
      <c r="K17" s="165">
        <f t="shared" si="9"/>
        <v>54</v>
      </c>
      <c r="L17" s="35"/>
      <c r="M17" s="46" t="str">
        <f t="shared" si="10"/>
        <v/>
      </c>
      <c r="N17" s="35"/>
      <c r="O17" s="46" t="str">
        <f t="shared" si="11"/>
        <v/>
      </c>
      <c r="P17" s="36" t="str">
        <f t="shared" si="2"/>
        <v/>
      </c>
      <c r="Q17" s="47" t="str">
        <f t="shared" si="3"/>
        <v/>
      </c>
      <c r="R17" s="213"/>
    </row>
    <row r="18" spans="1:18" ht="13.95" customHeight="1">
      <c r="A18" s="192" t="s">
        <v>196</v>
      </c>
      <c r="B18" s="163">
        <f t="shared" si="6"/>
        <v>12</v>
      </c>
      <c r="C18" s="35"/>
      <c r="D18" s="46" t="str">
        <f t="shared" si="7"/>
        <v/>
      </c>
      <c r="E18" s="35"/>
      <c r="F18" s="46" t="str">
        <f t="shared" si="8"/>
        <v/>
      </c>
      <c r="G18" s="36" t="str">
        <f t="shared" si="0"/>
        <v/>
      </c>
      <c r="H18" s="47" t="str">
        <f t="shared" si="1"/>
        <v/>
      </c>
      <c r="I18" s="212"/>
      <c r="J18" s="193" t="s">
        <v>197</v>
      </c>
      <c r="K18" s="165">
        <f t="shared" si="9"/>
        <v>55</v>
      </c>
      <c r="L18" s="35"/>
      <c r="M18" s="46" t="str">
        <f t="shared" si="10"/>
        <v/>
      </c>
      <c r="N18" s="35"/>
      <c r="O18" s="46" t="str">
        <f t="shared" si="11"/>
        <v/>
      </c>
      <c r="P18" s="36" t="str">
        <f t="shared" si="2"/>
        <v/>
      </c>
      <c r="Q18" s="47" t="str">
        <f t="shared" si="3"/>
        <v/>
      </c>
      <c r="R18" s="213"/>
    </row>
    <row r="19" spans="1:18" ht="13.95" customHeight="1">
      <c r="A19" s="192" t="s">
        <v>198</v>
      </c>
      <c r="B19" s="163">
        <f t="shared" si="6"/>
        <v>13</v>
      </c>
      <c r="C19" s="35"/>
      <c r="D19" s="46" t="str">
        <f t="shared" si="7"/>
        <v/>
      </c>
      <c r="E19" s="35"/>
      <c r="F19" s="46" t="str">
        <f t="shared" si="8"/>
        <v/>
      </c>
      <c r="G19" s="36" t="str">
        <f t="shared" si="0"/>
        <v/>
      </c>
      <c r="H19" s="47" t="str">
        <f t="shared" si="1"/>
        <v/>
      </c>
      <c r="I19" s="212"/>
      <c r="J19" s="193">
        <v>0</v>
      </c>
      <c r="K19" s="165">
        <f t="shared" si="9"/>
        <v>56</v>
      </c>
      <c r="L19" s="35"/>
      <c r="M19" s="46" t="str">
        <f t="shared" si="10"/>
        <v/>
      </c>
      <c r="N19" s="35"/>
      <c r="O19" s="46" t="str">
        <f t="shared" si="11"/>
        <v/>
      </c>
      <c r="P19" s="36" t="str">
        <f t="shared" si="2"/>
        <v/>
      </c>
      <c r="Q19" s="47" t="str">
        <f t="shared" si="3"/>
        <v/>
      </c>
      <c r="R19" s="213"/>
    </row>
    <row r="20" spans="1:18" ht="13.95" customHeight="1">
      <c r="A20" s="192">
        <v>0</v>
      </c>
      <c r="B20" s="163">
        <f t="shared" si="6"/>
        <v>14</v>
      </c>
      <c r="C20" s="35"/>
      <c r="D20" s="46" t="str">
        <f t="shared" si="7"/>
        <v/>
      </c>
      <c r="E20" s="35"/>
      <c r="F20" s="46" t="str">
        <f t="shared" si="8"/>
        <v/>
      </c>
      <c r="G20" s="36" t="str">
        <f t="shared" si="0"/>
        <v/>
      </c>
      <c r="H20" s="47" t="str">
        <f t="shared" si="1"/>
        <v/>
      </c>
      <c r="I20" s="212"/>
      <c r="J20" s="193">
        <v>0</v>
      </c>
      <c r="K20" s="165">
        <f t="shared" si="9"/>
        <v>57</v>
      </c>
      <c r="L20" s="35"/>
      <c r="M20" s="46" t="str">
        <f t="shared" si="10"/>
        <v/>
      </c>
      <c r="N20" s="35"/>
      <c r="O20" s="46" t="str">
        <f t="shared" si="11"/>
        <v/>
      </c>
      <c r="P20" s="36" t="str">
        <f t="shared" si="2"/>
        <v/>
      </c>
      <c r="Q20" s="47" t="str">
        <f t="shared" si="3"/>
        <v/>
      </c>
      <c r="R20" s="213"/>
    </row>
    <row r="21" spans="1:18" ht="13.95" customHeight="1">
      <c r="A21" s="195" t="s">
        <v>199</v>
      </c>
      <c r="B21" s="163">
        <f t="shared" si="6"/>
        <v>15</v>
      </c>
      <c r="C21" s="37">
        <f>SUM(C8:C20)-C15-C16</f>
        <v>0</v>
      </c>
      <c r="D21" s="46" t="str">
        <f t="shared" si="7"/>
        <v/>
      </c>
      <c r="E21" s="37">
        <f>SUM(E8:E20)-E15-E16</f>
        <v>0</v>
      </c>
      <c r="F21" s="46" t="str">
        <f t="shared" si="8"/>
        <v/>
      </c>
      <c r="G21" s="36" t="str">
        <f t="shared" si="0"/>
        <v/>
      </c>
      <c r="H21" s="47" t="str">
        <f t="shared" si="1"/>
        <v/>
      </c>
      <c r="I21" s="212"/>
      <c r="J21" s="197" t="s">
        <v>200</v>
      </c>
      <c r="K21" s="165">
        <f t="shared" si="9"/>
        <v>58</v>
      </c>
      <c r="L21" s="37">
        <f>SUM(L8:L20)</f>
        <v>0</v>
      </c>
      <c r="M21" s="46" t="str">
        <f t="shared" si="10"/>
        <v/>
      </c>
      <c r="N21" s="37">
        <f>SUM(N8:N20)</f>
        <v>0</v>
      </c>
      <c r="O21" s="46" t="str">
        <f t="shared" si="11"/>
        <v/>
      </c>
      <c r="P21" s="36" t="str">
        <f t="shared" si="2"/>
        <v/>
      </c>
      <c r="Q21" s="47" t="str">
        <f t="shared" si="3"/>
        <v/>
      </c>
      <c r="R21" s="214"/>
    </row>
    <row r="22" spans="1:18" ht="13.95" customHeight="1">
      <c r="A22" s="192" t="s">
        <v>201</v>
      </c>
      <c r="B22" s="163">
        <f t="shared" si="6"/>
        <v>16</v>
      </c>
      <c r="C22" s="35"/>
      <c r="D22" s="46" t="str">
        <f t="shared" si="7"/>
        <v/>
      </c>
      <c r="E22" s="35"/>
      <c r="F22" s="46" t="str">
        <f t="shared" si="8"/>
        <v/>
      </c>
      <c r="G22" s="36" t="str">
        <f t="shared" si="0"/>
        <v/>
      </c>
      <c r="H22" s="47" t="str">
        <f t="shared" si="1"/>
        <v/>
      </c>
      <c r="I22" s="212"/>
      <c r="J22" s="193" t="s">
        <v>202</v>
      </c>
      <c r="K22" s="165">
        <f t="shared" si="9"/>
        <v>59</v>
      </c>
      <c r="L22" s="35"/>
      <c r="M22" s="46" t="str">
        <f t="shared" si="10"/>
        <v/>
      </c>
      <c r="N22" s="35"/>
      <c r="O22" s="46" t="str">
        <f t="shared" si="11"/>
        <v/>
      </c>
      <c r="P22" s="36" t="str">
        <f t="shared" si="2"/>
        <v/>
      </c>
      <c r="Q22" s="47" t="str">
        <f t="shared" si="3"/>
        <v/>
      </c>
      <c r="R22" s="213"/>
    </row>
    <row r="23" spans="1:18" ht="13.95" customHeight="1">
      <c r="A23" s="192" t="s">
        <v>203</v>
      </c>
      <c r="B23" s="163">
        <f t="shared" si="6"/>
        <v>17</v>
      </c>
      <c r="C23" s="35"/>
      <c r="D23" s="46" t="str">
        <f t="shared" si="7"/>
        <v/>
      </c>
      <c r="E23" s="35"/>
      <c r="F23" s="46" t="str">
        <f t="shared" si="8"/>
        <v/>
      </c>
      <c r="G23" s="36" t="str">
        <f t="shared" si="0"/>
        <v/>
      </c>
      <c r="H23" s="47" t="str">
        <f t="shared" si="1"/>
        <v/>
      </c>
      <c r="I23" s="212"/>
      <c r="J23" s="193" t="s">
        <v>204</v>
      </c>
      <c r="K23" s="165">
        <f t="shared" si="9"/>
        <v>60</v>
      </c>
      <c r="L23" s="35"/>
      <c r="M23" s="46" t="str">
        <f t="shared" si="10"/>
        <v/>
      </c>
      <c r="N23" s="35"/>
      <c r="O23" s="46" t="str">
        <f t="shared" si="11"/>
        <v/>
      </c>
      <c r="P23" s="36" t="str">
        <f t="shared" si="2"/>
        <v/>
      </c>
      <c r="Q23" s="47" t="str">
        <f t="shared" si="3"/>
        <v/>
      </c>
      <c r="R23" s="213"/>
    </row>
    <row r="24" spans="1:18" ht="13.95" customHeight="1">
      <c r="A24" s="192" t="s">
        <v>205</v>
      </c>
      <c r="B24" s="163">
        <f t="shared" si="6"/>
        <v>18</v>
      </c>
      <c r="C24" s="35"/>
      <c r="D24" s="46" t="str">
        <f t="shared" si="7"/>
        <v/>
      </c>
      <c r="E24" s="35"/>
      <c r="F24" s="46" t="str">
        <f t="shared" si="8"/>
        <v/>
      </c>
      <c r="G24" s="36" t="str">
        <f t="shared" si="0"/>
        <v/>
      </c>
      <c r="H24" s="47" t="str">
        <f t="shared" si="1"/>
        <v/>
      </c>
      <c r="I24" s="212"/>
      <c r="J24" s="193" t="s">
        <v>206</v>
      </c>
      <c r="K24" s="165">
        <f t="shared" si="9"/>
        <v>61</v>
      </c>
      <c r="L24" s="35"/>
      <c r="M24" s="46" t="str">
        <f t="shared" si="10"/>
        <v/>
      </c>
      <c r="N24" s="35"/>
      <c r="O24" s="46" t="str">
        <f t="shared" si="11"/>
        <v/>
      </c>
      <c r="P24" s="36" t="str">
        <f t="shared" si="2"/>
        <v/>
      </c>
      <c r="Q24" s="47" t="str">
        <f t="shared" si="3"/>
        <v/>
      </c>
      <c r="R24" s="213"/>
    </row>
    <row r="25" spans="1:18" ht="13.95" customHeight="1">
      <c r="A25" s="192" t="s">
        <v>207</v>
      </c>
      <c r="B25" s="163">
        <f t="shared" si="6"/>
        <v>19</v>
      </c>
      <c r="C25" s="35"/>
      <c r="D25" s="46" t="str">
        <f t="shared" si="7"/>
        <v/>
      </c>
      <c r="E25" s="35"/>
      <c r="F25" s="46" t="str">
        <f t="shared" si="8"/>
        <v/>
      </c>
      <c r="G25" s="36" t="str">
        <f t="shared" si="0"/>
        <v/>
      </c>
      <c r="H25" s="47" t="str">
        <f t="shared" si="1"/>
        <v/>
      </c>
      <c r="I25" s="212"/>
      <c r="J25" s="193" t="s">
        <v>259</v>
      </c>
      <c r="K25" s="165">
        <f t="shared" si="9"/>
        <v>62</v>
      </c>
      <c r="L25" s="35"/>
      <c r="M25" s="46" t="str">
        <f t="shared" si="10"/>
        <v/>
      </c>
      <c r="N25" s="35"/>
      <c r="O25" s="46" t="str">
        <f t="shared" si="11"/>
        <v/>
      </c>
      <c r="P25" s="36" t="str">
        <f t="shared" si="2"/>
        <v/>
      </c>
      <c r="Q25" s="47" t="str">
        <f t="shared" si="3"/>
        <v/>
      </c>
      <c r="R25" s="213"/>
    </row>
    <row r="26" spans="1:18" ht="13.95" customHeight="1">
      <c r="A26" s="192" t="s">
        <v>260</v>
      </c>
      <c r="B26" s="163">
        <f t="shared" si="6"/>
        <v>20</v>
      </c>
      <c r="C26" s="35"/>
      <c r="D26" s="46" t="str">
        <f t="shared" si="7"/>
        <v/>
      </c>
      <c r="E26" s="35"/>
      <c r="F26" s="46" t="str">
        <f t="shared" si="8"/>
        <v/>
      </c>
      <c r="G26" s="36" t="str">
        <f t="shared" si="0"/>
        <v/>
      </c>
      <c r="H26" s="47" t="str">
        <f t="shared" si="1"/>
        <v/>
      </c>
      <c r="I26" s="212"/>
      <c r="J26" s="193" t="s">
        <v>261</v>
      </c>
      <c r="K26" s="165">
        <f t="shared" si="9"/>
        <v>63</v>
      </c>
      <c r="L26" s="35"/>
      <c r="M26" s="46" t="str">
        <f t="shared" si="10"/>
        <v/>
      </c>
      <c r="N26" s="35"/>
      <c r="O26" s="46" t="str">
        <f t="shared" si="11"/>
        <v/>
      </c>
      <c r="P26" s="36" t="str">
        <f t="shared" si="2"/>
        <v/>
      </c>
      <c r="Q26" s="47" t="str">
        <f t="shared" si="3"/>
        <v/>
      </c>
      <c r="R26" s="213"/>
    </row>
    <row r="27" spans="1:18" ht="13.95" customHeight="1">
      <c r="A27" s="192" t="s">
        <v>211</v>
      </c>
      <c r="B27" s="163">
        <f t="shared" si="6"/>
        <v>21</v>
      </c>
      <c r="C27" s="35"/>
      <c r="D27" s="46" t="str">
        <f t="shared" si="7"/>
        <v/>
      </c>
      <c r="E27" s="35"/>
      <c r="F27" s="46" t="str">
        <f t="shared" si="8"/>
        <v/>
      </c>
      <c r="G27" s="36" t="str">
        <f t="shared" si="0"/>
        <v/>
      </c>
      <c r="H27" s="47" t="str">
        <f t="shared" si="1"/>
        <v/>
      </c>
      <c r="I27" s="212"/>
      <c r="J27" s="304" t="s">
        <v>212</v>
      </c>
      <c r="K27" s="165">
        <f t="shared" si="9"/>
        <v>64</v>
      </c>
      <c r="L27" s="35"/>
      <c r="M27" s="46" t="str">
        <f t="shared" si="10"/>
        <v/>
      </c>
      <c r="N27" s="35"/>
      <c r="O27" s="46" t="str">
        <f t="shared" si="11"/>
        <v/>
      </c>
      <c r="P27" s="36" t="str">
        <f t="shared" si="2"/>
        <v/>
      </c>
      <c r="Q27" s="47" t="str">
        <f t="shared" si="3"/>
        <v/>
      </c>
      <c r="R27" s="213"/>
    </row>
    <row r="28" spans="1:18" ht="13.95" customHeight="1">
      <c r="A28" s="192" t="s">
        <v>213</v>
      </c>
      <c r="B28" s="163">
        <f t="shared" si="6"/>
        <v>22</v>
      </c>
      <c r="C28" s="35"/>
      <c r="D28" s="46" t="str">
        <f t="shared" si="7"/>
        <v/>
      </c>
      <c r="E28" s="35"/>
      <c r="F28" s="46" t="str">
        <f t="shared" si="8"/>
        <v/>
      </c>
      <c r="G28" s="36" t="str">
        <f t="shared" si="0"/>
        <v/>
      </c>
      <c r="H28" s="47" t="str">
        <f t="shared" si="1"/>
        <v/>
      </c>
      <c r="I28" s="212"/>
      <c r="J28" s="193" t="s">
        <v>262</v>
      </c>
      <c r="K28" s="165">
        <f t="shared" si="9"/>
        <v>65</v>
      </c>
      <c r="L28" s="35"/>
      <c r="M28" s="46" t="str">
        <f t="shared" si="10"/>
        <v/>
      </c>
      <c r="N28" s="35"/>
      <c r="O28" s="46" t="str">
        <f t="shared" si="11"/>
        <v/>
      </c>
      <c r="P28" s="36" t="str">
        <f t="shared" si="2"/>
        <v/>
      </c>
      <c r="Q28" s="47" t="str">
        <f t="shared" si="3"/>
        <v/>
      </c>
      <c r="R28" s="213"/>
    </row>
    <row r="29" spans="1:18" ht="13.95" customHeight="1">
      <c r="A29" s="303" t="s">
        <v>215</v>
      </c>
      <c r="B29" s="163">
        <f t="shared" si="6"/>
        <v>23</v>
      </c>
      <c r="C29" s="35"/>
      <c r="D29" s="46" t="str">
        <f t="shared" si="7"/>
        <v/>
      </c>
      <c r="E29" s="35"/>
      <c r="F29" s="46" t="str">
        <f t="shared" si="8"/>
        <v/>
      </c>
      <c r="G29" s="36" t="str">
        <f t="shared" si="0"/>
        <v/>
      </c>
      <c r="H29" s="47" t="str">
        <f t="shared" si="1"/>
        <v/>
      </c>
      <c r="I29" s="215"/>
      <c r="J29" s="193" t="s">
        <v>217</v>
      </c>
      <c r="K29" s="165">
        <f t="shared" si="9"/>
        <v>66</v>
      </c>
      <c r="L29" s="35"/>
      <c r="M29" s="46" t="str">
        <f t="shared" si="10"/>
        <v/>
      </c>
      <c r="N29" s="35"/>
      <c r="O29" s="46" t="str">
        <f t="shared" si="11"/>
        <v/>
      </c>
      <c r="P29" s="36" t="str">
        <f t="shared" si="2"/>
        <v/>
      </c>
      <c r="Q29" s="47" t="str">
        <f t="shared" si="3"/>
        <v/>
      </c>
      <c r="R29" s="213"/>
    </row>
    <row r="30" spans="1:18" ht="13.95" customHeight="1">
      <c r="A30" s="303" t="s">
        <v>216</v>
      </c>
      <c r="B30" s="163">
        <f t="shared" si="6"/>
        <v>24</v>
      </c>
      <c r="C30" s="35"/>
      <c r="D30" s="46" t="str">
        <f t="shared" si="7"/>
        <v/>
      </c>
      <c r="E30" s="35"/>
      <c r="F30" s="46" t="str">
        <f t="shared" si="8"/>
        <v/>
      </c>
      <c r="G30" s="36" t="str">
        <f t="shared" si="0"/>
        <v/>
      </c>
      <c r="H30" s="47" t="str">
        <f t="shared" si="1"/>
        <v/>
      </c>
      <c r="I30" s="212"/>
      <c r="J30" s="193" t="s">
        <v>263</v>
      </c>
      <c r="K30" s="165">
        <f t="shared" si="9"/>
        <v>67</v>
      </c>
      <c r="L30" s="35"/>
      <c r="M30" s="46"/>
      <c r="N30" s="35"/>
      <c r="O30" s="46"/>
      <c r="P30" s="36"/>
      <c r="Q30" s="47"/>
      <c r="R30" s="213"/>
    </row>
    <row r="31" spans="1:18" ht="13.95" customHeight="1">
      <c r="A31" s="192" t="s">
        <v>220</v>
      </c>
      <c r="B31" s="163">
        <f t="shared" si="6"/>
        <v>25</v>
      </c>
      <c r="C31" s="35"/>
      <c r="D31" s="46" t="str">
        <f t="shared" si="7"/>
        <v/>
      </c>
      <c r="E31" s="35"/>
      <c r="F31" s="46" t="str">
        <f t="shared" si="8"/>
        <v/>
      </c>
      <c r="G31" s="36" t="str">
        <f t="shared" si="0"/>
        <v/>
      </c>
      <c r="H31" s="47" t="str">
        <f t="shared" si="1"/>
        <v/>
      </c>
      <c r="I31" s="212"/>
      <c r="J31" s="193" t="s">
        <v>219</v>
      </c>
      <c r="K31" s="165">
        <f t="shared" si="9"/>
        <v>68</v>
      </c>
      <c r="L31" s="35"/>
      <c r="M31" s="46" t="str">
        <f t="shared" ref="M31:M49" si="12">IF(AND(L31&lt;&gt;0,$L$49&lt;&gt;0),L31/$L$49,"")</f>
        <v/>
      </c>
      <c r="N31" s="35"/>
      <c r="O31" s="46" t="str">
        <f t="shared" ref="O31:O49" si="13">IF(AND(N31&lt;&gt;0,$N$49&lt;&gt;0),N31/$N$49,"")</f>
        <v/>
      </c>
      <c r="P31" s="36" t="str">
        <f t="shared" si="2"/>
        <v/>
      </c>
      <c r="Q31" s="47" t="str">
        <f t="shared" si="3"/>
        <v/>
      </c>
      <c r="R31" s="213"/>
    </row>
    <row r="32" spans="1:18" ht="13.95" customHeight="1">
      <c r="A32" s="192" t="s">
        <v>222</v>
      </c>
      <c r="B32" s="163">
        <f t="shared" si="6"/>
        <v>26</v>
      </c>
      <c r="C32" s="35"/>
      <c r="D32" s="46" t="str">
        <f t="shared" si="7"/>
        <v/>
      </c>
      <c r="E32" s="35"/>
      <c r="F32" s="46" t="str">
        <f t="shared" si="8"/>
        <v/>
      </c>
      <c r="G32" s="36" t="str">
        <f t="shared" si="0"/>
        <v/>
      </c>
      <c r="H32" s="47" t="str">
        <f t="shared" si="1"/>
        <v/>
      </c>
      <c r="I32" s="212"/>
      <c r="J32" s="193" t="s">
        <v>221</v>
      </c>
      <c r="K32" s="165">
        <f t="shared" si="9"/>
        <v>69</v>
      </c>
      <c r="L32" s="35"/>
      <c r="M32" s="46" t="str">
        <f t="shared" si="12"/>
        <v/>
      </c>
      <c r="N32" s="35"/>
      <c r="O32" s="46" t="str">
        <f t="shared" si="13"/>
        <v/>
      </c>
      <c r="P32" s="36" t="str">
        <f t="shared" si="2"/>
        <v/>
      </c>
      <c r="Q32" s="47" t="str">
        <f t="shared" si="3"/>
        <v/>
      </c>
      <c r="R32" s="213"/>
    </row>
    <row r="33" spans="1:18" ht="13.95" customHeight="1">
      <c r="A33" s="192" t="s">
        <v>224</v>
      </c>
      <c r="B33" s="163">
        <f t="shared" si="6"/>
        <v>27</v>
      </c>
      <c r="C33" s="35"/>
      <c r="D33" s="46" t="str">
        <f t="shared" si="7"/>
        <v/>
      </c>
      <c r="E33" s="35"/>
      <c r="F33" s="46" t="str">
        <f t="shared" si="8"/>
        <v/>
      </c>
      <c r="G33" s="36" t="str">
        <f t="shared" si="0"/>
        <v/>
      </c>
      <c r="H33" s="47" t="str">
        <f t="shared" si="1"/>
        <v/>
      </c>
      <c r="I33" s="212"/>
      <c r="J33" s="292" t="s">
        <v>223</v>
      </c>
      <c r="K33" s="165">
        <f t="shared" si="9"/>
        <v>70</v>
      </c>
      <c r="L33" s="37">
        <f>SUM(L23:L32)-L25-L26</f>
        <v>0</v>
      </c>
      <c r="M33" s="46" t="str">
        <f t="shared" si="12"/>
        <v/>
      </c>
      <c r="N33" s="37">
        <f>SUM(N23:N32)-N25-N26</f>
        <v>0</v>
      </c>
      <c r="O33" s="46" t="str">
        <f t="shared" si="13"/>
        <v/>
      </c>
      <c r="P33" s="36" t="str">
        <f t="shared" si="2"/>
        <v/>
      </c>
      <c r="Q33" s="47" t="str">
        <f t="shared" si="3"/>
        <v/>
      </c>
      <c r="R33" s="214"/>
    </row>
    <row r="34" spans="1:18" ht="13.95" customHeight="1">
      <c r="A34" s="192" t="s">
        <v>226</v>
      </c>
      <c r="B34" s="163">
        <f t="shared" si="6"/>
        <v>28</v>
      </c>
      <c r="C34" s="35"/>
      <c r="D34" s="46" t="str">
        <f t="shared" si="7"/>
        <v/>
      </c>
      <c r="E34" s="35"/>
      <c r="F34" s="46" t="str">
        <f t="shared" si="8"/>
        <v/>
      </c>
      <c r="G34" s="36" t="str">
        <f t="shared" si="0"/>
        <v/>
      </c>
      <c r="H34" s="47" t="str">
        <f t="shared" si="1"/>
        <v/>
      </c>
      <c r="I34" s="215"/>
      <c r="J34" s="292" t="s">
        <v>225</v>
      </c>
      <c r="K34" s="165">
        <f t="shared" si="9"/>
        <v>71</v>
      </c>
      <c r="L34" s="37">
        <f>SUM(L21,L33)</f>
        <v>0</v>
      </c>
      <c r="M34" s="46" t="str">
        <f t="shared" si="12"/>
        <v/>
      </c>
      <c r="N34" s="37">
        <f>SUM(N21,N33)</f>
        <v>0</v>
      </c>
      <c r="O34" s="46" t="str">
        <f t="shared" si="13"/>
        <v/>
      </c>
      <c r="P34" s="36" t="str">
        <f t="shared" si="2"/>
        <v/>
      </c>
      <c r="Q34" s="47" t="str">
        <f t="shared" si="3"/>
        <v/>
      </c>
      <c r="R34" s="214"/>
    </row>
    <row r="35" spans="1:18" ht="13.95" customHeight="1">
      <c r="A35" s="192" t="s">
        <v>228</v>
      </c>
      <c r="B35" s="163">
        <f t="shared" si="6"/>
        <v>29</v>
      </c>
      <c r="C35" s="35"/>
      <c r="D35" s="46" t="str">
        <f t="shared" si="7"/>
        <v/>
      </c>
      <c r="E35" s="35"/>
      <c r="F35" s="46" t="str">
        <f t="shared" si="8"/>
        <v/>
      </c>
      <c r="G35" s="36" t="str">
        <f t="shared" si="0"/>
        <v/>
      </c>
      <c r="H35" s="47" t="str">
        <f t="shared" si="1"/>
        <v/>
      </c>
      <c r="I35" s="215"/>
      <c r="J35" s="199" t="s">
        <v>227</v>
      </c>
      <c r="K35" s="165">
        <f t="shared" si="9"/>
        <v>72</v>
      </c>
      <c r="L35" s="35"/>
      <c r="M35" s="46" t="str">
        <f t="shared" si="12"/>
        <v/>
      </c>
      <c r="N35" s="35"/>
      <c r="O35" s="46" t="str">
        <f t="shared" si="13"/>
        <v/>
      </c>
      <c r="P35" s="36" t="str">
        <f t="shared" si="2"/>
        <v/>
      </c>
      <c r="Q35" s="47" t="str">
        <f t="shared" si="3"/>
        <v/>
      </c>
      <c r="R35" s="213"/>
    </row>
    <row r="36" spans="1:18" ht="13.95" customHeight="1">
      <c r="A36" s="192" t="s">
        <v>230</v>
      </c>
      <c r="B36" s="163">
        <f t="shared" si="6"/>
        <v>30</v>
      </c>
      <c r="C36" s="35"/>
      <c r="D36" s="46" t="str">
        <f t="shared" si="7"/>
        <v/>
      </c>
      <c r="E36" s="35"/>
      <c r="F36" s="46" t="str">
        <f t="shared" si="8"/>
        <v/>
      </c>
      <c r="G36" s="36" t="str">
        <f t="shared" si="0"/>
        <v/>
      </c>
      <c r="H36" s="47" t="str">
        <f t="shared" si="1"/>
        <v/>
      </c>
      <c r="I36" s="215"/>
      <c r="J36" s="193" t="s">
        <v>229</v>
      </c>
      <c r="K36" s="165">
        <f t="shared" si="9"/>
        <v>73</v>
      </c>
      <c r="L36" s="35"/>
      <c r="M36" s="46" t="str">
        <f t="shared" si="12"/>
        <v/>
      </c>
      <c r="N36" s="35"/>
      <c r="O36" s="46" t="str">
        <f t="shared" si="13"/>
        <v/>
      </c>
      <c r="P36" s="36" t="str">
        <f t="shared" si="2"/>
        <v/>
      </c>
      <c r="Q36" s="47" t="str">
        <f t="shared" si="3"/>
        <v/>
      </c>
      <c r="R36" s="213"/>
    </row>
    <row r="37" spans="1:18" ht="13.95" customHeight="1">
      <c r="A37" s="192" t="s">
        <v>232</v>
      </c>
      <c r="B37" s="163">
        <f t="shared" si="6"/>
        <v>31</v>
      </c>
      <c r="C37" s="35"/>
      <c r="D37" s="46" t="str">
        <f t="shared" si="7"/>
        <v/>
      </c>
      <c r="E37" s="35"/>
      <c r="F37" s="46" t="str">
        <f t="shared" si="8"/>
        <v/>
      </c>
      <c r="G37" s="36" t="str">
        <f t="shared" si="0"/>
        <v/>
      </c>
      <c r="H37" s="47" t="str">
        <f t="shared" si="1"/>
        <v/>
      </c>
      <c r="I37" s="215"/>
      <c r="J37" s="193" t="s">
        <v>264</v>
      </c>
      <c r="K37" s="165">
        <f t="shared" si="9"/>
        <v>74</v>
      </c>
      <c r="L37" s="35"/>
      <c r="M37" s="46" t="str">
        <f t="shared" si="12"/>
        <v/>
      </c>
      <c r="N37" s="35"/>
      <c r="O37" s="46" t="str">
        <f t="shared" si="13"/>
        <v/>
      </c>
      <c r="P37" s="36" t="str">
        <f t="shared" si="2"/>
        <v/>
      </c>
      <c r="Q37" s="47" t="str">
        <f t="shared" si="3"/>
        <v/>
      </c>
      <c r="R37" s="213"/>
    </row>
    <row r="38" spans="1:18" ht="13.95" customHeight="1">
      <c r="A38" s="192" t="s">
        <v>233</v>
      </c>
      <c r="B38" s="163">
        <f t="shared" si="6"/>
        <v>32</v>
      </c>
      <c r="C38" s="35"/>
      <c r="D38" s="46" t="str">
        <f t="shared" si="7"/>
        <v/>
      </c>
      <c r="E38" s="35"/>
      <c r="F38" s="46" t="str">
        <f t="shared" si="8"/>
        <v/>
      </c>
      <c r="G38" s="36" t="str">
        <f t="shared" si="0"/>
        <v/>
      </c>
      <c r="H38" s="47" t="str">
        <f t="shared" si="1"/>
        <v/>
      </c>
      <c r="I38" s="215"/>
      <c r="J38" s="193" t="s">
        <v>259</v>
      </c>
      <c r="K38" s="165">
        <f t="shared" si="9"/>
        <v>75</v>
      </c>
      <c r="L38" s="35"/>
      <c r="M38" s="46" t="str">
        <f t="shared" si="12"/>
        <v/>
      </c>
      <c r="N38" s="35"/>
      <c r="O38" s="46" t="str">
        <f t="shared" si="13"/>
        <v/>
      </c>
      <c r="P38" s="36" t="str">
        <f t="shared" si="2"/>
        <v/>
      </c>
      <c r="Q38" s="47" t="str">
        <f t="shared" si="3"/>
        <v/>
      </c>
      <c r="R38" s="213"/>
    </row>
    <row r="39" spans="1:18" ht="13.95" customHeight="1">
      <c r="A39" s="207"/>
      <c r="B39" s="163">
        <f t="shared" si="6"/>
        <v>33</v>
      </c>
      <c r="C39" s="35"/>
      <c r="D39" s="46" t="str">
        <f t="shared" si="7"/>
        <v/>
      </c>
      <c r="E39" s="35"/>
      <c r="F39" s="46" t="str">
        <f t="shared" si="8"/>
        <v/>
      </c>
      <c r="G39" s="36" t="str">
        <f t="shared" si="0"/>
        <v/>
      </c>
      <c r="H39" s="47" t="str">
        <f t="shared" si="1"/>
        <v/>
      </c>
      <c r="I39" s="212"/>
      <c r="J39" s="193" t="s">
        <v>261</v>
      </c>
      <c r="K39" s="165">
        <f t="shared" si="9"/>
        <v>76</v>
      </c>
      <c r="L39" s="35"/>
      <c r="M39" s="46" t="str">
        <f t="shared" si="12"/>
        <v/>
      </c>
      <c r="N39" s="35"/>
      <c r="O39" s="46" t="str">
        <f t="shared" si="13"/>
        <v/>
      </c>
      <c r="P39" s="36" t="str">
        <f t="shared" si="2"/>
        <v/>
      </c>
      <c r="Q39" s="47" t="str">
        <f t="shared" si="3"/>
        <v/>
      </c>
      <c r="R39" s="213"/>
    </row>
    <row r="40" spans="1:18" ht="13.95" customHeight="1">
      <c r="A40" s="192"/>
      <c r="B40" s="163">
        <f t="shared" si="6"/>
        <v>34</v>
      </c>
      <c r="C40" s="35"/>
      <c r="D40" s="46" t="str">
        <f t="shared" si="7"/>
        <v/>
      </c>
      <c r="E40" s="35"/>
      <c r="F40" s="46" t="str">
        <f t="shared" si="8"/>
        <v/>
      </c>
      <c r="G40" s="36" t="str">
        <f t="shared" si="0"/>
        <v/>
      </c>
      <c r="H40" s="47" t="str">
        <f t="shared" si="1"/>
        <v/>
      </c>
      <c r="I40" s="212"/>
      <c r="J40" s="193" t="s">
        <v>234</v>
      </c>
      <c r="K40" s="165">
        <f t="shared" si="9"/>
        <v>77</v>
      </c>
      <c r="L40" s="35"/>
      <c r="M40" s="46" t="str">
        <f t="shared" si="12"/>
        <v/>
      </c>
      <c r="N40" s="35"/>
      <c r="O40" s="46" t="str">
        <f t="shared" si="13"/>
        <v/>
      </c>
      <c r="P40" s="36" t="str">
        <f t="shared" si="2"/>
        <v/>
      </c>
      <c r="Q40" s="47" t="str">
        <f t="shared" si="3"/>
        <v/>
      </c>
      <c r="R40" s="213"/>
    </row>
    <row r="41" spans="1:18" ht="13.95" customHeight="1">
      <c r="A41" s="192"/>
      <c r="B41" s="163">
        <f t="shared" si="6"/>
        <v>35</v>
      </c>
      <c r="C41" s="35"/>
      <c r="D41" s="46" t="str">
        <f t="shared" si="7"/>
        <v/>
      </c>
      <c r="E41" s="35"/>
      <c r="F41" s="46" t="str">
        <f t="shared" si="8"/>
        <v/>
      </c>
      <c r="G41" s="36" t="str">
        <f t="shared" si="0"/>
        <v/>
      </c>
      <c r="H41" s="47" t="str">
        <f t="shared" si="1"/>
        <v/>
      </c>
      <c r="I41" s="212"/>
      <c r="J41" s="193" t="s">
        <v>235</v>
      </c>
      <c r="K41" s="165">
        <f t="shared" si="9"/>
        <v>78</v>
      </c>
      <c r="L41" s="35"/>
      <c r="M41" s="46" t="str">
        <f t="shared" si="12"/>
        <v/>
      </c>
      <c r="N41" s="35"/>
      <c r="O41" s="46" t="str">
        <f t="shared" si="13"/>
        <v/>
      </c>
      <c r="P41" s="36" t="str">
        <f t="shared" si="2"/>
        <v/>
      </c>
      <c r="Q41" s="47" t="str">
        <f t="shared" si="3"/>
        <v/>
      </c>
      <c r="R41" s="213"/>
    </row>
    <row r="42" spans="1:18" ht="13.95" customHeight="1">
      <c r="A42" s="192"/>
      <c r="B42" s="163">
        <f t="shared" si="6"/>
        <v>36</v>
      </c>
      <c r="C42" s="35"/>
      <c r="D42" s="46" t="str">
        <f t="shared" si="7"/>
        <v/>
      </c>
      <c r="E42" s="35"/>
      <c r="F42" s="46" t="str">
        <f t="shared" si="8"/>
        <v/>
      </c>
      <c r="G42" s="36" t="str">
        <f t="shared" si="0"/>
        <v/>
      </c>
      <c r="H42" s="47" t="str">
        <f t="shared" si="1"/>
        <v/>
      </c>
      <c r="I42" s="215"/>
      <c r="J42" s="193" t="s">
        <v>265</v>
      </c>
      <c r="K42" s="165">
        <f t="shared" si="9"/>
        <v>79</v>
      </c>
      <c r="L42" s="35"/>
      <c r="M42" s="46" t="str">
        <f t="shared" si="12"/>
        <v/>
      </c>
      <c r="N42" s="35"/>
      <c r="O42" s="46" t="str">
        <f t="shared" si="13"/>
        <v/>
      </c>
      <c r="P42" s="36" t="str">
        <f t="shared" si="2"/>
        <v/>
      </c>
      <c r="Q42" s="47" t="str">
        <f t="shared" si="3"/>
        <v/>
      </c>
      <c r="R42" s="213"/>
    </row>
    <row r="43" spans="1:18" ht="13.95" customHeight="1">
      <c r="A43" s="192"/>
      <c r="B43" s="163">
        <f t="shared" si="6"/>
        <v>37</v>
      </c>
      <c r="C43" s="35"/>
      <c r="D43" s="46" t="str">
        <f t="shared" si="7"/>
        <v/>
      </c>
      <c r="E43" s="35"/>
      <c r="F43" s="46" t="str">
        <f t="shared" si="8"/>
        <v/>
      </c>
      <c r="G43" s="36" t="str">
        <f t="shared" si="0"/>
        <v/>
      </c>
      <c r="H43" s="47" t="str">
        <f t="shared" si="1"/>
        <v/>
      </c>
      <c r="I43" s="212"/>
      <c r="J43" s="206" t="s">
        <v>266</v>
      </c>
      <c r="K43" s="165">
        <f t="shared" si="9"/>
        <v>80</v>
      </c>
      <c r="L43" s="35"/>
      <c r="M43" s="46" t="str">
        <f t="shared" si="12"/>
        <v/>
      </c>
      <c r="N43" s="35"/>
      <c r="O43" s="46" t="str">
        <f t="shared" si="13"/>
        <v/>
      </c>
      <c r="P43" s="36" t="str">
        <f t="shared" si="2"/>
        <v/>
      </c>
      <c r="Q43" s="47" t="str">
        <f t="shared" si="3"/>
        <v/>
      </c>
      <c r="R43" s="213"/>
    </row>
    <row r="44" spans="1:18" ht="13.95" customHeight="1">
      <c r="A44" s="192"/>
      <c r="B44" s="163">
        <f t="shared" si="6"/>
        <v>38</v>
      </c>
      <c r="C44" s="35"/>
      <c r="D44" s="46"/>
      <c r="E44" s="35"/>
      <c r="F44" s="46"/>
      <c r="G44" s="36"/>
      <c r="H44" s="47"/>
      <c r="I44" s="212"/>
      <c r="J44" s="193" t="s">
        <v>238</v>
      </c>
      <c r="K44" s="165">
        <f t="shared" si="9"/>
        <v>81</v>
      </c>
      <c r="L44" s="35"/>
      <c r="M44" s="46" t="str">
        <f t="shared" si="12"/>
        <v/>
      </c>
      <c r="N44" s="35"/>
      <c r="O44" s="46" t="str">
        <f t="shared" si="13"/>
        <v/>
      </c>
      <c r="P44" s="36" t="str">
        <f t="shared" si="2"/>
        <v/>
      </c>
      <c r="Q44" s="47" t="str">
        <f t="shared" si="3"/>
        <v/>
      </c>
      <c r="R44" s="213"/>
    </row>
    <row r="45" spans="1:18" ht="13.95" customHeight="1">
      <c r="A45" s="192">
        <v>0</v>
      </c>
      <c r="B45" s="163">
        <f t="shared" si="6"/>
        <v>39</v>
      </c>
      <c r="C45" s="35"/>
      <c r="D45" s="46" t="str">
        <f>IF(AND(C45&lt;&gt;0,$C$49&lt;&gt;0),C45/$C$49,"")</f>
        <v/>
      </c>
      <c r="E45" s="35"/>
      <c r="F45" s="46" t="str">
        <f>IF(AND(E45&lt;&gt;0,$E$49&lt;&gt;0),E45/$E$49,"")</f>
        <v/>
      </c>
      <c r="G45" s="36" t="str">
        <f t="shared" si="0"/>
        <v/>
      </c>
      <c r="H45" s="47" t="str">
        <f t="shared" si="1"/>
        <v/>
      </c>
      <c r="I45" s="215"/>
      <c r="J45" s="193" t="s">
        <v>239</v>
      </c>
      <c r="K45" s="165">
        <f t="shared" si="9"/>
        <v>82</v>
      </c>
      <c r="L45" s="35"/>
      <c r="M45" s="46" t="str">
        <f t="shared" si="12"/>
        <v/>
      </c>
      <c r="N45" s="35"/>
      <c r="O45" s="46" t="str">
        <f t="shared" si="13"/>
        <v/>
      </c>
      <c r="P45" s="36" t="str">
        <f t="shared" si="2"/>
        <v/>
      </c>
      <c r="Q45" s="47" t="str">
        <f t="shared" si="3"/>
        <v/>
      </c>
      <c r="R45" s="213"/>
    </row>
    <row r="46" spans="1:18" ht="13.95" customHeight="1">
      <c r="A46" s="192">
        <v>0</v>
      </c>
      <c r="B46" s="163">
        <f t="shared" si="6"/>
        <v>40</v>
      </c>
      <c r="C46" s="35"/>
      <c r="D46" s="46" t="str">
        <f>IF(AND(C46&lt;&gt;0,$C$49&lt;&gt;0),C46/$C$49,"")</f>
        <v/>
      </c>
      <c r="E46" s="35"/>
      <c r="F46" s="46" t="str">
        <f>IF(AND(E46&lt;&gt;0,$E$49&lt;&gt;0),E46/$E$49,"")</f>
        <v/>
      </c>
      <c r="G46" s="36" t="str">
        <f t="shared" si="0"/>
        <v/>
      </c>
      <c r="H46" s="47" t="str">
        <f t="shared" si="1"/>
        <v/>
      </c>
      <c r="I46" s="212"/>
      <c r="J46" s="193" t="s">
        <v>240</v>
      </c>
      <c r="K46" s="165">
        <f t="shared" si="9"/>
        <v>83</v>
      </c>
      <c r="L46" s="35">
        <f>L36+L37+L40-L41+L42+L43+L44+L45</f>
        <v>0</v>
      </c>
      <c r="M46" s="46" t="str">
        <f t="shared" si="12"/>
        <v/>
      </c>
      <c r="N46" s="35">
        <f>N36+N37+N40-N41+N42+N43+N44+N45</f>
        <v>0</v>
      </c>
      <c r="O46" s="46" t="str">
        <f t="shared" si="13"/>
        <v/>
      </c>
      <c r="P46" s="36" t="str">
        <f t="shared" si="2"/>
        <v/>
      </c>
      <c r="Q46" s="47" t="str">
        <f t="shared" si="3"/>
        <v/>
      </c>
      <c r="R46" s="213"/>
    </row>
    <row r="47" spans="1:18" ht="13.95" customHeight="1">
      <c r="A47" s="192">
        <v>0</v>
      </c>
      <c r="B47" s="163">
        <f t="shared" si="6"/>
        <v>41</v>
      </c>
      <c r="C47" s="35"/>
      <c r="D47" s="46" t="str">
        <f>IF(AND(C47&lt;&gt;0,$C$49&lt;&gt;0),C47/$C$49,"")</f>
        <v/>
      </c>
      <c r="E47" s="35"/>
      <c r="F47" s="46" t="str">
        <f>IF(AND(E47&lt;&gt;0,$E$49&lt;&gt;0),E47/$E$49,"")</f>
        <v/>
      </c>
      <c r="G47" s="36" t="str">
        <f t="shared" si="0"/>
        <v/>
      </c>
      <c r="H47" s="47" t="str">
        <f t="shared" si="1"/>
        <v/>
      </c>
      <c r="I47" s="212"/>
      <c r="J47" s="193" t="s">
        <v>241</v>
      </c>
      <c r="K47" s="165">
        <f t="shared" si="9"/>
        <v>84</v>
      </c>
      <c r="L47" s="35"/>
      <c r="M47" s="46" t="str">
        <f t="shared" si="12"/>
        <v/>
      </c>
      <c r="N47" s="35"/>
      <c r="O47" s="46" t="str">
        <f t="shared" si="13"/>
        <v/>
      </c>
      <c r="P47" s="36" t="str">
        <f t="shared" si="2"/>
        <v/>
      </c>
      <c r="Q47" s="47" t="str">
        <f t="shared" si="3"/>
        <v/>
      </c>
      <c r="R47" s="213"/>
    </row>
    <row r="48" spans="1:18" ht="13.95" customHeight="1">
      <c r="A48" s="195" t="s">
        <v>242</v>
      </c>
      <c r="B48" s="163">
        <f t="shared" si="6"/>
        <v>42</v>
      </c>
      <c r="C48" s="37">
        <f>SUM(C23:C47)</f>
        <v>0</v>
      </c>
      <c r="D48" s="48" t="str">
        <f>IF(AND(C48&lt;&gt;0,$C$49&lt;&gt;0),C48/$C$49,"")</f>
        <v/>
      </c>
      <c r="E48" s="37">
        <f>SUM(E23:E47)</f>
        <v>0</v>
      </c>
      <c r="F48" s="48" t="str">
        <f>IF(AND(E48&lt;&gt;0,$E$49&lt;&gt;0),E48/$E$49,"")</f>
        <v/>
      </c>
      <c r="G48" s="36" t="str">
        <f t="shared" si="0"/>
        <v/>
      </c>
      <c r="H48" s="49" t="str">
        <f t="shared" si="1"/>
        <v/>
      </c>
      <c r="I48" s="212"/>
      <c r="J48" s="200" t="s">
        <v>243</v>
      </c>
      <c r="K48" s="165">
        <f t="shared" si="9"/>
        <v>85</v>
      </c>
      <c r="L48" s="50">
        <f>SUM(L46:L47)</f>
        <v>0</v>
      </c>
      <c r="M48" s="48" t="str">
        <f t="shared" si="12"/>
        <v/>
      </c>
      <c r="N48" s="50">
        <f>SUM(N46:N47)</f>
        <v>0</v>
      </c>
      <c r="O48" s="48" t="str">
        <f t="shared" si="13"/>
        <v/>
      </c>
      <c r="P48" s="38" t="str">
        <f t="shared" si="2"/>
        <v/>
      </c>
      <c r="Q48" s="49" t="str">
        <f>IF(P48="","",IF(ABS(P48)&gt;=30%,"显著",IF(ABS(P48)&gt;=10%,"关注","")))</f>
        <v/>
      </c>
      <c r="R48" s="216"/>
    </row>
    <row r="49" spans="1:18" ht="13.95" customHeight="1" thickBot="1">
      <c r="A49" s="202" t="s">
        <v>244</v>
      </c>
      <c r="B49" s="166">
        <v>43</v>
      </c>
      <c r="C49" s="39">
        <f>SUM(C21,C48)</f>
        <v>0</v>
      </c>
      <c r="D49" s="40" t="str">
        <f>IF(AND(C49&lt;&gt;0,$C$49&lt;&gt;0),C49/$C$49,"")</f>
        <v/>
      </c>
      <c r="E49" s="39">
        <f>SUM(E21,E48)</f>
        <v>0</v>
      </c>
      <c r="F49" s="40" t="str">
        <f>IF(AND(E49&lt;&gt;0,$E$49&lt;&gt;0),E49/$E$49,"")</f>
        <v/>
      </c>
      <c r="G49" s="40" t="str">
        <f t="shared" si="0"/>
        <v/>
      </c>
      <c r="H49" s="51" t="str">
        <f t="shared" si="1"/>
        <v/>
      </c>
      <c r="I49" s="217"/>
      <c r="J49" s="204" t="s">
        <v>245</v>
      </c>
      <c r="K49" s="166">
        <f>K48+1</f>
        <v>86</v>
      </c>
      <c r="L49" s="39">
        <f>SUM(L34,L48)</f>
        <v>0</v>
      </c>
      <c r="M49" s="52" t="str">
        <f t="shared" si="12"/>
        <v/>
      </c>
      <c r="N49" s="39">
        <f>SUM(N34,N48)</f>
        <v>0</v>
      </c>
      <c r="O49" s="52" t="str">
        <f t="shared" si="13"/>
        <v/>
      </c>
      <c r="P49" s="40" t="str">
        <f t="shared" si="2"/>
        <v/>
      </c>
      <c r="Q49" s="53" t="str">
        <f>IF(P49="","",IF(ABS(P49)&gt;=30%,"显著",IF(ABS(P49)&gt;=10%,"关注","")))</f>
        <v/>
      </c>
      <c r="R49" s="218"/>
    </row>
    <row r="50" spans="1:18" ht="13.95" customHeight="1"/>
  </sheetData>
  <sheetProtection formatCells="0" insertRows="0" autoFilter="0" pivotTables="0"/>
  <mergeCells count="16">
    <mergeCell ref="R4:R6"/>
    <mergeCell ref="A1:I1"/>
    <mergeCell ref="J1:R1"/>
    <mergeCell ref="A4:A6"/>
    <mergeCell ref="B4:B6"/>
    <mergeCell ref="C4:D4"/>
    <mergeCell ref="E4:F4"/>
    <mergeCell ref="G4:G5"/>
    <mergeCell ref="H4:H6"/>
    <mergeCell ref="I4:I6"/>
    <mergeCell ref="J4:J6"/>
    <mergeCell ref="K4:K6"/>
    <mergeCell ref="L4:M4"/>
    <mergeCell ref="N4:O4"/>
    <mergeCell ref="P4:P5"/>
    <mergeCell ref="Q4:Q6"/>
  </mergeCells>
  <phoneticPr fontId="4" type="noConversion"/>
  <conditionalFormatting sqref="H7">
    <cfRule type="cellIs" dxfId="11" priority="13" stopIfTrue="1" operator="equal">
      <formula>"异常"</formula>
    </cfRule>
  </conditionalFormatting>
  <conditionalFormatting sqref="I7:O7 C7:G7 K7:K48">
    <cfRule type="cellIs" dxfId="10" priority="14" stopIfTrue="1" operator="equal">
      <formula>"            对不起，请到参数表中确定报表类型！"</formula>
    </cfRule>
    <cfRule type="cellIs" dxfId="9" priority="15" stopIfTrue="1" operator="equal">
      <formula>"对不起，试用期已到，请查看系统信息，并与作者联系。"</formula>
    </cfRule>
  </conditionalFormatting>
  <conditionalFormatting sqref="Q8:Q49 H8:H49">
    <cfRule type="cellIs" dxfId="8" priority="16" stopIfTrue="1" operator="equal">
      <formula>"显著"</formula>
    </cfRule>
  </conditionalFormatting>
  <printOptions horizontalCentered="1"/>
  <pageMargins left="0.35" right="0.23622047244094491" top="0.77" bottom="0.27" header="0.48" footer="0.2"/>
  <pageSetup paperSize="9" scale="93" fitToWidth="2" orientation="portrait" blackAndWhite="1" r:id="rId1"/>
  <headerFooter alignWithMargins="0"/>
  <colBreaks count="1" manualBreakCount="1">
    <brk id="9" max="52"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7"/>
  <sheetViews>
    <sheetView showZeros="0" view="pageBreakPreview" zoomScaleNormal="100" zoomScaleSheetLayoutView="100" workbookViewId="0">
      <pane xSplit="2" ySplit="6" topLeftCell="C28" activePane="bottomRight" state="frozen"/>
      <selection sqref="A1:H1"/>
      <selection pane="topRight" sqref="A1:H1"/>
      <selection pane="bottomLeft" sqref="A1:H1"/>
      <selection pane="bottomRight" activeCell="A3" sqref="A3"/>
    </sheetView>
  </sheetViews>
  <sheetFormatPr defaultColWidth="10.33203125" defaultRowHeight="15.6"/>
  <cols>
    <col min="1" max="1" width="48.6640625" style="30" customWidth="1"/>
    <col min="2" max="2" width="4.33203125" style="30" customWidth="1"/>
    <col min="3" max="4" width="11" style="30" bestFit="1" customWidth="1"/>
    <col min="5" max="5" width="8.5546875" style="30" bestFit="1" customWidth="1"/>
    <col min="6" max="6" width="10.6640625" style="30" customWidth="1"/>
    <col min="7" max="7" width="8.6640625" style="30" customWidth="1"/>
    <col min="8" max="8" width="14.6640625" style="30" customWidth="1"/>
    <col min="9" max="16384" width="10.33203125" style="30"/>
  </cols>
  <sheetData>
    <row r="1" spans="1:9" ht="18">
      <c r="A1" s="359" t="s">
        <v>101</v>
      </c>
      <c r="B1" s="359"/>
      <c r="C1" s="359"/>
      <c r="D1" s="359"/>
      <c r="E1" s="359"/>
      <c r="F1" s="359"/>
      <c r="G1" s="359"/>
      <c r="H1" s="359"/>
    </row>
    <row r="2" spans="1:9" s="31" customFormat="1" ht="15" customHeight="1">
      <c r="A2" s="168" t="str">
        <f>'[31]已审资产负债纵向分析A1-13-2'!A2</f>
        <v>客户名称：</v>
      </c>
      <c r="B2" s="55" t="str">
        <f>'[31]已审资产负债纵向分析A1-13-2'!E2</f>
        <v>编制人：</v>
      </c>
      <c r="C2" s="54"/>
      <c r="D2" s="54"/>
      <c r="E2" s="168" t="str">
        <f>'[31]已审资产负债纵向分析A1-13-2'!G2</f>
        <v>日期：</v>
      </c>
      <c r="F2" s="54"/>
      <c r="G2" s="54"/>
      <c r="H2" s="44" t="s">
        <v>267</v>
      </c>
      <c r="I2" s="32"/>
    </row>
    <row r="3" spans="1:9" s="31" customFormat="1" ht="17.25" customHeight="1" thickBot="1">
      <c r="A3" s="168" t="s">
        <v>424</v>
      </c>
      <c r="B3" s="55" t="str">
        <f>'[31]已审资产负债纵向分析A1-13-2'!E3</f>
        <v>复核人：</v>
      </c>
      <c r="C3" s="54"/>
      <c r="D3" s="54"/>
      <c r="E3" s="55" t="str">
        <f>'[31]已审资产负债纵向分析A1-13-2'!G3</f>
        <v>日期：</v>
      </c>
      <c r="F3" s="54"/>
      <c r="G3" s="54"/>
      <c r="H3" s="44" t="s">
        <v>102</v>
      </c>
      <c r="I3" s="32"/>
    </row>
    <row r="4" spans="1:9" s="56" customFormat="1" ht="13.8">
      <c r="A4" s="360" t="s">
        <v>103</v>
      </c>
      <c r="B4" s="363" t="s">
        <v>268</v>
      </c>
      <c r="C4" s="366" t="s">
        <v>170</v>
      </c>
      <c r="D4" s="366" t="s">
        <v>171</v>
      </c>
      <c r="E4" s="169" t="s">
        <v>172</v>
      </c>
      <c r="F4" s="169"/>
      <c r="G4" s="333" t="s">
        <v>173</v>
      </c>
      <c r="H4" s="352" t="s">
        <v>174</v>
      </c>
    </row>
    <row r="5" spans="1:9" s="56" customFormat="1" ht="13.8">
      <c r="A5" s="361"/>
      <c r="B5" s="364"/>
      <c r="C5" s="367"/>
      <c r="D5" s="367"/>
      <c r="E5" s="170" t="s">
        <v>176</v>
      </c>
      <c r="F5" s="170" t="s">
        <v>177</v>
      </c>
      <c r="G5" s="334"/>
      <c r="H5" s="353"/>
    </row>
    <row r="6" spans="1:9" s="56" customFormat="1" ht="13.5" customHeight="1">
      <c r="A6" s="362"/>
      <c r="B6" s="365"/>
      <c r="C6" s="171" t="s">
        <v>178</v>
      </c>
      <c r="D6" s="171" t="s">
        <v>109</v>
      </c>
      <c r="E6" s="171" t="s">
        <v>110</v>
      </c>
      <c r="F6" s="171" t="s">
        <v>111</v>
      </c>
      <c r="G6" s="335"/>
      <c r="H6" s="354"/>
    </row>
    <row r="7" spans="1:9" s="56" customFormat="1" ht="13.8">
      <c r="A7" s="172" t="s">
        <v>112</v>
      </c>
      <c r="B7" s="173">
        <v>1</v>
      </c>
      <c r="C7" s="57"/>
      <c r="D7" s="57"/>
      <c r="E7" s="57">
        <f t="shared" ref="E7:E67" si="0">D7-C7</f>
        <v>0</v>
      </c>
      <c r="F7" s="58" t="str">
        <f t="shared" ref="F7:F33" si="1">IF(AND(C7=0,D7=0),"",IF(C7=0,100%,IF(D7=0,-100%,E7/C7)))</f>
        <v/>
      </c>
      <c r="G7" s="59" t="str">
        <f>IF(F7="","",IF(OR(ABS(F7)&gt;=30%,ABS(E7)&gt;='[31]已审资产负债横向分析A1-13-1'!$D$51*5%,ABS(E7)&gt;=$D$27*10%),"显著",IF(ABS(F7)&gt;=10%,"关注","")))</f>
        <v/>
      </c>
      <c r="H7" s="174"/>
    </row>
    <row r="8" spans="1:9" s="56" customFormat="1" ht="13.8">
      <c r="A8" s="175" t="s">
        <v>113</v>
      </c>
      <c r="B8" s="176">
        <v>2</v>
      </c>
      <c r="C8" s="60"/>
      <c r="D8" s="61"/>
      <c r="E8" s="61">
        <f t="shared" si="0"/>
        <v>0</v>
      </c>
      <c r="F8" s="36" t="str">
        <f t="shared" si="1"/>
        <v/>
      </c>
      <c r="G8" s="62" t="str">
        <f>IF(F8="","",IF(OR(ABS(F8)&gt;=30%,ABS(E8)&gt;='[31]已审资产负债横向分析A1-13-1'!$D$51*5%,ABS(E8)&gt;=$D$27*10%),"显著",IF(ABS(F8)&gt;=10%,"关注","")))</f>
        <v/>
      </c>
      <c r="H8" s="177"/>
    </row>
    <row r="9" spans="1:9" s="56" customFormat="1" ht="13.8">
      <c r="A9" s="175" t="s">
        <v>114</v>
      </c>
      <c r="B9" s="176">
        <v>3</v>
      </c>
      <c r="C9" s="60"/>
      <c r="D9" s="61"/>
      <c r="E9" s="61">
        <f t="shared" si="0"/>
        <v>0</v>
      </c>
      <c r="F9" s="36" t="str">
        <f t="shared" si="1"/>
        <v/>
      </c>
      <c r="G9" s="62" t="str">
        <f>IF(F9="","",IF(OR(ABS(F9)&gt;=30%,ABS(E9)&gt;='[31]已审资产负债横向分析A1-13-1'!$D$51*5%,ABS(E9)&gt;=$D$27*10%),"显著",IF(ABS(F9)&gt;=10%,"关注","")))</f>
        <v/>
      </c>
      <c r="H9" s="178"/>
    </row>
    <row r="10" spans="1:9" s="56" customFormat="1" ht="13.8">
      <c r="A10" s="175" t="s">
        <v>115</v>
      </c>
      <c r="B10" s="176">
        <v>4</v>
      </c>
      <c r="C10" s="60"/>
      <c r="D10" s="61"/>
      <c r="E10" s="61">
        <f t="shared" si="0"/>
        <v>0</v>
      </c>
      <c r="F10" s="36" t="str">
        <f t="shared" si="1"/>
        <v/>
      </c>
      <c r="G10" s="62" t="str">
        <f>IF(F10="","",IF(OR(ABS(F10)&gt;=30%,ABS(E10)&gt;='[31]已审资产负债横向分析A1-13-1'!$D$51*5%,ABS(E10)&gt;=$D$27*10%),"显著",IF(ABS(F10)&gt;=10%,"关注","")))</f>
        <v/>
      </c>
      <c r="H10" s="178"/>
    </row>
    <row r="11" spans="1:9" s="56" customFormat="1" ht="13.8">
      <c r="A11" s="175" t="s">
        <v>116</v>
      </c>
      <c r="B11" s="176">
        <v>5</v>
      </c>
      <c r="C11" s="60"/>
      <c r="D11" s="61"/>
      <c r="E11" s="61">
        <f t="shared" si="0"/>
        <v>0</v>
      </c>
      <c r="F11" s="36" t="str">
        <f t="shared" si="1"/>
        <v/>
      </c>
      <c r="G11" s="62" t="str">
        <f>IF(F11="","",IF(OR(ABS(F11)&gt;=30%,ABS(E11)&gt;='[31]已审资产负债横向分析A1-13-1'!$D$51*5%,ABS(E11)&gt;=$D$27*10%),"显著",IF(ABS(F11)&gt;=10%,"关注","")))</f>
        <v/>
      </c>
      <c r="H11" s="178"/>
    </row>
    <row r="12" spans="1:9" s="56" customFormat="1" ht="13.8">
      <c r="A12" s="175" t="s">
        <v>117</v>
      </c>
      <c r="B12" s="176">
        <v>6</v>
      </c>
      <c r="C12" s="60"/>
      <c r="D12" s="61"/>
      <c r="E12" s="61">
        <f t="shared" si="0"/>
        <v>0</v>
      </c>
      <c r="F12" s="36" t="str">
        <f t="shared" si="1"/>
        <v/>
      </c>
      <c r="G12" s="62" t="str">
        <f>IF(F12="","",IF(OR(ABS(F12)&gt;=30%,ABS(E12)&gt;='[31]已审资产负债横向分析A1-13-1'!$D$51*5%,ABS(E12)&gt;=$D$27*10%),"显著",IF(ABS(F12)&gt;=10%,"关注","")))</f>
        <v/>
      </c>
      <c r="H12" s="178"/>
    </row>
    <row r="13" spans="1:9" s="56" customFormat="1" ht="13.8">
      <c r="A13" s="291" t="s">
        <v>422</v>
      </c>
      <c r="B13" s="176">
        <v>7</v>
      </c>
      <c r="C13" s="60"/>
      <c r="D13" s="61"/>
      <c r="E13" s="61">
        <f t="shared" si="0"/>
        <v>0</v>
      </c>
      <c r="F13" s="36" t="str">
        <f t="shared" si="1"/>
        <v/>
      </c>
      <c r="G13" s="62" t="str">
        <f>IF(F13="","",IF(OR(ABS(F13)&gt;=30%,ABS(E13)&gt;='[31]已审资产负债横向分析A1-13-1'!$D$51*5%,ABS(E13)&gt;=$D$27*10%),"显著",IF(ABS(F13)&gt;=10%,"关注","")))</f>
        <v/>
      </c>
      <c r="H13" s="178"/>
    </row>
    <row r="14" spans="1:9" s="56" customFormat="1" ht="13.8">
      <c r="A14" s="175" t="s">
        <v>118</v>
      </c>
      <c r="B14" s="176">
        <v>8</v>
      </c>
      <c r="C14" s="60"/>
      <c r="D14" s="61"/>
      <c r="E14" s="61">
        <f t="shared" si="0"/>
        <v>0</v>
      </c>
      <c r="F14" s="36" t="str">
        <f t="shared" si="1"/>
        <v/>
      </c>
      <c r="G14" s="62" t="str">
        <f>IF(F14="","",IF(OR(ABS(F14)&gt;=30%,ABS(E14)&gt;='[31]已审资产负债横向分析A1-13-1'!$D$51*5%,ABS(E14)&gt;=$D$27*10%),"显著",IF(ABS(F14)&gt;=10%,"关注","")))</f>
        <v/>
      </c>
      <c r="H14" s="178"/>
    </row>
    <row r="15" spans="1:9" s="56" customFormat="1" ht="13.8">
      <c r="A15" s="175" t="s">
        <v>119</v>
      </c>
      <c r="B15" s="176">
        <v>9</v>
      </c>
      <c r="C15" s="60"/>
      <c r="D15" s="61"/>
      <c r="E15" s="61">
        <f t="shared" si="0"/>
        <v>0</v>
      </c>
      <c r="F15" s="36" t="str">
        <f t="shared" si="1"/>
        <v/>
      </c>
      <c r="G15" s="62" t="str">
        <f>IF(F15="","",IF(OR(ABS(F15)&gt;=30%,ABS(E15)&gt;='[31]已审资产负债横向分析A1-13-1'!$D$51*5%,ABS(E15)&gt;=$D$27*10%),"显著",IF(ABS(F15)&gt;=10%,"关注","")))</f>
        <v/>
      </c>
      <c r="H15" s="178"/>
    </row>
    <row r="16" spans="1:9" s="56" customFormat="1" ht="13.8">
      <c r="A16" s="175" t="s">
        <v>120</v>
      </c>
      <c r="B16" s="176">
        <v>10</v>
      </c>
      <c r="C16" s="60"/>
      <c r="D16" s="61"/>
      <c r="E16" s="61">
        <f t="shared" si="0"/>
        <v>0</v>
      </c>
      <c r="F16" s="36" t="str">
        <f t="shared" si="1"/>
        <v/>
      </c>
      <c r="G16" s="62" t="str">
        <f>IF(F16="","",IF(OR(ABS(F16)&gt;=30%,ABS(E16)&gt;='[31]已审资产负债横向分析A1-13-1'!$D$51*5%,ABS(E16)&gt;=$D$27*10%),"显著",IF(ABS(F16)&gt;=10%,"关注","")))</f>
        <v/>
      </c>
      <c r="H16" s="178"/>
    </row>
    <row r="17" spans="1:8" s="56" customFormat="1" ht="13.8">
      <c r="A17" s="306" t="s">
        <v>447</v>
      </c>
      <c r="B17" s="176">
        <v>11</v>
      </c>
      <c r="C17" s="60"/>
      <c r="D17" s="61"/>
      <c r="E17" s="61">
        <f t="shared" si="0"/>
        <v>0</v>
      </c>
      <c r="F17" s="36" t="str">
        <f t="shared" si="1"/>
        <v/>
      </c>
      <c r="G17" s="62" t="str">
        <f>IF(F17="","",IF(OR(ABS(F17)&gt;=30%,ABS(E17)&gt;='[31]已审资产负债横向分析A1-13-1'!$D$51*5%,ABS(E17)&gt;=$D$27*10%),"显著",IF(ABS(F17)&gt;=10%,"关注","")))</f>
        <v/>
      </c>
      <c r="H17" s="178"/>
    </row>
    <row r="18" spans="1:8" s="56" customFormat="1" ht="13.8">
      <c r="A18" s="175" t="s">
        <v>121</v>
      </c>
      <c r="B18" s="176">
        <v>12</v>
      </c>
      <c r="C18" s="60"/>
      <c r="D18" s="61"/>
      <c r="E18" s="61">
        <f t="shared" si="0"/>
        <v>0</v>
      </c>
      <c r="F18" s="36" t="str">
        <f t="shared" si="1"/>
        <v/>
      </c>
      <c r="G18" s="62" t="str">
        <f>IF(F18="","",IF(OR(ABS(F18)&gt;=30%,ABS(E18)&gt;='[31]已审资产负债横向分析A1-13-1'!$D$51*5%,ABS(E18)&gt;=$D$27*10%),"显著",IF(ABS(F18)&gt;=10%,"关注","")))</f>
        <v/>
      </c>
      <c r="H18" s="178"/>
    </row>
    <row r="19" spans="1:8" s="56" customFormat="1" ht="13.8">
      <c r="A19" s="291" t="s">
        <v>465</v>
      </c>
      <c r="B19" s="176">
        <v>13</v>
      </c>
      <c r="C19" s="60"/>
      <c r="D19" s="61"/>
      <c r="E19" s="61">
        <f t="shared" si="0"/>
        <v>0</v>
      </c>
      <c r="F19" s="36" t="str">
        <f t="shared" si="1"/>
        <v/>
      </c>
      <c r="G19" s="62" t="str">
        <f>IF(F19="","",IF(OR(ABS(F19)&gt;=30%,ABS(E19)&gt;='[31]已审资产负债横向分析A1-13-1'!$D$51*5%,ABS(E19)&gt;=$D$27*10%),"显著",IF(ABS(F19)&gt;=10%,"关注","")))</f>
        <v/>
      </c>
      <c r="H19" s="178"/>
    </row>
    <row r="20" spans="1:8" s="56" customFormat="1" ht="13.8">
      <c r="A20" s="291" t="s">
        <v>466</v>
      </c>
      <c r="B20" s="176">
        <v>14</v>
      </c>
      <c r="C20" s="60"/>
      <c r="D20" s="61"/>
      <c r="E20" s="61">
        <f t="shared" si="0"/>
        <v>0</v>
      </c>
      <c r="F20" s="36" t="str">
        <f t="shared" si="1"/>
        <v/>
      </c>
      <c r="G20" s="62" t="str">
        <f>IF(F20="","",IF(OR(ABS(F20)&gt;=30%,ABS(E20)&gt;='[31]已审资产负债横向分析A1-13-1'!$D$51*5%,ABS(E20)&gt;=$D$27*10%),"显著",IF(ABS(F20)&gt;=10%,"关注","")))</f>
        <v/>
      </c>
      <c r="H20" s="178"/>
    </row>
    <row r="21" spans="1:8" s="56" customFormat="1" ht="13.8">
      <c r="A21" s="175" t="s">
        <v>122</v>
      </c>
      <c r="B21" s="176">
        <v>16</v>
      </c>
      <c r="C21" s="60"/>
      <c r="D21" s="61"/>
      <c r="E21" s="61">
        <f t="shared" si="0"/>
        <v>0</v>
      </c>
      <c r="F21" s="36" t="str">
        <f t="shared" si="1"/>
        <v/>
      </c>
      <c r="G21" s="62" t="str">
        <f>IF(F21="","",IF(OR(ABS(F21)&gt;=30%,ABS(E21)&gt;='[31]已审资产负债横向分析A1-13-1'!$D$51*5%,ABS(E21)&gt;=$D$27*10%),"显著",IF(ABS(F21)&gt;=10%,"关注","")))</f>
        <v/>
      </c>
      <c r="H21" s="178"/>
    </row>
    <row r="22" spans="1:8" s="56" customFormat="1" ht="13.8">
      <c r="A22" s="291" t="s">
        <v>448</v>
      </c>
      <c r="B22" s="176">
        <v>18</v>
      </c>
      <c r="C22" s="60"/>
      <c r="D22" s="61"/>
      <c r="E22" s="61">
        <f t="shared" si="0"/>
        <v>0</v>
      </c>
      <c r="F22" s="36" t="str">
        <f t="shared" si="1"/>
        <v/>
      </c>
      <c r="G22" s="62" t="str">
        <f>IF(F22="","",IF(OR(ABS(F22)&gt;=30%,ABS(E22)&gt;='[31]已审资产负债横向分析A1-13-1'!$D$51*5%,ABS(E22)&gt;=$D$27*10%),"显著",IF(ABS(F22)&gt;=10%,"关注","")))</f>
        <v/>
      </c>
      <c r="H22" s="178"/>
    </row>
    <row r="23" spans="1:8" s="56" customFormat="1" ht="13.8">
      <c r="A23" s="175" t="s">
        <v>453</v>
      </c>
      <c r="B23" s="176">
        <v>19</v>
      </c>
      <c r="C23" s="60"/>
      <c r="D23" s="61"/>
      <c r="E23" s="61">
        <f t="shared" si="0"/>
        <v>0</v>
      </c>
      <c r="F23" s="36" t="str">
        <f t="shared" si="1"/>
        <v/>
      </c>
      <c r="G23" s="62" t="str">
        <f>IF(F23="","",IF(OR(ABS(F23)&gt;=30%,ABS(E23)&gt;='[31]已审资产负债横向分析A1-13-1'!$D$51*5%,ABS(E23)&gt;=$D$27*10%),"显著",IF(ABS(F23)&gt;=10%,"关注","")))</f>
        <v/>
      </c>
      <c r="H23" s="178"/>
    </row>
    <row r="24" spans="1:8" s="56" customFormat="1" ht="13.8">
      <c r="A24" s="291" t="s">
        <v>450</v>
      </c>
      <c r="B24" s="176">
        <v>20</v>
      </c>
      <c r="C24" s="60"/>
      <c r="D24" s="61"/>
      <c r="E24" s="61">
        <f t="shared" si="0"/>
        <v>0</v>
      </c>
      <c r="F24" s="36" t="str">
        <f t="shared" si="1"/>
        <v/>
      </c>
      <c r="G24" s="62" t="str">
        <f>IF(F24="","",IF(OR(ABS(F24)&gt;=30%,ABS(E24)&gt;='[31]已审资产负债横向分析A1-13-1'!$D$51*5%,ABS(E24)&gt;=$D$27*10%),"显著",IF(ABS(F24)&gt;=10%,"关注","")))</f>
        <v/>
      </c>
      <c r="H24" s="178"/>
    </row>
    <row r="25" spans="1:8" s="56" customFormat="1" ht="13.8">
      <c r="A25" s="291" t="s">
        <v>451</v>
      </c>
      <c r="B25" s="176">
        <v>21</v>
      </c>
      <c r="C25" s="60"/>
      <c r="D25" s="61"/>
      <c r="E25" s="61">
        <f t="shared" ref="E25:E26" si="2">D25-C25</f>
        <v>0</v>
      </c>
      <c r="F25" s="36" t="str">
        <f t="shared" ref="F25:F26" si="3">IF(AND(C25=0,D25=0),"",IF(C25=0,100%,IF(D25=0,-100%,E25/C25)))</f>
        <v/>
      </c>
      <c r="G25" s="62"/>
      <c r="H25" s="178"/>
    </row>
    <row r="26" spans="1:8" s="56" customFormat="1" ht="13.8">
      <c r="A26" s="291" t="s">
        <v>452</v>
      </c>
      <c r="B26" s="176">
        <v>22</v>
      </c>
      <c r="C26" s="60"/>
      <c r="D26" s="61"/>
      <c r="E26" s="61">
        <f t="shared" si="2"/>
        <v>0</v>
      </c>
      <c r="F26" s="36" t="str">
        <f t="shared" si="3"/>
        <v/>
      </c>
      <c r="G26" s="62"/>
      <c r="H26" s="178"/>
    </row>
    <row r="27" spans="1:8" s="56" customFormat="1" ht="13.8">
      <c r="A27" s="179" t="s">
        <v>123</v>
      </c>
      <c r="B27" s="176">
        <v>23</v>
      </c>
      <c r="C27" s="63">
        <f>SUM(C7)-SUM(C10,C13,C14,C15,C17,C18,C21)+SUM(C22,C23,C25,C26)</f>
        <v>0</v>
      </c>
      <c r="D27" s="63">
        <f>SUM(D7)-SUM(D10,D13,D14,D15,D17,D18,D21)+SUM(D22,D23,D25,D26)</f>
        <v>0</v>
      </c>
      <c r="E27" s="63">
        <f t="shared" si="0"/>
        <v>0</v>
      </c>
      <c r="F27" s="38" t="str">
        <f t="shared" si="1"/>
        <v/>
      </c>
      <c r="G27" s="64" t="str">
        <f>IF(F27="","",IF(OR(ABS(F27)&gt;=30%,ABS(E27)&gt;='[31]已审资产负债横向分析A1-13-1'!$D$51*5%,ABS(E27)&gt;=$D$27*10%),"显著",IF(ABS(F27)&gt;=10%,"关注","")))</f>
        <v/>
      </c>
      <c r="H27" s="180"/>
    </row>
    <row r="28" spans="1:8" s="56" customFormat="1" ht="13.8">
      <c r="A28" s="175" t="s">
        <v>124</v>
      </c>
      <c r="B28" s="176">
        <v>24</v>
      </c>
      <c r="C28" s="61"/>
      <c r="D28" s="61"/>
      <c r="E28" s="61">
        <f t="shared" si="0"/>
        <v>0</v>
      </c>
      <c r="F28" s="36" t="str">
        <f t="shared" si="1"/>
        <v/>
      </c>
      <c r="G28" s="62" t="str">
        <f>IF(F28="","",IF(OR(ABS(F28)&gt;=30%,ABS(E28)&gt;='[31]已审资产负债横向分析A1-13-1'!$D$51*5%,ABS(E28)&gt;=$D$27*10%),"显著",IF(ABS(F28)&gt;=10%,"关注","")))</f>
        <v/>
      </c>
      <c r="H28" s="178"/>
    </row>
    <row r="29" spans="1:8" s="56" customFormat="1" ht="13.8">
      <c r="A29" s="175" t="s">
        <v>125</v>
      </c>
      <c r="B29" s="176">
        <v>25</v>
      </c>
      <c r="C29" s="61"/>
      <c r="D29" s="61"/>
      <c r="E29" s="61">
        <f t="shared" si="0"/>
        <v>0</v>
      </c>
      <c r="F29" s="36" t="str">
        <f t="shared" si="1"/>
        <v/>
      </c>
      <c r="G29" s="62" t="str">
        <f>IF(F29="","",IF(OR(ABS(F29)&gt;=30%,ABS(E29)&gt;='[31]已审资产负债横向分析A1-13-1'!$D$51*5%,ABS(E29)&gt;=$D$27*10%),"显著",IF(ABS(F29)&gt;=10%,"关注","")))</f>
        <v/>
      </c>
      <c r="H29" s="178"/>
    </row>
    <row r="30" spans="1:8" s="56" customFormat="1" ht="13.8">
      <c r="A30" s="179" t="s">
        <v>126</v>
      </c>
      <c r="B30" s="176">
        <v>26</v>
      </c>
      <c r="C30" s="63">
        <f>SUM(C27)+SUM(C28)-SUM(C29)</f>
        <v>0</v>
      </c>
      <c r="D30" s="63">
        <f>SUM(D27)+SUM(D28)-SUM(D29)</f>
        <v>0</v>
      </c>
      <c r="E30" s="63">
        <f t="shared" si="0"/>
        <v>0</v>
      </c>
      <c r="F30" s="38" t="str">
        <f t="shared" si="1"/>
        <v/>
      </c>
      <c r="G30" s="64" t="str">
        <f>IF(F30="","",IF(OR(ABS(F30)&gt;=30%,ABS(E30)&gt;='[31]已审资产负债横向分析A1-13-1'!$D$51*5%,ABS(E30)&gt;=$D$27*10%),"显著",IF(ABS(F30)&gt;=10%,"关注","")))</f>
        <v/>
      </c>
      <c r="H30" s="180"/>
    </row>
    <row r="31" spans="1:8" s="56" customFormat="1" ht="13.8">
      <c r="A31" s="175" t="s">
        <v>127</v>
      </c>
      <c r="B31" s="176">
        <v>27</v>
      </c>
      <c r="C31" s="61"/>
      <c r="D31" s="61"/>
      <c r="E31" s="61">
        <f t="shared" si="0"/>
        <v>0</v>
      </c>
      <c r="F31" s="36" t="str">
        <f t="shared" si="1"/>
        <v/>
      </c>
      <c r="G31" s="62" t="str">
        <f>IF(F31="","",IF(OR(ABS(F31)&gt;=30%,ABS(E31)&gt;='[31]已审资产负债横向分析A1-13-1'!$D$51*5%,ABS(E31)&gt;=$D$27*10%),"显著",IF(ABS(F31)&gt;=10%,"关注","")))</f>
        <v/>
      </c>
      <c r="H31" s="178"/>
    </row>
    <row r="32" spans="1:8" s="56" customFormat="1" ht="13.8">
      <c r="A32" s="181">
        <v>0</v>
      </c>
      <c r="B32" s="176">
        <v>28</v>
      </c>
      <c r="C32" s="61"/>
      <c r="D32" s="61"/>
      <c r="E32" s="61">
        <f t="shared" si="0"/>
        <v>0</v>
      </c>
      <c r="F32" s="36" t="str">
        <f t="shared" si="1"/>
        <v/>
      </c>
      <c r="G32" s="62" t="str">
        <f>IF(F32="","",IF(OR(ABS(F32)&gt;=30%,ABS(E32)&gt;='[31]已审资产负债横向分析A1-13-1'!$D$51*5%,ABS(E32)&gt;=$D$27*10%),"显著",IF(ABS(F32)&gt;=10%,"关注","")))</f>
        <v/>
      </c>
      <c r="H32" s="178"/>
    </row>
    <row r="33" spans="1:8" s="56" customFormat="1" ht="13.8">
      <c r="A33" s="179" t="s">
        <v>128</v>
      </c>
      <c r="B33" s="176">
        <v>29</v>
      </c>
      <c r="C33" s="63">
        <f>C30-C31-C32</f>
        <v>0</v>
      </c>
      <c r="D33" s="63">
        <f>D30-D31-D32</f>
        <v>0</v>
      </c>
      <c r="E33" s="63">
        <f t="shared" si="0"/>
        <v>0</v>
      </c>
      <c r="F33" s="38" t="str">
        <f t="shared" si="1"/>
        <v/>
      </c>
      <c r="G33" s="64" t="str">
        <f>IF(F33="","",IF(OR(ABS(F33)&gt;=30%,ABS(E33)&gt;='[31]已审资产负债横向分析A1-13-1'!$D$51*5%,ABS(E33)&gt;=$D$27*10%),"显著",IF(ABS(F33)&gt;=10%,"关注","")))</f>
        <v/>
      </c>
      <c r="H33" s="180"/>
    </row>
    <row r="34" spans="1:8" s="56" customFormat="1" ht="13.8">
      <c r="A34" s="328" t="s">
        <v>434</v>
      </c>
      <c r="B34" s="176">
        <v>30</v>
      </c>
      <c r="C34" s="63"/>
      <c r="D34" s="63"/>
      <c r="E34" s="63"/>
      <c r="F34" s="38"/>
      <c r="G34" s="64"/>
      <c r="H34" s="180"/>
    </row>
    <row r="35" spans="1:8" s="56" customFormat="1" ht="13.8">
      <c r="A35" s="175" t="s">
        <v>435</v>
      </c>
      <c r="B35" s="176">
        <v>31</v>
      </c>
      <c r="C35" s="63"/>
      <c r="D35" s="63"/>
      <c r="E35" s="61">
        <f t="shared" ref="E35:E36" si="4">D35-C35</f>
        <v>0</v>
      </c>
      <c r="F35" s="36" t="str">
        <f t="shared" ref="F35:F36" si="5">IF(AND(C35=0,D35=0),"",IF(C35=0,100%,IF(D35=0,-100%,E35/C35)))</f>
        <v/>
      </c>
      <c r="G35" s="64"/>
      <c r="H35" s="180"/>
    </row>
    <row r="36" spans="1:8" s="56" customFormat="1" ht="13.8">
      <c r="A36" s="175" t="s">
        <v>436</v>
      </c>
      <c r="B36" s="176">
        <v>32</v>
      </c>
      <c r="C36" s="63"/>
      <c r="D36" s="63"/>
      <c r="E36" s="61">
        <f t="shared" si="4"/>
        <v>0</v>
      </c>
      <c r="F36" s="36" t="str">
        <f t="shared" si="5"/>
        <v/>
      </c>
      <c r="G36" s="64"/>
      <c r="H36" s="180"/>
    </row>
    <row r="37" spans="1:8" s="56" customFormat="1" ht="13.8">
      <c r="A37" s="328" t="s">
        <v>437</v>
      </c>
      <c r="B37" s="176">
        <v>33</v>
      </c>
      <c r="C37" s="63"/>
      <c r="D37" s="63"/>
      <c r="E37" s="63"/>
      <c r="F37" s="38"/>
      <c r="G37" s="64"/>
      <c r="H37" s="180"/>
    </row>
    <row r="38" spans="1:8" s="56" customFormat="1" ht="13.8">
      <c r="A38" s="175" t="s">
        <v>438</v>
      </c>
      <c r="B38" s="176">
        <v>34</v>
      </c>
      <c r="C38" s="61"/>
      <c r="D38" s="61"/>
      <c r="E38" s="61">
        <f t="shared" ref="E38:E39" si="6">D38-C38</f>
        <v>0</v>
      </c>
      <c r="F38" s="36" t="str">
        <f t="shared" ref="F38:F39" si="7">IF(AND(C38=0,D38=0),"",IF(C38=0,100%,IF(D38=0,-100%,E38/C38)))</f>
        <v/>
      </c>
      <c r="G38" s="62" t="str">
        <f>IF(F38="","",IF(OR(ABS(F38)&gt;=30%,ABS(E38)&gt;='[31]已审资产负债横向分析A1-13-1'!$D$51*5%,ABS(E38)&gt;=$D$27*10%),"显著",IF(ABS(F38)&gt;=10%,"关注","")))</f>
        <v/>
      </c>
      <c r="H38" s="178"/>
    </row>
    <row r="39" spans="1:8" s="56" customFormat="1" ht="13.8">
      <c r="A39" s="175" t="s">
        <v>439</v>
      </c>
      <c r="B39" s="176">
        <v>35</v>
      </c>
      <c r="C39" s="61"/>
      <c r="D39" s="61"/>
      <c r="E39" s="61">
        <f t="shared" si="6"/>
        <v>0</v>
      </c>
      <c r="F39" s="36" t="str">
        <f t="shared" si="7"/>
        <v/>
      </c>
      <c r="G39" s="62" t="str">
        <f>IF(F39="","",IF(OR(ABS(F39)&gt;=30%,ABS(E39)&gt;='[31]已审资产负债横向分析A1-13-1'!$D$51*5%,ABS(E39)&gt;=$D$27*10%),"显著",IF(ABS(F39)&gt;=10%,"关注","")))</f>
        <v/>
      </c>
      <c r="H39" s="178"/>
    </row>
    <row r="40" spans="1:8" s="56" customFormat="1" ht="13.8">
      <c r="A40" s="182" t="s">
        <v>129</v>
      </c>
      <c r="B40" s="176">
        <v>36</v>
      </c>
      <c r="C40" s="61"/>
      <c r="D40" s="61"/>
      <c r="E40" s="61">
        <f t="shared" si="0"/>
        <v>0</v>
      </c>
      <c r="F40" s="36"/>
      <c r="G40" s="62"/>
      <c r="H40" s="178"/>
    </row>
    <row r="41" spans="1:8" s="56" customFormat="1" ht="13.8">
      <c r="A41" s="293" t="s">
        <v>130</v>
      </c>
      <c r="B41" s="176">
        <v>37</v>
      </c>
      <c r="C41" s="61"/>
      <c r="D41" s="61"/>
      <c r="E41" s="61">
        <f t="shared" si="0"/>
        <v>0</v>
      </c>
      <c r="F41" s="36"/>
      <c r="G41" s="62"/>
      <c r="H41" s="178"/>
    </row>
    <row r="42" spans="1:8" s="56" customFormat="1" ht="13.8">
      <c r="A42" s="293" t="s">
        <v>131</v>
      </c>
      <c r="B42" s="176">
        <v>38</v>
      </c>
      <c r="C42" s="61"/>
      <c r="D42" s="61"/>
      <c r="E42" s="61">
        <f t="shared" si="0"/>
        <v>0</v>
      </c>
      <c r="F42" s="36"/>
      <c r="G42" s="62"/>
      <c r="H42" s="178"/>
    </row>
    <row r="43" spans="1:8" s="56" customFormat="1" ht="13.8">
      <c r="A43" s="305" t="s">
        <v>454</v>
      </c>
      <c r="B43" s="176">
        <v>39</v>
      </c>
      <c r="C43" s="61"/>
      <c r="D43" s="61"/>
      <c r="E43" s="61">
        <f t="shared" si="0"/>
        <v>0</v>
      </c>
      <c r="F43" s="36"/>
      <c r="G43" s="62"/>
      <c r="H43" s="178"/>
    </row>
    <row r="44" spans="1:8" s="56" customFormat="1" ht="13.8">
      <c r="A44" s="305" t="s">
        <v>455</v>
      </c>
      <c r="B44" s="176">
        <v>40</v>
      </c>
      <c r="C44" s="61"/>
      <c r="D44" s="61"/>
      <c r="E44" s="61">
        <f t="shared" si="0"/>
        <v>0</v>
      </c>
      <c r="F44" s="36"/>
      <c r="G44" s="62"/>
      <c r="H44" s="178"/>
    </row>
    <row r="45" spans="1:8" s="56" customFormat="1" ht="13.8">
      <c r="A45" s="293" t="s">
        <v>132</v>
      </c>
      <c r="B45" s="176">
        <v>41</v>
      </c>
      <c r="C45" s="61"/>
      <c r="D45" s="61"/>
      <c r="E45" s="61">
        <f t="shared" si="0"/>
        <v>0</v>
      </c>
      <c r="F45" s="36"/>
      <c r="G45" s="62"/>
      <c r="H45" s="178"/>
    </row>
    <row r="46" spans="1:8" s="56" customFormat="1" ht="13.8">
      <c r="A46" s="293" t="s">
        <v>133</v>
      </c>
      <c r="B46" s="176">
        <v>42</v>
      </c>
      <c r="C46" s="61"/>
      <c r="D46" s="61"/>
      <c r="E46" s="61">
        <f t="shared" si="0"/>
        <v>0</v>
      </c>
      <c r="F46" s="36"/>
      <c r="G46" s="62"/>
      <c r="H46" s="178"/>
    </row>
    <row r="47" spans="1:8" s="56" customFormat="1" ht="13.8">
      <c r="A47" s="305" t="s">
        <v>456</v>
      </c>
      <c r="B47" s="176">
        <v>43</v>
      </c>
      <c r="C47" s="61"/>
      <c r="D47" s="61"/>
      <c r="E47" s="61">
        <f t="shared" si="0"/>
        <v>0</v>
      </c>
      <c r="F47" s="36"/>
      <c r="G47" s="62"/>
      <c r="H47" s="178"/>
    </row>
    <row r="48" spans="1:8" s="56" customFormat="1" ht="27.6">
      <c r="A48" s="293" t="s">
        <v>134</v>
      </c>
      <c r="B48" s="176">
        <v>44</v>
      </c>
      <c r="C48" s="61"/>
      <c r="D48" s="61"/>
      <c r="E48" s="61">
        <f t="shared" si="0"/>
        <v>0</v>
      </c>
      <c r="F48" s="36"/>
      <c r="G48" s="62"/>
      <c r="H48" s="178"/>
    </row>
    <row r="49" spans="1:8" s="56" customFormat="1" ht="27.6">
      <c r="A49" s="293" t="s">
        <v>135</v>
      </c>
      <c r="B49" s="176">
        <v>45</v>
      </c>
      <c r="C49" s="61"/>
      <c r="D49" s="61"/>
      <c r="E49" s="61">
        <f t="shared" si="0"/>
        <v>0</v>
      </c>
      <c r="F49" s="36"/>
      <c r="G49" s="62"/>
      <c r="H49" s="178"/>
    </row>
    <row r="50" spans="1:8" s="56" customFormat="1" ht="13.8">
      <c r="A50" s="293" t="s">
        <v>136</v>
      </c>
      <c r="B50" s="176">
        <v>46</v>
      </c>
      <c r="C50" s="61"/>
      <c r="D50" s="61"/>
      <c r="E50" s="61">
        <f t="shared" si="0"/>
        <v>0</v>
      </c>
      <c r="F50" s="36"/>
      <c r="G50" s="62"/>
      <c r="H50" s="178"/>
    </row>
    <row r="51" spans="1:8" s="56" customFormat="1" ht="13.8">
      <c r="A51" s="293" t="s">
        <v>137</v>
      </c>
      <c r="B51" s="176">
        <v>47</v>
      </c>
      <c r="C51" s="61"/>
      <c r="D51" s="61"/>
      <c r="E51" s="61">
        <f t="shared" si="0"/>
        <v>0</v>
      </c>
      <c r="F51" s="36"/>
      <c r="G51" s="62"/>
      <c r="H51" s="178"/>
    </row>
    <row r="52" spans="1:8" s="56" customFormat="1" ht="41.4">
      <c r="A52" s="293" t="s">
        <v>138</v>
      </c>
      <c r="B52" s="176">
        <v>48</v>
      </c>
      <c r="C52" s="61"/>
      <c r="D52" s="61"/>
      <c r="E52" s="61">
        <f t="shared" si="0"/>
        <v>0</v>
      </c>
      <c r="F52" s="36"/>
      <c r="G52" s="62"/>
      <c r="H52" s="178"/>
    </row>
    <row r="53" spans="1:8" s="56" customFormat="1" ht="41.4">
      <c r="A53" s="293" t="s">
        <v>139</v>
      </c>
      <c r="B53" s="176">
        <v>49</v>
      </c>
      <c r="C53" s="61"/>
      <c r="D53" s="61"/>
      <c r="E53" s="61">
        <f t="shared" si="0"/>
        <v>0</v>
      </c>
      <c r="F53" s="36"/>
      <c r="G53" s="62"/>
      <c r="H53" s="178"/>
    </row>
    <row r="54" spans="1:8" s="56" customFormat="1" ht="13.8">
      <c r="A54" s="293" t="s">
        <v>140</v>
      </c>
      <c r="B54" s="176">
        <v>50</v>
      </c>
      <c r="C54" s="61"/>
      <c r="D54" s="61"/>
      <c r="E54" s="61">
        <f t="shared" si="0"/>
        <v>0</v>
      </c>
      <c r="F54" s="36"/>
      <c r="G54" s="62"/>
      <c r="H54" s="178"/>
    </row>
    <row r="55" spans="1:8" s="56" customFormat="1" ht="13.8">
      <c r="A55" s="293" t="s">
        <v>141</v>
      </c>
      <c r="B55" s="176">
        <v>51</v>
      </c>
      <c r="C55" s="61"/>
      <c r="D55" s="61"/>
      <c r="E55" s="61">
        <f t="shared" si="0"/>
        <v>0</v>
      </c>
      <c r="F55" s="36"/>
      <c r="G55" s="62"/>
      <c r="H55" s="178"/>
    </row>
    <row r="56" spans="1:8" s="56" customFormat="1" ht="13.8">
      <c r="A56" s="182" t="s">
        <v>142</v>
      </c>
      <c r="B56" s="176">
        <v>52</v>
      </c>
      <c r="C56" s="65"/>
      <c r="D56" s="65"/>
      <c r="E56" s="61">
        <f t="shared" si="0"/>
        <v>0</v>
      </c>
      <c r="F56" s="58"/>
      <c r="G56" s="59" t="str">
        <f>IF(F56="","",IF(OR(ABS(F56)&gt;=30%,ABS(E56)&gt;='[31]已审资产负债横向分析A1-13-1'!$D$51*5%,ABS(E56)&gt;=$D$27*10%),"显著",IF(ABS(F56)&gt;=10%,"关注","")))</f>
        <v/>
      </c>
      <c r="H56" s="180"/>
    </row>
    <row r="57" spans="1:8" s="56" customFormat="1" ht="13.8">
      <c r="A57" s="183" t="s">
        <v>143</v>
      </c>
      <c r="B57" s="176">
        <v>53</v>
      </c>
      <c r="C57" s="61"/>
      <c r="D57" s="61"/>
      <c r="E57" s="61">
        <f t="shared" si="0"/>
        <v>0</v>
      </c>
      <c r="F57" s="36" t="str">
        <f>IF(AND(C57=0,D57=0),"",IF(C57=0,100%,IF(D57=0,-100%,E57/C57)))</f>
        <v/>
      </c>
      <c r="G57" s="62" t="str">
        <f>IF(F57="","",IF(OR(ABS(F57)&gt;=30%,ABS(E57)&gt;='[31]已审资产负债横向分析A1-13-1'!$D$51*5%,ABS(E57)&gt;=$D$27*10%),"显著",IF(ABS(F57)&gt;=10%,"关注","")))</f>
        <v/>
      </c>
      <c r="H57" s="178"/>
    </row>
    <row r="58" spans="1:8" s="56" customFormat="1" ht="13.8">
      <c r="A58" s="183" t="s">
        <v>144</v>
      </c>
      <c r="B58" s="176">
        <v>54</v>
      </c>
      <c r="C58" s="61"/>
      <c r="D58" s="61"/>
      <c r="E58" s="61">
        <f t="shared" si="0"/>
        <v>0</v>
      </c>
      <c r="F58" s="36" t="str">
        <f>IF(AND(C58=0,D58=0),"",IF(C58=0,100%,IF(D58=0,-100%,E58/C58)))</f>
        <v/>
      </c>
      <c r="G58" s="62" t="str">
        <f>IF(F58="","",IF(OR(ABS(F58)&gt;=30%,ABS(E58)&gt;='[31]已审资产负债横向分析A1-13-1'!$D$51*5%,ABS(E58)&gt;=$D$27*10%),"显著",IF(ABS(F58)&gt;=10%,"关注","")))</f>
        <v/>
      </c>
      <c r="H58" s="178"/>
    </row>
    <row r="59" spans="1:8" s="56" customFormat="1" ht="13.8">
      <c r="A59" s="182" t="s">
        <v>145</v>
      </c>
      <c r="B59" s="176">
        <v>55</v>
      </c>
      <c r="C59" s="61"/>
      <c r="D59" s="61"/>
      <c r="E59" s="61">
        <f t="shared" si="0"/>
        <v>0</v>
      </c>
      <c r="F59" s="36"/>
      <c r="G59" s="62"/>
      <c r="H59" s="178"/>
    </row>
    <row r="60" spans="1:8" s="56" customFormat="1" ht="13.8">
      <c r="A60" s="183" t="s">
        <v>146</v>
      </c>
      <c r="B60" s="176">
        <v>56</v>
      </c>
      <c r="C60" s="61"/>
      <c r="D60" s="61"/>
      <c r="E60" s="61">
        <f t="shared" si="0"/>
        <v>0</v>
      </c>
      <c r="F60" s="36"/>
      <c r="G60" s="62"/>
      <c r="H60" s="178"/>
    </row>
    <row r="61" spans="1:8" s="56" customFormat="1" ht="13.8">
      <c r="A61" s="183" t="s">
        <v>147</v>
      </c>
      <c r="B61" s="176">
        <v>57</v>
      </c>
      <c r="C61" s="61"/>
      <c r="D61" s="61"/>
      <c r="E61" s="61">
        <f t="shared" si="0"/>
        <v>0</v>
      </c>
      <c r="F61" s="36"/>
      <c r="G61" s="62"/>
      <c r="H61" s="178"/>
    </row>
    <row r="62" spans="1:8" s="56" customFormat="1" ht="13.8">
      <c r="A62" s="182" t="s">
        <v>148</v>
      </c>
      <c r="B62" s="176">
        <v>58</v>
      </c>
      <c r="C62" s="65"/>
      <c r="D62" s="65"/>
      <c r="E62" s="61">
        <f t="shared" si="0"/>
        <v>0</v>
      </c>
      <c r="F62" s="58"/>
      <c r="G62" s="59" t="str">
        <f>IF(F62="","",IF(OR(ABS(F62)&gt;=30%,ABS(E62)&gt;='[31]已审资产负债横向分析A1-13-1'!$D$51*5%,ABS(E62)&gt;=$D$27*10%),"显著",IF(ABS(F62)&gt;=10%,"关注","")))</f>
        <v/>
      </c>
      <c r="H62" s="180"/>
    </row>
    <row r="63" spans="1:8" s="56" customFormat="1" ht="13.8">
      <c r="A63" s="183" t="s">
        <v>149</v>
      </c>
      <c r="B63" s="176">
        <v>59</v>
      </c>
      <c r="C63" s="61"/>
      <c r="D63" s="61"/>
      <c r="E63" s="61">
        <f t="shared" si="0"/>
        <v>0</v>
      </c>
      <c r="F63" s="36" t="str">
        <f t="shared" ref="F63:F73" si="8">IF(AND(C63=0,D63=0),"",IF(C63=0,100%,IF(D63=0,-100%,E63/C63)))</f>
        <v/>
      </c>
      <c r="G63" s="62" t="str">
        <f>IF(F63="","",IF(OR(ABS(F63)&gt;=30%,ABS(E63)&gt;='[31]已审资产负债横向分析A1-13-1'!$D$51*5%,ABS(E63)&gt;=$D$27*10%),"显著",IF(ABS(F63)&gt;=10%,"关注","")))</f>
        <v/>
      </c>
      <c r="H63" s="178"/>
    </row>
    <row r="64" spans="1:8" s="56" customFormat="1" ht="13.8">
      <c r="A64" s="183" t="s">
        <v>150</v>
      </c>
      <c r="B64" s="176">
        <v>60</v>
      </c>
      <c r="C64" s="61"/>
      <c r="D64" s="61"/>
      <c r="E64" s="61">
        <f t="shared" si="0"/>
        <v>0</v>
      </c>
      <c r="F64" s="36" t="str">
        <f t="shared" si="8"/>
        <v/>
      </c>
      <c r="G64" s="62" t="str">
        <f>IF(F64="","",IF(OR(ABS(F64)&gt;=30%,ABS(E64)&gt;='[31]已审资产负债横向分析A1-13-1'!$D$51*5%,ABS(E64)&gt;=$D$27*10%),"显著",IF(ABS(F64)&gt;=10%,"关注","")))</f>
        <v/>
      </c>
      <c r="H64" s="178"/>
    </row>
    <row r="65" spans="1:8" s="56" customFormat="1" ht="13.8">
      <c r="A65" s="183" t="s">
        <v>151</v>
      </c>
      <c r="B65" s="176">
        <v>61</v>
      </c>
      <c r="C65" s="61"/>
      <c r="D65" s="61"/>
      <c r="E65" s="61">
        <f t="shared" si="0"/>
        <v>0</v>
      </c>
      <c r="F65" s="36" t="str">
        <f t="shared" si="8"/>
        <v/>
      </c>
      <c r="G65" s="62" t="str">
        <f>IF(F65="","",IF(OR(ABS(F65)&gt;=30%,ABS(E65)&gt;='[31]已审资产负债横向分析A1-13-1'!$D$51*5%,ABS(E65)&gt;=$D$27*10%),"显著",IF(ABS(F65)&gt;=10%,"关注","")))</f>
        <v/>
      </c>
      <c r="H65" s="178"/>
    </row>
    <row r="66" spans="1:8" s="56" customFormat="1" ht="13.8">
      <c r="A66" s="183" t="s">
        <v>152</v>
      </c>
      <c r="B66" s="176">
        <v>62</v>
      </c>
      <c r="C66" s="61"/>
      <c r="D66" s="61"/>
      <c r="E66" s="61">
        <f t="shared" si="0"/>
        <v>0</v>
      </c>
      <c r="F66" s="36" t="str">
        <f t="shared" si="8"/>
        <v/>
      </c>
      <c r="G66" s="62" t="str">
        <f>IF(F66="","",IF(OR(ABS(F66)&gt;=30%,ABS(E66)&gt;='[31]已审资产负债横向分析A1-13-1'!$D$51*5%,ABS(E66)&gt;=$D$27*10%),"显著",IF(ABS(F66)&gt;=10%,"关注","")))</f>
        <v/>
      </c>
      <c r="H66" s="178"/>
    </row>
    <row r="67" spans="1:8" s="56" customFormat="1" ht="13.8">
      <c r="A67" s="183" t="s">
        <v>153</v>
      </c>
      <c r="B67" s="176">
        <v>63</v>
      </c>
      <c r="C67" s="61"/>
      <c r="D67" s="61"/>
      <c r="E67" s="61">
        <f t="shared" si="0"/>
        <v>0</v>
      </c>
      <c r="F67" s="36" t="str">
        <f t="shared" si="8"/>
        <v/>
      </c>
      <c r="G67" s="62" t="str">
        <f>IF(F67="","",IF(OR(ABS(F67)&gt;=30%,ABS(E67)&gt;='[31]已审资产负债横向分析A1-13-1'!$D$51*5%,ABS(E67)&gt;=$D$27*10%),"显著",IF(ABS(F67)&gt;=10%,"关注","")))</f>
        <v/>
      </c>
      <c r="H67" s="178"/>
    </row>
    <row r="68" spans="1:8" s="56" customFormat="1" ht="13.8">
      <c r="A68" s="183" t="s">
        <v>154</v>
      </c>
      <c r="B68" s="176">
        <v>64</v>
      </c>
      <c r="C68" s="61"/>
      <c r="D68" s="61"/>
      <c r="E68" s="61">
        <f t="shared" ref="E68:E73" si="9">D68-C68</f>
        <v>0</v>
      </c>
      <c r="F68" s="36" t="str">
        <f t="shared" si="8"/>
        <v/>
      </c>
      <c r="G68" s="62" t="str">
        <f>IF(F68="","",IF(OR(ABS(F68)&gt;=30%,ABS(E68)&gt;='[31]已审资产负债横向分析A1-13-1'!$D$51*5%,ABS(E68)&gt;=$D$27*10%),"显著",IF(ABS(F68)&gt;=10%,"关注","")))</f>
        <v/>
      </c>
      <c r="H68" s="178"/>
    </row>
    <row r="69" spans="1:8" s="56" customFormat="1" ht="13.8">
      <c r="A69" s="183" t="s">
        <v>155</v>
      </c>
      <c r="B69" s="176">
        <v>65</v>
      </c>
      <c r="C69" s="61"/>
      <c r="D69" s="61"/>
      <c r="E69" s="61">
        <f t="shared" si="9"/>
        <v>0</v>
      </c>
      <c r="F69" s="36" t="str">
        <f t="shared" si="8"/>
        <v/>
      </c>
      <c r="G69" s="62" t="str">
        <f>IF(F69="","",IF(OR(ABS(F69)&gt;=30%,ABS(E69)&gt;='[31]已审资产负债横向分析A1-13-1'!$D$51*5%,ABS(E69)&gt;=$D$27*10%),"显著",IF(ABS(F69)&gt;=10%,"关注","")))</f>
        <v/>
      </c>
      <c r="H69" s="178"/>
    </row>
    <row r="70" spans="1:8" s="56" customFormat="1" ht="13.8">
      <c r="A70" s="183" t="s">
        <v>156</v>
      </c>
      <c r="B70" s="176">
        <v>66</v>
      </c>
      <c r="C70" s="61"/>
      <c r="D70" s="61"/>
      <c r="E70" s="61">
        <f t="shared" si="9"/>
        <v>0</v>
      </c>
      <c r="F70" s="36" t="str">
        <f t="shared" si="8"/>
        <v/>
      </c>
      <c r="G70" s="62" t="str">
        <f>IF(F70="","",IF(OR(ABS(F70)&gt;=30%,ABS(E70)&gt;='[31]已审资产负债横向分析A1-13-1'!$D$51*5%,ABS(E70)&gt;=$D$27*10%),"显著",IF(ABS(F70)&gt;=10%,"关注","")))</f>
        <v/>
      </c>
      <c r="H70" s="178"/>
    </row>
    <row r="71" spans="1:8" s="56" customFormat="1" ht="13.8">
      <c r="A71" s="183" t="s">
        <v>157</v>
      </c>
      <c r="B71" s="176">
        <v>67</v>
      </c>
      <c r="C71" s="61"/>
      <c r="D71" s="61"/>
      <c r="E71" s="61">
        <f t="shared" si="9"/>
        <v>0</v>
      </c>
      <c r="F71" s="36" t="str">
        <f t="shared" si="8"/>
        <v/>
      </c>
      <c r="G71" s="62" t="str">
        <f>IF(F71="","",IF(OR(ABS(F71)&gt;=30%,ABS(E71)&gt;='[31]已审资产负债横向分析A1-13-1'!$D$51*5%,ABS(E71)&gt;=$D$27*10%),"显著",IF(ABS(F71)&gt;=10%,"关注","")))</f>
        <v/>
      </c>
      <c r="H71" s="178"/>
    </row>
    <row r="72" spans="1:8" s="56" customFormat="1" ht="13.8">
      <c r="A72" s="184" t="s">
        <v>158</v>
      </c>
      <c r="B72" s="297">
        <v>68</v>
      </c>
      <c r="C72" s="66"/>
      <c r="D72" s="66"/>
      <c r="E72" s="66">
        <f t="shared" si="9"/>
        <v>0</v>
      </c>
      <c r="F72" s="67" t="str">
        <f t="shared" si="8"/>
        <v/>
      </c>
      <c r="G72" s="68" t="str">
        <f>IF(F72="","",IF(OR(ABS(F72)&gt;=30%,ABS(E72)&gt;='[31]已审资产负债横向分析A1-13-1'!$D$51*5%,ABS(E72)&gt;=$D$27*10%),"显著",IF(ABS(F72)&gt;=10%,"关注","")))</f>
        <v/>
      </c>
      <c r="H72" s="185"/>
    </row>
    <row r="73" spans="1:8" ht="16.2" thickBot="1">
      <c r="A73" s="186" t="s">
        <v>159</v>
      </c>
      <c r="B73" s="298">
        <v>69</v>
      </c>
      <c r="C73" s="69">
        <f>C67-SUM(C68:C72)</f>
        <v>0</v>
      </c>
      <c r="D73" s="69">
        <f>D67-SUM(D68:D72)</f>
        <v>0</v>
      </c>
      <c r="E73" s="69">
        <f t="shared" si="9"/>
        <v>0</v>
      </c>
      <c r="F73" s="70" t="str">
        <f t="shared" si="8"/>
        <v/>
      </c>
      <c r="G73" s="71" t="str">
        <f>IF(F73="","",IF(OR(ABS(F73)&gt;=30%,ABS(E73)&gt;='[31]已审资产负债横向分析A1-13-1'!$D$51*5%,ABS(E73)&gt;=$D$27*10%),"显著",IF(ABS(F73)&gt;=10%,"关注","")))</f>
        <v/>
      </c>
      <c r="H73" s="187"/>
    </row>
    <row r="76" spans="1:8">
      <c r="F76" s="72"/>
    </row>
    <row r="77" spans="1:8">
      <c r="F77" s="73"/>
    </row>
  </sheetData>
  <sheetProtection insertRows="0"/>
  <mergeCells count="7">
    <mergeCell ref="A1:H1"/>
    <mergeCell ref="A4:A6"/>
    <mergeCell ref="B4:B6"/>
    <mergeCell ref="C4:C5"/>
    <mergeCell ref="D4:D5"/>
    <mergeCell ref="G4:G6"/>
    <mergeCell ref="H4:H6"/>
  </mergeCells>
  <phoneticPr fontId="4" type="noConversion"/>
  <conditionalFormatting sqref="H8">
    <cfRule type="cellIs" dxfId="7" priority="3" stopIfTrue="1" operator="equal">
      <formula>"异常"</formula>
    </cfRule>
  </conditionalFormatting>
  <conditionalFormatting sqref="G7:G73">
    <cfRule type="cellIs" dxfId="6" priority="4" stopIfTrue="1" operator="equal">
      <formula>"显著"</formula>
    </cfRule>
  </conditionalFormatting>
  <printOptions horizontalCentered="1"/>
  <pageMargins left="0.67" right="0.23622047244094491" top="0.62" bottom="0.25" header="0.28000000000000003" footer="0.2"/>
  <pageSetup paperSize="9" scale="72" orientation="portrait"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7"/>
  <sheetViews>
    <sheetView showZeros="0" view="pageBreakPreview" zoomScaleNormal="100" zoomScaleSheetLayoutView="100" workbookViewId="0">
      <pane xSplit="2" ySplit="6" topLeftCell="C7" activePane="bottomRight" state="frozen"/>
      <selection sqref="A1:H1"/>
      <selection pane="topRight" sqref="A1:H1"/>
      <selection pane="bottomLeft" sqref="A1:H1"/>
      <selection pane="bottomRight" activeCell="J12" sqref="J12:K13"/>
    </sheetView>
  </sheetViews>
  <sheetFormatPr defaultColWidth="10.33203125" defaultRowHeight="15.6"/>
  <cols>
    <col min="1" max="1" width="48.6640625" style="30" customWidth="1"/>
    <col min="2" max="2" width="5.109375" style="30" customWidth="1"/>
    <col min="3" max="3" width="12.44140625" style="30" customWidth="1"/>
    <col min="4" max="4" width="8.109375" style="30" customWidth="1"/>
    <col min="5" max="5" width="12.33203125" style="30" customWidth="1"/>
    <col min="6" max="6" width="8.109375" style="30" customWidth="1"/>
    <col min="7" max="7" width="10.6640625" style="30" customWidth="1"/>
    <col min="8" max="8" width="8.6640625" style="30" customWidth="1"/>
    <col min="9" max="9" width="14.6640625" style="30" customWidth="1"/>
    <col min="10" max="10" width="10.33203125" style="30"/>
    <col min="11" max="11" width="19.109375" style="30" customWidth="1"/>
    <col min="12" max="12" width="15.44140625" style="30" customWidth="1"/>
    <col min="13" max="16384" width="10.33203125" style="30"/>
  </cols>
  <sheetData>
    <row r="1" spans="1:12" ht="18">
      <c r="A1" s="339" t="s">
        <v>269</v>
      </c>
      <c r="B1" s="339"/>
      <c r="C1" s="339"/>
      <c r="D1" s="339"/>
      <c r="E1" s="339"/>
      <c r="F1" s="339"/>
      <c r="G1" s="339"/>
      <c r="H1" s="339"/>
      <c r="I1" s="339"/>
    </row>
    <row r="2" spans="1:12" s="31" customFormat="1" ht="15" customHeight="1">
      <c r="A2" s="32" t="str">
        <f>'[31]已审利润横向分析A1-13-3'!A2</f>
        <v>客户名称：</v>
      </c>
      <c r="B2" s="44" t="str">
        <f>'[31]已审利润横向分析A1-13-3'!B2</f>
        <v>编制人：</v>
      </c>
      <c r="F2" s="32" t="str">
        <f>'[31]已审利润横向分析A1-13-3'!E2</f>
        <v>日期：</v>
      </c>
      <c r="I2" s="44" t="s">
        <v>270</v>
      </c>
      <c r="J2" s="32"/>
    </row>
    <row r="3" spans="1:12" s="31" customFormat="1" ht="17.25" customHeight="1" thickBot="1">
      <c r="A3" s="32" t="str">
        <f>'已审利润横向分析A1-14-3'!A3</f>
        <v>会计期间：2017年度</v>
      </c>
      <c r="B3" s="44" t="str">
        <f>'[31]已审利润横向分析A1-13-3'!B3</f>
        <v>复核人：</v>
      </c>
      <c r="F3" s="44" t="str">
        <f>'[31]已审利润横向分析A1-13-3'!E3</f>
        <v>日期：</v>
      </c>
      <c r="I3" s="44" t="s">
        <v>102</v>
      </c>
      <c r="J3" s="32"/>
    </row>
    <row r="4" spans="1:12" s="56" customFormat="1" ht="12" customHeight="1">
      <c r="A4" s="360" t="s">
        <v>103</v>
      </c>
      <c r="B4" s="363" t="s">
        <v>268</v>
      </c>
      <c r="C4" s="366" t="s">
        <v>170</v>
      </c>
      <c r="D4" s="366"/>
      <c r="E4" s="366" t="s">
        <v>171</v>
      </c>
      <c r="F4" s="366"/>
      <c r="G4" s="368" t="s">
        <v>271</v>
      </c>
      <c r="H4" s="333" t="s">
        <v>173</v>
      </c>
      <c r="I4" s="352" t="s">
        <v>272</v>
      </c>
    </row>
    <row r="5" spans="1:12" s="56" customFormat="1" ht="13.8">
      <c r="A5" s="361"/>
      <c r="B5" s="364"/>
      <c r="C5" s="209" t="s">
        <v>273</v>
      </c>
      <c r="D5" s="209" t="s">
        <v>274</v>
      </c>
      <c r="E5" s="209" t="s">
        <v>275</v>
      </c>
      <c r="F5" s="209" t="s">
        <v>274</v>
      </c>
      <c r="G5" s="367"/>
      <c r="H5" s="334"/>
      <c r="I5" s="353"/>
    </row>
    <row r="6" spans="1:12" s="56" customFormat="1" ht="13.8">
      <c r="A6" s="362"/>
      <c r="B6" s="365"/>
      <c r="C6" s="171" t="s">
        <v>178</v>
      </c>
      <c r="D6" s="210" t="s">
        <v>276</v>
      </c>
      <c r="E6" s="210" t="s">
        <v>277</v>
      </c>
      <c r="F6" s="210" t="s">
        <v>278</v>
      </c>
      <c r="G6" s="210" t="s">
        <v>279</v>
      </c>
      <c r="H6" s="335"/>
      <c r="I6" s="354"/>
    </row>
    <row r="7" spans="1:12" s="56" customFormat="1" ht="13.8">
      <c r="A7" s="172" t="s">
        <v>112</v>
      </c>
      <c r="B7" s="173">
        <v>1</v>
      </c>
      <c r="C7" s="57"/>
      <c r="D7" s="74" t="str">
        <f>IF(AND(C7&lt;&gt;0,$C$7&lt;&gt;0),C7/$C$7,"")</f>
        <v/>
      </c>
      <c r="E7" s="57"/>
      <c r="F7" s="74" t="str">
        <f>IF(AND(E7&lt;&gt;0,$E$7&lt;&gt;0),E7/$E$7,"")</f>
        <v/>
      </c>
      <c r="G7" s="58" t="str">
        <f>IF(AND(D7="",F7=""),"",IF(D7="",F7,IF(F7="",-D7,F7-D7)))</f>
        <v/>
      </c>
      <c r="H7" s="47" t="str">
        <f>IF(G7="","",IF(ABS(G7)&gt;=30%,"显著",IF(ABS(G7)&gt;=10%,"关注","")))</f>
        <v/>
      </c>
      <c r="I7" s="219"/>
      <c r="J7" s="387" t="s">
        <v>467</v>
      </c>
      <c r="K7" s="388"/>
      <c r="L7" s="388"/>
    </row>
    <row r="8" spans="1:12" s="56" customFormat="1" ht="13.8">
      <c r="A8" s="175" t="s">
        <v>113</v>
      </c>
      <c r="B8" s="176">
        <v>2</v>
      </c>
      <c r="C8" s="60"/>
      <c r="D8" s="46" t="str">
        <f t="shared" ref="D8:D72" si="0">IF(AND(C8&lt;&gt;0,$C$7&lt;&gt;0),C8/$C$7,"")</f>
        <v/>
      </c>
      <c r="E8" s="61"/>
      <c r="F8" s="46" t="str">
        <f t="shared" ref="F8:F71" si="1">IF(AND(E8&lt;&gt;0,$E$7&lt;&gt;0),E8/$E$7,"")</f>
        <v/>
      </c>
      <c r="G8" s="36" t="str">
        <f>IF(AND(D8="",F8=""),"",IF(D8="",F8,IF(F8="",-D8,F8-D8)))</f>
        <v/>
      </c>
      <c r="H8" s="47" t="str">
        <f t="shared" ref="H8:H72" si="2">IF(G8="","",IF(ABS(G8)&gt;=30%,"显著",IF(ABS(G8)&gt;=10%,"关注","")))</f>
        <v/>
      </c>
      <c r="I8" s="177"/>
      <c r="J8" s="389" t="s">
        <v>468</v>
      </c>
      <c r="K8" s="389"/>
      <c r="L8" s="390"/>
    </row>
    <row r="9" spans="1:12" s="56" customFormat="1" ht="13.8">
      <c r="A9" s="175" t="s">
        <v>114</v>
      </c>
      <c r="B9" s="176">
        <v>3</v>
      </c>
      <c r="C9" s="60"/>
      <c r="D9" s="46" t="str">
        <f t="shared" si="0"/>
        <v/>
      </c>
      <c r="E9" s="61"/>
      <c r="F9" s="46" t="str">
        <f t="shared" si="1"/>
        <v/>
      </c>
      <c r="G9" s="36" t="str">
        <f>IF(AND(D9="",F9=""),"",IF(D9="",F9,IF(F9="",-D9,F9-D9)))</f>
        <v/>
      </c>
      <c r="H9" s="47" t="str">
        <f t="shared" si="2"/>
        <v/>
      </c>
      <c r="I9" s="178"/>
      <c r="J9" s="389" t="s">
        <v>469</v>
      </c>
      <c r="K9" s="389"/>
      <c r="L9" s="391"/>
    </row>
    <row r="10" spans="1:12" s="56" customFormat="1" ht="13.8">
      <c r="A10" s="175" t="s">
        <v>115</v>
      </c>
      <c r="B10" s="176">
        <v>4</v>
      </c>
      <c r="C10" s="60"/>
      <c r="D10" s="46" t="str">
        <f t="shared" si="0"/>
        <v/>
      </c>
      <c r="E10" s="61"/>
      <c r="F10" s="46" t="str">
        <f t="shared" si="1"/>
        <v/>
      </c>
      <c r="G10" s="36" t="str">
        <f>IF(AND(D10="",F10=""),"",IF(D10="",F10,IF(F10="",-D10,F10-D10)))</f>
        <v/>
      </c>
      <c r="H10" s="47" t="str">
        <f t="shared" si="2"/>
        <v/>
      </c>
      <c r="I10" s="178"/>
      <c r="J10" s="384" t="s">
        <v>470</v>
      </c>
      <c r="K10" s="384"/>
      <c r="L10" s="383" t="str">
        <f>IF((MIN(E30,E33,L9)&lt;0),"是","否")</f>
        <v>否</v>
      </c>
    </row>
    <row r="11" spans="1:12" s="56" customFormat="1" ht="13.8">
      <c r="A11" s="175" t="s">
        <v>116</v>
      </c>
      <c r="B11" s="176">
        <v>5</v>
      </c>
      <c r="C11" s="60"/>
      <c r="D11" s="46" t="str">
        <f t="shared" si="0"/>
        <v/>
      </c>
      <c r="E11" s="61"/>
      <c r="F11" s="46" t="str">
        <f t="shared" si="1"/>
        <v/>
      </c>
      <c r="G11" s="36" t="str">
        <f>IF(AND(D11="",F11=""),"",IF(D11="",F11,IF(F11="",-D11,F11-D11)))</f>
        <v/>
      </c>
      <c r="H11" s="47" t="str">
        <f t="shared" si="2"/>
        <v/>
      </c>
      <c r="I11" s="178"/>
      <c r="J11" s="384"/>
      <c r="K11" s="384"/>
      <c r="L11" s="383"/>
    </row>
    <row r="12" spans="1:12" s="56" customFormat="1" ht="13.8" customHeight="1">
      <c r="A12" s="175" t="s">
        <v>117</v>
      </c>
      <c r="B12" s="176">
        <v>6</v>
      </c>
      <c r="C12" s="60"/>
      <c r="D12" s="46" t="str">
        <f t="shared" si="0"/>
        <v/>
      </c>
      <c r="E12" s="61"/>
      <c r="F12" s="46" t="str">
        <f t="shared" si="1"/>
        <v/>
      </c>
      <c r="G12" s="36" t="str">
        <f t="shared" ref="G12:G72" si="3">IF(AND(D12="",F12=""),"",IF(D12="",F12,IF(F12="",-D12,F12-D12)))</f>
        <v/>
      </c>
      <c r="H12" s="47" t="str">
        <f t="shared" si="2"/>
        <v/>
      </c>
      <c r="I12" s="178"/>
      <c r="J12" s="384" t="s">
        <v>471</v>
      </c>
      <c r="K12" s="384"/>
      <c r="L12" s="385" t="str">
        <f>IF(AND(OR(AND(L8="沪深主板",E7&lt;300000000),AND(OR(L8="科创板",L8="创业板"),E7&lt;100000000)),E30&gt;0,E33&gt;0,L9&gt;0),"是","否")</f>
        <v>否</v>
      </c>
    </row>
    <row r="13" spans="1:12" s="56" customFormat="1" ht="13.8">
      <c r="A13" s="291" t="s">
        <v>422</v>
      </c>
      <c r="B13" s="176">
        <v>7</v>
      </c>
      <c r="C13" s="60"/>
      <c r="D13" s="46" t="str">
        <f t="shared" si="0"/>
        <v/>
      </c>
      <c r="E13" s="61"/>
      <c r="F13" s="46" t="str">
        <f t="shared" si="1"/>
        <v/>
      </c>
      <c r="G13" s="36" t="str">
        <f t="shared" si="3"/>
        <v/>
      </c>
      <c r="H13" s="47" t="str">
        <f t="shared" si="2"/>
        <v/>
      </c>
      <c r="I13" s="178"/>
      <c r="J13" s="384"/>
      <c r="K13" s="384"/>
      <c r="L13" s="386"/>
    </row>
    <row r="14" spans="1:12" s="56" customFormat="1" ht="13.8">
      <c r="A14" s="175" t="s">
        <v>118</v>
      </c>
      <c r="B14" s="176">
        <v>8</v>
      </c>
      <c r="C14" s="60"/>
      <c r="D14" s="46" t="str">
        <f t="shared" si="0"/>
        <v/>
      </c>
      <c r="E14" s="61"/>
      <c r="F14" s="46" t="str">
        <f t="shared" si="1"/>
        <v/>
      </c>
      <c r="G14" s="36" t="str">
        <f t="shared" si="3"/>
        <v/>
      </c>
      <c r="H14" s="47" t="str">
        <f t="shared" si="2"/>
        <v/>
      </c>
      <c r="I14" s="178"/>
    </row>
    <row r="15" spans="1:12" s="56" customFormat="1" ht="13.8">
      <c r="A15" s="175" t="s">
        <v>119</v>
      </c>
      <c r="B15" s="176">
        <v>9</v>
      </c>
      <c r="C15" s="60"/>
      <c r="D15" s="46" t="str">
        <f t="shared" si="0"/>
        <v/>
      </c>
      <c r="E15" s="61"/>
      <c r="F15" s="46" t="str">
        <f t="shared" si="1"/>
        <v/>
      </c>
      <c r="G15" s="36" t="str">
        <f t="shared" si="3"/>
        <v/>
      </c>
      <c r="H15" s="47" t="str">
        <f t="shared" si="2"/>
        <v/>
      </c>
      <c r="I15" s="178"/>
    </row>
    <row r="16" spans="1:12" s="56" customFormat="1" ht="13.8">
      <c r="A16" s="175" t="s">
        <v>120</v>
      </c>
      <c r="B16" s="176">
        <v>10</v>
      </c>
      <c r="C16" s="60"/>
      <c r="D16" s="46" t="str">
        <f t="shared" si="0"/>
        <v/>
      </c>
      <c r="E16" s="61"/>
      <c r="F16" s="46" t="str">
        <f t="shared" si="1"/>
        <v/>
      </c>
      <c r="G16" s="36" t="str">
        <f t="shared" si="3"/>
        <v/>
      </c>
      <c r="H16" s="47" t="str">
        <f t="shared" si="2"/>
        <v/>
      </c>
      <c r="I16" s="178"/>
    </row>
    <row r="17" spans="1:9" s="56" customFormat="1" ht="13.8">
      <c r="A17" s="306" t="s">
        <v>447</v>
      </c>
      <c r="B17" s="176">
        <v>11</v>
      </c>
      <c r="C17" s="60"/>
      <c r="D17" s="46" t="str">
        <f t="shared" si="0"/>
        <v/>
      </c>
      <c r="E17" s="61"/>
      <c r="F17" s="46" t="str">
        <f t="shared" si="1"/>
        <v/>
      </c>
      <c r="G17" s="36" t="str">
        <f t="shared" si="3"/>
        <v/>
      </c>
      <c r="H17" s="47" t="str">
        <f t="shared" si="2"/>
        <v/>
      </c>
      <c r="I17" s="178"/>
    </row>
    <row r="18" spans="1:9" s="56" customFormat="1" ht="13.8">
      <c r="A18" s="175" t="s">
        <v>121</v>
      </c>
      <c r="B18" s="176">
        <v>12</v>
      </c>
      <c r="C18" s="60"/>
      <c r="D18" s="46" t="str">
        <f t="shared" si="0"/>
        <v/>
      </c>
      <c r="E18" s="61"/>
      <c r="F18" s="46" t="str">
        <f t="shared" si="1"/>
        <v/>
      </c>
      <c r="G18" s="36" t="str">
        <f t="shared" si="3"/>
        <v/>
      </c>
      <c r="H18" s="47" t="str">
        <f t="shared" si="2"/>
        <v/>
      </c>
      <c r="I18" s="178"/>
    </row>
    <row r="19" spans="1:9" s="56" customFormat="1" ht="13.8">
      <c r="A19" s="291" t="s">
        <v>465</v>
      </c>
      <c r="B19" s="176">
        <v>13</v>
      </c>
      <c r="C19" s="60"/>
      <c r="D19" s="46" t="str">
        <f t="shared" si="0"/>
        <v/>
      </c>
      <c r="E19" s="61"/>
      <c r="F19" s="46" t="str">
        <f t="shared" si="1"/>
        <v/>
      </c>
      <c r="G19" s="36" t="str">
        <f t="shared" si="3"/>
        <v/>
      </c>
      <c r="H19" s="47" t="str">
        <f t="shared" si="2"/>
        <v/>
      </c>
      <c r="I19" s="178"/>
    </row>
    <row r="20" spans="1:9" s="56" customFormat="1" ht="13.8">
      <c r="A20" s="291" t="s">
        <v>457</v>
      </c>
      <c r="B20" s="176">
        <v>14</v>
      </c>
      <c r="C20" s="60"/>
      <c r="D20" s="46" t="str">
        <f t="shared" si="0"/>
        <v/>
      </c>
      <c r="E20" s="61"/>
      <c r="F20" s="46" t="str">
        <f t="shared" si="1"/>
        <v/>
      </c>
      <c r="G20" s="36" t="str">
        <f t="shared" si="3"/>
        <v/>
      </c>
      <c r="H20" s="47" t="str">
        <f t="shared" si="2"/>
        <v/>
      </c>
      <c r="I20" s="178"/>
    </row>
    <row r="21" spans="1:9" s="56" customFormat="1" ht="13.8">
      <c r="A21" s="175" t="s">
        <v>122</v>
      </c>
      <c r="B21" s="176">
        <v>16</v>
      </c>
      <c r="C21" s="60"/>
      <c r="D21" s="46" t="str">
        <f t="shared" si="0"/>
        <v/>
      </c>
      <c r="E21" s="61"/>
      <c r="F21" s="46" t="str">
        <f t="shared" si="1"/>
        <v/>
      </c>
      <c r="G21" s="36" t="str">
        <f t="shared" si="3"/>
        <v/>
      </c>
      <c r="H21" s="47" t="str">
        <f t="shared" si="2"/>
        <v/>
      </c>
      <c r="I21" s="178"/>
    </row>
    <row r="22" spans="1:9" s="56" customFormat="1" ht="13.8">
      <c r="A22" s="291" t="s">
        <v>448</v>
      </c>
      <c r="B22" s="176">
        <v>18</v>
      </c>
      <c r="C22" s="60"/>
      <c r="D22" s="46" t="str">
        <f t="shared" si="0"/>
        <v/>
      </c>
      <c r="E22" s="61"/>
      <c r="F22" s="46" t="str">
        <f t="shared" si="1"/>
        <v/>
      </c>
      <c r="G22" s="36" t="str">
        <f>IF(AND(D22="",F22=""),"",IF(D22="",F22,IF(F22="",-D22,F22-D22)))</f>
        <v/>
      </c>
      <c r="H22" s="47" t="str">
        <f t="shared" si="2"/>
        <v/>
      </c>
      <c r="I22" s="178"/>
    </row>
    <row r="23" spans="1:9" s="56" customFormat="1" ht="13.8">
      <c r="A23" s="175" t="s">
        <v>449</v>
      </c>
      <c r="B23" s="176">
        <v>19</v>
      </c>
      <c r="C23" s="60"/>
      <c r="D23" s="46" t="str">
        <f t="shared" si="0"/>
        <v/>
      </c>
      <c r="E23" s="61"/>
      <c r="F23" s="46" t="str">
        <f t="shared" si="1"/>
        <v/>
      </c>
      <c r="G23" s="36" t="str">
        <f>IF(AND(D23="",F23=""),"",IF(D23="",F23,IF(F23="",-D23,F23-D23)))</f>
        <v/>
      </c>
      <c r="H23" s="47" t="str">
        <f t="shared" si="2"/>
        <v/>
      </c>
      <c r="I23" s="178"/>
    </row>
    <row r="24" spans="1:9" s="56" customFormat="1" ht="13.8">
      <c r="A24" s="291" t="s">
        <v>458</v>
      </c>
      <c r="B24" s="176">
        <v>20</v>
      </c>
      <c r="C24" s="60"/>
      <c r="D24" s="46" t="str">
        <f t="shared" si="0"/>
        <v/>
      </c>
      <c r="E24" s="61"/>
      <c r="F24" s="46" t="str">
        <f t="shared" si="1"/>
        <v/>
      </c>
      <c r="G24" s="36" t="str">
        <f t="shared" si="3"/>
        <v/>
      </c>
      <c r="H24" s="47" t="str">
        <f t="shared" si="2"/>
        <v/>
      </c>
      <c r="I24" s="178"/>
    </row>
    <row r="25" spans="1:9" s="56" customFormat="1" ht="13.8">
      <c r="A25" s="291" t="s">
        <v>459</v>
      </c>
      <c r="B25" s="176">
        <v>21</v>
      </c>
      <c r="C25" s="60"/>
      <c r="D25" s="46" t="str">
        <f t="shared" si="0"/>
        <v/>
      </c>
      <c r="E25" s="60"/>
      <c r="F25" s="46" t="str">
        <f t="shared" si="1"/>
        <v/>
      </c>
      <c r="G25" s="36" t="str">
        <f t="shared" si="3"/>
        <v/>
      </c>
      <c r="H25" s="47"/>
      <c r="I25" s="178"/>
    </row>
    <row r="26" spans="1:9" s="56" customFormat="1" ht="13.8">
      <c r="A26" s="291" t="s">
        <v>460</v>
      </c>
      <c r="B26" s="176">
        <v>22</v>
      </c>
      <c r="C26" s="60"/>
      <c r="D26" s="46" t="str">
        <f t="shared" si="0"/>
        <v/>
      </c>
      <c r="E26" s="60"/>
      <c r="F26" s="46" t="str">
        <f t="shared" si="1"/>
        <v/>
      </c>
      <c r="G26" s="36" t="str">
        <f t="shared" si="3"/>
        <v/>
      </c>
      <c r="H26" s="47"/>
      <c r="I26" s="178"/>
    </row>
    <row r="27" spans="1:9" s="56" customFormat="1" ht="13.8">
      <c r="A27" s="179" t="s">
        <v>123</v>
      </c>
      <c r="B27" s="176">
        <v>23</v>
      </c>
      <c r="C27" s="75">
        <f>SUM(C7)-SUM(C10,C13,C14,C15,C17,C18,C21)+SUM(C22,C23,C25,C26)</f>
        <v>0</v>
      </c>
      <c r="D27" s="46" t="str">
        <f t="shared" si="0"/>
        <v/>
      </c>
      <c r="E27" s="75">
        <f>SUM(E7)-SUM(E10,E13,E14,E15,E17,E18,E21)+SUM(E22,E23,E25,E26)</f>
        <v>0</v>
      </c>
      <c r="F27" s="48" t="str">
        <f>IF(AND(E27&lt;&gt;0,$E$7&lt;&gt;0),E27/$E$7,"")</f>
        <v/>
      </c>
      <c r="G27" s="38" t="str">
        <f t="shared" si="3"/>
        <v/>
      </c>
      <c r="H27" s="49" t="str">
        <f t="shared" si="2"/>
        <v/>
      </c>
      <c r="I27" s="220"/>
    </row>
    <row r="28" spans="1:9" s="56" customFormat="1" ht="13.8">
      <c r="A28" s="175" t="s">
        <v>124</v>
      </c>
      <c r="B28" s="176">
        <v>24</v>
      </c>
      <c r="C28" s="60"/>
      <c r="D28" s="46" t="str">
        <f t="shared" si="0"/>
        <v/>
      </c>
      <c r="E28" s="61"/>
      <c r="F28" s="46" t="str">
        <f t="shared" si="1"/>
        <v/>
      </c>
      <c r="G28" s="36" t="str">
        <f t="shared" si="3"/>
        <v/>
      </c>
      <c r="H28" s="47" t="str">
        <f t="shared" si="2"/>
        <v/>
      </c>
      <c r="I28" s="178"/>
    </row>
    <row r="29" spans="1:9" s="56" customFormat="1" ht="13.8">
      <c r="A29" s="175" t="s">
        <v>125</v>
      </c>
      <c r="B29" s="176">
        <v>25</v>
      </c>
      <c r="C29" s="60"/>
      <c r="D29" s="46" t="str">
        <f t="shared" si="0"/>
        <v/>
      </c>
      <c r="E29" s="61"/>
      <c r="F29" s="46" t="str">
        <f t="shared" si="1"/>
        <v/>
      </c>
      <c r="G29" s="36" t="str">
        <f t="shared" si="3"/>
        <v/>
      </c>
      <c r="H29" s="47" t="str">
        <f t="shared" si="2"/>
        <v/>
      </c>
      <c r="I29" s="178"/>
    </row>
    <row r="30" spans="1:9" s="56" customFormat="1" ht="13.8">
      <c r="A30" s="179" t="s">
        <v>126</v>
      </c>
      <c r="B30" s="176">
        <v>26</v>
      </c>
      <c r="C30" s="75">
        <f>SUM(C27)+SUM(C28)-SUM(C29)</f>
        <v>0</v>
      </c>
      <c r="D30" s="48" t="str">
        <f t="shared" si="0"/>
        <v/>
      </c>
      <c r="E30" s="75">
        <f>SUM(E27)+SUM(E28)-SUM(E29)</f>
        <v>0</v>
      </c>
      <c r="F30" s="48" t="str">
        <f t="shared" si="1"/>
        <v/>
      </c>
      <c r="G30" s="38" t="str">
        <f t="shared" si="3"/>
        <v/>
      </c>
      <c r="H30" s="49" t="str">
        <f t="shared" si="2"/>
        <v/>
      </c>
      <c r="I30" s="220"/>
    </row>
    <row r="31" spans="1:9" s="56" customFormat="1" ht="13.8">
      <c r="A31" s="175" t="s">
        <v>127</v>
      </c>
      <c r="B31" s="176">
        <v>27</v>
      </c>
      <c r="C31" s="60"/>
      <c r="D31" s="46" t="str">
        <f t="shared" si="0"/>
        <v/>
      </c>
      <c r="E31" s="61"/>
      <c r="F31" s="46" t="str">
        <f>IF(AND(E31&lt;&gt;0,$E$7&lt;&gt;0),E31/$E$7,"")</f>
        <v/>
      </c>
      <c r="G31" s="36" t="str">
        <f t="shared" si="3"/>
        <v/>
      </c>
      <c r="H31" s="47" t="str">
        <f t="shared" si="2"/>
        <v/>
      </c>
      <c r="I31" s="178"/>
    </row>
    <row r="32" spans="1:9" s="56" customFormat="1" ht="13.8">
      <c r="A32" s="181">
        <v>0</v>
      </c>
      <c r="B32" s="176">
        <v>28</v>
      </c>
      <c r="C32" s="60"/>
      <c r="D32" s="46" t="str">
        <f t="shared" si="0"/>
        <v/>
      </c>
      <c r="E32" s="61"/>
      <c r="F32" s="46" t="str">
        <f t="shared" si="1"/>
        <v/>
      </c>
      <c r="G32" s="36" t="str">
        <f t="shared" si="3"/>
        <v/>
      </c>
      <c r="H32" s="47" t="str">
        <f t="shared" si="2"/>
        <v/>
      </c>
      <c r="I32" s="178"/>
    </row>
    <row r="33" spans="1:9" s="56" customFormat="1" ht="13.8">
      <c r="A33" s="294" t="s">
        <v>128</v>
      </c>
      <c r="B33" s="176">
        <v>29</v>
      </c>
      <c r="C33" s="75">
        <f>C30-C31-C32</f>
        <v>0</v>
      </c>
      <c r="D33" s="48" t="str">
        <f t="shared" si="0"/>
        <v/>
      </c>
      <c r="E33" s="75">
        <f>E30-E31-E32</f>
        <v>0</v>
      </c>
      <c r="F33" s="48" t="str">
        <f t="shared" si="1"/>
        <v/>
      </c>
      <c r="G33" s="38" t="str">
        <f t="shared" si="3"/>
        <v/>
      </c>
      <c r="H33" s="49" t="str">
        <f t="shared" si="2"/>
        <v/>
      </c>
      <c r="I33" s="220"/>
    </row>
    <row r="34" spans="1:9" s="56" customFormat="1" ht="13.8">
      <c r="A34" s="295" t="s">
        <v>434</v>
      </c>
      <c r="B34" s="176">
        <v>30</v>
      </c>
      <c r="C34" s="75"/>
      <c r="D34" s="48"/>
      <c r="E34" s="75"/>
      <c r="F34" s="48"/>
      <c r="G34" s="38"/>
      <c r="H34" s="49"/>
      <c r="I34" s="220"/>
    </row>
    <row r="35" spans="1:9" s="56" customFormat="1" ht="13.8">
      <c r="A35" s="296" t="s">
        <v>435</v>
      </c>
      <c r="B35" s="176">
        <v>31</v>
      </c>
      <c r="C35" s="75"/>
      <c r="D35" s="46" t="str">
        <f t="shared" si="0"/>
        <v/>
      </c>
      <c r="E35" s="75"/>
      <c r="F35" s="46" t="str">
        <f t="shared" si="1"/>
        <v/>
      </c>
      <c r="G35" s="36" t="str">
        <f t="shared" si="3"/>
        <v/>
      </c>
      <c r="H35" s="49"/>
      <c r="I35" s="220"/>
    </row>
    <row r="36" spans="1:9" s="56" customFormat="1" ht="13.8">
      <c r="A36" s="296" t="s">
        <v>436</v>
      </c>
      <c r="B36" s="176">
        <v>32</v>
      </c>
      <c r="C36" s="75"/>
      <c r="D36" s="46" t="str">
        <f t="shared" si="0"/>
        <v/>
      </c>
      <c r="E36" s="75"/>
      <c r="F36" s="46" t="str">
        <f t="shared" si="1"/>
        <v/>
      </c>
      <c r="G36" s="36" t="str">
        <f t="shared" si="3"/>
        <v/>
      </c>
      <c r="H36" s="49"/>
      <c r="I36" s="220"/>
    </row>
    <row r="37" spans="1:9" s="56" customFormat="1" ht="13.8">
      <c r="A37" s="295" t="s">
        <v>437</v>
      </c>
      <c r="B37" s="176">
        <v>33</v>
      </c>
      <c r="C37" s="75"/>
      <c r="D37" s="48"/>
      <c r="E37" s="75"/>
      <c r="F37" s="48"/>
      <c r="G37" s="38"/>
      <c r="H37" s="49"/>
      <c r="I37" s="220"/>
    </row>
    <row r="38" spans="1:9" s="56" customFormat="1" ht="13.8">
      <c r="A38" s="296" t="s">
        <v>438</v>
      </c>
      <c r="B38" s="176">
        <v>34</v>
      </c>
      <c r="C38" s="60"/>
      <c r="D38" s="46" t="str">
        <f t="shared" si="0"/>
        <v/>
      </c>
      <c r="E38" s="61"/>
      <c r="F38" s="46" t="str">
        <f t="shared" si="1"/>
        <v/>
      </c>
      <c r="G38" s="36" t="str">
        <f t="shared" si="3"/>
        <v/>
      </c>
      <c r="H38" s="47" t="str">
        <f t="shared" si="2"/>
        <v/>
      </c>
      <c r="I38" s="178"/>
    </row>
    <row r="39" spans="1:9" s="56" customFormat="1" ht="13.8">
      <c r="A39" s="296" t="s">
        <v>439</v>
      </c>
      <c r="B39" s="176">
        <v>35</v>
      </c>
      <c r="C39" s="60"/>
      <c r="D39" s="46" t="str">
        <f t="shared" si="0"/>
        <v/>
      </c>
      <c r="E39" s="61"/>
      <c r="F39" s="46" t="str">
        <f t="shared" si="1"/>
        <v/>
      </c>
      <c r="G39" s="36" t="str">
        <f t="shared" si="3"/>
        <v/>
      </c>
      <c r="H39" s="47" t="str">
        <f t="shared" si="2"/>
        <v/>
      </c>
      <c r="I39" s="178"/>
    </row>
    <row r="40" spans="1:9" s="56" customFormat="1" ht="13.8">
      <c r="A40" s="182" t="s">
        <v>280</v>
      </c>
      <c r="B40" s="176">
        <v>36</v>
      </c>
      <c r="C40" s="61"/>
      <c r="D40" s="61"/>
      <c r="E40" s="61">
        <f t="shared" ref="E40:E55" si="4">D40-C40</f>
        <v>0</v>
      </c>
      <c r="F40" s="36"/>
      <c r="G40" s="62"/>
      <c r="H40" s="178"/>
      <c r="I40" s="178"/>
    </row>
    <row r="41" spans="1:9" s="56" customFormat="1" ht="13.8">
      <c r="A41" s="293" t="s">
        <v>130</v>
      </c>
      <c r="B41" s="176">
        <v>37</v>
      </c>
      <c r="C41" s="61"/>
      <c r="D41" s="61"/>
      <c r="E41" s="61">
        <f t="shared" si="4"/>
        <v>0</v>
      </c>
      <c r="F41" s="36"/>
      <c r="G41" s="62"/>
      <c r="H41" s="178"/>
      <c r="I41" s="178"/>
    </row>
    <row r="42" spans="1:9" s="56" customFormat="1" ht="13.8">
      <c r="A42" s="293" t="s">
        <v>131</v>
      </c>
      <c r="B42" s="176">
        <v>38</v>
      </c>
      <c r="C42" s="61"/>
      <c r="D42" s="61"/>
      <c r="E42" s="61">
        <f t="shared" si="4"/>
        <v>0</v>
      </c>
      <c r="F42" s="36"/>
      <c r="G42" s="62"/>
      <c r="H42" s="178"/>
      <c r="I42" s="178"/>
    </row>
    <row r="43" spans="1:9" s="56" customFormat="1" ht="13.8">
      <c r="A43" s="305" t="s">
        <v>461</v>
      </c>
      <c r="B43" s="176">
        <v>39</v>
      </c>
      <c r="C43" s="61"/>
      <c r="D43" s="61"/>
      <c r="E43" s="61">
        <f t="shared" si="4"/>
        <v>0</v>
      </c>
      <c r="F43" s="36"/>
      <c r="G43" s="62"/>
      <c r="H43" s="178"/>
      <c r="I43" s="178"/>
    </row>
    <row r="44" spans="1:9" s="56" customFormat="1" ht="13.8">
      <c r="A44" s="305" t="s">
        <v>462</v>
      </c>
      <c r="B44" s="176">
        <v>40</v>
      </c>
      <c r="C44" s="61"/>
      <c r="D44" s="61"/>
      <c r="E44" s="61">
        <f t="shared" si="4"/>
        <v>0</v>
      </c>
      <c r="F44" s="36"/>
      <c r="G44" s="62"/>
      <c r="H44" s="178"/>
      <c r="I44" s="178"/>
    </row>
    <row r="45" spans="1:9" s="56" customFormat="1" ht="13.8">
      <c r="A45" s="293" t="s">
        <v>132</v>
      </c>
      <c r="B45" s="176">
        <v>41</v>
      </c>
      <c r="C45" s="61"/>
      <c r="D45" s="61"/>
      <c r="E45" s="61">
        <f t="shared" si="4"/>
        <v>0</v>
      </c>
      <c r="F45" s="36"/>
      <c r="G45" s="62"/>
      <c r="H45" s="178"/>
      <c r="I45" s="178"/>
    </row>
    <row r="46" spans="1:9" s="56" customFormat="1" ht="13.8">
      <c r="A46" s="293" t="s">
        <v>133</v>
      </c>
      <c r="B46" s="176">
        <v>42</v>
      </c>
      <c r="C46" s="61"/>
      <c r="D46" s="61"/>
      <c r="E46" s="61">
        <f t="shared" si="4"/>
        <v>0</v>
      </c>
      <c r="F46" s="36"/>
      <c r="G46" s="62"/>
      <c r="H46" s="178"/>
      <c r="I46" s="178"/>
    </row>
    <row r="47" spans="1:9" s="56" customFormat="1" ht="13.8">
      <c r="A47" s="305" t="s">
        <v>463</v>
      </c>
      <c r="B47" s="176">
        <v>43</v>
      </c>
      <c r="C47" s="61"/>
      <c r="D47" s="61"/>
      <c r="E47" s="61">
        <f t="shared" si="4"/>
        <v>0</v>
      </c>
      <c r="F47" s="36"/>
      <c r="G47" s="62"/>
      <c r="H47" s="178"/>
      <c r="I47" s="178"/>
    </row>
    <row r="48" spans="1:9" s="56" customFormat="1" ht="27.6">
      <c r="A48" s="293" t="s">
        <v>134</v>
      </c>
      <c r="B48" s="176">
        <v>44</v>
      </c>
      <c r="C48" s="61"/>
      <c r="D48" s="61"/>
      <c r="E48" s="61">
        <f t="shared" si="4"/>
        <v>0</v>
      </c>
      <c r="F48" s="36"/>
      <c r="G48" s="62"/>
      <c r="H48" s="178"/>
      <c r="I48" s="178"/>
    </row>
    <row r="49" spans="1:9" s="56" customFormat="1" ht="27.6">
      <c r="A49" s="293" t="s">
        <v>135</v>
      </c>
      <c r="B49" s="176">
        <v>45</v>
      </c>
      <c r="C49" s="61"/>
      <c r="D49" s="61"/>
      <c r="E49" s="61">
        <f t="shared" si="4"/>
        <v>0</v>
      </c>
      <c r="F49" s="36"/>
      <c r="G49" s="62"/>
      <c r="H49" s="178"/>
      <c r="I49" s="178"/>
    </row>
    <row r="50" spans="1:9" s="56" customFormat="1" ht="13.8">
      <c r="A50" s="293" t="s">
        <v>136</v>
      </c>
      <c r="B50" s="176">
        <v>46</v>
      </c>
      <c r="C50" s="61"/>
      <c r="D50" s="61"/>
      <c r="E50" s="61">
        <f t="shared" si="4"/>
        <v>0</v>
      </c>
      <c r="F50" s="36"/>
      <c r="G50" s="62"/>
      <c r="H50" s="178"/>
      <c r="I50" s="178"/>
    </row>
    <row r="51" spans="1:9" s="56" customFormat="1" ht="13.8">
      <c r="A51" s="293" t="s">
        <v>137</v>
      </c>
      <c r="B51" s="176">
        <v>47</v>
      </c>
      <c r="C51" s="61"/>
      <c r="D51" s="61"/>
      <c r="E51" s="61">
        <f t="shared" si="4"/>
        <v>0</v>
      </c>
      <c r="F51" s="36"/>
      <c r="G51" s="62"/>
      <c r="H51" s="178"/>
      <c r="I51" s="178"/>
    </row>
    <row r="52" spans="1:9" s="56" customFormat="1" ht="41.4">
      <c r="A52" s="293" t="s">
        <v>138</v>
      </c>
      <c r="B52" s="176">
        <v>48</v>
      </c>
      <c r="C52" s="61"/>
      <c r="D52" s="61"/>
      <c r="E52" s="61">
        <f t="shared" si="4"/>
        <v>0</v>
      </c>
      <c r="F52" s="36"/>
      <c r="G52" s="62"/>
      <c r="H52" s="178"/>
      <c r="I52" s="178"/>
    </row>
    <row r="53" spans="1:9" s="56" customFormat="1" ht="41.4">
      <c r="A53" s="293" t="s">
        <v>139</v>
      </c>
      <c r="B53" s="176">
        <v>49</v>
      </c>
      <c r="C53" s="61"/>
      <c r="D53" s="61"/>
      <c r="E53" s="61">
        <f t="shared" si="4"/>
        <v>0</v>
      </c>
      <c r="F53" s="36"/>
      <c r="G53" s="62"/>
      <c r="H53" s="178"/>
      <c r="I53" s="178"/>
    </row>
    <row r="54" spans="1:9" s="56" customFormat="1" ht="13.8">
      <c r="A54" s="293" t="s">
        <v>140</v>
      </c>
      <c r="B54" s="176">
        <v>50</v>
      </c>
      <c r="C54" s="61"/>
      <c r="D54" s="61"/>
      <c r="E54" s="61">
        <f t="shared" si="4"/>
        <v>0</v>
      </c>
      <c r="F54" s="36"/>
      <c r="G54" s="62"/>
      <c r="H54" s="178"/>
      <c r="I54" s="178"/>
    </row>
    <row r="55" spans="1:9" s="56" customFormat="1" ht="13.8">
      <c r="A55" s="293" t="s">
        <v>141</v>
      </c>
      <c r="B55" s="176">
        <v>51</v>
      </c>
      <c r="C55" s="61"/>
      <c r="D55" s="61"/>
      <c r="E55" s="61">
        <f t="shared" si="4"/>
        <v>0</v>
      </c>
      <c r="F55" s="36"/>
      <c r="G55" s="62"/>
      <c r="H55" s="178"/>
      <c r="I55" s="178"/>
    </row>
    <row r="56" spans="1:9" s="56" customFormat="1" ht="13.8">
      <c r="A56" s="182" t="s">
        <v>281</v>
      </c>
      <c r="B56" s="176">
        <v>52</v>
      </c>
      <c r="C56" s="57"/>
      <c r="D56" s="74"/>
      <c r="E56" s="65"/>
      <c r="F56" s="74"/>
      <c r="G56" s="58"/>
      <c r="H56" s="76"/>
      <c r="I56" s="178"/>
    </row>
    <row r="57" spans="1:9" s="56" customFormat="1" ht="13.8">
      <c r="A57" s="183" t="s">
        <v>143</v>
      </c>
      <c r="B57" s="176">
        <v>53</v>
      </c>
      <c r="C57" s="60"/>
      <c r="D57" s="46" t="str">
        <f t="shared" si="0"/>
        <v/>
      </c>
      <c r="E57" s="61"/>
      <c r="F57" s="46" t="str">
        <f t="shared" si="1"/>
        <v/>
      </c>
      <c r="G57" s="36" t="str">
        <f t="shared" si="3"/>
        <v/>
      </c>
      <c r="H57" s="47" t="str">
        <f t="shared" si="2"/>
        <v/>
      </c>
      <c r="I57" s="178"/>
    </row>
    <row r="58" spans="1:9" s="56" customFormat="1" ht="13.8">
      <c r="A58" s="183" t="s">
        <v>144</v>
      </c>
      <c r="B58" s="176">
        <v>54</v>
      </c>
      <c r="C58" s="60"/>
      <c r="D58" s="46" t="str">
        <f t="shared" si="0"/>
        <v/>
      </c>
      <c r="E58" s="61"/>
      <c r="F58" s="46" t="str">
        <f t="shared" si="1"/>
        <v/>
      </c>
      <c r="G58" s="36" t="str">
        <f t="shared" si="3"/>
        <v/>
      </c>
      <c r="H58" s="47" t="str">
        <f t="shared" si="2"/>
        <v/>
      </c>
      <c r="I58" s="178"/>
    </row>
    <row r="59" spans="1:9" s="56" customFormat="1" ht="13.8">
      <c r="A59" s="182" t="s">
        <v>282</v>
      </c>
      <c r="B59" s="176">
        <v>55</v>
      </c>
      <c r="C59" s="61"/>
      <c r="D59" s="61"/>
      <c r="E59" s="61"/>
      <c r="F59" s="36"/>
      <c r="G59" s="62"/>
      <c r="H59" s="178"/>
      <c r="I59" s="180"/>
    </row>
    <row r="60" spans="1:9" s="56" customFormat="1" ht="13.8">
      <c r="A60" s="183" t="s">
        <v>146</v>
      </c>
      <c r="B60" s="176">
        <v>56</v>
      </c>
      <c r="C60" s="61"/>
      <c r="D60" s="61"/>
      <c r="E60" s="61"/>
      <c r="F60" s="36"/>
      <c r="G60" s="62"/>
      <c r="H60" s="178"/>
      <c r="I60" s="180"/>
    </row>
    <row r="61" spans="1:9" s="56" customFormat="1" ht="13.8">
      <c r="A61" s="183" t="s">
        <v>147</v>
      </c>
      <c r="B61" s="176">
        <v>57</v>
      </c>
      <c r="C61" s="61"/>
      <c r="D61" s="61"/>
      <c r="E61" s="61"/>
      <c r="F61" s="36"/>
      <c r="G61" s="62"/>
      <c r="H61" s="178"/>
      <c r="I61" s="180"/>
    </row>
    <row r="62" spans="1:9" s="56" customFormat="1" ht="13.8">
      <c r="A62" s="182" t="s">
        <v>283</v>
      </c>
      <c r="B62" s="176">
        <v>58</v>
      </c>
      <c r="C62" s="57"/>
      <c r="D62" s="74"/>
      <c r="E62" s="65"/>
      <c r="F62" s="74"/>
      <c r="G62" s="58"/>
      <c r="H62" s="76"/>
      <c r="I62" s="180"/>
    </row>
    <row r="63" spans="1:9" s="56" customFormat="1" ht="13.8">
      <c r="A63" s="183" t="s">
        <v>149</v>
      </c>
      <c r="B63" s="176">
        <v>59</v>
      </c>
      <c r="C63" s="60"/>
      <c r="D63" s="46" t="str">
        <f t="shared" si="0"/>
        <v/>
      </c>
      <c r="E63" s="61"/>
      <c r="F63" s="46" t="str">
        <f t="shared" si="1"/>
        <v/>
      </c>
      <c r="G63" s="36" t="str">
        <f t="shared" si="3"/>
        <v/>
      </c>
      <c r="H63" s="47" t="str">
        <f t="shared" si="2"/>
        <v/>
      </c>
      <c r="I63" s="180"/>
    </row>
    <row r="64" spans="1:9" s="56" customFormat="1" ht="13.8">
      <c r="A64" s="183" t="s">
        <v>150</v>
      </c>
      <c r="B64" s="176">
        <v>60</v>
      </c>
      <c r="C64" s="60"/>
      <c r="D64" s="46" t="str">
        <f t="shared" si="0"/>
        <v/>
      </c>
      <c r="E64" s="60"/>
      <c r="F64" s="46" t="str">
        <f t="shared" si="1"/>
        <v/>
      </c>
      <c r="G64" s="36" t="str">
        <f t="shared" si="3"/>
        <v/>
      </c>
      <c r="H64" s="47" t="str">
        <f t="shared" si="2"/>
        <v/>
      </c>
      <c r="I64" s="178"/>
    </row>
    <row r="65" spans="1:9" s="56" customFormat="1" ht="13.8">
      <c r="A65" s="183" t="s">
        <v>151</v>
      </c>
      <c r="B65" s="176">
        <v>61</v>
      </c>
      <c r="C65" s="60"/>
      <c r="D65" s="46" t="str">
        <f t="shared" si="0"/>
        <v/>
      </c>
      <c r="E65" s="61"/>
      <c r="F65" s="46" t="str">
        <f t="shared" si="1"/>
        <v/>
      </c>
      <c r="G65" s="36" t="str">
        <f t="shared" si="3"/>
        <v/>
      </c>
      <c r="H65" s="47" t="str">
        <f t="shared" si="2"/>
        <v/>
      </c>
      <c r="I65" s="178"/>
    </row>
    <row r="66" spans="1:9" s="56" customFormat="1" ht="13.8">
      <c r="A66" s="183" t="s">
        <v>152</v>
      </c>
      <c r="B66" s="176">
        <v>62</v>
      </c>
      <c r="C66" s="60"/>
      <c r="D66" s="46" t="str">
        <f t="shared" si="0"/>
        <v/>
      </c>
      <c r="E66" s="61"/>
      <c r="F66" s="46" t="str">
        <f t="shared" si="1"/>
        <v/>
      </c>
      <c r="G66" s="36" t="str">
        <f t="shared" si="3"/>
        <v/>
      </c>
      <c r="H66" s="47" t="str">
        <f t="shared" si="2"/>
        <v/>
      </c>
      <c r="I66" s="178"/>
    </row>
    <row r="67" spans="1:9" s="56" customFormat="1" ht="13.8">
      <c r="A67" s="183" t="s">
        <v>153</v>
      </c>
      <c r="B67" s="176">
        <v>63</v>
      </c>
      <c r="C67" s="60"/>
      <c r="D67" s="46" t="str">
        <f t="shared" si="0"/>
        <v/>
      </c>
      <c r="E67" s="61"/>
      <c r="F67" s="46" t="str">
        <f t="shared" si="1"/>
        <v/>
      </c>
      <c r="G67" s="36" t="str">
        <f t="shared" si="3"/>
        <v/>
      </c>
      <c r="H67" s="47" t="str">
        <f t="shared" si="2"/>
        <v/>
      </c>
      <c r="I67" s="178"/>
    </row>
    <row r="68" spans="1:9" s="56" customFormat="1" ht="13.8">
      <c r="A68" s="183" t="s">
        <v>154</v>
      </c>
      <c r="B68" s="176">
        <v>64</v>
      </c>
      <c r="C68" s="60"/>
      <c r="D68" s="46" t="str">
        <f t="shared" si="0"/>
        <v/>
      </c>
      <c r="E68" s="61"/>
      <c r="F68" s="46" t="str">
        <f t="shared" si="1"/>
        <v/>
      </c>
      <c r="G68" s="36" t="str">
        <f t="shared" si="3"/>
        <v/>
      </c>
      <c r="H68" s="47" t="str">
        <f t="shared" si="2"/>
        <v/>
      </c>
      <c r="I68" s="178"/>
    </row>
    <row r="69" spans="1:9" s="56" customFormat="1" ht="13.8">
      <c r="A69" s="183" t="s">
        <v>155</v>
      </c>
      <c r="B69" s="176">
        <v>65</v>
      </c>
      <c r="C69" s="60"/>
      <c r="D69" s="46" t="str">
        <f t="shared" si="0"/>
        <v/>
      </c>
      <c r="E69" s="61"/>
      <c r="F69" s="46" t="str">
        <f t="shared" si="1"/>
        <v/>
      </c>
      <c r="G69" s="36" t="str">
        <f t="shared" si="3"/>
        <v/>
      </c>
      <c r="H69" s="47" t="str">
        <f t="shared" si="2"/>
        <v/>
      </c>
      <c r="I69" s="178"/>
    </row>
    <row r="70" spans="1:9" s="56" customFormat="1" ht="13.8">
      <c r="A70" s="183" t="s">
        <v>156</v>
      </c>
      <c r="B70" s="176">
        <v>66</v>
      </c>
      <c r="C70" s="60"/>
      <c r="D70" s="46" t="str">
        <f t="shared" si="0"/>
        <v/>
      </c>
      <c r="E70" s="61"/>
      <c r="F70" s="46" t="str">
        <f t="shared" si="1"/>
        <v/>
      </c>
      <c r="G70" s="36" t="str">
        <f t="shared" si="3"/>
        <v/>
      </c>
      <c r="H70" s="47" t="str">
        <f t="shared" si="2"/>
        <v/>
      </c>
      <c r="I70" s="178"/>
    </row>
    <row r="71" spans="1:9" s="56" customFormat="1" ht="13.8">
      <c r="A71" s="183" t="s">
        <v>157</v>
      </c>
      <c r="B71" s="176">
        <v>67</v>
      </c>
      <c r="C71" s="60"/>
      <c r="D71" s="46" t="str">
        <f t="shared" si="0"/>
        <v/>
      </c>
      <c r="E71" s="61"/>
      <c r="F71" s="46" t="str">
        <f t="shared" si="1"/>
        <v/>
      </c>
      <c r="G71" s="36" t="str">
        <f t="shared" si="3"/>
        <v/>
      </c>
      <c r="H71" s="47" t="str">
        <f t="shared" si="2"/>
        <v/>
      </c>
      <c r="I71" s="178"/>
    </row>
    <row r="72" spans="1:9" s="56" customFormat="1" ht="13.8">
      <c r="A72" s="184" t="s">
        <v>158</v>
      </c>
      <c r="B72" s="297">
        <v>68</v>
      </c>
      <c r="C72" s="77"/>
      <c r="D72" s="78" t="str">
        <f t="shared" si="0"/>
        <v/>
      </c>
      <c r="E72" s="66"/>
      <c r="F72" s="78" t="str">
        <f>IF(AND(E72&lt;&gt;0,$E$7&lt;&gt;0),E72/$E$7,"")</f>
        <v/>
      </c>
      <c r="G72" s="67" t="str">
        <f t="shared" si="3"/>
        <v/>
      </c>
      <c r="H72" s="79" t="str">
        <f t="shared" si="2"/>
        <v/>
      </c>
      <c r="I72" s="185"/>
    </row>
    <row r="73" spans="1:9" ht="16.2" thickBot="1">
      <c r="A73" s="186" t="s">
        <v>284</v>
      </c>
      <c r="B73" s="298">
        <v>69</v>
      </c>
      <c r="C73" s="69">
        <f>C67-SUM(C68:C72)</f>
        <v>0</v>
      </c>
      <c r="D73" s="80" t="str">
        <f>IF(AND(C73&lt;&gt;0,$C$7&lt;&gt;0),C73/$C$7,"")</f>
        <v/>
      </c>
      <c r="E73" s="69">
        <f>E67-SUM(E68:E72)</f>
        <v>0</v>
      </c>
      <c r="F73" s="80" t="str">
        <f>IF(AND(E73&lt;&gt;0,$E$7&lt;&gt;0),E73/$E$7,"")</f>
        <v/>
      </c>
      <c r="G73" s="81" t="str">
        <f>IF(AND(D73="",F73=""),"",IF(D73="",F73,IF(F73="",-D73,F73-D73)))</f>
        <v/>
      </c>
      <c r="H73" s="71" t="str">
        <f>IF(G73="","",IF(ABS(G73)&gt;=30%,"显著",IF(ABS(G73)&gt;=10%,"关注","")))</f>
        <v/>
      </c>
      <c r="I73" s="221"/>
    </row>
    <row r="76" spans="1:9">
      <c r="G76" s="72"/>
    </row>
    <row r="77" spans="1:9">
      <c r="G77" s="73"/>
    </row>
  </sheetData>
  <sheetProtection insertRows="0"/>
  <mergeCells count="14">
    <mergeCell ref="J12:K13"/>
    <mergeCell ref="L12:L13"/>
    <mergeCell ref="J8:K8"/>
    <mergeCell ref="J9:K9"/>
    <mergeCell ref="J10:K11"/>
    <mergeCell ref="L10:L11"/>
    <mergeCell ref="A1:I1"/>
    <mergeCell ref="A4:A6"/>
    <mergeCell ref="B4:B6"/>
    <mergeCell ref="C4:D4"/>
    <mergeCell ref="E4:F4"/>
    <mergeCell ref="G4:G5"/>
    <mergeCell ref="H4:H6"/>
    <mergeCell ref="I4:I6"/>
  </mergeCells>
  <phoneticPr fontId="4" type="noConversion"/>
  <conditionalFormatting sqref="I8">
    <cfRule type="cellIs" dxfId="5" priority="4" stopIfTrue="1" operator="equal">
      <formula>"异常"</formula>
    </cfRule>
  </conditionalFormatting>
  <conditionalFormatting sqref="H7:H73">
    <cfRule type="cellIs" dxfId="4" priority="5" stopIfTrue="1" operator="equal">
      <formula>"显著"</formula>
    </cfRule>
  </conditionalFormatting>
  <conditionalFormatting sqref="G43:G46">
    <cfRule type="cellIs" dxfId="3" priority="3" stopIfTrue="1" operator="equal">
      <formula>"显著"</formula>
    </cfRule>
  </conditionalFormatting>
  <conditionalFormatting sqref="G40:G55 G59:G61">
    <cfRule type="cellIs" dxfId="2" priority="1" stopIfTrue="1" operator="equal">
      <formula>"显著"</formula>
    </cfRule>
  </conditionalFormatting>
  <dataValidations count="1">
    <dataValidation type="list" allowBlank="1" showInputMessage="1" showErrorMessage="1" sqref="L8">
      <formula1>"沪深主板,科创板,创业板"</formula1>
    </dataValidation>
  </dataValidations>
  <printOptions horizontalCentered="1"/>
  <pageMargins left="0.63" right="0.23622047244094491" top="0.34" bottom="0.25" header="0.2" footer="0.2"/>
  <pageSetup paperSize="9" scale="74" orientation="portrait" blackAndWhite="1"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0"/>
  <sheetViews>
    <sheetView showZeros="0" view="pageBreakPreview" zoomScaleNormal="100" zoomScaleSheetLayoutView="100" workbookViewId="0">
      <selection activeCell="G14" sqref="G14"/>
    </sheetView>
  </sheetViews>
  <sheetFormatPr defaultColWidth="10.33203125" defaultRowHeight="10.8"/>
  <cols>
    <col min="1" max="1" width="21.44140625" style="82" customWidth="1"/>
    <col min="2" max="2" width="47.33203125" style="111" customWidth="1"/>
    <col min="3" max="3" width="13.5546875" style="112" customWidth="1"/>
    <col min="4" max="4" width="12.5546875" style="112" customWidth="1"/>
    <col min="5" max="5" width="7.33203125" style="82" bestFit="1" customWidth="1"/>
    <col min="6" max="6" width="13.33203125" style="112" customWidth="1"/>
    <col min="7" max="7" width="14" style="112" customWidth="1"/>
    <col min="8" max="8" width="8.6640625" style="82" customWidth="1"/>
    <col min="9" max="9" width="8.5546875" style="82" customWidth="1"/>
    <col min="10" max="10" width="11.33203125" style="82" customWidth="1"/>
    <col min="11" max="11" width="7.88671875" style="82" customWidth="1"/>
    <col min="12" max="16384" width="10.33203125" style="82"/>
  </cols>
  <sheetData>
    <row r="1" spans="1:16" ht="18.600000000000001">
      <c r="A1" s="369" t="s">
        <v>285</v>
      </c>
      <c r="B1" s="369"/>
      <c r="C1" s="369"/>
      <c r="D1" s="369"/>
      <c r="E1" s="369"/>
      <c r="F1" s="369"/>
      <c r="G1" s="369"/>
      <c r="H1" s="369"/>
      <c r="I1" s="369"/>
      <c r="J1" s="369"/>
    </row>
    <row r="2" spans="1:16" s="84" customFormat="1" ht="13.8">
      <c r="A2" s="85" t="str">
        <f>'已审利润纵向分析A1-14-4'!A2</f>
        <v>客户名称：</v>
      </c>
      <c r="B2" s="83"/>
      <c r="C2" s="90" t="str">
        <f>'已审利润纵向分析A1-14-4'!B2</f>
        <v>编制人：</v>
      </c>
      <c r="F2" s="85" t="str">
        <f>'已审利润纵向分析A1-14-4'!F2</f>
        <v>日期：</v>
      </c>
      <c r="I2" s="44" t="s">
        <v>286</v>
      </c>
      <c r="J2" s="85"/>
      <c r="K2" s="86"/>
      <c r="N2" s="87"/>
      <c r="O2" s="88"/>
      <c r="P2" s="89"/>
    </row>
    <row r="3" spans="1:16" s="84" customFormat="1" ht="14.4" thickBot="1">
      <c r="A3" s="85" t="str">
        <f>'已审利润纵向分析A1-14-4'!A3</f>
        <v>会计期间：2017年度</v>
      </c>
      <c r="B3" s="83"/>
      <c r="C3" s="90" t="str">
        <f>'已审利润纵向分析A1-14-4'!B3</f>
        <v>复核人：</v>
      </c>
      <c r="F3" s="90" t="str">
        <f>'已审利润纵向分析A1-14-4'!F3</f>
        <v>日期：</v>
      </c>
      <c r="I3" s="44" t="s">
        <v>102</v>
      </c>
      <c r="J3" s="85"/>
      <c r="K3" s="85"/>
      <c r="N3" s="87"/>
      <c r="O3" s="88"/>
      <c r="P3" s="89"/>
    </row>
    <row r="4" spans="1:16" s="91" customFormat="1" ht="12" customHeight="1">
      <c r="A4" s="370" t="s">
        <v>287</v>
      </c>
      <c r="B4" s="372" t="s">
        <v>288</v>
      </c>
      <c r="C4" s="374" t="s">
        <v>289</v>
      </c>
      <c r="D4" s="374"/>
      <c r="E4" s="374"/>
      <c r="F4" s="374" t="s">
        <v>290</v>
      </c>
      <c r="G4" s="374"/>
      <c r="H4" s="374"/>
      <c r="I4" s="374" t="s">
        <v>291</v>
      </c>
      <c r="J4" s="376" t="s">
        <v>292</v>
      </c>
    </row>
    <row r="5" spans="1:16" s="91" customFormat="1" ht="12" customHeight="1">
      <c r="A5" s="371"/>
      <c r="B5" s="373"/>
      <c r="C5" s="222" t="s">
        <v>293</v>
      </c>
      <c r="D5" s="222" t="s">
        <v>294</v>
      </c>
      <c r="E5" s="223" t="s">
        <v>295</v>
      </c>
      <c r="F5" s="222" t="s">
        <v>293</v>
      </c>
      <c r="G5" s="222" t="s">
        <v>294</v>
      </c>
      <c r="H5" s="223" t="s">
        <v>295</v>
      </c>
      <c r="I5" s="375"/>
      <c r="J5" s="377"/>
    </row>
    <row r="6" spans="1:16" ht="12.75" customHeight="1">
      <c r="A6" s="224" t="s">
        <v>296</v>
      </c>
      <c r="B6" s="225"/>
      <c r="C6" s="226"/>
      <c r="D6" s="226"/>
      <c r="E6" s="227"/>
      <c r="F6" s="226"/>
      <c r="G6" s="226"/>
      <c r="H6" s="227"/>
      <c r="I6" s="227"/>
      <c r="J6" s="228"/>
      <c r="K6" s="92"/>
    </row>
    <row r="7" spans="1:16" ht="12" customHeight="1">
      <c r="A7" s="229" t="s">
        <v>45</v>
      </c>
      <c r="B7" s="230" t="s">
        <v>297</v>
      </c>
      <c r="C7" s="93"/>
      <c r="D7" s="93"/>
      <c r="E7" s="94">
        <f t="shared" ref="E7:E15" si="0">IF(D7=0,0,C7/D7)</f>
        <v>0</v>
      </c>
      <c r="F7" s="307">
        <f>('已审利润纵向分析A1-14-4'!E30+'已审利润纵向分析A1-14-4'!E19-'已审利润纵向分析A1-14-4'!E20)/12*12</f>
        <v>0</v>
      </c>
      <c r="G7" s="307">
        <f>('已审资产负债纵向分析A1-14-2'!L33+'已审资产负债纵向分析A1-14-2'!N33)/2+('已审资产负债纵向分析A1-14-2'!L46+'已审资产负债纵向分析A1-14-2'!N46)/2</f>
        <v>0</v>
      </c>
      <c r="H7" s="94">
        <f t="shared" ref="H7:H15" si="1">IF(G7=0,0,F7/G7)</f>
        <v>0</v>
      </c>
      <c r="I7" s="94">
        <f t="shared" ref="I7:I14" si="2">IF(E7=0,0,(H7-E7)/E7)</f>
        <v>0</v>
      </c>
      <c r="J7" s="231" t="str">
        <f t="shared" ref="J7:J14" si="3">IF(ABS(I7)&lt;20%,"",IF(ABS(I7)&lt;50%,"关注","显著"))</f>
        <v/>
      </c>
      <c r="K7" s="92"/>
    </row>
    <row r="8" spans="1:16" ht="12" customHeight="1">
      <c r="A8" s="232" t="s">
        <v>46</v>
      </c>
      <c r="B8" s="230" t="s">
        <v>298</v>
      </c>
      <c r="C8" s="93"/>
      <c r="D8" s="93"/>
      <c r="E8" s="94">
        <f t="shared" si="0"/>
        <v>0</v>
      </c>
      <c r="F8" s="307">
        <f>'已审利润纵向分析A1-14-4'!E38/12*12</f>
        <v>0</v>
      </c>
      <c r="G8" s="307">
        <f>'已审资产负债纵向分析A1-14-2'!N36</f>
        <v>0</v>
      </c>
      <c r="H8" s="94">
        <f t="shared" si="1"/>
        <v>0</v>
      </c>
      <c r="I8" s="94">
        <f t="shared" si="2"/>
        <v>0</v>
      </c>
      <c r="J8" s="231" t="str">
        <f t="shared" si="3"/>
        <v/>
      </c>
      <c r="K8" s="92"/>
    </row>
    <row r="9" spans="1:16" ht="12" customHeight="1">
      <c r="A9" s="229" t="s">
        <v>47</v>
      </c>
      <c r="B9" s="230" t="s">
        <v>299</v>
      </c>
      <c r="C9" s="93"/>
      <c r="D9" s="93"/>
      <c r="E9" s="94">
        <f t="shared" si="0"/>
        <v>0</v>
      </c>
      <c r="F9" s="307">
        <f>'已审利润纵向分析A1-14-4'!E33/12*12</f>
        <v>0</v>
      </c>
      <c r="G9" s="307">
        <f>('已审资产负债纵向分析A1-14-2'!L48+'已审资产负债纵向分析A1-14-2'!N48)/2</f>
        <v>0</v>
      </c>
      <c r="H9" s="94">
        <f t="shared" si="1"/>
        <v>0</v>
      </c>
      <c r="I9" s="94">
        <f t="shared" si="2"/>
        <v>0</v>
      </c>
      <c r="J9" s="231" t="str">
        <f t="shared" si="3"/>
        <v/>
      </c>
      <c r="K9" s="92"/>
    </row>
    <row r="10" spans="1:16" ht="12" customHeight="1">
      <c r="A10" s="229" t="s">
        <v>48</v>
      </c>
      <c r="B10" s="230" t="s">
        <v>300</v>
      </c>
      <c r="C10" s="93"/>
      <c r="D10" s="93"/>
      <c r="E10" s="94">
        <f t="shared" si="0"/>
        <v>0</v>
      </c>
      <c r="F10" s="307">
        <f>('已审利润纵向分析A1-14-4'!E30+'已审利润纵向分析A1-14-4'!E19-'已审利润纵向分析A1-14-4'!E20)/12*12</f>
        <v>0</v>
      </c>
      <c r="G10" s="307">
        <f>('已审资产负债纵向分析A1-14-2'!C49+'已审资产负债纵向分析A1-14-2'!E49)/2</f>
        <v>0</v>
      </c>
      <c r="H10" s="94">
        <f t="shared" si="1"/>
        <v>0</v>
      </c>
      <c r="I10" s="94">
        <f t="shared" si="2"/>
        <v>0</v>
      </c>
      <c r="J10" s="231" t="str">
        <f t="shared" si="3"/>
        <v/>
      </c>
      <c r="K10" s="92"/>
    </row>
    <row r="11" spans="1:16" ht="12" customHeight="1">
      <c r="A11" s="229" t="s">
        <v>49</v>
      </c>
      <c r="B11" s="230" t="s">
        <v>301</v>
      </c>
      <c r="C11" s="93"/>
      <c r="D11" s="93"/>
      <c r="E11" s="94">
        <f t="shared" si="0"/>
        <v>0</v>
      </c>
      <c r="F11" s="307">
        <f>'已审利润纵向分析A1-14-4'!E7-'已审利润纵向分析A1-14-4'!E10</f>
        <v>0</v>
      </c>
      <c r="G11" s="307">
        <f>'已审利润纵向分析A1-14-4'!E7</f>
        <v>0</v>
      </c>
      <c r="H11" s="94">
        <f t="shared" si="1"/>
        <v>0</v>
      </c>
      <c r="I11" s="94">
        <f t="shared" si="2"/>
        <v>0</v>
      </c>
      <c r="J11" s="231" t="str">
        <f t="shared" si="3"/>
        <v/>
      </c>
      <c r="K11" s="92"/>
    </row>
    <row r="12" spans="1:16" ht="12" customHeight="1">
      <c r="A12" s="229" t="s">
        <v>50</v>
      </c>
      <c r="B12" s="230" t="s">
        <v>302</v>
      </c>
      <c r="C12" s="93"/>
      <c r="D12" s="93"/>
      <c r="E12" s="94">
        <f t="shared" si="0"/>
        <v>0</v>
      </c>
      <c r="F12" s="307">
        <f>'已审利润纵向分析A1-14-4'!E27+'已审利润纵向分析A1-14-4'!E19-'已审利润纵向分析A1-14-4'!E20</f>
        <v>0</v>
      </c>
      <c r="G12" s="307">
        <f>'已审利润纵向分析A1-14-4'!E7</f>
        <v>0</v>
      </c>
      <c r="H12" s="94">
        <f t="shared" si="1"/>
        <v>0</v>
      </c>
      <c r="I12" s="94">
        <f t="shared" si="2"/>
        <v>0</v>
      </c>
      <c r="J12" s="231" t="str">
        <f t="shared" si="3"/>
        <v/>
      </c>
      <c r="K12" s="92"/>
    </row>
    <row r="13" spans="1:16" ht="12" customHeight="1">
      <c r="A13" s="229" t="s">
        <v>51</v>
      </c>
      <c r="B13" s="230" t="s">
        <v>303</v>
      </c>
      <c r="C13" s="93"/>
      <c r="D13" s="93"/>
      <c r="E13" s="94">
        <f t="shared" si="0"/>
        <v>0</v>
      </c>
      <c r="F13" s="307">
        <f>'已审利润纵向分析A1-14-4'!E33</f>
        <v>0</v>
      </c>
      <c r="G13" s="307">
        <f>'已审利润纵向分析A1-14-4'!E7</f>
        <v>0</v>
      </c>
      <c r="H13" s="94">
        <f t="shared" si="1"/>
        <v>0</v>
      </c>
      <c r="I13" s="94">
        <f t="shared" si="2"/>
        <v>0</v>
      </c>
      <c r="J13" s="231" t="str">
        <f t="shared" si="3"/>
        <v/>
      </c>
      <c r="K13" s="92"/>
    </row>
    <row r="14" spans="1:16" ht="12" customHeight="1">
      <c r="A14" s="229" t="s">
        <v>52</v>
      </c>
      <c r="B14" s="309" t="s">
        <v>464</v>
      </c>
      <c r="C14" s="93"/>
      <c r="D14" s="93"/>
      <c r="E14" s="94">
        <f t="shared" si="0"/>
        <v>0</v>
      </c>
      <c r="F14" s="307">
        <f>'已审利润纵向分析A1-14-4'!E27</f>
        <v>0</v>
      </c>
      <c r="G14" s="308">
        <f>'已审利润纵向分析A1-14-4'!E10+'已审利润纵向分析A1-14-4'!E14+'已审利润纵向分析A1-14-4'!E15+'已审利润纵向分析A1-14-4'!E18+'已审利润纵向分析A1-14-4'!E17</f>
        <v>0</v>
      </c>
      <c r="H14" s="94">
        <f t="shared" si="1"/>
        <v>0</v>
      </c>
      <c r="I14" s="94">
        <f t="shared" si="2"/>
        <v>0</v>
      </c>
      <c r="J14" s="231" t="str">
        <f t="shared" si="3"/>
        <v/>
      </c>
      <c r="K14" s="92"/>
    </row>
    <row r="15" spans="1:16" ht="12" customHeight="1">
      <c r="A15" s="229" t="s">
        <v>304</v>
      </c>
      <c r="B15" s="230" t="s">
        <v>305</v>
      </c>
      <c r="C15" s="93"/>
      <c r="D15" s="93"/>
      <c r="E15" s="94">
        <f t="shared" si="0"/>
        <v>0</v>
      </c>
      <c r="F15" s="308">
        <f>'已审利润纵向分析A1-14-4'!E17</f>
        <v>0</v>
      </c>
      <c r="G15" s="308">
        <f>'已审利润纵向分析A1-14-4'!E8</f>
        <v>0</v>
      </c>
      <c r="H15" s="94">
        <f t="shared" si="1"/>
        <v>0</v>
      </c>
      <c r="I15" s="94"/>
      <c r="J15" s="231"/>
      <c r="K15" s="92"/>
    </row>
    <row r="16" spans="1:16" ht="12" customHeight="1">
      <c r="A16" s="233" t="s">
        <v>306</v>
      </c>
      <c r="B16" s="234"/>
      <c r="C16" s="95"/>
      <c r="D16" s="95"/>
      <c r="E16" s="96"/>
      <c r="F16" s="95"/>
      <c r="G16" s="95"/>
      <c r="H16" s="96"/>
      <c r="I16" s="96"/>
      <c r="J16" s="235"/>
      <c r="K16" s="92"/>
    </row>
    <row r="17" spans="1:11" ht="12" customHeight="1">
      <c r="A17" s="229" t="s">
        <v>53</v>
      </c>
      <c r="B17" s="230" t="s">
        <v>307</v>
      </c>
      <c r="C17" s="93"/>
      <c r="D17" s="93"/>
      <c r="E17" s="94">
        <f>IF(D17=0,0,C17/D17)</f>
        <v>0</v>
      </c>
      <c r="F17" s="307">
        <f>'已审资产负债纵向分析A1-14-2'!E21</f>
        <v>0</v>
      </c>
      <c r="G17" s="307">
        <f>'已审资产负债纵向分析A1-14-2'!N21</f>
        <v>0</v>
      </c>
      <c r="H17" s="94">
        <f>IF(G17=0,0,F17/G17)</f>
        <v>0</v>
      </c>
      <c r="I17" s="94">
        <f>IF(E17=0,0,(H17-E17)/E17)</f>
        <v>0</v>
      </c>
      <c r="J17" s="231" t="str">
        <f>IF(AND(H17=0,I17=0),"",IF(AND(ABS(I17)&lt;20%,H17&gt;=1.6),"",IF(OR(ABS(I17)&gt;=50%,H17&lt;=1),"显著","关注")))</f>
        <v/>
      </c>
      <c r="K17" s="92"/>
    </row>
    <row r="18" spans="1:11" ht="12" customHeight="1">
      <c r="A18" s="229" t="s">
        <v>54</v>
      </c>
      <c r="B18" s="230" t="s">
        <v>308</v>
      </c>
      <c r="C18" s="93"/>
      <c r="D18" s="93"/>
      <c r="E18" s="94">
        <f>IF(D18=0,0,C18/D18)</f>
        <v>0</v>
      </c>
      <c r="F18" s="307">
        <f>'已审资产负债纵向分析A1-14-2'!E21-'已审资产负债纵向分析A1-14-2'!E14</f>
        <v>0</v>
      </c>
      <c r="G18" s="307">
        <f>'已审资产负债纵向分析A1-14-2'!N21</f>
        <v>0</v>
      </c>
      <c r="H18" s="94">
        <f>IF(G18=0,0,F18/G18)</f>
        <v>0</v>
      </c>
      <c r="I18" s="94">
        <f>IF(E18=0,0,(H18-E18)/E18)</f>
        <v>0</v>
      </c>
      <c r="J18" s="231" t="str">
        <f>IF(AND(H18=0,I18=0),"",IF(AND(ABS(I18)&lt;20%,H18&gt;=0.8),"",IF(OR(ABS(I18)&gt;=50%,H18&lt;=0.5),"显著","关注")))</f>
        <v/>
      </c>
      <c r="K18" s="92"/>
    </row>
    <row r="19" spans="1:11" ht="12" customHeight="1">
      <c r="A19" s="229" t="s">
        <v>55</v>
      </c>
      <c r="B19" s="230" t="s">
        <v>309</v>
      </c>
      <c r="C19" s="93"/>
      <c r="D19" s="93"/>
      <c r="E19" s="94">
        <f>IF(D19=0,0,C19/D19)</f>
        <v>0</v>
      </c>
      <c r="F19" s="307">
        <f>'已审资产负债纵向分析A1-14-2'!E8+'已审资产负债纵向分析A1-14-2'!E9</f>
        <v>0</v>
      </c>
      <c r="G19" s="307">
        <f>'已审资产负债纵向分析A1-14-2'!N21</f>
        <v>0</v>
      </c>
      <c r="H19" s="94">
        <f>IF(G19=0,0,F19/G19)</f>
        <v>0</v>
      </c>
      <c r="I19" s="94">
        <f>IF(E19=0,0,(H19-E19)/E19)</f>
        <v>0</v>
      </c>
      <c r="J19" s="231" t="str">
        <f>IF(AND(H19=0,I19=0),"",IF(AND(ABS(I19)&lt;20%,H19&gt;=0.24),"",IF(OR(ABS(I19)&gt;=50%,H19&lt;=0.15),"显著","关注")))</f>
        <v/>
      </c>
      <c r="K19" s="92"/>
    </row>
    <row r="20" spans="1:11" ht="12" customHeight="1">
      <c r="A20" s="233" t="s">
        <v>310</v>
      </c>
      <c r="B20" s="234"/>
      <c r="C20" s="95"/>
      <c r="D20" s="95"/>
      <c r="E20" s="96"/>
      <c r="F20" s="95"/>
      <c r="G20" s="95"/>
      <c r="H20" s="96"/>
      <c r="I20" s="96"/>
      <c r="J20" s="235" t="str">
        <f>IF(ABS(I20)&lt;20%,"",IF(ABS(I20)&lt;50%,"关注","异常"))</f>
        <v/>
      </c>
      <c r="K20" s="92"/>
    </row>
    <row r="21" spans="1:11" ht="12" customHeight="1">
      <c r="A21" s="229" t="s">
        <v>56</v>
      </c>
      <c r="B21" s="230" t="s">
        <v>311</v>
      </c>
      <c r="C21" s="93"/>
      <c r="D21" s="93"/>
      <c r="E21" s="94">
        <f t="shared" ref="E21:E27" si="4">IF(D21=0,0,C21/D21)</f>
        <v>0</v>
      </c>
      <c r="F21" s="307">
        <f>'已审资产负债纵向分析A1-14-2'!N34</f>
        <v>0</v>
      </c>
      <c r="G21" s="307">
        <f>'已审资产负债纵向分析A1-14-2'!E49</f>
        <v>0</v>
      </c>
      <c r="H21" s="94">
        <f t="shared" ref="H21:H27" si="5">IF(G21=0,0,F21/G21)</f>
        <v>0</v>
      </c>
      <c r="I21" s="94">
        <f t="shared" ref="I21:I27" si="6">IF(E21=0,0,(H21-E21)/E21)</f>
        <v>0</v>
      </c>
      <c r="J21" s="231" t="str">
        <f>IF(AND(ABS(I21)&lt;20%,H21&lt;=60%),"",IF(OR(ABS(I21)&gt;=50%,H21&gt;=90%),"显著","关注"))</f>
        <v/>
      </c>
      <c r="K21" s="92"/>
    </row>
    <row r="22" spans="1:11" ht="12" customHeight="1">
      <c r="A22" s="229" t="s">
        <v>57</v>
      </c>
      <c r="B22" s="230" t="s">
        <v>312</v>
      </c>
      <c r="C22" s="93"/>
      <c r="D22" s="93"/>
      <c r="E22" s="94">
        <f t="shared" si="4"/>
        <v>0</v>
      </c>
      <c r="F22" s="307">
        <f>'已审资产负债纵向分析A1-14-2'!N34</f>
        <v>0</v>
      </c>
      <c r="G22" s="307">
        <f>'已审资产负债纵向分析A1-14-2'!N48</f>
        <v>0</v>
      </c>
      <c r="H22" s="94">
        <f t="shared" si="5"/>
        <v>0</v>
      </c>
      <c r="I22" s="94">
        <f t="shared" si="6"/>
        <v>0</v>
      </c>
      <c r="J22" s="231" t="str">
        <f>IF(AND(ABS(I22)&lt;20%,H22&lt;=100%),"",IF(OR(ABS(I22)&gt;=50%,H22&gt;=150%),"显著","关注"))</f>
        <v/>
      </c>
      <c r="K22" s="92"/>
    </row>
    <row r="23" spans="1:11" ht="12" customHeight="1">
      <c r="A23" s="229" t="s">
        <v>58</v>
      </c>
      <c r="B23" s="230" t="s">
        <v>313</v>
      </c>
      <c r="C23" s="93"/>
      <c r="D23" s="93"/>
      <c r="E23" s="94">
        <f t="shared" si="4"/>
        <v>0</v>
      </c>
      <c r="F23" s="307">
        <f>'已审资产负债纵向分析A1-14-2'!N34</f>
        <v>0</v>
      </c>
      <c r="G23" s="307">
        <f>'已审资产负债纵向分析A1-14-2'!N48-'已审资产负债纵向分析A1-14-2'!E33-'已审资产负债纵向分析A1-14-2'!E34-'已审资产负债纵向分析A1-14-2'!E35-'已审资产负债纵向分析A1-14-2'!E37</f>
        <v>0</v>
      </c>
      <c r="H23" s="94">
        <f t="shared" si="5"/>
        <v>0</v>
      </c>
      <c r="I23" s="94">
        <f t="shared" si="6"/>
        <v>0</v>
      </c>
      <c r="J23" s="231" t="str">
        <f>IF(AND(ABS(I23)&lt;20%,H23&lt;=150%),"",IF(OR(ABS(I23)&gt;=50%,H23&gt;=200%),"显著","关注"))</f>
        <v/>
      </c>
      <c r="K23" s="92"/>
    </row>
    <row r="24" spans="1:11" ht="12" customHeight="1">
      <c r="A24" s="229" t="s">
        <v>59</v>
      </c>
      <c r="B24" s="230" t="s">
        <v>314</v>
      </c>
      <c r="C24" s="93"/>
      <c r="D24" s="93"/>
      <c r="E24" s="94">
        <f t="shared" si="4"/>
        <v>0</v>
      </c>
      <c r="F24" s="307">
        <f>'已审利润纵向分析A1-14-4'!E30+'已审利润纵向分析A1-14-4'!E19-'已审利润纵向分析A1-14-4'!E20</f>
        <v>0</v>
      </c>
      <c r="G24" s="307">
        <f>'已审利润纵向分析A1-14-4'!E19-'已审利润纵向分析A1-14-4'!E20</f>
        <v>0</v>
      </c>
      <c r="H24" s="94">
        <f t="shared" si="5"/>
        <v>0</v>
      </c>
      <c r="I24" s="94">
        <f t="shared" si="6"/>
        <v>0</v>
      </c>
      <c r="J24" s="231" t="str">
        <f>IF(AND(H24=0,I24=0),"",IF(AND(ABS(I24)&lt;20%,H24&gt;=100%),"",IF(OR(ABS(I24)&gt;=50%,H24&lt;=50%),"显著","关注")))</f>
        <v/>
      </c>
      <c r="K24" s="92"/>
    </row>
    <row r="25" spans="1:11" ht="12" customHeight="1">
      <c r="A25" s="229" t="s">
        <v>60</v>
      </c>
      <c r="B25" s="230" t="s">
        <v>315</v>
      </c>
      <c r="C25" s="93"/>
      <c r="D25" s="93"/>
      <c r="E25" s="94">
        <f t="shared" si="4"/>
        <v>0</v>
      </c>
      <c r="F25" s="307">
        <f>'已审资产负债纵向分析A1-14-2'!E21-'已审资产负债纵向分析A1-14-2'!N21</f>
        <v>0</v>
      </c>
      <c r="G25" s="307">
        <f>'已审资产负债纵向分析A1-14-2'!N33</f>
        <v>0</v>
      </c>
      <c r="H25" s="94">
        <f t="shared" si="5"/>
        <v>0</v>
      </c>
      <c r="I25" s="94">
        <f t="shared" si="6"/>
        <v>0</v>
      </c>
      <c r="J25" s="231" t="str">
        <f>IF(AND(H25=0,I25=0),"",IF(AND(ABS(I25)&lt;20%,H25&gt;=100%),"",IF(OR(ABS(I25)&gt;=50%,H25&lt;=50%),"显著","关注")))</f>
        <v/>
      </c>
      <c r="K25" s="92"/>
    </row>
    <row r="26" spans="1:11" ht="12" customHeight="1">
      <c r="A26" s="229" t="s">
        <v>61</v>
      </c>
      <c r="B26" s="230" t="s">
        <v>316</v>
      </c>
      <c r="C26" s="93"/>
      <c r="D26" s="93"/>
      <c r="E26" s="94">
        <f t="shared" si="4"/>
        <v>0</v>
      </c>
      <c r="F26" s="307">
        <f>'已审资产负债纵向分析A1-14-2'!N33</f>
        <v>0</v>
      </c>
      <c r="G26" s="307">
        <f>'已审资产负债纵向分析A1-14-2'!N34</f>
        <v>0</v>
      </c>
      <c r="H26" s="94">
        <f t="shared" si="5"/>
        <v>0</v>
      </c>
      <c r="I26" s="94">
        <f t="shared" si="6"/>
        <v>0</v>
      </c>
      <c r="J26" s="231" t="str">
        <f>IF(ABS(I26)&lt;20%,"",IF(ABS(I26)&lt;50%,"关注","显著"))</f>
        <v/>
      </c>
      <c r="K26" s="92"/>
    </row>
    <row r="27" spans="1:11" ht="12" customHeight="1">
      <c r="A27" s="229" t="s">
        <v>62</v>
      </c>
      <c r="B27" s="230" t="s">
        <v>317</v>
      </c>
      <c r="C27" s="93"/>
      <c r="D27" s="93"/>
      <c r="E27" s="94">
        <f t="shared" si="4"/>
        <v>0</v>
      </c>
      <c r="F27" s="307">
        <f>'已审资产负债纵向分析A1-14-2'!N21+'已审利润纵向分析A1-14-4'!E73</f>
        <v>0</v>
      </c>
      <c r="G27" s="307">
        <f>'已审资产负债纵向分析A1-14-2'!N34+'已审资产负债纵向分析A1-14-2'!N46</f>
        <v>0</v>
      </c>
      <c r="H27" s="94">
        <f t="shared" si="5"/>
        <v>0</v>
      </c>
      <c r="I27" s="94">
        <f t="shared" si="6"/>
        <v>0</v>
      </c>
      <c r="J27" s="231" t="str">
        <f>IF(AND(H27=0,I27=0),"",IF(AND(ABS(I27)&lt;20%,H27&gt;=50%),"",IF(OR(ABS(I27)&gt;=50%,H27&lt;=30%),"显著","关注")))</f>
        <v/>
      </c>
      <c r="K27" s="92"/>
    </row>
    <row r="28" spans="1:11" ht="12" customHeight="1">
      <c r="A28" s="233" t="s">
        <v>318</v>
      </c>
      <c r="B28" s="234"/>
      <c r="C28" s="95"/>
      <c r="D28" s="95"/>
      <c r="E28" s="96"/>
      <c r="F28" s="95"/>
      <c r="G28" s="95"/>
      <c r="H28" s="96"/>
      <c r="I28" s="96"/>
      <c r="J28" s="235"/>
      <c r="K28" s="92"/>
    </row>
    <row r="29" spans="1:11" ht="12" customHeight="1">
      <c r="A29" s="229" t="s">
        <v>63</v>
      </c>
      <c r="B29" s="230" t="s">
        <v>319</v>
      </c>
      <c r="C29" s="93"/>
      <c r="D29" s="93"/>
      <c r="E29" s="94">
        <f>IF(D29=0,0,C29/D29)</f>
        <v>0</v>
      </c>
      <c r="F29" s="307">
        <f>'已审利润纵向分析A1-14-4'!E7/12*12</f>
        <v>0</v>
      </c>
      <c r="G29" s="307">
        <f>('已审资产负债纵向分析A1-14-2'!C49+'已审资产负债纵向分析A1-14-2'!E49)/2</f>
        <v>0</v>
      </c>
      <c r="H29" s="94">
        <f>IF(G29=0,0,F29/G29)</f>
        <v>0</v>
      </c>
      <c r="I29" s="94">
        <f t="shared" ref="I29:I34" si="7">IF(E29=0,0,(H29-E29)/E29)</f>
        <v>0</v>
      </c>
      <c r="J29" s="231" t="str">
        <f t="shared" ref="J29:J34" si="8">IF(ABS(I29)&lt;20%,"",IF(ABS(I29)&lt;50%,"关注","显著"))</f>
        <v/>
      </c>
      <c r="K29" s="92"/>
    </row>
    <row r="30" spans="1:11" ht="12" customHeight="1">
      <c r="A30" s="229" t="s">
        <v>64</v>
      </c>
      <c r="B30" s="230" t="s">
        <v>320</v>
      </c>
      <c r="C30" s="93"/>
      <c r="D30" s="93"/>
      <c r="E30" s="94">
        <f>IF(D30=0,0,C30/D30)</f>
        <v>0</v>
      </c>
      <c r="F30" s="307">
        <f>'已审利润纵向分析A1-14-4'!E7/12*12</f>
        <v>0</v>
      </c>
      <c r="G30" s="307">
        <f>('已审资产负债纵向分析A1-14-2'!C29+'已审资产负债纵向分析A1-14-2'!E29)/2</f>
        <v>0</v>
      </c>
      <c r="H30" s="94">
        <f>IF(G30=0,0,F30/G30)</f>
        <v>0</v>
      </c>
      <c r="I30" s="94">
        <f t="shared" si="7"/>
        <v>0</v>
      </c>
      <c r="J30" s="231" t="str">
        <f t="shared" si="8"/>
        <v/>
      </c>
      <c r="K30" s="92"/>
    </row>
    <row r="31" spans="1:11" ht="12" customHeight="1">
      <c r="A31" s="229" t="s">
        <v>65</v>
      </c>
      <c r="B31" s="230" t="s">
        <v>321</v>
      </c>
      <c r="C31" s="93"/>
      <c r="D31" s="93"/>
      <c r="E31" s="94">
        <f>IF(D31=0,0,C31/D31)</f>
        <v>0</v>
      </c>
      <c r="F31" s="307">
        <f>'已审利润纵向分析A1-14-4'!E7/12*12</f>
        <v>0</v>
      </c>
      <c r="G31" s="307">
        <f>('已审资产负债纵向分析A1-14-2'!C21+'已审资产负债纵向分析A1-14-2'!E21)/2</f>
        <v>0</v>
      </c>
      <c r="H31" s="94">
        <f>IF(G31=0,0,F31/G31)</f>
        <v>0</v>
      </c>
      <c r="I31" s="94">
        <f t="shared" si="7"/>
        <v>0</v>
      </c>
      <c r="J31" s="231" t="str">
        <f t="shared" si="8"/>
        <v/>
      </c>
      <c r="K31" s="92"/>
    </row>
    <row r="32" spans="1:11" ht="12" customHeight="1">
      <c r="A32" s="229" t="s">
        <v>66</v>
      </c>
      <c r="B32" s="230" t="s">
        <v>322</v>
      </c>
      <c r="C32" s="93"/>
      <c r="D32" s="93"/>
      <c r="E32" s="94">
        <f>IF(D32=0,0,C32/D32)</f>
        <v>0</v>
      </c>
      <c r="F32" s="307">
        <f>'已审利润纵向分析A1-14-4'!E7/12*12</f>
        <v>0</v>
      </c>
      <c r="G32" s="307">
        <f>('已审资产负债纵向分析A1-14-2'!C11+'已审资产负债纵向分析A1-14-2'!E11)/2</f>
        <v>0</v>
      </c>
      <c r="H32" s="97">
        <f>IF(G32=0,0,F32/G32)</f>
        <v>0</v>
      </c>
      <c r="I32" s="94">
        <f t="shared" si="7"/>
        <v>0</v>
      </c>
      <c r="J32" s="231" t="str">
        <f t="shared" si="8"/>
        <v/>
      </c>
      <c r="K32" s="92"/>
    </row>
    <row r="33" spans="1:11" ht="12" customHeight="1">
      <c r="A33" s="229" t="s">
        <v>67</v>
      </c>
      <c r="B33" s="230" t="s">
        <v>323</v>
      </c>
      <c r="C33" s="93"/>
      <c r="D33" s="93"/>
      <c r="E33" s="94">
        <f>IF(D33=0,0,C33/D33)</f>
        <v>0</v>
      </c>
      <c r="F33" s="307">
        <f>'已审利润纵向分析A1-14-4'!E10/12*12</f>
        <v>0</v>
      </c>
      <c r="G33" s="307">
        <f>('已审资产负债纵向分析A1-14-2'!C14+'已审资产负债纵向分析A1-14-2'!E14)/2</f>
        <v>0</v>
      </c>
      <c r="H33" s="97">
        <f>IF(G33=0,0,F33/G33)</f>
        <v>0</v>
      </c>
      <c r="I33" s="94">
        <f t="shared" si="7"/>
        <v>0</v>
      </c>
      <c r="J33" s="231" t="str">
        <f t="shared" si="8"/>
        <v/>
      </c>
      <c r="K33" s="92"/>
    </row>
    <row r="34" spans="1:11" ht="12" customHeight="1">
      <c r="A34" s="229" t="s">
        <v>68</v>
      </c>
      <c r="B34" s="230" t="s">
        <v>324</v>
      </c>
      <c r="C34" s="93"/>
      <c r="D34" s="93"/>
      <c r="E34" s="94">
        <f>SUM(C34:D34)</f>
        <v>0</v>
      </c>
      <c r="F34" s="307">
        <f>IF(H32&lt;&gt;0,365/H32,)</f>
        <v>0</v>
      </c>
      <c r="G34" s="307">
        <f>IF(H33&lt;&gt;0,365/H33,)</f>
        <v>0</v>
      </c>
      <c r="H34" s="98">
        <f>SUM(F34:G34)</f>
        <v>0</v>
      </c>
      <c r="I34" s="94">
        <f t="shared" si="7"/>
        <v>0</v>
      </c>
      <c r="J34" s="231" t="str">
        <f t="shared" si="8"/>
        <v/>
      </c>
      <c r="K34" s="92"/>
    </row>
    <row r="35" spans="1:11" ht="12" customHeight="1">
      <c r="A35" s="233" t="s">
        <v>325</v>
      </c>
      <c r="B35" s="234"/>
      <c r="C35" s="95"/>
      <c r="D35" s="95"/>
      <c r="E35" s="99"/>
      <c r="F35" s="95"/>
      <c r="G35" s="95"/>
      <c r="H35" s="99"/>
      <c r="I35" s="96"/>
      <c r="J35" s="235"/>
      <c r="K35" s="92"/>
    </row>
    <row r="36" spans="1:11" ht="12" customHeight="1">
      <c r="A36" s="229" t="s">
        <v>69</v>
      </c>
      <c r="B36" s="230" t="s">
        <v>326</v>
      </c>
      <c r="C36" s="93"/>
      <c r="D36" s="93"/>
      <c r="E36" s="94">
        <f t="shared" ref="E36:E41" si="9">IF(D36=0,0,C36/D36)</f>
        <v>0</v>
      </c>
      <c r="F36" s="93">
        <f>'已审资产负债纵向分析A1-14-2'!N48</f>
        <v>0</v>
      </c>
      <c r="G36" s="93">
        <f>'已审资产负债纵向分析A1-14-2'!L48</f>
        <v>0</v>
      </c>
      <c r="H36" s="94">
        <f t="shared" ref="H36:H41" si="10">IF(G36=0,0,F36/G36)</f>
        <v>0</v>
      </c>
      <c r="I36" s="94">
        <f t="shared" ref="I36:I41" si="11">IF(E36=0,0,(H36-E36)/E36)</f>
        <v>0</v>
      </c>
      <c r="J36" s="231" t="str">
        <f t="shared" ref="J36:J41" si="12">IF(ABS(I36)&lt;20%,"",IF(ABS(I36)&lt;50%,"关注","显著"))</f>
        <v/>
      </c>
      <c r="K36" s="92"/>
    </row>
    <row r="37" spans="1:11" ht="12" customHeight="1">
      <c r="A37" s="229" t="s">
        <v>70</v>
      </c>
      <c r="B37" s="230" t="s">
        <v>327</v>
      </c>
      <c r="C37" s="93"/>
      <c r="D37" s="93"/>
      <c r="E37" s="94">
        <f t="shared" si="9"/>
        <v>0</v>
      </c>
      <c r="F37" s="93"/>
      <c r="G37" s="307">
        <f>('已审资产负债纵向分析A1-14-2'!C49+'已审资产负债纵向分析A1-14-2'!E49)/2</f>
        <v>0</v>
      </c>
      <c r="H37" s="94">
        <f t="shared" si="10"/>
        <v>0</v>
      </c>
      <c r="I37" s="94">
        <f t="shared" si="11"/>
        <v>0</v>
      </c>
      <c r="J37" s="231" t="str">
        <f t="shared" si="12"/>
        <v/>
      </c>
      <c r="K37" s="92"/>
    </row>
    <row r="38" spans="1:11" ht="12" customHeight="1">
      <c r="A38" s="229" t="s">
        <v>71</v>
      </c>
      <c r="B38" s="230" t="s">
        <v>328</v>
      </c>
      <c r="C38" s="93"/>
      <c r="D38" s="93"/>
      <c r="E38" s="94">
        <f t="shared" si="9"/>
        <v>0</v>
      </c>
      <c r="F38" s="93"/>
      <c r="G38" s="93">
        <f>F37</f>
        <v>0</v>
      </c>
      <c r="H38" s="94">
        <f t="shared" si="10"/>
        <v>0</v>
      </c>
      <c r="I38" s="94">
        <f t="shared" si="11"/>
        <v>0</v>
      </c>
      <c r="J38" s="231" t="str">
        <f t="shared" si="12"/>
        <v/>
      </c>
      <c r="K38" s="92"/>
    </row>
    <row r="39" spans="1:11" ht="12" customHeight="1">
      <c r="A39" s="229" t="s">
        <v>72</v>
      </c>
      <c r="B39" s="230" t="s">
        <v>329</v>
      </c>
      <c r="C39" s="93"/>
      <c r="D39" s="93"/>
      <c r="E39" s="94">
        <f t="shared" si="9"/>
        <v>0</v>
      </c>
      <c r="F39" s="93"/>
      <c r="G39" s="93">
        <f>'已审资产负债纵向分析A1-14-2'!E49</f>
        <v>0</v>
      </c>
      <c r="H39" s="94">
        <f t="shared" si="10"/>
        <v>0</v>
      </c>
      <c r="I39" s="94">
        <f t="shared" si="11"/>
        <v>0</v>
      </c>
      <c r="J39" s="231" t="str">
        <f t="shared" si="12"/>
        <v/>
      </c>
      <c r="K39" s="92"/>
    </row>
    <row r="40" spans="1:11" ht="12" customHeight="1">
      <c r="A40" s="229" t="s">
        <v>73</v>
      </c>
      <c r="B40" s="230" t="s">
        <v>330</v>
      </c>
      <c r="C40" s="93"/>
      <c r="D40" s="93"/>
      <c r="E40" s="94">
        <f t="shared" si="9"/>
        <v>0</v>
      </c>
      <c r="F40" s="93"/>
      <c r="G40" s="93">
        <f>'已审资产负债纵向分析A1-14-2'!E49</f>
        <v>0</v>
      </c>
      <c r="H40" s="94">
        <f t="shared" si="10"/>
        <v>0</v>
      </c>
      <c r="I40" s="94">
        <f t="shared" si="11"/>
        <v>0</v>
      </c>
      <c r="J40" s="231" t="str">
        <f t="shared" si="12"/>
        <v/>
      </c>
      <c r="K40" s="92"/>
    </row>
    <row r="41" spans="1:11" ht="12" customHeight="1">
      <c r="A41" s="229" t="s">
        <v>74</v>
      </c>
      <c r="B41" s="230" t="s">
        <v>331</v>
      </c>
      <c r="C41" s="93"/>
      <c r="D41" s="93"/>
      <c r="E41" s="94">
        <f t="shared" si="9"/>
        <v>0</v>
      </c>
      <c r="F41" s="93">
        <f>('已审资产负债纵向分析A1-14-2'!C29+'已审资产负债纵向分析A1-14-2'!E29)/2</f>
        <v>0</v>
      </c>
      <c r="G41" s="93"/>
      <c r="H41" s="94">
        <f t="shared" si="10"/>
        <v>0</v>
      </c>
      <c r="I41" s="94">
        <f t="shared" si="11"/>
        <v>0</v>
      </c>
      <c r="J41" s="231" t="str">
        <f t="shared" si="12"/>
        <v/>
      </c>
      <c r="K41" s="92"/>
    </row>
    <row r="42" spans="1:11" ht="12" customHeight="1">
      <c r="A42" s="236" t="s">
        <v>332</v>
      </c>
      <c r="B42" s="234"/>
      <c r="C42" s="95"/>
      <c r="D42" s="95"/>
      <c r="E42" s="100"/>
      <c r="F42" s="95"/>
      <c r="G42" s="95"/>
      <c r="H42" s="96"/>
      <c r="I42" s="96"/>
      <c r="J42" s="235"/>
      <c r="K42" s="92"/>
    </row>
    <row r="43" spans="1:11" ht="12" customHeight="1">
      <c r="A43" s="232" t="s">
        <v>333</v>
      </c>
      <c r="B43" s="230" t="s">
        <v>334</v>
      </c>
      <c r="C43" s="93"/>
      <c r="D43" s="93"/>
      <c r="E43" s="94">
        <f>IF(D43=0,0,C43/D43)</f>
        <v>0</v>
      </c>
      <c r="F43" s="93"/>
      <c r="G43" s="93">
        <f>'已审资产负债纵向分析A1-14-2'!N21</f>
        <v>0</v>
      </c>
      <c r="H43" s="94">
        <f>IF(G43=0,0,F43/G43)</f>
        <v>0</v>
      </c>
      <c r="I43" s="94">
        <f>IF(E43=0,0,(H43-E43)/E43)</f>
        <v>0</v>
      </c>
      <c r="J43" s="231" t="str">
        <f>IF(ABS(I43)&lt;20%,"",IF(ABS(I43)&lt;50%,"关注","显著"))</f>
        <v/>
      </c>
      <c r="K43" s="92"/>
    </row>
    <row r="44" spans="1:11" ht="12" customHeight="1">
      <c r="A44" s="232" t="s">
        <v>335</v>
      </c>
      <c r="B44" s="230" t="s">
        <v>336</v>
      </c>
      <c r="C44" s="93"/>
      <c r="D44" s="93"/>
      <c r="E44" s="94">
        <f>IF(D44=0,0,C44/D44)</f>
        <v>0</v>
      </c>
      <c r="F44" s="93"/>
      <c r="G44" s="93">
        <f>'已审资产负债纵向分析A1-14-2'!N34</f>
        <v>0</v>
      </c>
      <c r="H44" s="94">
        <f>IF(G44=0,0,F44/G44)</f>
        <v>0</v>
      </c>
      <c r="I44" s="94">
        <f>IF(E44=0,0,(H44-E44)/E44)</f>
        <v>0</v>
      </c>
      <c r="J44" s="231" t="str">
        <f>IF(ABS(I44)&lt;20%,"",IF(ABS(I44)&lt;50%,"关注","显著"))</f>
        <v/>
      </c>
      <c r="K44" s="92"/>
    </row>
    <row r="45" spans="1:11" ht="12" customHeight="1">
      <c r="A45" s="237" t="s">
        <v>75</v>
      </c>
      <c r="B45" s="238" t="s">
        <v>337</v>
      </c>
      <c r="C45" s="101"/>
      <c r="D45" s="101"/>
      <c r="E45" s="102">
        <f>IF(D45=0,0,C45/D45)</f>
        <v>0</v>
      </c>
      <c r="F45" s="103"/>
      <c r="G45" s="103">
        <f>'已审利润纵向分析A1-14-4'!E33</f>
        <v>0</v>
      </c>
      <c r="H45" s="102">
        <f>IF(G45=0,0,F45/G45)</f>
        <v>0</v>
      </c>
      <c r="I45" s="102">
        <f>IF(E45=0,0,(H45-E45)/E45)</f>
        <v>0</v>
      </c>
      <c r="J45" s="239" t="str">
        <f>IF(ABS(I45)&lt;20%,"",IF(ABS(I45)&lt;50%,"关注","显著"))</f>
        <v/>
      </c>
      <c r="K45" s="92"/>
    </row>
    <row r="46" spans="1:11" ht="13.8" thickBot="1">
      <c r="A46" s="240" t="s">
        <v>76</v>
      </c>
      <c r="B46" s="241" t="s">
        <v>338</v>
      </c>
      <c r="C46" s="104"/>
      <c r="D46" s="104"/>
      <c r="E46" s="105">
        <f>IF(D46=0,0,C46/D46)</f>
        <v>0</v>
      </c>
      <c r="F46" s="106"/>
      <c r="G46" s="106">
        <f>'已审利润纵向分析A1-14-4'!E7</f>
        <v>0</v>
      </c>
      <c r="H46" s="105">
        <f>IF(G46=0,0,F46/G46)</f>
        <v>0</v>
      </c>
      <c r="I46" s="105">
        <f>IF(E46=0,0,(H46-E46)/E46)</f>
        <v>0</v>
      </c>
      <c r="J46" s="242" t="str">
        <f>IF(ABS(I46)&lt;20%,"",IF(ABS(I46)&lt;50%,"关注","显著"))</f>
        <v/>
      </c>
      <c r="K46" s="92"/>
    </row>
    <row r="47" spans="1:11">
      <c r="A47" s="92"/>
      <c r="B47" s="107"/>
      <c r="C47" s="108"/>
      <c r="D47" s="108"/>
      <c r="E47" s="109"/>
      <c r="F47" s="108"/>
      <c r="G47" s="108"/>
      <c r="H47" s="92"/>
      <c r="I47" s="92"/>
      <c r="J47" s="92"/>
      <c r="K47" s="92"/>
    </row>
    <row r="48" spans="1:11">
      <c r="A48" s="92" t="s">
        <v>77</v>
      </c>
      <c r="B48" s="107"/>
      <c r="C48" s="108"/>
      <c r="D48" s="108"/>
      <c r="E48" s="109"/>
      <c r="F48" s="108"/>
      <c r="G48" s="108"/>
      <c r="H48" s="92"/>
      <c r="I48" s="92"/>
      <c r="J48" s="92"/>
      <c r="K48" s="92"/>
    </row>
    <row r="49" spans="1:11" ht="12">
      <c r="A49" s="110" t="s">
        <v>78</v>
      </c>
      <c r="B49" s="107"/>
      <c r="C49" s="108"/>
      <c r="D49" s="108"/>
      <c r="E49" s="109"/>
      <c r="F49" s="108"/>
      <c r="G49" s="108"/>
      <c r="H49" s="92"/>
      <c r="I49" s="92"/>
      <c r="J49" s="92"/>
      <c r="K49" s="92"/>
    </row>
    <row r="50" spans="1:11" ht="12">
      <c r="A50" s="110" t="s">
        <v>79</v>
      </c>
      <c r="B50" s="107"/>
      <c r="C50" s="108"/>
      <c r="D50" s="108"/>
      <c r="E50" s="109"/>
      <c r="F50" s="108"/>
      <c r="G50" s="108"/>
      <c r="H50" s="92"/>
      <c r="I50" s="92"/>
      <c r="J50" s="92"/>
      <c r="K50" s="92"/>
    </row>
    <row r="51" spans="1:11" ht="12">
      <c r="A51" s="110" t="s">
        <v>80</v>
      </c>
      <c r="B51" s="107"/>
      <c r="C51" s="108"/>
      <c r="D51" s="108"/>
      <c r="E51" s="109"/>
      <c r="F51" s="108"/>
      <c r="G51" s="108"/>
      <c r="H51" s="92"/>
      <c r="I51" s="92"/>
      <c r="J51" s="92"/>
      <c r="K51" s="92"/>
    </row>
    <row r="52" spans="1:11">
      <c r="A52" s="92"/>
      <c r="B52" s="107"/>
      <c r="C52" s="108"/>
      <c r="D52" s="108"/>
      <c r="E52" s="109"/>
      <c r="F52" s="108"/>
      <c r="G52" s="108"/>
      <c r="H52" s="92"/>
      <c r="I52" s="92"/>
      <c r="J52" s="92"/>
      <c r="K52" s="92"/>
    </row>
    <row r="53" spans="1:11">
      <c r="A53" s="92"/>
      <c r="B53" s="107"/>
      <c r="C53" s="108"/>
      <c r="D53" s="108"/>
      <c r="E53" s="109"/>
      <c r="F53" s="108"/>
      <c r="G53" s="108"/>
      <c r="H53" s="92"/>
      <c r="I53" s="92"/>
      <c r="J53" s="92"/>
      <c r="K53" s="92"/>
    </row>
    <row r="54" spans="1:11">
      <c r="A54" s="92"/>
      <c r="B54" s="107"/>
      <c r="C54" s="108"/>
      <c r="D54" s="108"/>
      <c r="E54" s="109"/>
      <c r="F54" s="108"/>
      <c r="G54" s="108"/>
      <c r="H54" s="92"/>
      <c r="I54" s="92"/>
      <c r="J54" s="92"/>
      <c r="K54" s="92"/>
    </row>
    <row r="55" spans="1:11">
      <c r="A55" s="92"/>
      <c r="B55" s="107"/>
      <c r="C55" s="108"/>
      <c r="D55" s="108"/>
      <c r="E55" s="109"/>
      <c r="F55" s="108"/>
      <c r="G55" s="108"/>
      <c r="H55" s="92"/>
      <c r="I55" s="92"/>
      <c r="J55" s="92"/>
      <c r="K55" s="92"/>
    </row>
    <row r="56" spans="1:11">
      <c r="A56" s="92"/>
      <c r="B56" s="107"/>
      <c r="C56" s="108"/>
      <c r="D56" s="108"/>
      <c r="E56" s="109"/>
      <c r="F56" s="108"/>
      <c r="G56" s="108"/>
      <c r="H56" s="92"/>
      <c r="I56" s="92"/>
      <c r="J56" s="92"/>
      <c r="K56" s="92"/>
    </row>
    <row r="57" spans="1:11">
      <c r="A57" s="92"/>
      <c r="B57" s="107"/>
      <c r="C57" s="108"/>
      <c r="D57" s="108"/>
      <c r="E57" s="109"/>
      <c r="F57" s="108"/>
      <c r="G57" s="108"/>
      <c r="H57" s="92"/>
      <c r="I57" s="92"/>
      <c r="J57" s="92"/>
      <c r="K57" s="92"/>
    </row>
    <row r="58" spans="1:11">
      <c r="A58" s="92"/>
      <c r="B58" s="107"/>
      <c r="C58" s="108"/>
      <c r="D58" s="108"/>
      <c r="E58" s="109"/>
      <c r="F58" s="108"/>
      <c r="G58" s="108"/>
      <c r="H58" s="92"/>
      <c r="I58" s="92"/>
      <c r="J58" s="92"/>
      <c r="K58" s="92"/>
    </row>
    <row r="59" spans="1:11">
      <c r="A59" s="92"/>
      <c r="B59" s="107"/>
      <c r="C59" s="108"/>
      <c r="D59" s="108"/>
      <c r="E59" s="109"/>
      <c r="F59" s="108"/>
      <c r="G59" s="108"/>
      <c r="H59" s="92"/>
      <c r="I59" s="92"/>
      <c r="J59" s="92"/>
      <c r="K59" s="92"/>
    </row>
    <row r="60" spans="1:11">
      <c r="A60" s="92"/>
      <c r="B60" s="107"/>
      <c r="C60" s="108"/>
      <c r="D60" s="108"/>
      <c r="E60" s="109"/>
      <c r="F60" s="108"/>
      <c r="G60" s="108"/>
      <c r="H60" s="92"/>
      <c r="I60" s="92"/>
      <c r="J60" s="92"/>
      <c r="K60" s="92"/>
    </row>
    <row r="61" spans="1:11">
      <c r="A61" s="92"/>
      <c r="B61" s="107"/>
      <c r="C61" s="108"/>
      <c r="D61" s="108"/>
      <c r="E61" s="109"/>
      <c r="F61" s="108"/>
      <c r="G61" s="108"/>
      <c r="H61" s="92"/>
      <c r="I61" s="92"/>
      <c r="J61" s="92"/>
      <c r="K61" s="92"/>
    </row>
    <row r="62" spans="1:11">
      <c r="A62" s="92"/>
      <c r="B62" s="107"/>
      <c r="C62" s="108"/>
      <c r="D62" s="108"/>
      <c r="E62" s="109"/>
      <c r="F62" s="108"/>
      <c r="G62" s="108"/>
      <c r="H62" s="92"/>
      <c r="I62" s="92"/>
      <c r="J62" s="92"/>
      <c r="K62" s="92"/>
    </row>
    <row r="63" spans="1:11">
      <c r="A63" s="92"/>
      <c r="B63" s="107"/>
      <c r="C63" s="108"/>
      <c r="D63" s="108"/>
      <c r="E63" s="109"/>
      <c r="F63" s="108"/>
      <c r="G63" s="108"/>
      <c r="H63" s="92"/>
      <c r="I63" s="92"/>
      <c r="J63" s="92"/>
      <c r="K63" s="92"/>
    </row>
    <row r="64" spans="1:11">
      <c r="A64" s="92"/>
      <c r="B64" s="107"/>
      <c r="C64" s="108"/>
      <c r="D64" s="108"/>
      <c r="E64" s="109"/>
      <c r="F64" s="108"/>
      <c r="G64" s="108"/>
      <c r="H64" s="92"/>
      <c r="I64" s="92"/>
      <c r="J64" s="92"/>
      <c r="K64" s="92"/>
    </row>
    <row r="65" spans="1:11">
      <c r="A65" s="92"/>
      <c r="B65" s="107"/>
      <c r="C65" s="108"/>
      <c r="D65" s="108"/>
      <c r="E65" s="109"/>
      <c r="F65" s="108"/>
      <c r="G65" s="108"/>
      <c r="H65" s="92"/>
      <c r="I65" s="92"/>
      <c r="J65" s="92"/>
      <c r="K65" s="92"/>
    </row>
    <row r="66" spans="1:11">
      <c r="A66" s="92"/>
      <c r="B66" s="107"/>
      <c r="C66" s="108"/>
      <c r="D66" s="108"/>
      <c r="E66" s="109"/>
      <c r="F66" s="108"/>
      <c r="G66" s="108"/>
      <c r="H66" s="92"/>
      <c r="I66" s="92"/>
      <c r="J66" s="92"/>
      <c r="K66" s="92"/>
    </row>
    <row r="67" spans="1:11">
      <c r="A67" s="92"/>
      <c r="B67" s="107"/>
      <c r="C67" s="108"/>
      <c r="D67" s="108"/>
      <c r="E67" s="109"/>
      <c r="F67" s="108"/>
      <c r="G67" s="108"/>
      <c r="H67" s="92"/>
      <c r="I67" s="92"/>
      <c r="J67" s="92"/>
      <c r="K67" s="92"/>
    </row>
    <row r="68" spans="1:11">
      <c r="A68" s="92"/>
      <c r="B68" s="107"/>
      <c r="C68" s="108"/>
      <c r="D68" s="108"/>
      <c r="E68" s="109"/>
      <c r="F68" s="108"/>
      <c r="G68" s="108"/>
      <c r="H68" s="92"/>
      <c r="I68" s="92"/>
      <c r="J68" s="92"/>
      <c r="K68" s="92"/>
    </row>
    <row r="69" spans="1:11">
      <c r="A69" s="92"/>
      <c r="B69" s="107"/>
      <c r="C69" s="108"/>
      <c r="D69" s="108"/>
      <c r="E69" s="109"/>
      <c r="F69" s="108"/>
      <c r="G69" s="108"/>
      <c r="H69" s="92"/>
      <c r="I69" s="92"/>
      <c r="J69" s="92"/>
      <c r="K69" s="92"/>
    </row>
    <row r="70" spans="1:11">
      <c r="A70" s="92"/>
      <c r="B70" s="107"/>
      <c r="C70" s="108"/>
      <c r="D70" s="108"/>
      <c r="E70" s="109"/>
      <c r="F70" s="108"/>
      <c r="G70" s="108"/>
      <c r="H70" s="92"/>
      <c r="I70" s="92"/>
      <c r="J70" s="92"/>
      <c r="K70" s="92"/>
    </row>
    <row r="71" spans="1:11">
      <c r="A71" s="92"/>
      <c r="B71" s="107"/>
      <c r="C71" s="108"/>
      <c r="D71" s="108"/>
      <c r="E71" s="109"/>
      <c r="F71" s="108"/>
      <c r="G71" s="108"/>
      <c r="H71" s="92"/>
      <c r="I71" s="92"/>
      <c r="J71" s="92"/>
      <c r="K71" s="92"/>
    </row>
    <row r="72" spans="1:11">
      <c r="A72" s="92"/>
      <c r="B72" s="107"/>
      <c r="C72" s="108"/>
      <c r="D72" s="108"/>
      <c r="E72" s="109"/>
      <c r="F72" s="108"/>
      <c r="G72" s="108"/>
      <c r="H72" s="92"/>
      <c r="I72" s="92"/>
      <c r="J72" s="92"/>
      <c r="K72" s="92"/>
    </row>
    <row r="73" spans="1:11">
      <c r="A73" s="92"/>
      <c r="B73" s="107"/>
      <c r="C73" s="108"/>
      <c r="D73" s="108"/>
      <c r="E73" s="109"/>
      <c r="F73" s="108"/>
      <c r="G73" s="108"/>
      <c r="H73" s="92"/>
      <c r="I73" s="92"/>
      <c r="J73" s="92"/>
      <c r="K73" s="92"/>
    </row>
    <row r="74" spans="1:11">
      <c r="A74" s="92"/>
      <c r="B74" s="107"/>
      <c r="C74" s="108"/>
      <c r="D74" s="108"/>
      <c r="E74" s="109"/>
      <c r="F74" s="108"/>
      <c r="G74" s="108"/>
      <c r="H74" s="92"/>
      <c r="I74" s="92"/>
      <c r="J74" s="92"/>
      <c r="K74" s="92"/>
    </row>
    <row r="75" spans="1:11">
      <c r="A75" s="92"/>
      <c r="B75" s="107"/>
      <c r="C75" s="108"/>
      <c r="D75" s="108"/>
      <c r="E75" s="109"/>
      <c r="F75" s="108"/>
      <c r="G75" s="108"/>
      <c r="H75" s="92"/>
      <c r="I75" s="92"/>
      <c r="J75" s="92"/>
      <c r="K75" s="92"/>
    </row>
    <row r="76" spans="1:11">
      <c r="A76" s="92"/>
      <c r="B76" s="107"/>
      <c r="C76" s="108"/>
      <c r="D76" s="108"/>
      <c r="E76" s="109"/>
      <c r="F76" s="108"/>
      <c r="G76" s="108"/>
      <c r="H76" s="92"/>
      <c r="I76" s="92"/>
      <c r="J76" s="92"/>
      <c r="K76" s="92"/>
    </row>
    <row r="77" spans="1:11">
      <c r="A77" s="92"/>
      <c r="B77" s="107"/>
      <c r="C77" s="108"/>
      <c r="D77" s="108"/>
      <c r="E77" s="109"/>
      <c r="F77" s="108"/>
      <c r="G77" s="108"/>
      <c r="H77" s="92"/>
      <c r="I77" s="92"/>
      <c r="J77" s="92"/>
      <c r="K77" s="92"/>
    </row>
    <row r="78" spans="1:11">
      <c r="A78" s="92"/>
      <c r="B78" s="107"/>
      <c r="C78" s="108"/>
      <c r="D78" s="108"/>
      <c r="E78" s="109"/>
      <c r="F78" s="108"/>
      <c r="G78" s="108"/>
      <c r="H78" s="92"/>
      <c r="I78" s="92"/>
      <c r="J78" s="92"/>
      <c r="K78" s="92"/>
    </row>
    <row r="79" spans="1:11">
      <c r="A79" s="92"/>
      <c r="B79" s="107"/>
      <c r="C79" s="108"/>
      <c r="D79" s="108"/>
      <c r="E79" s="109"/>
      <c r="F79" s="108"/>
      <c r="G79" s="108"/>
      <c r="H79" s="92"/>
      <c r="I79" s="92"/>
      <c r="J79" s="92"/>
      <c r="K79" s="92"/>
    </row>
    <row r="80" spans="1:11">
      <c r="A80" s="92"/>
      <c r="B80" s="107"/>
      <c r="C80" s="108"/>
      <c r="D80" s="108"/>
      <c r="E80" s="109"/>
      <c r="F80" s="108"/>
      <c r="G80" s="108"/>
      <c r="H80" s="92"/>
      <c r="I80" s="92"/>
      <c r="J80" s="92"/>
      <c r="K80" s="92"/>
    </row>
    <row r="81" spans="1:11">
      <c r="A81" s="92"/>
      <c r="B81" s="107"/>
      <c r="C81" s="108"/>
      <c r="D81" s="108"/>
      <c r="E81" s="109"/>
      <c r="F81" s="108"/>
      <c r="G81" s="108"/>
      <c r="H81" s="92"/>
      <c r="I81" s="92"/>
      <c r="J81" s="92"/>
      <c r="K81" s="92"/>
    </row>
    <row r="82" spans="1:11">
      <c r="A82" s="92"/>
      <c r="B82" s="107"/>
      <c r="C82" s="108"/>
      <c r="D82" s="108"/>
      <c r="E82" s="109"/>
      <c r="F82" s="108"/>
      <c r="G82" s="108"/>
      <c r="H82" s="92"/>
      <c r="I82" s="92"/>
      <c r="J82" s="92"/>
      <c r="K82" s="92"/>
    </row>
    <row r="83" spans="1:11">
      <c r="A83" s="92"/>
      <c r="B83" s="107"/>
      <c r="C83" s="108"/>
      <c r="D83" s="108"/>
      <c r="E83" s="109"/>
      <c r="F83" s="108"/>
      <c r="G83" s="108"/>
      <c r="H83" s="92"/>
      <c r="I83" s="92"/>
      <c r="J83" s="92"/>
      <c r="K83" s="92"/>
    </row>
    <row r="84" spans="1:11">
      <c r="A84" s="92"/>
      <c r="B84" s="107"/>
      <c r="C84" s="108"/>
      <c r="D84" s="108"/>
      <c r="E84" s="109"/>
      <c r="F84" s="108"/>
      <c r="G84" s="108"/>
      <c r="H84" s="92"/>
      <c r="I84" s="92"/>
      <c r="J84" s="92"/>
      <c r="K84" s="92"/>
    </row>
    <row r="85" spans="1:11">
      <c r="A85" s="92"/>
      <c r="B85" s="107"/>
      <c r="C85" s="108"/>
      <c r="D85" s="108"/>
      <c r="E85" s="109"/>
      <c r="F85" s="108"/>
      <c r="G85" s="108"/>
      <c r="H85" s="92"/>
      <c r="I85" s="92"/>
      <c r="J85" s="92"/>
      <c r="K85" s="92"/>
    </row>
    <row r="86" spans="1:11">
      <c r="A86" s="92"/>
      <c r="B86" s="107"/>
      <c r="C86" s="108"/>
      <c r="D86" s="108"/>
      <c r="E86" s="109"/>
      <c r="F86" s="108"/>
      <c r="G86" s="108"/>
      <c r="H86" s="92"/>
      <c r="I86" s="92"/>
      <c r="J86" s="92"/>
      <c r="K86" s="92"/>
    </row>
    <row r="87" spans="1:11">
      <c r="A87" s="92"/>
      <c r="B87" s="107"/>
      <c r="C87" s="108"/>
      <c r="D87" s="108"/>
      <c r="E87" s="109"/>
      <c r="F87" s="108"/>
      <c r="G87" s="108"/>
      <c r="H87" s="92"/>
      <c r="I87" s="92"/>
      <c r="J87" s="92"/>
      <c r="K87" s="92"/>
    </row>
    <row r="88" spans="1:11">
      <c r="A88" s="92"/>
      <c r="B88" s="107"/>
      <c r="C88" s="108"/>
      <c r="D88" s="108"/>
      <c r="E88" s="109"/>
      <c r="F88" s="108"/>
      <c r="G88" s="108"/>
      <c r="H88" s="92"/>
      <c r="I88" s="92"/>
      <c r="J88" s="92"/>
      <c r="K88" s="92"/>
    </row>
    <row r="89" spans="1:11">
      <c r="A89" s="92"/>
      <c r="B89" s="107"/>
      <c r="C89" s="108"/>
      <c r="D89" s="108"/>
      <c r="E89" s="109"/>
      <c r="F89" s="108"/>
      <c r="G89" s="108"/>
      <c r="H89" s="92"/>
      <c r="I89" s="92"/>
      <c r="J89" s="92"/>
      <c r="K89" s="92"/>
    </row>
    <row r="90" spans="1:11">
      <c r="A90" s="92"/>
      <c r="B90" s="107"/>
      <c r="C90" s="108"/>
      <c r="D90" s="108"/>
      <c r="E90" s="109"/>
      <c r="F90" s="108"/>
      <c r="G90" s="108"/>
      <c r="H90" s="92"/>
      <c r="I90" s="92"/>
      <c r="J90" s="92"/>
      <c r="K90" s="92"/>
    </row>
    <row r="91" spans="1:11">
      <c r="A91" s="92"/>
      <c r="B91" s="107"/>
      <c r="C91" s="108"/>
      <c r="D91" s="108"/>
      <c r="E91" s="109"/>
      <c r="F91" s="108"/>
      <c r="G91" s="108"/>
      <c r="H91" s="92"/>
      <c r="I91" s="92"/>
      <c r="J91" s="92"/>
      <c r="K91" s="92"/>
    </row>
    <row r="92" spans="1:11">
      <c r="A92" s="92"/>
      <c r="B92" s="107"/>
      <c r="C92" s="108"/>
      <c r="D92" s="108"/>
      <c r="E92" s="109"/>
      <c r="F92" s="108"/>
      <c r="G92" s="108"/>
      <c r="H92" s="92"/>
      <c r="I92" s="92"/>
      <c r="J92" s="92"/>
      <c r="K92" s="92"/>
    </row>
    <row r="93" spans="1:11">
      <c r="A93" s="92"/>
      <c r="B93" s="107"/>
      <c r="C93" s="108"/>
      <c r="D93" s="108"/>
      <c r="E93" s="109"/>
      <c r="F93" s="108"/>
      <c r="G93" s="108"/>
      <c r="H93" s="92"/>
      <c r="I93" s="92"/>
      <c r="J93" s="92"/>
      <c r="K93" s="92"/>
    </row>
    <row r="94" spans="1:11">
      <c r="A94" s="92"/>
      <c r="B94" s="107"/>
      <c r="C94" s="108"/>
      <c r="D94" s="108"/>
      <c r="E94" s="109"/>
      <c r="F94" s="108"/>
      <c r="G94" s="108"/>
      <c r="H94" s="92"/>
      <c r="I94" s="92"/>
      <c r="J94" s="92"/>
      <c r="K94" s="92"/>
    </row>
    <row r="95" spans="1:11">
      <c r="A95" s="92"/>
      <c r="B95" s="107"/>
      <c r="C95" s="108"/>
      <c r="D95" s="108"/>
      <c r="E95" s="109"/>
      <c r="F95" s="108"/>
      <c r="G95" s="108"/>
      <c r="H95" s="92"/>
      <c r="I95" s="92"/>
      <c r="J95" s="92"/>
      <c r="K95" s="92"/>
    </row>
    <row r="96" spans="1:11">
      <c r="A96" s="92"/>
      <c r="B96" s="107"/>
      <c r="C96" s="108"/>
      <c r="D96" s="108"/>
      <c r="E96" s="109"/>
      <c r="F96" s="108"/>
      <c r="G96" s="108"/>
      <c r="H96" s="92"/>
      <c r="I96" s="92"/>
      <c r="J96" s="92"/>
      <c r="K96" s="92"/>
    </row>
    <row r="97" spans="1:11">
      <c r="A97" s="92"/>
      <c r="B97" s="107"/>
      <c r="C97" s="108"/>
      <c r="D97" s="108"/>
      <c r="E97" s="109"/>
      <c r="F97" s="108"/>
      <c r="G97" s="108"/>
      <c r="H97" s="92"/>
      <c r="I97" s="92"/>
      <c r="J97" s="92"/>
      <c r="K97" s="92"/>
    </row>
    <row r="98" spans="1:11">
      <c r="A98" s="92"/>
      <c r="B98" s="107"/>
      <c r="C98" s="108"/>
      <c r="D98" s="108"/>
      <c r="E98" s="109"/>
      <c r="F98" s="108"/>
      <c r="G98" s="108"/>
      <c r="H98" s="92"/>
      <c r="I98" s="92"/>
      <c r="J98" s="92"/>
      <c r="K98" s="92"/>
    </row>
    <row r="99" spans="1:11">
      <c r="A99" s="92"/>
      <c r="B99" s="107"/>
      <c r="C99" s="108"/>
      <c r="D99" s="108"/>
      <c r="E99" s="109"/>
      <c r="F99" s="108"/>
      <c r="G99" s="108"/>
      <c r="H99" s="92"/>
      <c r="I99" s="92"/>
      <c r="J99" s="92"/>
      <c r="K99" s="92"/>
    </row>
    <row r="100" spans="1:11">
      <c r="A100" s="92"/>
      <c r="B100" s="107"/>
      <c r="C100" s="108"/>
      <c r="D100" s="108"/>
      <c r="E100" s="109"/>
      <c r="F100" s="108"/>
      <c r="G100" s="108"/>
      <c r="H100" s="92"/>
      <c r="I100" s="92"/>
      <c r="J100" s="92"/>
      <c r="K100" s="92"/>
    </row>
    <row r="101" spans="1:11">
      <c r="A101" s="92"/>
      <c r="B101" s="107"/>
      <c r="C101" s="108"/>
      <c r="D101" s="108"/>
      <c r="E101" s="109"/>
      <c r="F101" s="108"/>
      <c r="G101" s="108"/>
      <c r="H101" s="92"/>
      <c r="I101" s="92"/>
      <c r="J101" s="92"/>
      <c r="K101" s="92"/>
    </row>
    <row r="102" spans="1:11">
      <c r="A102" s="92"/>
      <c r="B102" s="107"/>
      <c r="C102" s="108"/>
      <c r="D102" s="108"/>
      <c r="E102" s="109"/>
      <c r="F102" s="108"/>
      <c r="G102" s="108"/>
      <c r="H102" s="92"/>
      <c r="I102" s="92"/>
      <c r="J102" s="92"/>
      <c r="K102" s="92"/>
    </row>
    <row r="103" spans="1:11">
      <c r="A103" s="92"/>
      <c r="B103" s="107"/>
      <c r="C103" s="108"/>
      <c r="D103" s="108"/>
      <c r="E103" s="109"/>
      <c r="F103" s="108"/>
      <c r="G103" s="108"/>
      <c r="H103" s="92"/>
      <c r="I103" s="92"/>
      <c r="J103" s="92"/>
      <c r="K103" s="92"/>
    </row>
    <row r="104" spans="1:11">
      <c r="A104" s="92"/>
      <c r="B104" s="107"/>
      <c r="C104" s="108"/>
      <c r="D104" s="108"/>
      <c r="E104" s="109"/>
      <c r="F104" s="108"/>
      <c r="G104" s="108"/>
      <c r="H104" s="92"/>
      <c r="I104" s="92"/>
      <c r="J104" s="92"/>
      <c r="K104" s="92"/>
    </row>
    <row r="105" spans="1:11">
      <c r="A105" s="92"/>
      <c r="B105" s="107"/>
      <c r="C105" s="108"/>
      <c r="D105" s="108"/>
      <c r="E105" s="109"/>
      <c r="F105" s="108"/>
      <c r="G105" s="108"/>
      <c r="H105" s="92"/>
      <c r="I105" s="92"/>
      <c r="J105" s="92"/>
      <c r="K105" s="92"/>
    </row>
    <row r="106" spans="1:11">
      <c r="A106" s="92"/>
      <c r="B106" s="107"/>
      <c r="C106" s="108"/>
      <c r="D106" s="108"/>
      <c r="E106" s="109"/>
      <c r="F106" s="108"/>
      <c r="G106" s="108"/>
      <c r="H106" s="92"/>
      <c r="I106" s="92"/>
      <c r="J106" s="92"/>
      <c r="K106" s="92"/>
    </row>
    <row r="107" spans="1:11">
      <c r="A107" s="92"/>
      <c r="B107" s="107"/>
      <c r="C107" s="108"/>
      <c r="D107" s="108"/>
      <c r="E107" s="109"/>
      <c r="F107" s="108"/>
      <c r="G107" s="108"/>
      <c r="H107" s="92"/>
      <c r="I107" s="92"/>
      <c r="J107" s="92"/>
      <c r="K107" s="92"/>
    </row>
    <row r="108" spans="1:11">
      <c r="A108" s="92"/>
      <c r="B108" s="107"/>
      <c r="C108" s="108"/>
      <c r="D108" s="108"/>
      <c r="E108" s="109"/>
      <c r="F108" s="108"/>
      <c r="G108" s="108"/>
      <c r="H108" s="92"/>
      <c r="I108" s="92"/>
      <c r="J108" s="92"/>
      <c r="K108" s="92"/>
    </row>
    <row r="109" spans="1:11">
      <c r="A109" s="92"/>
      <c r="B109" s="107"/>
      <c r="C109" s="108"/>
      <c r="D109" s="108"/>
      <c r="E109" s="109"/>
      <c r="F109" s="108"/>
      <c r="G109" s="108"/>
      <c r="H109" s="92"/>
      <c r="I109" s="92"/>
      <c r="J109" s="92"/>
      <c r="K109" s="92"/>
    </row>
    <row r="110" spans="1:11">
      <c r="A110" s="92"/>
      <c r="B110" s="107"/>
      <c r="C110" s="108"/>
      <c r="D110" s="108"/>
      <c r="E110" s="109"/>
      <c r="F110" s="108"/>
      <c r="G110" s="108"/>
      <c r="H110" s="92"/>
      <c r="I110" s="92"/>
      <c r="J110" s="92"/>
      <c r="K110" s="92"/>
    </row>
    <row r="111" spans="1:11">
      <c r="A111" s="92"/>
      <c r="B111" s="107"/>
      <c r="C111" s="108"/>
      <c r="D111" s="108"/>
      <c r="E111" s="109"/>
      <c r="F111" s="108"/>
      <c r="G111" s="108"/>
      <c r="H111" s="92"/>
      <c r="I111" s="92"/>
      <c r="J111" s="92"/>
      <c r="K111" s="92"/>
    </row>
    <row r="112" spans="1:11">
      <c r="A112" s="92"/>
      <c r="B112" s="107"/>
      <c r="C112" s="108"/>
      <c r="D112" s="108"/>
      <c r="E112" s="109"/>
      <c r="F112" s="108"/>
      <c r="G112" s="108"/>
      <c r="H112" s="92"/>
      <c r="I112" s="92"/>
      <c r="J112" s="92"/>
      <c r="K112" s="92"/>
    </row>
    <row r="113" spans="1:11">
      <c r="A113" s="92"/>
      <c r="B113" s="107"/>
      <c r="C113" s="108"/>
      <c r="D113" s="108"/>
      <c r="E113" s="109"/>
      <c r="F113" s="108"/>
      <c r="G113" s="108"/>
      <c r="H113" s="92"/>
      <c r="I113" s="92"/>
      <c r="J113" s="92"/>
      <c r="K113" s="92"/>
    </row>
    <row r="114" spans="1:11">
      <c r="A114" s="92"/>
      <c r="B114" s="107"/>
      <c r="C114" s="108"/>
      <c r="D114" s="108"/>
      <c r="E114" s="109"/>
      <c r="F114" s="108"/>
      <c r="G114" s="108"/>
      <c r="H114" s="92"/>
      <c r="I114" s="92"/>
      <c r="J114" s="92"/>
      <c r="K114" s="92"/>
    </row>
    <row r="115" spans="1:11">
      <c r="A115" s="92"/>
      <c r="B115" s="107"/>
      <c r="C115" s="108"/>
      <c r="D115" s="108"/>
      <c r="E115" s="109"/>
      <c r="F115" s="108"/>
      <c r="G115" s="108"/>
      <c r="H115" s="92"/>
      <c r="I115" s="92"/>
      <c r="J115" s="92"/>
      <c r="K115" s="92"/>
    </row>
    <row r="116" spans="1:11">
      <c r="A116" s="92"/>
      <c r="B116" s="107"/>
      <c r="C116" s="108"/>
      <c r="D116" s="108"/>
      <c r="E116" s="109"/>
      <c r="F116" s="108"/>
      <c r="G116" s="108"/>
      <c r="H116" s="92"/>
      <c r="I116" s="92"/>
      <c r="J116" s="92"/>
      <c r="K116" s="92"/>
    </row>
    <row r="117" spans="1:11">
      <c r="A117" s="92"/>
      <c r="B117" s="107"/>
      <c r="C117" s="108"/>
      <c r="D117" s="108"/>
      <c r="E117" s="109"/>
      <c r="F117" s="108"/>
      <c r="G117" s="108"/>
      <c r="H117" s="92"/>
      <c r="I117" s="92"/>
      <c r="J117" s="92"/>
      <c r="K117" s="92"/>
    </row>
    <row r="118" spans="1:11">
      <c r="A118" s="92"/>
      <c r="B118" s="107"/>
      <c r="C118" s="108"/>
      <c r="D118" s="108"/>
      <c r="E118" s="109"/>
      <c r="F118" s="108"/>
      <c r="G118" s="108"/>
      <c r="H118" s="92"/>
      <c r="I118" s="92"/>
      <c r="J118" s="92"/>
      <c r="K118" s="92"/>
    </row>
    <row r="119" spans="1:11">
      <c r="E119" s="109"/>
      <c r="F119" s="108"/>
      <c r="G119" s="108"/>
      <c r="H119" s="92"/>
      <c r="I119" s="92"/>
      <c r="J119" s="92"/>
    </row>
    <row r="120" spans="1:11">
      <c r="E120" s="109"/>
      <c r="F120" s="108"/>
      <c r="G120" s="108"/>
      <c r="H120" s="92"/>
      <c r="I120" s="92"/>
      <c r="J120" s="92"/>
    </row>
    <row r="121" spans="1:11">
      <c r="E121" s="109"/>
      <c r="F121" s="108"/>
      <c r="G121" s="108"/>
      <c r="H121" s="92"/>
      <c r="I121" s="92"/>
      <c r="J121" s="92"/>
    </row>
    <row r="122" spans="1:11">
      <c r="E122" s="109"/>
      <c r="F122" s="108"/>
      <c r="G122" s="108"/>
      <c r="H122" s="92"/>
      <c r="I122" s="92"/>
      <c r="J122" s="92"/>
    </row>
    <row r="123" spans="1:11">
      <c r="E123" s="109"/>
      <c r="F123" s="108"/>
      <c r="G123" s="108"/>
      <c r="H123" s="92"/>
      <c r="I123" s="92"/>
      <c r="J123" s="92"/>
    </row>
    <row r="124" spans="1:11">
      <c r="E124" s="109"/>
      <c r="F124" s="108"/>
      <c r="G124" s="108"/>
      <c r="H124" s="92"/>
      <c r="I124" s="92"/>
      <c r="J124" s="92"/>
    </row>
    <row r="125" spans="1:11">
      <c r="E125" s="109"/>
      <c r="F125" s="108"/>
      <c r="G125" s="108"/>
      <c r="H125" s="92"/>
      <c r="I125" s="92"/>
      <c r="J125" s="92"/>
    </row>
    <row r="126" spans="1:11">
      <c r="E126" s="109"/>
      <c r="F126" s="108"/>
      <c r="G126" s="108"/>
      <c r="H126" s="92"/>
      <c r="I126" s="92"/>
      <c r="J126" s="92"/>
    </row>
    <row r="127" spans="1:11">
      <c r="E127" s="109"/>
      <c r="F127" s="108"/>
      <c r="G127" s="108"/>
      <c r="H127" s="92"/>
      <c r="I127" s="92"/>
      <c r="J127" s="92"/>
    </row>
    <row r="128" spans="1:11">
      <c r="E128" s="109"/>
      <c r="F128" s="108"/>
      <c r="G128" s="108"/>
      <c r="H128" s="92"/>
      <c r="I128" s="92"/>
      <c r="J128" s="92"/>
    </row>
    <row r="129" spans="5:10">
      <c r="E129" s="109"/>
      <c r="F129" s="108"/>
      <c r="G129" s="108"/>
      <c r="H129" s="92"/>
      <c r="I129" s="92"/>
      <c r="J129" s="92"/>
    </row>
    <row r="130" spans="5:10">
      <c r="E130" s="109"/>
      <c r="F130" s="108"/>
      <c r="G130" s="108"/>
      <c r="H130" s="92"/>
      <c r="I130" s="92"/>
      <c r="J130" s="92"/>
    </row>
    <row r="131" spans="5:10">
      <c r="E131" s="109"/>
      <c r="F131" s="108"/>
      <c r="G131" s="108"/>
      <c r="H131" s="92"/>
      <c r="I131" s="92"/>
      <c r="J131" s="92"/>
    </row>
    <row r="132" spans="5:10">
      <c r="E132" s="109"/>
      <c r="F132" s="108"/>
      <c r="G132" s="108"/>
      <c r="H132" s="92"/>
      <c r="I132" s="92"/>
      <c r="J132" s="92"/>
    </row>
    <row r="133" spans="5:10">
      <c r="E133" s="109"/>
      <c r="F133" s="108"/>
      <c r="G133" s="108"/>
      <c r="H133" s="92"/>
      <c r="I133" s="92"/>
      <c r="J133" s="92"/>
    </row>
    <row r="134" spans="5:10">
      <c r="E134" s="109"/>
      <c r="F134" s="108"/>
      <c r="G134" s="108"/>
      <c r="H134" s="92"/>
      <c r="I134" s="92"/>
      <c r="J134" s="92"/>
    </row>
    <row r="135" spans="5:10">
      <c r="E135" s="109"/>
      <c r="F135" s="108"/>
      <c r="G135" s="108"/>
      <c r="H135" s="92"/>
      <c r="I135" s="92"/>
      <c r="J135" s="92"/>
    </row>
    <row r="136" spans="5:10">
      <c r="E136" s="109"/>
      <c r="F136" s="108"/>
      <c r="G136" s="108"/>
      <c r="H136" s="92"/>
      <c r="I136" s="92"/>
      <c r="J136" s="92"/>
    </row>
    <row r="137" spans="5:10">
      <c r="E137" s="109"/>
      <c r="F137" s="108"/>
      <c r="G137" s="108"/>
      <c r="H137" s="92"/>
      <c r="I137" s="92"/>
      <c r="J137" s="92"/>
    </row>
    <row r="138" spans="5:10">
      <c r="E138" s="109"/>
      <c r="F138" s="108"/>
      <c r="G138" s="108"/>
      <c r="H138" s="92"/>
      <c r="I138" s="92"/>
      <c r="J138" s="92"/>
    </row>
    <row r="139" spans="5:10">
      <c r="E139" s="109"/>
      <c r="F139" s="108"/>
      <c r="G139" s="108"/>
      <c r="H139" s="92"/>
      <c r="I139" s="92"/>
      <c r="J139" s="92"/>
    </row>
    <row r="140" spans="5:10">
      <c r="E140" s="109"/>
      <c r="F140" s="108"/>
      <c r="G140" s="108"/>
      <c r="H140" s="92"/>
      <c r="I140" s="92"/>
      <c r="J140" s="92"/>
    </row>
    <row r="141" spans="5:10">
      <c r="E141" s="109"/>
      <c r="F141" s="108"/>
      <c r="G141" s="108"/>
      <c r="H141" s="92"/>
      <c r="I141" s="92"/>
      <c r="J141" s="92"/>
    </row>
    <row r="142" spans="5:10">
      <c r="E142" s="109"/>
      <c r="F142" s="108"/>
      <c r="G142" s="108"/>
      <c r="H142" s="92"/>
      <c r="I142" s="92"/>
      <c r="J142" s="92"/>
    </row>
    <row r="143" spans="5:10">
      <c r="E143" s="109"/>
      <c r="F143" s="108"/>
      <c r="G143" s="108"/>
      <c r="H143" s="92"/>
      <c r="I143" s="92"/>
      <c r="J143" s="92"/>
    </row>
    <row r="144" spans="5:10">
      <c r="E144" s="109"/>
      <c r="F144" s="108"/>
      <c r="G144" s="108"/>
      <c r="H144" s="92"/>
      <c r="I144" s="92"/>
      <c r="J144" s="92"/>
    </row>
    <row r="145" spans="5:10">
      <c r="E145" s="109"/>
      <c r="F145" s="108"/>
      <c r="G145" s="108"/>
      <c r="H145" s="92"/>
      <c r="I145" s="92"/>
      <c r="J145" s="92"/>
    </row>
    <row r="146" spans="5:10">
      <c r="E146" s="109"/>
      <c r="F146" s="108"/>
      <c r="G146" s="108"/>
      <c r="H146" s="92"/>
      <c r="I146" s="92"/>
      <c r="J146" s="92"/>
    </row>
    <row r="147" spans="5:10">
      <c r="E147" s="109"/>
      <c r="F147" s="108"/>
      <c r="G147" s="108"/>
      <c r="H147" s="92"/>
      <c r="I147" s="92"/>
      <c r="J147" s="92"/>
    </row>
    <row r="148" spans="5:10">
      <c r="E148" s="109"/>
      <c r="F148" s="108"/>
      <c r="G148" s="108"/>
      <c r="H148" s="92"/>
      <c r="I148" s="92"/>
      <c r="J148" s="92"/>
    </row>
    <row r="149" spans="5:10">
      <c r="E149" s="109"/>
      <c r="F149" s="108"/>
      <c r="G149" s="108"/>
      <c r="H149" s="92"/>
      <c r="I149" s="92"/>
      <c r="J149" s="92"/>
    </row>
    <row r="150" spans="5:10">
      <c r="E150" s="109"/>
      <c r="F150" s="108"/>
      <c r="G150" s="108"/>
      <c r="H150" s="92"/>
      <c r="I150" s="92"/>
      <c r="J150" s="92"/>
    </row>
    <row r="151" spans="5:10">
      <c r="E151" s="109"/>
      <c r="F151" s="108"/>
      <c r="G151" s="108"/>
      <c r="H151" s="92"/>
      <c r="I151" s="92"/>
      <c r="J151" s="92"/>
    </row>
    <row r="152" spans="5:10">
      <c r="E152" s="109"/>
      <c r="F152" s="108"/>
      <c r="G152" s="108"/>
      <c r="H152" s="92"/>
      <c r="I152" s="92"/>
      <c r="J152" s="92"/>
    </row>
    <row r="153" spans="5:10">
      <c r="E153" s="109"/>
      <c r="F153" s="108"/>
      <c r="G153" s="108"/>
      <c r="H153" s="92"/>
      <c r="I153" s="92"/>
      <c r="J153" s="92"/>
    </row>
    <row r="154" spans="5:10">
      <c r="E154" s="109"/>
      <c r="F154" s="108"/>
      <c r="G154" s="108"/>
      <c r="H154" s="92"/>
      <c r="I154" s="92"/>
      <c r="J154" s="92"/>
    </row>
    <row r="155" spans="5:10">
      <c r="E155" s="109"/>
      <c r="F155" s="108"/>
      <c r="G155" s="108"/>
      <c r="H155" s="92"/>
      <c r="I155" s="92"/>
      <c r="J155" s="92"/>
    </row>
    <row r="156" spans="5:10">
      <c r="E156" s="109"/>
      <c r="F156" s="108"/>
      <c r="G156" s="108"/>
      <c r="H156" s="92"/>
      <c r="I156" s="92"/>
      <c r="J156" s="92"/>
    </row>
    <row r="157" spans="5:10">
      <c r="E157" s="109"/>
      <c r="F157" s="108"/>
      <c r="G157" s="108"/>
      <c r="H157" s="92"/>
      <c r="I157" s="92"/>
      <c r="J157" s="92"/>
    </row>
    <row r="158" spans="5:10">
      <c r="E158" s="109"/>
      <c r="F158" s="108"/>
      <c r="G158" s="108"/>
      <c r="H158" s="92"/>
      <c r="I158" s="92"/>
      <c r="J158" s="92"/>
    </row>
    <row r="159" spans="5:10">
      <c r="E159" s="109"/>
      <c r="F159" s="108"/>
      <c r="G159" s="108"/>
      <c r="H159" s="92"/>
      <c r="I159" s="92"/>
      <c r="J159" s="92"/>
    </row>
    <row r="160" spans="5:10">
      <c r="E160" s="109"/>
      <c r="F160" s="108"/>
      <c r="G160" s="108"/>
      <c r="H160" s="92"/>
      <c r="I160" s="92"/>
      <c r="J160" s="92"/>
    </row>
    <row r="161" spans="5:10">
      <c r="E161" s="109"/>
      <c r="F161" s="108"/>
      <c r="G161" s="108"/>
      <c r="H161" s="92"/>
      <c r="I161" s="92"/>
      <c r="J161" s="92"/>
    </row>
    <row r="162" spans="5:10">
      <c r="E162" s="109"/>
      <c r="F162" s="108"/>
      <c r="G162" s="108"/>
      <c r="H162" s="92"/>
      <c r="I162" s="92"/>
      <c r="J162" s="92"/>
    </row>
    <row r="163" spans="5:10">
      <c r="E163" s="109"/>
      <c r="F163" s="108"/>
      <c r="G163" s="108"/>
      <c r="H163" s="92"/>
      <c r="I163" s="92"/>
      <c r="J163" s="92"/>
    </row>
    <row r="164" spans="5:10">
      <c r="E164" s="109"/>
      <c r="F164" s="108"/>
      <c r="G164" s="108"/>
      <c r="H164" s="92"/>
      <c r="I164" s="92"/>
      <c r="J164" s="92"/>
    </row>
    <row r="165" spans="5:10">
      <c r="E165" s="109"/>
      <c r="F165" s="108"/>
      <c r="G165" s="108"/>
      <c r="H165" s="92"/>
      <c r="I165" s="92"/>
      <c r="J165" s="92"/>
    </row>
    <row r="166" spans="5:10">
      <c r="E166" s="109"/>
      <c r="F166" s="108"/>
      <c r="G166" s="108"/>
      <c r="H166" s="92"/>
      <c r="I166" s="92"/>
      <c r="J166" s="92"/>
    </row>
    <row r="167" spans="5:10">
      <c r="E167" s="109"/>
      <c r="F167" s="108"/>
      <c r="G167" s="108"/>
      <c r="H167" s="92"/>
      <c r="I167" s="92"/>
      <c r="J167" s="92"/>
    </row>
    <row r="168" spans="5:10">
      <c r="E168" s="109"/>
      <c r="F168" s="108"/>
      <c r="G168" s="108"/>
      <c r="H168" s="92"/>
      <c r="I168" s="92"/>
      <c r="J168" s="92"/>
    </row>
    <row r="169" spans="5:10">
      <c r="E169" s="109"/>
      <c r="F169" s="108"/>
      <c r="G169" s="108"/>
      <c r="H169" s="92"/>
      <c r="I169" s="92"/>
      <c r="J169" s="92"/>
    </row>
    <row r="170" spans="5:10">
      <c r="E170" s="109"/>
      <c r="F170" s="108"/>
      <c r="G170" s="108"/>
      <c r="H170" s="92"/>
      <c r="I170" s="92"/>
      <c r="J170" s="92"/>
    </row>
    <row r="171" spans="5:10">
      <c r="E171" s="109"/>
      <c r="F171" s="108"/>
      <c r="G171" s="108"/>
      <c r="H171" s="92"/>
      <c r="I171" s="92"/>
      <c r="J171" s="92"/>
    </row>
    <row r="172" spans="5:10">
      <c r="E172" s="109"/>
      <c r="F172" s="108"/>
      <c r="G172" s="108"/>
      <c r="H172" s="92"/>
      <c r="I172" s="92"/>
      <c r="J172" s="92"/>
    </row>
    <row r="173" spans="5:10">
      <c r="E173" s="109"/>
      <c r="F173" s="108"/>
      <c r="G173" s="108"/>
      <c r="H173" s="92"/>
      <c r="I173" s="92"/>
      <c r="J173" s="92"/>
    </row>
    <row r="174" spans="5:10">
      <c r="E174" s="109"/>
      <c r="F174" s="108"/>
      <c r="G174" s="108"/>
      <c r="H174" s="92"/>
      <c r="I174" s="92"/>
      <c r="J174" s="92"/>
    </row>
    <row r="175" spans="5:10">
      <c r="E175" s="109"/>
      <c r="F175" s="108"/>
      <c r="G175" s="108"/>
      <c r="H175" s="92"/>
      <c r="I175" s="92"/>
      <c r="J175" s="92"/>
    </row>
    <row r="176" spans="5:10">
      <c r="E176" s="109"/>
      <c r="F176" s="108"/>
      <c r="G176" s="108"/>
      <c r="H176" s="92"/>
      <c r="I176" s="92"/>
      <c r="J176" s="92"/>
    </row>
    <row r="177" spans="5:10">
      <c r="E177" s="109"/>
      <c r="F177" s="108"/>
      <c r="G177" s="108"/>
      <c r="H177" s="92"/>
      <c r="I177" s="92"/>
      <c r="J177" s="92"/>
    </row>
    <row r="178" spans="5:10">
      <c r="E178" s="109"/>
      <c r="F178" s="108"/>
      <c r="G178" s="108"/>
      <c r="H178" s="92"/>
      <c r="I178" s="92"/>
      <c r="J178" s="92"/>
    </row>
    <row r="179" spans="5:10">
      <c r="E179" s="109"/>
      <c r="F179" s="108"/>
      <c r="G179" s="108"/>
      <c r="H179" s="92"/>
      <c r="I179" s="92"/>
      <c r="J179" s="92"/>
    </row>
    <row r="180" spans="5:10">
      <c r="E180" s="109"/>
      <c r="F180" s="108"/>
      <c r="G180" s="108"/>
      <c r="H180" s="92"/>
      <c r="I180" s="92"/>
      <c r="J180" s="92"/>
    </row>
    <row r="181" spans="5:10">
      <c r="E181" s="109"/>
      <c r="F181" s="108"/>
      <c r="G181" s="108"/>
      <c r="H181" s="92"/>
      <c r="I181" s="92"/>
      <c r="J181" s="92"/>
    </row>
    <row r="182" spans="5:10">
      <c r="E182" s="109"/>
      <c r="F182" s="108"/>
      <c r="G182" s="108"/>
      <c r="H182" s="92"/>
      <c r="I182" s="92"/>
      <c r="J182" s="92"/>
    </row>
    <row r="183" spans="5:10">
      <c r="E183" s="109"/>
      <c r="F183" s="108"/>
      <c r="G183" s="108"/>
      <c r="H183" s="92"/>
      <c r="I183" s="92"/>
      <c r="J183" s="92"/>
    </row>
    <row r="184" spans="5:10">
      <c r="E184" s="109"/>
      <c r="F184" s="108"/>
      <c r="G184" s="108"/>
      <c r="H184" s="92"/>
      <c r="I184" s="92"/>
      <c r="J184" s="92"/>
    </row>
    <row r="185" spans="5:10">
      <c r="E185" s="109"/>
      <c r="F185" s="108"/>
      <c r="G185" s="108"/>
      <c r="H185" s="92"/>
      <c r="I185" s="92"/>
      <c r="J185" s="92"/>
    </row>
    <row r="186" spans="5:10">
      <c r="E186" s="109"/>
      <c r="F186" s="108"/>
      <c r="G186" s="108"/>
      <c r="H186" s="92"/>
      <c r="I186" s="92"/>
      <c r="J186" s="92"/>
    </row>
    <row r="187" spans="5:10">
      <c r="E187" s="109"/>
      <c r="F187" s="108"/>
      <c r="G187" s="108"/>
      <c r="H187" s="92"/>
      <c r="I187" s="92"/>
      <c r="J187" s="92"/>
    </row>
    <row r="188" spans="5:10">
      <c r="E188" s="109"/>
      <c r="F188" s="108"/>
      <c r="G188" s="108"/>
      <c r="H188" s="92"/>
      <c r="I188" s="92"/>
      <c r="J188" s="92"/>
    </row>
    <row r="189" spans="5:10">
      <c r="E189" s="109"/>
      <c r="F189" s="108"/>
      <c r="G189" s="108"/>
      <c r="H189" s="92"/>
      <c r="I189" s="92"/>
      <c r="J189" s="92"/>
    </row>
    <row r="190" spans="5:10">
      <c r="E190" s="109"/>
      <c r="F190" s="108"/>
      <c r="G190" s="108"/>
      <c r="H190" s="92"/>
      <c r="I190" s="92"/>
      <c r="J190" s="92"/>
    </row>
    <row r="191" spans="5:10">
      <c r="E191" s="109"/>
      <c r="F191" s="108"/>
      <c r="G191" s="108"/>
      <c r="H191" s="92"/>
      <c r="I191" s="92"/>
      <c r="J191" s="92"/>
    </row>
    <row r="192" spans="5:10">
      <c r="E192" s="109"/>
      <c r="F192" s="108"/>
      <c r="G192" s="108"/>
      <c r="H192" s="92"/>
      <c r="I192" s="92"/>
      <c r="J192" s="92"/>
    </row>
    <row r="193" spans="5:10">
      <c r="E193" s="109"/>
      <c r="F193" s="108"/>
      <c r="G193" s="108"/>
      <c r="H193" s="92"/>
      <c r="I193" s="92"/>
      <c r="J193" s="92"/>
    </row>
    <row r="194" spans="5:10">
      <c r="E194" s="109"/>
      <c r="F194" s="108"/>
      <c r="G194" s="108"/>
      <c r="H194" s="92"/>
      <c r="I194" s="92"/>
      <c r="J194" s="92"/>
    </row>
    <row r="195" spans="5:10">
      <c r="E195" s="109"/>
      <c r="F195" s="108"/>
      <c r="G195" s="108"/>
      <c r="H195" s="92"/>
      <c r="I195" s="92"/>
      <c r="J195" s="92"/>
    </row>
    <row r="196" spans="5:10">
      <c r="E196" s="109"/>
      <c r="F196" s="108"/>
      <c r="G196" s="108"/>
      <c r="H196" s="92"/>
      <c r="I196" s="92"/>
      <c r="J196" s="92"/>
    </row>
    <row r="197" spans="5:10">
      <c r="E197" s="109"/>
      <c r="F197" s="108"/>
      <c r="G197" s="108"/>
      <c r="H197" s="92"/>
      <c r="I197" s="92"/>
      <c r="J197" s="92"/>
    </row>
    <row r="198" spans="5:10">
      <c r="E198" s="109"/>
      <c r="F198" s="108"/>
      <c r="G198" s="108"/>
      <c r="H198" s="92"/>
      <c r="I198" s="92"/>
      <c r="J198" s="92"/>
    </row>
    <row r="199" spans="5:10">
      <c r="E199" s="109"/>
      <c r="F199" s="108"/>
      <c r="G199" s="108"/>
      <c r="H199" s="92"/>
      <c r="I199" s="92"/>
      <c r="J199" s="92"/>
    </row>
    <row r="200" spans="5:10">
      <c r="E200" s="109"/>
      <c r="F200" s="108"/>
      <c r="G200" s="108"/>
      <c r="H200" s="92"/>
      <c r="I200" s="92"/>
      <c r="J200" s="92"/>
    </row>
    <row r="201" spans="5:10">
      <c r="E201" s="109"/>
      <c r="F201" s="108"/>
      <c r="G201" s="108"/>
      <c r="H201" s="92"/>
      <c r="I201" s="92"/>
      <c r="J201" s="92"/>
    </row>
    <row r="202" spans="5:10">
      <c r="E202" s="109"/>
      <c r="F202" s="108"/>
      <c r="G202" s="108"/>
      <c r="H202" s="92"/>
      <c r="I202" s="92"/>
      <c r="J202" s="92"/>
    </row>
    <row r="203" spans="5:10">
      <c r="E203" s="109"/>
      <c r="F203" s="108"/>
      <c r="G203" s="108"/>
      <c r="H203" s="92"/>
      <c r="I203" s="92"/>
      <c r="J203" s="92"/>
    </row>
    <row r="204" spans="5:10">
      <c r="E204" s="109"/>
      <c r="F204" s="108"/>
      <c r="G204" s="108"/>
      <c r="H204" s="92"/>
      <c r="I204" s="92"/>
      <c r="J204" s="92"/>
    </row>
    <row r="205" spans="5:10">
      <c r="E205" s="109"/>
      <c r="F205" s="108"/>
      <c r="G205" s="108"/>
      <c r="H205" s="92"/>
      <c r="I205" s="92"/>
      <c r="J205" s="92"/>
    </row>
    <row r="206" spans="5:10">
      <c r="E206" s="109"/>
      <c r="F206" s="108"/>
      <c r="G206" s="108"/>
      <c r="H206" s="92"/>
      <c r="I206" s="92"/>
      <c r="J206" s="92"/>
    </row>
    <row r="207" spans="5:10">
      <c r="E207" s="109"/>
      <c r="F207" s="108"/>
      <c r="G207" s="108"/>
      <c r="H207" s="92"/>
      <c r="I207" s="92"/>
      <c r="J207" s="92"/>
    </row>
    <row r="208" spans="5:10">
      <c r="E208" s="109"/>
      <c r="F208" s="108"/>
      <c r="G208" s="108"/>
      <c r="H208" s="92"/>
      <c r="I208" s="92"/>
      <c r="J208" s="92"/>
    </row>
    <row r="209" spans="5:10">
      <c r="E209" s="109"/>
      <c r="F209" s="108"/>
      <c r="G209" s="108"/>
      <c r="H209" s="92"/>
      <c r="I209" s="92"/>
      <c r="J209" s="92"/>
    </row>
    <row r="210" spans="5:10">
      <c r="E210" s="109"/>
      <c r="F210" s="108"/>
      <c r="G210" s="108"/>
      <c r="H210" s="92"/>
      <c r="I210" s="92"/>
      <c r="J210" s="92"/>
    </row>
    <row r="211" spans="5:10">
      <c r="E211" s="109"/>
      <c r="F211" s="108"/>
      <c r="G211" s="108"/>
      <c r="H211" s="92"/>
      <c r="I211" s="92"/>
      <c r="J211" s="92"/>
    </row>
    <row r="212" spans="5:10">
      <c r="E212" s="109"/>
      <c r="F212" s="108"/>
      <c r="G212" s="108"/>
      <c r="H212" s="92"/>
      <c r="I212" s="92"/>
      <c r="J212" s="92"/>
    </row>
    <row r="213" spans="5:10">
      <c r="E213" s="109"/>
      <c r="F213" s="108"/>
      <c r="G213" s="108"/>
      <c r="H213" s="92"/>
      <c r="I213" s="92"/>
      <c r="J213" s="92"/>
    </row>
    <row r="214" spans="5:10">
      <c r="E214" s="109"/>
      <c r="F214" s="108"/>
      <c r="G214" s="108"/>
      <c r="H214" s="92"/>
      <c r="I214" s="92"/>
      <c r="J214" s="92"/>
    </row>
    <row r="215" spans="5:10">
      <c r="E215" s="109"/>
      <c r="F215" s="108"/>
      <c r="G215" s="108"/>
      <c r="H215" s="92"/>
      <c r="I215" s="92"/>
      <c r="J215" s="92"/>
    </row>
    <row r="216" spans="5:10">
      <c r="E216" s="109"/>
      <c r="F216" s="108"/>
      <c r="G216" s="108"/>
      <c r="H216" s="92"/>
      <c r="I216" s="92"/>
      <c r="J216" s="92"/>
    </row>
    <row r="217" spans="5:10">
      <c r="E217" s="109"/>
      <c r="F217" s="108"/>
      <c r="G217" s="108"/>
      <c r="H217" s="92"/>
      <c r="I217" s="92"/>
      <c r="J217" s="92"/>
    </row>
    <row r="218" spans="5:10">
      <c r="E218" s="109"/>
      <c r="F218" s="108"/>
      <c r="G218" s="108"/>
      <c r="H218" s="92"/>
      <c r="I218" s="92"/>
      <c r="J218" s="92"/>
    </row>
    <row r="219" spans="5:10">
      <c r="E219" s="109"/>
      <c r="F219" s="108"/>
      <c r="G219" s="108"/>
      <c r="H219" s="92"/>
      <c r="I219" s="92"/>
      <c r="J219" s="92"/>
    </row>
    <row r="220" spans="5:10">
      <c r="E220" s="109"/>
      <c r="F220" s="108"/>
      <c r="G220" s="108"/>
      <c r="H220" s="92"/>
      <c r="I220" s="92"/>
      <c r="J220" s="92"/>
    </row>
    <row r="221" spans="5:10">
      <c r="E221" s="109"/>
      <c r="F221" s="108"/>
      <c r="G221" s="108"/>
      <c r="H221" s="92"/>
      <c r="I221" s="92"/>
      <c r="J221" s="92"/>
    </row>
    <row r="222" spans="5:10">
      <c r="E222" s="109"/>
      <c r="F222" s="108"/>
      <c r="G222" s="108"/>
      <c r="H222" s="92"/>
      <c r="I222" s="92"/>
      <c r="J222" s="92"/>
    </row>
    <row r="223" spans="5:10">
      <c r="E223" s="109"/>
      <c r="F223" s="108"/>
      <c r="G223" s="108"/>
      <c r="H223" s="92"/>
      <c r="I223" s="92"/>
      <c r="J223" s="92"/>
    </row>
    <row r="224" spans="5:10">
      <c r="E224" s="109"/>
      <c r="F224" s="108"/>
      <c r="G224" s="108"/>
      <c r="H224" s="92"/>
      <c r="I224" s="92"/>
      <c r="J224" s="92"/>
    </row>
    <row r="225" spans="5:10">
      <c r="E225" s="109"/>
      <c r="F225" s="108"/>
      <c r="G225" s="108"/>
      <c r="H225" s="92"/>
      <c r="I225" s="92"/>
      <c r="J225" s="92"/>
    </row>
    <row r="226" spans="5:10">
      <c r="E226" s="109"/>
      <c r="F226" s="108"/>
      <c r="G226" s="108"/>
      <c r="H226" s="92"/>
      <c r="I226" s="92"/>
      <c r="J226" s="92"/>
    </row>
    <row r="227" spans="5:10">
      <c r="E227" s="109"/>
      <c r="F227" s="108"/>
      <c r="G227" s="108"/>
      <c r="H227" s="92"/>
      <c r="I227" s="92"/>
      <c r="J227" s="92"/>
    </row>
    <row r="228" spans="5:10">
      <c r="E228" s="109"/>
      <c r="F228" s="108"/>
      <c r="G228" s="108"/>
      <c r="H228" s="92"/>
      <c r="I228" s="92"/>
      <c r="J228" s="92"/>
    </row>
    <row r="229" spans="5:10">
      <c r="E229" s="109"/>
      <c r="F229" s="108"/>
      <c r="G229" s="108"/>
      <c r="H229" s="92"/>
      <c r="I229" s="92"/>
      <c r="J229" s="92"/>
    </row>
    <row r="230" spans="5:10">
      <c r="E230" s="109"/>
      <c r="F230" s="108"/>
      <c r="G230" s="108"/>
      <c r="H230" s="92"/>
      <c r="I230" s="92"/>
      <c r="J230" s="92"/>
    </row>
    <row r="231" spans="5:10">
      <c r="E231" s="109"/>
      <c r="F231" s="108"/>
      <c r="G231" s="108"/>
      <c r="H231" s="92"/>
      <c r="I231" s="92"/>
      <c r="J231" s="92"/>
    </row>
    <row r="232" spans="5:10">
      <c r="E232" s="109"/>
      <c r="F232" s="108"/>
      <c r="G232" s="108"/>
      <c r="H232" s="92"/>
      <c r="I232" s="92"/>
      <c r="J232" s="92"/>
    </row>
    <row r="233" spans="5:10">
      <c r="E233" s="109"/>
      <c r="F233" s="108"/>
      <c r="G233" s="108"/>
      <c r="H233" s="92"/>
      <c r="I233" s="92"/>
      <c r="J233" s="92"/>
    </row>
    <row r="234" spans="5:10">
      <c r="E234" s="109"/>
      <c r="F234" s="108"/>
      <c r="G234" s="108"/>
      <c r="H234" s="92"/>
      <c r="I234" s="92"/>
      <c r="J234" s="92"/>
    </row>
    <row r="235" spans="5:10">
      <c r="E235" s="109"/>
      <c r="F235" s="108"/>
      <c r="G235" s="108"/>
      <c r="H235" s="92"/>
      <c r="I235" s="92"/>
      <c r="J235" s="92"/>
    </row>
    <row r="236" spans="5:10">
      <c r="E236" s="109"/>
      <c r="F236" s="108"/>
      <c r="G236" s="108"/>
      <c r="H236" s="92"/>
      <c r="I236" s="92"/>
      <c r="J236" s="92"/>
    </row>
    <row r="237" spans="5:10">
      <c r="E237" s="109"/>
      <c r="F237" s="108"/>
      <c r="G237" s="108"/>
      <c r="H237" s="92"/>
      <c r="I237" s="92"/>
      <c r="J237" s="92"/>
    </row>
    <row r="238" spans="5:10">
      <c r="E238" s="109"/>
      <c r="F238" s="108"/>
      <c r="G238" s="108"/>
      <c r="H238" s="92"/>
      <c r="I238" s="92"/>
      <c r="J238" s="92"/>
    </row>
    <row r="239" spans="5:10">
      <c r="E239" s="109"/>
      <c r="F239" s="108"/>
      <c r="G239" s="108"/>
      <c r="H239" s="92"/>
      <c r="I239" s="92"/>
      <c r="J239" s="92"/>
    </row>
    <row r="240" spans="5:10">
      <c r="E240" s="109"/>
      <c r="F240" s="108"/>
      <c r="G240" s="108"/>
      <c r="H240" s="92"/>
      <c r="I240" s="92"/>
      <c r="J240" s="92"/>
    </row>
    <row r="241" spans="5:10">
      <c r="E241" s="109"/>
      <c r="F241" s="108"/>
      <c r="G241" s="108"/>
      <c r="H241" s="92"/>
      <c r="I241" s="92"/>
      <c r="J241" s="92"/>
    </row>
    <row r="242" spans="5:10">
      <c r="E242" s="109"/>
      <c r="F242" s="108"/>
      <c r="G242" s="108"/>
      <c r="H242" s="92"/>
      <c r="I242" s="92"/>
      <c r="J242" s="92"/>
    </row>
    <row r="243" spans="5:10">
      <c r="E243" s="109"/>
      <c r="F243" s="108"/>
      <c r="G243" s="108"/>
      <c r="H243" s="92"/>
      <c r="I243" s="92"/>
      <c r="J243" s="92"/>
    </row>
    <row r="244" spans="5:10">
      <c r="E244" s="109"/>
      <c r="F244" s="108"/>
      <c r="G244" s="108"/>
      <c r="H244" s="92"/>
      <c r="I244" s="92"/>
      <c r="J244" s="92"/>
    </row>
    <row r="245" spans="5:10">
      <c r="E245" s="109"/>
      <c r="F245" s="108"/>
      <c r="G245" s="108"/>
      <c r="H245" s="92"/>
      <c r="I245" s="92"/>
      <c r="J245" s="92"/>
    </row>
    <row r="246" spans="5:10">
      <c r="E246" s="109"/>
      <c r="F246" s="108"/>
      <c r="G246" s="108"/>
      <c r="H246" s="92"/>
      <c r="I246" s="92"/>
      <c r="J246" s="92"/>
    </row>
    <row r="247" spans="5:10">
      <c r="E247" s="109"/>
      <c r="F247" s="108"/>
      <c r="G247" s="108"/>
      <c r="H247" s="92"/>
      <c r="I247" s="92"/>
      <c r="J247" s="92"/>
    </row>
    <row r="248" spans="5:10">
      <c r="E248" s="109"/>
      <c r="F248" s="108"/>
      <c r="G248" s="108"/>
      <c r="H248" s="92"/>
      <c r="I248" s="92"/>
      <c r="J248" s="92"/>
    </row>
    <row r="249" spans="5:10">
      <c r="E249" s="109"/>
      <c r="F249" s="108"/>
      <c r="G249" s="108"/>
      <c r="H249" s="92"/>
      <c r="I249" s="92"/>
      <c r="J249" s="92"/>
    </row>
    <row r="250" spans="5:10">
      <c r="E250" s="109"/>
      <c r="F250" s="108"/>
      <c r="G250" s="108"/>
      <c r="H250" s="92"/>
      <c r="I250" s="92"/>
      <c r="J250" s="92"/>
    </row>
    <row r="251" spans="5:10">
      <c r="E251" s="109"/>
      <c r="F251" s="108"/>
      <c r="G251" s="108"/>
      <c r="H251" s="92"/>
      <c r="I251" s="92"/>
      <c r="J251" s="92"/>
    </row>
    <row r="252" spans="5:10">
      <c r="E252" s="109"/>
      <c r="F252" s="108"/>
      <c r="G252" s="108"/>
      <c r="H252" s="92"/>
      <c r="I252" s="92"/>
      <c r="J252" s="92"/>
    </row>
    <row r="253" spans="5:10">
      <c r="E253" s="109"/>
      <c r="F253" s="108"/>
      <c r="G253" s="108"/>
      <c r="H253" s="92"/>
      <c r="I253" s="92"/>
      <c r="J253" s="92"/>
    </row>
    <row r="254" spans="5:10">
      <c r="E254" s="109"/>
      <c r="F254" s="108"/>
      <c r="G254" s="108"/>
      <c r="H254" s="92"/>
      <c r="I254" s="92"/>
      <c r="J254" s="92"/>
    </row>
    <row r="255" spans="5:10">
      <c r="E255" s="109"/>
      <c r="F255" s="108"/>
      <c r="G255" s="108"/>
      <c r="H255" s="92"/>
      <c r="I255" s="92"/>
      <c r="J255" s="92"/>
    </row>
    <row r="256" spans="5:10">
      <c r="E256" s="109"/>
      <c r="F256" s="108"/>
      <c r="G256" s="108"/>
      <c r="H256" s="92"/>
      <c r="I256" s="92"/>
      <c r="J256" s="92"/>
    </row>
    <row r="257" spans="5:10">
      <c r="E257" s="109"/>
      <c r="F257" s="108"/>
      <c r="G257" s="108"/>
      <c r="H257" s="92"/>
      <c r="I257" s="92"/>
      <c r="J257" s="92"/>
    </row>
    <row r="258" spans="5:10">
      <c r="E258" s="109"/>
      <c r="F258" s="108"/>
      <c r="G258" s="108"/>
      <c r="H258" s="92"/>
      <c r="I258" s="92"/>
      <c r="J258" s="92"/>
    </row>
    <row r="259" spans="5:10">
      <c r="E259" s="109"/>
      <c r="F259" s="108"/>
      <c r="G259" s="108"/>
      <c r="H259" s="92"/>
      <c r="I259" s="92"/>
      <c r="J259" s="92"/>
    </row>
    <row r="260" spans="5:10">
      <c r="E260" s="109"/>
      <c r="F260" s="108"/>
      <c r="G260" s="108"/>
      <c r="H260" s="92"/>
      <c r="I260" s="92"/>
      <c r="J260" s="92"/>
    </row>
    <row r="261" spans="5:10">
      <c r="E261" s="109"/>
      <c r="F261" s="108"/>
      <c r="G261" s="108"/>
      <c r="H261" s="92"/>
      <c r="I261" s="92"/>
      <c r="J261" s="92"/>
    </row>
    <row r="262" spans="5:10">
      <c r="E262" s="109"/>
      <c r="F262" s="108"/>
      <c r="G262" s="108"/>
      <c r="H262" s="92"/>
      <c r="I262" s="92"/>
      <c r="J262" s="92"/>
    </row>
    <row r="263" spans="5:10">
      <c r="E263" s="109"/>
      <c r="F263" s="108"/>
      <c r="G263" s="108"/>
      <c r="H263" s="92"/>
      <c r="I263" s="92"/>
      <c r="J263" s="92"/>
    </row>
    <row r="264" spans="5:10">
      <c r="E264" s="109"/>
      <c r="F264" s="108"/>
      <c r="G264" s="108"/>
      <c r="H264" s="92"/>
      <c r="I264" s="92"/>
      <c r="J264" s="92"/>
    </row>
    <row r="265" spans="5:10">
      <c r="E265" s="109"/>
      <c r="F265" s="108"/>
      <c r="G265" s="108"/>
      <c r="H265" s="92"/>
      <c r="I265" s="92"/>
      <c r="J265" s="92"/>
    </row>
    <row r="266" spans="5:10">
      <c r="E266" s="109"/>
      <c r="F266" s="108"/>
      <c r="G266" s="108"/>
      <c r="H266" s="92"/>
      <c r="I266" s="92"/>
      <c r="J266" s="92"/>
    </row>
    <row r="267" spans="5:10">
      <c r="E267" s="109"/>
      <c r="F267" s="108"/>
      <c r="G267" s="108"/>
      <c r="H267" s="92"/>
      <c r="I267" s="92"/>
      <c r="J267" s="92"/>
    </row>
    <row r="268" spans="5:10">
      <c r="E268" s="109"/>
      <c r="F268" s="108"/>
      <c r="G268" s="108"/>
      <c r="H268" s="92"/>
      <c r="I268" s="92"/>
      <c r="J268" s="92"/>
    </row>
    <row r="269" spans="5:10">
      <c r="E269" s="109"/>
      <c r="F269" s="108"/>
      <c r="G269" s="108"/>
      <c r="H269" s="92"/>
      <c r="I269" s="92"/>
      <c r="J269" s="92"/>
    </row>
    <row r="270" spans="5:10">
      <c r="E270" s="109"/>
      <c r="F270" s="108"/>
      <c r="G270" s="108"/>
      <c r="H270" s="92"/>
      <c r="I270" s="92"/>
      <c r="J270" s="92"/>
    </row>
    <row r="271" spans="5:10">
      <c r="E271" s="109"/>
      <c r="F271" s="108"/>
      <c r="G271" s="108"/>
      <c r="H271" s="92"/>
      <c r="I271" s="92"/>
      <c r="J271" s="92"/>
    </row>
    <row r="272" spans="5:10">
      <c r="E272" s="109"/>
      <c r="F272" s="108"/>
      <c r="G272" s="108"/>
      <c r="H272" s="92"/>
      <c r="I272" s="92"/>
      <c r="J272" s="92"/>
    </row>
    <row r="273" spans="5:10">
      <c r="E273" s="109"/>
      <c r="F273" s="108"/>
      <c r="G273" s="108"/>
      <c r="H273" s="92"/>
      <c r="I273" s="92"/>
      <c r="J273" s="92"/>
    </row>
    <row r="274" spans="5:10">
      <c r="E274" s="109"/>
      <c r="F274" s="108"/>
      <c r="G274" s="108"/>
      <c r="H274" s="92"/>
      <c r="I274" s="92"/>
      <c r="J274" s="92"/>
    </row>
    <row r="275" spans="5:10">
      <c r="E275" s="109"/>
      <c r="F275" s="108"/>
      <c r="G275" s="108"/>
      <c r="H275" s="92"/>
      <c r="I275" s="92"/>
      <c r="J275" s="92"/>
    </row>
    <row r="276" spans="5:10">
      <c r="E276" s="109"/>
      <c r="F276" s="108"/>
      <c r="G276" s="108"/>
      <c r="H276" s="92"/>
      <c r="I276" s="92"/>
      <c r="J276" s="92"/>
    </row>
    <row r="277" spans="5:10">
      <c r="E277" s="109"/>
      <c r="F277" s="108"/>
      <c r="G277" s="108"/>
      <c r="H277" s="92"/>
      <c r="I277" s="92"/>
      <c r="J277" s="92"/>
    </row>
    <row r="278" spans="5:10">
      <c r="E278" s="109"/>
      <c r="F278" s="108"/>
      <c r="G278" s="108"/>
      <c r="H278" s="92"/>
      <c r="I278" s="92"/>
      <c r="J278" s="92"/>
    </row>
    <row r="279" spans="5:10">
      <c r="E279" s="109"/>
      <c r="F279" s="108"/>
      <c r="G279" s="108"/>
      <c r="H279" s="92"/>
      <c r="I279" s="92"/>
      <c r="J279" s="92"/>
    </row>
    <row r="280" spans="5:10">
      <c r="E280" s="109"/>
      <c r="F280" s="108"/>
      <c r="G280" s="108"/>
      <c r="H280" s="92"/>
      <c r="I280" s="92"/>
      <c r="J280" s="92"/>
    </row>
    <row r="281" spans="5:10">
      <c r="E281" s="109"/>
      <c r="F281" s="108"/>
      <c r="G281" s="108"/>
      <c r="H281" s="92"/>
      <c r="I281" s="92"/>
      <c r="J281" s="92"/>
    </row>
    <row r="282" spans="5:10">
      <c r="E282" s="109"/>
      <c r="F282" s="108"/>
      <c r="G282" s="108"/>
      <c r="H282" s="92"/>
      <c r="I282" s="92"/>
      <c r="J282" s="92"/>
    </row>
    <row r="283" spans="5:10">
      <c r="E283" s="109"/>
      <c r="F283" s="108"/>
      <c r="G283" s="108"/>
      <c r="H283" s="92"/>
      <c r="I283" s="92"/>
      <c r="J283" s="92"/>
    </row>
    <row r="284" spans="5:10">
      <c r="E284" s="109"/>
      <c r="F284" s="108"/>
      <c r="G284" s="108"/>
      <c r="H284" s="92"/>
      <c r="I284" s="92"/>
      <c r="J284" s="92"/>
    </row>
    <row r="285" spans="5:10">
      <c r="E285" s="109"/>
      <c r="F285" s="108"/>
      <c r="G285" s="108"/>
      <c r="H285" s="92"/>
      <c r="I285" s="92"/>
      <c r="J285" s="92"/>
    </row>
    <row r="286" spans="5:10">
      <c r="E286" s="109"/>
      <c r="F286" s="108"/>
      <c r="G286" s="108"/>
      <c r="H286" s="92"/>
      <c r="I286" s="92"/>
      <c r="J286" s="92"/>
    </row>
    <row r="287" spans="5:10">
      <c r="E287" s="109"/>
      <c r="F287" s="108"/>
      <c r="G287" s="108"/>
      <c r="H287" s="92"/>
      <c r="I287" s="92"/>
      <c r="J287" s="92"/>
    </row>
    <row r="288" spans="5:10">
      <c r="E288" s="109"/>
      <c r="F288" s="108"/>
      <c r="G288" s="108"/>
      <c r="H288" s="92"/>
      <c r="I288" s="92"/>
      <c r="J288" s="92"/>
    </row>
    <row r="289" spans="5:10">
      <c r="E289" s="109"/>
      <c r="F289" s="108"/>
      <c r="G289" s="108"/>
      <c r="H289" s="92"/>
      <c r="I289" s="92"/>
      <c r="J289" s="92"/>
    </row>
    <row r="290" spans="5:10">
      <c r="E290" s="109"/>
      <c r="F290" s="108"/>
      <c r="G290" s="108"/>
      <c r="H290" s="92"/>
      <c r="I290" s="92"/>
      <c r="J290" s="92"/>
    </row>
    <row r="291" spans="5:10">
      <c r="E291" s="109"/>
      <c r="F291" s="108"/>
      <c r="G291" s="108"/>
      <c r="H291" s="92"/>
      <c r="I291" s="92"/>
      <c r="J291" s="92"/>
    </row>
    <row r="292" spans="5:10">
      <c r="E292" s="109"/>
      <c r="F292" s="108"/>
      <c r="G292" s="108"/>
      <c r="H292" s="92"/>
      <c r="I292" s="92"/>
      <c r="J292" s="92"/>
    </row>
    <row r="293" spans="5:10">
      <c r="E293" s="109"/>
      <c r="F293" s="108"/>
      <c r="G293" s="108"/>
      <c r="H293" s="92"/>
      <c r="I293" s="92"/>
      <c r="J293" s="92"/>
    </row>
    <row r="294" spans="5:10">
      <c r="E294" s="109"/>
      <c r="F294" s="108"/>
      <c r="G294" s="108"/>
      <c r="H294" s="92"/>
      <c r="I294" s="92"/>
      <c r="J294" s="92"/>
    </row>
    <row r="295" spans="5:10">
      <c r="E295" s="109"/>
      <c r="F295" s="108"/>
      <c r="G295" s="108"/>
      <c r="H295" s="92"/>
      <c r="I295" s="92"/>
      <c r="J295" s="92"/>
    </row>
    <row r="296" spans="5:10">
      <c r="E296" s="109"/>
      <c r="F296" s="108"/>
      <c r="G296" s="108"/>
      <c r="H296" s="92"/>
      <c r="I296" s="92"/>
      <c r="J296" s="92"/>
    </row>
    <row r="297" spans="5:10">
      <c r="E297" s="109"/>
      <c r="F297" s="108"/>
      <c r="G297" s="108"/>
      <c r="H297" s="92"/>
      <c r="I297" s="92"/>
      <c r="J297" s="92"/>
    </row>
    <row r="298" spans="5:10">
      <c r="E298" s="109"/>
      <c r="F298" s="108"/>
      <c r="G298" s="108"/>
      <c r="H298" s="92"/>
      <c r="I298" s="92"/>
      <c r="J298" s="92"/>
    </row>
    <row r="299" spans="5:10">
      <c r="E299" s="109"/>
      <c r="F299" s="108"/>
      <c r="G299" s="108"/>
      <c r="H299" s="92"/>
      <c r="I299" s="92"/>
      <c r="J299" s="92"/>
    </row>
    <row r="300" spans="5:10">
      <c r="E300" s="109"/>
      <c r="F300" s="108"/>
      <c r="G300" s="108"/>
      <c r="H300" s="92"/>
      <c r="I300" s="92"/>
      <c r="J300" s="92"/>
    </row>
    <row r="301" spans="5:10">
      <c r="E301" s="109"/>
      <c r="F301" s="108"/>
      <c r="G301" s="108"/>
      <c r="H301" s="92"/>
      <c r="I301" s="92"/>
      <c r="J301" s="92"/>
    </row>
    <row r="302" spans="5:10">
      <c r="E302" s="109"/>
      <c r="F302" s="108"/>
      <c r="G302" s="108"/>
      <c r="H302" s="92"/>
      <c r="I302" s="92"/>
      <c r="J302" s="92"/>
    </row>
    <row r="303" spans="5:10">
      <c r="E303" s="109"/>
      <c r="F303" s="108"/>
      <c r="G303" s="108"/>
      <c r="H303" s="92"/>
      <c r="I303" s="92"/>
      <c r="J303" s="92"/>
    </row>
    <row r="304" spans="5:10">
      <c r="E304" s="109"/>
      <c r="F304" s="108"/>
      <c r="G304" s="108"/>
      <c r="H304" s="92"/>
      <c r="I304" s="92"/>
      <c r="J304" s="92"/>
    </row>
    <row r="305" spans="5:10">
      <c r="E305" s="109"/>
      <c r="F305" s="108"/>
      <c r="G305" s="108"/>
      <c r="H305" s="92"/>
      <c r="I305" s="92"/>
      <c r="J305" s="92"/>
    </row>
    <row r="306" spans="5:10">
      <c r="E306" s="109"/>
      <c r="F306" s="108"/>
      <c r="G306" s="108"/>
      <c r="H306" s="92"/>
      <c r="I306" s="92"/>
      <c r="J306" s="92"/>
    </row>
    <row r="307" spans="5:10">
      <c r="E307" s="109"/>
      <c r="F307" s="108"/>
      <c r="G307" s="108"/>
      <c r="H307" s="92"/>
      <c r="I307" s="92"/>
      <c r="J307" s="92"/>
    </row>
    <row r="308" spans="5:10">
      <c r="E308" s="109"/>
      <c r="F308" s="108"/>
      <c r="G308" s="108"/>
      <c r="H308" s="92"/>
      <c r="I308" s="92"/>
      <c r="J308" s="92"/>
    </row>
    <row r="309" spans="5:10">
      <c r="E309" s="109"/>
      <c r="F309" s="108"/>
      <c r="G309" s="108"/>
      <c r="H309" s="92"/>
      <c r="I309" s="92"/>
      <c r="J309" s="92"/>
    </row>
    <row r="310" spans="5:10">
      <c r="E310" s="109"/>
      <c r="F310" s="108"/>
      <c r="G310" s="108"/>
      <c r="H310" s="92"/>
      <c r="I310" s="92"/>
      <c r="J310" s="92"/>
    </row>
    <row r="311" spans="5:10">
      <c r="E311" s="109"/>
      <c r="F311" s="108"/>
      <c r="G311" s="108"/>
      <c r="H311" s="92"/>
      <c r="I311" s="92"/>
      <c r="J311" s="92"/>
    </row>
    <row r="312" spans="5:10">
      <c r="E312" s="109"/>
      <c r="F312" s="108"/>
      <c r="G312" s="108"/>
      <c r="H312" s="92"/>
      <c r="I312" s="92"/>
      <c r="J312" s="92"/>
    </row>
    <row r="313" spans="5:10">
      <c r="E313" s="109"/>
      <c r="F313" s="108"/>
      <c r="G313" s="108"/>
      <c r="H313" s="92"/>
      <c r="I313" s="92"/>
      <c r="J313" s="92"/>
    </row>
    <row r="314" spans="5:10">
      <c r="E314" s="109"/>
      <c r="F314" s="108"/>
      <c r="G314" s="108"/>
      <c r="H314" s="92"/>
      <c r="I314" s="92"/>
      <c r="J314" s="92"/>
    </row>
    <row r="315" spans="5:10">
      <c r="E315" s="109"/>
      <c r="F315" s="108"/>
      <c r="G315" s="108"/>
      <c r="H315" s="92"/>
      <c r="I315" s="92"/>
      <c r="J315" s="92"/>
    </row>
    <row r="316" spans="5:10">
      <c r="E316" s="109"/>
      <c r="F316" s="108"/>
      <c r="G316" s="108"/>
      <c r="H316" s="92"/>
      <c r="I316" s="92"/>
      <c r="J316" s="92"/>
    </row>
    <row r="317" spans="5:10">
      <c r="E317" s="109"/>
      <c r="F317" s="108"/>
      <c r="G317" s="108"/>
      <c r="H317" s="92"/>
      <c r="I317" s="92"/>
      <c r="J317" s="92"/>
    </row>
    <row r="318" spans="5:10">
      <c r="E318" s="109"/>
      <c r="F318" s="108"/>
      <c r="G318" s="108"/>
      <c r="H318" s="92"/>
      <c r="I318" s="92"/>
      <c r="J318" s="92"/>
    </row>
    <row r="319" spans="5:10">
      <c r="E319" s="109"/>
      <c r="F319" s="108"/>
      <c r="G319" s="108"/>
      <c r="H319" s="92"/>
      <c r="I319" s="92"/>
      <c r="J319" s="92"/>
    </row>
    <row r="320" spans="5:10">
      <c r="E320" s="109"/>
      <c r="F320" s="108"/>
      <c r="G320" s="108"/>
      <c r="H320" s="92"/>
      <c r="I320" s="92"/>
      <c r="J320" s="92"/>
    </row>
    <row r="321" spans="5:10">
      <c r="E321" s="109"/>
      <c r="F321" s="108"/>
      <c r="G321" s="108"/>
      <c r="H321" s="92"/>
      <c r="I321" s="92"/>
      <c r="J321" s="92"/>
    </row>
    <row r="322" spans="5:10">
      <c r="E322" s="109"/>
      <c r="F322" s="108"/>
      <c r="G322" s="108"/>
      <c r="H322" s="92"/>
      <c r="I322" s="92"/>
      <c r="J322" s="92"/>
    </row>
    <row r="323" spans="5:10">
      <c r="E323" s="109"/>
      <c r="F323" s="108"/>
      <c r="G323" s="108"/>
      <c r="H323" s="92"/>
      <c r="I323" s="92"/>
      <c r="J323" s="92"/>
    </row>
    <row r="324" spans="5:10">
      <c r="E324" s="109"/>
      <c r="F324" s="108"/>
      <c r="G324" s="108"/>
      <c r="H324" s="92"/>
      <c r="I324" s="92"/>
      <c r="J324" s="92"/>
    </row>
    <row r="325" spans="5:10">
      <c r="E325" s="109"/>
      <c r="F325" s="108"/>
      <c r="G325" s="108"/>
      <c r="H325" s="92"/>
      <c r="I325" s="92"/>
      <c r="J325" s="92"/>
    </row>
    <row r="326" spans="5:10">
      <c r="E326" s="109"/>
      <c r="F326" s="108"/>
      <c r="G326" s="108"/>
      <c r="H326" s="92"/>
      <c r="I326" s="92"/>
      <c r="J326" s="92"/>
    </row>
    <row r="327" spans="5:10">
      <c r="E327" s="109"/>
      <c r="F327" s="108"/>
      <c r="G327" s="108"/>
      <c r="H327" s="92"/>
      <c r="I327" s="92"/>
      <c r="J327" s="92"/>
    </row>
    <row r="328" spans="5:10">
      <c r="E328" s="109"/>
      <c r="F328" s="108"/>
      <c r="G328" s="108"/>
      <c r="H328" s="92"/>
      <c r="I328" s="92"/>
      <c r="J328" s="92"/>
    </row>
    <row r="329" spans="5:10">
      <c r="E329" s="109"/>
      <c r="F329" s="108"/>
      <c r="G329" s="108"/>
      <c r="H329" s="92"/>
      <c r="I329" s="92"/>
      <c r="J329" s="92"/>
    </row>
    <row r="330" spans="5:10">
      <c r="E330" s="109"/>
      <c r="F330" s="108"/>
      <c r="G330" s="108"/>
      <c r="H330" s="92"/>
      <c r="I330" s="92"/>
      <c r="J330" s="92"/>
    </row>
    <row r="331" spans="5:10">
      <c r="E331" s="109"/>
      <c r="F331" s="108"/>
      <c r="G331" s="108"/>
      <c r="H331" s="92"/>
      <c r="I331" s="92"/>
      <c r="J331" s="92"/>
    </row>
    <row r="332" spans="5:10">
      <c r="E332" s="109"/>
      <c r="F332" s="108"/>
      <c r="G332" s="108"/>
      <c r="H332" s="92"/>
      <c r="I332" s="92"/>
      <c r="J332" s="92"/>
    </row>
    <row r="333" spans="5:10">
      <c r="E333" s="109"/>
      <c r="F333" s="108"/>
      <c r="G333" s="108"/>
      <c r="H333" s="92"/>
      <c r="I333" s="92"/>
      <c r="J333" s="92"/>
    </row>
    <row r="334" spans="5:10">
      <c r="E334" s="109"/>
      <c r="F334" s="108"/>
      <c r="G334" s="108"/>
      <c r="H334" s="92"/>
      <c r="I334" s="92"/>
      <c r="J334" s="92"/>
    </row>
    <row r="335" spans="5:10">
      <c r="E335" s="109"/>
      <c r="F335" s="108"/>
      <c r="G335" s="108"/>
      <c r="H335" s="92"/>
      <c r="I335" s="92"/>
      <c r="J335" s="92"/>
    </row>
    <row r="336" spans="5:10">
      <c r="E336" s="109"/>
      <c r="F336" s="108"/>
      <c r="G336" s="108"/>
      <c r="H336" s="92"/>
      <c r="I336" s="92"/>
      <c r="J336" s="92"/>
    </row>
    <row r="337" spans="5:10">
      <c r="E337" s="109"/>
      <c r="F337" s="108"/>
      <c r="G337" s="108"/>
      <c r="H337" s="92"/>
      <c r="I337" s="92"/>
      <c r="J337" s="92"/>
    </row>
    <row r="338" spans="5:10">
      <c r="E338" s="109"/>
      <c r="F338" s="108"/>
      <c r="G338" s="108"/>
      <c r="H338" s="92"/>
      <c r="I338" s="92"/>
      <c r="J338" s="92"/>
    </row>
    <row r="339" spans="5:10">
      <c r="E339" s="109"/>
      <c r="F339" s="108"/>
      <c r="G339" s="108"/>
      <c r="H339" s="92"/>
      <c r="I339" s="92"/>
      <c r="J339" s="92"/>
    </row>
    <row r="340" spans="5:10">
      <c r="E340" s="109"/>
      <c r="F340" s="108"/>
      <c r="G340" s="108"/>
      <c r="H340" s="92"/>
      <c r="I340" s="92"/>
      <c r="J340" s="92"/>
    </row>
    <row r="341" spans="5:10">
      <c r="E341" s="109"/>
      <c r="F341" s="108"/>
      <c r="G341" s="108"/>
      <c r="H341" s="92"/>
      <c r="I341" s="92"/>
      <c r="J341" s="92"/>
    </row>
    <row r="342" spans="5:10">
      <c r="E342" s="109"/>
      <c r="F342" s="108"/>
      <c r="G342" s="108"/>
      <c r="H342" s="92"/>
      <c r="I342" s="92"/>
      <c r="J342" s="92"/>
    </row>
    <row r="343" spans="5:10">
      <c r="E343" s="109"/>
      <c r="F343" s="108"/>
      <c r="G343" s="108"/>
      <c r="H343" s="92"/>
      <c r="I343" s="92"/>
      <c r="J343" s="92"/>
    </row>
    <row r="344" spans="5:10">
      <c r="E344" s="109"/>
      <c r="F344" s="108"/>
      <c r="G344" s="108"/>
      <c r="H344" s="92"/>
      <c r="I344" s="92"/>
      <c r="J344" s="92"/>
    </row>
    <row r="345" spans="5:10">
      <c r="E345" s="109"/>
      <c r="F345" s="108"/>
      <c r="G345" s="108"/>
      <c r="H345" s="92"/>
      <c r="I345" s="92"/>
      <c r="J345" s="92"/>
    </row>
    <row r="346" spans="5:10">
      <c r="E346" s="109"/>
      <c r="F346" s="108"/>
      <c r="G346" s="108"/>
      <c r="H346" s="92"/>
      <c r="I346" s="92"/>
      <c r="J346" s="92"/>
    </row>
    <row r="347" spans="5:10">
      <c r="E347" s="109"/>
      <c r="F347" s="108"/>
      <c r="G347" s="108"/>
      <c r="H347" s="92"/>
      <c r="I347" s="92"/>
      <c r="J347" s="92"/>
    </row>
    <row r="348" spans="5:10">
      <c r="E348" s="109"/>
      <c r="F348" s="108"/>
      <c r="G348" s="108"/>
      <c r="H348" s="92"/>
      <c r="I348" s="92"/>
      <c r="J348" s="92"/>
    </row>
    <row r="349" spans="5:10">
      <c r="E349" s="109"/>
      <c r="F349" s="108"/>
      <c r="G349" s="108"/>
      <c r="H349" s="92"/>
      <c r="I349" s="92"/>
      <c r="J349" s="92"/>
    </row>
    <row r="350" spans="5:10">
      <c r="E350" s="109"/>
      <c r="F350" s="108"/>
      <c r="G350" s="108"/>
      <c r="H350" s="92"/>
      <c r="I350" s="92"/>
      <c r="J350" s="92"/>
    </row>
    <row r="351" spans="5:10">
      <c r="E351" s="109"/>
      <c r="F351" s="108"/>
      <c r="G351" s="108"/>
      <c r="H351" s="92"/>
      <c r="I351" s="92"/>
      <c r="J351" s="92"/>
    </row>
    <row r="352" spans="5:10">
      <c r="E352" s="109"/>
      <c r="F352" s="108"/>
      <c r="G352" s="108"/>
      <c r="H352" s="92"/>
      <c r="I352" s="92"/>
      <c r="J352" s="92"/>
    </row>
    <row r="353" spans="5:10">
      <c r="E353" s="109"/>
      <c r="F353" s="108"/>
      <c r="G353" s="108"/>
      <c r="H353" s="92"/>
      <c r="I353" s="92"/>
      <c r="J353" s="92"/>
    </row>
    <row r="354" spans="5:10">
      <c r="E354" s="109"/>
      <c r="F354" s="108"/>
      <c r="G354" s="108"/>
      <c r="H354" s="92"/>
      <c r="I354" s="92"/>
      <c r="J354" s="92"/>
    </row>
    <row r="355" spans="5:10">
      <c r="E355" s="109"/>
      <c r="F355" s="108"/>
      <c r="G355" s="108"/>
      <c r="H355" s="92"/>
      <c r="I355" s="92"/>
      <c r="J355" s="92"/>
    </row>
    <row r="356" spans="5:10">
      <c r="E356" s="109"/>
      <c r="F356" s="108"/>
      <c r="G356" s="108"/>
      <c r="H356" s="92"/>
      <c r="I356" s="92"/>
      <c r="J356" s="92"/>
    </row>
    <row r="357" spans="5:10">
      <c r="E357" s="109"/>
      <c r="F357" s="108"/>
      <c r="G357" s="108"/>
      <c r="H357" s="92"/>
      <c r="I357" s="92"/>
      <c r="J357" s="92"/>
    </row>
    <row r="358" spans="5:10">
      <c r="E358" s="109"/>
      <c r="F358" s="108"/>
      <c r="G358" s="108"/>
      <c r="H358" s="92"/>
      <c r="I358" s="92"/>
      <c r="J358" s="92"/>
    </row>
    <row r="359" spans="5:10">
      <c r="E359" s="109"/>
      <c r="F359" s="108"/>
      <c r="G359" s="108"/>
      <c r="H359" s="92"/>
      <c r="I359" s="92"/>
      <c r="J359" s="92"/>
    </row>
    <row r="360" spans="5:10">
      <c r="E360" s="109"/>
      <c r="F360" s="108"/>
      <c r="G360" s="108"/>
      <c r="H360" s="92"/>
      <c r="I360" s="92"/>
      <c r="J360" s="92"/>
    </row>
    <row r="361" spans="5:10">
      <c r="E361" s="109"/>
      <c r="F361" s="108"/>
      <c r="G361" s="108"/>
      <c r="H361" s="92"/>
      <c r="I361" s="92"/>
      <c r="J361" s="92"/>
    </row>
    <row r="362" spans="5:10">
      <c r="E362" s="109"/>
      <c r="F362" s="108"/>
      <c r="G362" s="108"/>
      <c r="H362" s="92"/>
      <c r="I362" s="92"/>
      <c r="J362" s="92"/>
    </row>
    <row r="363" spans="5:10">
      <c r="E363" s="109"/>
      <c r="F363" s="108"/>
      <c r="G363" s="108"/>
      <c r="H363" s="92"/>
      <c r="I363" s="92"/>
      <c r="J363" s="92"/>
    </row>
    <row r="364" spans="5:10">
      <c r="E364" s="109"/>
      <c r="F364" s="108"/>
      <c r="G364" s="108"/>
      <c r="H364" s="92"/>
      <c r="I364" s="92"/>
      <c r="J364" s="92"/>
    </row>
    <row r="365" spans="5:10">
      <c r="E365" s="109"/>
      <c r="F365" s="108"/>
      <c r="G365" s="108"/>
      <c r="H365" s="92"/>
      <c r="I365" s="92"/>
      <c r="J365" s="92"/>
    </row>
    <row r="366" spans="5:10">
      <c r="E366" s="109"/>
      <c r="F366" s="108"/>
      <c r="G366" s="108"/>
      <c r="H366" s="92"/>
      <c r="I366" s="92"/>
      <c r="J366" s="92"/>
    </row>
    <row r="367" spans="5:10">
      <c r="E367" s="109"/>
      <c r="F367" s="108"/>
      <c r="G367" s="108"/>
      <c r="H367" s="92"/>
      <c r="I367" s="92"/>
      <c r="J367" s="92"/>
    </row>
    <row r="368" spans="5:10">
      <c r="E368" s="109"/>
      <c r="F368" s="108"/>
      <c r="G368" s="108"/>
      <c r="H368" s="92"/>
      <c r="I368" s="92"/>
      <c r="J368" s="92"/>
    </row>
    <row r="369" spans="5:10">
      <c r="E369" s="109"/>
      <c r="F369" s="108"/>
      <c r="G369" s="108"/>
      <c r="H369" s="92"/>
      <c r="I369" s="92"/>
      <c r="J369" s="92"/>
    </row>
    <row r="370" spans="5:10">
      <c r="E370" s="109"/>
      <c r="F370" s="108"/>
      <c r="G370" s="108"/>
      <c r="H370" s="92"/>
      <c r="I370" s="92"/>
      <c r="J370" s="92"/>
    </row>
    <row r="371" spans="5:10">
      <c r="E371" s="109"/>
      <c r="F371" s="108"/>
      <c r="G371" s="108"/>
      <c r="H371" s="92"/>
      <c r="I371" s="92"/>
      <c r="J371" s="92"/>
    </row>
    <row r="372" spans="5:10">
      <c r="E372" s="109"/>
      <c r="F372" s="108"/>
      <c r="G372" s="108"/>
      <c r="H372" s="92"/>
      <c r="I372" s="92"/>
      <c r="J372" s="92"/>
    </row>
    <row r="373" spans="5:10">
      <c r="E373" s="109"/>
      <c r="F373" s="108"/>
      <c r="G373" s="108"/>
      <c r="H373" s="92"/>
      <c r="I373" s="92"/>
      <c r="J373" s="92"/>
    </row>
    <row r="374" spans="5:10">
      <c r="E374" s="109"/>
      <c r="F374" s="108"/>
      <c r="G374" s="108"/>
      <c r="H374" s="92"/>
      <c r="I374" s="92"/>
      <c r="J374" s="92"/>
    </row>
    <row r="375" spans="5:10">
      <c r="E375" s="109"/>
      <c r="F375" s="108"/>
      <c r="G375" s="108"/>
      <c r="H375" s="92"/>
      <c r="I375" s="92"/>
      <c r="J375" s="92"/>
    </row>
    <row r="376" spans="5:10">
      <c r="E376" s="109"/>
      <c r="F376" s="108"/>
      <c r="G376" s="108"/>
      <c r="H376" s="92"/>
      <c r="I376" s="92"/>
      <c r="J376" s="92"/>
    </row>
    <row r="377" spans="5:10">
      <c r="E377" s="109"/>
      <c r="F377" s="108"/>
      <c r="G377" s="108"/>
      <c r="H377" s="92"/>
      <c r="I377" s="92"/>
      <c r="J377" s="92"/>
    </row>
    <row r="378" spans="5:10">
      <c r="E378" s="109"/>
      <c r="F378" s="108"/>
      <c r="G378" s="108"/>
      <c r="H378" s="92"/>
      <c r="I378" s="92"/>
      <c r="J378" s="92"/>
    </row>
    <row r="379" spans="5:10">
      <c r="E379" s="109"/>
      <c r="F379" s="108"/>
      <c r="G379" s="108"/>
      <c r="H379" s="92"/>
      <c r="I379" s="92"/>
      <c r="J379" s="92"/>
    </row>
    <row r="380" spans="5:10">
      <c r="E380" s="109"/>
      <c r="F380" s="108"/>
      <c r="G380" s="108"/>
      <c r="H380" s="92"/>
      <c r="I380" s="92"/>
      <c r="J380" s="92"/>
    </row>
    <row r="381" spans="5:10">
      <c r="E381" s="109"/>
      <c r="F381" s="108"/>
      <c r="G381" s="108"/>
      <c r="H381" s="92"/>
      <c r="I381" s="92"/>
      <c r="J381" s="92"/>
    </row>
    <row r="382" spans="5:10">
      <c r="E382" s="109"/>
      <c r="F382" s="108"/>
      <c r="G382" s="108"/>
      <c r="H382" s="92"/>
      <c r="I382" s="92"/>
      <c r="J382" s="92"/>
    </row>
    <row r="383" spans="5:10">
      <c r="E383" s="109"/>
      <c r="F383" s="108"/>
      <c r="G383" s="108"/>
      <c r="H383" s="92"/>
      <c r="I383" s="92"/>
      <c r="J383" s="92"/>
    </row>
    <row r="384" spans="5:10">
      <c r="E384" s="109"/>
      <c r="F384" s="108"/>
      <c r="G384" s="108"/>
      <c r="H384" s="92"/>
      <c r="I384" s="92"/>
      <c r="J384" s="92"/>
    </row>
    <row r="385" spans="5:10">
      <c r="E385" s="109"/>
      <c r="F385" s="108"/>
      <c r="G385" s="108"/>
      <c r="H385" s="92"/>
      <c r="I385" s="92"/>
      <c r="J385" s="92"/>
    </row>
    <row r="386" spans="5:10">
      <c r="E386" s="109"/>
      <c r="F386" s="108"/>
      <c r="G386" s="108"/>
      <c r="H386" s="92"/>
      <c r="I386" s="92"/>
      <c r="J386" s="92"/>
    </row>
    <row r="387" spans="5:10">
      <c r="E387" s="109"/>
      <c r="F387" s="108"/>
      <c r="G387" s="108"/>
      <c r="H387" s="92"/>
      <c r="I387" s="92"/>
      <c r="J387" s="92"/>
    </row>
    <row r="388" spans="5:10">
      <c r="E388" s="109"/>
      <c r="F388" s="108"/>
      <c r="G388" s="108"/>
      <c r="H388" s="92"/>
      <c r="I388" s="92"/>
      <c r="J388" s="92"/>
    </row>
    <row r="389" spans="5:10">
      <c r="E389" s="109"/>
      <c r="F389" s="108"/>
      <c r="G389" s="108"/>
      <c r="H389" s="92"/>
      <c r="I389" s="92"/>
      <c r="J389" s="92"/>
    </row>
    <row r="390" spans="5:10">
      <c r="E390" s="109"/>
      <c r="F390" s="108"/>
      <c r="G390" s="108"/>
      <c r="H390" s="92"/>
      <c r="I390" s="92"/>
      <c r="J390" s="92"/>
    </row>
    <row r="391" spans="5:10">
      <c r="E391" s="109"/>
      <c r="F391" s="108"/>
      <c r="G391" s="108"/>
      <c r="H391" s="92"/>
      <c r="I391" s="92"/>
      <c r="J391" s="92"/>
    </row>
    <row r="392" spans="5:10">
      <c r="E392" s="109"/>
      <c r="F392" s="108"/>
      <c r="G392" s="108"/>
      <c r="H392" s="92"/>
      <c r="I392" s="92"/>
      <c r="J392" s="92"/>
    </row>
    <row r="393" spans="5:10">
      <c r="E393" s="109"/>
      <c r="F393" s="108"/>
      <c r="G393" s="108"/>
      <c r="H393" s="92"/>
      <c r="I393" s="92"/>
      <c r="J393" s="92"/>
    </row>
    <row r="394" spans="5:10">
      <c r="E394" s="113"/>
    </row>
    <row r="395" spans="5:10">
      <c r="E395" s="113"/>
    </row>
    <row r="396" spans="5:10">
      <c r="E396" s="113"/>
    </row>
    <row r="397" spans="5:10">
      <c r="E397" s="113"/>
    </row>
    <row r="398" spans="5:10">
      <c r="E398" s="113"/>
    </row>
    <row r="399" spans="5:10">
      <c r="E399" s="113"/>
    </row>
    <row r="400" spans="5:10">
      <c r="E400" s="113"/>
    </row>
  </sheetData>
  <mergeCells count="7">
    <mergeCell ref="A1:J1"/>
    <mergeCell ref="A4:A5"/>
    <mergeCell ref="B4:B5"/>
    <mergeCell ref="C4:E4"/>
    <mergeCell ref="F4:H4"/>
    <mergeCell ref="I4:I5"/>
    <mergeCell ref="J4:J5"/>
  </mergeCells>
  <phoneticPr fontId="4" type="noConversion"/>
  <conditionalFormatting sqref="J1:J1048576">
    <cfRule type="cellIs" dxfId="1" priority="1" stopIfTrue="1" operator="equal">
      <formula>"显著"</formula>
    </cfRule>
    <cfRule type="cellIs" dxfId="0" priority="2" stopIfTrue="1" operator="equal">
      <formula>"关注"</formula>
    </cfRule>
  </conditionalFormatting>
  <printOptions horizontalCentered="1" verticalCentered="1"/>
  <pageMargins left="0.27559055118110237" right="0.35433070866141736" top="0.42" bottom="0.25" header="0.39370078740157483" footer="0.21"/>
  <pageSetup paperSize="9" scale="90" orientation="landscape" blackAndWhite="1" horizontalDpi="180" verticalDpi="18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K61"/>
  <sheetViews>
    <sheetView showZeros="0" view="pageBreakPreview" zoomScaleNormal="100" zoomScaleSheetLayoutView="100" workbookViewId="0">
      <pane xSplit="2" ySplit="3" topLeftCell="C4" activePane="bottomRight" state="frozen"/>
      <selection sqref="A1:H1"/>
      <selection pane="topRight" sqref="A1:H1"/>
      <selection pane="bottomLeft" sqref="A1:H1"/>
      <selection pane="bottomRight" activeCell="D10" sqref="D10"/>
    </sheetView>
  </sheetViews>
  <sheetFormatPr defaultColWidth="10.33203125" defaultRowHeight="15.6"/>
  <cols>
    <col min="1" max="1" width="27.44140625" style="30" customWidth="1"/>
    <col min="2" max="2" width="15" style="30" customWidth="1"/>
    <col min="3" max="3" width="12.44140625" style="30" customWidth="1"/>
    <col min="4" max="4" width="18.109375" style="30" customWidth="1"/>
    <col min="5" max="5" width="17.33203125" style="30" customWidth="1"/>
    <col min="6" max="8" width="16.33203125" style="30" customWidth="1"/>
    <col min="9" max="9" width="1.88671875" style="30" customWidth="1"/>
    <col min="10" max="10" width="14.6640625" style="30" customWidth="1"/>
    <col min="11" max="16384" width="10.33203125" style="30"/>
  </cols>
  <sheetData>
    <row r="1" spans="1:11" ht="23.25" customHeight="1">
      <c r="A1" s="243" t="s">
        <v>339</v>
      </c>
      <c r="B1" s="244"/>
      <c r="C1" s="244"/>
      <c r="D1" s="244"/>
      <c r="E1" s="244"/>
      <c r="F1" s="244"/>
      <c r="G1" s="244"/>
      <c r="H1" s="244"/>
      <c r="I1" s="114"/>
      <c r="J1" s="114"/>
    </row>
    <row r="2" spans="1:11" s="31" customFormat="1" ht="13.8">
      <c r="A2" s="32" t="str">
        <f>'已审利润横向分析A1-14-3'!A2</f>
        <v>客户名称：</v>
      </c>
      <c r="D2" s="44" t="str">
        <f>'已审利润横向分析A1-14-3'!B2</f>
        <v>编制人：</v>
      </c>
      <c r="E2" s="44"/>
      <c r="F2" s="32" t="str">
        <f>'已审利润横向分析A1-14-3'!E2</f>
        <v>日期：</v>
      </c>
      <c r="G2" s="32"/>
      <c r="H2" s="44" t="s">
        <v>340</v>
      </c>
      <c r="K2" s="32"/>
    </row>
    <row r="3" spans="1:11" s="31" customFormat="1" ht="13.8">
      <c r="A3" s="32" t="str">
        <f>'已审资产负债横向分析A1-14-1'!A3</f>
        <v>会计时点：2017.12.31</v>
      </c>
      <c r="D3" s="44" t="str">
        <f>'已审利润横向分析A1-14-3'!B3</f>
        <v>复核人：</v>
      </c>
      <c r="E3" s="44"/>
      <c r="F3" s="44" t="str">
        <f>'已审利润横向分析A1-14-3'!E3</f>
        <v>日期：</v>
      </c>
      <c r="G3" s="44"/>
      <c r="H3" s="44" t="s">
        <v>102</v>
      </c>
      <c r="K3" s="32"/>
    </row>
    <row r="4" spans="1:11">
      <c r="A4" s="245" t="s">
        <v>341</v>
      </c>
      <c r="B4" s="206"/>
      <c r="C4" s="206"/>
      <c r="D4" s="206"/>
      <c r="E4" s="206"/>
      <c r="F4" s="206"/>
      <c r="G4" s="206"/>
      <c r="H4" s="206"/>
      <c r="I4" s="115"/>
      <c r="J4" s="115"/>
    </row>
    <row r="5" spans="1:11" ht="33.75" customHeight="1">
      <c r="A5" s="246" t="s">
        <v>342</v>
      </c>
      <c r="B5" s="247" t="s">
        <v>343</v>
      </c>
      <c r="C5" s="246" t="s">
        <v>344</v>
      </c>
      <c r="D5" s="378" t="s">
        <v>345</v>
      </c>
      <c r="E5" s="378"/>
      <c r="F5" s="248" t="s">
        <v>425</v>
      </c>
      <c r="G5" s="248" t="s">
        <v>426</v>
      </c>
      <c r="H5" s="248" t="s">
        <v>427</v>
      </c>
      <c r="I5" s="115"/>
      <c r="J5" s="115"/>
    </row>
    <row r="6" spans="1:11" ht="35.25" customHeight="1">
      <c r="A6" s="249" t="s">
        <v>81</v>
      </c>
      <c r="B6" s="250"/>
      <c r="C6" s="251"/>
      <c r="D6" s="251"/>
      <c r="E6" s="251"/>
      <c r="F6" s="251"/>
      <c r="G6" s="251"/>
      <c r="H6" s="251"/>
      <c r="I6" s="115"/>
      <c r="J6" s="115"/>
    </row>
    <row r="7" spans="1:11" ht="30" customHeight="1">
      <c r="A7" s="252" t="s">
        <v>82</v>
      </c>
      <c r="B7" s="253"/>
      <c r="C7" s="254"/>
      <c r="D7" s="254"/>
      <c r="E7" s="254"/>
      <c r="F7" s="254"/>
      <c r="G7" s="254"/>
      <c r="H7" s="254"/>
      <c r="I7" s="115"/>
      <c r="J7" s="115"/>
    </row>
    <row r="8" spans="1:11" ht="33.75" customHeight="1">
      <c r="A8" s="249" t="s">
        <v>83</v>
      </c>
      <c r="B8" s="250"/>
      <c r="C8" s="251"/>
      <c r="D8" s="251"/>
      <c r="E8" s="251"/>
      <c r="F8" s="251"/>
      <c r="G8" s="251"/>
      <c r="H8" s="251"/>
      <c r="I8" s="115"/>
      <c r="J8" s="115"/>
    </row>
    <row r="9" spans="1:11" ht="34.5" customHeight="1">
      <c r="A9" s="252" t="s">
        <v>84</v>
      </c>
      <c r="B9" s="253"/>
      <c r="C9" s="254"/>
      <c r="D9" s="254"/>
      <c r="E9" s="254"/>
      <c r="F9" s="254"/>
      <c r="G9" s="254"/>
      <c r="H9" s="254"/>
      <c r="I9" s="115"/>
      <c r="J9" s="115"/>
    </row>
    <row r="10" spans="1:11" ht="33.75" customHeight="1">
      <c r="A10" s="249" t="s">
        <v>85</v>
      </c>
      <c r="B10" s="250"/>
      <c r="C10" s="251"/>
      <c r="D10" s="251"/>
      <c r="E10" s="251"/>
      <c r="F10" s="251"/>
      <c r="G10" s="251"/>
      <c r="H10" s="251"/>
      <c r="I10" s="115"/>
      <c r="J10" s="115"/>
    </row>
    <row r="11" spans="1:11">
      <c r="A11" s="206" t="s">
        <v>346</v>
      </c>
      <c r="B11" s="206"/>
      <c r="C11" s="206"/>
      <c r="D11" s="206"/>
      <c r="E11" s="206"/>
      <c r="F11" s="206"/>
      <c r="G11" s="206"/>
      <c r="H11" s="206"/>
      <c r="I11" s="115"/>
      <c r="J11" s="115"/>
    </row>
    <row r="12" spans="1:11">
      <c r="A12" s="206"/>
      <c r="B12" s="206"/>
      <c r="C12" s="206"/>
      <c r="D12" s="206"/>
      <c r="E12" s="206"/>
      <c r="F12" s="206"/>
      <c r="G12" s="206"/>
      <c r="H12" s="206"/>
      <c r="I12" s="115"/>
      <c r="J12" s="115"/>
    </row>
    <row r="13" spans="1:11">
      <c r="A13" s="206"/>
      <c r="B13" s="206"/>
      <c r="C13" s="206"/>
      <c r="D13" s="206"/>
      <c r="E13" s="206"/>
      <c r="F13" s="206"/>
      <c r="G13" s="206"/>
      <c r="H13" s="206"/>
      <c r="I13" s="115"/>
      <c r="J13" s="115"/>
    </row>
    <row r="14" spans="1:11">
      <c r="A14" s="206"/>
      <c r="B14" s="206"/>
      <c r="C14" s="206"/>
      <c r="D14" s="206"/>
      <c r="E14" s="206"/>
      <c r="F14" s="206"/>
      <c r="G14" s="206"/>
      <c r="H14" s="206"/>
      <c r="I14" s="115"/>
      <c r="J14" s="115"/>
    </row>
    <row r="15" spans="1:11">
      <c r="A15" s="245" t="s">
        <v>428</v>
      </c>
      <c r="B15" s="206"/>
      <c r="C15" s="206"/>
      <c r="D15" s="206"/>
      <c r="E15" s="206"/>
      <c r="F15" s="206"/>
      <c r="G15" s="206"/>
      <c r="H15" s="206"/>
      <c r="I15" s="115"/>
      <c r="J15" s="115"/>
    </row>
    <row r="16" spans="1:11" ht="34.5" customHeight="1">
      <c r="A16" s="246" t="s">
        <v>342</v>
      </c>
      <c r="B16" s="246" t="s">
        <v>347</v>
      </c>
      <c r="C16" s="246" t="s">
        <v>348</v>
      </c>
      <c r="D16" s="246" t="s">
        <v>349</v>
      </c>
      <c r="E16" s="246" t="s">
        <v>350</v>
      </c>
      <c r="F16" s="246" t="s">
        <v>351</v>
      </c>
      <c r="G16" s="246" t="s">
        <v>352</v>
      </c>
      <c r="H16" s="246" t="s">
        <v>353</v>
      </c>
      <c r="I16" s="115"/>
      <c r="J16" s="115"/>
    </row>
    <row r="17" spans="1:10" ht="25.5" customHeight="1">
      <c r="A17" s="249" t="s">
        <v>81</v>
      </c>
      <c r="B17" s="251"/>
      <c r="C17" s="251"/>
      <c r="D17" s="251"/>
      <c r="E17" s="251"/>
      <c r="F17" s="251"/>
      <c r="G17" s="251"/>
      <c r="H17" s="251"/>
      <c r="I17" s="115"/>
      <c r="J17" s="115"/>
    </row>
    <row r="18" spans="1:10" ht="25.5" customHeight="1">
      <c r="A18" s="252" t="s">
        <v>82</v>
      </c>
      <c r="B18" s="254"/>
      <c r="C18" s="254"/>
      <c r="D18" s="254"/>
      <c r="E18" s="254"/>
      <c r="F18" s="254"/>
      <c r="G18" s="254"/>
      <c r="H18" s="254"/>
      <c r="I18" s="115"/>
      <c r="J18" s="115"/>
    </row>
    <row r="19" spans="1:10" ht="25.5" customHeight="1">
      <c r="A19" s="249" t="s">
        <v>83</v>
      </c>
      <c r="B19" s="251"/>
      <c r="C19" s="251"/>
      <c r="D19" s="251"/>
      <c r="E19" s="251"/>
      <c r="F19" s="251"/>
      <c r="G19" s="251"/>
      <c r="H19" s="251"/>
      <c r="I19" s="115"/>
      <c r="J19" s="115"/>
    </row>
    <row r="20" spans="1:10" ht="25.5" customHeight="1">
      <c r="A20" s="252" t="s">
        <v>84</v>
      </c>
      <c r="B20" s="254"/>
      <c r="C20" s="254"/>
      <c r="D20" s="254"/>
      <c r="E20" s="254"/>
      <c r="F20" s="254"/>
      <c r="G20" s="254"/>
      <c r="H20" s="254"/>
      <c r="I20" s="115"/>
      <c r="J20" s="115"/>
    </row>
    <row r="21" spans="1:10" ht="25.5" customHeight="1">
      <c r="A21" s="249" t="s">
        <v>85</v>
      </c>
      <c r="B21" s="251"/>
      <c r="C21" s="251"/>
      <c r="D21" s="251"/>
      <c r="E21" s="251"/>
      <c r="F21" s="251"/>
      <c r="G21" s="251"/>
      <c r="H21" s="251"/>
      <c r="I21" s="115"/>
      <c r="J21" s="115"/>
    </row>
    <row r="22" spans="1:10">
      <c r="A22" s="206" t="s">
        <v>346</v>
      </c>
      <c r="B22" s="206"/>
      <c r="C22" s="206"/>
      <c r="D22" s="206"/>
      <c r="E22" s="206"/>
      <c r="F22" s="206"/>
      <c r="G22" s="206"/>
      <c r="H22" s="206"/>
      <c r="I22" s="115"/>
      <c r="J22" s="115"/>
    </row>
    <row r="23" spans="1:10">
      <c r="A23" s="206"/>
      <c r="B23" s="206"/>
      <c r="C23" s="206"/>
      <c r="D23" s="206"/>
      <c r="E23" s="206"/>
      <c r="F23" s="206"/>
      <c r="G23" s="206"/>
      <c r="H23" s="206"/>
      <c r="I23" s="115"/>
      <c r="J23" s="115"/>
    </row>
    <row r="24" spans="1:10">
      <c r="A24" s="206"/>
      <c r="B24" s="206"/>
      <c r="C24" s="206"/>
      <c r="D24" s="206"/>
      <c r="E24" s="206"/>
      <c r="F24" s="206"/>
      <c r="G24" s="206"/>
      <c r="H24" s="206"/>
      <c r="I24" s="115"/>
      <c r="J24" s="115"/>
    </row>
    <row r="25" spans="1:10">
      <c r="A25" s="206"/>
      <c r="B25" s="206"/>
      <c r="C25" s="206"/>
      <c r="D25" s="206"/>
      <c r="E25" s="206"/>
      <c r="F25" s="206"/>
      <c r="G25" s="206"/>
      <c r="H25" s="206"/>
      <c r="I25" s="115"/>
      <c r="J25" s="115"/>
    </row>
    <row r="26" spans="1:10">
      <c r="A26" s="245" t="s">
        <v>354</v>
      </c>
      <c r="B26" s="206"/>
      <c r="C26" s="206"/>
      <c r="D26" s="206"/>
      <c r="E26" s="206"/>
      <c r="F26" s="206"/>
      <c r="G26" s="206"/>
      <c r="H26" s="206"/>
      <c r="I26" s="115"/>
      <c r="J26" s="115"/>
    </row>
    <row r="27" spans="1:10" ht="15" customHeight="1">
      <c r="A27" s="378" t="s">
        <v>342</v>
      </c>
      <c r="B27" s="378" t="s">
        <v>355</v>
      </c>
      <c r="C27" s="378"/>
      <c r="D27" s="378"/>
      <c r="E27" s="254"/>
      <c r="F27" s="378" t="s">
        <v>356</v>
      </c>
      <c r="G27" s="378"/>
      <c r="H27" s="378"/>
    </row>
    <row r="28" spans="1:10">
      <c r="A28" s="378"/>
      <c r="B28" s="252" t="s">
        <v>429</v>
      </c>
      <c r="C28" s="252" t="s">
        <v>430</v>
      </c>
      <c r="D28" s="252" t="s">
        <v>431</v>
      </c>
      <c r="E28" s="252"/>
      <c r="F28" s="252" t="s">
        <v>429</v>
      </c>
      <c r="G28" s="252" t="s">
        <v>430</v>
      </c>
      <c r="H28" s="252" t="s">
        <v>431</v>
      </c>
    </row>
    <row r="29" spans="1:10" ht="18" customHeight="1">
      <c r="A29" s="249" t="s">
        <v>81</v>
      </c>
      <c r="B29" s="251"/>
      <c r="C29" s="251"/>
      <c r="D29" s="251"/>
      <c r="E29" s="251"/>
      <c r="F29" s="251"/>
      <c r="G29" s="251"/>
      <c r="H29" s="251"/>
      <c r="I29" s="115"/>
      <c r="J29" s="115"/>
    </row>
    <row r="30" spans="1:10" ht="18" customHeight="1">
      <c r="A30" s="252" t="s">
        <v>82</v>
      </c>
      <c r="B30" s="254"/>
      <c r="C30" s="254"/>
      <c r="D30" s="254"/>
      <c r="E30" s="254"/>
      <c r="F30" s="254"/>
      <c r="G30" s="254"/>
      <c r="H30" s="254"/>
      <c r="I30" s="115"/>
      <c r="J30" s="115"/>
    </row>
    <row r="31" spans="1:10" ht="18" customHeight="1">
      <c r="A31" s="249" t="s">
        <v>83</v>
      </c>
      <c r="B31" s="251"/>
      <c r="C31" s="251"/>
      <c r="D31" s="251"/>
      <c r="E31" s="251"/>
      <c r="F31" s="251"/>
      <c r="G31" s="251"/>
      <c r="H31" s="251"/>
      <c r="I31" s="115"/>
      <c r="J31" s="115"/>
    </row>
    <row r="32" spans="1:10" ht="18" customHeight="1">
      <c r="A32" s="252" t="s">
        <v>84</v>
      </c>
      <c r="B32" s="254"/>
      <c r="C32" s="254"/>
      <c r="D32" s="254"/>
      <c r="E32" s="254"/>
      <c r="F32" s="254"/>
      <c r="G32" s="254"/>
      <c r="H32" s="254"/>
      <c r="I32" s="115"/>
      <c r="J32" s="115"/>
    </row>
    <row r="33" spans="1:10" ht="18" customHeight="1">
      <c r="A33" s="249" t="s">
        <v>85</v>
      </c>
      <c r="B33" s="251"/>
      <c r="C33" s="251"/>
      <c r="D33" s="251"/>
      <c r="E33" s="251"/>
      <c r="F33" s="251"/>
      <c r="G33" s="251"/>
      <c r="H33" s="251"/>
      <c r="I33" s="115"/>
      <c r="J33" s="115"/>
    </row>
    <row r="34" spans="1:10" ht="18" customHeight="1">
      <c r="A34" s="252" t="s">
        <v>357</v>
      </c>
      <c r="B34" s="254"/>
      <c r="C34" s="254"/>
      <c r="D34" s="254"/>
      <c r="E34" s="254"/>
      <c r="F34" s="254"/>
      <c r="G34" s="254"/>
      <c r="H34" s="254"/>
      <c r="I34" s="115"/>
      <c r="J34" s="115"/>
    </row>
    <row r="35" spans="1:10" ht="18" customHeight="1">
      <c r="A35" s="249" t="s">
        <v>358</v>
      </c>
      <c r="B35" s="251"/>
      <c r="C35" s="251"/>
      <c r="D35" s="251"/>
      <c r="E35" s="251"/>
      <c r="F35" s="251"/>
      <c r="G35" s="251"/>
      <c r="H35" s="251"/>
      <c r="I35" s="115"/>
      <c r="J35" s="115"/>
    </row>
    <row r="36" spans="1:10">
      <c r="A36" s="206" t="s">
        <v>346</v>
      </c>
      <c r="B36" s="206"/>
      <c r="C36" s="206"/>
      <c r="D36" s="206"/>
      <c r="E36" s="206"/>
      <c r="F36" s="206"/>
      <c r="G36" s="206"/>
      <c r="H36" s="206"/>
    </row>
    <row r="37" spans="1:10" ht="15" customHeight="1">
      <c r="A37" s="378" t="s">
        <v>342</v>
      </c>
      <c r="B37" s="378" t="s">
        <v>359</v>
      </c>
      <c r="C37" s="378"/>
      <c r="D37" s="378"/>
      <c r="E37" s="254"/>
      <c r="F37" s="378" t="s">
        <v>359</v>
      </c>
      <c r="G37" s="378"/>
      <c r="H37" s="378"/>
    </row>
    <row r="38" spans="1:10">
      <c r="A38" s="378"/>
      <c r="B38" s="252" t="s">
        <v>429</v>
      </c>
      <c r="C38" s="252" t="s">
        <v>430</v>
      </c>
      <c r="D38" s="252" t="s">
        <v>431</v>
      </c>
      <c r="E38" s="252"/>
      <c r="F38" s="252" t="s">
        <v>429</v>
      </c>
      <c r="G38" s="252" t="s">
        <v>430</v>
      </c>
      <c r="H38" s="252" t="s">
        <v>431</v>
      </c>
    </row>
    <row r="39" spans="1:10">
      <c r="A39" s="249" t="s">
        <v>81</v>
      </c>
      <c r="B39" s="251"/>
      <c r="C39" s="251"/>
      <c r="D39" s="251"/>
      <c r="E39" s="251"/>
      <c r="F39" s="251"/>
      <c r="G39" s="251"/>
      <c r="H39" s="251"/>
    </row>
    <row r="40" spans="1:10">
      <c r="A40" s="252" t="s">
        <v>82</v>
      </c>
      <c r="B40" s="254"/>
      <c r="C40" s="254"/>
      <c r="D40" s="254"/>
      <c r="E40" s="254"/>
      <c r="F40" s="254"/>
      <c r="G40" s="254"/>
      <c r="H40" s="254"/>
    </row>
    <row r="41" spans="1:10">
      <c r="A41" s="249" t="s">
        <v>83</v>
      </c>
      <c r="B41" s="251"/>
      <c r="C41" s="251"/>
      <c r="D41" s="251"/>
      <c r="E41" s="251"/>
      <c r="F41" s="251"/>
      <c r="G41" s="251"/>
      <c r="H41" s="251"/>
    </row>
    <row r="42" spans="1:10">
      <c r="A42" s="252" t="s">
        <v>84</v>
      </c>
      <c r="B42" s="254"/>
      <c r="C42" s="254"/>
      <c r="D42" s="254"/>
      <c r="E42" s="254"/>
      <c r="F42" s="254"/>
      <c r="G42" s="254"/>
      <c r="H42" s="254"/>
    </row>
    <row r="43" spans="1:10">
      <c r="A43" s="249" t="s">
        <v>85</v>
      </c>
      <c r="B43" s="251"/>
      <c r="C43" s="251"/>
      <c r="D43" s="251"/>
      <c r="E43" s="251"/>
      <c r="F43" s="251"/>
      <c r="G43" s="251"/>
      <c r="H43" s="251"/>
    </row>
    <row r="44" spans="1:10">
      <c r="A44" s="252" t="s">
        <v>357</v>
      </c>
      <c r="B44" s="254"/>
      <c r="C44" s="254"/>
      <c r="D44" s="254"/>
      <c r="E44" s="254"/>
      <c r="F44" s="254"/>
      <c r="G44" s="254"/>
      <c r="H44" s="254"/>
    </row>
    <row r="45" spans="1:10">
      <c r="A45" s="249" t="s">
        <v>358</v>
      </c>
      <c r="B45" s="251"/>
      <c r="C45" s="251"/>
      <c r="D45" s="251"/>
      <c r="E45" s="251"/>
      <c r="F45" s="251"/>
      <c r="G45" s="251"/>
      <c r="H45" s="251"/>
    </row>
    <row r="46" spans="1:10">
      <c r="A46" s="206" t="s">
        <v>346</v>
      </c>
      <c r="B46" s="206"/>
      <c r="C46" s="206"/>
      <c r="D46" s="206"/>
      <c r="E46" s="206"/>
      <c r="F46" s="206"/>
      <c r="G46" s="206"/>
      <c r="H46" s="206"/>
    </row>
    <row r="47" spans="1:10" ht="15" customHeight="1">
      <c r="A47" s="378" t="s">
        <v>342</v>
      </c>
      <c r="B47" s="378" t="s">
        <v>360</v>
      </c>
      <c r="C47" s="378"/>
      <c r="D47" s="378"/>
      <c r="E47" s="254"/>
      <c r="F47" s="378" t="s">
        <v>361</v>
      </c>
      <c r="G47" s="378"/>
      <c r="H47" s="378"/>
    </row>
    <row r="48" spans="1:10">
      <c r="A48" s="378"/>
      <c r="B48" s="252" t="s">
        <v>429</v>
      </c>
      <c r="C48" s="252" t="s">
        <v>430</v>
      </c>
      <c r="D48" s="252" t="s">
        <v>431</v>
      </c>
      <c r="E48" s="252"/>
      <c r="F48" s="252" t="s">
        <v>429</v>
      </c>
      <c r="G48" s="252" t="s">
        <v>430</v>
      </c>
      <c r="H48" s="252" t="s">
        <v>431</v>
      </c>
    </row>
    <row r="49" spans="1:8">
      <c r="A49" s="249" t="s">
        <v>81</v>
      </c>
      <c r="B49" s="251"/>
      <c r="C49" s="251"/>
      <c r="D49" s="251"/>
      <c r="E49" s="251"/>
      <c r="F49" s="251"/>
      <c r="G49" s="251"/>
      <c r="H49" s="251"/>
    </row>
    <row r="50" spans="1:8">
      <c r="A50" s="252" t="s">
        <v>82</v>
      </c>
      <c r="B50" s="254"/>
      <c r="C50" s="254"/>
      <c r="D50" s="254"/>
      <c r="E50" s="254"/>
      <c r="F50" s="254"/>
      <c r="G50" s="254"/>
      <c r="H50" s="254"/>
    </row>
    <row r="51" spans="1:8">
      <c r="A51" s="249" t="s">
        <v>83</v>
      </c>
      <c r="B51" s="251"/>
      <c r="C51" s="251"/>
      <c r="D51" s="251"/>
      <c r="E51" s="251"/>
      <c r="F51" s="251"/>
      <c r="G51" s="251"/>
      <c r="H51" s="251"/>
    </row>
    <row r="52" spans="1:8">
      <c r="A52" s="252" t="s">
        <v>84</v>
      </c>
      <c r="B52" s="254"/>
      <c r="C52" s="254"/>
      <c r="D52" s="254"/>
      <c r="E52" s="254"/>
      <c r="F52" s="254"/>
      <c r="G52" s="254"/>
      <c r="H52" s="254"/>
    </row>
    <row r="53" spans="1:8">
      <c r="A53" s="249" t="s">
        <v>85</v>
      </c>
      <c r="B53" s="251"/>
      <c r="C53" s="251"/>
      <c r="D53" s="251"/>
      <c r="E53" s="251"/>
      <c r="F53" s="251"/>
      <c r="G53" s="251"/>
      <c r="H53" s="251"/>
    </row>
    <row r="54" spans="1:8">
      <c r="A54" s="252" t="s">
        <v>357</v>
      </c>
      <c r="B54" s="254"/>
      <c r="C54" s="254"/>
      <c r="D54" s="254"/>
      <c r="E54" s="254"/>
      <c r="F54" s="254"/>
      <c r="G54" s="254"/>
      <c r="H54" s="254"/>
    </row>
    <row r="55" spans="1:8">
      <c r="A55" s="249" t="s">
        <v>358</v>
      </c>
      <c r="B55" s="251"/>
      <c r="C55" s="251"/>
      <c r="D55" s="251"/>
      <c r="E55" s="251"/>
      <c r="F55" s="251"/>
      <c r="G55" s="251"/>
      <c r="H55" s="251"/>
    </row>
    <row r="56" spans="1:8">
      <c r="A56" s="206" t="s">
        <v>346</v>
      </c>
      <c r="B56" s="206"/>
      <c r="C56" s="206"/>
      <c r="D56" s="206"/>
      <c r="E56" s="206"/>
      <c r="F56" s="206"/>
      <c r="G56" s="206"/>
      <c r="H56" s="206"/>
    </row>
    <row r="57" spans="1:8">
      <c r="A57" s="206"/>
      <c r="B57" s="206"/>
      <c r="C57" s="206"/>
      <c r="D57" s="206"/>
      <c r="E57" s="206"/>
      <c r="F57" s="206"/>
      <c r="G57" s="206"/>
      <c r="H57" s="206"/>
    </row>
    <row r="58" spans="1:8">
      <c r="A58" s="255" t="s">
        <v>362</v>
      </c>
      <c r="B58" s="256"/>
      <c r="C58" s="256"/>
      <c r="D58" s="256"/>
      <c r="E58" s="256"/>
      <c r="F58" s="256"/>
      <c r="G58" s="256"/>
      <c r="H58" s="257"/>
    </row>
    <row r="59" spans="1:8">
      <c r="A59" s="258"/>
      <c r="B59" s="259"/>
      <c r="C59" s="259"/>
      <c r="D59" s="259"/>
      <c r="E59" s="259"/>
      <c r="F59" s="259"/>
      <c r="G59" s="259"/>
      <c r="H59" s="260"/>
    </row>
    <row r="60" spans="1:8">
      <c r="A60" s="258"/>
      <c r="B60" s="259"/>
      <c r="C60" s="259"/>
      <c r="D60" s="259"/>
      <c r="E60" s="259"/>
      <c r="F60" s="259"/>
      <c r="G60" s="259"/>
      <c r="H60" s="260"/>
    </row>
    <row r="61" spans="1:8">
      <c r="A61" s="261"/>
      <c r="B61" s="262"/>
      <c r="C61" s="262"/>
      <c r="D61" s="262"/>
      <c r="E61" s="262"/>
      <c r="F61" s="262"/>
      <c r="G61" s="262"/>
      <c r="H61" s="263"/>
    </row>
  </sheetData>
  <sheetProtection insertRows="0"/>
  <mergeCells count="10">
    <mergeCell ref="A47:A48"/>
    <mergeCell ref="B47:D47"/>
    <mergeCell ref="F47:H47"/>
    <mergeCell ref="D5:E5"/>
    <mergeCell ref="A27:A28"/>
    <mergeCell ref="B27:D27"/>
    <mergeCell ref="F27:H27"/>
    <mergeCell ref="A37:A38"/>
    <mergeCell ref="B37:D37"/>
    <mergeCell ref="F37:H37"/>
  </mergeCells>
  <phoneticPr fontId="4" type="noConversion"/>
  <printOptions horizontalCentered="1"/>
  <pageMargins left="0.62992125984251968" right="0.23622047244094491" top="0.35433070866141736" bottom="0.23622047244094491" header="0.19685039370078741" footer="0.19685039370078741"/>
  <pageSetup paperSize="9" fitToHeight="3" orientation="landscape" blackAndWhite="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5"/>
    <pageSetUpPr fitToPage="1"/>
  </sheetPr>
  <dimension ref="A1:K60"/>
  <sheetViews>
    <sheetView view="pageBreakPreview" zoomScaleNormal="100" zoomScaleSheetLayoutView="100" workbookViewId="0">
      <pane xSplit="2" ySplit="8" topLeftCell="C9" activePane="bottomRight" state="frozen"/>
      <selection sqref="A1:H1"/>
      <selection pane="topRight" sqref="A1:H1"/>
      <selection pane="bottomLeft" sqref="A1:H1"/>
      <selection pane="bottomRight" activeCell="G27" sqref="G27"/>
    </sheetView>
  </sheetViews>
  <sheetFormatPr defaultColWidth="8" defaultRowHeight="13.8"/>
  <cols>
    <col min="1" max="1" width="1" style="117" customWidth="1"/>
    <col min="2" max="2" width="54.109375" style="117" customWidth="1"/>
    <col min="3" max="4" width="20.109375" style="117" customWidth="1"/>
    <col min="5" max="5" width="1" style="117" customWidth="1"/>
    <col min="6" max="7" width="20.109375" style="117" customWidth="1"/>
    <col min="8" max="8" width="1.109375" style="117" customWidth="1"/>
    <col min="9" max="9" width="2.88671875" style="117" customWidth="1"/>
    <col min="10" max="10" width="8" style="117" customWidth="1"/>
    <col min="11" max="11" width="11.6640625" style="117" bestFit="1" customWidth="1"/>
    <col min="12" max="16384" width="8" style="117"/>
  </cols>
  <sheetData>
    <row r="1" spans="1:11" ht="5.25" customHeight="1" thickBot="1">
      <c r="A1" s="116"/>
      <c r="B1" s="116"/>
      <c r="C1" s="116"/>
      <c r="D1" s="116"/>
      <c r="E1" s="116"/>
      <c r="F1" s="116"/>
      <c r="G1" s="116"/>
      <c r="H1" s="116"/>
    </row>
    <row r="2" spans="1:11" ht="14.4" thickTop="1">
      <c r="A2" s="116"/>
      <c r="B2" s="379" t="s">
        <v>363</v>
      </c>
      <c r="C2" s="381" t="s">
        <v>364</v>
      </c>
      <c r="D2" s="381"/>
      <c r="E2" s="167"/>
      <c r="F2" s="381" t="s">
        <v>365</v>
      </c>
      <c r="G2" s="382"/>
      <c r="H2" s="116"/>
    </row>
    <row r="3" spans="1:11">
      <c r="A3" s="116"/>
      <c r="B3" s="380"/>
      <c r="C3" s="264" t="s">
        <v>366</v>
      </c>
      <c r="D3" s="118" t="s">
        <v>367</v>
      </c>
      <c r="E3" s="118"/>
      <c r="F3" s="118" t="s">
        <v>368</v>
      </c>
      <c r="G3" s="265" t="s">
        <v>369</v>
      </c>
      <c r="H3" s="116"/>
    </row>
    <row r="4" spans="1:11" ht="15.75" customHeight="1">
      <c r="A4" s="116"/>
      <c r="B4" s="266" t="s">
        <v>370</v>
      </c>
      <c r="C4" s="119" t="e">
        <f>C11/$C$18</f>
        <v>#DIV/0!</v>
      </c>
      <c r="D4" s="120" t="e">
        <f>C11/$C$26</f>
        <v>#DIV/0!</v>
      </c>
      <c r="E4" s="120"/>
      <c r="F4" s="121" t="e">
        <f>C11/$C$36</f>
        <v>#DIV/0!</v>
      </c>
      <c r="G4" s="122" t="e">
        <f>(C11+(F11-F13)*(1-F15))/($C$36+F31*F32/C19)</f>
        <v>#DIV/0!</v>
      </c>
      <c r="H4" s="116"/>
    </row>
    <row r="5" spans="1:11" ht="15.75" customHeight="1" thickBot="1">
      <c r="A5" s="116"/>
      <c r="B5" s="267" t="s">
        <v>371</v>
      </c>
      <c r="C5" s="123" t="e">
        <f>C12/$C$18</f>
        <v>#DIV/0!</v>
      </c>
      <c r="D5" s="124" t="e">
        <f>C12/$C$26</f>
        <v>#DIV/0!</v>
      </c>
      <c r="E5" s="124"/>
      <c r="F5" s="125" t="e">
        <f>C12/$C$36</f>
        <v>#DIV/0!</v>
      </c>
      <c r="G5" s="126" t="e">
        <f>(C12+(F11-F13)*(1-F15))/($C$36+F31*F32/C19)</f>
        <v>#DIV/0!</v>
      </c>
      <c r="H5" s="116"/>
    </row>
    <row r="6" spans="1:11" ht="5.25" customHeight="1" thickTop="1">
      <c r="A6" s="116"/>
      <c r="B6" s="116"/>
      <c r="C6" s="116"/>
      <c r="D6" s="116"/>
      <c r="E6" s="116"/>
      <c r="F6" s="116"/>
      <c r="G6" s="116"/>
      <c r="H6" s="116"/>
    </row>
    <row r="8" spans="1:11" ht="14.4" thickBot="1">
      <c r="B8" s="127" t="s">
        <v>372</v>
      </c>
      <c r="C8" s="127" t="s">
        <v>373</v>
      </c>
      <c r="D8" s="127" t="s">
        <v>374</v>
      </c>
      <c r="E8" s="127"/>
      <c r="F8" s="127" t="s">
        <v>373</v>
      </c>
      <c r="G8" s="127" t="s">
        <v>374</v>
      </c>
      <c r="H8" s="128"/>
    </row>
    <row r="9" spans="1:11" ht="14.4" thickTop="1">
      <c r="B9" s="268" t="s">
        <v>375</v>
      </c>
      <c r="C9" s="129">
        <f>'已审利润纵向分析A1-14-4'!E38</f>
        <v>0</v>
      </c>
      <c r="D9" s="129">
        <f>'已审利润纵向分析A1-14-4'!C38</f>
        <v>0</v>
      </c>
      <c r="E9" s="130"/>
      <c r="F9" s="131"/>
      <c r="G9" s="131"/>
      <c r="H9" s="132"/>
    </row>
    <row r="10" spans="1:11">
      <c r="B10" s="268" t="s">
        <v>376</v>
      </c>
      <c r="C10" s="129"/>
      <c r="D10" s="129"/>
      <c r="E10" s="130"/>
      <c r="F10" s="133" t="s">
        <v>377</v>
      </c>
      <c r="G10" s="133"/>
      <c r="H10" s="132"/>
    </row>
    <row r="11" spans="1:11">
      <c r="B11" s="117" t="s">
        <v>378</v>
      </c>
      <c r="C11" s="134">
        <f>C9-C10</f>
        <v>0</v>
      </c>
      <c r="D11" s="134">
        <f>D9-D10</f>
        <v>0</v>
      </c>
      <c r="E11" s="134"/>
      <c r="F11" s="135"/>
      <c r="G11" s="135"/>
    </row>
    <row r="12" spans="1:11">
      <c r="B12" s="269" t="s">
        <v>379</v>
      </c>
      <c r="C12" s="136">
        <f>C11-C13</f>
        <v>0</v>
      </c>
      <c r="D12" s="136">
        <f>D11-D13</f>
        <v>0</v>
      </c>
      <c r="E12" s="134"/>
      <c r="F12" s="133" t="s">
        <v>380</v>
      </c>
      <c r="G12" s="133"/>
    </row>
    <row r="13" spans="1:11">
      <c r="B13" s="270" t="s">
        <v>381</v>
      </c>
      <c r="C13" s="135"/>
      <c r="D13" s="135"/>
      <c r="E13" s="134"/>
      <c r="F13" s="135"/>
      <c r="G13" s="135"/>
      <c r="K13" s="137"/>
    </row>
    <row r="14" spans="1:11">
      <c r="C14" s="138"/>
      <c r="D14" s="138"/>
      <c r="E14" s="138"/>
      <c r="F14" s="133" t="s">
        <v>382</v>
      </c>
      <c r="G14" s="133"/>
      <c r="K14" s="139"/>
    </row>
    <row r="15" spans="1:11">
      <c r="B15" s="145" t="s">
        <v>383</v>
      </c>
      <c r="C15" s="140">
        <f>D18</f>
        <v>0</v>
      </c>
      <c r="D15" s="140"/>
      <c r="E15" s="134"/>
      <c r="F15" s="141">
        <v>0.25</v>
      </c>
      <c r="G15" s="141">
        <v>0.25</v>
      </c>
    </row>
    <row r="16" spans="1:11">
      <c r="B16" s="271" t="s">
        <v>384</v>
      </c>
      <c r="C16" s="142">
        <f>'已审资产负债纵向分析A1-14-2'!N43</f>
        <v>0</v>
      </c>
      <c r="D16" s="142">
        <f>'已审资产负债纵向分析A1-14-2'!L43</f>
        <v>0</v>
      </c>
      <c r="E16" s="134"/>
      <c r="G16" s="138"/>
    </row>
    <row r="17" spans="2:7">
      <c r="B17" s="271" t="s">
        <v>385</v>
      </c>
      <c r="C17" s="142">
        <f>'已审资产负债纵向分析A1-14-2'!N42</f>
        <v>0</v>
      </c>
      <c r="D17" s="142">
        <f>'已审资产负债纵向分析A1-14-2'!L42</f>
        <v>0</v>
      </c>
      <c r="E17" s="134"/>
      <c r="G17" s="138"/>
    </row>
    <row r="18" spans="2:7">
      <c r="B18" s="269" t="s">
        <v>386</v>
      </c>
      <c r="C18" s="136">
        <f>C16-C17</f>
        <v>0</v>
      </c>
      <c r="D18" s="136">
        <f>D16-D17</f>
        <v>0</v>
      </c>
      <c r="E18" s="134"/>
      <c r="F18" s="138"/>
      <c r="G18" s="138"/>
    </row>
    <row r="19" spans="2:7">
      <c r="B19" s="117" t="s">
        <v>387</v>
      </c>
      <c r="C19" s="117">
        <v>12</v>
      </c>
      <c r="D19" s="117">
        <v>12</v>
      </c>
      <c r="F19" s="138"/>
      <c r="G19" s="138"/>
    </row>
    <row r="20" spans="2:7">
      <c r="B20" s="145" t="s">
        <v>388</v>
      </c>
      <c r="C20" s="143"/>
      <c r="D20" s="143"/>
      <c r="E20" s="139"/>
      <c r="F20" s="144" t="s">
        <v>389</v>
      </c>
      <c r="G20" s="144"/>
    </row>
    <row r="21" spans="2:7">
      <c r="B21" s="145" t="s">
        <v>390</v>
      </c>
      <c r="C21" s="145"/>
      <c r="D21" s="145"/>
    </row>
    <row r="22" spans="2:7">
      <c r="B22" s="145" t="s">
        <v>391</v>
      </c>
      <c r="C22" s="146"/>
      <c r="D22" s="146"/>
      <c r="E22" s="137"/>
      <c r="F22" s="117" t="s">
        <v>392</v>
      </c>
      <c r="G22" s="138"/>
    </row>
    <row r="23" spans="2:7">
      <c r="B23" s="145" t="s">
        <v>393</v>
      </c>
      <c r="C23" s="145"/>
      <c r="D23" s="145"/>
      <c r="F23" s="147" t="s">
        <v>86</v>
      </c>
    </row>
    <row r="24" spans="2:7">
      <c r="B24" s="145" t="s">
        <v>394</v>
      </c>
      <c r="C24" s="145"/>
      <c r="D24" s="145"/>
      <c r="F24" s="117" t="s">
        <v>87</v>
      </c>
    </row>
    <row r="25" spans="2:7">
      <c r="B25" s="145" t="s">
        <v>395</v>
      </c>
      <c r="C25" s="145"/>
      <c r="D25" s="145"/>
      <c r="F25" s="148" t="s">
        <v>88</v>
      </c>
      <c r="G25" s="148"/>
    </row>
    <row r="26" spans="2:7">
      <c r="B26" s="269" t="s">
        <v>396</v>
      </c>
      <c r="C26" s="136">
        <f>C15+C11/2+C20*C21/C19-C22*C23/C19+C24*C25/C19</f>
        <v>0</v>
      </c>
      <c r="D26" s="136">
        <f>D15+D11/2+D20*D21/D19-D22*D23/D19+D24*D25/D19</f>
        <v>0</v>
      </c>
      <c r="E26" s="134"/>
    </row>
    <row r="27" spans="2:7">
      <c r="C27" s="138"/>
      <c r="D27" s="138"/>
      <c r="E27" s="138"/>
    </row>
    <row r="28" spans="2:7">
      <c r="B28" s="145" t="s">
        <v>397</v>
      </c>
      <c r="C28" s="140">
        <f>D29</f>
        <v>0</v>
      </c>
      <c r="D28" s="140"/>
      <c r="E28" s="134"/>
    </row>
    <row r="29" spans="2:7">
      <c r="B29" s="269" t="s">
        <v>398</v>
      </c>
      <c r="C29" s="136"/>
      <c r="D29" s="136"/>
      <c r="E29" s="134"/>
      <c r="F29" s="138"/>
      <c r="G29" s="138"/>
    </row>
    <row r="30" spans="2:7">
      <c r="B30" s="145" t="s">
        <v>399</v>
      </c>
      <c r="C30" s="149"/>
      <c r="D30" s="150" t="e">
        <f>C30/C28*D28</f>
        <v>#DIV/0!</v>
      </c>
      <c r="E30" s="138"/>
      <c r="F30" s="133" t="s">
        <v>400</v>
      </c>
      <c r="G30" s="133"/>
    </row>
    <row r="31" spans="2:7">
      <c r="B31" s="154" t="s">
        <v>401</v>
      </c>
      <c r="C31" s="135"/>
      <c r="D31" s="135"/>
      <c r="E31" s="151"/>
      <c r="F31" s="135"/>
      <c r="G31" s="152"/>
    </row>
    <row r="32" spans="2:7">
      <c r="B32" s="154" t="s">
        <v>402</v>
      </c>
      <c r="C32" s="153"/>
      <c r="D32" s="153"/>
      <c r="E32" s="151"/>
      <c r="F32" s="154"/>
      <c r="G32" s="154"/>
    </row>
    <row r="33" spans="1:8">
      <c r="B33" s="145" t="s">
        <v>403</v>
      </c>
      <c r="C33" s="149"/>
      <c r="D33" s="149"/>
      <c r="E33" s="138"/>
      <c r="G33" s="138"/>
    </row>
    <row r="34" spans="1:8">
      <c r="B34" s="145" t="s">
        <v>404</v>
      </c>
      <c r="C34" s="155"/>
      <c r="D34" s="155"/>
      <c r="E34" s="138"/>
      <c r="G34" s="138"/>
    </row>
    <row r="35" spans="1:8">
      <c r="B35" s="145" t="s">
        <v>405</v>
      </c>
      <c r="C35" s="149"/>
      <c r="D35" s="149"/>
      <c r="E35" s="138"/>
    </row>
    <row r="36" spans="1:8">
      <c r="B36" s="269" t="s">
        <v>406</v>
      </c>
      <c r="C36" s="136">
        <f>C28+C30+C31*C32/C19-C33*C34/C19-C35</f>
        <v>0</v>
      </c>
      <c r="D36" s="136" t="e">
        <f>D28+D30+D31*D32/D19-D33*D34/D19-D35</f>
        <v>#DIV/0!</v>
      </c>
      <c r="E36" s="134"/>
    </row>
    <row r="37" spans="1:8">
      <c r="B37" s="117" t="s">
        <v>407</v>
      </c>
      <c r="C37" s="134"/>
      <c r="D37" s="134"/>
      <c r="E37" s="134"/>
    </row>
    <row r="38" spans="1:8">
      <c r="B38" s="272" t="s">
        <v>408</v>
      </c>
      <c r="C38" s="134"/>
      <c r="D38" s="134"/>
      <c r="E38" s="134"/>
      <c r="F38" s="117" t="s">
        <v>409</v>
      </c>
    </row>
    <row r="39" spans="1:8">
      <c r="B39" s="273" t="s">
        <v>89</v>
      </c>
      <c r="C39" s="134"/>
      <c r="D39" s="134"/>
      <c r="E39" s="134"/>
      <c r="F39" s="138" t="s">
        <v>90</v>
      </c>
    </row>
    <row r="40" spans="1:8">
      <c r="B40" s="272" t="s">
        <v>410</v>
      </c>
    </row>
    <row r="42" spans="1:8" ht="5.25" customHeight="1" thickBot="1">
      <c r="A42" s="116"/>
      <c r="B42" s="116"/>
      <c r="C42" s="116"/>
      <c r="D42" s="116"/>
      <c r="E42" s="116"/>
      <c r="F42" s="116"/>
      <c r="G42" s="116"/>
      <c r="H42" s="116"/>
    </row>
    <row r="43" spans="1:8" ht="14.4" thickTop="1">
      <c r="A43" s="116"/>
      <c r="B43" s="379" t="s">
        <v>411</v>
      </c>
      <c r="C43" s="381" t="s">
        <v>364</v>
      </c>
      <c r="D43" s="381"/>
      <c r="E43" s="167"/>
      <c r="F43" s="381" t="s">
        <v>365</v>
      </c>
      <c r="G43" s="382"/>
      <c r="H43" s="116"/>
    </row>
    <row r="44" spans="1:8">
      <c r="A44" s="116"/>
      <c r="B44" s="380"/>
      <c r="C44" s="118" t="s">
        <v>366</v>
      </c>
      <c r="D44" s="118" t="s">
        <v>367</v>
      </c>
      <c r="E44" s="118"/>
      <c r="F44" s="118" t="s">
        <v>368</v>
      </c>
      <c r="G44" s="265" t="s">
        <v>369</v>
      </c>
      <c r="H44" s="116"/>
    </row>
    <row r="45" spans="1:8">
      <c r="A45" s="116"/>
      <c r="B45" s="266" t="s">
        <v>370</v>
      </c>
      <c r="C45" s="120" t="e">
        <f>D11/$D$18</f>
        <v>#DIV/0!</v>
      </c>
      <c r="D45" s="120" t="e">
        <f>D11/$D$26</f>
        <v>#DIV/0!</v>
      </c>
      <c r="E45" s="120"/>
      <c r="F45" s="121" t="e">
        <f>D11/$D$36</f>
        <v>#DIV/0!</v>
      </c>
      <c r="G45" s="122" t="e">
        <f>(D11+(G11-G13)*(1-G15))/($D$36+G31*G32/D19)</f>
        <v>#DIV/0!</v>
      </c>
      <c r="H45" s="116"/>
    </row>
    <row r="46" spans="1:8" ht="14.4" thickBot="1">
      <c r="A46" s="116"/>
      <c r="B46" s="267" t="s">
        <v>371</v>
      </c>
      <c r="C46" s="124" t="e">
        <f>D12/$D$18</f>
        <v>#DIV/0!</v>
      </c>
      <c r="D46" s="124" t="e">
        <f>D12/$D$26</f>
        <v>#DIV/0!</v>
      </c>
      <c r="E46" s="124"/>
      <c r="F46" s="125" t="e">
        <f>D12/$D$36</f>
        <v>#DIV/0!</v>
      </c>
      <c r="G46" s="126" t="e">
        <f>(D12+(G11-G13)*(1-G15))/($D$36+G31*G32/D19)</f>
        <v>#DIV/0!</v>
      </c>
      <c r="H46" s="116"/>
    </row>
    <row r="47" spans="1:8" ht="5.25" customHeight="1" thickTop="1">
      <c r="A47" s="116"/>
      <c r="B47" s="116"/>
      <c r="C47" s="116"/>
      <c r="D47" s="116"/>
      <c r="E47" s="116"/>
      <c r="F47" s="116"/>
      <c r="G47" s="116"/>
      <c r="H47" s="116"/>
    </row>
    <row r="50" spans="2:7">
      <c r="B50" s="156" t="s">
        <v>91</v>
      </c>
      <c r="C50" s="157"/>
      <c r="D50" s="157"/>
      <c r="E50" s="157"/>
      <c r="F50" s="158"/>
      <c r="G50" s="158"/>
    </row>
    <row r="51" spans="2:7">
      <c r="B51" s="159" t="s">
        <v>92</v>
      </c>
      <c r="C51" s="157"/>
      <c r="D51" s="157"/>
      <c r="E51" s="157"/>
      <c r="F51" s="158"/>
      <c r="G51" s="158"/>
    </row>
    <row r="52" spans="2:7">
      <c r="B52" s="159" t="s">
        <v>93</v>
      </c>
      <c r="C52" s="157"/>
      <c r="D52" s="157"/>
      <c r="E52" s="157"/>
      <c r="F52" s="158"/>
      <c r="G52" s="158"/>
    </row>
    <row r="53" spans="2:7">
      <c r="C53" s="157"/>
      <c r="D53" s="157"/>
      <c r="E53" s="157"/>
      <c r="F53" s="158"/>
      <c r="G53" s="158"/>
    </row>
    <row r="54" spans="2:7">
      <c r="B54" s="159" t="s">
        <v>94</v>
      </c>
      <c r="C54" s="157"/>
      <c r="D54" s="157"/>
      <c r="E54" s="157"/>
      <c r="F54" s="158"/>
      <c r="G54" s="158"/>
    </row>
    <row r="55" spans="2:7">
      <c r="B55" s="159" t="s">
        <v>95</v>
      </c>
      <c r="C55" s="157"/>
      <c r="D55" s="157"/>
      <c r="E55" s="157"/>
      <c r="F55" s="158"/>
      <c r="G55" s="158"/>
    </row>
    <row r="56" spans="2:7">
      <c r="B56" s="159" t="s">
        <v>96</v>
      </c>
      <c r="C56" s="157"/>
      <c r="D56" s="157"/>
      <c r="E56" s="157"/>
      <c r="F56" s="158"/>
      <c r="G56" s="158"/>
    </row>
    <row r="57" spans="2:7">
      <c r="B57" s="160"/>
    </row>
    <row r="58" spans="2:7">
      <c r="B58" s="159" t="s">
        <v>97</v>
      </c>
    </row>
    <row r="60" spans="2:7">
      <c r="B60" s="159" t="s">
        <v>98</v>
      </c>
    </row>
  </sheetData>
  <mergeCells count="6">
    <mergeCell ref="B2:B3"/>
    <mergeCell ref="C2:D2"/>
    <mergeCell ref="F2:G2"/>
    <mergeCell ref="B43:B44"/>
    <mergeCell ref="C43:D43"/>
    <mergeCell ref="F43:G43"/>
  </mergeCells>
  <phoneticPr fontId="4" type="noConversion"/>
  <printOptions horizontalCentered="1" verticalCentered="1"/>
  <pageMargins left="0.51181102362204722" right="0.43307086614173229" top="0.85" bottom="0.27" header="0.48" footer="0.17"/>
  <pageSetup paperSize="9" scale="98" orientation="landscape" cellComments="asDisplayed" r:id="rId1"/>
  <headerFooter alignWithMargins="0">
    <oddHeader>&amp;C&amp;"宋体,加粗"&amp;14&amp;A&amp;R</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2.6"/>
  <sheetData>
    <row r="1" spans="1:2">
      <c r="A1" t="s">
        <v>15</v>
      </c>
      <c r="B1" t="s">
        <v>16</v>
      </c>
    </row>
    <row r="2" spans="1:2">
      <c r="A2" t="s">
        <v>17</v>
      </c>
      <c r="B2" t="s">
        <v>18</v>
      </c>
    </row>
    <row r="3" spans="1:2">
      <c r="A3" t="s">
        <v>19</v>
      </c>
      <c r="B3" t="s">
        <v>20</v>
      </c>
    </row>
    <row r="4" spans="1:2">
      <c r="A4" t="s">
        <v>21</v>
      </c>
      <c r="B4" t="s">
        <v>22</v>
      </c>
    </row>
    <row r="5" spans="1:2">
      <c r="A5" t="s">
        <v>23</v>
      </c>
      <c r="B5" t="s">
        <v>24</v>
      </c>
    </row>
    <row r="6" spans="1:2">
      <c r="A6" t="s">
        <v>25</v>
      </c>
      <c r="B6" t="s">
        <v>26</v>
      </c>
    </row>
    <row r="7" spans="1:2">
      <c r="A7" t="s">
        <v>27</v>
      </c>
      <c r="B7" t="s">
        <v>28</v>
      </c>
    </row>
    <row r="8" spans="1:2">
      <c r="A8" t="s">
        <v>29</v>
      </c>
      <c r="B8" t="s">
        <v>30</v>
      </c>
    </row>
  </sheetData>
  <phoneticPr fontId="1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view="pageBreakPreview" zoomScaleNormal="100" zoomScaleSheetLayoutView="100" workbookViewId="0">
      <selection sqref="A1:E1"/>
    </sheetView>
  </sheetViews>
  <sheetFormatPr defaultRowHeight="12.6"/>
  <cols>
    <col min="1" max="2" width="23.88671875" customWidth="1"/>
    <col min="3" max="3" width="32.5546875" customWidth="1"/>
    <col min="4" max="5" width="23.88671875" customWidth="1"/>
  </cols>
  <sheetData>
    <row r="1" spans="1:9" s="30" customFormat="1" ht="19.5" customHeight="1">
      <c r="A1" s="359" t="s">
        <v>412</v>
      </c>
      <c r="B1" s="359"/>
      <c r="C1" s="359"/>
      <c r="D1" s="359"/>
      <c r="E1" s="359"/>
      <c r="F1" s="161"/>
      <c r="G1" s="161"/>
      <c r="H1" s="161"/>
    </row>
    <row r="2" spans="1:9" s="31" customFormat="1" ht="15" customHeight="1">
      <c r="A2" s="168" t="str">
        <f>'已审资产负债纵向分析A1-14-2'!A2</f>
        <v>客户名称：</v>
      </c>
      <c r="C2" s="55" t="str">
        <f>'已审资产负债纵向分析A1-14-2'!E2</f>
        <v>编制人：</v>
      </c>
      <c r="D2" s="168" t="str">
        <f>'已审资产负债纵向分析A1-14-2'!G2</f>
        <v>日期：</v>
      </c>
      <c r="E2" s="44" t="s">
        <v>413</v>
      </c>
      <c r="G2" s="54"/>
      <c r="I2" s="32"/>
    </row>
    <row r="3" spans="1:9" s="31" customFormat="1" ht="17.25" customHeight="1">
      <c r="A3" s="168" t="str">
        <f>'已审利润纵向分析A1-14-4'!A3</f>
        <v>会计期间：2017年度</v>
      </c>
      <c r="C3" s="55" t="str">
        <f>'已审资产负债纵向分析A1-14-2'!E3</f>
        <v>复核人：</v>
      </c>
      <c r="D3" s="55" t="str">
        <f>'已审资产负债纵向分析A1-14-2'!G3</f>
        <v>日期：</v>
      </c>
      <c r="E3" s="44" t="s">
        <v>102</v>
      </c>
      <c r="G3" s="54"/>
      <c r="I3" s="32"/>
    </row>
    <row r="4" spans="1:9" ht="27" customHeight="1">
      <c r="A4" s="274" t="s">
        <v>414</v>
      </c>
      <c r="B4" s="275"/>
      <c r="C4" s="275"/>
      <c r="D4" s="275"/>
      <c r="E4" s="275"/>
    </row>
    <row r="5" spans="1:9" ht="31.5" customHeight="1">
      <c r="A5" s="276" t="s">
        <v>415</v>
      </c>
      <c r="B5" s="277" t="s">
        <v>416</v>
      </c>
      <c r="C5" s="277" t="s">
        <v>417</v>
      </c>
      <c r="D5" s="277" t="s">
        <v>418</v>
      </c>
      <c r="E5" s="278" t="s">
        <v>419</v>
      </c>
    </row>
    <row r="6" spans="1:9" ht="27" customHeight="1">
      <c r="A6" s="279"/>
      <c r="B6" s="280"/>
      <c r="C6" s="280"/>
      <c r="D6" s="280"/>
      <c r="E6" s="281"/>
    </row>
    <row r="7" spans="1:9" ht="27" customHeight="1">
      <c r="A7" s="279"/>
      <c r="B7" s="280"/>
      <c r="C7" s="280"/>
      <c r="D7" s="280"/>
      <c r="E7" s="281"/>
    </row>
    <row r="8" spans="1:9" ht="27" customHeight="1">
      <c r="A8" s="279"/>
      <c r="B8" s="280"/>
      <c r="C8" s="280"/>
      <c r="D8" s="280"/>
      <c r="E8" s="281"/>
    </row>
    <row r="9" spans="1:9" ht="27" customHeight="1">
      <c r="A9" s="279"/>
      <c r="B9" s="280"/>
      <c r="C9" s="280"/>
      <c r="D9" s="280"/>
      <c r="E9" s="281"/>
    </row>
    <row r="10" spans="1:9" ht="27" customHeight="1">
      <c r="A10" s="279"/>
      <c r="B10" s="280"/>
      <c r="C10" s="280"/>
      <c r="D10" s="280"/>
      <c r="E10" s="281"/>
    </row>
    <row r="11" spans="1:9" ht="27" customHeight="1">
      <c r="A11" s="279"/>
      <c r="B11" s="280"/>
      <c r="C11" s="280"/>
      <c r="D11" s="280"/>
      <c r="E11" s="281"/>
    </row>
    <row r="12" spans="1:9" ht="27" customHeight="1">
      <c r="A12" s="279"/>
      <c r="B12" s="280"/>
      <c r="C12" s="280"/>
      <c r="D12" s="280"/>
      <c r="E12" s="281"/>
    </row>
    <row r="13" spans="1:9" ht="27" customHeight="1">
      <c r="A13" s="279"/>
      <c r="B13" s="280"/>
      <c r="C13" s="280"/>
      <c r="D13" s="280"/>
      <c r="E13" s="281"/>
    </row>
    <row r="14" spans="1:9" ht="27" customHeight="1">
      <c r="A14" s="282"/>
      <c r="B14" s="283"/>
      <c r="C14" s="283"/>
      <c r="D14" s="283"/>
      <c r="E14" s="284"/>
    </row>
    <row r="15" spans="1:9" ht="13.8">
      <c r="A15" s="285" t="s">
        <v>420</v>
      </c>
      <c r="B15" s="286"/>
      <c r="C15" s="286"/>
      <c r="D15" s="286"/>
      <c r="E15" s="287"/>
    </row>
    <row r="16" spans="1:9" ht="13.8">
      <c r="A16" s="282"/>
      <c r="B16" s="283"/>
      <c r="C16" s="283"/>
      <c r="D16" s="283"/>
      <c r="E16" s="284"/>
    </row>
    <row r="17" spans="1:5" ht="13.8">
      <c r="A17" s="282"/>
      <c r="B17" s="283"/>
      <c r="C17" s="283"/>
      <c r="D17" s="283"/>
      <c r="E17" s="284"/>
    </row>
    <row r="18" spans="1:5" ht="13.8">
      <c r="A18" s="282"/>
      <c r="B18" s="283"/>
      <c r="C18" s="283"/>
      <c r="D18" s="283"/>
      <c r="E18" s="284"/>
    </row>
    <row r="19" spans="1:5" ht="13.8">
      <c r="A19" s="288"/>
      <c r="B19" s="289"/>
      <c r="C19" s="289"/>
      <c r="D19" s="289"/>
      <c r="E19" s="290"/>
    </row>
    <row r="20" spans="1:5" ht="13.8">
      <c r="A20" s="275"/>
      <c r="B20" s="275"/>
      <c r="C20" s="275"/>
      <c r="D20" s="275"/>
      <c r="E20" s="275"/>
    </row>
    <row r="21" spans="1:5" ht="13.8">
      <c r="A21" s="274" t="s">
        <v>421</v>
      </c>
      <c r="B21" s="275"/>
      <c r="C21" s="275"/>
      <c r="D21" s="275"/>
      <c r="E21" s="275"/>
    </row>
  </sheetData>
  <mergeCells count="1">
    <mergeCell ref="A1:E1"/>
  </mergeCells>
  <phoneticPr fontId="4" type="noConversion"/>
  <pageMargins left="0.7" right="0.7" top="0.75" bottom="0.75" header="0.3" footer="0.3"/>
  <pageSetup paperSize="9"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7</vt:i4>
      </vt:variant>
    </vt:vector>
  </HeadingPairs>
  <TitlesOfParts>
    <vt:vector size="17" baseType="lpstr">
      <vt:lpstr>完成阶段的分析性复核A1-14</vt:lpstr>
      <vt:lpstr>已审资产负债横向分析A1-14-1</vt:lpstr>
      <vt:lpstr>已审资产负债纵向分析A1-14-2</vt:lpstr>
      <vt:lpstr>已审利润横向分析A1-14-3</vt:lpstr>
      <vt:lpstr>已审利润纵向分析A1-14-4</vt:lpstr>
      <vt:lpstr>已审报表比率分析A1-14-5</vt:lpstr>
      <vt:lpstr>同行业对比分析A1-14-6</vt:lpstr>
      <vt:lpstr>EPS-ROE(参考)</vt:lpstr>
      <vt:lpstr>GT_Custom</vt:lpstr>
      <vt:lpstr>A1-14-7非财务信息分析</vt:lpstr>
      <vt:lpstr>'EPS-ROE(参考)'!Print_Area</vt:lpstr>
      <vt:lpstr>'完成阶段的分析性复核A1-14'!Print_Area</vt:lpstr>
      <vt:lpstr>'已审报表比率分析A1-14-5'!Print_Area</vt:lpstr>
      <vt:lpstr>'已审利润纵向分析A1-14-4'!Print_Area</vt:lpstr>
      <vt:lpstr>'已审资产负债纵向分析A1-14-2'!Print_Area</vt:lpstr>
      <vt:lpstr>'完成阶段的分析性复核A1-14'!Print_Titles</vt:lpstr>
      <vt:lpstr>'已审报表比率分析A1-14-5'!Print_Titles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康北涛</dc:creator>
  <cp:lastModifiedBy>何先琴</cp:lastModifiedBy>
  <cp:lastPrinted>2017-08-11T08:34:50Z</cp:lastPrinted>
  <dcterms:created xsi:type="dcterms:W3CDTF">2006-09-28T13:37:34Z</dcterms:created>
  <dcterms:modified xsi:type="dcterms:W3CDTF">2025-11-06T09:34:52Z</dcterms:modified>
</cp:coreProperties>
</file>