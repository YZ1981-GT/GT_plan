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defaultThemeVersion="124226"/>
  <bookViews>
    <workbookView xWindow="-120" yWindow="-120" windowWidth="20730" windowHeight="11760" tabRatio="727" activeTab="1"/>
  </bookViews>
  <sheets>
    <sheet name="表头" sheetId="8" r:id="rId1"/>
    <sheet name="采用新金融工具准则衔接影响数核对A1-18" sheetId="1" r:id="rId2"/>
  </sheets>
  <externalReferences>
    <externalReference r:id="rId3"/>
    <externalReference r:id="rId4"/>
    <externalReference r:id="rId5"/>
    <externalReference r:id="rId6"/>
  </externalReferences>
  <definedNames>
    <definedName name="_DAT1">#REF!</definedName>
    <definedName name="_DAT10">#REF!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AS2DocOpenMode" hidden="1">"AS2DocumentEdit"</definedName>
    <definedName name="bs" hidden="1">{#N/A,#N/A,FALSE,"BBPREP"}</definedName>
    <definedName name="bs_1" hidden="1">{#N/A,#N/A,FALSE,"BBPREP"}</definedName>
    <definedName name="_xlnm.Database">#REF!</definedName>
    <definedName name="_xlnm.Print_Area" localSheetId="1">'采用新金融工具准则衔接影响数核对A1-18'!$A$1:$G$84</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UFPrn20020120153922">#REF!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63" i="1"/>
  <c r="C63"/>
  <c r="B63"/>
  <c r="C37"/>
  <c r="D35"/>
  <c r="C30"/>
  <c r="E3"/>
  <c r="C3"/>
  <c r="A4"/>
  <c r="A3"/>
  <c r="C52" l="1"/>
  <c r="F52"/>
  <c r="B52"/>
  <c r="D63"/>
  <c r="E52"/>
  <c r="D52"/>
  <c r="D30"/>
  <c r="B37" l="1"/>
  <c r="D37" s="1"/>
  <c r="D36"/>
</calcChain>
</file>

<file path=xl/sharedStrings.xml><?xml version="1.0" encoding="utf-8"?>
<sst xmlns="http://schemas.openxmlformats.org/spreadsheetml/2006/main" count="105" uniqueCount="95">
  <si>
    <t xml:space="preserve">
</t>
    <phoneticPr fontId="7" type="noConversion"/>
  </si>
  <si>
    <r>
      <rPr>
        <b/>
        <sz val="10"/>
        <rFont val="宋体"/>
        <family val="3"/>
        <charset val="134"/>
      </rPr>
      <t>致同会计师事务所</t>
    </r>
  </si>
  <si>
    <t>复核人：</t>
    <phoneticPr fontId="7" type="noConversion"/>
  </si>
  <si>
    <t>日期：</t>
    <phoneticPr fontId="7" type="noConversion"/>
  </si>
  <si>
    <r>
      <t>1</t>
    </r>
    <r>
      <rPr>
        <b/>
        <sz val="10"/>
        <rFont val="宋体"/>
        <family val="3"/>
        <charset val="134"/>
      </rPr>
      <t>、审计说明</t>
    </r>
    <r>
      <rPr>
        <sz val="10"/>
        <color indexed="12"/>
        <rFont val="宋体"/>
        <family val="3"/>
        <charset val="134"/>
      </rPr>
      <t/>
    </r>
    <phoneticPr fontId="7" type="noConversion"/>
  </si>
  <si>
    <r>
      <t>2</t>
    </r>
    <r>
      <rPr>
        <b/>
        <sz val="10"/>
        <rFont val="宋体"/>
        <family val="3"/>
        <charset val="134"/>
      </rPr>
      <t>、审计结论</t>
    </r>
    <phoneticPr fontId="7" type="noConversion"/>
  </si>
  <si>
    <r>
      <rPr>
        <b/>
        <sz val="12"/>
        <rFont val="宋体"/>
        <family val="3"/>
        <charset val="134"/>
      </rPr>
      <t>底稿开列时，可先在以下单元格填写有关内容，以便其他底稿引用有关数据：</t>
    </r>
    <phoneticPr fontId="7" type="noConversion"/>
  </si>
  <si>
    <r>
      <rPr>
        <sz val="10"/>
        <rFont val="宋体"/>
        <family val="3"/>
        <charset val="134"/>
      </rPr>
      <t>客户名称：</t>
    </r>
    <phoneticPr fontId="7" type="noConversion"/>
  </si>
  <si>
    <r>
      <rPr>
        <sz val="12"/>
        <rFont val="宋体"/>
        <family val="3"/>
        <charset val="134"/>
      </rPr>
      <t>序号</t>
    </r>
    <phoneticPr fontId="7" type="noConversion"/>
  </si>
  <si>
    <r>
      <rPr>
        <sz val="12"/>
        <rFont val="宋体"/>
        <family val="3"/>
        <charset val="134"/>
      </rPr>
      <t>索引号</t>
    </r>
    <phoneticPr fontId="3" type="noConversion"/>
  </si>
  <si>
    <r>
      <rPr>
        <sz val="12"/>
        <rFont val="宋体"/>
        <family val="3"/>
        <charset val="134"/>
      </rPr>
      <t>内容</t>
    </r>
  </si>
  <si>
    <r>
      <rPr>
        <sz val="10"/>
        <rFont val="宋体"/>
        <family val="3"/>
        <charset val="134"/>
      </rPr>
      <t>编制人：</t>
    </r>
    <phoneticPr fontId="7" type="noConversion"/>
  </si>
  <si>
    <r>
      <rPr>
        <sz val="10"/>
        <rFont val="宋体"/>
        <family val="3"/>
        <charset val="134"/>
      </rPr>
      <t>日期：</t>
    </r>
    <phoneticPr fontId="7" type="noConversion"/>
  </si>
  <si>
    <r>
      <rPr>
        <b/>
        <sz val="14"/>
        <rFont val="黑体"/>
        <family val="3"/>
        <charset val="134"/>
      </rPr>
      <t>关于工作底稿索引号的编制方法的说明</t>
    </r>
    <phoneticPr fontId="7" type="noConversion"/>
  </si>
  <si>
    <r>
      <t>1</t>
    </r>
    <r>
      <rPr>
        <b/>
        <sz val="12"/>
        <rFont val="Arial"/>
        <family val="2"/>
      </rPr>
      <t>、</t>
    </r>
    <r>
      <rPr>
        <b/>
        <sz val="12"/>
        <rFont val="Arial Narrow"/>
        <family val="2"/>
      </rPr>
      <t> </t>
    </r>
    <r>
      <rPr>
        <b/>
        <sz val="12"/>
        <rFont val="Arial"/>
        <family val="2"/>
      </rPr>
      <t>工作底稿的分类</t>
    </r>
  </si>
  <si>
    <r>
      <rPr>
        <sz val="12"/>
        <rFont val="宋体"/>
        <family val="3"/>
        <charset val="134"/>
      </rPr>
      <t>作为具体审计程序的支持性工作底稿，共有三类，分别为审定表，明细表，检查表。</t>
    </r>
    <phoneticPr fontId="7" type="noConversion"/>
  </si>
  <si>
    <r>
      <t>2</t>
    </r>
    <r>
      <rPr>
        <b/>
        <sz val="12"/>
        <rFont val="Arial"/>
        <family val="2"/>
      </rPr>
      <t>、</t>
    </r>
    <r>
      <rPr>
        <b/>
        <sz val="12"/>
        <rFont val="Arial Narrow"/>
        <family val="2"/>
      </rPr>
      <t> </t>
    </r>
    <r>
      <rPr>
        <b/>
        <sz val="12"/>
        <rFont val="Arial"/>
        <family val="2"/>
      </rPr>
      <t>工作底稿与审计程序的对应与索引</t>
    </r>
  </si>
  <si>
    <r>
      <rPr>
        <sz val="12"/>
        <rFont val="宋体"/>
        <family val="3"/>
        <charset val="134"/>
      </rPr>
      <t>为提高工作底稿编制的针对性，各项目负责人提供的所有支持性工作底稿，均应当</t>
    </r>
  </si>
  <si>
    <r>
      <rPr>
        <sz val="12"/>
        <rFont val="宋体"/>
        <family val="3"/>
        <charset val="134"/>
      </rPr>
      <t>按自然顺序依次编制索引号，并通过唯一的索引号将审计程序表中的特定程序与相关</t>
    </r>
    <phoneticPr fontId="7" type="noConversion"/>
  </si>
  <si>
    <r>
      <rPr>
        <sz val="12"/>
        <rFont val="宋体"/>
        <family val="3"/>
        <charset val="134"/>
      </rPr>
      <t>支持性工作底稿进行一一对应。</t>
    </r>
    <phoneticPr fontId="7" type="noConversion"/>
  </si>
  <si>
    <r>
      <t>3</t>
    </r>
    <r>
      <rPr>
        <b/>
        <sz val="12"/>
        <rFont val="Arial"/>
        <family val="2"/>
      </rPr>
      <t>、</t>
    </r>
    <r>
      <rPr>
        <b/>
        <sz val="12"/>
        <rFont val="Arial Narrow"/>
        <family val="2"/>
      </rPr>
      <t> </t>
    </r>
    <r>
      <rPr>
        <b/>
        <sz val="12"/>
        <rFont val="Arial"/>
        <family val="2"/>
      </rPr>
      <t>工作底稿索引号的编码规则（以销售循环为例，假设</t>
    </r>
    <r>
      <rPr>
        <b/>
        <sz val="12"/>
        <rFont val="Arial Narrow"/>
        <family val="2"/>
      </rPr>
      <t>D</t>
    </r>
    <r>
      <rPr>
        <b/>
        <sz val="12"/>
        <rFont val="Arial"/>
        <family val="2"/>
      </rPr>
      <t>为项目名称代码）</t>
    </r>
  </si>
  <si>
    <r>
      <rPr>
        <b/>
        <sz val="12"/>
        <rFont val="宋体"/>
        <family val="3"/>
        <charset val="134"/>
      </rPr>
      <t>索引号的说明：</t>
    </r>
    <r>
      <rPr>
        <sz val="11"/>
        <color theme="1"/>
        <rFont val="宋体"/>
        <family val="2"/>
        <charset val="134"/>
      </rPr>
      <t>实质性程序索引号从</t>
    </r>
    <r>
      <rPr>
        <sz val="11"/>
        <color theme="1"/>
        <rFont val="Arial Narrow"/>
        <family val="2"/>
      </rPr>
      <t>“</t>
    </r>
    <r>
      <rPr>
        <sz val="12"/>
        <rFont val="Arial Narrow"/>
        <family val="2"/>
      </rPr>
      <t>D</t>
    </r>
    <r>
      <rPr>
        <sz val="11"/>
        <color theme="1"/>
        <rFont val="Arial Narrow"/>
        <family val="2"/>
      </rPr>
      <t>”</t>
    </r>
    <r>
      <rPr>
        <sz val="11"/>
        <color theme="1"/>
        <rFont val="宋体"/>
        <family val="2"/>
        <charset val="134"/>
      </rPr>
      <t>到</t>
    </r>
    <r>
      <rPr>
        <sz val="11"/>
        <color theme="1"/>
        <rFont val="Arial Narrow"/>
        <family val="2"/>
      </rPr>
      <t>“</t>
    </r>
    <r>
      <rPr>
        <sz val="12"/>
        <rFont val="Arial Narrow"/>
        <family val="2"/>
      </rPr>
      <t>N</t>
    </r>
    <r>
      <rPr>
        <sz val="11"/>
        <color theme="1"/>
        <rFont val="Arial Narrow"/>
        <family val="2"/>
      </rPr>
      <t>”</t>
    </r>
    <r>
      <rPr>
        <sz val="12"/>
        <rFont val="Arial Narrow"/>
        <family val="2"/>
      </rPr>
      <t>,</t>
    </r>
    <r>
      <rPr>
        <sz val="11"/>
        <color theme="1"/>
        <rFont val="宋体"/>
        <family val="2"/>
        <charset val="134"/>
      </rPr>
      <t>循环内账户以顺序号排列，如：销售循环的程序表即为</t>
    </r>
    <r>
      <rPr>
        <sz val="12"/>
        <rFont val="Arial Narrow"/>
        <family val="2"/>
      </rPr>
      <t>D</t>
    </r>
    <r>
      <rPr>
        <sz val="11"/>
        <color theme="1"/>
        <rFont val="宋体"/>
        <family val="2"/>
        <charset val="134"/>
      </rPr>
      <t>，</t>
    </r>
    <r>
      <rPr>
        <sz val="12"/>
        <rFont val="Arial Narrow"/>
        <family val="2"/>
      </rPr>
      <t>D1</t>
    </r>
    <r>
      <rPr>
        <sz val="11"/>
        <color theme="1"/>
        <rFont val="宋体"/>
        <family val="2"/>
        <charset val="134"/>
      </rPr>
      <t>为应收票据审定表，</t>
    </r>
    <r>
      <rPr>
        <sz val="12"/>
        <rFont val="Arial Narrow"/>
        <family val="2"/>
      </rPr>
      <t>D1-1</t>
    </r>
    <r>
      <rPr>
        <sz val="11"/>
        <color theme="1"/>
        <rFont val="宋体"/>
        <family val="2"/>
        <charset val="134"/>
      </rPr>
      <t>为附注披露信息，</t>
    </r>
    <r>
      <rPr>
        <sz val="12"/>
        <rFont val="Arial Narrow"/>
        <family val="2"/>
      </rPr>
      <t>D1-2</t>
    </r>
    <r>
      <rPr>
        <sz val="11"/>
        <color theme="1"/>
        <rFont val="宋体"/>
        <family val="2"/>
        <charset val="134"/>
      </rPr>
      <t>为明细表</t>
    </r>
    <r>
      <rPr>
        <sz val="12"/>
        <rFont val="Arial Narrow"/>
        <family val="2"/>
      </rPr>
      <t>........</t>
    </r>
    <phoneticPr fontId="7" type="noConversion"/>
  </si>
  <si>
    <t>页次：</t>
    <phoneticPr fontId="3" type="noConversion"/>
  </si>
  <si>
    <t>项目</t>
  </si>
  <si>
    <t>……</t>
  </si>
  <si>
    <r>
      <rPr>
        <sz val="10"/>
        <rFont val="宋体"/>
        <family val="3"/>
        <charset val="134"/>
      </rPr>
      <t>会计期间：</t>
    </r>
    <r>
      <rPr>
        <sz val="10"/>
        <rFont val="Arial Narrow"/>
        <family val="2"/>
      </rPr>
      <t>2019</t>
    </r>
    <r>
      <rPr>
        <sz val="10"/>
        <rFont val="宋体"/>
        <family val="3"/>
        <charset val="134"/>
      </rPr>
      <t>年度</t>
    </r>
    <phoneticPr fontId="7" type="noConversion"/>
  </si>
  <si>
    <t>索引：A1-18</t>
    <phoneticPr fontId="7" type="noConversion"/>
  </si>
  <si>
    <t>采用新金融工具准则衔接影响数核对</t>
  </si>
  <si>
    <t>采用新金融工具准则衔接影响数核对</t>
    <phoneticPr fontId="7" type="noConversion"/>
  </si>
  <si>
    <r>
      <rPr>
        <b/>
        <sz val="10"/>
        <rFont val="宋体"/>
        <family val="3"/>
        <charset val="134"/>
      </rPr>
      <t>表一：新金融工具准则首次施行日权益调节表</t>
    </r>
  </si>
  <si>
    <r>
      <rPr>
        <sz val="10"/>
        <rFont val="宋体"/>
        <family val="3"/>
        <charset val="134"/>
      </rPr>
      <t>（</t>
    </r>
    <r>
      <rPr>
        <sz val="10"/>
        <rFont val="Arial Narrow"/>
        <family val="2"/>
      </rPr>
      <t>1</t>
    </r>
    <r>
      <rPr>
        <sz val="10"/>
        <rFont val="宋体"/>
        <family val="3"/>
        <charset val="134"/>
      </rPr>
      <t>）金融工具调节事项表</t>
    </r>
    <phoneticPr fontId="7" type="noConversion"/>
  </si>
  <si>
    <r>
      <rPr>
        <b/>
        <sz val="10"/>
        <rFont val="宋体"/>
        <family val="3"/>
        <charset val="134"/>
      </rPr>
      <t>序号</t>
    </r>
  </si>
  <si>
    <r>
      <rPr>
        <b/>
        <sz val="10"/>
        <rFont val="宋体"/>
        <family val="3"/>
        <charset val="134"/>
      </rPr>
      <t>项目</t>
    </r>
  </si>
  <si>
    <r>
      <rPr>
        <b/>
        <sz val="10"/>
        <rFont val="宋体"/>
        <family val="3"/>
        <charset val="134"/>
      </rPr>
      <t>留存收益</t>
    </r>
  </si>
  <si>
    <r>
      <rPr>
        <b/>
        <sz val="10"/>
        <rFont val="宋体"/>
        <family val="3"/>
        <charset val="134"/>
      </rPr>
      <t>其他综合收益调整金额</t>
    </r>
  </si>
  <si>
    <r>
      <rPr>
        <b/>
        <sz val="10"/>
        <rFont val="宋体"/>
        <family val="3"/>
        <charset val="134"/>
      </rPr>
      <t>调整金额</t>
    </r>
  </si>
  <si>
    <r>
      <rPr>
        <sz val="10"/>
        <rFont val="宋体"/>
        <family val="3"/>
        <charset val="134"/>
      </rPr>
      <t>金融工具原账面价值和在新会计准则施行日的新账面价值之间的差额</t>
    </r>
  </si>
  <si>
    <r>
      <rPr>
        <sz val="10"/>
        <rFont val="宋体"/>
        <family val="3"/>
        <charset val="134"/>
      </rPr>
      <t>其中：由摊余成本计量重分类为以公允价值计量且其变动计入当期损益</t>
    </r>
    <r>
      <rPr>
        <sz val="10"/>
        <rFont val="Arial Narrow"/>
        <family val="2"/>
      </rPr>
      <t>/</t>
    </r>
    <r>
      <rPr>
        <sz val="10"/>
        <rFont val="宋体"/>
        <family val="3"/>
        <charset val="134"/>
      </rPr>
      <t>其他综合收益</t>
    </r>
  </si>
  <si>
    <r>
      <rPr>
        <sz val="10"/>
        <rFont val="宋体"/>
        <family val="3"/>
        <charset val="134"/>
      </rPr>
      <t>按照预期信用损失模型对金融资产（包括施行日重分类的金融资产）计提减值准备</t>
    </r>
  </si>
  <si>
    <r>
      <rPr>
        <sz val="10"/>
        <rFont val="宋体"/>
        <family val="3"/>
        <charset val="134"/>
      </rPr>
      <t>由以公允价值计量且其变动计入当期损益的金融资产重分类为以公允价值计量且其变动计入其他综合收益的金融资产，在实施日将留存收益转入其他综合收益</t>
    </r>
  </si>
  <si>
    <r>
      <rPr>
        <sz val="10"/>
        <rFont val="宋体"/>
        <family val="3"/>
        <charset val="134"/>
      </rPr>
      <t>由以公允价值计量的可供出售金融资产重分类为以公允价值计量且其变动计入当期损益的金融资产，在施行日将其他综合收益转入留存收益</t>
    </r>
  </si>
  <si>
    <r>
      <rPr>
        <sz val="10"/>
        <rFont val="宋体"/>
        <family val="3"/>
        <charset val="134"/>
      </rPr>
      <t>其他</t>
    </r>
  </si>
  <si>
    <r>
      <rPr>
        <sz val="10"/>
        <rFont val="宋体"/>
        <family val="3"/>
        <charset val="134"/>
      </rPr>
      <t>对于应当以公允价值计量的混合合同，整个混合合同在施行日的公允价值与该混合合同各组成部分在施行日的公允价值之和之间的差额</t>
    </r>
  </si>
  <si>
    <r>
      <rPr>
        <sz val="10"/>
        <rFont val="宋体"/>
        <family val="3"/>
        <charset val="134"/>
      </rPr>
      <t>对于原以成本计量的、在活跃市场中没有报价且其公允价值不能可靠计量的权益工具投资或与该权益工具挂钩并须通过交付该工具进行结算的衍生金融资产和衍生金融负债，原账面价值与公允价值之间的差额</t>
    </r>
  </si>
  <si>
    <r>
      <rPr>
        <sz val="10"/>
        <rFont val="宋体"/>
        <family val="3"/>
        <charset val="134"/>
      </rPr>
      <t>在施行日，企业将金融负债指定为以公允价值计量且其变动计入当期损益的金融负债的，由企业自身信用风险变动引起的该金融负债公允价值的变动金额计入其他综合收益</t>
    </r>
  </si>
  <si>
    <r>
      <rPr>
        <sz val="10"/>
        <rFont val="宋体"/>
        <family val="3"/>
        <charset val="134"/>
      </rPr>
      <t>对套期会计调整的影响</t>
    </r>
  </si>
  <si>
    <r>
      <rPr>
        <sz val="10"/>
        <rFont val="宋体"/>
        <family val="3"/>
        <charset val="134"/>
      </rPr>
      <t>所得税影响</t>
    </r>
  </si>
  <si>
    <r>
      <rPr>
        <b/>
        <sz val="10"/>
        <rFont val="宋体"/>
        <family val="3"/>
        <charset val="134"/>
      </rPr>
      <t>合计</t>
    </r>
  </si>
  <si>
    <r>
      <t>(2)</t>
    </r>
    <r>
      <rPr>
        <sz val="10"/>
        <rFont val="宋体"/>
        <family val="3"/>
        <charset val="134"/>
      </rPr>
      <t>权益调节表</t>
    </r>
    <phoneticPr fontId="7" type="noConversion"/>
  </si>
  <si>
    <r>
      <rPr>
        <b/>
        <sz val="10"/>
        <rFont val="宋体"/>
        <family val="3"/>
        <charset val="134"/>
      </rPr>
      <t>归属于母公司的</t>
    </r>
  </si>
  <si>
    <r>
      <rPr>
        <b/>
        <sz val="10"/>
        <rFont val="宋体"/>
        <family val="3"/>
        <charset val="134"/>
      </rPr>
      <t>少数股东权益</t>
    </r>
  </si>
  <si>
    <r>
      <rPr>
        <b/>
        <sz val="10"/>
        <rFont val="宋体"/>
        <family val="3"/>
        <charset val="134"/>
      </rPr>
      <t>股东</t>
    </r>
    <r>
      <rPr>
        <b/>
        <sz val="10"/>
        <rFont val="Arial Narrow"/>
        <family val="2"/>
      </rPr>
      <t>/</t>
    </r>
    <r>
      <rPr>
        <b/>
        <sz val="10"/>
        <rFont val="宋体"/>
        <family val="3"/>
        <charset val="134"/>
      </rPr>
      <t>所有者权益合计</t>
    </r>
  </si>
  <si>
    <r>
      <rPr>
        <b/>
        <sz val="10"/>
        <rFont val="宋体"/>
        <family val="3"/>
        <charset val="134"/>
      </rPr>
      <t>股东</t>
    </r>
    <r>
      <rPr>
        <b/>
        <sz val="10"/>
        <rFont val="Arial Narrow"/>
        <family val="2"/>
      </rPr>
      <t>/</t>
    </r>
    <r>
      <rPr>
        <b/>
        <sz val="10"/>
        <rFont val="宋体"/>
        <family val="3"/>
        <charset val="134"/>
      </rPr>
      <t>所有者权益</t>
    </r>
  </si>
  <si>
    <r>
      <rPr>
        <sz val="10"/>
        <rFont val="宋体"/>
        <family val="3"/>
        <charset val="134"/>
      </rPr>
      <t>按原金融工具准则列报的上年年末金额</t>
    </r>
  </si>
  <si>
    <r>
      <rPr>
        <sz val="10"/>
        <rFont val="宋体"/>
        <family val="3"/>
        <charset val="134"/>
      </rPr>
      <t>调整事项影响合计</t>
    </r>
  </si>
  <si>
    <r>
      <rPr>
        <sz val="10"/>
        <rFont val="宋体"/>
        <family val="3"/>
        <charset val="134"/>
      </rPr>
      <t>按新金融工具准则列报的首次施行日金额</t>
    </r>
  </si>
  <si>
    <t>表二：新金融工具准则首次施行日金融工具分类调节表</t>
  </si>
  <si>
    <r>
      <t>(1)</t>
    </r>
    <r>
      <rPr>
        <sz val="10"/>
        <rFont val="宋体"/>
        <family val="3"/>
        <charset val="134"/>
      </rPr>
      <t>金融资产调节表</t>
    </r>
    <phoneticPr fontId="7" type="noConversion"/>
  </si>
  <si>
    <r>
      <t xml:space="preserve">        </t>
    </r>
    <r>
      <rPr>
        <sz val="10"/>
        <rFont val="宋体"/>
        <family val="3"/>
        <charset val="134"/>
      </rPr>
      <t>新金融工具准则分类</t>
    </r>
    <phoneticPr fontId="7" type="noConversion"/>
  </si>
  <si>
    <t>按原金融工具准则列报的上年年末金额</t>
  </si>
  <si>
    <t>按新金融工具准则列报的年初金额</t>
  </si>
  <si>
    <r>
      <t>股东</t>
    </r>
    <r>
      <rPr>
        <sz val="10"/>
        <rFont val="Georgia"/>
        <family val="1"/>
      </rPr>
      <t>/</t>
    </r>
    <r>
      <rPr>
        <sz val="10"/>
        <rFont val="宋体"/>
        <family val="3"/>
        <charset val="134"/>
      </rPr>
      <t>所有者权益影响</t>
    </r>
  </si>
  <si>
    <t>原金融工具准则分类</t>
    <phoneticPr fontId="7" type="noConversion"/>
  </si>
  <si>
    <t>以摊余成本计量的金融资产</t>
  </si>
  <si>
    <t>以公允价值计量且其变动计入其他综合收益的金融资产</t>
  </si>
  <si>
    <t>以公允价值计量且其变动计入当期损益的金融资产</t>
  </si>
  <si>
    <t>贷款和应收款项</t>
  </si>
  <si>
    <t>持有至到期的投资</t>
  </si>
  <si>
    <t>可供出售债务工具</t>
  </si>
  <si>
    <t>可供出售权益工具</t>
  </si>
  <si>
    <t>交易性金融资产和衍生金融资产</t>
  </si>
  <si>
    <t>指定为以公允价值计量且其变动计入当期损益的金融资产</t>
  </si>
  <si>
    <t>合计</t>
  </si>
  <si>
    <r>
      <t>(2)</t>
    </r>
    <r>
      <rPr>
        <sz val="10"/>
        <rFont val="宋体"/>
        <family val="3"/>
        <charset val="134"/>
      </rPr>
      <t>金融负债调节表</t>
    </r>
  </si>
  <si>
    <t>新金融工具准则分类</t>
  </si>
  <si>
    <t>以摊余成本计量的金融负债</t>
  </si>
  <si>
    <t>以公允价值计量且其变动计入当期损益的金融负债</t>
  </si>
  <si>
    <t>交易性金融负债和衍生金融负债</t>
  </si>
  <si>
    <t>指定为以公允价值计量且其变动计入当期损益的金融负债</t>
  </si>
  <si>
    <t>表三：新金融工具准则首次施行日指定为以公允价值计量且其变动计入其他综合收益的金融资产的权益工具投资明细表</t>
    <phoneticPr fontId="7" type="noConversion"/>
  </si>
  <si>
    <t>首次施行日，企业指定为以公允价值计量且其变动计入其他综合收益的金融资产金额</t>
  </si>
  <si>
    <t>该项金融资产公允价值变动计入其他综合收益的累计金额（考虑递延所得税影响后的净额）</t>
  </si>
  <si>
    <r>
      <t>其中：归属于母公司股东</t>
    </r>
    <r>
      <rPr>
        <sz val="10"/>
        <rFont val="Georgia"/>
        <family val="1"/>
      </rPr>
      <t>/</t>
    </r>
    <r>
      <rPr>
        <sz val="10"/>
        <rFont val="宋体"/>
        <family val="3"/>
        <charset val="134"/>
      </rPr>
      <t>所有者权益的部分</t>
    </r>
  </si>
  <si>
    <t>其中：归属于少数股东权益的部分</t>
  </si>
  <si>
    <t>指定的理由</t>
  </si>
  <si>
    <r>
      <t xml:space="preserve"> </t>
    </r>
    <r>
      <rPr>
        <sz val="10"/>
        <rFont val="宋体"/>
        <family val="3"/>
        <charset val="134"/>
      </rPr>
      <t>项目</t>
    </r>
  </si>
  <si>
    <t>A1-18</t>
    <phoneticPr fontId="3" type="noConversion"/>
  </si>
  <si>
    <r>
      <rPr>
        <b/>
        <sz val="10"/>
        <color theme="1"/>
        <rFont val="宋体"/>
        <family val="3"/>
        <charset val="134"/>
      </rPr>
      <t>一、审计目标</t>
    </r>
    <phoneticPr fontId="3" type="noConversion"/>
  </si>
  <si>
    <r>
      <rPr>
        <b/>
        <sz val="10"/>
        <color theme="1"/>
        <rFont val="宋体"/>
        <family val="3"/>
        <charset val="134"/>
      </rPr>
      <t>二、审计过程</t>
    </r>
    <phoneticPr fontId="3" type="noConversion"/>
  </si>
  <si>
    <t>确定首次执行新金融工具准则的期初未分配利润影响数的计算、其他综合收益的调整金额和比较数据的列报是否符合新旧衔接的要求。</t>
    <phoneticPr fontId="3" type="noConversion"/>
  </si>
  <si>
    <r>
      <t xml:space="preserve">1. </t>
    </r>
    <r>
      <rPr>
        <sz val="10"/>
        <color theme="1"/>
        <rFont val="宋体"/>
        <family val="3"/>
        <charset val="134"/>
      </rPr>
      <t>了解被审计单位与新金融工具准则相关的会计政策和会计估计变更
。</t>
    </r>
    <phoneticPr fontId="3" type="noConversion"/>
  </si>
  <si>
    <r>
      <t xml:space="preserve">2. </t>
    </r>
    <r>
      <rPr>
        <sz val="10"/>
        <color theme="1"/>
        <rFont val="宋体"/>
        <family val="3"/>
        <charset val="134"/>
      </rPr>
      <t>了解被审计单位财务报表体系的更新。</t>
    </r>
    <phoneticPr fontId="3" type="noConversion"/>
  </si>
  <si>
    <r>
      <t xml:space="preserve">3. </t>
    </r>
    <r>
      <rPr>
        <sz val="10"/>
        <color theme="1"/>
        <rFont val="宋体"/>
        <family val="3"/>
        <charset val="134"/>
      </rPr>
      <t>走访各相关部门和第三方服务机构，了解与新金融工具准则实施和衔接相关的内控流程及信息系统的建立和变更情况。</t>
    </r>
    <phoneticPr fontId="3" type="noConversion"/>
  </si>
  <si>
    <r>
      <t xml:space="preserve">4. </t>
    </r>
    <r>
      <rPr>
        <sz val="10"/>
        <color theme="1"/>
        <rFont val="宋体"/>
        <family val="3"/>
        <charset val="134"/>
      </rPr>
      <t>执行抽样检查，对首次执行日的金融资产和金融负债的分类变化做出实质性判断，复核历史存量金融工具在首次执行日的财务报表列报是否体现了新金融工具准则的分类要求，并且与历史数据和近期的财务预算、经营计划相吻合。</t>
    </r>
    <phoneticPr fontId="3" type="noConversion"/>
  </si>
  <si>
    <r>
      <t>5.</t>
    </r>
    <r>
      <rPr>
        <sz val="10"/>
        <color theme="1"/>
        <rFont val="宋体"/>
        <family val="3"/>
        <charset val="134"/>
      </rPr>
      <t>结合金融资产减值、公允价值计量等计价准确性认定相关的审计程序，对期初未分配利润和其他综合收益的影响数进行重新计算。</t>
    </r>
    <phoneticPr fontId="3" type="noConversion"/>
  </si>
</sst>
</file>

<file path=xl/styles.xml><?xml version="1.0" encoding="utf-8"?>
<styleSheet xmlns="http://schemas.openxmlformats.org/spreadsheetml/2006/main">
  <numFmts count="49">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quot;\&quot;#,##0.00;[Red]&quot;\&quot;&quot;\&quot;\-#,##0.00"/>
    <numFmt numFmtId="206" formatCode="_(&quot;$&quot;* #,##0_);_(&quot;$&quot;* \(#,##0\);_(&quot;$&quot;* &quot;-&quot;_);_(@_)"/>
    <numFmt numFmtId="207" formatCode="_(&quot;$&quot;* #,##0.00_);_(&quot;$&quot;* \(#,##0.00\);_(&quot;$&quot;* &quot;-&quot;??_);_(@_)"/>
    <numFmt numFmtId="208" formatCode="_-* #,##0_-;\-* #,##0_-;_-* &quot;-&quot;??_-;_-@_-"/>
    <numFmt numFmtId="209" formatCode="0.00000000000_);[Red]\(0.00000000000\)"/>
    <numFmt numFmtId="210" formatCode="&quot;\&quot;#,##0;&quot;\&quot;&quot;\&quot;\-#,##0"/>
    <numFmt numFmtId="211" formatCode="0%_);\(0%\)"/>
    <numFmt numFmtId="212" formatCode="\ \ @"/>
    <numFmt numFmtId="213" formatCode="#,##0_);\(#,##0_)"/>
    <numFmt numFmtId="214" formatCode="_-* #,##0_-;\-* #,##0_-;_-* &quot;-&quot;_-;_-@_-"/>
    <numFmt numFmtId="215" formatCode="_-* #,##0.00_-;\-* #,##0.00_-;_-* &quot;-&quot;??_-;_-@_-"/>
    <numFmt numFmtId="216" formatCode="0.0000000"/>
    <numFmt numFmtId="217" formatCode="0.000000"/>
    <numFmt numFmtId="218" formatCode="0.00000000"/>
    <numFmt numFmtId="219" formatCode="_-&quot;$&quot;* #,##0_-;\-&quot;$&quot;* #,##0_-;_-&quot;$&quot;* &quot;-&quot;_-;_-@_-"/>
    <numFmt numFmtId="220" formatCode="_-&quot;$&quot;* #,##0.00_-;\-&quot;$&quot;* #,##0.00_-;_-&quot;$&quot;* &quot;-&quot;??_-;_-@_-"/>
    <numFmt numFmtId="221"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2">
    <font>
      <sz val="11"/>
      <color theme="1"/>
      <name val="宋体"/>
      <family val="2"/>
      <charset val="134"/>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0"/>
      <color indexed="12"/>
      <name val="宋体"/>
      <family val="3"/>
      <charset val="134"/>
    </font>
    <font>
      <u/>
      <sz val="12"/>
      <color indexed="12"/>
      <name val="宋体"/>
      <family val="3"/>
      <charset val="134"/>
    </font>
    <font>
      <sz val="12"/>
      <name val="Times New Roman"/>
      <family val="1"/>
    </font>
    <font>
      <sz val="10"/>
      <color indexed="12"/>
      <name val="Arial Narrow"/>
      <family val="2"/>
    </font>
    <font>
      <sz val="10"/>
      <name val="Arial"/>
      <family val="2"/>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u/>
      <sz val="10"/>
      <color indexed="12"/>
      <name val="宋体"/>
      <family val="3"/>
      <charset val="134"/>
    </font>
    <font>
      <sz val="10"/>
      <color indexed="17"/>
      <name val="Times New Roman"/>
      <family val="1"/>
    </font>
    <font>
      <sz val="11"/>
      <name val="蹈框"/>
      <charset val="134"/>
    </font>
    <font>
      <sz val="11"/>
      <name val="ＭＳ Ｐゴシック"/>
      <family val="2"/>
    </font>
    <font>
      <sz val="12"/>
      <name val="바탕체"/>
      <family val="3"/>
    </font>
    <font>
      <u/>
      <sz val="11"/>
      <color theme="10"/>
      <name val="宋体"/>
      <family val="3"/>
      <charset val="134"/>
    </font>
    <font>
      <b/>
      <sz val="14"/>
      <name val="黑体"/>
      <family val="3"/>
      <charset val="134"/>
    </font>
    <font>
      <b/>
      <sz val="10"/>
      <color theme="1"/>
      <name val="Arial Narrow"/>
      <family val="2"/>
    </font>
    <font>
      <b/>
      <sz val="10"/>
      <color theme="1"/>
      <name val="宋体"/>
      <family val="3"/>
      <charset val="134"/>
    </font>
    <font>
      <i/>
      <u/>
      <sz val="10"/>
      <color indexed="12"/>
      <name val="Arial Narrow"/>
      <family val="2"/>
    </font>
    <font>
      <sz val="11"/>
      <color theme="1"/>
      <name val="Arial Narrow"/>
      <family val="2"/>
    </font>
    <font>
      <sz val="12"/>
      <color theme="1"/>
      <name val="Arial Narrow"/>
      <family val="2"/>
    </font>
    <font>
      <sz val="10.5"/>
      <name val="Arial Narrow"/>
      <family val="2"/>
    </font>
    <font>
      <u/>
      <sz val="12"/>
      <color indexed="12"/>
      <name val="Arial Narrow"/>
      <family val="2"/>
    </font>
    <font>
      <b/>
      <sz val="10"/>
      <color indexed="10"/>
      <name val="Arial Narrow"/>
      <family val="2"/>
    </font>
    <font>
      <b/>
      <sz val="14"/>
      <name val="Arial Narrow"/>
      <family val="2"/>
    </font>
    <font>
      <u/>
      <sz val="11"/>
      <color theme="10"/>
      <name val="Arial Narrow"/>
      <family val="2"/>
    </font>
    <font>
      <sz val="11"/>
      <color theme="1"/>
      <name val="宋体"/>
      <family val="2"/>
      <charset val="134"/>
    </font>
    <font>
      <sz val="10"/>
      <name val="Georgia"/>
      <family val="1"/>
    </font>
    <font>
      <b/>
      <sz val="10"/>
      <name val="Georgia"/>
      <family val="1"/>
    </font>
    <font>
      <sz val="10"/>
      <color theme="1"/>
      <name val="宋体"/>
      <family val="3"/>
      <charset val="134"/>
    </font>
    <font>
      <sz val="10"/>
      <color theme="1"/>
      <name val="Arial Narrow"/>
      <family val="2"/>
    </font>
  </fonts>
  <fills count="10">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s>
  <borders count="12">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s>
  <cellStyleXfs count="202">
    <xf numFmtId="203" fontId="0" fillId="0" borderId="0">
      <alignment vertical="center"/>
    </xf>
    <xf numFmtId="43" fontId="1" fillId="0" borderId="0" applyFont="0" applyFill="0" applyBorder="0" applyAlignment="0" applyProtection="0"/>
    <xf numFmtId="203" fontId="1" fillId="0" borderId="0" applyFill="0" applyBorder="0"/>
    <xf numFmtId="203" fontId="12" fillId="0" borderId="0" applyNumberFormat="0" applyFill="0" applyBorder="0" applyAlignment="0" applyProtection="0">
      <alignment vertical="top"/>
      <protection locked="0"/>
    </xf>
    <xf numFmtId="203" fontId="13" fillId="0" borderId="0"/>
    <xf numFmtId="203" fontId="15" fillId="0" borderId="0"/>
    <xf numFmtId="203" fontId="15" fillId="0" borderId="0"/>
    <xf numFmtId="203" fontId="15" fillId="0" borderId="0"/>
    <xf numFmtId="203" fontId="15" fillId="0" borderId="0"/>
    <xf numFmtId="203" fontId="15" fillId="0" borderId="0"/>
    <xf numFmtId="49" fontId="16" fillId="0" borderId="0" applyProtection="0">
      <alignment horizontal="left"/>
    </xf>
    <xf numFmtId="203" fontId="17" fillId="0" borderId="0">
      <alignment vertical="top"/>
      <protection locked="0"/>
    </xf>
    <xf numFmtId="203" fontId="17" fillId="0" borderId="0">
      <alignment vertical="top"/>
      <protection locked="0"/>
    </xf>
    <xf numFmtId="203" fontId="17" fillId="0" borderId="0">
      <alignment vertical="top"/>
      <protection locked="0"/>
    </xf>
    <xf numFmtId="203" fontId="17" fillId="0" borderId="0">
      <alignment vertical="top"/>
    </xf>
    <xf numFmtId="203" fontId="13" fillId="0" borderId="0"/>
    <xf numFmtId="203" fontId="17" fillId="0" borderId="0">
      <alignment vertical="top"/>
    </xf>
    <xf numFmtId="203" fontId="17" fillId="0" borderId="0">
      <alignment vertical="top"/>
      <protection locked="0"/>
    </xf>
    <xf numFmtId="203" fontId="17" fillId="0" borderId="0">
      <alignment vertical="top"/>
    </xf>
    <xf numFmtId="203" fontId="17" fillId="0" borderId="0">
      <alignment vertical="top"/>
    </xf>
    <xf numFmtId="203" fontId="17" fillId="0" borderId="0">
      <alignment vertical="top"/>
      <protection locked="0"/>
    </xf>
    <xf numFmtId="203" fontId="17" fillId="0" borderId="0">
      <alignment vertical="top"/>
      <protection locked="0"/>
    </xf>
    <xf numFmtId="203" fontId="17" fillId="0" borderId="0">
      <alignment vertical="top"/>
      <protection locked="0"/>
    </xf>
    <xf numFmtId="203" fontId="17" fillId="0" borderId="0">
      <alignment vertical="top"/>
    </xf>
    <xf numFmtId="203" fontId="17" fillId="0" borderId="0">
      <alignment vertical="top"/>
    </xf>
    <xf numFmtId="203" fontId="17" fillId="0" borderId="0">
      <alignment vertical="top"/>
      <protection locked="0"/>
    </xf>
    <xf numFmtId="203" fontId="17" fillId="0" borderId="0">
      <alignment vertical="top"/>
    </xf>
    <xf numFmtId="203" fontId="17" fillId="0" borderId="0">
      <alignment vertical="top"/>
    </xf>
    <xf numFmtId="203" fontId="17" fillId="0" borderId="0">
      <alignment vertical="top"/>
    </xf>
    <xf numFmtId="203" fontId="17" fillId="0" borderId="0">
      <alignment vertical="top"/>
      <protection locked="0"/>
    </xf>
    <xf numFmtId="203" fontId="17" fillId="0" borderId="0">
      <alignment vertical="top"/>
    </xf>
    <xf numFmtId="203" fontId="17" fillId="0" borderId="0">
      <alignment vertical="top"/>
      <protection locked="0"/>
    </xf>
    <xf numFmtId="203" fontId="17" fillId="0" borderId="0">
      <alignment vertical="top"/>
      <protection locked="0"/>
    </xf>
    <xf numFmtId="203" fontId="17" fillId="0" borderId="0">
      <alignment vertical="top"/>
      <protection locked="0"/>
    </xf>
    <xf numFmtId="203" fontId="17" fillId="0" borderId="0">
      <alignment vertical="top"/>
    </xf>
    <xf numFmtId="203" fontId="17" fillId="0" borderId="0">
      <alignment vertical="top"/>
    </xf>
    <xf numFmtId="203" fontId="17" fillId="0" borderId="0">
      <alignment vertical="top"/>
    </xf>
    <xf numFmtId="203" fontId="17" fillId="0" borderId="0">
      <alignment vertical="top"/>
    </xf>
    <xf numFmtId="203" fontId="17" fillId="0" borderId="0">
      <alignment vertical="top"/>
      <protection locked="0"/>
    </xf>
    <xf numFmtId="203" fontId="17" fillId="0" borderId="0">
      <alignment vertical="top"/>
      <protection locked="0"/>
    </xf>
    <xf numFmtId="203" fontId="17" fillId="0" borderId="0">
      <alignment vertical="top"/>
    </xf>
    <xf numFmtId="203" fontId="17" fillId="0" borderId="0">
      <alignment vertical="top"/>
      <protection locked="0"/>
    </xf>
    <xf numFmtId="176" fontId="16" fillId="0" borderId="0" applyFill="0" applyBorder="0" applyProtection="0">
      <alignment horizontal="right"/>
    </xf>
    <xf numFmtId="177" fontId="16" fillId="0" borderId="0" applyFill="0" applyBorder="0" applyProtection="0">
      <alignment horizontal="right"/>
    </xf>
    <xf numFmtId="178" fontId="18" fillId="0" borderId="0" applyFill="0" applyBorder="0" applyProtection="0">
      <alignment horizontal="center"/>
    </xf>
    <xf numFmtId="179" fontId="18" fillId="0" borderId="0" applyFill="0" applyBorder="0" applyProtection="0">
      <alignment horizontal="center"/>
    </xf>
    <xf numFmtId="180" fontId="19" fillId="0" borderId="0" applyFill="0" applyBorder="0" applyProtection="0">
      <alignment horizontal="right"/>
    </xf>
    <xf numFmtId="181" fontId="16" fillId="0" borderId="0" applyFill="0" applyBorder="0" applyProtection="0">
      <alignment horizontal="right"/>
    </xf>
    <xf numFmtId="182" fontId="16" fillId="0" borderId="0" applyFill="0" applyBorder="0" applyProtection="0">
      <alignment horizontal="right"/>
    </xf>
    <xf numFmtId="183" fontId="16" fillId="0" borderId="0" applyFill="0" applyBorder="0" applyProtection="0">
      <alignment horizontal="right"/>
    </xf>
    <xf numFmtId="184" fontId="16" fillId="0" borderId="0" applyFill="0" applyBorder="0" applyProtection="0">
      <alignment horizontal="right"/>
    </xf>
    <xf numFmtId="185" fontId="20" fillId="0" borderId="0" applyFont="0" applyFill="0" applyBorder="0" applyAlignment="0" applyProtection="0"/>
    <xf numFmtId="203" fontId="13" fillId="0" borderId="0"/>
    <xf numFmtId="186" fontId="20" fillId="0" borderId="0" applyFont="0" applyFill="0" applyBorder="0" applyAlignment="0" applyProtection="0"/>
    <xf numFmtId="10" fontId="20" fillId="0" borderId="0" applyFont="0" applyFill="0" applyBorder="0" applyAlignment="0" applyProtection="0"/>
    <xf numFmtId="3" fontId="21" fillId="0" borderId="0"/>
    <xf numFmtId="187" fontId="22" fillId="0" borderId="1" applyAlignment="0" applyProtection="0"/>
    <xf numFmtId="188" fontId="17" fillId="0" borderId="0" applyFill="0" applyBorder="0" applyAlignment="0"/>
    <xf numFmtId="189" fontId="15" fillId="0" borderId="0" applyFill="0" applyBorder="0" applyAlignment="0"/>
    <xf numFmtId="190" fontId="15" fillId="0" borderId="0" applyFill="0" applyBorder="0" applyAlignment="0"/>
    <xf numFmtId="191" fontId="15" fillId="0" borderId="0" applyFill="0" applyBorder="0" applyAlignment="0"/>
    <xf numFmtId="192" fontId="15" fillId="0" borderId="0" applyFill="0" applyBorder="0" applyAlignment="0"/>
    <xf numFmtId="193" fontId="15" fillId="0" borderId="0" applyFill="0" applyBorder="0" applyAlignment="0"/>
    <xf numFmtId="194" fontId="15" fillId="0" borderId="0" applyFill="0" applyBorder="0" applyAlignment="0"/>
    <xf numFmtId="189" fontId="15" fillId="0" borderId="0" applyFill="0" applyBorder="0" applyAlignment="0"/>
    <xf numFmtId="203" fontId="23" fillId="0" borderId="0"/>
    <xf numFmtId="203" fontId="24" fillId="0" borderId="2" applyNumberFormat="0" applyFill="0" applyProtection="0">
      <alignment horizontal="center"/>
    </xf>
    <xf numFmtId="203" fontId="25" fillId="0" borderId="3">
      <alignment horizontal="center"/>
    </xf>
    <xf numFmtId="195" fontId="15" fillId="0" borderId="0"/>
    <xf numFmtId="195" fontId="15" fillId="0" borderId="0"/>
    <xf numFmtId="195" fontId="15" fillId="0" borderId="0"/>
    <xf numFmtId="195" fontId="15" fillId="0" borderId="0"/>
    <xf numFmtId="195" fontId="15" fillId="0" borderId="0"/>
    <xf numFmtId="195" fontId="15" fillId="0" borderId="0"/>
    <xf numFmtId="195" fontId="15" fillId="0" borderId="0"/>
    <xf numFmtId="195" fontId="15" fillId="0" borderId="0"/>
    <xf numFmtId="38" fontId="26" fillId="0" borderId="0" applyFont="0" applyFill="0" applyBorder="0" applyAlignment="0" applyProtection="0"/>
    <xf numFmtId="193" fontId="15" fillId="0" borderId="0" applyFont="0" applyFill="0" applyBorder="0" applyAlignment="0" applyProtection="0"/>
    <xf numFmtId="43" fontId="1" fillId="0" borderId="0" applyFont="0" applyFill="0" applyBorder="0" applyAlignment="0" applyProtection="0"/>
    <xf numFmtId="196" fontId="16" fillId="0" borderId="0"/>
    <xf numFmtId="37" fontId="20" fillId="0" borderId="0" applyFont="0" applyFill="0" applyBorder="0" applyAlignment="0" applyProtection="0"/>
    <xf numFmtId="197" fontId="20" fillId="0" borderId="0" applyFont="0" applyFill="0" applyBorder="0" applyAlignment="0" applyProtection="0"/>
    <xf numFmtId="39" fontId="20" fillId="0" borderId="0" applyFont="0" applyFill="0" applyBorder="0" applyAlignment="0" applyProtection="0"/>
    <xf numFmtId="40" fontId="26" fillId="0" borderId="0" applyFont="0" applyFill="0" applyBorder="0" applyAlignment="0" applyProtection="0"/>
    <xf numFmtId="198" fontId="1" fillId="0" borderId="0" applyFont="0" applyFill="0" applyBorder="0" applyAlignment="0" applyProtection="0"/>
    <xf numFmtId="189" fontId="15" fillId="0" borderId="0" applyFont="0" applyFill="0" applyBorder="0" applyAlignment="0" applyProtection="0"/>
    <xf numFmtId="187" fontId="20" fillId="0" borderId="0" applyFont="0" applyFill="0" applyBorder="0" applyAlignment="0" applyProtection="0"/>
    <xf numFmtId="199" fontId="20" fillId="0" borderId="0" applyFont="0" applyFill="0" applyBorder="0" applyAlignment="0" applyProtection="0"/>
    <xf numFmtId="200" fontId="1" fillId="0" borderId="0" applyFont="0" applyFill="0" applyBorder="0" applyAlignment="0" applyProtection="0"/>
    <xf numFmtId="201" fontId="16" fillId="0" borderId="0"/>
    <xf numFmtId="14" fontId="17" fillId="0" borderId="0" applyFill="0" applyBorder="0" applyAlignment="0"/>
    <xf numFmtId="41" fontId="15" fillId="0" borderId="0" applyFont="0" applyFill="0" applyBorder="0" applyAlignment="0" applyProtection="0"/>
    <xf numFmtId="43" fontId="15" fillId="0" borderId="0" applyFont="0" applyFill="0" applyBorder="0" applyAlignment="0" applyProtection="0"/>
    <xf numFmtId="202" fontId="16" fillId="0" borderId="0"/>
    <xf numFmtId="193" fontId="15" fillId="0" borderId="0" applyFill="0" applyBorder="0" applyAlignment="0"/>
    <xf numFmtId="189" fontId="15" fillId="0" borderId="0" applyFill="0" applyBorder="0" applyAlignment="0"/>
    <xf numFmtId="193" fontId="15" fillId="0" borderId="0" applyFill="0" applyBorder="0" applyAlignment="0"/>
    <xf numFmtId="194" fontId="15" fillId="0" borderId="0" applyFill="0" applyBorder="0" applyAlignment="0"/>
    <xf numFmtId="189" fontId="15" fillId="0" borderId="0" applyFill="0" applyBorder="0" applyAlignment="0"/>
    <xf numFmtId="203" fontId="27" fillId="0" borderId="0">
      <alignment horizontal="left"/>
    </xf>
    <xf numFmtId="203" fontId="28" fillId="2" borderId="4"/>
    <xf numFmtId="203" fontId="16" fillId="0" borderId="0" applyFont="0" applyFill="0" applyBorder="0" applyAlignment="0" applyProtection="0"/>
    <xf numFmtId="203" fontId="29" fillId="0" borderId="0" applyNumberFormat="0" applyFill="0" applyBorder="0" applyAlignment="0" applyProtection="0">
      <alignment vertical="top"/>
      <protection locked="0"/>
    </xf>
    <xf numFmtId="38" fontId="28" fillId="3" borderId="0" applyNumberFormat="0" applyBorder="0" applyAlignment="0" applyProtection="0"/>
    <xf numFmtId="203" fontId="30" fillId="0" borderId="0">
      <alignment horizontal="left"/>
    </xf>
    <xf numFmtId="203" fontId="31" fillId="0" borderId="5" applyNumberFormat="0" applyAlignment="0" applyProtection="0">
      <alignment horizontal="left" vertical="center"/>
    </xf>
    <xf numFmtId="203" fontId="31" fillId="0" borderId="6">
      <alignment horizontal="left" vertical="center"/>
    </xf>
    <xf numFmtId="14" fontId="32" fillId="4" borderId="7">
      <alignment horizontal="center" vertical="center" wrapText="1"/>
    </xf>
    <xf numFmtId="203" fontId="33" fillId="0" borderId="0" applyNumberFormat="0" applyFill="0" applyBorder="0" applyAlignment="0" applyProtection="0">
      <alignment vertical="top"/>
      <protection locked="0"/>
    </xf>
    <xf numFmtId="10" fontId="28" fillId="5" borderId="4" applyNumberFormat="0" applyBorder="0" applyAlignment="0" applyProtection="0"/>
    <xf numFmtId="203" fontId="16" fillId="0" borderId="0" applyNumberFormat="0" applyFont="0" applyFill="0" applyBorder="0" applyProtection="0">
      <alignment horizontal="left" vertical="center"/>
    </xf>
    <xf numFmtId="193" fontId="15" fillId="0" borderId="0" applyFill="0" applyBorder="0" applyAlignment="0"/>
    <xf numFmtId="189" fontId="15" fillId="0" borderId="0" applyFill="0" applyBorder="0" applyAlignment="0"/>
    <xf numFmtId="193" fontId="15" fillId="0" borderId="0" applyFill="0" applyBorder="0" applyAlignment="0"/>
    <xf numFmtId="194" fontId="15" fillId="0" borderId="0" applyFill="0" applyBorder="0" applyAlignment="0"/>
    <xf numFmtId="189" fontId="15" fillId="0" borderId="0" applyFill="0" applyBorder="0" applyAlignment="0"/>
    <xf numFmtId="41" fontId="15" fillId="0" borderId="0" applyFont="0" applyFill="0" applyBorder="0" applyAlignment="0" applyProtection="0"/>
    <xf numFmtId="43" fontId="15" fillId="0" borderId="0" applyFont="0" applyFill="0" applyBorder="0" applyAlignment="0" applyProtection="0"/>
    <xf numFmtId="204" fontId="1" fillId="0" borderId="0" applyFont="0" applyFill="0" applyBorder="0" applyAlignment="0" applyProtection="0"/>
    <xf numFmtId="205" fontId="1" fillId="0" borderId="0" applyFont="0" applyFill="0" applyBorder="0" applyAlignment="0" applyProtection="0"/>
    <xf numFmtId="203" fontId="34" fillId="0" borderId="7"/>
    <xf numFmtId="206" fontId="15" fillId="0" borderId="0" applyFont="0" applyFill="0" applyBorder="0" applyAlignment="0" applyProtection="0"/>
    <xf numFmtId="207" fontId="15" fillId="0" borderId="0" applyFont="0" applyFill="0" applyBorder="0" applyAlignment="0" applyProtection="0"/>
    <xf numFmtId="208" fontId="15" fillId="0" borderId="0" applyFont="0" applyFill="0" applyBorder="0" applyAlignment="0" applyProtection="0"/>
    <xf numFmtId="209" fontId="1" fillId="0" borderId="0" applyFont="0" applyFill="0" applyBorder="0" applyAlignment="0" applyProtection="0"/>
    <xf numFmtId="37" fontId="35" fillId="0" borderId="0"/>
    <xf numFmtId="203" fontId="36" fillId="0" borderId="0"/>
    <xf numFmtId="210" fontId="1" fillId="0" borderId="0"/>
    <xf numFmtId="203" fontId="1" fillId="0" borderId="0"/>
    <xf numFmtId="203" fontId="26" fillId="0" borderId="0"/>
    <xf numFmtId="203" fontId="37" fillId="0" borderId="0"/>
    <xf numFmtId="211" fontId="15" fillId="0" borderId="0" applyFont="0" applyFill="0" applyBorder="0" applyAlignment="0" applyProtection="0"/>
    <xf numFmtId="192" fontId="15" fillId="0" borderId="0" applyFont="0" applyFill="0" applyBorder="0" applyAlignment="0" applyProtection="0"/>
    <xf numFmtId="185" fontId="15" fillId="0" borderId="0" applyFont="0" applyFill="0" applyBorder="0" applyAlignment="0" applyProtection="0"/>
    <xf numFmtId="10" fontId="15" fillId="0" borderId="0" applyFont="0" applyFill="0" applyBorder="0" applyAlignment="0" applyProtection="0"/>
    <xf numFmtId="203" fontId="28" fillId="3" borderId="4"/>
    <xf numFmtId="193" fontId="15" fillId="0" borderId="0" applyFill="0" applyBorder="0" applyAlignment="0"/>
    <xf numFmtId="189" fontId="15" fillId="0" borderId="0" applyFill="0" applyBorder="0" applyAlignment="0"/>
    <xf numFmtId="193" fontId="15" fillId="0" borderId="0" applyFill="0" applyBorder="0" applyAlignment="0"/>
    <xf numFmtId="194" fontId="15" fillId="0" borderId="0" applyFill="0" applyBorder="0" applyAlignment="0"/>
    <xf numFmtId="189" fontId="15" fillId="0" borderId="0" applyFill="0" applyBorder="0" applyAlignment="0"/>
    <xf numFmtId="4" fontId="27" fillId="0" borderId="0">
      <alignment horizontal="right"/>
    </xf>
    <xf numFmtId="3" fontId="38" fillId="0" borderId="0"/>
    <xf numFmtId="4" fontId="39" fillId="0" borderId="0">
      <alignment horizontal="right"/>
    </xf>
    <xf numFmtId="203" fontId="40" fillId="0" borderId="0">
      <alignment horizontal="left"/>
    </xf>
    <xf numFmtId="43" fontId="28" fillId="0" borderId="8"/>
    <xf numFmtId="203" fontId="41" fillId="0" borderId="4">
      <alignment horizontal="center"/>
    </xf>
    <xf numFmtId="203" fontId="41" fillId="0" borderId="0">
      <alignment horizontal="center" vertical="center"/>
    </xf>
    <xf numFmtId="203" fontId="42" fillId="6" borderId="0" applyNumberFormat="0" applyFill="0">
      <alignment horizontal="left" vertical="center"/>
    </xf>
    <xf numFmtId="203" fontId="34" fillId="0" borderId="0"/>
    <xf numFmtId="49" fontId="17" fillId="0" borderId="0" applyFill="0" applyBorder="0" applyAlignment="0"/>
    <xf numFmtId="212" fontId="17" fillId="0" borderId="0" applyFill="0" applyBorder="0" applyAlignment="0"/>
    <xf numFmtId="213" fontId="15" fillId="0" borderId="0" applyFill="0" applyBorder="0" applyAlignment="0"/>
    <xf numFmtId="203" fontId="43" fillId="0" borderId="0" applyFill="0" applyBorder="0" applyProtection="0">
      <alignment horizontal="left" vertical="top"/>
    </xf>
    <xf numFmtId="203" fontId="44" fillId="0" borderId="0">
      <alignment horizontal="center"/>
    </xf>
    <xf numFmtId="203" fontId="45" fillId="0" borderId="0" applyNumberFormat="0" applyFont="0" applyFill="0" applyBorder="0" applyProtection="0">
      <alignment horizontal="center" vertical="center" wrapText="1"/>
    </xf>
    <xf numFmtId="9" fontId="46" fillId="0" borderId="0" applyFont="0" applyFill="0" applyBorder="0" applyAlignment="0" applyProtection="0"/>
    <xf numFmtId="203" fontId="13" fillId="0" borderId="0"/>
    <xf numFmtId="203" fontId="15" fillId="0" borderId="0"/>
    <xf numFmtId="214" fontId="13" fillId="0" borderId="0" applyFont="0" applyFill="0" applyBorder="0" applyAlignment="0" applyProtection="0"/>
    <xf numFmtId="215" fontId="13"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4" fontId="47" fillId="0" borderId="0">
      <alignment horizontal="right"/>
    </xf>
    <xf numFmtId="203" fontId="48" fillId="7" borderId="0" applyNumberFormat="0" applyBorder="0" applyAlignment="0" applyProtection="0">
      <alignment vertical="center"/>
    </xf>
    <xf numFmtId="203" fontId="1" fillId="0" borderId="0">
      <protection locked="0"/>
    </xf>
    <xf numFmtId="203" fontId="1" fillId="0" borderId="0">
      <alignment vertical="center"/>
      <protection locked="0"/>
    </xf>
    <xf numFmtId="203" fontId="1" fillId="0" borderId="0">
      <protection locked="0"/>
    </xf>
    <xf numFmtId="203" fontId="49" fillId="0" borderId="0">
      <alignment vertical="center"/>
    </xf>
    <xf numFmtId="203" fontId="50" fillId="0" borderId="0" applyNumberFormat="0" applyFill="0" applyBorder="0" applyAlignment="0" applyProtection="0">
      <alignment vertical="top"/>
      <protection locked="0"/>
    </xf>
    <xf numFmtId="203" fontId="12" fillId="0" borderId="0" applyNumberFormat="0" applyFill="0" applyBorder="0" applyAlignment="0" applyProtection="0">
      <alignment vertical="top"/>
      <protection locked="0"/>
    </xf>
    <xf numFmtId="203" fontId="22" fillId="0" borderId="0" applyNumberFormat="0" applyFill="0" applyBorder="0" applyAlignment="0" applyProtection="0"/>
    <xf numFmtId="203" fontId="51" fillId="8" borderId="0" applyNumberFormat="0" applyBorder="0" applyAlignment="0" applyProtection="0">
      <alignment vertical="center"/>
    </xf>
    <xf numFmtId="4" fontId="45" fillId="0" borderId="0" applyFont="0" applyFill="0" applyBorder="0" applyAlignment="0" applyProtection="0"/>
    <xf numFmtId="41" fontId="15" fillId="0" borderId="0" applyFont="0" applyFill="0" applyBorder="0" applyAlignment="0" applyProtection="0"/>
    <xf numFmtId="216" fontId="13" fillId="0" borderId="0" applyFont="0" applyFill="0" applyBorder="0" applyAlignment="0" applyProtection="0"/>
    <xf numFmtId="8" fontId="1" fillId="0" borderId="0" applyFont="0" applyFill="0" applyBorder="0" applyAlignment="0" applyProtection="0"/>
    <xf numFmtId="217" fontId="13" fillId="0" borderId="0" applyFont="0" applyFill="0" applyBorder="0" applyAlignment="0" applyProtection="0"/>
    <xf numFmtId="218" fontId="13" fillId="0" borderId="0" applyFont="0" applyFill="0" applyBorder="0" applyAlignment="0" applyProtection="0"/>
    <xf numFmtId="219" fontId="13" fillId="0" borderId="0" applyFont="0" applyFill="0" applyBorder="0" applyAlignment="0" applyProtection="0"/>
    <xf numFmtId="220" fontId="13" fillId="0" borderId="0" applyFont="0" applyFill="0" applyBorder="0" applyAlignment="0" applyProtection="0"/>
    <xf numFmtId="203" fontId="16" fillId="0" borderId="0"/>
    <xf numFmtId="41" fontId="16" fillId="0" borderId="0" applyFont="0" applyFill="0" applyBorder="0" applyAlignment="0" applyProtection="0"/>
    <xf numFmtId="43" fontId="16"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alignment vertical="center"/>
    </xf>
    <xf numFmtId="203" fontId="52" fillId="0" borderId="0"/>
    <xf numFmtId="207" fontId="15" fillId="0" borderId="0" applyFont="0" applyFill="0" applyBorder="0" applyAlignment="0" applyProtection="0"/>
    <xf numFmtId="221" fontId="45" fillId="0" borderId="0" applyFont="0" applyFill="0" applyBorder="0" applyAlignment="0" applyProtection="0"/>
    <xf numFmtId="203" fontId="17" fillId="0" borderId="0">
      <alignment vertical="top"/>
    </xf>
    <xf numFmtId="38" fontId="53" fillId="0" borderId="0" applyFont="0" applyFill="0" applyBorder="0" applyAlignment="0" applyProtection="0"/>
    <xf numFmtId="40" fontId="53" fillId="0" borderId="0" applyFont="0" applyFill="0" applyBorder="0" applyAlignment="0" applyProtection="0"/>
    <xf numFmtId="203" fontId="53" fillId="0" borderId="0" applyFont="0" applyFill="0" applyBorder="0" applyAlignment="0" applyProtection="0"/>
    <xf numFmtId="203" fontId="53" fillId="0" borderId="0" applyFont="0" applyFill="0" applyBorder="0" applyAlignment="0" applyProtection="0"/>
    <xf numFmtId="203" fontId="54" fillId="0" borderId="0"/>
    <xf numFmtId="203" fontId="55" fillId="0" borderId="0" applyNumberFormat="0" applyFill="0" applyBorder="0" applyAlignment="0" applyProtection="0">
      <alignment vertical="top"/>
      <protection locked="0"/>
    </xf>
    <xf numFmtId="203" fontId="15" fillId="0" borderId="0"/>
    <xf numFmtId="43" fontId="1" fillId="0" borderId="0" applyFont="0" applyFill="0" applyBorder="0" applyAlignment="0" applyProtection="0"/>
    <xf numFmtId="0" fontId="1" fillId="0" borderId="0">
      <alignment vertical="center"/>
    </xf>
  </cellStyleXfs>
  <cellXfs count="80">
    <xf numFmtId="203" fontId="0" fillId="0" borderId="0" xfId="0">
      <alignment vertical="center"/>
    </xf>
    <xf numFmtId="43" fontId="5" fillId="0" borderId="0" xfId="2" applyNumberFormat="1" applyFont="1" applyBorder="1" applyAlignment="1">
      <alignment vertical="center"/>
    </xf>
    <xf numFmtId="43" fontId="9" fillId="0" borderId="0" xfId="2" applyNumberFormat="1" applyFont="1" applyBorder="1" applyAlignment="1">
      <alignment vertical="center"/>
    </xf>
    <xf numFmtId="43" fontId="5" fillId="0" borderId="0" xfId="2" applyNumberFormat="1" applyFont="1" applyBorder="1" applyAlignment="1">
      <alignment horizontal="left" vertical="center"/>
    </xf>
    <xf numFmtId="49" fontId="5" fillId="0" borderId="0" xfId="2" applyNumberFormat="1" applyFont="1" applyBorder="1" applyAlignment="1">
      <alignment vertical="center"/>
    </xf>
    <xf numFmtId="203" fontId="5" fillId="0" borderId="0" xfId="4" applyFont="1" applyBorder="1" applyAlignment="1">
      <alignment vertical="center"/>
    </xf>
    <xf numFmtId="43" fontId="59" fillId="0" borderId="0" xfId="3" applyNumberFormat="1" applyFont="1" applyBorder="1" applyAlignment="1" applyProtection="1">
      <alignment horizontal="center" vertical="center"/>
    </xf>
    <xf numFmtId="43" fontId="4" fillId="0" borderId="0" xfId="2" applyNumberFormat="1" applyFont="1" applyBorder="1" applyAlignment="1">
      <alignment horizontal="left" vertical="center"/>
    </xf>
    <xf numFmtId="203" fontId="4" fillId="0" borderId="0" xfId="4" applyFont="1" applyBorder="1" applyAlignment="1">
      <alignment vertical="center"/>
    </xf>
    <xf numFmtId="203" fontId="14" fillId="0" borderId="0" xfId="4" applyFont="1" applyBorder="1" applyAlignment="1">
      <alignment vertical="center"/>
    </xf>
    <xf numFmtId="14" fontId="5" fillId="0" borderId="0" xfId="2" applyNumberFormat="1" applyFont="1" applyBorder="1" applyAlignment="1">
      <alignment vertical="center"/>
    </xf>
    <xf numFmtId="203" fontId="8" fillId="0" borderId="0" xfId="0" applyFont="1" applyAlignment="1" applyProtection="1">
      <alignment vertical="center"/>
      <protection locked="0"/>
    </xf>
    <xf numFmtId="203" fontId="9" fillId="0" borderId="0" xfId="0" applyFont="1" applyAlignment="1" applyProtection="1">
      <alignment vertical="center"/>
      <protection locked="0"/>
    </xf>
    <xf numFmtId="203" fontId="60" fillId="0" borderId="0" xfId="0" applyFont="1" applyAlignment="1" applyProtection="1">
      <alignment vertical="center"/>
      <protection locked="0"/>
    </xf>
    <xf numFmtId="203" fontId="61" fillId="0" borderId="0" xfId="0" applyFont="1" applyAlignment="1" applyProtection="1">
      <alignment vertical="center"/>
      <protection locked="0"/>
    </xf>
    <xf numFmtId="203" fontId="5" fillId="9" borderId="0" xfId="0" applyFont="1" applyFill="1" applyBorder="1" applyAlignment="1" applyProtection="1">
      <alignment horizontal="justify" vertical="center" wrapText="1"/>
      <protection locked="0"/>
    </xf>
    <xf numFmtId="203" fontId="62" fillId="0" borderId="0" xfId="0" applyFont="1" applyBorder="1" applyAlignment="1" applyProtection="1">
      <alignment horizontal="justify" wrapText="1"/>
      <protection locked="0"/>
    </xf>
    <xf numFmtId="203" fontId="5" fillId="0" borderId="0" xfId="0" applyFont="1" applyAlignment="1" applyProtection="1">
      <protection locked="0"/>
    </xf>
    <xf numFmtId="203" fontId="9" fillId="0" borderId="0" xfId="0" applyFont="1" applyAlignment="1" applyProtection="1">
      <protection locked="0"/>
    </xf>
    <xf numFmtId="203" fontId="60" fillId="0" borderId="0" xfId="0" applyFont="1" applyAlignment="1" applyProtection="1">
      <protection locked="0"/>
    </xf>
    <xf numFmtId="203" fontId="9" fillId="0" borderId="0" xfId="0" applyFont="1" applyAlignment="1" applyProtection="1">
      <alignment horizontal="center" vertical="center"/>
      <protection locked="0"/>
    </xf>
    <xf numFmtId="203" fontId="9" fillId="0" borderId="0" xfId="0" applyFont="1" applyBorder="1" applyAlignment="1" applyProtection="1">
      <alignment horizontal="center" vertical="center"/>
      <protection locked="0"/>
    </xf>
    <xf numFmtId="203" fontId="62" fillId="0" borderId="0" xfId="0" applyFont="1" applyBorder="1" applyAlignment="1" applyProtection="1">
      <alignment horizontal="justify" vertical="top" wrapText="1"/>
      <protection locked="0"/>
    </xf>
    <xf numFmtId="203" fontId="9" fillId="0" borderId="0" xfId="0" applyFont="1" applyBorder="1" applyAlignment="1" applyProtection="1">
      <protection locked="0"/>
    </xf>
    <xf numFmtId="203" fontId="9" fillId="0" borderId="4" xfId="0" applyFont="1" applyBorder="1" applyAlignment="1" applyProtection="1">
      <protection locked="0"/>
    </xf>
    <xf numFmtId="203" fontId="60" fillId="0" borderId="0" xfId="0" applyFont="1" applyBorder="1" applyAlignment="1" applyProtection="1">
      <protection locked="0"/>
    </xf>
    <xf numFmtId="203" fontId="64" fillId="0" borderId="0" xfId="0" applyFont="1" applyAlignment="1" applyProtection="1">
      <alignment horizontal="justify"/>
      <protection locked="0"/>
    </xf>
    <xf numFmtId="203" fontId="65" fillId="0" borderId="0" xfId="0" applyFont="1" applyAlignment="1" applyProtection="1">
      <alignment horizontal="center"/>
      <protection locked="0"/>
    </xf>
    <xf numFmtId="203" fontId="8" fillId="0" borderId="0" xfId="0" applyFont="1" applyAlignment="1" applyProtection="1">
      <alignment horizontal="justify"/>
      <protection locked="0"/>
    </xf>
    <xf numFmtId="203" fontId="9" fillId="0" borderId="0" xfId="0" applyFont="1" applyAlignment="1" applyProtection="1">
      <alignment horizontal="justify"/>
      <protection locked="0"/>
    </xf>
    <xf numFmtId="203" fontId="9" fillId="0" borderId="0" xfId="0" applyFont="1" applyBorder="1" applyAlignment="1" applyProtection="1">
      <alignment horizontal="center"/>
      <protection locked="0"/>
    </xf>
    <xf numFmtId="203" fontId="66" fillId="0" borderId="0" xfId="198" quotePrefix="1" applyFont="1" applyBorder="1" applyAlignment="1">
      <protection locked="0"/>
    </xf>
    <xf numFmtId="203" fontId="63" fillId="0" borderId="0" xfId="172" quotePrefix="1" applyFont="1" applyBorder="1" applyAlignment="1">
      <protection locked="0"/>
    </xf>
    <xf numFmtId="203" fontId="9" fillId="0" borderId="0" xfId="0" applyFont="1" applyAlignment="1" applyProtection="1">
      <alignment horizontal="justify" wrapText="1"/>
      <protection locked="0"/>
    </xf>
    <xf numFmtId="203" fontId="63" fillId="0" borderId="0" xfId="172" quotePrefix="1" applyFont="1" applyAlignment="1">
      <protection locked="0"/>
    </xf>
    <xf numFmtId="203" fontId="9" fillId="0" borderId="0" xfId="0" applyFont="1" applyAlignment="1" applyProtection="1">
      <alignment horizontal="left"/>
      <protection locked="0"/>
    </xf>
    <xf numFmtId="0" fontId="9" fillId="0" borderId="4" xfId="0" applyNumberFormat="1" applyFont="1" applyBorder="1" applyAlignment="1" applyProtection="1">
      <alignment horizontal="center" wrapText="1"/>
      <protection locked="0"/>
    </xf>
    <xf numFmtId="43" fontId="10" fillId="0" borderId="0" xfId="2" applyNumberFormat="1" applyFont="1" applyBorder="1" applyAlignment="1">
      <alignment vertical="center"/>
    </xf>
    <xf numFmtId="203" fontId="5" fillId="0" borderId="0" xfId="4" applyFont="1" applyBorder="1" applyAlignment="1">
      <alignment horizontal="left" vertical="center"/>
    </xf>
    <xf numFmtId="0" fontId="4" fillId="0" borderId="0" xfId="0" applyNumberFormat="1" applyFont="1" applyAlignment="1">
      <alignment vertical="center"/>
    </xf>
    <xf numFmtId="0" fontId="5" fillId="0" borderId="0" xfId="0" applyNumberFormat="1" applyFont="1" applyAlignment="1">
      <alignment vertical="center"/>
    </xf>
    <xf numFmtId="0" fontId="10" fillId="0" borderId="0" xfId="0" applyNumberFormat="1" applyFont="1" applyAlignment="1">
      <alignment vertical="center"/>
    </xf>
    <xf numFmtId="0" fontId="4" fillId="0" borderId="8" xfId="0" applyNumberFormat="1" applyFont="1" applyBorder="1" applyAlignment="1">
      <alignment horizontal="center" vertical="center" wrapText="1"/>
    </xf>
    <xf numFmtId="0" fontId="5" fillId="0" borderId="8" xfId="0" applyNumberFormat="1" applyFont="1" applyBorder="1" applyAlignment="1">
      <alignment vertical="center" wrapText="1"/>
    </xf>
    <xf numFmtId="43" fontId="5" fillId="0" borderId="8" xfId="1" applyFont="1" applyBorder="1" applyAlignment="1">
      <alignment horizontal="justify" vertical="center" wrapText="1"/>
    </xf>
    <xf numFmtId="0" fontId="5" fillId="0" borderId="8" xfId="0" applyNumberFormat="1" applyFont="1" applyBorder="1" applyAlignment="1">
      <alignment horizontal="left" vertical="center" wrapText="1"/>
    </xf>
    <xf numFmtId="0" fontId="4" fillId="0" borderId="8" xfId="0" applyNumberFormat="1" applyFont="1" applyBorder="1" applyAlignment="1">
      <alignment horizontal="justify" vertical="center" wrapText="1"/>
    </xf>
    <xf numFmtId="43" fontId="5" fillId="0" borderId="0" xfId="0" applyNumberFormat="1" applyFont="1" applyAlignment="1">
      <alignment vertical="center"/>
    </xf>
    <xf numFmtId="43" fontId="5" fillId="0" borderId="8" xfId="0" applyNumberFormat="1" applyFont="1" applyBorder="1" applyAlignment="1">
      <alignment horizontal="justify" vertical="center" wrapText="1"/>
    </xf>
    <xf numFmtId="0" fontId="5" fillId="0" borderId="8" xfId="0" applyNumberFormat="1" applyFont="1" applyBorder="1" applyAlignment="1">
      <alignment horizontal="justify" vertical="center" wrapText="1"/>
    </xf>
    <xf numFmtId="0" fontId="2" fillId="0" borderId="0" xfId="0" applyNumberFormat="1" applyFont="1" applyAlignment="1">
      <alignment vertical="center"/>
    </xf>
    <xf numFmtId="0" fontId="10" fillId="0" borderId="8" xfId="0" applyNumberFormat="1" applyFont="1" applyBorder="1" applyAlignment="1">
      <alignment vertical="center" wrapText="1"/>
    </xf>
    <xf numFmtId="0" fontId="10" fillId="0" borderId="8" xfId="0" applyNumberFormat="1" applyFont="1" applyBorder="1" applyAlignment="1">
      <alignment horizontal="center" vertical="center" wrapText="1"/>
    </xf>
    <xf numFmtId="0" fontId="2" fillId="0" borderId="8" xfId="0" applyNumberFormat="1" applyFont="1" applyBorder="1" applyAlignment="1">
      <alignment horizontal="center" vertical="center" wrapText="1"/>
    </xf>
    <xf numFmtId="0" fontId="68" fillId="0" borderId="0" xfId="0" applyNumberFormat="1" applyFont="1" applyAlignment="1">
      <alignment vertical="center"/>
    </xf>
    <xf numFmtId="0" fontId="10" fillId="0" borderId="0" xfId="0" applyNumberFormat="1" applyFont="1" applyFill="1" applyAlignment="1">
      <alignment vertical="center"/>
    </xf>
    <xf numFmtId="43" fontId="5" fillId="0" borderId="8" xfId="0" applyNumberFormat="1" applyFont="1" applyBorder="1" applyAlignment="1">
      <alignment horizontal="center" vertical="center" wrapText="1"/>
    </xf>
    <xf numFmtId="0" fontId="68" fillId="0" borderId="8" xfId="0" applyNumberFormat="1" applyFont="1" applyBorder="1" applyAlignment="1">
      <alignment horizontal="center" vertical="center" wrapText="1"/>
    </xf>
    <xf numFmtId="0" fontId="69" fillId="0" borderId="8" xfId="0" applyNumberFormat="1" applyFont="1" applyBorder="1" applyAlignment="1">
      <alignment horizontal="center" vertical="center" wrapText="1"/>
    </xf>
    <xf numFmtId="203" fontId="12" fillId="0" borderId="4" xfId="3" applyBorder="1" applyAlignment="1">
      <protection locked="0"/>
    </xf>
    <xf numFmtId="0" fontId="57" fillId="0" borderId="0" xfId="0" applyNumberFormat="1" applyFont="1">
      <alignment vertical="center"/>
    </xf>
    <xf numFmtId="0" fontId="70" fillId="0" borderId="0" xfId="0" applyNumberFormat="1" applyFont="1" applyAlignment="1">
      <alignment horizontal="left" vertical="center" indent="1"/>
    </xf>
    <xf numFmtId="0" fontId="71" fillId="0" borderId="0" xfId="0" applyNumberFormat="1" applyFont="1" applyAlignment="1">
      <alignment vertical="center"/>
    </xf>
    <xf numFmtId="0" fontId="71" fillId="0" borderId="0" xfId="0" applyNumberFormat="1" applyFont="1" applyAlignment="1">
      <alignment vertical="center" wrapText="1"/>
    </xf>
    <xf numFmtId="0" fontId="71" fillId="0" borderId="0" xfId="0" applyNumberFormat="1" applyFont="1" applyAlignment="1">
      <alignment vertical="center" wrapText="1"/>
    </xf>
    <xf numFmtId="0" fontId="10" fillId="0" borderId="8" xfId="0" applyNumberFormat="1" applyFont="1" applyBorder="1" applyAlignment="1">
      <alignment horizontal="justify" vertical="center" wrapText="1"/>
    </xf>
    <xf numFmtId="0" fontId="68" fillId="0" borderId="8" xfId="0" applyNumberFormat="1" applyFont="1" applyBorder="1" applyAlignment="1">
      <alignment horizontal="center" vertical="center" wrapText="1"/>
    </xf>
    <xf numFmtId="0" fontId="10" fillId="0" borderId="8" xfId="0" applyNumberFormat="1" applyFont="1" applyBorder="1" applyAlignment="1">
      <alignment horizontal="center" vertical="center" wrapText="1"/>
    </xf>
    <xf numFmtId="0" fontId="68" fillId="0" borderId="9" xfId="0" applyNumberFormat="1" applyFont="1" applyBorder="1" applyAlignment="1">
      <alignment horizontal="right" vertical="center" wrapText="1"/>
    </xf>
    <xf numFmtId="0" fontId="68" fillId="0" borderId="10" xfId="0" applyNumberFormat="1" applyFont="1" applyBorder="1" applyAlignment="1">
      <alignment horizontal="right" vertical="center" wrapText="1"/>
    </xf>
    <xf numFmtId="0" fontId="68" fillId="0" borderId="11" xfId="0" applyNumberFormat="1" applyFont="1" applyBorder="1" applyAlignment="1">
      <alignment horizontal="right" vertical="center" wrapText="1"/>
    </xf>
    <xf numFmtId="0" fontId="10" fillId="0" borderId="9" xfId="0" applyNumberFormat="1" applyFont="1" applyBorder="1" applyAlignment="1">
      <alignment horizontal="right" vertical="center" wrapText="1"/>
    </xf>
    <xf numFmtId="0" fontId="10" fillId="0" borderId="10" xfId="0" applyNumberFormat="1" applyFont="1" applyBorder="1" applyAlignment="1">
      <alignment horizontal="right" vertical="center" wrapText="1"/>
    </xf>
    <xf numFmtId="0" fontId="10" fillId="0" borderId="11" xfId="0" applyNumberFormat="1" applyFont="1" applyBorder="1" applyAlignment="1">
      <alignment horizontal="right" vertical="center" wrapText="1"/>
    </xf>
    <xf numFmtId="0" fontId="10" fillId="0" borderId="9" xfId="0" applyNumberFormat="1" applyFont="1" applyBorder="1" applyAlignment="1">
      <alignment horizontal="left" vertical="center" wrapText="1"/>
    </xf>
    <xf numFmtId="0" fontId="10" fillId="0" borderId="11" xfId="0" applyNumberFormat="1" applyFont="1" applyBorder="1" applyAlignment="1">
      <alignment horizontal="left" vertical="center" wrapText="1"/>
    </xf>
    <xf numFmtId="0" fontId="4" fillId="0" borderId="8" xfId="0" applyNumberFormat="1" applyFont="1" applyBorder="1" applyAlignment="1">
      <alignment horizontal="center" vertical="center" wrapText="1"/>
    </xf>
    <xf numFmtId="43" fontId="4" fillId="0" borderId="0" xfId="2" applyNumberFormat="1" applyFont="1" applyBorder="1" applyAlignment="1">
      <alignment horizontal="center" vertical="center"/>
    </xf>
    <xf numFmtId="43" fontId="6" fillId="0" borderId="0" xfId="2" applyNumberFormat="1" applyFont="1" applyBorder="1" applyAlignment="1">
      <alignment horizontal="center" vertical="center"/>
    </xf>
    <xf numFmtId="43" fontId="8" fillId="0" borderId="0" xfId="2" applyNumberFormat="1" applyFont="1" applyBorder="1" applyAlignment="1">
      <alignment horizontal="center" vertical="center"/>
    </xf>
  </cellXfs>
  <cellStyles count="202">
    <cellStyle name="%" xfId="5"/>
    <cellStyle name="?" xfId="6"/>
    <cellStyle name="?餡_x000c_k" xfId="7"/>
    <cellStyle name="?餡_x000c_k?_x000d_^" xfId="8"/>
    <cellStyle name="?餡_x000c_k?_x000d_^黇_x0001_??_x0007__x0001__x0001_" xfId="9"/>
    <cellStyle name="@_text" xfId="10"/>
    <cellStyle name="_2005审计报表及附注-中国建材股份模板（房屋）" xfId="11"/>
    <cellStyle name="_2006年年报审计PBC表-XXX" xfId="12"/>
    <cellStyle name="_2006年年报审计填报资料" xfId="13"/>
    <cellStyle name="_Book1" xfId="14"/>
    <cellStyle name="_J1000-存货-ZHHG" xfId="15"/>
    <cellStyle name="_PBC审核提示" xfId="16"/>
    <cellStyle name="_宝丽华房地产20051231" xfId="17"/>
    <cellStyle name="_保证金-企业填写部分" xfId="18"/>
    <cellStyle name="_北新房屋2004年审-刘" xfId="19"/>
    <cellStyle name="_北新股份2005年审工作底稿" xfId="20"/>
    <cellStyle name="_北新建材关连交易基础表051230（10－12月版）更新稿" xfId="21"/>
    <cellStyle name="_北新建材-会计报表附注模版" xfId="22"/>
    <cellStyle name="_北新龙之星2004年审工作底稿" xfId="23"/>
    <cellStyle name="_北新物流2005底稿-刘" xfId="24"/>
    <cellStyle name="_北新置换memo" xfId="25"/>
    <cellStyle name="_存货结转测试" xfId="26"/>
    <cellStyle name="_存货数量与明细05.12" xfId="27"/>
    <cellStyle name="_动力厂2004年审工作底稿-刘" xfId="28"/>
    <cellStyle name="_分工" xfId="29"/>
    <cellStyle name="_工程施工项目现场审计提示" xfId="30"/>
    <cellStyle name="_关联交易" xfId="31"/>
    <cellStyle name="_关联交易、往来统计表" xfId="32"/>
    <cellStyle name="_建造合同-宜万指（正式版）" xfId="33"/>
    <cellStyle name="_科目核对表" xfId="34"/>
    <cellStyle name="_母PL" xfId="35"/>
    <cellStyle name="_人员分工备忘录" xfId="36"/>
    <cellStyle name="_审计所需资料清单－子公司" xfId="37"/>
    <cellStyle name="_一公司建造合同前5名" xfId="38"/>
    <cellStyle name="_一公司－刘丰收" xfId="39"/>
    <cellStyle name="_长期借款－江阴" xfId="40"/>
    <cellStyle name="_子公司审计提示模版-Liufs" xfId="41"/>
    <cellStyle name="{Comma [0]}" xfId="42"/>
    <cellStyle name="{Comma}" xfId="43"/>
    <cellStyle name="{Date}" xfId="44"/>
    <cellStyle name="{Month}" xfId="45"/>
    <cellStyle name="{Percent}" xfId="46"/>
    <cellStyle name="{Thousand [0]}" xfId="47"/>
    <cellStyle name="{Thousand}" xfId="48"/>
    <cellStyle name="{Z'0000(1 dec)}" xfId="49"/>
    <cellStyle name="{Z'0000(4 dec)}" xfId="50"/>
    <cellStyle name="0%" xfId="51"/>
    <cellStyle name="0,0_x000d__x000a_NA_x000d__x000a_" xfId="52"/>
    <cellStyle name="0.0%" xfId="53"/>
    <cellStyle name="0.00%" xfId="54"/>
    <cellStyle name="Black" xfId="55"/>
    <cellStyle name="Border" xfId="56"/>
    <cellStyle name="Calc Currency (0)" xfId="57"/>
    <cellStyle name="Calc Currency (2)" xfId="58"/>
    <cellStyle name="Calc Percent (0)" xfId="59"/>
    <cellStyle name="Calc Percent (1)" xfId="60"/>
    <cellStyle name="Calc Percent (2)" xfId="61"/>
    <cellStyle name="Calc Units (0)" xfId="62"/>
    <cellStyle name="Calc Units (1)" xfId="63"/>
    <cellStyle name="Calc Units (2)" xfId="64"/>
    <cellStyle name="category" xfId="65"/>
    <cellStyle name="Col Heads" xfId="66"/>
    <cellStyle name="Column_Title" xfId="67"/>
    <cellStyle name="Comma  - Style1" xfId="68"/>
    <cellStyle name="Comma  - Style2" xfId="69"/>
    <cellStyle name="Comma  - Style3" xfId="70"/>
    <cellStyle name="Comma  - Style4" xfId="71"/>
    <cellStyle name="Comma  - Style5" xfId="72"/>
    <cellStyle name="Comma  - Style6" xfId="73"/>
    <cellStyle name="Comma  - Style7" xfId="74"/>
    <cellStyle name="Comma  - Style8" xfId="75"/>
    <cellStyle name="Comma [0]_ rislugp" xfId="76"/>
    <cellStyle name="Comma [00]" xfId="77"/>
    <cellStyle name="Comma 28" xfId="78"/>
    <cellStyle name="comma zerodec" xfId="79"/>
    <cellStyle name="Comma,0" xfId="80"/>
    <cellStyle name="Comma,1" xfId="81"/>
    <cellStyle name="Comma,2" xfId="82"/>
    <cellStyle name="Comma_ rislugp" xfId="83"/>
    <cellStyle name="Currency [0]_ rislugp" xfId="84"/>
    <cellStyle name="Currency [00]" xfId="85"/>
    <cellStyle name="Currency,0" xfId="86"/>
    <cellStyle name="Currency,2" xfId="87"/>
    <cellStyle name="Currency_ rislugp" xfId="88"/>
    <cellStyle name="Currency1" xfId="89"/>
    <cellStyle name="Date Short" xfId="90"/>
    <cellStyle name="Dezimal [0]_laroux" xfId="91"/>
    <cellStyle name="Dezimal_laroux" xfId="92"/>
    <cellStyle name="Dollar (zero dec)" xfId="93"/>
    <cellStyle name="Enter Currency (0)" xfId="94"/>
    <cellStyle name="Enter Currency (2)" xfId="95"/>
    <cellStyle name="Enter Units (0)" xfId="96"/>
    <cellStyle name="Enter Units (1)" xfId="97"/>
    <cellStyle name="Enter Units (2)" xfId="98"/>
    <cellStyle name="entry" xfId="99"/>
    <cellStyle name="entry box" xfId="100"/>
    <cellStyle name="Euro" xfId="101"/>
    <cellStyle name="Followed Hyperlink_AheadBehind.xls Chart 23" xfId="102"/>
    <cellStyle name="Grey" xfId="103"/>
    <cellStyle name="HEADER" xfId="104"/>
    <cellStyle name="Header1" xfId="105"/>
    <cellStyle name="Header2" xfId="106"/>
    <cellStyle name="Heading" xfId="107"/>
    <cellStyle name="Hyperlink_AheadBehind.xls Chart 23" xfId="108"/>
    <cellStyle name="Input [yellow]" xfId="109"/>
    <cellStyle name="left" xfId="110"/>
    <cellStyle name="Link Currency (0)" xfId="111"/>
    <cellStyle name="Link Currency (2)" xfId="112"/>
    <cellStyle name="Link Units (0)" xfId="113"/>
    <cellStyle name="Link Units (1)" xfId="114"/>
    <cellStyle name="Link Units (2)" xfId="115"/>
    <cellStyle name="Millares [0]_laroux" xfId="116"/>
    <cellStyle name="Millares_laroux" xfId="117"/>
    <cellStyle name="Milliers [0]_laroux" xfId="118"/>
    <cellStyle name="Milliers_laroux" xfId="119"/>
    <cellStyle name="Model" xfId="120"/>
    <cellStyle name="Moneda [0]_laroux" xfId="121"/>
    <cellStyle name="Moneda_laroux" xfId="122"/>
    <cellStyle name="Mon閠aire [0]_laroux" xfId="123"/>
    <cellStyle name="Mon閠aire_laroux" xfId="124"/>
    <cellStyle name="no dec" xfId="125"/>
    <cellStyle name="Non défini" xfId="126"/>
    <cellStyle name="Normal - Style1" xfId="127"/>
    <cellStyle name="Normal 21" xfId="128"/>
    <cellStyle name="Normal_ rislugp" xfId="129"/>
    <cellStyle name="Normalny_Arkusz1" xfId="130"/>
    <cellStyle name="Percent (0)" xfId="131"/>
    <cellStyle name="Percent [0]" xfId="132"/>
    <cellStyle name="Percent [00]" xfId="133"/>
    <cellStyle name="Percent [2]" xfId="134"/>
    <cellStyle name="Prefilled" xfId="135"/>
    <cellStyle name="PrePop Currency (0)" xfId="136"/>
    <cellStyle name="PrePop Currency (2)" xfId="137"/>
    <cellStyle name="PrePop Units (0)" xfId="138"/>
    <cellStyle name="PrePop Units (1)" xfId="139"/>
    <cellStyle name="PrePop Units (2)" xfId="140"/>
    <cellStyle name="price" xfId="141"/>
    <cellStyle name="Red" xfId="142"/>
    <cellStyle name="revised" xfId="143"/>
    <cellStyle name="section" xfId="144"/>
    <cellStyle name="SOR" xfId="145"/>
    <cellStyle name="style" xfId="146"/>
    <cellStyle name="style1" xfId="147"/>
    <cellStyle name="style2" xfId="148"/>
    <cellStyle name="subhead" xfId="149"/>
    <cellStyle name="Text Indent A" xfId="150"/>
    <cellStyle name="Text Indent B" xfId="151"/>
    <cellStyle name="Text Indent C" xfId="152"/>
    <cellStyle name="Tickmark" xfId="153"/>
    <cellStyle name="title" xfId="154"/>
    <cellStyle name="wrap" xfId="155"/>
    <cellStyle name="パーセント_laroux" xfId="156"/>
    <cellStyle name="_PLDT" xfId="157"/>
    <cellStyle name="_Total (2)" xfId="158"/>
    <cellStyle name="だ[0]_PLDT" xfId="159"/>
    <cellStyle name="だ_PLDT" xfId="160"/>
    <cellStyle name="だ[0]_Total (2)" xfId="161"/>
    <cellStyle name="だ_Total (2)" xfId="162"/>
    <cellStyle name="百分比 2" xfId="163"/>
    <cellStyle name="百分比 3" xfId="164"/>
    <cellStyle name="標準_１１月価格表" xfId="165"/>
    <cellStyle name="差_T1000-主营业务收入-LJCH" xfId="166"/>
    <cellStyle name="常规" xfId="0" builtinId="0"/>
    <cellStyle name="常规 10 2" xfId="201"/>
    <cellStyle name="常规 2" xfId="167"/>
    <cellStyle name="常规 3" xfId="168"/>
    <cellStyle name="常规 4" xfId="169"/>
    <cellStyle name="常规 5" xfId="170"/>
    <cellStyle name="常规 6" xfId="199"/>
    <cellStyle name="常规_c-资产类" xfId="4"/>
    <cellStyle name="常规_新审定表" xfId="2"/>
    <cellStyle name="超级链接_B4-1审计项目工时预算与控制表(集团)" xfId="171"/>
    <cellStyle name="超链接" xfId="3" builtinId="8"/>
    <cellStyle name="超链接 2" xfId="172"/>
    <cellStyle name="超链接 3" xfId="198"/>
    <cellStyle name="分级显示行_1_4附件二凯旋评估表" xfId="173"/>
    <cellStyle name="好_T1000-主营业务收入" xfId="174"/>
    <cellStyle name="桁区切り [0.00]_１１月価格表" xfId="175"/>
    <cellStyle name="桁区切り_１１月価格表" xfId="176"/>
    <cellStyle name="霓付 [0]_97MBO" xfId="177"/>
    <cellStyle name="霓付_97MBO" xfId="178"/>
    <cellStyle name="烹拳 [0]_97MBO" xfId="179"/>
    <cellStyle name="烹拳_97MBO" xfId="180"/>
    <cellStyle name="砯刽 [0]_PLDT" xfId="181"/>
    <cellStyle name="砯刽_PLDT" xfId="182"/>
    <cellStyle name="普通_ 白土" xfId="183"/>
    <cellStyle name="千分位[0]_ 白土" xfId="184"/>
    <cellStyle name="千分位_ 白土" xfId="185"/>
    <cellStyle name="千位[0]_ 应交税金审定表" xfId="186"/>
    <cellStyle name="千位_ 应交税金审定表" xfId="187"/>
    <cellStyle name="千位分隔" xfId="1" builtinId="3"/>
    <cellStyle name="千位分隔 2" xfId="188"/>
    <cellStyle name="千位分隔 3" xfId="200"/>
    <cellStyle name="钎霖_laroux" xfId="189"/>
    <cellStyle name="通貨 [0.00]_１１月価格表" xfId="190"/>
    <cellStyle name="通貨_１１月価格表" xfId="191"/>
    <cellStyle name="样式 1" xfId="192"/>
    <cellStyle name="콤마 [0]_BOILER-CO1" xfId="193"/>
    <cellStyle name="콤마_BOILER-CO1" xfId="194"/>
    <cellStyle name="통화 [0]_BOILER-CO1" xfId="195"/>
    <cellStyle name="통화_BOILER-CO1" xfId="196"/>
    <cellStyle name="표준_0N-HANDLING " xfId="197"/>
  </cellStyles>
  <dxfs count="0"/>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19050</xdr:colOff>
      <xdr:row>40</xdr:row>
      <xdr:rowOff>19050</xdr:rowOff>
    </xdr:from>
    <xdr:to>
      <xdr:col>1</xdr:col>
      <xdr:colOff>28575</xdr:colOff>
      <xdr:row>45</xdr:row>
      <xdr:rowOff>9525</xdr:rowOff>
    </xdr:to>
    <xdr:cxnSp macro="">
      <xdr:nvCxnSpPr>
        <xdr:cNvPr id="2" name="直接连接符 1"/>
        <xdr:cNvCxnSpPr/>
      </xdr:nvCxnSpPr>
      <xdr:spPr>
        <a:xfrm>
          <a:off x="19050" y="7391400"/>
          <a:ext cx="1638300" cy="10953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54</xdr:row>
      <xdr:rowOff>0</xdr:rowOff>
    </xdr:from>
    <xdr:to>
      <xdr:col>0</xdr:col>
      <xdr:colOff>1590675</xdr:colOff>
      <xdr:row>58</xdr:row>
      <xdr:rowOff>285750</xdr:rowOff>
    </xdr:to>
    <xdr:cxnSp macro="">
      <xdr:nvCxnSpPr>
        <xdr:cNvPr id="3" name="直接连接符 2"/>
        <xdr:cNvCxnSpPr/>
      </xdr:nvCxnSpPr>
      <xdr:spPr>
        <a:xfrm>
          <a:off x="0" y="10372725"/>
          <a:ext cx="1590675" cy="9334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5216;&#26415;&#22797;&#26680;/&#19994;&#21153;&#25253;&#21578;/&#26032;&#26102;&#20195;&#35777;&#21048;/2018&#24180;&#25253;/&#26368;&#32456;&#22797;&#26680;/&#35843;&#33410;&#34920;-2018&#24180;&#23457;%204.1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合并"/>
      <sheetName val="母公司-报告披露"/>
      <sheetName val="宏图-报告披露"/>
      <sheetName val="融通-报告披露"/>
      <sheetName val="公司可供出售金融资产分类"/>
      <sheetName val="Sheet1"/>
    </sheetNames>
    <sheetDataSet>
      <sheetData sheetId="0" refreshError="1"/>
      <sheetData sheetId="1"/>
      <sheetData sheetId="2"/>
      <sheetData sheetId="3"/>
      <sheetData sheetId="4" refreshError="1"/>
      <sheetData sheetId="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H20"/>
  <sheetViews>
    <sheetView workbookViewId="0">
      <selection activeCell="A6" sqref="A6"/>
    </sheetView>
  </sheetViews>
  <sheetFormatPr defaultRowHeight="20.100000000000001" customHeight="1"/>
  <cols>
    <col min="1" max="1" width="77.625" style="18" customWidth="1"/>
    <col min="2" max="2" width="2" style="18" customWidth="1"/>
    <col min="3" max="3" width="2.125" style="18" customWidth="1"/>
    <col min="4" max="4" width="6.125" style="17" customWidth="1"/>
    <col min="5" max="5" width="11.5" style="18" customWidth="1"/>
    <col min="6" max="6" width="33.375" style="17" customWidth="1"/>
    <col min="7" max="16384" width="9" style="19"/>
  </cols>
  <sheetData>
    <row r="1" spans="1:8" s="13" customFormat="1" ht="20.100000000000001" customHeight="1">
      <c r="A1" s="11" t="s">
        <v>6</v>
      </c>
      <c r="B1" s="12"/>
      <c r="C1" s="12"/>
      <c r="E1" s="14"/>
    </row>
    <row r="2" spans="1:8" ht="20.100000000000001" customHeight="1">
      <c r="A2" s="15" t="s">
        <v>7</v>
      </c>
      <c r="B2" s="16"/>
      <c r="C2" s="16"/>
      <c r="G2" s="16"/>
      <c r="H2" s="16"/>
    </row>
    <row r="3" spans="1:8" ht="20.100000000000001" customHeight="1">
      <c r="A3" s="15" t="s">
        <v>25</v>
      </c>
      <c r="B3" s="16"/>
      <c r="C3" s="16"/>
      <c r="D3" s="20" t="s">
        <v>8</v>
      </c>
      <c r="E3" s="20" t="s">
        <v>9</v>
      </c>
      <c r="F3" s="21" t="s">
        <v>10</v>
      </c>
      <c r="G3" s="16"/>
      <c r="H3" s="22"/>
    </row>
    <row r="4" spans="1:8" ht="20.100000000000001" customHeight="1">
      <c r="A4" s="15" t="s">
        <v>11</v>
      </c>
      <c r="B4" s="23"/>
      <c r="C4" s="23"/>
      <c r="D4" s="36">
        <v>1</v>
      </c>
      <c r="E4" s="24" t="s">
        <v>86</v>
      </c>
      <c r="F4" s="59" t="s">
        <v>27</v>
      </c>
      <c r="G4" s="16"/>
      <c r="H4" s="16"/>
    </row>
    <row r="5" spans="1:8" ht="20.100000000000001" customHeight="1">
      <c r="A5" s="15" t="s">
        <v>12</v>
      </c>
      <c r="D5" s="30"/>
      <c r="F5" s="31"/>
      <c r="G5" s="25"/>
      <c r="H5" s="25"/>
    </row>
    <row r="6" spans="1:8" ht="20.100000000000001" customHeight="1">
      <c r="A6" s="26"/>
      <c r="D6" s="30"/>
      <c r="F6" s="31"/>
    </row>
    <row r="7" spans="1:8" ht="20.100000000000001" customHeight="1">
      <c r="A7" s="27" t="s">
        <v>13</v>
      </c>
      <c r="D7" s="30"/>
      <c r="F7" s="31"/>
    </row>
    <row r="8" spans="1:8" ht="20.100000000000001" customHeight="1">
      <c r="A8" s="28" t="s">
        <v>14</v>
      </c>
      <c r="D8" s="30"/>
      <c r="F8" s="32"/>
    </row>
    <row r="9" spans="1:8" ht="20.100000000000001" customHeight="1">
      <c r="A9" s="28"/>
      <c r="D9" s="30"/>
      <c r="F9" s="32"/>
    </row>
    <row r="10" spans="1:8" ht="20.100000000000001" customHeight="1">
      <c r="A10" s="29" t="s">
        <v>15</v>
      </c>
      <c r="D10" s="30"/>
      <c r="F10" s="32"/>
    </row>
    <row r="11" spans="1:8" ht="20.100000000000001" customHeight="1">
      <c r="A11" s="28" t="s">
        <v>16</v>
      </c>
      <c r="D11" s="30"/>
      <c r="F11" s="32"/>
    </row>
    <row r="12" spans="1:8" ht="20.100000000000001" customHeight="1">
      <c r="A12" s="29" t="s">
        <v>17</v>
      </c>
      <c r="D12" s="30"/>
      <c r="F12" s="32"/>
    </row>
    <row r="13" spans="1:8" ht="20.100000000000001" customHeight="1">
      <c r="A13" s="18" t="s">
        <v>18</v>
      </c>
      <c r="D13" s="30"/>
      <c r="F13" s="34"/>
    </row>
    <row r="14" spans="1:8" ht="20.100000000000001" customHeight="1">
      <c r="A14" s="18" t="s">
        <v>19</v>
      </c>
      <c r="D14" s="30"/>
      <c r="F14" s="34"/>
    </row>
    <row r="15" spans="1:8" ht="20.100000000000001" customHeight="1">
      <c r="A15" s="28" t="s">
        <v>20</v>
      </c>
    </row>
    <row r="16" spans="1:8" ht="33">
      <c r="A16" s="33" t="s">
        <v>21</v>
      </c>
    </row>
    <row r="17" spans="1:1" ht="20.100000000000001" customHeight="1">
      <c r="A17" s="19"/>
    </row>
    <row r="18" spans="1:1" ht="16.5">
      <c r="A18" s="19"/>
    </row>
    <row r="19" spans="1:1" ht="16.5"/>
    <row r="20" spans="1:1" ht="20.100000000000001" customHeight="1">
      <c r="A20" s="35"/>
    </row>
  </sheetData>
  <phoneticPr fontId="3" type="noConversion"/>
  <hyperlinks>
    <hyperlink ref="F4" location="'采用新金融工具准则衔接影响数核对A1-18'!A1" display="采用新金融工具准则衔接影响数核对"/>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codeName="Sheet2">
    <pageSetUpPr fitToPage="1"/>
  </sheetPr>
  <dimension ref="A1:G84"/>
  <sheetViews>
    <sheetView tabSelected="1" view="pageBreakPreview" zoomScaleNormal="100" zoomScaleSheetLayoutView="100" workbookViewId="0">
      <selection activeCell="B5" sqref="B5"/>
    </sheetView>
  </sheetViews>
  <sheetFormatPr defaultRowHeight="23.25" customHeight="1"/>
  <cols>
    <col min="1" max="1" width="37.5" style="1" customWidth="1"/>
    <col min="2" max="2" width="56.25" style="1" customWidth="1"/>
    <col min="3" max="3" width="16.5" style="1" customWidth="1"/>
    <col min="4" max="4" width="17.75" style="1" customWidth="1"/>
    <col min="5" max="7" width="10.75" style="1" customWidth="1"/>
    <col min="8" max="16384" width="9" style="1"/>
  </cols>
  <sheetData>
    <row r="1" spans="1:7" ht="20.100000000000001" customHeight="1">
      <c r="A1" s="77" t="s">
        <v>1</v>
      </c>
      <c r="B1" s="77"/>
      <c r="C1" s="77"/>
      <c r="D1" s="77"/>
      <c r="E1" s="77"/>
      <c r="F1" s="77"/>
      <c r="G1" s="77"/>
    </row>
    <row r="2" spans="1:7" s="2" customFormat="1" ht="24.95" customHeight="1">
      <c r="A2" s="78" t="s">
        <v>28</v>
      </c>
      <c r="B2" s="79"/>
      <c r="C2" s="79"/>
      <c r="D2" s="79"/>
      <c r="E2" s="79"/>
      <c r="F2" s="79"/>
      <c r="G2" s="79"/>
    </row>
    <row r="3" spans="1:7" ht="20.100000000000001" customHeight="1">
      <c r="A3" s="1" t="str">
        <f>表头!A2</f>
        <v>客户名称：</v>
      </c>
      <c r="C3" s="3" t="str">
        <f>表头!A4</f>
        <v>编制人：</v>
      </c>
      <c r="E3" s="10" t="str">
        <f>表头!A5</f>
        <v>日期：</v>
      </c>
      <c r="F3" s="10"/>
      <c r="G3" s="37" t="s">
        <v>26</v>
      </c>
    </row>
    <row r="4" spans="1:7" ht="20.100000000000001" customHeight="1">
      <c r="A4" s="1" t="str">
        <f>表头!A3</f>
        <v>会计期间：2019年度</v>
      </c>
      <c r="B4" s="4"/>
      <c r="C4" s="3" t="s">
        <v>2</v>
      </c>
      <c r="E4" s="10" t="s">
        <v>3</v>
      </c>
      <c r="F4" s="10"/>
      <c r="G4" s="37" t="s">
        <v>22</v>
      </c>
    </row>
    <row r="5" spans="1:7" ht="20.100000000000001" customHeight="1">
      <c r="A5" s="60" t="s">
        <v>87</v>
      </c>
      <c r="B5" s="4"/>
      <c r="C5" s="3"/>
      <c r="E5" s="10"/>
      <c r="F5" s="10"/>
      <c r="G5" s="37"/>
    </row>
    <row r="6" spans="1:7" ht="20.100000000000001" customHeight="1">
      <c r="A6" s="61" t="s">
        <v>89</v>
      </c>
      <c r="B6" s="4"/>
      <c r="C6" s="3"/>
      <c r="E6" s="10"/>
      <c r="F6" s="10"/>
      <c r="G6" s="37"/>
    </row>
    <row r="7" spans="1:7" ht="20.100000000000001" customHeight="1">
      <c r="A7" s="60" t="s">
        <v>88</v>
      </c>
      <c r="B7" s="4"/>
      <c r="C7" s="3"/>
      <c r="E7" s="10"/>
      <c r="F7" s="10"/>
      <c r="G7" s="37"/>
    </row>
    <row r="8" spans="1:7" ht="20.100000000000001" customHeight="1">
      <c r="A8" s="62" t="s">
        <v>90</v>
      </c>
      <c r="B8" s="4"/>
      <c r="C8" s="3"/>
      <c r="E8" s="10"/>
      <c r="F8" s="10"/>
      <c r="G8" s="37"/>
    </row>
    <row r="9" spans="1:7" ht="20.100000000000001" customHeight="1">
      <c r="A9" s="62" t="s">
        <v>91</v>
      </c>
      <c r="B9" s="4"/>
      <c r="C9" s="3"/>
      <c r="E9" s="10"/>
      <c r="F9" s="10"/>
      <c r="G9" s="37"/>
    </row>
    <row r="10" spans="1:7" ht="20.100000000000001" customHeight="1">
      <c r="A10" s="62" t="s">
        <v>92</v>
      </c>
      <c r="B10" s="4"/>
      <c r="C10" s="3"/>
      <c r="E10" s="10"/>
      <c r="F10" s="10"/>
      <c r="G10" s="37"/>
    </row>
    <row r="11" spans="1:7" ht="36.75" customHeight="1">
      <c r="A11" s="64" t="s">
        <v>93</v>
      </c>
      <c r="B11" s="64"/>
      <c r="C11" s="64"/>
      <c r="D11" s="64"/>
      <c r="E11" s="64"/>
      <c r="F11" s="64"/>
      <c r="G11" s="64"/>
    </row>
    <row r="12" spans="1:7" ht="20.100000000000001" customHeight="1">
      <c r="A12" s="62" t="s">
        <v>94</v>
      </c>
      <c r="B12" s="63"/>
      <c r="C12" s="63"/>
      <c r="D12" s="63"/>
      <c r="E12" s="63"/>
      <c r="F12" s="63"/>
      <c r="G12" s="63"/>
    </row>
    <row r="13" spans="1:7" ht="20.100000000000001" customHeight="1">
      <c r="B13" s="4"/>
      <c r="C13" s="3"/>
    </row>
    <row r="14" spans="1:7" ht="20.100000000000001" customHeight="1">
      <c r="A14" s="39" t="s">
        <v>29</v>
      </c>
      <c r="B14" s="40"/>
      <c r="C14" s="40"/>
      <c r="D14" s="40"/>
      <c r="E14" s="40"/>
      <c r="F14" s="40"/>
    </row>
    <row r="15" spans="1:7" ht="20.100000000000001" customHeight="1">
      <c r="A15" s="40" t="s">
        <v>30</v>
      </c>
      <c r="B15" s="40"/>
      <c r="C15" s="41"/>
      <c r="D15" s="40"/>
      <c r="E15" s="40"/>
      <c r="F15" s="40"/>
    </row>
    <row r="16" spans="1:7" ht="20.100000000000001" customHeight="1">
      <c r="A16" s="76" t="s">
        <v>31</v>
      </c>
      <c r="B16" s="76" t="s">
        <v>32</v>
      </c>
      <c r="C16" s="42" t="s">
        <v>33</v>
      </c>
      <c r="D16" s="76" t="s">
        <v>34</v>
      </c>
      <c r="E16" s="40"/>
      <c r="F16" s="40"/>
    </row>
    <row r="17" spans="1:6" ht="20.100000000000001" customHeight="1">
      <c r="A17" s="76"/>
      <c r="B17" s="76"/>
      <c r="C17" s="42" t="s">
        <v>35</v>
      </c>
      <c r="D17" s="76"/>
      <c r="E17" s="40"/>
      <c r="F17" s="40"/>
    </row>
    <row r="18" spans="1:6" ht="20.100000000000001" customHeight="1">
      <c r="A18" s="76">
        <v>1</v>
      </c>
      <c r="B18" s="43" t="s">
        <v>36</v>
      </c>
      <c r="C18" s="44"/>
      <c r="D18" s="44"/>
      <c r="E18" s="40"/>
      <c r="F18" s="40"/>
    </row>
    <row r="19" spans="1:6" ht="31.5" customHeight="1">
      <c r="A19" s="76"/>
      <c r="B19" s="43" t="s">
        <v>37</v>
      </c>
      <c r="C19" s="44"/>
      <c r="D19" s="44"/>
      <c r="E19" s="40"/>
      <c r="F19" s="40"/>
    </row>
    <row r="20" spans="1:6" ht="39.75" customHeight="1">
      <c r="A20" s="76"/>
      <c r="B20" s="45" t="s">
        <v>38</v>
      </c>
      <c r="C20" s="44"/>
      <c r="D20" s="44"/>
      <c r="E20" s="40"/>
      <c r="F20" s="40"/>
    </row>
    <row r="21" spans="1:6" ht="37.5" customHeight="1">
      <c r="A21" s="76"/>
      <c r="B21" s="45" t="s">
        <v>39</v>
      </c>
      <c r="C21" s="44"/>
      <c r="D21" s="44"/>
      <c r="E21" s="40"/>
      <c r="F21" s="40"/>
    </row>
    <row r="22" spans="1:6" ht="30.75" customHeight="1">
      <c r="A22" s="76"/>
      <c r="B22" s="45" t="s">
        <v>40</v>
      </c>
      <c r="C22" s="44"/>
      <c r="D22" s="44"/>
      <c r="E22" s="40"/>
      <c r="F22" s="40"/>
    </row>
    <row r="23" spans="1:6" ht="20.100000000000001" customHeight="1">
      <c r="A23" s="76"/>
      <c r="B23" s="45" t="s">
        <v>41</v>
      </c>
      <c r="C23" s="44"/>
      <c r="D23" s="44"/>
      <c r="E23" s="40"/>
      <c r="F23" s="40"/>
    </row>
    <row r="24" spans="1:6" ht="36.75" customHeight="1">
      <c r="A24" s="42">
        <v>2</v>
      </c>
      <c r="B24" s="43" t="s">
        <v>42</v>
      </c>
      <c r="C24" s="44"/>
      <c r="D24" s="44"/>
      <c r="E24" s="40"/>
      <c r="F24" s="40"/>
    </row>
    <row r="25" spans="1:6" ht="42" customHeight="1">
      <c r="A25" s="42">
        <v>3</v>
      </c>
      <c r="B25" s="43" t="s">
        <v>43</v>
      </c>
      <c r="C25" s="44"/>
      <c r="D25" s="44"/>
      <c r="E25" s="40"/>
      <c r="F25" s="40"/>
    </row>
    <row r="26" spans="1:6" ht="45" customHeight="1">
      <c r="A26" s="42">
        <v>4</v>
      </c>
      <c r="B26" s="43" t="s">
        <v>44</v>
      </c>
      <c r="C26" s="44"/>
      <c r="D26" s="44"/>
      <c r="E26" s="40"/>
      <c r="F26" s="40"/>
    </row>
    <row r="27" spans="1:6" ht="20.100000000000001" customHeight="1">
      <c r="A27" s="42">
        <v>5</v>
      </c>
      <c r="B27" s="43" t="s">
        <v>45</v>
      </c>
      <c r="C27" s="44"/>
      <c r="D27" s="44"/>
      <c r="E27" s="40"/>
      <c r="F27" s="40"/>
    </row>
    <row r="28" spans="1:6" ht="20.100000000000001" customHeight="1">
      <c r="A28" s="42">
        <v>6</v>
      </c>
      <c r="B28" s="43" t="s">
        <v>41</v>
      </c>
      <c r="C28" s="44"/>
      <c r="D28" s="44"/>
      <c r="E28" s="40"/>
      <c r="F28" s="40"/>
    </row>
    <row r="29" spans="1:6" ht="20.100000000000001" customHeight="1">
      <c r="A29" s="42">
        <v>7</v>
      </c>
      <c r="B29" s="43" t="s">
        <v>46</v>
      </c>
      <c r="C29" s="44"/>
      <c r="D29" s="44"/>
      <c r="E29" s="40"/>
      <c r="F29" s="40"/>
    </row>
    <row r="30" spans="1:6" ht="20.100000000000001" customHeight="1">
      <c r="A30" s="46"/>
      <c r="B30" s="42" t="s">
        <v>47</v>
      </c>
      <c r="C30" s="44">
        <f>SUM(C18:C29)</f>
        <v>0</v>
      </c>
      <c r="D30" s="44">
        <f>SUM(D18:D29)</f>
        <v>0</v>
      </c>
      <c r="E30" s="47"/>
      <c r="F30" s="40"/>
    </row>
    <row r="31" spans="1:6" ht="20.100000000000001" customHeight="1">
      <c r="A31" s="40"/>
      <c r="B31" s="40"/>
      <c r="C31" s="40"/>
      <c r="D31" s="40"/>
      <c r="E31" s="40"/>
      <c r="F31" s="40"/>
    </row>
    <row r="32" spans="1:6" ht="20.100000000000001" customHeight="1">
      <c r="A32" s="40" t="s">
        <v>48</v>
      </c>
      <c r="B32" s="41"/>
      <c r="C32" s="40"/>
      <c r="D32" s="40"/>
      <c r="E32" s="40"/>
      <c r="F32" s="40"/>
    </row>
    <row r="33" spans="1:6" ht="20.100000000000001" customHeight="1">
      <c r="A33" s="76" t="s">
        <v>32</v>
      </c>
      <c r="B33" s="42" t="s">
        <v>49</v>
      </c>
      <c r="C33" s="76" t="s">
        <v>50</v>
      </c>
      <c r="D33" s="76" t="s">
        <v>51</v>
      </c>
      <c r="E33" s="40"/>
      <c r="F33" s="40"/>
    </row>
    <row r="34" spans="1:6" ht="20.100000000000001" customHeight="1">
      <c r="A34" s="76"/>
      <c r="B34" s="42" t="s">
        <v>52</v>
      </c>
      <c r="C34" s="76"/>
      <c r="D34" s="76"/>
      <c r="E34" s="40"/>
      <c r="F34" s="40"/>
    </row>
    <row r="35" spans="1:6" ht="20.100000000000001" customHeight="1">
      <c r="A35" s="43" t="s">
        <v>53</v>
      </c>
      <c r="B35" s="48"/>
      <c r="C35" s="48"/>
      <c r="D35" s="48">
        <f>B35+C35</f>
        <v>0</v>
      </c>
      <c r="E35" s="47"/>
      <c r="F35" s="40"/>
    </row>
    <row r="36" spans="1:6" ht="20.100000000000001" customHeight="1">
      <c r="A36" s="43" t="s">
        <v>54</v>
      </c>
      <c r="B36" s="48"/>
      <c r="C36" s="49"/>
      <c r="D36" s="48">
        <f t="shared" ref="D36:D37" si="0">B36+C36</f>
        <v>0</v>
      </c>
      <c r="E36" s="47"/>
      <c r="F36" s="40"/>
    </row>
    <row r="37" spans="1:6" ht="20.100000000000001" customHeight="1">
      <c r="A37" s="43" t="s">
        <v>55</v>
      </c>
      <c r="B37" s="48">
        <f>B35-B36</f>
        <v>0</v>
      </c>
      <c r="C37" s="48">
        <f>C35-C36</f>
        <v>0</v>
      </c>
      <c r="D37" s="48">
        <f t="shared" si="0"/>
        <v>0</v>
      </c>
      <c r="E37" s="40"/>
      <c r="F37" s="40"/>
    </row>
    <row r="38" spans="1:6" ht="20.100000000000001" customHeight="1">
      <c r="A38" s="40"/>
      <c r="B38" s="40"/>
      <c r="C38" s="40"/>
      <c r="D38" s="40"/>
      <c r="E38" s="40"/>
      <c r="F38" s="40"/>
    </row>
    <row r="39" spans="1:6" ht="20.100000000000001" customHeight="1">
      <c r="A39" s="50" t="s">
        <v>56</v>
      </c>
      <c r="B39" s="40"/>
      <c r="C39" s="40"/>
      <c r="D39" s="40"/>
      <c r="E39" s="40"/>
      <c r="F39" s="40"/>
    </row>
    <row r="40" spans="1:6" ht="20.100000000000001" customHeight="1">
      <c r="A40" s="40" t="s">
        <v>57</v>
      </c>
      <c r="B40" s="40"/>
      <c r="C40" s="40"/>
      <c r="D40" s="40"/>
      <c r="E40" s="40"/>
      <c r="F40" s="40"/>
    </row>
    <row r="41" spans="1:6" ht="20.100000000000001" customHeight="1">
      <c r="A41" s="68" t="s">
        <v>58</v>
      </c>
      <c r="B41" s="67" t="s">
        <v>59</v>
      </c>
      <c r="C41" s="67" t="s">
        <v>60</v>
      </c>
      <c r="D41" s="67"/>
      <c r="E41" s="67"/>
      <c r="F41" s="67" t="s">
        <v>61</v>
      </c>
    </row>
    <row r="42" spans="1:6" ht="20.100000000000001" customHeight="1">
      <c r="A42" s="69"/>
      <c r="B42" s="67"/>
      <c r="C42" s="67"/>
      <c r="D42" s="67"/>
      <c r="E42" s="67"/>
      <c r="F42" s="67"/>
    </row>
    <row r="43" spans="1:6" ht="20.100000000000001" customHeight="1">
      <c r="A43" s="69"/>
      <c r="B43" s="67"/>
      <c r="C43" s="67"/>
      <c r="D43" s="67"/>
      <c r="E43" s="67"/>
      <c r="F43" s="67"/>
    </row>
    <row r="44" spans="1:6" ht="20.100000000000001" customHeight="1">
      <c r="A44" s="70"/>
      <c r="B44" s="67"/>
      <c r="C44" s="67"/>
      <c r="D44" s="67"/>
      <c r="E44" s="67"/>
      <c r="F44" s="67"/>
    </row>
    <row r="45" spans="1:6" ht="20.100000000000001" customHeight="1">
      <c r="A45" s="51" t="s">
        <v>62</v>
      </c>
      <c r="B45" s="67"/>
      <c r="C45" s="52" t="s">
        <v>63</v>
      </c>
      <c r="D45" s="52" t="s">
        <v>64</v>
      </c>
      <c r="E45" s="52" t="s">
        <v>65</v>
      </c>
      <c r="F45" s="67"/>
    </row>
    <row r="46" spans="1:6" ht="20.100000000000001" customHeight="1">
      <c r="A46" s="51" t="s">
        <v>66</v>
      </c>
      <c r="B46" s="48"/>
      <c r="C46" s="48"/>
      <c r="D46" s="48"/>
      <c r="E46" s="48"/>
      <c r="F46" s="48"/>
    </row>
    <row r="47" spans="1:6" ht="20.100000000000001" customHeight="1">
      <c r="A47" s="51" t="s">
        <v>67</v>
      </c>
      <c r="B47" s="48"/>
      <c r="C47" s="48"/>
      <c r="D47" s="48"/>
      <c r="E47" s="48"/>
      <c r="F47" s="48"/>
    </row>
    <row r="48" spans="1:6" ht="20.100000000000001" customHeight="1">
      <c r="A48" s="51" t="s">
        <v>68</v>
      </c>
      <c r="B48" s="48"/>
      <c r="C48" s="48"/>
      <c r="D48" s="48"/>
      <c r="E48" s="48"/>
      <c r="F48" s="48"/>
    </row>
    <row r="49" spans="1:6" ht="20.100000000000001" customHeight="1">
      <c r="A49" s="51" t="s">
        <v>69</v>
      </c>
      <c r="B49" s="48"/>
      <c r="C49" s="48"/>
      <c r="D49" s="48"/>
      <c r="E49" s="48"/>
      <c r="F49" s="48"/>
    </row>
    <row r="50" spans="1:6" ht="20.100000000000001" customHeight="1">
      <c r="A50" s="51" t="s">
        <v>70</v>
      </c>
      <c r="B50" s="48"/>
      <c r="C50" s="48"/>
      <c r="D50" s="48"/>
      <c r="E50" s="48"/>
      <c r="F50" s="48"/>
    </row>
    <row r="51" spans="1:6" ht="32.25" customHeight="1">
      <c r="A51" s="51" t="s">
        <v>71</v>
      </c>
      <c r="B51" s="48"/>
      <c r="C51" s="48"/>
      <c r="D51" s="48"/>
      <c r="E51" s="48"/>
      <c r="F51" s="48"/>
    </row>
    <row r="52" spans="1:6" ht="20.100000000000001" customHeight="1">
      <c r="A52" s="53" t="s">
        <v>72</v>
      </c>
      <c r="B52" s="48">
        <f>SUM(B46:B51)</f>
        <v>0</v>
      </c>
      <c r="C52" s="48">
        <f t="shared" ref="C52:F52" si="1">SUM(C46:C51)</f>
        <v>0</v>
      </c>
      <c r="D52" s="48">
        <f t="shared" si="1"/>
        <v>0</v>
      </c>
      <c r="E52" s="48">
        <f t="shared" si="1"/>
        <v>0</v>
      </c>
      <c r="F52" s="48">
        <f t="shared" si="1"/>
        <v>0</v>
      </c>
    </row>
    <row r="53" spans="1:6" ht="20.100000000000001" customHeight="1">
      <c r="A53" s="40"/>
      <c r="B53" s="40"/>
      <c r="C53" s="40"/>
      <c r="D53" s="41"/>
      <c r="E53" s="47"/>
      <c r="F53" s="40"/>
    </row>
    <row r="54" spans="1:6" ht="20.100000000000001" customHeight="1">
      <c r="A54" s="54" t="s">
        <v>73</v>
      </c>
      <c r="B54" s="55"/>
      <c r="C54" s="40"/>
      <c r="D54" s="40"/>
      <c r="E54" s="40"/>
      <c r="F54" s="40"/>
    </row>
    <row r="55" spans="1:6" ht="20.100000000000001" customHeight="1">
      <c r="A55" s="71" t="s">
        <v>74</v>
      </c>
      <c r="B55" s="67" t="s">
        <v>59</v>
      </c>
      <c r="C55" s="67" t="s">
        <v>60</v>
      </c>
      <c r="D55" s="67"/>
      <c r="E55" s="67" t="s">
        <v>61</v>
      </c>
      <c r="F55" s="40"/>
    </row>
    <row r="56" spans="1:6" ht="20.100000000000001" customHeight="1">
      <c r="A56" s="72"/>
      <c r="B56" s="67"/>
      <c r="C56" s="67"/>
      <c r="D56" s="67"/>
      <c r="E56" s="67"/>
      <c r="F56" s="40"/>
    </row>
    <row r="57" spans="1:6" ht="20.100000000000001" customHeight="1">
      <c r="A57" s="73"/>
      <c r="B57" s="67"/>
      <c r="C57" s="67"/>
      <c r="D57" s="67"/>
      <c r="E57" s="67"/>
      <c r="F57" s="40"/>
    </row>
    <row r="58" spans="1:6" ht="20.100000000000001" customHeight="1">
      <c r="A58" s="74" t="s">
        <v>62</v>
      </c>
      <c r="B58" s="67"/>
      <c r="C58" s="67"/>
      <c r="D58" s="67"/>
      <c r="E58" s="67"/>
      <c r="F58" s="40"/>
    </row>
    <row r="59" spans="1:6" ht="53.25" customHeight="1">
      <c r="A59" s="75"/>
      <c r="B59" s="67"/>
      <c r="C59" s="52" t="s">
        <v>75</v>
      </c>
      <c r="D59" s="52" t="s">
        <v>76</v>
      </c>
      <c r="E59" s="67"/>
      <c r="F59" s="40"/>
    </row>
    <row r="60" spans="1:6" ht="20.100000000000001" customHeight="1">
      <c r="A60" s="51" t="s">
        <v>75</v>
      </c>
      <c r="B60" s="56"/>
      <c r="C60" s="56"/>
      <c r="D60" s="56"/>
      <c r="E60" s="56"/>
      <c r="F60" s="40"/>
    </row>
    <row r="61" spans="1:6" ht="20.100000000000001" customHeight="1">
      <c r="A61" s="51" t="s">
        <v>77</v>
      </c>
      <c r="B61" s="56"/>
      <c r="C61" s="56"/>
      <c r="D61" s="56"/>
      <c r="E61" s="56"/>
      <c r="F61" s="40"/>
    </row>
    <row r="62" spans="1:6" ht="39" customHeight="1">
      <c r="A62" s="51" t="s">
        <v>78</v>
      </c>
      <c r="B62" s="56"/>
      <c r="C62" s="56"/>
      <c r="D62" s="56"/>
      <c r="E62" s="56"/>
      <c r="F62" s="40"/>
    </row>
    <row r="63" spans="1:6" ht="20.100000000000001" customHeight="1">
      <c r="A63" s="53" t="s">
        <v>72</v>
      </c>
      <c r="B63" s="56">
        <f>SUM(B60:B62)</f>
        <v>0</v>
      </c>
      <c r="C63" s="56">
        <f t="shared" ref="C63:D63" si="2">SUM(C60:C62)</f>
        <v>0</v>
      </c>
      <c r="D63" s="56">
        <f t="shared" si="2"/>
        <v>0</v>
      </c>
      <c r="E63" s="56">
        <f>'[4]母公司-报告披露'!E59+'[4]宏图-报告披露'!E59+'[4]融通-报告披露'!E59</f>
        <v>0</v>
      </c>
      <c r="F63" s="40"/>
    </row>
    <row r="64" spans="1:6" ht="20.100000000000001" customHeight="1">
      <c r="A64" s="40"/>
      <c r="B64" s="40"/>
      <c r="C64" s="40"/>
      <c r="D64" s="40"/>
      <c r="E64" s="40"/>
      <c r="F64" s="40"/>
    </row>
    <row r="65" spans="1:7" ht="20.100000000000001" customHeight="1">
      <c r="A65" s="50" t="s">
        <v>79</v>
      </c>
      <c r="B65" s="40"/>
      <c r="C65" s="40"/>
      <c r="D65" s="40"/>
      <c r="E65" s="55"/>
      <c r="F65" s="40"/>
    </row>
    <row r="66" spans="1:7" ht="20.100000000000001" customHeight="1">
      <c r="A66" s="66"/>
      <c r="B66" s="67" t="s">
        <v>80</v>
      </c>
      <c r="C66" s="67" t="s">
        <v>81</v>
      </c>
      <c r="D66" s="67" t="s">
        <v>82</v>
      </c>
      <c r="E66" s="67" t="s">
        <v>83</v>
      </c>
      <c r="F66" s="65" t="s">
        <v>84</v>
      </c>
    </row>
    <row r="67" spans="1:7" ht="20.100000000000001" customHeight="1">
      <c r="A67" s="66"/>
      <c r="B67" s="67"/>
      <c r="C67" s="67"/>
      <c r="D67" s="67"/>
      <c r="E67" s="67"/>
      <c r="F67" s="65"/>
    </row>
    <row r="68" spans="1:7" ht="20.100000000000001" customHeight="1">
      <c r="A68" s="57" t="s">
        <v>85</v>
      </c>
      <c r="B68" s="57"/>
      <c r="C68" s="58"/>
      <c r="D68" s="58"/>
      <c r="E68" s="58"/>
      <c r="F68" s="58"/>
    </row>
    <row r="69" spans="1:7" ht="20.100000000000001" customHeight="1">
      <c r="A69" s="52" t="s">
        <v>23</v>
      </c>
      <c r="B69" s="57"/>
      <c r="C69" s="58"/>
      <c r="D69" s="58"/>
      <c r="E69" s="58"/>
      <c r="F69" s="58"/>
    </row>
    <row r="70" spans="1:7" ht="20.100000000000001" customHeight="1">
      <c r="A70" s="52" t="s">
        <v>23</v>
      </c>
      <c r="B70" s="57"/>
      <c r="C70" s="58"/>
      <c r="D70" s="58"/>
      <c r="E70" s="58"/>
      <c r="F70" s="58"/>
    </row>
    <row r="71" spans="1:7" ht="20.100000000000001" customHeight="1">
      <c r="A71" s="57" t="s">
        <v>24</v>
      </c>
      <c r="B71" s="57"/>
      <c r="C71" s="58"/>
      <c r="D71" s="58"/>
      <c r="E71" s="58"/>
      <c r="F71" s="58"/>
    </row>
    <row r="72" spans="1:7" ht="20.100000000000001" customHeight="1">
      <c r="A72" s="53" t="s">
        <v>72</v>
      </c>
      <c r="B72" s="57"/>
      <c r="C72" s="58"/>
      <c r="D72" s="58"/>
      <c r="E72" s="58"/>
      <c r="F72" s="58"/>
    </row>
    <row r="73" spans="1:7" ht="20.100000000000001" customHeight="1">
      <c r="B73" s="4"/>
      <c r="C73" s="3"/>
    </row>
    <row r="74" spans="1:7" ht="20.100000000000001" customHeight="1">
      <c r="A74" s="7" t="s">
        <v>4</v>
      </c>
      <c r="B74" s="3"/>
      <c r="C74" s="3"/>
      <c r="D74" s="3"/>
      <c r="E74" s="3"/>
      <c r="F74" s="6"/>
      <c r="G74" s="3"/>
    </row>
    <row r="75" spans="1:7" ht="20.100000000000001" customHeight="1">
      <c r="A75" s="5"/>
      <c r="B75" s="3"/>
      <c r="C75" s="3"/>
      <c r="D75" s="3"/>
      <c r="E75" s="3"/>
      <c r="F75" s="6"/>
      <c r="G75" s="3"/>
    </row>
    <row r="76" spans="1:7" ht="20.100000000000001" customHeight="1">
      <c r="A76" s="3"/>
      <c r="B76" s="3"/>
      <c r="C76" s="3"/>
      <c r="D76" s="3"/>
      <c r="E76" s="3"/>
      <c r="F76" s="6"/>
      <c r="G76" s="3"/>
    </row>
    <row r="77" spans="1:7" ht="20.100000000000001" customHeight="1">
      <c r="A77" s="7"/>
      <c r="B77" s="3"/>
      <c r="C77" s="3"/>
      <c r="D77" s="3"/>
      <c r="E77" s="3"/>
      <c r="F77" s="6"/>
      <c r="G77" s="3"/>
    </row>
    <row r="78" spans="1:7" ht="20.100000000000001" customHeight="1">
      <c r="A78" s="38"/>
      <c r="B78" s="3"/>
      <c r="C78" s="3"/>
      <c r="D78" s="3"/>
      <c r="E78" s="3"/>
      <c r="F78" s="6"/>
      <c r="G78" s="3"/>
    </row>
    <row r="79" spans="1:7" ht="20.100000000000001" customHeight="1">
      <c r="A79" s="3"/>
      <c r="B79" s="3"/>
      <c r="C79" s="3"/>
      <c r="D79" s="3"/>
      <c r="E79" s="3"/>
      <c r="F79" s="6"/>
      <c r="G79" s="3"/>
    </row>
    <row r="80" spans="1:7" ht="20.100000000000001" customHeight="1">
      <c r="A80" s="3"/>
      <c r="B80" s="3"/>
      <c r="C80" s="3"/>
      <c r="D80" s="3"/>
      <c r="E80" s="3"/>
      <c r="F80" s="6"/>
      <c r="G80" s="3"/>
    </row>
    <row r="81" spans="1:7" ht="20.100000000000001" customHeight="1">
      <c r="A81" s="8" t="s">
        <v>5</v>
      </c>
      <c r="B81" s="5"/>
      <c r="C81" s="5"/>
      <c r="D81" s="5"/>
      <c r="E81" s="5"/>
      <c r="F81" s="6"/>
      <c r="G81" s="5"/>
    </row>
    <row r="82" spans="1:7" ht="20.100000000000001" customHeight="1">
      <c r="A82" s="8"/>
      <c r="B82" s="5"/>
      <c r="C82" s="5"/>
      <c r="D82" s="5"/>
      <c r="E82" s="5"/>
      <c r="F82" s="5"/>
      <c r="G82" s="5"/>
    </row>
    <row r="83" spans="1:7" ht="20.100000000000001" customHeight="1">
      <c r="A83" s="8"/>
      <c r="B83" s="5"/>
      <c r="C83" s="5"/>
      <c r="D83" s="5"/>
      <c r="E83" s="5"/>
      <c r="F83" s="5"/>
      <c r="G83" s="5"/>
    </row>
    <row r="84" spans="1:7" ht="20.100000000000001" customHeight="1">
      <c r="A84" s="9" t="s">
        <v>0</v>
      </c>
      <c r="B84" s="5"/>
      <c r="C84" s="5"/>
      <c r="D84" s="5"/>
      <c r="E84" s="5"/>
      <c r="F84" s="5"/>
      <c r="G84" s="5"/>
    </row>
  </sheetData>
  <mergeCells count="25">
    <mergeCell ref="A1:G1"/>
    <mergeCell ref="A2:G2"/>
    <mergeCell ref="A16:A17"/>
    <mergeCell ref="B16:B17"/>
    <mergeCell ref="D16:D17"/>
    <mergeCell ref="A18:A23"/>
    <mergeCell ref="A33:A34"/>
    <mergeCell ref="C33:C34"/>
    <mergeCell ref="D33:D34"/>
    <mergeCell ref="A11:G11"/>
    <mergeCell ref="F66:F67"/>
    <mergeCell ref="A66:A67"/>
    <mergeCell ref="B66:B67"/>
    <mergeCell ref="C66:C67"/>
    <mergeCell ref="D66:D67"/>
    <mergeCell ref="E66:E67"/>
    <mergeCell ref="A41:A44"/>
    <mergeCell ref="B41:B45"/>
    <mergeCell ref="C41:E44"/>
    <mergeCell ref="F41:F45"/>
    <mergeCell ref="A55:A57"/>
    <mergeCell ref="B55:B59"/>
    <mergeCell ref="C55:D58"/>
    <mergeCell ref="E55:E59"/>
    <mergeCell ref="A58:A59"/>
  </mergeCells>
  <phoneticPr fontId="3" type="noConversion"/>
  <printOptions horizontalCentered="1"/>
  <pageMargins left="0.98425196850393704" right="0.35433070866141736" top="0.74803149606299213" bottom="0.6692913385826772" header="0.51181102362204722" footer="0.39370078740157483"/>
  <pageSetup paperSize="9" scale="84" fitToHeight="0" orientation="landscape" blackAndWhite="1" r:id="rId1"/>
  <headerFooter alignWithMargins="0">
    <oddFooter>第 &amp;P 页，共 &amp;N 页</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表头</vt:lpstr>
      <vt:lpstr>采用新金融工具准则衔接影响数核对A1-18</vt:lpstr>
      <vt:lpstr>'采用新金融工具准则衔接影响数核对A1-18'!Print_Area</vt:lpstr>
    </vt:vector>
  </TitlesOfParts>
  <Company>cngti.com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Sidney Wan</cp:lastModifiedBy>
  <cp:lastPrinted>2018-11-21T01:40:05Z</cp:lastPrinted>
  <dcterms:created xsi:type="dcterms:W3CDTF">2014-10-22T07:10:00Z</dcterms:created>
  <dcterms:modified xsi:type="dcterms:W3CDTF">2019-09-10T09:18:53Z</dcterms:modified>
</cp:coreProperties>
</file>