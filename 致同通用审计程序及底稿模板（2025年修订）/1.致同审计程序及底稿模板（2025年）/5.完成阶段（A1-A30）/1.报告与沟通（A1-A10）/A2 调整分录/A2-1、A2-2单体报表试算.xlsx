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D:\5.底稿模板\2025年底稿修订\1.已修订底稿\2025年底稿模板-10.31\完成阶段\A2 调整分录\"/>
    </mc:Choice>
  </mc:AlternateContent>
  <bookViews>
    <workbookView xWindow="0" yWindow="0" windowWidth="23040" windowHeight="8520" tabRatio="889" firstSheet="1" activeTab="1"/>
  </bookViews>
  <sheets>
    <sheet name="temp_temp__" sheetId="45" state="veryHidden" r:id="rId1"/>
    <sheet name="说明" sheetId="47" r:id="rId2"/>
    <sheet name="参数" sheetId="2" r:id="rId3"/>
    <sheet name="报表格式" sheetId="3" r:id="rId4"/>
    <sheet name="试算" sheetId="72" state="hidden" r:id="rId5"/>
    <sheet name="Sheet1" sheetId="71" state="hidden" r:id="rId6"/>
    <sheet name="未审报表" sheetId="4" r:id="rId7"/>
    <sheet name="期初核对" sheetId="46" r:id="rId8"/>
    <sheet name="TB" sheetId="33" r:id="rId9"/>
    <sheet name="TB(期初)" sheetId="59" r:id="rId10"/>
    <sheet name="调整事项汇总表" sheetId="32" r:id="rId11"/>
    <sheet name=" " sheetId="21" state="hidden" r:id="rId12"/>
    <sheet name="CF调整" sheetId="67" state="hidden" r:id="rId13"/>
    <sheet name="审定报表" sheetId="36" r:id="rId14"/>
    <sheet name="CF主表核查" sheetId="69" r:id="rId15"/>
    <sheet name="CF附表核查" sheetId="70" r:id="rId16"/>
    <sheet name="未审BS分析" sheetId="48" r:id="rId17"/>
    <sheet name="未审PL分析" sheetId="49" r:id="rId18"/>
    <sheet name="未审比率分析" sheetId="56" r:id="rId19"/>
    <sheet name="已审BS分析" sheetId="52" r:id="rId20"/>
    <sheet name="已审PL分析" sheetId="53" r:id="rId21"/>
    <sheet name="已审比率分析 " sheetId="73" r:id="rId22"/>
  </sheets>
  <externalReferences>
    <externalReference r:id="rId23"/>
    <externalReference r:id="rId24"/>
    <externalReference r:id="rId25"/>
  </externalReferences>
  <definedNames>
    <definedName name="_xlnm._FilterDatabase" localSheetId="5" hidden="1">Sheet1!$A$2:$O$113</definedName>
    <definedName name="_xlnm._FilterDatabase" localSheetId="8" hidden="1">TB!$A$6:$L$383</definedName>
    <definedName name="_xlnm._FilterDatabase" localSheetId="9" hidden="1">'TB(期初)'!$A$6:$L$384</definedName>
    <definedName name="_xlnm._FilterDatabase" localSheetId="3" hidden="1">报表格式!$A$4:$T$115</definedName>
    <definedName name="_xlnm._FilterDatabase" localSheetId="10" hidden="1">调整事项汇总表!$Q$5:$R$402</definedName>
    <definedName name="_xlnm._FilterDatabase" localSheetId="7" hidden="1">期初核对!$A$7:$G$324</definedName>
    <definedName name="_xlnm._FilterDatabase" localSheetId="4" hidden="1">试算!$A$7:$G$292</definedName>
    <definedName name="_xlnm._FilterDatabase" localSheetId="6" hidden="1">未审报表!$A$6:$F$383</definedName>
    <definedName name="AS2DocOpenMode" hidden="1">"AS2DocumentEdit"</definedName>
    <definedName name="_xlnm.Print_Area" localSheetId="15">CF附表核查!$A$1:$J$87</definedName>
    <definedName name="_xlnm.Print_Area" localSheetId="14">CF主表核查!$A$1:$E$212</definedName>
    <definedName name="_xlnm.Print_Area" localSheetId="8">TB!$A$1:$I$383</definedName>
    <definedName name="_xlnm.Print_Area" localSheetId="9">'TB(期初)'!$A$1:$I$384</definedName>
    <definedName name="_xlnm.Print_Area" localSheetId="2">参数!$A$1:$F$19</definedName>
    <definedName name="_xlnm.Print_Area" localSheetId="10">调整事项汇总表!$A$2:$M$112</definedName>
    <definedName name="_xlnm.Print_Area" localSheetId="7">期初核对!$A$1:$F$383</definedName>
    <definedName name="_xlnm.Print_Area" localSheetId="13">审定报表!$A$1:$D$446</definedName>
    <definedName name="_xlnm.Print_Area" localSheetId="16">未审BS分析!$A$1:$M$190</definedName>
    <definedName name="_xlnm.Print_Area" localSheetId="17">未审PL分析!$A$1:$M$92</definedName>
    <definedName name="_xlnm.Print_Area" localSheetId="6">未审报表!$A$1:$D$384</definedName>
    <definedName name="_xlnm.Print_Area" localSheetId="18">未审比率分析!$A$1:$J$88</definedName>
    <definedName name="_xlnm.Print_Area" localSheetId="21">'已审比率分析 '!$A$1:$J$87</definedName>
    <definedName name="_xlnm.Print_Titles" localSheetId="8">TB!$1:$6</definedName>
    <definedName name="_xlnm.Print_Titles" localSheetId="9">'TB(期初)'!$1:$6</definedName>
    <definedName name="_xlnm.Print_Titles" localSheetId="3">报表格式!$1:$4</definedName>
    <definedName name="_xlnm.Print_Titles" localSheetId="7">期初核对!$2:$6</definedName>
    <definedName name="_xlnm.Print_Titles" localSheetId="18">未审比率分析!$1:$5</definedName>
    <definedName name="_xlnm.Print_Titles" localSheetId="21">'已审比率分析 '!$1:$5</definedName>
    <definedName name="TextRefCopyRangeCount" hidden="1">136</definedName>
    <definedName name="XREF_COLUMN_1" localSheetId="21" hidden="1">#REF!</definedName>
    <definedName name="XREF_COLUMN_1" hidden="1">#REF!</definedName>
    <definedName name="XRefActiveRow" localSheetId="21" hidden="1">#REF!</definedName>
    <definedName name="XRefActiveRow" hidden="1">#REF!</definedName>
    <definedName name="XRefColumnsCount" hidden="1">2</definedName>
    <definedName name="XRefCopy1" localSheetId="21" hidden="1">#REF!</definedName>
    <definedName name="XRefCopy1" hidden="1">#REF!</definedName>
    <definedName name="XRefCopy1Row" localSheetId="21" hidden="1">#REF!</definedName>
    <definedName name="XRefCopy1Row" hidden="1">#REF!</definedName>
    <definedName name="XRefCopy2Row" localSheetId="21" hidden="1">#REF!</definedName>
    <definedName name="XRefCopy2Row" hidden="1">#REF!</definedName>
    <definedName name="XRefCopyRangeCount" hidden="1">2</definedName>
    <definedName name="Z_11225121_1664_11D5_91ED_001060808604_.wvu.PrintArea" localSheetId="13" hidden="1">审定报表!$A$1:$D$61</definedName>
    <definedName name="Z_38A85FE0_3960_11D5_8724_5254293012F4_.wvu.PrintArea" localSheetId="13" hidden="1">审定报表!$A$1:$D$61</definedName>
    <definedName name="Z_9A8CA204_20A8_11D5_8CC7_F77182B33125_.wvu.Cols" localSheetId="2" hidden="1">参数!$G:$I</definedName>
    <definedName name="Z_9A8CA204_20A8_11D5_8CC7_F77182B33125_.wvu.PrintArea" localSheetId="3" hidden="1">报表格式!$A$1:$O$54</definedName>
    <definedName name="Z_9A8CA204_20A8_11D5_8CC7_F77182B33125_.wvu.PrintArea" localSheetId="2" hidden="1">参数!$A$1:$F$19</definedName>
    <definedName name="Z_9A8CA204_20A8_11D5_8CC7_F77182B33125_.wvu.PrintTitles" localSheetId="3" hidden="1">报表格式!$1:$4</definedName>
    <definedName name="Z_9A8CA204_20A8_11D5_8CC7_F77182B33125_.wvu.Rows" localSheetId="7" hidden="1">期初核对!$4:$4,期初核对!#REF!</definedName>
    <definedName name="Z_9A8CA204_20A8_11D5_8CC7_F77182B33125_.wvu.Rows" localSheetId="16" hidden="1">未审BS分析!#REF!,未审BS分析!#REF!</definedName>
    <definedName name="Z_9A8CA204_20A8_11D5_8CC7_F77182B33125_.wvu.Rows" localSheetId="17" hidden="1">未审PL分析!#REF!,未审PL分析!$11:$12,未审PL分析!$19:$19,未审PL分析!$30:$30</definedName>
    <definedName name="Z_9A8CA204_20A8_11D5_8CC7_F77182B33125_.wvu.Rows" localSheetId="6" hidden="1">未审报表!#REF!,未审报表!#REF!</definedName>
    <definedName name="Z_9A8CA204_20A8_11D5_8CC7_F77182B33125_.wvu.Rows" localSheetId="19" hidden="1">已审BS分析!#REF!,已审BS分析!#REF!</definedName>
    <definedName name="Z_9A8CA204_20A8_11D5_8CC7_F77182B33125_.wvu.Rows" localSheetId="20" hidden="1">已审PL分析!#REF!,已审PL分析!$11:$12,已审PL分析!$19:$19,已审PL分析!$30:$30</definedName>
    <definedName name="Z_B17549A0_198B_11D5_A231_0080C88DD54C_.wvu.PrintArea" localSheetId="13" hidden="1">审定报表!$A$1:$D$61</definedName>
    <definedName name="Z_B238A4E0_5F40_11D5_A601_00A0C939A085_.wvu.PrintArea" localSheetId="13" hidden="1">审定报表!$A$1:$D$61</definedName>
    <definedName name="调整类别">[1]试算!$C$7:$E$7</definedName>
  </definedNames>
  <calcPr calcId="162913"/>
  <customWorkbookViews>
    <customWorkbookView name="标准部 - 个人视面" guid="{9A8CA204-20A8-11D5-8CC7-F77182B33125}" mergeInterval="0" personalView="1" maximized="1" windowWidth="796" windowHeight="438" tabRatio="815" activeSheetId="19"/>
  </customWorkbookViews>
</workbook>
</file>

<file path=xl/calcChain.xml><?xml version="1.0" encoding="utf-8"?>
<calcChain xmlns="http://schemas.openxmlformats.org/spreadsheetml/2006/main">
  <c r="E210" i="69" l="1"/>
  <c r="E209" i="69"/>
  <c r="E201" i="69"/>
  <c r="B201" i="69"/>
  <c r="B210" i="69" s="1"/>
  <c r="B209" i="69"/>
  <c r="E204" i="69"/>
  <c r="E203" i="69"/>
  <c r="E202" i="69"/>
  <c r="B203" i="69"/>
  <c r="B204" i="69"/>
  <c r="B202" i="69"/>
  <c r="C386" i="36" l="1"/>
  <c r="I186" i="59" l="1"/>
  <c r="D269" i="46"/>
  <c r="D268" i="46"/>
  <c r="C86" i="56" l="1"/>
  <c r="D84" i="56"/>
  <c r="C84" i="56"/>
  <c r="D83" i="56"/>
  <c r="C83" i="56"/>
  <c r="C80" i="56"/>
  <c r="C79" i="56"/>
  <c r="D78" i="56"/>
  <c r="C78" i="56"/>
  <c r="D77" i="56"/>
  <c r="C77" i="56"/>
  <c r="D76" i="56"/>
  <c r="C76" i="56"/>
  <c r="D74" i="56"/>
  <c r="C74" i="56"/>
  <c r="D73" i="56"/>
  <c r="C73" i="56"/>
  <c r="D72" i="56"/>
  <c r="C72" i="56"/>
  <c r="D71" i="56"/>
  <c r="C71" i="56"/>
  <c r="D70" i="56"/>
  <c r="C70" i="56"/>
  <c r="D69" i="56"/>
  <c r="C69" i="56"/>
  <c r="D67" i="56"/>
  <c r="C67" i="56"/>
  <c r="D66" i="56"/>
  <c r="C66" i="56"/>
  <c r="C64" i="56"/>
  <c r="C63" i="56"/>
  <c r="C62" i="56"/>
  <c r="C61" i="56"/>
  <c r="C60" i="56"/>
  <c r="C59" i="56"/>
  <c r="C58" i="56"/>
  <c r="C55" i="56"/>
  <c r="D52" i="56"/>
  <c r="C52" i="56"/>
  <c r="C50" i="56"/>
  <c r="D34" i="56"/>
  <c r="C34" i="56"/>
  <c r="D33" i="56"/>
  <c r="C33" i="56"/>
  <c r="D28" i="56"/>
  <c r="C28" i="56"/>
  <c r="D26" i="56"/>
  <c r="C26" i="56"/>
  <c r="D25" i="56"/>
  <c r="C25" i="56"/>
  <c r="C22" i="56"/>
  <c r="C20" i="56"/>
  <c r="C18" i="56"/>
  <c r="D14" i="56"/>
  <c r="C14" i="56"/>
  <c r="D13" i="56"/>
  <c r="C13" i="56"/>
  <c r="D12" i="56"/>
  <c r="C12" i="56"/>
  <c r="D11" i="56"/>
  <c r="C11" i="56"/>
  <c r="D10" i="56"/>
  <c r="C10" i="56"/>
  <c r="D9" i="56"/>
  <c r="C9" i="56"/>
  <c r="D8" i="56"/>
  <c r="C8" i="56"/>
  <c r="D7" i="56"/>
  <c r="C7" i="56"/>
  <c r="C92" i="49"/>
  <c r="C91" i="49"/>
  <c r="C90" i="49"/>
  <c r="C89" i="49"/>
  <c r="C88" i="49"/>
  <c r="C87" i="49"/>
  <c r="C86" i="49"/>
  <c r="C85" i="49"/>
  <c r="C84" i="49"/>
  <c r="C83" i="49"/>
  <c r="C82" i="49"/>
  <c r="C81" i="49"/>
  <c r="C80" i="49"/>
  <c r="C79" i="49"/>
  <c r="C78" i="49"/>
  <c r="C77" i="49"/>
  <c r="C76" i="49"/>
  <c r="C75" i="49"/>
  <c r="C74" i="49"/>
  <c r="C73" i="49"/>
  <c r="C72" i="49"/>
  <c r="C71" i="49"/>
  <c r="C70" i="49"/>
  <c r="C69" i="49"/>
  <c r="C68" i="49"/>
  <c r="C67" i="49"/>
  <c r="C66" i="49"/>
  <c r="C65" i="49"/>
  <c r="C64" i="49"/>
  <c r="C63" i="49"/>
  <c r="C62" i="49"/>
  <c r="C61" i="49"/>
  <c r="C60" i="49"/>
  <c r="C59" i="49"/>
  <c r="C58" i="49"/>
  <c r="C57" i="49"/>
  <c r="C56" i="49"/>
  <c r="C55" i="49"/>
  <c r="C54" i="49"/>
  <c r="C52" i="49"/>
  <c r="C51" i="49"/>
  <c r="C49" i="49"/>
  <c r="C48" i="49"/>
  <c r="C47" i="49"/>
  <c r="C46" i="49"/>
  <c r="C45" i="49"/>
  <c r="C44" i="49"/>
  <c r="C43" i="49"/>
  <c r="C42" i="49"/>
  <c r="C41" i="49"/>
  <c r="C40" i="49"/>
  <c r="C39" i="49"/>
  <c r="C38" i="49"/>
  <c r="C37" i="49"/>
  <c r="C36" i="49"/>
  <c r="C35" i="49"/>
  <c r="C34" i="49"/>
  <c r="C33" i="49"/>
  <c r="C32" i="49"/>
  <c r="C31" i="49"/>
  <c r="C30" i="49"/>
  <c r="C29" i="49"/>
  <c r="C28" i="49"/>
  <c r="C27" i="49"/>
  <c r="C26" i="49"/>
  <c r="C25" i="49"/>
  <c r="C24" i="49"/>
  <c r="C23" i="49"/>
  <c r="C22" i="49"/>
  <c r="C21" i="49"/>
  <c r="C20" i="49"/>
  <c r="C19" i="49"/>
  <c r="C18" i="49"/>
  <c r="C17" i="49"/>
  <c r="C16" i="49"/>
  <c r="C15" i="49"/>
  <c r="C14" i="49"/>
  <c r="C13" i="49"/>
  <c r="C12" i="49"/>
  <c r="C11" i="49"/>
  <c r="C10" i="49"/>
  <c r="C9" i="49"/>
  <c r="C8" i="49"/>
  <c r="C7" i="49"/>
  <c r="C9" i="48"/>
  <c r="C10" i="48"/>
  <c r="C11" i="48"/>
  <c r="C12" i="48"/>
  <c r="C13" i="48"/>
  <c r="C14" i="48"/>
  <c r="C15" i="48"/>
  <c r="C16" i="48"/>
  <c r="C17" i="48"/>
  <c r="C18" i="48"/>
  <c r="C19" i="48"/>
  <c r="C20" i="48"/>
  <c r="C21" i="48"/>
  <c r="C22" i="48"/>
  <c r="C23" i="48"/>
  <c r="C24" i="48"/>
  <c r="C25" i="48"/>
  <c r="C26" i="48"/>
  <c r="C27" i="48"/>
  <c r="C28" i="48"/>
  <c r="C29" i="48"/>
  <c r="C30" i="48"/>
  <c r="C31" i="48"/>
  <c r="C32" i="48"/>
  <c r="C33" i="48"/>
  <c r="C34" i="48"/>
  <c r="C35" i="48"/>
  <c r="C36" i="48"/>
  <c r="C37" i="48"/>
  <c r="C38" i="48"/>
  <c r="C39" i="48"/>
  <c r="C40" i="48"/>
  <c r="C41" i="48"/>
  <c r="C42" i="48"/>
  <c r="C43" i="48"/>
  <c r="C44" i="48"/>
  <c r="C45" i="48"/>
  <c r="C46" i="48"/>
  <c r="C47" i="48"/>
  <c r="C48" i="48"/>
  <c r="C49" i="48"/>
  <c r="C50" i="48"/>
  <c r="C51" i="48"/>
  <c r="C52" i="48"/>
  <c r="C53" i="48"/>
  <c r="C54" i="48"/>
  <c r="C55" i="48"/>
  <c r="C56" i="48"/>
  <c r="C57" i="48"/>
  <c r="C58" i="48"/>
  <c r="C59" i="48"/>
  <c r="C60" i="48"/>
  <c r="C61" i="48"/>
  <c r="C62" i="48"/>
  <c r="C63" i="48"/>
  <c r="C64" i="48"/>
  <c r="C65" i="48"/>
  <c r="C66" i="48"/>
  <c r="C67" i="48"/>
  <c r="C68" i="48"/>
  <c r="C69" i="48"/>
  <c r="C70" i="48"/>
  <c r="C71" i="48"/>
  <c r="C72" i="48"/>
  <c r="C73" i="48"/>
  <c r="C74" i="48"/>
  <c r="C75" i="48"/>
  <c r="C76" i="48"/>
  <c r="C77" i="48"/>
  <c r="C78" i="48"/>
  <c r="C79" i="48"/>
  <c r="C80" i="48"/>
  <c r="C81" i="48"/>
  <c r="C82" i="48"/>
  <c r="C83" i="48"/>
  <c r="C84" i="48"/>
  <c r="C85" i="48"/>
  <c r="C86" i="48"/>
  <c r="C87" i="48"/>
  <c r="C88" i="48"/>
  <c r="C89" i="48"/>
  <c r="C90" i="48"/>
  <c r="C91" i="48"/>
  <c r="C92" i="48"/>
  <c r="C93" i="48"/>
  <c r="C94" i="48"/>
  <c r="C95" i="48"/>
  <c r="C96" i="48"/>
  <c r="C97" i="48"/>
  <c r="C98" i="48"/>
  <c r="C99" i="48"/>
  <c r="C100" i="48"/>
  <c r="C101" i="48"/>
  <c r="C102" i="48"/>
  <c r="C103" i="48"/>
  <c r="C104" i="48"/>
  <c r="C105" i="48"/>
  <c r="C106" i="48"/>
  <c r="C107" i="48"/>
  <c r="C108" i="48"/>
  <c r="C109" i="48"/>
  <c r="C110" i="48"/>
  <c r="C111" i="48"/>
  <c r="C112" i="48"/>
  <c r="C113" i="48"/>
  <c r="C114" i="48"/>
  <c r="C115" i="48"/>
  <c r="C116" i="48"/>
  <c r="C117" i="48"/>
  <c r="C118" i="48"/>
  <c r="C119" i="48"/>
  <c r="C120" i="48"/>
  <c r="C121" i="48"/>
  <c r="C122" i="48"/>
  <c r="C123" i="48"/>
  <c r="C124" i="48"/>
  <c r="C125" i="48"/>
  <c r="C126" i="48"/>
  <c r="C127" i="48"/>
  <c r="C129" i="48"/>
  <c r="C130" i="48"/>
  <c r="C131" i="48"/>
  <c r="C132" i="48"/>
  <c r="C133" i="48"/>
  <c r="C134" i="48"/>
  <c r="C135" i="48"/>
  <c r="C136" i="48"/>
  <c r="C137" i="48"/>
  <c r="C138" i="48"/>
  <c r="C139" i="48"/>
  <c r="C140" i="48"/>
  <c r="C141" i="48"/>
  <c r="C142" i="48"/>
  <c r="C143" i="48"/>
  <c r="C144" i="48"/>
  <c r="C145" i="48"/>
  <c r="C146" i="48"/>
  <c r="C147" i="48"/>
  <c r="C148" i="48"/>
  <c r="C149" i="48"/>
  <c r="C150" i="48"/>
  <c r="C151" i="48"/>
  <c r="C152" i="48"/>
  <c r="C153" i="48"/>
  <c r="C154" i="48"/>
  <c r="C155" i="48"/>
  <c r="C156" i="48"/>
  <c r="C157" i="48"/>
  <c r="C158" i="48"/>
  <c r="C159" i="48"/>
  <c r="C160" i="48"/>
  <c r="C161" i="48"/>
  <c r="C162" i="48"/>
  <c r="C163" i="48"/>
  <c r="C164" i="48"/>
  <c r="C165" i="48"/>
  <c r="C166" i="48"/>
  <c r="C167" i="48"/>
  <c r="C168" i="48"/>
  <c r="C169" i="48"/>
  <c r="C170" i="48"/>
  <c r="C171" i="48"/>
  <c r="C172" i="48"/>
  <c r="C173" i="48"/>
  <c r="C174" i="48"/>
  <c r="C175" i="48"/>
  <c r="C176" i="48"/>
  <c r="C177" i="48"/>
  <c r="C178" i="48"/>
  <c r="C179" i="48"/>
  <c r="C180" i="48"/>
  <c r="C181" i="48"/>
  <c r="C182" i="48"/>
  <c r="C183" i="48"/>
  <c r="C184" i="48"/>
  <c r="C185" i="48"/>
  <c r="C186" i="48"/>
  <c r="C187" i="48"/>
  <c r="C188" i="48"/>
  <c r="C189" i="48"/>
  <c r="C190" i="48"/>
  <c r="C8" i="48"/>
  <c r="E52" i="69" l="1"/>
  <c r="E51" i="69"/>
  <c r="A191" i="33" l="1"/>
  <c r="J62" i="33"/>
  <c r="J63" i="33"/>
  <c r="J64" i="33"/>
  <c r="A128" i="33"/>
  <c r="A129" i="33"/>
  <c r="C198" i="4" l="1"/>
  <c r="E3" i="70"/>
  <c r="B4" i="70"/>
  <c r="A4" i="70"/>
  <c r="B3" i="70"/>
  <c r="A3" i="70"/>
  <c r="D3" i="69"/>
  <c r="B4" i="69"/>
  <c r="B3" i="69"/>
  <c r="A4" i="69"/>
  <c r="A3" i="69"/>
  <c r="D3" i="36"/>
  <c r="D38" i="2"/>
  <c r="D37" i="2"/>
  <c r="D35" i="2"/>
  <c r="D34" i="2"/>
  <c r="D33" i="2"/>
  <c r="D31" i="2"/>
  <c r="D28" i="2"/>
  <c r="D26" i="2"/>
  <c r="G83" i="73"/>
  <c r="G82" i="73"/>
  <c r="G77" i="73"/>
  <c r="G76" i="73"/>
  <c r="G75" i="73"/>
  <c r="G73" i="73"/>
  <c r="H73" i="73" s="1"/>
  <c r="G72" i="73"/>
  <c r="H72" i="73" s="1"/>
  <c r="G71" i="73"/>
  <c r="G70" i="73"/>
  <c r="G69" i="73"/>
  <c r="G68" i="73"/>
  <c r="G66" i="73"/>
  <c r="G65" i="73"/>
  <c r="G51" i="73"/>
  <c r="G34" i="73"/>
  <c r="G33" i="73"/>
  <c r="G28" i="73"/>
  <c r="G26" i="73"/>
  <c r="G25" i="73"/>
  <c r="G14" i="73"/>
  <c r="G13" i="73"/>
  <c r="G12" i="73"/>
  <c r="G11" i="73"/>
  <c r="G10" i="73"/>
  <c r="G9" i="73"/>
  <c r="G8" i="73"/>
  <c r="G7" i="73"/>
  <c r="H7" i="73" s="1"/>
  <c r="F85" i="73"/>
  <c r="F83" i="73"/>
  <c r="F82" i="73"/>
  <c r="F79" i="73"/>
  <c r="F78" i="73"/>
  <c r="F77" i="73"/>
  <c r="H77" i="73" s="1"/>
  <c r="F76" i="73"/>
  <c r="H76" i="73" s="1"/>
  <c r="F75" i="73"/>
  <c r="H75" i="73" s="1"/>
  <c r="F73" i="73"/>
  <c r="F72" i="73"/>
  <c r="F71" i="73"/>
  <c r="F70" i="73"/>
  <c r="F69" i="73"/>
  <c r="F68" i="73"/>
  <c r="H68" i="73" s="1"/>
  <c r="F66" i="73"/>
  <c r="H66" i="73" s="1"/>
  <c r="F65" i="73"/>
  <c r="F63" i="73"/>
  <c r="F62" i="73"/>
  <c r="F61" i="73"/>
  <c r="F60" i="73"/>
  <c r="F59" i="73"/>
  <c r="F58" i="73"/>
  <c r="F57" i="73"/>
  <c r="F54" i="73"/>
  <c r="F51" i="73"/>
  <c r="F49" i="73"/>
  <c r="F34" i="73"/>
  <c r="F33" i="73"/>
  <c r="F28" i="73"/>
  <c r="F26" i="73"/>
  <c r="H26" i="73" s="1"/>
  <c r="F25" i="73"/>
  <c r="H25" i="73" s="1"/>
  <c r="F22" i="73"/>
  <c r="F20" i="73"/>
  <c r="F18" i="73"/>
  <c r="F14" i="73"/>
  <c r="F13" i="73"/>
  <c r="F12" i="73"/>
  <c r="F11" i="73"/>
  <c r="F10" i="73"/>
  <c r="H10" i="73" s="1"/>
  <c r="F9" i="73"/>
  <c r="H9" i="73" s="1"/>
  <c r="F8" i="73"/>
  <c r="F7" i="73"/>
  <c r="H87" i="73"/>
  <c r="E87" i="73"/>
  <c r="I87" i="73" s="1"/>
  <c r="J87" i="73" s="1"/>
  <c r="H86" i="73"/>
  <c r="E86" i="73"/>
  <c r="I86" i="73" s="1"/>
  <c r="J86" i="73" s="1"/>
  <c r="H83" i="73"/>
  <c r="H82" i="73"/>
  <c r="H81" i="73"/>
  <c r="I81" i="73" s="1"/>
  <c r="E81" i="73"/>
  <c r="H79" i="73"/>
  <c r="H78" i="73"/>
  <c r="D72" i="73"/>
  <c r="H71" i="73"/>
  <c r="H70" i="73"/>
  <c r="H69" i="73"/>
  <c r="H65" i="73"/>
  <c r="J64" i="73"/>
  <c r="H51" i="73"/>
  <c r="H41" i="73"/>
  <c r="E41" i="73"/>
  <c r="I41" i="73" s="1"/>
  <c r="J41" i="73" s="1"/>
  <c r="H40" i="73"/>
  <c r="E40" i="73"/>
  <c r="I40" i="73" s="1"/>
  <c r="J40" i="73" s="1"/>
  <c r="H34" i="73"/>
  <c r="H33" i="73"/>
  <c r="H30" i="73"/>
  <c r="E30" i="73"/>
  <c r="I30" i="73" s="1"/>
  <c r="H29" i="73"/>
  <c r="E29" i="73"/>
  <c r="I29" i="73" s="1"/>
  <c r="J29" i="73" s="1"/>
  <c r="H28" i="73"/>
  <c r="J27" i="73"/>
  <c r="J24" i="73"/>
  <c r="I16" i="73"/>
  <c r="I15" i="73"/>
  <c r="H14" i="73"/>
  <c r="H13" i="73"/>
  <c r="H12" i="73"/>
  <c r="H11" i="73"/>
  <c r="H8" i="73"/>
  <c r="F4" i="73"/>
  <c r="F45" i="73" s="1"/>
  <c r="C4" i="73"/>
  <c r="C45" i="73" s="1"/>
  <c r="C3" i="73"/>
  <c r="A3" i="73"/>
  <c r="F2" i="73"/>
  <c r="C2" i="73"/>
  <c r="A2" i="73"/>
  <c r="G86" i="56"/>
  <c r="H86" i="56" s="1"/>
  <c r="I86" i="56" s="1"/>
  <c r="F86" i="56"/>
  <c r="E86" i="56"/>
  <c r="G84" i="56"/>
  <c r="H84" i="56" s="1"/>
  <c r="F84" i="56"/>
  <c r="E82" i="56"/>
  <c r="I82" i="56" s="1"/>
  <c r="H82" i="56"/>
  <c r="G83" i="56"/>
  <c r="H83" i="56" s="1"/>
  <c r="F83" i="56"/>
  <c r="E83" i="56"/>
  <c r="F80" i="56"/>
  <c r="H80" i="56" s="1"/>
  <c r="I80" i="56" s="1"/>
  <c r="F79" i="56"/>
  <c r="H79" i="56" s="1"/>
  <c r="G78" i="56"/>
  <c r="F78" i="56"/>
  <c r="G77" i="56"/>
  <c r="F77" i="56"/>
  <c r="G76" i="56"/>
  <c r="F76" i="56"/>
  <c r="H76" i="56" s="1"/>
  <c r="E79" i="56"/>
  <c r="E77" i="56"/>
  <c r="E80" i="56"/>
  <c r="E76" i="56"/>
  <c r="G74" i="56"/>
  <c r="F74" i="56"/>
  <c r="H74" i="56" s="1"/>
  <c r="F73" i="56"/>
  <c r="H73" i="56" s="1"/>
  <c r="I73" i="56" s="1"/>
  <c r="G73" i="56"/>
  <c r="E74" i="56"/>
  <c r="E73" i="56"/>
  <c r="G72" i="56"/>
  <c r="F72" i="56"/>
  <c r="E72" i="56"/>
  <c r="G71" i="56"/>
  <c r="H71" i="56" s="1"/>
  <c r="F71" i="56"/>
  <c r="E71" i="56"/>
  <c r="G70" i="56"/>
  <c r="F70" i="56"/>
  <c r="H70" i="56" s="1"/>
  <c r="E70" i="56"/>
  <c r="H72" i="56"/>
  <c r="G69" i="56"/>
  <c r="F69" i="56"/>
  <c r="H69" i="56" s="1"/>
  <c r="E69" i="56"/>
  <c r="G67" i="56"/>
  <c r="F67" i="56"/>
  <c r="H67" i="56" s="1"/>
  <c r="I67" i="56" s="1"/>
  <c r="E67" i="56"/>
  <c r="G66" i="56"/>
  <c r="F66" i="56"/>
  <c r="H66" i="56" s="1"/>
  <c r="E66" i="56"/>
  <c r="F64" i="56"/>
  <c r="G64" i="56"/>
  <c r="H63" i="56"/>
  <c r="G63" i="56"/>
  <c r="F63" i="56"/>
  <c r="E64" i="56"/>
  <c r="E63" i="56"/>
  <c r="H62" i="56"/>
  <c r="G62" i="56"/>
  <c r="F62" i="56"/>
  <c r="E62" i="56"/>
  <c r="G61" i="56"/>
  <c r="F61" i="56"/>
  <c r="H61" i="56" s="1"/>
  <c r="E61" i="56"/>
  <c r="H59" i="56"/>
  <c r="H60" i="56"/>
  <c r="G60" i="56"/>
  <c r="G59" i="56"/>
  <c r="F60" i="56"/>
  <c r="F59" i="56"/>
  <c r="E60" i="56"/>
  <c r="E59" i="56"/>
  <c r="H58" i="56"/>
  <c r="G58" i="56"/>
  <c r="F58" i="56"/>
  <c r="E58" i="56"/>
  <c r="G55" i="56"/>
  <c r="H55" i="56" s="1"/>
  <c r="I55" i="56" s="1"/>
  <c r="F55" i="56"/>
  <c r="E55" i="56"/>
  <c r="H52" i="56"/>
  <c r="G52" i="56"/>
  <c r="F52" i="56"/>
  <c r="E52" i="56"/>
  <c r="G50" i="56"/>
  <c r="F50" i="56"/>
  <c r="H50" i="56" s="1"/>
  <c r="I50" i="56" s="1"/>
  <c r="E50" i="56"/>
  <c r="H34" i="56"/>
  <c r="G34" i="56"/>
  <c r="F34" i="56"/>
  <c r="E34" i="56"/>
  <c r="I34" i="56" s="1"/>
  <c r="G33" i="56"/>
  <c r="F33" i="56"/>
  <c r="H33" i="56" s="1"/>
  <c r="E33" i="56"/>
  <c r="G28" i="56"/>
  <c r="F28" i="56"/>
  <c r="E28" i="56"/>
  <c r="G26" i="56"/>
  <c r="F26" i="56"/>
  <c r="H26" i="56" s="1"/>
  <c r="H25" i="56"/>
  <c r="G25" i="56"/>
  <c r="F25" i="56"/>
  <c r="E26" i="56"/>
  <c r="E22" i="56"/>
  <c r="D23" i="56" s="1"/>
  <c r="E23" i="56" s="1"/>
  <c r="E25" i="56"/>
  <c r="G22" i="56"/>
  <c r="F22" i="56"/>
  <c r="H22" i="56" s="1"/>
  <c r="H20" i="56"/>
  <c r="G20" i="56"/>
  <c r="F20" i="56"/>
  <c r="G18" i="56"/>
  <c r="E20" i="56"/>
  <c r="D21" i="56" s="1"/>
  <c r="E21" i="56" s="1"/>
  <c r="F18" i="56"/>
  <c r="H18" i="56" s="1"/>
  <c r="E18" i="56"/>
  <c r="D19" i="56" s="1"/>
  <c r="E19" i="56" s="1"/>
  <c r="H12" i="56"/>
  <c r="G14" i="56"/>
  <c r="G13" i="56"/>
  <c r="G12" i="56"/>
  <c r="G11" i="56"/>
  <c r="F12" i="56"/>
  <c r="F13" i="56"/>
  <c r="H13" i="56" s="1"/>
  <c r="F14" i="56"/>
  <c r="H14" i="56" s="1"/>
  <c r="F11" i="56"/>
  <c r="H11" i="56" s="1"/>
  <c r="E12" i="56"/>
  <c r="I12" i="56" s="1"/>
  <c r="E13" i="56"/>
  <c r="I13" i="56" s="1"/>
  <c r="E14" i="56"/>
  <c r="G10" i="56"/>
  <c r="F10" i="56"/>
  <c r="H10" i="56" s="1"/>
  <c r="I10" i="56" s="1"/>
  <c r="E10" i="56"/>
  <c r="I15" i="56"/>
  <c r="I16" i="56"/>
  <c r="G9" i="56"/>
  <c r="H9" i="56" s="1"/>
  <c r="F9" i="56"/>
  <c r="E9" i="56"/>
  <c r="F8" i="56"/>
  <c r="E8" i="56"/>
  <c r="G8" i="56"/>
  <c r="H7" i="56"/>
  <c r="G7" i="56"/>
  <c r="F7" i="56"/>
  <c r="E7" i="56"/>
  <c r="E75" i="53"/>
  <c r="F7" i="53"/>
  <c r="K7" i="53" s="1"/>
  <c r="L7" i="53" s="1"/>
  <c r="F7" i="49"/>
  <c r="K7" i="49"/>
  <c r="H78" i="53"/>
  <c r="I78" i="53" s="1"/>
  <c r="H79" i="53"/>
  <c r="I79" i="53" s="1"/>
  <c r="H80" i="53"/>
  <c r="I80" i="53" s="1"/>
  <c r="G78" i="53"/>
  <c r="G79" i="53"/>
  <c r="G80" i="53"/>
  <c r="F9" i="53"/>
  <c r="F10" i="53"/>
  <c r="F11" i="53"/>
  <c r="F12" i="53"/>
  <c r="F13" i="53"/>
  <c r="F14" i="53"/>
  <c r="F15" i="53"/>
  <c r="F16" i="53"/>
  <c r="F17" i="53"/>
  <c r="F18" i="53"/>
  <c r="F19" i="53"/>
  <c r="F20" i="53"/>
  <c r="F21" i="53"/>
  <c r="F22" i="53"/>
  <c r="F23" i="53"/>
  <c r="F24" i="53"/>
  <c r="F25" i="53"/>
  <c r="F26" i="53"/>
  <c r="F27" i="53"/>
  <c r="F28" i="53"/>
  <c r="F29" i="53"/>
  <c r="F30" i="53"/>
  <c r="F31" i="53"/>
  <c r="F32" i="53"/>
  <c r="F33" i="53"/>
  <c r="F34" i="53"/>
  <c r="F35" i="53"/>
  <c r="F36" i="53"/>
  <c r="F37" i="53"/>
  <c r="F38" i="53"/>
  <c r="F39" i="53"/>
  <c r="F40" i="53"/>
  <c r="F41" i="53"/>
  <c r="F42" i="53"/>
  <c r="F43" i="53"/>
  <c r="F44" i="53"/>
  <c r="F45" i="53"/>
  <c r="F46" i="53"/>
  <c r="F47" i="53"/>
  <c r="F48" i="53"/>
  <c r="F49" i="53"/>
  <c r="F51" i="53"/>
  <c r="F52" i="53"/>
  <c r="F54" i="53"/>
  <c r="F55" i="53"/>
  <c r="F56" i="53"/>
  <c r="F57" i="53"/>
  <c r="F58" i="53"/>
  <c r="F59" i="53"/>
  <c r="F60" i="53"/>
  <c r="F61" i="53"/>
  <c r="F62" i="53"/>
  <c r="F63" i="53"/>
  <c r="F64" i="53"/>
  <c r="F65" i="53"/>
  <c r="F66" i="53"/>
  <c r="F67" i="53"/>
  <c r="F68" i="53"/>
  <c r="F69" i="53"/>
  <c r="F70" i="53"/>
  <c r="F71" i="53"/>
  <c r="F72" i="53"/>
  <c r="F73" i="53"/>
  <c r="F74" i="53"/>
  <c r="F75" i="53"/>
  <c r="F76" i="53"/>
  <c r="F77" i="53"/>
  <c r="F78" i="53"/>
  <c r="F79" i="53"/>
  <c r="F80" i="53"/>
  <c r="F81" i="53"/>
  <c r="F82" i="53"/>
  <c r="F83" i="53"/>
  <c r="F84" i="53"/>
  <c r="F85" i="53"/>
  <c r="F86" i="53"/>
  <c r="F87" i="53"/>
  <c r="F88" i="53"/>
  <c r="F89" i="53"/>
  <c r="F90" i="53"/>
  <c r="F91" i="53"/>
  <c r="F92" i="53"/>
  <c r="F8" i="53"/>
  <c r="E8" i="53"/>
  <c r="E9" i="53"/>
  <c r="E10" i="53"/>
  <c r="E11" i="53"/>
  <c r="E12" i="53"/>
  <c r="E13" i="53"/>
  <c r="E14" i="53"/>
  <c r="E15" i="53"/>
  <c r="E16" i="53"/>
  <c r="E17" i="53"/>
  <c r="E18" i="53"/>
  <c r="E19" i="53"/>
  <c r="E20" i="53"/>
  <c r="E21" i="53"/>
  <c r="E22" i="53"/>
  <c r="E23" i="53"/>
  <c r="E24" i="53"/>
  <c r="E25" i="53"/>
  <c r="E26" i="53"/>
  <c r="E27" i="53"/>
  <c r="E28" i="53"/>
  <c r="E29" i="53"/>
  <c r="E30" i="53"/>
  <c r="E31" i="53"/>
  <c r="E32" i="53"/>
  <c r="E33" i="53"/>
  <c r="E34" i="53"/>
  <c r="E35" i="53"/>
  <c r="E36" i="53"/>
  <c r="E37" i="53"/>
  <c r="E38" i="53"/>
  <c r="E39" i="53"/>
  <c r="E40" i="53"/>
  <c r="E41" i="53"/>
  <c r="E42" i="53"/>
  <c r="E43" i="53"/>
  <c r="E44" i="53"/>
  <c r="E45" i="53"/>
  <c r="E46" i="53"/>
  <c r="E47" i="53"/>
  <c r="E48" i="53"/>
  <c r="E49" i="53"/>
  <c r="E51" i="53"/>
  <c r="E52" i="53"/>
  <c r="E54" i="53"/>
  <c r="E55" i="53"/>
  <c r="E56" i="53"/>
  <c r="E57" i="53"/>
  <c r="E58" i="53"/>
  <c r="E59" i="53"/>
  <c r="E60" i="53"/>
  <c r="E61" i="53"/>
  <c r="E62" i="53"/>
  <c r="E63" i="53"/>
  <c r="E64" i="53"/>
  <c r="E65" i="53"/>
  <c r="E66" i="53"/>
  <c r="E67" i="53"/>
  <c r="E68" i="53"/>
  <c r="E69" i="53"/>
  <c r="E70" i="53"/>
  <c r="E71" i="53"/>
  <c r="E72" i="53"/>
  <c r="E73" i="53"/>
  <c r="E74" i="53"/>
  <c r="E76" i="53"/>
  <c r="E77" i="53"/>
  <c r="E78" i="53"/>
  <c r="E79" i="53"/>
  <c r="E80" i="53"/>
  <c r="E81" i="53"/>
  <c r="E82" i="53"/>
  <c r="E83" i="53"/>
  <c r="E84" i="53"/>
  <c r="E85" i="53"/>
  <c r="E86" i="53"/>
  <c r="E87" i="53"/>
  <c r="E88" i="53"/>
  <c r="E89" i="53"/>
  <c r="E90" i="53"/>
  <c r="E91" i="53"/>
  <c r="E92" i="53"/>
  <c r="E7" i="53"/>
  <c r="C78" i="53"/>
  <c r="C79" i="53"/>
  <c r="C80" i="53"/>
  <c r="I60" i="52"/>
  <c r="I129" i="52"/>
  <c r="I146" i="52"/>
  <c r="I159" i="52"/>
  <c r="I172" i="52"/>
  <c r="I175" i="52"/>
  <c r="H60" i="52"/>
  <c r="H129" i="52"/>
  <c r="H146" i="52"/>
  <c r="H159" i="52"/>
  <c r="H172" i="52"/>
  <c r="H175" i="52"/>
  <c r="F51" i="52"/>
  <c r="F52" i="52"/>
  <c r="F53" i="52"/>
  <c r="F54" i="52"/>
  <c r="F55" i="52"/>
  <c r="F56" i="52"/>
  <c r="F57" i="52"/>
  <c r="F58" i="52"/>
  <c r="F59" i="52"/>
  <c r="F60" i="52"/>
  <c r="F61" i="52"/>
  <c r="F62" i="52"/>
  <c r="F63" i="52"/>
  <c r="F64" i="52"/>
  <c r="F65" i="52"/>
  <c r="F66" i="52"/>
  <c r="F67" i="52"/>
  <c r="F68" i="52"/>
  <c r="F69" i="52"/>
  <c r="F70" i="52"/>
  <c r="F71" i="52"/>
  <c r="F72" i="52"/>
  <c r="F73" i="52"/>
  <c r="F74" i="52"/>
  <c r="F75" i="52"/>
  <c r="F76" i="52"/>
  <c r="F77" i="52"/>
  <c r="F78" i="52"/>
  <c r="F79" i="52"/>
  <c r="F80" i="52"/>
  <c r="F81" i="52"/>
  <c r="F82" i="52"/>
  <c r="F83" i="52"/>
  <c r="F84" i="52"/>
  <c r="F85" i="52"/>
  <c r="F86" i="52"/>
  <c r="F87" i="52"/>
  <c r="F88" i="52"/>
  <c r="F89" i="52"/>
  <c r="F90" i="52"/>
  <c r="F91" i="52"/>
  <c r="F92" i="52"/>
  <c r="F93" i="52"/>
  <c r="F94" i="52"/>
  <c r="F95" i="52"/>
  <c r="F96" i="52"/>
  <c r="F97" i="52"/>
  <c r="F98" i="52"/>
  <c r="F99" i="52"/>
  <c r="F100" i="52"/>
  <c r="F101" i="52"/>
  <c r="F102" i="52"/>
  <c r="F103" i="52"/>
  <c r="F104" i="52"/>
  <c r="F105" i="52"/>
  <c r="F106" i="52"/>
  <c r="F107" i="52"/>
  <c r="F108" i="52"/>
  <c r="F109" i="52"/>
  <c r="F110" i="52"/>
  <c r="F111" i="52"/>
  <c r="F112" i="52"/>
  <c r="F113" i="52"/>
  <c r="F114" i="52"/>
  <c r="F115" i="52"/>
  <c r="F116" i="52"/>
  <c r="F117" i="52"/>
  <c r="F118" i="52"/>
  <c r="F119" i="52"/>
  <c r="F120" i="52"/>
  <c r="F121" i="52"/>
  <c r="F122" i="52"/>
  <c r="F123" i="52"/>
  <c r="F124" i="52"/>
  <c r="F125" i="52"/>
  <c r="F126" i="52"/>
  <c r="F127" i="52"/>
  <c r="F129" i="52"/>
  <c r="F130" i="52"/>
  <c r="F131" i="52"/>
  <c r="F132" i="52"/>
  <c r="F133" i="52"/>
  <c r="F134" i="52"/>
  <c r="F135" i="52"/>
  <c r="F136" i="52"/>
  <c r="F137" i="52"/>
  <c r="F138" i="52"/>
  <c r="F139" i="52"/>
  <c r="F140" i="52"/>
  <c r="F141" i="52"/>
  <c r="F142" i="52"/>
  <c r="F143" i="52"/>
  <c r="F144" i="52"/>
  <c r="F145" i="52"/>
  <c r="F146" i="52"/>
  <c r="F147" i="52"/>
  <c r="F148" i="52"/>
  <c r="F149" i="52"/>
  <c r="F150" i="52"/>
  <c r="F151" i="52"/>
  <c r="F152" i="52"/>
  <c r="F153" i="52"/>
  <c r="F154" i="52"/>
  <c r="F155" i="52"/>
  <c r="F156" i="52"/>
  <c r="F157" i="52"/>
  <c r="F158" i="52"/>
  <c r="F159" i="52"/>
  <c r="F160" i="52"/>
  <c r="F161" i="52"/>
  <c r="F162" i="52"/>
  <c r="F163" i="52"/>
  <c r="F164" i="52"/>
  <c r="F165" i="52"/>
  <c r="F166" i="52"/>
  <c r="F167" i="52"/>
  <c r="F168" i="52"/>
  <c r="F169" i="52"/>
  <c r="F170" i="52"/>
  <c r="F171" i="52"/>
  <c r="F172" i="52"/>
  <c r="F173" i="52"/>
  <c r="F174" i="52"/>
  <c r="F175" i="52"/>
  <c r="F176" i="52"/>
  <c r="F177" i="52"/>
  <c r="F178" i="52"/>
  <c r="F179" i="52"/>
  <c r="F180" i="52"/>
  <c r="F181" i="52"/>
  <c r="F182" i="52"/>
  <c r="F183" i="52"/>
  <c r="F184" i="52"/>
  <c r="F185" i="52"/>
  <c r="F186" i="52"/>
  <c r="F187" i="52"/>
  <c r="F188" i="52"/>
  <c r="F189" i="52"/>
  <c r="F190" i="52"/>
  <c r="F9" i="52"/>
  <c r="F10" i="52"/>
  <c r="F11" i="52"/>
  <c r="F12" i="52"/>
  <c r="F13" i="52"/>
  <c r="F14" i="52"/>
  <c r="F15" i="52"/>
  <c r="F16" i="52"/>
  <c r="F17" i="52"/>
  <c r="F18" i="52"/>
  <c r="F19" i="52"/>
  <c r="F20" i="52"/>
  <c r="F21" i="52"/>
  <c r="F22" i="52"/>
  <c r="F23" i="52"/>
  <c r="F24" i="52"/>
  <c r="F25" i="52"/>
  <c r="F26" i="52"/>
  <c r="F27" i="52"/>
  <c r="F28" i="52"/>
  <c r="F29" i="52"/>
  <c r="F30" i="52"/>
  <c r="F31" i="52"/>
  <c r="F32" i="52"/>
  <c r="F33" i="52"/>
  <c r="F34" i="52"/>
  <c r="F35" i="52"/>
  <c r="F36" i="52"/>
  <c r="F37" i="52"/>
  <c r="F38" i="52"/>
  <c r="F39" i="52"/>
  <c r="F40" i="52"/>
  <c r="F41" i="52"/>
  <c r="F42" i="52"/>
  <c r="F43" i="52"/>
  <c r="F44" i="52"/>
  <c r="F45" i="52"/>
  <c r="F46" i="52"/>
  <c r="F47" i="52"/>
  <c r="F48" i="52"/>
  <c r="F49" i="52"/>
  <c r="F50" i="52"/>
  <c r="F8" i="52"/>
  <c r="G60" i="52"/>
  <c r="G129" i="52"/>
  <c r="G146" i="52"/>
  <c r="G159" i="52"/>
  <c r="G172" i="52"/>
  <c r="G175" i="52"/>
  <c r="E51" i="52"/>
  <c r="E52" i="52"/>
  <c r="E53" i="52"/>
  <c r="E54" i="52"/>
  <c r="E55" i="52"/>
  <c r="E56" i="52"/>
  <c r="E57" i="52"/>
  <c r="E58" i="52"/>
  <c r="E59" i="52"/>
  <c r="E60" i="52"/>
  <c r="E61" i="52"/>
  <c r="E62" i="52"/>
  <c r="E63" i="52"/>
  <c r="E64" i="52"/>
  <c r="E65" i="52"/>
  <c r="E66" i="52"/>
  <c r="E67" i="52"/>
  <c r="E68" i="52"/>
  <c r="E69" i="52"/>
  <c r="E70" i="52"/>
  <c r="E71" i="52"/>
  <c r="E72" i="52"/>
  <c r="E73" i="52"/>
  <c r="E74" i="52"/>
  <c r="E75" i="52"/>
  <c r="E76" i="52"/>
  <c r="E77" i="52"/>
  <c r="E78" i="52"/>
  <c r="E79" i="52"/>
  <c r="E80" i="52"/>
  <c r="E81" i="52"/>
  <c r="E82" i="52"/>
  <c r="E83" i="52"/>
  <c r="E84" i="52"/>
  <c r="E85" i="52"/>
  <c r="E86" i="52"/>
  <c r="E87" i="52"/>
  <c r="E88" i="52"/>
  <c r="E89" i="52"/>
  <c r="E90" i="52"/>
  <c r="E91" i="52"/>
  <c r="E92" i="52"/>
  <c r="E93" i="52"/>
  <c r="E94" i="52"/>
  <c r="E95" i="52"/>
  <c r="E96" i="52"/>
  <c r="E97" i="52"/>
  <c r="E98" i="52"/>
  <c r="E99" i="52"/>
  <c r="E100" i="52"/>
  <c r="E101" i="52"/>
  <c r="E102" i="52"/>
  <c r="E103" i="52"/>
  <c r="E104" i="52"/>
  <c r="E105" i="52"/>
  <c r="E106" i="52"/>
  <c r="E107" i="52"/>
  <c r="E108" i="52"/>
  <c r="E109" i="52"/>
  <c r="E110" i="52"/>
  <c r="E111" i="52"/>
  <c r="E112" i="52"/>
  <c r="E113" i="52"/>
  <c r="E114" i="52"/>
  <c r="E115" i="52"/>
  <c r="E116" i="52"/>
  <c r="E117" i="52"/>
  <c r="E118" i="52"/>
  <c r="E119" i="52"/>
  <c r="E120" i="52"/>
  <c r="E121" i="52"/>
  <c r="E122" i="52"/>
  <c r="E123" i="52"/>
  <c r="E124" i="52"/>
  <c r="E125" i="52"/>
  <c r="E126" i="52"/>
  <c r="E127" i="52"/>
  <c r="E129" i="52"/>
  <c r="E130" i="52"/>
  <c r="E131" i="52"/>
  <c r="E132" i="52"/>
  <c r="E133" i="52"/>
  <c r="E134" i="52"/>
  <c r="E135" i="52"/>
  <c r="E136" i="52"/>
  <c r="E137" i="52"/>
  <c r="E138" i="52"/>
  <c r="E139" i="52"/>
  <c r="E140" i="52"/>
  <c r="E141" i="52"/>
  <c r="E142" i="52"/>
  <c r="E143" i="52"/>
  <c r="E144" i="52"/>
  <c r="E145" i="52"/>
  <c r="E146" i="52"/>
  <c r="E147" i="52"/>
  <c r="E148" i="52"/>
  <c r="E149" i="52"/>
  <c r="E150" i="52"/>
  <c r="E151" i="52"/>
  <c r="E152" i="52"/>
  <c r="E153" i="52"/>
  <c r="E154" i="52"/>
  <c r="E155" i="52"/>
  <c r="E156" i="52"/>
  <c r="E157" i="52"/>
  <c r="E158" i="52"/>
  <c r="E159" i="52"/>
  <c r="E160" i="52"/>
  <c r="E161" i="52"/>
  <c r="E162" i="52"/>
  <c r="E163" i="52"/>
  <c r="E164" i="52"/>
  <c r="E165" i="52"/>
  <c r="E166" i="52"/>
  <c r="E167" i="52"/>
  <c r="E168" i="52"/>
  <c r="E169" i="52"/>
  <c r="E170" i="52"/>
  <c r="E171" i="52"/>
  <c r="E172" i="52"/>
  <c r="E173" i="52"/>
  <c r="E174" i="52"/>
  <c r="E175" i="52"/>
  <c r="E176" i="52"/>
  <c r="E177" i="52"/>
  <c r="E178" i="52"/>
  <c r="E179" i="52"/>
  <c r="E180" i="52"/>
  <c r="E181" i="52"/>
  <c r="E182" i="52"/>
  <c r="E183" i="52"/>
  <c r="E184" i="52"/>
  <c r="E185" i="52"/>
  <c r="E186" i="52"/>
  <c r="E187" i="52"/>
  <c r="E188" i="52"/>
  <c r="E189" i="52"/>
  <c r="E190" i="52"/>
  <c r="E9" i="52"/>
  <c r="E10" i="52"/>
  <c r="E11" i="52"/>
  <c r="E12" i="52"/>
  <c r="E13" i="52"/>
  <c r="E14" i="52"/>
  <c r="E15" i="52"/>
  <c r="E16" i="52"/>
  <c r="E17" i="52"/>
  <c r="E18" i="52"/>
  <c r="E19" i="52"/>
  <c r="E20" i="52"/>
  <c r="E21" i="52"/>
  <c r="E22" i="52"/>
  <c r="E23" i="52"/>
  <c r="E24" i="52"/>
  <c r="E25" i="52"/>
  <c r="E26" i="52"/>
  <c r="E27" i="52"/>
  <c r="E28" i="52"/>
  <c r="E29" i="52"/>
  <c r="E30" i="52"/>
  <c r="E31" i="52"/>
  <c r="E32" i="52"/>
  <c r="E33" i="52"/>
  <c r="E34" i="52"/>
  <c r="E35" i="52"/>
  <c r="E36" i="52"/>
  <c r="E37" i="52"/>
  <c r="E38" i="52"/>
  <c r="E39" i="52"/>
  <c r="E40" i="52"/>
  <c r="E41" i="52"/>
  <c r="E42" i="52"/>
  <c r="E43" i="52"/>
  <c r="E44" i="52"/>
  <c r="E45" i="52"/>
  <c r="E46" i="52"/>
  <c r="E47" i="52"/>
  <c r="E48" i="52"/>
  <c r="E49" i="52"/>
  <c r="E50" i="52"/>
  <c r="C60" i="52"/>
  <c r="C129" i="52"/>
  <c r="C146" i="52"/>
  <c r="C159" i="52"/>
  <c r="C172" i="52"/>
  <c r="C175" i="52"/>
  <c r="A8" i="52"/>
  <c r="A9" i="52"/>
  <c r="A10" i="52"/>
  <c r="A11" i="52"/>
  <c r="A12" i="52"/>
  <c r="A13" i="52"/>
  <c r="A14" i="52"/>
  <c r="A15" i="52"/>
  <c r="A16" i="52"/>
  <c r="A17" i="52"/>
  <c r="A18" i="52"/>
  <c r="A19" i="52"/>
  <c r="A20" i="52"/>
  <c r="A21" i="52"/>
  <c r="A22" i="52"/>
  <c r="A23" i="52"/>
  <c r="A24" i="52"/>
  <c r="A25" i="52"/>
  <c r="A26" i="52"/>
  <c r="A27" i="52"/>
  <c r="A28" i="52"/>
  <c r="A29" i="52"/>
  <c r="A30" i="52"/>
  <c r="A31" i="52"/>
  <c r="A32" i="52"/>
  <c r="A33" i="52"/>
  <c r="A34" i="52"/>
  <c r="A35" i="52"/>
  <c r="A36" i="52"/>
  <c r="A37" i="52"/>
  <c r="A38" i="52"/>
  <c r="A39" i="52"/>
  <c r="A40" i="52"/>
  <c r="A41" i="52"/>
  <c r="A42" i="52"/>
  <c r="A43" i="52"/>
  <c r="A44" i="52"/>
  <c r="A45" i="52"/>
  <c r="A46" i="52"/>
  <c r="A47" i="52"/>
  <c r="A48" i="52"/>
  <c r="A49" i="52"/>
  <c r="A50" i="52"/>
  <c r="A51" i="52"/>
  <c r="A52" i="52"/>
  <c r="A53" i="52"/>
  <c r="A54" i="52"/>
  <c r="A55" i="52"/>
  <c r="A56" i="52"/>
  <c r="A57" i="52"/>
  <c r="A58" i="52"/>
  <c r="A59" i="52"/>
  <c r="A60" i="52"/>
  <c r="A61" i="52"/>
  <c r="A62" i="52"/>
  <c r="A63" i="52"/>
  <c r="A64" i="52"/>
  <c r="A65" i="52"/>
  <c r="A66" i="52"/>
  <c r="A67" i="52"/>
  <c r="A68" i="52"/>
  <c r="A69" i="52"/>
  <c r="A70" i="52"/>
  <c r="A71" i="52"/>
  <c r="A72" i="52"/>
  <c r="A73" i="52"/>
  <c r="A74" i="52"/>
  <c r="A75" i="52"/>
  <c r="A76" i="52"/>
  <c r="A77" i="52"/>
  <c r="A78" i="52"/>
  <c r="A79" i="52"/>
  <c r="A80" i="52"/>
  <c r="A81" i="52"/>
  <c r="A82" i="52"/>
  <c r="A83" i="52"/>
  <c r="A84" i="52"/>
  <c r="A85" i="52"/>
  <c r="A86" i="52"/>
  <c r="A87" i="52"/>
  <c r="A88" i="52"/>
  <c r="A89" i="52"/>
  <c r="A90" i="52"/>
  <c r="A91" i="52"/>
  <c r="A92" i="52"/>
  <c r="A93" i="52"/>
  <c r="A94" i="52"/>
  <c r="A95" i="52"/>
  <c r="A96" i="52"/>
  <c r="A97" i="52"/>
  <c r="A98" i="52"/>
  <c r="A99" i="52"/>
  <c r="A100" i="52"/>
  <c r="A101" i="52"/>
  <c r="A102" i="52"/>
  <c r="A103" i="52"/>
  <c r="A104" i="52"/>
  <c r="A105" i="52"/>
  <c r="A106" i="52"/>
  <c r="A107" i="52"/>
  <c r="A108" i="52"/>
  <c r="A109" i="52"/>
  <c r="A110" i="52"/>
  <c r="A111" i="52"/>
  <c r="A112" i="52"/>
  <c r="A113" i="52"/>
  <c r="A114" i="52"/>
  <c r="A115" i="52"/>
  <c r="A116" i="52"/>
  <c r="A117" i="52"/>
  <c r="A118" i="52"/>
  <c r="A119" i="52"/>
  <c r="A120" i="52"/>
  <c r="A121" i="52"/>
  <c r="A122" i="52"/>
  <c r="A123" i="52"/>
  <c r="A124" i="52"/>
  <c r="A125" i="52"/>
  <c r="A126" i="52"/>
  <c r="A127" i="52"/>
  <c r="A129" i="52"/>
  <c r="A130" i="52"/>
  <c r="A131" i="52"/>
  <c r="A132" i="52"/>
  <c r="A133" i="52"/>
  <c r="A134" i="52"/>
  <c r="A135" i="52"/>
  <c r="A136" i="52"/>
  <c r="A137" i="52"/>
  <c r="A138" i="52"/>
  <c r="A139" i="52"/>
  <c r="A140" i="52"/>
  <c r="A141" i="52"/>
  <c r="A142" i="52"/>
  <c r="A143" i="52"/>
  <c r="A144" i="52"/>
  <c r="A145" i="52"/>
  <c r="A146" i="52"/>
  <c r="A147" i="52"/>
  <c r="A148" i="52"/>
  <c r="A149" i="52"/>
  <c r="A150" i="52"/>
  <c r="A151" i="52"/>
  <c r="A152" i="52"/>
  <c r="A153" i="52"/>
  <c r="A154" i="52"/>
  <c r="A155" i="52"/>
  <c r="A156" i="52"/>
  <c r="A157" i="52"/>
  <c r="A158" i="52"/>
  <c r="A159" i="52"/>
  <c r="A160" i="52"/>
  <c r="A161" i="52"/>
  <c r="A162" i="52"/>
  <c r="A163" i="52"/>
  <c r="A164" i="52"/>
  <c r="A165" i="52"/>
  <c r="A166" i="52"/>
  <c r="A167" i="52"/>
  <c r="A168" i="52"/>
  <c r="A169" i="52"/>
  <c r="A170" i="52"/>
  <c r="A171" i="52"/>
  <c r="A172" i="52"/>
  <c r="A173" i="52"/>
  <c r="A174" i="52"/>
  <c r="A176" i="52"/>
  <c r="A177" i="52"/>
  <c r="A178" i="52"/>
  <c r="A179" i="52"/>
  <c r="A180" i="52"/>
  <c r="A181" i="52"/>
  <c r="A182" i="52"/>
  <c r="A183" i="52"/>
  <c r="A184" i="52"/>
  <c r="A185" i="52"/>
  <c r="A186" i="52"/>
  <c r="A187" i="52"/>
  <c r="A188" i="52"/>
  <c r="A189" i="52"/>
  <c r="A190" i="52"/>
  <c r="B164" i="52"/>
  <c r="B165" i="52"/>
  <c r="B166" i="52"/>
  <c r="B167" i="52"/>
  <c r="B168" i="52"/>
  <c r="B169" i="52"/>
  <c r="B170" i="52"/>
  <c r="B171" i="52"/>
  <c r="B172" i="52"/>
  <c r="B173" i="52"/>
  <c r="B174" i="52"/>
  <c r="B175" i="52"/>
  <c r="B176" i="52"/>
  <c r="B177" i="52"/>
  <c r="B178" i="52"/>
  <c r="B179" i="52"/>
  <c r="B180" i="52"/>
  <c r="B181" i="52"/>
  <c r="B182" i="52"/>
  <c r="B183" i="52"/>
  <c r="B184" i="52"/>
  <c r="B185" i="52"/>
  <c r="B186" i="52"/>
  <c r="B187" i="52"/>
  <c r="B188" i="52"/>
  <c r="B189" i="52"/>
  <c r="B88" i="52"/>
  <c r="B89" i="52"/>
  <c r="B90" i="52"/>
  <c r="B91" i="52"/>
  <c r="B92" i="52"/>
  <c r="B93" i="52"/>
  <c r="B94" i="52"/>
  <c r="B95" i="52"/>
  <c r="B96" i="52"/>
  <c r="B97" i="52"/>
  <c r="B98" i="52"/>
  <c r="B99" i="52"/>
  <c r="B100" i="52"/>
  <c r="B101" i="52"/>
  <c r="B102" i="52"/>
  <c r="B103" i="52"/>
  <c r="B104" i="52"/>
  <c r="B105" i="52"/>
  <c r="B106" i="52"/>
  <c r="B107" i="52"/>
  <c r="B108" i="52"/>
  <c r="B109" i="52"/>
  <c r="B110" i="52"/>
  <c r="B111" i="52"/>
  <c r="B112" i="52"/>
  <c r="B113" i="52"/>
  <c r="B114" i="52"/>
  <c r="B115" i="52"/>
  <c r="B116" i="52"/>
  <c r="B117" i="52"/>
  <c r="B118" i="52"/>
  <c r="B119" i="52"/>
  <c r="B120" i="52"/>
  <c r="B121" i="52"/>
  <c r="B122" i="52"/>
  <c r="B123" i="52"/>
  <c r="B124" i="52"/>
  <c r="B125" i="52"/>
  <c r="B126" i="52"/>
  <c r="B127" i="52"/>
  <c r="B128" i="52"/>
  <c r="B129" i="52"/>
  <c r="B130" i="52"/>
  <c r="B131" i="52"/>
  <c r="B132" i="52"/>
  <c r="B133" i="52"/>
  <c r="B134" i="52"/>
  <c r="B135" i="52"/>
  <c r="B136" i="52"/>
  <c r="B137" i="52"/>
  <c r="B138" i="52"/>
  <c r="B139" i="52"/>
  <c r="B140" i="52"/>
  <c r="B141" i="52"/>
  <c r="B142" i="52"/>
  <c r="B143" i="52"/>
  <c r="B144" i="52"/>
  <c r="B145" i="52"/>
  <c r="B146" i="52"/>
  <c r="B147" i="52"/>
  <c r="B148" i="52"/>
  <c r="B149" i="52"/>
  <c r="B150" i="52"/>
  <c r="B151" i="52"/>
  <c r="B152" i="52"/>
  <c r="B153" i="52"/>
  <c r="B154" i="52"/>
  <c r="B155" i="52"/>
  <c r="B156" i="52"/>
  <c r="B157" i="52"/>
  <c r="B158" i="52"/>
  <c r="B159" i="52"/>
  <c r="B160" i="52"/>
  <c r="B161" i="52"/>
  <c r="B162" i="52"/>
  <c r="B163" i="52"/>
  <c r="B8" i="52"/>
  <c r="B9" i="52"/>
  <c r="B10" i="52"/>
  <c r="B11" i="52"/>
  <c r="B12" i="52"/>
  <c r="B13" i="52"/>
  <c r="B14" i="52"/>
  <c r="B15" i="52"/>
  <c r="B16" i="52"/>
  <c r="B17" i="52"/>
  <c r="B18" i="52"/>
  <c r="B19" i="52"/>
  <c r="B20" i="52"/>
  <c r="B21" i="52"/>
  <c r="B22" i="52"/>
  <c r="B23" i="52"/>
  <c r="B24" i="52"/>
  <c r="B25" i="52"/>
  <c r="B26" i="52"/>
  <c r="B27" i="52"/>
  <c r="B28" i="52"/>
  <c r="B29" i="52"/>
  <c r="B30" i="52"/>
  <c r="B31" i="52"/>
  <c r="B32" i="52"/>
  <c r="B33" i="52"/>
  <c r="B34" i="52"/>
  <c r="B35" i="52"/>
  <c r="B36" i="52"/>
  <c r="B37" i="52"/>
  <c r="B38" i="52"/>
  <c r="B39" i="52"/>
  <c r="B40" i="52"/>
  <c r="B41" i="52"/>
  <c r="B42" i="52"/>
  <c r="B43" i="52"/>
  <c r="B44" i="52"/>
  <c r="B45" i="52"/>
  <c r="B46" i="52"/>
  <c r="B47" i="52"/>
  <c r="B48" i="52"/>
  <c r="B49" i="52"/>
  <c r="B50" i="52"/>
  <c r="B51" i="52"/>
  <c r="B52" i="52"/>
  <c r="B53" i="52"/>
  <c r="B54" i="52"/>
  <c r="B55" i="52"/>
  <c r="B56" i="52"/>
  <c r="B57" i="52"/>
  <c r="B58" i="52"/>
  <c r="B59" i="52"/>
  <c r="B60" i="52"/>
  <c r="B61" i="52"/>
  <c r="B62" i="52"/>
  <c r="B63" i="52"/>
  <c r="B64" i="52"/>
  <c r="B65" i="52"/>
  <c r="B66" i="52"/>
  <c r="B67" i="52"/>
  <c r="B68" i="52"/>
  <c r="B69" i="52"/>
  <c r="B70" i="52"/>
  <c r="B71" i="52"/>
  <c r="B72" i="52"/>
  <c r="B73" i="52"/>
  <c r="B74" i="52"/>
  <c r="B75" i="52"/>
  <c r="B76" i="52"/>
  <c r="B77" i="52"/>
  <c r="B78" i="52"/>
  <c r="B79" i="52"/>
  <c r="B80" i="52"/>
  <c r="B81" i="52"/>
  <c r="B82" i="52"/>
  <c r="B83" i="52"/>
  <c r="B84" i="52"/>
  <c r="B85" i="52"/>
  <c r="B86" i="52"/>
  <c r="B87" i="52"/>
  <c r="B7" i="52"/>
  <c r="A7" i="52"/>
  <c r="H88" i="56"/>
  <c r="E88" i="56"/>
  <c r="I88" i="56" s="1"/>
  <c r="J88" i="56" s="1"/>
  <c r="H87" i="56"/>
  <c r="E87" i="56"/>
  <c r="I87" i="56" s="1"/>
  <c r="J87" i="56" s="1"/>
  <c r="J65" i="56"/>
  <c r="J24" i="56"/>
  <c r="I14" i="56" l="1"/>
  <c r="I61" i="56"/>
  <c r="I79" i="56"/>
  <c r="I63" i="56"/>
  <c r="I76" i="56"/>
  <c r="I33" i="56"/>
  <c r="I9" i="56"/>
  <c r="I20" i="56"/>
  <c r="I69" i="56"/>
  <c r="I71" i="56"/>
  <c r="I74" i="56"/>
  <c r="G23" i="56"/>
  <c r="H23" i="56" s="1"/>
  <c r="I23" i="56" s="1"/>
  <c r="I22" i="56"/>
  <c r="I62" i="56"/>
  <c r="I83" i="56"/>
  <c r="G19" i="56"/>
  <c r="H19" i="56" s="1"/>
  <c r="I19" i="56" s="1"/>
  <c r="I18" i="56"/>
  <c r="I25" i="56"/>
  <c r="I59" i="56"/>
  <c r="I60" i="56"/>
  <c r="I26" i="56"/>
  <c r="I66" i="56"/>
  <c r="I7" i="56"/>
  <c r="I84" i="56"/>
  <c r="G21" i="56"/>
  <c r="H21" i="56" s="1"/>
  <c r="I21" i="56" s="1"/>
  <c r="I52" i="56"/>
  <c r="I72" i="56"/>
  <c r="I58" i="56"/>
  <c r="H64" i="56"/>
  <c r="I64" i="56" s="1"/>
  <c r="H8" i="56"/>
  <c r="I8" i="56" s="1"/>
  <c r="J30" i="73"/>
  <c r="E84" i="56"/>
  <c r="H78" i="56"/>
  <c r="H77" i="56"/>
  <c r="I77" i="56" s="1"/>
  <c r="E78" i="56"/>
  <c r="I70" i="56"/>
  <c r="E11" i="56"/>
  <c r="I11" i="56" s="1"/>
  <c r="I78" i="56" l="1"/>
  <c r="L50" i="49" l="1"/>
  <c r="L53" i="49"/>
  <c r="L7" i="49"/>
  <c r="K9" i="49"/>
  <c r="L9" i="49" s="1"/>
  <c r="K17" i="49"/>
  <c r="L17" i="49" s="1"/>
  <c r="K25" i="49"/>
  <c r="L25" i="49" s="1"/>
  <c r="K33" i="49"/>
  <c r="L33" i="49" s="1"/>
  <c r="K41" i="49"/>
  <c r="L41" i="49" s="1"/>
  <c r="K49" i="49"/>
  <c r="L49" i="49" s="1"/>
  <c r="K50" i="49"/>
  <c r="K53" i="49"/>
  <c r="K57" i="49"/>
  <c r="L57" i="49" s="1"/>
  <c r="K65" i="49"/>
  <c r="L65" i="49" s="1"/>
  <c r="K73" i="49"/>
  <c r="L73" i="49" s="1"/>
  <c r="K81" i="49"/>
  <c r="L81" i="49" s="1"/>
  <c r="K89" i="49"/>
  <c r="L89" i="49" s="1"/>
  <c r="I36" i="49"/>
  <c r="I37" i="49"/>
  <c r="I38" i="49"/>
  <c r="I50" i="49"/>
  <c r="I53" i="49"/>
  <c r="I67" i="49"/>
  <c r="I68" i="49"/>
  <c r="I69" i="49"/>
  <c r="I70" i="49"/>
  <c r="I71" i="49"/>
  <c r="I72" i="49"/>
  <c r="I73" i="49"/>
  <c r="I74" i="49"/>
  <c r="I75" i="49"/>
  <c r="I76" i="49"/>
  <c r="I77" i="49"/>
  <c r="I78" i="49"/>
  <c r="I79" i="49"/>
  <c r="I80" i="49"/>
  <c r="I81" i="49"/>
  <c r="I82" i="49"/>
  <c r="I83" i="49"/>
  <c r="I84" i="49"/>
  <c r="I85" i="49"/>
  <c r="I86" i="49"/>
  <c r="I87" i="49"/>
  <c r="I88" i="49"/>
  <c r="I89" i="49"/>
  <c r="I90" i="49"/>
  <c r="I91" i="49"/>
  <c r="I92" i="49"/>
  <c r="F92" i="49"/>
  <c r="F91" i="49"/>
  <c r="F90" i="49"/>
  <c r="F89" i="49"/>
  <c r="F88" i="49"/>
  <c r="F87" i="49"/>
  <c r="F86" i="49"/>
  <c r="F85" i="49"/>
  <c r="F84" i="49"/>
  <c r="F83" i="49"/>
  <c r="F82" i="49"/>
  <c r="F81" i="49"/>
  <c r="F80" i="49"/>
  <c r="F79" i="49"/>
  <c r="F78" i="49"/>
  <c r="F77" i="49"/>
  <c r="F76" i="49"/>
  <c r="F75" i="49"/>
  <c r="F74" i="49"/>
  <c r="F73" i="49"/>
  <c r="F72" i="49"/>
  <c r="F71" i="49"/>
  <c r="F70" i="49"/>
  <c r="F69" i="49"/>
  <c r="F68" i="49"/>
  <c r="F67" i="49"/>
  <c r="F66" i="49"/>
  <c r="F65" i="49"/>
  <c r="F64" i="49"/>
  <c r="F63" i="49"/>
  <c r="F62" i="49"/>
  <c r="F61" i="49"/>
  <c r="F60" i="49"/>
  <c r="F59" i="49"/>
  <c r="F58" i="49"/>
  <c r="F57" i="49"/>
  <c r="F56" i="49"/>
  <c r="F55" i="49"/>
  <c r="F54" i="49"/>
  <c r="F52" i="49"/>
  <c r="F51" i="49"/>
  <c r="F49" i="49"/>
  <c r="F48" i="49"/>
  <c r="F47" i="49"/>
  <c r="F46" i="49"/>
  <c r="F45" i="49"/>
  <c r="F44" i="49"/>
  <c r="F43" i="49"/>
  <c r="F42" i="49"/>
  <c r="F41" i="49"/>
  <c r="F40" i="49"/>
  <c r="F39" i="49"/>
  <c r="F38" i="49"/>
  <c r="F37" i="49"/>
  <c r="F36" i="49"/>
  <c r="F35" i="49"/>
  <c r="F34" i="49"/>
  <c r="F33" i="49"/>
  <c r="F32" i="49"/>
  <c r="F31" i="49"/>
  <c r="F30" i="49"/>
  <c r="F29" i="49"/>
  <c r="F28" i="49"/>
  <c r="F27" i="49"/>
  <c r="F26" i="49"/>
  <c r="F25" i="49"/>
  <c r="F24" i="49"/>
  <c r="F23" i="49"/>
  <c r="F22" i="49"/>
  <c r="F21" i="49"/>
  <c r="F20" i="49"/>
  <c r="F19" i="49"/>
  <c r="F18" i="49"/>
  <c r="F17" i="49"/>
  <c r="F16" i="49"/>
  <c r="F15" i="49"/>
  <c r="F14" i="49"/>
  <c r="F13" i="49"/>
  <c r="F12" i="49"/>
  <c r="F11" i="49"/>
  <c r="F10" i="49"/>
  <c r="F9" i="49"/>
  <c r="F8" i="49"/>
  <c r="D56" i="49"/>
  <c r="K56" i="49" s="1"/>
  <c r="L56" i="49" s="1"/>
  <c r="D57" i="49"/>
  <c r="D58" i="49"/>
  <c r="K58" i="49" s="1"/>
  <c r="L58" i="49" s="1"/>
  <c r="D59" i="49"/>
  <c r="K59" i="49" s="1"/>
  <c r="L59" i="49" s="1"/>
  <c r="D60" i="49"/>
  <c r="K60" i="49" s="1"/>
  <c r="L60" i="49" s="1"/>
  <c r="D61" i="49"/>
  <c r="K61" i="49" s="1"/>
  <c r="L61" i="49" s="1"/>
  <c r="D62" i="49"/>
  <c r="K62" i="49" s="1"/>
  <c r="L62" i="49" s="1"/>
  <c r="D63" i="49"/>
  <c r="K63" i="49" s="1"/>
  <c r="L63" i="49" s="1"/>
  <c r="D64" i="49"/>
  <c r="K64" i="49" s="1"/>
  <c r="L64" i="49" s="1"/>
  <c r="D65" i="49"/>
  <c r="D66" i="49"/>
  <c r="K66" i="49" s="1"/>
  <c r="L66" i="49" s="1"/>
  <c r="D67" i="49"/>
  <c r="K67" i="49" s="1"/>
  <c r="L67" i="49" s="1"/>
  <c r="D68" i="49"/>
  <c r="K68" i="49" s="1"/>
  <c r="L68" i="49" s="1"/>
  <c r="D69" i="49"/>
  <c r="K69" i="49" s="1"/>
  <c r="L69" i="49" s="1"/>
  <c r="D70" i="49"/>
  <c r="K70" i="49" s="1"/>
  <c r="L70" i="49" s="1"/>
  <c r="D71" i="49"/>
  <c r="K71" i="49" s="1"/>
  <c r="L71" i="49" s="1"/>
  <c r="D72" i="49"/>
  <c r="K72" i="49" s="1"/>
  <c r="L72" i="49" s="1"/>
  <c r="D73" i="49"/>
  <c r="D74" i="49"/>
  <c r="K74" i="49" s="1"/>
  <c r="L74" i="49" s="1"/>
  <c r="D75" i="49"/>
  <c r="K75" i="49" s="1"/>
  <c r="L75" i="49" s="1"/>
  <c r="D76" i="49"/>
  <c r="K76" i="49" s="1"/>
  <c r="L76" i="49" s="1"/>
  <c r="D77" i="49"/>
  <c r="K77" i="49" s="1"/>
  <c r="L77" i="49" s="1"/>
  <c r="D78" i="49"/>
  <c r="K78" i="49" s="1"/>
  <c r="L78" i="49" s="1"/>
  <c r="D79" i="49"/>
  <c r="K79" i="49" s="1"/>
  <c r="L79" i="49" s="1"/>
  <c r="D80" i="49"/>
  <c r="K80" i="49" s="1"/>
  <c r="L80" i="49" s="1"/>
  <c r="D81" i="49"/>
  <c r="D82" i="49"/>
  <c r="K82" i="49" s="1"/>
  <c r="L82" i="49" s="1"/>
  <c r="D83" i="49"/>
  <c r="K83" i="49" s="1"/>
  <c r="L83" i="49" s="1"/>
  <c r="D84" i="49"/>
  <c r="K84" i="49" s="1"/>
  <c r="L84" i="49" s="1"/>
  <c r="D85" i="49"/>
  <c r="K85" i="49" s="1"/>
  <c r="L85" i="49" s="1"/>
  <c r="D86" i="49"/>
  <c r="K86" i="49" s="1"/>
  <c r="L86" i="49" s="1"/>
  <c r="D87" i="49"/>
  <c r="K87" i="49" s="1"/>
  <c r="L87" i="49" s="1"/>
  <c r="D88" i="49"/>
  <c r="K88" i="49" s="1"/>
  <c r="L88" i="49" s="1"/>
  <c r="D89" i="49"/>
  <c r="D90" i="49"/>
  <c r="K90" i="49" s="1"/>
  <c r="L90" i="49" s="1"/>
  <c r="D91" i="49"/>
  <c r="K91" i="49" s="1"/>
  <c r="L91" i="49" s="1"/>
  <c r="D92" i="49"/>
  <c r="K92" i="49" s="1"/>
  <c r="L92" i="49" s="1"/>
  <c r="D55" i="49"/>
  <c r="K55" i="49" s="1"/>
  <c r="L55" i="49" s="1"/>
  <c r="D54" i="49"/>
  <c r="K54" i="49" s="1"/>
  <c r="L54" i="49" s="1"/>
  <c r="D52" i="49"/>
  <c r="K52" i="49" s="1"/>
  <c r="L52" i="49" s="1"/>
  <c r="D51" i="49"/>
  <c r="K51" i="49" s="1"/>
  <c r="L51" i="49" s="1"/>
  <c r="D49" i="49"/>
  <c r="D9" i="49"/>
  <c r="D10" i="49"/>
  <c r="K10" i="49" s="1"/>
  <c r="L10" i="49" s="1"/>
  <c r="D11" i="49"/>
  <c r="K11" i="49" s="1"/>
  <c r="L11" i="49" s="1"/>
  <c r="D12" i="49"/>
  <c r="K12" i="49" s="1"/>
  <c r="L12" i="49" s="1"/>
  <c r="D13" i="49"/>
  <c r="K13" i="49" s="1"/>
  <c r="L13" i="49" s="1"/>
  <c r="D14" i="49"/>
  <c r="K14" i="49" s="1"/>
  <c r="L14" i="49" s="1"/>
  <c r="D15" i="49"/>
  <c r="K15" i="49" s="1"/>
  <c r="L15" i="49" s="1"/>
  <c r="D16" i="49"/>
  <c r="K16" i="49" s="1"/>
  <c r="L16" i="49" s="1"/>
  <c r="D17" i="49"/>
  <c r="D18" i="49"/>
  <c r="K18" i="49" s="1"/>
  <c r="L18" i="49" s="1"/>
  <c r="D19" i="49"/>
  <c r="K19" i="49" s="1"/>
  <c r="L19" i="49" s="1"/>
  <c r="D20" i="49"/>
  <c r="K20" i="49" s="1"/>
  <c r="L20" i="49" s="1"/>
  <c r="D21" i="49"/>
  <c r="K21" i="49" s="1"/>
  <c r="L21" i="49" s="1"/>
  <c r="D22" i="49"/>
  <c r="K22" i="49" s="1"/>
  <c r="L22" i="49" s="1"/>
  <c r="D23" i="49"/>
  <c r="K23" i="49" s="1"/>
  <c r="L23" i="49" s="1"/>
  <c r="D24" i="49"/>
  <c r="K24" i="49" s="1"/>
  <c r="L24" i="49" s="1"/>
  <c r="D25" i="49"/>
  <c r="D26" i="49"/>
  <c r="K26" i="49" s="1"/>
  <c r="L26" i="49" s="1"/>
  <c r="D27" i="49"/>
  <c r="K27" i="49" s="1"/>
  <c r="L27" i="49" s="1"/>
  <c r="D28" i="49"/>
  <c r="K28" i="49" s="1"/>
  <c r="L28" i="49" s="1"/>
  <c r="D29" i="49"/>
  <c r="K29" i="49" s="1"/>
  <c r="L29" i="49" s="1"/>
  <c r="D30" i="49"/>
  <c r="K30" i="49" s="1"/>
  <c r="L30" i="49" s="1"/>
  <c r="D31" i="49"/>
  <c r="K31" i="49" s="1"/>
  <c r="L31" i="49" s="1"/>
  <c r="D32" i="49"/>
  <c r="K32" i="49" s="1"/>
  <c r="L32" i="49" s="1"/>
  <c r="D33" i="49"/>
  <c r="D34" i="49"/>
  <c r="K34" i="49" s="1"/>
  <c r="L34" i="49" s="1"/>
  <c r="D35" i="49"/>
  <c r="K35" i="49" s="1"/>
  <c r="L35" i="49" s="1"/>
  <c r="D36" i="49"/>
  <c r="K36" i="49" s="1"/>
  <c r="L36" i="49" s="1"/>
  <c r="D37" i="49"/>
  <c r="K37" i="49" s="1"/>
  <c r="L37" i="49" s="1"/>
  <c r="D38" i="49"/>
  <c r="K38" i="49" s="1"/>
  <c r="L38" i="49" s="1"/>
  <c r="D39" i="49"/>
  <c r="K39" i="49" s="1"/>
  <c r="L39" i="49" s="1"/>
  <c r="D40" i="49"/>
  <c r="K40" i="49" s="1"/>
  <c r="L40" i="49" s="1"/>
  <c r="D41" i="49"/>
  <c r="D42" i="49"/>
  <c r="K42" i="49" s="1"/>
  <c r="L42" i="49" s="1"/>
  <c r="D43" i="49"/>
  <c r="K43" i="49" s="1"/>
  <c r="L43" i="49" s="1"/>
  <c r="D44" i="49"/>
  <c r="K44" i="49" s="1"/>
  <c r="L44" i="49" s="1"/>
  <c r="D45" i="49"/>
  <c r="K45" i="49" s="1"/>
  <c r="L45" i="49" s="1"/>
  <c r="D46" i="49"/>
  <c r="K46" i="49" s="1"/>
  <c r="L46" i="49" s="1"/>
  <c r="D47" i="49"/>
  <c r="K47" i="49" s="1"/>
  <c r="L47" i="49" s="1"/>
  <c r="D48" i="49"/>
  <c r="K48" i="49" s="1"/>
  <c r="L48" i="49" s="1"/>
  <c r="D8" i="49"/>
  <c r="K8" i="49" s="1"/>
  <c r="L8" i="49" s="1"/>
  <c r="L11" i="48"/>
  <c r="L19" i="48"/>
  <c r="L35" i="48"/>
  <c r="L43" i="48"/>
  <c r="L51" i="48"/>
  <c r="L67" i="48"/>
  <c r="L75" i="48"/>
  <c r="L83" i="48"/>
  <c r="L91" i="48"/>
  <c r="L99" i="48"/>
  <c r="L107" i="48"/>
  <c r="L115" i="48"/>
  <c r="L123" i="48"/>
  <c r="L139" i="48"/>
  <c r="L147" i="48"/>
  <c r="L155" i="48"/>
  <c r="L171" i="48"/>
  <c r="L179" i="48"/>
  <c r="L187" i="48"/>
  <c r="F9" i="48"/>
  <c r="F10" i="48"/>
  <c r="F11" i="48"/>
  <c r="F12" i="48"/>
  <c r="F13" i="48"/>
  <c r="F14" i="48"/>
  <c r="F15" i="48"/>
  <c r="F16" i="48"/>
  <c r="F17" i="48"/>
  <c r="F18" i="48"/>
  <c r="F19" i="48"/>
  <c r="F20" i="48"/>
  <c r="F21" i="48"/>
  <c r="F22" i="48"/>
  <c r="F23" i="48"/>
  <c r="F24" i="48"/>
  <c r="F25" i="48"/>
  <c r="F26" i="48"/>
  <c r="F27" i="48"/>
  <c r="F28" i="48"/>
  <c r="F29" i="48"/>
  <c r="F30" i="48"/>
  <c r="F31" i="48"/>
  <c r="F32" i="48"/>
  <c r="F33" i="48"/>
  <c r="F34" i="48"/>
  <c r="F35" i="48"/>
  <c r="F36" i="48"/>
  <c r="F37" i="48"/>
  <c r="F38" i="48"/>
  <c r="F39" i="48"/>
  <c r="F40" i="48"/>
  <c r="F41" i="48"/>
  <c r="F42" i="48"/>
  <c r="F43" i="48"/>
  <c r="F44" i="48"/>
  <c r="F45" i="48"/>
  <c r="F46" i="48"/>
  <c r="F47" i="48"/>
  <c r="F48" i="48"/>
  <c r="F49" i="48"/>
  <c r="F50" i="48"/>
  <c r="F51" i="48"/>
  <c r="F52" i="48"/>
  <c r="F53" i="48"/>
  <c r="F54" i="48"/>
  <c r="F55" i="48"/>
  <c r="F56" i="48"/>
  <c r="F57" i="48"/>
  <c r="F58" i="48"/>
  <c r="F59" i="48"/>
  <c r="F60" i="48"/>
  <c r="F61" i="48"/>
  <c r="F62" i="48"/>
  <c r="F63" i="48"/>
  <c r="F64" i="48"/>
  <c r="F65" i="48"/>
  <c r="F66" i="48"/>
  <c r="F67" i="48"/>
  <c r="F68" i="48"/>
  <c r="F69" i="48"/>
  <c r="F70" i="48"/>
  <c r="F71" i="48"/>
  <c r="F72" i="48"/>
  <c r="F73" i="48"/>
  <c r="F74" i="48"/>
  <c r="F75" i="48"/>
  <c r="F76" i="48"/>
  <c r="F77" i="48"/>
  <c r="F78" i="48"/>
  <c r="F79" i="48"/>
  <c r="F80" i="48"/>
  <c r="F81" i="48"/>
  <c r="F82" i="48"/>
  <c r="F83" i="48"/>
  <c r="F84" i="48"/>
  <c r="F85" i="48"/>
  <c r="F86" i="48"/>
  <c r="F87" i="48"/>
  <c r="F88" i="48"/>
  <c r="F89" i="48"/>
  <c r="F90" i="48"/>
  <c r="F91" i="48"/>
  <c r="F92" i="48"/>
  <c r="F93" i="48"/>
  <c r="F94" i="48"/>
  <c r="F95" i="48"/>
  <c r="F96" i="48"/>
  <c r="F97" i="48"/>
  <c r="F98" i="48"/>
  <c r="F99" i="48"/>
  <c r="F100" i="48"/>
  <c r="F101" i="48"/>
  <c r="F102" i="48"/>
  <c r="F103" i="48"/>
  <c r="F104" i="48"/>
  <c r="F105" i="48"/>
  <c r="F106" i="48"/>
  <c r="F107" i="48"/>
  <c r="F108" i="48"/>
  <c r="F109" i="48"/>
  <c r="F110" i="48"/>
  <c r="F111" i="48"/>
  <c r="F112" i="48"/>
  <c r="F113" i="48"/>
  <c r="F114" i="48"/>
  <c r="F115" i="48"/>
  <c r="F116" i="48"/>
  <c r="F117" i="48"/>
  <c r="F118" i="48"/>
  <c r="F119" i="48"/>
  <c r="F120" i="48"/>
  <c r="F121" i="48"/>
  <c r="F122" i="48"/>
  <c r="F123" i="48"/>
  <c r="F124" i="48"/>
  <c r="F125" i="48"/>
  <c r="F126" i="48"/>
  <c r="F127" i="48"/>
  <c r="F129" i="48"/>
  <c r="F130" i="48"/>
  <c r="F131" i="48"/>
  <c r="F132" i="48"/>
  <c r="F133" i="48"/>
  <c r="F134" i="48"/>
  <c r="F135" i="48"/>
  <c r="F136" i="48"/>
  <c r="F137" i="48"/>
  <c r="F138" i="48"/>
  <c r="F139" i="48"/>
  <c r="F140" i="48"/>
  <c r="F141" i="48"/>
  <c r="F142" i="48"/>
  <c r="F143" i="48"/>
  <c r="F144" i="48"/>
  <c r="F145" i="48"/>
  <c r="F146" i="48"/>
  <c r="F147" i="48"/>
  <c r="F148" i="48"/>
  <c r="F149" i="48"/>
  <c r="F150" i="48"/>
  <c r="F151" i="48"/>
  <c r="F152" i="48"/>
  <c r="F153" i="48"/>
  <c r="F154" i="48"/>
  <c r="F155" i="48"/>
  <c r="F156" i="48"/>
  <c r="F157" i="48"/>
  <c r="F158" i="48"/>
  <c r="F159" i="48"/>
  <c r="F160" i="48"/>
  <c r="F161" i="48"/>
  <c r="F162" i="48"/>
  <c r="F163" i="48"/>
  <c r="F164" i="48"/>
  <c r="F165" i="48"/>
  <c r="F166" i="48"/>
  <c r="F167" i="48"/>
  <c r="F168" i="48"/>
  <c r="F169" i="48"/>
  <c r="F170" i="48"/>
  <c r="F171" i="48"/>
  <c r="F172" i="48"/>
  <c r="F173" i="48"/>
  <c r="F174" i="48"/>
  <c r="F175" i="48"/>
  <c r="F176" i="48"/>
  <c r="F177" i="48"/>
  <c r="F178" i="48"/>
  <c r="F179" i="48"/>
  <c r="F180" i="48"/>
  <c r="F181" i="48"/>
  <c r="F182" i="48"/>
  <c r="F183" i="48"/>
  <c r="F184" i="48"/>
  <c r="F185" i="48"/>
  <c r="F186" i="48"/>
  <c r="F187" i="48"/>
  <c r="F188" i="48"/>
  <c r="F189" i="48"/>
  <c r="F190" i="48"/>
  <c r="F8" i="48"/>
  <c r="D9" i="48"/>
  <c r="D10" i="48"/>
  <c r="D11" i="48"/>
  <c r="D12" i="48"/>
  <c r="D13" i="48"/>
  <c r="D14" i="48"/>
  <c r="K14" i="48" s="1"/>
  <c r="L14" i="48" s="1"/>
  <c r="D15" i="48"/>
  <c r="D16" i="48"/>
  <c r="K16" i="48" s="1"/>
  <c r="L16" i="48" s="1"/>
  <c r="D17" i="48"/>
  <c r="D18" i="48"/>
  <c r="D19" i="48"/>
  <c r="D20" i="48"/>
  <c r="D21" i="48"/>
  <c r="D22" i="48"/>
  <c r="K22" i="48" s="1"/>
  <c r="L22" i="48" s="1"/>
  <c r="D23" i="48"/>
  <c r="D24" i="48"/>
  <c r="K24" i="48" s="1"/>
  <c r="L24" i="48" s="1"/>
  <c r="D25" i="48"/>
  <c r="D26" i="48"/>
  <c r="D27" i="48"/>
  <c r="D28" i="48"/>
  <c r="D29" i="48"/>
  <c r="D30" i="48"/>
  <c r="K30" i="48" s="1"/>
  <c r="L30" i="48" s="1"/>
  <c r="D31" i="48"/>
  <c r="D32" i="48"/>
  <c r="K32" i="48" s="1"/>
  <c r="L32" i="48" s="1"/>
  <c r="D33" i="48"/>
  <c r="D34" i="48"/>
  <c r="D35" i="48"/>
  <c r="D36" i="48"/>
  <c r="D37" i="48"/>
  <c r="D38" i="48"/>
  <c r="K38" i="48" s="1"/>
  <c r="L38" i="48" s="1"/>
  <c r="D39" i="48"/>
  <c r="D40" i="48"/>
  <c r="K40" i="48" s="1"/>
  <c r="L40" i="48" s="1"/>
  <c r="D41" i="48"/>
  <c r="D42" i="48"/>
  <c r="D43" i="48"/>
  <c r="D44" i="48"/>
  <c r="D45" i="48"/>
  <c r="D46" i="48"/>
  <c r="K46" i="48" s="1"/>
  <c r="L46" i="48" s="1"/>
  <c r="D47" i="48"/>
  <c r="D48" i="48"/>
  <c r="K48" i="48" s="1"/>
  <c r="L48" i="48" s="1"/>
  <c r="D49" i="48"/>
  <c r="D50" i="48"/>
  <c r="D51" i="48"/>
  <c r="D52" i="48"/>
  <c r="D53" i="48"/>
  <c r="D54" i="48"/>
  <c r="K54" i="48" s="1"/>
  <c r="L54" i="48" s="1"/>
  <c r="D55" i="48"/>
  <c r="D56" i="48"/>
  <c r="K56" i="48" s="1"/>
  <c r="L56" i="48" s="1"/>
  <c r="D57" i="48"/>
  <c r="D58" i="48"/>
  <c r="D59" i="48"/>
  <c r="D60" i="48"/>
  <c r="D61" i="48"/>
  <c r="D62" i="48"/>
  <c r="K62" i="48" s="1"/>
  <c r="L62" i="48" s="1"/>
  <c r="D63" i="48"/>
  <c r="D64" i="48"/>
  <c r="K64" i="48" s="1"/>
  <c r="L64" i="48" s="1"/>
  <c r="D65" i="48"/>
  <c r="D66" i="48"/>
  <c r="D67" i="48"/>
  <c r="D68" i="48"/>
  <c r="D69" i="48"/>
  <c r="D70" i="48"/>
  <c r="K70" i="48" s="1"/>
  <c r="L70" i="48" s="1"/>
  <c r="D71" i="48"/>
  <c r="D72" i="48"/>
  <c r="K72" i="48" s="1"/>
  <c r="L72" i="48" s="1"/>
  <c r="D73" i="48"/>
  <c r="D74" i="48"/>
  <c r="D75" i="48"/>
  <c r="D76" i="48"/>
  <c r="D77" i="48"/>
  <c r="D78" i="48"/>
  <c r="D79" i="48"/>
  <c r="D80" i="48"/>
  <c r="K80" i="48" s="1"/>
  <c r="L80" i="48" s="1"/>
  <c r="D81" i="48"/>
  <c r="D82" i="48"/>
  <c r="D83" i="48"/>
  <c r="D84" i="48"/>
  <c r="D85" i="48"/>
  <c r="D86" i="48"/>
  <c r="K86" i="48" s="1"/>
  <c r="L86" i="48" s="1"/>
  <c r="D87" i="48"/>
  <c r="D88" i="48"/>
  <c r="K88" i="48" s="1"/>
  <c r="L88" i="48" s="1"/>
  <c r="D89" i="48"/>
  <c r="D90" i="48"/>
  <c r="D91" i="48"/>
  <c r="D92" i="48"/>
  <c r="D93" i="48"/>
  <c r="D94" i="48"/>
  <c r="K94" i="48" s="1"/>
  <c r="L94" i="48" s="1"/>
  <c r="D95" i="48"/>
  <c r="D96" i="48"/>
  <c r="K96" i="48" s="1"/>
  <c r="L96" i="48" s="1"/>
  <c r="D97" i="48"/>
  <c r="D98" i="48"/>
  <c r="D99" i="48"/>
  <c r="D100" i="48"/>
  <c r="D101" i="48"/>
  <c r="D102" i="48"/>
  <c r="K102" i="48" s="1"/>
  <c r="L102" i="48" s="1"/>
  <c r="D103" i="48"/>
  <c r="D104" i="48"/>
  <c r="K104" i="48" s="1"/>
  <c r="L104" i="48" s="1"/>
  <c r="D105" i="48"/>
  <c r="D106" i="48"/>
  <c r="D107" i="48"/>
  <c r="D108" i="48"/>
  <c r="D109" i="48"/>
  <c r="D110" i="48"/>
  <c r="D111" i="48"/>
  <c r="D112" i="48"/>
  <c r="K112" i="48" s="1"/>
  <c r="L112" i="48" s="1"/>
  <c r="D113" i="48"/>
  <c r="D114" i="48"/>
  <c r="D115" i="48"/>
  <c r="D116" i="48"/>
  <c r="D117" i="48"/>
  <c r="D118" i="48"/>
  <c r="K118" i="48" s="1"/>
  <c r="L118" i="48" s="1"/>
  <c r="D119" i="48"/>
  <c r="D120" i="48"/>
  <c r="K120" i="48" s="1"/>
  <c r="L120" i="48" s="1"/>
  <c r="D121" i="48"/>
  <c r="D122" i="48"/>
  <c r="D123" i="48"/>
  <c r="D124" i="48"/>
  <c r="D125" i="48"/>
  <c r="D126" i="48"/>
  <c r="K126" i="48" s="1"/>
  <c r="L126" i="48" s="1"/>
  <c r="D127" i="48"/>
  <c r="D129" i="48"/>
  <c r="D130" i="48"/>
  <c r="D131" i="48"/>
  <c r="D132" i="48"/>
  <c r="D133" i="48"/>
  <c r="D134" i="48"/>
  <c r="K134" i="48" s="1"/>
  <c r="L134" i="48" s="1"/>
  <c r="D135" i="48"/>
  <c r="D136" i="48"/>
  <c r="K136" i="48" s="1"/>
  <c r="L136" i="48" s="1"/>
  <c r="D137" i="48"/>
  <c r="D138" i="48"/>
  <c r="D139" i="48"/>
  <c r="D140" i="48"/>
  <c r="D141" i="48"/>
  <c r="D142" i="48"/>
  <c r="K142" i="48" s="1"/>
  <c r="L142" i="48" s="1"/>
  <c r="D143" i="48"/>
  <c r="D144" i="48"/>
  <c r="K144" i="48" s="1"/>
  <c r="L144" i="48" s="1"/>
  <c r="D145" i="48"/>
  <c r="D146" i="48"/>
  <c r="D147" i="48"/>
  <c r="D148" i="48"/>
  <c r="D149" i="48"/>
  <c r="D150" i="48"/>
  <c r="K150" i="48" s="1"/>
  <c r="L150" i="48" s="1"/>
  <c r="D151" i="48"/>
  <c r="D152" i="48"/>
  <c r="K152" i="48" s="1"/>
  <c r="L152" i="48" s="1"/>
  <c r="D153" i="48"/>
  <c r="D154" i="48"/>
  <c r="D155" i="48"/>
  <c r="D156" i="48"/>
  <c r="D157" i="48"/>
  <c r="D158" i="48"/>
  <c r="K158" i="48" s="1"/>
  <c r="L158" i="48" s="1"/>
  <c r="D159" i="48"/>
  <c r="D160" i="48"/>
  <c r="K160" i="48" s="1"/>
  <c r="L160" i="48" s="1"/>
  <c r="D161" i="48"/>
  <c r="D162" i="48"/>
  <c r="D163" i="48"/>
  <c r="D164" i="48"/>
  <c r="D165" i="48"/>
  <c r="D166" i="48"/>
  <c r="K166" i="48" s="1"/>
  <c r="L166" i="48" s="1"/>
  <c r="D167" i="48"/>
  <c r="D168" i="48"/>
  <c r="K168" i="48" s="1"/>
  <c r="L168" i="48" s="1"/>
  <c r="D169" i="48"/>
  <c r="D170" i="48"/>
  <c r="D171" i="48"/>
  <c r="D172" i="48"/>
  <c r="D173" i="48"/>
  <c r="D174" i="48"/>
  <c r="K174" i="48" s="1"/>
  <c r="L174" i="48" s="1"/>
  <c r="D175" i="48"/>
  <c r="D176" i="48"/>
  <c r="K176" i="48" s="1"/>
  <c r="L176" i="48" s="1"/>
  <c r="D177" i="48"/>
  <c r="D178" i="48"/>
  <c r="D179" i="48"/>
  <c r="K179" i="48" s="1"/>
  <c r="D180" i="48"/>
  <c r="D181" i="48"/>
  <c r="D182" i="48"/>
  <c r="K182" i="48" s="1"/>
  <c r="L182" i="48" s="1"/>
  <c r="D183" i="48"/>
  <c r="D184" i="48"/>
  <c r="K184" i="48" s="1"/>
  <c r="L184" i="48" s="1"/>
  <c r="D185" i="48"/>
  <c r="D186" i="48"/>
  <c r="D187" i="48"/>
  <c r="K187" i="48" s="1"/>
  <c r="D188" i="48"/>
  <c r="D189" i="48"/>
  <c r="D190" i="48"/>
  <c r="K190" i="48" s="1"/>
  <c r="L190" i="48" s="1"/>
  <c r="D8" i="48"/>
  <c r="K8" i="48" s="1"/>
  <c r="L8" i="48" s="1"/>
  <c r="K9" i="48"/>
  <c r="L9" i="48" s="1"/>
  <c r="K10" i="48"/>
  <c r="L10" i="48" s="1"/>
  <c r="K11" i="48"/>
  <c r="K12" i="48"/>
  <c r="L12" i="48" s="1"/>
  <c r="K13" i="48"/>
  <c r="L13" i="48" s="1"/>
  <c r="K17" i="48"/>
  <c r="L17" i="48" s="1"/>
  <c r="K18" i="48"/>
  <c r="L18" i="48" s="1"/>
  <c r="K19" i="48"/>
  <c r="K20" i="48"/>
  <c r="L20" i="48" s="1"/>
  <c r="K21" i="48"/>
  <c r="L21" i="48" s="1"/>
  <c r="K25" i="48"/>
  <c r="L25" i="48" s="1"/>
  <c r="K26" i="48"/>
  <c r="L26" i="48" s="1"/>
  <c r="K27" i="48"/>
  <c r="L27" i="48" s="1"/>
  <c r="K28" i="48"/>
  <c r="L28" i="48" s="1"/>
  <c r="K29" i="48"/>
  <c r="L29" i="48" s="1"/>
  <c r="K33" i="48"/>
  <c r="L33" i="48" s="1"/>
  <c r="K34" i="48"/>
  <c r="L34" i="48" s="1"/>
  <c r="K35" i="48"/>
  <c r="K36" i="48"/>
  <c r="L36" i="48" s="1"/>
  <c r="K37" i="48"/>
  <c r="L37" i="48" s="1"/>
  <c r="K41" i="48"/>
  <c r="L41" i="48" s="1"/>
  <c r="K42" i="48"/>
  <c r="L42" i="48" s="1"/>
  <c r="K43" i="48"/>
  <c r="K44" i="48"/>
  <c r="L44" i="48" s="1"/>
  <c r="K45" i="48"/>
  <c r="L45" i="48" s="1"/>
  <c r="K49" i="48"/>
  <c r="L49" i="48" s="1"/>
  <c r="K50" i="48"/>
  <c r="L50" i="48" s="1"/>
  <c r="K51" i="48"/>
  <c r="K52" i="48"/>
  <c r="L52" i="48" s="1"/>
  <c r="K53" i="48"/>
  <c r="L53" i="48" s="1"/>
  <c r="K57" i="48"/>
  <c r="L57" i="48" s="1"/>
  <c r="K58" i="48"/>
  <c r="L58" i="48" s="1"/>
  <c r="K59" i="48"/>
  <c r="L59" i="48" s="1"/>
  <c r="K60" i="48"/>
  <c r="L60" i="48" s="1"/>
  <c r="K61" i="48"/>
  <c r="L61" i="48" s="1"/>
  <c r="K63" i="48"/>
  <c r="L63" i="48" s="1"/>
  <c r="K65" i="48"/>
  <c r="L65" i="48" s="1"/>
  <c r="K66" i="48"/>
  <c r="L66" i="48" s="1"/>
  <c r="K67" i="48"/>
  <c r="K68" i="48"/>
  <c r="L68" i="48" s="1"/>
  <c r="K69" i="48"/>
  <c r="L69" i="48" s="1"/>
  <c r="K73" i="48"/>
  <c r="L73" i="48" s="1"/>
  <c r="K74" i="48"/>
  <c r="L74" i="48" s="1"/>
  <c r="K75" i="48"/>
  <c r="K76" i="48"/>
  <c r="L76" i="48" s="1"/>
  <c r="K77" i="48"/>
  <c r="L77" i="48" s="1"/>
  <c r="K78" i="48"/>
  <c r="L78" i="48" s="1"/>
  <c r="K81" i="48"/>
  <c r="L81" i="48" s="1"/>
  <c r="K82" i="48"/>
  <c r="L82" i="48" s="1"/>
  <c r="K83" i="48"/>
  <c r="K84" i="48"/>
  <c r="L84" i="48" s="1"/>
  <c r="K85" i="48"/>
  <c r="L85" i="48" s="1"/>
  <c r="K89" i="48"/>
  <c r="L89" i="48" s="1"/>
  <c r="K90" i="48"/>
  <c r="L90" i="48" s="1"/>
  <c r="K91" i="48"/>
  <c r="K92" i="48"/>
  <c r="L92" i="48" s="1"/>
  <c r="K93" i="48"/>
  <c r="L93" i="48" s="1"/>
  <c r="K97" i="48"/>
  <c r="L97" i="48" s="1"/>
  <c r="K98" i="48"/>
  <c r="L98" i="48" s="1"/>
  <c r="K99" i="48"/>
  <c r="K100" i="48"/>
  <c r="L100" i="48" s="1"/>
  <c r="K101" i="48"/>
  <c r="L101" i="48" s="1"/>
  <c r="K105" i="48"/>
  <c r="L105" i="48" s="1"/>
  <c r="K106" i="48"/>
  <c r="L106" i="48" s="1"/>
  <c r="K107" i="48"/>
  <c r="K108" i="48"/>
  <c r="L108" i="48" s="1"/>
  <c r="K109" i="48"/>
  <c r="L109" i="48" s="1"/>
  <c r="K110" i="48"/>
  <c r="L110" i="48" s="1"/>
  <c r="K113" i="48"/>
  <c r="L113" i="48" s="1"/>
  <c r="K114" i="48"/>
  <c r="L114" i="48" s="1"/>
  <c r="K115" i="48"/>
  <c r="K116" i="48"/>
  <c r="L116" i="48" s="1"/>
  <c r="K117" i="48"/>
  <c r="L117" i="48" s="1"/>
  <c r="K121" i="48"/>
  <c r="L121" i="48" s="1"/>
  <c r="K122" i="48"/>
  <c r="L122" i="48" s="1"/>
  <c r="K123" i="48"/>
  <c r="K124" i="48"/>
  <c r="L124" i="48" s="1"/>
  <c r="K125" i="48"/>
  <c r="L125" i="48" s="1"/>
  <c r="K127" i="48"/>
  <c r="L127" i="48" s="1"/>
  <c r="K129" i="48"/>
  <c r="L129" i="48" s="1"/>
  <c r="K130" i="48"/>
  <c r="L130" i="48" s="1"/>
  <c r="K131" i="48"/>
  <c r="L131" i="48" s="1"/>
  <c r="K132" i="48"/>
  <c r="L132" i="48" s="1"/>
  <c r="K133" i="48"/>
  <c r="L133" i="48" s="1"/>
  <c r="K137" i="48"/>
  <c r="L137" i="48" s="1"/>
  <c r="K138" i="48"/>
  <c r="L138" i="48" s="1"/>
  <c r="K139" i="48"/>
  <c r="K140" i="48"/>
  <c r="L140" i="48" s="1"/>
  <c r="K141" i="48"/>
  <c r="L141" i="48" s="1"/>
  <c r="K145" i="48"/>
  <c r="L145" i="48" s="1"/>
  <c r="K146" i="48"/>
  <c r="L146" i="48" s="1"/>
  <c r="K147" i="48"/>
  <c r="K148" i="48"/>
  <c r="L148" i="48" s="1"/>
  <c r="K149" i="48"/>
  <c r="L149" i="48" s="1"/>
  <c r="K153" i="48"/>
  <c r="L153" i="48" s="1"/>
  <c r="K154" i="48"/>
  <c r="L154" i="48" s="1"/>
  <c r="K155" i="48"/>
  <c r="K156" i="48"/>
  <c r="L156" i="48" s="1"/>
  <c r="K157" i="48"/>
  <c r="L157" i="48" s="1"/>
  <c r="K161" i="48"/>
  <c r="L161" i="48" s="1"/>
  <c r="K162" i="48"/>
  <c r="L162" i="48" s="1"/>
  <c r="K163" i="48"/>
  <c r="L163" i="48" s="1"/>
  <c r="K164" i="48"/>
  <c r="L164" i="48" s="1"/>
  <c r="K165" i="48"/>
  <c r="L165" i="48" s="1"/>
  <c r="K169" i="48"/>
  <c r="L169" i="48" s="1"/>
  <c r="K170" i="48"/>
  <c r="L170" i="48" s="1"/>
  <c r="K171" i="48"/>
  <c r="K172" i="48"/>
  <c r="L172" i="48" s="1"/>
  <c r="K173" i="48"/>
  <c r="L173" i="48" s="1"/>
  <c r="K177" i="48"/>
  <c r="L177" i="48" s="1"/>
  <c r="K178" i="48"/>
  <c r="L178" i="48" s="1"/>
  <c r="K180" i="48"/>
  <c r="L180" i="48" s="1"/>
  <c r="K181" i="48"/>
  <c r="L181" i="48" s="1"/>
  <c r="K183" i="48"/>
  <c r="L183" i="48" s="1"/>
  <c r="K185" i="48"/>
  <c r="L185" i="48" s="1"/>
  <c r="K186" i="48"/>
  <c r="L186" i="48" s="1"/>
  <c r="K188" i="48"/>
  <c r="L188" i="48" s="1"/>
  <c r="K189" i="48"/>
  <c r="L189" i="48" s="1"/>
  <c r="K175" i="48" l="1"/>
  <c r="L175" i="48" s="1"/>
  <c r="K167" i="48"/>
  <c r="L167" i="48" s="1"/>
  <c r="K159" i="48"/>
  <c r="L159" i="48" s="1"/>
  <c r="K151" i="48"/>
  <c r="L151" i="48" s="1"/>
  <c r="K143" i="48"/>
  <c r="L143" i="48" s="1"/>
  <c r="K135" i="48"/>
  <c r="L135" i="48" s="1"/>
  <c r="K119" i="48"/>
  <c r="L119" i="48" s="1"/>
  <c r="K111" i="48"/>
  <c r="L111" i="48" s="1"/>
  <c r="K103" i="48"/>
  <c r="L103" i="48" s="1"/>
  <c r="K95" i="48"/>
  <c r="L95" i="48" s="1"/>
  <c r="K87" i="48"/>
  <c r="L87" i="48" s="1"/>
  <c r="K79" i="48"/>
  <c r="L79" i="48" s="1"/>
  <c r="K71" i="48"/>
  <c r="L71" i="48" s="1"/>
  <c r="K55" i="48"/>
  <c r="L55" i="48" s="1"/>
  <c r="K47" i="48"/>
  <c r="L47" i="48" s="1"/>
  <c r="K39" i="48"/>
  <c r="L39" i="48" s="1"/>
  <c r="K31" i="48"/>
  <c r="L31" i="48" s="1"/>
  <c r="K23" i="48"/>
  <c r="L23" i="48" s="1"/>
  <c r="K15" i="48"/>
  <c r="L15" i="48" s="1"/>
  <c r="E8" i="49"/>
  <c r="E9" i="49"/>
  <c r="E10" i="49"/>
  <c r="E11" i="49"/>
  <c r="E12" i="49"/>
  <c r="E13" i="49"/>
  <c r="E14" i="49"/>
  <c r="E15" i="49"/>
  <c r="E16" i="49"/>
  <c r="E17" i="49"/>
  <c r="E18" i="49"/>
  <c r="E19" i="49"/>
  <c r="E20" i="49"/>
  <c r="E21" i="49"/>
  <c r="E22" i="49"/>
  <c r="E23" i="49"/>
  <c r="E24" i="49"/>
  <c r="E25" i="49"/>
  <c r="E26" i="49"/>
  <c r="E27" i="49"/>
  <c r="E28" i="49"/>
  <c r="E29" i="49"/>
  <c r="E30" i="49"/>
  <c r="E31" i="49"/>
  <c r="E32" i="49"/>
  <c r="E33" i="49"/>
  <c r="E34" i="49"/>
  <c r="E35" i="49"/>
  <c r="E36" i="49"/>
  <c r="E37" i="49"/>
  <c r="E38" i="49"/>
  <c r="E39" i="49"/>
  <c r="E40" i="49"/>
  <c r="E41" i="49"/>
  <c r="E42" i="49"/>
  <c r="E43" i="49"/>
  <c r="E44" i="49"/>
  <c r="E45" i="49"/>
  <c r="E46" i="49"/>
  <c r="E47" i="49"/>
  <c r="E48" i="49"/>
  <c r="E49" i="49"/>
  <c r="E50" i="49"/>
  <c r="E51" i="49"/>
  <c r="E52" i="49"/>
  <c r="E53" i="49"/>
  <c r="E54" i="49"/>
  <c r="E55" i="49"/>
  <c r="E56" i="49"/>
  <c r="E57" i="49"/>
  <c r="E58" i="49"/>
  <c r="E59" i="49"/>
  <c r="E60" i="49"/>
  <c r="E61" i="49"/>
  <c r="E62" i="49"/>
  <c r="E63" i="49"/>
  <c r="E64" i="49"/>
  <c r="E65" i="49"/>
  <c r="E66" i="49"/>
  <c r="E67" i="49"/>
  <c r="E68" i="49"/>
  <c r="E69" i="49"/>
  <c r="E70" i="49"/>
  <c r="E71" i="49"/>
  <c r="E72" i="49"/>
  <c r="E73" i="49"/>
  <c r="E74" i="49"/>
  <c r="E75" i="49"/>
  <c r="E76" i="49"/>
  <c r="E77" i="49"/>
  <c r="E78" i="49"/>
  <c r="E79" i="49"/>
  <c r="E80" i="49"/>
  <c r="E81" i="49"/>
  <c r="E82" i="49"/>
  <c r="E83" i="49"/>
  <c r="E84" i="49"/>
  <c r="E85" i="49"/>
  <c r="E86" i="49"/>
  <c r="E87" i="49"/>
  <c r="E88" i="49"/>
  <c r="E89" i="49"/>
  <c r="E90" i="49"/>
  <c r="E91" i="49"/>
  <c r="E92" i="49"/>
  <c r="E7" i="49"/>
  <c r="A7" i="49"/>
  <c r="H25" i="48"/>
  <c r="I25" i="48" s="1"/>
  <c r="H27" i="48"/>
  <c r="I27" i="48" s="1"/>
  <c r="H28" i="48"/>
  <c r="I28" i="48" s="1"/>
  <c r="H29" i="48"/>
  <c r="I29" i="48" s="1"/>
  <c r="H30" i="48"/>
  <c r="I30" i="48" s="1"/>
  <c r="H31" i="48"/>
  <c r="I31" i="48" s="1"/>
  <c r="H32" i="48"/>
  <c r="I32" i="48" s="1"/>
  <c r="H33" i="48"/>
  <c r="I33" i="48" s="1"/>
  <c r="H34" i="48"/>
  <c r="I34" i="48" s="1"/>
  <c r="H35" i="48"/>
  <c r="I35" i="48" s="1"/>
  <c r="H36" i="48"/>
  <c r="I36" i="48" s="1"/>
  <c r="H38" i="48"/>
  <c r="I38" i="48" s="1"/>
  <c r="H41" i="48"/>
  <c r="I41" i="48" s="1"/>
  <c r="H43" i="48"/>
  <c r="I43" i="48" s="1"/>
  <c r="H44" i="48"/>
  <c r="I44" i="48" s="1"/>
  <c r="H45" i="48"/>
  <c r="I45" i="48" s="1"/>
  <c r="H46" i="48"/>
  <c r="H47" i="48"/>
  <c r="I47" i="48" s="1"/>
  <c r="H48" i="48"/>
  <c r="H49" i="48"/>
  <c r="I49" i="48" s="1"/>
  <c r="H50" i="48"/>
  <c r="H51" i="48"/>
  <c r="I51" i="48" s="1"/>
  <c r="H52" i="48"/>
  <c r="I52" i="48" s="1"/>
  <c r="H53" i="48"/>
  <c r="I53" i="48" s="1"/>
  <c r="H54" i="48"/>
  <c r="I54" i="48" s="1"/>
  <c r="H55" i="48"/>
  <c r="I55" i="48" s="1"/>
  <c r="H56" i="48"/>
  <c r="I56" i="48" s="1"/>
  <c r="H57" i="48"/>
  <c r="I57" i="48" s="1"/>
  <c r="H58" i="48"/>
  <c r="H60" i="48"/>
  <c r="I60" i="48" s="1"/>
  <c r="H61" i="48"/>
  <c r="I61" i="48" s="1"/>
  <c r="H62" i="48"/>
  <c r="I62" i="48" s="1"/>
  <c r="H63" i="48"/>
  <c r="I63" i="48" s="1"/>
  <c r="H64" i="48"/>
  <c r="I64" i="48" s="1"/>
  <c r="H65" i="48"/>
  <c r="I65" i="48" s="1"/>
  <c r="H66" i="48"/>
  <c r="I66" i="48" s="1"/>
  <c r="H67" i="48"/>
  <c r="I67" i="48" s="1"/>
  <c r="H68" i="48"/>
  <c r="I68" i="48" s="1"/>
  <c r="H69" i="48"/>
  <c r="I69" i="48" s="1"/>
  <c r="H70" i="48"/>
  <c r="I70" i="48" s="1"/>
  <c r="H71" i="48"/>
  <c r="I71" i="48" s="1"/>
  <c r="H72" i="48"/>
  <c r="I72" i="48" s="1"/>
  <c r="H73" i="48"/>
  <c r="I73" i="48" s="1"/>
  <c r="H75" i="48"/>
  <c r="I75" i="48" s="1"/>
  <c r="H77" i="48"/>
  <c r="I77" i="48" s="1"/>
  <c r="H78" i="48"/>
  <c r="I78" i="48" s="1"/>
  <c r="H79" i="48"/>
  <c r="I79" i="48" s="1"/>
  <c r="H80" i="48"/>
  <c r="I80" i="48" s="1"/>
  <c r="H81" i="48"/>
  <c r="I81" i="48" s="1"/>
  <c r="H82" i="48"/>
  <c r="I82" i="48" s="1"/>
  <c r="H83" i="48"/>
  <c r="I83" i="48" s="1"/>
  <c r="H84" i="48"/>
  <c r="H85" i="48"/>
  <c r="H86" i="48"/>
  <c r="H87" i="48"/>
  <c r="I87" i="48" s="1"/>
  <c r="H88" i="48"/>
  <c r="H89" i="48"/>
  <c r="I89" i="48" s="1"/>
  <c r="H90" i="48"/>
  <c r="I90" i="48" s="1"/>
  <c r="H91" i="48"/>
  <c r="I91" i="48" s="1"/>
  <c r="H92" i="48"/>
  <c r="I92" i="48" s="1"/>
  <c r="H93" i="48"/>
  <c r="I93" i="48" s="1"/>
  <c r="H94" i="48"/>
  <c r="I94" i="48" s="1"/>
  <c r="H95" i="48"/>
  <c r="I95" i="48" s="1"/>
  <c r="H96" i="48"/>
  <c r="I96" i="48" s="1"/>
  <c r="H97" i="48"/>
  <c r="I97" i="48" s="1"/>
  <c r="H98" i="48"/>
  <c r="I98" i="48" s="1"/>
  <c r="H99" i="48"/>
  <c r="I99" i="48" s="1"/>
  <c r="H100" i="48"/>
  <c r="I100" i="48" s="1"/>
  <c r="H101" i="48"/>
  <c r="I101" i="48" s="1"/>
  <c r="H102" i="48"/>
  <c r="I102" i="48" s="1"/>
  <c r="H103" i="48"/>
  <c r="I103" i="48" s="1"/>
  <c r="H104" i="48"/>
  <c r="I104" i="48" s="1"/>
  <c r="H105" i="48"/>
  <c r="I105" i="48" s="1"/>
  <c r="H106" i="48"/>
  <c r="I106" i="48" s="1"/>
  <c r="H107" i="48"/>
  <c r="I107" i="48" s="1"/>
  <c r="H108" i="48"/>
  <c r="I108" i="48" s="1"/>
  <c r="H109" i="48"/>
  <c r="I109" i="48" s="1"/>
  <c r="H110" i="48"/>
  <c r="I110" i="48" s="1"/>
  <c r="H112" i="48"/>
  <c r="I112" i="48" s="1"/>
  <c r="H113" i="48"/>
  <c r="I113" i="48" s="1"/>
  <c r="H114" i="48"/>
  <c r="I114" i="48" s="1"/>
  <c r="H116" i="48"/>
  <c r="I116" i="48" s="1"/>
  <c r="H117" i="48"/>
  <c r="I117" i="48" s="1"/>
  <c r="H118" i="48"/>
  <c r="I118" i="48" s="1"/>
  <c r="H119" i="48"/>
  <c r="I119" i="48" s="1"/>
  <c r="H120" i="48"/>
  <c r="I120" i="48" s="1"/>
  <c r="H121" i="48"/>
  <c r="I121" i="48" s="1"/>
  <c r="H122" i="48"/>
  <c r="I122" i="48" s="1"/>
  <c r="H124" i="48"/>
  <c r="I124" i="48" s="1"/>
  <c r="H125" i="48"/>
  <c r="I125" i="48" s="1"/>
  <c r="H129" i="48"/>
  <c r="I129" i="48" s="1"/>
  <c r="H130" i="48"/>
  <c r="I130" i="48" s="1"/>
  <c r="H131" i="48"/>
  <c r="I131" i="48" s="1"/>
  <c r="H132" i="48"/>
  <c r="I132" i="48" s="1"/>
  <c r="H133" i="48"/>
  <c r="I133" i="48" s="1"/>
  <c r="H134" i="48"/>
  <c r="I134" i="48" s="1"/>
  <c r="H135" i="48"/>
  <c r="I135" i="48" s="1"/>
  <c r="H137" i="48"/>
  <c r="I137" i="48" s="1"/>
  <c r="H138" i="48"/>
  <c r="I138" i="48" s="1"/>
  <c r="H139" i="48"/>
  <c r="I139" i="48" s="1"/>
  <c r="H140" i="48"/>
  <c r="I140" i="48" s="1"/>
  <c r="H141" i="48"/>
  <c r="I141" i="48" s="1"/>
  <c r="H142" i="48"/>
  <c r="I142" i="48" s="1"/>
  <c r="H143" i="48"/>
  <c r="H144" i="48"/>
  <c r="H145" i="48"/>
  <c r="I145" i="48" s="1"/>
  <c r="H146" i="48"/>
  <c r="H148" i="48"/>
  <c r="H150" i="48"/>
  <c r="H151" i="48"/>
  <c r="H152" i="48"/>
  <c r="I152" i="48" s="1"/>
  <c r="H153" i="48"/>
  <c r="I153" i="48" s="1"/>
  <c r="H154" i="48"/>
  <c r="I154" i="48" s="1"/>
  <c r="H155" i="48"/>
  <c r="I155" i="48" s="1"/>
  <c r="H156" i="48"/>
  <c r="I156" i="48" s="1"/>
  <c r="H157" i="48"/>
  <c r="I157" i="48" s="1"/>
  <c r="H159" i="48"/>
  <c r="I159" i="48" s="1"/>
  <c r="H160" i="48"/>
  <c r="I160" i="48" s="1"/>
  <c r="H161" i="48"/>
  <c r="I161" i="48" s="1"/>
  <c r="H162" i="48"/>
  <c r="I162" i="48" s="1"/>
  <c r="H163" i="48"/>
  <c r="I163" i="48" s="1"/>
  <c r="H164" i="48"/>
  <c r="I164" i="48" s="1"/>
  <c r="H165" i="48"/>
  <c r="I165" i="48" s="1"/>
  <c r="H166" i="48"/>
  <c r="I166" i="48" s="1"/>
  <c r="H167" i="48"/>
  <c r="I167" i="48" s="1"/>
  <c r="H168" i="48"/>
  <c r="I168" i="48" s="1"/>
  <c r="H169" i="48"/>
  <c r="I169" i="48" s="1"/>
  <c r="H170" i="48"/>
  <c r="I170" i="48" s="1"/>
  <c r="H171" i="48"/>
  <c r="I171" i="48" s="1"/>
  <c r="H172" i="48"/>
  <c r="I172" i="48" s="1"/>
  <c r="H173" i="48"/>
  <c r="I173" i="48" s="1"/>
  <c r="H175" i="48"/>
  <c r="I175" i="48" s="1"/>
  <c r="H177" i="48"/>
  <c r="I177" i="48" s="1"/>
  <c r="H178" i="48"/>
  <c r="I178" i="48" s="1"/>
  <c r="H179" i="48"/>
  <c r="I179" i="48" s="1"/>
  <c r="H181" i="48"/>
  <c r="I181" i="48" s="1"/>
  <c r="H182" i="48"/>
  <c r="I182" i="48" s="1"/>
  <c r="H183" i="48"/>
  <c r="I183" i="48" s="1"/>
  <c r="H185" i="48"/>
  <c r="I185" i="48" s="1"/>
  <c r="H188" i="48"/>
  <c r="I188" i="48" s="1"/>
  <c r="H9" i="48"/>
  <c r="I9" i="48" s="1"/>
  <c r="H10" i="48"/>
  <c r="I10" i="48" s="1"/>
  <c r="H11" i="48"/>
  <c r="I11" i="48" s="1"/>
  <c r="H12" i="48"/>
  <c r="I12" i="48" s="1"/>
  <c r="H13" i="48"/>
  <c r="I13" i="48" s="1"/>
  <c r="H14" i="48"/>
  <c r="I14" i="48" s="1"/>
  <c r="H15" i="48"/>
  <c r="I15" i="48" s="1"/>
  <c r="H16" i="48"/>
  <c r="I16" i="48" s="1"/>
  <c r="H17" i="48"/>
  <c r="I17" i="48" s="1"/>
  <c r="H19" i="48"/>
  <c r="I19" i="48" s="1"/>
  <c r="H21" i="48"/>
  <c r="I21" i="48" s="1"/>
  <c r="H22" i="48"/>
  <c r="I22" i="48" s="1"/>
  <c r="H23" i="48"/>
  <c r="I23" i="48" s="1"/>
  <c r="G24" i="48"/>
  <c r="H24" i="48" s="1"/>
  <c r="I24" i="48" s="1"/>
  <c r="G25" i="48"/>
  <c r="G26" i="48"/>
  <c r="H26" i="48" s="1"/>
  <c r="I26" i="48" s="1"/>
  <c r="G27" i="48"/>
  <c r="G28" i="48"/>
  <c r="G29" i="48"/>
  <c r="G30" i="48"/>
  <c r="G31" i="48"/>
  <c r="G32" i="48"/>
  <c r="G33" i="48"/>
  <c r="G34" i="48"/>
  <c r="G35" i="48"/>
  <c r="G36" i="48"/>
  <c r="G37" i="48"/>
  <c r="H37" i="48" s="1"/>
  <c r="I37" i="48" s="1"/>
  <c r="G38" i="48"/>
  <c r="G39" i="48"/>
  <c r="H39" i="48" s="1"/>
  <c r="I39" i="48" s="1"/>
  <c r="G40" i="48"/>
  <c r="H40" i="48" s="1"/>
  <c r="I40" i="48" s="1"/>
  <c r="G41" i="48"/>
  <c r="G42" i="48"/>
  <c r="H42" i="48" s="1"/>
  <c r="I42" i="48" s="1"/>
  <c r="G43" i="48"/>
  <c r="G44" i="48"/>
  <c r="G45" i="48"/>
  <c r="G46" i="48"/>
  <c r="G47" i="48"/>
  <c r="G48" i="48"/>
  <c r="G49" i="48"/>
  <c r="G50" i="48"/>
  <c r="G51" i="48"/>
  <c r="G52" i="48"/>
  <c r="G53" i="48"/>
  <c r="G54" i="48"/>
  <c r="G55" i="48"/>
  <c r="G56" i="48"/>
  <c r="G57" i="48"/>
  <c r="G58" i="48"/>
  <c r="G59" i="48"/>
  <c r="H59" i="48" s="1"/>
  <c r="I59" i="48" s="1"/>
  <c r="G60" i="48"/>
  <c r="G61" i="48"/>
  <c r="G62" i="48"/>
  <c r="G63" i="48"/>
  <c r="G64" i="48"/>
  <c r="G65" i="48"/>
  <c r="G66" i="48"/>
  <c r="G67" i="48"/>
  <c r="G68" i="48"/>
  <c r="G69" i="48"/>
  <c r="G70" i="48"/>
  <c r="G71" i="48"/>
  <c r="G72" i="48"/>
  <c r="G73" i="48"/>
  <c r="G74" i="48"/>
  <c r="H74" i="48" s="1"/>
  <c r="I74" i="48" s="1"/>
  <c r="G75" i="48"/>
  <c r="G76" i="48"/>
  <c r="H76" i="48" s="1"/>
  <c r="I76" i="48" s="1"/>
  <c r="G77" i="48"/>
  <c r="G78" i="48"/>
  <c r="G79" i="48"/>
  <c r="G80" i="48"/>
  <c r="G81" i="48"/>
  <c r="G82" i="48"/>
  <c r="G83" i="48"/>
  <c r="G84" i="48"/>
  <c r="G85" i="48"/>
  <c r="G86" i="48"/>
  <c r="G87" i="48"/>
  <c r="G88" i="48"/>
  <c r="G89" i="48"/>
  <c r="G90" i="48"/>
  <c r="G91" i="48"/>
  <c r="G92" i="48"/>
  <c r="G93" i="48"/>
  <c r="G94" i="48"/>
  <c r="G95" i="48"/>
  <c r="G96" i="48"/>
  <c r="G97" i="48"/>
  <c r="G98" i="48"/>
  <c r="G99" i="48"/>
  <c r="G100" i="48"/>
  <c r="G101" i="48"/>
  <c r="G102" i="48"/>
  <c r="G103" i="48"/>
  <c r="G104" i="48"/>
  <c r="G105" i="48"/>
  <c r="G106" i="48"/>
  <c r="G107" i="48"/>
  <c r="G108" i="48"/>
  <c r="G109" i="48"/>
  <c r="G110" i="48"/>
  <c r="G111" i="48"/>
  <c r="H111" i="48" s="1"/>
  <c r="I111" i="48" s="1"/>
  <c r="G112" i="48"/>
  <c r="G113" i="48"/>
  <c r="G114" i="48"/>
  <c r="G115" i="48"/>
  <c r="H115" i="48" s="1"/>
  <c r="I115" i="48" s="1"/>
  <c r="G116" i="48"/>
  <c r="G117" i="48"/>
  <c r="G118" i="48"/>
  <c r="G119" i="48"/>
  <c r="G120" i="48"/>
  <c r="G121" i="48"/>
  <c r="G122" i="48"/>
  <c r="G123" i="48"/>
  <c r="H123" i="48" s="1"/>
  <c r="I123" i="48" s="1"/>
  <c r="G124" i="48"/>
  <c r="G125" i="48"/>
  <c r="G126" i="48"/>
  <c r="H126" i="48" s="1"/>
  <c r="I126" i="48" s="1"/>
  <c r="G127" i="48"/>
  <c r="H127" i="48" s="1"/>
  <c r="I127" i="48" s="1"/>
  <c r="G129" i="48"/>
  <c r="G130" i="48"/>
  <c r="G131" i="48"/>
  <c r="G132" i="48"/>
  <c r="G133" i="48"/>
  <c r="G134" i="48"/>
  <c r="G135" i="48"/>
  <c r="G136" i="48"/>
  <c r="H136" i="48" s="1"/>
  <c r="I136" i="48" s="1"/>
  <c r="G137" i="48"/>
  <c r="G138" i="48"/>
  <c r="G139" i="48"/>
  <c r="G140" i="48"/>
  <c r="G141" i="48"/>
  <c r="G142" i="48"/>
  <c r="G143" i="48"/>
  <c r="G144" i="48"/>
  <c r="G145" i="48"/>
  <c r="G146" i="48"/>
  <c r="G147" i="48"/>
  <c r="H147" i="48" s="1"/>
  <c r="I147" i="48" s="1"/>
  <c r="G148" i="48"/>
  <c r="G149" i="48"/>
  <c r="H149" i="48" s="1"/>
  <c r="I149" i="48" s="1"/>
  <c r="G150" i="48"/>
  <c r="G151" i="48"/>
  <c r="G152" i="48"/>
  <c r="G153" i="48"/>
  <c r="G154" i="48"/>
  <c r="G155" i="48"/>
  <c r="G156" i="48"/>
  <c r="G157" i="48"/>
  <c r="G158" i="48"/>
  <c r="H158" i="48" s="1"/>
  <c r="I158" i="48" s="1"/>
  <c r="G159" i="48"/>
  <c r="G160" i="48"/>
  <c r="G161" i="48"/>
  <c r="G162" i="48"/>
  <c r="G163" i="48"/>
  <c r="G164" i="48"/>
  <c r="G165" i="48"/>
  <c r="G166" i="48"/>
  <c r="G167" i="48"/>
  <c r="G168" i="48"/>
  <c r="G169" i="48"/>
  <c r="G170" i="48"/>
  <c r="G171" i="48"/>
  <c r="G172" i="48"/>
  <c r="G173" i="48"/>
  <c r="G174" i="48"/>
  <c r="H174" i="48" s="1"/>
  <c r="I174" i="48" s="1"/>
  <c r="G175" i="48"/>
  <c r="G176" i="48"/>
  <c r="H176" i="48" s="1"/>
  <c r="I176" i="48" s="1"/>
  <c r="G177" i="48"/>
  <c r="G178" i="48"/>
  <c r="G179" i="48"/>
  <c r="G180" i="48"/>
  <c r="H180" i="48" s="1"/>
  <c r="I180" i="48" s="1"/>
  <c r="G181" i="48"/>
  <c r="G182" i="48"/>
  <c r="G183" i="48"/>
  <c r="G184" i="48"/>
  <c r="H184" i="48" s="1"/>
  <c r="I184" i="48" s="1"/>
  <c r="G185" i="48"/>
  <c r="G186" i="48"/>
  <c r="H186" i="48" s="1"/>
  <c r="I186" i="48" s="1"/>
  <c r="G187" i="48"/>
  <c r="H187" i="48" s="1"/>
  <c r="I187" i="48" s="1"/>
  <c r="G188" i="48"/>
  <c r="G189" i="48"/>
  <c r="H189" i="48" s="1"/>
  <c r="I189" i="48" s="1"/>
  <c r="G190" i="48"/>
  <c r="H190" i="48" s="1"/>
  <c r="I190" i="48" s="1"/>
  <c r="G9" i="48"/>
  <c r="G10" i="48"/>
  <c r="G11" i="48"/>
  <c r="G12" i="48"/>
  <c r="G13" i="48"/>
  <c r="G14" i="48"/>
  <c r="G15" i="48"/>
  <c r="G16" i="48"/>
  <c r="G17" i="48"/>
  <c r="G18" i="48"/>
  <c r="H18" i="48" s="1"/>
  <c r="I18" i="48" s="1"/>
  <c r="G19" i="48"/>
  <c r="G20" i="48"/>
  <c r="H20" i="48" s="1"/>
  <c r="I20" i="48" s="1"/>
  <c r="G21" i="48"/>
  <c r="G22" i="48"/>
  <c r="G23" i="48"/>
  <c r="G8" i="48"/>
  <c r="H8" i="48" s="1"/>
  <c r="I8" i="48" s="1"/>
  <c r="E41" i="48"/>
  <c r="E42" i="48"/>
  <c r="E43" i="48"/>
  <c r="E44" i="48"/>
  <c r="E45" i="48"/>
  <c r="E46" i="48"/>
  <c r="E47" i="48"/>
  <c r="E48" i="48"/>
  <c r="E49" i="48"/>
  <c r="E50" i="48"/>
  <c r="E51" i="48"/>
  <c r="E52" i="48"/>
  <c r="E53" i="48"/>
  <c r="E54" i="48"/>
  <c r="E55" i="48"/>
  <c r="E56" i="48"/>
  <c r="E57" i="48"/>
  <c r="E58" i="48"/>
  <c r="E59" i="48"/>
  <c r="E60" i="48"/>
  <c r="E61" i="48"/>
  <c r="E62" i="48"/>
  <c r="E63" i="48"/>
  <c r="E64" i="48"/>
  <c r="E65" i="48"/>
  <c r="E66" i="48"/>
  <c r="E67" i="48"/>
  <c r="E68" i="48"/>
  <c r="E69" i="48"/>
  <c r="E70" i="48"/>
  <c r="E71" i="48"/>
  <c r="E72" i="48"/>
  <c r="E73" i="48"/>
  <c r="E74" i="48"/>
  <c r="E75" i="48"/>
  <c r="E76" i="48"/>
  <c r="E77" i="48"/>
  <c r="E78" i="48"/>
  <c r="E79" i="48"/>
  <c r="E80" i="48"/>
  <c r="E81" i="48"/>
  <c r="E82" i="48"/>
  <c r="E83" i="48"/>
  <c r="E84" i="48"/>
  <c r="E85" i="48"/>
  <c r="E86" i="48"/>
  <c r="E87" i="48"/>
  <c r="E88" i="48"/>
  <c r="E89" i="48"/>
  <c r="E90" i="48"/>
  <c r="E91" i="48"/>
  <c r="E92" i="48"/>
  <c r="E93" i="48"/>
  <c r="E94" i="48"/>
  <c r="E95" i="48"/>
  <c r="E96" i="48"/>
  <c r="E97" i="48"/>
  <c r="E98" i="48"/>
  <c r="E99" i="48"/>
  <c r="E100" i="48"/>
  <c r="E101" i="48"/>
  <c r="E102" i="48"/>
  <c r="E103" i="48"/>
  <c r="E104" i="48"/>
  <c r="E105" i="48"/>
  <c r="E106" i="48"/>
  <c r="E107" i="48"/>
  <c r="E108" i="48"/>
  <c r="E109" i="48"/>
  <c r="E110" i="48"/>
  <c r="E111" i="48"/>
  <c r="E112" i="48"/>
  <c r="E113" i="48"/>
  <c r="E114" i="48"/>
  <c r="E115" i="48"/>
  <c r="E116" i="48"/>
  <c r="E117" i="48"/>
  <c r="E118" i="48"/>
  <c r="E119" i="48"/>
  <c r="E120" i="48"/>
  <c r="E121" i="48"/>
  <c r="E122" i="48"/>
  <c r="E123" i="48"/>
  <c r="E124" i="48"/>
  <c r="E125" i="48"/>
  <c r="E126" i="48"/>
  <c r="E127" i="48"/>
  <c r="E129" i="48"/>
  <c r="E130" i="48"/>
  <c r="E131" i="48"/>
  <c r="E132" i="48"/>
  <c r="E133" i="48"/>
  <c r="E134" i="48"/>
  <c r="E135" i="48"/>
  <c r="E136" i="48"/>
  <c r="E137" i="48"/>
  <c r="E138" i="48"/>
  <c r="E139" i="48"/>
  <c r="E140" i="48"/>
  <c r="E141" i="48"/>
  <c r="E142" i="48"/>
  <c r="E143" i="48"/>
  <c r="E144" i="48"/>
  <c r="E145" i="48"/>
  <c r="E146" i="48"/>
  <c r="E147" i="48"/>
  <c r="E148" i="48"/>
  <c r="E149" i="48"/>
  <c r="E150" i="48"/>
  <c r="E151" i="48"/>
  <c r="E152" i="48"/>
  <c r="E153" i="48"/>
  <c r="E154" i="48"/>
  <c r="E155" i="48"/>
  <c r="E156" i="48"/>
  <c r="E157" i="48"/>
  <c r="E158" i="48"/>
  <c r="E159" i="48"/>
  <c r="E160" i="48"/>
  <c r="E161" i="48"/>
  <c r="E162" i="48"/>
  <c r="E163" i="48"/>
  <c r="E164" i="48"/>
  <c r="E165" i="48"/>
  <c r="E166" i="48"/>
  <c r="E167" i="48"/>
  <c r="E168" i="48"/>
  <c r="E169" i="48"/>
  <c r="E170" i="48"/>
  <c r="E171" i="48"/>
  <c r="E172" i="48"/>
  <c r="E173" i="48"/>
  <c r="E174" i="48"/>
  <c r="E175" i="48"/>
  <c r="E176" i="48"/>
  <c r="E177" i="48"/>
  <c r="E178" i="48"/>
  <c r="E179" i="48"/>
  <c r="E180" i="48"/>
  <c r="E181" i="48"/>
  <c r="E182" i="48"/>
  <c r="E183" i="48"/>
  <c r="E184" i="48"/>
  <c r="E185" i="48"/>
  <c r="E186" i="48"/>
  <c r="E187" i="48"/>
  <c r="E188" i="48"/>
  <c r="E189" i="48"/>
  <c r="E190" i="48"/>
  <c r="E24" i="48"/>
  <c r="E25" i="48"/>
  <c r="E26" i="48"/>
  <c r="E27" i="48"/>
  <c r="E28" i="48"/>
  <c r="E29" i="48"/>
  <c r="E30" i="48"/>
  <c r="E31" i="48"/>
  <c r="E32" i="48"/>
  <c r="E33" i="48"/>
  <c r="E34" i="48"/>
  <c r="E35" i="48"/>
  <c r="E36" i="48"/>
  <c r="E37" i="48"/>
  <c r="E38" i="48"/>
  <c r="E39" i="48"/>
  <c r="E40" i="48"/>
  <c r="E9" i="48"/>
  <c r="E10" i="48"/>
  <c r="E11" i="48"/>
  <c r="E12" i="48"/>
  <c r="E13" i="48"/>
  <c r="E14" i="48"/>
  <c r="E15" i="48"/>
  <c r="E16" i="48"/>
  <c r="E17" i="48"/>
  <c r="E18" i="48"/>
  <c r="E19" i="48"/>
  <c r="E20" i="48"/>
  <c r="E21" i="48"/>
  <c r="E22" i="48"/>
  <c r="E23" i="48"/>
  <c r="B8" i="48"/>
  <c r="B9" i="48"/>
  <c r="B10" i="48"/>
  <c r="B11" i="48"/>
  <c r="B12" i="48"/>
  <c r="B13" i="48"/>
  <c r="B14" i="48"/>
  <c r="B15" i="48"/>
  <c r="B16" i="48"/>
  <c r="B17" i="48"/>
  <c r="B18" i="48"/>
  <c r="B19" i="48"/>
  <c r="B20" i="48"/>
  <c r="B21" i="48"/>
  <c r="B22" i="48"/>
  <c r="B23" i="48"/>
  <c r="B24" i="48"/>
  <c r="B25" i="48"/>
  <c r="B26" i="48"/>
  <c r="B27" i="48"/>
  <c r="B28" i="48"/>
  <c r="B29" i="48"/>
  <c r="B30" i="48"/>
  <c r="B31" i="48"/>
  <c r="B32" i="48"/>
  <c r="B33" i="48"/>
  <c r="B34" i="48"/>
  <c r="B35" i="48"/>
  <c r="B36" i="48"/>
  <c r="B37" i="48"/>
  <c r="B38" i="48"/>
  <c r="B39" i="48"/>
  <c r="B40" i="48"/>
  <c r="B41" i="48"/>
  <c r="B42" i="48"/>
  <c r="B43" i="48"/>
  <c r="B44" i="48"/>
  <c r="B45" i="48"/>
  <c r="B46" i="48"/>
  <c r="B47" i="48"/>
  <c r="B48" i="48"/>
  <c r="B49" i="48"/>
  <c r="B50" i="48"/>
  <c r="B51" i="48"/>
  <c r="B52" i="48"/>
  <c r="B53" i="48"/>
  <c r="B54" i="48"/>
  <c r="B55" i="48"/>
  <c r="B56" i="48"/>
  <c r="B57" i="48"/>
  <c r="B58" i="48"/>
  <c r="B59" i="48"/>
  <c r="B60" i="48"/>
  <c r="B61" i="48"/>
  <c r="B62" i="48"/>
  <c r="B63" i="48"/>
  <c r="B64" i="48"/>
  <c r="B65" i="48"/>
  <c r="B66" i="48"/>
  <c r="B67" i="48"/>
  <c r="B68" i="48"/>
  <c r="B69" i="48"/>
  <c r="B70" i="48"/>
  <c r="B71" i="48"/>
  <c r="B72" i="48"/>
  <c r="B73" i="48"/>
  <c r="B74" i="48"/>
  <c r="B75" i="48"/>
  <c r="B76" i="48"/>
  <c r="B77" i="48"/>
  <c r="B78" i="48"/>
  <c r="B79" i="48"/>
  <c r="B80" i="48"/>
  <c r="B81" i="48"/>
  <c r="B82" i="48"/>
  <c r="B83" i="48"/>
  <c r="B84" i="48"/>
  <c r="B85" i="48"/>
  <c r="B86" i="48"/>
  <c r="B87" i="48"/>
  <c r="B88" i="48"/>
  <c r="B89" i="48"/>
  <c r="B90" i="48"/>
  <c r="B91" i="48"/>
  <c r="B92" i="48"/>
  <c r="B93" i="48"/>
  <c r="B94" i="48"/>
  <c r="B95" i="48"/>
  <c r="B96" i="48"/>
  <c r="B97" i="48"/>
  <c r="B98" i="48"/>
  <c r="B99" i="48"/>
  <c r="B100" i="48"/>
  <c r="B101" i="48"/>
  <c r="B102" i="48"/>
  <c r="B103" i="48"/>
  <c r="B104" i="48"/>
  <c r="B105" i="48"/>
  <c r="B106" i="48"/>
  <c r="B107" i="48"/>
  <c r="B108" i="48"/>
  <c r="B109" i="48"/>
  <c r="B110" i="48"/>
  <c r="B111" i="48"/>
  <c r="B112" i="48"/>
  <c r="B113" i="48"/>
  <c r="B114" i="48"/>
  <c r="B115" i="48"/>
  <c r="B116" i="48"/>
  <c r="B117" i="48"/>
  <c r="B118" i="48"/>
  <c r="B119" i="48"/>
  <c r="B120" i="48"/>
  <c r="B121" i="48"/>
  <c r="B122" i="48"/>
  <c r="B123" i="48"/>
  <c r="B124" i="48"/>
  <c r="B125" i="48"/>
  <c r="B126" i="48"/>
  <c r="B127" i="48"/>
  <c r="B128" i="48"/>
  <c r="B129" i="48"/>
  <c r="B130" i="48"/>
  <c r="B131" i="48"/>
  <c r="B132" i="48"/>
  <c r="B133" i="48"/>
  <c r="B134" i="48"/>
  <c r="B135" i="48"/>
  <c r="B136" i="48"/>
  <c r="B137" i="48"/>
  <c r="B138" i="48"/>
  <c r="B139" i="48"/>
  <c r="B140" i="48"/>
  <c r="B141" i="48"/>
  <c r="B142" i="48"/>
  <c r="B143" i="48"/>
  <c r="B144" i="48"/>
  <c r="B145" i="48"/>
  <c r="B146" i="48"/>
  <c r="B147" i="48"/>
  <c r="B148" i="48"/>
  <c r="B149" i="48"/>
  <c r="B150" i="48"/>
  <c r="B151" i="48"/>
  <c r="B152" i="48"/>
  <c r="B153" i="48"/>
  <c r="B154" i="48"/>
  <c r="B155" i="48"/>
  <c r="B156" i="48"/>
  <c r="B157" i="48"/>
  <c r="B158" i="48"/>
  <c r="B159" i="48"/>
  <c r="B160" i="48"/>
  <c r="B161" i="48"/>
  <c r="B162" i="48"/>
  <c r="B163" i="48"/>
  <c r="B164" i="48"/>
  <c r="B165" i="48"/>
  <c r="B166" i="48"/>
  <c r="B167" i="48"/>
  <c r="B168" i="48"/>
  <c r="B169" i="48"/>
  <c r="B170" i="48"/>
  <c r="B171" i="48"/>
  <c r="B172" i="48"/>
  <c r="B173" i="48"/>
  <c r="B174" i="48"/>
  <c r="B175" i="48"/>
  <c r="B176" i="48"/>
  <c r="B177" i="48"/>
  <c r="B178" i="48"/>
  <c r="B179" i="48"/>
  <c r="B180" i="48"/>
  <c r="B181" i="48"/>
  <c r="B182" i="48"/>
  <c r="B183" i="48"/>
  <c r="B184" i="48"/>
  <c r="B185" i="48"/>
  <c r="B186" i="48"/>
  <c r="B187" i="48"/>
  <c r="B188" i="48"/>
  <c r="B189" i="48"/>
  <c r="B190" i="48"/>
  <c r="A8" i="48"/>
  <c r="A9" i="48"/>
  <c r="A10" i="48"/>
  <c r="A11" i="48"/>
  <c r="A12" i="48"/>
  <c r="A13" i="48"/>
  <c r="A14" i="48"/>
  <c r="A15" i="48"/>
  <c r="A16" i="48"/>
  <c r="A17" i="48"/>
  <c r="A18" i="48"/>
  <c r="A19" i="48"/>
  <c r="A20" i="48"/>
  <c r="A21" i="48"/>
  <c r="A22" i="48"/>
  <c r="A23" i="48"/>
  <c r="A24" i="48"/>
  <c r="A25" i="48"/>
  <c r="A26" i="48"/>
  <c r="A27" i="48"/>
  <c r="A28" i="48"/>
  <c r="A29" i="48"/>
  <c r="A30" i="48"/>
  <c r="A31" i="48"/>
  <c r="A32" i="48"/>
  <c r="A33" i="48"/>
  <c r="A34" i="48"/>
  <c r="A35" i="48"/>
  <c r="A36" i="48"/>
  <c r="A37" i="48"/>
  <c r="A38" i="48"/>
  <c r="A39" i="48"/>
  <c r="A40" i="48"/>
  <c r="A41" i="48"/>
  <c r="A42" i="48"/>
  <c r="A43" i="48"/>
  <c r="A44" i="48"/>
  <c r="A45" i="48"/>
  <c r="A46" i="48"/>
  <c r="A47" i="48"/>
  <c r="A48" i="48"/>
  <c r="A49" i="48"/>
  <c r="A50" i="48"/>
  <c r="A51" i="48"/>
  <c r="A52" i="48"/>
  <c r="A53" i="48"/>
  <c r="A54" i="48"/>
  <c r="A55" i="48"/>
  <c r="A56" i="48"/>
  <c r="A57" i="48"/>
  <c r="A58" i="48"/>
  <c r="A59" i="48"/>
  <c r="A60" i="48"/>
  <c r="A61" i="48"/>
  <c r="A62" i="48"/>
  <c r="A63" i="48"/>
  <c r="A64" i="48"/>
  <c r="A65" i="48"/>
  <c r="A66" i="48"/>
  <c r="A67" i="48"/>
  <c r="A68" i="48"/>
  <c r="A69" i="48"/>
  <c r="A70" i="48"/>
  <c r="A71" i="48"/>
  <c r="A72" i="48"/>
  <c r="A73" i="48"/>
  <c r="A74" i="48"/>
  <c r="A75" i="48"/>
  <c r="A76" i="48"/>
  <c r="A77" i="48"/>
  <c r="A78" i="48"/>
  <c r="A79" i="48"/>
  <c r="A80" i="48"/>
  <c r="A81" i="48"/>
  <c r="A82" i="48"/>
  <c r="A83" i="48"/>
  <c r="A84" i="48"/>
  <c r="A85" i="48"/>
  <c r="A86" i="48"/>
  <c r="A87" i="48"/>
  <c r="A88" i="48"/>
  <c r="A89" i="48"/>
  <c r="A90" i="48"/>
  <c r="A91" i="48"/>
  <c r="A92" i="48"/>
  <c r="A93" i="48"/>
  <c r="A94" i="48"/>
  <c r="A95" i="48"/>
  <c r="A96" i="48"/>
  <c r="A97" i="48"/>
  <c r="A98" i="48"/>
  <c r="A99" i="48"/>
  <c r="A100" i="48"/>
  <c r="A101" i="48"/>
  <c r="A102" i="48"/>
  <c r="A103" i="48"/>
  <c r="A104" i="48"/>
  <c r="A105" i="48"/>
  <c r="A106" i="48"/>
  <c r="A107" i="48"/>
  <c r="A108" i="48"/>
  <c r="A109" i="48"/>
  <c r="A110" i="48"/>
  <c r="A111" i="48"/>
  <c r="A112" i="48"/>
  <c r="A113" i="48"/>
  <c r="A114" i="48"/>
  <c r="A115" i="48"/>
  <c r="A116" i="48"/>
  <c r="A117" i="48"/>
  <c r="A118" i="48"/>
  <c r="A119" i="48"/>
  <c r="A120" i="48"/>
  <c r="A121" i="48"/>
  <c r="A122" i="48"/>
  <c r="A123" i="48"/>
  <c r="A124" i="48"/>
  <c r="A125" i="48"/>
  <c r="A126" i="48"/>
  <c r="A127" i="48"/>
  <c r="A129" i="48"/>
  <c r="A130" i="48"/>
  <c r="A131" i="48"/>
  <c r="A132" i="48"/>
  <c r="A133" i="48"/>
  <c r="A134" i="48"/>
  <c r="A135" i="48"/>
  <c r="A136" i="48"/>
  <c r="A137" i="48"/>
  <c r="A138" i="48"/>
  <c r="A139" i="48"/>
  <c r="A140" i="48"/>
  <c r="A141" i="48"/>
  <c r="A142" i="48"/>
  <c r="A143" i="48"/>
  <c r="A144" i="48"/>
  <c r="A145" i="48"/>
  <c r="A146" i="48"/>
  <c r="A147" i="48"/>
  <c r="A148" i="48"/>
  <c r="A149" i="48"/>
  <c r="A150" i="48"/>
  <c r="A151" i="48"/>
  <c r="A152" i="48"/>
  <c r="A153" i="48"/>
  <c r="A154" i="48"/>
  <c r="A155" i="48"/>
  <c r="A156" i="48"/>
  <c r="A157" i="48"/>
  <c r="A158" i="48"/>
  <c r="A159" i="48"/>
  <c r="A160" i="48"/>
  <c r="A161" i="48"/>
  <c r="A162" i="48"/>
  <c r="A163" i="48"/>
  <c r="A164" i="48"/>
  <c r="A165" i="48"/>
  <c r="A166" i="48"/>
  <c r="A167" i="48"/>
  <c r="A168" i="48"/>
  <c r="A169" i="48"/>
  <c r="A170" i="48"/>
  <c r="A171" i="48"/>
  <c r="A172" i="48"/>
  <c r="A173" i="48"/>
  <c r="A174" i="48"/>
  <c r="A176" i="48"/>
  <c r="A177" i="48"/>
  <c r="A178" i="48"/>
  <c r="A179" i="48"/>
  <c r="A180" i="48"/>
  <c r="A181" i="48"/>
  <c r="A182" i="48"/>
  <c r="A183" i="48"/>
  <c r="A184" i="48"/>
  <c r="A185" i="48"/>
  <c r="A186" i="48"/>
  <c r="A187" i="48"/>
  <c r="A188" i="48"/>
  <c r="A189" i="48"/>
  <c r="A190" i="48"/>
  <c r="C87" i="70"/>
  <c r="F74" i="70"/>
  <c r="F73" i="70"/>
  <c r="F72" i="70"/>
  <c r="F71" i="70"/>
  <c r="F70" i="70"/>
  <c r="F69" i="70"/>
  <c r="F68" i="70"/>
  <c r="F67" i="70"/>
  <c r="F66" i="70"/>
  <c r="F65" i="70"/>
  <c r="F64" i="70"/>
  <c r="F63" i="70"/>
  <c r="F62" i="70"/>
  <c r="F55" i="70"/>
  <c r="F52" i="70"/>
  <c r="F58" i="70"/>
  <c r="F57" i="70"/>
  <c r="F56" i="70"/>
  <c r="F54" i="70"/>
  <c r="F53" i="70"/>
  <c r="F51" i="70"/>
  <c r="F50" i="70"/>
  <c r="F47" i="70"/>
  <c r="H59" i="70"/>
  <c r="F45" i="70"/>
  <c r="F43" i="70"/>
  <c r="E41" i="70"/>
  <c r="E39" i="70"/>
  <c r="E38" i="70"/>
  <c r="C36" i="70" s="1"/>
  <c r="E29" i="70"/>
  <c r="C27" i="70" s="1"/>
  <c r="E26" i="70"/>
  <c r="C24" i="70" s="1"/>
  <c r="E23" i="70"/>
  <c r="C21" i="70" s="1"/>
  <c r="E20" i="70"/>
  <c r="C15" i="70" s="1"/>
  <c r="B76" i="70"/>
  <c r="B61" i="70"/>
  <c r="B49" i="70"/>
  <c r="B46" i="70"/>
  <c r="B44" i="70"/>
  <c r="B42" i="70"/>
  <c r="B41" i="70"/>
  <c r="B40" i="70"/>
  <c r="B39" i="70"/>
  <c r="B36" i="70"/>
  <c r="B30" i="70"/>
  <c r="B27" i="70"/>
  <c r="B24" i="70"/>
  <c r="B21" i="70"/>
  <c r="B15" i="70"/>
  <c r="A350" i="36"/>
  <c r="E13" i="70"/>
  <c r="B13" i="70"/>
  <c r="I144" i="48" l="1"/>
  <c r="I88" i="48"/>
  <c r="I48" i="48"/>
  <c r="I151" i="48"/>
  <c r="I143" i="48"/>
  <c r="I150" i="48"/>
  <c r="I86" i="48"/>
  <c r="I46" i="48"/>
  <c r="I85" i="48"/>
  <c r="I148" i="48"/>
  <c r="I84" i="48"/>
  <c r="I146" i="48"/>
  <c r="I58" i="48"/>
  <c r="I50" i="48"/>
  <c r="B11" i="70" l="1"/>
  <c r="B9" i="70"/>
  <c r="E11" i="70"/>
  <c r="E12" i="70" s="1"/>
  <c r="C11" i="70" s="1"/>
  <c r="B87" i="70"/>
  <c r="B86" i="70"/>
  <c r="B85" i="70"/>
  <c r="B84" i="70"/>
  <c r="B83" i="70"/>
  <c r="B82" i="70"/>
  <c r="B81" i="70"/>
  <c r="B80" i="70"/>
  <c r="B79" i="70"/>
  <c r="B78" i="70"/>
  <c r="B77" i="70"/>
  <c r="H31" i="70" l="1"/>
  <c r="H32" i="70"/>
  <c r="J32" i="70" s="1"/>
  <c r="H33" i="70"/>
  <c r="J33" i="70" s="1"/>
  <c r="H34" i="70"/>
  <c r="J34" i="70" s="1"/>
  <c r="F35" i="70"/>
  <c r="G35" i="70"/>
  <c r="I35" i="70"/>
  <c r="H75" i="70"/>
  <c r="E14" i="70"/>
  <c r="C13" i="70" s="1"/>
  <c r="C191" i="69"/>
  <c r="E189" i="69"/>
  <c r="E183" i="69"/>
  <c r="C180" i="69" s="1"/>
  <c r="E177" i="69"/>
  <c r="E167" i="69"/>
  <c r="E153" i="69"/>
  <c r="C148" i="69" s="1"/>
  <c r="E120" i="69"/>
  <c r="J31" i="70" l="1"/>
  <c r="H35" i="70"/>
  <c r="J35" i="70"/>
  <c r="C30" i="70" s="1"/>
  <c r="F75" i="70"/>
  <c r="F59" i="70"/>
  <c r="E147" i="69"/>
  <c r="C144" i="69" s="1"/>
  <c r="E142" i="69"/>
  <c r="E115" i="69"/>
  <c r="C112" i="69" s="1"/>
  <c r="E111" i="69"/>
  <c r="C108" i="69" s="1"/>
  <c r="B196" i="69"/>
  <c r="B195" i="69"/>
  <c r="B194" i="69"/>
  <c r="B192" i="69"/>
  <c r="B193" i="69"/>
  <c r="B191" i="69"/>
  <c r="B190" i="69"/>
  <c r="B185" i="69"/>
  <c r="B184" i="69"/>
  <c r="B180" i="69"/>
  <c r="B174" i="69"/>
  <c r="B173" i="69"/>
  <c r="B172" i="69"/>
  <c r="B169" i="69"/>
  <c r="B164" i="69"/>
  <c r="B163" i="69"/>
  <c r="B157" i="69"/>
  <c r="B156" i="69"/>
  <c r="B155" i="69"/>
  <c r="B154" i="69"/>
  <c r="B148" i="69"/>
  <c r="B144" i="69"/>
  <c r="B137" i="69"/>
  <c r="B123" i="69"/>
  <c r="B122" i="69"/>
  <c r="B116" i="69"/>
  <c r="B112" i="69"/>
  <c r="B108" i="69"/>
  <c r="B100" i="69"/>
  <c r="B93" i="69"/>
  <c r="B92" i="69"/>
  <c r="B91" i="69"/>
  <c r="B90" i="69"/>
  <c r="B74" i="69"/>
  <c r="B69" i="69"/>
  <c r="B61" i="69"/>
  <c r="B43" i="69"/>
  <c r="B41" i="69"/>
  <c r="B33" i="69"/>
  <c r="B23" i="69"/>
  <c r="B7" i="69"/>
  <c r="B8" i="69"/>
  <c r="E83" i="69"/>
  <c r="E78" i="69"/>
  <c r="E74" i="69"/>
  <c r="E67" i="69"/>
  <c r="C61" i="69" s="1"/>
  <c r="E8" i="69"/>
  <c r="E43" i="69"/>
  <c r="E26" i="69"/>
  <c r="E39" i="69"/>
  <c r="E88" i="69" l="1"/>
  <c r="C74" i="69" s="1"/>
  <c r="D343" i="36"/>
  <c r="C343" i="36"/>
  <c r="D278" i="36"/>
  <c r="C278" i="36"/>
  <c r="D191" i="36"/>
  <c r="C191" i="36"/>
  <c r="B177" i="59"/>
  <c r="B178" i="59"/>
  <c r="B179" i="59"/>
  <c r="B180" i="59"/>
  <c r="B181" i="59"/>
  <c r="B182" i="59"/>
  <c r="B183" i="59"/>
  <c r="B184" i="59"/>
  <c r="B185" i="59"/>
  <c r="B186" i="59"/>
  <c r="B188" i="59"/>
  <c r="B176" i="59"/>
  <c r="B173" i="59"/>
  <c r="B161" i="59"/>
  <c r="B162" i="59"/>
  <c r="B163" i="59"/>
  <c r="B164" i="59"/>
  <c r="B165" i="59"/>
  <c r="B166" i="59"/>
  <c r="B167" i="59"/>
  <c r="B168" i="59"/>
  <c r="B169" i="59"/>
  <c r="B170" i="59"/>
  <c r="B171" i="59"/>
  <c r="B172" i="59"/>
  <c r="B160" i="59"/>
  <c r="B131" i="59"/>
  <c r="B132" i="59"/>
  <c r="B133" i="59"/>
  <c r="B134" i="59"/>
  <c r="B135" i="59"/>
  <c r="B136" i="59"/>
  <c r="B137" i="59"/>
  <c r="B138" i="59"/>
  <c r="B139" i="59"/>
  <c r="B140" i="59"/>
  <c r="B141" i="59"/>
  <c r="B142" i="59"/>
  <c r="B143" i="59"/>
  <c r="B144" i="59"/>
  <c r="B145" i="59"/>
  <c r="B146" i="59"/>
  <c r="B147" i="59"/>
  <c r="B148" i="59"/>
  <c r="B149" i="59"/>
  <c r="B150" i="59"/>
  <c r="B151" i="59"/>
  <c r="B152" i="59"/>
  <c r="B153" i="59"/>
  <c r="B154" i="59"/>
  <c r="B155" i="59"/>
  <c r="B156" i="59"/>
  <c r="B157" i="59"/>
  <c r="B130" i="59"/>
  <c r="B379" i="59"/>
  <c r="B378" i="59"/>
  <c r="B377" i="59"/>
  <c r="B376" i="59"/>
  <c r="B372" i="59"/>
  <c r="B371" i="59"/>
  <c r="B370" i="59"/>
  <c r="B369" i="59"/>
  <c r="B364" i="59"/>
  <c r="B363" i="59"/>
  <c r="B362" i="59"/>
  <c r="B361" i="59"/>
  <c r="B360" i="59"/>
  <c r="B359" i="59"/>
  <c r="B358" i="59"/>
  <c r="B357" i="59"/>
  <c r="B356" i="59"/>
  <c r="B355" i="59"/>
  <c r="B354" i="59"/>
  <c r="B353" i="59"/>
  <c r="B352" i="59"/>
  <c r="B351" i="59"/>
  <c r="B350" i="59"/>
  <c r="B349" i="59"/>
  <c r="B348" i="59"/>
  <c r="B345" i="59"/>
  <c r="B342" i="59"/>
  <c r="B341" i="59"/>
  <c r="B339" i="59"/>
  <c r="B336" i="59"/>
  <c r="B335" i="59"/>
  <c r="B334" i="59"/>
  <c r="B333" i="59"/>
  <c r="B332" i="59"/>
  <c r="B329" i="59"/>
  <c r="B328" i="59"/>
  <c r="B327" i="59"/>
  <c r="B326" i="59"/>
  <c r="B325" i="59"/>
  <c r="B320" i="59"/>
  <c r="B319" i="59"/>
  <c r="B318" i="59"/>
  <c r="B317" i="59"/>
  <c r="B316" i="59"/>
  <c r="B313" i="59"/>
  <c r="B312" i="59"/>
  <c r="B311" i="59"/>
  <c r="B310" i="59"/>
  <c r="B309" i="59"/>
  <c r="B304" i="59"/>
  <c r="B303" i="59"/>
  <c r="B302" i="59"/>
  <c r="B301" i="59"/>
  <c r="B300" i="59"/>
  <c r="B299" i="59"/>
  <c r="B298" i="59"/>
  <c r="B297" i="59"/>
  <c r="B296" i="59"/>
  <c r="B295" i="59"/>
  <c r="B294" i="59"/>
  <c r="B292" i="59"/>
  <c r="B291" i="59"/>
  <c r="B290" i="59"/>
  <c r="B289" i="59"/>
  <c r="B288" i="59"/>
  <c r="B287" i="59"/>
  <c r="B286" i="59"/>
  <c r="B285" i="59"/>
  <c r="B284" i="59"/>
  <c r="B283" i="59"/>
  <c r="B282" i="59"/>
  <c r="B281" i="59"/>
  <c r="B280" i="59"/>
  <c r="B279" i="59"/>
  <c r="B276" i="59"/>
  <c r="B275" i="59"/>
  <c r="B274" i="59"/>
  <c r="B273" i="59"/>
  <c r="B272" i="59"/>
  <c r="B270" i="59"/>
  <c r="B269" i="59"/>
  <c r="B268" i="59"/>
  <c r="B266" i="59"/>
  <c r="B262" i="59"/>
  <c r="B259" i="59"/>
  <c r="B258" i="59"/>
  <c r="B257" i="59"/>
  <c r="B256" i="59"/>
  <c r="B255" i="59"/>
  <c r="B254" i="59"/>
  <c r="B253" i="59"/>
  <c r="B252" i="59"/>
  <c r="B251" i="59"/>
  <c r="B250" i="59"/>
  <c r="B249" i="59"/>
  <c r="B248" i="59"/>
  <c r="B247" i="59"/>
  <c r="B246" i="59"/>
  <c r="B245" i="59"/>
  <c r="B244" i="59"/>
  <c r="B243" i="59"/>
  <c r="B242" i="59"/>
  <c r="B241" i="59"/>
  <c r="B240" i="59"/>
  <c r="B237" i="59"/>
  <c r="B236" i="59"/>
  <c r="B235" i="59"/>
  <c r="B234" i="59"/>
  <c r="B232" i="59"/>
  <c r="B230" i="59"/>
  <c r="B229" i="59"/>
  <c r="B228" i="59"/>
  <c r="B226" i="59"/>
  <c r="B225" i="59"/>
  <c r="B224" i="59"/>
  <c r="B223" i="59"/>
  <c r="B222" i="59"/>
  <c r="B221" i="59"/>
  <c r="B220" i="59"/>
  <c r="B219" i="59"/>
  <c r="B218" i="59"/>
  <c r="B217" i="59"/>
  <c r="B216" i="59"/>
  <c r="B215" i="59"/>
  <c r="B214" i="59"/>
  <c r="B213" i="59"/>
  <c r="B212" i="59"/>
  <c r="B211" i="59"/>
  <c r="B210" i="59"/>
  <c r="B209" i="59"/>
  <c r="B208" i="59"/>
  <c r="B207" i="59"/>
  <c r="B206" i="59"/>
  <c r="B205" i="59"/>
  <c r="B204" i="59"/>
  <c r="B203" i="59"/>
  <c r="B202" i="59"/>
  <c r="B201" i="59"/>
  <c r="B200" i="59"/>
  <c r="B199" i="59"/>
  <c r="B197" i="59"/>
  <c r="B196" i="59"/>
  <c r="B195" i="59"/>
  <c r="B194" i="59"/>
  <c r="B193" i="59"/>
  <c r="B125" i="59"/>
  <c r="B124" i="59"/>
  <c r="B123" i="59"/>
  <c r="B122" i="59"/>
  <c r="B121" i="59"/>
  <c r="B120" i="59"/>
  <c r="B119" i="59"/>
  <c r="B118" i="59"/>
  <c r="B117" i="59"/>
  <c r="B116" i="59"/>
  <c r="B114" i="59"/>
  <c r="B112" i="59"/>
  <c r="B111" i="59"/>
  <c r="B110" i="59"/>
  <c r="B109" i="59"/>
  <c r="B108" i="59"/>
  <c r="B107" i="59"/>
  <c r="B106" i="59"/>
  <c r="B105" i="59"/>
  <c r="B104" i="59"/>
  <c r="B103" i="59"/>
  <c r="B102" i="59"/>
  <c r="B101" i="59"/>
  <c r="B100" i="59"/>
  <c r="B99" i="59"/>
  <c r="B98" i="59"/>
  <c r="B97" i="59"/>
  <c r="B96" i="59"/>
  <c r="B95" i="59"/>
  <c r="B94" i="59"/>
  <c r="B93" i="59"/>
  <c r="B92" i="59"/>
  <c r="B91" i="59"/>
  <c r="B90" i="59"/>
  <c r="B89" i="59"/>
  <c r="B88" i="59"/>
  <c r="B87" i="59"/>
  <c r="B86" i="59"/>
  <c r="B85" i="59"/>
  <c r="B84" i="59"/>
  <c r="B83" i="59"/>
  <c r="B82" i="59"/>
  <c r="B81" i="59"/>
  <c r="B80" i="59"/>
  <c r="B79" i="59"/>
  <c r="B78" i="59"/>
  <c r="B77" i="59"/>
  <c r="B75" i="59"/>
  <c r="B74" i="59"/>
  <c r="B73" i="59"/>
  <c r="B72" i="59"/>
  <c r="B71" i="59"/>
  <c r="B70" i="59"/>
  <c r="B69" i="59"/>
  <c r="B68" i="59"/>
  <c r="B67" i="59"/>
  <c r="B66" i="59"/>
  <c r="B65" i="59"/>
  <c r="B64" i="59"/>
  <c r="B63" i="59"/>
  <c r="B62" i="59"/>
  <c r="B61" i="59"/>
  <c r="B58" i="59"/>
  <c r="B57" i="59"/>
  <c r="B56" i="59"/>
  <c r="B55" i="59"/>
  <c r="B54" i="59"/>
  <c r="B53" i="59"/>
  <c r="B52" i="59"/>
  <c r="B51" i="59"/>
  <c r="B50" i="59"/>
  <c r="B49" i="59"/>
  <c r="B48" i="59"/>
  <c r="B47" i="59"/>
  <c r="B46" i="59"/>
  <c r="B45" i="59"/>
  <c r="B44" i="59"/>
  <c r="B43" i="59"/>
  <c r="B41" i="59"/>
  <c r="B40" i="59"/>
  <c r="B38" i="59"/>
  <c r="B37" i="59"/>
  <c r="B36" i="59"/>
  <c r="B35" i="59"/>
  <c r="B34" i="59"/>
  <c r="B33" i="59"/>
  <c r="B32" i="59"/>
  <c r="B31" i="59"/>
  <c r="B30" i="59"/>
  <c r="B29" i="59"/>
  <c r="B28" i="59"/>
  <c r="B27" i="59"/>
  <c r="B25" i="59"/>
  <c r="B24" i="59"/>
  <c r="B23" i="59"/>
  <c r="B22" i="59"/>
  <c r="B21" i="59"/>
  <c r="B19" i="59"/>
  <c r="B18" i="59"/>
  <c r="B16" i="59"/>
  <c r="B15" i="59"/>
  <c r="B14" i="59"/>
  <c r="B13" i="59"/>
  <c r="B12" i="59"/>
  <c r="B11" i="59"/>
  <c r="B10" i="59"/>
  <c r="B9" i="59"/>
  <c r="B8" i="59"/>
  <c r="H237" i="33" l="1"/>
  <c r="G237" i="33"/>
  <c r="F237" i="33"/>
  <c r="E237" i="33"/>
  <c r="D237" i="33"/>
  <c r="C237" i="33"/>
  <c r="R234" i="32"/>
  <c r="H237" i="59"/>
  <c r="G237" i="59"/>
  <c r="F237" i="59"/>
  <c r="E237" i="59"/>
  <c r="D237" i="59"/>
  <c r="C237" i="59"/>
  <c r="B382" i="59"/>
  <c r="B366" i="59"/>
  <c r="C340" i="46"/>
  <c r="C340" i="4"/>
  <c r="B337" i="59"/>
  <c r="B338" i="59" s="1"/>
  <c r="B340" i="59" s="1"/>
  <c r="B331" i="59"/>
  <c r="B322" i="59"/>
  <c r="B315" i="59"/>
  <c r="B323" i="59" s="1"/>
  <c r="B306" i="59"/>
  <c r="B307" i="59" s="1"/>
  <c r="H379" i="59"/>
  <c r="G379" i="59"/>
  <c r="E379" i="59"/>
  <c r="C379" i="59"/>
  <c r="H378" i="59"/>
  <c r="G378" i="59"/>
  <c r="E378" i="59"/>
  <c r="C378" i="59"/>
  <c r="H377" i="59"/>
  <c r="G377" i="59"/>
  <c r="G382" i="59" s="1"/>
  <c r="E377" i="59"/>
  <c r="C377" i="59"/>
  <c r="H376" i="59"/>
  <c r="G376" i="59"/>
  <c r="E376" i="59"/>
  <c r="C376" i="59"/>
  <c r="H372" i="59"/>
  <c r="G372" i="59"/>
  <c r="E372" i="59"/>
  <c r="C372" i="59"/>
  <c r="H371" i="59"/>
  <c r="G371" i="59"/>
  <c r="E371" i="59"/>
  <c r="C371" i="59"/>
  <c r="H370" i="59"/>
  <c r="G370" i="59"/>
  <c r="E370" i="59"/>
  <c r="C370" i="59"/>
  <c r="H369" i="59"/>
  <c r="G369" i="59"/>
  <c r="E369" i="59"/>
  <c r="C369" i="59"/>
  <c r="G364" i="59"/>
  <c r="E364" i="59"/>
  <c r="C364" i="59"/>
  <c r="H363" i="59"/>
  <c r="G363" i="59"/>
  <c r="E363" i="59"/>
  <c r="C363" i="59"/>
  <c r="H362" i="59"/>
  <c r="G362" i="59"/>
  <c r="E362" i="59"/>
  <c r="C362" i="59"/>
  <c r="H361" i="59"/>
  <c r="G361" i="59"/>
  <c r="E361" i="59"/>
  <c r="C361" i="59"/>
  <c r="H360" i="59"/>
  <c r="G360" i="59"/>
  <c r="E360" i="59"/>
  <c r="C360" i="59"/>
  <c r="H359" i="59"/>
  <c r="G359" i="59"/>
  <c r="E359" i="59"/>
  <c r="C359" i="59"/>
  <c r="H358" i="59"/>
  <c r="G358" i="59"/>
  <c r="E358" i="59"/>
  <c r="C358" i="59"/>
  <c r="H357" i="59"/>
  <c r="G357" i="59"/>
  <c r="E357" i="59"/>
  <c r="C357" i="59"/>
  <c r="H356" i="59"/>
  <c r="G356" i="59"/>
  <c r="E356" i="59"/>
  <c r="C356" i="59"/>
  <c r="H355" i="59"/>
  <c r="G355" i="59"/>
  <c r="E355" i="59"/>
  <c r="C355" i="59"/>
  <c r="H354" i="59"/>
  <c r="G354" i="59"/>
  <c r="E354" i="59"/>
  <c r="C354" i="59"/>
  <c r="H353" i="59"/>
  <c r="G353" i="59"/>
  <c r="E353" i="59"/>
  <c r="C353" i="59"/>
  <c r="H352" i="59"/>
  <c r="G352" i="59"/>
  <c r="E352" i="59"/>
  <c r="C352" i="59"/>
  <c r="H351" i="59"/>
  <c r="G351" i="59"/>
  <c r="E351" i="59"/>
  <c r="C351" i="59"/>
  <c r="H350" i="59"/>
  <c r="G350" i="59"/>
  <c r="E350" i="59"/>
  <c r="C350" i="59"/>
  <c r="H341" i="59"/>
  <c r="G341" i="59"/>
  <c r="E341" i="59"/>
  <c r="C341" i="59"/>
  <c r="H339" i="59"/>
  <c r="G339" i="59"/>
  <c r="E339" i="59"/>
  <c r="C339" i="59"/>
  <c r="H336" i="59"/>
  <c r="G336" i="59"/>
  <c r="E336" i="59"/>
  <c r="C336" i="59"/>
  <c r="H335" i="59"/>
  <c r="G335" i="59"/>
  <c r="E335" i="59"/>
  <c r="C335" i="59"/>
  <c r="H334" i="59"/>
  <c r="G334" i="59"/>
  <c r="E334" i="59"/>
  <c r="C334" i="59"/>
  <c r="H333" i="59"/>
  <c r="G333" i="59"/>
  <c r="E333" i="59"/>
  <c r="E337" i="59" s="1"/>
  <c r="C333" i="59"/>
  <c r="H332" i="59"/>
  <c r="G332" i="59"/>
  <c r="E332" i="59"/>
  <c r="C332" i="59"/>
  <c r="H329" i="59"/>
  <c r="G329" i="59"/>
  <c r="E329" i="59"/>
  <c r="C329" i="59"/>
  <c r="H328" i="59"/>
  <c r="G328" i="59"/>
  <c r="E328" i="59"/>
  <c r="C328" i="59"/>
  <c r="H327" i="59"/>
  <c r="G327" i="59"/>
  <c r="E327" i="59"/>
  <c r="C327" i="59"/>
  <c r="H326" i="59"/>
  <c r="G326" i="59"/>
  <c r="E326" i="59"/>
  <c r="C326" i="59"/>
  <c r="H325" i="59"/>
  <c r="G325" i="59"/>
  <c r="E325" i="59"/>
  <c r="E331" i="59" s="1"/>
  <c r="C325" i="59"/>
  <c r="H320" i="59"/>
  <c r="G320" i="59"/>
  <c r="E320" i="59"/>
  <c r="C320" i="59"/>
  <c r="H319" i="59"/>
  <c r="G319" i="59"/>
  <c r="E319" i="59"/>
  <c r="C319" i="59"/>
  <c r="H318" i="59"/>
  <c r="G318" i="59"/>
  <c r="E318" i="59"/>
  <c r="C318" i="59"/>
  <c r="H317" i="59"/>
  <c r="G317" i="59"/>
  <c r="E317" i="59"/>
  <c r="E322" i="59" s="1"/>
  <c r="C317" i="59"/>
  <c r="H316" i="59"/>
  <c r="G316" i="59"/>
  <c r="E316" i="59"/>
  <c r="C316" i="59"/>
  <c r="H313" i="59"/>
  <c r="G313" i="59"/>
  <c r="E313" i="59"/>
  <c r="C313" i="59"/>
  <c r="H312" i="59"/>
  <c r="G312" i="59"/>
  <c r="E312" i="59"/>
  <c r="C312" i="59"/>
  <c r="H311" i="59"/>
  <c r="G311" i="59"/>
  <c r="E311" i="59"/>
  <c r="C311" i="59"/>
  <c r="H310" i="59"/>
  <c r="G310" i="59"/>
  <c r="E310" i="59"/>
  <c r="C310" i="59"/>
  <c r="H309" i="59"/>
  <c r="G309" i="59"/>
  <c r="E309" i="59"/>
  <c r="C309" i="59"/>
  <c r="H304" i="59"/>
  <c r="G304" i="59"/>
  <c r="E304" i="59"/>
  <c r="C304" i="59"/>
  <c r="H303" i="59"/>
  <c r="G303" i="59"/>
  <c r="E303" i="59"/>
  <c r="C303" i="59"/>
  <c r="H302" i="59"/>
  <c r="G302" i="59"/>
  <c r="E302" i="59"/>
  <c r="C302" i="59"/>
  <c r="H301" i="59"/>
  <c r="G301" i="59"/>
  <c r="E301" i="59"/>
  <c r="C301" i="59"/>
  <c r="H300" i="59"/>
  <c r="G300" i="59"/>
  <c r="E300" i="59"/>
  <c r="C300" i="59"/>
  <c r="H299" i="59"/>
  <c r="G299" i="59"/>
  <c r="E299" i="59"/>
  <c r="C299" i="59"/>
  <c r="H298" i="59"/>
  <c r="G298" i="59"/>
  <c r="E298" i="59"/>
  <c r="C298" i="59"/>
  <c r="H297" i="59"/>
  <c r="G297" i="59"/>
  <c r="E297" i="59"/>
  <c r="C297" i="59"/>
  <c r="H296" i="59"/>
  <c r="G296" i="59"/>
  <c r="E296" i="59"/>
  <c r="C296" i="59"/>
  <c r="H295" i="59"/>
  <c r="G295" i="59"/>
  <c r="E295" i="59"/>
  <c r="E306" i="59" s="1"/>
  <c r="C295" i="59"/>
  <c r="H292" i="59"/>
  <c r="G292" i="59"/>
  <c r="E292" i="59"/>
  <c r="C292" i="59"/>
  <c r="H291" i="59"/>
  <c r="G291" i="59"/>
  <c r="E291" i="59"/>
  <c r="C291" i="59"/>
  <c r="H290" i="59"/>
  <c r="G290" i="59"/>
  <c r="E290" i="59"/>
  <c r="C290" i="59"/>
  <c r="H289" i="59"/>
  <c r="G289" i="59"/>
  <c r="E289" i="59"/>
  <c r="C289" i="59"/>
  <c r="H288" i="59"/>
  <c r="G288" i="59"/>
  <c r="E288" i="59"/>
  <c r="C288" i="59"/>
  <c r="H287" i="59"/>
  <c r="G287" i="59"/>
  <c r="E287" i="59"/>
  <c r="C287" i="59"/>
  <c r="H286" i="59"/>
  <c r="G286" i="59"/>
  <c r="E286" i="59"/>
  <c r="C286" i="59"/>
  <c r="H285" i="59"/>
  <c r="G285" i="59"/>
  <c r="E285" i="59"/>
  <c r="C285" i="59"/>
  <c r="H284" i="59"/>
  <c r="G284" i="59"/>
  <c r="E284" i="59"/>
  <c r="C284" i="59"/>
  <c r="H283" i="59"/>
  <c r="G283" i="59"/>
  <c r="E283" i="59"/>
  <c r="C283" i="59"/>
  <c r="H282" i="59"/>
  <c r="G282" i="59"/>
  <c r="E282" i="59"/>
  <c r="C282" i="59"/>
  <c r="H281" i="59"/>
  <c r="G281" i="59"/>
  <c r="E281" i="59"/>
  <c r="E294" i="59" s="1"/>
  <c r="C281" i="59"/>
  <c r="H280" i="59"/>
  <c r="G280" i="59"/>
  <c r="E280" i="59"/>
  <c r="C280" i="59"/>
  <c r="G276" i="59"/>
  <c r="E276" i="59"/>
  <c r="C276" i="59"/>
  <c r="G275" i="59"/>
  <c r="E275" i="59"/>
  <c r="C275" i="59"/>
  <c r="G274" i="59"/>
  <c r="E274" i="59"/>
  <c r="C274" i="59"/>
  <c r="G273" i="59"/>
  <c r="E273" i="59"/>
  <c r="C273" i="59"/>
  <c r="G272" i="59"/>
  <c r="E272" i="59"/>
  <c r="C272" i="59"/>
  <c r="G270" i="59"/>
  <c r="E270" i="59"/>
  <c r="C270" i="59"/>
  <c r="G269" i="59"/>
  <c r="E269" i="59"/>
  <c r="C269" i="59"/>
  <c r="G268" i="59"/>
  <c r="E268" i="59"/>
  <c r="C268" i="59"/>
  <c r="G266" i="59"/>
  <c r="E266" i="59"/>
  <c r="C266" i="59"/>
  <c r="G259" i="59"/>
  <c r="E259" i="59"/>
  <c r="C259" i="59"/>
  <c r="G258" i="59"/>
  <c r="E258" i="59"/>
  <c r="C258" i="59"/>
  <c r="G257" i="59"/>
  <c r="E257" i="59"/>
  <c r="C257" i="59"/>
  <c r="G256" i="59"/>
  <c r="E256" i="59"/>
  <c r="C256" i="59"/>
  <c r="G255" i="59"/>
  <c r="E255" i="59"/>
  <c r="C255" i="59"/>
  <c r="G254" i="59"/>
  <c r="E254" i="59"/>
  <c r="C254" i="59"/>
  <c r="G253" i="59"/>
  <c r="E253" i="59"/>
  <c r="C253" i="59"/>
  <c r="G252" i="59"/>
  <c r="E252" i="59"/>
  <c r="C252" i="59"/>
  <c r="G251" i="59"/>
  <c r="E251" i="59"/>
  <c r="C251" i="59"/>
  <c r="G250" i="59"/>
  <c r="E250" i="59"/>
  <c r="C250" i="59"/>
  <c r="G248" i="59"/>
  <c r="E248" i="59"/>
  <c r="C248" i="59"/>
  <c r="G247" i="59"/>
  <c r="E247" i="59"/>
  <c r="C247" i="59"/>
  <c r="G246" i="59"/>
  <c r="E246" i="59"/>
  <c r="C246" i="59"/>
  <c r="G245" i="59"/>
  <c r="E245" i="59"/>
  <c r="C245" i="59"/>
  <c r="G244" i="59"/>
  <c r="E244" i="59"/>
  <c r="C244" i="59"/>
  <c r="G240" i="59"/>
  <c r="E240" i="59"/>
  <c r="C240" i="59"/>
  <c r="C262" i="59" s="1"/>
  <c r="G232" i="59"/>
  <c r="E232" i="59"/>
  <c r="C232" i="59"/>
  <c r="G230" i="59"/>
  <c r="E230" i="59"/>
  <c r="C230" i="59"/>
  <c r="G229" i="59"/>
  <c r="E229" i="59"/>
  <c r="C229" i="59"/>
  <c r="G228" i="59"/>
  <c r="E228" i="59"/>
  <c r="C228" i="59"/>
  <c r="G226" i="59"/>
  <c r="E226" i="59"/>
  <c r="C226" i="59"/>
  <c r="G225" i="59"/>
  <c r="G348" i="59" s="1"/>
  <c r="E225" i="59"/>
  <c r="C225" i="59"/>
  <c r="G224" i="59"/>
  <c r="E224" i="59"/>
  <c r="E349" i="59" s="1"/>
  <c r="C224" i="59"/>
  <c r="C349" i="59" s="1"/>
  <c r="G223" i="59"/>
  <c r="E223" i="59"/>
  <c r="C223" i="59"/>
  <c r="G222" i="59"/>
  <c r="E222" i="59"/>
  <c r="C222" i="59"/>
  <c r="G221" i="59"/>
  <c r="E221" i="59"/>
  <c r="C221" i="59"/>
  <c r="G220" i="59"/>
  <c r="E220" i="59"/>
  <c r="C220" i="59"/>
  <c r="G219" i="59"/>
  <c r="E219" i="59"/>
  <c r="C219" i="59"/>
  <c r="G218" i="59"/>
  <c r="E218" i="59"/>
  <c r="C218" i="59"/>
  <c r="G217" i="59"/>
  <c r="E217" i="59"/>
  <c r="C217" i="59"/>
  <c r="G216" i="59"/>
  <c r="E216" i="59"/>
  <c r="C216" i="59"/>
  <c r="G215" i="59"/>
  <c r="E215" i="59"/>
  <c r="C215" i="59"/>
  <c r="G214" i="59"/>
  <c r="E214" i="59"/>
  <c r="C214" i="59"/>
  <c r="G213" i="59"/>
  <c r="E213" i="59"/>
  <c r="C213" i="59"/>
  <c r="G212" i="59"/>
  <c r="E212" i="59"/>
  <c r="C212" i="59"/>
  <c r="G211" i="59"/>
  <c r="E211" i="59"/>
  <c r="C211" i="59"/>
  <c r="G210" i="59"/>
  <c r="E210" i="59"/>
  <c r="C210" i="59"/>
  <c r="G209" i="59"/>
  <c r="E209" i="59"/>
  <c r="C209" i="59"/>
  <c r="G208" i="59"/>
  <c r="E208" i="59"/>
  <c r="C208" i="59"/>
  <c r="G207" i="59"/>
  <c r="E207" i="59"/>
  <c r="C207" i="59"/>
  <c r="G206" i="59"/>
  <c r="E206" i="59"/>
  <c r="C206" i="59"/>
  <c r="G205" i="59"/>
  <c r="E205" i="59"/>
  <c r="C205" i="59"/>
  <c r="G204" i="59"/>
  <c r="E204" i="59"/>
  <c r="C204" i="59"/>
  <c r="G203" i="59"/>
  <c r="E203" i="59"/>
  <c r="C203" i="59"/>
  <c r="G202" i="59"/>
  <c r="E202" i="59"/>
  <c r="C202" i="59"/>
  <c r="G201" i="59"/>
  <c r="E201" i="59"/>
  <c r="C201" i="59"/>
  <c r="G200" i="59"/>
  <c r="E200" i="59"/>
  <c r="C200" i="59"/>
  <c r="G199" i="59"/>
  <c r="E199" i="59"/>
  <c r="C199" i="59"/>
  <c r="G197" i="59"/>
  <c r="E197" i="59"/>
  <c r="C197" i="59"/>
  <c r="G196" i="59"/>
  <c r="E196" i="59"/>
  <c r="C196" i="59"/>
  <c r="G195" i="59"/>
  <c r="E195" i="59"/>
  <c r="C195" i="59"/>
  <c r="G194" i="59"/>
  <c r="E194" i="59"/>
  <c r="C194" i="59"/>
  <c r="G193" i="59"/>
  <c r="E193" i="59"/>
  <c r="C193" i="59"/>
  <c r="G188" i="59"/>
  <c r="E188" i="59"/>
  <c r="C188" i="59"/>
  <c r="G185" i="59"/>
  <c r="E185" i="59"/>
  <c r="C185" i="59"/>
  <c r="G184" i="59"/>
  <c r="E184" i="59"/>
  <c r="C184" i="59"/>
  <c r="G183" i="59"/>
  <c r="E183" i="59"/>
  <c r="C183" i="59"/>
  <c r="G182" i="59"/>
  <c r="E182" i="59"/>
  <c r="C182" i="59"/>
  <c r="G181" i="59"/>
  <c r="E181" i="59"/>
  <c r="C181" i="59"/>
  <c r="G180" i="59"/>
  <c r="E180" i="59"/>
  <c r="C180" i="59"/>
  <c r="G179" i="59"/>
  <c r="E179" i="59"/>
  <c r="C179" i="59"/>
  <c r="G178" i="59"/>
  <c r="E178" i="59"/>
  <c r="C178" i="59"/>
  <c r="G177" i="59"/>
  <c r="E177" i="59"/>
  <c r="C177" i="59"/>
  <c r="G176" i="59"/>
  <c r="E176" i="59"/>
  <c r="C176" i="59"/>
  <c r="G171" i="59"/>
  <c r="E171" i="59"/>
  <c r="C171" i="59"/>
  <c r="G170" i="59"/>
  <c r="E170" i="59"/>
  <c r="C170" i="59"/>
  <c r="G169" i="59"/>
  <c r="E169" i="59"/>
  <c r="C169" i="59"/>
  <c r="G168" i="59"/>
  <c r="E168" i="59"/>
  <c r="C168" i="59"/>
  <c r="G167" i="59"/>
  <c r="E167" i="59"/>
  <c r="C167" i="59"/>
  <c r="G166" i="59"/>
  <c r="E166" i="59"/>
  <c r="C166" i="59"/>
  <c r="G165" i="59"/>
  <c r="E165" i="59"/>
  <c r="C165" i="59"/>
  <c r="G164" i="59"/>
  <c r="E164" i="59"/>
  <c r="C164" i="59"/>
  <c r="G163" i="59"/>
  <c r="E163" i="59"/>
  <c r="C163" i="59"/>
  <c r="G162" i="59"/>
  <c r="E162" i="59"/>
  <c r="C162" i="59"/>
  <c r="G161" i="59"/>
  <c r="E161" i="59"/>
  <c r="C161" i="59"/>
  <c r="G160" i="59"/>
  <c r="E160" i="59"/>
  <c r="C160" i="59"/>
  <c r="G157" i="59"/>
  <c r="E157" i="59"/>
  <c r="C157" i="59"/>
  <c r="G156" i="59"/>
  <c r="E156" i="59"/>
  <c r="C156" i="59"/>
  <c r="G155" i="59"/>
  <c r="E155" i="59"/>
  <c r="C155" i="59"/>
  <c r="G154" i="59"/>
  <c r="E154" i="59"/>
  <c r="C154" i="59"/>
  <c r="G153" i="59"/>
  <c r="E153" i="59"/>
  <c r="C153" i="59"/>
  <c r="G152" i="59"/>
  <c r="E152" i="59"/>
  <c r="C152" i="59"/>
  <c r="G151" i="59"/>
  <c r="E151" i="59"/>
  <c r="C151" i="59"/>
  <c r="G150" i="59"/>
  <c r="E150" i="59"/>
  <c r="C150" i="59"/>
  <c r="G149" i="59"/>
  <c r="E149" i="59"/>
  <c r="C149" i="59"/>
  <c r="G148" i="59"/>
  <c r="E148" i="59"/>
  <c r="C148" i="59"/>
  <c r="G147" i="59"/>
  <c r="E147" i="59"/>
  <c r="C147" i="59"/>
  <c r="G145" i="59"/>
  <c r="E145" i="59"/>
  <c r="C145" i="59"/>
  <c r="G144" i="59"/>
  <c r="E144" i="59"/>
  <c r="C144" i="59"/>
  <c r="G143" i="59"/>
  <c r="E143" i="59"/>
  <c r="C143" i="59"/>
  <c r="G142" i="59"/>
  <c r="E142" i="59"/>
  <c r="C142" i="59"/>
  <c r="G141" i="59"/>
  <c r="E141" i="59"/>
  <c r="C141" i="59"/>
  <c r="G140" i="59"/>
  <c r="E140" i="59"/>
  <c r="C140" i="59"/>
  <c r="G139" i="59"/>
  <c r="E139" i="59"/>
  <c r="C139" i="59"/>
  <c r="G138" i="59"/>
  <c r="E138" i="59"/>
  <c r="C138" i="59"/>
  <c r="G137" i="59"/>
  <c r="E137" i="59"/>
  <c r="C137" i="59"/>
  <c r="G136" i="59"/>
  <c r="E136" i="59"/>
  <c r="C136" i="59"/>
  <c r="G135" i="59"/>
  <c r="E135" i="59"/>
  <c r="C135" i="59"/>
  <c r="G134" i="59"/>
  <c r="E134" i="59"/>
  <c r="C134" i="59"/>
  <c r="G133" i="59"/>
  <c r="E133" i="59"/>
  <c r="C133" i="59"/>
  <c r="G132" i="59"/>
  <c r="E132" i="59"/>
  <c r="C132" i="59"/>
  <c r="G131" i="59"/>
  <c r="E131" i="59"/>
  <c r="C131" i="59"/>
  <c r="G130" i="59"/>
  <c r="E130" i="59"/>
  <c r="C130" i="59"/>
  <c r="F379" i="59"/>
  <c r="D379" i="59"/>
  <c r="F378" i="59"/>
  <c r="D378" i="59"/>
  <c r="F377" i="59"/>
  <c r="D377" i="59"/>
  <c r="F376" i="59"/>
  <c r="D376" i="59"/>
  <c r="F372" i="59"/>
  <c r="D372" i="59"/>
  <c r="F371" i="59"/>
  <c r="D371" i="59"/>
  <c r="F370" i="59"/>
  <c r="D370" i="59"/>
  <c r="F369" i="59"/>
  <c r="D369" i="59"/>
  <c r="H364" i="59"/>
  <c r="F364" i="59"/>
  <c r="D364" i="59"/>
  <c r="F363" i="59"/>
  <c r="D363" i="59"/>
  <c r="F362" i="59"/>
  <c r="D362" i="59"/>
  <c r="F361" i="59"/>
  <c r="D361" i="59"/>
  <c r="F360" i="59"/>
  <c r="D360" i="59"/>
  <c r="F359" i="59"/>
  <c r="D359" i="59"/>
  <c r="F358" i="59"/>
  <c r="D358" i="59"/>
  <c r="F357" i="59"/>
  <c r="D357" i="59"/>
  <c r="F356" i="59"/>
  <c r="D356" i="59"/>
  <c r="F355" i="59"/>
  <c r="D355" i="59"/>
  <c r="F354" i="59"/>
  <c r="D354" i="59"/>
  <c r="F353" i="59"/>
  <c r="D353" i="59"/>
  <c r="F352" i="59"/>
  <c r="D352" i="59"/>
  <c r="F351" i="59"/>
  <c r="D351" i="59"/>
  <c r="F350" i="59"/>
  <c r="D350" i="59"/>
  <c r="F341" i="59"/>
  <c r="D341" i="59"/>
  <c r="F339" i="59"/>
  <c r="D339" i="59"/>
  <c r="F336" i="59"/>
  <c r="D336" i="59"/>
  <c r="F335" i="59"/>
  <c r="D335" i="59"/>
  <c r="F334" i="59"/>
  <c r="D334" i="59"/>
  <c r="F333" i="59"/>
  <c r="D333" i="59"/>
  <c r="F332" i="59"/>
  <c r="D332" i="59"/>
  <c r="F329" i="59"/>
  <c r="D329" i="59"/>
  <c r="F328" i="59"/>
  <c r="D328" i="59"/>
  <c r="F327" i="59"/>
  <c r="D327" i="59"/>
  <c r="F326" i="59"/>
  <c r="D326" i="59"/>
  <c r="F325" i="59"/>
  <c r="D325" i="59"/>
  <c r="F320" i="59"/>
  <c r="D320" i="59"/>
  <c r="F319" i="59"/>
  <c r="D319" i="59"/>
  <c r="F318" i="59"/>
  <c r="D318" i="59"/>
  <c r="F317" i="59"/>
  <c r="D317" i="59"/>
  <c r="F316" i="59"/>
  <c r="D316" i="59"/>
  <c r="F313" i="59"/>
  <c r="D313" i="59"/>
  <c r="F312" i="59"/>
  <c r="D312" i="59"/>
  <c r="F311" i="59"/>
  <c r="D311" i="59"/>
  <c r="F310" i="59"/>
  <c r="D310" i="59"/>
  <c r="F309" i="59"/>
  <c r="D309" i="59"/>
  <c r="F304" i="59"/>
  <c r="D304" i="59"/>
  <c r="F303" i="59"/>
  <c r="D303" i="59"/>
  <c r="F302" i="59"/>
  <c r="D302" i="59"/>
  <c r="F301" i="59"/>
  <c r="D301" i="59"/>
  <c r="F300" i="59"/>
  <c r="D300" i="59"/>
  <c r="F299" i="59"/>
  <c r="D299" i="59"/>
  <c r="F298" i="59"/>
  <c r="D298" i="59"/>
  <c r="F297" i="59"/>
  <c r="D297" i="59"/>
  <c r="F296" i="59"/>
  <c r="D296" i="59"/>
  <c r="F295" i="59"/>
  <c r="D295" i="59"/>
  <c r="F292" i="59"/>
  <c r="D292" i="59"/>
  <c r="F291" i="59"/>
  <c r="D291" i="59"/>
  <c r="F290" i="59"/>
  <c r="D290" i="59"/>
  <c r="F289" i="59"/>
  <c r="D289" i="59"/>
  <c r="F288" i="59"/>
  <c r="D288" i="59"/>
  <c r="F287" i="59"/>
  <c r="D287" i="59"/>
  <c r="F286" i="59"/>
  <c r="D286" i="59"/>
  <c r="F285" i="59"/>
  <c r="D285" i="59"/>
  <c r="F284" i="59"/>
  <c r="D284" i="59"/>
  <c r="F283" i="59"/>
  <c r="D283" i="59"/>
  <c r="F282" i="59"/>
  <c r="D282" i="59"/>
  <c r="F281" i="59"/>
  <c r="D281" i="59"/>
  <c r="F280" i="59"/>
  <c r="D280" i="59"/>
  <c r="H276" i="59"/>
  <c r="F276" i="59"/>
  <c r="D276" i="59"/>
  <c r="H275" i="59"/>
  <c r="F275" i="59"/>
  <c r="D275" i="59"/>
  <c r="H274" i="59"/>
  <c r="F274" i="59"/>
  <c r="D274" i="59"/>
  <c r="H273" i="59"/>
  <c r="F273" i="59"/>
  <c r="D273" i="59"/>
  <c r="H272" i="59"/>
  <c r="F272" i="59"/>
  <c r="D272" i="59"/>
  <c r="H270" i="59"/>
  <c r="F270" i="59"/>
  <c r="D270" i="59"/>
  <c r="H269" i="59"/>
  <c r="F269" i="59"/>
  <c r="D269" i="59"/>
  <c r="H268" i="59"/>
  <c r="F268" i="59"/>
  <c r="D268" i="59"/>
  <c r="H266" i="59"/>
  <c r="F266" i="59"/>
  <c r="D266" i="59"/>
  <c r="H259" i="59"/>
  <c r="F259" i="59"/>
  <c r="D259" i="59"/>
  <c r="H258" i="59"/>
  <c r="F258" i="59"/>
  <c r="D258" i="59"/>
  <c r="H257" i="59"/>
  <c r="F257" i="59"/>
  <c r="D257" i="59"/>
  <c r="H256" i="59"/>
  <c r="F256" i="59"/>
  <c r="D256" i="59"/>
  <c r="H255" i="59"/>
  <c r="F255" i="59"/>
  <c r="D255" i="59"/>
  <c r="H254" i="59"/>
  <c r="F254" i="59"/>
  <c r="D254" i="59"/>
  <c r="H253" i="59"/>
  <c r="F253" i="59"/>
  <c r="D253" i="59"/>
  <c r="H252" i="59"/>
  <c r="F252" i="59"/>
  <c r="D252" i="59"/>
  <c r="H251" i="59"/>
  <c r="F251" i="59"/>
  <c r="D251" i="59"/>
  <c r="H250" i="59"/>
  <c r="F250" i="59"/>
  <c r="D250" i="59"/>
  <c r="H248" i="59"/>
  <c r="F248" i="59"/>
  <c r="D248" i="59"/>
  <c r="H247" i="59"/>
  <c r="F247" i="59"/>
  <c r="D247" i="59"/>
  <c r="H246" i="59"/>
  <c r="F246" i="59"/>
  <c r="D246" i="59"/>
  <c r="H245" i="59"/>
  <c r="F245" i="59"/>
  <c r="D245" i="59"/>
  <c r="H244" i="59"/>
  <c r="F244" i="59"/>
  <c r="D244" i="59"/>
  <c r="H240" i="59"/>
  <c r="F240" i="59"/>
  <c r="D240" i="59"/>
  <c r="H232" i="59"/>
  <c r="F232" i="59"/>
  <c r="D232" i="59"/>
  <c r="H230" i="59"/>
  <c r="F230" i="59"/>
  <c r="D230" i="59"/>
  <c r="H229" i="59"/>
  <c r="F229" i="59"/>
  <c r="D229" i="59"/>
  <c r="H228" i="59"/>
  <c r="F228" i="59"/>
  <c r="D228" i="59"/>
  <c r="H226" i="59"/>
  <c r="F226" i="59"/>
  <c r="D226" i="59"/>
  <c r="H225" i="59"/>
  <c r="H348" i="59" s="1"/>
  <c r="F225" i="59"/>
  <c r="D225" i="59"/>
  <c r="D348" i="59" s="1"/>
  <c r="H224" i="59"/>
  <c r="H349" i="59" s="1"/>
  <c r="F224" i="59"/>
  <c r="F349" i="59" s="1"/>
  <c r="D224" i="59"/>
  <c r="D349" i="59" s="1"/>
  <c r="H223" i="59"/>
  <c r="F223" i="59"/>
  <c r="D223" i="59"/>
  <c r="H222" i="59"/>
  <c r="F222" i="59"/>
  <c r="D222" i="59"/>
  <c r="H221" i="59"/>
  <c r="F221" i="59"/>
  <c r="D221" i="59"/>
  <c r="H220" i="59"/>
  <c r="F220" i="59"/>
  <c r="D220" i="59"/>
  <c r="H219" i="59"/>
  <c r="F219" i="59"/>
  <c r="D219" i="59"/>
  <c r="H218" i="59"/>
  <c r="F218" i="59"/>
  <c r="D218" i="59"/>
  <c r="H217" i="59"/>
  <c r="F217" i="59"/>
  <c r="D217" i="59"/>
  <c r="H216" i="59"/>
  <c r="F216" i="59"/>
  <c r="D216" i="59"/>
  <c r="H215" i="59"/>
  <c r="F215" i="59"/>
  <c r="D215" i="59"/>
  <c r="H214" i="59"/>
  <c r="F214" i="59"/>
  <c r="D214" i="59"/>
  <c r="H213" i="59"/>
  <c r="F213" i="59"/>
  <c r="D213" i="59"/>
  <c r="H212" i="59"/>
  <c r="F212" i="59"/>
  <c r="D212" i="59"/>
  <c r="H211" i="59"/>
  <c r="F211" i="59"/>
  <c r="D211" i="59"/>
  <c r="H210" i="59"/>
  <c r="F210" i="59"/>
  <c r="D210" i="59"/>
  <c r="H209" i="59"/>
  <c r="F209" i="59"/>
  <c r="D209" i="59"/>
  <c r="H208" i="59"/>
  <c r="F208" i="59"/>
  <c r="D208" i="59"/>
  <c r="H207" i="59"/>
  <c r="F207" i="59"/>
  <c r="D207" i="59"/>
  <c r="H206" i="59"/>
  <c r="F206" i="59"/>
  <c r="D206" i="59"/>
  <c r="H205" i="59"/>
  <c r="F205" i="59"/>
  <c r="D205" i="59"/>
  <c r="H204" i="59"/>
  <c r="F204" i="59"/>
  <c r="D204" i="59"/>
  <c r="H203" i="59"/>
  <c r="F203" i="59"/>
  <c r="D203" i="59"/>
  <c r="H202" i="59"/>
  <c r="F202" i="59"/>
  <c r="D202" i="59"/>
  <c r="H201" i="59"/>
  <c r="F201" i="59"/>
  <c r="D201" i="59"/>
  <c r="H200" i="59"/>
  <c r="F200" i="59"/>
  <c r="D200" i="59"/>
  <c r="H199" i="59"/>
  <c r="F199" i="59"/>
  <c r="D199" i="59"/>
  <c r="H197" i="59"/>
  <c r="F197" i="59"/>
  <c r="D197" i="59"/>
  <c r="H196" i="59"/>
  <c r="F196" i="59"/>
  <c r="D196" i="59"/>
  <c r="H195" i="59"/>
  <c r="F195" i="59"/>
  <c r="D195" i="59"/>
  <c r="H194" i="59"/>
  <c r="F194" i="59"/>
  <c r="D194" i="59"/>
  <c r="H193" i="59"/>
  <c r="F193" i="59"/>
  <c r="D193" i="59"/>
  <c r="H188" i="59"/>
  <c r="F188" i="59"/>
  <c r="D188" i="59"/>
  <c r="H185" i="59"/>
  <c r="F185" i="59"/>
  <c r="D185" i="59"/>
  <c r="H184" i="59"/>
  <c r="F184" i="59"/>
  <c r="D184" i="59"/>
  <c r="H183" i="59"/>
  <c r="F183" i="59"/>
  <c r="D183" i="59"/>
  <c r="H182" i="59"/>
  <c r="F182" i="59"/>
  <c r="D182" i="59"/>
  <c r="H181" i="59"/>
  <c r="F181" i="59"/>
  <c r="D181" i="59"/>
  <c r="H180" i="59"/>
  <c r="F180" i="59"/>
  <c r="D180" i="59"/>
  <c r="H179" i="59"/>
  <c r="F179" i="59"/>
  <c r="D179" i="59"/>
  <c r="H178" i="59"/>
  <c r="F178" i="59"/>
  <c r="D178" i="59"/>
  <c r="H177" i="59"/>
  <c r="F177" i="59"/>
  <c r="D177" i="59"/>
  <c r="H176" i="59"/>
  <c r="F176" i="59"/>
  <c r="D176" i="59"/>
  <c r="H171" i="59"/>
  <c r="F171" i="59"/>
  <c r="D171" i="59"/>
  <c r="H170" i="59"/>
  <c r="F170" i="59"/>
  <c r="D170" i="59"/>
  <c r="H169" i="59"/>
  <c r="F169" i="59"/>
  <c r="D169" i="59"/>
  <c r="H168" i="59"/>
  <c r="F168" i="59"/>
  <c r="D168" i="59"/>
  <c r="H167" i="59"/>
  <c r="F167" i="59"/>
  <c r="D167" i="59"/>
  <c r="H166" i="59"/>
  <c r="F166" i="59"/>
  <c r="D166" i="59"/>
  <c r="H165" i="59"/>
  <c r="F165" i="59"/>
  <c r="D165" i="59"/>
  <c r="H164" i="59"/>
  <c r="F164" i="59"/>
  <c r="D164" i="59"/>
  <c r="H163" i="59"/>
  <c r="F163" i="59"/>
  <c r="D163" i="59"/>
  <c r="H162" i="59"/>
  <c r="F162" i="59"/>
  <c r="D162" i="59"/>
  <c r="H161" i="59"/>
  <c r="F161" i="59"/>
  <c r="D161" i="59"/>
  <c r="H160" i="59"/>
  <c r="F160" i="59"/>
  <c r="D160" i="59"/>
  <c r="H157" i="59"/>
  <c r="F157" i="59"/>
  <c r="D157" i="59"/>
  <c r="H156" i="59"/>
  <c r="F156" i="59"/>
  <c r="D156" i="59"/>
  <c r="H155" i="59"/>
  <c r="F155" i="59"/>
  <c r="D155" i="59"/>
  <c r="H154" i="59"/>
  <c r="F154" i="59"/>
  <c r="D154" i="59"/>
  <c r="H153" i="59"/>
  <c r="F153" i="59"/>
  <c r="D153" i="59"/>
  <c r="H152" i="59"/>
  <c r="F152" i="59"/>
  <c r="D152" i="59"/>
  <c r="H151" i="59"/>
  <c r="F151" i="59"/>
  <c r="D151" i="59"/>
  <c r="H150" i="59"/>
  <c r="F150" i="59"/>
  <c r="D150" i="59"/>
  <c r="H149" i="59"/>
  <c r="F149" i="59"/>
  <c r="D149" i="59"/>
  <c r="H148" i="59"/>
  <c r="F148" i="59"/>
  <c r="D148" i="59"/>
  <c r="H147" i="59"/>
  <c r="F147" i="59"/>
  <c r="D147" i="59"/>
  <c r="H145" i="59"/>
  <c r="F145" i="59"/>
  <c r="D145" i="59"/>
  <c r="H144" i="59"/>
  <c r="F144" i="59"/>
  <c r="D144" i="59"/>
  <c r="H143" i="59"/>
  <c r="F143" i="59"/>
  <c r="D143" i="59"/>
  <c r="H142" i="59"/>
  <c r="F142" i="59"/>
  <c r="D142" i="59"/>
  <c r="H141" i="59"/>
  <c r="F141" i="59"/>
  <c r="D141" i="59"/>
  <c r="H140" i="59"/>
  <c r="F140" i="59"/>
  <c r="D140" i="59"/>
  <c r="H139" i="59"/>
  <c r="F139" i="59"/>
  <c r="D139" i="59"/>
  <c r="H138" i="59"/>
  <c r="F138" i="59"/>
  <c r="D138" i="59"/>
  <c r="H137" i="59"/>
  <c r="F137" i="59"/>
  <c r="D137" i="59"/>
  <c r="H136" i="59"/>
  <c r="F136" i="59"/>
  <c r="D136" i="59"/>
  <c r="H135" i="59"/>
  <c r="F135" i="59"/>
  <c r="D135" i="59"/>
  <c r="H134" i="59"/>
  <c r="F134" i="59"/>
  <c r="D134" i="59"/>
  <c r="H133" i="59"/>
  <c r="F133" i="59"/>
  <c r="D133" i="59"/>
  <c r="H132" i="59"/>
  <c r="F132" i="59"/>
  <c r="D132" i="59"/>
  <c r="H131" i="59"/>
  <c r="F131" i="59"/>
  <c r="D131" i="59"/>
  <c r="H130" i="59"/>
  <c r="F130" i="59"/>
  <c r="D130" i="59"/>
  <c r="G349" i="59"/>
  <c r="E348" i="59"/>
  <c r="C348" i="59"/>
  <c r="I314" i="59"/>
  <c r="E315" i="59"/>
  <c r="I172" i="59"/>
  <c r="D172" i="36" s="1"/>
  <c r="I146" i="59"/>
  <c r="D146" i="36" s="1"/>
  <c r="H125" i="59"/>
  <c r="F125" i="59"/>
  <c r="D125" i="59"/>
  <c r="H124" i="59"/>
  <c r="F124" i="59"/>
  <c r="D124" i="59"/>
  <c r="H123" i="59"/>
  <c r="F123" i="59"/>
  <c r="D123" i="59"/>
  <c r="H122" i="59"/>
  <c r="F122" i="59"/>
  <c r="D122" i="59"/>
  <c r="H120" i="59"/>
  <c r="F120" i="59"/>
  <c r="D120" i="59"/>
  <c r="H119" i="59"/>
  <c r="F119" i="59"/>
  <c r="D119" i="59"/>
  <c r="H117" i="59"/>
  <c r="F117" i="59"/>
  <c r="D117" i="59"/>
  <c r="H116" i="59"/>
  <c r="F116" i="59"/>
  <c r="D116" i="59"/>
  <c r="H114" i="59"/>
  <c r="F114" i="59"/>
  <c r="D114" i="59"/>
  <c r="H112" i="59"/>
  <c r="F112" i="59"/>
  <c r="D112" i="59"/>
  <c r="H111" i="59"/>
  <c r="F111" i="59"/>
  <c r="D111" i="59"/>
  <c r="H109" i="59"/>
  <c r="F109" i="59"/>
  <c r="D109" i="59"/>
  <c r="H107" i="59"/>
  <c r="F107" i="59"/>
  <c r="D107" i="59"/>
  <c r="H106" i="59"/>
  <c r="F106" i="59"/>
  <c r="D106" i="59"/>
  <c r="H104" i="59"/>
  <c r="F104" i="59"/>
  <c r="D104" i="59"/>
  <c r="H102" i="59"/>
  <c r="F102" i="59"/>
  <c r="D102" i="59"/>
  <c r="H101" i="59"/>
  <c r="F101" i="59"/>
  <c r="D101" i="59"/>
  <c r="H99" i="59"/>
  <c r="F99" i="59"/>
  <c r="D99" i="59"/>
  <c r="H97" i="59"/>
  <c r="F97" i="59"/>
  <c r="D97" i="59"/>
  <c r="H96" i="59"/>
  <c r="F96" i="59"/>
  <c r="F98" i="59" s="1"/>
  <c r="D96" i="59"/>
  <c r="H94" i="59"/>
  <c r="F94" i="59"/>
  <c r="D94" i="59"/>
  <c r="H93" i="59"/>
  <c r="F93" i="59"/>
  <c r="D93" i="59"/>
  <c r="H91" i="59"/>
  <c r="F91" i="59"/>
  <c r="D91" i="59"/>
  <c r="H90" i="59"/>
  <c r="F90" i="59"/>
  <c r="D90" i="59"/>
  <c r="H89" i="59"/>
  <c r="F89" i="59"/>
  <c r="D89" i="59"/>
  <c r="H87" i="59"/>
  <c r="F87" i="59"/>
  <c r="D87" i="59"/>
  <c r="H85" i="59"/>
  <c r="F85" i="59"/>
  <c r="D85" i="59"/>
  <c r="H84" i="59"/>
  <c r="F84" i="59"/>
  <c r="D84" i="59"/>
  <c r="H82" i="59"/>
  <c r="F82" i="59"/>
  <c r="D82" i="59"/>
  <c r="H80" i="59"/>
  <c r="F80" i="59"/>
  <c r="D80" i="59"/>
  <c r="H79" i="59"/>
  <c r="F79" i="59"/>
  <c r="D79" i="59"/>
  <c r="H78" i="59"/>
  <c r="F78" i="59"/>
  <c r="D78" i="59"/>
  <c r="H77" i="59"/>
  <c r="F77" i="59"/>
  <c r="D77" i="59"/>
  <c r="H75" i="59"/>
  <c r="F75" i="59"/>
  <c r="D75" i="59"/>
  <c r="H74" i="59"/>
  <c r="F74" i="59"/>
  <c r="D74" i="59"/>
  <c r="H73" i="59"/>
  <c r="F73" i="59"/>
  <c r="D73" i="59"/>
  <c r="H71" i="59"/>
  <c r="F71" i="59"/>
  <c r="D71" i="59"/>
  <c r="H70" i="59"/>
  <c r="F70" i="59"/>
  <c r="D70" i="59"/>
  <c r="H68" i="59"/>
  <c r="F68" i="59"/>
  <c r="D68" i="59"/>
  <c r="H67" i="59"/>
  <c r="F67" i="59"/>
  <c r="D67" i="59"/>
  <c r="H65" i="59"/>
  <c r="F65" i="59"/>
  <c r="D65" i="59"/>
  <c r="H64" i="59"/>
  <c r="F64" i="59"/>
  <c r="D64" i="59"/>
  <c r="H62" i="59"/>
  <c r="F62" i="59"/>
  <c r="D62" i="59"/>
  <c r="H61" i="59"/>
  <c r="F61" i="59"/>
  <c r="D61" i="59"/>
  <c r="H58" i="59"/>
  <c r="F58" i="59"/>
  <c r="D58" i="59"/>
  <c r="H57" i="59"/>
  <c r="F57" i="59"/>
  <c r="D57" i="59"/>
  <c r="H55" i="59"/>
  <c r="F55" i="59"/>
  <c r="D55" i="59"/>
  <c r="H54" i="59"/>
  <c r="F54" i="59"/>
  <c r="D54" i="59"/>
  <c r="H52" i="59"/>
  <c r="F52" i="59"/>
  <c r="D52" i="59"/>
  <c r="D53" i="59" s="1"/>
  <c r="H51" i="59"/>
  <c r="F51" i="59"/>
  <c r="D51" i="59"/>
  <c r="H50" i="59"/>
  <c r="F50" i="59"/>
  <c r="D50" i="59"/>
  <c r="H49" i="59"/>
  <c r="F49" i="59"/>
  <c r="D49" i="59"/>
  <c r="H47" i="59"/>
  <c r="F47" i="59"/>
  <c r="D47" i="59"/>
  <c r="H46" i="59"/>
  <c r="F46" i="59"/>
  <c r="D46" i="59"/>
  <c r="H44" i="59"/>
  <c r="F44" i="59"/>
  <c r="D44" i="59"/>
  <c r="H43" i="59"/>
  <c r="F43" i="59"/>
  <c r="D43" i="59"/>
  <c r="H41" i="59"/>
  <c r="F41" i="59"/>
  <c r="D41" i="59"/>
  <c r="H40" i="59"/>
  <c r="F40" i="59"/>
  <c r="D40" i="59"/>
  <c r="H38" i="59"/>
  <c r="F38" i="59"/>
  <c r="D38" i="59"/>
  <c r="H37" i="59"/>
  <c r="F37" i="59"/>
  <c r="D37" i="59"/>
  <c r="H35" i="59"/>
  <c r="F35" i="59"/>
  <c r="D35" i="59"/>
  <c r="H34" i="59"/>
  <c r="F34" i="59"/>
  <c r="D34" i="59"/>
  <c r="H33" i="59"/>
  <c r="F33" i="59"/>
  <c r="D33" i="59"/>
  <c r="H31" i="59"/>
  <c r="F31" i="59"/>
  <c r="D31" i="59"/>
  <c r="H30" i="59"/>
  <c r="F30" i="59"/>
  <c r="D30" i="59"/>
  <c r="H28" i="59"/>
  <c r="F28" i="59"/>
  <c r="D28" i="59"/>
  <c r="H27" i="59"/>
  <c r="F27" i="59"/>
  <c r="D27" i="59"/>
  <c r="H25" i="59"/>
  <c r="F25" i="59"/>
  <c r="D25" i="59"/>
  <c r="H24" i="59"/>
  <c r="F24" i="59"/>
  <c r="D24" i="59"/>
  <c r="H22" i="59"/>
  <c r="F22" i="59"/>
  <c r="D22" i="59"/>
  <c r="H21" i="59"/>
  <c r="F21" i="59"/>
  <c r="D21" i="59"/>
  <c r="H19" i="59"/>
  <c r="F19" i="59"/>
  <c r="D19" i="59"/>
  <c r="H18" i="59"/>
  <c r="F18" i="59"/>
  <c r="D18" i="59"/>
  <c r="H16" i="59"/>
  <c r="F16" i="59"/>
  <c r="D16" i="59"/>
  <c r="H15" i="59"/>
  <c r="F15" i="59"/>
  <c r="D15" i="59"/>
  <c r="H14" i="59"/>
  <c r="F14" i="59"/>
  <c r="D14" i="59"/>
  <c r="H13" i="59"/>
  <c r="F13" i="59"/>
  <c r="D13" i="59"/>
  <c r="H11" i="59"/>
  <c r="F11" i="59"/>
  <c r="D11" i="59"/>
  <c r="H10" i="59"/>
  <c r="F10" i="59"/>
  <c r="D10" i="59"/>
  <c r="H9" i="59"/>
  <c r="F9" i="59"/>
  <c r="D9" i="59"/>
  <c r="H8" i="59"/>
  <c r="F8" i="59"/>
  <c r="D8" i="59"/>
  <c r="G125" i="59"/>
  <c r="E125" i="59"/>
  <c r="C125" i="59"/>
  <c r="G124" i="59"/>
  <c r="E124" i="59"/>
  <c r="C124" i="59"/>
  <c r="G123" i="59"/>
  <c r="E123" i="59"/>
  <c r="C123" i="59"/>
  <c r="G122" i="59"/>
  <c r="E122" i="59"/>
  <c r="C122" i="59"/>
  <c r="G120" i="59"/>
  <c r="E120" i="59"/>
  <c r="C120" i="59"/>
  <c r="G119" i="59"/>
  <c r="E119" i="59"/>
  <c r="C119" i="59"/>
  <c r="G117" i="59"/>
  <c r="E117" i="59"/>
  <c r="C117" i="59"/>
  <c r="G116" i="59"/>
  <c r="E116" i="59"/>
  <c r="C116" i="59"/>
  <c r="G114" i="59"/>
  <c r="E114" i="59"/>
  <c r="C114" i="59"/>
  <c r="G112" i="59"/>
  <c r="E112" i="59"/>
  <c r="C112" i="59"/>
  <c r="G111" i="59"/>
  <c r="E111" i="59"/>
  <c r="C111" i="59"/>
  <c r="G109" i="59"/>
  <c r="E109" i="59"/>
  <c r="C109" i="59"/>
  <c r="G107" i="59"/>
  <c r="E107" i="59"/>
  <c r="C107" i="59"/>
  <c r="G106" i="59"/>
  <c r="E106" i="59"/>
  <c r="C106" i="59"/>
  <c r="G104" i="59"/>
  <c r="E104" i="59"/>
  <c r="C104" i="59"/>
  <c r="G102" i="59"/>
  <c r="E102" i="59"/>
  <c r="C102" i="59"/>
  <c r="G101" i="59"/>
  <c r="E101" i="59"/>
  <c r="C101" i="59"/>
  <c r="G99" i="59"/>
  <c r="E99" i="59"/>
  <c r="C99" i="59"/>
  <c r="G97" i="59"/>
  <c r="E97" i="59"/>
  <c r="C97" i="59"/>
  <c r="G96" i="59"/>
  <c r="E96" i="59"/>
  <c r="C96" i="59"/>
  <c r="G94" i="59"/>
  <c r="E94" i="59"/>
  <c r="C94" i="59"/>
  <c r="G93" i="59"/>
  <c r="E93" i="59"/>
  <c r="C93" i="59"/>
  <c r="C95" i="59" s="1"/>
  <c r="G91" i="59"/>
  <c r="E91" i="59"/>
  <c r="C91" i="59"/>
  <c r="G90" i="59"/>
  <c r="E90" i="59"/>
  <c r="C90" i="59"/>
  <c r="G89" i="59"/>
  <c r="E89" i="59"/>
  <c r="C89" i="59"/>
  <c r="G87" i="59"/>
  <c r="E87" i="59"/>
  <c r="C87" i="59"/>
  <c r="G85" i="59"/>
  <c r="E85" i="59"/>
  <c r="C85" i="59"/>
  <c r="G84" i="59"/>
  <c r="E84" i="59"/>
  <c r="C84" i="59"/>
  <c r="G82" i="59"/>
  <c r="E82" i="59"/>
  <c r="C82" i="59"/>
  <c r="G80" i="59"/>
  <c r="E80" i="59"/>
  <c r="C80" i="59"/>
  <c r="G79" i="59"/>
  <c r="E79" i="59"/>
  <c r="C79" i="59"/>
  <c r="G78" i="59"/>
  <c r="E78" i="59"/>
  <c r="C78" i="59"/>
  <c r="G77" i="59"/>
  <c r="E77" i="59"/>
  <c r="C77" i="59"/>
  <c r="G75" i="59"/>
  <c r="E75" i="59"/>
  <c r="C75" i="59"/>
  <c r="G74" i="59"/>
  <c r="E74" i="59"/>
  <c r="C74" i="59"/>
  <c r="G73" i="59"/>
  <c r="E73" i="59"/>
  <c r="C73" i="59"/>
  <c r="G71" i="59"/>
  <c r="E71" i="59"/>
  <c r="C71" i="59"/>
  <c r="G70" i="59"/>
  <c r="E70" i="59"/>
  <c r="C70" i="59"/>
  <c r="G68" i="59"/>
  <c r="E68" i="59"/>
  <c r="C68" i="59"/>
  <c r="G67" i="59"/>
  <c r="E67" i="59"/>
  <c r="C67" i="59"/>
  <c r="G65" i="59"/>
  <c r="E65" i="59"/>
  <c r="C65" i="59"/>
  <c r="G64" i="59"/>
  <c r="E64" i="59"/>
  <c r="C64" i="59"/>
  <c r="G62" i="59"/>
  <c r="E62" i="59"/>
  <c r="C62" i="59"/>
  <c r="G61" i="59"/>
  <c r="E61" i="59"/>
  <c r="C61" i="59"/>
  <c r="G58" i="59"/>
  <c r="E58" i="59"/>
  <c r="C58" i="59"/>
  <c r="G57" i="59"/>
  <c r="E57" i="59"/>
  <c r="C57" i="59"/>
  <c r="G55" i="59"/>
  <c r="E55" i="59"/>
  <c r="C55" i="59"/>
  <c r="G54" i="59"/>
  <c r="E54" i="59"/>
  <c r="C54" i="59"/>
  <c r="G52" i="59"/>
  <c r="E52" i="59"/>
  <c r="E53" i="59" s="1"/>
  <c r="C52" i="59"/>
  <c r="G51" i="59"/>
  <c r="E51" i="59"/>
  <c r="C51" i="59"/>
  <c r="G50" i="59"/>
  <c r="E50" i="59"/>
  <c r="C50" i="59"/>
  <c r="G49" i="59"/>
  <c r="E49" i="59"/>
  <c r="C49" i="59"/>
  <c r="G47" i="59"/>
  <c r="E47" i="59"/>
  <c r="C47" i="59"/>
  <c r="G46" i="59"/>
  <c r="E46" i="59"/>
  <c r="C46" i="59"/>
  <c r="G44" i="59"/>
  <c r="E44" i="59"/>
  <c r="C44" i="59"/>
  <c r="G43" i="59"/>
  <c r="E43" i="59"/>
  <c r="C43" i="59"/>
  <c r="G41" i="59"/>
  <c r="E41" i="59"/>
  <c r="C41" i="59"/>
  <c r="G40" i="59"/>
  <c r="E40" i="59"/>
  <c r="C40" i="59"/>
  <c r="G38" i="59"/>
  <c r="E38" i="59"/>
  <c r="C38" i="59"/>
  <c r="G37" i="59"/>
  <c r="E37" i="59"/>
  <c r="C37" i="59"/>
  <c r="G35" i="59"/>
  <c r="E35" i="59"/>
  <c r="C35" i="59"/>
  <c r="G34" i="59"/>
  <c r="E34" i="59"/>
  <c r="C34" i="59"/>
  <c r="G33" i="59"/>
  <c r="E33" i="59"/>
  <c r="C33" i="59"/>
  <c r="G31" i="59"/>
  <c r="E31" i="59"/>
  <c r="C31" i="59"/>
  <c r="G30" i="59"/>
  <c r="E30" i="59"/>
  <c r="C30" i="59"/>
  <c r="G28" i="59"/>
  <c r="E28" i="59"/>
  <c r="C28" i="59"/>
  <c r="G27" i="59"/>
  <c r="E27" i="59"/>
  <c r="C27" i="59"/>
  <c r="G25" i="59"/>
  <c r="E25" i="59"/>
  <c r="C25" i="59"/>
  <c r="G24" i="59"/>
  <c r="E24" i="59"/>
  <c r="C24" i="59"/>
  <c r="G22" i="59"/>
  <c r="E22" i="59"/>
  <c r="C22" i="59"/>
  <c r="G21" i="59"/>
  <c r="E21" i="59"/>
  <c r="C21" i="59"/>
  <c r="G19" i="59"/>
  <c r="E19" i="59"/>
  <c r="C19" i="59"/>
  <c r="G18" i="59"/>
  <c r="E18" i="59"/>
  <c r="C18" i="59"/>
  <c r="G16" i="59"/>
  <c r="E16" i="59"/>
  <c r="C16" i="59"/>
  <c r="G15" i="59"/>
  <c r="E15" i="59"/>
  <c r="C15" i="59"/>
  <c r="G14" i="59"/>
  <c r="E14" i="59"/>
  <c r="C14" i="59"/>
  <c r="G13" i="59"/>
  <c r="E13" i="59"/>
  <c r="C13" i="59"/>
  <c r="G11" i="59"/>
  <c r="E11" i="59"/>
  <c r="C11" i="59"/>
  <c r="G10" i="59"/>
  <c r="E10" i="59"/>
  <c r="C10" i="59"/>
  <c r="G9" i="59"/>
  <c r="E9" i="59"/>
  <c r="C9" i="59"/>
  <c r="G8" i="59"/>
  <c r="E8" i="59"/>
  <c r="C8" i="59"/>
  <c r="G125" i="33"/>
  <c r="E125" i="33"/>
  <c r="C125" i="33"/>
  <c r="G124" i="33"/>
  <c r="E124" i="33"/>
  <c r="C124" i="33"/>
  <c r="G123" i="33"/>
  <c r="E123" i="33"/>
  <c r="C123" i="33"/>
  <c r="G122" i="33"/>
  <c r="E122" i="33"/>
  <c r="C122" i="33"/>
  <c r="G120" i="33"/>
  <c r="E120" i="33"/>
  <c r="C120" i="33"/>
  <c r="G119" i="33"/>
  <c r="E119" i="33"/>
  <c r="C119" i="33"/>
  <c r="G117" i="33"/>
  <c r="E117" i="33"/>
  <c r="C117" i="33"/>
  <c r="G116" i="33"/>
  <c r="E116" i="33"/>
  <c r="C116" i="33"/>
  <c r="G114" i="33"/>
  <c r="E114" i="33"/>
  <c r="C114" i="33"/>
  <c r="G112" i="33"/>
  <c r="E112" i="33"/>
  <c r="C112" i="33"/>
  <c r="G111" i="33"/>
  <c r="E111" i="33"/>
  <c r="C111" i="33"/>
  <c r="G109" i="33"/>
  <c r="E109" i="33"/>
  <c r="C109" i="33"/>
  <c r="G107" i="33"/>
  <c r="E107" i="33"/>
  <c r="C107" i="33"/>
  <c r="G106" i="33"/>
  <c r="E106" i="33"/>
  <c r="C106" i="33"/>
  <c r="G104" i="33"/>
  <c r="E104" i="33"/>
  <c r="C104" i="33"/>
  <c r="G102" i="33"/>
  <c r="E102" i="33"/>
  <c r="C102" i="33"/>
  <c r="G101" i="33"/>
  <c r="E101" i="33"/>
  <c r="C101" i="33"/>
  <c r="G99" i="33"/>
  <c r="E99" i="33"/>
  <c r="C99" i="33"/>
  <c r="G97" i="33"/>
  <c r="E97" i="33"/>
  <c r="C97" i="33"/>
  <c r="G96" i="33"/>
  <c r="E96" i="33"/>
  <c r="C96" i="33"/>
  <c r="G94" i="33"/>
  <c r="E94" i="33"/>
  <c r="C94" i="33"/>
  <c r="G93" i="33"/>
  <c r="E93" i="33"/>
  <c r="C93" i="33"/>
  <c r="G91" i="33"/>
  <c r="E91" i="33"/>
  <c r="C91" i="33"/>
  <c r="G90" i="33"/>
  <c r="E90" i="33"/>
  <c r="C90" i="33"/>
  <c r="G89" i="33"/>
  <c r="E89" i="33"/>
  <c r="C89" i="33"/>
  <c r="G87" i="33"/>
  <c r="E87" i="33"/>
  <c r="C87" i="33"/>
  <c r="G85" i="33"/>
  <c r="E85" i="33"/>
  <c r="C85" i="33"/>
  <c r="G84" i="33"/>
  <c r="E84" i="33"/>
  <c r="C84" i="33"/>
  <c r="G82" i="33"/>
  <c r="E82" i="33"/>
  <c r="C82" i="33"/>
  <c r="G80" i="33"/>
  <c r="E80" i="33"/>
  <c r="C80" i="33"/>
  <c r="G79" i="33"/>
  <c r="E79" i="33"/>
  <c r="C79" i="33"/>
  <c r="G78" i="33"/>
  <c r="E78" i="33"/>
  <c r="C78" i="33"/>
  <c r="G77" i="33"/>
  <c r="E77" i="33"/>
  <c r="C77" i="33"/>
  <c r="G75" i="33"/>
  <c r="E75" i="33"/>
  <c r="C75" i="33"/>
  <c r="G74" i="33"/>
  <c r="E74" i="33"/>
  <c r="C74" i="33"/>
  <c r="G73" i="33"/>
  <c r="E73" i="33"/>
  <c r="C73" i="33"/>
  <c r="G71" i="33"/>
  <c r="E71" i="33"/>
  <c r="C71" i="33"/>
  <c r="G70" i="33"/>
  <c r="E70" i="33"/>
  <c r="C70" i="33"/>
  <c r="G68" i="33"/>
  <c r="E68" i="33"/>
  <c r="C68" i="33"/>
  <c r="G67" i="33"/>
  <c r="E67" i="33"/>
  <c r="C67" i="33"/>
  <c r="G65" i="33"/>
  <c r="E65" i="33"/>
  <c r="C65" i="33"/>
  <c r="G64" i="33"/>
  <c r="E64" i="33"/>
  <c r="C64" i="33"/>
  <c r="G62" i="33"/>
  <c r="E62" i="33"/>
  <c r="C62" i="33"/>
  <c r="G61" i="33"/>
  <c r="E61" i="33"/>
  <c r="C61" i="33"/>
  <c r="G58" i="33"/>
  <c r="E58" i="33"/>
  <c r="C58" i="33"/>
  <c r="G57" i="33"/>
  <c r="E57" i="33"/>
  <c r="C57" i="33"/>
  <c r="G55" i="33"/>
  <c r="E55" i="33"/>
  <c r="C55" i="33"/>
  <c r="G54" i="33"/>
  <c r="E54" i="33"/>
  <c r="C54" i="33"/>
  <c r="G52" i="33"/>
  <c r="E52" i="33"/>
  <c r="C52" i="33"/>
  <c r="G51" i="33"/>
  <c r="E51" i="33"/>
  <c r="C51" i="33"/>
  <c r="G50" i="33"/>
  <c r="E50" i="33"/>
  <c r="C50" i="33"/>
  <c r="G49" i="33"/>
  <c r="E49" i="33"/>
  <c r="C49" i="33"/>
  <c r="G47" i="33"/>
  <c r="E47" i="33"/>
  <c r="C47" i="33"/>
  <c r="G46" i="33"/>
  <c r="E46" i="33"/>
  <c r="C46" i="33"/>
  <c r="G44" i="33"/>
  <c r="E44" i="33"/>
  <c r="C44" i="33"/>
  <c r="G43" i="33"/>
  <c r="E43" i="33"/>
  <c r="C43" i="33"/>
  <c r="G41" i="33"/>
  <c r="E41" i="33"/>
  <c r="C41" i="33"/>
  <c r="G40" i="33"/>
  <c r="E40" i="33"/>
  <c r="C40" i="33"/>
  <c r="G38" i="33"/>
  <c r="E38" i="33"/>
  <c r="C38" i="33"/>
  <c r="G37" i="33"/>
  <c r="E37" i="33"/>
  <c r="C37" i="33"/>
  <c r="G35" i="33"/>
  <c r="E35" i="33"/>
  <c r="C35" i="33"/>
  <c r="G34" i="33"/>
  <c r="E34" i="33"/>
  <c r="C34" i="33"/>
  <c r="G33" i="33"/>
  <c r="E33" i="33"/>
  <c r="C33" i="33"/>
  <c r="G31" i="33"/>
  <c r="E31" i="33"/>
  <c r="C31" i="33"/>
  <c r="G30" i="33"/>
  <c r="E30" i="33"/>
  <c r="C30" i="33"/>
  <c r="G28" i="33"/>
  <c r="E28" i="33"/>
  <c r="C28" i="33"/>
  <c r="G27" i="33"/>
  <c r="E27" i="33"/>
  <c r="C27" i="33"/>
  <c r="G25" i="33"/>
  <c r="E25" i="33"/>
  <c r="C25" i="33"/>
  <c r="G24" i="33"/>
  <c r="E24" i="33"/>
  <c r="C24" i="33"/>
  <c r="G22" i="33"/>
  <c r="E22" i="33"/>
  <c r="C22" i="33"/>
  <c r="G21" i="33"/>
  <c r="E21" i="33"/>
  <c r="C21" i="33"/>
  <c r="G19" i="33"/>
  <c r="E19" i="33"/>
  <c r="C19" i="33"/>
  <c r="G18" i="33"/>
  <c r="E18" i="33"/>
  <c r="C18" i="33"/>
  <c r="G16" i="33"/>
  <c r="E16" i="33"/>
  <c r="C16" i="33"/>
  <c r="G15" i="33"/>
  <c r="E15" i="33"/>
  <c r="C15" i="33"/>
  <c r="G14" i="33"/>
  <c r="E14" i="33"/>
  <c r="C14" i="33"/>
  <c r="G13" i="33"/>
  <c r="E13" i="33"/>
  <c r="C13" i="33"/>
  <c r="G11" i="33"/>
  <c r="E11" i="33"/>
  <c r="C11" i="33"/>
  <c r="G10" i="33"/>
  <c r="E10" i="33"/>
  <c r="C10" i="33"/>
  <c r="G9" i="33"/>
  <c r="E9" i="33"/>
  <c r="C9" i="33"/>
  <c r="G8" i="33"/>
  <c r="E8" i="33"/>
  <c r="C8" i="33"/>
  <c r="H125" i="33"/>
  <c r="F125" i="33"/>
  <c r="D125" i="33"/>
  <c r="H124" i="33"/>
  <c r="F124" i="33"/>
  <c r="D124" i="33"/>
  <c r="H123" i="33"/>
  <c r="F123" i="33"/>
  <c r="D123" i="33"/>
  <c r="H122" i="33"/>
  <c r="F122" i="33"/>
  <c r="D122" i="33"/>
  <c r="H120" i="33"/>
  <c r="F120" i="33"/>
  <c r="D120" i="33"/>
  <c r="H119" i="33"/>
  <c r="F119" i="33"/>
  <c r="D119" i="33"/>
  <c r="H117" i="33"/>
  <c r="F117" i="33"/>
  <c r="D117" i="33"/>
  <c r="H116" i="33"/>
  <c r="F116" i="33"/>
  <c r="D116" i="33"/>
  <c r="H114" i="33"/>
  <c r="F114" i="33"/>
  <c r="D114" i="33"/>
  <c r="H112" i="33"/>
  <c r="F112" i="33"/>
  <c r="D112" i="33"/>
  <c r="H111" i="33"/>
  <c r="F111" i="33"/>
  <c r="D111" i="33"/>
  <c r="H109" i="33"/>
  <c r="F109" i="33"/>
  <c r="D109" i="33"/>
  <c r="H107" i="33"/>
  <c r="F107" i="33"/>
  <c r="D107" i="33"/>
  <c r="H106" i="33"/>
  <c r="F106" i="33"/>
  <c r="D106" i="33"/>
  <c r="H104" i="33"/>
  <c r="F104" i="33"/>
  <c r="D104" i="33"/>
  <c r="H102" i="33"/>
  <c r="F102" i="33"/>
  <c r="D102" i="33"/>
  <c r="H101" i="33"/>
  <c r="F101" i="33"/>
  <c r="D101" i="33"/>
  <c r="H99" i="33"/>
  <c r="F99" i="33"/>
  <c r="D99" i="33"/>
  <c r="H97" i="33"/>
  <c r="F97" i="33"/>
  <c r="D97" i="33"/>
  <c r="H96" i="33"/>
  <c r="F96" i="33"/>
  <c r="D96" i="33"/>
  <c r="H94" i="33"/>
  <c r="F94" i="33"/>
  <c r="D94" i="33"/>
  <c r="H93" i="33"/>
  <c r="F93" i="33"/>
  <c r="D93" i="33"/>
  <c r="H91" i="33"/>
  <c r="F91" i="33"/>
  <c r="D91" i="33"/>
  <c r="H90" i="33"/>
  <c r="F90" i="33"/>
  <c r="D90" i="33"/>
  <c r="H89" i="33"/>
  <c r="F89" i="33"/>
  <c r="D89" i="33"/>
  <c r="H87" i="33"/>
  <c r="F87" i="33"/>
  <c r="D87" i="33"/>
  <c r="H85" i="33"/>
  <c r="F85" i="33"/>
  <c r="D85" i="33"/>
  <c r="H84" i="33"/>
  <c r="F84" i="33"/>
  <c r="D84" i="33"/>
  <c r="H82" i="33"/>
  <c r="F82" i="33"/>
  <c r="D82" i="33"/>
  <c r="H80" i="33"/>
  <c r="F80" i="33"/>
  <c r="D80" i="33"/>
  <c r="H79" i="33"/>
  <c r="F79" i="33"/>
  <c r="D79" i="33"/>
  <c r="H78" i="33"/>
  <c r="F78" i="33"/>
  <c r="D78" i="33"/>
  <c r="H77" i="33"/>
  <c r="F77" i="33"/>
  <c r="D77" i="33"/>
  <c r="H75" i="33"/>
  <c r="F75" i="33"/>
  <c r="D75" i="33"/>
  <c r="H74" i="33"/>
  <c r="F74" i="33"/>
  <c r="D74" i="33"/>
  <c r="H73" i="33"/>
  <c r="F73" i="33"/>
  <c r="D73" i="33"/>
  <c r="H71" i="33"/>
  <c r="F71" i="33"/>
  <c r="D71" i="33"/>
  <c r="H70" i="33"/>
  <c r="F70" i="33"/>
  <c r="D70" i="33"/>
  <c r="H68" i="33"/>
  <c r="F68" i="33"/>
  <c r="D68" i="33"/>
  <c r="H67" i="33"/>
  <c r="F67" i="33"/>
  <c r="D67" i="33"/>
  <c r="H65" i="33"/>
  <c r="F65" i="33"/>
  <c r="D65" i="33"/>
  <c r="H64" i="33"/>
  <c r="F64" i="33"/>
  <c r="D64" i="33"/>
  <c r="H62" i="33"/>
  <c r="F62" i="33"/>
  <c r="D62" i="33"/>
  <c r="H61" i="33"/>
  <c r="F61" i="33"/>
  <c r="D61" i="33"/>
  <c r="H58" i="33"/>
  <c r="F58" i="33"/>
  <c r="D58" i="33"/>
  <c r="H57" i="33"/>
  <c r="F57" i="33"/>
  <c r="D57" i="33"/>
  <c r="H55" i="33"/>
  <c r="F55" i="33"/>
  <c r="D55" i="33"/>
  <c r="H54" i="33"/>
  <c r="F54" i="33"/>
  <c r="D54" i="33"/>
  <c r="H52" i="33"/>
  <c r="F52" i="33"/>
  <c r="D52" i="33"/>
  <c r="H51" i="33"/>
  <c r="F51" i="33"/>
  <c r="D51" i="33"/>
  <c r="H50" i="33"/>
  <c r="F50" i="33"/>
  <c r="D50" i="33"/>
  <c r="H49" i="33"/>
  <c r="F49" i="33"/>
  <c r="D49" i="33"/>
  <c r="H47" i="33"/>
  <c r="F47" i="33"/>
  <c r="D47" i="33"/>
  <c r="H46" i="33"/>
  <c r="F46" i="33"/>
  <c r="D46" i="33"/>
  <c r="H44" i="33"/>
  <c r="F44" i="33"/>
  <c r="D44" i="33"/>
  <c r="H43" i="33"/>
  <c r="F43" i="33"/>
  <c r="D43" i="33"/>
  <c r="H41" i="33"/>
  <c r="F41" i="33"/>
  <c r="D41" i="33"/>
  <c r="H40" i="33"/>
  <c r="F40" i="33"/>
  <c r="D40" i="33"/>
  <c r="H38" i="33"/>
  <c r="F38" i="33"/>
  <c r="D38" i="33"/>
  <c r="H37" i="33"/>
  <c r="F37" i="33"/>
  <c r="D37" i="33"/>
  <c r="H35" i="33"/>
  <c r="F35" i="33"/>
  <c r="D35" i="33"/>
  <c r="H34" i="33"/>
  <c r="F34" i="33"/>
  <c r="D34" i="33"/>
  <c r="H33" i="33"/>
  <c r="F33" i="33"/>
  <c r="D33" i="33"/>
  <c r="H31" i="33"/>
  <c r="F31" i="33"/>
  <c r="D31" i="33"/>
  <c r="H30" i="33"/>
  <c r="F30" i="33"/>
  <c r="D30" i="33"/>
  <c r="H28" i="33"/>
  <c r="F28" i="33"/>
  <c r="D28" i="33"/>
  <c r="H27" i="33"/>
  <c r="F27" i="33"/>
  <c r="D27" i="33"/>
  <c r="H25" i="33"/>
  <c r="F25" i="33"/>
  <c r="D25" i="33"/>
  <c r="H24" i="33"/>
  <c r="F24" i="33"/>
  <c r="D24" i="33"/>
  <c r="H22" i="33"/>
  <c r="F22" i="33"/>
  <c r="D22" i="33"/>
  <c r="H21" i="33"/>
  <c r="F21" i="33"/>
  <c r="D21" i="33"/>
  <c r="H19" i="33"/>
  <c r="F19" i="33"/>
  <c r="D19" i="33"/>
  <c r="H18" i="33"/>
  <c r="F18" i="33"/>
  <c r="D18" i="33"/>
  <c r="H16" i="33"/>
  <c r="F16" i="33"/>
  <c r="D16" i="33"/>
  <c r="H15" i="33"/>
  <c r="F15" i="33"/>
  <c r="D15" i="33"/>
  <c r="H14" i="33"/>
  <c r="F14" i="33"/>
  <c r="D14" i="33"/>
  <c r="H13" i="33"/>
  <c r="F13" i="33"/>
  <c r="D13" i="33"/>
  <c r="H11" i="33"/>
  <c r="F11" i="33"/>
  <c r="D11" i="33"/>
  <c r="H10" i="33"/>
  <c r="F10" i="33"/>
  <c r="D10" i="33"/>
  <c r="H9" i="33"/>
  <c r="F9" i="33"/>
  <c r="D9" i="33"/>
  <c r="H8" i="33"/>
  <c r="F8" i="33"/>
  <c r="D8" i="33"/>
  <c r="E95" i="59"/>
  <c r="H66" i="59"/>
  <c r="D63" i="59"/>
  <c r="I36" i="59"/>
  <c r="D12" i="59"/>
  <c r="F12" i="59"/>
  <c r="D265" i="36"/>
  <c r="D264" i="36"/>
  <c r="C264" i="36"/>
  <c r="C265" i="36"/>
  <c r="C172" i="36"/>
  <c r="C146" i="36"/>
  <c r="B262" i="33"/>
  <c r="H259" i="33"/>
  <c r="G259" i="33"/>
  <c r="F259" i="33"/>
  <c r="E259" i="33"/>
  <c r="D259" i="33"/>
  <c r="C259" i="33"/>
  <c r="H258" i="33"/>
  <c r="G258" i="33"/>
  <c r="F258" i="33"/>
  <c r="E258" i="33"/>
  <c r="D258" i="33"/>
  <c r="C258" i="33"/>
  <c r="H364" i="33"/>
  <c r="G364" i="33"/>
  <c r="F364" i="33"/>
  <c r="E364" i="33"/>
  <c r="D364" i="33"/>
  <c r="C364" i="33"/>
  <c r="H276" i="33"/>
  <c r="G276" i="33"/>
  <c r="F276" i="33"/>
  <c r="E276" i="33"/>
  <c r="D276" i="33"/>
  <c r="C276" i="33"/>
  <c r="O3" i="32"/>
  <c r="O69" i="32" a="1"/>
  <c r="O69" i="32" s="1"/>
  <c r="O77" i="32" a="1"/>
  <c r="O77" i="32" s="1"/>
  <c r="O78" i="32" a="1"/>
  <c r="O78" i="32" s="1"/>
  <c r="O79" i="32" a="1"/>
  <c r="O79" i="32" s="1"/>
  <c r="O80" i="32" a="1"/>
  <c r="O80" i="32" s="1"/>
  <c r="O81" i="32" a="1"/>
  <c r="O81" i="32" s="1"/>
  <c r="N10" i="32" a="1"/>
  <c r="N10" i="32" s="1"/>
  <c r="N11" i="32" a="1"/>
  <c r="N11" i="32" s="1"/>
  <c r="N13" i="32" a="1"/>
  <c r="N13" i="32" s="1"/>
  <c r="N17" i="32" a="1"/>
  <c r="N17" i="32" s="1"/>
  <c r="N18" i="32" a="1"/>
  <c r="N18" i="32" s="1"/>
  <c r="N19" i="32" a="1"/>
  <c r="N19" i="32" s="1"/>
  <c r="N20" i="32" a="1"/>
  <c r="N20" i="32" s="1"/>
  <c r="N21" i="32" a="1"/>
  <c r="N21" i="32" s="1"/>
  <c r="N23" i="32" a="1"/>
  <c r="N23" i="32" s="1"/>
  <c r="N25" i="32" a="1"/>
  <c r="N25" i="32" s="1"/>
  <c r="N38" i="32" a="1"/>
  <c r="N38" i="32" s="1"/>
  <c r="N39" i="32" a="1"/>
  <c r="N39" i="32" s="1"/>
  <c r="N40" i="32" a="1"/>
  <c r="N40" i="32" s="1"/>
  <c r="N44" i="32" a="1"/>
  <c r="N44" i="32" s="1"/>
  <c r="N45" i="32" a="1"/>
  <c r="N45" i="32" s="1"/>
  <c r="N46" i="32" a="1"/>
  <c r="N46" i="32" s="1"/>
  <c r="N47" i="32" a="1"/>
  <c r="N47" i="32" s="1"/>
  <c r="N48" i="32" a="1"/>
  <c r="N48" i="32" s="1"/>
  <c r="N49" i="32" a="1"/>
  <c r="N49" i="32" s="1"/>
  <c r="N50" i="32" a="1"/>
  <c r="N50" i="32" s="1"/>
  <c r="N53" i="32" a="1"/>
  <c r="N53" i="32" s="1"/>
  <c r="N54" i="32" a="1"/>
  <c r="N54" i="32" s="1"/>
  <c r="N55" i="32" a="1"/>
  <c r="N55" i="32" s="1"/>
  <c r="N59" i="32" a="1"/>
  <c r="N59" i="32" s="1"/>
  <c r="N60" i="32" a="1"/>
  <c r="N60" i="32" s="1"/>
  <c r="N63" i="32" a="1"/>
  <c r="N63" i="32" s="1"/>
  <c r="N65" i="32" a="1"/>
  <c r="N65" i="32" s="1"/>
  <c r="N69" i="32" a="1"/>
  <c r="N69" i="32" s="1"/>
  <c r="N70" i="32" a="1"/>
  <c r="N70" i="32" s="1"/>
  <c r="N75" i="32" a="1"/>
  <c r="N75" i="32" s="1"/>
  <c r="N77" i="32" a="1"/>
  <c r="N77" i="32" s="1"/>
  <c r="N78" i="32" a="1"/>
  <c r="N78" i="32" s="1"/>
  <c r="N79" i="32" a="1"/>
  <c r="N79" i="32" s="1"/>
  <c r="N80" i="32" a="1"/>
  <c r="N80" i="32" s="1"/>
  <c r="N81" i="32" a="1"/>
  <c r="N81" i="32" s="1"/>
  <c r="Q362" i="32"/>
  <c r="B276" i="33"/>
  <c r="H248" i="33"/>
  <c r="G248" i="33"/>
  <c r="F248" i="33"/>
  <c r="E248" i="33"/>
  <c r="D248" i="33"/>
  <c r="C248" i="33"/>
  <c r="F116" i="32"/>
  <c r="C379" i="33"/>
  <c r="D379" i="33"/>
  <c r="E379" i="33"/>
  <c r="F379" i="33"/>
  <c r="G379" i="33"/>
  <c r="H379" i="33"/>
  <c r="H378" i="33"/>
  <c r="G378" i="33"/>
  <c r="F378" i="33"/>
  <c r="E378" i="33"/>
  <c r="D378" i="33"/>
  <c r="C378" i="33"/>
  <c r="H377" i="33"/>
  <c r="G377" i="33"/>
  <c r="F377" i="33"/>
  <c r="E377" i="33"/>
  <c r="D377" i="33"/>
  <c r="C377" i="33"/>
  <c r="H376" i="33"/>
  <c r="G376" i="33"/>
  <c r="F376" i="33"/>
  <c r="E376" i="33"/>
  <c r="D376" i="33"/>
  <c r="C376" i="33"/>
  <c r="C371" i="33"/>
  <c r="D371" i="33"/>
  <c r="E371" i="33"/>
  <c r="F371" i="33"/>
  <c r="G371" i="33"/>
  <c r="H371" i="33"/>
  <c r="C372" i="33"/>
  <c r="D372" i="33"/>
  <c r="E372" i="33"/>
  <c r="F372" i="33"/>
  <c r="G372" i="33"/>
  <c r="H372" i="33"/>
  <c r="H370" i="33"/>
  <c r="G370" i="33"/>
  <c r="F370" i="33"/>
  <c r="E370" i="33"/>
  <c r="D370" i="33"/>
  <c r="C370" i="33"/>
  <c r="H369" i="33"/>
  <c r="G369" i="33"/>
  <c r="F369" i="33"/>
  <c r="E369" i="33"/>
  <c r="D369" i="33"/>
  <c r="C369" i="33"/>
  <c r="R332" i="32"/>
  <c r="R324" i="32"/>
  <c r="C29" i="59" l="1"/>
  <c r="G32" i="59"/>
  <c r="E72" i="59"/>
  <c r="G103" i="59"/>
  <c r="E108" i="59"/>
  <c r="H42" i="59"/>
  <c r="D86" i="59"/>
  <c r="D88" i="59" s="1"/>
  <c r="I379" i="59"/>
  <c r="D379" i="36" s="1"/>
  <c r="G26" i="59"/>
  <c r="E66" i="59"/>
  <c r="H23" i="59"/>
  <c r="H108" i="59"/>
  <c r="I304" i="59"/>
  <c r="D304" i="36" s="1"/>
  <c r="G20" i="59"/>
  <c r="G66" i="59"/>
  <c r="E81" i="59"/>
  <c r="E83" i="59" s="1"/>
  <c r="H76" i="59"/>
  <c r="H113" i="59"/>
  <c r="H115" i="59"/>
  <c r="D262" i="59"/>
  <c r="D315" i="59"/>
  <c r="D337" i="59"/>
  <c r="E262" i="59"/>
  <c r="I254" i="59"/>
  <c r="D254" i="36" s="1"/>
  <c r="C69" i="53" s="1"/>
  <c r="F262" i="59"/>
  <c r="I275" i="59"/>
  <c r="D275" i="36" s="1"/>
  <c r="C90" i="53" s="1"/>
  <c r="G48" i="59"/>
  <c r="D103" i="59"/>
  <c r="D105" i="59" s="1"/>
  <c r="C76" i="59"/>
  <c r="C113" i="59"/>
  <c r="E121" i="59"/>
  <c r="F23" i="59"/>
  <c r="F81" i="59"/>
  <c r="I222" i="59"/>
  <c r="D222" i="36" s="1"/>
  <c r="C37" i="53" s="1"/>
  <c r="E12" i="59"/>
  <c r="E23" i="59"/>
  <c r="C39" i="59"/>
  <c r="G42" i="59"/>
  <c r="G53" i="59"/>
  <c r="C63" i="59"/>
  <c r="C86" i="59"/>
  <c r="C88" i="59" s="1"/>
  <c r="G113" i="59"/>
  <c r="G115" i="59" s="1"/>
  <c r="D26" i="59"/>
  <c r="H29" i="59"/>
  <c r="F45" i="59"/>
  <c r="F56" i="59"/>
  <c r="F69" i="59"/>
  <c r="F103" i="59"/>
  <c r="F105" i="59" s="1"/>
  <c r="F118" i="59"/>
  <c r="I269" i="59"/>
  <c r="D269" i="36" s="1"/>
  <c r="C84" i="53" s="1"/>
  <c r="I318" i="59"/>
  <c r="D318" i="36" s="1"/>
  <c r="C103" i="59"/>
  <c r="F26" i="59"/>
  <c r="D42" i="59"/>
  <c r="H56" i="59"/>
  <c r="D66" i="59"/>
  <c r="H69" i="59"/>
  <c r="H92" i="59"/>
  <c r="F108" i="59"/>
  <c r="F110" i="59" s="1"/>
  <c r="C192" i="59"/>
  <c r="I257" i="59"/>
  <c r="D257" i="36" s="1"/>
  <c r="C72" i="53" s="1"/>
  <c r="G294" i="59"/>
  <c r="G306" i="59"/>
  <c r="G307" i="59" s="1"/>
  <c r="G315" i="59"/>
  <c r="G322" i="59"/>
  <c r="G331" i="59"/>
  <c r="G338" i="59" s="1"/>
  <c r="G337" i="59"/>
  <c r="I350" i="59"/>
  <c r="D350" i="36" s="1"/>
  <c r="I370" i="59"/>
  <c r="D370" i="36" s="1"/>
  <c r="I377" i="59"/>
  <c r="D377" i="36" s="1"/>
  <c r="I364" i="59"/>
  <c r="D364" i="36" s="1"/>
  <c r="I372" i="59"/>
  <c r="D372" i="36" s="1"/>
  <c r="D39" i="59"/>
  <c r="H53" i="59"/>
  <c r="I68" i="59"/>
  <c r="D68" i="36" s="1"/>
  <c r="C68" i="52" s="1"/>
  <c r="G92" i="59"/>
  <c r="I184" i="59"/>
  <c r="D184" i="36" s="1"/>
  <c r="C184" i="52" s="1"/>
  <c r="E26" i="59"/>
  <c r="C42" i="59"/>
  <c r="G45" i="59"/>
  <c r="C53" i="59"/>
  <c r="G56" i="59"/>
  <c r="G69" i="59"/>
  <c r="G118" i="59"/>
  <c r="H20" i="59"/>
  <c r="D29" i="59"/>
  <c r="H32" i="59"/>
  <c r="F72" i="59"/>
  <c r="D76" i="59"/>
  <c r="F95" i="59"/>
  <c r="D113" i="59"/>
  <c r="D115" i="59" s="1"/>
  <c r="F121" i="59"/>
  <c r="C12" i="59"/>
  <c r="I133" i="59"/>
  <c r="D133" i="36" s="1"/>
  <c r="C133" i="52" s="1"/>
  <c r="I141" i="59"/>
  <c r="D141" i="36" s="1"/>
  <c r="C141" i="52" s="1"/>
  <c r="I150" i="59"/>
  <c r="D150" i="36" s="1"/>
  <c r="C150" i="52" s="1"/>
  <c r="I160" i="59"/>
  <c r="D160" i="36" s="1"/>
  <c r="C160" i="52" s="1"/>
  <c r="I168" i="59"/>
  <c r="D168" i="36" s="1"/>
  <c r="I203" i="59"/>
  <c r="D203" i="36" s="1"/>
  <c r="C18" i="53" s="1"/>
  <c r="I219" i="59"/>
  <c r="D219" i="36" s="1"/>
  <c r="C34" i="53" s="1"/>
  <c r="I228" i="59"/>
  <c r="D228" i="36" s="1"/>
  <c r="C43" i="53" s="1"/>
  <c r="I247" i="59"/>
  <c r="D247" i="36" s="1"/>
  <c r="C62" i="53" s="1"/>
  <c r="I272" i="59"/>
  <c r="D272" i="36" s="1"/>
  <c r="C87" i="53" s="1"/>
  <c r="F294" i="59"/>
  <c r="F306" i="59"/>
  <c r="F315" i="59"/>
  <c r="F337" i="59"/>
  <c r="D382" i="59"/>
  <c r="G192" i="59"/>
  <c r="C243" i="59"/>
  <c r="G243" i="59"/>
  <c r="C294" i="59"/>
  <c r="C306" i="59"/>
  <c r="C322" i="59"/>
  <c r="C337" i="59"/>
  <c r="E382" i="59"/>
  <c r="F20" i="59"/>
  <c r="F32" i="59"/>
  <c r="H39" i="59"/>
  <c r="D48" i="59"/>
  <c r="H63" i="59"/>
  <c r="D72" i="59"/>
  <c r="D95" i="59"/>
  <c r="H98" i="59"/>
  <c r="D108" i="59"/>
  <c r="D110" i="59" s="1"/>
  <c r="D121" i="59"/>
  <c r="H262" i="59"/>
  <c r="E48" i="59"/>
  <c r="H382" i="59"/>
  <c r="H192" i="59"/>
  <c r="I216" i="59"/>
  <c r="D216" i="36" s="1"/>
  <c r="C31" i="53" s="1"/>
  <c r="H249" i="59"/>
  <c r="I284" i="59"/>
  <c r="D284" i="36" s="1"/>
  <c r="I288" i="59"/>
  <c r="D288" i="36" s="1"/>
  <c r="I302" i="59"/>
  <c r="D302" i="36" s="1"/>
  <c r="I320" i="59"/>
  <c r="D320" i="36" s="1"/>
  <c r="I328" i="59"/>
  <c r="D328" i="36" s="1"/>
  <c r="I341" i="59"/>
  <c r="D341" i="36" s="1"/>
  <c r="I132" i="59"/>
  <c r="D132" i="36" s="1"/>
  <c r="C132" i="52" s="1"/>
  <c r="I149" i="59"/>
  <c r="D149" i="36" s="1"/>
  <c r="C173" i="59"/>
  <c r="E249" i="59"/>
  <c r="I286" i="59"/>
  <c r="D286" i="36" s="1"/>
  <c r="I312" i="59"/>
  <c r="D312" i="36" s="1"/>
  <c r="I326" i="59"/>
  <c r="D326" i="36" s="1"/>
  <c r="I336" i="59"/>
  <c r="D336" i="36" s="1"/>
  <c r="I351" i="59"/>
  <c r="D351" i="36" s="1"/>
  <c r="I355" i="59"/>
  <c r="D355" i="36" s="1"/>
  <c r="I359" i="59"/>
  <c r="D359" i="36" s="1"/>
  <c r="I363" i="59"/>
  <c r="D363" i="36" s="1"/>
  <c r="I237" i="33"/>
  <c r="G17" i="59"/>
  <c r="E20" i="59"/>
  <c r="C26" i="59"/>
  <c r="G29" i="59"/>
  <c r="E45" i="59"/>
  <c r="E56" i="59"/>
  <c r="G63" i="59"/>
  <c r="E69" i="59"/>
  <c r="C72" i="59"/>
  <c r="G76" i="59"/>
  <c r="G86" i="59"/>
  <c r="G88" i="59" s="1"/>
  <c r="E92" i="59"/>
  <c r="G98" i="59"/>
  <c r="G100" i="59" s="1"/>
  <c r="E103" i="59"/>
  <c r="E105" i="59" s="1"/>
  <c r="C108" i="59"/>
  <c r="C110" i="59" s="1"/>
  <c r="E118" i="59"/>
  <c r="H26" i="59"/>
  <c r="I80" i="59"/>
  <c r="D80" i="36" s="1"/>
  <c r="C80" i="52" s="1"/>
  <c r="H100" i="59"/>
  <c r="I201" i="59"/>
  <c r="D201" i="36" s="1"/>
  <c r="C16" i="53" s="1"/>
  <c r="I204" i="59"/>
  <c r="D204" i="36" s="1"/>
  <c r="C19" i="53" s="1"/>
  <c r="I209" i="59"/>
  <c r="D209" i="36" s="1"/>
  <c r="I212" i="59"/>
  <c r="D212" i="36" s="1"/>
  <c r="I217" i="59"/>
  <c r="D217" i="36" s="1"/>
  <c r="C32" i="53" s="1"/>
  <c r="I220" i="59"/>
  <c r="D220" i="36" s="1"/>
  <c r="C35" i="53" s="1"/>
  <c r="I225" i="59"/>
  <c r="D225" i="36" s="1"/>
  <c r="C40" i="53" s="1"/>
  <c r="I229" i="59"/>
  <c r="D229" i="36" s="1"/>
  <c r="C44" i="53" s="1"/>
  <c r="I245" i="59"/>
  <c r="D245" i="36" s="1"/>
  <c r="C60" i="53" s="1"/>
  <c r="I248" i="59"/>
  <c r="D248" i="36" s="1"/>
  <c r="C63" i="53" s="1"/>
  <c r="I273" i="59"/>
  <c r="D273" i="36" s="1"/>
  <c r="C88" i="53" s="1"/>
  <c r="I300" i="59"/>
  <c r="D300" i="36" s="1"/>
  <c r="D331" i="59"/>
  <c r="D338" i="59" s="1"/>
  <c r="C17" i="59"/>
  <c r="H243" i="59"/>
  <c r="H17" i="59"/>
  <c r="F382" i="59"/>
  <c r="I237" i="59"/>
  <c r="D237" i="36" s="1"/>
  <c r="C52" i="53" s="1"/>
  <c r="G52" i="53" s="1"/>
  <c r="H52" i="53" s="1"/>
  <c r="I52" i="53" s="1"/>
  <c r="I296" i="59"/>
  <c r="D296" i="36" s="1"/>
  <c r="I49" i="59"/>
  <c r="D49" i="36" s="1"/>
  <c r="C49" i="52" s="1"/>
  <c r="I89" i="59"/>
  <c r="D89" i="36" s="1"/>
  <c r="C89" i="52" s="1"/>
  <c r="I109" i="59"/>
  <c r="D109" i="36" s="1"/>
  <c r="C109" i="52" s="1"/>
  <c r="I16" i="59"/>
  <c r="D16" i="36" s="1"/>
  <c r="C16" i="52" s="1"/>
  <c r="I35" i="59"/>
  <c r="D35" i="36" s="1"/>
  <c r="C35" i="52" s="1"/>
  <c r="I47" i="59"/>
  <c r="D47" i="36" s="1"/>
  <c r="C47" i="52" s="1"/>
  <c r="I58" i="59"/>
  <c r="D58" i="36" s="1"/>
  <c r="I99" i="59"/>
  <c r="D99" i="36" s="1"/>
  <c r="C99" i="52" s="1"/>
  <c r="I124" i="59"/>
  <c r="D124" i="36" s="1"/>
  <c r="C124" i="52" s="1"/>
  <c r="G39" i="59"/>
  <c r="I157" i="59"/>
  <c r="D157" i="36" s="1"/>
  <c r="C157" i="52" s="1"/>
  <c r="I357" i="59"/>
  <c r="D357" i="36" s="1"/>
  <c r="F322" i="59"/>
  <c r="F323" i="59" s="1"/>
  <c r="C158" i="59"/>
  <c r="H110" i="59"/>
  <c r="E17" i="59"/>
  <c r="E29" i="59"/>
  <c r="C45" i="59"/>
  <c r="C56" i="59"/>
  <c r="C69" i="59"/>
  <c r="G72" i="59"/>
  <c r="E76" i="59"/>
  <c r="C92" i="59"/>
  <c r="G95" i="59"/>
  <c r="G108" i="59"/>
  <c r="G110" i="59" s="1"/>
  <c r="E113" i="59"/>
  <c r="E115" i="59" s="1"/>
  <c r="C118" i="59"/>
  <c r="G121" i="59"/>
  <c r="I208" i="59"/>
  <c r="D208" i="36" s="1"/>
  <c r="C23" i="53" s="1"/>
  <c r="I165" i="59"/>
  <c r="D165" i="36" s="1"/>
  <c r="F173" i="59"/>
  <c r="D192" i="59"/>
  <c r="I194" i="59"/>
  <c r="D194" i="36" s="1"/>
  <c r="C9" i="53" s="1"/>
  <c r="I253" i="59"/>
  <c r="D253" i="36" s="1"/>
  <c r="C68" i="53" s="1"/>
  <c r="F249" i="59"/>
  <c r="F83" i="59"/>
  <c r="F48" i="59"/>
  <c r="E110" i="59"/>
  <c r="I280" i="59"/>
  <c r="D280" i="36" s="1"/>
  <c r="C76" i="73" s="1"/>
  <c r="I268" i="59"/>
  <c r="D268" i="36" s="1"/>
  <c r="C83" i="53" s="1"/>
  <c r="D23" i="59"/>
  <c r="I28" i="59"/>
  <c r="D28" i="36" s="1"/>
  <c r="C28" i="52" s="1"/>
  <c r="F42" i="59"/>
  <c r="F53" i="59"/>
  <c r="I55" i="59"/>
  <c r="D55" i="36" s="1"/>
  <c r="C55" i="52" s="1"/>
  <c r="F66" i="59"/>
  <c r="D81" i="59"/>
  <c r="D83" i="59" s="1"/>
  <c r="I82" i="59"/>
  <c r="D82" i="36" s="1"/>
  <c r="C82" i="52" s="1"/>
  <c r="I117" i="59"/>
  <c r="D117" i="36" s="1"/>
  <c r="C117" i="52" s="1"/>
  <c r="I310" i="59"/>
  <c r="D310" i="36" s="1"/>
  <c r="H158" i="59"/>
  <c r="I163" i="59"/>
  <c r="D163" i="36" s="1"/>
  <c r="C163" i="52" s="1"/>
  <c r="I171" i="59"/>
  <c r="D171" i="36" s="1"/>
  <c r="I214" i="59"/>
  <c r="D214" i="36" s="1"/>
  <c r="C29" i="53" s="1"/>
  <c r="E158" i="59"/>
  <c r="I211" i="59"/>
  <c r="D211" i="36" s="1"/>
  <c r="I25" i="59"/>
  <c r="D25" i="36" s="1"/>
  <c r="I37" i="59"/>
  <c r="D37" i="36" s="1"/>
  <c r="I224" i="59"/>
  <c r="D224" i="36" s="1"/>
  <c r="C39" i="53" s="1"/>
  <c r="I244" i="59"/>
  <c r="D244" i="36" s="1"/>
  <c r="C59" i="53" s="1"/>
  <c r="I256" i="59"/>
  <c r="D256" i="36" s="1"/>
  <c r="C71" i="53" s="1"/>
  <c r="I282" i="59"/>
  <c r="D282" i="36" s="1"/>
  <c r="I298" i="59"/>
  <c r="D298" i="36" s="1"/>
  <c r="I334" i="59"/>
  <c r="D334" i="36" s="1"/>
  <c r="G23" i="59"/>
  <c r="C32" i="59"/>
  <c r="E39" i="59"/>
  <c r="G81" i="59"/>
  <c r="G83" i="59" s="1"/>
  <c r="E86" i="59"/>
  <c r="E88" i="59" s="1"/>
  <c r="E98" i="59"/>
  <c r="E100" i="59" s="1"/>
  <c r="F331" i="59"/>
  <c r="D198" i="59"/>
  <c r="H198" i="59"/>
  <c r="G173" i="59"/>
  <c r="I73" i="59"/>
  <c r="D73" i="36" s="1"/>
  <c r="C73" i="52" s="1"/>
  <c r="I65" i="59"/>
  <c r="D65" i="36" s="1"/>
  <c r="C65" i="52" s="1"/>
  <c r="D17" i="59"/>
  <c r="I316" i="59"/>
  <c r="D316" i="36" s="1"/>
  <c r="G158" i="59"/>
  <c r="I199" i="59"/>
  <c r="D199" i="36" s="1"/>
  <c r="H12" i="59"/>
  <c r="F17" i="59"/>
  <c r="D20" i="59"/>
  <c r="F29" i="59"/>
  <c r="D32" i="59"/>
  <c r="F39" i="59"/>
  <c r="D45" i="59"/>
  <c r="H48" i="59"/>
  <c r="D56" i="59"/>
  <c r="F63" i="59"/>
  <c r="D69" i="59"/>
  <c r="H72" i="59"/>
  <c r="H81" i="59"/>
  <c r="H83" i="59" s="1"/>
  <c r="F86" i="59"/>
  <c r="F88" i="59" s="1"/>
  <c r="D92" i="59"/>
  <c r="H95" i="59"/>
  <c r="F113" i="59"/>
  <c r="F115" i="59" s="1"/>
  <c r="D118" i="59"/>
  <c r="H121" i="59"/>
  <c r="I185" i="59"/>
  <c r="D185" i="36" s="1"/>
  <c r="C185" i="52" s="1"/>
  <c r="E198" i="59"/>
  <c r="G105" i="59"/>
  <c r="I138" i="59"/>
  <c r="D138" i="36" s="1"/>
  <c r="I147" i="59"/>
  <c r="D147" i="36" s="1"/>
  <c r="I155" i="59"/>
  <c r="D155" i="36" s="1"/>
  <c r="I140" i="59"/>
  <c r="D140" i="36" s="1"/>
  <c r="C140" i="52" s="1"/>
  <c r="I145" i="59"/>
  <c r="D145" i="36" s="1"/>
  <c r="C145" i="52" s="1"/>
  <c r="I154" i="59"/>
  <c r="D154" i="36" s="1"/>
  <c r="C154" i="52" s="1"/>
  <c r="I164" i="59"/>
  <c r="D164" i="36" s="1"/>
  <c r="C164" i="52" s="1"/>
  <c r="I167" i="59"/>
  <c r="D167" i="36" s="1"/>
  <c r="E192" i="59"/>
  <c r="G198" i="59"/>
  <c r="I205" i="59"/>
  <c r="D205" i="36" s="1"/>
  <c r="C20" i="53" s="1"/>
  <c r="I210" i="59"/>
  <c r="D210" i="36" s="1"/>
  <c r="I213" i="59"/>
  <c r="D213" i="36" s="1"/>
  <c r="C28" i="53" s="1"/>
  <c r="I215" i="59"/>
  <c r="D215" i="36" s="1"/>
  <c r="C30" i="53" s="1"/>
  <c r="I218" i="59"/>
  <c r="D218" i="36" s="1"/>
  <c r="C33" i="53" s="1"/>
  <c r="I221" i="59"/>
  <c r="D221" i="36" s="1"/>
  <c r="C36" i="53" s="1"/>
  <c r="I223" i="59"/>
  <c r="D223" i="36" s="1"/>
  <c r="C38" i="53" s="1"/>
  <c r="I226" i="59"/>
  <c r="D226" i="36" s="1"/>
  <c r="C41" i="53" s="1"/>
  <c r="I230" i="59"/>
  <c r="D230" i="36" s="1"/>
  <c r="C45" i="53" s="1"/>
  <c r="I240" i="59"/>
  <c r="D240" i="36" s="1"/>
  <c r="C55" i="53" s="1"/>
  <c r="E243" i="59"/>
  <c r="I250" i="59"/>
  <c r="D250" i="36" s="1"/>
  <c r="C65" i="53" s="1"/>
  <c r="G249" i="59"/>
  <c r="I255" i="59"/>
  <c r="D255" i="36" s="1"/>
  <c r="C70" i="53" s="1"/>
  <c r="I258" i="59"/>
  <c r="D258" i="36" s="1"/>
  <c r="C73" i="53" s="1"/>
  <c r="I266" i="59"/>
  <c r="D266" i="36" s="1"/>
  <c r="C81" i="53" s="1"/>
  <c r="I270" i="59"/>
  <c r="D270" i="36" s="1"/>
  <c r="C85" i="53" s="1"/>
  <c r="I274" i="59"/>
  <c r="D274" i="36" s="1"/>
  <c r="C89" i="53" s="1"/>
  <c r="I276" i="59"/>
  <c r="D276" i="36" s="1"/>
  <c r="C91" i="53" s="1"/>
  <c r="I281" i="59"/>
  <c r="D281" i="36" s="1"/>
  <c r="I283" i="59"/>
  <c r="D283" i="36" s="1"/>
  <c r="I285" i="59"/>
  <c r="D285" i="36" s="1"/>
  <c r="I287" i="59"/>
  <c r="D287" i="36" s="1"/>
  <c r="I289" i="59"/>
  <c r="D289" i="36" s="1"/>
  <c r="I291" i="59"/>
  <c r="D291" i="36" s="1"/>
  <c r="I295" i="59"/>
  <c r="D295" i="36" s="1"/>
  <c r="I297" i="59"/>
  <c r="D297" i="36" s="1"/>
  <c r="I299" i="59"/>
  <c r="D299" i="36" s="1"/>
  <c r="I301" i="59"/>
  <c r="D301" i="36" s="1"/>
  <c r="I303" i="59"/>
  <c r="D303" i="36" s="1"/>
  <c r="H315" i="59"/>
  <c r="I311" i="59"/>
  <c r="D311" i="36" s="1"/>
  <c r="I313" i="59"/>
  <c r="D313" i="36" s="1"/>
  <c r="H322" i="59"/>
  <c r="I319" i="59"/>
  <c r="D319" i="36" s="1"/>
  <c r="I325" i="59"/>
  <c r="D325" i="36" s="1"/>
  <c r="I327" i="59"/>
  <c r="D327" i="36" s="1"/>
  <c r="I329" i="59"/>
  <c r="D329" i="36" s="1"/>
  <c r="H337" i="59"/>
  <c r="I335" i="59"/>
  <c r="D335" i="36" s="1"/>
  <c r="I339" i="59"/>
  <c r="D339" i="36" s="1"/>
  <c r="I352" i="59"/>
  <c r="D352" i="36" s="1"/>
  <c r="I354" i="59"/>
  <c r="D354" i="36" s="1"/>
  <c r="I356" i="59"/>
  <c r="D356" i="36" s="1"/>
  <c r="I358" i="59"/>
  <c r="D358" i="36" s="1"/>
  <c r="I360" i="59"/>
  <c r="D360" i="36" s="1"/>
  <c r="I362" i="59"/>
  <c r="D362" i="36" s="1"/>
  <c r="I371" i="59"/>
  <c r="D371" i="36" s="1"/>
  <c r="I378" i="59"/>
  <c r="D378" i="36" s="1"/>
  <c r="I252" i="59"/>
  <c r="D252" i="36" s="1"/>
  <c r="C67" i="53" s="1"/>
  <c r="H331" i="59"/>
  <c r="I162" i="59"/>
  <c r="D162" i="36" s="1"/>
  <c r="C162" i="52" s="1"/>
  <c r="I170" i="59"/>
  <c r="D170" i="36" s="1"/>
  <c r="G262" i="59"/>
  <c r="H294" i="59"/>
  <c r="I193" i="59"/>
  <c r="D193" i="36" s="1"/>
  <c r="I246" i="59"/>
  <c r="D246" i="36" s="1"/>
  <c r="C61" i="53" s="1"/>
  <c r="C249" i="59"/>
  <c r="H306" i="59"/>
  <c r="I317" i="59"/>
  <c r="D317" i="36" s="1"/>
  <c r="I333" i="59"/>
  <c r="D333" i="36" s="1"/>
  <c r="I131" i="59"/>
  <c r="D131" i="36" s="1"/>
  <c r="C131" i="52" s="1"/>
  <c r="I134" i="59"/>
  <c r="D134" i="36" s="1"/>
  <c r="C134" i="52" s="1"/>
  <c r="I136" i="59"/>
  <c r="D136" i="36" s="1"/>
  <c r="I139" i="59"/>
  <c r="D139" i="36" s="1"/>
  <c r="C139" i="52" s="1"/>
  <c r="I142" i="59"/>
  <c r="D142" i="36" s="1"/>
  <c r="C142" i="52" s="1"/>
  <c r="I144" i="59"/>
  <c r="D144" i="36" s="1"/>
  <c r="C144" i="52" s="1"/>
  <c r="I148" i="59"/>
  <c r="D148" i="36" s="1"/>
  <c r="C148" i="52" s="1"/>
  <c r="I151" i="59"/>
  <c r="D151" i="36" s="1"/>
  <c r="C151" i="52" s="1"/>
  <c r="I153" i="59"/>
  <c r="D153" i="36" s="1"/>
  <c r="C153" i="52" s="1"/>
  <c r="I156" i="59"/>
  <c r="D156" i="36" s="1"/>
  <c r="I161" i="59"/>
  <c r="D161" i="36" s="1"/>
  <c r="C161" i="52" s="1"/>
  <c r="I166" i="59"/>
  <c r="D166" i="36" s="1"/>
  <c r="C166" i="52" s="1"/>
  <c r="I169" i="59"/>
  <c r="D169" i="36" s="1"/>
  <c r="C169" i="52" s="1"/>
  <c r="I251" i="59"/>
  <c r="D251" i="36" s="1"/>
  <c r="C66" i="53" s="1"/>
  <c r="I179" i="59"/>
  <c r="D179" i="36" s="1"/>
  <c r="C179" i="52" s="1"/>
  <c r="I309" i="59"/>
  <c r="D309" i="36" s="1"/>
  <c r="I188" i="59"/>
  <c r="D188" i="36" s="1"/>
  <c r="C188" i="52" s="1"/>
  <c r="E323" i="59"/>
  <c r="E173" i="59"/>
  <c r="I137" i="59"/>
  <c r="D137" i="36" s="1"/>
  <c r="E307" i="59"/>
  <c r="E338" i="59"/>
  <c r="I135" i="59"/>
  <c r="D135" i="36" s="1"/>
  <c r="I143" i="59"/>
  <c r="D143" i="36" s="1"/>
  <c r="I152" i="59"/>
  <c r="D152" i="36" s="1"/>
  <c r="C152" i="52" s="1"/>
  <c r="I196" i="59"/>
  <c r="D196" i="36" s="1"/>
  <c r="C11" i="53" s="1"/>
  <c r="I349" i="59"/>
  <c r="D349" i="36" s="1"/>
  <c r="I182" i="59"/>
  <c r="D182" i="36" s="1"/>
  <c r="C182" i="52" s="1"/>
  <c r="I176" i="59"/>
  <c r="D176" i="36" s="1"/>
  <c r="I178" i="59"/>
  <c r="D178" i="36" s="1"/>
  <c r="C178" i="52" s="1"/>
  <c r="I180" i="59"/>
  <c r="D180" i="36" s="1"/>
  <c r="I290" i="59"/>
  <c r="D290" i="36" s="1"/>
  <c r="I292" i="59"/>
  <c r="D292" i="36" s="1"/>
  <c r="I353" i="59"/>
  <c r="D353" i="36" s="1"/>
  <c r="I200" i="59"/>
  <c r="D200" i="36" s="1"/>
  <c r="C15" i="53" s="1"/>
  <c r="I202" i="59"/>
  <c r="D202" i="36" s="1"/>
  <c r="C17" i="53" s="1"/>
  <c r="I207" i="59"/>
  <c r="D207" i="36" s="1"/>
  <c r="C22" i="53" s="1"/>
  <c r="F348" i="59"/>
  <c r="I361" i="59"/>
  <c r="D361" i="36" s="1"/>
  <c r="I369" i="59"/>
  <c r="D369" i="36" s="1"/>
  <c r="I376" i="59"/>
  <c r="D376" i="36" s="1"/>
  <c r="I197" i="59"/>
  <c r="D197" i="36" s="1"/>
  <c r="C12" i="53" s="1"/>
  <c r="H173" i="59"/>
  <c r="I177" i="59"/>
  <c r="D177" i="36" s="1"/>
  <c r="C177" i="52" s="1"/>
  <c r="I181" i="59"/>
  <c r="D181" i="36" s="1"/>
  <c r="C181" i="52" s="1"/>
  <c r="I183" i="59"/>
  <c r="D183" i="36" s="1"/>
  <c r="C183" i="52" s="1"/>
  <c r="I232" i="59"/>
  <c r="D232" i="36" s="1"/>
  <c r="C47" i="53" s="1"/>
  <c r="H242" i="59"/>
  <c r="H241" i="59" s="1"/>
  <c r="I206" i="59"/>
  <c r="D206" i="36" s="1"/>
  <c r="C21" i="53" s="1"/>
  <c r="I130" i="59"/>
  <c r="D130" i="36" s="1"/>
  <c r="C130" i="52" s="1"/>
  <c r="C382" i="59"/>
  <c r="C315" i="59"/>
  <c r="I332" i="59"/>
  <c r="D332" i="36" s="1"/>
  <c r="D306" i="59"/>
  <c r="D294" i="59"/>
  <c r="D322" i="59"/>
  <c r="C331" i="59"/>
  <c r="G227" i="59"/>
  <c r="G231" i="59" s="1"/>
  <c r="G233" i="59" s="1"/>
  <c r="I195" i="59"/>
  <c r="D195" i="36" s="1"/>
  <c r="C10" i="53" s="1"/>
  <c r="D243" i="59"/>
  <c r="F192" i="59"/>
  <c r="C198" i="59"/>
  <c r="C227" i="59" s="1"/>
  <c r="C231" i="59" s="1"/>
  <c r="C233" i="59" s="1"/>
  <c r="F243" i="59"/>
  <c r="D249" i="59"/>
  <c r="F198" i="59"/>
  <c r="I259" i="59"/>
  <c r="D158" i="59"/>
  <c r="F158" i="59"/>
  <c r="D173" i="59"/>
  <c r="I97" i="59"/>
  <c r="D97" i="36" s="1"/>
  <c r="C97" i="52" s="1"/>
  <c r="I71" i="59"/>
  <c r="D71" i="36" s="1"/>
  <c r="C71" i="52" s="1"/>
  <c r="I87" i="59"/>
  <c r="D87" i="36" s="1"/>
  <c r="C87" i="52" s="1"/>
  <c r="I94" i="59"/>
  <c r="D94" i="36" s="1"/>
  <c r="C94" i="52" s="1"/>
  <c r="I107" i="59"/>
  <c r="D107" i="36" s="1"/>
  <c r="C107" i="52" s="1"/>
  <c r="I13" i="59"/>
  <c r="D13" i="36" s="1"/>
  <c r="C13" i="52" s="1"/>
  <c r="I38" i="59"/>
  <c r="D38" i="36" s="1"/>
  <c r="C38" i="52" s="1"/>
  <c r="I11" i="59"/>
  <c r="D11" i="36" s="1"/>
  <c r="C11" i="52" s="1"/>
  <c r="I19" i="59"/>
  <c r="D19" i="36" s="1"/>
  <c r="C19" i="52" s="1"/>
  <c r="I62" i="59"/>
  <c r="D62" i="36" s="1"/>
  <c r="C62" i="52" s="1"/>
  <c r="I78" i="59"/>
  <c r="D78" i="36" s="1"/>
  <c r="C78" i="52" s="1"/>
  <c r="I102" i="59"/>
  <c r="D102" i="36" s="1"/>
  <c r="C102" i="52" s="1"/>
  <c r="I22" i="59"/>
  <c r="D22" i="36" s="1"/>
  <c r="C22" i="52" s="1"/>
  <c r="E63" i="59"/>
  <c r="I70" i="59"/>
  <c r="D70" i="36" s="1"/>
  <c r="C20" i="59"/>
  <c r="I27" i="59"/>
  <c r="D27" i="36" s="1"/>
  <c r="C27" i="52" s="1"/>
  <c r="I120" i="59"/>
  <c r="D120" i="36" s="1"/>
  <c r="C120" i="52" s="1"/>
  <c r="I125" i="59"/>
  <c r="D125" i="36" s="1"/>
  <c r="C125" i="52" s="1"/>
  <c r="C66" i="59"/>
  <c r="I64" i="59"/>
  <c r="D64" i="36" s="1"/>
  <c r="C64" i="52" s="1"/>
  <c r="C98" i="59"/>
  <c r="I96" i="59"/>
  <c r="D96" i="36" s="1"/>
  <c r="C96" i="52" s="1"/>
  <c r="H118" i="59"/>
  <c r="C121" i="59"/>
  <c r="C81" i="59"/>
  <c r="F76" i="59"/>
  <c r="H86" i="59"/>
  <c r="H88" i="59" s="1"/>
  <c r="F92" i="59"/>
  <c r="D98" i="59"/>
  <c r="D100" i="59" s="1"/>
  <c r="H103" i="59"/>
  <c r="H105" i="59" s="1"/>
  <c r="I101" i="59"/>
  <c r="D101" i="36" s="1"/>
  <c r="C101" i="52" s="1"/>
  <c r="C105" i="59"/>
  <c r="C115" i="59"/>
  <c r="E32" i="59"/>
  <c r="E42" i="59"/>
  <c r="I34" i="59"/>
  <c r="D34" i="36" s="1"/>
  <c r="C34" i="52" s="1"/>
  <c r="H45" i="59"/>
  <c r="C48" i="59"/>
  <c r="I9" i="59"/>
  <c r="D9" i="36" s="1"/>
  <c r="C9" i="52" s="1"/>
  <c r="G12" i="59"/>
  <c r="I52" i="59"/>
  <c r="D52" i="36" s="1"/>
  <c r="C52" i="52" s="1"/>
  <c r="I77" i="59"/>
  <c r="D77" i="36" s="1"/>
  <c r="C77" i="52" s="1"/>
  <c r="F100" i="59"/>
  <c r="I104" i="59"/>
  <c r="D104" i="36" s="1"/>
  <c r="C104" i="52" s="1"/>
  <c r="I123" i="59"/>
  <c r="D123" i="36" s="1"/>
  <c r="I14" i="59"/>
  <c r="D14" i="36" s="1"/>
  <c r="C14" i="52" s="1"/>
  <c r="C23" i="59"/>
  <c r="I21" i="59"/>
  <c r="D21" i="36" s="1"/>
  <c r="I50" i="59"/>
  <c r="D50" i="36" s="1"/>
  <c r="C50" i="52" s="1"/>
  <c r="I57" i="59"/>
  <c r="D57" i="36" s="1"/>
  <c r="I31" i="59"/>
  <c r="D31" i="36" s="1"/>
  <c r="C31" i="52" s="1"/>
  <c r="I33" i="59"/>
  <c r="D33" i="36" s="1"/>
  <c r="C33" i="52" s="1"/>
  <c r="I41" i="59"/>
  <c r="D41" i="36" s="1"/>
  <c r="C41" i="52" s="1"/>
  <c r="I44" i="59"/>
  <c r="D44" i="36" s="1"/>
  <c r="C44" i="52" s="1"/>
  <c r="I75" i="59"/>
  <c r="D75" i="36" s="1"/>
  <c r="C75" i="52" s="1"/>
  <c r="I85" i="59"/>
  <c r="D85" i="36" s="1"/>
  <c r="C85" i="52" s="1"/>
  <c r="I91" i="59"/>
  <c r="D91" i="36" s="1"/>
  <c r="C91" i="52" s="1"/>
  <c r="I112" i="59"/>
  <c r="D112" i="36" s="1"/>
  <c r="C112" i="52" s="1"/>
  <c r="I114" i="59"/>
  <c r="D114" i="36" s="1"/>
  <c r="C114" i="52" s="1"/>
  <c r="I122" i="59"/>
  <c r="D122" i="36" s="1"/>
  <c r="C122" i="52" s="1"/>
  <c r="I10" i="59"/>
  <c r="D10" i="36" s="1"/>
  <c r="C10" i="52" s="1"/>
  <c r="I18" i="59"/>
  <c r="D18" i="36" s="1"/>
  <c r="I61" i="59"/>
  <c r="D61" i="36" s="1"/>
  <c r="C61" i="52" s="1"/>
  <c r="I93" i="59"/>
  <c r="D93" i="36" s="1"/>
  <c r="C93" i="52" s="1"/>
  <c r="I43" i="59"/>
  <c r="D43" i="36" s="1"/>
  <c r="C43" i="52" s="1"/>
  <c r="I51" i="59"/>
  <c r="D51" i="36" s="1"/>
  <c r="I84" i="59"/>
  <c r="D84" i="36" s="1"/>
  <c r="C84" i="52" s="1"/>
  <c r="I116" i="59"/>
  <c r="D116" i="36" s="1"/>
  <c r="I24" i="59"/>
  <c r="D24" i="36" s="1"/>
  <c r="I67" i="59"/>
  <c r="D67" i="36" s="1"/>
  <c r="C67" i="52" s="1"/>
  <c r="I8" i="59"/>
  <c r="I15" i="59"/>
  <c r="D15" i="36" s="1"/>
  <c r="I74" i="59"/>
  <c r="D74" i="36" s="1"/>
  <c r="C74" i="52" s="1"/>
  <c r="I90" i="59"/>
  <c r="D90" i="36" s="1"/>
  <c r="C90" i="52" s="1"/>
  <c r="I106" i="59"/>
  <c r="D106" i="36" s="1"/>
  <c r="C106" i="52" s="1"/>
  <c r="I30" i="59"/>
  <c r="D30" i="36" s="1"/>
  <c r="C30" i="52" s="1"/>
  <c r="I40" i="59"/>
  <c r="D40" i="36" s="1"/>
  <c r="I46" i="59"/>
  <c r="D46" i="36" s="1"/>
  <c r="I54" i="59"/>
  <c r="D54" i="36" s="1"/>
  <c r="C54" i="52" s="1"/>
  <c r="I79" i="59"/>
  <c r="D79" i="36" s="1"/>
  <c r="C79" i="52" s="1"/>
  <c r="I111" i="59"/>
  <c r="D111" i="36" s="1"/>
  <c r="C111" i="52" s="1"/>
  <c r="I119" i="59"/>
  <c r="D119" i="36" s="1"/>
  <c r="C119" i="52" s="1"/>
  <c r="I378" i="33"/>
  <c r="C378" i="36" s="1"/>
  <c r="I370" i="33"/>
  <c r="C370" i="36" s="1"/>
  <c r="I379" i="33"/>
  <c r="C379" i="36" s="1"/>
  <c r="I369" i="33"/>
  <c r="C369" i="36" s="1"/>
  <c r="I376" i="33"/>
  <c r="C376" i="36" s="1"/>
  <c r="I372" i="33"/>
  <c r="C372" i="36" s="1"/>
  <c r="E382" i="33"/>
  <c r="C382" i="33"/>
  <c r="I371" i="33"/>
  <c r="C371" i="36" s="1"/>
  <c r="F382" i="33"/>
  <c r="G382" i="33"/>
  <c r="I377" i="33"/>
  <c r="C377" i="36" s="1"/>
  <c r="H382" i="33"/>
  <c r="D382" i="33"/>
  <c r="H44" i="52" l="1"/>
  <c r="I44" i="52" s="1"/>
  <c r="G44" i="52"/>
  <c r="H169" i="52"/>
  <c r="I169" i="52" s="1"/>
  <c r="G169" i="52"/>
  <c r="H35" i="53"/>
  <c r="I35" i="53" s="1"/>
  <c r="G35" i="53"/>
  <c r="H69" i="53"/>
  <c r="I69" i="53" s="1"/>
  <c r="G69" i="53"/>
  <c r="H96" i="52"/>
  <c r="I96" i="52" s="1"/>
  <c r="G96" i="52"/>
  <c r="H17" i="53"/>
  <c r="I17" i="53" s="1"/>
  <c r="G17" i="53"/>
  <c r="H61" i="53"/>
  <c r="I61" i="53" s="1"/>
  <c r="G61" i="53"/>
  <c r="H45" i="53"/>
  <c r="I45" i="53" s="1"/>
  <c r="G45" i="53"/>
  <c r="H68" i="53"/>
  <c r="I68" i="53" s="1"/>
  <c r="G68" i="53"/>
  <c r="H141" i="52"/>
  <c r="I141" i="52" s="1"/>
  <c r="G141" i="52"/>
  <c r="H30" i="52"/>
  <c r="I30" i="52" s="1"/>
  <c r="G30" i="52"/>
  <c r="D118" i="36"/>
  <c r="C118" i="52" s="1"/>
  <c r="C116" i="52"/>
  <c r="G122" i="52"/>
  <c r="H122" i="52"/>
  <c r="I122" i="52" s="1"/>
  <c r="H33" i="52"/>
  <c r="I33" i="52" s="1"/>
  <c r="G33" i="52"/>
  <c r="H104" i="52"/>
  <c r="I104" i="52" s="1"/>
  <c r="G104" i="52"/>
  <c r="G13" i="52"/>
  <c r="H13" i="52"/>
  <c r="I13" i="52" s="1"/>
  <c r="G10" i="53"/>
  <c r="H10" i="53"/>
  <c r="I10" i="53" s="1"/>
  <c r="H15" i="53"/>
  <c r="I15" i="53" s="1"/>
  <c r="G15" i="53"/>
  <c r="H161" i="52"/>
  <c r="I161" i="52" s="1"/>
  <c r="G161" i="52"/>
  <c r="G41" i="53"/>
  <c r="H41" i="53"/>
  <c r="I41" i="53" s="1"/>
  <c r="C25" i="52"/>
  <c r="E46" i="69"/>
  <c r="H117" i="52"/>
  <c r="I117" i="52" s="1"/>
  <c r="G117" i="52"/>
  <c r="G9" i="53"/>
  <c r="H9" i="53"/>
  <c r="I9" i="53" s="1"/>
  <c r="H124" i="52"/>
  <c r="I124" i="52" s="1"/>
  <c r="G124" i="52"/>
  <c r="H49" i="52"/>
  <c r="I49" i="52" s="1"/>
  <c r="G49" i="52"/>
  <c r="H62" i="53"/>
  <c r="I62" i="53" s="1"/>
  <c r="G62" i="53"/>
  <c r="G133" i="52"/>
  <c r="H133" i="52"/>
  <c r="I133" i="52" s="1"/>
  <c r="G18" i="73"/>
  <c r="H18" i="73" s="1"/>
  <c r="G19" i="73" s="1"/>
  <c r="H19" i="73" s="1"/>
  <c r="D36" i="2"/>
  <c r="C46" i="52"/>
  <c r="E47" i="70"/>
  <c r="G47" i="70" s="1"/>
  <c r="I47" i="70" s="1"/>
  <c r="E44" i="69"/>
  <c r="C422" i="36"/>
  <c r="H11" i="52"/>
  <c r="I11" i="52" s="1"/>
  <c r="G11" i="52"/>
  <c r="H142" i="52"/>
  <c r="I142" i="52" s="1"/>
  <c r="G142" i="52"/>
  <c r="H140" i="52"/>
  <c r="I140" i="52" s="1"/>
  <c r="G140" i="52"/>
  <c r="H109" i="52"/>
  <c r="I109" i="52" s="1"/>
  <c r="G109" i="52"/>
  <c r="H41" i="52"/>
  <c r="G41" i="52"/>
  <c r="H177" i="52"/>
  <c r="I177" i="52" s="1"/>
  <c r="G177" i="52"/>
  <c r="H139" i="52"/>
  <c r="I139" i="52" s="1"/>
  <c r="G139" i="52"/>
  <c r="H85" i="53"/>
  <c r="I85" i="53" s="1"/>
  <c r="G85" i="53"/>
  <c r="H84" i="52"/>
  <c r="G84" i="52"/>
  <c r="H114" i="52"/>
  <c r="I114" i="52" s="1"/>
  <c r="G114" i="52"/>
  <c r="H31" i="52"/>
  <c r="I31" i="52" s="1"/>
  <c r="G31" i="52"/>
  <c r="G34" i="52"/>
  <c r="H34" i="52"/>
  <c r="I34" i="52" s="1"/>
  <c r="H64" i="52"/>
  <c r="I64" i="52" s="1"/>
  <c r="G64" i="52"/>
  <c r="H22" i="52"/>
  <c r="I22" i="52" s="1"/>
  <c r="G22" i="52"/>
  <c r="H107" i="52"/>
  <c r="I107" i="52" s="1"/>
  <c r="G107" i="52"/>
  <c r="H130" i="52"/>
  <c r="I130" i="52" s="1"/>
  <c r="G130" i="52"/>
  <c r="H12" i="53"/>
  <c r="I12" i="53" s="1"/>
  <c r="G12" i="53"/>
  <c r="H11" i="53"/>
  <c r="I11" i="53" s="1"/>
  <c r="G11" i="53"/>
  <c r="C156" i="52"/>
  <c r="E70" i="70"/>
  <c r="G70" i="70" s="1"/>
  <c r="I70" i="70" s="1"/>
  <c r="G134" i="52"/>
  <c r="H134" i="52"/>
  <c r="I134" i="52" s="1"/>
  <c r="G73" i="53"/>
  <c r="H73" i="53"/>
  <c r="I73" i="53" s="1"/>
  <c r="H38" i="53"/>
  <c r="I38" i="53" s="1"/>
  <c r="G38" i="53"/>
  <c r="C138" i="52"/>
  <c r="E65" i="70"/>
  <c r="C13" i="73"/>
  <c r="C26" i="53"/>
  <c r="H82" i="52"/>
  <c r="I82" i="52" s="1"/>
  <c r="G82" i="52"/>
  <c r="H99" i="52"/>
  <c r="I99" i="52" s="1"/>
  <c r="G99" i="52"/>
  <c r="G88" i="53"/>
  <c r="H88" i="53"/>
  <c r="I88" i="53" s="1"/>
  <c r="C24" i="53"/>
  <c r="C11" i="73"/>
  <c r="H43" i="53"/>
  <c r="G43" i="53"/>
  <c r="H72" i="53"/>
  <c r="I72" i="53" s="1"/>
  <c r="G72" i="53"/>
  <c r="H101" i="52"/>
  <c r="I101" i="52" s="1"/>
  <c r="G101" i="52"/>
  <c r="G67" i="53"/>
  <c r="H67" i="53"/>
  <c r="I67" i="53" s="1"/>
  <c r="H150" i="52"/>
  <c r="G150" i="52"/>
  <c r="C155" i="52"/>
  <c r="E69" i="70"/>
  <c r="G69" i="70" s="1"/>
  <c r="I69" i="70" s="1"/>
  <c r="H28" i="52"/>
  <c r="I28" i="52" s="1"/>
  <c r="G28" i="52"/>
  <c r="H32" i="53"/>
  <c r="I32" i="53" s="1"/>
  <c r="G32" i="53"/>
  <c r="G87" i="53"/>
  <c r="H87" i="53"/>
  <c r="I87" i="53" s="1"/>
  <c r="H119" i="52"/>
  <c r="I119" i="52" s="1"/>
  <c r="G119" i="52"/>
  <c r="G112" i="52"/>
  <c r="H112" i="52"/>
  <c r="I112" i="52" s="1"/>
  <c r="C57" i="52"/>
  <c r="E56" i="70"/>
  <c r="G56" i="70" s="1"/>
  <c r="I56" i="70" s="1"/>
  <c r="G102" i="52"/>
  <c r="H102" i="52"/>
  <c r="I102" i="52" s="1"/>
  <c r="G94" i="52"/>
  <c r="H94" i="52"/>
  <c r="I94" i="52" s="1"/>
  <c r="H21" i="53"/>
  <c r="I21" i="53" s="1"/>
  <c r="G21" i="53"/>
  <c r="H152" i="52"/>
  <c r="I152" i="52" s="1"/>
  <c r="G152" i="52"/>
  <c r="H188" i="52"/>
  <c r="I188" i="52" s="1"/>
  <c r="G188" i="52"/>
  <c r="G153" i="52"/>
  <c r="H153" i="52"/>
  <c r="I153" i="52" s="1"/>
  <c r="H131" i="52"/>
  <c r="I131" i="52" s="1"/>
  <c r="G131" i="52"/>
  <c r="H70" i="53"/>
  <c r="I70" i="53" s="1"/>
  <c r="G70" i="53"/>
  <c r="H36" i="53"/>
  <c r="I36" i="53" s="1"/>
  <c r="G36" i="53"/>
  <c r="C167" i="52"/>
  <c r="E72" i="70"/>
  <c r="G72" i="70" s="1"/>
  <c r="I72" i="70" s="1"/>
  <c r="H63" i="53"/>
  <c r="I63" i="53" s="1"/>
  <c r="G63" i="53"/>
  <c r="G19" i="53"/>
  <c r="H19" i="53"/>
  <c r="I19" i="53" s="1"/>
  <c r="H34" i="53"/>
  <c r="G34" i="53"/>
  <c r="H14" i="52"/>
  <c r="I14" i="52" s="1"/>
  <c r="G14" i="52"/>
  <c r="H73" i="52"/>
  <c r="I73" i="52" s="1"/>
  <c r="G73" i="52"/>
  <c r="H10" i="52"/>
  <c r="I10" i="52" s="1"/>
  <c r="G10" i="52"/>
  <c r="C70" i="52"/>
  <c r="E58" i="70"/>
  <c r="G58" i="70" s="1"/>
  <c r="I58" i="70" s="1"/>
  <c r="E14" i="69"/>
  <c r="G182" i="52"/>
  <c r="H182" i="52"/>
  <c r="I182" i="52" s="1"/>
  <c r="G20" i="53"/>
  <c r="H20" i="53"/>
  <c r="I20" i="53" s="1"/>
  <c r="H89" i="52"/>
  <c r="I89" i="52" s="1"/>
  <c r="G89" i="52"/>
  <c r="H106" i="52"/>
  <c r="I106" i="52" s="1"/>
  <c r="G106" i="52"/>
  <c r="H90" i="52"/>
  <c r="I90" i="52" s="1"/>
  <c r="G90" i="52"/>
  <c r="C51" i="52"/>
  <c r="E55" i="70"/>
  <c r="G55" i="70" s="1"/>
  <c r="I55" i="70" s="1"/>
  <c r="E13" i="69"/>
  <c r="H77" i="52"/>
  <c r="I77" i="52" s="1"/>
  <c r="G77" i="52"/>
  <c r="H43" i="52"/>
  <c r="I43" i="52" s="1"/>
  <c r="G43" i="52"/>
  <c r="H91" i="52"/>
  <c r="I91" i="52" s="1"/>
  <c r="G91" i="52"/>
  <c r="H50" i="52"/>
  <c r="G50" i="52"/>
  <c r="H52" i="52"/>
  <c r="I52" i="52" s="1"/>
  <c r="G52" i="52"/>
  <c r="H125" i="52"/>
  <c r="I125" i="52" s="1"/>
  <c r="G125" i="52"/>
  <c r="G78" i="52"/>
  <c r="H78" i="52"/>
  <c r="I78" i="52" s="1"/>
  <c r="G87" i="52"/>
  <c r="H87" i="52"/>
  <c r="I87" i="52" s="1"/>
  <c r="C143" i="52"/>
  <c r="E66" i="70"/>
  <c r="G66" i="70" s="1"/>
  <c r="I66" i="70" s="1"/>
  <c r="H151" i="52"/>
  <c r="G151" i="52"/>
  <c r="D421" i="36"/>
  <c r="C170" i="52"/>
  <c r="E45" i="70"/>
  <c r="G45" i="70" s="1"/>
  <c r="I45" i="70" s="1"/>
  <c r="C44" i="70" s="1"/>
  <c r="H164" i="52"/>
  <c r="I164" i="52" s="1"/>
  <c r="G164" i="52"/>
  <c r="H29" i="53"/>
  <c r="G29" i="53"/>
  <c r="C165" i="52"/>
  <c r="E71" i="70"/>
  <c r="G71" i="70" s="1"/>
  <c r="I71" i="70" s="1"/>
  <c r="G47" i="52"/>
  <c r="H47" i="52"/>
  <c r="I47" i="52" s="1"/>
  <c r="H60" i="53"/>
  <c r="I60" i="53" s="1"/>
  <c r="G60" i="53"/>
  <c r="H16" i="53"/>
  <c r="I16" i="53" s="1"/>
  <c r="G16" i="53"/>
  <c r="H132" i="52"/>
  <c r="I132" i="52" s="1"/>
  <c r="G132" i="52"/>
  <c r="G31" i="53"/>
  <c r="H31" i="53"/>
  <c r="I31" i="53" s="1"/>
  <c r="H18" i="53"/>
  <c r="I18" i="53" s="1"/>
  <c r="G18" i="53"/>
  <c r="G68" i="52"/>
  <c r="H68" i="52"/>
  <c r="I68" i="52" s="1"/>
  <c r="H9" i="52"/>
  <c r="I9" i="52" s="1"/>
  <c r="G9" i="52"/>
  <c r="H22" i="53"/>
  <c r="I22" i="53" s="1"/>
  <c r="G22" i="53"/>
  <c r="H55" i="53"/>
  <c r="I55" i="53" s="1"/>
  <c r="G55" i="53"/>
  <c r="G162" i="52"/>
  <c r="H162" i="52"/>
  <c r="I162" i="52" s="1"/>
  <c r="D418" i="36"/>
  <c r="G65" i="53"/>
  <c r="H65" i="53"/>
  <c r="I65" i="53" s="1"/>
  <c r="G30" i="53"/>
  <c r="H30" i="53"/>
  <c r="I30" i="53" s="1"/>
  <c r="G154" i="52"/>
  <c r="H154" i="52"/>
  <c r="I154" i="52" s="1"/>
  <c r="H185" i="52"/>
  <c r="I185" i="52" s="1"/>
  <c r="G185" i="52"/>
  <c r="H71" i="53"/>
  <c r="I71" i="53" s="1"/>
  <c r="G71" i="53"/>
  <c r="C171" i="52"/>
  <c r="E74" i="70"/>
  <c r="G74" i="70" s="1"/>
  <c r="I74" i="70" s="1"/>
  <c r="H55" i="52"/>
  <c r="I55" i="52" s="1"/>
  <c r="G55" i="52"/>
  <c r="G35" i="52"/>
  <c r="H35" i="52"/>
  <c r="I35" i="52" s="1"/>
  <c r="H44" i="53"/>
  <c r="I44" i="53" s="1"/>
  <c r="G44" i="53"/>
  <c r="C168" i="52"/>
  <c r="E73" i="70"/>
  <c r="G73" i="70" s="1"/>
  <c r="I73" i="70" s="1"/>
  <c r="H84" i="53"/>
  <c r="I84" i="53" s="1"/>
  <c r="G84" i="53"/>
  <c r="H37" i="53"/>
  <c r="I37" i="53" s="1"/>
  <c r="G37" i="53"/>
  <c r="H67" i="52"/>
  <c r="I67" i="52" s="1"/>
  <c r="G67" i="52"/>
  <c r="G181" i="52"/>
  <c r="H181" i="52"/>
  <c r="I181" i="52" s="1"/>
  <c r="H157" i="52"/>
  <c r="I157" i="52" s="1"/>
  <c r="G157" i="52"/>
  <c r="H38" i="52"/>
  <c r="I38" i="52" s="1"/>
  <c r="G38" i="52"/>
  <c r="H166" i="52"/>
  <c r="I166" i="52" s="1"/>
  <c r="G166" i="52"/>
  <c r="G79" i="52"/>
  <c r="H79" i="52"/>
  <c r="I79" i="52" s="1"/>
  <c r="H93" i="52"/>
  <c r="I93" i="52" s="1"/>
  <c r="G93" i="52"/>
  <c r="H85" i="52"/>
  <c r="G85" i="52"/>
  <c r="C21" i="52"/>
  <c r="E52" i="70"/>
  <c r="G52" i="70" s="1"/>
  <c r="I52" i="70" s="1"/>
  <c r="H120" i="52"/>
  <c r="I120" i="52" s="1"/>
  <c r="G120" i="52"/>
  <c r="H62" i="52"/>
  <c r="I62" i="52" s="1"/>
  <c r="G62" i="52"/>
  <c r="H71" i="52"/>
  <c r="I71" i="52" s="1"/>
  <c r="G71" i="52"/>
  <c r="D422" i="36"/>
  <c r="C135" i="52"/>
  <c r="E63" i="70"/>
  <c r="G63" i="70" s="1"/>
  <c r="I63" i="70" s="1"/>
  <c r="E47" i="69"/>
  <c r="H179" i="52"/>
  <c r="I179" i="52" s="1"/>
  <c r="G179" i="52"/>
  <c r="H148" i="52"/>
  <c r="G148" i="52"/>
  <c r="H54" i="52"/>
  <c r="I54" i="52" s="1"/>
  <c r="G54" i="52"/>
  <c r="G61" i="52"/>
  <c r="H61" i="52"/>
  <c r="I61" i="52" s="1"/>
  <c r="H75" i="52"/>
  <c r="I75" i="52" s="1"/>
  <c r="G75" i="52"/>
  <c r="G27" i="52"/>
  <c r="H27" i="52"/>
  <c r="I27" i="52" s="1"/>
  <c r="H19" i="52"/>
  <c r="I19" i="52" s="1"/>
  <c r="G19" i="52"/>
  <c r="H97" i="52"/>
  <c r="I97" i="52" s="1"/>
  <c r="G97" i="52"/>
  <c r="H183" i="52"/>
  <c r="I183" i="52" s="1"/>
  <c r="G183" i="52"/>
  <c r="H178" i="52"/>
  <c r="I178" i="52" s="1"/>
  <c r="G178" i="52"/>
  <c r="G66" i="53"/>
  <c r="H66" i="53"/>
  <c r="I66" i="53" s="1"/>
  <c r="G144" i="52"/>
  <c r="H144" i="52"/>
  <c r="I144" i="52" s="1"/>
  <c r="G91" i="53"/>
  <c r="H91" i="53"/>
  <c r="I91" i="53" s="1"/>
  <c r="H28" i="53"/>
  <c r="I28" i="53" s="1"/>
  <c r="G28" i="53"/>
  <c r="H145" i="52"/>
  <c r="I145" i="52" s="1"/>
  <c r="G145" i="52"/>
  <c r="H65" i="52"/>
  <c r="I65" i="52" s="1"/>
  <c r="G65" i="52"/>
  <c r="G59" i="53"/>
  <c r="H59" i="53"/>
  <c r="I59" i="53" s="1"/>
  <c r="G163" i="52"/>
  <c r="H163" i="52"/>
  <c r="I163" i="52" s="1"/>
  <c r="H16" i="52"/>
  <c r="I16" i="52" s="1"/>
  <c r="G16" i="52"/>
  <c r="G40" i="53"/>
  <c r="H40" i="53"/>
  <c r="I40" i="53" s="1"/>
  <c r="H80" i="52"/>
  <c r="I80" i="52" s="1"/>
  <c r="G80" i="52"/>
  <c r="H160" i="52"/>
  <c r="I160" i="52" s="1"/>
  <c r="G160" i="52"/>
  <c r="G83" i="53"/>
  <c r="H83" i="53" s="1"/>
  <c r="I83" i="53" s="1"/>
  <c r="H89" i="53"/>
  <c r="G89" i="53"/>
  <c r="H90" i="53"/>
  <c r="G90" i="53"/>
  <c r="G81" i="53"/>
  <c r="H81" i="53"/>
  <c r="I81" i="53" s="1"/>
  <c r="H47" i="53"/>
  <c r="I47" i="53" s="1"/>
  <c r="G47" i="53"/>
  <c r="G39" i="53"/>
  <c r="H39" i="53"/>
  <c r="I39" i="53" s="1"/>
  <c r="D416" i="36"/>
  <c r="G33" i="53"/>
  <c r="H33" i="53" s="1"/>
  <c r="I33" i="53" s="1"/>
  <c r="C27" i="53"/>
  <c r="C14" i="73"/>
  <c r="C10" i="73"/>
  <c r="C25" i="53"/>
  <c r="C12" i="73"/>
  <c r="G23" i="53"/>
  <c r="H23" i="53"/>
  <c r="I23" i="53" s="1"/>
  <c r="C61" i="73"/>
  <c r="E61" i="73" s="1"/>
  <c r="D9" i="73"/>
  <c r="C60" i="73"/>
  <c r="E60" i="73" s="1"/>
  <c r="C14" i="53"/>
  <c r="C18" i="73"/>
  <c r="E18" i="73" s="1"/>
  <c r="C63" i="73"/>
  <c r="E63" i="73" s="1"/>
  <c r="D13" i="73"/>
  <c r="E13" i="73" s="1"/>
  <c r="I13" i="73" s="1"/>
  <c r="D7" i="73"/>
  <c r="D51" i="73"/>
  <c r="D10" i="73"/>
  <c r="E10" i="73" s="1"/>
  <c r="I10" i="73" s="1"/>
  <c r="C7" i="73"/>
  <c r="D11" i="73"/>
  <c r="E11" i="73" s="1"/>
  <c r="I11" i="73" s="1"/>
  <c r="C59" i="73"/>
  <c r="E59" i="73" s="1"/>
  <c r="C8" i="53"/>
  <c r="D76" i="73"/>
  <c r="E76" i="73" s="1"/>
  <c r="I76" i="73" s="1"/>
  <c r="D12" i="73"/>
  <c r="E12" i="73" s="1"/>
  <c r="I12" i="73" s="1"/>
  <c r="C58" i="73"/>
  <c r="E58" i="73" s="1"/>
  <c r="C22" i="73"/>
  <c r="E22" i="73" s="1"/>
  <c r="D23" i="73" s="1"/>
  <c r="E23" i="73" s="1"/>
  <c r="D14" i="73"/>
  <c r="E14" i="73" s="1"/>
  <c r="I14" i="73" s="1"/>
  <c r="D75" i="73"/>
  <c r="C62" i="73"/>
  <c r="E62" i="73" s="1"/>
  <c r="C57" i="73"/>
  <c r="E57" i="73" s="1"/>
  <c r="C20" i="73"/>
  <c r="E20" i="73" s="1"/>
  <c r="D21" i="73" s="1"/>
  <c r="E21" i="73" s="1"/>
  <c r="D8" i="73"/>
  <c r="G184" i="52"/>
  <c r="H184" i="52"/>
  <c r="I184" i="52" s="1"/>
  <c r="C180" i="52"/>
  <c r="C82" i="73"/>
  <c r="D33" i="73"/>
  <c r="D82" i="73"/>
  <c r="E82" i="73" s="1"/>
  <c r="I82" i="73" s="1"/>
  <c r="C176" i="52"/>
  <c r="D34" i="73"/>
  <c r="D83" i="73"/>
  <c r="E157" i="69"/>
  <c r="E161" i="69" s="1"/>
  <c r="C149" i="52"/>
  <c r="E68" i="70"/>
  <c r="G68" i="70" s="1"/>
  <c r="I68" i="70" s="1"/>
  <c r="C147" i="52"/>
  <c r="E67" i="70"/>
  <c r="G67" i="70" s="1"/>
  <c r="I67" i="70" s="1"/>
  <c r="C137" i="52"/>
  <c r="G62" i="73"/>
  <c r="H62" i="73" s="1"/>
  <c r="E64" i="70"/>
  <c r="G64" i="70" s="1"/>
  <c r="I64" i="70" s="1"/>
  <c r="E11" i="69"/>
  <c r="G61" i="73"/>
  <c r="H61" i="73" s="1"/>
  <c r="I61" i="73" s="1"/>
  <c r="C136" i="52"/>
  <c r="G60" i="73"/>
  <c r="H60" i="73" s="1"/>
  <c r="I60" i="73" s="1"/>
  <c r="E62" i="70"/>
  <c r="G62" i="70" s="1"/>
  <c r="E45" i="69"/>
  <c r="C123" i="52"/>
  <c r="E43" i="70"/>
  <c r="G43" i="70" s="1"/>
  <c r="I43" i="70" s="1"/>
  <c r="G111" i="52"/>
  <c r="H111" i="52" s="1"/>
  <c r="I111" i="52" s="1"/>
  <c r="G74" i="52"/>
  <c r="H74" i="52" s="1"/>
  <c r="I74" i="52" s="1"/>
  <c r="C58" i="52"/>
  <c r="E57" i="70"/>
  <c r="G57" i="70" s="1"/>
  <c r="I57" i="70" s="1"/>
  <c r="C40" i="52"/>
  <c r="E53" i="70"/>
  <c r="G53" i="70" s="1"/>
  <c r="I53" i="70" s="1"/>
  <c r="C37" i="52"/>
  <c r="E104" i="69"/>
  <c r="E106" i="69" s="1"/>
  <c r="C100" i="69" s="1"/>
  <c r="C24" i="52"/>
  <c r="E54" i="70"/>
  <c r="G54" i="70" s="1"/>
  <c r="I54" i="70" s="1"/>
  <c r="C18" i="52"/>
  <c r="E51" i="70"/>
  <c r="G51" i="70" s="1"/>
  <c r="I51" i="70" s="1"/>
  <c r="E9" i="69"/>
  <c r="G22" i="73"/>
  <c r="H22" i="73" s="1"/>
  <c r="C15" i="52"/>
  <c r="G20" i="73"/>
  <c r="H20" i="73" s="1"/>
  <c r="E50" i="70"/>
  <c r="G50" i="70" s="1"/>
  <c r="E10" i="69"/>
  <c r="D420" i="36"/>
  <c r="D56" i="36"/>
  <c r="C56" i="52" s="1"/>
  <c r="D29" i="36"/>
  <c r="C29" i="52" s="1"/>
  <c r="D66" i="36"/>
  <c r="C66" i="52" s="1"/>
  <c r="I348" i="59"/>
  <c r="D348" i="36" s="1"/>
  <c r="D417" i="36" s="1"/>
  <c r="D81" i="36"/>
  <c r="C307" i="59"/>
  <c r="G323" i="59"/>
  <c r="H307" i="59"/>
  <c r="I337" i="59"/>
  <c r="E227" i="59"/>
  <c r="E231" i="59" s="1"/>
  <c r="E233" i="59" s="1"/>
  <c r="E236" i="59" s="1"/>
  <c r="I95" i="59"/>
  <c r="E340" i="59"/>
  <c r="E342" i="59" s="1"/>
  <c r="F338" i="59"/>
  <c r="I66" i="59"/>
  <c r="I53" i="59"/>
  <c r="E242" i="59"/>
  <c r="C174" i="59"/>
  <c r="I56" i="59"/>
  <c r="C242" i="59"/>
  <c r="C241" i="59" s="1"/>
  <c r="C260" i="59" s="1"/>
  <c r="I72" i="59"/>
  <c r="F307" i="59"/>
  <c r="F340" i="59" s="1"/>
  <c r="F342" i="59" s="1"/>
  <c r="I29" i="59"/>
  <c r="D98" i="36"/>
  <c r="D322" i="36"/>
  <c r="D126" i="59"/>
  <c r="F174" i="59"/>
  <c r="H174" i="59"/>
  <c r="I32" i="59"/>
  <c r="G242" i="59"/>
  <c r="G241" i="59" s="1"/>
  <c r="G260" i="59" s="1"/>
  <c r="F59" i="59"/>
  <c r="G126" i="59"/>
  <c r="E174" i="59"/>
  <c r="H227" i="59"/>
  <c r="H231" i="59" s="1"/>
  <c r="H233" i="59" s="1"/>
  <c r="H236" i="59" s="1"/>
  <c r="I92" i="59"/>
  <c r="I108" i="59"/>
  <c r="I306" i="59"/>
  <c r="I110" i="59"/>
  <c r="I69" i="59"/>
  <c r="I63" i="59"/>
  <c r="D198" i="36"/>
  <c r="C13" i="53" s="1"/>
  <c r="D59" i="59"/>
  <c r="F126" i="59"/>
  <c r="I121" i="59"/>
  <c r="D108" i="36"/>
  <c r="C108" i="52" s="1"/>
  <c r="D36" i="36"/>
  <c r="C36" i="52" s="1"/>
  <c r="F242" i="59"/>
  <c r="F241" i="59" s="1"/>
  <c r="D227" i="59"/>
  <c r="D231" i="59" s="1"/>
  <c r="D233" i="59" s="1"/>
  <c r="G345" i="59"/>
  <c r="G366" i="59" s="1"/>
  <c r="G236" i="59"/>
  <c r="H323" i="59"/>
  <c r="G174" i="59"/>
  <c r="I12" i="59"/>
  <c r="I173" i="59"/>
  <c r="F227" i="59"/>
  <c r="F231" i="59" s="1"/>
  <c r="F233" i="59" s="1"/>
  <c r="E126" i="59"/>
  <c r="I48" i="59"/>
  <c r="I322" i="59"/>
  <c r="I45" i="59"/>
  <c r="D307" i="59"/>
  <c r="C345" i="59"/>
  <c r="C366" i="59" s="1"/>
  <c r="C236" i="59"/>
  <c r="I382" i="59"/>
  <c r="D382" i="36" s="1"/>
  <c r="D412" i="36" s="1"/>
  <c r="D315" i="36"/>
  <c r="I23" i="59"/>
  <c r="I243" i="59"/>
  <c r="I118" i="59"/>
  <c r="D173" i="36"/>
  <c r="H338" i="59"/>
  <c r="D158" i="36"/>
  <c r="I249" i="59"/>
  <c r="D249" i="36" s="1"/>
  <c r="C64" i="53" s="1"/>
  <c r="G340" i="59"/>
  <c r="G342" i="59" s="1"/>
  <c r="D192" i="36"/>
  <c r="D323" i="59"/>
  <c r="I315" i="59"/>
  <c r="C323" i="59"/>
  <c r="C338" i="59"/>
  <c r="I331" i="59"/>
  <c r="I294" i="59"/>
  <c r="E241" i="59"/>
  <c r="G239" i="59"/>
  <c r="C239" i="59"/>
  <c r="C267" i="59" s="1"/>
  <c r="C271" i="59" s="1"/>
  <c r="C277" i="59" s="1"/>
  <c r="C186" i="59" s="1"/>
  <c r="C187" i="59" s="1"/>
  <c r="C189" i="59" s="1"/>
  <c r="C190" i="59" s="1"/>
  <c r="D259" i="36"/>
  <c r="I262" i="59"/>
  <c r="D242" i="59"/>
  <c r="D174" i="59"/>
  <c r="D103" i="36"/>
  <c r="C103" i="52" s="1"/>
  <c r="D32" i="36"/>
  <c r="C32" i="52" s="1"/>
  <c r="D121" i="36"/>
  <c r="C121" i="52" s="1"/>
  <c r="H126" i="59"/>
  <c r="I103" i="59"/>
  <c r="D76" i="36"/>
  <c r="C76" i="52" s="1"/>
  <c r="D45" i="36"/>
  <c r="C45" i="52" s="1"/>
  <c r="G59" i="59"/>
  <c r="D53" i="36"/>
  <c r="C53" i="52" s="1"/>
  <c r="E59" i="59"/>
  <c r="C59" i="59"/>
  <c r="D42" i="36"/>
  <c r="C42" i="52" s="1"/>
  <c r="I105" i="59"/>
  <c r="C83" i="59"/>
  <c r="I83" i="59" s="1"/>
  <c r="I81" i="59"/>
  <c r="H59" i="59"/>
  <c r="I88" i="59"/>
  <c r="C100" i="59"/>
  <c r="I100" i="59" s="1"/>
  <c r="I98" i="59"/>
  <c r="I86" i="59"/>
  <c r="I382" i="33"/>
  <c r="C382" i="36" s="1"/>
  <c r="C412" i="36" s="1"/>
  <c r="E59" i="69" l="1"/>
  <c r="H45" i="52"/>
  <c r="I45" i="52" s="1"/>
  <c r="G45" i="52"/>
  <c r="I85" i="52"/>
  <c r="H66" i="52"/>
  <c r="I66" i="52" s="1"/>
  <c r="G66" i="52"/>
  <c r="H167" i="52"/>
  <c r="I167" i="52" s="1"/>
  <c r="G167" i="52"/>
  <c r="H155" i="52"/>
  <c r="I155" i="52" s="1"/>
  <c r="G155" i="52"/>
  <c r="D391" i="36"/>
  <c r="C73" i="73"/>
  <c r="C69" i="73"/>
  <c r="C72" i="73"/>
  <c r="E72" i="73" s="1"/>
  <c r="I72" i="73" s="1"/>
  <c r="C173" i="52"/>
  <c r="D71" i="73"/>
  <c r="D262" i="36"/>
  <c r="C77" i="53" s="1"/>
  <c r="C74" i="53"/>
  <c r="H29" i="52"/>
  <c r="I29" i="52" s="1"/>
  <c r="G29" i="52"/>
  <c r="H70" i="52"/>
  <c r="I70" i="52" s="1"/>
  <c r="G70" i="52"/>
  <c r="I150" i="52"/>
  <c r="I43" i="53"/>
  <c r="I84" i="52"/>
  <c r="I41" i="52"/>
  <c r="D83" i="36"/>
  <c r="C83" i="52" s="1"/>
  <c r="C81" i="52"/>
  <c r="H165" i="52"/>
  <c r="I165" i="52" s="1"/>
  <c r="G165" i="52"/>
  <c r="I148" i="52"/>
  <c r="H118" i="52"/>
  <c r="I118" i="52" s="1"/>
  <c r="G118" i="52"/>
  <c r="F127" i="59"/>
  <c r="G143" i="52"/>
  <c r="H143" i="52"/>
  <c r="I143" i="52" s="1"/>
  <c r="H56" i="52"/>
  <c r="I56" i="52" s="1"/>
  <c r="G56" i="52"/>
  <c r="H26" i="53"/>
  <c r="I26" i="53" s="1"/>
  <c r="G26" i="53"/>
  <c r="H36" i="52"/>
  <c r="I36" i="52" s="1"/>
  <c r="G36" i="52"/>
  <c r="H116" i="52"/>
  <c r="I116" i="52" s="1"/>
  <c r="G116" i="52"/>
  <c r="I34" i="53"/>
  <c r="G121" i="52"/>
  <c r="H121" i="52"/>
  <c r="I121" i="52" s="1"/>
  <c r="I89" i="53"/>
  <c r="H168" i="52"/>
  <c r="I168" i="52" s="1"/>
  <c r="G168" i="52"/>
  <c r="G171" i="52"/>
  <c r="H171" i="52"/>
  <c r="I171" i="52" s="1"/>
  <c r="I50" i="52"/>
  <c r="H57" i="52"/>
  <c r="I57" i="52" s="1"/>
  <c r="G57" i="52"/>
  <c r="H24" i="53"/>
  <c r="I24" i="53" s="1"/>
  <c r="G24" i="53"/>
  <c r="H108" i="52"/>
  <c r="I108" i="52" s="1"/>
  <c r="G108" i="52"/>
  <c r="I151" i="52"/>
  <c r="I29" i="53"/>
  <c r="I90" i="53"/>
  <c r="H32" i="52"/>
  <c r="I32" i="52" s="1"/>
  <c r="G32" i="52"/>
  <c r="E260" i="59"/>
  <c r="D100" i="36"/>
  <c r="C100" i="52" s="1"/>
  <c r="C98" i="52"/>
  <c r="E21" i="69"/>
  <c r="C8" i="69" s="1"/>
  <c r="H135" i="52"/>
  <c r="I135" i="52" s="1"/>
  <c r="G135" i="52"/>
  <c r="G170" i="52"/>
  <c r="H170" i="52"/>
  <c r="I170" i="52" s="1"/>
  <c r="G51" i="52"/>
  <c r="H51" i="52"/>
  <c r="I51" i="52" s="1"/>
  <c r="H53" i="52"/>
  <c r="I53" i="52" s="1"/>
  <c r="G53" i="52"/>
  <c r="G103" i="52"/>
  <c r="H103" i="52"/>
  <c r="I103" i="52" s="1"/>
  <c r="H64" i="53"/>
  <c r="I64" i="53" s="1"/>
  <c r="G64" i="53"/>
  <c r="E7" i="73"/>
  <c r="I7" i="73" s="1"/>
  <c r="H21" i="52"/>
  <c r="I21" i="52" s="1"/>
  <c r="G21" i="52"/>
  <c r="H138" i="52"/>
  <c r="I138" i="52" s="1"/>
  <c r="G138" i="52"/>
  <c r="H156" i="52"/>
  <c r="I156" i="52" s="1"/>
  <c r="G156" i="52"/>
  <c r="G46" i="52"/>
  <c r="H46" i="52"/>
  <c r="I46" i="52" s="1"/>
  <c r="G25" i="52"/>
  <c r="H25" i="52"/>
  <c r="I25" i="52" s="1"/>
  <c r="G27" i="53"/>
  <c r="H27" i="53"/>
  <c r="I27" i="53" s="1"/>
  <c r="G25" i="53"/>
  <c r="H25" i="53" s="1"/>
  <c r="I25" i="53" s="1"/>
  <c r="D19" i="73"/>
  <c r="E19" i="73" s="1"/>
  <c r="I19" i="73" s="1"/>
  <c r="I18" i="73"/>
  <c r="G13" i="53"/>
  <c r="H13" i="53"/>
  <c r="I13" i="53" s="1"/>
  <c r="G14" i="53"/>
  <c r="H14" i="53"/>
  <c r="I14" i="53" s="1"/>
  <c r="D403" i="36"/>
  <c r="C7" i="53"/>
  <c r="G8" i="53"/>
  <c r="H8" i="53" s="1"/>
  <c r="I8" i="53" s="1"/>
  <c r="D8" i="53"/>
  <c r="K8" i="53" s="1"/>
  <c r="L8" i="53" s="1"/>
  <c r="I62" i="73"/>
  <c r="G180" i="52"/>
  <c r="H180" i="52" s="1"/>
  <c r="I180" i="52" s="1"/>
  <c r="G176" i="52"/>
  <c r="H176" i="52" s="1"/>
  <c r="I176" i="52" s="1"/>
  <c r="G149" i="52"/>
  <c r="H149" i="52" s="1"/>
  <c r="I149" i="52" s="1"/>
  <c r="G147" i="52"/>
  <c r="H147" i="52" s="1"/>
  <c r="I147" i="52" s="1"/>
  <c r="G136" i="52"/>
  <c r="H136" i="52" s="1"/>
  <c r="I136" i="52" s="1"/>
  <c r="D390" i="36"/>
  <c r="D66" i="73"/>
  <c r="C158" i="52"/>
  <c r="D26" i="73"/>
  <c r="D65" i="73"/>
  <c r="D25" i="73"/>
  <c r="I62" i="70"/>
  <c r="I75" i="70" s="1"/>
  <c r="C61" i="70" s="1"/>
  <c r="G75" i="70"/>
  <c r="H137" i="52"/>
  <c r="I137" i="52" s="1"/>
  <c r="G137" i="52"/>
  <c r="H123" i="52"/>
  <c r="I123" i="52" s="1"/>
  <c r="G123" i="52"/>
  <c r="G76" i="52"/>
  <c r="H76" i="52" s="1"/>
  <c r="I76" i="52" s="1"/>
  <c r="H58" i="52"/>
  <c r="G58" i="52"/>
  <c r="G42" i="52"/>
  <c r="H42" i="52" s="1"/>
  <c r="I42" i="52" s="1"/>
  <c r="H40" i="52"/>
  <c r="I40" i="52" s="1"/>
  <c r="G40" i="52"/>
  <c r="G37" i="52"/>
  <c r="H37" i="52"/>
  <c r="I37" i="52" s="1"/>
  <c r="G24" i="52"/>
  <c r="H24" i="52"/>
  <c r="I24" i="52" s="1"/>
  <c r="G18" i="52"/>
  <c r="H18" i="52" s="1"/>
  <c r="I18" i="52" s="1"/>
  <c r="I50" i="70"/>
  <c r="I59" i="70" s="1"/>
  <c r="G59" i="70"/>
  <c r="G21" i="73"/>
  <c r="H21" i="73" s="1"/>
  <c r="I21" i="73" s="1"/>
  <c r="I20" i="73"/>
  <c r="G15" i="52"/>
  <c r="H15" i="52"/>
  <c r="I15" i="52" s="1"/>
  <c r="I22" i="73"/>
  <c r="G23" i="73"/>
  <c r="H23" i="73" s="1"/>
  <c r="I23" i="73" s="1"/>
  <c r="D404" i="36"/>
  <c r="D227" i="36"/>
  <c r="E345" i="59"/>
  <c r="E366" i="59" s="1"/>
  <c r="E239" i="59"/>
  <c r="E267" i="59" s="1"/>
  <c r="E271" i="59" s="1"/>
  <c r="E277" i="59" s="1"/>
  <c r="E186" i="59" s="1"/>
  <c r="E187" i="59" s="1"/>
  <c r="E189" i="59" s="1"/>
  <c r="E190" i="59" s="1"/>
  <c r="I307" i="59"/>
  <c r="H345" i="59"/>
  <c r="H366" i="59" s="1"/>
  <c r="H260" i="59"/>
  <c r="I242" i="59"/>
  <c r="I241" i="59" s="1"/>
  <c r="I338" i="59"/>
  <c r="D127" i="59"/>
  <c r="H340" i="59"/>
  <c r="H342" i="59" s="1"/>
  <c r="E127" i="59"/>
  <c r="D174" i="36"/>
  <c r="H239" i="59"/>
  <c r="H261" i="59" s="1"/>
  <c r="G127" i="59"/>
  <c r="D243" i="36"/>
  <c r="C58" i="53" s="1"/>
  <c r="I323" i="59"/>
  <c r="F260" i="59"/>
  <c r="H127" i="59"/>
  <c r="D345" i="59"/>
  <c r="D236" i="59"/>
  <c r="D239" i="59"/>
  <c r="D267" i="59" s="1"/>
  <c r="D271" i="59" s="1"/>
  <c r="D277" i="59" s="1"/>
  <c r="F345" i="59"/>
  <c r="F366" i="59" s="1"/>
  <c r="F236" i="59"/>
  <c r="F239" i="59"/>
  <c r="F267" i="59" s="1"/>
  <c r="F271" i="59" s="1"/>
  <c r="F277" i="59" s="1"/>
  <c r="F186" i="59" s="1"/>
  <c r="F187" i="59" s="1"/>
  <c r="F189" i="59" s="1"/>
  <c r="F190" i="59" s="1"/>
  <c r="D340" i="59"/>
  <c r="D342" i="59" s="1"/>
  <c r="C340" i="59"/>
  <c r="C342" i="59" s="1"/>
  <c r="D241" i="59"/>
  <c r="D260" i="59" s="1"/>
  <c r="G267" i="59"/>
  <c r="G271" i="59" s="1"/>
  <c r="G277" i="59" s="1"/>
  <c r="G186" i="59" s="1"/>
  <c r="G187" i="59" s="1"/>
  <c r="G189" i="59" s="1"/>
  <c r="G190" i="59" s="1"/>
  <c r="G261" i="59"/>
  <c r="C261" i="59"/>
  <c r="C126" i="59"/>
  <c r="H173" i="52" l="1"/>
  <c r="I173" i="52" s="1"/>
  <c r="G173" i="52"/>
  <c r="I58" i="52"/>
  <c r="H100" i="52"/>
  <c r="I100" i="52" s="1"/>
  <c r="G100" i="52"/>
  <c r="G77" i="53"/>
  <c r="H77" i="53"/>
  <c r="I77" i="53" s="1"/>
  <c r="H98" i="52"/>
  <c r="I98" i="52" s="1"/>
  <c r="G98" i="52"/>
  <c r="H81" i="52"/>
  <c r="I81" i="52" s="1"/>
  <c r="G81" i="52"/>
  <c r="E261" i="59"/>
  <c r="H83" i="52"/>
  <c r="I83" i="52" s="1"/>
  <c r="G83" i="52"/>
  <c r="G58" i="53"/>
  <c r="H58" i="53"/>
  <c r="I58" i="53" s="1"/>
  <c r="G74" i="53"/>
  <c r="H74" i="53"/>
  <c r="I74" i="53" s="1"/>
  <c r="D231" i="36"/>
  <c r="C42" i="53"/>
  <c r="C9" i="73"/>
  <c r="E9" i="73" s="1"/>
  <c r="I9" i="73" s="1"/>
  <c r="D16" i="53"/>
  <c r="K16" i="53" s="1"/>
  <c r="L16" i="53" s="1"/>
  <c r="D24" i="53"/>
  <c r="K24" i="53" s="1"/>
  <c r="L24" i="53" s="1"/>
  <c r="D32" i="53"/>
  <c r="K32" i="53" s="1"/>
  <c r="L32" i="53" s="1"/>
  <c r="D40" i="53"/>
  <c r="K40" i="53" s="1"/>
  <c r="L40" i="53" s="1"/>
  <c r="D58" i="53"/>
  <c r="K58" i="53" s="1"/>
  <c r="L58" i="53" s="1"/>
  <c r="D66" i="53"/>
  <c r="K66" i="53" s="1"/>
  <c r="L66" i="53" s="1"/>
  <c r="D74" i="53"/>
  <c r="K74" i="53" s="1"/>
  <c r="L74" i="53" s="1"/>
  <c r="D90" i="53"/>
  <c r="K90" i="53" s="1"/>
  <c r="L90" i="53" s="1"/>
  <c r="D15" i="53"/>
  <c r="K15" i="53" s="1"/>
  <c r="L15" i="53" s="1"/>
  <c r="D65" i="53"/>
  <c r="K65" i="53" s="1"/>
  <c r="L65" i="53" s="1"/>
  <c r="D9" i="53"/>
  <c r="K9" i="53" s="1"/>
  <c r="L9" i="53" s="1"/>
  <c r="D17" i="53"/>
  <c r="K17" i="53" s="1"/>
  <c r="L17" i="53" s="1"/>
  <c r="D25" i="53"/>
  <c r="K25" i="53" s="1"/>
  <c r="L25" i="53" s="1"/>
  <c r="D33" i="53"/>
  <c r="K33" i="53" s="1"/>
  <c r="L33" i="53" s="1"/>
  <c r="D41" i="53"/>
  <c r="K41" i="53" s="1"/>
  <c r="L41" i="53" s="1"/>
  <c r="D59" i="53"/>
  <c r="K59" i="53" s="1"/>
  <c r="L59" i="53" s="1"/>
  <c r="D67" i="53"/>
  <c r="K67" i="53" s="1"/>
  <c r="L67" i="53" s="1"/>
  <c r="D83" i="53"/>
  <c r="K83" i="53" s="1"/>
  <c r="L83" i="53" s="1"/>
  <c r="D91" i="53"/>
  <c r="K91" i="53" s="1"/>
  <c r="L91" i="53" s="1"/>
  <c r="D81" i="53"/>
  <c r="K81" i="53" s="1"/>
  <c r="L81" i="53" s="1"/>
  <c r="D10" i="53"/>
  <c r="K10" i="53" s="1"/>
  <c r="L10" i="53" s="1"/>
  <c r="D18" i="53"/>
  <c r="K18" i="53" s="1"/>
  <c r="L18" i="53" s="1"/>
  <c r="D26" i="53"/>
  <c r="K26" i="53" s="1"/>
  <c r="L26" i="53" s="1"/>
  <c r="D34" i="53"/>
  <c r="K34" i="53" s="1"/>
  <c r="L34" i="53" s="1"/>
  <c r="D60" i="53"/>
  <c r="K60" i="53" s="1"/>
  <c r="L60" i="53" s="1"/>
  <c r="D68" i="53"/>
  <c r="K68" i="53" s="1"/>
  <c r="L68" i="53" s="1"/>
  <c r="D84" i="53"/>
  <c r="K84" i="53" s="1"/>
  <c r="L84" i="53" s="1"/>
  <c r="D47" i="53"/>
  <c r="K47" i="53" s="1"/>
  <c r="L47" i="53" s="1"/>
  <c r="D89" i="53"/>
  <c r="K89" i="53" s="1"/>
  <c r="L89" i="53" s="1"/>
  <c r="D11" i="53"/>
  <c r="K11" i="53" s="1"/>
  <c r="L11" i="53" s="1"/>
  <c r="D19" i="53"/>
  <c r="K19" i="53" s="1"/>
  <c r="L19" i="53" s="1"/>
  <c r="D27" i="53"/>
  <c r="K27" i="53" s="1"/>
  <c r="L27" i="53" s="1"/>
  <c r="D35" i="53"/>
  <c r="K35" i="53" s="1"/>
  <c r="L35" i="53" s="1"/>
  <c r="D43" i="53"/>
  <c r="K43" i="53" s="1"/>
  <c r="L43" i="53" s="1"/>
  <c r="D52" i="53"/>
  <c r="K52" i="53" s="1"/>
  <c r="L52" i="53" s="1"/>
  <c r="D61" i="53"/>
  <c r="K61" i="53" s="1"/>
  <c r="L61" i="53" s="1"/>
  <c r="D69" i="53"/>
  <c r="K69" i="53" s="1"/>
  <c r="L69" i="53" s="1"/>
  <c r="D77" i="53"/>
  <c r="K77" i="53" s="1"/>
  <c r="L77" i="53" s="1"/>
  <c r="D85" i="53"/>
  <c r="K85" i="53" s="1"/>
  <c r="L85" i="53" s="1"/>
  <c r="D23" i="53"/>
  <c r="K23" i="53" s="1"/>
  <c r="L23" i="53" s="1"/>
  <c r="D12" i="53"/>
  <c r="K12" i="53" s="1"/>
  <c r="L12" i="53" s="1"/>
  <c r="D20" i="53"/>
  <c r="K20" i="53" s="1"/>
  <c r="L20" i="53" s="1"/>
  <c r="D28" i="53"/>
  <c r="K28" i="53" s="1"/>
  <c r="L28" i="53" s="1"/>
  <c r="D36" i="53"/>
  <c r="K36" i="53" s="1"/>
  <c r="L36" i="53" s="1"/>
  <c r="D44" i="53"/>
  <c r="K44" i="53" s="1"/>
  <c r="L44" i="53" s="1"/>
  <c r="D62" i="53"/>
  <c r="K62" i="53" s="1"/>
  <c r="L62" i="53" s="1"/>
  <c r="D70" i="53"/>
  <c r="K70" i="53" s="1"/>
  <c r="L70" i="53" s="1"/>
  <c r="D78" i="53"/>
  <c r="K78" i="53" s="1"/>
  <c r="L78" i="53" s="1"/>
  <c r="D39" i="53"/>
  <c r="K39" i="53" s="1"/>
  <c r="L39" i="53" s="1"/>
  <c r="G7" i="53"/>
  <c r="H7" i="53" s="1"/>
  <c r="I7" i="53" s="1"/>
  <c r="D13" i="53"/>
  <c r="K13" i="53" s="1"/>
  <c r="L13" i="53" s="1"/>
  <c r="D21" i="53"/>
  <c r="K21" i="53" s="1"/>
  <c r="L21" i="53" s="1"/>
  <c r="D29" i="53"/>
  <c r="K29" i="53" s="1"/>
  <c r="L29" i="53" s="1"/>
  <c r="D37" i="53"/>
  <c r="K37" i="53" s="1"/>
  <c r="L37" i="53" s="1"/>
  <c r="D45" i="53"/>
  <c r="K45" i="53" s="1"/>
  <c r="L45" i="53" s="1"/>
  <c r="D55" i="53"/>
  <c r="K55" i="53" s="1"/>
  <c r="L55" i="53" s="1"/>
  <c r="D63" i="53"/>
  <c r="K63" i="53" s="1"/>
  <c r="L63" i="53" s="1"/>
  <c r="D71" i="53"/>
  <c r="K71" i="53" s="1"/>
  <c r="L71" i="53" s="1"/>
  <c r="D79" i="53"/>
  <c r="K79" i="53" s="1"/>
  <c r="L79" i="53" s="1"/>
  <c r="D87" i="53"/>
  <c r="K87" i="53" s="1"/>
  <c r="L87" i="53" s="1"/>
  <c r="D14" i="53"/>
  <c r="K14" i="53" s="1"/>
  <c r="L14" i="53" s="1"/>
  <c r="D22" i="53"/>
  <c r="K22" i="53" s="1"/>
  <c r="L22" i="53" s="1"/>
  <c r="D30" i="53"/>
  <c r="K30" i="53" s="1"/>
  <c r="L30" i="53" s="1"/>
  <c r="D38" i="53"/>
  <c r="K38" i="53" s="1"/>
  <c r="L38" i="53" s="1"/>
  <c r="D64" i="53"/>
  <c r="K64" i="53" s="1"/>
  <c r="L64" i="53" s="1"/>
  <c r="D72" i="53"/>
  <c r="K72" i="53" s="1"/>
  <c r="L72" i="53" s="1"/>
  <c r="D80" i="53"/>
  <c r="K80" i="53" s="1"/>
  <c r="L80" i="53" s="1"/>
  <c r="D88" i="53"/>
  <c r="K88" i="53" s="1"/>
  <c r="L88" i="53" s="1"/>
  <c r="D31" i="53"/>
  <c r="K31" i="53" s="1"/>
  <c r="L31" i="53" s="1"/>
  <c r="D73" i="53"/>
  <c r="K73" i="53" s="1"/>
  <c r="L73" i="53" s="1"/>
  <c r="G158" i="52"/>
  <c r="H158" i="52" s="1"/>
  <c r="I158" i="52" s="1"/>
  <c r="D392" i="36"/>
  <c r="C68" i="73"/>
  <c r="C28" i="73"/>
  <c r="C174" i="52"/>
  <c r="D70" i="73"/>
  <c r="D397" i="36"/>
  <c r="F261" i="59"/>
  <c r="H267" i="59"/>
  <c r="H271" i="59" s="1"/>
  <c r="H277" i="59" s="1"/>
  <c r="H186" i="59" s="1"/>
  <c r="H187" i="59" s="1"/>
  <c r="H189" i="59" s="1"/>
  <c r="H190" i="59" s="1"/>
  <c r="I342" i="59"/>
  <c r="D261" i="59"/>
  <c r="I340" i="59"/>
  <c r="D366" i="59"/>
  <c r="I345" i="59"/>
  <c r="D186" i="59"/>
  <c r="C127" i="59"/>
  <c r="D42" i="53" l="1"/>
  <c r="K42" i="53" s="1"/>
  <c r="L42" i="53" s="1"/>
  <c r="G42" i="53"/>
  <c r="H42" i="53" s="1"/>
  <c r="I42" i="53" s="1"/>
  <c r="D398" i="36"/>
  <c r="C46" i="53"/>
  <c r="G174" i="52"/>
  <c r="H174" i="52" s="1"/>
  <c r="I174" i="52" s="1"/>
  <c r="I366" i="59"/>
  <c r="D345" i="36"/>
  <c r="D366" i="36" s="1"/>
  <c r="D411" i="36" s="1"/>
  <c r="D187" i="59"/>
  <c r="D186" i="36"/>
  <c r="G46" i="53" l="1"/>
  <c r="H46" i="53"/>
  <c r="I46" i="53" s="1"/>
  <c r="D46" i="53"/>
  <c r="K46" i="53" s="1"/>
  <c r="L46" i="53" s="1"/>
  <c r="D187" i="36"/>
  <c r="G54" i="73" s="1"/>
  <c r="H54" i="73" s="1"/>
  <c r="C186" i="52"/>
  <c r="C83" i="73"/>
  <c r="E83" i="73" s="1"/>
  <c r="I83" i="73" s="1"/>
  <c r="C187" i="52"/>
  <c r="D189" i="36"/>
  <c r="D189" i="59"/>
  <c r="D393" i="36" l="1"/>
  <c r="D73" i="73"/>
  <c r="E73" i="73" s="1"/>
  <c r="I73" i="73" s="1"/>
  <c r="G186" i="52"/>
  <c r="H186" i="52"/>
  <c r="I186" i="52" s="1"/>
  <c r="G187" i="52"/>
  <c r="H187" i="52"/>
  <c r="I187" i="52" s="1"/>
  <c r="D69" i="73"/>
  <c r="E69" i="73" s="1"/>
  <c r="I69" i="73" s="1"/>
  <c r="C189" i="52"/>
  <c r="G85" i="73"/>
  <c r="H85" i="73" s="1"/>
  <c r="D68" i="73"/>
  <c r="E68" i="73" s="1"/>
  <c r="I68" i="73" s="1"/>
  <c r="C85" i="73"/>
  <c r="E85" i="73" s="1"/>
  <c r="D190" i="36"/>
  <c r="D394" i="36"/>
  <c r="D190" i="59"/>
  <c r="G189" i="52" l="1"/>
  <c r="H189" i="52"/>
  <c r="I189" i="52" s="1"/>
  <c r="I85" i="73"/>
  <c r="D395" i="36"/>
  <c r="C190" i="52"/>
  <c r="G190" i="52" l="1"/>
  <c r="H190" i="52" s="1"/>
  <c r="I190" i="52" s="1"/>
  <c r="C251" i="33"/>
  <c r="D251" i="33"/>
  <c r="E251" i="33"/>
  <c r="F251" i="33"/>
  <c r="G251" i="33"/>
  <c r="H251" i="33"/>
  <c r="C252" i="33"/>
  <c r="D252" i="33"/>
  <c r="E252" i="33"/>
  <c r="F252" i="33"/>
  <c r="G252" i="33"/>
  <c r="H252" i="33"/>
  <c r="C253" i="33"/>
  <c r="D253" i="33"/>
  <c r="E253" i="33"/>
  <c r="F253" i="33"/>
  <c r="G253" i="33"/>
  <c r="H253" i="33"/>
  <c r="C254" i="33"/>
  <c r="D254" i="33"/>
  <c r="E254" i="33"/>
  <c r="F254" i="33"/>
  <c r="G254" i="33"/>
  <c r="H254" i="33"/>
  <c r="C255" i="33"/>
  <c r="D255" i="33"/>
  <c r="E255" i="33"/>
  <c r="F255" i="33"/>
  <c r="G255" i="33"/>
  <c r="H255" i="33"/>
  <c r="C256" i="33"/>
  <c r="D256" i="33"/>
  <c r="E256" i="33"/>
  <c r="F256" i="33"/>
  <c r="G256" i="33"/>
  <c r="H256" i="33"/>
  <c r="C257" i="33"/>
  <c r="D257" i="33"/>
  <c r="E257" i="33"/>
  <c r="F257" i="33"/>
  <c r="G257" i="33"/>
  <c r="H257" i="33"/>
  <c r="H250" i="33"/>
  <c r="G250" i="33"/>
  <c r="F250" i="33"/>
  <c r="E250" i="33"/>
  <c r="D250" i="33"/>
  <c r="C250" i="33"/>
  <c r="C245" i="33"/>
  <c r="D245" i="33"/>
  <c r="E245" i="33"/>
  <c r="F245" i="33"/>
  <c r="G245" i="33"/>
  <c r="H245" i="33"/>
  <c r="C246" i="33"/>
  <c r="D246" i="33"/>
  <c r="E246" i="33"/>
  <c r="F246" i="33"/>
  <c r="G246" i="33"/>
  <c r="H246" i="33"/>
  <c r="C247" i="33"/>
  <c r="D247" i="33"/>
  <c r="E247" i="33"/>
  <c r="F247" i="33"/>
  <c r="G247" i="33"/>
  <c r="H247" i="33"/>
  <c r="J112" i="32"/>
  <c r="R243" i="32"/>
  <c r="R244" i="32"/>
  <c r="C269" i="33"/>
  <c r="D269" i="33"/>
  <c r="E269" i="33"/>
  <c r="F269" i="33"/>
  <c r="G269" i="33"/>
  <c r="H269" i="33"/>
  <c r="C270" i="33"/>
  <c r="D270" i="33"/>
  <c r="E270" i="33"/>
  <c r="F270" i="33"/>
  <c r="G270" i="33"/>
  <c r="H270" i="33"/>
  <c r="H268" i="33"/>
  <c r="G268" i="33"/>
  <c r="F268" i="33"/>
  <c r="E268" i="33"/>
  <c r="D268" i="33"/>
  <c r="C268" i="33"/>
  <c r="C266" i="33"/>
  <c r="D266" i="33"/>
  <c r="H266" i="33"/>
  <c r="G266" i="33"/>
  <c r="F266" i="33"/>
  <c r="E266" i="33"/>
  <c r="L146" i="33"/>
  <c r="C144" i="33"/>
  <c r="C219" i="33"/>
  <c r="D219" i="33"/>
  <c r="E219" i="33"/>
  <c r="F219" i="33"/>
  <c r="G219" i="33"/>
  <c r="H219" i="33"/>
  <c r="D144" i="33"/>
  <c r="E144" i="33"/>
  <c r="F144" i="33"/>
  <c r="G144" i="33"/>
  <c r="H144" i="33"/>
  <c r="C145" i="33"/>
  <c r="D145" i="33"/>
  <c r="E145" i="33"/>
  <c r="F145" i="33"/>
  <c r="G145" i="33"/>
  <c r="H145" i="33"/>
  <c r="R265" i="32"/>
  <c r="G14" i="4"/>
  <c r="C351" i="33" l="1"/>
  <c r="D351" i="33"/>
  <c r="E351" i="33"/>
  <c r="F351" i="33"/>
  <c r="G351" i="33"/>
  <c r="H351" i="33"/>
  <c r="C352" i="33"/>
  <c r="D352" i="33"/>
  <c r="E352" i="33"/>
  <c r="F352" i="33"/>
  <c r="G352" i="33"/>
  <c r="H352" i="33"/>
  <c r="C353" i="33"/>
  <c r="D353" i="33"/>
  <c r="E353" i="33"/>
  <c r="F353" i="33"/>
  <c r="G353" i="33"/>
  <c r="H353" i="33"/>
  <c r="C354" i="33"/>
  <c r="D354" i="33"/>
  <c r="E354" i="33"/>
  <c r="F354" i="33"/>
  <c r="G354" i="33"/>
  <c r="H354" i="33"/>
  <c r="C355" i="33"/>
  <c r="D355" i="33"/>
  <c r="E355" i="33"/>
  <c r="F355" i="33"/>
  <c r="G355" i="33"/>
  <c r="H355" i="33"/>
  <c r="C356" i="33"/>
  <c r="D356" i="33"/>
  <c r="E356" i="33"/>
  <c r="F356" i="33"/>
  <c r="G356" i="33"/>
  <c r="H356" i="33"/>
  <c r="C357" i="33"/>
  <c r="D357" i="33"/>
  <c r="E357" i="33"/>
  <c r="F357" i="33"/>
  <c r="G357" i="33"/>
  <c r="H357" i="33"/>
  <c r="C358" i="33"/>
  <c r="D358" i="33"/>
  <c r="E358" i="33"/>
  <c r="F358" i="33"/>
  <c r="G358" i="33"/>
  <c r="H358" i="33"/>
  <c r="C359" i="33"/>
  <c r="D359" i="33"/>
  <c r="E359" i="33"/>
  <c r="F359" i="33"/>
  <c r="G359" i="33"/>
  <c r="H359" i="33"/>
  <c r="C360" i="33"/>
  <c r="D360" i="33"/>
  <c r="E360" i="33"/>
  <c r="F360" i="33"/>
  <c r="G360" i="33"/>
  <c r="H360" i="33"/>
  <c r="C361" i="33"/>
  <c r="D361" i="33"/>
  <c r="E361" i="33"/>
  <c r="F361" i="33"/>
  <c r="G361" i="33"/>
  <c r="H361" i="33"/>
  <c r="C362" i="33"/>
  <c r="D362" i="33"/>
  <c r="E362" i="33"/>
  <c r="F362" i="33"/>
  <c r="G362" i="33"/>
  <c r="H362" i="33"/>
  <c r="C363" i="33"/>
  <c r="D363" i="33"/>
  <c r="E363" i="33"/>
  <c r="F363" i="33"/>
  <c r="G363" i="33"/>
  <c r="H363" i="33"/>
  <c r="H350" i="33"/>
  <c r="G350" i="33"/>
  <c r="F350" i="33"/>
  <c r="E350" i="33"/>
  <c r="D350" i="33"/>
  <c r="C350" i="33"/>
  <c r="I357" i="33" l="1"/>
  <c r="I353" i="33"/>
  <c r="I361" i="33"/>
  <c r="I350" i="33"/>
  <c r="I364" i="33"/>
  <c r="C364" i="36" s="1"/>
  <c r="I360" i="33"/>
  <c r="I356" i="33"/>
  <c r="I352" i="33"/>
  <c r="I362" i="33"/>
  <c r="I358" i="33"/>
  <c r="I354" i="33"/>
  <c r="I363" i="33"/>
  <c r="I359" i="33"/>
  <c r="I355" i="33"/>
  <c r="I351" i="33"/>
  <c r="I314" i="33"/>
  <c r="H341" i="33"/>
  <c r="G341" i="33"/>
  <c r="F341" i="33"/>
  <c r="E341" i="33"/>
  <c r="D341" i="33"/>
  <c r="C341" i="33"/>
  <c r="H339" i="33"/>
  <c r="G339" i="33"/>
  <c r="F339" i="33"/>
  <c r="E339" i="33"/>
  <c r="D339" i="33"/>
  <c r="C339" i="33"/>
  <c r="H335" i="33"/>
  <c r="G335" i="33"/>
  <c r="F335" i="33"/>
  <c r="E335" i="33"/>
  <c r="D335" i="33"/>
  <c r="C335" i="33"/>
  <c r="H334" i="33"/>
  <c r="G334" i="33"/>
  <c r="F334" i="33"/>
  <c r="E334" i="33"/>
  <c r="D334" i="33"/>
  <c r="C334" i="33"/>
  <c r="H333" i="33"/>
  <c r="G333" i="33"/>
  <c r="F333" i="33"/>
  <c r="E333" i="33"/>
  <c r="D333" i="33"/>
  <c r="C333" i="33"/>
  <c r="H332" i="33"/>
  <c r="G332" i="33"/>
  <c r="F332" i="33"/>
  <c r="E332" i="33"/>
  <c r="D332" i="33"/>
  <c r="C332" i="33"/>
  <c r="C326" i="33"/>
  <c r="D326" i="33"/>
  <c r="E326" i="33"/>
  <c r="F326" i="33"/>
  <c r="G326" i="33"/>
  <c r="H326" i="33"/>
  <c r="C327" i="33"/>
  <c r="D327" i="33"/>
  <c r="E327" i="33"/>
  <c r="F327" i="33"/>
  <c r="G327" i="33"/>
  <c r="H327" i="33"/>
  <c r="C328" i="33"/>
  <c r="D328" i="33"/>
  <c r="E328" i="33"/>
  <c r="F328" i="33"/>
  <c r="G328" i="33"/>
  <c r="H328" i="33"/>
  <c r="C329" i="33"/>
  <c r="D329" i="33"/>
  <c r="E329" i="33"/>
  <c r="F329" i="33"/>
  <c r="G329" i="33"/>
  <c r="H329" i="33"/>
  <c r="H325" i="33"/>
  <c r="G325" i="33"/>
  <c r="F325" i="33"/>
  <c r="E325" i="33"/>
  <c r="D325" i="33"/>
  <c r="C325" i="33"/>
  <c r="H320" i="33"/>
  <c r="G320" i="33"/>
  <c r="F320" i="33"/>
  <c r="E320" i="33"/>
  <c r="D320" i="33"/>
  <c r="C320" i="33"/>
  <c r="H319" i="33"/>
  <c r="G319" i="33"/>
  <c r="F319" i="33"/>
  <c r="E319" i="33"/>
  <c r="D319" i="33"/>
  <c r="C319" i="33"/>
  <c r="H318" i="33"/>
  <c r="G318" i="33"/>
  <c r="F318" i="33"/>
  <c r="E318" i="33"/>
  <c r="D318" i="33"/>
  <c r="C318" i="33"/>
  <c r="H317" i="33"/>
  <c r="G317" i="33"/>
  <c r="F317" i="33"/>
  <c r="E317" i="33"/>
  <c r="D317" i="33"/>
  <c r="C317" i="33"/>
  <c r="H316" i="33"/>
  <c r="G316" i="33"/>
  <c r="F316" i="33"/>
  <c r="E316" i="33"/>
  <c r="D316" i="33"/>
  <c r="C316" i="33"/>
  <c r="C310" i="33"/>
  <c r="D310" i="33"/>
  <c r="E310" i="33"/>
  <c r="F310" i="33"/>
  <c r="G310" i="33"/>
  <c r="H310" i="33"/>
  <c r="C311" i="33"/>
  <c r="D311" i="33"/>
  <c r="E311" i="33"/>
  <c r="F311" i="33"/>
  <c r="G311" i="33"/>
  <c r="H311" i="33"/>
  <c r="C312" i="33"/>
  <c r="D312" i="33"/>
  <c r="E312" i="33"/>
  <c r="F312" i="33"/>
  <c r="G312" i="33"/>
  <c r="H312" i="33"/>
  <c r="C313" i="33"/>
  <c r="D313" i="33"/>
  <c r="E313" i="33"/>
  <c r="F313" i="33"/>
  <c r="G313" i="33"/>
  <c r="H313" i="33"/>
  <c r="H309" i="33"/>
  <c r="G309" i="33"/>
  <c r="F309" i="33"/>
  <c r="E309" i="33"/>
  <c r="D309" i="33"/>
  <c r="C309" i="33"/>
  <c r="H304" i="33"/>
  <c r="G304" i="33"/>
  <c r="F304" i="33"/>
  <c r="E304" i="33"/>
  <c r="D304" i="33"/>
  <c r="C304" i="33"/>
  <c r="H303" i="33"/>
  <c r="G303" i="33"/>
  <c r="F303" i="33"/>
  <c r="E303" i="33"/>
  <c r="D303" i="33"/>
  <c r="C303" i="33"/>
  <c r="H302" i="33"/>
  <c r="G302" i="33"/>
  <c r="F302" i="33"/>
  <c r="E302" i="33"/>
  <c r="D302" i="33"/>
  <c r="C302" i="33"/>
  <c r="H301" i="33"/>
  <c r="G301" i="33"/>
  <c r="F301" i="33"/>
  <c r="E301" i="33"/>
  <c r="D301" i="33"/>
  <c r="C301" i="33"/>
  <c r="H300" i="33"/>
  <c r="G300" i="33"/>
  <c r="F300" i="33"/>
  <c r="E300" i="33"/>
  <c r="D300" i="33"/>
  <c r="C300" i="33"/>
  <c r="H299" i="33"/>
  <c r="G299" i="33"/>
  <c r="F299" i="33"/>
  <c r="E299" i="33"/>
  <c r="D299" i="33"/>
  <c r="C299" i="33"/>
  <c r="H298" i="33"/>
  <c r="G298" i="33"/>
  <c r="F298" i="33"/>
  <c r="E298" i="33"/>
  <c r="D298" i="33"/>
  <c r="C298" i="33"/>
  <c r="H297" i="33"/>
  <c r="G297" i="33"/>
  <c r="F297" i="33"/>
  <c r="E297" i="33"/>
  <c r="D297" i="33"/>
  <c r="C297" i="33"/>
  <c r="H296" i="33"/>
  <c r="G296" i="33"/>
  <c r="F296" i="33"/>
  <c r="E296" i="33"/>
  <c r="D296" i="33"/>
  <c r="C296" i="33"/>
  <c r="H295" i="33"/>
  <c r="G295" i="33"/>
  <c r="F295" i="33"/>
  <c r="E295" i="33"/>
  <c r="D295" i="33"/>
  <c r="C295" i="33"/>
  <c r="C281" i="33"/>
  <c r="D281" i="33"/>
  <c r="E281" i="33"/>
  <c r="F281" i="33"/>
  <c r="G281" i="33"/>
  <c r="H281" i="33"/>
  <c r="C282" i="33"/>
  <c r="D282" i="33"/>
  <c r="E282" i="33"/>
  <c r="F282" i="33"/>
  <c r="G282" i="33"/>
  <c r="H282" i="33"/>
  <c r="C283" i="33"/>
  <c r="D283" i="33"/>
  <c r="E283" i="33"/>
  <c r="F283" i="33"/>
  <c r="G283" i="33"/>
  <c r="H283" i="33"/>
  <c r="C284" i="33"/>
  <c r="D284" i="33"/>
  <c r="E284" i="33"/>
  <c r="F284" i="33"/>
  <c r="G284" i="33"/>
  <c r="H284" i="33"/>
  <c r="C285" i="33"/>
  <c r="D285" i="33"/>
  <c r="E285" i="33"/>
  <c r="F285" i="33"/>
  <c r="G285" i="33"/>
  <c r="H285" i="33"/>
  <c r="C286" i="33"/>
  <c r="D286" i="33"/>
  <c r="E286" i="33"/>
  <c r="F286" i="33"/>
  <c r="G286" i="33"/>
  <c r="H286" i="33"/>
  <c r="C287" i="33"/>
  <c r="D287" i="33"/>
  <c r="E287" i="33"/>
  <c r="F287" i="33"/>
  <c r="G287" i="33"/>
  <c r="H287" i="33"/>
  <c r="C288" i="33"/>
  <c r="D288" i="33"/>
  <c r="E288" i="33"/>
  <c r="F288" i="33"/>
  <c r="G288" i="33"/>
  <c r="H288" i="33"/>
  <c r="C289" i="33"/>
  <c r="D289" i="33"/>
  <c r="E289" i="33"/>
  <c r="F289" i="33"/>
  <c r="G289" i="33"/>
  <c r="H289" i="33"/>
  <c r="C290" i="33"/>
  <c r="D290" i="33"/>
  <c r="E290" i="33"/>
  <c r="F290" i="33"/>
  <c r="G290" i="33"/>
  <c r="H290" i="33"/>
  <c r="C291" i="33"/>
  <c r="D291" i="33"/>
  <c r="E291" i="33"/>
  <c r="F291" i="33"/>
  <c r="G291" i="33"/>
  <c r="H291" i="33"/>
  <c r="C292" i="33"/>
  <c r="D292" i="33"/>
  <c r="E292" i="33"/>
  <c r="F292" i="33"/>
  <c r="G292" i="33"/>
  <c r="H292" i="33"/>
  <c r="H280" i="33"/>
  <c r="G280" i="33"/>
  <c r="F280" i="33"/>
  <c r="E280" i="33"/>
  <c r="D280" i="33"/>
  <c r="C280" i="33"/>
  <c r="C273" i="33"/>
  <c r="A364" i="33"/>
  <c r="R275" i="32"/>
  <c r="R276" i="32"/>
  <c r="R277" i="32"/>
  <c r="R278" i="32"/>
  <c r="R279" i="32"/>
  <c r="R280" i="32"/>
  <c r="R281" i="32"/>
  <c r="R282" i="32"/>
  <c r="R283" i="32"/>
  <c r="R284" i="32"/>
  <c r="R285" i="32"/>
  <c r="R286" i="32"/>
  <c r="R287" i="32"/>
  <c r="R288" i="32"/>
  <c r="R289" i="32"/>
  <c r="R290" i="32"/>
  <c r="R291" i="32"/>
  <c r="R292" i="32"/>
  <c r="R293" i="32"/>
  <c r="R294" i="32"/>
  <c r="R295" i="32"/>
  <c r="R296" i="32"/>
  <c r="R297" i="32"/>
  <c r="R298" i="32"/>
  <c r="R299" i="32"/>
  <c r="R300" i="32"/>
  <c r="R301" i="32"/>
  <c r="R302" i="32"/>
  <c r="R303" i="32"/>
  <c r="R304" i="32"/>
  <c r="R305" i="32"/>
  <c r="R306" i="32"/>
  <c r="R307" i="32"/>
  <c r="R308" i="32"/>
  <c r="R309" i="32"/>
  <c r="R310" i="32"/>
  <c r="R311" i="32"/>
  <c r="R312" i="32"/>
  <c r="R313" i="32"/>
  <c r="R314" i="32"/>
  <c r="R315" i="32"/>
  <c r="R316" i="32"/>
  <c r="R317" i="32"/>
  <c r="R318" i="32"/>
  <c r="R319" i="32"/>
  <c r="R320" i="32"/>
  <c r="R321" i="32"/>
  <c r="R322" i="32"/>
  <c r="R323" i="32"/>
  <c r="R325" i="32"/>
  <c r="R326" i="32"/>
  <c r="R327" i="32"/>
  <c r="R328" i="32"/>
  <c r="R329" i="32"/>
  <c r="R330" i="32"/>
  <c r="R331" i="32"/>
  <c r="R333" i="32"/>
  <c r="R335" i="32"/>
  <c r="R336" i="32"/>
  <c r="R337" i="32"/>
  <c r="R338" i="32"/>
  <c r="R339" i="32"/>
  <c r="R340" i="32"/>
  <c r="R341" i="32"/>
  <c r="R342" i="32"/>
  <c r="R343" i="32"/>
  <c r="R344" i="32"/>
  <c r="R345" i="32"/>
  <c r="R346" i="32"/>
  <c r="R347" i="32"/>
  <c r="R348" i="32"/>
  <c r="R349" i="32"/>
  <c r="R350" i="32"/>
  <c r="R351" i="32"/>
  <c r="R352" i="32"/>
  <c r="R353" i="32"/>
  <c r="R354" i="32"/>
  <c r="R355" i="32"/>
  <c r="R356" i="32"/>
  <c r="R357" i="32"/>
  <c r="R358" i="32"/>
  <c r="R359" i="32"/>
  <c r="R360" i="32"/>
  <c r="R361" i="32"/>
  <c r="Q284" i="32"/>
  <c r="Q285" i="32"/>
  <c r="Q286" i="32"/>
  <c r="Q287" i="32"/>
  <c r="Q288" i="32"/>
  <c r="Q289" i="32"/>
  <c r="Q290" i="32"/>
  <c r="Q291" i="32"/>
  <c r="Q292" i="32"/>
  <c r="Q293" i="32"/>
  <c r="Q294" i="32"/>
  <c r="Q295" i="32"/>
  <c r="Q296" i="32"/>
  <c r="Q297" i="32"/>
  <c r="Q298" i="32"/>
  <c r="Q299" i="32"/>
  <c r="Q300" i="32"/>
  <c r="Q301" i="32"/>
  <c r="Q302" i="32"/>
  <c r="Q303" i="32"/>
  <c r="Q304" i="32"/>
  <c r="Q305" i="32"/>
  <c r="Q306" i="32"/>
  <c r="Q307" i="32"/>
  <c r="Q308" i="32"/>
  <c r="Q309" i="32"/>
  <c r="Q310" i="32"/>
  <c r="Q311" i="32"/>
  <c r="Q312" i="32"/>
  <c r="Q313" i="32"/>
  <c r="Q314" i="32"/>
  <c r="Q315" i="32"/>
  <c r="Q316" i="32"/>
  <c r="Q317" i="32"/>
  <c r="Q318" i="32"/>
  <c r="Q319" i="32"/>
  <c r="Q320" i="32"/>
  <c r="Q321" i="32"/>
  <c r="Q322" i="32"/>
  <c r="Q323" i="32"/>
  <c r="Q324" i="32"/>
  <c r="Q325" i="32"/>
  <c r="Q326" i="32"/>
  <c r="Q327" i="32"/>
  <c r="Q328" i="32"/>
  <c r="Q329" i="32"/>
  <c r="Q330" i="32"/>
  <c r="Q331" i="32"/>
  <c r="Q332" i="32"/>
  <c r="Q333" i="32"/>
  <c r="Q334" i="32"/>
  <c r="Q335" i="32"/>
  <c r="Q336" i="32"/>
  <c r="Q337" i="32"/>
  <c r="Q338" i="32"/>
  <c r="Q339" i="32"/>
  <c r="Q340" i="32"/>
  <c r="Q341" i="32"/>
  <c r="Q342" i="32"/>
  <c r="Q343" i="32"/>
  <c r="Q344" i="32"/>
  <c r="Q345" i="32"/>
  <c r="Q346" i="32"/>
  <c r="Q347" i="32"/>
  <c r="Q348" i="32"/>
  <c r="Q349" i="32"/>
  <c r="Q350" i="32"/>
  <c r="Q351" i="32"/>
  <c r="Q352" i="32"/>
  <c r="Q353" i="32"/>
  <c r="Q354" i="32"/>
  <c r="Q355" i="32"/>
  <c r="Q356" i="32"/>
  <c r="Q357" i="32"/>
  <c r="Q358" i="32"/>
  <c r="Q359" i="32"/>
  <c r="Q360" i="32"/>
  <c r="Q361" i="32"/>
  <c r="Q363" i="32"/>
  <c r="Q364" i="32"/>
  <c r="Q365" i="32"/>
  <c r="Q366" i="32"/>
  <c r="Q367" i="32"/>
  <c r="Q368" i="32"/>
  <c r="Q369" i="32"/>
  <c r="Q370" i="32"/>
  <c r="Q371" i="32"/>
  <c r="Q372" i="32"/>
  <c r="Q373" i="32"/>
  <c r="Q374" i="32"/>
  <c r="Q375" i="32"/>
  <c r="Q376" i="32"/>
  <c r="Q377" i="32"/>
  <c r="Q378" i="32"/>
  <c r="Q379" i="32"/>
  <c r="Q380" i="32"/>
  <c r="Q381" i="32"/>
  <c r="Q382" i="32"/>
  <c r="Q383" i="32"/>
  <c r="Q384" i="32"/>
  <c r="Q385" i="32"/>
  <c r="Q386" i="32"/>
  <c r="Q387" i="32"/>
  <c r="Q388" i="32"/>
  <c r="Q389" i="32"/>
  <c r="Q390" i="32"/>
  <c r="Q391" i="32"/>
  <c r="Q392" i="32"/>
  <c r="Q393" i="32"/>
  <c r="Q394" i="32"/>
  <c r="Q395" i="32"/>
  <c r="Q396" i="32"/>
  <c r="Q397" i="32"/>
  <c r="Q398" i="32"/>
  <c r="Q399" i="32"/>
  <c r="Q400" i="32"/>
  <c r="Q401" i="32"/>
  <c r="Q402" i="32"/>
  <c r="Q277" i="32"/>
  <c r="Q278" i="32"/>
  <c r="Q279" i="32"/>
  <c r="Q280" i="32"/>
  <c r="Q281" i="32"/>
  <c r="Q282" i="32"/>
  <c r="Q283" i="32"/>
  <c r="K383" i="33"/>
  <c r="I325" i="33" l="1"/>
  <c r="I280" i="33"/>
  <c r="I341" i="33"/>
  <c r="C341" i="36" s="1"/>
  <c r="G322" i="33"/>
  <c r="D306" i="33"/>
  <c r="D331" i="33"/>
  <c r="E306" i="33"/>
  <c r="C322" i="33"/>
  <c r="F331" i="33"/>
  <c r="E322" i="33"/>
  <c r="D315" i="33"/>
  <c r="F315" i="33"/>
  <c r="H315" i="33"/>
  <c r="E331" i="33"/>
  <c r="C294" i="33"/>
  <c r="F306" i="33"/>
  <c r="D294" i="33"/>
  <c r="E294" i="33"/>
  <c r="G306" i="33"/>
  <c r="G331" i="33"/>
  <c r="I333" i="33"/>
  <c r="I339" i="33"/>
  <c r="F294" i="33"/>
  <c r="H306" i="33"/>
  <c r="I297" i="33"/>
  <c r="I301" i="33"/>
  <c r="F322" i="33"/>
  <c r="I319" i="33"/>
  <c r="G294" i="33"/>
  <c r="E315" i="33"/>
  <c r="I332" i="33"/>
  <c r="I289" i="33"/>
  <c r="I285" i="33"/>
  <c r="H322" i="33"/>
  <c r="H294" i="33"/>
  <c r="C306" i="33"/>
  <c r="G315" i="33"/>
  <c r="I290" i="33"/>
  <c r="I286" i="33"/>
  <c r="I282" i="33"/>
  <c r="I299" i="33"/>
  <c r="I303" i="33"/>
  <c r="I310" i="33"/>
  <c r="I317" i="33"/>
  <c r="I328" i="33"/>
  <c r="I334" i="33"/>
  <c r="I291" i="33"/>
  <c r="I287" i="33"/>
  <c r="I283" i="33"/>
  <c r="I298" i="33"/>
  <c r="I302" i="33"/>
  <c r="I311" i="33"/>
  <c r="I316" i="33"/>
  <c r="I320" i="33"/>
  <c r="I329" i="33"/>
  <c r="I309" i="33"/>
  <c r="I292" i="33"/>
  <c r="I288" i="33"/>
  <c r="I284" i="33"/>
  <c r="I312" i="33"/>
  <c r="H331" i="33"/>
  <c r="I326" i="33"/>
  <c r="I281" i="33"/>
  <c r="I296" i="33"/>
  <c r="I300" i="33"/>
  <c r="I304" i="33"/>
  <c r="I313" i="33"/>
  <c r="I318" i="33"/>
  <c r="I327" i="33"/>
  <c r="I335" i="33"/>
  <c r="C331" i="33"/>
  <c r="C315" i="33"/>
  <c r="I295" i="33"/>
  <c r="D322" i="33"/>
  <c r="G323" i="33" l="1"/>
  <c r="C307" i="33"/>
  <c r="D307" i="33"/>
  <c r="F307" i="33"/>
  <c r="I294" i="33"/>
  <c r="E307" i="33"/>
  <c r="H323" i="33"/>
  <c r="E323" i="33"/>
  <c r="I322" i="33"/>
  <c r="H307" i="33"/>
  <c r="F323" i="33"/>
  <c r="G307" i="33"/>
  <c r="I331" i="33"/>
  <c r="I306" i="33"/>
  <c r="I315" i="33"/>
  <c r="C323" i="33"/>
  <c r="D323" i="33"/>
  <c r="R270" i="32"/>
  <c r="R271" i="32"/>
  <c r="R272" i="32"/>
  <c r="R269" i="32"/>
  <c r="R274" i="32"/>
  <c r="Q267" i="32"/>
  <c r="Q268" i="32"/>
  <c r="Q269" i="32"/>
  <c r="Q270" i="32"/>
  <c r="Q271" i="32"/>
  <c r="Q272" i="32"/>
  <c r="Q273" i="32"/>
  <c r="Q274" i="32"/>
  <c r="Q275" i="32"/>
  <c r="Q276" i="32"/>
  <c r="H275" i="33"/>
  <c r="G275" i="33"/>
  <c r="F275" i="33"/>
  <c r="E275" i="33"/>
  <c r="D275" i="33"/>
  <c r="C275" i="33"/>
  <c r="H274" i="33"/>
  <c r="G274" i="33"/>
  <c r="F274" i="33"/>
  <c r="E274" i="33"/>
  <c r="D274" i="33"/>
  <c r="C274" i="33"/>
  <c r="H273" i="33"/>
  <c r="G273" i="33"/>
  <c r="F273" i="33"/>
  <c r="E273" i="33"/>
  <c r="D273" i="33"/>
  <c r="H272" i="33"/>
  <c r="G272" i="33"/>
  <c r="F272" i="33"/>
  <c r="E272" i="33"/>
  <c r="D272" i="33"/>
  <c r="C272" i="33"/>
  <c r="I307" i="33" l="1"/>
  <c r="I323" i="33"/>
  <c r="I276" i="33"/>
  <c r="C276" i="36" s="1"/>
  <c r="A4" i="33" l="1"/>
  <c r="I259" i="33"/>
  <c r="D249" i="4"/>
  <c r="C249" i="4"/>
  <c r="C243" i="4"/>
  <c r="C242" i="4" s="1"/>
  <c r="C241" i="4" s="1"/>
  <c r="D243" i="4"/>
  <c r="D242" i="4" s="1"/>
  <c r="D241" i="4" s="1"/>
  <c r="C240" i="33" l="1"/>
  <c r="C262" i="33" s="1"/>
  <c r="D240" i="33"/>
  <c r="D262" i="33" s="1"/>
  <c r="E240" i="33"/>
  <c r="F240" i="33"/>
  <c r="F262" i="33" s="1"/>
  <c r="G240" i="33"/>
  <c r="G262" i="33" s="1"/>
  <c r="H240" i="33"/>
  <c r="H262" i="33" s="1"/>
  <c r="C192" i="4"/>
  <c r="I172" i="33"/>
  <c r="C63" i="4"/>
  <c r="I36" i="33"/>
  <c r="E262" i="33" l="1"/>
  <c r="I240" i="33"/>
  <c r="I262" i="33" l="1"/>
  <c r="C240" i="36"/>
  <c r="C294" i="4"/>
  <c r="C366" i="46"/>
  <c r="C242" i="46"/>
  <c r="C241" i="46"/>
  <c r="C198" i="46"/>
  <c r="B198" i="59" s="1"/>
  <c r="I198" i="59" s="1"/>
  <c r="C192" i="46"/>
  <c r="B192" i="59" s="1"/>
  <c r="I192" i="59" s="1"/>
  <c r="C173" i="46"/>
  <c r="C158" i="46"/>
  <c r="B158" i="59" s="1"/>
  <c r="I158" i="59" s="1"/>
  <c r="C113" i="46"/>
  <c r="B113" i="59" s="1"/>
  <c r="I113" i="59" s="1"/>
  <c r="C56" i="46"/>
  <c r="C53" i="46"/>
  <c r="C36" i="46"/>
  <c r="D17" i="46"/>
  <c r="C17" i="46"/>
  <c r="B17" i="59" s="1"/>
  <c r="I17" i="59" s="1"/>
  <c r="C12" i="46"/>
  <c r="B12" i="33"/>
  <c r="B13" i="33"/>
  <c r="B14" i="33"/>
  <c r="I227" i="59" l="1"/>
  <c r="I231" i="59" s="1"/>
  <c r="I233" i="59" s="1"/>
  <c r="I236" i="59" s="1"/>
  <c r="D236" i="36" s="1"/>
  <c r="C51" i="53" s="1"/>
  <c r="C227" i="46"/>
  <c r="B227" i="59" s="1"/>
  <c r="C115" i="46"/>
  <c r="B115" i="59" s="1"/>
  <c r="I115" i="59" s="1"/>
  <c r="D342" i="46"/>
  <c r="C342" i="46"/>
  <c r="D340" i="46"/>
  <c r="D338" i="46"/>
  <c r="C338" i="46"/>
  <c r="D337" i="46"/>
  <c r="C337" i="46"/>
  <c r="D331" i="46"/>
  <c r="C331" i="46"/>
  <c r="D323" i="46"/>
  <c r="C323" i="46"/>
  <c r="D322" i="46"/>
  <c r="C322" i="46"/>
  <c r="D315" i="46"/>
  <c r="C315" i="46"/>
  <c r="D307" i="46"/>
  <c r="C307" i="46"/>
  <c r="C306" i="46"/>
  <c r="D294" i="46"/>
  <c r="C294" i="46"/>
  <c r="D262" i="46"/>
  <c r="D264" i="46"/>
  <c r="D265" i="46"/>
  <c r="D266" i="46"/>
  <c r="C262" i="46"/>
  <c r="D173" i="46"/>
  <c r="C187" i="46"/>
  <c r="C174" i="46"/>
  <c r="D12" i="46"/>
  <c r="D23" i="46"/>
  <c r="D29" i="46"/>
  <c r="D32" i="46"/>
  <c r="D36" i="46"/>
  <c r="D45" i="46"/>
  <c r="D48" i="46"/>
  <c r="D53" i="46"/>
  <c r="D56" i="46"/>
  <c r="D63" i="46"/>
  <c r="D66" i="46"/>
  <c r="D69" i="46"/>
  <c r="D72" i="46"/>
  <c r="D81" i="46"/>
  <c r="D83" i="46"/>
  <c r="D86" i="46"/>
  <c r="D88" i="46" s="1"/>
  <c r="D92" i="46"/>
  <c r="D95" i="46"/>
  <c r="D98" i="46"/>
  <c r="D100" i="46" s="1"/>
  <c r="D103" i="46"/>
  <c r="D105" i="46" s="1"/>
  <c r="D108" i="46"/>
  <c r="D110" i="46" s="1"/>
  <c r="D118" i="46"/>
  <c r="D121" i="46"/>
  <c r="C121" i="46"/>
  <c r="C118" i="46"/>
  <c r="C108" i="46"/>
  <c r="C110" i="46" s="1"/>
  <c r="C103" i="46"/>
  <c r="C105" i="46" s="1"/>
  <c r="C98" i="46"/>
  <c r="C100" i="46" s="1"/>
  <c r="C95" i="46"/>
  <c r="C92" i="46"/>
  <c r="C86" i="46"/>
  <c r="C88" i="46" s="1"/>
  <c r="C81" i="46"/>
  <c r="C83" i="46" s="1"/>
  <c r="C76" i="46"/>
  <c r="B76" i="59" s="1"/>
  <c r="I76" i="59" s="1"/>
  <c r="C72" i="46"/>
  <c r="C69" i="46"/>
  <c r="C66" i="46"/>
  <c r="C63" i="46"/>
  <c r="C126" i="46" s="1"/>
  <c r="B126" i="59" s="1"/>
  <c r="I126" i="59" s="1"/>
  <c r="C59" i="46"/>
  <c r="B59" i="59" s="1"/>
  <c r="I59" i="59" s="1"/>
  <c r="C48" i="46"/>
  <c r="C45" i="46"/>
  <c r="C42" i="46"/>
  <c r="B42" i="59" s="1"/>
  <c r="I42" i="59" s="1"/>
  <c r="C39" i="46"/>
  <c r="B39" i="59" s="1"/>
  <c r="I39" i="59" s="1"/>
  <c r="C32" i="46"/>
  <c r="C29" i="46"/>
  <c r="C26" i="46"/>
  <c r="B26" i="59" s="1"/>
  <c r="I26" i="59" s="1"/>
  <c r="C23" i="46"/>
  <c r="C20" i="46"/>
  <c r="B20" i="59" s="1"/>
  <c r="I20" i="59" s="1"/>
  <c r="C5" i="46"/>
  <c r="I260" i="59" l="1"/>
  <c r="C231" i="46"/>
  <c r="I239" i="59"/>
  <c r="C233" i="46"/>
  <c r="B231" i="59"/>
  <c r="D239" i="36"/>
  <c r="I261" i="59"/>
  <c r="D51" i="53"/>
  <c r="K51" i="53" s="1"/>
  <c r="L51" i="53" s="1"/>
  <c r="G51" i="53"/>
  <c r="H51" i="53" s="1"/>
  <c r="I51" i="53" s="1"/>
  <c r="C189" i="46"/>
  <c r="B189" i="59" s="1"/>
  <c r="I189" i="59" s="1"/>
  <c r="B187" i="59"/>
  <c r="I187" i="59" s="1"/>
  <c r="B174" i="59"/>
  <c r="I174" i="59" s="1"/>
  <c r="C260" i="46"/>
  <c r="B260" i="59" s="1"/>
  <c r="C127" i="46"/>
  <c r="B127" i="59" s="1"/>
  <c r="I127" i="59" s="1"/>
  <c r="C51" i="73" l="1"/>
  <c r="E51" i="73" s="1"/>
  <c r="I51" i="73" s="1"/>
  <c r="C54" i="53"/>
  <c r="C54" i="73"/>
  <c r="E54" i="73" s="1"/>
  <c r="I54" i="73" s="1"/>
  <c r="B233" i="59"/>
  <c r="C239" i="46"/>
  <c r="C261" i="46" s="1"/>
  <c r="B261" i="59" s="1"/>
  <c r="C190" i="46"/>
  <c r="B190" i="59" s="1"/>
  <c r="I190" i="59" s="1"/>
  <c r="M190" i="59" s="1"/>
  <c r="B239" i="59" l="1"/>
  <c r="C267" i="46"/>
  <c r="D54" i="53"/>
  <c r="K54" i="53" s="1"/>
  <c r="L54" i="53" s="1"/>
  <c r="G54" i="53"/>
  <c r="H54" i="53" s="1"/>
  <c r="I54" i="53" s="1"/>
  <c r="A5" i="59"/>
  <c r="C262" i="4"/>
  <c r="C227" i="4"/>
  <c r="C231" i="4" s="1"/>
  <c r="C233" i="4" s="1"/>
  <c r="C239" i="4" s="1"/>
  <c r="B267" i="59" l="1"/>
  <c r="I267" i="59" s="1"/>
  <c r="D267" i="36" s="1"/>
  <c r="C82" i="53" s="1"/>
  <c r="C271" i="46"/>
  <c r="C261" i="4"/>
  <c r="C345" i="4"/>
  <c r="C366" i="4" s="1"/>
  <c r="C260" i="4"/>
  <c r="B271" i="59" l="1"/>
  <c r="I271" i="59" s="1"/>
  <c r="D271" i="36" s="1"/>
  <c r="C277" i="46"/>
  <c r="B277" i="59" s="1"/>
  <c r="I277" i="59" s="1"/>
  <c r="D82" i="53"/>
  <c r="K82" i="53" s="1"/>
  <c r="L82" i="53" s="1"/>
  <c r="G82" i="53"/>
  <c r="H82" i="53"/>
  <c r="I82" i="53" s="1"/>
  <c r="D187" i="4"/>
  <c r="C187" i="4"/>
  <c r="C189" i="4" s="1"/>
  <c r="C173" i="4"/>
  <c r="C158" i="4"/>
  <c r="C121" i="4"/>
  <c r="C118" i="4"/>
  <c r="C113" i="4"/>
  <c r="C115" i="4" s="1"/>
  <c r="C110" i="4"/>
  <c r="C108" i="4"/>
  <c r="C100" i="4"/>
  <c r="C98" i="4"/>
  <c r="C95" i="4"/>
  <c r="C92" i="4"/>
  <c r="C86" i="4"/>
  <c r="C88" i="4" s="1"/>
  <c r="C81" i="4"/>
  <c r="C83" i="4" s="1"/>
  <c r="C76" i="4"/>
  <c r="D72" i="4"/>
  <c r="C72" i="4"/>
  <c r="C69" i="4"/>
  <c r="C66" i="4"/>
  <c r="C56" i="4"/>
  <c r="C53" i="4"/>
  <c r="C48" i="4"/>
  <c r="C45" i="4"/>
  <c r="C42" i="4"/>
  <c r="C36" i="4"/>
  <c r="C32" i="4"/>
  <c r="C29" i="4"/>
  <c r="C26" i="4"/>
  <c r="D23" i="4"/>
  <c r="C23" i="4"/>
  <c r="D20" i="4"/>
  <c r="C20" i="4"/>
  <c r="C17" i="4"/>
  <c r="D12" i="4"/>
  <c r="C12" i="4"/>
  <c r="D277" i="36" l="1"/>
  <c r="C86" i="53"/>
  <c r="C126" i="4"/>
  <c r="H3" i="32"/>
  <c r="H7" i="32"/>
  <c r="H8" i="32"/>
  <c r="H9" i="32"/>
  <c r="H10" i="32"/>
  <c r="H12" i="32"/>
  <c r="H13" i="32"/>
  <c r="H14" i="32"/>
  <c r="H15" i="32"/>
  <c r="H17" i="32"/>
  <c r="H48" i="32"/>
  <c r="H49" i="32"/>
  <c r="H50" i="32"/>
  <c r="H52" i="32"/>
  <c r="H53" i="32"/>
  <c r="H54" i="32"/>
  <c r="H55" i="32"/>
  <c r="H57" i="32"/>
  <c r="H58" i="32"/>
  <c r="H59" i="32"/>
  <c r="H60" i="32"/>
  <c r="H62" i="32"/>
  <c r="H63" i="32"/>
  <c r="H64" i="32"/>
  <c r="H65" i="32"/>
  <c r="H67" i="32"/>
  <c r="H68" i="32"/>
  <c r="H69" i="32"/>
  <c r="H70" i="32"/>
  <c r="H72" i="32"/>
  <c r="H73" i="32"/>
  <c r="H74" i="32"/>
  <c r="H75" i="32"/>
  <c r="H77" i="32"/>
  <c r="H78" i="32"/>
  <c r="H79" i="32"/>
  <c r="H80" i="32"/>
  <c r="H82" i="32"/>
  <c r="H83" i="32"/>
  <c r="R237" i="32"/>
  <c r="R228" i="32"/>
  <c r="R224" i="32"/>
  <c r="R223" i="32"/>
  <c r="R222" i="32"/>
  <c r="R221" i="32"/>
  <c r="R220" i="32"/>
  <c r="R219" i="32"/>
  <c r="R218" i="32"/>
  <c r="R215" i="32"/>
  <c r="R212" i="32"/>
  <c r="R217" i="32"/>
  <c r="R190" i="32"/>
  <c r="Q190" i="32"/>
  <c r="S190" i="3"/>
  <c r="D86" i="53" l="1"/>
  <c r="K86" i="53" s="1"/>
  <c r="L86" i="53" s="1"/>
  <c r="G86" i="53"/>
  <c r="H86" i="53" s="1"/>
  <c r="I86" i="53" s="1"/>
  <c r="C92" i="53"/>
  <c r="D30" i="2"/>
  <c r="D29" i="2"/>
  <c r="L112" i="32"/>
  <c r="Q245" i="32"/>
  <c r="D92" i="53" l="1"/>
  <c r="K92" i="53" s="1"/>
  <c r="L92" i="53" s="1"/>
  <c r="G92" i="53"/>
  <c r="H92" i="53" s="1"/>
  <c r="I92" i="53" s="1"/>
  <c r="Q213" i="32"/>
  <c r="R5" i="32"/>
  <c r="Q7" i="32" l="1"/>
  <c r="Q8" i="32"/>
  <c r="Q9" i="32"/>
  <c r="Q10" i="32"/>
  <c r="Q11" i="32"/>
  <c r="Q12" i="32"/>
  <c r="Q13" i="32"/>
  <c r="Q14" i="32"/>
  <c r="Q15" i="32"/>
  <c r="Q16" i="32"/>
  <c r="Q17" i="32"/>
  <c r="Q18" i="32"/>
  <c r="Q19" i="32"/>
  <c r="Q20" i="32"/>
  <c r="Q21" i="32"/>
  <c r="Q22" i="32"/>
  <c r="Q23" i="32"/>
  <c r="Q24" i="32"/>
  <c r="Q25" i="32"/>
  <c r="Q26" i="32"/>
  <c r="Q27" i="32"/>
  <c r="Q28" i="32"/>
  <c r="Q29" i="32"/>
  <c r="Q30" i="32"/>
  <c r="Q31" i="32"/>
  <c r="Q32" i="32"/>
  <c r="Q33" i="32"/>
  <c r="Q34" i="32"/>
  <c r="Q35" i="32"/>
  <c r="Q36" i="32"/>
  <c r="Q37" i="32"/>
  <c r="Q38" i="32"/>
  <c r="Q39" i="32"/>
  <c r="Q40" i="32"/>
  <c r="Q41" i="32"/>
  <c r="Q42" i="32"/>
  <c r="Q43" i="32"/>
  <c r="Q44" i="32"/>
  <c r="Q45" i="32"/>
  <c r="Q46" i="32"/>
  <c r="Q47" i="32"/>
  <c r="Q48" i="32"/>
  <c r="Q49" i="32"/>
  <c r="Q50" i="32"/>
  <c r="Q51" i="32"/>
  <c r="Q52" i="32"/>
  <c r="Q53" i="32"/>
  <c r="Q54" i="32"/>
  <c r="Q55" i="32"/>
  <c r="Q56" i="32"/>
  <c r="Q57" i="32"/>
  <c r="Q58" i="32"/>
  <c r="Q59" i="32"/>
  <c r="Q60" i="32"/>
  <c r="Q61" i="32"/>
  <c r="Q62" i="32"/>
  <c r="Q63" i="32"/>
  <c r="Q64" i="32"/>
  <c r="Q65" i="32"/>
  <c r="Q66" i="32"/>
  <c r="Q67" i="32"/>
  <c r="Q68" i="32"/>
  <c r="Q69" i="32"/>
  <c r="Q70" i="32"/>
  <c r="Q71" i="32"/>
  <c r="Q72" i="32"/>
  <c r="Q73" i="32"/>
  <c r="Q74" i="32"/>
  <c r="Q75" i="32"/>
  <c r="Q76" i="32"/>
  <c r="Q77" i="32"/>
  <c r="Q78" i="32"/>
  <c r="Q79" i="32"/>
  <c r="Q80" i="32"/>
  <c r="Q81" i="32"/>
  <c r="Q82" i="32"/>
  <c r="Q83" i="32"/>
  <c r="Q84" i="32"/>
  <c r="Q85" i="32"/>
  <c r="Q86" i="32"/>
  <c r="Q87" i="32"/>
  <c r="Q88" i="32"/>
  <c r="Q89" i="32"/>
  <c r="Q90" i="32"/>
  <c r="Q91" i="32"/>
  <c r="Q92" i="32"/>
  <c r="Q93" i="32"/>
  <c r="Q94" i="32"/>
  <c r="Q95" i="32"/>
  <c r="Q96" i="32"/>
  <c r="Q97" i="32"/>
  <c r="Q98" i="32"/>
  <c r="Q99" i="32"/>
  <c r="Q100" i="32"/>
  <c r="Q101" i="32"/>
  <c r="Q102" i="32"/>
  <c r="Q103" i="32"/>
  <c r="Q104" i="32"/>
  <c r="Q105" i="32"/>
  <c r="Q106" i="32"/>
  <c r="Q107" i="32"/>
  <c r="Q108" i="32"/>
  <c r="Q109" i="32"/>
  <c r="Q110" i="32"/>
  <c r="Q111" i="32"/>
  <c r="Q112" i="32"/>
  <c r="Q113" i="32"/>
  <c r="Q114" i="32"/>
  <c r="Q115" i="32"/>
  <c r="Q116" i="32"/>
  <c r="Q117" i="32"/>
  <c r="Q118" i="32"/>
  <c r="Q119" i="32"/>
  <c r="Q120" i="32"/>
  <c r="Q121" i="32"/>
  <c r="Q122" i="32"/>
  <c r="Q123" i="32"/>
  <c r="Q124" i="32"/>
  <c r="Q125" i="32"/>
  <c r="Q126" i="32"/>
  <c r="Q127" i="32"/>
  <c r="Q128" i="32"/>
  <c r="Q129" i="32"/>
  <c r="Q130" i="32"/>
  <c r="Q131" i="32"/>
  <c r="Q132" i="32"/>
  <c r="Q133" i="32"/>
  <c r="Q134" i="32"/>
  <c r="Q135" i="32"/>
  <c r="Q136" i="32"/>
  <c r="Q137" i="32"/>
  <c r="Q138" i="32"/>
  <c r="Q139" i="32"/>
  <c r="Q140" i="32"/>
  <c r="Q141" i="32"/>
  <c r="Q142" i="32"/>
  <c r="Q143" i="32"/>
  <c r="Q144" i="32"/>
  <c r="Q145" i="32"/>
  <c r="Q146" i="32"/>
  <c r="Q147" i="32"/>
  <c r="Q148" i="32"/>
  <c r="Q149" i="32"/>
  <c r="Q150" i="32"/>
  <c r="Q151" i="32"/>
  <c r="Q152" i="32"/>
  <c r="Q153" i="32"/>
  <c r="Q154" i="32"/>
  <c r="Q155" i="32"/>
  <c r="Q156" i="32"/>
  <c r="Q157" i="32"/>
  <c r="Q158" i="32"/>
  <c r="Q159" i="32"/>
  <c r="Q160" i="32"/>
  <c r="Q161" i="32"/>
  <c r="Q162" i="32"/>
  <c r="Q163" i="32"/>
  <c r="Q164" i="32"/>
  <c r="Q165" i="32"/>
  <c r="Q166" i="32"/>
  <c r="Q167" i="32"/>
  <c r="Q168" i="32"/>
  <c r="Q169" i="32"/>
  <c r="Q170" i="32"/>
  <c r="Q171" i="32"/>
  <c r="Q172" i="32"/>
  <c r="Q173" i="32"/>
  <c r="Q174" i="32"/>
  <c r="Q175" i="32"/>
  <c r="Q176" i="32"/>
  <c r="Q177" i="32"/>
  <c r="Q178" i="32"/>
  <c r="Q179" i="32"/>
  <c r="Q180" i="32"/>
  <c r="Q181" i="32"/>
  <c r="Q182" i="32"/>
  <c r="Q183" i="32"/>
  <c r="Q184" i="32"/>
  <c r="Q185" i="32"/>
  <c r="Q186" i="32"/>
  <c r="Q187" i="32"/>
  <c r="Q188" i="32"/>
  <c r="Q189" i="32"/>
  <c r="Q191" i="32"/>
  <c r="Q192" i="32"/>
  <c r="Q193" i="32"/>
  <c r="Q194" i="32"/>
  <c r="Q195" i="32"/>
  <c r="Q196" i="32"/>
  <c r="Q197" i="32"/>
  <c r="Q198" i="32"/>
  <c r="Q199" i="32"/>
  <c r="Q200" i="32"/>
  <c r="Q201" i="32"/>
  <c r="Q202" i="32"/>
  <c r="Q203" i="32"/>
  <c r="Q204" i="32"/>
  <c r="Q205" i="32"/>
  <c r="Q206" i="32"/>
  <c r="Q207" i="32"/>
  <c r="Q208" i="32"/>
  <c r="Q209" i="32"/>
  <c r="Q210" i="32"/>
  <c r="Q211" i="32"/>
  <c r="Q212" i="32"/>
  <c r="Q214" i="32"/>
  <c r="Q215" i="32"/>
  <c r="Q216" i="32"/>
  <c r="Q217" i="32"/>
  <c r="Q218" i="32"/>
  <c r="Q219" i="32"/>
  <c r="Q220" i="32"/>
  <c r="Q221" i="32"/>
  <c r="Q222" i="32"/>
  <c r="Q223" i="32"/>
  <c r="Q224" i="32"/>
  <c r="Q225" i="32"/>
  <c r="Q226" i="32"/>
  <c r="Q227" i="32"/>
  <c r="Q228" i="32"/>
  <c r="Q229" i="32"/>
  <c r="Q230" i="32"/>
  <c r="Q231" i="32"/>
  <c r="Q232" i="32"/>
  <c r="Q233" i="32"/>
  <c r="Q234" i="32"/>
  <c r="Q235" i="32"/>
  <c r="Q236" i="32"/>
  <c r="Q237" i="32"/>
  <c r="Q238" i="32"/>
  <c r="Q239" i="32"/>
  <c r="Q240" i="32"/>
  <c r="Q241" i="32"/>
  <c r="Q242" i="32"/>
  <c r="Q243" i="32"/>
  <c r="Q244" i="32"/>
  <c r="Q246" i="32"/>
  <c r="Q247" i="32"/>
  <c r="Q248" i="32"/>
  <c r="Q249" i="32"/>
  <c r="Q250" i="32"/>
  <c r="Q251" i="32"/>
  <c r="Q252" i="32"/>
  <c r="Q253" i="32"/>
  <c r="Q254" i="32"/>
  <c r="Q255" i="32"/>
  <c r="Q256" i="32"/>
  <c r="Q257" i="32"/>
  <c r="Q258" i="32"/>
  <c r="Q259" i="32"/>
  <c r="Q260" i="32"/>
  <c r="Q261" i="32"/>
  <c r="Q262" i="32"/>
  <c r="Q263" i="32"/>
  <c r="Q264" i="32"/>
  <c r="Q265" i="32"/>
  <c r="Q266" i="32"/>
  <c r="S268" i="3"/>
  <c r="R268" i="32" s="1"/>
  <c r="S269" i="3"/>
  <c r="S270" i="3"/>
  <c r="S271" i="3"/>
  <c r="S272" i="3"/>
  <c r="S273" i="3"/>
  <c r="S274" i="3"/>
  <c r="S262" i="3"/>
  <c r="R262" i="32" s="1"/>
  <c r="S263" i="3"/>
  <c r="R263" i="32" s="1"/>
  <c r="S264" i="3"/>
  <c r="R264" i="32" s="1"/>
  <c r="S265" i="3"/>
  <c r="S266" i="3"/>
  <c r="R266" i="32" s="1"/>
  <c r="S267" i="3"/>
  <c r="R267" i="32" s="1"/>
  <c r="S248" i="3"/>
  <c r="R248" i="32" s="1"/>
  <c r="S249" i="3"/>
  <c r="R249" i="32" s="1"/>
  <c r="S250" i="3"/>
  <c r="R250" i="32" s="1"/>
  <c r="S251" i="3"/>
  <c r="R251" i="32" s="1"/>
  <c r="S252" i="3"/>
  <c r="R252" i="32" s="1"/>
  <c r="S253" i="3"/>
  <c r="R253" i="32" s="1"/>
  <c r="S254" i="3"/>
  <c r="R254" i="32" s="1"/>
  <c r="S255" i="3"/>
  <c r="S256" i="3"/>
  <c r="R256" i="32" s="1"/>
  <c r="S257" i="3"/>
  <c r="R257" i="32" s="1"/>
  <c r="S258" i="3"/>
  <c r="R258" i="32" s="1"/>
  <c r="S259" i="3"/>
  <c r="R259" i="32" s="1"/>
  <c r="S260" i="3"/>
  <c r="R260" i="32" s="1"/>
  <c r="S261" i="3"/>
  <c r="R261" i="32" s="1"/>
  <c r="S239" i="3"/>
  <c r="R239" i="32" s="1"/>
  <c r="S240" i="3"/>
  <c r="R240" i="32" s="1"/>
  <c r="S241" i="3"/>
  <c r="R241" i="32" s="1"/>
  <c r="S242" i="3"/>
  <c r="R242" i="32" s="1"/>
  <c r="S243" i="3"/>
  <c r="S244" i="3"/>
  <c r="S245" i="3"/>
  <c r="S246" i="3"/>
  <c r="R246" i="32" s="1"/>
  <c r="S247" i="3"/>
  <c r="R247" i="32" s="1"/>
  <c r="S231" i="3"/>
  <c r="R231" i="32" s="1"/>
  <c r="S232" i="3"/>
  <c r="R232" i="32" s="1"/>
  <c r="S233" i="3"/>
  <c r="R233" i="32" s="1"/>
  <c r="S234" i="3"/>
  <c r="S235" i="3"/>
  <c r="R235" i="32" s="1"/>
  <c r="S236" i="3"/>
  <c r="R236" i="32" s="1"/>
  <c r="S237" i="3"/>
  <c r="S238" i="3"/>
  <c r="R238" i="32" s="1"/>
  <c r="S223" i="3"/>
  <c r="S224" i="3"/>
  <c r="S225" i="3"/>
  <c r="R225" i="32" s="1"/>
  <c r="S226" i="3"/>
  <c r="R226" i="32" s="1"/>
  <c r="S227" i="3"/>
  <c r="R227" i="32" s="1"/>
  <c r="S228" i="3"/>
  <c r="S229" i="3"/>
  <c r="R229" i="32" s="1"/>
  <c r="S230" i="3"/>
  <c r="R230" i="32" s="1"/>
  <c r="S202" i="3"/>
  <c r="R202" i="32" s="1"/>
  <c r="S203" i="3"/>
  <c r="R203" i="32" s="1"/>
  <c r="S204" i="3"/>
  <c r="R204" i="32" s="1"/>
  <c r="S205" i="3"/>
  <c r="R205" i="32" s="1"/>
  <c r="S206" i="3"/>
  <c r="R206" i="32" s="1"/>
  <c r="S207" i="3"/>
  <c r="R207" i="32" s="1"/>
  <c r="S208" i="3"/>
  <c r="R208" i="32" s="1"/>
  <c r="S209" i="3"/>
  <c r="R209" i="32" s="1"/>
  <c r="S210" i="3"/>
  <c r="R210" i="32" s="1"/>
  <c r="S211" i="3"/>
  <c r="R211" i="32" s="1"/>
  <c r="S212" i="3"/>
  <c r="S213" i="3"/>
  <c r="R213" i="32" s="1"/>
  <c r="S214" i="3"/>
  <c r="R214" i="32" s="1"/>
  <c r="S215" i="3"/>
  <c r="S216" i="3"/>
  <c r="R216" i="32" s="1"/>
  <c r="S217" i="3"/>
  <c r="S218" i="3"/>
  <c r="S219" i="3"/>
  <c r="S220" i="3"/>
  <c r="S221" i="3"/>
  <c r="S222" i="3"/>
  <c r="S192" i="3"/>
  <c r="R192" i="32" s="1"/>
  <c r="S193" i="3"/>
  <c r="R193" i="32" s="1"/>
  <c r="S194" i="3"/>
  <c r="R194" i="32" s="1"/>
  <c r="S195" i="3"/>
  <c r="R195" i="32" s="1"/>
  <c r="S196" i="3"/>
  <c r="R196" i="32" s="1"/>
  <c r="S197" i="3"/>
  <c r="R197" i="32" s="1"/>
  <c r="S198" i="3"/>
  <c r="R198" i="32" s="1"/>
  <c r="S199" i="3"/>
  <c r="R199" i="32" s="1"/>
  <c r="S200" i="3"/>
  <c r="R200" i="32" s="1"/>
  <c r="S201" i="3"/>
  <c r="R201" i="32" s="1"/>
  <c r="S189" i="3"/>
  <c r="R189" i="32" s="1"/>
  <c r="S191" i="3"/>
  <c r="R191" i="32" s="1"/>
  <c r="S188" i="3"/>
  <c r="R188" i="32" s="1"/>
  <c r="S370" i="3"/>
  <c r="S371" i="3"/>
  <c r="S372" i="3"/>
  <c r="S373" i="3"/>
  <c r="S374" i="3"/>
  <c r="S375" i="3"/>
  <c r="S376" i="3"/>
  <c r="S377" i="3"/>
  <c r="S378" i="3"/>
  <c r="S379" i="3"/>
  <c r="S380" i="3"/>
  <c r="S364" i="3"/>
  <c r="S365" i="3"/>
  <c r="S366" i="3"/>
  <c r="S367" i="3"/>
  <c r="S368" i="3"/>
  <c r="S369" i="3"/>
  <c r="S343" i="3"/>
  <c r="S344" i="3"/>
  <c r="S345" i="3"/>
  <c r="S346" i="3"/>
  <c r="S347" i="3"/>
  <c r="S348" i="3"/>
  <c r="S349" i="3"/>
  <c r="S350" i="3"/>
  <c r="S351" i="3"/>
  <c r="S352" i="3"/>
  <c r="S353" i="3"/>
  <c r="S354" i="3"/>
  <c r="S355" i="3"/>
  <c r="S356" i="3"/>
  <c r="S357" i="3"/>
  <c r="S358" i="3"/>
  <c r="S359" i="3"/>
  <c r="S360" i="3"/>
  <c r="S361" i="3"/>
  <c r="S362" i="3"/>
  <c r="S363" i="3"/>
  <c r="S342" i="3"/>
  <c r="S341"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278" i="3"/>
  <c r="S277" i="3"/>
  <c r="S180" i="3"/>
  <c r="R180" i="32" s="1"/>
  <c r="S181" i="3"/>
  <c r="R181" i="32" s="1"/>
  <c r="S182" i="3"/>
  <c r="R182" i="32" s="1"/>
  <c r="S183" i="3"/>
  <c r="R183" i="32" s="1"/>
  <c r="S184" i="3"/>
  <c r="R184" i="32" s="1"/>
  <c r="S185" i="3"/>
  <c r="R185" i="32" s="1"/>
  <c r="S186" i="3"/>
  <c r="R186" i="32" s="1"/>
  <c r="S187" i="3"/>
  <c r="R187" i="32" s="1"/>
  <c r="S128" i="3"/>
  <c r="R128" i="32" s="1"/>
  <c r="S129" i="3"/>
  <c r="R129" i="32" s="1"/>
  <c r="S130" i="3"/>
  <c r="R130" i="32" s="1"/>
  <c r="S131" i="3"/>
  <c r="R131" i="32" s="1"/>
  <c r="S132" i="3"/>
  <c r="R132" i="32" s="1"/>
  <c r="S133" i="3"/>
  <c r="R133" i="32" s="1"/>
  <c r="S134" i="3"/>
  <c r="R134" i="32" s="1"/>
  <c r="S135" i="3"/>
  <c r="R135" i="32" s="1"/>
  <c r="S136" i="3"/>
  <c r="R136" i="32" s="1"/>
  <c r="S137" i="3"/>
  <c r="R137" i="32" s="1"/>
  <c r="S138" i="3"/>
  <c r="R138" i="32" s="1"/>
  <c r="S139" i="3"/>
  <c r="R139" i="32" s="1"/>
  <c r="S140" i="3"/>
  <c r="R140" i="32" s="1"/>
  <c r="S141" i="3"/>
  <c r="R141" i="32" s="1"/>
  <c r="S142" i="3"/>
  <c r="R142" i="32" s="1"/>
  <c r="S143" i="3"/>
  <c r="R143" i="32" s="1"/>
  <c r="S144" i="3"/>
  <c r="R144" i="32" s="1"/>
  <c r="S145" i="3"/>
  <c r="R145" i="32" s="1"/>
  <c r="S146" i="3"/>
  <c r="R146" i="32" s="1"/>
  <c r="S147" i="3"/>
  <c r="R147" i="32" s="1"/>
  <c r="S148" i="3"/>
  <c r="R148" i="32" s="1"/>
  <c r="S149" i="3"/>
  <c r="R149" i="32" s="1"/>
  <c r="S150" i="3"/>
  <c r="R150" i="32" s="1"/>
  <c r="S151" i="3"/>
  <c r="R151" i="32" s="1"/>
  <c r="S152" i="3"/>
  <c r="R152" i="32" s="1"/>
  <c r="S153" i="3"/>
  <c r="R153" i="32" s="1"/>
  <c r="S154" i="3"/>
  <c r="R154" i="32" s="1"/>
  <c r="S155" i="3"/>
  <c r="R155" i="32" s="1"/>
  <c r="S156" i="3"/>
  <c r="R156" i="32" s="1"/>
  <c r="S157" i="3"/>
  <c r="R157" i="32" s="1"/>
  <c r="S158" i="3"/>
  <c r="R158" i="32" s="1"/>
  <c r="S159" i="3"/>
  <c r="R159" i="32" s="1"/>
  <c r="S160" i="3"/>
  <c r="R160" i="32" s="1"/>
  <c r="S161" i="3"/>
  <c r="R161" i="32" s="1"/>
  <c r="S162" i="3"/>
  <c r="R162" i="32" s="1"/>
  <c r="S163" i="3"/>
  <c r="R163" i="32" s="1"/>
  <c r="S164" i="3"/>
  <c r="R164" i="32" s="1"/>
  <c r="S165" i="3"/>
  <c r="R165" i="32" s="1"/>
  <c r="S166" i="3"/>
  <c r="R166" i="32" s="1"/>
  <c r="S167" i="3"/>
  <c r="R167" i="32" s="1"/>
  <c r="S168" i="3"/>
  <c r="R168" i="32" s="1"/>
  <c r="S169" i="3"/>
  <c r="R169" i="32" s="1"/>
  <c r="S170" i="3"/>
  <c r="R170" i="32" s="1"/>
  <c r="S171" i="3"/>
  <c r="R171" i="32" s="1"/>
  <c r="S172" i="3"/>
  <c r="R172" i="32" s="1"/>
  <c r="S174" i="3"/>
  <c r="R174" i="32" s="1"/>
  <c r="S175" i="3"/>
  <c r="R175" i="32" s="1"/>
  <c r="S176" i="3"/>
  <c r="R176" i="32" s="1"/>
  <c r="S177" i="3"/>
  <c r="R177" i="32" s="1"/>
  <c r="S178" i="3"/>
  <c r="R178" i="32" s="1"/>
  <c r="S179" i="3"/>
  <c r="R179" i="32" s="1"/>
  <c r="S127" i="3"/>
  <c r="R127" i="32" s="1"/>
  <c r="S126" i="3"/>
  <c r="R126" i="32" s="1"/>
  <c r="S7" i="3"/>
  <c r="R7" i="32" s="1"/>
  <c r="S8" i="3"/>
  <c r="R8" i="32" s="1"/>
  <c r="S9" i="3"/>
  <c r="R9" i="32" s="1"/>
  <c r="S10" i="3"/>
  <c r="R10" i="32" s="1"/>
  <c r="S11" i="3"/>
  <c r="R11" i="32" s="1"/>
  <c r="S12" i="3"/>
  <c r="R12" i="32" s="1"/>
  <c r="S13" i="3"/>
  <c r="R13" i="32" s="1"/>
  <c r="S14" i="3"/>
  <c r="R14" i="32" s="1"/>
  <c r="S15" i="3"/>
  <c r="R15" i="32" s="1"/>
  <c r="S16" i="3"/>
  <c r="R16" i="32" s="1"/>
  <c r="S17" i="3"/>
  <c r="R17" i="32" s="1"/>
  <c r="S18" i="3"/>
  <c r="R18" i="32" s="1"/>
  <c r="S19" i="3"/>
  <c r="R19" i="32" s="1"/>
  <c r="S20" i="3"/>
  <c r="R20" i="32" s="1"/>
  <c r="S21" i="3"/>
  <c r="R21" i="32" s="1"/>
  <c r="S22" i="3"/>
  <c r="R22" i="32" s="1"/>
  <c r="S23" i="3"/>
  <c r="R23" i="32" s="1"/>
  <c r="S24" i="3"/>
  <c r="R24" i="32" s="1"/>
  <c r="S25" i="3"/>
  <c r="R25" i="32" s="1"/>
  <c r="S26" i="3"/>
  <c r="R26" i="32" s="1"/>
  <c r="S27" i="3"/>
  <c r="R27" i="32" s="1"/>
  <c r="S28" i="3"/>
  <c r="R28" i="32" s="1"/>
  <c r="S29" i="3"/>
  <c r="R29" i="32" s="1"/>
  <c r="S30" i="3"/>
  <c r="R30" i="32" s="1"/>
  <c r="S31" i="3"/>
  <c r="R31" i="32" s="1"/>
  <c r="S32" i="3"/>
  <c r="R32" i="32" s="1"/>
  <c r="S33" i="3"/>
  <c r="R33" i="32" s="1"/>
  <c r="S34" i="3"/>
  <c r="R34" i="32" s="1"/>
  <c r="S35" i="3"/>
  <c r="R35" i="32" s="1"/>
  <c r="S36" i="3"/>
  <c r="R36" i="32" s="1"/>
  <c r="S37" i="3"/>
  <c r="R37" i="32" s="1"/>
  <c r="S38" i="3"/>
  <c r="R38" i="32" s="1"/>
  <c r="S39" i="3"/>
  <c r="R39" i="32" s="1"/>
  <c r="S40" i="3"/>
  <c r="R40" i="32" s="1"/>
  <c r="S41" i="3"/>
  <c r="R41" i="32" s="1"/>
  <c r="S42" i="3"/>
  <c r="R42" i="32" s="1"/>
  <c r="S43" i="3"/>
  <c r="R43" i="32" s="1"/>
  <c r="S44" i="3"/>
  <c r="R44" i="32" s="1"/>
  <c r="S45" i="3"/>
  <c r="R45" i="32" s="1"/>
  <c r="S46" i="3"/>
  <c r="R46" i="32" s="1"/>
  <c r="S47" i="3"/>
  <c r="R47" i="32" s="1"/>
  <c r="S48" i="3"/>
  <c r="R48" i="32" s="1"/>
  <c r="S49" i="3"/>
  <c r="R49" i="32" s="1"/>
  <c r="S50" i="3"/>
  <c r="R50" i="32" s="1"/>
  <c r="S51" i="3"/>
  <c r="R51" i="32" s="1"/>
  <c r="S52" i="3"/>
  <c r="R52" i="32" s="1"/>
  <c r="S53" i="3"/>
  <c r="R53" i="32" s="1"/>
  <c r="S54" i="3"/>
  <c r="R54" i="32" s="1"/>
  <c r="S55" i="3"/>
  <c r="R55" i="32" s="1"/>
  <c r="S56" i="3"/>
  <c r="R56" i="32" s="1"/>
  <c r="S57" i="3"/>
  <c r="R57" i="32" s="1"/>
  <c r="S58" i="3"/>
  <c r="R58" i="32" s="1"/>
  <c r="S59" i="3"/>
  <c r="R59" i="32" s="1"/>
  <c r="S60" i="3"/>
  <c r="R60" i="32" s="1"/>
  <c r="S61" i="3"/>
  <c r="R61" i="32" s="1"/>
  <c r="S62" i="3"/>
  <c r="R62" i="32" s="1"/>
  <c r="S63" i="3"/>
  <c r="R63" i="32" s="1"/>
  <c r="S64" i="3"/>
  <c r="R64" i="32" s="1"/>
  <c r="S65" i="3"/>
  <c r="R65" i="32" s="1"/>
  <c r="S66" i="3"/>
  <c r="R66" i="32" s="1"/>
  <c r="S67" i="3"/>
  <c r="R67" i="32" s="1"/>
  <c r="S68" i="3"/>
  <c r="R68" i="32" s="1"/>
  <c r="S69" i="3"/>
  <c r="R69" i="32" s="1"/>
  <c r="S70" i="3"/>
  <c r="R70" i="32" s="1"/>
  <c r="S71" i="3"/>
  <c r="R71" i="32" s="1"/>
  <c r="S72" i="3"/>
  <c r="R72" i="32" s="1"/>
  <c r="S73" i="3"/>
  <c r="R73" i="32" s="1"/>
  <c r="S74" i="3"/>
  <c r="R74" i="32" s="1"/>
  <c r="S75" i="3"/>
  <c r="R75" i="32" s="1"/>
  <c r="S76" i="3"/>
  <c r="R76" i="32" s="1"/>
  <c r="S77" i="3"/>
  <c r="R77" i="32" s="1"/>
  <c r="S78" i="3"/>
  <c r="R78" i="32" s="1"/>
  <c r="S79" i="3"/>
  <c r="R79" i="32" s="1"/>
  <c r="S80" i="3"/>
  <c r="R80" i="32" s="1"/>
  <c r="S81" i="3"/>
  <c r="R81" i="32" s="1"/>
  <c r="S82" i="3"/>
  <c r="R82" i="32" s="1"/>
  <c r="S83" i="3"/>
  <c r="R83" i="32" s="1"/>
  <c r="S84" i="3"/>
  <c r="R84" i="32" s="1"/>
  <c r="S85" i="3"/>
  <c r="R85" i="32" s="1"/>
  <c r="S86" i="3"/>
  <c r="R86" i="32" s="1"/>
  <c r="S87" i="3"/>
  <c r="R87" i="32" s="1"/>
  <c r="S88" i="3"/>
  <c r="R88" i="32" s="1"/>
  <c r="S89" i="3"/>
  <c r="R89" i="32" s="1"/>
  <c r="S90" i="3"/>
  <c r="R90" i="32" s="1"/>
  <c r="S91" i="3"/>
  <c r="R91" i="32" s="1"/>
  <c r="S92" i="3"/>
  <c r="R92" i="32" s="1"/>
  <c r="S93" i="3"/>
  <c r="R93" i="32" s="1"/>
  <c r="S94" i="3"/>
  <c r="R94" i="32" s="1"/>
  <c r="S95" i="3"/>
  <c r="R95" i="32" s="1"/>
  <c r="S96" i="3"/>
  <c r="R96" i="32" s="1"/>
  <c r="S97" i="3"/>
  <c r="R97" i="32" s="1"/>
  <c r="S98" i="3"/>
  <c r="R98" i="32" s="1"/>
  <c r="S99" i="3"/>
  <c r="R99" i="32" s="1"/>
  <c r="S100" i="3"/>
  <c r="R100" i="32" s="1"/>
  <c r="S101" i="3"/>
  <c r="R101" i="32" s="1"/>
  <c r="S102" i="3"/>
  <c r="R102" i="32" s="1"/>
  <c r="S103" i="3"/>
  <c r="R103" i="32" s="1"/>
  <c r="S104" i="3"/>
  <c r="R104" i="32" s="1"/>
  <c r="S105" i="3"/>
  <c r="R105" i="32" s="1"/>
  <c r="S106" i="3"/>
  <c r="R106" i="32" s="1"/>
  <c r="S107" i="3"/>
  <c r="R107" i="32" s="1"/>
  <c r="S108" i="3"/>
  <c r="R108" i="32" s="1"/>
  <c r="S109" i="3"/>
  <c r="R109" i="32" s="1"/>
  <c r="S110" i="3"/>
  <c r="R110" i="32" s="1"/>
  <c r="S111" i="3"/>
  <c r="R111" i="32" s="1"/>
  <c r="S112" i="3"/>
  <c r="R112" i="32" s="1"/>
  <c r="S113" i="3"/>
  <c r="R113" i="32" s="1"/>
  <c r="S114" i="3"/>
  <c r="R114" i="32" s="1"/>
  <c r="S115" i="3"/>
  <c r="R115" i="32" s="1"/>
  <c r="S116" i="3"/>
  <c r="R116" i="32" s="1"/>
  <c r="S117" i="3"/>
  <c r="R117" i="32" s="1"/>
  <c r="S118" i="3"/>
  <c r="R118" i="32" s="1"/>
  <c r="S119" i="3"/>
  <c r="R119" i="32" s="1"/>
  <c r="S120" i="3"/>
  <c r="R120" i="32" s="1"/>
  <c r="S121" i="3"/>
  <c r="R121" i="32" s="1"/>
  <c r="S122" i="3"/>
  <c r="R122" i="32" s="1"/>
  <c r="S123" i="3"/>
  <c r="R123" i="32" s="1"/>
  <c r="S124" i="3"/>
  <c r="R124" i="32" s="1"/>
  <c r="S125" i="3"/>
  <c r="R125" i="32" s="1"/>
  <c r="S6" i="3"/>
  <c r="R6" i="32" s="1"/>
  <c r="R334" i="32" l="1"/>
  <c r="I7" i="33"/>
  <c r="B279" i="33"/>
  <c r="B280" i="33"/>
  <c r="B281" i="33"/>
  <c r="B282" i="33"/>
  <c r="B283" i="33"/>
  <c r="B284" i="33"/>
  <c r="B285" i="33"/>
  <c r="B286" i="33"/>
  <c r="B287" i="33"/>
  <c r="B288" i="33"/>
  <c r="B289" i="33"/>
  <c r="B290" i="33"/>
  <c r="B291" i="33"/>
  <c r="B292" i="33"/>
  <c r="B295" i="33"/>
  <c r="B296" i="33"/>
  <c r="B297" i="33"/>
  <c r="B298" i="33"/>
  <c r="B299" i="33"/>
  <c r="B300" i="33"/>
  <c r="B301" i="33"/>
  <c r="B302" i="33"/>
  <c r="B303" i="33"/>
  <c r="B304" i="33"/>
  <c r="B309" i="33"/>
  <c r="B310" i="33"/>
  <c r="B311" i="33"/>
  <c r="B312" i="33"/>
  <c r="B313" i="33"/>
  <c r="B316" i="33"/>
  <c r="B317" i="33"/>
  <c r="B318" i="33"/>
  <c r="B319" i="33"/>
  <c r="B320" i="33"/>
  <c r="B325" i="33"/>
  <c r="B326" i="33"/>
  <c r="B327" i="33"/>
  <c r="B328" i="33"/>
  <c r="B329" i="33"/>
  <c r="B332" i="33"/>
  <c r="B333" i="33"/>
  <c r="B334" i="33"/>
  <c r="B335" i="33"/>
  <c r="B336" i="33"/>
  <c r="B339" i="33"/>
  <c r="I343" i="33"/>
  <c r="B348" i="33"/>
  <c r="B349" i="33"/>
  <c r="B350" i="33"/>
  <c r="B351" i="33"/>
  <c r="B352" i="33"/>
  <c r="B353" i="33"/>
  <c r="B354" i="33"/>
  <c r="B355" i="33"/>
  <c r="B356" i="33"/>
  <c r="B357" i="33"/>
  <c r="B358" i="33"/>
  <c r="B359" i="33"/>
  <c r="B360" i="33"/>
  <c r="B361" i="33"/>
  <c r="B362" i="33"/>
  <c r="B363" i="33"/>
  <c r="B364" i="33"/>
  <c r="B369" i="33"/>
  <c r="B370" i="33"/>
  <c r="B371" i="33"/>
  <c r="B372" i="33"/>
  <c r="B376" i="33"/>
  <c r="B377" i="33"/>
  <c r="B378" i="33"/>
  <c r="B379" i="33"/>
  <c r="B382" i="33"/>
  <c r="A278" i="33"/>
  <c r="A343" i="33"/>
  <c r="J343" i="33" s="1"/>
  <c r="B9" i="33"/>
  <c r="B10" i="33"/>
  <c r="B11" i="33"/>
  <c r="B15" i="33"/>
  <c r="B16" i="33"/>
  <c r="B18" i="33"/>
  <c r="B19" i="33"/>
  <c r="B21" i="33"/>
  <c r="B22" i="33"/>
  <c r="B24" i="33"/>
  <c r="B25" i="33"/>
  <c r="B27" i="33"/>
  <c r="B28" i="33"/>
  <c r="B30" i="33"/>
  <c r="B31" i="33"/>
  <c r="B33" i="33"/>
  <c r="B34" i="33"/>
  <c r="B35" i="33"/>
  <c r="B37" i="33"/>
  <c r="B38" i="33"/>
  <c r="B40" i="33"/>
  <c r="B41" i="33"/>
  <c r="B43" i="33"/>
  <c r="B44" i="33"/>
  <c r="B46" i="33"/>
  <c r="B47" i="33"/>
  <c r="B49" i="33"/>
  <c r="B50" i="33"/>
  <c r="B51" i="33"/>
  <c r="B52" i="33"/>
  <c r="B54" i="33"/>
  <c r="B55" i="33"/>
  <c r="B57" i="33"/>
  <c r="B58" i="33"/>
  <c r="B61" i="33"/>
  <c r="B62" i="33"/>
  <c r="B64" i="33"/>
  <c r="B65" i="33"/>
  <c r="B67" i="33"/>
  <c r="B68" i="33"/>
  <c r="B70" i="33"/>
  <c r="B71" i="33"/>
  <c r="B73" i="33"/>
  <c r="B74" i="33"/>
  <c r="B75" i="33"/>
  <c r="B77" i="33"/>
  <c r="B78" i="33"/>
  <c r="B79" i="33"/>
  <c r="B80" i="33"/>
  <c r="B82" i="33"/>
  <c r="B84" i="33"/>
  <c r="B85" i="33"/>
  <c r="B87" i="33"/>
  <c r="B89" i="33"/>
  <c r="B90" i="33"/>
  <c r="B91" i="33"/>
  <c r="B93" i="33"/>
  <c r="B94" i="33"/>
  <c r="B96" i="33"/>
  <c r="B97" i="33"/>
  <c r="B99" i="33"/>
  <c r="B101" i="33"/>
  <c r="B102" i="33"/>
  <c r="B104" i="33"/>
  <c r="B106" i="33"/>
  <c r="B107" i="33"/>
  <c r="B109" i="33"/>
  <c r="B111" i="33"/>
  <c r="B112" i="33"/>
  <c r="B114" i="33"/>
  <c r="B116" i="33"/>
  <c r="B117" i="33"/>
  <c r="B119" i="33"/>
  <c r="B120" i="33"/>
  <c r="B122" i="33"/>
  <c r="B123" i="33"/>
  <c r="B124" i="33"/>
  <c r="B125" i="33"/>
  <c r="B130" i="33"/>
  <c r="B131" i="33"/>
  <c r="B132" i="33"/>
  <c r="B133" i="33"/>
  <c r="B134" i="33"/>
  <c r="B135" i="33"/>
  <c r="B136" i="33"/>
  <c r="B137" i="33"/>
  <c r="B138" i="33"/>
  <c r="B139" i="33"/>
  <c r="B140" i="33"/>
  <c r="B141" i="33"/>
  <c r="B142" i="33"/>
  <c r="B143" i="33"/>
  <c r="B144" i="33"/>
  <c r="B145" i="33"/>
  <c r="B146" i="33"/>
  <c r="I146" i="33" s="1"/>
  <c r="B147" i="33"/>
  <c r="B148" i="33"/>
  <c r="B149" i="33"/>
  <c r="B150" i="33"/>
  <c r="B151" i="33"/>
  <c r="B152" i="33"/>
  <c r="B153" i="33"/>
  <c r="B154" i="33"/>
  <c r="B155" i="33"/>
  <c r="B156" i="33"/>
  <c r="B157" i="33"/>
  <c r="B160" i="33"/>
  <c r="B161" i="33"/>
  <c r="B162" i="33"/>
  <c r="B163" i="33"/>
  <c r="B164" i="33"/>
  <c r="B165" i="33"/>
  <c r="B166" i="33"/>
  <c r="B167" i="33"/>
  <c r="B168" i="33"/>
  <c r="B169" i="33"/>
  <c r="B170" i="33"/>
  <c r="B171" i="33"/>
  <c r="B172" i="33"/>
  <c r="B176" i="33"/>
  <c r="B177" i="33"/>
  <c r="B178" i="33"/>
  <c r="B179" i="33"/>
  <c r="B180" i="33"/>
  <c r="B181" i="33"/>
  <c r="B182" i="33"/>
  <c r="B183" i="33"/>
  <c r="B184" i="33"/>
  <c r="B185" i="33"/>
  <c r="B186" i="33"/>
  <c r="B188" i="33"/>
  <c r="B193" i="33"/>
  <c r="B194" i="33"/>
  <c r="B195" i="33"/>
  <c r="B196" i="33"/>
  <c r="B197" i="33"/>
  <c r="B199" i="33"/>
  <c r="B200" i="33"/>
  <c r="B201" i="33"/>
  <c r="B202" i="33"/>
  <c r="B203" i="33"/>
  <c r="B204" i="33"/>
  <c r="B205" i="33"/>
  <c r="B206" i="33"/>
  <c r="B207" i="33"/>
  <c r="B208" i="33"/>
  <c r="B209" i="33"/>
  <c r="B210" i="33"/>
  <c r="B211" i="33"/>
  <c r="B212" i="33"/>
  <c r="B213" i="33"/>
  <c r="B214" i="33"/>
  <c r="B215" i="33"/>
  <c r="B216" i="33"/>
  <c r="B217" i="33"/>
  <c r="B218" i="33"/>
  <c r="B219" i="33"/>
  <c r="B220" i="33"/>
  <c r="B221" i="33"/>
  <c r="B222" i="33"/>
  <c r="B223" i="33"/>
  <c r="B224" i="33"/>
  <c r="B225" i="33"/>
  <c r="B226" i="33"/>
  <c r="B228" i="33"/>
  <c r="B229" i="33"/>
  <c r="B230" i="33"/>
  <c r="B232" i="33"/>
  <c r="B234" i="33"/>
  <c r="B236" i="33"/>
  <c r="B237" i="33"/>
  <c r="B240" i="33"/>
  <c r="B243" i="33"/>
  <c r="B244" i="33"/>
  <c r="B245" i="33"/>
  <c r="B246" i="33"/>
  <c r="B247" i="33"/>
  <c r="B248" i="33"/>
  <c r="B249" i="33"/>
  <c r="B250" i="33"/>
  <c r="B251" i="33"/>
  <c r="B252" i="33"/>
  <c r="B253" i="33"/>
  <c r="B254" i="33"/>
  <c r="B255" i="33"/>
  <c r="B256" i="33"/>
  <c r="B257" i="33"/>
  <c r="B258" i="33"/>
  <c r="B259" i="33"/>
  <c r="B269" i="33"/>
  <c r="B270" i="33"/>
  <c r="B272" i="33"/>
  <c r="I272" i="33" s="1"/>
  <c r="C272" i="36" s="1"/>
  <c r="B273" i="33"/>
  <c r="I273" i="33" s="1"/>
  <c r="C273" i="36" s="1"/>
  <c r="B274" i="33"/>
  <c r="I274" i="33" s="1"/>
  <c r="C274" i="36" s="1"/>
  <c r="B275" i="33"/>
  <c r="I275" i="33" s="1"/>
  <c r="C275" i="36" s="1"/>
  <c r="B8" i="33"/>
  <c r="Q6" i="32"/>
  <c r="B366" i="33"/>
  <c r="D282" i="46"/>
  <c r="F282" i="46" s="1"/>
  <c r="E282" i="46" s="1"/>
  <c r="D283" i="46"/>
  <c r="F283" i="46" s="1"/>
  <c r="E283" i="46" s="1"/>
  <c r="D284" i="46"/>
  <c r="D285" i="46"/>
  <c r="D286" i="46"/>
  <c r="F286" i="46" s="1"/>
  <c r="E286" i="46" s="1"/>
  <c r="D287" i="46"/>
  <c r="F287" i="46" s="1"/>
  <c r="E287" i="46" s="1"/>
  <c r="D288" i="46"/>
  <c r="D289" i="46"/>
  <c r="D290" i="46"/>
  <c r="F290" i="46" s="1"/>
  <c r="E290" i="46" s="1"/>
  <c r="D291" i="46"/>
  <c r="F291" i="46" s="1"/>
  <c r="E291" i="46" s="1"/>
  <c r="D292" i="46"/>
  <c r="D293" i="46"/>
  <c r="D295" i="46"/>
  <c r="D296" i="46"/>
  <c r="D297" i="46"/>
  <c r="D298" i="46"/>
  <c r="F298" i="46" s="1"/>
  <c r="E298" i="46" s="1"/>
  <c r="D299" i="46"/>
  <c r="F299" i="46" s="1"/>
  <c r="E299" i="46" s="1"/>
  <c r="D300" i="46"/>
  <c r="D301" i="46"/>
  <c r="D302" i="46"/>
  <c r="F302" i="46" s="1"/>
  <c r="E302" i="46" s="1"/>
  <c r="D303" i="46"/>
  <c r="F303" i="46" s="1"/>
  <c r="E303" i="46" s="1"/>
  <c r="D304" i="46"/>
  <c r="D305" i="46"/>
  <c r="D308" i="46"/>
  <c r="D309" i="46"/>
  <c r="D310" i="46"/>
  <c r="F310" i="46" s="1"/>
  <c r="E310" i="46" s="1"/>
  <c r="D311" i="46"/>
  <c r="F311" i="46" s="1"/>
  <c r="E311" i="46" s="1"/>
  <c r="D312" i="46"/>
  <c r="D313" i="46"/>
  <c r="D314" i="46"/>
  <c r="F314" i="46" s="1"/>
  <c r="E314" i="46" s="1"/>
  <c r="D316" i="46"/>
  <c r="D317" i="46"/>
  <c r="D318" i="46"/>
  <c r="F318" i="46" s="1"/>
  <c r="E318" i="46" s="1"/>
  <c r="D319" i="46"/>
  <c r="F319" i="46" s="1"/>
  <c r="E319" i="46" s="1"/>
  <c r="D320" i="46"/>
  <c r="D321" i="46"/>
  <c r="D324" i="46"/>
  <c r="D325" i="46"/>
  <c r="D326" i="46"/>
  <c r="F326" i="46" s="1"/>
  <c r="E326" i="46" s="1"/>
  <c r="D327" i="46"/>
  <c r="F327" i="46" s="1"/>
  <c r="E327" i="46" s="1"/>
  <c r="D328" i="46"/>
  <c r="D329" i="46"/>
  <c r="D330" i="46"/>
  <c r="F330" i="46" s="1"/>
  <c r="E330" i="46" s="1"/>
  <c r="D332" i="46"/>
  <c r="D333" i="46"/>
  <c r="D334" i="46"/>
  <c r="F334" i="46" s="1"/>
  <c r="E334" i="46" s="1"/>
  <c r="D335" i="46"/>
  <c r="F335" i="46" s="1"/>
  <c r="E335" i="46" s="1"/>
  <c r="D336" i="46"/>
  <c r="D339" i="46"/>
  <c r="F339" i="46" s="1"/>
  <c r="E339" i="46" s="1"/>
  <c r="D341" i="46"/>
  <c r="F344" i="46"/>
  <c r="E344" i="46" s="1"/>
  <c r="D346" i="46"/>
  <c r="D347" i="46"/>
  <c r="F347" i="46" s="1"/>
  <c r="E347" i="46" s="1"/>
  <c r="D348" i="46"/>
  <c r="F348" i="46" s="1"/>
  <c r="E348" i="46" s="1"/>
  <c r="D349" i="46"/>
  <c r="F349" i="46" s="1"/>
  <c r="E349" i="46" s="1"/>
  <c r="D350" i="46"/>
  <c r="F350" i="46" s="1"/>
  <c r="E350" i="46" s="1"/>
  <c r="D351" i="46"/>
  <c r="F351" i="46" s="1"/>
  <c r="E351" i="46" s="1"/>
  <c r="D352" i="46"/>
  <c r="F352" i="46" s="1"/>
  <c r="E352" i="46" s="1"/>
  <c r="D353" i="46"/>
  <c r="F353" i="46" s="1"/>
  <c r="E353" i="46" s="1"/>
  <c r="D354" i="46"/>
  <c r="D355" i="46"/>
  <c r="F355" i="46" s="1"/>
  <c r="E355" i="46" s="1"/>
  <c r="D356" i="46"/>
  <c r="F356" i="46" s="1"/>
  <c r="E356" i="46" s="1"/>
  <c r="D357" i="46"/>
  <c r="F357" i="46" s="1"/>
  <c r="E357" i="46" s="1"/>
  <c r="D358" i="46"/>
  <c r="F358" i="46" s="1"/>
  <c r="E358" i="46" s="1"/>
  <c r="D359" i="46"/>
  <c r="F359" i="46" s="1"/>
  <c r="E359" i="46" s="1"/>
  <c r="D360" i="46"/>
  <c r="F360" i="46" s="1"/>
  <c r="E360" i="46" s="1"/>
  <c r="D361" i="46"/>
  <c r="F361" i="46" s="1"/>
  <c r="E361" i="46" s="1"/>
  <c r="D362" i="46"/>
  <c r="F362" i="46" s="1"/>
  <c r="E362" i="46" s="1"/>
  <c r="D363" i="46"/>
  <c r="F363" i="46" s="1"/>
  <c r="E363" i="46" s="1"/>
  <c r="D364" i="46"/>
  <c r="F364" i="46" s="1"/>
  <c r="E364" i="46" s="1"/>
  <c r="D365" i="46"/>
  <c r="F365" i="46" s="1"/>
  <c r="E365" i="46" s="1"/>
  <c r="D367" i="46"/>
  <c r="F367" i="46" s="1"/>
  <c r="E367" i="46" s="1"/>
  <c r="D368" i="46"/>
  <c r="F368" i="46" s="1"/>
  <c r="E368" i="46" s="1"/>
  <c r="D369" i="46"/>
  <c r="F369" i="46" s="1"/>
  <c r="E369" i="46" s="1"/>
  <c r="D370" i="46"/>
  <c r="F370" i="46" s="1"/>
  <c r="E370" i="46" s="1"/>
  <c r="D371" i="46"/>
  <c r="F371" i="46" s="1"/>
  <c r="E371" i="46" s="1"/>
  <c r="D372" i="46"/>
  <c r="F372" i="46" s="1"/>
  <c r="E372" i="46" s="1"/>
  <c r="D373" i="46"/>
  <c r="F373" i="46" s="1"/>
  <c r="E373" i="46" s="1"/>
  <c r="D374" i="46"/>
  <c r="F374" i="46" s="1"/>
  <c r="E374" i="46" s="1"/>
  <c r="D375" i="46"/>
  <c r="F375" i="46" s="1"/>
  <c r="E375" i="46" s="1"/>
  <c r="D376" i="46"/>
  <c r="F376" i="46" s="1"/>
  <c r="E376" i="46" s="1"/>
  <c r="D377" i="46"/>
  <c r="F377" i="46" s="1"/>
  <c r="E377" i="46" s="1"/>
  <c r="D378" i="46"/>
  <c r="F378" i="46" s="1"/>
  <c r="E378" i="46" s="1"/>
  <c r="D379" i="46"/>
  <c r="F379" i="46" s="1"/>
  <c r="E379" i="46" s="1"/>
  <c r="D380" i="46"/>
  <c r="F380" i="46" s="1"/>
  <c r="E380" i="46" s="1"/>
  <c r="D381" i="46"/>
  <c r="F381" i="46" s="1"/>
  <c r="E381" i="46" s="1"/>
  <c r="B343" i="46"/>
  <c r="A343" i="46"/>
  <c r="A278" i="46"/>
  <c r="D273" i="46"/>
  <c r="D274" i="46"/>
  <c r="D275" i="46"/>
  <c r="D276" i="46"/>
  <c r="D279" i="46"/>
  <c r="D280" i="46"/>
  <c r="F354" i="46" l="1"/>
  <c r="E354" i="46" s="1"/>
  <c r="F320" i="46"/>
  <c r="E320" i="46" s="1"/>
  <c r="F316" i="46"/>
  <c r="E316" i="46" s="1"/>
  <c r="F305" i="46"/>
  <c r="E305" i="46" s="1"/>
  <c r="F301" i="46"/>
  <c r="E301" i="46" s="1"/>
  <c r="F297" i="46"/>
  <c r="E297" i="46" s="1"/>
  <c r="F292" i="46"/>
  <c r="E292" i="46" s="1"/>
  <c r="F288" i="46"/>
  <c r="E288" i="46" s="1"/>
  <c r="F333" i="46"/>
  <c r="E333" i="46" s="1"/>
  <c r="F332" i="46"/>
  <c r="E332" i="46" s="1"/>
  <c r="F321" i="46"/>
  <c r="E321" i="46" s="1"/>
  <c r="F289" i="46"/>
  <c r="E289" i="46" s="1"/>
  <c r="F285" i="46"/>
  <c r="E285" i="46" s="1"/>
  <c r="F341" i="46"/>
  <c r="E341" i="46" s="1"/>
  <c r="F329" i="46"/>
  <c r="E329" i="46" s="1"/>
  <c r="F325" i="46"/>
  <c r="E325" i="46" s="1"/>
  <c r="F304" i="46"/>
  <c r="E304" i="46" s="1"/>
  <c r="F300" i="46"/>
  <c r="E300" i="46" s="1"/>
  <c r="F296" i="46"/>
  <c r="E296" i="46" s="1"/>
  <c r="F317" i="46"/>
  <c r="E317" i="46" s="1"/>
  <c r="F336" i="46"/>
  <c r="E336" i="46" s="1"/>
  <c r="F312" i="46"/>
  <c r="E312" i="46" s="1"/>
  <c r="F308" i="46"/>
  <c r="E308" i="46" s="1"/>
  <c r="F293" i="46"/>
  <c r="E293" i="46" s="1"/>
  <c r="F328" i="46"/>
  <c r="E328" i="46" s="1"/>
  <c r="F324" i="46"/>
  <c r="E324" i="46" s="1"/>
  <c r="F313" i="46"/>
  <c r="E313" i="46" s="1"/>
  <c r="F309" i="46"/>
  <c r="E309" i="46" s="1"/>
  <c r="F284" i="46"/>
  <c r="E284" i="46" s="1"/>
  <c r="D306" i="46"/>
  <c r="F346" i="46"/>
  <c r="E346" i="46" s="1"/>
  <c r="F295" i="46"/>
  <c r="E295" i="46" s="1"/>
  <c r="A384" i="59"/>
  <c r="A343" i="59"/>
  <c r="J343" i="59" s="1"/>
  <c r="A278" i="59"/>
  <c r="J278" i="59" s="1"/>
  <c r="F306" i="46" l="1"/>
  <c r="E306" i="46" s="1"/>
  <c r="A92" i="53"/>
  <c r="A91" i="53"/>
  <c r="A90" i="53"/>
  <c r="A89" i="53"/>
  <c r="A88" i="53"/>
  <c r="A87" i="53"/>
  <c r="A86" i="53"/>
  <c r="A85" i="53"/>
  <c r="A84" i="53"/>
  <c r="A83" i="53"/>
  <c r="A82" i="53"/>
  <c r="A81" i="53"/>
  <c r="A80" i="53"/>
  <c r="A79" i="53"/>
  <c r="A78" i="53"/>
  <c r="A77" i="53"/>
  <c r="A76" i="53"/>
  <c r="A75" i="53"/>
  <c r="A74" i="53"/>
  <c r="A73" i="53"/>
  <c r="A72" i="53"/>
  <c r="A71" i="53"/>
  <c r="A70" i="53"/>
  <c r="A69" i="53"/>
  <c r="A68" i="53"/>
  <c r="A67" i="53"/>
  <c r="A66" i="53"/>
  <c r="A65" i="53"/>
  <c r="A64" i="53"/>
  <c r="A63" i="53"/>
  <c r="A62" i="53"/>
  <c r="A61" i="53"/>
  <c r="A60" i="53"/>
  <c r="A59" i="53"/>
  <c r="A58" i="53"/>
  <c r="A57" i="53"/>
  <c r="A56" i="53"/>
  <c r="A55" i="53"/>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5" i="53"/>
  <c r="A24" i="53"/>
  <c r="A23" i="53"/>
  <c r="A22" i="53"/>
  <c r="A21" i="53"/>
  <c r="A20" i="53"/>
  <c r="A19" i="53"/>
  <c r="A18" i="53"/>
  <c r="A17" i="53"/>
  <c r="A16" i="53"/>
  <c r="A15" i="53"/>
  <c r="A14" i="53"/>
  <c r="A13" i="53"/>
  <c r="A12" i="53"/>
  <c r="A11" i="53"/>
  <c r="A10" i="53"/>
  <c r="A9" i="53"/>
  <c r="A8" i="53"/>
  <c r="B7" i="53"/>
  <c r="A7" i="53"/>
  <c r="C3" i="53"/>
  <c r="A3" i="53"/>
  <c r="F2" i="53"/>
  <c r="C2" i="53"/>
  <c r="A2" i="53"/>
  <c r="E3" i="52"/>
  <c r="A3" i="52"/>
  <c r="H2" i="52"/>
  <c r="E2" i="52"/>
  <c r="A2" i="52"/>
  <c r="H41" i="56"/>
  <c r="E41" i="56"/>
  <c r="I41" i="56" s="1"/>
  <c r="J41" i="56" s="1"/>
  <c r="E40" i="56"/>
  <c r="I40" i="56" s="1"/>
  <c r="J40" i="56" s="1"/>
  <c r="H30" i="56"/>
  <c r="E30" i="56"/>
  <c r="I30" i="56" s="1"/>
  <c r="H29" i="56"/>
  <c r="E29" i="56"/>
  <c r="I29" i="56" s="1"/>
  <c r="H28" i="56"/>
  <c r="I28" i="56"/>
  <c r="J27" i="56"/>
  <c r="F4" i="56"/>
  <c r="F46" i="56" s="1"/>
  <c r="C4" i="56"/>
  <c r="C46" i="56" s="1"/>
  <c r="C3" i="56"/>
  <c r="A3" i="56"/>
  <c r="F2" i="56"/>
  <c r="C2" i="56"/>
  <c r="A2" i="56"/>
  <c r="A92" i="49"/>
  <c r="A91" i="49"/>
  <c r="A90" i="49"/>
  <c r="A89" i="49"/>
  <c r="A88" i="49"/>
  <c r="A87" i="49"/>
  <c r="A86" i="49"/>
  <c r="A85" i="49"/>
  <c r="A84" i="49"/>
  <c r="A83" i="49"/>
  <c r="A82" i="49"/>
  <c r="A81" i="49"/>
  <c r="A80" i="49"/>
  <c r="A79" i="49"/>
  <c r="A78" i="49"/>
  <c r="A77" i="49"/>
  <c r="A76" i="49"/>
  <c r="A75" i="49"/>
  <c r="A74" i="49"/>
  <c r="A73" i="49"/>
  <c r="A72" i="49"/>
  <c r="A71" i="49"/>
  <c r="A70" i="49"/>
  <c r="A69" i="49"/>
  <c r="A68" i="49"/>
  <c r="A67" i="49"/>
  <c r="H66" i="49"/>
  <c r="I66" i="49" s="1"/>
  <c r="G66" i="49"/>
  <c r="A66" i="49"/>
  <c r="H65" i="49"/>
  <c r="I65" i="49" s="1"/>
  <c r="G65" i="49"/>
  <c r="A65" i="49"/>
  <c r="H64" i="49"/>
  <c r="I64" i="49" s="1"/>
  <c r="G64" i="49"/>
  <c r="A64" i="49"/>
  <c r="H63" i="49"/>
  <c r="I63" i="49" s="1"/>
  <c r="G63" i="49"/>
  <c r="A63" i="49"/>
  <c r="H62" i="49"/>
  <c r="I62" i="49" s="1"/>
  <c r="G62" i="49"/>
  <c r="A62" i="49"/>
  <c r="H61" i="49"/>
  <c r="I61" i="49" s="1"/>
  <c r="G61" i="49"/>
  <c r="A61" i="49"/>
  <c r="H60" i="49"/>
  <c r="I60" i="49" s="1"/>
  <c r="G60" i="49"/>
  <c r="A60" i="49"/>
  <c r="H59" i="49"/>
  <c r="I59" i="49" s="1"/>
  <c r="G59" i="49"/>
  <c r="A59" i="49"/>
  <c r="H58" i="49"/>
  <c r="I58" i="49" s="1"/>
  <c r="G58" i="49"/>
  <c r="A58" i="49"/>
  <c r="H57" i="49"/>
  <c r="I57" i="49" s="1"/>
  <c r="G57" i="49"/>
  <c r="A57" i="49"/>
  <c r="H56" i="49"/>
  <c r="I56" i="49" s="1"/>
  <c r="G56" i="49"/>
  <c r="A56" i="49"/>
  <c r="H55" i="49"/>
  <c r="I55" i="49" s="1"/>
  <c r="G55" i="49"/>
  <c r="A55" i="49"/>
  <c r="G54" i="49"/>
  <c r="H54" i="49" s="1"/>
  <c r="I54" i="49" s="1"/>
  <c r="A54" i="49"/>
  <c r="H53" i="49"/>
  <c r="G53" i="49"/>
  <c r="A53" i="49"/>
  <c r="H52" i="49"/>
  <c r="I52" i="49" s="1"/>
  <c r="G52" i="49"/>
  <c r="A52" i="49"/>
  <c r="H51" i="49"/>
  <c r="I51" i="49" s="1"/>
  <c r="G51" i="49"/>
  <c r="A51" i="49"/>
  <c r="H50" i="49"/>
  <c r="G50" i="49"/>
  <c r="A50" i="49"/>
  <c r="H49" i="49"/>
  <c r="I49" i="49" s="1"/>
  <c r="G49" i="49"/>
  <c r="A49" i="49"/>
  <c r="H48" i="49"/>
  <c r="I48" i="49" s="1"/>
  <c r="G48" i="49"/>
  <c r="A48" i="49"/>
  <c r="G47" i="49"/>
  <c r="H47" i="49" s="1"/>
  <c r="I47" i="49" s="1"/>
  <c r="A47" i="49"/>
  <c r="G46" i="49"/>
  <c r="H46" i="49" s="1"/>
  <c r="I46" i="49" s="1"/>
  <c r="A46" i="49"/>
  <c r="H45" i="49"/>
  <c r="I45" i="49" s="1"/>
  <c r="G45" i="49"/>
  <c r="A45" i="49"/>
  <c r="H44" i="49"/>
  <c r="I44" i="49" s="1"/>
  <c r="G44" i="49"/>
  <c r="A44" i="49"/>
  <c r="H43" i="49"/>
  <c r="I43" i="49" s="1"/>
  <c r="G43" i="49"/>
  <c r="A43" i="49"/>
  <c r="H42" i="49"/>
  <c r="I42" i="49" s="1"/>
  <c r="G42" i="49"/>
  <c r="A42" i="49"/>
  <c r="H41" i="49"/>
  <c r="I41" i="49" s="1"/>
  <c r="G41" i="49"/>
  <c r="A41" i="49"/>
  <c r="H40" i="49"/>
  <c r="I40" i="49" s="1"/>
  <c r="G40" i="49"/>
  <c r="A40" i="49"/>
  <c r="H39" i="49"/>
  <c r="I39" i="49" s="1"/>
  <c r="A39" i="49"/>
  <c r="G38" i="49"/>
  <c r="A38" i="49"/>
  <c r="G37" i="49"/>
  <c r="A37" i="49"/>
  <c r="A36" i="49"/>
  <c r="H35" i="49"/>
  <c r="I35" i="49" s="1"/>
  <c r="G35" i="49"/>
  <c r="A35" i="49"/>
  <c r="H34" i="49"/>
  <c r="I34" i="49" s="1"/>
  <c r="G34" i="49"/>
  <c r="A34" i="49"/>
  <c r="H33" i="49"/>
  <c r="I33" i="49" s="1"/>
  <c r="G33" i="49"/>
  <c r="A33" i="49"/>
  <c r="H32" i="49"/>
  <c r="I32" i="49" s="1"/>
  <c r="G32" i="49"/>
  <c r="A32" i="49"/>
  <c r="H31" i="49"/>
  <c r="I31" i="49" s="1"/>
  <c r="G31" i="49"/>
  <c r="A31" i="49"/>
  <c r="H30" i="49"/>
  <c r="G30" i="49"/>
  <c r="A30" i="49"/>
  <c r="H29" i="49"/>
  <c r="I29" i="49" s="1"/>
  <c r="G29" i="49"/>
  <c r="A29" i="49"/>
  <c r="H28" i="49"/>
  <c r="I28" i="49" s="1"/>
  <c r="G28" i="49"/>
  <c r="A28" i="49"/>
  <c r="H27" i="49"/>
  <c r="I27" i="49" s="1"/>
  <c r="G27" i="49"/>
  <c r="A27" i="49"/>
  <c r="H26" i="49"/>
  <c r="I26" i="49" s="1"/>
  <c r="G26" i="49"/>
  <c r="A26" i="49"/>
  <c r="H25" i="49"/>
  <c r="I25" i="49" s="1"/>
  <c r="G25" i="49"/>
  <c r="A25" i="49"/>
  <c r="H24" i="49"/>
  <c r="I24" i="49" s="1"/>
  <c r="G24" i="49"/>
  <c r="A24" i="49"/>
  <c r="G23" i="49"/>
  <c r="H23" i="49" s="1"/>
  <c r="I23" i="49" s="1"/>
  <c r="A23" i="49"/>
  <c r="H22" i="49"/>
  <c r="I22" i="49" s="1"/>
  <c r="G22" i="49"/>
  <c r="A22" i="49"/>
  <c r="H21" i="49"/>
  <c r="I21" i="49" s="1"/>
  <c r="G21" i="49"/>
  <c r="A21" i="49"/>
  <c r="H20" i="49"/>
  <c r="I20" i="49" s="1"/>
  <c r="G20" i="49"/>
  <c r="A20" i="49"/>
  <c r="H19" i="49"/>
  <c r="I19" i="49" s="1"/>
  <c r="G19" i="49"/>
  <c r="A19" i="49"/>
  <c r="H18" i="49"/>
  <c r="I18" i="49" s="1"/>
  <c r="G18" i="49"/>
  <c r="A18" i="49"/>
  <c r="H17" i="49"/>
  <c r="I17" i="49" s="1"/>
  <c r="G17" i="49"/>
  <c r="A17" i="49"/>
  <c r="H16" i="49"/>
  <c r="I16" i="49" s="1"/>
  <c r="G16" i="49"/>
  <c r="A16" i="49"/>
  <c r="H15" i="49"/>
  <c r="I15" i="49" s="1"/>
  <c r="G15" i="49"/>
  <c r="A15" i="49"/>
  <c r="G14" i="49"/>
  <c r="H14" i="49" s="1"/>
  <c r="I14" i="49" s="1"/>
  <c r="A14" i="49"/>
  <c r="H13" i="49"/>
  <c r="I13" i="49" s="1"/>
  <c r="G13" i="49"/>
  <c r="A13" i="49"/>
  <c r="H12" i="49"/>
  <c r="I12" i="49" s="1"/>
  <c r="G12" i="49"/>
  <c r="A12" i="49"/>
  <c r="H11" i="49"/>
  <c r="I11" i="49" s="1"/>
  <c r="G11" i="49"/>
  <c r="A11" i="49"/>
  <c r="H10" i="49"/>
  <c r="I10" i="49" s="1"/>
  <c r="G10" i="49"/>
  <c r="A10" i="49"/>
  <c r="H9" i="49"/>
  <c r="I9" i="49" s="1"/>
  <c r="G9" i="49"/>
  <c r="A9" i="49"/>
  <c r="G8" i="49"/>
  <c r="H8" i="49" s="1"/>
  <c r="I8" i="49" s="1"/>
  <c r="A8" i="49"/>
  <c r="G7" i="49"/>
  <c r="H7" i="49" s="1"/>
  <c r="I7" i="49" s="1"/>
  <c r="B7" i="49"/>
  <c r="B3" i="49"/>
  <c r="A3" i="49"/>
  <c r="G2" i="49"/>
  <c r="B2" i="49"/>
  <c r="A2" i="49"/>
  <c r="E8" i="48"/>
  <c r="E3" i="48"/>
  <c r="A3" i="48"/>
  <c r="H2" i="48"/>
  <c r="E2" i="48"/>
  <c r="A2" i="48"/>
  <c r="E75" i="70"/>
  <c r="C41" i="70"/>
  <c r="C40" i="70"/>
  <c r="C39" i="70"/>
  <c r="C57" i="67"/>
  <c r="D57" i="67" s="1"/>
  <c r="E35" i="70"/>
  <c r="C56" i="67"/>
  <c r="D56" i="67" s="1"/>
  <c r="C52" i="67"/>
  <c r="D52" i="67" s="1"/>
  <c r="C41" i="67"/>
  <c r="D41" i="67" s="1"/>
  <c r="C38" i="67"/>
  <c r="D38" i="67" s="1"/>
  <c r="C174" i="69"/>
  <c r="C37" i="67" s="1"/>
  <c r="D37" i="67" s="1"/>
  <c r="E171" i="69"/>
  <c r="C169" i="69" s="1"/>
  <c r="C34" i="67" s="1"/>
  <c r="D34" i="67" s="1"/>
  <c r="C164" i="69"/>
  <c r="C137" i="69"/>
  <c r="C25" i="67" s="1"/>
  <c r="D25" i="67" s="1"/>
  <c r="E135" i="69"/>
  <c r="C123" i="69" s="1"/>
  <c r="C154" i="69" s="1"/>
  <c r="C116" i="69"/>
  <c r="C22" i="67" s="1"/>
  <c r="D22" i="67" s="1"/>
  <c r="C19" i="67"/>
  <c r="D19" i="67" s="1"/>
  <c r="E98" i="69"/>
  <c r="C93" i="69" s="1"/>
  <c r="C18" i="67" s="1"/>
  <c r="E72" i="69"/>
  <c r="C12" i="67"/>
  <c r="C43" i="69"/>
  <c r="C11" i="67" s="1"/>
  <c r="D11" i="67" s="1"/>
  <c r="C33" i="69"/>
  <c r="E28" i="69"/>
  <c r="E23" i="69"/>
  <c r="C363" i="36"/>
  <c r="C362" i="36"/>
  <c r="C361" i="36"/>
  <c r="C360" i="36"/>
  <c r="C359" i="36"/>
  <c r="C358" i="36"/>
  <c r="C357" i="36"/>
  <c r="C356" i="36"/>
  <c r="C355" i="36"/>
  <c r="C354" i="36"/>
  <c r="C353" i="36"/>
  <c r="C352" i="36"/>
  <c r="C351" i="36"/>
  <c r="C350" i="36"/>
  <c r="B343" i="36"/>
  <c r="A343" i="36"/>
  <c r="C339" i="36"/>
  <c r="C335" i="36"/>
  <c r="C334" i="36"/>
  <c r="C333" i="36"/>
  <c r="C332" i="36"/>
  <c r="C329" i="36"/>
  <c r="C328" i="36"/>
  <c r="C327" i="36"/>
  <c r="C326" i="36"/>
  <c r="C325" i="36"/>
  <c r="C320" i="36"/>
  <c r="C319" i="36"/>
  <c r="C318" i="36"/>
  <c r="C317" i="36"/>
  <c r="C316" i="36"/>
  <c r="C313" i="36"/>
  <c r="C312" i="36"/>
  <c r="C311" i="36"/>
  <c r="C310" i="36"/>
  <c r="C309" i="36"/>
  <c r="C304" i="36"/>
  <c r="C303" i="36"/>
  <c r="C302" i="36"/>
  <c r="C301" i="36"/>
  <c r="C300" i="36"/>
  <c r="C299" i="36"/>
  <c r="C298" i="36"/>
  <c r="C297" i="36"/>
  <c r="C296" i="36"/>
  <c r="C295" i="36"/>
  <c r="C292" i="36"/>
  <c r="C291" i="36"/>
  <c r="C290" i="36"/>
  <c r="C289" i="36"/>
  <c r="C288" i="36"/>
  <c r="C287" i="36"/>
  <c r="C286" i="36"/>
  <c r="C285" i="36"/>
  <c r="C284" i="36"/>
  <c r="C283" i="36"/>
  <c r="C282" i="36"/>
  <c r="C281" i="36"/>
  <c r="D294" i="36"/>
  <c r="C280" i="36"/>
  <c r="B278" i="36"/>
  <c r="A278" i="36"/>
  <c r="C259" i="36"/>
  <c r="D242" i="36"/>
  <c r="C237" i="36"/>
  <c r="D234" i="36"/>
  <c r="C49" i="53" s="1"/>
  <c r="C234" i="36"/>
  <c r="B191" i="36"/>
  <c r="B128" i="36"/>
  <c r="D69" i="36"/>
  <c r="C69" i="52" s="1"/>
  <c r="D20" i="36"/>
  <c r="C20" i="52" s="1"/>
  <c r="D17" i="36"/>
  <c r="C17" i="52" s="1"/>
  <c r="D12" i="36"/>
  <c r="C12" i="52" s="1"/>
  <c r="D6" i="36"/>
  <c r="D128" i="36" s="1"/>
  <c r="C128" i="52" s="1"/>
  <c r="C6" i="36"/>
  <c r="C128" i="36" s="1"/>
  <c r="E128" i="52" s="1"/>
  <c r="A3" i="36"/>
  <c r="B79" i="67"/>
  <c r="A79" i="67"/>
  <c r="D78" i="67"/>
  <c r="A78" i="67"/>
  <c r="D77" i="67"/>
  <c r="A77" i="67"/>
  <c r="A76" i="67"/>
  <c r="A75" i="67"/>
  <c r="A74" i="67"/>
  <c r="D73" i="67"/>
  <c r="A73" i="67"/>
  <c r="D72" i="67"/>
  <c r="A72" i="67"/>
  <c r="D71" i="67"/>
  <c r="A71" i="67"/>
  <c r="D70" i="67"/>
  <c r="A70" i="67"/>
  <c r="A69" i="67"/>
  <c r="C67" i="67"/>
  <c r="D67" i="67" s="1"/>
  <c r="B67" i="67"/>
  <c r="A67" i="67"/>
  <c r="C66" i="67"/>
  <c r="D66" i="67" s="1"/>
  <c r="A66" i="67"/>
  <c r="A65" i="67"/>
  <c r="A64" i="67"/>
  <c r="A63" i="67"/>
  <c r="A62" i="67"/>
  <c r="A61" i="67"/>
  <c r="C60" i="67"/>
  <c r="D60" i="67" s="1"/>
  <c r="A60" i="67"/>
  <c r="C59" i="67"/>
  <c r="D59" i="67" s="1"/>
  <c r="A59" i="67"/>
  <c r="C58" i="67"/>
  <c r="D58" i="67" s="1"/>
  <c r="A58" i="67"/>
  <c r="A57" i="67"/>
  <c r="A56" i="67"/>
  <c r="C55" i="67"/>
  <c r="D55" i="67" s="1"/>
  <c r="A55" i="67"/>
  <c r="C54" i="67"/>
  <c r="D54" i="67" s="1"/>
  <c r="A54" i="67"/>
  <c r="C53" i="67"/>
  <c r="D53" i="67" s="1"/>
  <c r="A53" i="67"/>
  <c r="A52" i="67"/>
  <c r="D51" i="67"/>
  <c r="C51" i="67"/>
  <c r="A51" i="67"/>
  <c r="A50" i="67"/>
  <c r="B48" i="67"/>
  <c r="A48" i="67"/>
  <c r="D47" i="67"/>
  <c r="A47" i="67"/>
  <c r="B46" i="67"/>
  <c r="A46" i="67"/>
  <c r="D45" i="67"/>
  <c r="A45" i="67"/>
  <c r="D44" i="67"/>
  <c r="B43" i="67"/>
  <c r="A43" i="67"/>
  <c r="B42" i="67"/>
  <c r="A42" i="67"/>
  <c r="A41" i="67"/>
  <c r="D40" i="67"/>
  <c r="A40" i="67"/>
  <c r="D39" i="67"/>
  <c r="A39" i="67"/>
  <c r="A38" i="67"/>
  <c r="A37" i="67"/>
  <c r="B36" i="67"/>
  <c r="A36" i="67"/>
  <c r="C35" i="67"/>
  <c r="D35" i="67" s="1"/>
  <c r="A35" i="67"/>
  <c r="A34" i="67"/>
  <c r="A33" i="67"/>
  <c r="D32" i="67"/>
  <c r="A32" i="67"/>
  <c r="C31" i="67"/>
  <c r="D31" i="67" s="1"/>
  <c r="A31" i="67"/>
  <c r="A30" i="67"/>
  <c r="B29" i="67"/>
  <c r="A29" i="67"/>
  <c r="B28" i="67"/>
  <c r="A28" i="67"/>
  <c r="C27" i="67"/>
  <c r="D27" i="67" s="1"/>
  <c r="A27" i="67"/>
  <c r="C26" i="67"/>
  <c r="D26" i="67" s="1"/>
  <c r="A26" i="67"/>
  <c r="A25" i="67"/>
  <c r="A24" i="67"/>
  <c r="B23" i="67"/>
  <c r="A23" i="67"/>
  <c r="A22" i="67"/>
  <c r="C21" i="67"/>
  <c r="D21" i="67" s="1"/>
  <c r="A21" i="67"/>
  <c r="C20" i="67"/>
  <c r="D20" i="67" s="1"/>
  <c r="A20" i="67"/>
  <c r="A19" i="67"/>
  <c r="A18" i="67"/>
  <c r="D17" i="67"/>
  <c r="A17" i="67"/>
  <c r="B16" i="67"/>
  <c r="A16" i="67"/>
  <c r="A15" i="67"/>
  <c r="C14" i="67"/>
  <c r="D14" i="67" s="1"/>
  <c r="A14" i="67"/>
  <c r="A13" i="67"/>
  <c r="A12" i="67"/>
  <c r="A11" i="67"/>
  <c r="A10" i="67"/>
  <c r="A9" i="67"/>
  <c r="A8" i="67"/>
  <c r="A7" i="67"/>
  <c r="A6" i="67"/>
  <c r="B3" i="67"/>
  <c r="A3" i="67"/>
  <c r="C2" i="67"/>
  <c r="B2" i="67"/>
  <c r="A2" i="67"/>
  <c r="A8" i="21"/>
  <c r="A7" i="21"/>
  <c r="N6" i="21"/>
  <c r="J6" i="21"/>
  <c r="I6" i="21"/>
  <c r="A6" i="21"/>
  <c r="U5" i="21"/>
  <c r="S5" i="21"/>
  <c r="Q5" i="21"/>
  <c r="L5" i="21"/>
  <c r="K5" i="21"/>
  <c r="H5" i="21"/>
  <c r="G5" i="21"/>
  <c r="F5" i="21"/>
  <c r="E5" i="21"/>
  <c r="D5" i="21"/>
  <c r="C5" i="21"/>
  <c r="B5" i="21"/>
  <c r="A5" i="21"/>
  <c r="C3" i="21"/>
  <c r="B3" i="21"/>
  <c r="A3" i="21"/>
  <c r="E1" i="21"/>
  <c r="E4" i="32"/>
  <c r="A4" i="32"/>
  <c r="E3" i="32"/>
  <c r="A3" i="32"/>
  <c r="I5" i="59"/>
  <c r="I128" i="59" s="1"/>
  <c r="B5" i="59"/>
  <c r="B128" i="59" s="1"/>
  <c r="C3" i="59"/>
  <c r="A3" i="59"/>
  <c r="E2" i="59"/>
  <c r="C2" i="59"/>
  <c r="A2" i="59"/>
  <c r="J278" i="33"/>
  <c r="C3" i="33"/>
  <c r="A3" i="33"/>
  <c r="E2" i="33"/>
  <c r="C2" i="33"/>
  <c r="A2" i="33"/>
  <c r="D281" i="46"/>
  <c r="F280" i="46"/>
  <c r="E280" i="46" s="1"/>
  <c r="B278" i="46"/>
  <c r="F276" i="46"/>
  <c r="E276" i="46" s="1"/>
  <c r="F275" i="46"/>
  <c r="E275" i="46" s="1"/>
  <c r="F274" i="46"/>
  <c r="E274" i="46" s="1"/>
  <c r="F273" i="46"/>
  <c r="E273" i="46" s="1"/>
  <c r="D272" i="46"/>
  <c r="D270" i="46"/>
  <c r="D263" i="46"/>
  <c r="D259" i="46"/>
  <c r="D258" i="46"/>
  <c r="D257" i="46"/>
  <c r="D256" i="46"/>
  <c r="D255" i="46"/>
  <c r="D254" i="46"/>
  <c r="D253" i="46"/>
  <c r="D252" i="46"/>
  <c r="D251" i="46"/>
  <c r="D250" i="46"/>
  <c r="D249" i="46"/>
  <c r="D248" i="46"/>
  <c r="D247" i="46"/>
  <c r="D246" i="46"/>
  <c r="D245" i="46"/>
  <c r="D244" i="46"/>
  <c r="D243" i="46"/>
  <c r="D238" i="46"/>
  <c r="D237" i="46"/>
  <c r="D236" i="46"/>
  <c r="D235" i="46"/>
  <c r="D234" i="46"/>
  <c r="D232" i="46"/>
  <c r="D230" i="46"/>
  <c r="D229" i="46"/>
  <c r="D228" i="46"/>
  <c r="D226" i="46"/>
  <c r="D225" i="46"/>
  <c r="D224" i="46"/>
  <c r="D223" i="46"/>
  <c r="D222" i="46"/>
  <c r="D221" i="46"/>
  <c r="D220" i="46"/>
  <c r="D219" i="46"/>
  <c r="D218" i="46"/>
  <c r="D217" i="46"/>
  <c r="D216" i="46"/>
  <c r="D215" i="46"/>
  <c r="D214" i="46"/>
  <c r="D213" i="46"/>
  <c r="D212" i="46"/>
  <c r="D211" i="46"/>
  <c r="D210" i="46"/>
  <c r="D209" i="46"/>
  <c r="D208" i="46"/>
  <c r="D207" i="46"/>
  <c r="D206" i="46"/>
  <c r="D205" i="46"/>
  <c r="D204" i="46"/>
  <c r="D203" i="46"/>
  <c r="D202" i="46"/>
  <c r="D201" i="46"/>
  <c r="D200" i="46"/>
  <c r="D199" i="46"/>
  <c r="D198" i="46" s="1"/>
  <c r="D197" i="46"/>
  <c r="D196" i="46"/>
  <c r="D195" i="46"/>
  <c r="D194" i="46"/>
  <c r="D193" i="46"/>
  <c r="D192" i="46" s="1"/>
  <c r="B191" i="46"/>
  <c r="D188" i="46"/>
  <c r="D186" i="46"/>
  <c r="D185" i="46"/>
  <c r="D184" i="46"/>
  <c r="D183" i="46"/>
  <c r="D182" i="46"/>
  <c r="D181" i="46"/>
  <c r="D180" i="46"/>
  <c r="D179" i="46"/>
  <c r="D178" i="46"/>
  <c r="D177" i="46"/>
  <c r="D176" i="46"/>
  <c r="D175" i="46"/>
  <c r="D172" i="46"/>
  <c r="D171" i="46"/>
  <c r="D170" i="46"/>
  <c r="D169" i="46"/>
  <c r="D168" i="46"/>
  <c r="D167" i="46"/>
  <c r="D166" i="46"/>
  <c r="D165" i="46"/>
  <c r="D164" i="46"/>
  <c r="D163" i="46"/>
  <c r="D162" i="46"/>
  <c r="D161" i="46"/>
  <c r="D160" i="46"/>
  <c r="D159" i="46"/>
  <c r="D157" i="46"/>
  <c r="D156" i="46"/>
  <c r="D155" i="46"/>
  <c r="D154" i="46"/>
  <c r="D153" i="46"/>
  <c r="D152" i="46"/>
  <c r="D151" i="46"/>
  <c r="D150" i="46"/>
  <c r="D149" i="46"/>
  <c r="D148" i="46"/>
  <c r="D147" i="46"/>
  <c r="D146" i="46"/>
  <c r="D145" i="46"/>
  <c r="D144" i="46"/>
  <c r="D143" i="46"/>
  <c r="D142" i="46"/>
  <c r="D141" i="46"/>
  <c r="D140" i="46"/>
  <c r="D139" i="46"/>
  <c r="D138" i="46"/>
  <c r="D137" i="46"/>
  <c r="D136" i="46"/>
  <c r="D135" i="46"/>
  <c r="D134" i="46"/>
  <c r="D133" i="46"/>
  <c r="D132" i="46"/>
  <c r="D131" i="46"/>
  <c r="D130" i="46"/>
  <c r="D129" i="46"/>
  <c r="D125" i="46"/>
  <c r="D124" i="46"/>
  <c r="D123" i="46"/>
  <c r="D122" i="46"/>
  <c r="D120" i="46"/>
  <c r="D119" i="46"/>
  <c r="D117" i="46"/>
  <c r="D116" i="46"/>
  <c r="D114" i="46"/>
  <c r="D112" i="46"/>
  <c r="D111" i="46"/>
  <c r="D113" i="46" s="1"/>
  <c r="D115" i="46" s="1"/>
  <c r="D109" i="46"/>
  <c r="D107" i="46"/>
  <c r="D106" i="46"/>
  <c r="D104" i="46"/>
  <c r="D102" i="46"/>
  <c r="D101" i="46"/>
  <c r="D99" i="46"/>
  <c r="D97" i="46"/>
  <c r="D96" i="46"/>
  <c r="D94" i="46"/>
  <c r="D93" i="46"/>
  <c r="D91" i="46"/>
  <c r="D90" i="46"/>
  <c r="D89" i="46"/>
  <c r="D87" i="46"/>
  <c r="D85" i="46"/>
  <c r="D84" i="46"/>
  <c r="D82" i="46"/>
  <c r="D80" i="46"/>
  <c r="D79" i="46"/>
  <c r="D78" i="46"/>
  <c r="D77" i="46"/>
  <c r="D75" i="46"/>
  <c r="D74" i="46"/>
  <c r="D73" i="46"/>
  <c r="D71" i="46"/>
  <c r="D70" i="46"/>
  <c r="D68" i="46"/>
  <c r="D67" i="46"/>
  <c r="D65" i="46"/>
  <c r="D64" i="46"/>
  <c r="D61" i="46"/>
  <c r="D60" i="46"/>
  <c r="D58" i="46"/>
  <c r="D57" i="46"/>
  <c r="D55" i="46"/>
  <c r="D54" i="46"/>
  <c r="D52" i="46"/>
  <c r="D51" i="46"/>
  <c r="D50" i="46"/>
  <c r="D49" i="46"/>
  <c r="D47" i="46"/>
  <c r="D46" i="46"/>
  <c r="D44" i="46"/>
  <c r="D43" i="46"/>
  <c r="D41" i="46"/>
  <c r="D40" i="46"/>
  <c r="D38" i="46"/>
  <c r="D37" i="46"/>
  <c r="D35" i="46"/>
  <c r="D34" i="46"/>
  <c r="D33" i="46"/>
  <c r="D31" i="46"/>
  <c r="D30" i="46"/>
  <c r="D28" i="46"/>
  <c r="D27" i="46"/>
  <c r="D25" i="46"/>
  <c r="D24" i="46"/>
  <c r="D26" i="46" s="1"/>
  <c r="D22" i="46"/>
  <c r="D21" i="46"/>
  <c r="D19" i="46"/>
  <c r="D18" i="46"/>
  <c r="D20" i="46" s="1"/>
  <c r="D16" i="46"/>
  <c r="D15" i="46"/>
  <c r="D14" i="46"/>
  <c r="D13" i="46"/>
  <c r="D11" i="46"/>
  <c r="D10" i="46"/>
  <c r="D9" i="46"/>
  <c r="D8" i="46"/>
  <c r="E5" i="46"/>
  <c r="A5" i="46"/>
  <c r="A383" i="4"/>
  <c r="A382" i="4"/>
  <c r="A382" i="33" s="1"/>
  <c r="J382" i="33" s="1"/>
  <c r="A381" i="4"/>
  <c r="A381" i="33" s="1"/>
  <c r="J381" i="33" s="1"/>
  <c r="A380" i="4"/>
  <c r="A380" i="33" s="1"/>
  <c r="J380" i="33" s="1"/>
  <c r="A379" i="4"/>
  <c r="A379" i="33" s="1"/>
  <c r="J379" i="33" s="1"/>
  <c r="A378" i="4"/>
  <c r="A378" i="33" s="1"/>
  <c r="J378" i="33" s="1"/>
  <c r="A377" i="4"/>
  <c r="A377" i="33" s="1"/>
  <c r="J377" i="33" s="1"/>
  <c r="A376" i="4"/>
  <c r="A375" i="4"/>
  <c r="A375" i="33" s="1"/>
  <c r="J375" i="33" s="1"/>
  <c r="A374" i="4"/>
  <c r="A374" i="33" s="1"/>
  <c r="J374" i="33" s="1"/>
  <c r="A373" i="4"/>
  <c r="A372" i="4"/>
  <c r="A372" i="33" s="1"/>
  <c r="J372" i="33" s="1"/>
  <c r="A371" i="4"/>
  <c r="A371" i="33" s="1"/>
  <c r="J371" i="33" s="1"/>
  <c r="A370" i="4"/>
  <c r="A370" i="33" s="1"/>
  <c r="J370" i="33" s="1"/>
  <c r="A369" i="4"/>
  <c r="A369" i="33" s="1"/>
  <c r="J369" i="33" s="1"/>
  <c r="A368" i="4"/>
  <c r="A368" i="33" s="1"/>
  <c r="J368" i="33" s="1"/>
  <c r="A367" i="4"/>
  <c r="A367" i="33" s="1"/>
  <c r="J367" i="33" s="1"/>
  <c r="A366" i="4"/>
  <c r="A366" i="33" s="1"/>
  <c r="J366" i="33" s="1"/>
  <c r="A365" i="4"/>
  <c r="A365" i="33" s="1"/>
  <c r="J365" i="33" s="1"/>
  <c r="A364" i="4"/>
  <c r="J364" i="33" s="1"/>
  <c r="A363" i="4"/>
  <c r="A363" i="33" s="1"/>
  <c r="J363" i="33" s="1"/>
  <c r="A362" i="4"/>
  <c r="A361" i="4"/>
  <c r="A361" i="33" s="1"/>
  <c r="J361" i="33" s="1"/>
  <c r="A360" i="4"/>
  <c r="A360" i="33" s="1"/>
  <c r="J360" i="33" s="1"/>
  <c r="A359" i="4"/>
  <c r="A359" i="33" s="1"/>
  <c r="J359" i="33" s="1"/>
  <c r="A358" i="4"/>
  <c r="A358" i="33" s="1"/>
  <c r="J358" i="33" s="1"/>
  <c r="A357" i="4"/>
  <c r="A357" i="33" s="1"/>
  <c r="J357" i="33" s="1"/>
  <c r="A356" i="4"/>
  <c r="A356" i="33" s="1"/>
  <c r="J356" i="33" s="1"/>
  <c r="A355" i="4"/>
  <c r="A355" i="33" s="1"/>
  <c r="J355" i="33" s="1"/>
  <c r="A354" i="4"/>
  <c r="A353" i="4"/>
  <c r="A353" i="33" s="1"/>
  <c r="J353" i="33" s="1"/>
  <c r="A352" i="4"/>
  <c r="A352" i="33" s="1"/>
  <c r="J352" i="33" s="1"/>
  <c r="A351" i="4"/>
  <c r="A350" i="4"/>
  <c r="A350" i="33" s="1"/>
  <c r="J350" i="33" s="1"/>
  <c r="A349" i="4"/>
  <c r="A349" i="33" s="1"/>
  <c r="J349" i="33" s="1"/>
  <c r="A348" i="4"/>
  <c r="A348" i="33" s="1"/>
  <c r="J348" i="33" s="1"/>
  <c r="A347" i="4"/>
  <c r="A347" i="33" s="1"/>
  <c r="J347" i="33" s="1"/>
  <c r="A346" i="4"/>
  <c r="A345" i="4"/>
  <c r="A344" i="4"/>
  <c r="A344" i="33" s="1"/>
  <c r="J344" i="33" s="1"/>
  <c r="D343" i="4"/>
  <c r="C343" i="4"/>
  <c r="A342" i="4"/>
  <c r="A342" i="33" s="1"/>
  <c r="J342" i="33" s="1"/>
  <c r="A341" i="4"/>
  <c r="A340" i="4"/>
  <c r="A340" i="33" s="1"/>
  <c r="J340" i="33" s="1"/>
  <c r="A339" i="4"/>
  <c r="A339" i="33" s="1"/>
  <c r="J339" i="33" s="1"/>
  <c r="A338" i="4"/>
  <c r="A338" i="33" s="1"/>
  <c r="J338" i="33" s="1"/>
  <c r="A337" i="4"/>
  <c r="A337" i="33" s="1"/>
  <c r="J337" i="33" s="1"/>
  <c r="A336" i="4"/>
  <c r="A336" i="33" s="1"/>
  <c r="A335" i="4"/>
  <c r="A335" i="33" s="1"/>
  <c r="J335" i="33" s="1"/>
  <c r="A334" i="4"/>
  <c r="A334" i="33" s="1"/>
  <c r="J334" i="33" s="1"/>
  <c r="A333" i="4"/>
  <c r="A333" i="33" s="1"/>
  <c r="J333" i="33" s="1"/>
  <c r="A332" i="4"/>
  <c r="D331" i="4"/>
  <c r="C331" i="4"/>
  <c r="B331" i="33" s="1"/>
  <c r="A331" i="4"/>
  <c r="A331" i="33" s="1"/>
  <c r="J331" i="33" s="1"/>
  <c r="A330" i="4"/>
  <c r="A330" i="33" s="1"/>
  <c r="J330" i="33" s="1"/>
  <c r="A329" i="4"/>
  <c r="A328" i="4"/>
  <c r="A328" i="33" s="1"/>
  <c r="J328" i="33" s="1"/>
  <c r="A327" i="4"/>
  <c r="A327" i="33" s="1"/>
  <c r="J327" i="33" s="1"/>
  <c r="A326" i="4"/>
  <c r="A326" i="33" s="1"/>
  <c r="J326" i="33" s="1"/>
  <c r="A325" i="4"/>
  <c r="A324" i="4"/>
  <c r="A324" i="33" s="1"/>
  <c r="J324" i="33" s="1"/>
  <c r="A323" i="4"/>
  <c r="A323" i="33" s="1"/>
  <c r="J323" i="33" s="1"/>
  <c r="D322" i="4"/>
  <c r="C322" i="4"/>
  <c r="B322" i="33" s="1"/>
  <c r="A322" i="4"/>
  <c r="A322" i="33" s="1"/>
  <c r="J322" i="33" s="1"/>
  <c r="A321" i="4"/>
  <c r="A321" i="33" s="1"/>
  <c r="J321" i="33" s="1"/>
  <c r="A320" i="4"/>
  <c r="A320" i="33" s="1"/>
  <c r="J320" i="33" s="1"/>
  <c r="A319" i="4"/>
  <c r="A319" i="33" s="1"/>
  <c r="J319" i="33" s="1"/>
  <c r="A318" i="4"/>
  <c r="A318" i="33" s="1"/>
  <c r="J318" i="33" s="1"/>
  <c r="A317" i="4"/>
  <c r="A317" i="33" s="1"/>
  <c r="J317" i="33" s="1"/>
  <c r="A316" i="4"/>
  <c r="A316" i="33" s="1"/>
  <c r="J316" i="33" s="1"/>
  <c r="D315" i="4"/>
  <c r="C315" i="4"/>
  <c r="A315" i="4"/>
  <c r="A315" i="33" s="1"/>
  <c r="J315" i="33" s="1"/>
  <c r="A314" i="4"/>
  <c r="A314" i="33" s="1"/>
  <c r="A313" i="4"/>
  <c r="A313" i="33" s="1"/>
  <c r="A312" i="4"/>
  <c r="A311" i="4"/>
  <c r="A311" i="33" s="1"/>
  <c r="A310" i="4"/>
  <c r="A309" i="4"/>
  <c r="A308" i="4"/>
  <c r="A307" i="4"/>
  <c r="A307" i="33" s="1"/>
  <c r="D306" i="4"/>
  <c r="C306" i="4"/>
  <c r="A306" i="4"/>
  <c r="A306" i="33" s="1"/>
  <c r="A305" i="4"/>
  <c r="A305" i="33" s="1"/>
  <c r="A304" i="4"/>
  <c r="A304" i="33" s="1"/>
  <c r="A303" i="4"/>
  <c r="A303" i="33" s="1"/>
  <c r="A302" i="4"/>
  <c r="A302" i="33" s="1"/>
  <c r="A301" i="4"/>
  <c r="A301" i="33" s="1"/>
  <c r="A300" i="4"/>
  <c r="A300" i="33" s="1"/>
  <c r="A299" i="4"/>
  <c r="A299" i="33" s="1"/>
  <c r="A298" i="4"/>
  <c r="A298" i="33" s="1"/>
  <c r="A297" i="4"/>
  <c r="A297" i="33" s="1"/>
  <c r="A296" i="4"/>
  <c r="A296" i="33" s="1"/>
  <c r="A295" i="4"/>
  <c r="A295" i="33" s="1"/>
  <c r="D294" i="4"/>
  <c r="B294" i="33"/>
  <c r="A294" i="4"/>
  <c r="A294" i="33" s="1"/>
  <c r="A293" i="4"/>
  <c r="A293" i="33" s="1"/>
  <c r="A292" i="4"/>
  <c r="A292" i="33" s="1"/>
  <c r="A291" i="4"/>
  <c r="A291" i="33" s="1"/>
  <c r="A290" i="4"/>
  <c r="A290" i="33" s="1"/>
  <c r="A289" i="4"/>
  <c r="A289" i="33" s="1"/>
  <c r="A288" i="4"/>
  <c r="A288" i="33" s="1"/>
  <c r="A287" i="4"/>
  <c r="A287" i="33" s="1"/>
  <c r="A286" i="4"/>
  <c r="A286" i="33" s="1"/>
  <c r="A285" i="4"/>
  <c r="A285" i="33" s="1"/>
  <c r="A284" i="4"/>
  <c r="A284" i="33" s="1"/>
  <c r="A283" i="4"/>
  <c r="A283" i="33" s="1"/>
  <c r="A282" i="4"/>
  <c r="A282" i="33" s="1"/>
  <c r="A281" i="4"/>
  <c r="A281" i="33" s="1"/>
  <c r="A280" i="4"/>
  <c r="A280" i="33" s="1"/>
  <c r="B279" i="4"/>
  <c r="B279" i="46" s="1"/>
  <c r="A279" i="4"/>
  <c r="A279" i="33" s="1"/>
  <c r="D278" i="4"/>
  <c r="C278" i="4"/>
  <c r="A277" i="4"/>
  <c r="A277" i="33" s="1"/>
  <c r="A276" i="4"/>
  <c r="A276" i="33" s="1"/>
  <c r="A275" i="4"/>
  <c r="A274" i="4"/>
  <c r="A273" i="4"/>
  <c r="A273" i="33" s="1"/>
  <c r="A272" i="4"/>
  <c r="A272" i="33" s="1"/>
  <c r="A271" i="4"/>
  <c r="A270" i="4"/>
  <c r="A270" i="33" s="1"/>
  <c r="A269" i="4"/>
  <c r="A269" i="33" s="1"/>
  <c r="A268" i="4"/>
  <c r="A267" i="4"/>
  <c r="A267" i="33" s="1"/>
  <c r="A266" i="4"/>
  <c r="A265" i="4"/>
  <c r="A264" i="4"/>
  <c r="A263" i="4"/>
  <c r="A263" i="33" s="1"/>
  <c r="A262" i="4"/>
  <c r="A262" i="33" s="1"/>
  <c r="A261" i="4"/>
  <c r="A261" i="33" s="1"/>
  <c r="A260" i="4"/>
  <c r="A259" i="4"/>
  <c r="A258" i="4"/>
  <c r="A257" i="4"/>
  <c r="A257" i="33" s="1"/>
  <c r="A256" i="4"/>
  <c r="A256" i="33" s="1"/>
  <c r="A255" i="4"/>
  <c r="A254" i="4"/>
  <c r="A253" i="4"/>
  <c r="A253" i="33" s="1"/>
  <c r="A252" i="4"/>
  <c r="A251" i="4"/>
  <c r="A250" i="4"/>
  <c r="A249" i="4"/>
  <c r="A249" i="33" s="1"/>
  <c r="A248" i="4"/>
  <c r="A248" i="33" s="1"/>
  <c r="A247" i="4"/>
  <c r="A246" i="4"/>
  <c r="A246" i="33" s="1"/>
  <c r="A245" i="4"/>
  <c r="A245" i="33" s="1"/>
  <c r="A244" i="4"/>
  <c r="A244" i="33" s="1"/>
  <c r="A243" i="4"/>
  <c r="A242" i="4"/>
  <c r="A241" i="4"/>
  <c r="A240" i="4"/>
  <c r="A240" i="33" s="1"/>
  <c r="A239" i="4"/>
  <c r="A239" i="33" s="1"/>
  <c r="A238" i="4"/>
  <c r="A237" i="4"/>
  <c r="A236" i="4"/>
  <c r="A236" i="33" s="1"/>
  <c r="A235" i="4"/>
  <c r="A235" i="33" s="1"/>
  <c r="A234" i="4"/>
  <c r="A233" i="4"/>
  <c r="A233" i="33" s="1"/>
  <c r="A232" i="4"/>
  <c r="A232" i="33" s="1"/>
  <c r="A231" i="4"/>
  <c r="A230" i="4"/>
  <c r="A229" i="4"/>
  <c r="A229" i="33" s="1"/>
  <c r="A228" i="4"/>
  <c r="A228" i="33" s="1"/>
  <c r="A227" i="4"/>
  <c r="A226" i="4"/>
  <c r="A225" i="4"/>
  <c r="A224" i="4"/>
  <c r="A223" i="4"/>
  <c r="A222" i="4"/>
  <c r="A221" i="4"/>
  <c r="A221" i="33" s="1"/>
  <c r="A220" i="4"/>
  <c r="A220" i="33" s="1"/>
  <c r="A219" i="4"/>
  <c r="A218" i="4"/>
  <c r="A218" i="33" s="1"/>
  <c r="A217" i="4"/>
  <c r="A217" i="33" s="1"/>
  <c r="A216" i="4"/>
  <c r="A216" i="33" s="1"/>
  <c r="A215" i="4"/>
  <c r="A214" i="4"/>
  <c r="A213" i="4"/>
  <c r="A213" i="33" s="1"/>
  <c r="A212" i="4"/>
  <c r="A212" i="33" s="1"/>
  <c r="A211" i="4"/>
  <c r="A210" i="4"/>
  <c r="A210" i="33" s="1"/>
  <c r="A209" i="4"/>
  <c r="A209" i="33" s="1"/>
  <c r="A208" i="4"/>
  <c r="A208" i="33" s="1"/>
  <c r="A207" i="4"/>
  <c r="A206" i="4"/>
  <c r="A205" i="4"/>
  <c r="A205" i="33" s="1"/>
  <c r="A204" i="4"/>
  <c r="A204" i="33" s="1"/>
  <c r="A203" i="4"/>
  <c r="A202" i="4"/>
  <c r="A201" i="4"/>
  <c r="A201" i="33" s="1"/>
  <c r="A200" i="4"/>
  <c r="A200" i="33" s="1"/>
  <c r="A199" i="4"/>
  <c r="D198" i="4"/>
  <c r="B198" i="33"/>
  <c r="A198" i="4"/>
  <c r="A197" i="4"/>
  <c r="A197" i="33" s="1"/>
  <c r="A196" i="4"/>
  <c r="A195" i="4"/>
  <c r="A195" i="33" s="1"/>
  <c r="A194" i="4"/>
  <c r="A193" i="4"/>
  <c r="A193" i="33" s="1"/>
  <c r="D192" i="4"/>
  <c r="D227" i="4" s="1"/>
  <c r="B192" i="4"/>
  <c r="A192" i="4"/>
  <c r="D191" i="4"/>
  <c r="C191" i="4"/>
  <c r="A191" i="4"/>
  <c r="A190" i="4"/>
  <c r="A190" i="33" s="1"/>
  <c r="A189" i="4"/>
  <c r="A189" i="33" s="1"/>
  <c r="A188" i="4"/>
  <c r="A187" i="4"/>
  <c r="A187" i="33" s="1"/>
  <c r="A186" i="4"/>
  <c r="A185" i="4"/>
  <c r="A184" i="4"/>
  <c r="A183" i="4"/>
  <c r="A183" i="33" s="1"/>
  <c r="A182" i="4"/>
  <c r="A182" i="33" s="1"/>
  <c r="A181" i="4"/>
  <c r="A180" i="4"/>
  <c r="A179" i="4"/>
  <c r="A179" i="33" s="1"/>
  <c r="A178" i="4"/>
  <c r="A177" i="4"/>
  <c r="A176" i="4"/>
  <c r="A174" i="4"/>
  <c r="D173" i="4"/>
  <c r="A173" i="4"/>
  <c r="A172" i="4"/>
  <c r="A171" i="4"/>
  <c r="A170" i="4"/>
  <c r="A169" i="4"/>
  <c r="A168" i="4"/>
  <c r="A167" i="4"/>
  <c r="A166" i="4"/>
  <c r="A166" i="33" s="1"/>
  <c r="A165" i="4"/>
  <c r="A164" i="4"/>
  <c r="A163" i="4"/>
  <c r="A162" i="4"/>
  <c r="A161" i="4"/>
  <c r="A160" i="4"/>
  <c r="A159" i="4"/>
  <c r="D158" i="4"/>
  <c r="D174" i="4" s="1"/>
  <c r="A158" i="4"/>
  <c r="A157" i="4"/>
  <c r="A157" i="33" s="1"/>
  <c r="A156" i="4"/>
  <c r="A156" i="33" s="1"/>
  <c r="A155" i="4"/>
  <c r="A154" i="4"/>
  <c r="A153" i="4"/>
  <c r="A152" i="4"/>
  <c r="A152" i="33" s="1"/>
  <c r="A151" i="4"/>
  <c r="A150" i="4"/>
  <c r="A149" i="4"/>
  <c r="A148" i="4"/>
  <c r="A148" i="33" s="1"/>
  <c r="A147" i="4"/>
  <c r="A147" i="33" s="1"/>
  <c r="A146" i="4"/>
  <c r="A145" i="4"/>
  <c r="A145" i="33" s="1"/>
  <c r="A144" i="4"/>
  <c r="A144" i="33" s="1"/>
  <c r="A143" i="4"/>
  <c r="A142" i="4"/>
  <c r="A141" i="4"/>
  <c r="A141" i="33" s="1"/>
  <c r="A140" i="4"/>
  <c r="A140" i="33" s="1"/>
  <c r="A139" i="4"/>
  <c r="A139" i="33" s="1"/>
  <c r="A138" i="4"/>
  <c r="A137" i="4"/>
  <c r="A137" i="33" s="1"/>
  <c r="A136" i="4"/>
  <c r="A136" i="33" s="1"/>
  <c r="A135" i="4"/>
  <c r="A134" i="4"/>
  <c r="A133" i="4"/>
  <c r="A133" i="33" s="1"/>
  <c r="A132" i="4"/>
  <c r="A132" i="33" s="1"/>
  <c r="A131" i="4"/>
  <c r="A130" i="4"/>
  <c r="A129" i="4"/>
  <c r="D128" i="4"/>
  <c r="C128" i="48" s="1"/>
  <c r="D128" i="48" s="1"/>
  <c r="C128" i="4"/>
  <c r="E128" i="48" s="1"/>
  <c r="A128" i="4"/>
  <c r="A127" i="4"/>
  <c r="A126" i="4"/>
  <c r="A126" i="33" s="1"/>
  <c r="A125" i="4"/>
  <c r="A124" i="4"/>
  <c r="A124" i="33" s="1"/>
  <c r="A123" i="4"/>
  <c r="A123" i="33" s="1"/>
  <c r="A122" i="4"/>
  <c r="A122" i="33" s="1"/>
  <c r="D121" i="4"/>
  <c r="A121" i="4"/>
  <c r="A120" i="4"/>
  <c r="A119" i="4"/>
  <c r="D118" i="4"/>
  <c r="A118" i="4"/>
  <c r="A117" i="4"/>
  <c r="A117" i="33" s="1"/>
  <c r="A116" i="4"/>
  <c r="A115" i="4"/>
  <c r="A114" i="4"/>
  <c r="D113" i="4"/>
  <c r="A113" i="4"/>
  <c r="A113" i="33" s="1"/>
  <c r="A112" i="4"/>
  <c r="A111" i="4"/>
  <c r="A111" i="33" s="1"/>
  <c r="A110" i="4"/>
  <c r="A109" i="4"/>
  <c r="D108" i="4"/>
  <c r="A108" i="4"/>
  <c r="A107" i="4"/>
  <c r="A106" i="4"/>
  <c r="A106" i="33" s="1"/>
  <c r="A105" i="4"/>
  <c r="A104" i="4"/>
  <c r="D103" i="4"/>
  <c r="D105" i="4" s="1"/>
  <c r="C103" i="4"/>
  <c r="A103" i="4"/>
  <c r="A102" i="4"/>
  <c r="A101" i="4"/>
  <c r="A101" i="33" s="1"/>
  <c r="A100" i="4"/>
  <c r="A100" i="33" s="1"/>
  <c r="A99" i="4"/>
  <c r="D98" i="4"/>
  <c r="D100" i="4" s="1"/>
  <c r="A98" i="4"/>
  <c r="A97" i="4"/>
  <c r="A96" i="4"/>
  <c r="D95" i="4"/>
  <c r="A95" i="4"/>
  <c r="A94" i="4"/>
  <c r="A94" i="33" s="1"/>
  <c r="A93" i="4"/>
  <c r="D92" i="4"/>
  <c r="A92" i="4"/>
  <c r="A91" i="4"/>
  <c r="A91" i="33" s="1"/>
  <c r="A90" i="4"/>
  <c r="A89" i="4"/>
  <c r="A88" i="4"/>
  <c r="A87" i="4"/>
  <c r="D86" i="4"/>
  <c r="A86" i="4"/>
  <c r="A86" i="33" s="1"/>
  <c r="A85" i="4"/>
  <c r="A84" i="4"/>
  <c r="D83" i="4"/>
  <c r="A83" i="4"/>
  <c r="A82" i="4"/>
  <c r="D81" i="4"/>
  <c r="A81" i="4"/>
  <c r="A80" i="4"/>
  <c r="A79" i="4"/>
  <c r="A79" i="33" s="1"/>
  <c r="A78" i="4"/>
  <c r="A77" i="4"/>
  <c r="D76" i="4"/>
  <c r="A76" i="4"/>
  <c r="A76" i="33" s="1"/>
  <c r="A75" i="4"/>
  <c r="A74" i="4"/>
  <c r="A73" i="4"/>
  <c r="A72" i="4"/>
  <c r="A71" i="4"/>
  <c r="A70" i="4"/>
  <c r="A70" i="33" s="1"/>
  <c r="D69" i="4"/>
  <c r="A69" i="4"/>
  <c r="A68" i="4"/>
  <c r="A68" i="33" s="1"/>
  <c r="A67" i="4"/>
  <c r="D66" i="4"/>
  <c r="A66" i="4"/>
  <c r="A65" i="4"/>
  <c r="A65" i="33" s="1"/>
  <c r="A64" i="4"/>
  <c r="A64" i="33" s="1"/>
  <c r="D63" i="4"/>
  <c r="B63" i="33"/>
  <c r="A63" i="4"/>
  <c r="A62" i="4"/>
  <c r="A62" i="33" s="1"/>
  <c r="A61" i="4"/>
  <c r="A60" i="4"/>
  <c r="A59" i="4"/>
  <c r="A59" i="33" s="1"/>
  <c r="J59" i="33" s="1"/>
  <c r="A58" i="4"/>
  <c r="A58" i="33" s="1"/>
  <c r="A57" i="4"/>
  <c r="A57" i="33" s="1"/>
  <c r="D56" i="4"/>
  <c r="A56" i="4"/>
  <c r="A55" i="4"/>
  <c r="A54" i="4"/>
  <c r="A54" i="33" s="1"/>
  <c r="D53" i="4"/>
  <c r="A53" i="4"/>
  <c r="A53" i="33" s="1"/>
  <c r="J53" i="33" s="1"/>
  <c r="A52" i="4"/>
  <c r="A51" i="4"/>
  <c r="A50" i="4"/>
  <c r="A50" i="33" s="1"/>
  <c r="A49" i="4"/>
  <c r="A49" i="33" s="1"/>
  <c r="D48" i="4"/>
  <c r="A48" i="4"/>
  <c r="A47" i="4"/>
  <c r="A46" i="4"/>
  <c r="A46" i="33" s="1"/>
  <c r="D45" i="4"/>
  <c r="A45" i="4"/>
  <c r="A45" i="33" s="1"/>
  <c r="J45" i="33" s="1"/>
  <c r="A44" i="4"/>
  <c r="A43" i="4"/>
  <c r="A43" i="33" s="1"/>
  <c r="D42" i="4"/>
  <c r="B42" i="33"/>
  <c r="A42" i="4"/>
  <c r="A42" i="33" s="1"/>
  <c r="J42" i="33" s="1"/>
  <c r="A41" i="4"/>
  <c r="A40" i="4"/>
  <c r="A40" i="33" s="1"/>
  <c r="D39" i="4"/>
  <c r="C39" i="4"/>
  <c r="C59" i="4" s="1"/>
  <c r="C127" i="4" s="1"/>
  <c r="A39" i="4"/>
  <c r="A39" i="33" s="1"/>
  <c r="J39" i="33" s="1"/>
  <c r="A38" i="4"/>
  <c r="A37" i="4"/>
  <c r="D36" i="4"/>
  <c r="A36" i="4"/>
  <c r="A35" i="4"/>
  <c r="A34" i="4"/>
  <c r="A34" i="33" s="1"/>
  <c r="A33" i="4"/>
  <c r="A33" i="33" s="1"/>
  <c r="D32" i="4"/>
  <c r="A32" i="4"/>
  <c r="A31" i="4"/>
  <c r="A30" i="4"/>
  <c r="A30" i="33" s="1"/>
  <c r="D29" i="4"/>
  <c r="A29" i="4"/>
  <c r="A28" i="4"/>
  <c r="A28" i="33" s="1"/>
  <c r="A27" i="4"/>
  <c r="D26" i="4"/>
  <c r="A26" i="4"/>
  <c r="A25" i="4"/>
  <c r="A24" i="4"/>
  <c r="A23" i="4"/>
  <c r="A22" i="4"/>
  <c r="A22" i="33" s="1"/>
  <c r="A21" i="4"/>
  <c r="A20" i="4"/>
  <c r="A20" i="33" s="1"/>
  <c r="J20" i="33" s="1"/>
  <c r="A19" i="4"/>
  <c r="A18" i="4"/>
  <c r="D17" i="4"/>
  <c r="B17" i="33"/>
  <c r="A17" i="4"/>
  <c r="A17" i="33" s="1"/>
  <c r="J17" i="33" s="1"/>
  <c r="A16" i="4"/>
  <c r="A16" i="33" s="1"/>
  <c r="A15" i="4"/>
  <c r="A14" i="4"/>
  <c r="A13" i="4"/>
  <c r="A13" i="33" s="1"/>
  <c r="A12" i="4"/>
  <c r="A12" i="33" s="1"/>
  <c r="J12" i="33" s="1"/>
  <c r="A11" i="4"/>
  <c r="A10" i="4"/>
  <c r="A10" i="33" s="1"/>
  <c r="A9" i="4"/>
  <c r="A9" i="33" s="1"/>
  <c r="A8" i="4"/>
  <c r="B7" i="4"/>
  <c r="B7" i="46" s="1"/>
  <c r="A7" i="4"/>
  <c r="A7" i="33" s="1"/>
  <c r="J7" i="33" s="1"/>
  <c r="D6" i="4"/>
  <c r="C6" i="4"/>
  <c r="D5" i="4"/>
  <c r="C5" i="4"/>
  <c r="A5" i="4"/>
  <c r="A1" i="4"/>
  <c r="C113" i="71"/>
  <c r="B113" i="71"/>
  <c r="C112" i="71"/>
  <c r="B112" i="71"/>
  <c r="C111" i="71"/>
  <c r="B111" i="71"/>
  <c r="C110" i="71"/>
  <c r="B110" i="71"/>
  <c r="C109" i="71"/>
  <c r="B109" i="71"/>
  <c r="C108" i="71"/>
  <c r="B108" i="71"/>
  <c r="C107" i="71"/>
  <c r="B107" i="71"/>
  <c r="C106" i="71"/>
  <c r="B106" i="71"/>
  <c r="C105" i="71"/>
  <c r="B105" i="71"/>
  <c r="C104" i="71"/>
  <c r="B104" i="71"/>
  <c r="C103" i="71"/>
  <c r="B103" i="71"/>
  <c r="C102" i="71"/>
  <c r="B102" i="71"/>
  <c r="C101" i="71"/>
  <c r="B101" i="71"/>
  <c r="C100" i="71"/>
  <c r="B100" i="71"/>
  <c r="C99" i="71"/>
  <c r="B99" i="71"/>
  <c r="C98" i="71"/>
  <c r="B98" i="71"/>
  <c r="C97" i="71"/>
  <c r="B97" i="71"/>
  <c r="C96" i="71"/>
  <c r="B96" i="71"/>
  <c r="C95" i="71"/>
  <c r="B95" i="71"/>
  <c r="C94" i="71"/>
  <c r="B94" i="71"/>
  <c r="C93" i="71"/>
  <c r="B93" i="71"/>
  <c r="C92" i="71"/>
  <c r="B92" i="71"/>
  <c r="C91" i="71"/>
  <c r="B91" i="71"/>
  <c r="C90" i="71"/>
  <c r="B90" i="71"/>
  <c r="C89" i="71"/>
  <c r="B89" i="71"/>
  <c r="C88" i="71"/>
  <c r="B88" i="71"/>
  <c r="C87" i="71"/>
  <c r="B87" i="71"/>
  <c r="C86" i="71"/>
  <c r="B86" i="71"/>
  <c r="C85" i="71"/>
  <c r="B85" i="71"/>
  <c r="C84" i="71"/>
  <c r="B84" i="71"/>
  <c r="C83" i="71"/>
  <c r="B83" i="71"/>
  <c r="C82" i="71"/>
  <c r="B82" i="71"/>
  <c r="C81" i="71"/>
  <c r="B81" i="71"/>
  <c r="C80" i="71"/>
  <c r="B80" i="71"/>
  <c r="C79" i="71"/>
  <c r="B79" i="71"/>
  <c r="C78" i="71"/>
  <c r="B78" i="71"/>
  <c r="C77" i="71"/>
  <c r="B77" i="71"/>
  <c r="C76" i="71"/>
  <c r="B76" i="71"/>
  <c r="C75" i="71"/>
  <c r="B75" i="71"/>
  <c r="C74" i="71"/>
  <c r="B74" i="71"/>
  <c r="C73" i="71"/>
  <c r="B73" i="71"/>
  <c r="C72" i="71"/>
  <c r="B72" i="71"/>
  <c r="C71" i="71"/>
  <c r="B71" i="71"/>
  <c r="C70" i="71"/>
  <c r="B70" i="71"/>
  <c r="C69" i="71"/>
  <c r="B69" i="71"/>
  <c r="C68" i="71"/>
  <c r="B68" i="71"/>
  <c r="C67" i="71"/>
  <c r="B67" i="71"/>
  <c r="C66" i="71"/>
  <c r="B66" i="71"/>
  <c r="C65" i="71"/>
  <c r="B65" i="71"/>
  <c r="C64" i="71"/>
  <c r="B64" i="71"/>
  <c r="C63" i="71"/>
  <c r="B63" i="71"/>
  <c r="C62" i="71"/>
  <c r="B62" i="71"/>
  <c r="C61" i="71"/>
  <c r="B61" i="71"/>
  <c r="C60" i="71"/>
  <c r="B60" i="71"/>
  <c r="C59" i="71"/>
  <c r="B59" i="71"/>
  <c r="C58" i="71"/>
  <c r="B58" i="71"/>
  <c r="C57" i="71"/>
  <c r="B57" i="71"/>
  <c r="C56" i="71"/>
  <c r="B56" i="71"/>
  <c r="C55" i="71"/>
  <c r="B55" i="71"/>
  <c r="C54" i="71"/>
  <c r="B54" i="71"/>
  <c r="C53" i="71"/>
  <c r="B53" i="71"/>
  <c r="C52" i="71"/>
  <c r="B52" i="71"/>
  <c r="C51" i="71"/>
  <c r="B51" i="71"/>
  <c r="C50" i="71"/>
  <c r="B50" i="71"/>
  <c r="C49" i="71"/>
  <c r="B49" i="71"/>
  <c r="C48" i="71"/>
  <c r="B48" i="71"/>
  <c r="C47" i="71"/>
  <c r="B47" i="71"/>
  <c r="C46" i="71"/>
  <c r="B46" i="71"/>
  <c r="C45" i="71"/>
  <c r="B45" i="71"/>
  <c r="C44" i="71"/>
  <c r="B44" i="71"/>
  <c r="C43" i="71"/>
  <c r="B43" i="71"/>
  <c r="C42" i="71"/>
  <c r="B42" i="71"/>
  <c r="C41" i="71"/>
  <c r="B41" i="71"/>
  <c r="C40" i="71"/>
  <c r="B40" i="71"/>
  <c r="C39" i="71"/>
  <c r="B39" i="71"/>
  <c r="C38" i="71"/>
  <c r="B38" i="71"/>
  <c r="C37" i="71"/>
  <c r="B37" i="71"/>
  <c r="C36" i="71"/>
  <c r="B36" i="71"/>
  <c r="C35" i="71"/>
  <c r="B35" i="71"/>
  <c r="C34" i="71"/>
  <c r="B34" i="71"/>
  <c r="C33" i="71"/>
  <c r="B33" i="71"/>
  <c r="C32" i="71"/>
  <c r="B32" i="71"/>
  <c r="C31" i="71"/>
  <c r="B31" i="71"/>
  <c r="C30" i="71"/>
  <c r="B30" i="71"/>
  <c r="C29" i="71"/>
  <c r="B29" i="71"/>
  <c r="C28" i="71"/>
  <c r="B28" i="71"/>
  <c r="C27" i="71"/>
  <c r="B27" i="71"/>
  <c r="C26" i="71"/>
  <c r="B26" i="71"/>
  <c r="C25" i="71"/>
  <c r="B25" i="71"/>
  <c r="C24" i="71"/>
  <c r="B24" i="71"/>
  <c r="C23" i="71"/>
  <c r="B23" i="71"/>
  <c r="C22" i="71"/>
  <c r="B22" i="71"/>
  <c r="C21" i="71"/>
  <c r="B21" i="71"/>
  <c r="C20" i="71"/>
  <c r="B20" i="71"/>
  <c r="C19" i="71"/>
  <c r="B19" i="71"/>
  <c r="C18" i="71"/>
  <c r="B18" i="71"/>
  <c r="C17" i="71"/>
  <c r="B17" i="71"/>
  <c r="C16" i="71"/>
  <c r="B16" i="71"/>
  <c r="C15" i="71"/>
  <c r="B15" i="71"/>
  <c r="C14" i="71"/>
  <c r="B14" i="71"/>
  <c r="C13" i="71"/>
  <c r="B13" i="71"/>
  <c r="C12" i="71"/>
  <c r="B12" i="71"/>
  <c r="C11" i="71"/>
  <c r="B11" i="71"/>
  <c r="C10" i="71"/>
  <c r="B10" i="71"/>
  <c r="C9" i="71"/>
  <c r="B9" i="71"/>
  <c r="C8" i="71"/>
  <c r="B8" i="71"/>
  <c r="C7" i="71"/>
  <c r="B7" i="71"/>
  <c r="C6" i="71"/>
  <c r="B6" i="71"/>
  <c r="C5" i="71"/>
  <c r="B5" i="71"/>
  <c r="C4" i="71"/>
  <c r="B4" i="71"/>
  <c r="C3" i="71"/>
  <c r="B292" i="72"/>
  <c r="F291" i="72"/>
  <c r="F290" i="72"/>
  <c r="D289" i="72"/>
  <c r="F287" i="72"/>
  <c r="F286" i="72"/>
  <c r="F285" i="72"/>
  <c r="F284" i="72"/>
  <c r="F283" i="72"/>
  <c r="B282" i="72"/>
  <c r="F281" i="72"/>
  <c r="F279" i="72"/>
  <c r="F278" i="72"/>
  <c r="F277" i="72"/>
  <c r="F276" i="72"/>
  <c r="F274" i="72"/>
  <c r="F272" i="72"/>
  <c r="F271" i="72"/>
  <c r="F270" i="72"/>
  <c r="F269" i="72"/>
  <c r="F268" i="72"/>
  <c r="B265" i="72"/>
  <c r="F264" i="72"/>
  <c r="B263" i="72"/>
  <c r="E262" i="72"/>
  <c r="E289" i="72" s="1"/>
  <c r="D262" i="72"/>
  <c r="C262" i="72"/>
  <c r="F262" i="72" s="1"/>
  <c r="B261" i="72"/>
  <c r="E260" i="72"/>
  <c r="D260" i="72"/>
  <c r="F260" i="72" s="1"/>
  <c r="C260" i="72"/>
  <c r="B259" i="72"/>
  <c r="B258" i="72"/>
  <c r="E257" i="72"/>
  <c r="D257" i="72"/>
  <c r="C257" i="72"/>
  <c r="F257" i="72" s="1"/>
  <c r="E256" i="72"/>
  <c r="D256" i="72"/>
  <c r="C256" i="72"/>
  <c r="F256" i="72" s="1"/>
  <c r="E255" i="72"/>
  <c r="D255" i="72"/>
  <c r="C255" i="72"/>
  <c r="F255" i="72" s="1"/>
  <c r="E254" i="72"/>
  <c r="D254" i="72"/>
  <c r="C254" i="72"/>
  <c r="F254" i="72" s="1"/>
  <c r="E253" i="72"/>
  <c r="E258" i="72" s="1"/>
  <c r="D253" i="72"/>
  <c r="D258" i="72" s="1"/>
  <c r="C253" i="72"/>
  <c r="C258" i="72" s="1"/>
  <c r="C252" i="72"/>
  <c r="C259" i="72" s="1"/>
  <c r="B252" i="72"/>
  <c r="E251" i="72"/>
  <c r="D251" i="72"/>
  <c r="C251" i="72"/>
  <c r="F251" i="72" s="1"/>
  <c r="E250" i="72"/>
  <c r="D250" i="72"/>
  <c r="F250" i="72" s="1"/>
  <c r="C250" i="72"/>
  <c r="E249" i="72"/>
  <c r="D249" i="72"/>
  <c r="C249" i="72"/>
  <c r="F249" i="72" s="1"/>
  <c r="E248" i="72"/>
  <c r="D248" i="72"/>
  <c r="F248" i="72" s="1"/>
  <c r="C248" i="72"/>
  <c r="E247" i="72"/>
  <c r="E252" i="72" s="1"/>
  <c r="D247" i="72"/>
  <c r="D252" i="72" s="1"/>
  <c r="D259" i="72" s="1"/>
  <c r="C247" i="72"/>
  <c r="F247" i="72" s="1"/>
  <c r="F246" i="72"/>
  <c r="B245" i="72"/>
  <c r="D244" i="72"/>
  <c r="B244" i="72"/>
  <c r="E243" i="72"/>
  <c r="D243" i="72"/>
  <c r="C243" i="72"/>
  <c r="F243" i="72" s="1"/>
  <c r="E242" i="72"/>
  <c r="D242" i="72"/>
  <c r="C242" i="72"/>
  <c r="F242" i="72" s="1"/>
  <c r="E241" i="72"/>
  <c r="D241" i="72"/>
  <c r="C241" i="72"/>
  <c r="F241" i="72" s="1"/>
  <c r="E240" i="72"/>
  <c r="E244" i="72" s="1"/>
  <c r="D240" i="72"/>
  <c r="C240" i="72"/>
  <c r="F240" i="72" s="1"/>
  <c r="C239" i="72"/>
  <c r="B239" i="72"/>
  <c r="F238" i="72"/>
  <c r="E238" i="72"/>
  <c r="D238" i="72"/>
  <c r="C238" i="72"/>
  <c r="E237" i="72"/>
  <c r="D237" i="72"/>
  <c r="C237" i="72"/>
  <c r="F237" i="72" s="1"/>
  <c r="F236" i="72"/>
  <c r="E236" i="72"/>
  <c r="D236" i="72"/>
  <c r="C236" i="72"/>
  <c r="E235" i="72"/>
  <c r="D235" i="72"/>
  <c r="C235" i="72"/>
  <c r="F235" i="72" s="1"/>
  <c r="F234" i="72"/>
  <c r="E234" i="72"/>
  <c r="E239" i="72" s="1"/>
  <c r="D234" i="72"/>
  <c r="D239" i="72" s="1"/>
  <c r="D245" i="72" s="1"/>
  <c r="C234" i="72"/>
  <c r="F233" i="72"/>
  <c r="B232" i="72"/>
  <c r="B231" i="72"/>
  <c r="E230" i="72"/>
  <c r="D230" i="72"/>
  <c r="C230" i="72"/>
  <c r="F230" i="72" s="1"/>
  <c r="E229" i="72"/>
  <c r="D229" i="72"/>
  <c r="C229" i="72"/>
  <c r="F229" i="72" s="1"/>
  <c r="E228" i="72"/>
  <c r="D228" i="72"/>
  <c r="C228" i="72"/>
  <c r="F228" i="72" s="1"/>
  <c r="E227" i="72"/>
  <c r="E231" i="72" s="1"/>
  <c r="D227" i="72"/>
  <c r="D231" i="72" s="1"/>
  <c r="C227" i="72"/>
  <c r="C231" i="72" s="1"/>
  <c r="E226" i="72"/>
  <c r="C226" i="72"/>
  <c r="B226" i="72"/>
  <c r="E225" i="72"/>
  <c r="D225" i="72"/>
  <c r="F225" i="72" s="1"/>
  <c r="C225" i="72"/>
  <c r="F224" i="72"/>
  <c r="E224" i="72"/>
  <c r="D224" i="72"/>
  <c r="C224" i="72"/>
  <c r="E223" i="72"/>
  <c r="D223" i="72"/>
  <c r="F223" i="72" s="1"/>
  <c r="C223" i="72"/>
  <c r="F222" i="72"/>
  <c r="F221" i="72"/>
  <c r="F220" i="72"/>
  <c r="F219" i="72"/>
  <c r="F218" i="72"/>
  <c r="F217" i="72"/>
  <c r="F216" i="72"/>
  <c r="E216" i="72"/>
  <c r="D216" i="72"/>
  <c r="C216" i="72"/>
  <c r="F215" i="72"/>
  <c r="F214" i="72"/>
  <c r="F213" i="72"/>
  <c r="F212" i="72"/>
  <c r="E212" i="72"/>
  <c r="D212" i="72"/>
  <c r="C212" i="72"/>
  <c r="F211" i="72"/>
  <c r="E211" i="72"/>
  <c r="D211" i="72"/>
  <c r="C211" i="72"/>
  <c r="B210" i="72"/>
  <c r="F209" i="72"/>
  <c r="E209" i="72"/>
  <c r="D209" i="72"/>
  <c r="C209" i="72"/>
  <c r="E208" i="72"/>
  <c r="D208" i="72"/>
  <c r="F208" i="72" s="1"/>
  <c r="C208" i="72"/>
  <c r="F207" i="72"/>
  <c r="E207" i="72"/>
  <c r="D207" i="72"/>
  <c r="C207" i="72"/>
  <c r="E206" i="72"/>
  <c r="D206" i="72"/>
  <c r="F206" i="72" s="1"/>
  <c r="C206" i="72"/>
  <c r="F205" i="72"/>
  <c r="E205" i="72"/>
  <c r="D205" i="72"/>
  <c r="C205" i="72"/>
  <c r="E204" i="72"/>
  <c r="D204" i="72"/>
  <c r="F204" i="72" s="1"/>
  <c r="C204" i="72"/>
  <c r="F203" i="72"/>
  <c r="E203" i="72"/>
  <c r="D203" i="72"/>
  <c r="C203" i="72"/>
  <c r="B202" i="72"/>
  <c r="E201" i="72"/>
  <c r="D201" i="72"/>
  <c r="C201" i="72"/>
  <c r="F201" i="72" s="1"/>
  <c r="B200" i="72"/>
  <c r="E199" i="72"/>
  <c r="F199" i="72" s="1"/>
  <c r="D199" i="72"/>
  <c r="C199" i="72"/>
  <c r="F198" i="72"/>
  <c r="E198" i="72"/>
  <c r="D198" i="72"/>
  <c r="C198" i="72"/>
  <c r="E197" i="72"/>
  <c r="F197" i="72" s="1"/>
  <c r="D197" i="72"/>
  <c r="C197" i="72"/>
  <c r="F196" i="72"/>
  <c r="E196" i="72"/>
  <c r="D196" i="72"/>
  <c r="C196" i="72"/>
  <c r="B195" i="72"/>
  <c r="F194" i="72"/>
  <c r="B193" i="72"/>
  <c r="F192" i="72"/>
  <c r="B191" i="72"/>
  <c r="E190" i="72"/>
  <c r="D190" i="72"/>
  <c r="C190" i="72"/>
  <c r="F190" i="72" s="1"/>
  <c r="E188" i="72"/>
  <c r="D188" i="72"/>
  <c r="C188" i="72"/>
  <c r="F188" i="72" s="1"/>
  <c r="E187" i="72"/>
  <c r="D187" i="72"/>
  <c r="C187" i="72"/>
  <c r="F187" i="72" s="1"/>
  <c r="E185" i="72"/>
  <c r="D185" i="72"/>
  <c r="C185" i="72"/>
  <c r="F185" i="72" s="1"/>
  <c r="E184" i="72"/>
  <c r="E266" i="72" s="1"/>
  <c r="D184" i="72"/>
  <c r="D266" i="72" s="1"/>
  <c r="C184" i="72"/>
  <c r="F184" i="72" s="1"/>
  <c r="E183" i="72"/>
  <c r="E267" i="72" s="1"/>
  <c r="D183" i="72"/>
  <c r="D267" i="72" s="1"/>
  <c r="C183" i="72"/>
  <c r="C267" i="72" s="1"/>
  <c r="E182" i="72"/>
  <c r="E273" i="72" s="1"/>
  <c r="D182" i="72"/>
  <c r="D273" i="72" s="1"/>
  <c r="C182" i="72"/>
  <c r="F182" i="72" s="1"/>
  <c r="E181" i="72"/>
  <c r="D181" i="72"/>
  <c r="C181" i="72"/>
  <c r="F181" i="72" s="1"/>
  <c r="E180" i="72"/>
  <c r="E275" i="72" s="1"/>
  <c r="D180" i="72"/>
  <c r="D275" i="72" s="1"/>
  <c r="C180" i="72"/>
  <c r="F180" i="72" s="1"/>
  <c r="E179" i="72"/>
  <c r="D179" i="72"/>
  <c r="C179" i="72"/>
  <c r="F179" i="72" s="1"/>
  <c r="E178" i="72"/>
  <c r="D178" i="72"/>
  <c r="C178" i="72"/>
  <c r="F178" i="72" s="1"/>
  <c r="E177" i="72"/>
  <c r="D177" i="72"/>
  <c r="C177" i="72"/>
  <c r="F177" i="72" s="1"/>
  <c r="E176" i="72"/>
  <c r="D176" i="72"/>
  <c r="C176" i="72"/>
  <c r="F176" i="72" s="1"/>
  <c r="E175" i="72"/>
  <c r="D175" i="72"/>
  <c r="C175" i="72"/>
  <c r="F175" i="72" s="1"/>
  <c r="E174" i="72"/>
  <c r="D174" i="72"/>
  <c r="C174" i="72"/>
  <c r="F174" i="72" s="1"/>
  <c r="E173" i="72"/>
  <c r="D173" i="72"/>
  <c r="C173" i="72"/>
  <c r="F173" i="72" s="1"/>
  <c r="E172" i="72"/>
  <c r="D172" i="72"/>
  <c r="C172" i="72"/>
  <c r="C171" i="72" s="1"/>
  <c r="F171" i="72" s="1"/>
  <c r="E171" i="72"/>
  <c r="D171" i="72"/>
  <c r="E170" i="72"/>
  <c r="D170" i="72"/>
  <c r="C170" i="72"/>
  <c r="F170" i="72" s="1"/>
  <c r="E169" i="72"/>
  <c r="E168" i="72" s="1"/>
  <c r="E186" i="72" s="1"/>
  <c r="E189" i="72" s="1"/>
  <c r="E191" i="72" s="1"/>
  <c r="D169" i="72"/>
  <c r="D168" i="72" s="1"/>
  <c r="D186" i="72" s="1"/>
  <c r="D189" i="72" s="1"/>
  <c r="D191" i="72" s="1"/>
  <c r="C169" i="72"/>
  <c r="F169" i="72" s="1"/>
  <c r="C168" i="72"/>
  <c r="E165" i="72"/>
  <c r="D165" i="72"/>
  <c r="C165" i="72"/>
  <c r="F165" i="72" s="1"/>
  <c r="E162" i="72"/>
  <c r="D162" i="72"/>
  <c r="C162" i="72"/>
  <c r="F162" i="72" s="1"/>
  <c r="E161" i="72"/>
  <c r="D161" i="72"/>
  <c r="C161" i="72"/>
  <c r="F161" i="72" s="1"/>
  <c r="E160" i="72"/>
  <c r="D160" i="72"/>
  <c r="C160" i="72"/>
  <c r="F160" i="72" s="1"/>
  <c r="E159" i="72"/>
  <c r="D159" i="72"/>
  <c r="C159" i="72"/>
  <c r="F159" i="72" s="1"/>
  <c r="E158" i="72"/>
  <c r="D158" i="72"/>
  <c r="C158" i="72"/>
  <c r="F158" i="72" s="1"/>
  <c r="E157" i="72"/>
  <c r="D157" i="72"/>
  <c r="C157" i="72"/>
  <c r="F157" i="72" s="1"/>
  <c r="E156" i="72"/>
  <c r="D156" i="72"/>
  <c r="C156" i="72"/>
  <c r="F156" i="72" s="1"/>
  <c r="E155" i="72"/>
  <c r="D155" i="72"/>
  <c r="C155" i="72"/>
  <c r="E154" i="72"/>
  <c r="D154" i="72"/>
  <c r="C154" i="72"/>
  <c r="F154" i="72" s="1"/>
  <c r="F153" i="72"/>
  <c r="F150" i="72"/>
  <c r="E150" i="72"/>
  <c r="D150" i="72"/>
  <c r="C150" i="72"/>
  <c r="E149" i="72"/>
  <c r="D149" i="72"/>
  <c r="F149" i="72" s="1"/>
  <c r="C149" i="72"/>
  <c r="F148" i="72"/>
  <c r="E148" i="72"/>
  <c r="D148" i="72"/>
  <c r="C148" i="72"/>
  <c r="E147" i="72"/>
  <c r="D147" i="72"/>
  <c r="F147" i="72" s="1"/>
  <c r="C147" i="72"/>
  <c r="F146" i="72"/>
  <c r="E146" i="72"/>
  <c r="D146" i="72"/>
  <c r="C146" i="72"/>
  <c r="E145" i="72"/>
  <c r="D145" i="72"/>
  <c r="F145" i="72" s="1"/>
  <c r="C145" i="72"/>
  <c r="F144" i="72"/>
  <c r="E144" i="72"/>
  <c r="D144" i="72"/>
  <c r="C144" i="72"/>
  <c r="E143" i="72"/>
  <c r="D143" i="72"/>
  <c r="F143" i="72" s="1"/>
  <c r="C143" i="72"/>
  <c r="F142" i="72"/>
  <c r="E142" i="72"/>
  <c r="D142" i="72"/>
  <c r="C142" i="72"/>
  <c r="E141" i="72"/>
  <c r="E151" i="72" s="1"/>
  <c r="D141" i="72"/>
  <c r="F141" i="72" s="1"/>
  <c r="C141" i="72"/>
  <c r="C151" i="72" s="1"/>
  <c r="F140" i="72"/>
  <c r="E138" i="72"/>
  <c r="D138" i="72"/>
  <c r="C138" i="72"/>
  <c r="F138" i="72" s="1"/>
  <c r="E137" i="72"/>
  <c r="F137" i="72" s="1"/>
  <c r="D137" i="72"/>
  <c r="C137" i="72"/>
  <c r="E136" i="72"/>
  <c r="D136" i="72"/>
  <c r="C136" i="72"/>
  <c r="F136" i="72" s="1"/>
  <c r="E135" i="72"/>
  <c r="D135" i="72"/>
  <c r="C135" i="72"/>
  <c r="F135" i="72" s="1"/>
  <c r="E134" i="72"/>
  <c r="D134" i="72"/>
  <c r="C134" i="72"/>
  <c r="F134" i="72" s="1"/>
  <c r="E133" i="72"/>
  <c r="D133" i="72"/>
  <c r="C133" i="72"/>
  <c r="F133" i="72" s="1"/>
  <c r="E132" i="72"/>
  <c r="D132" i="72"/>
  <c r="C132" i="72"/>
  <c r="F132" i="72" s="1"/>
  <c r="E131" i="72"/>
  <c r="D131" i="72"/>
  <c r="C131" i="72"/>
  <c r="F131" i="72" s="1"/>
  <c r="E130" i="72"/>
  <c r="D130" i="72"/>
  <c r="C130" i="72"/>
  <c r="F130" i="72" s="1"/>
  <c r="E129" i="72"/>
  <c r="D129" i="72"/>
  <c r="C129" i="72"/>
  <c r="F129" i="72" s="1"/>
  <c r="E128" i="72"/>
  <c r="D128" i="72"/>
  <c r="C128" i="72"/>
  <c r="F128" i="72" s="1"/>
  <c r="E127" i="72"/>
  <c r="D127" i="72"/>
  <c r="C127" i="72"/>
  <c r="F127" i="72" s="1"/>
  <c r="E126" i="72"/>
  <c r="D126" i="72"/>
  <c r="C126" i="72"/>
  <c r="F126" i="72" s="1"/>
  <c r="E125" i="72"/>
  <c r="D125" i="72"/>
  <c r="C125" i="72"/>
  <c r="F125" i="72" s="1"/>
  <c r="E124" i="72"/>
  <c r="D124" i="72"/>
  <c r="C124" i="72"/>
  <c r="F124" i="72" s="1"/>
  <c r="E123" i="72"/>
  <c r="E139" i="72" s="1"/>
  <c r="D123" i="72"/>
  <c r="D139" i="72" s="1"/>
  <c r="C123" i="72"/>
  <c r="F122" i="72"/>
  <c r="E119" i="72"/>
  <c r="D119" i="72"/>
  <c r="F119" i="72" s="1"/>
  <c r="C119" i="72"/>
  <c r="F118" i="72"/>
  <c r="E118" i="72"/>
  <c r="D118" i="72"/>
  <c r="C118" i="72"/>
  <c r="E117" i="72"/>
  <c r="D117" i="72"/>
  <c r="F117" i="72" s="1"/>
  <c r="C117" i="72"/>
  <c r="E115" i="72"/>
  <c r="D115" i="72"/>
  <c r="F115" i="72" s="1"/>
  <c r="C115" i="72"/>
  <c r="F114" i="72"/>
  <c r="E114" i="72"/>
  <c r="E116" i="72" s="1"/>
  <c r="D114" i="72"/>
  <c r="C114" i="72"/>
  <c r="C116" i="72" s="1"/>
  <c r="E113" i="72"/>
  <c r="C113" i="72"/>
  <c r="B113" i="72"/>
  <c r="F111" i="72"/>
  <c r="E111" i="72"/>
  <c r="D111" i="72"/>
  <c r="D113" i="72" s="1"/>
  <c r="C111" i="72"/>
  <c r="F109" i="72"/>
  <c r="E109" i="72"/>
  <c r="D109" i="72"/>
  <c r="C109" i="72"/>
  <c r="E107" i="72"/>
  <c r="D107" i="72"/>
  <c r="F107" i="72" s="1"/>
  <c r="C107" i="72"/>
  <c r="E106" i="72"/>
  <c r="E108" i="72" s="1"/>
  <c r="E110" i="72" s="1"/>
  <c r="D106" i="72"/>
  <c r="F106" i="72" s="1"/>
  <c r="C106" i="72"/>
  <c r="C108" i="72" s="1"/>
  <c r="E104" i="72"/>
  <c r="D104" i="72"/>
  <c r="F104" i="72" s="1"/>
  <c r="C104" i="72"/>
  <c r="E102" i="72"/>
  <c r="D102" i="72"/>
  <c r="F102" i="72" s="1"/>
  <c r="C102" i="72"/>
  <c r="E101" i="72"/>
  <c r="E103" i="72" s="1"/>
  <c r="E105" i="72" s="1"/>
  <c r="D101" i="72"/>
  <c r="F101" i="72" s="1"/>
  <c r="C101" i="72"/>
  <c r="C103" i="72" s="1"/>
  <c r="E96" i="72"/>
  <c r="D96" i="72"/>
  <c r="F96" i="72" s="1"/>
  <c r="C96" i="72"/>
  <c r="E91" i="72"/>
  <c r="D91" i="72"/>
  <c r="F91" i="72" s="1"/>
  <c r="C91" i="72"/>
  <c r="E90" i="72"/>
  <c r="D90" i="72"/>
  <c r="F90" i="72" s="1"/>
  <c r="C90" i="72"/>
  <c r="E88" i="72"/>
  <c r="D88" i="72"/>
  <c r="F88" i="72" s="1"/>
  <c r="C88" i="72"/>
  <c r="E87" i="72"/>
  <c r="E89" i="72" s="1"/>
  <c r="D87" i="72"/>
  <c r="F87" i="72" s="1"/>
  <c r="C87" i="72"/>
  <c r="C89" i="72" s="1"/>
  <c r="D86" i="72"/>
  <c r="E85" i="72"/>
  <c r="D85" i="72"/>
  <c r="F85" i="72" s="1"/>
  <c r="C85" i="72"/>
  <c r="E84" i="72"/>
  <c r="E86" i="72" s="1"/>
  <c r="D84" i="72"/>
  <c r="F84" i="72" s="1"/>
  <c r="C84" i="72"/>
  <c r="C86" i="72" s="1"/>
  <c r="F86" i="72" s="1"/>
  <c r="E82" i="72"/>
  <c r="D82" i="72"/>
  <c r="F82" i="72" s="1"/>
  <c r="C82" i="72"/>
  <c r="E80" i="72"/>
  <c r="D80" i="72"/>
  <c r="F80" i="72" s="1"/>
  <c r="C80" i="72"/>
  <c r="E79" i="72"/>
  <c r="E81" i="72" s="1"/>
  <c r="E83" i="72" s="1"/>
  <c r="D79" i="72"/>
  <c r="F79" i="72" s="1"/>
  <c r="C79" i="72"/>
  <c r="C81" i="72" s="1"/>
  <c r="E77" i="72"/>
  <c r="D77" i="72"/>
  <c r="F77" i="72" s="1"/>
  <c r="C77" i="72"/>
  <c r="D76" i="72"/>
  <c r="D78" i="72" s="1"/>
  <c r="E75" i="72"/>
  <c r="D75" i="72"/>
  <c r="F75" i="72" s="1"/>
  <c r="C75" i="72"/>
  <c r="E74" i="72"/>
  <c r="E76" i="72" s="1"/>
  <c r="E78" i="72" s="1"/>
  <c r="D74" i="72"/>
  <c r="F74" i="72" s="1"/>
  <c r="C74" i="72"/>
  <c r="C76" i="72" s="1"/>
  <c r="E71" i="72"/>
  <c r="D71" i="72"/>
  <c r="F71" i="72" s="1"/>
  <c r="C71" i="72"/>
  <c r="E68" i="72"/>
  <c r="D68" i="72"/>
  <c r="F68" i="72" s="1"/>
  <c r="C68" i="72"/>
  <c r="E66" i="72"/>
  <c r="D66" i="72"/>
  <c r="C66" i="72"/>
  <c r="F66" i="72" s="1"/>
  <c r="E65" i="72"/>
  <c r="E67" i="72" s="1"/>
  <c r="D65" i="72"/>
  <c r="F65" i="72" s="1"/>
  <c r="C65" i="72"/>
  <c r="C67" i="72" s="1"/>
  <c r="E62" i="72"/>
  <c r="D62" i="72"/>
  <c r="C62" i="72"/>
  <c r="F62" i="72" s="1"/>
  <c r="D61" i="72"/>
  <c r="E60" i="72"/>
  <c r="D60" i="72"/>
  <c r="C60" i="72"/>
  <c r="F60" i="72" s="1"/>
  <c r="E59" i="72"/>
  <c r="E61" i="72" s="1"/>
  <c r="D59" i="72"/>
  <c r="F59" i="72" s="1"/>
  <c r="C59" i="72"/>
  <c r="E58" i="72"/>
  <c r="D58" i="72"/>
  <c r="C58" i="72"/>
  <c r="C55" i="72"/>
  <c r="F55" i="72" s="1"/>
  <c r="E54" i="72"/>
  <c r="D54" i="72"/>
  <c r="C54" i="72"/>
  <c r="F54" i="72" s="1"/>
  <c r="F53" i="72"/>
  <c r="E53" i="72"/>
  <c r="E55" i="72" s="1"/>
  <c r="D53" i="72"/>
  <c r="D55" i="72" s="1"/>
  <c r="C53" i="72"/>
  <c r="E52" i="72"/>
  <c r="D52" i="72"/>
  <c r="C52" i="72"/>
  <c r="E49" i="72"/>
  <c r="E120" i="72" s="1"/>
  <c r="F48" i="72"/>
  <c r="E48" i="72"/>
  <c r="D48" i="72"/>
  <c r="C48" i="72"/>
  <c r="E47" i="72"/>
  <c r="D47" i="72"/>
  <c r="D49" i="72" s="1"/>
  <c r="C47" i="72"/>
  <c r="C49" i="72" s="1"/>
  <c r="F46" i="72"/>
  <c r="F44" i="72"/>
  <c r="E44" i="72"/>
  <c r="D44" i="72"/>
  <c r="C44" i="72"/>
  <c r="E43" i="72"/>
  <c r="D43" i="72"/>
  <c r="C43" i="72"/>
  <c r="D42" i="72"/>
  <c r="E41" i="72"/>
  <c r="D41" i="72"/>
  <c r="C41" i="72"/>
  <c r="F41" i="72" s="1"/>
  <c r="E40" i="72"/>
  <c r="E42" i="72" s="1"/>
  <c r="D40" i="72"/>
  <c r="C40" i="72"/>
  <c r="F40" i="72" s="1"/>
  <c r="E38" i="72"/>
  <c r="D38" i="72"/>
  <c r="C38" i="72"/>
  <c r="C39" i="72" s="1"/>
  <c r="F39" i="72" s="1"/>
  <c r="E37" i="72"/>
  <c r="E39" i="72" s="1"/>
  <c r="D37" i="72"/>
  <c r="D39" i="72" s="1"/>
  <c r="C37" i="72"/>
  <c r="D36" i="72"/>
  <c r="E35" i="72"/>
  <c r="D35" i="72"/>
  <c r="C35" i="72"/>
  <c r="E34" i="72"/>
  <c r="E36" i="72" s="1"/>
  <c r="D34" i="72"/>
  <c r="C34" i="72"/>
  <c r="C36" i="72" s="1"/>
  <c r="F36" i="72" s="1"/>
  <c r="C33" i="72"/>
  <c r="E32" i="72"/>
  <c r="D32" i="72"/>
  <c r="C32" i="72"/>
  <c r="F32" i="72" s="1"/>
  <c r="E31" i="72"/>
  <c r="E33" i="72" s="1"/>
  <c r="D31" i="72"/>
  <c r="D33" i="72" s="1"/>
  <c r="C31" i="72"/>
  <c r="D30" i="72"/>
  <c r="E29" i="72"/>
  <c r="D29" i="72"/>
  <c r="C29" i="72"/>
  <c r="F29" i="72" s="1"/>
  <c r="E28" i="72"/>
  <c r="E30" i="72" s="1"/>
  <c r="D28" i="72"/>
  <c r="C28" i="72"/>
  <c r="F28" i="72" s="1"/>
  <c r="E26" i="72"/>
  <c r="D26" i="72"/>
  <c r="C26" i="72"/>
  <c r="C27" i="72" s="1"/>
  <c r="E25" i="72"/>
  <c r="E27" i="72" s="1"/>
  <c r="D25" i="72"/>
  <c r="D27" i="72" s="1"/>
  <c r="C25" i="72"/>
  <c r="D24" i="72"/>
  <c r="E23" i="72"/>
  <c r="D23" i="72"/>
  <c r="C23" i="72"/>
  <c r="E22" i="72"/>
  <c r="E24" i="72" s="1"/>
  <c r="D22" i="72"/>
  <c r="C22" i="72"/>
  <c r="C24" i="72" s="1"/>
  <c r="F24" i="72" s="1"/>
  <c r="D21" i="72"/>
  <c r="F20" i="72"/>
  <c r="E20" i="72"/>
  <c r="D20" i="72"/>
  <c r="C20" i="72"/>
  <c r="E19" i="72"/>
  <c r="E21" i="72" s="1"/>
  <c r="D19" i="72"/>
  <c r="C19" i="72"/>
  <c r="C21" i="72" s="1"/>
  <c r="F21" i="72" s="1"/>
  <c r="E18" i="72"/>
  <c r="C18" i="72"/>
  <c r="E17" i="72"/>
  <c r="D17" i="72"/>
  <c r="C17" i="72"/>
  <c r="F16" i="72"/>
  <c r="E16" i="72"/>
  <c r="D16" i="72"/>
  <c r="D18" i="72" s="1"/>
  <c r="C16" i="72"/>
  <c r="C15" i="72"/>
  <c r="E14" i="72"/>
  <c r="E15" i="72" s="1"/>
  <c r="D14" i="72"/>
  <c r="C14" i="72"/>
  <c r="F14" i="72" s="1"/>
  <c r="E13" i="72"/>
  <c r="D13" i="72"/>
  <c r="D15" i="72" s="1"/>
  <c r="C13" i="72"/>
  <c r="F13" i="72" s="1"/>
  <c r="E12" i="72"/>
  <c r="D12" i="72"/>
  <c r="F12" i="72" s="1"/>
  <c r="C12" i="72"/>
  <c r="E11" i="72"/>
  <c r="D11" i="72"/>
  <c r="C11" i="72"/>
  <c r="E10" i="72"/>
  <c r="D10" i="72"/>
  <c r="C10" i="72"/>
  <c r="F10" i="72" s="1"/>
  <c r="E9" i="72"/>
  <c r="D9" i="72"/>
  <c r="C9" i="72"/>
  <c r="B6" i="72"/>
  <c r="B5" i="72"/>
  <c r="E51" i="3"/>
  <c r="S173" i="3" s="1"/>
  <c r="R173" i="32" s="1"/>
  <c r="L6" i="3"/>
  <c r="B280" i="4" s="1"/>
  <c r="I6" i="3"/>
  <c r="C6" i="3"/>
  <c r="E38" i="2"/>
  <c r="E37" i="2"/>
  <c r="E36" i="2"/>
  <c r="E35" i="2"/>
  <c r="E34" i="2"/>
  <c r="E33" i="2"/>
  <c r="E31" i="2"/>
  <c r="E30" i="2"/>
  <c r="E29" i="2"/>
  <c r="E28" i="2"/>
  <c r="E26" i="2"/>
  <c r="I12" i="2"/>
  <c r="I11" i="2"/>
  <c r="C26" i="45"/>
  <c r="G69" i="52" l="1"/>
  <c r="H69" i="52"/>
  <c r="I69" i="52" s="1"/>
  <c r="D401" i="36"/>
  <c r="C57" i="53"/>
  <c r="G12" i="52"/>
  <c r="H12" i="52"/>
  <c r="I12" i="52" s="1"/>
  <c r="A128" i="52"/>
  <c r="A128" i="48"/>
  <c r="F128" i="48"/>
  <c r="K128" i="48" s="1"/>
  <c r="L128" i="48" s="1"/>
  <c r="G128" i="48"/>
  <c r="H128" i="48" s="1"/>
  <c r="I128" i="48" s="1"/>
  <c r="G128" i="52"/>
  <c r="F128" i="52"/>
  <c r="H128" i="52"/>
  <c r="I128" i="52" s="1"/>
  <c r="H49" i="53"/>
  <c r="G49" i="53"/>
  <c r="D49" i="53"/>
  <c r="K49" i="53" s="1"/>
  <c r="L49" i="53" s="1"/>
  <c r="G20" i="52"/>
  <c r="H20" i="52" s="1"/>
  <c r="I20" i="52" s="1"/>
  <c r="G17" i="52"/>
  <c r="H17" i="52"/>
  <c r="I17" i="52" s="1"/>
  <c r="I30" i="49"/>
  <c r="J30" i="56"/>
  <c r="J29" i="56"/>
  <c r="C69" i="69"/>
  <c r="C13" i="67" s="1"/>
  <c r="D13" i="67" s="1"/>
  <c r="E31" i="69"/>
  <c r="C23" i="69" s="1"/>
  <c r="C41" i="69" s="1"/>
  <c r="C24" i="67"/>
  <c r="D24" i="67" s="1"/>
  <c r="C33" i="67"/>
  <c r="D33" i="67" s="1"/>
  <c r="C173" i="69"/>
  <c r="C32" i="69"/>
  <c r="C122" i="69"/>
  <c r="C155" i="69" s="1"/>
  <c r="C90" i="69"/>
  <c r="E32" i="69"/>
  <c r="C23" i="67"/>
  <c r="D23" i="67" s="1"/>
  <c r="D18" i="67"/>
  <c r="C7" i="67"/>
  <c r="D7" i="67" s="1"/>
  <c r="C22" i="69"/>
  <c r="D12" i="67"/>
  <c r="C40" i="69"/>
  <c r="C9" i="67"/>
  <c r="D9" i="67" s="1"/>
  <c r="E40" i="69"/>
  <c r="C42" i="67"/>
  <c r="D42" i="67" s="1"/>
  <c r="E22" i="69"/>
  <c r="N111" i="32" a="1"/>
  <c r="N111" i="32" s="1"/>
  <c r="O14" i="32" a="1"/>
  <c r="O14" i="32" s="1"/>
  <c r="O22" i="32" a="1"/>
  <c r="O22" i="32" s="1"/>
  <c r="O30" i="32" a="1"/>
  <c r="O30" i="32" s="1"/>
  <c r="O38" i="32" a="1"/>
  <c r="O38" i="32" s="1"/>
  <c r="O46" i="32" a="1"/>
  <c r="O46" i="32" s="1"/>
  <c r="O54" i="32" a="1"/>
  <c r="O54" i="32" s="1"/>
  <c r="O62" i="32" a="1"/>
  <c r="O62" i="32" s="1"/>
  <c r="O70" i="32" a="1"/>
  <c r="O70" i="32" s="1"/>
  <c r="O86" i="32" a="1"/>
  <c r="O86" i="32" s="1"/>
  <c r="O94" i="32" a="1"/>
  <c r="O94" i="32" s="1"/>
  <c r="O102" i="32" a="1"/>
  <c r="O102" i="32" s="1"/>
  <c r="O110" i="32" a="1"/>
  <c r="O110" i="32" s="1"/>
  <c r="N27" i="32" a="1"/>
  <c r="N27" i="32" s="1"/>
  <c r="N35" i="32" a="1"/>
  <c r="N35" i="32" s="1"/>
  <c r="N43" i="32" a="1"/>
  <c r="N43" i="32" s="1"/>
  <c r="N51" i="32" a="1"/>
  <c r="N51" i="32" s="1"/>
  <c r="N67" i="32" a="1"/>
  <c r="N67" i="32" s="1"/>
  <c r="N83" i="32" a="1"/>
  <c r="N83" i="32" s="1"/>
  <c r="N91" i="32" a="1"/>
  <c r="N91" i="32" s="1"/>
  <c r="N99" i="32" a="1"/>
  <c r="N99" i="32" s="1"/>
  <c r="O95" i="32" a="1"/>
  <c r="O95" i="32" s="1"/>
  <c r="O111" i="32" a="1"/>
  <c r="O111" i="32" s="1"/>
  <c r="N36" i="32" a="1"/>
  <c r="N36" i="32" s="1"/>
  <c r="N52" i="32" a="1"/>
  <c r="N52" i="32" s="1"/>
  <c r="N104" i="32" a="1"/>
  <c r="N104" i="32" s="1"/>
  <c r="N112" i="32" a="1"/>
  <c r="N112" i="32" s="1"/>
  <c r="O15" i="32" a="1"/>
  <c r="O15" i="32" s="1"/>
  <c r="O23" i="32" a="1"/>
  <c r="O23" i="32" s="1"/>
  <c r="O31" i="32" a="1"/>
  <c r="O31" i="32" s="1"/>
  <c r="O39" i="32" a="1"/>
  <c r="O39" i="32" s="1"/>
  <c r="O47" i="32" a="1"/>
  <c r="O47" i="32" s="1"/>
  <c r="O55" i="32" a="1"/>
  <c r="O55" i="32" s="1"/>
  <c r="O63" i="32" a="1"/>
  <c r="O63" i="32" s="1"/>
  <c r="O71" i="32" a="1"/>
  <c r="O71" i="32" s="1"/>
  <c r="O87" i="32" a="1"/>
  <c r="O87" i="32" s="1"/>
  <c r="O103" i="32" a="1"/>
  <c r="O103" i="32" s="1"/>
  <c r="N12" i="32" a="1"/>
  <c r="N12" i="32" s="1"/>
  <c r="N28" i="32" a="1"/>
  <c r="N28" i="32" s="1"/>
  <c r="N68" i="32" a="1"/>
  <c r="N68" i="32" s="1"/>
  <c r="N105" i="32" a="1"/>
  <c r="N105" i="32" s="1"/>
  <c r="O8" i="32" a="1"/>
  <c r="O8" i="32" s="1"/>
  <c r="O16" i="32" a="1"/>
  <c r="O16" i="32" s="1"/>
  <c r="O24" i="32" a="1"/>
  <c r="O24" i="32" s="1"/>
  <c r="O32" i="32" a="1"/>
  <c r="O32" i="32" s="1"/>
  <c r="O40" i="32" a="1"/>
  <c r="O40" i="32" s="1"/>
  <c r="O48" i="32" a="1"/>
  <c r="O48" i="32" s="1"/>
  <c r="O56" i="32" a="1"/>
  <c r="O56" i="32" s="1"/>
  <c r="O64" i="32" a="1"/>
  <c r="O64" i="32" s="1"/>
  <c r="O72" i="32" a="1"/>
  <c r="O72" i="32" s="1"/>
  <c r="O88" i="32" a="1"/>
  <c r="O88" i="32" s="1"/>
  <c r="O96" i="32" a="1"/>
  <c r="O96" i="32" s="1"/>
  <c r="O104" i="32" a="1"/>
  <c r="O104" i="32" s="1"/>
  <c r="O112" i="32" a="1"/>
  <c r="O112" i="32" s="1"/>
  <c r="N29" i="32" a="1"/>
  <c r="N29" i="32" s="1"/>
  <c r="N37" i="32" a="1"/>
  <c r="N37" i="32" s="1"/>
  <c r="N61" i="32" a="1"/>
  <c r="N61" i="32" s="1"/>
  <c r="N85" i="32" a="1"/>
  <c r="N85" i="32" s="1"/>
  <c r="N93" i="32" a="1"/>
  <c r="N93" i="32" s="1"/>
  <c r="N101" i="32" a="1"/>
  <c r="N101" i="32" s="1"/>
  <c r="O99" i="32" a="1"/>
  <c r="O99" i="32" s="1"/>
  <c r="N24" i="32" a="1"/>
  <c r="N24" i="32" s="1"/>
  <c r="N56" i="32" a="1"/>
  <c r="N56" i="32" s="1"/>
  <c r="N58" i="32" a="1"/>
  <c r="N58" i="32" s="1"/>
  <c r="N84" i="32" a="1"/>
  <c r="N84" i="32" s="1"/>
  <c r="N106" i="32" a="1"/>
  <c r="N106" i="32" s="1"/>
  <c r="O9" i="32" a="1"/>
  <c r="O9" i="32" s="1"/>
  <c r="O17" i="32" a="1"/>
  <c r="O17" i="32" s="1"/>
  <c r="O25" i="32" a="1"/>
  <c r="O25" i="32" s="1"/>
  <c r="O33" i="32" a="1"/>
  <c r="O33" i="32" s="1"/>
  <c r="O41" i="32" a="1"/>
  <c r="O41" i="32" s="1"/>
  <c r="O49" i="32" a="1"/>
  <c r="O49" i="32" s="1"/>
  <c r="O57" i="32" a="1"/>
  <c r="O57" i="32" s="1"/>
  <c r="O65" i="32" a="1"/>
  <c r="O65" i="32" s="1"/>
  <c r="O73" i="32" a="1"/>
  <c r="O73" i="32" s="1"/>
  <c r="O89" i="32" a="1"/>
  <c r="O89" i="32" s="1"/>
  <c r="O97" i="32" a="1"/>
  <c r="O97" i="32" s="1"/>
  <c r="O105" i="32" a="1"/>
  <c r="O105" i="32" s="1"/>
  <c r="O113" i="32" a="1"/>
  <c r="O113" i="32" s="1"/>
  <c r="N14" i="32" a="1"/>
  <c r="N14" i="32" s="1"/>
  <c r="N22" i="32" a="1"/>
  <c r="N22" i="32" s="1"/>
  <c r="N30" i="32" a="1"/>
  <c r="N30" i="32" s="1"/>
  <c r="N62" i="32" a="1"/>
  <c r="N62" i="32" s="1"/>
  <c r="N86" i="32" a="1"/>
  <c r="N86" i="32" s="1"/>
  <c r="N94" i="32" a="1"/>
  <c r="N94" i="32" s="1"/>
  <c r="N102" i="32" a="1"/>
  <c r="N102" i="32" s="1"/>
  <c r="N103" i="32" a="1"/>
  <c r="N103" i="32" s="1"/>
  <c r="O75" i="32" a="1"/>
  <c r="O75" i="32" s="1"/>
  <c r="N8" i="32" a="1"/>
  <c r="N8" i="32" s="1"/>
  <c r="N32" i="32" a="1"/>
  <c r="N32" i="32" s="1"/>
  <c r="N72" i="32" a="1"/>
  <c r="N72" i="32" s="1"/>
  <c r="N7" i="32" a="1"/>
  <c r="N7" i="32" s="1"/>
  <c r="N98" i="32" a="1"/>
  <c r="N98" i="32" s="1"/>
  <c r="N107" i="32" a="1"/>
  <c r="N107" i="32" s="1"/>
  <c r="O10" i="32" a="1"/>
  <c r="O10" i="32" s="1"/>
  <c r="O18" i="32" a="1"/>
  <c r="O18" i="32" s="1"/>
  <c r="O26" i="32" a="1"/>
  <c r="O26" i="32" s="1"/>
  <c r="O34" i="32" a="1"/>
  <c r="O34" i="32" s="1"/>
  <c r="O42" i="32" a="1"/>
  <c r="O42" i="32" s="1"/>
  <c r="O50" i="32" a="1"/>
  <c r="O50" i="32" s="1"/>
  <c r="O58" i="32" a="1"/>
  <c r="O58" i="32" s="1"/>
  <c r="O66" i="32" a="1"/>
  <c r="O66" i="32" s="1"/>
  <c r="O74" i="32" a="1"/>
  <c r="O74" i="32" s="1"/>
  <c r="O82" i="32" a="1"/>
  <c r="O82" i="32" s="1"/>
  <c r="O90" i="32" a="1"/>
  <c r="O90" i="32" s="1"/>
  <c r="O98" i="32" a="1"/>
  <c r="O98" i="32" s="1"/>
  <c r="O106" i="32" a="1"/>
  <c r="O106" i="32" s="1"/>
  <c r="O7" i="32" a="1"/>
  <c r="O7" i="32" s="1"/>
  <c r="N15" i="32" a="1"/>
  <c r="N15" i="32" s="1"/>
  <c r="N31" i="32" a="1"/>
  <c r="N31" i="32" s="1"/>
  <c r="N71" i="32" a="1"/>
  <c r="N71" i="32" s="1"/>
  <c r="N87" i="32" a="1"/>
  <c r="N87" i="32" s="1"/>
  <c r="N95" i="32" a="1"/>
  <c r="N95" i="32" s="1"/>
  <c r="O83" i="32" a="1"/>
  <c r="O83" i="32" s="1"/>
  <c r="O107" i="32" a="1"/>
  <c r="O107" i="32" s="1"/>
  <c r="N64" i="32" a="1"/>
  <c r="N64" i="32" s="1"/>
  <c r="N96" i="32" a="1"/>
  <c r="N96" i="32" s="1"/>
  <c r="N82" i="32" a="1"/>
  <c r="N82" i="32" s="1"/>
  <c r="N108" i="32" a="1"/>
  <c r="N108" i="32" s="1"/>
  <c r="O11" i="32" a="1"/>
  <c r="O11" i="32" s="1"/>
  <c r="O19" i="32" a="1"/>
  <c r="O19" i="32" s="1"/>
  <c r="O27" i="32" a="1"/>
  <c r="O27" i="32" s="1"/>
  <c r="O35" i="32" a="1"/>
  <c r="O35" i="32" s="1"/>
  <c r="O43" i="32" a="1"/>
  <c r="O43" i="32" s="1"/>
  <c r="O51" i="32" a="1"/>
  <c r="O51" i="32" s="1"/>
  <c r="O59" i="32" a="1"/>
  <c r="O59" i="32" s="1"/>
  <c r="O67" i="32" a="1"/>
  <c r="O67" i="32" s="1"/>
  <c r="O91" i="32" a="1"/>
  <c r="O91" i="32" s="1"/>
  <c r="N16" i="32" a="1"/>
  <c r="N16" i="32" s="1"/>
  <c r="N88" i="32" a="1"/>
  <c r="N88" i="32" s="1"/>
  <c r="N74" i="32" a="1"/>
  <c r="N74" i="32" s="1"/>
  <c r="N100" i="32" a="1"/>
  <c r="N100" i="32" s="1"/>
  <c r="N109" i="32" a="1"/>
  <c r="N109" i="32" s="1"/>
  <c r="O12" i="32" a="1"/>
  <c r="O12" i="32" s="1"/>
  <c r="O20" i="32" a="1"/>
  <c r="O20" i="32" s="1"/>
  <c r="O28" i="32" a="1"/>
  <c r="O28" i="32" s="1"/>
  <c r="O36" i="32" a="1"/>
  <c r="O36" i="32" s="1"/>
  <c r="O44" i="32" a="1"/>
  <c r="O44" i="32" s="1"/>
  <c r="O52" i="32" a="1"/>
  <c r="O52" i="32" s="1"/>
  <c r="O60" i="32" a="1"/>
  <c r="O60" i="32" s="1"/>
  <c r="O68" i="32" a="1"/>
  <c r="O68" i="32" s="1"/>
  <c r="O76" i="32" a="1"/>
  <c r="O76" i="32" s="1"/>
  <c r="O84" i="32" a="1"/>
  <c r="O84" i="32" s="1"/>
  <c r="O92" i="32" a="1"/>
  <c r="O92" i="32" s="1"/>
  <c r="O100" i="32" a="1"/>
  <c r="O100" i="32" s="1"/>
  <c r="O108" i="32" a="1"/>
  <c r="O108" i="32" s="1"/>
  <c r="N9" i="32" a="1"/>
  <c r="N9" i="32" s="1"/>
  <c r="N33" i="32" a="1"/>
  <c r="N33" i="32" s="1"/>
  <c r="N41" i="32" a="1"/>
  <c r="N41" i="32" s="1"/>
  <c r="N57" i="32" a="1"/>
  <c r="N57" i="32" s="1"/>
  <c r="N73" i="32" a="1"/>
  <c r="N73" i="32" s="1"/>
  <c r="N89" i="32" a="1"/>
  <c r="N89" i="32" s="1"/>
  <c r="N97" i="32" a="1"/>
  <c r="N97" i="32" s="1"/>
  <c r="O85" i="32" a="1"/>
  <c r="O85" i="32" s="1"/>
  <c r="O101" i="32" a="1"/>
  <c r="O101" i="32" s="1"/>
  <c r="N34" i="32" a="1"/>
  <c r="N34" i="32" s="1"/>
  <c r="N66" i="32" a="1"/>
  <c r="N66" i="32" s="1"/>
  <c r="N76" i="32" a="1"/>
  <c r="N76" i="32" s="1"/>
  <c r="N110" i="32" a="1"/>
  <c r="N110" i="32" s="1"/>
  <c r="O13" i="32" a="1"/>
  <c r="O13" i="32" s="1"/>
  <c r="O21" i="32" a="1"/>
  <c r="O21" i="32" s="1"/>
  <c r="O29" i="32" a="1"/>
  <c r="O29" i="32" s="1"/>
  <c r="O37" i="32" a="1"/>
  <c r="O37" i="32" s="1"/>
  <c r="O45" i="32" a="1"/>
  <c r="O45" i="32" s="1"/>
  <c r="O53" i="32" a="1"/>
  <c r="O53" i="32" s="1"/>
  <c r="O61" i="32" a="1"/>
  <c r="O61" i="32" s="1"/>
  <c r="O93" i="32" a="1"/>
  <c r="O93" i="32" s="1"/>
  <c r="O109" i="32" a="1"/>
  <c r="O109" i="32" s="1"/>
  <c r="N26" i="32" a="1"/>
  <c r="N26" i="32" s="1"/>
  <c r="N42" i="32" a="1"/>
  <c r="N42" i="32" s="1"/>
  <c r="N90" i="32" a="1"/>
  <c r="N90" i="32" s="1"/>
  <c r="N92" i="32" a="1"/>
  <c r="N92" i="32" s="1"/>
  <c r="D241" i="36"/>
  <c r="C56" i="53" s="1"/>
  <c r="D261" i="36"/>
  <c r="C76" i="53" s="1"/>
  <c r="A373" i="33"/>
  <c r="J373" i="33" s="1"/>
  <c r="J336" i="33"/>
  <c r="E336" i="33"/>
  <c r="E337" i="33" s="1"/>
  <c r="E338" i="33" s="1"/>
  <c r="E340" i="33" s="1"/>
  <c r="E342" i="33" s="1"/>
  <c r="D336" i="33"/>
  <c r="D337" i="33" s="1"/>
  <c r="D338" i="33" s="1"/>
  <c r="D340" i="33" s="1"/>
  <c r="D342" i="33" s="1"/>
  <c r="C336" i="33"/>
  <c r="H336" i="33"/>
  <c r="H337" i="33" s="1"/>
  <c r="H338" i="33" s="1"/>
  <c r="H340" i="33" s="1"/>
  <c r="H342" i="33" s="1"/>
  <c r="G336" i="33"/>
  <c r="G337" i="33" s="1"/>
  <c r="G338" i="33" s="1"/>
  <c r="G340" i="33" s="1"/>
  <c r="G342" i="33" s="1"/>
  <c r="F336" i="33"/>
  <c r="F337" i="33" s="1"/>
  <c r="F338" i="33" s="1"/>
  <c r="F340" i="33" s="1"/>
  <c r="F342" i="33" s="1"/>
  <c r="D227" i="46"/>
  <c r="D231" i="46" s="1"/>
  <c r="D233" i="46" s="1"/>
  <c r="D239" i="46" s="1"/>
  <c r="D267" i="46" s="1"/>
  <c r="D271" i="46" s="1"/>
  <c r="D277" i="46" s="1"/>
  <c r="D187" i="46"/>
  <c r="D189" i="46" s="1"/>
  <c r="D158" i="46"/>
  <c r="D174" i="46" s="1"/>
  <c r="D76" i="46"/>
  <c r="D126" i="46" s="1"/>
  <c r="D42" i="46"/>
  <c r="D39" i="46"/>
  <c r="D59" i="46"/>
  <c r="D242" i="46"/>
  <c r="G220" i="33"/>
  <c r="F220" i="33"/>
  <c r="E220" i="33"/>
  <c r="D220" i="33"/>
  <c r="C220" i="33"/>
  <c r="H220" i="33"/>
  <c r="C244" i="33"/>
  <c r="F244" i="33"/>
  <c r="H244" i="33"/>
  <c r="G244" i="33"/>
  <c r="D244" i="33"/>
  <c r="E244" i="33"/>
  <c r="F148" i="33"/>
  <c r="E148" i="33"/>
  <c r="D148" i="33"/>
  <c r="C148" i="33"/>
  <c r="G148" i="33"/>
  <c r="H148" i="33"/>
  <c r="C179" i="33"/>
  <c r="D179" i="33"/>
  <c r="F179" i="33"/>
  <c r="E179" i="33"/>
  <c r="H179" i="33"/>
  <c r="G179" i="33"/>
  <c r="C218" i="33"/>
  <c r="H218" i="33"/>
  <c r="G218" i="33"/>
  <c r="F218" i="33"/>
  <c r="D218" i="33"/>
  <c r="E218" i="33"/>
  <c r="F202" i="46"/>
  <c r="E202" i="46" s="1"/>
  <c r="E213" i="33"/>
  <c r="H213" i="33"/>
  <c r="D213" i="33"/>
  <c r="C213" i="33"/>
  <c r="F213" i="33"/>
  <c r="G213" i="33"/>
  <c r="E221" i="33"/>
  <c r="D221" i="33"/>
  <c r="C221" i="33"/>
  <c r="H221" i="33"/>
  <c r="F221" i="33"/>
  <c r="G221" i="33"/>
  <c r="G229" i="33"/>
  <c r="F229" i="33"/>
  <c r="E229" i="33"/>
  <c r="D229" i="33"/>
  <c r="C229" i="33"/>
  <c r="H229" i="33"/>
  <c r="D306" i="36"/>
  <c r="D323" i="36"/>
  <c r="D407" i="36" s="1"/>
  <c r="D331" i="36"/>
  <c r="C136" i="33"/>
  <c r="H136" i="33"/>
  <c r="F136" i="33"/>
  <c r="E136" i="33"/>
  <c r="D136" i="33"/>
  <c r="G136" i="33"/>
  <c r="C183" i="33"/>
  <c r="H183" i="33"/>
  <c r="F183" i="33"/>
  <c r="E183" i="33"/>
  <c r="D183" i="33"/>
  <c r="G183" i="33"/>
  <c r="C147" i="33"/>
  <c r="H147" i="33"/>
  <c r="F147" i="33"/>
  <c r="E147" i="33"/>
  <c r="D147" i="33"/>
  <c r="G147" i="33"/>
  <c r="J49" i="33"/>
  <c r="C132" i="33"/>
  <c r="D132" i="33"/>
  <c r="H132" i="33"/>
  <c r="F132" i="33"/>
  <c r="G132" i="33"/>
  <c r="E132" i="33"/>
  <c r="C140" i="33"/>
  <c r="D140" i="33"/>
  <c r="H140" i="33"/>
  <c r="F140" i="33"/>
  <c r="G140" i="33"/>
  <c r="E140" i="33"/>
  <c r="C156" i="33"/>
  <c r="H156" i="33"/>
  <c r="G156" i="33"/>
  <c r="F156" i="33"/>
  <c r="D156" i="33"/>
  <c r="E156" i="33"/>
  <c r="C200" i="33"/>
  <c r="D200" i="33"/>
  <c r="H200" i="33"/>
  <c r="G200" i="33"/>
  <c r="F200" i="33"/>
  <c r="E200" i="33"/>
  <c r="C208" i="33"/>
  <c r="D208" i="33"/>
  <c r="H208" i="33"/>
  <c r="G208" i="33"/>
  <c r="F208" i="33"/>
  <c r="E208" i="33"/>
  <c r="C216" i="33"/>
  <c r="G216" i="33"/>
  <c r="F216" i="33"/>
  <c r="D216" i="33"/>
  <c r="H216" i="33"/>
  <c r="E216" i="33"/>
  <c r="C232" i="33"/>
  <c r="F232" i="33"/>
  <c r="E232" i="33"/>
  <c r="H232" i="33"/>
  <c r="G232" i="33"/>
  <c r="D232" i="33"/>
  <c r="J50" i="33"/>
  <c r="C133" i="33"/>
  <c r="G133" i="33"/>
  <c r="E133" i="33"/>
  <c r="D133" i="33"/>
  <c r="H133" i="33"/>
  <c r="F133" i="33"/>
  <c r="C141" i="33"/>
  <c r="G141" i="33"/>
  <c r="E141" i="33"/>
  <c r="D141" i="33"/>
  <c r="H141" i="33"/>
  <c r="F141" i="33"/>
  <c r="C157" i="33"/>
  <c r="E157" i="33"/>
  <c r="G157" i="33"/>
  <c r="D157" i="33"/>
  <c r="H157" i="33"/>
  <c r="F157" i="33"/>
  <c r="C195" i="33"/>
  <c r="H195" i="33"/>
  <c r="G195" i="33"/>
  <c r="F195" i="33"/>
  <c r="E195" i="33"/>
  <c r="D195" i="33"/>
  <c r="C201" i="33"/>
  <c r="G201" i="33"/>
  <c r="F201" i="33"/>
  <c r="D201" i="33"/>
  <c r="H201" i="33"/>
  <c r="E201" i="33"/>
  <c r="C209" i="33"/>
  <c r="G209" i="33"/>
  <c r="F209" i="33"/>
  <c r="D209" i="33"/>
  <c r="H209" i="33"/>
  <c r="E209" i="33"/>
  <c r="C217" i="33"/>
  <c r="G217" i="33"/>
  <c r="F217" i="33"/>
  <c r="E217" i="33"/>
  <c r="D217" i="33"/>
  <c r="H217" i="33"/>
  <c r="G193" i="33"/>
  <c r="F193" i="33"/>
  <c r="E193" i="33"/>
  <c r="D193" i="33"/>
  <c r="C193" i="33"/>
  <c r="H193" i="33"/>
  <c r="C210" i="33"/>
  <c r="G210" i="33"/>
  <c r="F210" i="33"/>
  <c r="E210" i="33"/>
  <c r="D210" i="33"/>
  <c r="H210" i="33"/>
  <c r="C197" i="33"/>
  <c r="H197" i="33"/>
  <c r="F197" i="33"/>
  <c r="E197" i="33"/>
  <c r="D197" i="33"/>
  <c r="G197" i="33"/>
  <c r="C152" i="33"/>
  <c r="F152" i="33"/>
  <c r="D152" i="33"/>
  <c r="H152" i="33"/>
  <c r="G152" i="33"/>
  <c r="E152" i="33"/>
  <c r="C166" i="33"/>
  <c r="H166" i="33"/>
  <c r="G166" i="33"/>
  <c r="E166" i="33"/>
  <c r="D166" i="33"/>
  <c r="F166" i="33"/>
  <c r="C204" i="33"/>
  <c r="H204" i="33"/>
  <c r="G204" i="33"/>
  <c r="E204" i="33"/>
  <c r="D204" i="33"/>
  <c r="F204" i="33"/>
  <c r="C212" i="33"/>
  <c r="H212" i="33"/>
  <c r="G212" i="33"/>
  <c r="E212" i="33"/>
  <c r="D212" i="33"/>
  <c r="F212" i="33"/>
  <c r="C228" i="33"/>
  <c r="H228" i="33"/>
  <c r="G228" i="33"/>
  <c r="E228" i="33"/>
  <c r="D228" i="33"/>
  <c r="F228" i="33"/>
  <c r="C139" i="33"/>
  <c r="G139" i="33"/>
  <c r="F139" i="33"/>
  <c r="E139" i="33"/>
  <c r="D139" i="33"/>
  <c r="H139" i="33"/>
  <c r="C137" i="33"/>
  <c r="H137" i="33"/>
  <c r="G137" i="33"/>
  <c r="E137" i="33"/>
  <c r="F137" i="33"/>
  <c r="D137" i="33"/>
  <c r="C182" i="33"/>
  <c r="F182" i="33"/>
  <c r="E182" i="33"/>
  <c r="H182" i="33"/>
  <c r="G182" i="33"/>
  <c r="D182" i="33"/>
  <c r="C205" i="33"/>
  <c r="H205" i="33"/>
  <c r="G205" i="33"/>
  <c r="F205" i="33"/>
  <c r="E205" i="33"/>
  <c r="D205" i="33"/>
  <c r="F18" i="72"/>
  <c r="C120" i="72"/>
  <c r="F49" i="72"/>
  <c r="F27" i="72"/>
  <c r="F76" i="72"/>
  <c r="C78" i="72"/>
  <c r="F78" i="72" s="1"/>
  <c r="F116" i="72"/>
  <c r="E245" i="72"/>
  <c r="F15" i="72"/>
  <c r="F26" i="72"/>
  <c r="F38" i="72"/>
  <c r="C61" i="72"/>
  <c r="F61" i="72" s="1"/>
  <c r="D67" i="72"/>
  <c r="D81" i="72"/>
  <c r="D83" i="72" s="1"/>
  <c r="D116" i="72"/>
  <c r="D193" i="72"/>
  <c r="D195" i="72"/>
  <c r="D200" i="72" s="1"/>
  <c r="D202" i="72" s="1"/>
  <c r="D210" i="72" s="1"/>
  <c r="D163" i="72" s="1"/>
  <c r="D164" i="72" s="1"/>
  <c r="D166" i="72" s="1"/>
  <c r="D265" i="72"/>
  <c r="F267" i="72"/>
  <c r="F11" i="72"/>
  <c r="F47" i="72"/>
  <c r="E195" i="72"/>
  <c r="E200" i="72" s="1"/>
  <c r="E202" i="72" s="1"/>
  <c r="E210" i="72" s="1"/>
  <c r="E163" i="72" s="1"/>
  <c r="E164" i="72" s="1"/>
  <c r="E166" i="72" s="1"/>
  <c r="E265" i="72"/>
  <c r="E193" i="72"/>
  <c r="D120" i="72"/>
  <c r="F9" i="72"/>
  <c r="F22" i="72"/>
  <c r="F25" i="72"/>
  <c r="C30" i="72"/>
  <c r="F30" i="72" s="1"/>
  <c r="F34" i="72"/>
  <c r="F37" i="72"/>
  <c r="C42" i="72"/>
  <c r="F42" i="72" s="1"/>
  <c r="F67" i="72"/>
  <c r="C83" i="72"/>
  <c r="D108" i="72"/>
  <c r="D110" i="72" s="1"/>
  <c r="C139" i="72"/>
  <c r="D261" i="72"/>
  <c r="D263" i="72" s="1"/>
  <c r="D288" i="72" s="1"/>
  <c r="D292" i="72" s="1"/>
  <c r="F258" i="72"/>
  <c r="D45" i="72"/>
  <c r="F23" i="72"/>
  <c r="F35" i="72"/>
  <c r="C105" i="72"/>
  <c r="F105" i="72" s="1"/>
  <c r="F155" i="72"/>
  <c r="E259" i="72"/>
  <c r="E45" i="72"/>
  <c r="E121" i="72" s="1"/>
  <c r="C45" i="72"/>
  <c r="F108" i="72"/>
  <c r="C110" i="72"/>
  <c r="F110" i="72" s="1"/>
  <c r="E152" i="72"/>
  <c r="F33" i="72"/>
  <c r="F43" i="72"/>
  <c r="E232" i="72"/>
  <c r="F19" i="72"/>
  <c r="F17" i="72"/>
  <c r="F31" i="72"/>
  <c r="F168" i="72"/>
  <c r="C232" i="72"/>
  <c r="F231" i="72"/>
  <c r="F123" i="72"/>
  <c r="F227" i="72"/>
  <c r="F239" i="72"/>
  <c r="F253" i="72"/>
  <c r="C273" i="72"/>
  <c r="F273" i="72" s="1"/>
  <c r="C289" i="72"/>
  <c r="F289" i="72" s="1"/>
  <c r="F183" i="72"/>
  <c r="D226" i="72"/>
  <c r="D232" i="72" s="1"/>
  <c r="C244" i="72"/>
  <c r="F244" i="72" s="1"/>
  <c r="D151" i="72"/>
  <c r="F151" i="72" s="1"/>
  <c r="C186" i="72"/>
  <c r="C266" i="72"/>
  <c r="F266" i="72" s="1"/>
  <c r="F252" i="72"/>
  <c r="D89" i="72"/>
  <c r="F89" i="72" s="1"/>
  <c r="D103" i="72"/>
  <c r="D105" i="72" s="1"/>
  <c r="C275" i="72"/>
  <c r="F275" i="72" s="1"/>
  <c r="F172" i="72"/>
  <c r="J22" i="33"/>
  <c r="J46" i="33"/>
  <c r="J28" i="33"/>
  <c r="J58" i="33"/>
  <c r="J33" i="33"/>
  <c r="J43" i="33"/>
  <c r="J57" i="33"/>
  <c r="J34" i="33"/>
  <c r="J54" i="33"/>
  <c r="J30" i="33"/>
  <c r="J40" i="33"/>
  <c r="J10" i="33"/>
  <c r="J9" i="33"/>
  <c r="J16" i="33"/>
  <c r="J13" i="33"/>
  <c r="A383" i="59"/>
  <c r="J383" i="59" s="1"/>
  <c r="J383" i="33"/>
  <c r="B29" i="33"/>
  <c r="B81" i="33"/>
  <c r="B92" i="33"/>
  <c r="B108" i="33"/>
  <c r="B187" i="33"/>
  <c r="F19" i="46"/>
  <c r="E19" i="46" s="1"/>
  <c r="F43" i="46"/>
  <c r="E43" i="46" s="1"/>
  <c r="F109" i="46"/>
  <c r="E109" i="46" s="1"/>
  <c r="F151" i="46"/>
  <c r="E151" i="46" s="1"/>
  <c r="F237" i="46"/>
  <c r="E237" i="46" s="1"/>
  <c r="B32" i="33"/>
  <c r="B66" i="33"/>
  <c r="B95" i="33"/>
  <c r="C105" i="4"/>
  <c r="B103" i="33"/>
  <c r="B173" i="33"/>
  <c r="F33" i="46"/>
  <c r="E33" i="46" s="1"/>
  <c r="F38" i="46"/>
  <c r="E38" i="46" s="1"/>
  <c r="F44" i="46"/>
  <c r="E44" i="46" s="1"/>
  <c r="F50" i="46"/>
  <c r="E50" i="46" s="1"/>
  <c r="F55" i="46"/>
  <c r="E55" i="46" s="1"/>
  <c r="F68" i="46"/>
  <c r="E68" i="46" s="1"/>
  <c r="F79" i="46"/>
  <c r="E79" i="46" s="1"/>
  <c r="F85" i="46"/>
  <c r="E85" i="46" s="1"/>
  <c r="F91" i="46"/>
  <c r="E91" i="46" s="1"/>
  <c r="F97" i="46"/>
  <c r="E97" i="46" s="1"/>
  <c r="F104" i="46"/>
  <c r="E104" i="46" s="1"/>
  <c r="F111" i="46"/>
  <c r="E111" i="46" s="1"/>
  <c r="F117" i="46"/>
  <c r="E117" i="46" s="1"/>
  <c r="F123" i="46"/>
  <c r="E123" i="46" s="1"/>
  <c r="F134" i="46"/>
  <c r="E134" i="46" s="1"/>
  <c r="F138" i="46"/>
  <c r="E138" i="46" s="1"/>
  <c r="F142" i="46"/>
  <c r="E142" i="46" s="1"/>
  <c r="F148" i="46"/>
  <c r="E148" i="46" s="1"/>
  <c r="F152" i="46"/>
  <c r="E152" i="46" s="1"/>
  <c r="F156" i="46"/>
  <c r="E156" i="46" s="1"/>
  <c r="F161" i="46"/>
  <c r="E161" i="46" s="1"/>
  <c r="F165" i="46"/>
  <c r="E165" i="46" s="1"/>
  <c r="F169" i="46"/>
  <c r="E169" i="46" s="1"/>
  <c r="F175" i="46"/>
  <c r="E175" i="46" s="1"/>
  <c r="F179" i="46"/>
  <c r="E179" i="46" s="1"/>
  <c r="F183" i="46"/>
  <c r="E183" i="46" s="1"/>
  <c r="F188" i="46"/>
  <c r="E188" i="46" s="1"/>
  <c r="F195" i="46"/>
  <c r="E195" i="46" s="1"/>
  <c r="F200" i="46"/>
  <c r="E200" i="46" s="1"/>
  <c r="F203" i="46"/>
  <c r="E203" i="46" s="1"/>
  <c r="F207" i="46"/>
  <c r="E207" i="46" s="1"/>
  <c r="F211" i="46"/>
  <c r="E211" i="46" s="1"/>
  <c r="F215" i="46"/>
  <c r="E215" i="46" s="1"/>
  <c r="F219" i="46"/>
  <c r="E219" i="46" s="1"/>
  <c r="F223" i="46"/>
  <c r="E223" i="46" s="1"/>
  <c r="F228" i="46"/>
  <c r="E228" i="46" s="1"/>
  <c r="F234" i="46"/>
  <c r="E234" i="46" s="1"/>
  <c r="F238" i="46"/>
  <c r="E238" i="46" s="1"/>
  <c r="F246" i="46"/>
  <c r="E246" i="46" s="1"/>
  <c r="F250" i="46"/>
  <c r="E250" i="46" s="1"/>
  <c r="F254" i="46"/>
  <c r="E254" i="46" s="1"/>
  <c r="F258" i="46"/>
  <c r="E258" i="46" s="1"/>
  <c r="F265" i="46"/>
  <c r="E265" i="46" s="1"/>
  <c r="F272" i="46"/>
  <c r="E272" i="46" s="1"/>
  <c r="B158" i="33"/>
  <c r="B242" i="33"/>
  <c r="F9" i="46"/>
  <c r="E9" i="46" s="1"/>
  <c r="F54" i="46"/>
  <c r="E54" i="46" s="1"/>
  <c r="F67" i="46"/>
  <c r="E67" i="46" s="1"/>
  <c r="F78" i="46"/>
  <c r="E78" i="46" s="1"/>
  <c r="F133" i="46"/>
  <c r="E133" i="46" s="1"/>
  <c r="F160" i="46"/>
  <c r="E160" i="46" s="1"/>
  <c r="F168" i="46"/>
  <c r="E168" i="46" s="1"/>
  <c r="F178" i="46"/>
  <c r="E178" i="46" s="1"/>
  <c r="F186" i="46"/>
  <c r="E186" i="46" s="1"/>
  <c r="F194" i="46"/>
  <c r="E194" i="46" s="1"/>
  <c r="F199" i="46"/>
  <c r="E199" i="46" s="1"/>
  <c r="F206" i="46"/>
  <c r="E206" i="46" s="1"/>
  <c r="F214" i="46"/>
  <c r="E214" i="46" s="1"/>
  <c r="F222" i="46"/>
  <c r="E222" i="46" s="1"/>
  <c r="F232" i="46"/>
  <c r="E232" i="46" s="1"/>
  <c r="F249" i="46"/>
  <c r="E249" i="46" s="1"/>
  <c r="F257" i="46"/>
  <c r="E257" i="46" s="1"/>
  <c r="F264" i="46"/>
  <c r="E264" i="46" s="1"/>
  <c r="F270" i="46"/>
  <c r="E270" i="46" s="1"/>
  <c r="B76" i="33"/>
  <c r="B23" i="33"/>
  <c r="B45" i="33"/>
  <c r="B53" i="33"/>
  <c r="B69" i="33"/>
  <c r="B98" i="33"/>
  <c r="B118" i="33"/>
  <c r="B192" i="33"/>
  <c r="C323" i="4"/>
  <c r="B323" i="33" s="1"/>
  <c r="B315" i="33"/>
  <c r="F11" i="46"/>
  <c r="E11" i="46" s="1"/>
  <c r="F16" i="46"/>
  <c r="E16" i="46" s="1"/>
  <c r="F22" i="46"/>
  <c r="E22" i="46" s="1"/>
  <c r="F28" i="46"/>
  <c r="E28" i="46" s="1"/>
  <c r="F34" i="46"/>
  <c r="E34" i="46" s="1"/>
  <c r="F57" i="46"/>
  <c r="E57" i="46" s="1"/>
  <c r="F75" i="46"/>
  <c r="E75" i="46" s="1"/>
  <c r="F80" i="46"/>
  <c r="E80" i="46" s="1"/>
  <c r="F87" i="46"/>
  <c r="E87" i="46" s="1"/>
  <c r="F99" i="46"/>
  <c r="E99" i="46" s="1"/>
  <c r="F112" i="46"/>
  <c r="E112" i="46" s="1"/>
  <c r="F124" i="46"/>
  <c r="E124" i="46" s="1"/>
  <c r="F131" i="46"/>
  <c r="E131" i="46" s="1"/>
  <c r="F135" i="46"/>
  <c r="E135" i="46" s="1"/>
  <c r="F139" i="46"/>
  <c r="E139" i="46" s="1"/>
  <c r="F143" i="46"/>
  <c r="E143" i="46" s="1"/>
  <c r="F145" i="46"/>
  <c r="E145" i="46" s="1"/>
  <c r="F149" i="46"/>
  <c r="E149" i="46" s="1"/>
  <c r="F153" i="46"/>
  <c r="E153" i="46" s="1"/>
  <c r="F157" i="46"/>
  <c r="E157" i="46" s="1"/>
  <c r="F162" i="46"/>
  <c r="E162" i="46" s="1"/>
  <c r="F166" i="46"/>
  <c r="E166" i="46" s="1"/>
  <c r="F170" i="46"/>
  <c r="E170" i="46" s="1"/>
  <c r="F176" i="46"/>
  <c r="E176" i="46" s="1"/>
  <c r="F180" i="46"/>
  <c r="E180" i="46" s="1"/>
  <c r="F184" i="46"/>
  <c r="E184" i="46" s="1"/>
  <c r="F196" i="46"/>
  <c r="E196" i="46" s="1"/>
  <c r="F201" i="46"/>
  <c r="E201" i="46" s="1"/>
  <c r="F204" i="46"/>
  <c r="E204" i="46" s="1"/>
  <c r="F208" i="46"/>
  <c r="E208" i="46" s="1"/>
  <c r="F212" i="46"/>
  <c r="E212" i="46" s="1"/>
  <c r="F216" i="46"/>
  <c r="E216" i="46" s="1"/>
  <c r="F220" i="46"/>
  <c r="E220" i="46" s="1"/>
  <c r="F224" i="46"/>
  <c r="E224" i="46" s="1"/>
  <c r="F229" i="46"/>
  <c r="E229" i="46" s="1"/>
  <c r="F235" i="46"/>
  <c r="E235" i="46" s="1"/>
  <c r="F247" i="46"/>
  <c r="E247" i="46" s="1"/>
  <c r="F251" i="46"/>
  <c r="E251" i="46" s="1"/>
  <c r="F255" i="46"/>
  <c r="E255" i="46" s="1"/>
  <c r="K278" i="59"/>
  <c r="K278" i="33"/>
  <c r="B39" i="33"/>
  <c r="B86" i="33"/>
  <c r="F322" i="46"/>
  <c r="E322" i="46" s="1"/>
  <c r="F14" i="46"/>
  <c r="E14" i="46" s="1"/>
  <c r="F25" i="46"/>
  <c r="E25" i="46" s="1"/>
  <c r="F31" i="46"/>
  <c r="E31" i="46" s="1"/>
  <c r="F49" i="46"/>
  <c r="E49" i="46" s="1"/>
  <c r="F60" i="46"/>
  <c r="E60" i="46" s="1"/>
  <c r="F73" i="46"/>
  <c r="E73" i="46" s="1"/>
  <c r="F102" i="46"/>
  <c r="E102" i="46" s="1"/>
  <c r="F122" i="46"/>
  <c r="E122" i="46" s="1"/>
  <c r="F129" i="46"/>
  <c r="E129" i="46" s="1"/>
  <c r="F137" i="46"/>
  <c r="E137" i="46" s="1"/>
  <c r="F141" i="46"/>
  <c r="E141" i="46" s="1"/>
  <c r="F147" i="46"/>
  <c r="E147" i="46" s="1"/>
  <c r="F155" i="46"/>
  <c r="E155" i="46" s="1"/>
  <c r="F164" i="46"/>
  <c r="E164" i="46" s="1"/>
  <c r="F172" i="46"/>
  <c r="E172" i="46" s="1"/>
  <c r="F182" i="46"/>
  <c r="E182" i="46" s="1"/>
  <c r="F210" i="46"/>
  <c r="E210" i="46" s="1"/>
  <c r="F218" i="46"/>
  <c r="E218" i="46" s="1"/>
  <c r="F226" i="46"/>
  <c r="E226" i="46" s="1"/>
  <c r="F245" i="46"/>
  <c r="E245" i="46" s="1"/>
  <c r="F253" i="46"/>
  <c r="E253" i="46" s="1"/>
  <c r="B20" i="33"/>
  <c r="B26" i="33"/>
  <c r="B36" i="33"/>
  <c r="B48" i="33"/>
  <c r="B56" i="33"/>
  <c r="B72" i="33"/>
  <c r="B113" i="33"/>
  <c r="B121" i="33"/>
  <c r="C307" i="4"/>
  <c r="B307" i="33" s="1"/>
  <c r="B306" i="33"/>
  <c r="F315" i="46"/>
  <c r="E315" i="46" s="1"/>
  <c r="F331" i="46"/>
  <c r="E331" i="46" s="1"/>
  <c r="F13" i="46"/>
  <c r="E13" i="46" s="1"/>
  <c r="F18" i="46"/>
  <c r="E18" i="46" s="1"/>
  <c r="F24" i="46"/>
  <c r="E24" i="46" s="1"/>
  <c r="F35" i="46"/>
  <c r="E35" i="46" s="1"/>
  <c r="F41" i="46"/>
  <c r="E41" i="46" s="1"/>
  <c r="F47" i="46"/>
  <c r="E47" i="46" s="1"/>
  <c r="F52" i="46"/>
  <c r="E52" i="46" s="1"/>
  <c r="F65" i="46"/>
  <c r="E65" i="46" s="1"/>
  <c r="F71" i="46"/>
  <c r="E71" i="46" s="1"/>
  <c r="F77" i="46"/>
  <c r="E77" i="46" s="1"/>
  <c r="F82" i="46"/>
  <c r="E82" i="46" s="1"/>
  <c r="F89" i="46"/>
  <c r="E89" i="46" s="1"/>
  <c r="F94" i="46"/>
  <c r="E94" i="46" s="1"/>
  <c r="F107" i="46"/>
  <c r="E107" i="46" s="1"/>
  <c r="F114" i="46"/>
  <c r="E114" i="46" s="1"/>
  <c r="F120" i="46"/>
  <c r="E120" i="46" s="1"/>
  <c r="F125" i="46"/>
  <c r="E125" i="46" s="1"/>
  <c r="F132" i="46"/>
  <c r="E132" i="46" s="1"/>
  <c r="F136" i="46"/>
  <c r="E136" i="46" s="1"/>
  <c r="F140" i="46"/>
  <c r="E140" i="46" s="1"/>
  <c r="F144" i="46"/>
  <c r="E144" i="46" s="1"/>
  <c r="F146" i="46"/>
  <c r="E146" i="46" s="1"/>
  <c r="F150" i="46"/>
  <c r="E150" i="46" s="1"/>
  <c r="F154" i="46"/>
  <c r="E154" i="46" s="1"/>
  <c r="F163" i="46"/>
  <c r="E163" i="46" s="1"/>
  <c r="F167" i="46"/>
  <c r="E167" i="46" s="1"/>
  <c r="F171" i="46"/>
  <c r="E171" i="46" s="1"/>
  <c r="F177" i="46"/>
  <c r="E177" i="46" s="1"/>
  <c r="F181" i="46"/>
  <c r="E181" i="46" s="1"/>
  <c r="F185" i="46"/>
  <c r="E185" i="46" s="1"/>
  <c r="F193" i="46"/>
  <c r="E193" i="46" s="1"/>
  <c r="F197" i="46"/>
  <c r="E197" i="46" s="1"/>
  <c r="F205" i="46"/>
  <c r="E205" i="46" s="1"/>
  <c r="F209" i="46"/>
  <c r="E209" i="46" s="1"/>
  <c r="F213" i="46"/>
  <c r="E213" i="46" s="1"/>
  <c r="F217" i="46"/>
  <c r="E217" i="46" s="1"/>
  <c r="F221" i="46"/>
  <c r="E221" i="46" s="1"/>
  <c r="F225" i="46"/>
  <c r="E225" i="46" s="1"/>
  <c r="F230" i="46"/>
  <c r="E230" i="46" s="1"/>
  <c r="F236" i="46"/>
  <c r="E236" i="46" s="1"/>
  <c r="F244" i="46"/>
  <c r="E244" i="46" s="1"/>
  <c r="F248" i="46"/>
  <c r="E248" i="46" s="1"/>
  <c r="F252" i="46"/>
  <c r="E252" i="46" s="1"/>
  <c r="F256" i="46"/>
  <c r="E256" i="46" s="1"/>
  <c r="F263" i="46"/>
  <c r="E263" i="46" s="1"/>
  <c r="F269" i="46"/>
  <c r="E269" i="46" s="1"/>
  <c r="K343" i="59"/>
  <c r="K343" i="33"/>
  <c r="A44" i="46"/>
  <c r="A44" i="33"/>
  <c r="A52" i="33"/>
  <c r="A60" i="46"/>
  <c r="A60" i="33"/>
  <c r="A89" i="33"/>
  <c r="A99" i="59"/>
  <c r="A99" i="33"/>
  <c r="A131" i="33"/>
  <c r="A161" i="59"/>
  <c r="A161" i="33"/>
  <c r="A176" i="46"/>
  <c r="A176" i="33"/>
  <c r="A192" i="46"/>
  <c r="A192" i="33"/>
  <c r="J192" i="33" s="1"/>
  <c r="A199" i="33"/>
  <c r="A207" i="46"/>
  <c r="A207" i="33"/>
  <c r="J207" i="33" s="1"/>
  <c r="A219" i="33"/>
  <c r="A265" i="46"/>
  <c r="A265" i="33"/>
  <c r="J265" i="33" s="1"/>
  <c r="A15" i="59"/>
  <c r="A15" i="33"/>
  <c r="A23" i="36"/>
  <c r="A23" i="33"/>
  <c r="J23" i="33" s="1"/>
  <c r="A25" i="36"/>
  <c r="A25" i="33"/>
  <c r="A27" i="33"/>
  <c r="A35" i="36"/>
  <c r="A35" i="33"/>
  <c r="A37" i="36"/>
  <c r="A37" i="33"/>
  <c r="A47" i="59"/>
  <c r="A47" i="33"/>
  <c r="A55" i="59"/>
  <c r="A55" i="33"/>
  <c r="A61" i="36"/>
  <c r="A61" i="33"/>
  <c r="A69" i="59"/>
  <c r="J69" i="59" s="1"/>
  <c r="A69" i="33"/>
  <c r="A71" i="33"/>
  <c r="A73" i="59"/>
  <c r="A73" i="33"/>
  <c r="A84" i="46"/>
  <c r="A84" i="33"/>
  <c r="A90" i="46"/>
  <c r="A90" i="33"/>
  <c r="A98" i="33"/>
  <c r="J98" i="33" s="1"/>
  <c r="A112" i="33"/>
  <c r="A114" i="36"/>
  <c r="A114" i="33"/>
  <c r="A118" i="33"/>
  <c r="J118" i="33" s="1"/>
  <c r="A120" i="33"/>
  <c r="A162" i="33"/>
  <c r="A170" i="33"/>
  <c r="A177" i="59"/>
  <c r="A177" i="33"/>
  <c r="A181" i="46"/>
  <c r="A181" i="33"/>
  <c r="A185" i="59"/>
  <c r="A185" i="33"/>
  <c r="A194" i="33"/>
  <c r="A198" i="33"/>
  <c r="J198" i="33" s="1"/>
  <c r="A224" i="46"/>
  <c r="A224" i="33"/>
  <c r="A250" i="36"/>
  <c r="A250" i="33"/>
  <c r="A254" i="36"/>
  <c r="A254" i="33"/>
  <c r="A258" i="36"/>
  <c r="A258" i="33"/>
  <c r="J258" i="33" s="1"/>
  <c r="A266" i="36"/>
  <c r="A266" i="33"/>
  <c r="J266" i="33" s="1"/>
  <c r="A341" i="36"/>
  <c r="A341" i="33"/>
  <c r="J341" i="33" s="1"/>
  <c r="A376" i="36"/>
  <c r="K376" i="33" s="1"/>
  <c r="A376" i="33"/>
  <c r="J376" i="33" s="1"/>
  <c r="A32" i="46"/>
  <c r="A32" i="33"/>
  <c r="J32" i="33" s="1"/>
  <c r="A78" i="46"/>
  <c r="A78" i="33"/>
  <c r="A97" i="33"/>
  <c r="J97" i="33" s="1"/>
  <c r="A105" i="59"/>
  <c r="J105" i="59" s="1"/>
  <c r="A105" i="33"/>
  <c r="J105" i="33" s="1"/>
  <c r="A119" i="46"/>
  <c r="A119" i="33"/>
  <c r="A125" i="46"/>
  <c r="A125" i="33"/>
  <c r="A135" i="33"/>
  <c r="A151" i="33"/>
  <c r="A165" i="36"/>
  <c r="A165" i="33"/>
  <c r="A173" i="36"/>
  <c r="A173" i="33"/>
  <c r="J173" i="33" s="1"/>
  <c r="A180" i="46"/>
  <c r="A180" i="33"/>
  <c r="A203" i="46"/>
  <c r="A203" i="33"/>
  <c r="J203" i="33" s="1"/>
  <c r="A211" i="33"/>
  <c r="A227" i="33"/>
  <c r="J227" i="33" s="1"/>
  <c r="A310" i="36"/>
  <c r="A310" i="33"/>
  <c r="J310" i="33" s="1"/>
  <c r="A332" i="36"/>
  <c r="A332" i="33"/>
  <c r="J332" i="33" s="1"/>
  <c r="A351" i="36"/>
  <c r="A351" i="33"/>
  <c r="J351" i="33" s="1"/>
  <c r="A36" i="46"/>
  <c r="A36" i="33"/>
  <c r="J36" i="33" s="1"/>
  <c r="A38" i="46"/>
  <c r="A38" i="33"/>
  <c r="A56" i="33"/>
  <c r="J56" i="33" s="1"/>
  <c r="A74" i="46"/>
  <c r="A74" i="33"/>
  <c r="A80" i="33"/>
  <c r="A85" i="33"/>
  <c r="A87" i="36"/>
  <c r="A87" i="33"/>
  <c r="A93" i="59"/>
  <c r="A93" i="33"/>
  <c r="A107" i="46"/>
  <c r="A107" i="33"/>
  <c r="A109" i="59"/>
  <c r="A109" i="33"/>
  <c r="A115" i="59"/>
  <c r="J115" i="59" s="1"/>
  <c r="A115" i="33"/>
  <c r="J115" i="33" s="1"/>
  <c r="A127" i="33"/>
  <c r="J127" i="33" s="1"/>
  <c r="A167" i="59"/>
  <c r="A167" i="33"/>
  <c r="A188" i="46"/>
  <c r="A188" i="33"/>
  <c r="A225" i="46"/>
  <c r="A225" i="33"/>
  <c r="A241" i="46"/>
  <c r="A241" i="33"/>
  <c r="J241" i="33" s="1"/>
  <c r="A247" i="59"/>
  <c r="A247" i="33"/>
  <c r="A255" i="59"/>
  <c r="A255" i="33"/>
  <c r="A308" i="36"/>
  <c r="A308" i="33"/>
  <c r="J308" i="33" s="1"/>
  <c r="A312" i="36"/>
  <c r="A312" i="33"/>
  <c r="A345" i="33"/>
  <c r="J345" i="33" s="1"/>
  <c r="A14" i="46"/>
  <c r="A14" i="33"/>
  <c r="A24" i="46"/>
  <c r="A24" i="33"/>
  <c r="A66" i="33"/>
  <c r="J66" i="33" s="1"/>
  <c r="A95" i="33"/>
  <c r="J95" i="33" s="1"/>
  <c r="A103" i="33"/>
  <c r="J103" i="33" s="1"/>
  <c r="A143" i="33"/>
  <c r="A155" i="33"/>
  <c r="A169" i="36"/>
  <c r="A169" i="33"/>
  <c r="A184" i="46"/>
  <c r="A184" i="33"/>
  <c r="A215" i="33"/>
  <c r="A223" i="46"/>
  <c r="A223" i="33"/>
  <c r="A231" i="46"/>
  <c r="A231" i="33"/>
  <c r="J231" i="33" s="1"/>
  <c r="A18" i="59"/>
  <c r="A18" i="33"/>
  <c r="A26" i="33"/>
  <c r="J26" i="33" s="1"/>
  <c r="A48" i="46"/>
  <c r="A48" i="33"/>
  <c r="J48" i="33" s="1"/>
  <c r="A72" i="46"/>
  <c r="A72" i="33"/>
  <c r="J72" i="33" s="1"/>
  <c r="A82" i="36"/>
  <c r="A82" i="33"/>
  <c r="A121" i="59"/>
  <c r="J121" i="59" s="1"/>
  <c r="A121" i="33"/>
  <c r="J121" i="33" s="1"/>
  <c r="A149" i="33"/>
  <c r="A153" i="46"/>
  <c r="A153" i="33"/>
  <c r="A159" i="59"/>
  <c r="A159" i="33"/>
  <c r="A163" i="46"/>
  <c r="A163" i="33"/>
  <c r="A171" i="36"/>
  <c r="A171" i="33"/>
  <c r="A178" i="33"/>
  <c r="A186" i="33"/>
  <c r="A237" i="46"/>
  <c r="A237" i="33"/>
  <c r="J237" i="33" s="1"/>
  <c r="A243" i="59"/>
  <c r="J243" i="59" s="1"/>
  <c r="A243" i="33"/>
  <c r="J243" i="33" s="1"/>
  <c r="A251" i="59"/>
  <c r="A251" i="33"/>
  <c r="A259" i="59"/>
  <c r="J259" i="59" s="1"/>
  <c r="A259" i="33"/>
  <c r="J259" i="33" s="1"/>
  <c r="A274" i="33"/>
  <c r="J274" i="33" s="1"/>
  <c r="A11" i="36"/>
  <c r="A11" i="33"/>
  <c r="A19" i="36"/>
  <c r="A19" i="33"/>
  <c r="A21" i="46"/>
  <c r="A21" i="33"/>
  <c r="A29" i="36"/>
  <c r="A29" i="33"/>
  <c r="J29" i="33" s="1"/>
  <c r="A31" i="33"/>
  <c r="A41" i="36"/>
  <c r="A41" i="33"/>
  <c r="A51" i="36"/>
  <c r="A51" i="33"/>
  <c r="A63" i="59"/>
  <c r="J63" i="59" s="1"/>
  <c r="A63" i="33"/>
  <c r="A67" i="59"/>
  <c r="A67" i="33"/>
  <c r="A75" i="59"/>
  <c r="A75" i="33"/>
  <c r="A77" i="46"/>
  <c r="A77" i="33"/>
  <c r="A81" i="46"/>
  <c r="A81" i="33"/>
  <c r="J81" i="33" s="1"/>
  <c r="A83" i="59"/>
  <c r="J83" i="59" s="1"/>
  <c r="A83" i="33"/>
  <c r="J83" i="33" s="1"/>
  <c r="A88" i="33"/>
  <c r="J88" i="33" s="1"/>
  <c r="A92" i="33"/>
  <c r="J92" i="33" s="1"/>
  <c r="A96" i="46"/>
  <c r="A96" i="33"/>
  <c r="A102" i="33"/>
  <c r="A104" i="46"/>
  <c r="A104" i="33"/>
  <c r="A108" i="33"/>
  <c r="J108" i="33" s="1"/>
  <c r="A110" i="36"/>
  <c r="A110" i="33"/>
  <c r="J110" i="33" s="1"/>
  <c r="A116" i="46"/>
  <c r="A116" i="33"/>
  <c r="A130" i="33"/>
  <c r="A134" i="33"/>
  <c r="A138" i="33"/>
  <c r="A142" i="33"/>
  <c r="A146" i="33"/>
  <c r="J146" i="33" s="1"/>
  <c r="A150" i="33"/>
  <c r="A154" i="33"/>
  <c r="A158" i="33"/>
  <c r="J158" i="33" s="1"/>
  <c r="A160" i="46"/>
  <c r="A160" i="33"/>
  <c r="A164" i="46"/>
  <c r="A164" i="33"/>
  <c r="J164" i="33" s="1"/>
  <c r="A168" i="46"/>
  <c r="A168" i="33"/>
  <c r="A172" i="46"/>
  <c r="A172" i="33"/>
  <c r="J172" i="33" s="1"/>
  <c r="A174" i="46"/>
  <c r="A174" i="33"/>
  <c r="J174" i="33" s="1"/>
  <c r="A196" i="46"/>
  <c r="A196" i="33"/>
  <c r="J196" i="33" s="1"/>
  <c r="A202" i="46"/>
  <c r="A202" i="33"/>
  <c r="A206" i="33"/>
  <c r="A214" i="33"/>
  <c r="A222" i="33"/>
  <c r="A226" i="33"/>
  <c r="A230" i="59"/>
  <c r="A230" i="33"/>
  <c r="A234" i="59"/>
  <c r="J234" i="59" s="1"/>
  <c r="A234" i="33"/>
  <c r="J234" i="33" s="1"/>
  <c r="A238" i="46"/>
  <c r="A238" i="33"/>
  <c r="J238" i="33" s="1"/>
  <c r="A242" i="36"/>
  <c r="A242" i="33"/>
  <c r="J242" i="33" s="1"/>
  <c r="A252" i="46"/>
  <c r="A252" i="33"/>
  <c r="A260" i="46"/>
  <c r="A260" i="33"/>
  <c r="J260" i="33" s="1"/>
  <c r="A264" i="46"/>
  <c r="A264" i="33"/>
  <c r="J264" i="33" s="1"/>
  <c r="A268" i="36"/>
  <c r="A268" i="33"/>
  <c r="J268" i="33" s="1"/>
  <c r="A271" i="46"/>
  <c r="A271" i="33"/>
  <c r="J271" i="33" s="1"/>
  <c r="A275" i="46"/>
  <c r="A275" i="33"/>
  <c r="J275" i="33" s="1"/>
  <c r="A309" i="36"/>
  <c r="A309" i="33"/>
  <c r="J309" i="33" s="1"/>
  <c r="A325" i="36"/>
  <c r="A325" i="33"/>
  <c r="J325" i="33" s="1"/>
  <c r="A329" i="36"/>
  <c r="A329" i="33"/>
  <c r="J329" i="33" s="1"/>
  <c r="A346" i="36"/>
  <c r="A346" i="33"/>
  <c r="J346" i="33" s="1"/>
  <c r="A354" i="36"/>
  <c r="A354" i="33"/>
  <c r="J354" i="33" s="1"/>
  <c r="A362" i="36"/>
  <c r="A362" i="33"/>
  <c r="J362" i="33" s="1"/>
  <c r="C331" i="36"/>
  <c r="C306" i="36"/>
  <c r="C315" i="36"/>
  <c r="C322" i="36"/>
  <c r="B59" i="33"/>
  <c r="B241" i="33"/>
  <c r="D59" i="4"/>
  <c r="A171" i="46"/>
  <c r="A259" i="36"/>
  <c r="D115" i="4"/>
  <c r="D307" i="4"/>
  <c r="C337" i="4"/>
  <c r="D88" i="4"/>
  <c r="D189" i="4"/>
  <c r="D190" i="4" s="1"/>
  <c r="D337" i="4"/>
  <c r="F281" i="46"/>
  <c r="E281" i="46" s="1"/>
  <c r="C174" i="4"/>
  <c r="D110" i="4"/>
  <c r="D323" i="4"/>
  <c r="A138" i="46"/>
  <c r="A142" i="46"/>
  <c r="A199" i="46"/>
  <c r="A32" i="36"/>
  <c r="A128" i="46"/>
  <c r="A234" i="46"/>
  <c r="A95" i="36"/>
  <c r="A127" i="36"/>
  <c r="A15" i="46"/>
  <c r="A55" i="36"/>
  <c r="A99" i="36"/>
  <c r="A27" i="46"/>
  <c r="A41" i="46"/>
  <c r="A63" i="46"/>
  <c r="A105" i="46"/>
  <c r="A211" i="46"/>
  <c r="A247" i="46"/>
  <c r="A163" i="36"/>
  <c r="A87" i="46"/>
  <c r="A15" i="36"/>
  <c r="A35" i="46"/>
  <c r="A99" i="46"/>
  <c r="A259" i="46"/>
  <c r="A274" i="46"/>
  <c r="A75" i="36"/>
  <c r="A119" i="36"/>
  <c r="A122" i="46"/>
  <c r="J122" i="33"/>
  <c r="A144" i="46"/>
  <c r="J144" i="33"/>
  <c r="A187" i="46"/>
  <c r="J187" i="33"/>
  <c r="A50" i="46"/>
  <c r="A126" i="46"/>
  <c r="J126" i="33"/>
  <c r="A136" i="46"/>
  <c r="J136" i="33"/>
  <c r="A179" i="46"/>
  <c r="J179" i="33"/>
  <c r="A228" i="59"/>
  <c r="A228" i="46"/>
  <c r="A66" i="46"/>
  <c r="A132" i="46"/>
  <c r="J132" i="33"/>
  <c r="A140" i="46"/>
  <c r="J140" i="33"/>
  <c r="A148" i="46"/>
  <c r="J148" i="33"/>
  <c r="A152" i="46"/>
  <c r="J152" i="33"/>
  <c r="A156" i="46"/>
  <c r="J156" i="33"/>
  <c r="A183" i="46"/>
  <c r="J183" i="33"/>
  <c r="A18" i="46"/>
  <c r="A102" i="46"/>
  <c r="A159" i="46"/>
  <c r="A215" i="46"/>
  <c r="A251" i="46"/>
  <c r="A47" i="46"/>
  <c r="A75" i="46"/>
  <c r="A130" i="46"/>
  <c r="A219" i="46"/>
  <c r="A243" i="46"/>
  <c r="A83" i="36"/>
  <c r="A243" i="36"/>
  <c r="A255" i="36"/>
  <c r="A268" i="46"/>
  <c r="A167" i="36"/>
  <c r="A251" i="36"/>
  <c r="A69" i="46"/>
  <c r="A93" i="46"/>
  <c r="A108" i="46"/>
  <c r="A134" i="46"/>
  <c r="A167" i="46"/>
  <c r="A177" i="46"/>
  <c r="A185" i="46"/>
  <c r="A255" i="46"/>
  <c r="A47" i="36"/>
  <c r="A67" i="36"/>
  <c r="A115" i="36"/>
  <c r="A159" i="36"/>
  <c r="A247" i="36"/>
  <c r="A9" i="36"/>
  <c r="K9" i="33" s="1"/>
  <c r="A9" i="59"/>
  <c r="A22" i="59"/>
  <c r="A22" i="36"/>
  <c r="K22" i="33" s="1"/>
  <c r="A22" i="46"/>
  <c r="A28" i="59"/>
  <c r="A28" i="36"/>
  <c r="K28" i="33" s="1"/>
  <c r="A28" i="46"/>
  <c r="A46" i="59"/>
  <c r="A46" i="36"/>
  <c r="K46" i="33" s="1"/>
  <c r="A46" i="46"/>
  <c r="A57" i="59"/>
  <c r="A65" i="59"/>
  <c r="A65" i="36"/>
  <c r="K65" i="33" s="1"/>
  <c r="A79" i="59"/>
  <c r="A79" i="36"/>
  <c r="K79" i="33" s="1"/>
  <c r="A79" i="46"/>
  <c r="A100" i="59"/>
  <c r="J100" i="59" s="1"/>
  <c r="A100" i="36"/>
  <c r="K100" i="33" s="1"/>
  <c r="A100" i="46"/>
  <c r="J100" i="33"/>
  <c r="A117" i="59"/>
  <c r="A117" i="36"/>
  <c r="K117" i="33" s="1"/>
  <c r="A117" i="46"/>
  <c r="A133" i="59"/>
  <c r="A133" i="36"/>
  <c r="K133" i="33" s="1"/>
  <c r="A141" i="59"/>
  <c r="A141" i="36"/>
  <c r="K141" i="33" s="1"/>
  <c r="A157" i="59"/>
  <c r="A157" i="36"/>
  <c r="K157" i="33" s="1"/>
  <c r="A166" i="59"/>
  <c r="A166" i="46"/>
  <c r="A197" i="59"/>
  <c r="A197" i="36"/>
  <c r="K197" i="33" s="1"/>
  <c r="A197" i="46"/>
  <c r="J197" i="33"/>
  <c r="A220" i="59"/>
  <c r="A220" i="36"/>
  <c r="K220" i="33" s="1"/>
  <c r="J220" i="33"/>
  <c r="A235" i="59"/>
  <c r="J235" i="59" s="1"/>
  <c r="J235" i="33"/>
  <c r="A235" i="46"/>
  <c r="A235" i="36"/>
  <c r="K235" i="33" s="1"/>
  <c r="A256" i="59"/>
  <c r="A256" i="36"/>
  <c r="K256" i="33" s="1"/>
  <c r="J256" i="33"/>
  <c r="A273" i="59"/>
  <c r="J273" i="59" s="1"/>
  <c r="A273" i="36"/>
  <c r="K273" i="33" s="1"/>
  <c r="J273" i="33"/>
  <c r="A273" i="46"/>
  <c r="A282" i="46"/>
  <c r="A282" i="59"/>
  <c r="J282" i="59" s="1"/>
  <c r="A282" i="36"/>
  <c r="K282" i="33" s="1"/>
  <c r="J282" i="33"/>
  <c r="A290" i="46"/>
  <c r="A290" i="59"/>
  <c r="J290" i="59" s="1"/>
  <c r="A290" i="36"/>
  <c r="K290" i="33" s="1"/>
  <c r="J290" i="33"/>
  <c r="A322" i="46"/>
  <c r="A322" i="59"/>
  <c r="J322" i="59" s="1"/>
  <c r="A322" i="36"/>
  <c r="K322" i="33" s="1"/>
  <c r="A328" i="46"/>
  <c r="A328" i="59"/>
  <c r="J328" i="59" s="1"/>
  <c r="A328" i="36"/>
  <c r="K328" i="33" s="1"/>
  <c r="A337" i="46"/>
  <c r="A337" i="59"/>
  <c r="J337" i="59" s="1"/>
  <c r="A337" i="36"/>
  <c r="K337" i="33" s="1"/>
  <c r="A357" i="46"/>
  <c r="A357" i="59"/>
  <c r="J357" i="59" s="1"/>
  <c r="A357" i="36"/>
  <c r="K357" i="33" s="1"/>
  <c r="A365" i="46"/>
  <c r="A365" i="59"/>
  <c r="J365" i="59" s="1"/>
  <c r="A365" i="36"/>
  <c r="K365" i="33" s="1"/>
  <c r="A373" i="46"/>
  <c r="A373" i="59"/>
  <c r="J373" i="59" s="1"/>
  <c r="A373" i="36"/>
  <c r="K373" i="33" s="1"/>
  <c r="A381" i="46"/>
  <c r="A381" i="36"/>
  <c r="K381" i="33" s="1"/>
  <c r="A381" i="59"/>
  <c r="A57" i="46"/>
  <c r="A149" i="46"/>
  <c r="A157" i="46"/>
  <c r="J79" i="33"/>
  <c r="B8" i="4"/>
  <c r="C7" i="3"/>
  <c r="A7" i="59"/>
  <c r="A7" i="36"/>
  <c r="K7" i="33" s="1"/>
  <c r="A7" i="48"/>
  <c r="A43" i="59"/>
  <c r="A43" i="46"/>
  <c r="A54" i="59"/>
  <c r="A54" i="36"/>
  <c r="K54" i="33" s="1"/>
  <c r="A76" i="59"/>
  <c r="J76" i="59" s="1"/>
  <c r="A76" i="36"/>
  <c r="K76" i="33" s="1"/>
  <c r="A76" i="46"/>
  <c r="A85" i="59"/>
  <c r="A85" i="36"/>
  <c r="A85" i="46"/>
  <c r="A139" i="59"/>
  <c r="A139" i="36"/>
  <c r="K139" i="33" s="1"/>
  <c r="A139" i="46"/>
  <c r="A147" i="59"/>
  <c r="A147" i="36"/>
  <c r="K147" i="33" s="1"/>
  <c r="A147" i="46"/>
  <c r="A189" i="59"/>
  <c r="J189" i="59" s="1"/>
  <c r="A189" i="36"/>
  <c r="K189" i="33" s="1"/>
  <c r="A189" i="46"/>
  <c r="A210" i="59"/>
  <c r="A210" i="36"/>
  <c r="K210" i="33" s="1"/>
  <c r="A210" i="46"/>
  <c r="A218" i="59"/>
  <c r="A218" i="36"/>
  <c r="K218" i="33" s="1"/>
  <c r="A218" i="46"/>
  <c r="A246" i="59"/>
  <c r="J246" i="33"/>
  <c r="A246" i="46"/>
  <c r="A270" i="59"/>
  <c r="A270" i="36"/>
  <c r="K270" i="33" s="1"/>
  <c r="J270" i="33"/>
  <c r="A270" i="46"/>
  <c r="A280" i="46"/>
  <c r="A280" i="59"/>
  <c r="J280" i="59" s="1"/>
  <c r="A280" i="36"/>
  <c r="K280" i="33" s="1"/>
  <c r="J280" i="33"/>
  <c r="A288" i="46"/>
  <c r="A288" i="59"/>
  <c r="J288" i="59" s="1"/>
  <c r="A288" i="36"/>
  <c r="K288" i="33" s="1"/>
  <c r="J288" i="33"/>
  <c r="A303" i="46"/>
  <c r="A303" i="59"/>
  <c r="J303" i="59" s="1"/>
  <c r="J303" i="33"/>
  <c r="A303" i="36"/>
  <c r="K303" i="33" s="1"/>
  <c r="A313" i="46"/>
  <c r="A313" i="59"/>
  <c r="J313" i="59" s="1"/>
  <c r="J313" i="33"/>
  <c r="A320" i="46"/>
  <c r="A320" i="59"/>
  <c r="J320" i="59" s="1"/>
  <c r="A320" i="36"/>
  <c r="K320" i="33" s="1"/>
  <c r="A335" i="46"/>
  <c r="A335" i="59"/>
  <c r="J335" i="59" s="1"/>
  <c r="A335" i="36"/>
  <c r="K335" i="33" s="1"/>
  <c r="A355" i="46"/>
  <c r="A355" i="59"/>
  <c r="J355" i="59" s="1"/>
  <c r="A355" i="36"/>
  <c r="K355" i="33" s="1"/>
  <c r="A379" i="46"/>
  <c r="A379" i="36"/>
  <c r="K379" i="33" s="1"/>
  <c r="A379" i="59"/>
  <c r="A65" i="46"/>
  <c r="A256" i="46"/>
  <c r="J218" i="33"/>
  <c r="A43" i="36"/>
  <c r="K43" i="33" s="1"/>
  <c r="B280" i="36"/>
  <c r="B280" i="46"/>
  <c r="L7" i="3"/>
  <c r="B7" i="36"/>
  <c r="B7" i="48"/>
  <c r="A19" i="59"/>
  <c r="A19" i="46"/>
  <c r="A25" i="59"/>
  <c r="A25" i="46"/>
  <c r="A31" i="59"/>
  <c r="A31" i="36"/>
  <c r="A31" i="46"/>
  <c r="A39" i="59"/>
  <c r="J39" i="59" s="1"/>
  <c r="A39" i="36"/>
  <c r="K39" i="33" s="1"/>
  <c r="A40" i="59"/>
  <c r="A40" i="36"/>
  <c r="K40" i="33" s="1"/>
  <c r="A40" i="46"/>
  <c r="A51" i="59"/>
  <c r="A62" i="59"/>
  <c r="A62" i="46"/>
  <c r="A68" i="59"/>
  <c r="A68" i="36"/>
  <c r="K68" i="33" s="1"/>
  <c r="J68" i="33"/>
  <c r="A74" i="59"/>
  <c r="A91" i="59"/>
  <c r="A91" i="36"/>
  <c r="K91" i="33" s="1"/>
  <c r="J91" i="33"/>
  <c r="A91" i="46"/>
  <c r="A97" i="59"/>
  <c r="A97" i="36"/>
  <c r="A97" i="46"/>
  <c r="A113" i="59"/>
  <c r="J113" i="59" s="1"/>
  <c r="A113" i="36"/>
  <c r="K113" i="33" s="1"/>
  <c r="A114" i="59"/>
  <c r="A114" i="46"/>
  <c r="A120" i="59"/>
  <c r="A120" i="36"/>
  <c r="A120" i="46"/>
  <c r="A129" i="59"/>
  <c r="J129" i="59" s="1"/>
  <c r="A129" i="36"/>
  <c r="K129" i="33" s="1"/>
  <c r="A137" i="59"/>
  <c r="A137" i="36"/>
  <c r="K137" i="33" s="1"/>
  <c r="A145" i="59"/>
  <c r="J145" i="59" s="1"/>
  <c r="A145" i="36"/>
  <c r="K145" i="33" s="1"/>
  <c r="A145" i="46"/>
  <c r="A153" i="59"/>
  <c r="A153" i="36"/>
  <c r="A162" i="59"/>
  <c r="J162" i="59" s="1"/>
  <c r="A162" i="46"/>
  <c r="A170" i="59"/>
  <c r="A170" i="46"/>
  <c r="A178" i="59"/>
  <c r="J178" i="59" s="1"/>
  <c r="A178" i="36"/>
  <c r="A178" i="46"/>
  <c r="A186" i="59"/>
  <c r="A186" i="36"/>
  <c r="A186" i="46"/>
  <c r="A192" i="59"/>
  <c r="J192" i="59" s="1"/>
  <c r="A192" i="36"/>
  <c r="A193" i="59"/>
  <c r="A193" i="36"/>
  <c r="K193" i="33" s="1"/>
  <c r="A193" i="46"/>
  <c r="J193" i="33"/>
  <c r="A200" i="59"/>
  <c r="A200" i="36"/>
  <c r="K200" i="33" s="1"/>
  <c r="J200" i="33"/>
  <c r="A200" i="46"/>
  <c r="A208" i="59"/>
  <c r="A208" i="36"/>
  <c r="K208" i="33" s="1"/>
  <c r="J208" i="33"/>
  <c r="A216" i="59"/>
  <c r="A216" i="36"/>
  <c r="K216" i="33" s="1"/>
  <c r="J216" i="33"/>
  <c r="A224" i="59"/>
  <c r="A224" i="36"/>
  <c r="A231" i="59"/>
  <c r="J231" i="59" s="1"/>
  <c r="A231" i="36"/>
  <c r="A232" i="59"/>
  <c r="A232" i="36"/>
  <c r="K232" i="33" s="1"/>
  <c r="J232" i="33"/>
  <c r="A232" i="46"/>
  <c r="A239" i="59"/>
  <c r="J239" i="59" s="1"/>
  <c r="J239" i="33"/>
  <c r="A239" i="46"/>
  <c r="A239" i="36"/>
  <c r="K239" i="33" s="1"/>
  <c r="A244" i="59"/>
  <c r="A244" i="36"/>
  <c r="K244" i="33" s="1"/>
  <c r="A244" i="46"/>
  <c r="J244" i="33"/>
  <c r="A252" i="59"/>
  <c r="A252" i="36"/>
  <c r="A260" i="59"/>
  <c r="J260" i="59" s="1"/>
  <c r="A260" i="36"/>
  <c r="A261" i="59"/>
  <c r="J261" i="59" s="1"/>
  <c r="A261" i="36"/>
  <c r="K261" i="33" s="1"/>
  <c r="J261" i="33"/>
  <c r="A261" i="46"/>
  <c r="A262" i="59"/>
  <c r="J262" i="59" s="1"/>
  <c r="J262" i="33"/>
  <c r="A263" i="59"/>
  <c r="J263" i="59" s="1"/>
  <c r="A263" i="36"/>
  <c r="K263" i="33" s="1"/>
  <c r="J263" i="33"/>
  <c r="A263" i="46"/>
  <c r="A277" i="59"/>
  <c r="J277" i="59" s="1"/>
  <c r="A277" i="36"/>
  <c r="K277" i="33" s="1"/>
  <c r="J277" i="33"/>
  <c r="A277" i="46"/>
  <c r="A286" i="46"/>
  <c r="A286" i="59"/>
  <c r="J286" i="59" s="1"/>
  <c r="A286" i="36"/>
  <c r="K286" i="33" s="1"/>
  <c r="J286" i="33"/>
  <c r="A294" i="46"/>
  <c r="A294" i="59"/>
  <c r="J294" i="59" s="1"/>
  <c r="A294" i="36"/>
  <c r="K294" i="33" s="1"/>
  <c r="J294" i="33"/>
  <c r="A301" i="46"/>
  <c r="A301" i="59"/>
  <c r="J301" i="59" s="1"/>
  <c r="J301" i="33"/>
  <c r="A301" i="36"/>
  <c r="K301" i="33" s="1"/>
  <c r="A311" i="46"/>
  <c r="A311" i="59"/>
  <c r="J311" i="59" s="1"/>
  <c r="J311" i="33"/>
  <c r="A311" i="36"/>
  <c r="K311" i="33" s="1"/>
  <c r="A318" i="46"/>
  <c r="A318" i="59"/>
  <c r="J318" i="59" s="1"/>
  <c r="A318" i="36"/>
  <c r="K318" i="33" s="1"/>
  <c r="A324" i="46"/>
  <c r="A324" i="59"/>
  <c r="J324" i="59" s="1"/>
  <c r="A324" i="36"/>
  <c r="K324" i="33" s="1"/>
  <c r="A333" i="46"/>
  <c r="A333" i="59"/>
  <c r="J333" i="59" s="1"/>
  <c r="A333" i="36"/>
  <c r="K333" i="33" s="1"/>
  <c r="A339" i="46"/>
  <c r="A339" i="59"/>
  <c r="J339" i="59" s="1"/>
  <c r="A339" i="36"/>
  <c r="K339" i="33" s="1"/>
  <c r="A353" i="46"/>
  <c r="A353" i="59"/>
  <c r="J353" i="59" s="1"/>
  <c r="A353" i="36"/>
  <c r="K353" i="33" s="1"/>
  <c r="A361" i="46"/>
  <c r="A361" i="59"/>
  <c r="J361" i="59" s="1"/>
  <c r="A361" i="36"/>
  <c r="K361" i="33" s="1"/>
  <c r="A369" i="46"/>
  <c r="A369" i="59"/>
  <c r="J369" i="59" s="1"/>
  <c r="A369" i="36"/>
  <c r="K369" i="33" s="1"/>
  <c r="A377" i="46"/>
  <c r="A377" i="59"/>
  <c r="J377" i="59" s="1"/>
  <c r="A377" i="36"/>
  <c r="K377" i="33" s="1"/>
  <c r="A9" i="46"/>
  <c r="A39" i="46"/>
  <c r="A51" i="46"/>
  <c r="A68" i="46"/>
  <c r="A89" i="46"/>
  <c r="J65" i="33"/>
  <c r="J76" i="33"/>
  <c r="J113" i="33"/>
  <c r="J129" i="33"/>
  <c r="J133" i="33"/>
  <c r="J137" i="33"/>
  <c r="J139" i="33"/>
  <c r="J141" i="33"/>
  <c r="J145" i="33"/>
  <c r="J147" i="33"/>
  <c r="J157" i="33"/>
  <c r="J189" i="33"/>
  <c r="A62" i="36"/>
  <c r="K62" i="33" s="1"/>
  <c r="A162" i="36"/>
  <c r="A170" i="36"/>
  <c r="A246" i="36"/>
  <c r="K246" i="33" s="1"/>
  <c r="A313" i="36"/>
  <c r="K313" i="33" s="1"/>
  <c r="G134" i="72"/>
  <c r="A175" i="4"/>
  <c r="A16" i="59"/>
  <c r="A16" i="36"/>
  <c r="K16" i="33" s="1"/>
  <c r="A16" i="46"/>
  <c r="A34" i="59"/>
  <c r="A34" i="36"/>
  <c r="K34" i="33" s="1"/>
  <c r="A34" i="46"/>
  <c r="A45" i="59"/>
  <c r="J45" i="59" s="1"/>
  <c r="A45" i="36"/>
  <c r="K45" i="33" s="1"/>
  <c r="A56" i="59"/>
  <c r="J56" i="59" s="1"/>
  <c r="A56" i="36"/>
  <c r="A56" i="46"/>
  <c r="A71" i="59"/>
  <c r="A71" i="36"/>
  <c r="A94" i="59"/>
  <c r="A94" i="46"/>
  <c r="A101" i="59"/>
  <c r="A101" i="36"/>
  <c r="K101" i="33" s="1"/>
  <c r="J101" i="33"/>
  <c r="A123" i="59"/>
  <c r="A123" i="36"/>
  <c r="K123" i="33" s="1"/>
  <c r="A123" i="46"/>
  <c r="J123" i="33"/>
  <c r="A149" i="59"/>
  <c r="A149" i="36"/>
  <c r="A182" i="59"/>
  <c r="A182" i="36"/>
  <c r="K182" i="33" s="1"/>
  <c r="A182" i="46"/>
  <c r="A190" i="59"/>
  <c r="J190" i="59" s="1"/>
  <c r="A190" i="36"/>
  <c r="K190" i="33" s="1"/>
  <c r="A204" i="59"/>
  <c r="A204" i="36"/>
  <c r="K204" i="33" s="1"/>
  <c r="J204" i="33"/>
  <c r="A212" i="59"/>
  <c r="A212" i="36"/>
  <c r="K212" i="33" s="1"/>
  <c r="J212" i="33"/>
  <c r="A248" i="59"/>
  <c r="A248" i="36"/>
  <c r="K248" i="33" s="1"/>
  <c r="J248" i="33"/>
  <c r="A267" i="59"/>
  <c r="J267" i="59" s="1"/>
  <c r="A267" i="36"/>
  <c r="K267" i="33" s="1"/>
  <c r="J267" i="33"/>
  <c r="A267" i="46"/>
  <c r="A297" i="46"/>
  <c r="A297" i="59"/>
  <c r="J297" i="59" s="1"/>
  <c r="J297" i="33"/>
  <c r="A297" i="36"/>
  <c r="K297" i="33" s="1"/>
  <c r="A305" i="46"/>
  <c r="A305" i="59"/>
  <c r="J305" i="59" s="1"/>
  <c r="J305" i="33"/>
  <c r="A305" i="36"/>
  <c r="K305" i="33" s="1"/>
  <c r="A315" i="46"/>
  <c r="A315" i="59"/>
  <c r="J315" i="59" s="1"/>
  <c r="A315" i="36"/>
  <c r="K315" i="33" s="1"/>
  <c r="A349" i="46"/>
  <c r="A349" i="59"/>
  <c r="J349" i="59" s="1"/>
  <c r="A349" i="36"/>
  <c r="K349" i="33" s="1"/>
  <c r="A45" i="46"/>
  <c r="J94" i="33"/>
  <c r="J166" i="33"/>
  <c r="A166" i="36"/>
  <c r="K166" i="33" s="1"/>
  <c r="B8" i="53"/>
  <c r="B8" i="49"/>
  <c r="I7" i="3"/>
  <c r="A14" i="59"/>
  <c r="A14" i="36"/>
  <c r="A42" i="59"/>
  <c r="J42" i="59" s="1"/>
  <c r="A42" i="36"/>
  <c r="K42" i="33" s="1"/>
  <c r="A53" i="59"/>
  <c r="J53" i="59" s="1"/>
  <c r="A53" i="36"/>
  <c r="K53" i="33" s="1"/>
  <c r="A53" i="46"/>
  <c r="A77" i="59"/>
  <c r="A77" i="36"/>
  <c r="A107" i="59"/>
  <c r="A107" i="36"/>
  <c r="A131" i="59"/>
  <c r="A131" i="36"/>
  <c r="A131" i="46"/>
  <c r="A155" i="59"/>
  <c r="A155" i="36"/>
  <c r="A155" i="46"/>
  <c r="A164" i="59"/>
  <c r="A164" i="36"/>
  <c r="A172" i="59"/>
  <c r="J172" i="59" s="1"/>
  <c r="A172" i="36"/>
  <c r="A180" i="59"/>
  <c r="A180" i="36"/>
  <c r="A195" i="59"/>
  <c r="A195" i="36"/>
  <c r="K195" i="33" s="1"/>
  <c r="A202" i="59"/>
  <c r="A202" i="36"/>
  <c r="A226" i="59"/>
  <c r="A226" i="36"/>
  <c r="A226" i="46"/>
  <c r="A254" i="59"/>
  <c r="A254" i="46"/>
  <c r="A265" i="59"/>
  <c r="J265" i="59" s="1"/>
  <c r="A265" i="36"/>
  <c r="A295" i="46"/>
  <c r="A295" i="59"/>
  <c r="J295" i="59" s="1"/>
  <c r="J295" i="33"/>
  <c r="A295" i="36"/>
  <c r="K295" i="33" s="1"/>
  <c r="A326" i="46"/>
  <c r="A326" i="59"/>
  <c r="J326" i="59" s="1"/>
  <c r="A347" i="46"/>
  <c r="A347" i="59"/>
  <c r="J347" i="59" s="1"/>
  <c r="A347" i="36"/>
  <c r="K347" i="33" s="1"/>
  <c r="A363" i="46"/>
  <c r="A363" i="59"/>
  <c r="J363" i="59" s="1"/>
  <c r="A363" i="36"/>
  <c r="K363" i="33" s="1"/>
  <c r="A371" i="46"/>
  <c r="A371" i="59"/>
  <c r="J371" i="59" s="1"/>
  <c r="A371" i="36"/>
  <c r="K371" i="33" s="1"/>
  <c r="A195" i="46"/>
  <c r="A248" i="46"/>
  <c r="J182" i="33"/>
  <c r="J190" i="33"/>
  <c r="J210" i="33"/>
  <c r="A57" i="36"/>
  <c r="K57" i="33" s="1"/>
  <c r="B279" i="36"/>
  <c r="A326" i="36"/>
  <c r="K326" i="33" s="1"/>
  <c r="A11" i="59"/>
  <c r="A11" i="46"/>
  <c r="A36" i="59"/>
  <c r="J36" i="59" s="1"/>
  <c r="A36" i="36"/>
  <c r="A37" i="59"/>
  <c r="A37" i="46"/>
  <c r="A48" i="59"/>
  <c r="J48" i="59" s="1"/>
  <c r="A48" i="36"/>
  <c r="A49" i="59"/>
  <c r="A49" i="36"/>
  <c r="K49" i="33" s="1"/>
  <c r="A49" i="46"/>
  <c r="A59" i="59"/>
  <c r="J59" i="59" s="1"/>
  <c r="A59" i="36"/>
  <c r="K59" i="33" s="1"/>
  <c r="A59" i="46"/>
  <c r="A60" i="59"/>
  <c r="J60" i="59" s="1"/>
  <c r="A60" i="36"/>
  <c r="A81" i="59"/>
  <c r="J81" i="59" s="1"/>
  <c r="A81" i="36"/>
  <c r="A82" i="59"/>
  <c r="A82" i="46"/>
  <c r="A88" i="59"/>
  <c r="J88" i="59" s="1"/>
  <c r="A88" i="36"/>
  <c r="A88" i="46"/>
  <c r="A89" i="59"/>
  <c r="A89" i="36"/>
  <c r="K89" i="33" s="1"/>
  <c r="A103" i="59"/>
  <c r="J103" i="59" s="1"/>
  <c r="A103" i="36"/>
  <c r="A103" i="46"/>
  <c r="A104" i="59"/>
  <c r="A104" i="36"/>
  <c r="A110" i="59"/>
  <c r="J110" i="59" s="1"/>
  <c r="A111" i="59"/>
  <c r="A111" i="36"/>
  <c r="K111" i="33" s="1"/>
  <c r="J111" i="33"/>
  <c r="A111" i="46"/>
  <c r="A125" i="59"/>
  <c r="J125" i="59" s="1"/>
  <c r="A125" i="36"/>
  <c r="A135" i="59"/>
  <c r="A135" i="36"/>
  <c r="A135" i="46"/>
  <c r="A143" i="59"/>
  <c r="A143" i="36"/>
  <c r="A143" i="46"/>
  <c r="A151" i="59"/>
  <c r="J151" i="59" s="1"/>
  <c r="A151" i="36"/>
  <c r="A151" i="46"/>
  <c r="A160" i="59"/>
  <c r="A160" i="36"/>
  <c r="A168" i="59"/>
  <c r="A168" i="36"/>
  <c r="A176" i="59"/>
  <c r="A176" i="36"/>
  <c r="A184" i="59"/>
  <c r="A184" i="36"/>
  <c r="A191" i="59"/>
  <c r="J191" i="59" s="1"/>
  <c r="A191" i="36"/>
  <c r="A191" i="46"/>
  <c r="B192" i="36"/>
  <c r="B192" i="46"/>
  <c r="B193" i="4"/>
  <c r="A206" i="59"/>
  <c r="A206" i="36"/>
  <c r="A206" i="46"/>
  <c r="A214" i="59"/>
  <c r="J214" i="59" s="1"/>
  <c r="A214" i="36"/>
  <c r="A214" i="46"/>
  <c r="A222" i="59"/>
  <c r="A222" i="36"/>
  <c r="A222" i="46"/>
  <c r="A229" i="59"/>
  <c r="J229" i="33"/>
  <c r="A229" i="46"/>
  <c r="A229" i="36"/>
  <c r="K229" i="33" s="1"/>
  <c r="A237" i="59"/>
  <c r="J237" i="59" s="1"/>
  <c r="A237" i="36"/>
  <c r="A250" i="59"/>
  <c r="J250" i="33"/>
  <c r="A250" i="46"/>
  <c r="A258" i="59"/>
  <c r="A258" i="46"/>
  <c r="A275" i="59"/>
  <c r="J275" i="59" s="1"/>
  <c r="A275" i="36"/>
  <c r="A284" i="46"/>
  <c r="A284" i="59"/>
  <c r="J284" i="59" s="1"/>
  <c r="A284" i="36"/>
  <c r="K284" i="33" s="1"/>
  <c r="J284" i="33"/>
  <c r="A292" i="46"/>
  <c r="A292" i="59"/>
  <c r="J292" i="59" s="1"/>
  <c r="A292" i="36"/>
  <c r="K292" i="33" s="1"/>
  <c r="J292" i="33"/>
  <c r="A299" i="46"/>
  <c r="A299" i="59"/>
  <c r="J299" i="59" s="1"/>
  <c r="J299" i="33"/>
  <c r="A299" i="36"/>
  <c r="K299" i="33" s="1"/>
  <c r="A309" i="46"/>
  <c r="A309" i="59"/>
  <c r="J309" i="59" s="1"/>
  <c r="A316" i="46"/>
  <c r="A316" i="59"/>
  <c r="J316" i="59" s="1"/>
  <c r="A316" i="36"/>
  <c r="K316" i="33" s="1"/>
  <c r="A323" i="46"/>
  <c r="A323" i="59"/>
  <c r="J323" i="59" s="1"/>
  <c r="A323" i="36"/>
  <c r="K323" i="33" s="1"/>
  <c r="A330" i="46"/>
  <c r="A330" i="59"/>
  <c r="J330" i="59" s="1"/>
  <c r="A330" i="36"/>
  <c r="K330" i="33" s="1"/>
  <c r="A338" i="46"/>
  <c r="A338" i="59"/>
  <c r="J338" i="59" s="1"/>
  <c r="A338" i="36"/>
  <c r="K338" i="33" s="1"/>
  <c r="A344" i="46"/>
  <c r="A344" i="59"/>
  <c r="J344" i="59" s="1"/>
  <c r="A344" i="36"/>
  <c r="K344" i="33" s="1"/>
  <c r="A351" i="46"/>
  <c r="A351" i="59"/>
  <c r="J351" i="59" s="1"/>
  <c r="A359" i="46"/>
  <c r="A359" i="59"/>
  <c r="J359" i="59" s="1"/>
  <c r="A367" i="46"/>
  <c r="A367" i="59"/>
  <c r="J367" i="59" s="1"/>
  <c r="A367" i="36"/>
  <c r="K367" i="33" s="1"/>
  <c r="A375" i="46"/>
  <c r="A375" i="59"/>
  <c r="J375" i="59" s="1"/>
  <c r="A375" i="36"/>
  <c r="K375" i="33" s="1"/>
  <c r="A7" i="46"/>
  <c r="A42" i="46"/>
  <c r="A54" i="46"/>
  <c r="A71" i="46"/>
  <c r="A101" i="46"/>
  <c r="A110" i="46"/>
  <c r="A113" i="46"/>
  <c r="A129" i="46"/>
  <c r="A133" i="46"/>
  <c r="A137" i="46"/>
  <c r="A141" i="46"/>
  <c r="A190" i="46"/>
  <c r="A204" i="46"/>
  <c r="A208" i="46"/>
  <c r="A212" i="46"/>
  <c r="A216" i="46"/>
  <c r="A220" i="46"/>
  <c r="A262" i="46"/>
  <c r="J117" i="33"/>
  <c r="J195" i="33"/>
  <c r="A74" i="36"/>
  <c r="A94" i="36"/>
  <c r="K94" i="33" s="1"/>
  <c r="A262" i="36"/>
  <c r="K262" i="33" s="1"/>
  <c r="A359" i="36"/>
  <c r="K359" i="33" s="1"/>
  <c r="A10" i="46"/>
  <c r="A10" i="59"/>
  <c r="A12" i="36"/>
  <c r="K12" i="33" s="1"/>
  <c r="A12" i="59"/>
  <c r="J12" i="59" s="1"/>
  <c r="A13" i="59"/>
  <c r="A13" i="36"/>
  <c r="K13" i="33" s="1"/>
  <c r="A17" i="59"/>
  <c r="J17" i="59" s="1"/>
  <c r="A17" i="36"/>
  <c r="K17" i="33" s="1"/>
  <c r="A20" i="59"/>
  <c r="J20" i="59" s="1"/>
  <c r="A20" i="36"/>
  <c r="K20" i="33" s="1"/>
  <c r="A21" i="59"/>
  <c r="A21" i="36"/>
  <c r="A23" i="59"/>
  <c r="J23" i="59" s="1"/>
  <c r="A24" i="59"/>
  <c r="A24" i="36"/>
  <c r="A26" i="59"/>
  <c r="J26" i="59" s="1"/>
  <c r="A27" i="59"/>
  <c r="A27" i="36"/>
  <c r="A29" i="59"/>
  <c r="J29" i="59" s="1"/>
  <c r="A30" i="59"/>
  <c r="A32" i="59"/>
  <c r="J32" i="59" s="1"/>
  <c r="A33" i="59"/>
  <c r="A33" i="36"/>
  <c r="K33" i="33" s="1"/>
  <c r="A35" i="59"/>
  <c r="A38" i="59"/>
  <c r="A41" i="59"/>
  <c r="A44" i="59"/>
  <c r="A50" i="59"/>
  <c r="A52" i="59"/>
  <c r="A52" i="36"/>
  <c r="A58" i="59"/>
  <c r="A61" i="59"/>
  <c r="A64" i="59"/>
  <c r="A64" i="36"/>
  <c r="K64" i="33" s="1"/>
  <c r="A66" i="59"/>
  <c r="J66" i="59" s="1"/>
  <c r="A66" i="36"/>
  <c r="A70" i="59"/>
  <c r="A70" i="36"/>
  <c r="K70" i="33" s="1"/>
  <c r="A72" i="59"/>
  <c r="J72" i="59" s="1"/>
  <c r="A72" i="36"/>
  <c r="A78" i="59"/>
  <c r="A78" i="36"/>
  <c r="A80" i="59"/>
  <c r="A80" i="36"/>
  <c r="A84" i="59"/>
  <c r="A84" i="36"/>
  <c r="A86" i="59"/>
  <c r="J86" i="59" s="1"/>
  <c r="A86" i="36"/>
  <c r="K86" i="33" s="1"/>
  <c r="A87" i="59"/>
  <c r="A90" i="59"/>
  <c r="A90" i="36"/>
  <c r="A92" i="59"/>
  <c r="J92" i="59" s="1"/>
  <c r="A92" i="36"/>
  <c r="A95" i="59"/>
  <c r="J95" i="59" s="1"/>
  <c r="A96" i="59"/>
  <c r="A96" i="36"/>
  <c r="A98" i="59"/>
  <c r="J98" i="59" s="1"/>
  <c r="A98" i="36"/>
  <c r="A102" i="59"/>
  <c r="A102" i="36"/>
  <c r="A106" i="59"/>
  <c r="A106" i="36"/>
  <c r="K106" i="33" s="1"/>
  <c r="A108" i="59"/>
  <c r="J108" i="59" s="1"/>
  <c r="A108" i="36"/>
  <c r="A112" i="59"/>
  <c r="A112" i="36"/>
  <c r="K112" i="33" s="1"/>
  <c r="A116" i="59"/>
  <c r="A116" i="36"/>
  <c r="A118" i="59"/>
  <c r="J118" i="59" s="1"/>
  <c r="A118" i="36"/>
  <c r="A119" i="59"/>
  <c r="A122" i="59"/>
  <c r="A122" i="36"/>
  <c r="K122" i="33" s="1"/>
  <c r="A124" i="59"/>
  <c r="A124" i="36"/>
  <c r="K124" i="33" s="1"/>
  <c r="A126" i="59"/>
  <c r="J126" i="59" s="1"/>
  <c r="A126" i="36"/>
  <c r="K126" i="33" s="1"/>
  <c r="A127" i="59"/>
  <c r="J127" i="59" s="1"/>
  <c r="A128" i="59"/>
  <c r="J128" i="59" s="1"/>
  <c r="A128" i="36"/>
  <c r="A194" i="59"/>
  <c r="A194" i="36"/>
  <c r="A196" i="59"/>
  <c r="A196" i="36"/>
  <c r="A198" i="59"/>
  <c r="J198" i="59" s="1"/>
  <c r="A198" i="36"/>
  <c r="A199" i="59"/>
  <c r="A199" i="36"/>
  <c r="A201" i="59"/>
  <c r="A201" i="36"/>
  <c r="K201" i="33" s="1"/>
  <c r="A203" i="59"/>
  <c r="A203" i="36"/>
  <c r="K203" i="33" s="1"/>
  <c r="A205" i="59"/>
  <c r="A205" i="36"/>
  <c r="K205" i="33" s="1"/>
  <c r="A207" i="59"/>
  <c r="A207" i="36"/>
  <c r="A209" i="59"/>
  <c r="A209" i="36"/>
  <c r="K209" i="33" s="1"/>
  <c r="A211" i="59"/>
  <c r="A211" i="36"/>
  <c r="A213" i="59"/>
  <c r="J213" i="59" s="1"/>
  <c r="A213" i="36"/>
  <c r="K213" i="33" s="1"/>
  <c r="A215" i="59"/>
  <c r="A215" i="36"/>
  <c r="A217" i="59"/>
  <c r="A217" i="36"/>
  <c r="K217" i="33" s="1"/>
  <c r="A219" i="59"/>
  <c r="A219" i="36"/>
  <c r="A221" i="59"/>
  <c r="A221" i="36"/>
  <c r="K221" i="33" s="1"/>
  <c r="A223" i="59"/>
  <c r="A223" i="36"/>
  <c r="A225" i="59"/>
  <c r="A225" i="36"/>
  <c r="A227" i="59"/>
  <c r="J227" i="59" s="1"/>
  <c r="A227" i="36"/>
  <c r="A233" i="59"/>
  <c r="J233" i="59" s="1"/>
  <c r="A233" i="36"/>
  <c r="K233" i="33" s="1"/>
  <c r="A236" i="59"/>
  <c r="J236" i="59" s="1"/>
  <c r="J236" i="33"/>
  <c r="A238" i="59"/>
  <c r="J238" i="59" s="1"/>
  <c r="A240" i="59"/>
  <c r="J240" i="33"/>
  <c r="A241" i="59"/>
  <c r="J241" i="59" s="1"/>
  <c r="A241" i="36"/>
  <c r="A242" i="59"/>
  <c r="J242" i="59" s="1"/>
  <c r="A245" i="59"/>
  <c r="J245" i="33"/>
  <c r="A249" i="59"/>
  <c r="J249" i="59" s="1"/>
  <c r="J249" i="33"/>
  <c r="A253" i="59"/>
  <c r="J253" i="33"/>
  <c r="A257" i="59"/>
  <c r="J257" i="33"/>
  <c r="A264" i="59"/>
  <c r="J264" i="59" s="1"/>
  <c r="A264" i="36"/>
  <c r="A266" i="59"/>
  <c r="J266" i="59" s="1"/>
  <c r="A342" i="46"/>
  <c r="A342" i="59"/>
  <c r="J342" i="59" s="1"/>
  <c r="A342" i="36"/>
  <c r="K342" i="33" s="1"/>
  <c r="A345" i="46"/>
  <c r="A345" i="59"/>
  <c r="J345" i="59" s="1"/>
  <c r="A345" i="36"/>
  <c r="A346" i="46"/>
  <c r="A346" i="59"/>
  <c r="J346" i="59" s="1"/>
  <c r="A348" i="46"/>
  <c r="A348" i="59"/>
  <c r="J348" i="59" s="1"/>
  <c r="A348" i="36"/>
  <c r="K348" i="33" s="1"/>
  <c r="A350" i="46"/>
  <c r="A350" i="59"/>
  <c r="J350" i="59" s="1"/>
  <c r="A352" i="46"/>
  <c r="A352" i="59"/>
  <c r="J352" i="59" s="1"/>
  <c r="A352" i="36"/>
  <c r="K352" i="33" s="1"/>
  <c r="A354" i="46"/>
  <c r="A354" i="59"/>
  <c r="J354" i="59" s="1"/>
  <c r="A356" i="46"/>
  <c r="A356" i="59"/>
  <c r="J356" i="59" s="1"/>
  <c r="A356" i="36"/>
  <c r="K356" i="33" s="1"/>
  <c r="A358" i="46"/>
  <c r="A358" i="59"/>
  <c r="J358" i="59" s="1"/>
  <c r="A360" i="46"/>
  <c r="A360" i="59"/>
  <c r="J360" i="59" s="1"/>
  <c r="A360" i="36"/>
  <c r="K360" i="33" s="1"/>
  <c r="A362" i="46"/>
  <c r="A362" i="59"/>
  <c r="J362" i="59" s="1"/>
  <c r="A364" i="46"/>
  <c r="A364" i="59"/>
  <c r="J364" i="59" s="1"/>
  <c r="A364" i="36"/>
  <c r="K364" i="33" s="1"/>
  <c r="A366" i="46"/>
  <c r="A366" i="59"/>
  <c r="J366" i="59" s="1"/>
  <c r="A368" i="46"/>
  <c r="A368" i="59"/>
  <c r="J368" i="59" s="1"/>
  <c r="A368" i="36"/>
  <c r="K368" i="33" s="1"/>
  <c r="A370" i="46"/>
  <c r="A370" i="59"/>
  <c r="J370" i="59" s="1"/>
  <c r="A370" i="36"/>
  <c r="K370" i="33" s="1"/>
  <c r="A372" i="46"/>
  <c r="A372" i="59"/>
  <c r="J372" i="59" s="1"/>
  <c r="A374" i="46"/>
  <c r="A374" i="59"/>
  <c r="J374" i="59" s="1"/>
  <c r="A374" i="36"/>
  <c r="K374" i="33" s="1"/>
  <c r="A376" i="46"/>
  <c r="A376" i="59"/>
  <c r="J376" i="59" s="1"/>
  <c r="A378" i="46"/>
  <c r="A378" i="59"/>
  <c r="J378" i="59" s="1"/>
  <c r="A378" i="36"/>
  <c r="K378" i="33" s="1"/>
  <c r="A380" i="46"/>
  <c r="A380" i="36"/>
  <c r="K380" i="33" s="1"/>
  <c r="A380" i="59"/>
  <c r="J380" i="59" s="1"/>
  <c r="A382" i="36"/>
  <c r="K382" i="33" s="1"/>
  <c r="A382" i="59"/>
  <c r="J382" i="59" s="1"/>
  <c r="A8" i="46"/>
  <c r="A13" i="46"/>
  <c r="A17" i="46"/>
  <c r="A20" i="46"/>
  <c r="A23" i="46"/>
  <c r="A26" i="46"/>
  <c r="A29" i="46"/>
  <c r="A64" i="46"/>
  <c r="A67" i="46"/>
  <c r="A70" i="46"/>
  <c r="A73" i="46"/>
  <c r="A80" i="46"/>
  <c r="A83" i="46"/>
  <c r="A86" i="46"/>
  <c r="A92" i="46"/>
  <c r="A95" i="46"/>
  <c r="A98" i="46"/>
  <c r="A106" i="46"/>
  <c r="A109" i="46"/>
  <c r="A112" i="46"/>
  <c r="A115" i="46"/>
  <c r="A118" i="46"/>
  <c r="A121" i="46"/>
  <c r="A124" i="46"/>
  <c r="A127" i="46"/>
  <c r="A194" i="46"/>
  <c r="A198" i="46"/>
  <c r="A201" i="46"/>
  <c r="A227" i="46"/>
  <c r="A230" i="46"/>
  <c r="A233" i="46"/>
  <c r="A236" i="46"/>
  <c r="A240" i="46"/>
  <c r="A242" i="46"/>
  <c r="A245" i="46"/>
  <c r="J86" i="33"/>
  <c r="J106" i="33"/>
  <c r="J201" i="33"/>
  <c r="J205" i="33"/>
  <c r="J209" i="33"/>
  <c r="J213" i="33"/>
  <c r="J217" i="33"/>
  <c r="J221" i="33"/>
  <c r="A8" i="59"/>
  <c r="A26" i="36"/>
  <c r="A50" i="36"/>
  <c r="K50" i="33" s="1"/>
  <c r="A58" i="36"/>
  <c r="K58" i="33" s="1"/>
  <c r="A63" i="36"/>
  <c r="A69" i="36"/>
  <c r="A73" i="36"/>
  <c r="A93" i="36"/>
  <c r="A105" i="36"/>
  <c r="A109" i="36"/>
  <c r="A121" i="36"/>
  <c r="A161" i="36"/>
  <c r="A228" i="36"/>
  <c r="K228" i="33" s="1"/>
  <c r="A230" i="36"/>
  <c r="A234" i="36"/>
  <c r="A236" i="36"/>
  <c r="K236" i="33" s="1"/>
  <c r="A238" i="36"/>
  <c r="A240" i="36"/>
  <c r="K240" i="33" s="1"/>
  <c r="A245" i="36"/>
  <c r="K245" i="33" s="1"/>
  <c r="A249" i="36"/>
  <c r="K249" i="33" s="1"/>
  <c r="A253" i="36"/>
  <c r="K253" i="33" s="1"/>
  <c r="A257" i="36"/>
  <c r="K257" i="33" s="1"/>
  <c r="K350" i="33"/>
  <c r="A358" i="36"/>
  <c r="K358" i="33" s="1"/>
  <c r="A372" i="36"/>
  <c r="K372" i="33" s="1"/>
  <c r="A130" i="59"/>
  <c r="A130" i="36"/>
  <c r="A132" i="59"/>
  <c r="A132" i="36"/>
  <c r="K132" i="33" s="1"/>
  <c r="A134" i="59"/>
  <c r="A134" i="36"/>
  <c r="A136" i="59"/>
  <c r="A136" i="36"/>
  <c r="K136" i="33" s="1"/>
  <c r="A138" i="59"/>
  <c r="A138" i="36"/>
  <c r="A140" i="59"/>
  <c r="A140" i="36"/>
  <c r="K140" i="33" s="1"/>
  <c r="A142" i="59"/>
  <c r="A142" i="36"/>
  <c r="A144" i="59"/>
  <c r="J144" i="59" s="1"/>
  <c r="A144" i="36"/>
  <c r="K144" i="33" s="1"/>
  <c r="A146" i="59"/>
  <c r="J146" i="59" s="1"/>
  <c r="A146" i="36"/>
  <c r="A148" i="59"/>
  <c r="J148" i="59" s="1"/>
  <c r="A148" i="36"/>
  <c r="K148" i="33" s="1"/>
  <c r="A150" i="59"/>
  <c r="J150" i="59" s="1"/>
  <c r="A150" i="36"/>
  <c r="A152" i="59"/>
  <c r="A152" i="36"/>
  <c r="K152" i="33" s="1"/>
  <c r="A154" i="59"/>
  <c r="A154" i="36"/>
  <c r="A156" i="59"/>
  <c r="A156" i="36"/>
  <c r="K156" i="33" s="1"/>
  <c r="A158" i="59"/>
  <c r="J158" i="59" s="1"/>
  <c r="A158" i="36"/>
  <c r="A163" i="59"/>
  <c r="J163" i="59" s="1"/>
  <c r="A165" i="59"/>
  <c r="A169" i="59"/>
  <c r="A171" i="59"/>
  <c r="A173" i="59"/>
  <c r="J173" i="59" s="1"/>
  <c r="A174" i="59"/>
  <c r="J174" i="59" s="1"/>
  <c r="A174" i="36"/>
  <c r="A179" i="59"/>
  <c r="J179" i="59" s="1"/>
  <c r="A181" i="59"/>
  <c r="A183" i="59"/>
  <c r="A187" i="59"/>
  <c r="J187" i="59" s="1"/>
  <c r="A188" i="59"/>
  <c r="A188" i="36"/>
  <c r="A268" i="59"/>
  <c r="J268" i="59" s="1"/>
  <c r="A269" i="59"/>
  <c r="A269" i="36"/>
  <c r="K269" i="33" s="1"/>
  <c r="J269" i="33"/>
  <c r="A271" i="59"/>
  <c r="J271" i="59" s="1"/>
  <c r="A271" i="36"/>
  <c r="A272" i="59"/>
  <c r="J272" i="59" s="1"/>
  <c r="A272" i="36"/>
  <c r="K272" i="33" s="1"/>
  <c r="J272" i="33"/>
  <c r="A274" i="59"/>
  <c r="J274" i="59" s="1"/>
  <c r="A274" i="36"/>
  <c r="A276" i="59"/>
  <c r="J276" i="59" s="1"/>
  <c r="A276" i="36"/>
  <c r="K276" i="33" s="1"/>
  <c r="J276" i="33"/>
  <c r="A279" i="46"/>
  <c r="A279" i="59"/>
  <c r="J279" i="59" s="1"/>
  <c r="A279" i="36"/>
  <c r="K279" i="33" s="1"/>
  <c r="J279" i="33"/>
  <c r="A281" i="46"/>
  <c r="A281" i="59"/>
  <c r="J281" i="59" s="1"/>
  <c r="A281" i="36"/>
  <c r="K281" i="33" s="1"/>
  <c r="J281" i="33"/>
  <c r="A283" i="46"/>
  <c r="A283" i="59"/>
  <c r="J283" i="59" s="1"/>
  <c r="A283" i="36"/>
  <c r="K283" i="33" s="1"/>
  <c r="J283" i="33"/>
  <c r="A285" i="46"/>
  <c r="A285" i="59"/>
  <c r="J285" i="59" s="1"/>
  <c r="A285" i="36"/>
  <c r="K285" i="33" s="1"/>
  <c r="J285" i="33"/>
  <c r="A287" i="46"/>
  <c r="A287" i="59"/>
  <c r="J287" i="59" s="1"/>
  <c r="A287" i="36"/>
  <c r="K287" i="33" s="1"/>
  <c r="J287" i="33"/>
  <c r="A289" i="46"/>
  <c r="A289" i="59"/>
  <c r="J289" i="59" s="1"/>
  <c r="A289" i="36"/>
  <c r="K289" i="33" s="1"/>
  <c r="J289" i="33"/>
  <c r="A291" i="46"/>
  <c r="A291" i="59"/>
  <c r="J291" i="59" s="1"/>
  <c r="A291" i="36"/>
  <c r="K291" i="33" s="1"/>
  <c r="J291" i="33"/>
  <c r="A293" i="46"/>
  <c r="A293" i="59"/>
  <c r="J293" i="59" s="1"/>
  <c r="A293" i="36"/>
  <c r="K293" i="33" s="1"/>
  <c r="J293" i="33"/>
  <c r="A296" i="46"/>
  <c r="A296" i="59"/>
  <c r="J296" i="59" s="1"/>
  <c r="J296" i="33"/>
  <c r="A296" i="36"/>
  <c r="K296" i="33" s="1"/>
  <c r="A298" i="46"/>
  <c r="A298" i="59"/>
  <c r="J298" i="59" s="1"/>
  <c r="J298" i="33"/>
  <c r="A298" i="36"/>
  <c r="K298" i="33" s="1"/>
  <c r="A300" i="46"/>
  <c r="A300" i="59"/>
  <c r="J300" i="59" s="1"/>
  <c r="J300" i="33"/>
  <c r="A300" i="36"/>
  <c r="K300" i="33" s="1"/>
  <c r="A302" i="46"/>
  <c r="A302" i="59"/>
  <c r="J302" i="59" s="1"/>
  <c r="J302" i="33"/>
  <c r="A302" i="36"/>
  <c r="K302" i="33" s="1"/>
  <c r="A304" i="46"/>
  <c r="A304" i="59"/>
  <c r="J304" i="59" s="1"/>
  <c r="J304" i="33"/>
  <c r="A304" i="36"/>
  <c r="K304" i="33" s="1"/>
  <c r="A306" i="46"/>
  <c r="A306" i="59"/>
  <c r="J306" i="59" s="1"/>
  <c r="J306" i="33"/>
  <c r="A306" i="36"/>
  <c r="K306" i="33" s="1"/>
  <c r="A307" i="46"/>
  <c r="A307" i="59"/>
  <c r="J307" i="59" s="1"/>
  <c r="A307" i="36"/>
  <c r="K307" i="33" s="1"/>
  <c r="J307" i="33"/>
  <c r="A308" i="46"/>
  <c r="A308" i="59"/>
  <c r="J308" i="59" s="1"/>
  <c r="A310" i="46"/>
  <c r="A310" i="59"/>
  <c r="J310" i="59" s="1"/>
  <c r="A312" i="46"/>
  <c r="A312" i="59"/>
  <c r="J312" i="59" s="1"/>
  <c r="A314" i="46"/>
  <c r="A314" i="59"/>
  <c r="J314" i="59" s="1"/>
  <c r="A314" i="36"/>
  <c r="K314" i="33" s="1"/>
  <c r="J314" i="33"/>
  <c r="A317" i="46"/>
  <c r="A317" i="59"/>
  <c r="J317" i="59" s="1"/>
  <c r="A317" i="36"/>
  <c r="K317" i="33" s="1"/>
  <c r="A319" i="46"/>
  <c r="A319" i="59"/>
  <c r="J319" i="59" s="1"/>
  <c r="A319" i="36"/>
  <c r="K319" i="33" s="1"/>
  <c r="A321" i="46"/>
  <c r="A321" i="59"/>
  <c r="J321" i="59" s="1"/>
  <c r="A321" i="36"/>
  <c r="K321" i="33" s="1"/>
  <c r="A325" i="46"/>
  <c r="A325" i="59"/>
  <c r="J325" i="59" s="1"/>
  <c r="A327" i="46"/>
  <c r="A327" i="59"/>
  <c r="J327" i="59" s="1"/>
  <c r="A327" i="36"/>
  <c r="K327" i="33" s="1"/>
  <c r="A329" i="46"/>
  <c r="A329" i="59"/>
  <c r="J329" i="59" s="1"/>
  <c r="A331" i="46"/>
  <c r="A331" i="59"/>
  <c r="J331" i="59" s="1"/>
  <c r="A331" i="36"/>
  <c r="K331" i="33" s="1"/>
  <c r="A332" i="46"/>
  <c r="A332" i="59"/>
  <c r="J332" i="59" s="1"/>
  <c r="A334" i="46"/>
  <c r="A334" i="59"/>
  <c r="J334" i="59" s="1"/>
  <c r="A336" i="46"/>
  <c r="A336" i="59"/>
  <c r="J336" i="59" s="1"/>
  <c r="A336" i="36"/>
  <c r="K336" i="33" s="1"/>
  <c r="A340" i="46"/>
  <c r="A340" i="59"/>
  <c r="J340" i="59" s="1"/>
  <c r="A340" i="36"/>
  <c r="K340" i="33" s="1"/>
  <c r="A341" i="46"/>
  <c r="A341" i="59"/>
  <c r="J341" i="59" s="1"/>
  <c r="A33" i="46"/>
  <c r="A52" i="46"/>
  <c r="A55" i="46"/>
  <c r="A58" i="46"/>
  <c r="A61" i="46"/>
  <c r="A146" i="46"/>
  <c r="A150" i="46"/>
  <c r="A154" i="46"/>
  <c r="A158" i="46"/>
  <c r="A161" i="46"/>
  <c r="A165" i="46"/>
  <c r="A169" i="46"/>
  <c r="A173" i="46"/>
  <c r="A205" i="46"/>
  <c r="A209" i="46"/>
  <c r="A213" i="46"/>
  <c r="A217" i="46"/>
  <c r="A221" i="46"/>
  <c r="A249" i="46"/>
  <c r="A253" i="46"/>
  <c r="A257" i="46"/>
  <c r="A266" i="46"/>
  <c r="A269" i="46"/>
  <c r="A272" i="46"/>
  <c r="A276" i="46"/>
  <c r="A8" i="33"/>
  <c r="J69" i="33"/>
  <c r="J70" i="33"/>
  <c r="J124" i="33"/>
  <c r="J228" i="33"/>
  <c r="J233" i="33"/>
  <c r="A8" i="36"/>
  <c r="A18" i="36"/>
  <c r="A38" i="36"/>
  <c r="A44" i="36"/>
  <c r="A177" i="36"/>
  <c r="A179" i="36"/>
  <c r="K179" i="33" s="1"/>
  <c r="A181" i="36"/>
  <c r="A183" i="36"/>
  <c r="K183" i="33" s="1"/>
  <c r="A185" i="36"/>
  <c r="A187" i="36"/>
  <c r="K187" i="33" s="1"/>
  <c r="A334" i="36"/>
  <c r="K334" i="33" s="1"/>
  <c r="A366" i="36"/>
  <c r="K366" i="33" s="1"/>
  <c r="F37" i="46"/>
  <c r="E37" i="46" s="1"/>
  <c r="F84" i="46"/>
  <c r="E84" i="46" s="1"/>
  <c r="F70" i="46"/>
  <c r="E70" i="46" s="1"/>
  <c r="F101" i="46"/>
  <c r="E101" i="46" s="1"/>
  <c r="F116" i="46"/>
  <c r="E116" i="46" s="1"/>
  <c r="F46" i="46"/>
  <c r="E46" i="46" s="1"/>
  <c r="F93" i="46"/>
  <c r="E93" i="46" s="1"/>
  <c r="F10" i="46"/>
  <c r="E10" i="46" s="1"/>
  <c r="F8" i="46"/>
  <c r="E8" i="46" s="1"/>
  <c r="F15" i="46"/>
  <c r="E15" i="46" s="1"/>
  <c r="F90" i="46"/>
  <c r="E90" i="46" s="1"/>
  <c r="F21" i="46"/>
  <c r="E21" i="46" s="1"/>
  <c r="F51" i="46"/>
  <c r="E51" i="46" s="1"/>
  <c r="F106" i="46"/>
  <c r="E106" i="46" s="1"/>
  <c r="F27" i="46"/>
  <c r="E27" i="46" s="1"/>
  <c r="F61" i="46"/>
  <c r="E61" i="46" s="1"/>
  <c r="A6" i="46" s="1"/>
  <c r="F74" i="46"/>
  <c r="E74" i="46" s="1"/>
  <c r="F96" i="46"/>
  <c r="E96" i="46" s="1"/>
  <c r="F130" i="46"/>
  <c r="E130" i="46" s="1"/>
  <c r="F159" i="46"/>
  <c r="E159" i="46" s="1"/>
  <c r="F30" i="46"/>
  <c r="E30" i="46" s="1"/>
  <c r="F40" i="46"/>
  <c r="E40" i="46" s="1"/>
  <c r="F64" i="46"/>
  <c r="E64" i="46" s="1"/>
  <c r="F119" i="46"/>
  <c r="E119" i="46" s="1"/>
  <c r="F266" i="46"/>
  <c r="E266" i="46" s="1"/>
  <c r="F243" i="46"/>
  <c r="E243" i="46" s="1"/>
  <c r="F259" i="46"/>
  <c r="E259" i="46" s="1"/>
  <c r="O4" i="32"/>
  <c r="C294" i="36"/>
  <c r="D233" i="36"/>
  <c r="D72" i="36"/>
  <c r="C72" i="52" s="1"/>
  <c r="D86" i="36"/>
  <c r="D92" i="36"/>
  <c r="C92" i="52" s="1"/>
  <c r="D95" i="36"/>
  <c r="C95" i="52" s="1"/>
  <c r="D113" i="36"/>
  <c r="A12" i="46"/>
  <c r="A10" i="36"/>
  <c r="K10" i="33" s="1"/>
  <c r="A30" i="36"/>
  <c r="K30" i="33" s="1"/>
  <c r="A30" i="46"/>
  <c r="G140" i="72"/>
  <c r="G152" i="72"/>
  <c r="G125" i="72"/>
  <c r="G133" i="72"/>
  <c r="H56" i="53" l="1"/>
  <c r="I56" i="53" s="1"/>
  <c r="G56" i="53"/>
  <c r="D56" i="53"/>
  <c r="K56" i="53" s="1"/>
  <c r="L56" i="53" s="1"/>
  <c r="I49" i="53"/>
  <c r="G95" i="52"/>
  <c r="H95" i="52"/>
  <c r="I95" i="52" s="1"/>
  <c r="G57" i="53"/>
  <c r="H57" i="53"/>
  <c r="I57" i="53" s="1"/>
  <c r="D57" i="53"/>
  <c r="K57" i="53" s="1"/>
  <c r="L57" i="53" s="1"/>
  <c r="H92" i="52"/>
  <c r="I92" i="52" s="1"/>
  <c r="G92" i="52"/>
  <c r="D88" i="36"/>
  <c r="C86" i="52"/>
  <c r="H72" i="52"/>
  <c r="I72" i="52" s="1"/>
  <c r="G72" i="52"/>
  <c r="D76" i="53"/>
  <c r="K76" i="53" s="1"/>
  <c r="L76" i="53" s="1"/>
  <c r="G76" i="53"/>
  <c r="H76" i="53" s="1"/>
  <c r="I76" i="53" s="1"/>
  <c r="C48" i="53"/>
  <c r="D77" i="73"/>
  <c r="C8" i="73"/>
  <c r="E8" i="73" s="1"/>
  <c r="I8" i="73" s="1"/>
  <c r="C49" i="73"/>
  <c r="E49" i="73" s="1"/>
  <c r="D115" i="36"/>
  <c r="C115" i="52" s="1"/>
  <c r="C113" i="52"/>
  <c r="A175" i="52"/>
  <c r="A175" i="48"/>
  <c r="C28" i="67"/>
  <c r="D28" i="67" s="1"/>
  <c r="C42" i="69"/>
  <c r="C91" i="69"/>
  <c r="C194" i="69" s="1"/>
  <c r="C196" i="69" s="1"/>
  <c r="C8" i="67"/>
  <c r="D8" i="67" s="1"/>
  <c r="C36" i="67"/>
  <c r="D36" i="67" s="1"/>
  <c r="C15" i="67"/>
  <c r="D15" i="67" s="1"/>
  <c r="C192" i="69"/>
  <c r="D415" i="36"/>
  <c r="D399" i="36"/>
  <c r="D400" i="36"/>
  <c r="D307" i="36"/>
  <c r="D406" i="36" s="1"/>
  <c r="D337" i="36"/>
  <c r="C337" i="33"/>
  <c r="I336" i="33"/>
  <c r="C336" i="36" s="1"/>
  <c r="C337" i="36" s="1"/>
  <c r="E66" i="33"/>
  <c r="H66" i="33"/>
  <c r="D190" i="46"/>
  <c r="D127" i="46"/>
  <c r="C323" i="36"/>
  <c r="C407" i="36" s="1"/>
  <c r="F66" i="33"/>
  <c r="I269" i="33"/>
  <c r="C269" i="36" s="1"/>
  <c r="D66" i="33"/>
  <c r="G66" i="33"/>
  <c r="I270" i="33"/>
  <c r="C270" i="36" s="1"/>
  <c r="I229" i="33"/>
  <c r="C229" i="36" s="1"/>
  <c r="I33" i="33"/>
  <c r="C33" i="36" s="1"/>
  <c r="I182" i="33"/>
  <c r="C182" i="36" s="1"/>
  <c r="I91" i="33"/>
  <c r="I210" i="33"/>
  <c r="C210" i="36" s="1"/>
  <c r="I132" i="33"/>
  <c r="C132" i="36" s="1"/>
  <c r="I253" i="33"/>
  <c r="C253" i="36" s="1"/>
  <c r="I34" i="33"/>
  <c r="I228" i="33"/>
  <c r="C228" i="36" s="1"/>
  <c r="I197" i="33"/>
  <c r="C197" i="36" s="1"/>
  <c r="I140" i="33"/>
  <c r="C140" i="36" s="1"/>
  <c r="I204" i="33"/>
  <c r="C204" i="36" s="1"/>
  <c r="I70" i="33"/>
  <c r="C70" i="36" s="1"/>
  <c r="C66" i="33"/>
  <c r="I64" i="33"/>
  <c r="C64" i="36" s="1"/>
  <c r="I141" i="33"/>
  <c r="C141" i="36" s="1"/>
  <c r="I216" i="33"/>
  <c r="C216" i="36" s="1"/>
  <c r="I221" i="33"/>
  <c r="C221" i="36" s="1"/>
  <c r="I218" i="33"/>
  <c r="C218" i="36" s="1"/>
  <c r="C419" i="36" s="1"/>
  <c r="I50" i="33"/>
  <c r="I40" i="33"/>
  <c r="I212" i="33"/>
  <c r="C212" i="36" s="1"/>
  <c r="I166" i="33"/>
  <c r="C166" i="36" s="1"/>
  <c r="I152" i="33"/>
  <c r="C152" i="36" s="1"/>
  <c r="I122" i="33"/>
  <c r="C122" i="36" s="1"/>
  <c r="I217" i="33"/>
  <c r="C217" i="36" s="1"/>
  <c r="I201" i="33"/>
  <c r="C201" i="36" s="1"/>
  <c r="I147" i="33"/>
  <c r="C147" i="36" s="1"/>
  <c r="I65" i="33"/>
  <c r="C65" i="36" s="1"/>
  <c r="I28" i="33"/>
  <c r="I145" i="33"/>
  <c r="C145" i="36" s="1"/>
  <c r="I179" i="33"/>
  <c r="C179" i="36" s="1"/>
  <c r="I148" i="33"/>
  <c r="C148" i="36" s="1"/>
  <c r="I244" i="33"/>
  <c r="I10" i="33"/>
  <c r="C10" i="36" s="1"/>
  <c r="I195" i="33"/>
  <c r="C195" i="36" s="1"/>
  <c r="I157" i="33"/>
  <c r="C157" i="36" s="1"/>
  <c r="I232" i="33"/>
  <c r="C232" i="36" s="1"/>
  <c r="I246" i="33"/>
  <c r="C246" i="36" s="1"/>
  <c r="I245" i="33"/>
  <c r="C245" i="36" s="1"/>
  <c r="I43" i="33"/>
  <c r="I46" i="33"/>
  <c r="I137" i="33"/>
  <c r="C137" i="36" s="1"/>
  <c r="I22" i="33"/>
  <c r="I209" i="33"/>
  <c r="C209" i="36" s="1"/>
  <c r="I257" i="33"/>
  <c r="C257" i="36" s="1"/>
  <c r="I256" i="33"/>
  <c r="C256" i="36" s="1"/>
  <c r="I124" i="33"/>
  <c r="C124" i="36" s="1"/>
  <c r="I79" i="33"/>
  <c r="C79" i="36" s="1"/>
  <c r="I30" i="33"/>
  <c r="I205" i="33"/>
  <c r="C205" i="36" s="1"/>
  <c r="I139" i="33"/>
  <c r="C139" i="36" s="1"/>
  <c r="I68" i="33"/>
  <c r="C68" i="36" s="1"/>
  <c r="I62" i="33"/>
  <c r="C62" i="36" s="1"/>
  <c r="I200" i="33"/>
  <c r="C200" i="36" s="1"/>
  <c r="I183" i="33"/>
  <c r="C183" i="36" s="1"/>
  <c r="I136" i="33"/>
  <c r="C136" i="36" s="1"/>
  <c r="I213" i="33"/>
  <c r="C213" i="36" s="1"/>
  <c r="I248" i="33"/>
  <c r="C248" i="36" s="1"/>
  <c r="I49" i="33"/>
  <c r="I54" i="33"/>
  <c r="I123" i="33"/>
  <c r="C123" i="36" s="1"/>
  <c r="C420" i="36" s="1"/>
  <c r="I117" i="33"/>
  <c r="C117" i="36" s="1"/>
  <c r="I94" i="33"/>
  <c r="C94" i="36" s="1"/>
  <c r="I193" i="33"/>
  <c r="C193" i="36" s="1"/>
  <c r="I133" i="33"/>
  <c r="C133" i="36" s="1"/>
  <c r="I208" i="33"/>
  <c r="C208" i="36" s="1"/>
  <c r="I156" i="33"/>
  <c r="C156" i="36" s="1"/>
  <c r="I220" i="33"/>
  <c r="C220" i="36" s="1"/>
  <c r="I16" i="33"/>
  <c r="C16" i="36" s="1"/>
  <c r="I144" i="33"/>
  <c r="C144" i="36" s="1"/>
  <c r="D241" i="46"/>
  <c r="D260" i="46" s="1"/>
  <c r="D261" i="46"/>
  <c r="B174" i="33"/>
  <c r="C190" i="4"/>
  <c r="J269" i="59"/>
  <c r="J132" i="59"/>
  <c r="J199" i="59"/>
  <c r="J176" i="59"/>
  <c r="J254" i="59"/>
  <c r="J52" i="59"/>
  <c r="J38" i="59"/>
  <c r="J30" i="59"/>
  <c r="J10" i="59"/>
  <c r="J135" i="59"/>
  <c r="J111" i="59"/>
  <c r="J49" i="59"/>
  <c r="J71" i="59"/>
  <c r="J208" i="59"/>
  <c r="J193" i="59"/>
  <c r="J97" i="59"/>
  <c r="J43" i="59"/>
  <c r="J117" i="59"/>
  <c r="J22" i="59"/>
  <c r="G222" i="33"/>
  <c r="F222" i="33"/>
  <c r="E222" i="33"/>
  <c r="D222" i="33"/>
  <c r="C222" i="33"/>
  <c r="H222" i="33"/>
  <c r="J75" i="59"/>
  <c r="J18" i="59"/>
  <c r="H162" i="33"/>
  <c r="D162" i="33"/>
  <c r="C162" i="33"/>
  <c r="F162" i="33"/>
  <c r="G162" i="33"/>
  <c r="E162" i="33"/>
  <c r="J183" i="59"/>
  <c r="J245" i="59"/>
  <c r="J181" i="59"/>
  <c r="J257" i="59"/>
  <c r="J24" i="59"/>
  <c r="J180" i="59"/>
  <c r="J137" i="59"/>
  <c r="J31" i="59"/>
  <c r="J197" i="59"/>
  <c r="J79" i="59"/>
  <c r="E214" i="33"/>
  <c r="H214" i="33"/>
  <c r="D214" i="33"/>
  <c r="G214" i="33"/>
  <c r="F214" i="33"/>
  <c r="J109" i="59"/>
  <c r="J171" i="59"/>
  <c r="K158" i="33"/>
  <c r="J136" i="59"/>
  <c r="J122" i="59"/>
  <c r="J116" i="59"/>
  <c r="J106" i="59"/>
  <c r="J96" i="59"/>
  <c r="J90" i="59"/>
  <c r="J84" i="59"/>
  <c r="J50" i="59"/>
  <c r="J35" i="59"/>
  <c r="J229" i="59"/>
  <c r="J168" i="59"/>
  <c r="J82" i="59"/>
  <c r="J226" i="59"/>
  <c r="J101" i="59"/>
  <c r="J252" i="59"/>
  <c r="J224" i="59"/>
  <c r="J114" i="59"/>
  <c r="J141" i="59"/>
  <c r="J9" i="59"/>
  <c r="J67" i="59"/>
  <c r="J159" i="59"/>
  <c r="J255" i="59"/>
  <c r="E151" i="33"/>
  <c r="H151" i="33"/>
  <c r="D151" i="33"/>
  <c r="G151" i="33"/>
  <c r="F151" i="33"/>
  <c r="J185" i="59"/>
  <c r="J15" i="59"/>
  <c r="J223" i="59"/>
  <c r="J124" i="59"/>
  <c r="J204" i="59"/>
  <c r="J51" i="59"/>
  <c r="J147" i="59"/>
  <c r="H226" i="33"/>
  <c r="G226" i="33"/>
  <c r="F226" i="33"/>
  <c r="E226" i="33"/>
  <c r="D226" i="33"/>
  <c r="C226" i="33"/>
  <c r="E225" i="33"/>
  <c r="E348" i="33" s="1"/>
  <c r="D225" i="33"/>
  <c r="D348" i="33" s="1"/>
  <c r="C225" i="33"/>
  <c r="C348" i="33" s="1"/>
  <c r="H225" i="33"/>
  <c r="H348" i="33" s="1"/>
  <c r="F225" i="33"/>
  <c r="F348" i="33" s="1"/>
  <c r="G225" i="33"/>
  <c r="G348" i="33" s="1"/>
  <c r="J65" i="59"/>
  <c r="H223" i="33"/>
  <c r="G223" i="33"/>
  <c r="F223" i="33"/>
  <c r="E223" i="33"/>
  <c r="D223" i="33"/>
  <c r="C223" i="33"/>
  <c r="G243" i="33"/>
  <c r="H243" i="33"/>
  <c r="E243" i="33"/>
  <c r="F243" i="33"/>
  <c r="J138" i="59"/>
  <c r="J74" i="59"/>
  <c r="J205" i="59"/>
  <c r="J246" i="59"/>
  <c r="J188" i="59"/>
  <c r="J8" i="59"/>
  <c r="J253" i="59"/>
  <c r="J211" i="59"/>
  <c r="J155" i="59"/>
  <c r="J153" i="59"/>
  <c r="J68" i="59"/>
  <c r="J139" i="59"/>
  <c r="J169" i="59"/>
  <c r="J152" i="59"/>
  <c r="J140" i="59"/>
  <c r="J134" i="59"/>
  <c r="J240" i="59"/>
  <c r="J119" i="59"/>
  <c r="J112" i="59"/>
  <c r="J87" i="59"/>
  <c r="J80" i="59"/>
  <c r="J70" i="59"/>
  <c r="J44" i="59"/>
  <c r="J250" i="59"/>
  <c r="J184" i="59"/>
  <c r="J143" i="59"/>
  <c r="J89" i="59"/>
  <c r="J11" i="59"/>
  <c r="J202" i="59"/>
  <c r="J14" i="59"/>
  <c r="J212" i="59"/>
  <c r="J200" i="59"/>
  <c r="J25" i="59"/>
  <c r="J218" i="59"/>
  <c r="J166" i="59"/>
  <c r="J28" i="59"/>
  <c r="G178" i="33"/>
  <c r="F178" i="33"/>
  <c r="E178" i="33"/>
  <c r="C178" i="33"/>
  <c r="H178" i="33"/>
  <c r="D178" i="33"/>
  <c r="J247" i="59"/>
  <c r="J167" i="59"/>
  <c r="C224" i="33"/>
  <c r="C349" i="33" s="1"/>
  <c r="H224" i="33"/>
  <c r="H349" i="33" s="1"/>
  <c r="G224" i="33"/>
  <c r="G349" i="33" s="1"/>
  <c r="F224" i="33"/>
  <c r="F349" i="33" s="1"/>
  <c r="D224" i="33"/>
  <c r="D349" i="33" s="1"/>
  <c r="E224" i="33"/>
  <c r="E349" i="33" s="1"/>
  <c r="J207" i="59"/>
  <c r="J131" i="59"/>
  <c r="J120" i="59"/>
  <c r="H163" i="33"/>
  <c r="D163" i="33"/>
  <c r="G163" i="33"/>
  <c r="F163" i="33"/>
  <c r="E163" i="33"/>
  <c r="J47" i="59"/>
  <c r="J64" i="59"/>
  <c r="J107" i="59"/>
  <c r="J149" i="59"/>
  <c r="J196" i="59"/>
  <c r="J206" i="59"/>
  <c r="J225" i="59"/>
  <c r="J217" i="59"/>
  <c r="J209" i="59"/>
  <c r="J201" i="59"/>
  <c r="J194" i="59"/>
  <c r="J102" i="59"/>
  <c r="J58" i="59"/>
  <c r="J33" i="59"/>
  <c r="J27" i="59"/>
  <c r="J13" i="59"/>
  <c r="J222" i="59"/>
  <c r="J160" i="59"/>
  <c r="J104" i="59"/>
  <c r="J94" i="59"/>
  <c r="J216" i="59"/>
  <c r="J170" i="59"/>
  <c r="J91" i="59"/>
  <c r="J62" i="59"/>
  <c r="J54" i="59"/>
  <c r="J220" i="59"/>
  <c r="J133" i="59"/>
  <c r="J57" i="59"/>
  <c r="J228" i="59"/>
  <c r="C215" i="33"/>
  <c r="D215" i="33"/>
  <c r="E215" i="33"/>
  <c r="F215" i="33"/>
  <c r="H215" i="33"/>
  <c r="G215" i="33"/>
  <c r="J93" i="59"/>
  <c r="J55" i="59"/>
  <c r="J215" i="59"/>
  <c r="J78" i="59"/>
  <c r="J164" i="59"/>
  <c r="J210" i="59"/>
  <c r="J157" i="59"/>
  <c r="J154" i="59"/>
  <c r="J142" i="59"/>
  <c r="J130" i="59"/>
  <c r="J221" i="59"/>
  <c r="J258" i="59"/>
  <c r="J248" i="59"/>
  <c r="J46" i="59"/>
  <c r="J99" i="59"/>
  <c r="J219" i="59"/>
  <c r="J203" i="59"/>
  <c r="J61" i="59"/>
  <c r="J77" i="59"/>
  <c r="J34" i="59"/>
  <c r="J40" i="59"/>
  <c r="F150" i="33"/>
  <c r="E150" i="33"/>
  <c r="H150" i="33"/>
  <c r="D150" i="33"/>
  <c r="C150" i="33"/>
  <c r="G150" i="33"/>
  <c r="J165" i="59"/>
  <c r="J156" i="59"/>
  <c r="J41" i="59"/>
  <c r="J21" i="59"/>
  <c r="J37" i="59"/>
  <c r="J195" i="59"/>
  <c r="J182" i="59"/>
  <c r="J123" i="59"/>
  <c r="J16" i="59"/>
  <c r="J244" i="59"/>
  <c r="J232" i="59"/>
  <c r="J186" i="59"/>
  <c r="J19" i="59"/>
  <c r="J270" i="59"/>
  <c r="J85" i="59"/>
  <c r="J256" i="59"/>
  <c r="J230" i="59"/>
  <c r="J251" i="59"/>
  <c r="J177" i="59"/>
  <c r="J73" i="59"/>
  <c r="J161" i="59"/>
  <c r="I13" i="33"/>
  <c r="C13" i="36" s="1"/>
  <c r="I57" i="33"/>
  <c r="K107" i="33"/>
  <c r="K155" i="33"/>
  <c r="K237" i="33"/>
  <c r="K207" i="33"/>
  <c r="K44" i="33"/>
  <c r="K26" i="33"/>
  <c r="K38" i="33"/>
  <c r="K215" i="33"/>
  <c r="K52" i="33"/>
  <c r="K383" i="59"/>
  <c r="K151" i="33"/>
  <c r="K32" i="33"/>
  <c r="K250" i="33"/>
  <c r="I58" i="33"/>
  <c r="K219" i="33"/>
  <c r="K196" i="33"/>
  <c r="K97" i="33"/>
  <c r="H142" i="33"/>
  <c r="G142" i="33"/>
  <c r="F142" i="33"/>
  <c r="D142" i="33"/>
  <c r="E142" i="33"/>
  <c r="D184" i="33"/>
  <c r="H184" i="33"/>
  <c r="G184" i="33"/>
  <c r="F184" i="33"/>
  <c r="E184" i="33"/>
  <c r="F113" i="33"/>
  <c r="D113" i="33"/>
  <c r="H113" i="33"/>
  <c r="G113" i="33"/>
  <c r="E113" i="33"/>
  <c r="G48" i="33"/>
  <c r="E48" i="33"/>
  <c r="H48" i="33"/>
  <c r="D48" i="33"/>
  <c r="F48" i="33"/>
  <c r="C207" i="33"/>
  <c r="H207" i="33"/>
  <c r="F207" i="33"/>
  <c r="E207" i="33"/>
  <c r="D207" i="33"/>
  <c r="G207" i="33"/>
  <c r="D45" i="33"/>
  <c r="F45" i="33"/>
  <c r="H45" i="33"/>
  <c r="G45" i="33"/>
  <c r="E45" i="33"/>
  <c r="K198" i="33"/>
  <c r="K72" i="33"/>
  <c r="K119" i="33"/>
  <c r="H160" i="33"/>
  <c r="G160" i="33"/>
  <c r="E160" i="33"/>
  <c r="F160" i="33"/>
  <c r="D160" i="33"/>
  <c r="F138" i="33"/>
  <c r="D138" i="33"/>
  <c r="H138" i="33"/>
  <c r="E138" i="33"/>
  <c r="G138" i="33"/>
  <c r="E42" i="33"/>
  <c r="H42" i="33"/>
  <c r="G42" i="33"/>
  <c r="F42" i="33"/>
  <c r="J163" i="33"/>
  <c r="C163" i="33"/>
  <c r="K87" i="33"/>
  <c r="K310" i="33"/>
  <c r="K173" i="33"/>
  <c r="K258" i="33"/>
  <c r="H194" i="33"/>
  <c r="G194" i="33"/>
  <c r="E194" i="33"/>
  <c r="D194" i="33"/>
  <c r="F194" i="33"/>
  <c r="D170" i="33"/>
  <c r="H170" i="33"/>
  <c r="G170" i="33"/>
  <c r="F170" i="33"/>
  <c r="E170" i="33"/>
  <c r="G72" i="33"/>
  <c r="F72" i="33"/>
  <c r="H72" i="33"/>
  <c r="E72" i="33"/>
  <c r="G131" i="33"/>
  <c r="F131" i="33"/>
  <c r="E131" i="33"/>
  <c r="H131" i="33"/>
  <c r="D131" i="33"/>
  <c r="K251" i="33"/>
  <c r="H134" i="33"/>
  <c r="G134" i="33"/>
  <c r="F134" i="33"/>
  <c r="D134" i="33"/>
  <c r="E134" i="33"/>
  <c r="G12" i="33"/>
  <c r="H12" i="33"/>
  <c r="E12" i="33"/>
  <c r="D12" i="33"/>
  <c r="F12" i="33"/>
  <c r="H169" i="33"/>
  <c r="F169" i="33"/>
  <c r="E169" i="33"/>
  <c r="D169" i="33"/>
  <c r="G169" i="33"/>
  <c r="D165" i="33"/>
  <c r="H165" i="33"/>
  <c r="F165" i="33"/>
  <c r="G165" i="33"/>
  <c r="E165" i="33"/>
  <c r="J254" i="33"/>
  <c r="J162" i="33"/>
  <c r="D199" i="33"/>
  <c r="C199" i="33"/>
  <c r="H199" i="33"/>
  <c r="G199" i="33"/>
  <c r="F199" i="33"/>
  <c r="E199" i="33"/>
  <c r="I101" i="33"/>
  <c r="C101" i="36" s="1"/>
  <c r="J214" i="33"/>
  <c r="C214" i="33"/>
  <c r="F130" i="33"/>
  <c r="D130" i="33"/>
  <c r="H130" i="33"/>
  <c r="G130" i="33"/>
  <c r="E130" i="33"/>
  <c r="H69" i="33"/>
  <c r="F69" i="33"/>
  <c r="G69" i="33"/>
  <c r="E69" i="33"/>
  <c r="D69" i="33"/>
  <c r="F32" i="33"/>
  <c r="E32" i="33"/>
  <c r="H32" i="33"/>
  <c r="G32" i="33"/>
  <c r="J255" i="33"/>
  <c r="E188" i="33"/>
  <c r="D188" i="33"/>
  <c r="H188" i="33"/>
  <c r="G188" i="33"/>
  <c r="F188" i="33"/>
  <c r="F81" i="33"/>
  <c r="H81" i="33"/>
  <c r="G81" i="33"/>
  <c r="E81" i="33"/>
  <c r="E211" i="33"/>
  <c r="D211" i="33"/>
  <c r="H211" i="33"/>
  <c r="G211" i="33"/>
  <c r="F211" i="33"/>
  <c r="G185" i="33"/>
  <c r="F185" i="33"/>
  <c r="D185" i="33"/>
  <c r="H185" i="33"/>
  <c r="E185" i="33"/>
  <c r="H92" i="33"/>
  <c r="F92" i="33"/>
  <c r="E92" i="33"/>
  <c r="G92" i="33"/>
  <c r="D92" i="33"/>
  <c r="H17" i="33"/>
  <c r="G17" i="33"/>
  <c r="D17" i="33"/>
  <c r="F17" i="33"/>
  <c r="E17" i="33"/>
  <c r="F206" i="33"/>
  <c r="E206" i="33"/>
  <c r="H206" i="33"/>
  <c r="G206" i="33"/>
  <c r="D206" i="33"/>
  <c r="D154" i="33"/>
  <c r="H154" i="33"/>
  <c r="F154" i="33"/>
  <c r="G154" i="33"/>
  <c r="E154" i="33"/>
  <c r="G155" i="33"/>
  <c r="E155" i="33"/>
  <c r="D155" i="33"/>
  <c r="H155" i="33"/>
  <c r="F155" i="33"/>
  <c r="G108" i="33"/>
  <c r="H108" i="33"/>
  <c r="E108" i="33"/>
  <c r="D108" i="33"/>
  <c r="F108" i="33"/>
  <c r="C203" i="33"/>
  <c r="E203" i="33"/>
  <c r="D203" i="33"/>
  <c r="H203" i="33"/>
  <c r="G203" i="33"/>
  <c r="F203" i="33"/>
  <c r="J151" i="33"/>
  <c r="C151" i="33"/>
  <c r="D63" i="33"/>
  <c r="G63" i="33"/>
  <c r="F63" i="33"/>
  <c r="E63" i="33"/>
  <c r="H63" i="33"/>
  <c r="G202" i="33"/>
  <c r="F202" i="33"/>
  <c r="E202" i="33"/>
  <c r="D202" i="33"/>
  <c r="H202" i="33"/>
  <c r="F168" i="33"/>
  <c r="E168" i="33"/>
  <c r="H168" i="33"/>
  <c r="G168" i="33"/>
  <c r="D168" i="33"/>
  <c r="J150" i="33"/>
  <c r="H103" i="33"/>
  <c r="F103" i="33"/>
  <c r="E103" i="33"/>
  <c r="D103" i="33"/>
  <c r="G103" i="33"/>
  <c r="G153" i="33"/>
  <c r="F153" i="33"/>
  <c r="E153" i="33"/>
  <c r="H153" i="33"/>
  <c r="D153" i="33"/>
  <c r="E143" i="33"/>
  <c r="G143" i="33"/>
  <c r="F143" i="33"/>
  <c r="H143" i="33"/>
  <c r="D143" i="33"/>
  <c r="J247" i="33"/>
  <c r="C243" i="33"/>
  <c r="H167" i="33"/>
  <c r="G167" i="33"/>
  <c r="F167" i="33"/>
  <c r="E167" i="33"/>
  <c r="D167" i="33"/>
  <c r="E135" i="33"/>
  <c r="G135" i="33"/>
  <c r="D135" i="33"/>
  <c r="H135" i="33"/>
  <c r="F135" i="33"/>
  <c r="K341" i="33"/>
  <c r="H181" i="33"/>
  <c r="G181" i="33"/>
  <c r="F181" i="33"/>
  <c r="E181" i="33"/>
  <c r="D181" i="33"/>
  <c r="G176" i="33"/>
  <c r="F176" i="33"/>
  <c r="E176" i="33"/>
  <c r="D176" i="33"/>
  <c r="H176" i="33"/>
  <c r="J87" i="33"/>
  <c r="K108" i="33"/>
  <c r="K14" i="33"/>
  <c r="D118" i="33"/>
  <c r="H118" i="33"/>
  <c r="F118" i="33"/>
  <c r="G118" i="33"/>
  <c r="E118" i="33"/>
  <c r="E23" i="33"/>
  <c r="D23" i="33"/>
  <c r="H23" i="33"/>
  <c r="F23" i="33"/>
  <c r="G23" i="33"/>
  <c r="J178" i="33"/>
  <c r="F95" i="33"/>
  <c r="D95" i="33"/>
  <c r="E95" i="33"/>
  <c r="H95" i="33"/>
  <c r="G95" i="33"/>
  <c r="H180" i="33"/>
  <c r="G180" i="33"/>
  <c r="E180" i="33"/>
  <c r="D180" i="33"/>
  <c r="F180" i="33"/>
  <c r="J125" i="33"/>
  <c r="E56" i="33"/>
  <c r="H56" i="33"/>
  <c r="G56" i="33"/>
  <c r="F56" i="33"/>
  <c r="D56" i="33"/>
  <c r="H29" i="33"/>
  <c r="G29" i="33"/>
  <c r="D29" i="33"/>
  <c r="F29" i="33"/>
  <c r="E29" i="33"/>
  <c r="I106" i="33"/>
  <c r="C106" i="36" s="1"/>
  <c r="I111" i="33"/>
  <c r="C111" i="36" s="1"/>
  <c r="J252" i="33"/>
  <c r="H230" i="33"/>
  <c r="G230" i="33"/>
  <c r="F230" i="33"/>
  <c r="E230" i="33"/>
  <c r="D230" i="33"/>
  <c r="C196" i="33"/>
  <c r="F196" i="33"/>
  <c r="E196" i="33"/>
  <c r="H196" i="33"/>
  <c r="G196" i="33"/>
  <c r="D196" i="33"/>
  <c r="C164" i="33"/>
  <c r="G164" i="33"/>
  <c r="F164" i="33"/>
  <c r="E164" i="33"/>
  <c r="D164" i="33"/>
  <c r="H164" i="33"/>
  <c r="J251" i="33"/>
  <c r="G171" i="33"/>
  <c r="F171" i="33"/>
  <c r="D171" i="33"/>
  <c r="H171" i="33"/>
  <c r="E171" i="33"/>
  <c r="H149" i="33"/>
  <c r="G149" i="33"/>
  <c r="E149" i="33"/>
  <c r="F149" i="33"/>
  <c r="D149" i="33"/>
  <c r="J215" i="33"/>
  <c r="E177" i="33"/>
  <c r="D177" i="33"/>
  <c r="H177" i="33"/>
  <c r="G177" i="33"/>
  <c r="F177" i="33"/>
  <c r="J219" i="33"/>
  <c r="F161" i="33"/>
  <c r="D161" i="33"/>
  <c r="H161" i="33"/>
  <c r="G161" i="33"/>
  <c r="E161" i="33"/>
  <c r="I9" i="33"/>
  <c r="E280" i="72"/>
  <c r="E6" i="72"/>
  <c r="F81" i="72"/>
  <c r="D152" i="72"/>
  <c r="D167" i="72" s="1"/>
  <c r="C152" i="72"/>
  <c r="F139" i="72"/>
  <c r="E282" i="72"/>
  <c r="F103" i="72"/>
  <c r="F83" i="72"/>
  <c r="C245" i="72"/>
  <c r="F45" i="72"/>
  <c r="C121" i="72"/>
  <c r="D280" i="72"/>
  <c r="E261" i="72"/>
  <c r="E263" i="72" s="1"/>
  <c r="E288" i="72" s="1"/>
  <c r="E292" i="72" s="1"/>
  <c r="D121" i="72"/>
  <c r="F232" i="72"/>
  <c r="F226" i="72"/>
  <c r="F259" i="72"/>
  <c r="D282" i="72"/>
  <c r="D6" i="72" s="1"/>
  <c r="E167" i="72"/>
  <c r="E5" i="72" s="1"/>
  <c r="F120" i="72"/>
  <c r="C189" i="72"/>
  <c r="F186" i="72"/>
  <c r="J142" i="33"/>
  <c r="C142" i="33"/>
  <c r="K230" i="33"/>
  <c r="K115" i="33"/>
  <c r="K95" i="33"/>
  <c r="J130" i="33"/>
  <c r="C130" i="33"/>
  <c r="J104" i="33"/>
  <c r="J67" i="33"/>
  <c r="J31" i="33"/>
  <c r="C32" i="33"/>
  <c r="J159" i="33"/>
  <c r="J188" i="33"/>
  <c r="C188" i="33"/>
  <c r="J80" i="33"/>
  <c r="C81" i="33"/>
  <c r="J211" i="33"/>
  <c r="C211" i="33"/>
  <c r="J185" i="33"/>
  <c r="C185" i="33"/>
  <c r="J120" i="33"/>
  <c r="J90" i="33"/>
  <c r="J206" i="33"/>
  <c r="C206" i="33"/>
  <c r="J154" i="33"/>
  <c r="C154" i="33"/>
  <c r="J155" i="33"/>
  <c r="C155" i="33"/>
  <c r="J107" i="33"/>
  <c r="C108" i="33"/>
  <c r="J61" i="33"/>
  <c r="J35" i="33"/>
  <c r="J89" i="33"/>
  <c r="J202" i="33"/>
  <c r="C202" i="33"/>
  <c r="J168" i="33"/>
  <c r="C168" i="33"/>
  <c r="J102" i="33"/>
  <c r="C103" i="33"/>
  <c r="J186" i="33"/>
  <c r="J153" i="33"/>
  <c r="C153" i="33"/>
  <c r="J223" i="33"/>
  <c r="J143" i="33"/>
  <c r="C143" i="33"/>
  <c r="J167" i="33"/>
  <c r="C167" i="33"/>
  <c r="J74" i="33"/>
  <c r="K351" i="33"/>
  <c r="J135" i="33"/>
  <c r="C135" i="33"/>
  <c r="J181" i="33"/>
  <c r="C181" i="33"/>
  <c r="J84" i="33"/>
  <c r="J176" i="33"/>
  <c r="C176" i="33"/>
  <c r="J60" i="33"/>
  <c r="K121" i="33"/>
  <c r="J116" i="33"/>
  <c r="C118" i="33"/>
  <c r="J96" i="33"/>
  <c r="J21" i="33"/>
  <c r="J93" i="33"/>
  <c r="J180" i="33"/>
  <c r="C180" i="33"/>
  <c r="J78" i="33"/>
  <c r="J224" i="33"/>
  <c r="J114" i="33"/>
  <c r="J55" i="33"/>
  <c r="C56" i="33"/>
  <c r="J27" i="33"/>
  <c r="J230" i="33"/>
  <c r="C230" i="33"/>
  <c r="J77" i="33"/>
  <c r="J51" i="33"/>
  <c r="J171" i="33"/>
  <c r="C171" i="33"/>
  <c r="J149" i="33"/>
  <c r="C149" i="33"/>
  <c r="J177" i="33"/>
  <c r="C177" i="33"/>
  <c r="J73" i="33"/>
  <c r="J25" i="33"/>
  <c r="J161" i="33"/>
  <c r="C161" i="33"/>
  <c r="J52" i="33"/>
  <c r="J38" i="33"/>
  <c r="J119" i="33"/>
  <c r="J112" i="33"/>
  <c r="C113" i="33"/>
  <c r="J47" i="33"/>
  <c r="C48" i="33"/>
  <c r="J44" i="33"/>
  <c r="C45" i="33"/>
  <c r="J184" i="33"/>
  <c r="C184" i="33"/>
  <c r="J226" i="33"/>
  <c r="J160" i="33"/>
  <c r="C160" i="33"/>
  <c r="J170" i="33"/>
  <c r="C170" i="33"/>
  <c r="J71" i="33"/>
  <c r="C72" i="33"/>
  <c r="J131" i="33"/>
  <c r="C131" i="33"/>
  <c r="J138" i="33"/>
  <c r="C138" i="33"/>
  <c r="J75" i="33"/>
  <c r="J41" i="33"/>
  <c r="C42" i="33"/>
  <c r="J225" i="33"/>
  <c r="J194" i="33"/>
  <c r="C194" i="33"/>
  <c r="K274" i="33"/>
  <c r="K73" i="33"/>
  <c r="K184" i="33"/>
  <c r="K77" i="33"/>
  <c r="K56" i="33"/>
  <c r="J222" i="33"/>
  <c r="J134" i="33"/>
  <c r="C134" i="33"/>
  <c r="J82" i="33"/>
  <c r="J169" i="33"/>
  <c r="C169" i="33"/>
  <c r="J24" i="33"/>
  <c r="J109" i="33"/>
  <c r="J85" i="33"/>
  <c r="J165" i="33"/>
  <c r="C165" i="33"/>
  <c r="J37" i="33"/>
  <c r="J199" i="33"/>
  <c r="J99" i="33"/>
  <c r="K271" i="33"/>
  <c r="K238" i="33"/>
  <c r="K96" i="33"/>
  <c r="K164" i="33"/>
  <c r="J14" i="33"/>
  <c r="J15" i="33"/>
  <c r="K93" i="33"/>
  <c r="K211" i="33"/>
  <c r="K214" i="33"/>
  <c r="C307" i="36"/>
  <c r="C406" i="36" s="1"/>
  <c r="K78" i="33"/>
  <c r="K48" i="33"/>
  <c r="K252" i="33"/>
  <c r="J19" i="33"/>
  <c r="J8" i="33"/>
  <c r="K172" i="33"/>
  <c r="K31" i="33"/>
  <c r="J18" i="33"/>
  <c r="K130" i="33"/>
  <c r="K264" i="33"/>
  <c r="K188" i="33"/>
  <c r="K104" i="33"/>
  <c r="J11" i="33"/>
  <c r="C12" i="33"/>
  <c r="K222" i="33"/>
  <c r="K134" i="33"/>
  <c r="K105" i="33"/>
  <c r="K63" i="33"/>
  <c r="K225" i="33"/>
  <c r="K194" i="33"/>
  <c r="K116" i="33"/>
  <c r="K84" i="33"/>
  <c r="K27" i="33"/>
  <c r="K24" i="33"/>
  <c r="K21" i="33"/>
  <c r="K265" i="33"/>
  <c r="K85" i="33"/>
  <c r="K160" i="33"/>
  <c r="K143" i="33"/>
  <c r="K88" i="33"/>
  <c r="K345" i="33"/>
  <c r="K227" i="33"/>
  <c r="K199" i="33"/>
  <c r="K98" i="33"/>
  <c r="K36" i="33"/>
  <c r="K224" i="33"/>
  <c r="K186" i="33"/>
  <c r="K178" i="33"/>
  <c r="K99" i="33"/>
  <c r="K82" i="33"/>
  <c r="K169" i="33"/>
  <c r="K332" i="33"/>
  <c r="K165" i="33"/>
  <c r="K266" i="33"/>
  <c r="K254" i="33"/>
  <c r="K114" i="33"/>
  <c r="K37" i="33"/>
  <c r="K146" i="33"/>
  <c r="K109" i="33"/>
  <c r="K69" i="33"/>
  <c r="K125" i="33"/>
  <c r="K202" i="33"/>
  <c r="K180" i="33"/>
  <c r="K71" i="33"/>
  <c r="K162" i="33"/>
  <c r="K55" i="33"/>
  <c r="K174" i="33"/>
  <c r="K118" i="33"/>
  <c r="K66" i="33"/>
  <c r="K74" i="33"/>
  <c r="K168" i="33"/>
  <c r="K60" i="33"/>
  <c r="K163" i="33"/>
  <c r="K362" i="33"/>
  <c r="K346" i="33"/>
  <c r="K325" i="33"/>
  <c r="K268" i="33"/>
  <c r="K242" i="33"/>
  <c r="K41" i="33"/>
  <c r="K23" i="33"/>
  <c r="K150" i="33"/>
  <c r="K234" i="33"/>
  <c r="K223" i="33"/>
  <c r="K275" i="33"/>
  <c r="K176" i="33"/>
  <c r="K226" i="33"/>
  <c r="K131" i="33"/>
  <c r="K260" i="33"/>
  <c r="K153" i="33"/>
  <c r="K243" i="33"/>
  <c r="K259" i="33"/>
  <c r="K181" i="33"/>
  <c r="K138" i="33"/>
  <c r="K102" i="33"/>
  <c r="K135" i="33"/>
  <c r="K81" i="33"/>
  <c r="K170" i="33"/>
  <c r="K75" i="33"/>
  <c r="K354" i="33"/>
  <c r="K329" i="33"/>
  <c r="K309" i="33"/>
  <c r="K51" i="33"/>
  <c r="F88" i="46"/>
  <c r="E88" i="46" s="1"/>
  <c r="F45" i="46"/>
  <c r="E45" i="46" s="1"/>
  <c r="F118" i="46"/>
  <c r="E118" i="46" s="1"/>
  <c r="F39" i="46"/>
  <c r="E39" i="46" s="1"/>
  <c r="K83" i="59"/>
  <c r="K83" i="33"/>
  <c r="B105" i="33"/>
  <c r="F198" i="46"/>
  <c r="E198" i="46" s="1"/>
  <c r="F36" i="46"/>
  <c r="E36" i="46" s="1"/>
  <c r="F121" i="46"/>
  <c r="E121" i="46" s="1"/>
  <c r="F76" i="46"/>
  <c r="E76" i="46" s="1"/>
  <c r="F66" i="46"/>
  <c r="E66" i="46" s="1"/>
  <c r="F103" i="46"/>
  <c r="E103" i="46" s="1"/>
  <c r="K80" i="33"/>
  <c r="K103" i="33"/>
  <c r="K149" i="33"/>
  <c r="K192" i="33"/>
  <c r="K67" i="59"/>
  <c r="K67" i="33"/>
  <c r="K167" i="59"/>
  <c r="K167" i="33"/>
  <c r="F323" i="46"/>
  <c r="E323" i="46" s="1"/>
  <c r="B83" i="33"/>
  <c r="K110" i="33"/>
  <c r="K29" i="33"/>
  <c r="K19" i="33"/>
  <c r="K171" i="33"/>
  <c r="K312" i="33"/>
  <c r="K25" i="33"/>
  <c r="F56" i="46"/>
  <c r="E56" i="46" s="1"/>
  <c r="F23" i="46"/>
  <c r="E23" i="46" s="1"/>
  <c r="K15" i="59"/>
  <c r="K15" i="33"/>
  <c r="F26" i="46"/>
  <c r="E26" i="46" s="1"/>
  <c r="F69" i="46"/>
  <c r="E69" i="46" s="1"/>
  <c r="F29" i="46"/>
  <c r="E29" i="46" s="1"/>
  <c r="F53" i="46"/>
  <c r="E53" i="46" s="1"/>
  <c r="F92" i="46"/>
  <c r="E92" i="46" s="1"/>
  <c r="F42" i="46"/>
  <c r="E42" i="46" s="1"/>
  <c r="F95" i="46"/>
  <c r="E95" i="46" s="1"/>
  <c r="F12" i="46"/>
  <c r="E12" i="46" s="1"/>
  <c r="K18" i="59"/>
  <c r="K18" i="33"/>
  <c r="K142" i="33"/>
  <c r="K90" i="33"/>
  <c r="K206" i="33"/>
  <c r="K231" i="33"/>
  <c r="K120" i="33"/>
  <c r="K247" i="59"/>
  <c r="K247" i="33"/>
  <c r="K47" i="59"/>
  <c r="K47" i="33"/>
  <c r="K255" i="33"/>
  <c r="K127" i="33"/>
  <c r="B110" i="33"/>
  <c r="F294" i="46"/>
  <c r="E294" i="46" s="1"/>
  <c r="B100" i="33"/>
  <c r="K61" i="33"/>
  <c r="K35" i="33"/>
  <c r="B227" i="33"/>
  <c r="F17" i="46"/>
  <c r="E17" i="46" s="1"/>
  <c r="F86" i="46"/>
  <c r="E86" i="46" s="1"/>
  <c r="F20" i="46"/>
  <c r="E20" i="46" s="1"/>
  <c r="F267" i="46"/>
  <c r="E267" i="46" s="1"/>
  <c r="F32" i="46"/>
  <c r="E32" i="46" s="1"/>
  <c r="F158" i="46"/>
  <c r="E158" i="46" s="1"/>
  <c r="F72" i="46"/>
  <c r="E72" i="46" s="1"/>
  <c r="F48" i="46"/>
  <c r="E48" i="46" s="1"/>
  <c r="K185" i="33"/>
  <c r="K177" i="33"/>
  <c r="K154" i="33"/>
  <c r="K161" i="33"/>
  <c r="K241" i="33"/>
  <c r="K92" i="33"/>
  <c r="K159" i="33"/>
  <c r="B115" i="33"/>
  <c r="C338" i="4"/>
  <c r="B337" i="33"/>
  <c r="B189" i="33"/>
  <c r="B88" i="33"/>
  <c r="K11" i="33"/>
  <c r="K308" i="33"/>
  <c r="K105" i="59"/>
  <c r="K255" i="59"/>
  <c r="K93" i="59"/>
  <c r="K159" i="59"/>
  <c r="K99" i="59"/>
  <c r="K115" i="59"/>
  <c r="K55" i="59"/>
  <c r="K366" i="59"/>
  <c r="K251" i="59"/>
  <c r="K75" i="59"/>
  <c r="K243" i="59"/>
  <c r="K259" i="59"/>
  <c r="K69" i="59"/>
  <c r="A175" i="46"/>
  <c r="A175" i="33"/>
  <c r="J175" i="33" s="1"/>
  <c r="K257" i="59"/>
  <c r="N2" i="32"/>
  <c r="K19" i="59"/>
  <c r="K30" i="59"/>
  <c r="K212" i="59"/>
  <c r="D231" i="4"/>
  <c r="D126" i="4"/>
  <c r="D338" i="4"/>
  <c r="B126" i="33"/>
  <c r="K245" i="59"/>
  <c r="K10" i="59"/>
  <c r="K214" i="59"/>
  <c r="K210" i="59"/>
  <c r="A175" i="36"/>
  <c r="K260" i="59"/>
  <c r="K216" i="59"/>
  <c r="K307" i="59"/>
  <c r="K276" i="59"/>
  <c r="K378" i="59"/>
  <c r="K227" i="59"/>
  <c r="K223" i="59"/>
  <c r="K219" i="59"/>
  <c r="K215" i="59"/>
  <c r="K211" i="59"/>
  <c r="K207" i="59"/>
  <c r="K203" i="59"/>
  <c r="K199" i="59"/>
  <c r="K196" i="59"/>
  <c r="K17" i="59"/>
  <c r="K114" i="59"/>
  <c r="K32" i="59"/>
  <c r="K59" i="59"/>
  <c r="K14" i="59"/>
  <c r="K51" i="59"/>
  <c r="K39" i="59"/>
  <c r="K365" i="59"/>
  <c r="K256" i="59"/>
  <c r="K250" i="59"/>
  <c r="K272" i="59"/>
  <c r="K253" i="59"/>
  <c r="K374" i="59"/>
  <c r="K368" i="59"/>
  <c r="K23" i="59"/>
  <c r="K351" i="59"/>
  <c r="K171" i="59"/>
  <c r="K226" i="59"/>
  <c r="K195" i="59"/>
  <c r="K362" i="59"/>
  <c r="K87" i="59"/>
  <c r="K224" i="59"/>
  <c r="K31" i="59"/>
  <c r="K220" i="59"/>
  <c r="K197" i="59"/>
  <c r="K104" i="59"/>
  <c r="K367" i="59"/>
  <c r="K206" i="59"/>
  <c r="K202" i="59"/>
  <c r="K248" i="59"/>
  <c r="K169" i="59"/>
  <c r="K16" i="59"/>
  <c r="K268" i="59"/>
  <c r="K35" i="59"/>
  <c r="K377" i="59"/>
  <c r="K277" i="59"/>
  <c r="K252" i="59"/>
  <c r="K244" i="59"/>
  <c r="K208" i="59"/>
  <c r="K200" i="59"/>
  <c r="K193" i="59"/>
  <c r="K43" i="59"/>
  <c r="K373" i="59"/>
  <c r="K273" i="59"/>
  <c r="K177" i="59"/>
  <c r="K319" i="59"/>
  <c r="K302" i="59"/>
  <c r="K298" i="59"/>
  <c r="K350" i="59"/>
  <c r="K121" i="59"/>
  <c r="K360" i="59"/>
  <c r="K118" i="59"/>
  <c r="K66" i="59"/>
  <c r="K48" i="59"/>
  <c r="K180" i="59"/>
  <c r="B9" i="49"/>
  <c r="B9" i="53"/>
  <c r="B194" i="4"/>
  <c r="I8" i="3"/>
  <c r="K315" i="59"/>
  <c r="K297" i="59"/>
  <c r="K339" i="59"/>
  <c r="K153" i="59"/>
  <c r="K113" i="59"/>
  <c r="J379" i="59"/>
  <c r="K379" i="59"/>
  <c r="K280" i="59"/>
  <c r="K76" i="59"/>
  <c r="K309" i="59"/>
  <c r="K357" i="59"/>
  <c r="K183" i="59"/>
  <c r="K287" i="59"/>
  <c r="K271" i="59"/>
  <c r="K26" i="59"/>
  <c r="K128" i="59"/>
  <c r="K52" i="59"/>
  <c r="K359" i="59"/>
  <c r="K125" i="59"/>
  <c r="K60" i="59"/>
  <c r="K190" i="59"/>
  <c r="K71" i="59"/>
  <c r="K34" i="59"/>
  <c r="K162" i="59"/>
  <c r="K353" i="59"/>
  <c r="K129" i="59"/>
  <c r="K120" i="59"/>
  <c r="K91" i="59"/>
  <c r="K25" i="59"/>
  <c r="K320" i="59"/>
  <c r="K270" i="59"/>
  <c r="K189" i="59"/>
  <c r="K147" i="59"/>
  <c r="K139" i="59"/>
  <c r="K85" i="59"/>
  <c r="K7" i="59"/>
  <c r="J7" i="59"/>
  <c r="K322" i="59"/>
  <c r="K290" i="59"/>
  <c r="K282" i="59"/>
  <c r="K157" i="59"/>
  <c r="K141" i="59"/>
  <c r="K340" i="59"/>
  <c r="K321" i="59"/>
  <c r="K317" i="59"/>
  <c r="K314" i="59"/>
  <c r="K304" i="59"/>
  <c r="K132" i="59"/>
  <c r="K108" i="59"/>
  <c r="K96" i="59"/>
  <c r="K86" i="59"/>
  <c r="K78" i="59"/>
  <c r="K49" i="59"/>
  <c r="K166" i="59"/>
  <c r="K305" i="59"/>
  <c r="K123" i="59"/>
  <c r="K101" i="59"/>
  <c r="K45" i="59"/>
  <c r="K170" i="59"/>
  <c r="K145" i="59"/>
  <c r="K40" i="59"/>
  <c r="K44" i="59"/>
  <c r="K291" i="59"/>
  <c r="K285" i="59"/>
  <c r="K281" i="59"/>
  <c r="K158" i="59"/>
  <c r="K230" i="59"/>
  <c r="K382" i="59"/>
  <c r="K126" i="59"/>
  <c r="K98" i="59"/>
  <c r="K70" i="59"/>
  <c r="K184" i="59"/>
  <c r="K135" i="59"/>
  <c r="K347" i="59"/>
  <c r="K77" i="59"/>
  <c r="K42" i="59"/>
  <c r="K182" i="59"/>
  <c r="K56" i="59"/>
  <c r="K334" i="59"/>
  <c r="K181" i="59"/>
  <c r="K38" i="59"/>
  <c r="K331" i="59"/>
  <c r="K148" i="59"/>
  <c r="K142" i="59"/>
  <c r="K134" i="59"/>
  <c r="K372" i="59"/>
  <c r="K238" i="59"/>
  <c r="K228" i="59"/>
  <c r="K63" i="59"/>
  <c r="K352" i="59"/>
  <c r="K241" i="59"/>
  <c r="K112" i="59"/>
  <c r="K102" i="59"/>
  <c r="K80" i="59"/>
  <c r="K33" i="59"/>
  <c r="K12" i="59"/>
  <c r="K119" i="59"/>
  <c r="K74" i="59"/>
  <c r="K61" i="59"/>
  <c r="K344" i="59"/>
  <c r="K341" i="59"/>
  <c r="K330" i="59"/>
  <c r="K325" i="59"/>
  <c r="K312" i="59"/>
  <c r="K299" i="59"/>
  <c r="K275" i="59"/>
  <c r="K229" i="59"/>
  <c r="K160" i="59"/>
  <c r="K151" i="59"/>
  <c r="K143" i="59"/>
  <c r="K376" i="59"/>
  <c r="K57" i="59"/>
  <c r="K363" i="59"/>
  <c r="K308" i="59"/>
  <c r="K164" i="59"/>
  <c r="K155" i="59"/>
  <c r="K131" i="59"/>
  <c r="K107" i="59"/>
  <c r="K258" i="59"/>
  <c r="K267" i="59"/>
  <c r="K149" i="59"/>
  <c r="K346" i="59"/>
  <c r="K266" i="59"/>
  <c r="K127" i="59"/>
  <c r="K62" i="59"/>
  <c r="K361" i="59"/>
  <c r="K311" i="59"/>
  <c r="K301" i="59"/>
  <c r="K261" i="59"/>
  <c r="K239" i="59"/>
  <c r="K231" i="59"/>
  <c r="K186" i="59"/>
  <c r="K178" i="59"/>
  <c r="K173" i="59"/>
  <c r="K137" i="59"/>
  <c r="B281" i="4"/>
  <c r="L8" i="3"/>
  <c r="K163" i="59"/>
  <c r="K11" i="59"/>
  <c r="K335" i="59"/>
  <c r="B9" i="4"/>
  <c r="C8" i="3"/>
  <c r="K329" i="59"/>
  <c r="K328" i="59"/>
  <c r="K65" i="59"/>
  <c r="K22" i="59"/>
  <c r="K110" i="59"/>
  <c r="K185" i="59"/>
  <c r="K8" i="59"/>
  <c r="K8" i="33"/>
  <c r="K306" i="59"/>
  <c r="K300" i="59"/>
  <c r="K296" i="59"/>
  <c r="K269" i="59"/>
  <c r="K188" i="59"/>
  <c r="K150" i="59"/>
  <c r="K234" i="59"/>
  <c r="K73" i="59"/>
  <c r="K50" i="59"/>
  <c r="K345" i="59"/>
  <c r="K342" i="59"/>
  <c r="K124" i="59"/>
  <c r="K92" i="59"/>
  <c r="K262" i="59"/>
  <c r="K176" i="59"/>
  <c r="K103" i="59"/>
  <c r="K89" i="59"/>
  <c r="K333" i="59"/>
  <c r="K263" i="59"/>
  <c r="K232" i="59"/>
  <c r="K97" i="59"/>
  <c r="K288" i="59"/>
  <c r="K82" i="59"/>
  <c r="K293" i="59"/>
  <c r="K289" i="59"/>
  <c r="K283" i="59"/>
  <c r="K279" i="59"/>
  <c r="K152" i="59"/>
  <c r="K146" i="59"/>
  <c r="K140" i="59"/>
  <c r="K138" i="59"/>
  <c r="K240" i="59"/>
  <c r="K109" i="59"/>
  <c r="K356" i="59"/>
  <c r="K264" i="59"/>
  <c r="K111" i="59"/>
  <c r="K326" i="59"/>
  <c r="K53" i="59"/>
  <c r="K354" i="59"/>
  <c r="K187" i="59"/>
  <c r="K179" i="59"/>
  <c r="K336" i="59"/>
  <c r="K327" i="59"/>
  <c r="J312" i="33"/>
  <c r="K274" i="59"/>
  <c r="K174" i="59"/>
  <c r="K156" i="59"/>
  <c r="K154" i="59"/>
  <c r="K144" i="59"/>
  <c r="K136" i="59"/>
  <c r="K130" i="59"/>
  <c r="K358" i="59"/>
  <c r="K249" i="59"/>
  <c r="K236" i="59"/>
  <c r="K161" i="59"/>
  <c r="K58" i="59"/>
  <c r="K380" i="59"/>
  <c r="K370" i="59"/>
  <c r="K364" i="59"/>
  <c r="K348" i="59"/>
  <c r="K233" i="59"/>
  <c r="K225" i="59"/>
  <c r="K221" i="59"/>
  <c r="K217" i="59"/>
  <c r="K213" i="59"/>
  <c r="K209" i="59"/>
  <c r="K205" i="59"/>
  <c r="K201" i="59"/>
  <c r="K198" i="59"/>
  <c r="K194" i="59"/>
  <c r="K122" i="59"/>
  <c r="K116" i="59"/>
  <c r="K106" i="59"/>
  <c r="K90" i="59"/>
  <c r="K84" i="59"/>
  <c r="K72" i="59"/>
  <c r="K64" i="59"/>
  <c r="K27" i="59"/>
  <c r="K24" i="59"/>
  <c r="K21" i="59"/>
  <c r="K20" i="59"/>
  <c r="K13" i="59"/>
  <c r="K310" i="59"/>
  <c r="K94" i="59"/>
  <c r="K29" i="59"/>
  <c r="K375" i="59"/>
  <c r="K338" i="59"/>
  <c r="K323" i="59"/>
  <c r="K316" i="59"/>
  <c r="K292" i="59"/>
  <c r="K284" i="59"/>
  <c r="K237" i="59"/>
  <c r="K222" i="59"/>
  <c r="B193" i="36"/>
  <c r="B193" i="46"/>
  <c r="K191" i="59"/>
  <c r="K168" i="59"/>
  <c r="K88" i="59"/>
  <c r="K81" i="59"/>
  <c r="K36" i="59"/>
  <c r="K37" i="59"/>
  <c r="K371" i="59"/>
  <c r="K295" i="59"/>
  <c r="K265" i="59"/>
  <c r="K172" i="59"/>
  <c r="K242" i="59"/>
  <c r="K349" i="59"/>
  <c r="K332" i="59"/>
  <c r="K204" i="59"/>
  <c r="A175" i="59"/>
  <c r="J175" i="59" s="1"/>
  <c r="K313" i="59"/>
  <c r="K246" i="59"/>
  <c r="K95" i="59"/>
  <c r="K41" i="59"/>
  <c r="K369" i="59"/>
  <c r="K324" i="59"/>
  <c r="K318" i="59"/>
  <c r="K294" i="59"/>
  <c r="K286" i="59"/>
  <c r="K192" i="59"/>
  <c r="K165" i="59"/>
  <c r="K68" i="59"/>
  <c r="K355" i="59"/>
  <c r="K303" i="59"/>
  <c r="K218" i="59"/>
  <c r="K54" i="59"/>
  <c r="B8" i="46"/>
  <c r="B8" i="36"/>
  <c r="K381" i="59"/>
  <c r="J381" i="59"/>
  <c r="K337" i="59"/>
  <c r="K235" i="59"/>
  <c r="K133" i="59"/>
  <c r="K117" i="59"/>
  <c r="K100" i="59"/>
  <c r="K79" i="59"/>
  <c r="K46" i="59"/>
  <c r="K28" i="59"/>
  <c r="K9" i="59"/>
  <c r="K254" i="59"/>
  <c r="F113" i="46"/>
  <c r="E113" i="46" s="1"/>
  <c r="F108" i="46"/>
  <c r="E108" i="46" s="1"/>
  <c r="F81" i="46"/>
  <c r="E81" i="46" s="1"/>
  <c r="F242" i="46"/>
  <c r="E242" i="46" s="1"/>
  <c r="F173" i="46"/>
  <c r="E173" i="46" s="1"/>
  <c r="F98" i="46"/>
  <c r="E98" i="46" s="1"/>
  <c r="F192" i="46"/>
  <c r="E192" i="46" s="1"/>
  <c r="F187" i="46"/>
  <c r="E187" i="46" s="1"/>
  <c r="D260" i="36"/>
  <c r="D110" i="36"/>
  <c r="C110" i="52" s="1"/>
  <c r="D105" i="36"/>
  <c r="C105" i="52" s="1"/>
  <c r="H105" i="52" l="1"/>
  <c r="I105" i="52" s="1"/>
  <c r="G105" i="52"/>
  <c r="G86" i="52"/>
  <c r="H86" i="52"/>
  <c r="I86" i="52" s="1"/>
  <c r="G110" i="52"/>
  <c r="H110" i="52"/>
  <c r="I110" i="52" s="1"/>
  <c r="D413" i="36"/>
  <c r="C77" i="73"/>
  <c r="E77" i="73" s="1"/>
  <c r="I77" i="73" s="1"/>
  <c r="C33" i="73"/>
  <c r="E33" i="73" s="1"/>
  <c r="I33" i="73" s="1"/>
  <c r="C70" i="73"/>
  <c r="E70" i="73" s="1"/>
  <c r="I70" i="73" s="1"/>
  <c r="C75" i="73"/>
  <c r="E75" i="73" s="1"/>
  <c r="I75" i="73" s="1"/>
  <c r="C66" i="73"/>
  <c r="E66" i="73" s="1"/>
  <c r="I66" i="73" s="1"/>
  <c r="C79" i="73"/>
  <c r="E79" i="73" s="1"/>
  <c r="I79" i="73" s="1"/>
  <c r="C78" i="73"/>
  <c r="E78" i="73" s="1"/>
  <c r="I78" i="73" s="1"/>
  <c r="G59" i="73"/>
  <c r="H59" i="73" s="1"/>
  <c r="I59" i="73" s="1"/>
  <c r="C88" i="52"/>
  <c r="D402" i="36"/>
  <c r="C75" i="53"/>
  <c r="D48" i="53"/>
  <c r="K48" i="53" s="1"/>
  <c r="L48" i="53" s="1"/>
  <c r="G48" i="53"/>
  <c r="H48" i="53" s="1"/>
  <c r="I48" i="53" s="1"/>
  <c r="G113" i="52"/>
  <c r="H113" i="52" s="1"/>
  <c r="I113" i="52" s="1"/>
  <c r="G115" i="52"/>
  <c r="H115" i="52" s="1"/>
  <c r="I115" i="52" s="1"/>
  <c r="C29" i="67"/>
  <c r="D29" i="67" s="1"/>
  <c r="C43" i="67"/>
  <c r="D43" i="67" s="1"/>
  <c r="C10" i="67"/>
  <c r="C16" i="67" s="1"/>
  <c r="D16" i="67" s="1"/>
  <c r="C338" i="36"/>
  <c r="C408" i="36"/>
  <c r="D338" i="36"/>
  <c r="D340" i="36" s="1"/>
  <c r="C34" i="73" s="1"/>
  <c r="E34" i="73" s="1"/>
  <c r="I34" i="73" s="1"/>
  <c r="C57" i="36"/>
  <c r="C49" i="36"/>
  <c r="C22" i="36"/>
  <c r="C50" i="36"/>
  <c r="C91" i="36"/>
  <c r="C58" i="36"/>
  <c r="C30" i="36"/>
  <c r="C46" i="36"/>
  <c r="C43" i="36"/>
  <c r="C9" i="36"/>
  <c r="C34" i="36"/>
  <c r="C28" i="36"/>
  <c r="C54" i="36"/>
  <c r="C40" i="36"/>
  <c r="I349" i="33"/>
  <c r="C340" i="36"/>
  <c r="C338" i="33"/>
  <c r="C340" i="33" s="1"/>
  <c r="I337" i="33"/>
  <c r="D198" i="33"/>
  <c r="C198" i="33"/>
  <c r="C121" i="33"/>
  <c r="D105" i="33"/>
  <c r="F98" i="33"/>
  <c r="F100" i="33" s="1"/>
  <c r="H105" i="33"/>
  <c r="F86" i="33"/>
  <c r="F88" i="33" s="1"/>
  <c r="G83" i="33"/>
  <c r="E20" i="33"/>
  <c r="E39" i="33"/>
  <c r="I66" i="33"/>
  <c r="F39" i="33"/>
  <c r="G20" i="33"/>
  <c r="D76" i="33"/>
  <c r="E105" i="33"/>
  <c r="G39" i="33"/>
  <c r="H110" i="33"/>
  <c r="D98" i="33"/>
  <c r="D100" i="33" s="1"/>
  <c r="H86" i="33"/>
  <c r="H88" i="33" s="1"/>
  <c r="F110" i="33"/>
  <c r="D39" i="33"/>
  <c r="D20" i="33"/>
  <c r="D110" i="33"/>
  <c r="D8" i="36"/>
  <c r="F83" i="33"/>
  <c r="D53" i="33"/>
  <c r="I247" i="33"/>
  <c r="C247" i="36" s="1"/>
  <c r="I151" i="33"/>
  <c r="C151" i="36" s="1"/>
  <c r="I222" i="33"/>
  <c r="C222" i="36" s="1"/>
  <c r="E76" i="33"/>
  <c r="G105" i="33"/>
  <c r="G192" i="33"/>
  <c r="D115" i="33"/>
  <c r="E53" i="33"/>
  <c r="E110" i="33"/>
  <c r="E83" i="33"/>
  <c r="H192" i="33"/>
  <c r="F20" i="33"/>
  <c r="F115" i="33"/>
  <c r="I150" i="33"/>
  <c r="C150" i="36" s="1"/>
  <c r="H249" i="33"/>
  <c r="H242" i="33" s="1"/>
  <c r="H241" i="33" s="1"/>
  <c r="I178" i="33"/>
  <c r="C178" i="36" s="1"/>
  <c r="I48" i="33"/>
  <c r="I180" i="33"/>
  <c r="C180" i="36" s="1"/>
  <c r="G98" i="33"/>
  <c r="G100" i="33" s="1"/>
  <c r="I155" i="33"/>
  <c r="C155" i="36" s="1"/>
  <c r="I165" i="33"/>
  <c r="C165" i="36" s="1"/>
  <c r="D121" i="33"/>
  <c r="F105" i="33"/>
  <c r="G110" i="33"/>
  <c r="H83" i="33"/>
  <c r="G198" i="33"/>
  <c r="C192" i="33"/>
  <c r="I230" i="33"/>
  <c r="C230" i="36" s="1"/>
  <c r="I202" i="33"/>
  <c r="C202" i="36" s="1"/>
  <c r="I25" i="33"/>
  <c r="C25" i="36" s="1"/>
  <c r="E86" i="33"/>
  <c r="E88" i="33" s="1"/>
  <c r="H76" i="33"/>
  <c r="I85" i="33"/>
  <c r="C85" i="36" s="1"/>
  <c r="I87" i="33"/>
  <c r="C87" i="36" s="1"/>
  <c r="F192" i="33"/>
  <c r="E115" i="33"/>
  <c r="H53" i="33"/>
  <c r="I196" i="33"/>
  <c r="C196" i="36" s="1"/>
  <c r="G86" i="33"/>
  <c r="G88" i="33" s="1"/>
  <c r="D192" i="33"/>
  <c r="E192" i="33"/>
  <c r="H115" i="33"/>
  <c r="I12" i="33"/>
  <c r="I56" i="33"/>
  <c r="C115" i="33"/>
  <c r="I113" i="33"/>
  <c r="C110" i="33"/>
  <c r="I108" i="33"/>
  <c r="C83" i="33"/>
  <c r="I80" i="33"/>
  <c r="E158" i="33"/>
  <c r="H198" i="33"/>
  <c r="I169" i="33"/>
  <c r="C169" i="36" s="1"/>
  <c r="I170" i="33"/>
  <c r="C170" i="36" s="1"/>
  <c r="C421" i="36" s="1"/>
  <c r="D173" i="33"/>
  <c r="I160" i="33"/>
  <c r="C160" i="36" s="1"/>
  <c r="F121" i="33"/>
  <c r="I224" i="33"/>
  <c r="D249" i="33"/>
  <c r="I250" i="33"/>
  <c r="I162" i="33"/>
  <c r="C162" i="36" s="1"/>
  <c r="I45" i="33"/>
  <c r="C26" i="33"/>
  <c r="I24" i="33"/>
  <c r="I84" i="33"/>
  <c r="C84" i="36" s="1"/>
  <c r="C86" i="33"/>
  <c r="C88" i="33" s="1"/>
  <c r="F76" i="33"/>
  <c r="I153" i="33"/>
  <c r="C153" i="36" s="1"/>
  <c r="I168" i="33"/>
  <c r="C168" i="36" s="1"/>
  <c r="G158" i="33"/>
  <c r="I199" i="33"/>
  <c r="C199" i="36" s="1"/>
  <c r="I75" i="33"/>
  <c r="C75" i="36" s="1"/>
  <c r="F173" i="33"/>
  <c r="G121" i="33"/>
  <c r="I142" i="33"/>
  <c r="C142" i="36" s="1"/>
  <c r="I258" i="33"/>
  <c r="C258" i="36" s="1"/>
  <c r="I223" i="33"/>
  <c r="C223" i="36" s="1"/>
  <c r="C418" i="36" s="1"/>
  <c r="I225" i="33"/>
  <c r="I348" i="33" s="1"/>
  <c r="E249" i="33"/>
  <c r="E242" i="33" s="1"/>
  <c r="D81" i="33"/>
  <c r="D83" i="33" s="1"/>
  <c r="D243" i="33"/>
  <c r="I37" i="33"/>
  <c r="C39" i="33"/>
  <c r="I27" i="33"/>
  <c r="C29" i="33"/>
  <c r="I29" i="33" s="1"/>
  <c r="I161" i="33"/>
  <c r="C161" i="36" s="1"/>
  <c r="I177" i="33"/>
  <c r="C177" i="36" s="1"/>
  <c r="I203" i="33"/>
  <c r="C203" i="36" s="1"/>
  <c r="I31" i="33"/>
  <c r="H158" i="33"/>
  <c r="D26" i="33"/>
  <c r="I11" i="33"/>
  <c r="C11" i="36" s="1"/>
  <c r="C12" i="36" s="1"/>
  <c r="I131" i="33"/>
  <c r="C131" i="36" s="1"/>
  <c r="I71" i="33"/>
  <c r="C71" i="36" s="1"/>
  <c r="I194" i="33"/>
  <c r="C194" i="36" s="1"/>
  <c r="H20" i="33"/>
  <c r="E173" i="33"/>
  <c r="H121" i="33"/>
  <c r="I184" i="33"/>
  <c r="C184" i="36" s="1"/>
  <c r="I215" i="33"/>
  <c r="C215" i="36" s="1"/>
  <c r="I125" i="33"/>
  <c r="C125" i="36" s="1"/>
  <c r="F249" i="33"/>
  <c r="F242" i="33" s="1"/>
  <c r="I214" i="33"/>
  <c r="C214" i="36" s="1"/>
  <c r="C244" i="36"/>
  <c r="I109" i="33"/>
  <c r="C109" i="36" s="1"/>
  <c r="G115" i="33"/>
  <c r="C105" i="33"/>
  <c r="I103" i="33"/>
  <c r="I89" i="33"/>
  <c r="C89" i="36" s="1"/>
  <c r="C53" i="33"/>
  <c r="I51" i="33"/>
  <c r="C51" i="36" s="1"/>
  <c r="I118" i="33"/>
  <c r="I130" i="33"/>
  <c r="C130" i="36" s="1"/>
  <c r="D158" i="33"/>
  <c r="E26" i="33"/>
  <c r="G173" i="33"/>
  <c r="I207" i="33"/>
  <c r="C207" i="36" s="1"/>
  <c r="I251" i="33"/>
  <c r="C251" i="36" s="1"/>
  <c r="I252" i="33"/>
  <c r="C252" i="36" s="1"/>
  <c r="G249" i="33"/>
  <c r="G242" i="33" s="1"/>
  <c r="I254" i="33"/>
  <c r="C254" i="36" s="1"/>
  <c r="D72" i="33"/>
  <c r="I72" i="33" s="1"/>
  <c r="I163" i="33"/>
  <c r="C163" i="36" s="1"/>
  <c r="I74" i="33"/>
  <c r="C74" i="36" s="1"/>
  <c r="C76" i="33"/>
  <c r="F53" i="33"/>
  <c r="I176" i="33"/>
  <c r="C176" i="36" s="1"/>
  <c r="I143" i="33"/>
  <c r="C143" i="36" s="1"/>
  <c r="I35" i="33"/>
  <c r="I104" i="33"/>
  <c r="C104" i="36" s="1"/>
  <c r="F158" i="33"/>
  <c r="G26" i="33"/>
  <c r="I8" i="33"/>
  <c r="C8" i="36" s="1"/>
  <c r="C423" i="36" s="1"/>
  <c r="I41" i="33"/>
  <c r="H173" i="33"/>
  <c r="I112" i="33"/>
  <c r="C112" i="36" s="1"/>
  <c r="C113" i="36" s="1"/>
  <c r="I226" i="33"/>
  <c r="C226" i="36" s="1"/>
  <c r="C249" i="33"/>
  <c r="D32" i="33"/>
  <c r="I32" i="33" s="1"/>
  <c r="D42" i="33"/>
  <c r="I42" i="33" s="1"/>
  <c r="I134" i="33"/>
  <c r="C134" i="36" s="1"/>
  <c r="C98" i="33"/>
  <c r="I96" i="33"/>
  <c r="C96" i="36" s="1"/>
  <c r="E98" i="33"/>
  <c r="E100" i="33" s="1"/>
  <c r="C158" i="33"/>
  <c r="I114" i="33"/>
  <c r="C114" i="36" s="1"/>
  <c r="I15" i="33"/>
  <c r="C17" i="33"/>
  <c r="I17" i="33" s="1"/>
  <c r="I206" i="33"/>
  <c r="C206" i="36" s="1"/>
  <c r="I149" i="33"/>
  <c r="C149" i="36" s="1"/>
  <c r="I167" i="33"/>
  <c r="C167" i="36" s="1"/>
  <c r="I185" i="33"/>
  <c r="C185" i="36" s="1"/>
  <c r="I188" i="33"/>
  <c r="C188" i="36" s="1"/>
  <c r="F26" i="33"/>
  <c r="I44" i="33"/>
  <c r="I47" i="33"/>
  <c r="I38" i="33"/>
  <c r="I19" i="33"/>
  <c r="C19" i="36" s="1"/>
  <c r="I219" i="33"/>
  <c r="C219" i="36" s="1"/>
  <c r="I255" i="33"/>
  <c r="C255" i="36" s="1"/>
  <c r="C92" i="33"/>
  <c r="I92" i="33" s="1"/>
  <c r="I90" i="33"/>
  <c r="H98" i="33"/>
  <c r="H100" i="33" s="1"/>
  <c r="C95" i="33"/>
  <c r="I95" i="33" s="1"/>
  <c r="I93" i="33"/>
  <c r="I52" i="33"/>
  <c r="I171" i="33"/>
  <c r="C171" i="36" s="1"/>
  <c r="I164" i="33"/>
  <c r="C164" i="36" s="1"/>
  <c r="D86" i="33"/>
  <c r="D88" i="33" s="1"/>
  <c r="G76" i="33"/>
  <c r="I102" i="33"/>
  <c r="C102" i="36" s="1"/>
  <c r="C103" i="36" s="1"/>
  <c r="I107" i="33"/>
  <c r="C107" i="36" s="1"/>
  <c r="I61" i="33"/>
  <c r="C61" i="36" s="1"/>
  <c r="C63" i="36" s="1"/>
  <c r="C63" i="33"/>
  <c r="I211" i="33"/>
  <c r="C211" i="36" s="1"/>
  <c r="G53" i="33"/>
  <c r="I181" i="33"/>
  <c r="C181" i="36" s="1"/>
  <c r="I135" i="33"/>
  <c r="C135" i="36" s="1"/>
  <c r="I97" i="33"/>
  <c r="C97" i="36" s="1"/>
  <c r="E198" i="33"/>
  <c r="I82" i="33"/>
  <c r="C82" i="36" s="1"/>
  <c r="I18" i="33"/>
  <c r="C18" i="36" s="1"/>
  <c r="C20" i="33"/>
  <c r="C173" i="33"/>
  <c r="C23" i="33"/>
  <c r="I23" i="33" s="1"/>
  <c r="I21" i="33"/>
  <c r="C21" i="36" s="1"/>
  <c r="C69" i="33"/>
  <c r="I69" i="33" s="1"/>
  <c r="I67" i="33"/>
  <c r="C67" i="36" s="1"/>
  <c r="I55" i="33"/>
  <c r="I154" i="33"/>
  <c r="C154" i="36" s="1"/>
  <c r="I120" i="33"/>
  <c r="C120" i="36" s="1"/>
  <c r="F198" i="33"/>
  <c r="H39" i="33"/>
  <c r="H26" i="33"/>
  <c r="I138" i="33"/>
  <c r="C138" i="36" s="1"/>
  <c r="E121" i="33"/>
  <c r="C76" i="67"/>
  <c r="D76" i="67" s="1"/>
  <c r="C66" i="36"/>
  <c r="I119" i="33"/>
  <c r="C119" i="36" s="1"/>
  <c r="I14" i="33"/>
  <c r="C14" i="36" s="1"/>
  <c r="I99" i="33"/>
  <c r="C99" i="36" s="1"/>
  <c r="I116" i="33"/>
  <c r="C116" i="36" s="1"/>
  <c r="C118" i="36" s="1"/>
  <c r="I77" i="33"/>
  <c r="I78" i="33"/>
  <c r="I73" i="33"/>
  <c r="C73" i="36" s="1"/>
  <c r="F189" i="72"/>
  <c r="C191" i="72"/>
  <c r="D5" i="72"/>
  <c r="F152" i="72"/>
  <c r="F121" i="72"/>
  <c r="F245" i="72"/>
  <c r="C261" i="72"/>
  <c r="C75" i="67"/>
  <c r="K175" i="33"/>
  <c r="F59" i="46"/>
  <c r="E59" i="46" s="1"/>
  <c r="F174" i="46"/>
  <c r="E174" i="46" s="1"/>
  <c r="F83" i="46"/>
  <c r="E83" i="46" s="1"/>
  <c r="F115" i="46"/>
  <c r="E115" i="46" s="1"/>
  <c r="F307" i="46"/>
  <c r="E307" i="46" s="1"/>
  <c r="B340" i="33"/>
  <c r="B338" i="33"/>
  <c r="F105" i="46"/>
  <c r="E105" i="46" s="1"/>
  <c r="F337" i="46"/>
  <c r="E337" i="46" s="1"/>
  <c r="B231" i="33"/>
  <c r="F100" i="46"/>
  <c r="E100" i="46" s="1"/>
  <c r="F241" i="46"/>
  <c r="E241" i="46" s="1"/>
  <c r="F110" i="46"/>
  <c r="E110" i="46" s="1"/>
  <c r="B190" i="33"/>
  <c r="D340" i="4"/>
  <c r="D127" i="4"/>
  <c r="B127" i="33"/>
  <c r="D233" i="4"/>
  <c r="B10" i="4"/>
  <c r="C9" i="3"/>
  <c r="B281" i="46"/>
  <c r="B281" i="36"/>
  <c r="K175" i="59"/>
  <c r="B282" i="4"/>
  <c r="L9" i="3"/>
  <c r="B9" i="36"/>
  <c r="B9" i="46"/>
  <c r="B10" i="53"/>
  <c r="B10" i="49"/>
  <c r="B195" i="4"/>
  <c r="I9" i="3"/>
  <c r="B194" i="36"/>
  <c r="B194" i="46"/>
  <c r="F227" i="46"/>
  <c r="E227" i="46" s="1"/>
  <c r="F189" i="46"/>
  <c r="E189" i="46" s="1"/>
  <c r="C46" i="67" l="1"/>
  <c r="C48" i="67" s="1"/>
  <c r="D48" i="67" s="1"/>
  <c r="H88" i="52"/>
  <c r="I88" i="52" s="1"/>
  <c r="G88" i="52"/>
  <c r="D10" i="67"/>
  <c r="D75" i="53"/>
  <c r="K75" i="53" s="1"/>
  <c r="L75" i="53" s="1"/>
  <c r="G75" i="53"/>
  <c r="H75" i="53" s="1"/>
  <c r="I75" i="53" s="1"/>
  <c r="D32" i="2"/>
  <c r="E32" i="2" s="1"/>
  <c r="C8" i="52"/>
  <c r="C65" i="73"/>
  <c r="E65" i="73" s="1"/>
  <c r="I65" i="73" s="1"/>
  <c r="D46" i="67"/>
  <c r="C424" i="36"/>
  <c r="D423" i="36"/>
  <c r="C23" i="36"/>
  <c r="C342" i="36"/>
  <c r="C410" i="36" s="1"/>
  <c r="C409" i="36"/>
  <c r="C414" i="36"/>
  <c r="D408" i="36"/>
  <c r="D342" i="36"/>
  <c r="D410" i="36" s="1"/>
  <c r="D414" i="36"/>
  <c r="D409" i="36"/>
  <c r="C158" i="36"/>
  <c r="C390" i="36" s="1"/>
  <c r="C173" i="36"/>
  <c r="C391" i="36" s="1"/>
  <c r="C198" i="36"/>
  <c r="I340" i="33"/>
  <c r="C90" i="36"/>
  <c r="C92" i="36" s="1"/>
  <c r="C37" i="36"/>
  <c r="C80" i="36"/>
  <c r="C81" i="36" s="1"/>
  <c r="C83" i="36" s="1"/>
  <c r="C77" i="36"/>
  <c r="C35" i="36"/>
  <c r="C36" i="36" s="1"/>
  <c r="C24" i="36"/>
  <c r="C78" i="36"/>
  <c r="C52" i="36"/>
  <c r="C41" i="36"/>
  <c r="C42" i="36" s="1"/>
  <c r="C55" i="36"/>
  <c r="C93" i="36"/>
  <c r="C38" i="36"/>
  <c r="C47" i="36"/>
  <c r="C27" i="36"/>
  <c r="C31" i="36"/>
  <c r="C32" i="36" s="1"/>
  <c r="C44" i="36"/>
  <c r="C15" i="36"/>
  <c r="C17" i="36" s="1"/>
  <c r="C227" i="33"/>
  <c r="C231" i="33" s="1"/>
  <c r="C233" i="33" s="1"/>
  <c r="C236" i="33" s="1"/>
  <c r="I338" i="33"/>
  <c r="D227" i="33"/>
  <c r="C242" i="33"/>
  <c r="C241" i="33" s="1"/>
  <c r="H227" i="33"/>
  <c r="H231" i="33" s="1"/>
  <c r="E227" i="33"/>
  <c r="E231" i="33" s="1"/>
  <c r="E233" i="33" s="1"/>
  <c r="E236" i="33" s="1"/>
  <c r="G227" i="33"/>
  <c r="G231" i="33" s="1"/>
  <c r="G233" i="33" s="1"/>
  <c r="G236" i="33" s="1"/>
  <c r="F227" i="33"/>
  <c r="F231" i="33" s="1"/>
  <c r="F233" i="33" s="1"/>
  <c r="F236" i="33" s="1"/>
  <c r="I20" i="33"/>
  <c r="C225" i="36"/>
  <c r="C348" i="36"/>
  <c r="C417" i="36" s="1"/>
  <c r="D239" i="4"/>
  <c r="D267" i="4" s="1"/>
  <c r="D271" i="4" s="1"/>
  <c r="D277" i="4" s="1"/>
  <c r="D345" i="4"/>
  <c r="D366" i="4" s="1"/>
  <c r="C224" i="36"/>
  <c r="C349" i="36"/>
  <c r="C416" i="36" s="1"/>
  <c r="D242" i="33"/>
  <c r="D241" i="33" s="1"/>
  <c r="C192" i="36"/>
  <c r="C403" i="36" s="1"/>
  <c r="F59" i="33"/>
  <c r="I192" i="33"/>
  <c r="I243" i="33"/>
  <c r="C243" i="36" s="1"/>
  <c r="H59" i="33"/>
  <c r="D126" i="33"/>
  <c r="I39" i="33"/>
  <c r="E126" i="33"/>
  <c r="G59" i="33"/>
  <c r="I105" i="33"/>
  <c r="F174" i="33"/>
  <c r="E59" i="33"/>
  <c r="I115" i="33"/>
  <c r="H126" i="33"/>
  <c r="G126" i="33"/>
  <c r="I121" i="33"/>
  <c r="I86" i="33"/>
  <c r="I83" i="33"/>
  <c r="F126" i="33"/>
  <c r="D59" i="33"/>
  <c r="I110" i="33"/>
  <c r="G241" i="33"/>
  <c r="F241" i="33"/>
  <c r="E241" i="33"/>
  <c r="I63" i="33"/>
  <c r="I158" i="33"/>
  <c r="D174" i="33"/>
  <c r="C100" i="33"/>
  <c r="I100" i="33" s="1"/>
  <c r="I98" i="33"/>
  <c r="I249" i="33"/>
  <c r="C249" i="36" s="1"/>
  <c r="C250" i="36"/>
  <c r="I81" i="33"/>
  <c r="C59" i="33"/>
  <c r="I198" i="33"/>
  <c r="I88" i="33"/>
  <c r="E174" i="33"/>
  <c r="C174" i="33"/>
  <c r="I76" i="33"/>
  <c r="I53" i="33"/>
  <c r="H174" i="33"/>
  <c r="G174" i="33"/>
  <c r="I26" i="33"/>
  <c r="C63" i="67"/>
  <c r="D63" i="67" s="1"/>
  <c r="I173" i="33"/>
  <c r="D26" i="36"/>
  <c r="D23" i="36"/>
  <c r="C23" i="52" s="1"/>
  <c r="D48" i="36"/>
  <c r="C48" i="52" s="1"/>
  <c r="C121" i="36"/>
  <c r="C115" i="36"/>
  <c r="C20" i="36"/>
  <c r="C105" i="36"/>
  <c r="C72" i="36"/>
  <c r="C76" i="36"/>
  <c r="C86" i="36"/>
  <c r="C88" i="36" s="1"/>
  <c r="C108" i="36"/>
  <c r="C110" i="36" s="1"/>
  <c r="C69" i="36"/>
  <c r="C53" i="36"/>
  <c r="C42" i="70" s="1"/>
  <c r="C61" i="67" s="1"/>
  <c r="D61" i="67" s="1"/>
  <c r="C62" i="67"/>
  <c r="D62" i="67" s="1"/>
  <c r="C98" i="36"/>
  <c r="C100" i="36" s="1"/>
  <c r="C265" i="72"/>
  <c r="C193" i="72"/>
  <c r="F193" i="72" s="1"/>
  <c r="C195" i="72"/>
  <c r="F191" i="72"/>
  <c r="F261" i="72"/>
  <c r="C263" i="72"/>
  <c r="E8" i="52"/>
  <c r="D75" i="67"/>
  <c r="D79" i="67" s="1"/>
  <c r="C79" i="67"/>
  <c r="D39" i="36"/>
  <c r="C39" i="52" s="1"/>
  <c r="F190" i="46"/>
  <c r="E190" i="46" s="1"/>
  <c r="D261" i="4"/>
  <c r="F338" i="46"/>
  <c r="E338" i="46" s="1"/>
  <c r="B233" i="33"/>
  <c r="B345" i="33"/>
  <c r="B260" i="33"/>
  <c r="D63" i="36"/>
  <c r="C63" i="52" s="1"/>
  <c r="D260" i="4"/>
  <c r="A4" i="4"/>
  <c r="H40" i="56"/>
  <c r="D342" i="4"/>
  <c r="L10" i="3"/>
  <c r="B283" i="4"/>
  <c r="B11" i="53"/>
  <c r="B196" i="4"/>
  <c r="B11" i="49"/>
  <c r="I10" i="3"/>
  <c r="B282" i="46"/>
  <c r="B282" i="36"/>
  <c r="C10" i="3"/>
  <c r="B11" i="4"/>
  <c r="B195" i="36"/>
  <c r="B195" i="46"/>
  <c r="B10" i="36"/>
  <c r="B10" i="46"/>
  <c r="F126" i="46"/>
  <c r="E126" i="46" s="1"/>
  <c r="F231" i="46"/>
  <c r="E231" i="46" s="1"/>
  <c r="H63" i="52" l="1"/>
  <c r="I63" i="52" s="1"/>
  <c r="G63" i="52"/>
  <c r="H23" i="52"/>
  <c r="I23" i="52" s="1"/>
  <c r="G23" i="52"/>
  <c r="H48" i="52"/>
  <c r="I48" i="52" s="1"/>
  <c r="G48" i="52"/>
  <c r="G39" i="52"/>
  <c r="H39" i="52" s="1"/>
  <c r="I39" i="52" s="1"/>
  <c r="C26" i="52"/>
  <c r="G63" i="73"/>
  <c r="H63" i="73" s="1"/>
  <c r="I63" i="73" s="1"/>
  <c r="C404" i="36"/>
  <c r="C48" i="36"/>
  <c r="C227" i="36"/>
  <c r="C397" i="36" s="1"/>
  <c r="C56" i="36"/>
  <c r="C242" i="36"/>
  <c r="C401" i="36" s="1"/>
  <c r="C46" i="70"/>
  <c r="C45" i="36"/>
  <c r="C26" i="36"/>
  <c r="C39" i="36"/>
  <c r="C29" i="36"/>
  <c r="C95" i="36"/>
  <c r="D59" i="36"/>
  <c r="M228" i="33"/>
  <c r="M229" i="33" s="1"/>
  <c r="D231" i="33"/>
  <c r="D233" i="33" s="1"/>
  <c r="D236" i="33" s="1"/>
  <c r="C342" i="33"/>
  <c r="H233" i="33"/>
  <c r="H236" i="33" s="1"/>
  <c r="I227" i="33"/>
  <c r="I231" i="33" s="1"/>
  <c r="C239" i="33"/>
  <c r="C267" i="33" s="1"/>
  <c r="C345" i="33"/>
  <c r="C366" i="33" s="1"/>
  <c r="E239" i="33"/>
  <c r="E261" i="33" s="1"/>
  <c r="E345" i="33"/>
  <c r="E366" i="33" s="1"/>
  <c r="G239" i="33"/>
  <c r="G267" i="33" s="1"/>
  <c r="G271" i="33" s="1"/>
  <c r="G277" i="33" s="1"/>
  <c r="G186" i="33" s="1"/>
  <c r="G187" i="33" s="1"/>
  <c r="G189" i="33" s="1"/>
  <c r="G190" i="33" s="1"/>
  <c r="G345" i="33"/>
  <c r="G366" i="33" s="1"/>
  <c r="F239" i="33"/>
  <c r="F261" i="33" s="1"/>
  <c r="F345" i="33"/>
  <c r="F366" i="33" s="1"/>
  <c r="G260" i="33"/>
  <c r="C260" i="33"/>
  <c r="E260" i="33"/>
  <c r="F260" i="33"/>
  <c r="H127" i="33"/>
  <c r="E127" i="33"/>
  <c r="G127" i="33"/>
  <c r="D127" i="33"/>
  <c r="I242" i="33"/>
  <c r="I241" i="33" s="1"/>
  <c r="F127" i="33"/>
  <c r="C126" i="33"/>
  <c r="I126" i="33" s="1"/>
  <c r="I59" i="33"/>
  <c r="I174" i="33"/>
  <c r="C174" i="36"/>
  <c r="C392" i="36" s="1"/>
  <c r="C282" i="72"/>
  <c r="F265" i="72"/>
  <c r="C280" i="72"/>
  <c r="F280" i="72" s="1"/>
  <c r="C288" i="72"/>
  <c r="F263" i="72"/>
  <c r="F195" i="72"/>
  <c r="C200" i="72"/>
  <c r="G8" i="52"/>
  <c r="H8" i="52" s="1"/>
  <c r="I8" i="52" s="1"/>
  <c r="F127" i="46"/>
  <c r="E127" i="46" s="1"/>
  <c r="C266" i="4"/>
  <c r="C267" i="4" s="1"/>
  <c r="F340" i="46"/>
  <c r="E340" i="46" s="1"/>
  <c r="D126" i="36"/>
  <c r="C126" i="52" s="1"/>
  <c r="B239" i="33"/>
  <c r="B261" i="33"/>
  <c r="D262" i="4"/>
  <c r="C341" i="4"/>
  <c r="D345" i="46"/>
  <c r="D366" i="46" s="1"/>
  <c r="B196" i="36"/>
  <c r="B196" i="46"/>
  <c r="B11" i="46"/>
  <c r="B11" i="36"/>
  <c r="B12" i="4"/>
  <c r="C11" i="3"/>
  <c r="B12" i="53"/>
  <c r="B12" i="49"/>
  <c r="I11" i="3"/>
  <c r="B197" i="4"/>
  <c r="B283" i="46"/>
  <c r="B283" i="36"/>
  <c r="B284" i="4"/>
  <c r="L11" i="3"/>
  <c r="F233" i="46"/>
  <c r="E233" i="46" s="1"/>
  <c r="G126" i="52" l="1"/>
  <c r="H126" i="52" s="1"/>
  <c r="I126" i="52" s="1"/>
  <c r="G26" i="52"/>
  <c r="H26" i="52" s="1"/>
  <c r="I26" i="52" s="1"/>
  <c r="D387" i="36"/>
  <c r="C26" i="73"/>
  <c r="E26" i="73" s="1"/>
  <c r="I26" i="73" s="1"/>
  <c r="C71" i="73"/>
  <c r="E71" i="73" s="1"/>
  <c r="I71" i="73" s="1"/>
  <c r="C59" i="52"/>
  <c r="C25" i="73"/>
  <c r="E25" i="73" s="1"/>
  <c r="I25" i="73" s="1"/>
  <c r="G58" i="73"/>
  <c r="H58" i="73" s="1"/>
  <c r="I58" i="73" s="1"/>
  <c r="C231" i="36"/>
  <c r="C233" i="36"/>
  <c r="C398" i="36"/>
  <c r="D388" i="36"/>
  <c r="C59" i="36"/>
  <c r="C126" i="36"/>
  <c r="C388" i="36" s="1"/>
  <c r="H260" i="33"/>
  <c r="D260" i="33"/>
  <c r="C241" i="36"/>
  <c r="C260" i="36" s="1"/>
  <c r="C402" i="36" s="1"/>
  <c r="D345" i="33"/>
  <c r="D239" i="33"/>
  <c r="D267" i="33" s="1"/>
  <c r="D271" i="33" s="1"/>
  <c r="D277" i="33" s="1"/>
  <c r="D186" i="33" s="1"/>
  <c r="C271" i="33"/>
  <c r="C277" i="33" s="1"/>
  <c r="C186" i="33" s="1"/>
  <c r="C187" i="33" s="1"/>
  <c r="C189" i="33" s="1"/>
  <c r="C190" i="33" s="1"/>
  <c r="H345" i="33"/>
  <c r="H366" i="33" s="1"/>
  <c r="H239" i="33"/>
  <c r="H267" i="33" s="1"/>
  <c r="H271" i="33" s="1"/>
  <c r="H277" i="33" s="1"/>
  <c r="H186" i="33" s="1"/>
  <c r="H187" i="33" s="1"/>
  <c r="H189" i="33" s="1"/>
  <c r="H190" i="33" s="1"/>
  <c r="G261" i="33"/>
  <c r="C261" i="33"/>
  <c r="E267" i="33"/>
  <c r="E271" i="33" s="1"/>
  <c r="E277" i="33" s="1"/>
  <c r="E186" i="33" s="1"/>
  <c r="E187" i="33" s="1"/>
  <c r="E189" i="33" s="1"/>
  <c r="E190" i="33" s="1"/>
  <c r="F267" i="33"/>
  <c r="F271" i="33" s="1"/>
  <c r="F277" i="33" s="1"/>
  <c r="F186" i="33" s="1"/>
  <c r="F187" i="33" s="1"/>
  <c r="F189" i="33" s="1"/>
  <c r="F190" i="33" s="1"/>
  <c r="F366" i="46"/>
  <c r="E366" i="46" s="1"/>
  <c r="I233" i="33"/>
  <c r="C271" i="4"/>
  <c r="C277" i="4" s="1"/>
  <c r="B266" i="33"/>
  <c r="I266" i="33" s="1"/>
  <c r="C266" i="36" s="1"/>
  <c r="C127" i="33"/>
  <c r="I127" i="33" s="1"/>
  <c r="F282" i="72"/>
  <c r="F6" i="72" s="1"/>
  <c r="C6" i="72"/>
  <c r="A6" i="72" s="1"/>
  <c r="F200" i="72"/>
  <c r="C202" i="72"/>
  <c r="C292" i="72"/>
  <c r="F292" i="72" s="1"/>
  <c r="F288" i="72"/>
  <c r="C49" i="70"/>
  <c r="C65" i="67"/>
  <c r="D65" i="67" s="1"/>
  <c r="C342" i="4"/>
  <c r="B342" i="33" s="1"/>
  <c r="I342" i="33" s="1"/>
  <c r="B341" i="33"/>
  <c r="F342" i="46"/>
  <c r="E342" i="46" s="1"/>
  <c r="F260" i="46"/>
  <c r="E260" i="46" s="1"/>
  <c r="F345" i="46"/>
  <c r="E345" i="46" s="1"/>
  <c r="F268" i="46"/>
  <c r="E268" i="46" s="1"/>
  <c r="B13" i="4"/>
  <c r="C12" i="3"/>
  <c r="B285" i="4"/>
  <c r="L12" i="3"/>
  <c r="B13" i="49"/>
  <c r="B198" i="4"/>
  <c r="B13" i="53"/>
  <c r="I12" i="3"/>
  <c r="B197" i="36"/>
  <c r="B197" i="46"/>
  <c r="B284" i="46"/>
  <c r="B284" i="36"/>
  <c r="B12" i="36"/>
  <c r="B12" i="46"/>
  <c r="G59" i="52" l="1"/>
  <c r="H59" i="52" s="1"/>
  <c r="I59" i="52" s="1"/>
  <c r="C399" i="36"/>
  <c r="C127" i="36"/>
  <c r="C389" i="36" s="1"/>
  <c r="C387" i="36"/>
  <c r="I239" i="33"/>
  <c r="C239" i="36" s="1"/>
  <c r="I236" i="33"/>
  <c r="C236" i="36" s="1"/>
  <c r="D366" i="33"/>
  <c r="I345" i="33"/>
  <c r="I366" i="33" s="1"/>
  <c r="D261" i="33"/>
  <c r="H261" i="33"/>
  <c r="M186" i="33"/>
  <c r="I186" i="33"/>
  <c r="D187" i="33"/>
  <c r="I260" i="33"/>
  <c r="F202" i="72"/>
  <c r="C210" i="72"/>
  <c r="C64" i="67"/>
  <c r="D64" i="67" s="1"/>
  <c r="C77" i="70"/>
  <c r="B267" i="33"/>
  <c r="I267" i="33" s="1"/>
  <c r="C267" i="36" s="1"/>
  <c r="F271" i="46"/>
  <c r="E271" i="46" s="1"/>
  <c r="D127" i="36"/>
  <c r="F277" i="46"/>
  <c r="E277" i="46" s="1"/>
  <c r="B285" i="46"/>
  <c r="B285" i="36"/>
  <c r="B198" i="36"/>
  <c r="B198" i="46"/>
  <c r="B14" i="4"/>
  <c r="C13" i="3"/>
  <c r="B13" i="36"/>
  <c r="B13" i="46"/>
  <c r="B14" i="53"/>
  <c r="B14" i="49"/>
  <c r="B199" i="4"/>
  <c r="I13" i="3"/>
  <c r="B286" i="4"/>
  <c r="L13" i="3"/>
  <c r="G49" i="73" l="1"/>
  <c r="H49" i="73" s="1"/>
  <c r="I49" i="73" s="1"/>
  <c r="D27" i="2"/>
  <c r="E27" i="2" s="1"/>
  <c r="D28" i="73"/>
  <c r="E28" i="73" s="1"/>
  <c r="I28" i="73" s="1"/>
  <c r="G57" i="73"/>
  <c r="H57" i="73" s="1"/>
  <c r="I57" i="73" s="1"/>
  <c r="C127" i="52"/>
  <c r="C261" i="36"/>
  <c r="C400" i="36"/>
  <c r="D389" i="36"/>
  <c r="D386" i="36"/>
  <c r="I261" i="33"/>
  <c r="C186" i="36"/>
  <c r="C187" i="36" s="1"/>
  <c r="C345" i="36"/>
  <c r="I187" i="33"/>
  <c r="D189" i="33"/>
  <c r="C262" i="36"/>
  <c r="C163" i="72"/>
  <c r="F210" i="72"/>
  <c r="B268" i="33"/>
  <c r="I268" i="33" s="1"/>
  <c r="C268" i="36" s="1"/>
  <c r="B199" i="36"/>
  <c r="B199" i="46"/>
  <c r="L14" i="3"/>
  <c r="B287" i="4"/>
  <c r="B15" i="4"/>
  <c r="C14" i="3"/>
  <c r="B286" i="46"/>
  <c r="B286" i="36"/>
  <c r="B14" i="36"/>
  <c r="B14" i="46"/>
  <c r="B15" i="53"/>
  <c r="B15" i="49"/>
  <c r="B200" i="4"/>
  <c r="I14" i="3"/>
  <c r="D43" i="52" l="1"/>
  <c r="K43" i="52" s="1"/>
  <c r="L43" i="52" s="1"/>
  <c r="D51" i="52"/>
  <c r="K51" i="52" s="1"/>
  <c r="L51" i="52" s="1"/>
  <c r="D67" i="52"/>
  <c r="K67" i="52" s="1"/>
  <c r="L67" i="52" s="1"/>
  <c r="D75" i="52"/>
  <c r="K75" i="52" s="1"/>
  <c r="L75" i="52" s="1"/>
  <c r="D83" i="52"/>
  <c r="K83" i="52" s="1"/>
  <c r="L83" i="52" s="1"/>
  <c r="D91" i="52"/>
  <c r="K91" i="52" s="1"/>
  <c r="L91" i="52" s="1"/>
  <c r="D99" i="52"/>
  <c r="K99" i="52" s="1"/>
  <c r="L99" i="52" s="1"/>
  <c r="D107" i="52"/>
  <c r="K107" i="52" s="1"/>
  <c r="L107" i="52" s="1"/>
  <c r="D115" i="52"/>
  <c r="K115" i="52" s="1"/>
  <c r="L115" i="52" s="1"/>
  <c r="D123" i="52"/>
  <c r="K123" i="52" s="1"/>
  <c r="L123" i="52" s="1"/>
  <c r="D131" i="52"/>
  <c r="K131" i="52" s="1"/>
  <c r="L131" i="52" s="1"/>
  <c r="D139" i="52"/>
  <c r="K139" i="52" s="1"/>
  <c r="L139" i="52" s="1"/>
  <c r="D147" i="52"/>
  <c r="K147" i="52" s="1"/>
  <c r="L147" i="52" s="1"/>
  <c r="D155" i="52"/>
  <c r="K155" i="52" s="1"/>
  <c r="L155" i="52" s="1"/>
  <c r="D163" i="52"/>
  <c r="K163" i="52" s="1"/>
  <c r="L163" i="52" s="1"/>
  <c r="D171" i="52"/>
  <c r="K171" i="52" s="1"/>
  <c r="L171" i="52" s="1"/>
  <c r="D179" i="52"/>
  <c r="K179" i="52" s="1"/>
  <c r="L179" i="52" s="1"/>
  <c r="D187" i="52"/>
  <c r="K187" i="52" s="1"/>
  <c r="L187" i="52" s="1"/>
  <c r="D13" i="52"/>
  <c r="K13" i="52" s="1"/>
  <c r="L13" i="52" s="1"/>
  <c r="D21" i="52"/>
  <c r="K21" i="52" s="1"/>
  <c r="L21" i="52" s="1"/>
  <c r="D29" i="52"/>
  <c r="K29" i="52" s="1"/>
  <c r="L29" i="52" s="1"/>
  <c r="D37" i="52"/>
  <c r="K37" i="52" s="1"/>
  <c r="L37" i="52" s="1"/>
  <c r="D10" i="52"/>
  <c r="K10" i="52" s="1"/>
  <c r="L10" i="52" s="1"/>
  <c r="D50" i="52"/>
  <c r="K50" i="52" s="1"/>
  <c r="L50" i="52" s="1"/>
  <c r="D114" i="52"/>
  <c r="K114" i="52" s="1"/>
  <c r="L114" i="52" s="1"/>
  <c r="D170" i="52"/>
  <c r="K170" i="52" s="1"/>
  <c r="L170" i="52" s="1"/>
  <c r="D28" i="52"/>
  <c r="K28" i="52" s="1"/>
  <c r="L28" i="52" s="1"/>
  <c r="D44" i="52"/>
  <c r="K44" i="52" s="1"/>
  <c r="L44" i="52" s="1"/>
  <c r="D52" i="52"/>
  <c r="K52" i="52" s="1"/>
  <c r="L52" i="52" s="1"/>
  <c r="D60" i="52"/>
  <c r="K60" i="52" s="1"/>
  <c r="L60" i="52" s="1"/>
  <c r="D68" i="52"/>
  <c r="K68" i="52" s="1"/>
  <c r="L68" i="52" s="1"/>
  <c r="D76" i="52"/>
  <c r="K76" i="52" s="1"/>
  <c r="L76" i="52" s="1"/>
  <c r="D84" i="52"/>
  <c r="K84" i="52" s="1"/>
  <c r="L84" i="52" s="1"/>
  <c r="D92" i="52"/>
  <c r="K92" i="52" s="1"/>
  <c r="L92" i="52" s="1"/>
  <c r="D100" i="52"/>
  <c r="K100" i="52" s="1"/>
  <c r="L100" i="52" s="1"/>
  <c r="D108" i="52"/>
  <c r="K108" i="52" s="1"/>
  <c r="L108" i="52" s="1"/>
  <c r="D116" i="52"/>
  <c r="K116" i="52" s="1"/>
  <c r="L116" i="52" s="1"/>
  <c r="D124" i="52"/>
  <c r="K124" i="52" s="1"/>
  <c r="L124" i="52" s="1"/>
  <c r="D132" i="52"/>
  <c r="K132" i="52" s="1"/>
  <c r="L132" i="52" s="1"/>
  <c r="D140" i="52"/>
  <c r="K140" i="52" s="1"/>
  <c r="L140" i="52" s="1"/>
  <c r="D148" i="52"/>
  <c r="K148" i="52" s="1"/>
  <c r="L148" i="52" s="1"/>
  <c r="D156" i="52"/>
  <c r="K156" i="52" s="1"/>
  <c r="L156" i="52" s="1"/>
  <c r="D164" i="52"/>
  <c r="K164" i="52" s="1"/>
  <c r="L164" i="52" s="1"/>
  <c r="D172" i="52"/>
  <c r="K172" i="52" s="1"/>
  <c r="L172" i="52" s="1"/>
  <c r="D180" i="52"/>
  <c r="K180" i="52" s="1"/>
  <c r="L180" i="52" s="1"/>
  <c r="D188" i="52"/>
  <c r="K188" i="52" s="1"/>
  <c r="L188" i="52" s="1"/>
  <c r="D14" i="52"/>
  <c r="K14" i="52" s="1"/>
  <c r="L14" i="52" s="1"/>
  <c r="D22" i="52"/>
  <c r="K22" i="52" s="1"/>
  <c r="L22" i="52" s="1"/>
  <c r="D30" i="52"/>
  <c r="K30" i="52" s="1"/>
  <c r="L30" i="52" s="1"/>
  <c r="D38" i="52"/>
  <c r="K38" i="52" s="1"/>
  <c r="L38" i="52" s="1"/>
  <c r="D9" i="52"/>
  <c r="K9" i="52" s="1"/>
  <c r="L9" i="52" s="1"/>
  <c r="D146" i="52"/>
  <c r="K146" i="52" s="1"/>
  <c r="L146" i="52" s="1"/>
  <c r="D45" i="52"/>
  <c r="K45" i="52" s="1"/>
  <c r="L45" i="52" s="1"/>
  <c r="D53" i="52"/>
  <c r="K53" i="52" s="1"/>
  <c r="L53" i="52" s="1"/>
  <c r="D61" i="52"/>
  <c r="K61" i="52" s="1"/>
  <c r="L61" i="52" s="1"/>
  <c r="D69" i="52"/>
  <c r="K69" i="52" s="1"/>
  <c r="L69" i="52" s="1"/>
  <c r="D77" i="52"/>
  <c r="K77" i="52" s="1"/>
  <c r="L77" i="52" s="1"/>
  <c r="D85" i="52"/>
  <c r="K85" i="52" s="1"/>
  <c r="L85" i="52" s="1"/>
  <c r="D93" i="52"/>
  <c r="K93" i="52" s="1"/>
  <c r="L93" i="52" s="1"/>
  <c r="D101" i="52"/>
  <c r="K101" i="52" s="1"/>
  <c r="L101" i="52" s="1"/>
  <c r="D109" i="52"/>
  <c r="K109" i="52" s="1"/>
  <c r="L109" i="52" s="1"/>
  <c r="D117" i="52"/>
  <c r="K117" i="52" s="1"/>
  <c r="L117" i="52" s="1"/>
  <c r="D125" i="52"/>
  <c r="K125" i="52" s="1"/>
  <c r="L125" i="52" s="1"/>
  <c r="D133" i="52"/>
  <c r="K133" i="52" s="1"/>
  <c r="L133" i="52" s="1"/>
  <c r="D141" i="52"/>
  <c r="K141" i="52" s="1"/>
  <c r="L141" i="52" s="1"/>
  <c r="D149" i="52"/>
  <c r="K149" i="52" s="1"/>
  <c r="L149" i="52" s="1"/>
  <c r="D157" i="52"/>
  <c r="K157" i="52" s="1"/>
  <c r="L157" i="52" s="1"/>
  <c r="D165" i="52"/>
  <c r="K165" i="52" s="1"/>
  <c r="L165" i="52" s="1"/>
  <c r="D173" i="52"/>
  <c r="K173" i="52" s="1"/>
  <c r="L173" i="52" s="1"/>
  <c r="D181" i="52"/>
  <c r="K181" i="52" s="1"/>
  <c r="L181" i="52" s="1"/>
  <c r="D189" i="52"/>
  <c r="K189" i="52" s="1"/>
  <c r="L189" i="52" s="1"/>
  <c r="D15" i="52"/>
  <c r="K15" i="52" s="1"/>
  <c r="L15" i="52" s="1"/>
  <c r="D23" i="52"/>
  <c r="K23" i="52" s="1"/>
  <c r="L23" i="52" s="1"/>
  <c r="D31" i="52"/>
  <c r="K31" i="52" s="1"/>
  <c r="L31" i="52" s="1"/>
  <c r="D39" i="52"/>
  <c r="K39" i="52" s="1"/>
  <c r="L39" i="52" s="1"/>
  <c r="D90" i="52"/>
  <c r="K90" i="52" s="1"/>
  <c r="L90" i="52" s="1"/>
  <c r="D138" i="52"/>
  <c r="K138" i="52" s="1"/>
  <c r="L138" i="52" s="1"/>
  <c r="D36" i="52"/>
  <c r="K36" i="52" s="1"/>
  <c r="L36" i="52" s="1"/>
  <c r="D46" i="52"/>
  <c r="K46" i="52" s="1"/>
  <c r="L46" i="52" s="1"/>
  <c r="D54" i="52"/>
  <c r="K54" i="52" s="1"/>
  <c r="L54" i="52" s="1"/>
  <c r="D62" i="52"/>
  <c r="K62" i="52" s="1"/>
  <c r="L62" i="52" s="1"/>
  <c r="D70" i="52"/>
  <c r="K70" i="52" s="1"/>
  <c r="L70" i="52" s="1"/>
  <c r="D78" i="52"/>
  <c r="K78" i="52" s="1"/>
  <c r="L78" i="52" s="1"/>
  <c r="D86" i="52"/>
  <c r="K86" i="52" s="1"/>
  <c r="L86" i="52" s="1"/>
  <c r="D94" i="52"/>
  <c r="K94" i="52" s="1"/>
  <c r="L94" i="52" s="1"/>
  <c r="D102" i="52"/>
  <c r="K102" i="52" s="1"/>
  <c r="L102" i="52" s="1"/>
  <c r="D110" i="52"/>
  <c r="K110" i="52" s="1"/>
  <c r="L110" i="52" s="1"/>
  <c r="D118" i="52"/>
  <c r="K118" i="52" s="1"/>
  <c r="L118" i="52" s="1"/>
  <c r="D126" i="52"/>
  <c r="K126" i="52" s="1"/>
  <c r="L126" i="52" s="1"/>
  <c r="D134" i="52"/>
  <c r="K134" i="52" s="1"/>
  <c r="L134" i="52" s="1"/>
  <c r="D142" i="52"/>
  <c r="K142" i="52" s="1"/>
  <c r="L142" i="52" s="1"/>
  <c r="D150" i="52"/>
  <c r="K150" i="52" s="1"/>
  <c r="L150" i="52" s="1"/>
  <c r="D158" i="52"/>
  <c r="K158" i="52" s="1"/>
  <c r="L158" i="52" s="1"/>
  <c r="D166" i="52"/>
  <c r="K166" i="52" s="1"/>
  <c r="L166" i="52" s="1"/>
  <c r="D174" i="52"/>
  <c r="K174" i="52" s="1"/>
  <c r="L174" i="52" s="1"/>
  <c r="D182" i="52"/>
  <c r="K182" i="52" s="1"/>
  <c r="L182" i="52" s="1"/>
  <c r="D190" i="52"/>
  <c r="K190" i="52" s="1"/>
  <c r="L190" i="52" s="1"/>
  <c r="D16" i="52"/>
  <c r="K16" i="52" s="1"/>
  <c r="L16" i="52" s="1"/>
  <c r="D24" i="52"/>
  <c r="K24" i="52" s="1"/>
  <c r="L24" i="52" s="1"/>
  <c r="D32" i="52"/>
  <c r="K32" i="52" s="1"/>
  <c r="L32" i="52" s="1"/>
  <c r="D40" i="52"/>
  <c r="K40" i="52" s="1"/>
  <c r="L40" i="52" s="1"/>
  <c r="D66" i="52"/>
  <c r="K66" i="52" s="1"/>
  <c r="L66" i="52" s="1"/>
  <c r="D98" i="52"/>
  <c r="K98" i="52" s="1"/>
  <c r="L98" i="52" s="1"/>
  <c r="D154" i="52"/>
  <c r="K154" i="52" s="1"/>
  <c r="L154" i="52" s="1"/>
  <c r="D11" i="52"/>
  <c r="K11" i="52" s="1"/>
  <c r="L11" i="52" s="1"/>
  <c r="D47" i="52"/>
  <c r="K47" i="52" s="1"/>
  <c r="L47" i="52" s="1"/>
  <c r="D55" i="52"/>
  <c r="K55" i="52" s="1"/>
  <c r="L55" i="52" s="1"/>
  <c r="D63" i="52"/>
  <c r="K63" i="52" s="1"/>
  <c r="L63" i="52" s="1"/>
  <c r="D71" i="52"/>
  <c r="K71" i="52" s="1"/>
  <c r="L71" i="52" s="1"/>
  <c r="D79" i="52"/>
  <c r="K79" i="52" s="1"/>
  <c r="L79" i="52" s="1"/>
  <c r="D87" i="52"/>
  <c r="K87" i="52" s="1"/>
  <c r="L87" i="52" s="1"/>
  <c r="D95" i="52"/>
  <c r="K95" i="52" s="1"/>
  <c r="L95" i="52" s="1"/>
  <c r="D103" i="52"/>
  <c r="K103" i="52" s="1"/>
  <c r="L103" i="52" s="1"/>
  <c r="D111" i="52"/>
  <c r="K111" i="52" s="1"/>
  <c r="L111" i="52" s="1"/>
  <c r="D119" i="52"/>
  <c r="K119" i="52" s="1"/>
  <c r="L119" i="52" s="1"/>
  <c r="D127" i="52"/>
  <c r="K127" i="52" s="1"/>
  <c r="L127" i="52" s="1"/>
  <c r="D135" i="52"/>
  <c r="K135" i="52" s="1"/>
  <c r="L135" i="52" s="1"/>
  <c r="D143" i="52"/>
  <c r="K143" i="52" s="1"/>
  <c r="L143" i="52" s="1"/>
  <c r="D151" i="52"/>
  <c r="K151" i="52" s="1"/>
  <c r="L151" i="52" s="1"/>
  <c r="D159" i="52"/>
  <c r="K159" i="52" s="1"/>
  <c r="L159" i="52" s="1"/>
  <c r="D167" i="52"/>
  <c r="K167" i="52" s="1"/>
  <c r="L167" i="52" s="1"/>
  <c r="D175" i="52"/>
  <c r="K175" i="52" s="1"/>
  <c r="L175" i="52" s="1"/>
  <c r="D183" i="52"/>
  <c r="K183" i="52" s="1"/>
  <c r="L183" i="52" s="1"/>
  <c r="D17" i="52"/>
  <c r="K17" i="52" s="1"/>
  <c r="L17" i="52" s="1"/>
  <c r="D25" i="52"/>
  <c r="K25" i="52" s="1"/>
  <c r="L25" i="52" s="1"/>
  <c r="D33" i="52"/>
  <c r="K33" i="52" s="1"/>
  <c r="L33" i="52" s="1"/>
  <c r="D41" i="52"/>
  <c r="K41" i="52" s="1"/>
  <c r="L41" i="52" s="1"/>
  <c r="D58" i="52"/>
  <c r="K58" i="52" s="1"/>
  <c r="L58" i="52" s="1"/>
  <c r="D106" i="52"/>
  <c r="K106" i="52" s="1"/>
  <c r="L106" i="52" s="1"/>
  <c r="D162" i="52"/>
  <c r="K162" i="52" s="1"/>
  <c r="L162" i="52" s="1"/>
  <c r="D48" i="52"/>
  <c r="K48" i="52" s="1"/>
  <c r="L48" i="52" s="1"/>
  <c r="D56" i="52"/>
  <c r="K56" i="52" s="1"/>
  <c r="L56" i="52" s="1"/>
  <c r="D64" i="52"/>
  <c r="K64" i="52" s="1"/>
  <c r="L64" i="52" s="1"/>
  <c r="D72" i="52"/>
  <c r="K72" i="52" s="1"/>
  <c r="L72" i="52" s="1"/>
  <c r="D80" i="52"/>
  <c r="K80" i="52" s="1"/>
  <c r="L80" i="52" s="1"/>
  <c r="D88" i="52"/>
  <c r="K88" i="52" s="1"/>
  <c r="L88" i="52" s="1"/>
  <c r="D96" i="52"/>
  <c r="K96" i="52" s="1"/>
  <c r="L96" i="52" s="1"/>
  <c r="D104" i="52"/>
  <c r="K104" i="52" s="1"/>
  <c r="L104" i="52" s="1"/>
  <c r="D112" i="52"/>
  <c r="K112" i="52" s="1"/>
  <c r="L112" i="52" s="1"/>
  <c r="D120" i="52"/>
  <c r="K120" i="52" s="1"/>
  <c r="L120" i="52" s="1"/>
  <c r="D128" i="52"/>
  <c r="K128" i="52" s="1"/>
  <c r="L128" i="52" s="1"/>
  <c r="D136" i="52"/>
  <c r="K136" i="52" s="1"/>
  <c r="L136" i="52" s="1"/>
  <c r="D144" i="52"/>
  <c r="K144" i="52" s="1"/>
  <c r="L144" i="52" s="1"/>
  <c r="D152" i="52"/>
  <c r="K152" i="52" s="1"/>
  <c r="L152" i="52" s="1"/>
  <c r="D160" i="52"/>
  <c r="K160" i="52" s="1"/>
  <c r="L160" i="52" s="1"/>
  <c r="D168" i="52"/>
  <c r="K168" i="52" s="1"/>
  <c r="L168" i="52" s="1"/>
  <c r="D176" i="52"/>
  <c r="K176" i="52" s="1"/>
  <c r="L176" i="52" s="1"/>
  <c r="D184" i="52"/>
  <c r="K184" i="52" s="1"/>
  <c r="L184" i="52" s="1"/>
  <c r="D18" i="52"/>
  <c r="K18" i="52" s="1"/>
  <c r="L18" i="52" s="1"/>
  <c r="D26" i="52"/>
  <c r="K26" i="52" s="1"/>
  <c r="L26" i="52" s="1"/>
  <c r="D34" i="52"/>
  <c r="K34" i="52" s="1"/>
  <c r="L34" i="52" s="1"/>
  <c r="D42" i="52"/>
  <c r="K42" i="52" s="1"/>
  <c r="L42" i="52" s="1"/>
  <c r="D82" i="52"/>
  <c r="K82" i="52" s="1"/>
  <c r="L82" i="52" s="1"/>
  <c r="D122" i="52"/>
  <c r="K122" i="52" s="1"/>
  <c r="L122" i="52" s="1"/>
  <c r="D178" i="52"/>
  <c r="K178" i="52" s="1"/>
  <c r="L178" i="52" s="1"/>
  <c r="D20" i="52"/>
  <c r="K20" i="52" s="1"/>
  <c r="L20" i="52" s="1"/>
  <c r="G127" i="52"/>
  <c r="H127" i="52" s="1"/>
  <c r="I127" i="52" s="1"/>
  <c r="D49" i="52"/>
  <c r="K49" i="52" s="1"/>
  <c r="L49" i="52" s="1"/>
  <c r="D57" i="52"/>
  <c r="K57" i="52" s="1"/>
  <c r="L57" i="52" s="1"/>
  <c r="D65" i="52"/>
  <c r="K65" i="52" s="1"/>
  <c r="L65" i="52" s="1"/>
  <c r="D73" i="52"/>
  <c r="K73" i="52" s="1"/>
  <c r="L73" i="52" s="1"/>
  <c r="D81" i="52"/>
  <c r="K81" i="52" s="1"/>
  <c r="L81" i="52" s="1"/>
  <c r="D89" i="52"/>
  <c r="K89" i="52" s="1"/>
  <c r="L89" i="52" s="1"/>
  <c r="D97" i="52"/>
  <c r="K97" i="52" s="1"/>
  <c r="L97" i="52" s="1"/>
  <c r="D105" i="52"/>
  <c r="K105" i="52" s="1"/>
  <c r="L105" i="52" s="1"/>
  <c r="D113" i="52"/>
  <c r="K113" i="52" s="1"/>
  <c r="L113" i="52" s="1"/>
  <c r="D121" i="52"/>
  <c r="K121" i="52" s="1"/>
  <c r="L121" i="52" s="1"/>
  <c r="D129" i="52"/>
  <c r="K129" i="52" s="1"/>
  <c r="L129" i="52" s="1"/>
  <c r="D137" i="52"/>
  <c r="K137" i="52" s="1"/>
  <c r="L137" i="52" s="1"/>
  <c r="D145" i="52"/>
  <c r="K145" i="52" s="1"/>
  <c r="L145" i="52" s="1"/>
  <c r="D153" i="52"/>
  <c r="K153" i="52" s="1"/>
  <c r="L153" i="52" s="1"/>
  <c r="D161" i="52"/>
  <c r="K161" i="52" s="1"/>
  <c r="L161" i="52" s="1"/>
  <c r="D169" i="52"/>
  <c r="K169" i="52" s="1"/>
  <c r="L169" i="52" s="1"/>
  <c r="D177" i="52"/>
  <c r="K177" i="52" s="1"/>
  <c r="L177" i="52" s="1"/>
  <c r="D185" i="52"/>
  <c r="K185" i="52" s="1"/>
  <c r="L185" i="52" s="1"/>
  <c r="D19" i="52"/>
  <c r="K19" i="52" s="1"/>
  <c r="L19" i="52" s="1"/>
  <c r="D27" i="52"/>
  <c r="K27" i="52" s="1"/>
  <c r="L27" i="52" s="1"/>
  <c r="D35" i="52"/>
  <c r="K35" i="52" s="1"/>
  <c r="L35" i="52" s="1"/>
  <c r="D12" i="52"/>
  <c r="K12" i="52" s="1"/>
  <c r="L12" i="52" s="1"/>
  <c r="D74" i="52"/>
  <c r="K74" i="52" s="1"/>
  <c r="L74" i="52" s="1"/>
  <c r="D130" i="52"/>
  <c r="K130" i="52" s="1"/>
  <c r="L130" i="52" s="1"/>
  <c r="D186" i="52"/>
  <c r="K186" i="52" s="1"/>
  <c r="L186" i="52" s="1"/>
  <c r="D8" i="52"/>
  <c r="K8" i="52" s="1"/>
  <c r="L8" i="52" s="1"/>
  <c r="D59" i="52"/>
  <c r="K59" i="52" s="1"/>
  <c r="L59" i="52" s="1"/>
  <c r="C366" i="36"/>
  <c r="C415" i="36"/>
  <c r="C189" i="36"/>
  <c r="C393" i="36"/>
  <c r="I189" i="33"/>
  <c r="D190" i="33"/>
  <c r="I190" i="33" s="1"/>
  <c r="A5" i="33" s="1"/>
  <c r="F163" i="72"/>
  <c r="C164" i="72"/>
  <c r="B277" i="33"/>
  <c r="I277" i="33" s="1"/>
  <c r="B271" i="33"/>
  <c r="I271" i="33" s="1"/>
  <c r="C271" i="36" s="1"/>
  <c r="C277" i="36" s="1"/>
  <c r="C15" i="3"/>
  <c r="B16" i="4"/>
  <c r="B16" i="53"/>
  <c r="B16" i="49"/>
  <c r="B201" i="4"/>
  <c r="I15" i="3"/>
  <c r="B15" i="36"/>
  <c r="B15" i="46"/>
  <c r="B287" i="46"/>
  <c r="B287" i="36"/>
  <c r="B288" i="4"/>
  <c r="L15" i="3"/>
  <c r="B200" i="36"/>
  <c r="B200" i="46"/>
  <c r="C411" i="36" l="1"/>
  <c r="C413" i="36"/>
  <c r="C190" i="36"/>
  <c r="C394" i="36"/>
  <c r="F164" i="72"/>
  <c r="C166" i="72"/>
  <c r="F166" i="72" s="1"/>
  <c r="C167" i="72"/>
  <c r="B288" i="46"/>
  <c r="B288" i="36"/>
  <c r="B17" i="49"/>
  <c r="B17" i="53"/>
  <c r="I16" i="3"/>
  <c r="B202" i="4"/>
  <c r="B16" i="46"/>
  <c r="B16" i="36"/>
  <c r="B201" i="36"/>
  <c r="B201" i="46"/>
  <c r="B17" i="4"/>
  <c r="C16" i="3"/>
  <c r="B289" i="4"/>
  <c r="L16" i="3"/>
  <c r="C395" i="36" l="1"/>
  <c r="F167" i="72"/>
  <c r="F5" i="72" s="1"/>
  <c r="C5" i="72"/>
  <c r="B17" i="36"/>
  <c r="B17" i="46"/>
  <c r="B202" i="36"/>
  <c r="B202" i="46"/>
  <c r="B290" i="4"/>
  <c r="L17" i="3"/>
  <c r="B289" i="46"/>
  <c r="B289" i="36"/>
  <c r="B18" i="4"/>
  <c r="C17" i="3"/>
  <c r="B18" i="53"/>
  <c r="B18" i="49"/>
  <c r="B203" i="4"/>
  <c r="I17" i="3"/>
  <c r="B19" i="53" l="1"/>
  <c r="B19" i="49"/>
  <c r="B204" i="4"/>
  <c r="I18" i="3"/>
  <c r="B19" i="4"/>
  <c r="C18" i="3"/>
  <c r="B203" i="36"/>
  <c r="B203" i="46"/>
  <c r="B18" i="36"/>
  <c r="B18" i="46"/>
  <c r="B291" i="4"/>
  <c r="L18" i="3"/>
  <c r="B290" i="46"/>
  <c r="B290" i="36"/>
  <c r="B20" i="53" l="1"/>
  <c r="B20" i="49"/>
  <c r="B205" i="4"/>
  <c r="I19" i="3"/>
  <c r="B19" i="36"/>
  <c r="B19" i="46"/>
  <c r="B291" i="46"/>
  <c r="B291" i="36"/>
  <c r="B20" i="4"/>
  <c r="C19" i="3"/>
  <c r="B204" i="36"/>
  <c r="B204" i="46"/>
  <c r="B292" i="4"/>
  <c r="L19" i="3"/>
  <c r="B21" i="49" l="1"/>
  <c r="B21" i="53"/>
  <c r="B206" i="4"/>
  <c r="I20" i="3"/>
  <c r="B21" i="4"/>
  <c r="C20" i="3"/>
  <c r="B205" i="36"/>
  <c r="B205" i="46"/>
  <c r="B292" i="46"/>
  <c r="B292" i="36"/>
  <c r="L20" i="3"/>
  <c r="B293" i="4"/>
  <c r="B20" i="46"/>
  <c r="B20" i="36"/>
  <c r="B206" i="36" l="1"/>
  <c r="B206" i="46"/>
  <c r="B294" i="4"/>
  <c r="L21" i="3"/>
  <c r="B22" i="53"/>
  <c r="B22" i="49"/>
  <c r="B207" i="4"/>
  <c r="I21" i="3"/>
  <c r="B22" i="4"/>
  <c r="C21" i="3"/>
  <c r="B21" i="36"/>
  <c r="B21" i="46"/>
  <c r="B293" i="46"/>
  <c r="B293" i="36"/>
  <c r="B23" i="53" l="1"/>
  <c r="B23" i="49"/>
  <c r="B208" i="4"/>
  <c r="I22" i="3"/>
  <c r="B23" i="4"/>
  <c r="C22" i="3"/>
  <c r="B294" i="46"/>
  <c r="B294" i="36"/>
  <c r="B22" i="36"/>
  <c r="B22" i="46"/>
  <c r="B295" i="4"/>
  <c r="L22" i="3"/>
  <c r="B207" i="36"/>
  <c r="B207" i="46"/>
  <c r="B24" i="53" l="1"/>
  <c r="B24" i="49"/>
  <c r="B209" i="4"/>
  <c r="I23" i="3"/>
  <c r="B208" i="36"/>
  <c r="B208" i="46"/>
  <c r="B296" i="4"/>
  <c r="L23" i="3"/>
  <c r="B23" i="46"/>
  <c r="B23" i="36"/>
  <c r="B24" i="4"/>
  <c r="C23" i="3"/>
  <c r="B295" i="46"/>
  <c r="B295" i="36"/>
  <c r="B25" i="49" l="1"/>
  <c r="B25" i="53"/>
  <c r="I24" i="3"/>
  <c r="B210" i="4"/>
  <c r="B209" i="36"/>
  <c r="B209" i="46"/>
  <c r="B25" i="4"/>
  <c r="C24" i="3"/>
  <c r="B297" i="4"/>
  <c r="L24" i="3"/>
  <c r="B296" i="46"/>
  <c r="B296" i="36"/>
  <c r="B24" i="36"/>
  <c r="B24" i="46"/>
  <c r="B210" i="36" l="1"/>
  <c r="B210" i="46"/>
  <c r="B298" i="4"/>
  <c r="L25" i="3"/>
  <c r="B26" i="53"/>
  <c r="B211" i="4"/>
  <c r="I25" i="3"/>
  <c r="B26" i="49"/>
  <c r="B297" i="46"/>
  <c r="B297" i="36"/>
  <c r="B26" i="4"/>
  <c r="C25" i="3"/>
  <c r="B25" i="36"/>
  <c r="B25" i="46"/>
  <c r="B26" i="36" l="1"/>
  <c r="B26" i="46"/>
  <c r="B299" i="4"/>
  <c r="L26" i="3"/>
  <c r="B27" i="49"/>
  <c r="B27" i="53"/>
  <c r="B212" i="4"/>
  <c r="I26" i="3"/>
  <c r="B211" i="36"/>
  <c r="B211" i="46"/>
  <c r="B298" i="46"/>
  <c r="B298" i="36"/>
  <c r="B27" i="4"/>
  <c r="C26" i="3"/>
  <c r="B299" i="46" l="1"/>
  <c r="B299" i="36"/>
  <c r="B27" i="36"/>
  <c r="B27" i="46"/>
  <c r="B28" i="4"/>
  <c r="C27" i="3"/>
  <c r="B212" i="36"/>
  <c r="B212" i="46"/>
  <c r="B28" i="53"/>
  <c r="B28" i="49"/>
  <c r="B213" i="4"/>
  <c r="I27" i="3"/>
  <c r="L27" i="3"/>
  <c r="B300" i="4"/>
  <c r="B301" i="4" l="1"/>
  <c r="L28" i="3"/>
  <c r="B29" i="49"/>
  <c r="B29" i="53"/>
  <c r="B214" i="4"/>
  <c r="I28" i="3"/>
  <c r="B300" i="46"/>
  <c r="B300" i="36"/>
  <c r="B29" i="4"/>
  <c r="C28" i="3"/>
  <c r="B28" i="36"/>
  <c r="B28" i="46"/>
  <c r="B213" i="36"/>
  <c r="B213" i="46"/>
  <c r="B30" i="4" l="1"/>
  <c r="C29" i="3"/>
  <c r="B30" i="53"/>
  <c r="B30" i="49"/>
  <c r="B215" i="4"/>
  <c r="I29" i="3"/>
  <c r="L29" i="3"/>
  <c r="B302" i="4"/>
  <c r="B29" i="36"/>
  <c r="B29" i="46"/>
  <c r="B214" i="36"/>
  <c r="B214" i="46"/>
  <c r="B301" i="46"/>
  <c r="B301" i="36"/>
  <c r="B31" i="53" l="1"/>
  <c r="B31" i="49"/>
  <c r="B216" i="4"/>
  <c r="I30" i="3"/>
  <c r="B215" i="36"/>
  <c r="B215" i="46"/>
  <c r="B30" i="36"/>
  <c r="B30" i="46"/>
  <c r="B303" i="4"/>
  <c r="L30" i="3"/>
  <c r="B31" i="4"/>
  <c r="C30" i="3"/>
  <c r="B302" i="46"/>
  <c r="B302" i="36"/>
  <c r="B32" i="53" l="1"/>
  <c r="B32" i="49"/>
  <c r="B217" i="4"/>
  <c r="I31" i="3"/>
  <c r="B32" i="4"/>
  <c r="C31" i="3"/>
  <c r="B303" i="46"/>
  <c r="B303" i="36"/>
  <c r="B304" i="4"/>
  <c r="L31" i="3"/>
  <c r="B216" i="36"/>
  <c r="B216" i="46"/>
  <c r="B31" i="36"/>
  <c r="B31" i="46"/>
  <c r="B33" i="49" l="1"/>
  <c r="B33" i="53"/>
  <c r="I32" i="3"/>
  <c r="B218" i="4"/>
  <c r="B305" i="4"/>
  <c r="L32" i="3"/>
  <c r="B33" i="4"/>
  <c r="C32" i="3"/>
  <c r="B304" i="46"/>
  <c r="B304" i="36"/>
  <c r="B32" i="46"/>
  <c r="B32" i="36"/>
  <c r="B217" i="36"/>
  <c r="B217" i="46"/>
  <c r="B218" i="36" l="1"/>
  <c r="B218" i="46"/>
  <c r="B34" i="53"/>
  <c r="B34" i="49"/>
  <c r="B219" i="4"/>
  <c r="I33" i="3"/>
  <c r="B306" i="4"/>
  <c r="L33" i="3"/>
  <c r="B33" i="36"/>
  <c r="B33" i="46"/>
  <c r="B34" i="4"/>
  <c r="C33" i="3"/>
  <c r="B305" i="46"/>
  <c r="B305" i="36"/>
  <c r="B307" i="4" l="1"/>
  <c r="L34" i="3"/>
  <c r="B306" i="46"/>
  <c r="B306" i="36"/>
  <c r="B35" i="4"/>
  <c r="C34" i="3"/>
  <c r="B35" i="53"/>
  <c r="B35" i="49"/>
  <c r="I34" i="3"/>
  <c r="B220" i="4"/>
  <c r="B34" i="36"/>
  <c r="B34" i="46"/>
  <c r="B219" i="36"/>
  <c r="B219" i="46"/>
  <c r="B36" i="53" l="1"/>
  <c r="B36" i="49"/>
  <c r="B221" i="4"/>
  <c r="I35" i="3"/>
  <c r="B35" i="36"/>
  <c r="B35" i="46"/>
  <c r="L35" i="3"/>
  <c r="B308" i="4"/>
  <c r="B220" i="36"/>
  <c r="B220" i="46"/>
  <c r="B36" i="4"/>
  <c r="C35" i="3"/>
  <c r="B307" i="46"/>
  <c r="B307" i="36"/>
  <c r="B37" i="49" l="1"/>
  <c r="B37" i="53"/>
  <c r="B222" i="4"/>
  <c r="I36" i="3"/>
  <c r="B309" i="4"/>
  <c r="L36" i="3"/>
  <c r="B221" i="36"/>
  <c r="B221" i="46"/>
  <c r="B37" i="4"/>
  <c r="C36" i="3"/>
  <c r="B36" i="46"/>
  <c r="B36" i="36"/>
  <c r="B308" i="46"/>
  <c r="B308" i="36"/>
  <c r="B38" i="49" l="1"/>
  <c r="B38" i="53"/>
  <c r="B223" i="4"/>
  <c r="I37" i="3"/>
  <c r="B38" i="4"/>
  <c r="C37" i="3"/>
  <c r="B222" i="36"/>
  <c r="B222" i="46"/>
  <c r="B37" i="36"/>
  <c r="B37" i="46"/>
  <c r="B310" i="4"/>
  <c r="L37" i="3"/>
  <c r="B309" i="46"/>
  <c r="B309" i="36"/>
  <c r="B223" i="36" l="1"/>
  <c r="B223" i="46"/>
  <c r="B311" i="4"/>
  <c r="L38" i="3"/>
  <c r="B39" i="49"/>
  <c r="B39" i="53"/>
  <c r="B224" i="4"/>
  <c r="I38" i="3"/>
  <c r="B39" i="4"/>
  <c r="C38" i="3"/>
  <c r="B310" i="46"/>
  <c r="B310" i="36"/>
  <c r="B38" i="46"/>
  <c r="B38" i="36"/>
  <c r="B40" i="53" l="1"/>
  <c r="B40" i="49"/>
  <c r="B225" i="4"/>
  <c r="I39" i="3"/>
  <c r="B40" i="4"/>
  <c r="C39" i="3"/>
  <c r="B39" i="36"/>
  <c r="B39" i="46"/>
  <c r="L39" i="3"/>
  <c r="B312" i="4"/>
  <c r="B224" i="36"/>
  <c r="B224" i="46"/>
  <c r="B311" i="46"/>
  <c r="B311" i="36"/>
  <c r="B41" i="4" l="1"/>
  <c r="C40" i="3"/>
  <c r="B312" i="46"/>
  <c r="B312" i="36"/>
  <c r="B41" i="49"/>
  <c r="B41" i="53"/>
  <c r="B226" i="4"/>
  <c r="I40" i="3"/>
  <c r="B313" i="4"/>
  <c r="L40" i="3"/>
  <c r="B225" i="36"/>
  <c r="B225" i="46"/>
  <c r="B40" i="36"/>
  <c r="B40" i="46"/>
  <c r="B226" i="36" l="1"/>
  <c r="B226" i="46"/>
  <c r="B314" i="4"/>
  <c r="L41" i="3"/>
  <c r="B42" i="4"/>
  <c r="C41" i="3"/>
  <c r="B313" i="46"/>
  <c r="B313" i="36"/>
  <c r="B41" i="36"/>
  <c r="B41" i="46"/>
  <c r="B42" i="53"/>
  <c r="B42" i="49"/>
  <c r="B227" i="4"/>
  <c r="I41" i="3"/>
  <c r="B227" i="36" l="1"/>
  <c r="B227" i="46"/>
  <c r="B314" i="46"/>
  <c r="B314" i="36"/>
  <c r="B42" i="46"/>
  <c r="B42" i="36"/>
  <c r="B43" i="53"/>
  <c r="B43" i="49"/>
  <c r="B228" i="4"/>
  <c r="I42" i="3"/>
  <c r="B315" i="4"/>
  <c r="L42" i="3"/>
  <c r="B43" i="4"/>
  <c r="C42" i="3"/>
  <c r="B44" i="4" l="1"/>
  <c r="C43" i="3"/>
  <c r="B315" i="46"/>
  <c r="B315" i="36"/>
  <c r="B43" i="36"/>
  <c r="B43" i="46"/>
  <c r="B44" i="53"/>
  <c r="B44" i="49"/>
  <c r="B229" i="4"/>
  <c r="I43" i="3"/>
  <c r="B228" i="36"/>
  <c r="B228" i="46"/>
  <c r="B316" i="4"/>
  <c r="L43" i="3"/>
  <c r="L44" i="3" l="1"/>
  <c r="B317" i="4"/>
  <c r="B45" i="49"/>
  <c r="B230" i="4"/>
  <c r="B45" i="53"/>
  <c r="I44" i="3"/>
  <c r="B316" i="46"/>
  <c r="B316" i="36"/>
  <c r="B229" i="36"/>
  <c r="B229" i="46"/>
  <c r="B44" i="46"/>
  <c r="B44" i="36"/>
  <c r="C44" i="3"/>
  <c r="B45" i="4"/>
  <c r="B45" i="36" l="1"/>
  <c r="B45" i="46"/>
  <c r="B230" i="36"/>
  <c r="B230" i="46"/>
  <c r="B46" i="4"/>
  <c r="C45" i="3"/>
  <c r="B46" i="53"/>
  <c r="B231" i="4"/>
  <c r="B46" i="49"/>
  <c r="I45" i="3"/>
  <c r="B317" i="46"/>
  <c r="B317" i="36"/>
  <c r="B318" i="4"/>
  <c r="L45" i="3"/>
  <c r="L46" i="3" l="1"/>
  <c r="B319" i="4"/>
  <c r="B47" i="53"/>
  <c r="B47" i="49"/>
  <c r="B232" i="4"/>
  <c r="I46" i="3"/>
  <c r="B47" i="4"/>
  <c r="C46" i="3"/>
  <c r="B318" i="46"/>
  <c r="B318" i="36"/>
  <c r="B46" i="36"/>
  <c r="B46" i="46"/>
  <c r="B231" i="36"/>
  <c r="B231" i="46"/>
  <c r="B47" i="36" l="1"/>
  <c r="B47" i="46"/>
  <c r="B48" i="53"/>
  <c r="B48" i="49"/>
  <c r="B233" i="4"/>
  <c r="I47" i="3"/>
  <c r="B319" i="46"/>
  <c r="B319" i="36"/>
  <c r="C47" i="3"/>
  <c r="B48" i="4"/>
  <c r="B232" i="36"/>
  <c r="B232" i="46"/>
  <c r="B320" i="4"/>
  <c r="L47" i="3"/>
  <c r="L48" i="3" l="1"/>
  <c r="B321" i="4"/>
  <c r="B48" i="36"/>
  <c r="B48" i="46"/>
  <c r="B320" i="46"/>
  <c r="B320" i="36"/>
  <c r="C48" i="3"/>
  <c r="B49" i="4"/>
  <c r="B49" i="49"/>
  <c r="B49" i="53"/>
  <c r="B234" i="4"/>
  <c r="I48" i="3"/>
  <c r="B233" i="36"/>
  <c r="B233" i="46"/>
  <c r="B50" i="53" l="1"/>
  <c r="B50" i="49"/>
  <c r="B235" i="4"/>
  <c r="I49" i="3"/>
  <c r="B49" i="36"/>
  <c r="B49" i="46"/>
  <c r="B321" i="46"/>
  <c r="B321" i="36"/>
  <c r="B234" i="36"/>
  <c r="B234" i="46"/>
  <c r="B50" i="4"/>
  <c r="C49" i="3"/>
  <c r="L49" i="3"/>
  <c r="B322" i="4"/>
  <c r="B322" i="46" l="1"/>
  <c r="B322" i="36"/>
  <c r="B51" i="53"/>
  <c r="B51" i="49"/>
  <c r="B236" i="4"/>
  <c r="I50" i="3"/>
  <c r="L50" i="3"/>
  <c r="B323" i="4"/>
  <c r="B235" i="36"/>
  <c r="B235" i="46"/>
  <c r="B51" i="4"/>
  <c r="C50" i="3"/>
  <c r="B50" i="36"/>
  <c r="B50" i="46"/>
  <c r="B51" i="46" l="1"/>
  <c r="B51" i="36"/>
  <c r="B323" i="46"/>
  <c r="B323" i="36"/>
  <c r="L51" i="3"/>
  <c r="B324" i="4"/>
  <c r="B52" i="53"/>
  <c r="B52" i="49"/>
  <c r="B237" i="4"/>
  <c r="I51" i="3"/>
  <c r="B52" i="4"/>
  <c r="C51" i="3"/>
  <c r="B236" i="36"/>
  <c r="B236" i="46"/>
  <c r="B53" i="49" l="1"/>
  <c r="B53" i="53"/>
  <c r="B238" i="4"/>
  <c r="I52" i="3"/>
  <c r="B324" i="46"/>
  <c r="B324" i="36"/>
  <c r="B53" i="4"/>
  <c r="C52" i="3"/>
  <c r="B237" i="36"/>
  <c r="B237" i="46"/>
  <c r="B325" i="4"/>
  <c r="L52" i="3"/>
  <c r="B52" i="36"/>
  <c r="B52" i="46"/>
  <c r="B325" i="46" l="1"/>
  <c r="B325" i="36"/>
  <c r="B53" i="36"/>
  <c r="B53" i="46"/>
  <c r="B54" i="53"/>
  <c r="B54" i="49"/>
  <c r="B239" i="4"/>
  <c r="I53" i="3"/>
  <c r="B238" i="36"/>
  <c r="B238" i="46"/>
  <c r="B326" i="4"/>
  <c r="L53" i="3"/>
  <c r="C53" i="3"/>
  <c r="B54" i="4"/>
  <c r="B54" i="36" l="1"/>
  <c r="B54" i="46"/>
  <c r="B326" i="46"/>
  <c r="B326" i="36"/>
  <c r="B239" i="36"/>
  <c r="B239" i="46"/>
  <c r="B55" i="4"/>
  <c r="C54" i="3"/>
  <c r="B327" i="4"/>
  <c r="L54" i="3"/>
  <c r="B55" i="53"/>
  <c r="B55" i="49"/>
  <c r="B240" i="4"/>
  <c r="I54" i="3"/>
  <c r="B56" i="53" l="1"/>
  <c r="B56" i="49"/>
  <c r="B241" i="4"/>
  <c r="I55" i="3"/>
  <c r="B328" i="4"/>
  <c r="L55" i="3"/>
  <c r="B240" i="36"/>
  <c r="B240" i="46"/>
  <c r="B327" i="46"/>
  <c r="B327" i="36"/>
  <c r="B56" i="4"/>
  <c r="C55" i="3"/>
  <c r="B55" i="36"/>
  <c r="B55" i="46"/>
  <c r="B56" i="36" l="1"/>
  <c r="B56" i="46"/>
  <c r="B57" i="49"/>
  <c r="B57" i="53"/>
  <c r="B242" i="4"/>
  <c r="I56" i="3"/>
  <c r="B241" i="36"/>
  <c r="B241" i="46"/>
  <c r="B329" i="4"/>
  <c r="L56" i="3"/>
  <c r="C56" i="3"/>
  <c r="B57" i="4"/>
  <c r="B328" i="46"/>
  <c r="B328" i="36"/>
  <c r="L57" i="3" l="1"/>
  <c r="B330" i="4"/>
  <c r="B58" i="53"/>
  <c r="B58" i="49"/>
  <c r="B243" i="4"/>
  <c r="I57" i="3"/>
  <c r="B57" i="36"/>
  <c r="B57" i="46"/>
  <c r="B329" i="46"/>
  <c r="B329" i="36"/>
  <c r="B242" i="36"/>
  <c r="B242" i="46"/>
  <c r="B58" i="4"/>
  <c r="C57" i="3"/>
  <c r="B59" i="4" l="1"/>
  <c r="C58" i="3"/>
  <c r="B58" i="36"/>
  <c r="B58" i="46"/>
  <c r="I58" i="3"/>
  <c r="B59" i="53"/>
  <c r="B244" i="4"/>
  <c r="B59" i="49"/>
  <c r="B330" i="46"/>
  <c r="B330" i="36"/>
  <c r="B243" i="36"/>
  <c r="B243" i="46"/>
  <c r="L58" i="3"/>
  <c r="B331" i="4"/>
  <c r="B331" i="46" l="1"/>
  <c r="B331" i="36"/>
  <c r="B332" i="4"/>
  <c r="L59" i="3"/>
  <c r="B60" i="53"/>
  <c r="B60" i="49"/>
  <c r="B245" i="4"/>
  <c r="I59" i="3"/>
  <c r="B59" i="46"/>
  <c r="B59" i="36"/>
  <c r="B60" i="4"/>
  <c r="C59" i="3"/>
  <c r="B244" i="36"/>
  <c r="B244" i="46"/>
  <c r="B61" i="49" l="1"/>
  <c r="I60" i="3"/>
  <c r="B61" i="53"/>
  <c r="B246" i="4"/>
  <c r="B61" i="4"/>
  <c r="C60" i="3"/>
  <c r="B333" i="4"/>
  <c r="L60" i="3"/>
  <c r="B245" i="36"/>
  <c r="B245" i="46"/>
  <c r="B332" i="46"/>
  <c r="B332" i="36"/>
  <c r="B60" i="36"/>
  <c r="B60" i="46"/>
  <c r="B246" i="36" l="1"/>
  <c r="B246" i="46"/>
  <c r="B333" i="46"/>
  <c r="B333" i="36"/>
  <c r="B62" i="4"/>
  <c r="C61" i="3"/>
  <c r="B61" i="36"/>
  <c r="B61" i="46"/>
  <c r="B62" i="53"/>
  <c r="B247" i="4"/>
  <c r="I61" i="3"/>
  <c r="B62" i="49"/>
  <c r="L61" i="3"/>
  <c r="B334" i="4"/>
  <c r="B334" i="46" l="1"/>
  <c r="B334" i="36"/>
  <c r="B247" i="36"/>
  <c r="B247" i="46"/>
  <c r="B335" i="4"/>
  <c r="L62" i="3"/>
  <c r="B63" i="4"/>
  <c r="C62" i="3"/>
  <c r="B62" i="36"/>
  <c r="B62" i="46"/>
  <c r="B63" i="53"/>
  <c r="B63" i="49"/>
  <c r="I62" i="3"/>
  <c r="B248" i="4"/>
  <c r="B63" i="36" l="1"/>
  <c r="B63" i="46"/>
  <c r="B248" i="36"/>
  <c r="B248" i="46"/>
  <c r="B64" i="53"/>
  <c r="B64" i="49"/>
  <c r="B249" i="4"/>
  <c r="I63" i="3"/>
  <c r="B336" i="4"/>
  <c r="L63" i="3"/>
  <c r="B64" i="4"/>
  <c r="C63" i="3"/>
  <c r="B335" i="46"/>
  <c r="B335" i="36"/>
  <c r="B64" i="46" l="1"/>
  <c r="B64" i="36"/>
  <c r="L64" i="3"/>
  <c r="B337" i="4"/>
  <c r="B65" i="49"/>
  <c r="B65" i="53"/>
  <c r="B250" i="4"/>
  <c r="I64" i="3"/>
  <c r="B249" i="36"/>
  <c r="B249" i="46"/>
  <c r="C64" i="3"/>
  <c r="B65" i="4"/>
  <c r="B336" i="46"/>
  <c r="B336" i="36"/>
  <c r="B338" i="4" l="1"/>
  <c r="L65" i="3"/>
  <c r="B250" i="36"/>
  <c r="B250" i="46"/>
  <c r="B65" i="46"/>
  <c r="B65" i="36"/>
  <c r="B66" i="4"/>
  <c r="C65" i="3"/>
  <c r="B66" i="53"/>
  <c r="B66" i="49"/>
  <c r="B251" i="4"/>
  <c r="I65" i="3"/>
  <c r="B337" i="46"/>
  <c r="B337" i="36"/>
  <c r="B67" i="53" l="1"/>
  <c r="B67" i="49"/>
  <c r="B252" i="4"/>
  <c r="I66" i="3"/>
  <c r="L66" i="3"/>
  <c r="B339" i="4"/>
  <c r="B67" i="4"/>
  <c r="C66" i="3"/>
  <c r="B251" i="36"/>
  <c r="B251" i="46"/>
  <c r="B66" i="36"/>
  <c r="B66" i="46"/>
  <c r="B338" i="46"/>
  <c r="B338" i="36"/>
  <c r="B67" i="36" l="1"/>
  <c r="B67" i="46"/>
  <c r="B339" i="46"/>
  <c r="B339" i="36"/>
  <c r="B68" i="49"/>
  <c r="B68" i="53"/>
  <c r="B253" i="4"/>
  <c r="I67" i="3"/>
  <c r="B252" i="36"/>
  <c r="B252" i="46"/>
  <c r="B68" i="4"/>
  <c r="C67" i="3"/>
  <c r="B340" i="4"/>
  <c r="L67" i="3"/>
  <c r="L68" i="3" l="1"/>
  <c r="B341" i="4"/>
  <c r="B253" i="36"/>
  <c r="B253" i="46"/>
  <c r="B340" i="46"/>
  <c r="B340" i="36"/>
  <c r="B69" i="4"/>
  <c r="C68" i="3"/>
  <c r="B68" i="36"/>
  <c r="B68" i="46"/>
  <c r="B69" i="49"/>
  <c r="B69" i="53"/>
  <c r="I68" i="3"/>
  <c r="B254" i="4"/>
  <c r="B69" i="36" l="1"/>
  <c r="B69" i="46"/>
  <c r="B254" i="36"/>
  <c r="B254" i="46"/>
  <c r="B70" i="49"/>
  <c r="B70" i="53"/>
  <c r="B255" i="4"/>
  <c r="I69" i="3"/>
  <c r="B341" i="46"/>
  <c r="B341" i="36"/>
  <c r="B70" i="4"/>
  <c r="C69" i="3"/>
  <c r="B342" i="4"/>
  <c r="O5" i="3"/>
  <c r="B255" i="36" l="1"/>
  <c r="B255" i="46"/>
  <c r="O6" i="3"/>
  <c r="B344" i="4"/>
  <c r="B342" i="46"/>
  <c r="B342" i="36"/>
  <c r="C70" i="3"/>
  <c r="B71" i="4"/>
  <c r="B70" i="36"/>
  <c r="B70" i="46"/>
  <c r="B71" i="53"/>
  <c r="B71" i="49"/>
  <c r="I70" i="3"/>
  <c r="B256" i="4"/>
  <c r="B344" i="46" l="1"/>
  <c r="B344" i="36"/>
  <c r="B256" i="36"/>
  <c r="B256" i="46"/>
  <c r="B72" i="4"/>
  <c r="C71" i="3"/>
  <c r="B72" i="49"/>
  <c r="B72" i="53"/>
  <c r="B257" i="4"/>
  <c r="I71" i="3"/>
  <c r="B345" i="4"/>
  <c r="O7" i="3"/>
  <c r="B71" i="36"/>
  <c r="B71" i="46"/>
  <c r="B345" i="46" l="1"/>
  <c r="B345" i="36"/>
  <c r="B73" i="4"/>
  <c r="C72" i="3"/>
  <c r="B72" i="36"/>
  <c r="B72" i="46"/>
  <c r="B73" i="53"/>
  <c r="I72" i="3"/>
  <c r="B73" i="49"/>
  <c r="B258" i="4"/>
  <c r="B257" i="36"/>
  <c r="B257" i="46"/>
  <c r="B346" i="4"/>
  <c r="O8" i="3"/>
  <c r="O9" i="3" l="1"/>
  <c r="B347" i="4"/>
  <c r="B73" i="36"/>
  <c r="B73" i="46"/>
  <c r="B258" i="36"/>
  <c r="B258" i="46"/>
  <c r="B346" i="46"/>
  <c r="B346" i="36"/>
  <c r="B74" i="49"/>
  <c r="B74" i="53"/>
  <c r="B259" i="4"/>
  <c r="I73" i="3"/>
  <c r="C73" i="3"/>
  <c r="B74" i="4"/>
  <c r="B74" i="36" l="1"/>
  <c r="B74" i="46"/>
  <c r="B259" i="36"/>
  <c r="B259" i="46"/>
  <c r="B75" i="4"/>
  <c r="C74" i="3"/>
  <c r="B347" i="46"/>
  <c r="B347" i="36"/>
  <c r="B75" i="53"/>
  <c r="B260" i="4"/>
  <c r="I74" i="3"/>
  <c r="B75" i="49"/>
  <c r="B348" i="4"/>
  <c r="O10" i="3"/>
  <c r="B260" i="36" l="1"/>
  <c r="B260" i="46"/>
  <c r="B349" i="4"/>
  <c r="O11" i="3"/>
  <c r="B348" i="46"/>
  <c r="B348" i="36"/>
  <c r="C75" i="3"/>
  <c r="B76" i="4"/>
  <c r="B75" i="36"/>
  <c r="B75" i="46"/>
  <c r="B76" i="49"/>
  <c r="B76" i="53"/>
  <c r="B261" i="4"/>
  <c r="I75" i="3"/>
  <c r="B77" i="49" l="1"/>
  <c r="I76" i="3"/>
  <c r="B77" i="53"/>
  <c r="B262" i="4"/>
  <c r="B350" i="4"/>
  <c r="O12" i="3"/>
  <c r="C76" i="3"/>
  <c r="B77" i="4"/>
  <c r="B261" i="46"/>
  <c r="B261" i="36"/>
  <c r="B349" i="46"/>
  <c r="B349" i="36"/>
  <c r="B76" i="36"/>
  <c r="B76" i="46"/>
  <c r="B262" i="36" l="1"/>
  <c r="B262" i="46"/>
  <c r="B78" i="4"/>
  <c r="C77" i="3"/>
  <c r="O13" i="3"/>
  <c r="B351" i="4"/>
  <c r="B78" i="49"/>
  <c r="B78" i="53"/>
  <c r="B263" i="4"/>
  <c r="I77" i="3"/>
  <c r="B77" i="46"/>
  <c r="B77" i="36"/>
  <c r="B350" i="46"/>
  <c r="B350" i="36"/>
  <c r="B79" i="53" l="1"/>
  <c r="B79" i="49"/>
  <c r="B264" i="4"/>
  <c r="I78" i="3"/>
  <c r="B352" i="4"/>
  <c r="O14" i="3"/>
  <c r="B78" i="36"/>
  <c r="B78" i="46"/>
  <c r="B351" i="46"/>
  <c r="B351" i="36"/>
  <c r="B263" i="36"/>
  <c r="B263" i="46"/>
  <c r="C78" i="3"/>
  <c r="B79" i="4"/>
  <c r="B80" i="4" l="1"/>
  <c r="C79" i="3"/>
  <c r="B79" i="36"/>
  <c r="B79" i="46"/>
  <c r="B80" i="49"/>
  <c r="B80" i="53"/>
  <c r="B265" i="4"/>
  <c r="I79" i="3"/>
  <c r="B264" i="36"/>
  <c r="B264" i="46"/>
  <c r="B353" i="4"/>
  <c r="O15" i="3"/>
  <c r="B352" i="46"/>
  <c r="B352" i="36"/>
  <c r="B354" i="4" l="1"/>
  <c r="O16" i="3"/>
  <c r="B81" i="4"/>
  <c r="C80" i="3"/>
  <c r="B81" i="53"/>
  <c r="B81" i="49"/>
  <c r="B266" i="4"/>
  <c r="I80" i="3"/>
  <c r="B80" i="46"/>
  <c r="B80" i="36"/>
  <c r="B353" i="46"/>
  <c r="B353" i="36"/>
  <c r="B265" i="36"/>
  <c r="B265" i="46"/>
  <c r="B266" i="36" l="1"/>
  <c r="B266" i="46"/>
  <c r="B81" i="46"/>
  <c r="B81" i="36"/>
  <c r="O17" i="3"/>
  <c r="B355" i="4"/>
  <c r="B82" i="49"/>
  <c r="B82" i="53"/>
  <c r="I81" i="3"/>
  <c r="B267" i="4"/>
  <c r="B82" i="4"/>
  <c r="C81" i="3"/>
  <c r="B354" i="46"/>
  <c r="B354" i="36"/>
  <c r="B267" i="36" l="1"/>
  <c r="B267" i="46"/>
  <c r="B83" i="53"/>
  <c r="B83" i="49"/>
  <c r="I82" i="3"/>
  <c r="B268" i="4"/>
  <c r="B355" i="46"/>
  <c r="B355" i="36"/>
  <c r="B83" i="4"/>
  <c r="C82" i="3"/>
  <c r="B356" i="4"/>
  <c r="O18" i="3"/>
  <c r="B82" i="36"/>
  <c r="B82" i="46"/>
  <c r="B356" i="46" l="1"/>
  <c r="B356" i="36"/>
  <c r="B84" i="4"/>
  <c r="C83" i="3"/>
  <c r="B83" i="36"/>
  <c r="B83" i="46"/>
  <c r="B268" i="36"/>
  <c r="B268" i="46"/>
  <c r="O19" i="3"/>
  <c r="B357" i="4"/>
  <c r="B84" i="49"/>
  <c r="B84" i="53"/>
  <c r="B269" i="4"/>
  <c r="I83" i="3"/>
  <c r="B85" i="49" l="1"/>
  <c r="B85" i="53"/>
  <c r="I84" i="3"/>
  <c r="B270" i="4"/>
  <c r="B269" i="36"/>
  <c r="B269" i="46"/>
  <c r="B357" i="46"/>
  <c r="B357" i="36"/>
  <c r="B84" i="36"/>
  <c r="B84" i="46"/>
  <c r="B358" i="4"/>
  <c r="O20" i="3"/>
  <c r="B85" i="4"/>
  <c r="C84" i="3"/>
  <c r="B358" i="46" l="1"/>
  <c r="B358" i="36"/>
  <c r="B270" i="36"/>
  <c r="B270" i="46"/>
  <c r="B86" i="4"/>
  <c r="C85" i="3"/>
  <c r="B85" i="36"/>
  <c r="B85" i="46"/>
  <c r="B86" i="49"/>
  <c r="B86" i="53"/>
  <c r="B271" i="4"/>
  <c r="I85" i="3"/>
  <c r="B359" i="4"/>
  <c r="O21" i="3"/>
  <c r="B360" i="4" l="1"/>
  <c r="O22" i="3"/>
  <c r="B359" i="46"/>
  <c r="B359" i="36"/>
  <c r="B87" i="4"/>
  <c r="C86" i="3"/>
  <c r="B87" i="53"/>
  <c r="B87" i="49"/>
  <c r="B272" i="4"/>
  <c r="I86" i="3"/>
  <c r="B86" i="36"/>
  <c r="B86" i="46"/>
  <c r="B271" i="36"/>
  <c r="B271" i="46"/>
  <c r="B88" i="49" l="1"/>
  <c r="B88" i="53"/>
  <c r="B273" i="4"/>
  <c r="I87" i="3"/>
  <c r="C87" i="3"/>
  <c r="B88" i="4"/>
  <c r="B272" i="36"/>
  <c r="B272" i="46"/>
  <c r="B87" i="36"/>
  <c r="B87" i="46"/>
  <c r="B361" i="4"/>
  <c r="O23" i="3"/>
  <c r="B360" i="46"/>
  <c r="B360" i="36"/>
  <c r="B89" i="53" l="1"/>
  <c r="B89" i="49"/>
  <c r="I88" i="3"/>
  <c r="B274" i="4"/>
  <c r="B88" i="36"/>
  <c r="B88" i="46"/>
  <c r="B273" i="36"/>
  <c r="B273" i="46"/>
  <c r="B362" i="4"/>
  <c r="O24" i="3"/>
  <c r="C88" i="3"/>
  <c r="B89" i="4"/>
  <c r="B361" i="46"/>
  <c r="B361" i="36"/>
  <c r="B274" i="36" l="1"/>
  <c r="B274" i="46"/>
  <c r="B363" i="4"/>
  <c r="O25" i="3"/>
  <c r="B90" i="49"/>
  <c r="B90" i="53"/>
  <c r="B275" i="4"/>
  <c r="I89" i="3"/>
  <c r="B89" i="46"/>
  <c r="B89" i="36"/>
  <c r="B362" i="46"/>
  <c r="B362" i="36"/>
  <c r="B90" i="4"/>
  <c r="C89" i="3"/>
  <c r="B91" i="4" l="1"/>
  <c r="C90" i="3"/>
  <c r="B91" i="49"/>
  <c r="B91" i="53"/>
  <c r="B276" i="4"/>
  <c r="I90" i="3"/>
  <c r="B364" i="4"/>
  <c r="O26" i="3"/>
  <c r="B90" i="36"/>
  <c r="B90" i="46"/>
  <c r="B275" i="36"/>
  <c r="B275" i="46"/>
  <c r="B363" i="46"/>
  <c r="B363" i="36"/>
  <c r="B364" i="46" l="1"/>
  <c r="B364" i="36"/>
  <c r="B92" i="49"/>
  <c r="B92" i="53"/>
  <c r="B277" i="4"/>
  <c r="B92" i="4"/>
  <c r="C91" i="3"/>
  <c r="B276" i="36"/>
  <c r="B276" i="46"/>
  <c r="B91" i="36"/>
  <c r="B91" i="46"/>
  <c r="B365" i="4"/>
  <c r="O27" i="3"/>
  <c r="B93" i="4" l="1"/>
  <c r="C92" i="3"/>
  <c r="B366" i="4"/>
  <c r="O28" i="3"/>
  <c r="B92" i="46"/>
  <c r="B92" i="36"/>
  <c r="B365" i="46"/>
  <c r="B365" i="36"/>
  <c r="B277" i="36"/>
  <c r="B277" i="46"/>
  <c r="B366" i="46" l="1"/>
  <c r="B366" i="36"/>
  <c r="C93" i="3"/>
  <c r="B94" i="4"/>
  <c r="B93" i="36"/>
  <c r="B93" i="46"/>
  <c r="O29" i="3"/>
  <c r="B367" i="4"/>
  <c r="B95" i="4" l="1"/>
  <c r="C94" i="3"/>
  <c r="B367" i="46"/>
  <c r="B367" i="36"/>
  <c r="B368" i="4"/>
  <c r="O30" i="3"/>
  <c r="B94" i="36"/>
  <c r="B94" i="46"/>
  <c r="B369" i="4" l="1"/>
  <c r="O31" i="3"/>
  <c r="B96" i="4"/>
  <c r="C95" i="3"/>
  <c r="B368" i="46"/>
  <c r="B368" i="36"/>
  <c r="B95" i="36"/>
  <c r="B95" i="46"/>
  <c r="B96" i="36" l="1"/>
  <c r="B96" i="46"/>
  <c r="B370" i="4"/>
  <c r="O32" i="3"/>
  <c r="B97" i="4"/>
  <c r="C96" i="3"/>
  <c r="B369" i="46"/>
  <c r="B369" i="36"/>
  <c r="B98" i="4" l="1"/>
  <c r="C97" i="3"/>
  <c r="B370" i="46"/>
  <c r="B370" i="36"/>
  <c r="B97" i="46"/>
  <c r="B97" i="36"/>
  <c r="B371" i="4"/>
  <c r="O33" i="3"/>
  <c r="B371" i="46" l="1"/>
  <c r="B371" i="36"/>
  <c r="B99" i="4"/>
  <c r="C98" i="3"/>
  <c r="B372" i="4"/>
  <c r="O34" i="3"/>
  <c r="B98" i="36"/>
  <c r="B98" i="46"/>
  <c r="B99" i="36" l="1"/>
  <c r="B99" i="46"/>
  <c r="B373" i="4"/>
  <c r="O35" i="3"/>
  <c r="B372" i="46"/>
  <c r="B372" i="36"/>
  <c r="C99" i="3"/>
  <c r="B100" i="4"/>
  <c r="B100" i="36" l="1"/>
  <c r="B100" i="46"/>
  <c r="B373" i="46"/>
  <c r="B373" i="36"/>
  <c r="B101" i="4"/>
  <c r="C100" i="3"/>
  <c r="B374" i="4"/>
  <c r="O36" i="3"/>
  <c r="B102" i="4" l="1"/>
  <c r="C101" i="3"/>
  <c r="B101" i="46"/>
  <c r="B101" i="36"/>
  <c r="O37" i="3"/>
  <c r="B375" i="4"/>
  <c r="B374" i="46"/>
  <c r="B374" i="36"/>
  <c r="C102" i="3" l="1"/>
  <c r="B103" i="4"/>
  <c r="B375" i="46"/>
  <c r="B375" i="36"/>
  <c r="B376" i="4"/>
  <c r="O38" i="3"/>
  <c r="B102" i="36"/>
  <c r="B102" i="46"/>
  <c r="B103" i="36" l="1"/>
  <c r="B103" i="46"/>
  <c r="B377" i="4"/>
  <c r="O39" i="3"/>
  <c r="B376" i="46"/>
  <c r="B376" i="36"/>
  <c r="B104" i="4"/>
  <c r="C103" i="3"/>
  <c r="B377" i="46" l="1"/>
  <c r="B377" i="36"/>
  <c r="B105" i="4"/>
  <c r="C104" i="3"/>
  <c r="B104" i="36"/>
  <c r="B104" i="46"/>
  <c r="B378" i="4"/>
  <c r="O40" i="3"/>
  <c r="O41" i="3" l="1"/>
  <c r="B379" i="4"/>
  <c r="B105" i="36"/>
  <c r="B105" i="46"/>
  <c r="B378" i="46"/>
  <c r="B378" i="36"/>
  <c r="B106" i="4"/>
  <c r="C105" i="3"/>
  <c r="C106" i="3" l="1"/>
  <c r="B107" i="4"/>
  <c r="B379" i="46"/>
  <c r="B379" i="36"/>
  <c r="B106" i="36"/>
  <c r="B106" i="46"/>
  <c r="B380" i="4"/>
  <c r="O42" i="3"/>
  <c r="B107" i="36" l="1"/>
  <c r="B107" i="46"/>
  <c r="B381" i="4"/>
  <c r="O43" i="3"/>
  <c r="B382" i="4" s="1"/>
  <c r="B382" i="36" s="1"/>
  <c r="B108" i="4"/>
  <c r="C107" i="3"/>
  <c r="B380" i="46"/>
  <c r="B380" i="36"/>
  <c r="B381" i="46" l="1"/>
  <c r="B381" i="36"/>
  <c r="B109" i="4"/>
  <c r="C108" i="3"/>
  <c r="B108" i="36"/>
  <c r="B108" i="46"/>
  <c r="B109" i="36" l="1"/>
  <c r="B109" i="46"/>
  <c r="C109" i="3"/>
  <c r="B110" i="4"/>
  <c r="B110" i="36" l="1"/>
  <c r="B110" i="46"/>
  <c r="B111" i="4"/>
  <c r="C110" i="3"/>
  <c r="B112" i="4" l="1"/>
  <c r="C111" i="3"/>
  <c r="B111" i="36"/>
  <c r="B111" i="46"/>
  <c r="B113" i="4" l="1"/>
  <c r="C112" i="3"/>
  <c r="B112" i="46"/>
  <c r="B112" i="36"/>
  <c r="B114" i="4" l="1"/>
  <c r="C113" i="3"/>
  <c r="B113" i="46"/>
  <c r="B113" i="36"/>
  <c r="B115" i="4" l="1"/>
  <c r="C114" i="3"/>
  <c r="B114" i="36"/>
  <c r="B114" i="46"/>
  <c r="B115" i="36" l="1"/>
  <c r="B115" i="46"/>
  <c r="B116" i="4"/>
  <c r="C115" i="3"/>
  <c r="C116" i="3" l="1"/>
  <c r="B117" i="4"/>
  <c r="B116" i="46"/>
  <c r="B116" i="36"/>
  <c r="B117" i="36" l="1"/>
  <c r="B117" i="46"/>
  <c r="B118" i="4"/>
  <c r="C117" i="3"/>
  <c r="B118" i="36" l="1"/>
  <c r="B118" i="46"/>
  <c r="B119" i="4"/>
  <c r="C118" i="3"/>
  <c r="B119" i="36" l="1"/>
  <c r="B119" i="46"/>
  <c r="B120" i="4"/>
  <c r="C119" i="3"/>
  <c r="B120" i="36" l="1"/>
  <c r="B120" i="46"/>
  <c r="B121" i="4"/>
  <c r="C120" i="3"/>
  <c r="B121" i="36" l="1"/>
  <c r="B121" i="46"/>
  <c r="B122" i="4"/>
  <c r="C121" i="3"/>
  <c r="B122" i="36" l="1"/>
  <c r="B122" i="46"/>
  <c r="B123" i="4"/>
  <c r="C122" i="3"/>
  <c r="B123" i="36" l="1"/>
  <c r="B123" i="46"/>
  <c r="B124" i="4"/>
  <c r="C123" i="3"/>
  <c r="B124" i="46" l="1"/>
  <c r="B124" i="36"/>
  <c r="C124" i="3"/>
  <c r="B125" i="4"/>
  <c r="B126" i="4" l="1"/>
  <c r="C125" i="3"/>
  <c r="B125" i="46"/>
  <c r="B125" i="36"/>
  <c r="B127" i="4" l="1"/>
  <c r="F5" i="3"/>
  <c r="B126" i="36"/>
  <c r="B126" i="46"/>
  <c r="B129" i="4" l="1"/>
  <c r="F6" i="3"/>
  <c r="B127" i="36"/>
  <c r="B127" i="46"/>
  <c r="F7" i="3" l="1"/>
  <c r="B130" i="4"/>
  <c r="G123" i="72"/>
  <c r="B129" i="46"/>
  <c r="B129" i="36"/>
  <c r="B130" i="36" l="1"/>
  <c r="B130" i="46"/>
  <c r="B131" i="4"/>
  <c r="F8" i="3"/>
  <c r="B131" i="36" l="1"/>
  <c r="B131" i="46"/>
  <c r="B132" i="4"/>
  <c r="F9" i="3"/>
  <c r="B132" i="46" l="1"/>
  <c r="B132" i="36"/>
  <c r="B133" i="4"/>
  <c r="G124" i="72"/>
  <c r="F10" i="3"/>
  <c r="B133" i="46" l="1"/>
  <c r="B133" i="36"/>
  <c r="G126" i="72"/>
  <c r="F11" i="3"/>
  <c r="B134" i="4"/>
  <c r="B134" i="36" l="1"/>
  <c r="B134" i="46"/>
  <c r="G127" i="72"/>
  <c r="B135" i="4"/>
  <c r="F12" i="3"/>
  <c r="B136" i="4" l="1"/>
  <c r="G128" i="72"/>
  <c r="F13" i="3"/>
  <c r="B135" i="36"/>
  <c r="B135" i="46"/>
  <c r="B137" i="4" l="1"/>
  <c r="G129" i="72"/>
  <c r="F14" i="3"/>
  <c r="B136" i="46"/>
  <c r="B136" i="36"/>
  <c r="G130" i="72" l="1"/>
  <c r="F15" i="3"/>
  <c r="B138" i="4"/>
  <c r="B137" i="46"/>
  <c r="B137" i="36"/>
  <c r="B138" i="36" l="1"/>
  <c r="B138" i="46"/>
  <c r="B139" i="4"/>
  <c r="F16" i="3"/>
  <c r="B139" i="36" l="1"/>
  <c r="B139" i="46"/>
  <c r="B140" i="4"/>
  <c r="F17" i="3"/>
  <c r="B140" i="46" l="1"/>
  <c r="B140" i="36"/>
  <c r="B141" i="4"/>
  <c r="F18" i="3"/>
  <c r="B141" i="46" l="1"/>
  <c r="B141" i="36"/>
  <c r="B142" i="4"/>
  <c r="F19" i="3"/>
  <c r="B142" i="36" l="1"/>
  <c r="B142" i="46"/>
  <c r="G131" i="72"/>
  <c r="B143" i="4"/>
  <c r="F20" i="3"/>
  <c r="F21" i="3" l="1"/>
  <c r="B144" i="4"/>
  <c r="B143" i="36"/>
  <c r="B143" i="46"/>
  <c r="B144" i="46" l="1"/>
  <c r="B144" i="36"/>
  <c r="B145" i="4"/>
  <c r="F22" i="3"/>
  <c r="F23" i="3" l="1"/>
  <c r="B146" i="4"/>
  <c r="B145" i="46"/>
  <c r="B145" i="36"/>
  <c r="B146" i="36" l="1"/>
  <c r="B146" i="46"/>
  <c r="B147" i="4"/>
  <c r="G132" i="72"/>
  <c r="F24" i="3"/>
  <c r="B147" i="46" l="1"/>
  <c r="B147" i="36"/>
  <c r="B148" i="4"/>
  <c r="F25" i="3"/>
  <c r="B148" i="46" l="1"/>
  <c r="B148" i="36"/>
  <c r="B149" i="4"/>
  <c r="F26" i="3"/>
  <c r="G135" i="72"/>
  <c r="B149" i="46" l="1"/>
  <c r="B149" i="36"/>
  <c r="F27" i="3"/>
  <c r="B150" i="4"/>
  <c r="B151" i="4" l="1"/>
  <c r="F28" i="3"/>
  <c r="B150" i="36"/>
  <c r="B150" i="46"/>
  <c r="F29" i="3" l="1"/>
  <c r="B152" i="4"/>
  <c r="B151" i="46"/>
  <c r="B151" i="36"/>
  <c r="B152" i="46" l="1"/>
  <c r="B152" i="36"/>
  <c r="B153" i="4"/>
  <c r="F30" i="3"/>
  <c r="B153" i="36" l="1"/>
  <c r="B153" i="46"/>
  <c r="G136" i="72"/>
  <c r="B154" i="4"/>
  <c r="F31" i="3"/>
  <c r="G137" i="72" l="1"/>
  <c r="B155" i="4"/>
  <c r="F32" i="3"/>
  <c r="B154" i="36"/>
  <c r="B154" i="46"/>
  <c r="B155" i="46" l="1"/>
  <c r="B155" i="36"/>
  <c r="B156" i="4"/>
  <c r="G138" i="72"/>
  <c r="F33" i="3"/>
  <c r="B156" i="46" l="1"/>
  <c r="B156" i="36"/>
  <c r="B157" i="4"/>
  <c r="F34" i="3"/>
  <c r="B157" i="46" l="1"/>
  <c r="B157" i="36"/>
  <c r="G139" i="72"/>
  <c r="B158" i="4"/>
  <c r="F35" i="3"/>
  <c r="B159" i="4" l="1"/>
  <c r="F36" i="3"/>
  <c r="B158" i="36"/>
  <c r="B158" i="46"/>
  <c r="G141" i="72" l="1"/>
  <c r="B160" i="4"/>
  <c r="F37" i="3"/>
  <c r="B159" i="36"/>
  <c r="B159" i="46"/>
  <c r="G142" i="72" l="1"/>
  <c r="F38" i="3"/>
  <c r="B161" i="4"/>
  <c r="B160" i="36"/>
  <c r="B160" i="46"/>
  <c r="B161" i="36" l="1"/>
  <c r="B161" i="46"/>
  <c r="B162" i="4"/>
  <c r="F39" i="3"/>
  <c r="B162" i="36" l="1"/>
  <c r="B162" i="46"/>
  <c r="F40" i="3"/>
  <c r="B163" i="4"/>
  <c r="B164" i="4" l="1"/>
  <c r="G143" i="72"/>
  <c r="F41" i="3"/>
  <c r="B163" i="36"/>
  <c r="B163" i="46"/>
  <c r="B164" i="36" l="1"/>
  <c r="B164" i="46"/>
  <c r="G144" i="72"/>
  <c r="B165" i="4"/>
  <c r="F42" i="3"/>
  <c r="B166" i="4" l="1"/>
  <c r="G146" i="72"/>
  <c r="F43" i="3"/>
  <c r="B165" i="36"/>
  <c r="B165" i="46"/>
  <c r="G145" i="72" l="1"/>
  <c r="B167" i="4"/>
  <c r="F44" i="3"/>
  <c r="B166" i="36"/>
  <c r="B166" i="46"/>
  <c r="B168" i="4" l="1"/>
  <c r="F45" i="3"/>
  <c r="G147" i="72"/>
  <c r="B167" i="36"/>
  <c r="B167" i="46"/>
  <c r="G148" i="72" l="1"/>
  <c r="F46" i="3"/>
  <c r="B169" i="4"/>
  <c r="B168" i="36"/>
  <c r="B168" i="46"/>
  <c r="B169" i="36" l="1"/>
  <c r="B169" i="46"/>
  <c r="G149" i="72"/>
  <c r="B170" i="4"/>
  <c r="F47" i="3"/>
  <c r="F48" i="3" l="1"/>
  <c r="G150" i="72"/>
  <c r="B171" i="4"/>
  <c r="B170" i="36"/>
  <c r="B170" i="46"/>
  <c r="B171" i="36" l="1"/>
  <c r="B171" i="46"/>
  <c r="F49" i="3"/>
  <c r="B172" i="4"/>
  <c r="F50" i="3" l="1"/>
  <c r="B173" i="4"/>
  <c r="G151" i="72"/>
  <c r="B172" i="36"/>
  <c r="B172" i="46"/>
  <c r="B173" i="36" l="1"/>
  <c r="B173" i="46"/>
  <c r="F51" i="3"/>
  <c r="B174" i="4"/>
  <c r="F52" i="3" l="1"/>
  <c r="B175" i="4"/>
  <c r="B174" i="36"/>
  <c r="B174" i="46"/>
  <c r="B175" i="46" l="1"/>
  <c r="B175" i="36"/>
  <c r="B176" i="4"/>
  <c r="F53" i="3"/>
  <c r="B176" i="46" l="1"/>
  <c r="B176" i="36"/>
  <c r="F54" i="3"/>
  <c r="B177" i="4"/>
  <c r="B177" i="46" l="1"/>
  <c r="B177" i="36"/>
  <c r="B178" i="4"/>
  <c r="F55" i="3"/>
  <c r="B178" i="36" l="1"/>
  <c r="B178" i="46"/>
  <c r="F56" i="3"/>
  <c r="B179" i="4"/>
  <c r="F57" i="3" l="1"/>
  <c r="B180" i="4"/>
  <c r="B179" i="46"/>
  <c r="B179" i="36"/>
  <c r="B180" i="46" l="1"/>
  <c r="B180" i="36"/>
  <c r="B181" i="4"/>
  <c r="F58" i="3"/>
  <c r="B181" i="46" l="1"/>
  <c r="B181" i="36"/>
  <c r="B182" i="4"/>
  <c r="F59" i="3"/>
  <c r="B182" i="36" l="1"/>
  <c r="B182" i="46"/>
  <c r="F60" i="3"/>
  <c r="B183" i="4"/>
  <c r="B184" i="4" l="1"/>
  <c r="F61" i="3"/>
  <c r="B183" i="46"/>
  <c r="B183" i="36"/>
  <c r="B185" i="4" l="1"/>
  <c r="F62" i="3"/>
  <c r="B184" i="46"/>
  <c r="B184" i="36"/>
  <c r="B186" i="4" l="1"/>
  <c r="F63" i="3"/>
  <c r="B185" i="46"/>
  <c r="B185" i="36"/>
  <c r="F64" i="3" l="1"/>
  <c r="B187" i="4"/>
  <c r="B186" i="36"/>
  <c r="B186" i="46"/>
  <c r="B187" i="46" l="1"/>
  <c r="B187" i="36"/>
  <c r="F65" i="3"/>
  <c r="B188" i="4"/>
  <c r="B189" i="4" l="1"/>
  <c r="F66" i="3"/>
  <c r="B190" i="4" s="1"/>
  <c r="B188" i="36"/>
  <c r="B188" i="46"/>
  <c r="B190" i="46" l="1"/>
  <c r="B190" i="36"/>
  <c r="B189" i="36"/>
  <c r="B189" i="46"/>
  <c r="F239" i="46"/>
  <c r="E239" i="46" s="1"/>
  <c r="F240" i="46"/>
  <c r="E240" i="46" s="1"/>
  <c r="F262" i="46" l="1"/>
  <c r="E262" i="46" s="1"/>
  <c r="F261" i="46" l="1"/>
  <c r="E261" i="46" s="1"/>
</calcChain>
</file>

<file path=xl/comments1.xml><?xml version="1.0" encoding="utf-8"?>
<comments xmlns="http://schemas.openxmlformats.org/spreadsheetml/2006/main">
  <authors>
    <author>admin</author>
    <author>1</author>
  </authors>
  <commentList>
    <comment ref="E9" authorId="0" shapeId="0">
      <text>
        <r>
          <rPr>
            <b/>
            <sz val="9"/>
            <color indexed="81"/>
            <rFont val="宋体"/>
            <family val="3"/>
            <charset val="134"/>
          </rPr>
          <t>admin:</t>
        </r>
        <r>
          <rPr>
            <sz val="9"/>
            <color indexed="81"/>
            <rFont val="宋体"/>
            <family val="3"/>
            <charset val="134"/>
          </rPr>
          <t xml:space="preserve">
已执行新金融工具准则</t>
        </r>
      </text>
    </comment>
    <comment ref="B11" authorId="0" shapeId="0">
      <text>
        <r>
          <rPr>
            <b/>
            <sz val="9"/>
            <color indexed="81"/>
            <rFont val="宋体"/>
            <family val="3"/>
            <charset val="134"/>
          </rPr>
          <t>admin:</t>
        </r>
        <r>
          <rPr>
            <sz val="9"/>
            <color indexed="81"/>
            <rFont val="宋体"/>
            <family val="3"/>
            <charset val="134"/>
          </rPr>
          <t xml:space="preserve">
已执行新金融工具准则</t>
        </r>
      </text>
    </comment>
    <comment ref="E11" authorId="0" shapeId="0">
      <text>
        <r>
          <rPr>
            <b/>
            <sz val="9"/>
            <color indexed="81"/>
            <rFont val="宋体"/>
            <family val="3"/>
            <charset val="134"/>
          </rPr>
          <t>admin:</t>
        </r>
        <r>
          <rPr>
            <sz val="9"/>
            <color indexed="81"/>
            <rFont val="宋体"/>
            <family val="3"/>
            <charset val="134"/>
          </rPr>
          <t xml:space="preserve">
财会[2019]6号</t>
        </r>
      </text>
    </comment>
    <comment ref="E12" authorId="0" shapeId="0">
      <text>
        <r>
          <rPr>
            <b/>
            <sz val="9"/>
            <color indexed="81"/>
            <rFont val="宋体"/>
            <family val="3"/>
            <charset val="134"/>
          </rPr>
          <t>admin:</t>
        </r>
        <r>
          <rPr>
            <sz val="9"/>
            <color indexed="81"/>
            <rFont val="宋体"/>
            <family val="3"/>
            <charset val="134"/>
          </rPr>
          <t xml:space="preserve">
财会[2019]6号</t>
        </r>
      </text>
    </comment>
    <comment ref="B13" authorId="0" shapeId="0">
      <text>
        <r>
          <rPr>
            <b/>
            <sz val="9"/>
            <color indexed="81"/>
            <rFont val="宋体"/>
            <family val="3"/>
            <charset val="134"/>
          </rPr>
          <t>admin:</t>
        </r>
        <r>
          <rPr>
            <sz val="9"/>
            <color indexed="81"/>
            <rFont val="宋体"/>
            <family val="3"/>
            <charset val="134"/>
          </rPr>
          <t xml:space="preserve">
财会[2019]6号</t>
        </r>
      </text>
    </comment>
    <comment ref="E14" authorId="0" shapeId="0">
      <text>
        <r>
          <rPr>
            <b/>
            <sz val="9"/>
            <color indexed="81"/>
            <rFont val="宋体"/>
            <family val="3"/>
            <charset val="134"/>
          </rPr>
          <t>admin:</t>
        </r>
        <r>
          <rPr>
            <sz val="9"/>
            <color indexed="81"/>
            <rFont val="宋体"/>
            <family val="3"/>
            <charset val="134"/>
          </rPr>
          <t xml:space="preserve">
已执行新收入准则</t>
        </r>
      </text>
    </comment>
    <comment ref="B16" authorId="0" shapeId="0">
      <text>
        <r>
          <rPr>
            <b/>
            <sz val="9"/>
            <color indexed="81"/>
            <rFont val="宋体"/>
            <family val="3"/>
            <charset val="134"/>
          </rPr>
          <t>admin:</t>
        </r>
        <r>
          <rPr>
            <sz val="9"/>
            <color indexed="81"/>
            <rFont val="宋体"/>
            <family val="3"/>
            <charset val="134"/>
          </rPr>
          <t xml:space="preserve">
财会[2019]6号</t>
        </r>
      </text>
    </comment>
    <comment ref="B19" authorId="0" shapeId="0">
      <text>
        <r>
          <rPr>
            <b/>
            <sz val="9"/>
            <color indexed="81"/>
            <rFont val="宋体"/>
            <family val="3"/>
            <charset val="134"/>
          </rPr>
          <t>admin:</t>
        </r>
        <r>
          <rPr>
            <sz val="9"/>
            <color indexed="81"/>
            <rFont val="宋体"/>
            <family val="3"/>
            <charset val="134"/>
          </rPr>
          <t xml:space="preserve">
财会[2019]6号</t>
        </r>
      </text>
    </comment>
    <comment ref="E25" authorId="0" shapeId="0">
      <text>
        <r>
          <rPr>
            <b/>
            <sz val="9"/>
            <color indexed="81"/>
            <rFont val="宋体"/>
            <family val="3"/>
            <charset val="134"/>
          </rPr>
          <t>admin:</t>
        </r>
        <r>
          <rPr>
            <sz val="9"/>
            <color indexed="81"/>
            <rFont val="宋体"/>
            <family val="3"/>
            <charset val="134"/>
          </rPr>
          <t xml:space="preserve">
应付利息+应付股利+其他应付款</t>
        </r>
      </text>
    </comment>
    <comment ref="H29" authorId="1" shapeId="0">
      <text>
        <r>
          <rPr>
            <b/>
            <sz val="9"/>
            <color indexed="81"/>
            <rFont val="宋体"/>
            <family val="3"/>
            <charset val="134"/>
          </rPr>
          <t>1</t>
        </r>
        <r>
          <rPr>
            <sz val="9"/>
            <color indexed="81"/>
            <rFont val="宋体"/>
            <family val="3"/>
            <charset val="134"/>
          </rPr>
          <t xml:space="preserve">:反映的是石油石化企业在油气勘探过程中发生相关费用。
</t>
        </r>
      </text>
    </comment>
    <comment ref="E40" authorId="0" shapeId="0">
      <text>
        <r>
          <rPr>
            <b/>
            <sz val="9"/>
            <color indexed="81"/>
            <rFont val="宋体"/>
            <family val="3"/>
            <charset val="134"/>
          </rPr>
          <t>admin:</t>
        </r>
        <r>
          <rPr>
            <sz val="9"/>
            <color indexed="81"/>
            <rFont val="宋体"/>
            <family val="3"/>
            <charset val="134"/>
          </rPr>
          <t xml:space="preserve">
已执行新租赁准则</t>
        </r>
      </text>
    </comment>
    <comment ref="B51" authorId="0" shapeId="0">
      <text>
        <r>
          <rPr>
            <b/>
            <sz val="9"/>
            <color indexed="81"/>
            <rFont val="宋体"/>
            <family val="3"/>
            <charset val="134"/>
          </rPr>
          <t>admin:</t>
        </r>
        <r>
          <rPr>
            <sz val="9"/>
            <color indexed="81"/>
            <rFont val="宋体"/>
            <family val="3"/>
            <charset val="134"/>
          </rPr>
          <t xml:space="preserve">
已执行新收入准则</t>
        </r>
      </text>
    </comment>
    <comment ref="H59" authorId="0" shapeId="0">
      <text>
        <r>
          <rPr>
            <b/>
            <sz val="9"/>
            <color indexed="81"/>
            <rFont val="宋体"/>
            <family val="3"/>
            <charset val="134"/>
          </rPr>
          <t>admin:</t>
        </r>
        <r>
          <rPr>
            <sz val="9"/>
            <color indexed="81"/>
            <rFont val="宋体"/>
            <family val="3"/>
            <charset val="134"/>
          </rPr>
          <t xml:space="preserve">
已执行新金融工具准则</t>
        </r>
      </text>
    </comment>
    <comment ref="H60" authorId="0" shapeId="0">
      <text>
        <r>
          <rPr>
            <b/>
            <sz val="9"/>
            <color indexed="81"/>
            <rFont val="宋体"/>
            <family val="3"/>
            <charset val="134"/>
          </rPr>
          <t>admin:</t>
        </r>
        <r>
          <rPr>
            <sz val="9"/>
            <color indexed="81"/>
            <rFont val="宋体"/>
            <family val="3"/>
            <charset val="134"/>
          </rPr>
          <t xml:space="preserve">
已执行新金融工具准则</t>
        </r>
      </text>
    </comment>
    <comment ref="B64" authorId="0" shapeId="0">
      <text>
        <r>
          <rPr>
            <b/>
            <sz val="9"/>
            <color indexed="81"/>
            <rFont val="宋体"/>
            <family val="3"/>
            <charset val="134"/>
          </rPr>
          <t>admin:</t>
        </r>
        <r>
          <rPr>
            <sz val="9"/>
            <color indexed="81"/>
            <rFont val="宋体"/>
            <family val="3"/>
            <charset val="134"/>
          </rPr>
          <t xml:space="preserve">
已执行新金融工具准则</t>
        </r>
      </text>
    </comment>
    <comment ref="H64" authorId="0" shapeId="0">
      <text>
        <r>
          <rPr>
            <b/>
            <sz val="9"/>
            <color indexed="81"/>
            <rFont val="宋体"/>
            <family val="3"/>
            <charset val="134"/>
          </rPr>
          <t>admin:</t>
        </r>
        <r>
          <rPr>
            <sz val="9"/>
            <color indexed="81"/>
            <rFont val="宋体"/>
            <family val="3"/>
            <charset val="134"/>
          </rPr>
          <t xml:space="preserve">
已执行新金融工具准则</t>
        </r>
      </text>
    </comment>
    <comment ref="H65" authorId="0" shapeId="0">
      <text>
        <r>
          <rPr>
            <b/>
            <sz val="9"/>
            <color indexed="81"/>
            <rFont val="宋体"/>
            <family val="3"/>
            <charset val="134"/>
          </rPr>
          <t>admin:</t>
        </r>
        <r>
          <rPr>
            <sz val="9"/>
            <color indexed="81"/>
            <rFont val="宋体"/>
            <family val="3"/>
            <charset val="134"/>
          </rPr>
          <t xml:space="preserve">
已执行新金融工具准则</t>
        </r>
      </text>
    </comment>
    <comment ref="H66" authorId="0" shapeId="0">
      <text>
        <r>
          <rPr>
            <b/>
            <sz val="9"/>
            <color indexed="81"/>
            <rFont val="宋体"/>
            <family val="3"/>
            <charset val="134"/>
          </rPr>
          <t>admin:</t>
        </r>
        <r>
          <rPr>
            <sz val="9"/>
            <color indexed="81"/>
            <rFont val="宋体"/>
            <family val="3"/>
            <charset val="134"/>
          </rPr>
          <t xml:space="preserve">
已执行新金融工具准则</t>
        </r>
      </text>
    </comment>
    <comment ref="B67" authorId="0" shapeId="0">
      <text>
        <r>
          <rPr>
            <b/>
            <sz val="9"/>
            <color indexed="81"/>
            <rFont val="宋体"/>
            <family val="3"/>
            <charset val="134"/>
          </rPr>
          <t>admin:</t>
        </r>
        <r>
          <rPr>
            <sz val="9"/>
            <color indexed="81"/>
            <rFont val="宋体"/>
            <family val="3"/>
            <charset val="134"/>
          </rPr>
          <t xml:space="preserve">
已执行新金融工具准则</t>
        </r>
      </text>
    </comment>
    <comment ref="B75" authorId="0" shapeId="0">
      <text>
        <r>
          <rPr>
            <b/>
            <sz val="9"/>
            <color indexed="81"/>
            <rFont val="宋体"/>
            <family val="3"/>
            <charset val="134"/>
          </rPr>
          <t>admin:</t>
        </r>
        <r>
          <rPr>
            <sz val="9"/>
            <color indexed="81"/>
            <rFont val="宋体"/>
            <family val="3"/>
            <charset val="134"/>
          </rPr>
          <t xml:space="preserve">
已执行新金融工具准则</t>
        </r>
      </text>
    </comment>
    <comment ref="B76" authorId="0" shapeId="0">
      <text>
        <r>
          <rPr>
            <b/>
            <sz val="9"/>
            <color indexed="81"/>
            <rFont val="宋体"/>
            <family val="3"/>
            <charset val="134"/>
          </rPr>
          <t>admin:</t>
        </r>
        <r>
          <rPr>
            <sz val="9"/>
            <color indexed="81"/>
            <rFont val="宋体"/>
            <family val="3"/>
            <charset val="134"/>
          </rPr>
          <t xml:space="preserve">
已执行新金融工具准则</t>
        </r>
      </text>
    </comment>
    <comment ref="B82" authorId="0" shapeId="0">
      <text>
        <r>
          <rPr>
            <b/>
            <sz val="9"/>
            <color indexed="81"/>
            <rFont val="宋体"/>
            <family val="3"/>
            <charset val="134"/>
          </rPr>
          <t>admin:</t>
        </r>
        <r>
          <rPr>
            <sz val="9"/>
            <color indexed="81"/>
            <rFont val="宋体"/>
            <family val="3"/>
            <charset val="134"/>
          </rPr>
          <t xml:space="preserve">
固定资产+固定资产清理</t>
        </r>
      </text>
    </comment>
    <comment ref="B88" authorId="0" shapeId="0">
      <text>
        <r>
          <rPr>
            <b/>
            <sz val="9"/>
            <color indexed="81"/>
            <rFont val="宋体"/>
            <family val="3"/>
            <charset val="134"/>
          </rPr>
          <t>admin:</t>
        </r>
        <r>
          <rPr>
            <sz val="9"/>
            <color indexed="81"/>
            <rFont val="宋体"/>
            <family val="3"/>
            <charset val="134"/>
          </rPr>
          <t xml:space="preserve">
在建工程+工程物资</t>
        </r>
      </text>
    </comment>
    <comment ref="B104" authorId="0" shapeId="0">
      <text>
        <r>
          <rPr>
            <b/>
            <sz val="9"/>
            <color indexed="81"/>
            <rFont val="宋体"/>
            <family val="3"/>
            <charset val="134"/>
          </rPr>
          <t>admin:</t>
        </r>
        <r>
          <rPr>
            <sz val="9"/>
            <color indexed="81"/>
            <rFont val="宋体"/>
            <family val="3"/>
            <charset val="134"/>
          </rPr>
          <t xml:space="preserve">
已执行新租赁准则</t>
        </r>
      </text>
    </comment>
  </commentList>
</comments>
</file>

<file path=xl/comments2.xml><?xml version="1.0" encoding="utf-8"?>
<comments xmlns="http://schemas.openxmlformats.org/spreadsheetml/2006/main">
  <authors>
    <author>作者</author>
  </authors>
  <commentList>
    <comment ref="A5" authorId="0" shapeId="0">
      <text>
        <r>
          <rPr>
            <b/>
            <sz val="9"/>
            <color indexed="81"/>
            <rFont val="宋体"/>
            <family val="3"/>
            <charset val="134"/>
          </rPr>
          <t>作者:</t>
        </r>
        <r>
          <rPr>
            <sz val="9"/>
            <color indexed="81"/>
            <rFont val="宋体"/>
            <family val="3"/>
            <charset val="134"/>
          </rPr>
          <t xml:space="preserve">
[资产]总额与[负债及权益]总额的核对</t>
        </r>
      </text>
    </comment>
    <comment ref="A6" authorId="0" shapeId="0">
      <text>
        <r>
          <rPr>
            <b/>
            <sz val="9"/>
            <color indexed="81"/>
            <rFont val="宋体"/>
            <family val="3"/>
            <charset val="134"/>
          </rPr>
          <t>作者:</t>
        </r>
        <r>
          <rPr>
            <sz val="9"/>
            <color indexed="81"/>
            <rFont val="宋体"/>
            <family val="3"/>
            <charset val="134"/>
          </rPr>
          <t xml:space="preserve">
1、核对主表与附表的经营活动净流量
2、关注附表中5个项目与利润表的钩稽关系
    [附表]净利润           =   [利润表]净利润
    [附表]资产减值损失     =   [利润表]资产减值损失
    [附表]公允价值变动损失 = - [利润表]公允价值变动
    [附表]财务费用         =   [利润表]财务费用（一般等于）
    [附表]投资损失         = - [利润表]投资收益 </t>
        </r>
      </text>
    </comment>
    <comment ref="A268" authorId="0" shapeId="0">
      <text>
        <r>
          <rPr>
            <b/>
            <sz val="8"/>
            <color indexed="81"/>
            <rFont val="宋体"/>
            <family val="3"/>
            <charset val="134"/>
          </rPr>
          <t>作者:</t>
        </r>
        <r>
          <rPr>
            <sz val="8"/>
            <color indexed="81"/>
            <rFont val="宋体"/>
            <family val="3"/>
            <charset val="134"/>
          </rPr>
          <t xml:space="preserve">
还要扣除计入在建工程、开发支出等投资项目中的折旧金额</t>
        </r>
      </text>
    </comment>
    <comment ref="A269" authorId="0" shapeId="0">
      <text>
        <r>
          <rPr>
            <b/>
            <sz val="8"/>
            <color indexed="81"/>
            <rFont val="宋体"/>
            <family val="3"/>
            <charset val="134"/>
          </rPr>
          <t>作者:</t>
        </r>
        <r>
          <rPr>
            <sz val="8"/>
            <color indexed="81"/>
            <rFont val="宋体"/>
            <family val="3"/>
            <charset val="134"/>
          </rPr>
          <t xml:space="preserve">
还要扣除计入在建工程、开发支出等投资项目中的折旧金额</t>
        </r>
      </text>
    </comment>
    <comment ref="A270" authorId="0" shapeId="0">
      <text>
        <r>
          <rPr>
            <b/>
            <sz val="8"/>
            <color indexed="81"/>
            <rFont val="宋体"/>
            <family val="3"/>
            <charset val="134"/>
          </rPr>
          <t>作者:</t>
        </r>
        <r>
          <rPr>
            <sz val="8"/>
            <color indexed="81"/>
            <rFont val="宋体"/>
            <family val="3"/>
            <charset val="134"/>
          </rPr>
          <t xml:space="preserve">
还要扣除计入在建工程、开发支出等投资项目中的折旧金额</t>
        </r>
      </text>
    </comment>
    <comment ref="A278" authorId="0" shapeId="0">
      <text>
        <r>
          <rPr>
            <sz val="8"/>
            <color indexed="81"/>
            <rFont val="宋体"/>
            <family val="3"/>
            <charset val="134"/>
          </rPr>
          <t>期初存货原值-期末存货原值-存货跌价准备转销额</t>
        </r>
      </text>
    </comment>
  </commentList>
</comments>
</file>

<file path=xl/comments3.xml><?xml version="1.0" encoding="utf-8"?>
<comments xmlns="http://schemas.openxmlformats.org/spreadsheetml/2006/main">
  <authors>
    <author>admin</author>
  </authors>
  <commentList>
    <comment ref="A7" authorId="0" shapeId="0">
      <text>
        <r>
          <rPr>
            <b/>
            <sz val="9"/>
            <color indexed="81"/>
            <rFont val="宋体"/>
            <family val="3"/>
            <charset val="134"/>
          </rPr>
          <t>admin:</t>
        </r>
        <r>
          <rPr>
            <sz val="9"/>
            <color indexed="81"/>
            <rFont val="宋体"/>
            <family val="3"/>
            <charset val="134"/>
          </rPr>
          <t xml:space="preserve">
已执行新金融工具准则</t>
        </r>
      </text>
    </comment>
    <comment ref="A9" authorId="0" shapeId="0">
      <text>
        <r>
          <rPr>
            <b/>
            <sz val="9"/>
            <color indexed="81"/>
            <rFont val="宋体"/>
            <family val="3"/>
            <charset val="134"/>
          </rPr>
          <t>admin:</t>
        </r>
        <r>
          <rPr>
            <sz val="9"/>
            <color indexed="81"/>
            <rFont val="宋体"/>
            <family val="3"/>
            <charset val="134"/>
          </rPr>
          <t xml:space="preserve">
财会[2019]6号</t>
        </r>
      </text>
    </comment>
    <comment ref="A12" authorId="0" shapeId="0">
      <text>
        <r>
          <rPr>
            <b/>
            <sz val="9"/>
            <color indexed="81"/>
            <rFont val="宋体"/>
            <family val="3"/>
            <charset val="134"/>
          </rPr>
          <t>admin:</t>
        </r>
        <r>
          <rPr>
            <sz val="9"/>
            <color indexed="81"/>
            <rFont val="宋体"/>
            <family val="3"/>
            <charset val="134"/>
          </rPr>
          <t xml:space="preserve">
财会[2019]6号</t>
        </r>
      </text>
    </comment>
    <comment ref="A15" authorId="0" shapeId="0">
      <text>
        <r>
          <rPr>
            <b/>
            <sz val="9"/>
            <color indexed="81"/>
            <rFont val="宋体"/>
            <family val="3"/>
            <charset val="134"/>
          </rPr>
          <t>admin:</t>
        </r>
        <r>
          <rPr>
            <sz val="9"/>
            <color indexed="81"/>
            <rFont val="宋体"/>
            <family val="3"/>
            <charset val="134"/>
          </rPr>
          <t xml:space="preserve">
财会[2019]6号</t>
        </r>
      </text>
    </comment>
    <comment ref="A41" authorId="0" shapeId="0">
      <text>
        <r>
          <rPr>
            <b/>
            <sz val="9"/>
            <color indexed="81"/>
            <rFont val="宋体"/>
            <family val="3"/>
            <charset val="134"/>
          </rPr>
          <t>admin:</t>
        </r>
        <r>
          <rPr>
            <sz val="9"/>
            <color indexed="81"/>
            <rFont val="宋体"/>
            <family val="3"/>
            <charset val="134"/>
          </rPr>
          <t xml:space="preserve">
已执行新收入准则</t>
        </r>
      </text>
    </comment>
    <comment ref="A52" authorId="0" shapeId="0">
      <text>
        <r>
          <rPr>
            <b/>
            <sz val="9"/>
            <color indexed="81"/>
            <rFont val="宋体"/>
            <family val="3"/>
            <charset val="134"/>
          </rPr>
          <t>admin:</t>
        </r>
        <r>
          <rPr>
            <sz val="9"/>
            <color indexed="81"/>
            <rFont val="宋体"/>
            <family val="3"/>
            <charset val="134"/>
          </rPr>
          <t xml:space="preserve">
已执行新金融工具准则</t>
        </r>
      </text>
    </comment>
    <comment ref="A55" authorId="0" shapeId="0">
      <text>
        <r>
          <rPr>
            <b/>
            <sz val="9"/>
            <color indexed="81"/>
            <rFont val="宋体"/>
            <family val="3"/>
            <charset val="134"/>
          </rPr>
          <t>admin:</t>
        </r>
        <r>
          <rPr>
            <sz val="9"/>
            <color indexed="81"/>
            <rFont val="宋体"/>
            <family val="3"/>
            <charset val="134"/>
          </rPr>
          <t xml:space="preserve">
已执行新金融工具准则</t>
        </r>
      </text>
    </comment>
    <comment ref="A63" authorId="0" shapeId="0">
      <text>
        <r>
          <rPr>
            <b/>
            <sz val="9"/>
            <color indexed="81"/>
            <rFont val="宋体"/>
            <family val="3"/>
            <charset val="134"/>
          </rPr>
          <t>admin:</t>
        </r>
        <r>
          <rPr>
            <sz val="9"/>
            <color indexed="81"/>
            <rFont val="宋体"/>
            <family val="3"/>
            <charset val="134"/>
          </rPr>
          <t xml:space="preserve">
已执行新金融工具准则</t>
        </r>
      </text>
    </comment>
    <comment ref="A64" authorId="0" shapeId="0">
      <text>
        <r>
          <rPr>
            <b/>
            <sz val="9"/>
            <color indexed="81"/>
            <rFont val="宋体"/>
            <family val="3"/>
            <charset val="134"/>
          </rPr>
          <t>admin:</t>
        </r>
        <r>
          <rPr>
            <sz val="9"/>
            <color indexed="81"/>
            <rFont val="宋体"/>
            <family val="3"/>
            <charset val="134"/>
          </rPr>
          <t xml:space="preserve">
已执行新金融工具准则</t>
        </r>
      </text>
    </comment>
    <comment ref="A70" authorId="0" shapeId="0">
      <text>
        <r>
          <rPr>
            <b/>
            <sz val="9"/>
            <color indexed="81"/>
            <rFont val="宋体"/>
            <family val="3"/>
            <charset val="134"/>
          </rPr>
          <t>admin:</t>
        </r>
        <r>
          <rPr>
            <sz val="9"/>
            <color indexed="81"/>
            <rFont val="宋体"/>
            <family val="3"/>
            <charset val="134"/>
          </rPr>
          <t xml:space="preserve">
固定资产+固定资产清理</t>
        </r>
      </text>
    </comment>
    <comment ref="A76" authorId="0" shapeId="0">
      <text>
        <r>
          <rPr>
            <b/>
            <sz val="9"/>
            <color indexed="81"/>
            <rFont val="宋体"/>
            <family val="3"/>
            <charset val="134"/>
          </rPr>
          <t>admin:</t>
        </r>
        <r>
          <rPr>
            <sz val="9"/>
            <color indexed="81"/>
            <rFont val="宋体"/>
            <family val="3"/>
            <charset val="134"/>
          </rPr>
          <t xml:space="preserve">
在建工程+工程物资</t>
        </r>
      </text>
    </comment>
    <comment ref="A92" authorId="0" shapeId="0">
      <text>
        <r>
          <rPr>
            <b/>
            <sz val="9"/>
            <color indexed="81"/>
            <rFont val="宋体"/>
            <family val="3"/>
            <charset val="134"/>
          </rPr>
          <t>admin:</t>
        </r>
        <r>
          <rPr>
            <sz val="9"/>
            <color indexed="81"/>
            <rFont val="宋体"/>
            <family val="3"/>
            <charset val="134"/>
          </rPr>
          <t xml:space="preserve">
已执行新租赁准则</t>
        </r>
      </text>
    </comment>
  </commentList>
</comments>
</file>

<file path=xl/comments4.xml><?xml version="1.0" encoding="utf-8"?>
<comments xmlns="http://schemas.openxmlformats.org/spreadsheetml/2006/main">
  <authors>
    <author>标准部</author>
  </authors>
  <commentList>
    <comment ref="C345" authorId="0" shapeId="0">
      <text>
        <r>
          <rPr>
            <sz val="9"/>
            <color indexed="81"/>
            <rFont val="宋体"/>
            <family val="3"/>
            <charset val="134"/>
          </rPr>
          <t>从利润表上自动过录。</t>
        </r>
      </text>
    </comment>
    <comment ref="C376" authorId="0" shapeId="0">
      <text>
        <r>
          <rPr>
            <sz val="9"/>
            <color indexed="81"/>
            <rFont val="宋体"/>
            <family val="3"/>
            <charset val="134"/>
          </rPr>
          <t>从资产负债表上自动过录。</t>
        </r>
      </text>
    </comment>
  </commentList>
</comments>
</file>

<file path=xl/comments5.xml><?xml version="1.0" encoding="utf-8"?>
<comments xmlns="http://schemas.openxmlformats.org/spreadsheetml/2006/main">
  <authors>
    <author>1</author>
  </authors>
  <commentList>
    <comment ref="D20" authorId="0" shapeId="0">
      <text>
        <r>
          <rPr>
            <b/>
            <sz val="9"/>
            <color indexed="81"/>
            <rFont val="宋体"/>
            <family val="3"/>
            <charset val="134"/>
          </rPr>
          <t>1:</t>
        </r>
        <r>
          <rPr>
            <sz val="9"/>
            <color indexed="81"/>
            <rFont val="宋体"/>
            <family val="3"/>
            <charset val="134"/>
          </rPr>
          <t xml:space="preserve">
需简要说明其他主要核算内容</t>
        </r>
      </text>
    </comment>
    <comment ref="E22" authorId="0" shapeId="0">
      <text>
        <r>
          <rPr>
            <b/>
            <sz val="9"/>
            <color indexed="81"/>
            <rFont val="宋体"/>
            <family val="3"/>
            <charset val="134"/>
          </rPr>
          <t>1:</t>
        </r>
        <r>
          <rPr>
            <sz val="9"/>
            <color indexed="81"/>
            <rFont val="宋体"/>
            <family val="3"/>
            <charset val="134"/>
          </rPr>
          <t xml:space="preserve">
如存在差异请说明说明</t>
        </r>
      </text>
    </comment>
    <comment ref="A108" authorId="0" shapeId="0">
      <text>
        <r>
          <rPr>
            <b/>
            <sz val="9"/>
            <color indexed="81"/>
            <rFont val="宋体"/>
            <family val="3"/>
            <charset val="134"/>
          </rPr>
          <t>1:</t>
        </r>
        <r>
          <rPr>
            <sz val="9"/>
            <color indexed="81"/>
            <rFont val="宋体"/>
            <family val="3"/>
            <charset val="134"/>
          </rPr>
          <t xml:space="preserve">
</t>
        </r>
      </text>
    </comment>
  </commentList>
</comments>
</file>

<file path=xl/sharedStrings.xml><?xml version="1.0" encoding="utf-8"?>
<sst xmlns="http://schemas.openxmlformats.org/spreadsheetml/2006/main" count="2752" uniqueCount="1873">
  <si>
    <r>
      <t xml:space="preserve">     </t>
    </r>
    <r>
      <rPr>
        <sz val="10"/>
        <rFont val="宋体"/>
        <family val="3"/>
        <charset val="134"/>
      </rPr>
      <t>支付其他与筹资活动有关的现金</t>
    </r>
    <phoneticPr fontId="4" type="noConversion"/>
  </si>
  <si>
    <t>累计折旧</t>
    <phoneticPr fontId="4" type="noConversion"/>
  </si>
  <si>
    <t>会计年度（上期）：</t>
    <phoneticPr fontId="4" type="noConversion"/>
  </si>
  <si>
    <t>项          目</t>
  </si>
  <si>
    <t>行次</t>
    <phoneticPr fontId="10" type="noConversion"/>
  </si>
  <si>
    <t>报表勾稽关系审核表</t>
    <phoneticPr fontId="4" type="noConversion"/>
  </si>
  <si>
    <t>No.</t>
    <phoneticPr fontId="4" type="noConversion"/>
  </si>
  <si>
    <t>勾稽审核内容</t>
    <phoneticPr fontId="16" type="noConversion"/>
  </si>
  <si>
    <t>审核结果</t>
    <phoneticPr fontId="4" type="noConversion"/>
  </si>
  <si>
    <t>不符原因</t>
    <phoneticPr fontId="4" type="noConversion"/>
  </si>
  <si>
    <t>北京二锅头有限责任公司</t>
    <phoneticPr fontId="4" type="noConversion"/>
  </si>
  <si>
    <t>日期：</t>
  </si>
  <si>
    <t>页码：</t>
    <phoneticPr fontId="51" type="noConversion"/>
  </si>
  <si>
    <t>日期：</t>
    <phoneticPr fontId="4" type="noConversion"/>
  </si>
  <si>
    <r>
      <t>分页：</t>
    </r>
    <r>
      <rPr>
        <u/>
        <sz val="10"/>
        <rFont val="Arial Narrow"/>
        <family val="2"/>
      </rPr>
      <t xml:space="preserve">       </t>
    </r>
    <r>
      <rPr>
        <sz val="10"/>
        <rFont val="Arial Narrow"/>
        <family val="2"/>
      </rPr>
      <t xml:space="preserve">    </t>
    </r>
    <phoneticPr fontId="4" type="noConversion"/>
  </si>
  <si>
    <t>项      目</t>
  </si>
  <si>
    <t>会计年度（本期）：</t>
    <phoneticPr fontId="4" type="noConversion"/>
  </si>
  <si>
    <t>会计截止（上期）：</t>
    <phoneticPr fontId="4" type="noConversion"/>
  </si>
  <si>
    <t>会计截止（本期）：</t>
    <phoneticPr fontId="4" type="noConversion"/>
  </si>
  <si>
    <t>金额单位：</t>
    <phoneticPr fontId="4" type="noConversion"/>
  </si>
  <si>
    <t>审计单位名称：</t>
    <phoneticPr fontId="4" type="noConversion"/>
  </si>
  <si>
    <t>会计报表</t>
    <phoneticPr fontId="4" type="noConversion"/>
  </si>
  <si>
    <t>底稿编制人：</t>
    <phoneticPr fontId="4" type="noConversion"/>
  </si>
  <si>
    <t xml:space="preserve"> </t>
    <phoneticPr fontId="4" type="noConversion"/>
  </si>
  <si>
    <t>行次</t>
    <phoneticPr fontId="4" type="noConversion"/>
  </si>
  <si>
    <r>
      <t>项</t>
    </r>
    <r>
      <rPr>
        <b/>
        <sz val="12"/>
        <rFont val="Times New Roman"/>
        <family val="1"/>
      </rPr>
      <t xml:space="preserve">                 </t>
    </r>
    <r>
      <rPr>
        <b/>
        <sz val="12"/>
        <rFont val="宋体"/>
        <family val="3"/>
        <charset val="134"/>
      </rPr>
      <t>目</t>
    </r>
    <phoneticPr fontId="4" type="noConversion"/>
  </si>
  <si>
    <r>
      <t>参</t>
    </r>
    <r>
      <rPr>
        <b/>
        <sz val="12"/>
        <rFont val="Times New Roman"/>
        <family val="1"/>
      </rPr>
      <t xml:space="preserve">                 </t>
    </r>
    <r>
      <rPr>
        <b/>
        <sz val="12"/>
        <rFont val="宋体"/>
        <family val="3"/>
        <charset val="134"/>
      </rPr>
      <t>数</t>
    </r>
    <phoneticPr fontId="4" type="noConversion"/>
  </si>
  <si>
    <t>参考格式</t>
    <phoneticPr fontId="4" type="noConversion"/>
  </si>
  <si>
    <t>客户情况</t>
    <phoneticPr fontId="4" type="noConversion"/>
  </si>
  <si>
    <t>审计单位</t>
    <phoneticPr fontId="4" type="noConversion"/>
  </si>
  <si>
    <t>报表类型</t>
    <phoneticPr fontId="4" type="noConversion"/>
  </si>
  <si>
    <t>股份有限公司</t>
    <phoneticPr fontId="4" type="noConversion"/>
  </si>
  <si>
    <t>张一二</t>
    <phoneticPr fontId="4" type="noConversion"/>
  </si>
  <si>
    <t>陈一二</t>
    <phoneticPr fontId="4" type="noConversion"/>
  </si>
  <si>
    <t>王一二</t>
    <phoneticPr fontId="4" type="noConversion"/>
  </si>
  <si>
    <t>刘一二</t>
    <phoneticPr fontId="4" type="noConversion"/>
  </si>
  <si>
    <t>周一二</t>
    <phoneticPr fontId="4" type="noConversion"/>
  </si>
  <si>
    <t>底稿复核人：</t>
    <phoneticPr fontId="4" type="noConversion"/>
  </si>
  <si>
    <t>单位名称：</t>
    <phoneticPr fontId="4" type="noConversion"/>
  </si>
  <si>
    <t>人民币元</t>
    <phoneticPr fontId="4" type="noConversion"/>
  </si>
  <si>
    <t>人民币元</t>
    <phoneticPr fontId="4" type="noConversion"/>
  </si>
  <si>
    <t>报表数值</t>
    <phoneticPr fontId="4" type="noConversion"/>
  </si>
  <si>
    <t>逻辑值</t>
    <phoneticPr fontId="4" type="noConversion"/>
  </si>
  <si>
    <t>判断值</t>
    <phoneticPr fontId="4" type="noConversion"/>
  </si>
  <si>
    <t>本表没有颜色的单元格可以根据需要进行修改</t>
    <phoneticPr fontId="4" type="noConversion"/>
  </si>
  <si>
    <t>项目负责人：</t>
    <phoneticPr fontId="4" type="noConversion"/>
  </si>
  <si>
    <t>参数</t>
  </si>
  <si>
    <t>报表格式</t>
  </si>
  <si>
    <t>报表调整</t>
  </si>
  <si>
    <t>“参数表”</t>
  </si>
  <si>
    <t>“报表格式”</t>
  </si>
  <si>
    <t>账项调整</t>
  </si>
  <si>
    <t>行次</t>
    <phoneticPr fontId="4" type="noConversion"/>
  </si>
  <si>
    <t>上年已审数</t>
    <phoneticPr fontId="4" type="noConversion"/>
  </si>
  <si>
    <t>本年未审数</t>
    <phoneticPr fontId="4" type="noConversion"/>
  </si>
  <si>
    <t>①</t>
    <phoneticPr fontId="4" type="noConversion"/>
  </si>
  <si>
    <t>②</t>
  </si>
  <si>
    <r>
      <t>资</t>
    </r>
    <r>
      <rPr>
        <b/>
        <sz val="10"/>
        <rFont val="Times New Roman"/>
        <family val="1"/>
      </rPr>
      <t xml:space="preserve">           </t>
    </r>
    <r>
      <rPr>
        <b/>
        <sz val="10"/>
        <rFont val="宋体"/>
        <family val="3"/>
        <charset val="134"/>
      </rPr>
      <t>产</t>
    </r>
    <phoneticPr fontId="4" type="noConversion"/>
  </si>
  <si>
    <t>变动额</t>
    <phoneticPr fontId="4" type="noConversion"/>
  </si>
  <si>
    <t>变动％</t>
    <phoneticPr fontId="4" type="noConversion"/>
  </si>
  <si>
    <t>已审数</t>
  </si>
  <si>
    <r>
      <t>分页：</t>
    </r>
    <r>
      <rPr>
        <u/>
        <sz val="10"/>
        <rFont val="Arial Narrow"/>
        <family val="2"/>
      </rPr>
      <t/>
    </r>
    <phoneticPr fontId="4" type="noConversion"/>
  </si>
  <si>
    <t>分子数值</t>
    <phoneticPr fontId="4" type="noConversion"/>
  </si>
  <si>
    <t>分母数值</t>
    <phoneticPr fontId="4" type="noConversion"/>
  </si>
  <si>
    <t>增减</t>
    <phoneticPr fontId="4" type="noConversion"/>
  </si>
  <si>
    <t>结论</t>
    <phoneticPr fontId="4" type="noConversion"/>
  </si>
  <si>
    <t>一、获利能力分析</t>
    <phoneticPr fontId="4" type="noConversion"/>
  </si>
  <si>
    <t>注：</t>
    <phoneticPr fontId="4" type="noConversion"/>
  </si>
  <si>
    <t>未审报表财务比率分析</t>
    <phoneticPr fontId="4" type="noConversion"/>
  </si>
  <si>
    <t>指标值</t>
    <phoneticPr fontId="4" type="noConversion"/>
  </si>
  <si>
    <t>计算公式</t>
    <phoneticPr fontId="4" type="noConversion"/>
  </si>
  <si>
    <t>变动状况（显著/关注)</t>
    <phoneticPr fontId="4" type="noConversion"/>
  </si>
  <si>
    <t>显著变动
原因分析</t>
    <phoneticPr fontId="4" type="noConversion"/>
  </si>
  <si>
    <t>NB</t>
    <phoneticPr fontId="4" type="noConversion"/>
  </si>
  <si>
    <t>说明</t>
  </si>
  <si>
    <r>
      <t>3</t>
    </r>
    <r>
      <rPr>
        <sz val="9"/>
        <rFont val="宋体"/>
        <family val="3"/>
        <charset val="134"/>
      </rPr>
      <t>、流动比率正常值为</t>
    </r>
    <r>
      <rPr>
        <sz val="9"/>
        <rFont val="Times New Roman"/>
        <family val="1"/>
      </rPr>
      <t>2</t>
    </r>
    <r>
      <rPr>
        <sz val="9"/>
        <rFont val="宋体"/>
        <family val="3"/>
        <charset val="134"/>
      </rPr>
      <t>，速动比率正常值为</t>
    </r>
    <r>
      <rPr>
        <sz val="9"/>
        <rFont val="Times New Roman"/>
        <family val="1"/>
      </rPr>
      <t>1</t>
    </r>
    <r>
      <rPr>
        <sz val="9"/>
        <rFont val="宋体"/>
        <family val="3"/>
        <charset val="134"/>
      </rPr>
      <t>，现金比率正常值为</t>
    </r>
    <r>
      <rPr>
        <sz val="9"/>
        <rFont val="Times New Roman"/>
        <family val="1"/>
      </rPr>
      <t>0.3</t>
    </r>
    <r>
      <rPr>
        <sz val="9"/>
        <rFont val="宋体"/>
        <family val="3"/>
        <charset val="134"/>
      </rPr>
      <t>。</t>
    </r>
    <phoneticPr fontId="4" type="noConversion"/>
  </si>
  <si>
    <r>
      <t>1</t>
    </r>
    <r>
      <rPr>
        <sz val="9"/>
        <rFont val="宋体"/>
        <family val="3"/>
        <charset val="134"/>
      </rPr>
      <t>、凡涉及平均数的比率，按期末、期初算术平均计算。</t>
    </r>
    <phoneticPr fontId="4" type="noConversion"/>
  </si>
  <si>
    <t>期末资产总计＝期末负债和股东权益总计</t>
    <phoneticPr fontId="16" type="noConversion"/>
  </si>
  <si>
    <t>期初资产总计＝期初负债和股东权益总计</t>
    <phoneticPr fontId="16" type="noConversion"/>
  </si>
  <si>
    <r>
      <t>B/S</t>
    </r>
    <r>
      <rPr>
        <sz val="10"/>
        <rFont val="宋体"/>
        <family val="3"/>
        <charset val="134"/>
      </rPr>
      <t>期末未分配利润＝</t>
    </r>
    <r>
      <rPr>
        <sz val="10"/>
        <rFont val="Arial Narrow"/>
        <family val="2"/>
      </rPr>
      <t>P/L</t>
    </r>
    <r>
      <rPr>
        <sz val="10"/>
        <rFont val="宋体"/>
        <family val="3"/>
        <charset val="134"/>
      </rPr>
      <t>期末未分配利润</t>
    </r>
    <phoneticPr fontId="16" type="noConversion"/>
  </si>
  <si>
    <r>
      <t>B/S</t>
    </r>
    <r>
      <rPr>
        <sz val="10"/>
        <rFont val="宋体"/>
        <family val="3"/>
        <charset val="134"/>
      </rPr>
      <t>期初未分配利润＝</t>
    </r>
    <r>
      <rPr>
        <sz val="10"/>
        <rFont val="Arial Narrow"/>
        <family val="2"/>
      </rPr>
      <t>P/L</t>
    </r>
    <r>
      <rPr>
        <sz val="10"/>
        <rFont val="宋体"/>
        <family val="3"/>
        <charset val="134"/>
      </rPr>
      <t>期初未分配利润</t>
    </r>
    <phoneticPr fontId="16" type="noConversion"/>
  </si>
  <si>
    <t>期末年初未分配利润＝期初未分配利润</t>
    <phoneticPr fontId="16" type="noConversion"/>
  </si>
  <si>
    <r>
      <t>B/S</t>
    </r>
    <r>
      <rPr>
        <sz val="10"/>
        <rFont val="宋体"/>
        <family val="3"/>
        <charset val="134"/>
      </rPr>
      <t>期末货币资金＝</t>
    </r>
    <r>
      <rPr>
        <sz val="10"/>
        <rFont val="Arial Narrow"/>
        <family val="2"/>
      </rPr>
      <t>Cashflow</t>
    </r>
    <r>
      <rPr>
        <sz val="10"/>
        <rFont val="宋体"/>
        <family val="3"/>
        <charset val="134"/>
      </rPr>
      <t>期末货币资金</t>
    </r>
    <phoneticPr fontId="16" type="noConversion"/>
  </si>
  <si>
    <r>
      <t>B/S</t>
    </r>
    <r>
      <rPr>
        <sz val="10"/>
        <rFont val="宋体"/>
        <family val="3"/>
        <charset val="134"/>
      </rPr>
      <t>期初货币资金＝</t>
    </r>
    <r>
      <rPr>
        <sz val="10"/>
        <rFont val="Arial Narrow"/>
        <family val="2"/>
      </rPr>
      <t>Cashflow</t>
    </r>
    <r>
      <rPr>
        <sz val="10"/>
        <rFont val="宋体"/>
        <family val="3"/>
        <charset val="134"/>
      </rPr>
      <t>期初货币资金</t>
    </r>
    <phoneticPr fontId="16" type="noConversion"/>
  </si>
  <si>
    <r>
      <t>直接法</t>
    </r>
    <r>
      <rPr>
        <sz val="10"/>
        <rFont val="Arial Narrow"/>
        <family val="2"/>
      </rPr>
      <t>OperatingCF</t>
    </r>
    <r>
      <rPr>
        <sz val="10"/>
        <rFont val="宋体"/>
        <family val="3"/>
        <charset val="134"/>
      </rPr>
      <t>＝间接法</t>
    </r>
    <r>
      <rPr>
        <sz val="10"/>
        <rFont val="Arial Narrow"/>
        <family val="2"/>
      </rPr>
      <t>OperatingCF</t>
    </r>
    <phoneticPr fontId="16" type="noConversion"/>
  </si>
  <si>
    <r>
      <t>P/L</t>
    </r>
    <r>
      <rPr>
        <sz val="10"/>
        <rFont val="宋体"/>
        <family val="3"/>
        <charset val="134"/>
      </rPr>
      <t>净利润＝</t>
    </r>
    <r>
      <rPr>
        <sz val="10"/>
        <rFont val="Arial Narrow"/>
        <family val="2"/>
      </rPr>
      <t>Cashflow</t>
    </r>
    <r>
      <rPr>
        <sz val="10"/>
        <rFont val="宋体"/>
        <family val="3"/>
        <charset val="134"/>
      </rPr>
      <t>间接法净利润</t>
    </r>
    <phoneticPr fontId="16" type="noConversion"/>
  </si>
  <si>
    <r>
      <t>Cashflow</t>
    </r>
    <r>
      <rPr>
        <sz val="10"/>
        <rFont val="宋体"/>
        <family val="3"/>
        <charset val="134"/>
      </rPr>
      <t>存货的减少＝</t>
    </r>
    <r>
      <rPr>
        <sz val="10"/>
        <rFont val="Arial Narrow"/>
        <family val="2"/>
      </rPr>
      <t>B/S</t>
    </r>
    <r>
      <rPr>
        <sz val="10"/>
        <rFont val="宋体"/>
        <family val="3"/>
        <charset val="134"/>
      </rPr>
      <t>存货的减少</t>
    </r>
    <phoneticPr fontId="16" type="noConversion"/>
  </si>
  <si>
    <r>
      <t>Cashflow</t>
    </r>
    <r>
      <rPr>
        <sz val="10"/>
        <rFont val="宋体"/>
        <family val="3"/>
        <charset val="134"/>
      </rPr>
      <t>投资收益＝</t>
    </r>
    <r>
      <rPr>
        <sz val="10"/>
        <rFont val="Arial Narrow"/>
        <family val="2"/>
      </rPr>
      <t>P/L</t>
    </r>
    <r>
      <rPr>
        <sz val="10"/>
        <rFont val="宋体"/>
        <family val="3"/>
        <charset val="134"/>
      </rPr>
      <t>投资收益</t>
    </r>
    <phoneticPr fontId="16" type="noConversion"/>
  </si>
  <si>
    <r>
      <t>按净利润的</t>
    </r>
    <r>
      <rPr>
        <sz val="10"/>
        <rFont val="Arial Narrow"/>
        <family val="2"/>
      </rPr>
      <t>10%</t>
    </r>
    <r>
      <rPr>
        <sz val="10"/>
        <rFont val="宋体"/>
        <family val="3"/>
        <charset val="134"/>
      </rPr>
      <t>提取法定盈余公积</t>
    </r>
    <phoneticPr fontId="16" type="noConversion"/>
  </si>
  <si>
    <t>法定代表人：</t>
  </si>
  <si>
    <t>财务负责人：</t>
  </si>
  <si>
    <t>会计主管：</t>
  </si>
  <si>
    <r>
      <t>2</t>
    </r>
    <r>
      <rPr>
        <sz val="9"/>
        <rFont val="宋体"/>
        <family val="3"/>
        <charset val="134"/>
      </rPr>
      <t>、凡是时期数据除时点数据的比率，对时期数据要进行年化处理</t>
    </r>
    <r>
      <rPr>
        <sz val="9"/>
        <rFont val="Times New Roman"/>
        <family val="1"/>
      </rPr>
      <t>(annualized)</t>
    </r>
    <r>
      <rPr>
        <sz val="9"/>
        <rFont val="宋体"/>
        <family val="3"/>
        <charset val="134"/>
      </rPr>
      <t>——本期数据</t>
    </r>
    <r>
      <rPr>
        <sz val="9"/>
        <rFont val="Times New Roman"/>
        <family val="1"/>
      </rPr>
      <t>÷</t>
    </r>
    <r>
      <rPr>
        <sz val="9"/>
        <rFont val="宋体"/>
        <family val="3"/>
        <charset val="134"/>
      </rPr>
      <t>本期月份数×</t>
    </r>
    <r>
      <rPr>
        <sz val="9"/>
        <rFont val="Times New Roman"/>
        <family val="1"/>
      </rPr>
      <t>12</t>
    </r>
    <phoneticPr fontId="4" type="noConversion"/>
  </si>
  <si>
    <t>使用说明：</t>
    <phoneticPr fontId="16" type="noConversion"/>
  </si>
  <si>
    <t>序号</t>
    <phoneticPr fontId="16" type="noConversion"/>
  </si>
  <si>
    <t>目录</t>
    <phoneticPr fontId="16" type="noConversion"/>
  </si>
  <si>
    <t>本工作簿用于单项会计报表审计调整、试算平衡；未审报表及审定报表的横向、纵向、比率分析。</t>
    <phoneticPr fontId="16" type="noConversion"/>
  </si>
  <si>
    <t>本工作簿没有颜色的单元格可以根据需要进行修改，</t>
    <phoneticPr fontId="16" type="noConversion"/>
  </si>
  <si>
    <t>修改时，请在拟修改的单元格直接输入新的内容，请不要使用剪切或拖拽填充功能。</t>
    <phoneticPr fontId="16" type="noConversion"/>
  </si>
  <si>
    <t>请在</t>
    <phoneticPr fontId="16" type="noConversion"/>
  </si>
  <si>
    <t>中没有颜色的单元格中输入项目基本情况，其他工作表相应区域会随之改变。</t>
    <phoneticPr fontId="16" type="noConversion"/>
  </si>
  <si>
    <t>未审报表、试算平衡表（TB）、审定报表、比较分析表的格式由</t>
    <phoneticPr fontId="16" type="noConversion"/>
  </si>
  <si>
    <t>链接控制；</t>
    <phoneticPr fontId="16" type="noConversion"/>
  </si>
  <si>
    <t>如需修改报表科目，请在</t>
    <phoneticPr fontId="16" type="noConversion"/>
  </si>
  <si>
    <t>中没有颜色的单元格区域修改，其他报表会相应改变。</t>
    <phoneticPr fontId="16" type="noConversion"/>
  </si>
  <si>
    <t>可以根据需要插入行，请勿删除行；调整金额会自动链接到试算平衡表，</t>
    <phoneticPr fontId="16" type="noConversion"/>
  </si>
  <si>
    <t>中没有颜色的单元格区域进行修改，并相应修改</t>
    <phoneticPr fontId="16" type="noConversion"/>
  </si>
  <si>
    <t>现金流量表调整</t>
    <phoneticPr fontId="4" type="noConversion"/>
  </si>
  <si>
    <t>原报金额</t>
    <phoneticPr fontId="62" type="noConversion"/>
  </si>
  <si>
    <t>调整金额</t>
    <phoneticPr fontId="62" type="noConversion"/>
  </si>
  <si>
    <t>审定金额</t>
    <phoneticPr fontId="62" type="noConversion"/>
  </si>
  <si>
    <t>股份有限公司</t>
  </si>
  <si>
    <t>非股份有限公司</t>
    <phoneticPr fontId="4" type="noConversion"/>
  </si>
  <si>
    <t>D3</t>
  </si>
  <si>
    <t>D4</t>
  </si>
  <si>
    <t>D5</t>
  </si>
  <si>
    <t>D16</t>
  </si>
  <si>
    <t>D18</t>
  </si>
  <si>
    <t>D19</t>
  </si>
  <si>
    <t>D21</t>
  </si>
  <si>
    <t>D23</t>
  </si>
  <si>
    <t>D25</t>
  </si>
  <si>
    <t>D27</t>
  </si>
  <si>
    <t>E3</t>
  </si>
  <si>
    <t>E4</t>
  </si>
  <si>
    <t>E5</t>
  </si>
  <si>
    <t>E6</t>
  </si>
  <si>
    <t>E7</t>
  </si>
  <si>
    <t>E8</t>
  </si>
  <si>
    <t>E9</t>
  </si>
  <si>
    <t>E10</t>
  </si>
  <si>
    <t>E19</t>
  </si>
  <si>
    <t>E20</t>
  </si>
  <si>
    <t>E21</t>
  </si>
  <si>
    <r>
      <t xml:space="preserve">1999年度 </t>
    </r>
    <r>
      <rPr>
        <sz val="11"/>
        <color indexed="14"/>
        <rFont val="宋体"/>
        <family val="3"/>
        <charset val="134"/>
      </rPr>
      <t>或</t>
    </r>
    <r>
      <rPr>
        <sz val="11"/>
        <rFont val="宋体"/>
        <family val="3"/>
        <charset val="134"/>
      </rPr>
      <t xml:space="preserve"> 1997年10月20日～1998年8月10日</t>
    </r>
    <phoneticPr fontId="4" type="noConversion"/>
  </si>
  <si>
    <r>
      <t xml:space="preserve">2000年度 </t>
    </r>
    <r>
      <rPr>
        <sz val="11"/>
        <color indexed="14"/>
        <rFont val="宋体"/>
        <family val="3"/>
        <charset val="134"/>
      </rPr>
      <t>或</t>
    </r>
    <r>
      <rPr>
        <sz val="11"/>
        <rFont val="宋体"/>
        <family val="3"/>
        <charset val="134"/>
      </rPr>
      <t xml:space="preserve">  1998年8月10日～2000年10月20日</t>
    </r>
    <phoneticPr fontId="4" type="noConversion"/>
  </si>
  <si>
    <r>
      <t xml:space="preserve">1999年12月31日 </t>
    </r>
    <r>
      <rPr>
        <sz val="11"/>
        <color indexed="14"/>
        <rFont val="宋体"/>
        <family val="3"/>
        <charset val="134"/>
      </rPr>
      <t>或</t>
    </r>
    <r>
      <rPr>
        <sz val="11"/>
        <rFont val="宋体"/>
        <family val="3"/>
        <charset val="134"/>
      </rPr>
      <t xml:space="preserve">  1998年8月10日</t>
    </r>
    <phoneticPr fontId="4" type="noConversion"/>
  </si>
  <si>
    <r>
      <t xml:space="preserve">2000年12月31日 </t>
    </r>
    <r>
      <rPr>
        <sz val="11"/>
        <color indexed="14"/>
        <rFont val="宋体"/>
        <family val="3"/>
        <charset val="134"/>
      </rPr>
      <t>或</t>
    </r>
    <r>
      <rPr>
        <sz val="11"/>
        <rFont val="宋体"/>
        <family val="3"/>
        <charset val="134"/>
      </rPr>
      <t xml:space="preserve">  2000年10月20日</t>
    </r>
    <phoneticPr fontId="4" type="noConversion"/>
  </si>
  <si>
    <r>
      <t>股份有限公司</t>
    </r>
    <r>
      <rPr>
        <sz val="11"/>
        <color indexed="14"/>
        <rFont val="宋体"/>
        <family val="3"/>
        <charset val="134"/>
      </rPr>
      <t>或</t>
    </r>
    <r>
      <rPr>
        <sz val="11"/>
        <rFont val="宋体"/>
        <family val="3"/>
        <charset val="134"/>
      </rPr>
      <t>一般企业(执行统一会计制度)</t>
    </r>
    <phoneticPr fontId="4" type="noConversion"/>
  </si>
  <si>
    <t>为方便阅读与核对，未删除利润分配项目。</t>
    <phoneticPr fontId="16" type="noConversion"/>
  </si>
  <si>
    <t>D2</t>
  </si>
  <si>
    <t>D6</t>
  </si>
  <si>
    <t>D7</t>
  </si>
  <si>
    <t>D8</t>
  </si>
  <si>
    <t>D9</t>
  </si>
  <si>
    <t>D10</t>
  </si>
  <si>
    <t>D31</t>
  </si>
  <si>
    <t>E11</t>
  </si>
  <si>
    <t>E12</t>
  </si>
  <si>
    <t>F5</t>
  </si>
  <si>
    <t>F6</t>
  </si>
  <si>
    <t>F7</t>
  </si>
  <si>
    <t>F8</t>
  </si>
  <si>
    <t>G24</t>
  </si>
  <si>
    <t>G27</t>
  </si>
  <si>
    <t>G34</t>
  </si>
  <si>
    <t>G35</t>
  </si>
  <si>
    <t>G44</t>
  </si>
  <si>
    <r>
      <rPr>
        <b/>
        <sz val="10"/>
        <rFont val="宋体"/>
        <family val="3"/>
        <charset val="134"/>
      </rPr>
      <t>资</t>
    </r>
    <r>
      <rPr>
        <b/>
        <sz val="10"/>
        <rFont val="Arial Narrow"/>
        <family val="2"/>
      </rPr>
      <t xml:space="preserve">           </t>
    </r>
    <r>
      <rPr>
        <b/>
        <sz val="10"/>
        <rFont val="宋体"/>
        <family val="3"/>
        <charset val="134"/>
      </rPr>
      <t>产</t>
    </r>
    <phoneticPr fontId="4" type="noConversion"/>
  </si>
  <si>
    <r>
      <rPr>
        <b/>
        <sz val="10"/>
        <rFont val="宋体"/>
        <family val="3"/>
        <charset val="134"/>
      </rPr>
      <t>行次</t>
    </r>
    <phoneticPr fontId="4" type="noConversion"/>
  </si>
  <si>
    <r>
      <rPr>
        <b/>
        <sz val="8.5"/>
        <rFont val="宋体"/>
        <family val="3"/>
        <charset val="134"/>
      </rPr>
      <t>行次</t>
    </r>
    <phoneticPr fontId="4" type="noConversion"/>
  </si>
  <si>
    <r>
      <rPr>
        <b/>
        <sz val="8.5"/>
        <rFont val="宋体"/>
        <family val="3"/>
        <charset val="134"/>
      </rPr>
      <t>补</t>
    </r>
    <r>
      <rPr>
        <b/>
        <sz val="8.5"/>
        <rFont val="Arial Narrow"/>
        <family val="2"/>
      </rPr>
      <t xml:space="preserve">    </t>
    </r>
    <r>
      <rPr>
        <b/>
        <sz val="8.5"/>
        <rFont val="宋体"/>
        <family val="3"/>
        <charset val="134"/>
      </rPr>
      <t>充</t>
    </r>
    <r>
      <rPr>
        <b/>
        <sz val="8.5"/>
        <rFont val="Arial Narrow"/>
        <family val="2"/>
      </rPr>
      <t xml:space="preserve">    </t>
    </r>
    <r>
      <rPr>
        <b/>
        <sz val="8.5"/>
        <rFont val="宋体"/>
        <family val="3"/>
        <charset val="134"/>
      </rPr>
      <t>资</t>
    </r>
    <r>
      <rPr>
        <b/>
        <sz val="8.5"/>
        <rFont val="Arial Narrow"/>
        <family val="2"/>
      </rPr>
      <t xml:space="preserve">    </t>
    </r>
    <r>
      <rPr>
        <b/>
        <sz val="8.5"/>
        <rFont val="宋体"/>
        <family val="3"/>
        <charset val="134"/>
      </rPr>
      <t>料</t>
    </r>
    <phoneticPr fontId="4" type="noConversion"/>
  </si>
  <si>
    <t>致同会计师事务所</t>
  </si>
  <si>
    <r>
      <t>现金流量表</t>
    </r>
    <r>
      <rPr>
        <b/>
        <sz val="14"/>
        <rFont val="Arial Narrow"/>
        <family val="2"/>
      </rPr>
      <t>-</t>
    </r>
    <r>
      <rPr>
        <b/>
        <sz val="14"/>
        <rFont val="宋体"/>
        <family val="3"/>
        <charset val="134"/>
      </rPr>
      <t>主表核查记录</t>
    </r>
    <phoneticPr fontId="4" type="noConversion"/>
  </si>
  <si>
    <t>索引：</t>
    <phoneticPr fontId="4" type="noConversion"/>
  </si>
  <si>
    <t>页次：</t>
    <phoneticPr fontId="4" type="noConversion"/>
  </si>
  <si>
    <t>项目</t>
  </si>
  <si>
    <t>测算数</t>
    <phoneticPr fontId="4" type="noConversion"/>
  </si>
  <si>
    <t>有关测算依据</t>
    <phoneticPr fontId="4" type="noConversion"/>
  </si>
  <si>
    <t>3</t>
    <phoneticPr fontId="4" type="noConversion"/>
  </si>
  <si>
    <t>4</t>
    <phoneticPr fontId="4" type="noConversion"/>
  </si>
  <si>
    <t>一、经营活动产生的现金流量：</t>
    <phoneticPr fontId="4" type="noConversion"/>
  </si>
  <si>
    <t>销售商品、提供劳务收到的现金</t>
  </si>
  <si>
    <t xml:space="preserve"> = 营业收入</t>
    <phoneticPr fontId="4" type="noConversion"/>
  </si>
  <si>
    <t>＋应收账款期初余额-应收账款期末余额</t>
  </si>
  <si>
    <t>＋应收票据期初余额-应收票据期末余额</t>
  </si>
  <si>
    <t>＋预收账款期末余额-预收账款期初余额</t>
  </si>
  <si>
    <t>＋当期收回前期核销的坏账</t>
  </si>
  <si>
    <t>—以非现金资产抵偿债务而减少的应收账款和应收票据</t>
  </si>
  <si>
    <t>—当期核销的坏账</t>
  </si>
  <si>
    <t>—票据贴现的利息</t>
  </si>
  <si>
    <t>＋当期收到的销项税</t>
  </si>
  <si>
    <t>＋其他</t>
  </si>
  <si>
    <t>小计</t>
    <phoneticPr fontId="4" type="noConversion"/>
  </si>
  <si>
    <t>收到的税费返还</t>
  </si>
  <si>
    <r>
      <t xml:space="preserve">= </t>
    </r>
    <r>
      <rPr>
        <sz val="9"/>
        <rFont val="宋体"/>
        <family val="3"/>
        <charset val="134"/>
      </rPr>
      <t>增值税退税：</t>
    </r>
    <phoneticPr fontId="4" type="noConversion"/>
  </si>
  <si>
    <r>
      <t xml:space="preserve"> </t>
    </r>
    <r>
      <rPr>
        <sz val="9"/>
        <rFont val="宋体"/>
        <family val="3"/>
        <charset val="134"/>
      </rPr>
      <t>实际收到的出口退税</t>
    </r>
    <r>
      <rPr>
        <sz val="9"/>
        <rFont val="Arial Narrow"/>
        <family val="2"/>
      </rPr>
      <t>(</t>
    </r>
    <r>
      <rPr>
        <sz val="9"/>
        <rFont val="宋体"/>
        <family val="3"/>
        <charset val="134"/>
      </rPr>
      <t>不包括用于抵减内销产品应纳税额的部分</t>
    </r>
    <r>
      <rPr>
        <sz val="9"/>
        <rFont val="Arial Narrow"/>
        <family val="2"/>
      </rPr>
      <t>)=</t>
    </r>
    <r>
      <rPr>
        <sz val="9"/>
        <rFont val="宋体"/>
        <family val="3"/>
        <charset val="134"/>
      </rPr>
      <t>根据应收补贴款账户以及应交增值税</t>
    </r>
    <r>
      <rPr>
        <sz val="9"/>
        <rFont val="Arial Narrow"/>
        <family val="2"/>
      </rPr>
      <t>(</t>
    </r>
    <r>
      <rPr>
        <sz val="9"/>
        <rFont val="宋体"/>
        <family val="3"/>
        <charset val="134"/>
      </rPr>
      <t>出口退税</t>
    </r>
    <r>
      <rPr>
        <sz val="9"/>
        <rFont val="Arial Narrow"/>
        <family val="2"/>
      </rPr>
      <t>)</t>
    </r>
    <r>
      <rPr>
        <sz val="9"/>
        <rFont val="宋体"/>
        <family val="3"/>
        <charset val="134"/>
      </rPr>
      <t>专栏分析确定</t>
    </r>
    <phoneticPr fontId="4" type="noConversion"/>
  </si>
  <si>
    <r>
      <t xml:space="preserve"> </t>
    </r>
    <r>
      <rPr>
        <sz val="9"/>
        <rFont val="宋体"/>
        <family val="3"/>
        <charset val="134"/>
      </rPr>
      <t>先征后返增值税</t>
    </r>
    <r>
      <rPr>
        <sz val="9"/>
        <rFont val="Arial Narrow"/>
        <family val="2"/>
      </rPr>
      <t>=</t>
    </r>
    <r>
      <rPr>
        <sz val="9"/>
        <rFont val="宋体"/>
        <family val="3"/>
        <charset val="134"/>
      </rPr>
      <t>补贴收入</t>
    </r>
    <r>
      <rPr>
        <sz val="9"/>
        <rFont val="Arial Narrow"/>
        <family val="2"/>
      </rPr>
      <t>(</t>
    </r>
    <r>
      <rPr>
        <sz val="9"/>
        <rFont val="宋体"/>
        <family val="3"/>
        <charset val="134"/>
      </rPr>
      <t>返还增值税</t>
    </r>
    <r>
      <rPr>
        <sz val="9"/>
        <rFont val="Arial Narrow"/>
        <family val="2"/>
      </rPr>
      <t>)</t>
    </r>
    <r>
      <rPr>
        <sz val="9"/>
        <rFont val="宋体"/>
        <family val="3"/>
        <charset val="134"/>
      </rPr>
      <t>账户发生额</t>
    </r>
  </si>
  <si>
    <r>
      <rPr>
        <sz val="9"/>
        <rFont val="宋体"/>
        <family val="3"/>
        <charset val="134"/>
      </rPr>
      <t>＋</t>
    </r>
    <r>
      <rPr>
        <sz val="9"/>
        <rFont val="宋体"/>
        <family val="3"/>
        <charset val="134"/>
      </rPr>
      <t>所得税退税</t>
    </r>
    <phoneticPr fontId="4" type="noConversion"/>
  </si>
  <si>
    <r>
      <t xml:space="preserve"> </t>
    </r>
    <r>
      <rPr>
        <sz val="9"/>
        <rFont val="宋体"/>
        <family val="3"/>
        <charset val="134"/>
      </rPr>
      <t>所得税账户当期退税数</t>
    </r>
  </si>
  <si>
    <r>
      <rPr>
        <sz val="9"/>
        <rFont val="宋体"/>
        <family val="3"/>
        <charset val="134"/>
      </rPr>
      <t>＋</t>
    </r>
    <r>
      <rPr>
        <sz val="9"/>
        <rFont val="宋体"/>
        <family val="3"/>
        <charset val="134"/>
      </rPr>
      <t>先征后返的消费税、营业税</t>
    </r>
    <phoneticPr fontId="4" type="noConversion"/>
  </si>
  <si>
    <r>
      <t xml:space="preserve"> </t>
    </r>
    <r>
      <rPr>
        <sz val="9"/>
        <rFont val="宋体"/>
        <family val="3"/>
        <charset val="134"/>
      </rPr>
      <t>根据营业税金及附加、其他业务支出等账户发生额分析确定</t>
    </r>
    <phoneticPr fontId="4" type="noConversion"/>
  </si>
  <si>
    <t>收到的其他与经营活动有关的现金</t>
  </si>
  <si>
    <t>+ 财务费用-利息收入</t>
    <phoneticPr fontId="4" type="noConversion"/>
  </si>
  <si>
    <t>+ 营业外收入（扣除处置长期资产利得、债务重组等）</t>
    <phoneticPr fontId="4" type="noConversion"/>
  </si>
  <si>
    <t>经营活动现金流入小计</t>
    <phoneticPr fontId="4" type="noConversion"/>
  </si>
  <si>
    <t>购买商品、接受劳务支付的现金</t>
  </si>
  <si>
    <t>= 营业成本</t>
    <phoneticPr fontId="4" type="noConversion"/>
  </si>
  <si>
    <t>- 当期以非现金资产清偿债务减少的应付账款和应付票据</t>
    <phoneticPr fontId="4" type="noConversion"/>
  </si>
  <si>
    <t>+ 进项税</t>
    <phoneticPr fontId="4" type="noConversion"/>
  </si>
  <si>
    <t>- 进行税额转出</t>
    <phoneticPr fontId="4" type="noConversion"/>
  </si>
  <si>
    <t>- 计入生产成本、制造费用的折旧费</t>
    <phoneticPr fontId="4" type="noConversion"/>
  </si>
  <si>
    <t>- 计入生产成本、制造费用的工资</t>
    <phoneticPr fontId="4" type="noConversion"/>
  </si>
  <si>
    <t>- 计入生产成本、制造费用的福利费</t>
    <phoneticPr fontId="4" type="noConversion"/>
  </si>
  <si>
    <t>＋当期支付的在管理费用中列支的购买商品和接受劳务费用</t>
    <phoneticPr fontId="4" type="noConversion"/>
  </si>
  <si>
    <t>＋当期支付的在营业费用中列支的购买商品和接受劳务费用</t>
    <phoneticPr fontId="4" type="noConversion"/>
  </si>
  <si>
    <t>+ 其他</t>
    <phoneticPr fontId="4" type="noConversion"/>
  </si>
  <si>
    <t>支付给职工以及为职工支付的现金</t>
  </si>
  <si>
    <t>= 应付工资借方发生额</t>
    <phoneticPr fontId="4" type="noConversion"/>
  </si>
  <si>
    <t>- 支付的在建工程人员的工资等，在“购建固定资产、无形资产和其他长期资产所支付的现金”项目反映。</t>
    <phoneticPr fontId="4" type="noConversion"/>
  </si>
  <si>
    <t>＋ 其他</t>
    <phoneticPr fontId="4" type="noConversion"/>
  </si>
  <si>
    <t>小计</t>
    <phoneticPr fontId="4" type="noConversion"/>
  </si>
  <si>
    <t>支付的各项税费</t>
  </si>
  <si>
    <t>= 应交税费借方发生额</t>
    <phoneticPr fontId="4" type="noConversion"/>
  </si>
  <si>
    <t>- 其中个人所得税本期支付金额</t>
    <phoneticPr fontId="4" type="noConversion"/>
  </si>
  <si>
    <t>＋当期支付的直接列入管理费用的印花税等税费</t>
    <phoneticPr fontId="4" type="noConversion"/>
  </si>
  <si>
    <t>支付的其他与经营活动有关的现金</t>
  </si>
  <si>
    <t>= 管理费用</t>
    <phoneticPr fontId="4" type="noConversion"/>
  </si>
  <si>
    <t>- 管理费用中的固定资产折旧、无形资产摊销、低值易耗品摊销</t>
    <phoneticPr fontId="4" type="noConversion"/>
  </si>
  <si>
    <t>- 管理费用中的职工薪酬等</t>
    <phoneticPr fontId="4" type="noConversion"/>
  </si>
  <si>
    <t>- 管理费用中的税费等</t>
    <phoneticPr fontId="4" type="noConversion"/>
  </si>
  <si>
    <t>+ 销售费用</t>
    <phoneticPr fontId="4" type="noConversion"/>
  </si>
  <si>
    <t>- 销售费用中的固定资产折旧、无形资产摊销、低值易耗品摊销</t>
    <phoneticPr fontId="4" type="noConversion"/>
  </si>
  <si>
    <t>- 销售费用中的职工薪酬等</t>
    <phoneticPr fontId="4" type="noConversion"/>
  </si>
  <si>
    <t>- 销售费用中的税费等</t>
    <phoneticPr fontId="4" type="noConversion"/>
  </si>
  <si>
    <t>+ 营业外支出(捐赠支出、罚款支出等)</t>
    <phoneticPr fontId="4" type="noConversion"/>
  </si>
  <si>
    <t>＋ 其他</t>
    <phoneticPr fontId="4" type="noConversion"/>
  </si>
  <si>
    <t>小计</t>
    <phoneticPr fontId="4" type="noConversion"/>
  </si>
  <si>
    <t>经营活动现金流出小计</t>
    <phoneticPr fontId="4" type="noConversion"/>
  </si>
  <si>
    <t>经营活动产生的现金流量净额</t>
  </si>
  <si>
    <t>二、投资活动产生的现金流量：</t>
    <phoneticPr fontId="4" type="noConversion"/>
  </si>
  <si>
    <t>收回投资所收到的现金</t>
  </si>
  <si>
    <t>＋ 长期股权投资(股票投资贷方发生额)</t>
  </si>
  <si>
    <t>＋ 长期股权投资(其他股权投资贷方发生额-收回固定资产或
 其他非现金资产的入账净值)</t>
  </si>
  <si>
    <t>＋ 长期债权投资(债券投资面值贷方发生额)</t>
  </si>
  <si>
    <t>＋ 长期债权投资(其他债权投资本金贷方发生额)</t>
  </si>
  <si>
    <t>取得投资收益所收到的现金</t>
  </si>
  <si>
    <t>处置固定资产、无形资产和其他长期资产所收回的现金净额</t>
  </si>
  <si>
    <t>处置子公司及其他营业单位收到的现金净额</t>
  </si>
  <si>
    <t>收到的其他与投资活动有关的现金</t>
  </si>
  <si>
    <t>小计</t>
    <phoneticPr fontId="4" type="noConversion"/>
  </si>
  <si>
    <t>投资活动现金流入小计</t>
    <phoneticPr fontId="4" type="noConversion"/>
  </si>
  <si>
    <t>购建固定资产、无形资产和其他资产所支付的现金</t>
  </si>
  <si>
    <r>
      <t xml:space="preserve">+ </t>
    </r>
    <r>
      <rPr>
        <sz val="9"/>
        <rFont val="宋体"/>
        <family val="3"/>
        <charset val="134"/>
      </rPr>
      <t>投资性房地产原值本期购置增加</t>
    </r>
    <phoneticPr fontId="4" type="noConversion"/>
  </si>
  <si>
    <r>
      <rPr>
        <sz val="9"/>
        <rFont val="Arial Narrow"/>
        <family val="2"/>
      </rPr>
      <t xml:space="preserve">+ </t>
    </r>
    <r>
      <rPr>
        <sz val="9"/>
        <rFont val="宋体"/>
        <family val="3"/>
        <charset val="134"/>
      </rPr>
      <t>无形资产原值本期购置增加</t>
    </r>
    <phoneticPr fontId="4" type="noConversion"/>
  </si>
  <si>
    <r>
      <rPr>
        <sz val="9"/>
        <rFont val="Arial Narrow"/>
        <family val="2"/>
      </rPr>
      <t xml:space="preserve">+ </t>
    </r>
    <r>
      <rPr>
        <sz val="9"/>
        <rFont val="宋体"/>
        <family val="3"/>
        <charset val="134"/>
      </rPr>
      <t>固定资产原值本期购置增加</t>
    </r>
    <phoneticPr fontId="4" type="noConversion"/>
  </si>
  <si>
    <t>+ 固定资产采购进项税额</t>
    <phoneticPr fontId="4" type="noConversion"/>
  </si>
  <si>
    <r>
      <rPr>
        <sz val="9"/>
        <rFont val="Arial Narrow"/>
        <family val="2"/>
      </rPr>
      <t xml:space="preserve">+ </t>
    </r>
    <r>
      <rPr>
        <sz val="9"/>
        <rFont val="宋体"/>
        <family val="3"/>
        <charset val="134"/>
      </rPr>
      <t>在建工程原值本期购置增加</t>
    </r>
    <phoneticPr fontId="4" type="noConversion"/>
  </si>
  <si>
    <r>
      <rPr>
        <sz val="9"/>
        <rFont val="Arial Narrow"/>
        <family val="2"/>
      </rPr>
      <t xml:space="preserve">+ </t>
    </r>
    <r>
      <rPr>
        <sz val="9"/>
        <rFont val="宋体"/>
        <family val="3"/>
        <charset val="134"/>
      </rPr>
      <t>工程物资原值本期增加</t>
    </r>
    <r>
      <rPr>
        <sz val="9"/>
        <rFont val="Arial Narrow"/>
        <family val="2"/>
      </rPr>
      <t/>
    </r>
    <phoneticPr fontId="4" type="noConversion"/>
  </si>
  <si>
    <r>
      <rPr>
        <sz val="9"/>
        <rFont val="Arial Narrow"/>
        <family val="2"/>
      </rPr>
      <t xml:space="preserve">+ </t>
    </r>
    <r>
      <rPr>
        <sz val="9"/>
        <rFont val="宋体"/>
        <family val="3"/>
        <charset val="134"/>
      </rPr>
      <t>开发支出原值本期增加</t>
    </r>
    <r>
      <rPr>
        <sz val="9"/>
        <rFont val="Arial Narrow"/>
        <family val="2"/>
      </rPr>
      <t/>
    </r>
    <phoneticPr fontId="4" type="noConversion"/>
  </si>
  <si>
    <t>+ 本期长期待摊费用及其他长期资产的增加</t>
    <phoneticPr fontId="4" type="noConversion"/>
  </si>
  <si>
    <t>+ 预付账款的增加（设备及工程）</t>
    <phoneticPr fontId="4" type="noConversion"/>
  </si>
  <si>
    <t>+ 应付账款的减少（设备及工程）</t>
    <phoneticPr fontId="4" type="noConversion"/>
  </si>
  <si>
    <t>+ 其他应付款的减少（长期资产款项）</t>
    <phoneticPr fontId="4" type="noConversion"/>
  </si>
  <si>
    <t>+ 其他应付款的增加（长期资产款项）</t>
    <phoneticPr fontId="4" type="noConversion"/>
  </si>
  <si>
    <t>投资所支付的现金</t>
  </si>
  <si>
    <t>+ 其他</t>
    <phoneticPr fontId="4" type="noConversion"/>
  </si>
  <si>
    <t>取得子公司及其他营业单位支付的现金净额</t>
  </si>
  <si>
    <t>支付的其他与投资活动有关的现金</t>
  </si>
  <si>
    <t>投资活动现金流出小计</t>
    <phoneticPr fontId="4" type="noConversion"/>
  </si>
  <si>
    <t>投资活动产生的现金流量净额</t>
  </si>
  <si>
    <t>三、筹资活动产生的现金流量：</t>
    <phoneticPr fontId="4" type="noConversion"/>
  </si>
  <si>
    <t>吸收投资所收到的现金</t>
  </si>
  <si>
    <t>= 股本（实收资本）期末余额-股本（实收资本）期初余额</t>
    <phoneticPr fontId="4" type="noConversion"/>
  </si>
  <si>
    <t>+ 资本公积（资本/股本溢价）期末余额-资本公积（资本/股本溢价）期初余额</t>
    <phoneticPr fontId="4" type="noConversion"/>
  </si>
  <si>
    <t>其中:子公司吸收少数股东权益性投资收到的现金</t>
  </si>
  <si>
    <t>取得借款所收到的现金</t>
  </si>
  <si>
    <t>= 短期借款本期增加金额</t>
    <phoneticPr fontId="4" type="noConversion"/>
  </si>
  <si>
    <t>+ 长期借款本期增加金额</t>
    <phoneticPr fontId="4" type="noConversion"/>
  </si>
  <si>
    <t>收到的其他与筹资活动有关的现金</t>
  </si>
  <si>
    <t>= 应付债券本期增加金额</t>
    <phoneticPr fontId="4" type="noConversion"/>
  </si>
  <si>
    <t>筹资活动现金流入小计</t>
    <phoneticPr fontId="4" type="noConversion"/>
  </si>
  <si>
    <t>偿还债务所支付的现金</t>
  </si>
  <si>
    <t>小计</t>
    <phoneticPr fontId="4" type="noConversion"/>
  </si>
  <si>
    <t>分配股利、利润或偿付利息所支付的现金</t>
  </si>
  <si>
    <t>其中:子公司支付少数股东的现金股利</t>
  </si>
  <si>
    <t>其中:子公司减资支付给少数股东的现金</t>
  </si>
  <si>
    <t>筹资活动现金流出小计</t>
    <phoneticPr fontId="4" type="noConversion"/>
  </si>
  <si>
    <t>筹资活动产生的现金流量净额</t>
  </si>
  <si>
    <t>四、汇率变动对现金及现金等价物的影响</t>
    <phoneticPr fontId="4" type="noConversion"/>
  </si>
  <si>
    <t>五、现金及现金等价物净增加额</t>
    <phoneticPr fontId="4" type="noConversion"/>
  </si>
  <si>
    <t>加：期初现金及现金等价物余额</t>
  </si>
  <si>
    <t>六、期末现金及现金等价物余额</t>
    <phoneticPr fontId="4" type="noConversion"/>
  </si>
  <si>
    <t>编制说明：</t>
    <phoneticPr fontId="16" type="noConversion"/>
  </si>
  <si>
    <r>
      <t>1</t>
    </r>
    <r>
      <rPr>
        <sz val="10"/>
        <color indexed="12"/>
        <rFont val="宋体"/>
        <family val="3"/>
        <charset val="134"/>
      </rPr>
      <t>、建议先确定筹资活动、投资活动的现金流量，然后再确定经营活动的现金流量。</t>
    </r>
    <phoneticPr fontId="16" type="noConversion"/>
  </si>
  <si>
    <r>
      <t>“</t>
    </r>
    <r>
      <rPr>
        <sz val="10"/>
        <color indexed="12"/>
        <rFont val="宋体"/>
        <family val="3"/>
        <charset val="134"/>
      </rPr>
      <t>经营活动，是指企业投资活动和筹资活动以外的所有交易和事项。</t>
    </r>
    <r>
      <rPr>
        <sz val="10"/>
        <color indexed="12"/>
        <rFont val="Arial Narrow"/>
        <family val="2"/>
      </rPr>
      <t>”</t>
    </r>
    <phoneticPr fontId="16" type="noConversion"/>
  </si>
  <si>
    <r>
      <t>2</t>
    </r>
    <r>
      <rPr>
        <sz val="10"/>
        <color indexed="12"/>
        <rFont val="宋体"/>
        <family val="3"/>
        <charset val="134"/>
      </rPr>
      <t>、销售商品、提供劳务收到的现金：包括销售收入和应向购买者收取的增值税销项税额。企业销售材料和代购代销业务收到的现金，也在本项目反映。</t>
    </r>
    <phoneticPr fontId="16" type="noConversion"/>
  </si>
  <si>
    <r>
      <t>3</t>
    </r>
    <r>
      <rPr>
        <sz val="10"/>
        <color indexed="12"/>
        <rFont val="宋体"/>
        <family val="3"/>
        <charset val="134"/>
      </rPr>
      <t>、收到的税费返还：反映企业收到返还的各种税费，如收到的增值税、营业税、所得税、消费税、关税和教育费附加返还款等。</t>
    </r>
    <phoneticPr fontId="16" type="noConversion"/>
  </si>
  <si>
    <r>
      <t>4</t>
    </r>
    <r>
      <rPr>
        <sz val="10"/>
        <color indexed="12"/>
        <rFont val="宋体"/>
        <family val="3"/>
        <charset val="134"/>
      </rPr>
      <t>、购买商品、接受劳务支付的现金：反映企业购买材料、商品、接受劳务实际支付的现金，包括支付的货款以及与货款一并支付的增值税进项税额。</t>
    </r>
    <phoneticPr fontId="16" type="noConversion"/>
  </si>
  <si>
    <r>
      <t>5</t>
    </r>
    <r>
      <rPr>
        <sz val="10"/>
        <color indexed="12"/>
        <rFont val="宋体"/>
        <family val="3"/>
        <charset val="134"/>
      </rPr>
      <t>、支付给职工以及为职工支付的现金：反映企业实际支付给职工的现金以及为职工支付的现金，包括企业为获得职工提供的服务，本期实际给予各种形式的报酬</t>
    </r>
    <phoneticPr fontId="16" type="noConversion"/>
  </si>
  <si>
    <t>以及其他相关支出，如支付给职工的工资、奖金、各种津贴和补贴等，以及为职工支付的其他费用，不包括支付给在建工程人员的工资。</t>
    <phoneticPr fontId="16" type="noConversion"/>
  </si>
  <si>
    <r>
      <t>6</t>
    </r>
    <r>
      <rPr>
        <sz val="10"/>
        <color indexed="12"/>
        <rFont val="宋体"/>
        <family val="3"/>
        <charset val="134"/>
      </rPr>
      <t>、支付的各项税费：反映企业按规定支付的各项税费，包括本期发生并支付的税费，以及本期支付以前各期发生的税费和预交的税金，如支付的营业税、</t>
    </r>
    <phoneticPr fontId="16" type="noConversion"/>
  </si>
  <si>
    <t>增值税、消费税、所得税教育费附加、印花税、房产税、土地增值税、车船使用税等。</t>
  </si>
  <si>
    <r>
      <t>7</t>
    </r>
    <r>
      <rPr>
        <sz val="10"/>
        <color indexed="12"/>
        <rFont val="宋体"/>
        <family val="3"/>
        <charset val="134"/>
      </rPr>
      <t>、收回投资收到的现金：反映企业出售、转让或到期收回除现金等价物以外的交易性金融资产、持有至到期投资、可供出售金融资产、长期股权投资、</t>
    </r>
    <phoneticPr fontId="16" type="noConversion"/>
  </si>
  <si>
    <t>长期债权投资等而收到的现金。</t>
    <phoneticPr fontId="16" type="noConversion"/>
  </si>
  <si>
    <t>不包括债权性投资收回的利息、收回的非现金资产，以及处置子公司及其他营业单位收到的现金净额。</t>
    <phoneticPr fontId="16" type="noConversion"/>
  </si>
  <si>
    <t>根据“交易性金融资产”、“持有至到期投资”、“可供出售金融资产”、“长期股权投资”、“库存现金”、“银行存款”等科目的记录分析填列。</t>
  </si>
  <si>
    <r>
      <t>8</t>
    </r>
    <r>
      <rPr>
        <sz val="10"/>
        <color indexed="12"/>
        <rFont val="宋体"/>
        <family val="3"/>
        <charset val="134"/>
      </rPr>
      <t>、取得投资收益收到的现金：反映企业因股权性投资而分得的现金股利，因债权性投资而取得的现金利息收入。</t>
    </r>
    <phoneticPr fontId="16" type="noConversion"/>
  </si>
  <si>
    <r>
      <t>测算：股权投资分得股利</t>
    </r>
    <r>
      <rPr>
        <sz val="10"/>
        <color indexed="12"/>
        <rFont val="Arial Narrow"/>
        <family val="2"/>
      </rPr>
      <t>+</t>
    </r>
    <r>
      <rPr>
        <sz val="10"/>
        <color indexed="12"/>
        <rFont val="宋体"/>
        <family val="3"/>
        <charset val="134"/>
      </rPr>
      <t>联营合营企业分得的利润</t>
    </r>
    <r>
      <rPr>
        <sz val="10"/>
        <color indexed="12"/>
        <rFont val="Arial Narrow"/>
        <family val="2"/>
      </rPr>
      <t>+</t>
    </r>
    <r>
      <rPr>
        <sz val="10"/>
        <color indexed="12"/>
        <rFont val="宋体"/>
        <family val="3"/>
        <charset val="134"/>
      </rPr>
      <t>委托贷款利息</t>
    </r>
    <r>
      <rPr>
        <sz val="10"/>
        <color indexed="12"/>
        <rFont val="Arial Narrow"/>
        <family val="2"/>
      </rPr>
      <t>+</t>
    </r>
    <r>
      <rPr>
        <sz val="10"/>
        <color indexed="12"/>
        <rFont val="宋体"/>
        <family val="3"/>
        <charset val="134"/>
      </rPr>
      <t>出售或收回长期投资实际收回价款大于账面净值差额</t>
    </r>
    <phoneticPr fontId="16" type="noConversion"/>
  </si>
  <si>
    <r>
      <t>9</t>
    </r>
    <r>
      <rPr>
        <sz val="10"/>
        <color indexed="12"/>
        <rFont val="宋体"/>
        <family val="3"/>
        <charset val="134"/>
      </rPr>
      <t>、处置固定资产、无形资产和其他长期资产收回的现金净额：反映企业出售固定资产、无形资产和其他长期资产（如投资性房地产）所取得的现金，</t>
    </r>
    <phoneticPr fontId="16" type="noConversion"/>
  </si>
  <si>
    <t>减去为处置这些资产而支付的有关税费用后的净额。</t>
    <phoneticPr fontId="16" type="noConversion"/>
  </si>
  <si>
    <r>
      <t>测算：处置收入</t>
    </r>
    <r>
      <rPr>
        <sz val="10"/>
        <color indexed="12"/>
        <rFont val="Arial Narrow"/>
        <family val="2"/>
      </rPr>
      <t>-</t>
    </r>
    <r>
      <rPr>
        <sz val="10"/>
        <color indexed="12"/>
        <rFont val="宋体"/>
        <family val="3"/>
        <charset val="134"/>
      </rPr>
      <t>处置费用</t>
    </r>
    <r>
      <rPr>
        <sz val="10"/>
        <color indexed="12"/>
        <rFont val="Arial Narrow"/>
        <family val="2"/>
      </rPr>
      <t>+</t>
    </r>
    <r>
      <rPr>
        <sz val="10"/>
        <color indexed="12"/>
        <rFont val="宋体"/>
        <family val="3"/>
        <charset val="134"/>
      </rPr>
      <t>非常损失所收到的保险赔偿收入</t>
    </r>
    <phoneticPr fontId="16" type="noConversion"/>
  </si>
  <si>
    <r>
      <t>如为负数，则应作为投资活动产生的现金流量，在</t>
    </r>
    <r>
      <rPr>
        <sz val="10"/>
        <color indexed="12"/>
        <rFont val="Arial Narrow"/>
        <family val="2"/>
      </rPr>
      <t>“</t>
    </r>
    <r>
      <rPr>
        <sz val="10"/>
        <color indexed="12"/>
        <rFont val="宋体"/>
        <family val="3"/>
        <charset val="134"/>
      </rPr>
      <t>支付的其他与投资活动有关的现金</t>
    </r>
    <r>
      <rPr>
        <sz val="10"/>
        <color indexed="12"/>
        <rFont val="Arial Narrow"/>
        <family val="2"/>
      </rPr>
      <t>”</t>
    </r>
    <r>
      <rPr>
        <sz val="10"/>
        <color indexed="12"/>
        <rFont val="宋体"/>
        <family val="3"/>
        <charset val="134"/>
      </rPr>
      <t>项目中反映。</t>
    </r>
    <phoneticPr fontId="16" type="noConversion"/>
  </si>
  <si>
    <r>
      <t>10</t>
    </r>
    <r>
      <rPr>
        <sz val="10"/>
        <color indexed="12"/>
        <rFont val="宋体"/>
        <family val="3"/>
        <charset val="134"/>
      </rPr>
      <t>、处置子公司及其他营业单位收到的现金净额：反映企业处置子公司及其他营业单位所取得的现金减去子公司或其他营业单位持有的现金和</t>
    </r>
    <phoneticPr fontId="16" type="noConversion"/>
  </si>
  <si>
    <t>现金等价物以及相关处置费用后的净额。</t>
    <phoneticPr fontId="16" type="noConversion"/>
  </si>
  <si>
    <r>
      <t>测算：处置价款中收到的现金</t>
    </r>
    <r>
      <rPr>
        <sz val="10"/>
        <color indexed="12"/>
        <rFont val="Arial Narrow"/>
        <family val="2"/>
      </rPr>
      <t>-</t>
    </r>
    <r>
      <rPr>
        <sz val="10"/>
        <color indexed="12"/>
        <rFont val="宋体"/>
        <family val="3"/>
        <charset val="134"/>
      </rPr>
      <t>子公司或其他营业单位持有的现金和现金等价物</t>
    </r>
    <r>
      <rPr>
        <sz val="10"/>
        <color indexed="12"/>
        <rFont val="Arial Narrow"/>
        <family val="2"/>
      </rPr>
      <t>-</t>
    </r>
    <r>
      <rPr>
        <sz val="10"/>
        <color indexed="12"/>
        <rFont val="宋体"/>
        <family val="3"/>
        <charset val="134"/>
      </rPr>
      <t>相关处置费用</t>
    </r>
    <phoneticPr fontId="16" type="noConversion"/>
  </si>
  <si>
    <r>
      <t>如为负数，则将该金额填列至</t>
    </r>
    <r>
      <rPr>
        <sz val="10"/>
        <color indexed="12"/>
        <rFont val="Arial Narrow"/>
        <family val="2"/>
      </rPr>
      <t>“</t>
    </r>
    <r>
      <rPr>
        <sz val="10"/>
        <color indexed="12"/>
        <rFont val="宋体"/>
        <family val="3"/>
        <charset val="134"/>
      </rPr>
      <t>支付其他与投资活动有关的现金</t>
    </r>
    <r>
      <rPr>
        <sz val="10"/>
        <color indexed="12"/>
        <rFont val="Arial Narrow"/>
        <family val="2"/>
      </rPr>
      <t>”</t>
    </r>
    <r>
      <rPr>
        <sz val="10"/>
        <color indexed="12"/>
        <rFont val="宋体"/>
        <family val="3"/>
        <charset val="134"/>
      </rPr>
      <t>项目中。</t>
    </r>
    <phoneticPr fontId="16" type="noConversion"/>
  </si>
  <si>
    <r>
      <t>11</t>
    </r>
    <r>
      <rPr>
        <sz val="10"/>
        <color indexed="12"/>
        <rFont val="宋体"/>
        <family val="3"/>
        <charset val="134"/>
      </rPr>
      <t>、购建固定资产、无形资产和其他长期资产支付的现金：反映企业购买、建造固定资产，取得无形资产和其他长期资产</t>
    </r>
    <r>
      <rPr>
        <sz val="10"/>
        <color indexed="12"/>
        <rFont val="Arial Narrow"/>
        <family val="2"/>
      </rPr>
      <t>(</t>
    </r>
    <r>
      <rPr>
        <sz val="10"/>
        <color indexed="12"/>
        <rFont val="宋体"/>
        <family val="3"/>
        <charset val="134"/>
      </rPr>
      <t>如投资性房地产</t>
    </r>
    <r>
      <rPr>
        <sz val="10"/>
        <color indexed="12"/>
        <rFont val="Arial Narrow"/>
        <family val="2"/>
      </rPr>
      <t>)</t>
    </r>
    <r>
      <rPr>
        <sz val="10"/>
        <color indexed="12"/>
        <rFont val="宋体"/>
        <family val="3"/>
        <charset val="134"/>
      </rPr>
      <t>支付的现金，</t>
    </r>
    <phoneticPr fontId="16" type="noConversion"/>
  </si>
  <si>
    <t>不包括为购建固定资产、无形资产和其他长期资产而发生的借款利息资本化部分，以及融资租入固定资产所支付的租赁费。</t>
    <phoneticPr fontId="16" type="noConversion"/>
  </si>
  <si>
    <t>根据“固定资产”、“在建工程”、“工程物资”、“无形资产”、“库存现金”、“银行存款”等科目的记录分析填列。</t>
  </si>
  <si>
    <r>
      <t>12</t>
    </r>
    <r>
      <rPr>
        <sz val="10"/>
        <color indexed="12"/>
        <rFont val="宋体"/>
        <family val="3"/>
        <charset val="134"/>
      </rPr>
      <t>、投资支付的现金：反映企业进行权益性投资和债权性投资所支付的现金，包括企业取得的除现金等价物以外的交易性金融资产、持有至到期投资、</t>
    </r>
    <phoneticPr fontId="16" type="noConversion"/>
  </si>
  <si>
    <t>可供出售金融资产而支付的现金，以及支付的佣金、手续费等交易费用。</t>
    <phoneticPr fontId="16" type="noConversion"/>
  </si>
  <si>
    <r>
      <t>可以根据</t>
    </r>
    <r>
      <rPr>
        <sz val="10"/>
        <color indexed="12"/>
        <rFont val="Arial Narrow"/>
        <family val="2"/>
      </rPr>
      <t>“</t>
    </r>
    <r>
      <rPr>
        <sz val="10"/>
        <color indexed="12"/>
        <rFont val="宋体"/>
        <family val="3"/>
        <charset val="134"/>
      </rPr>
      <t>交易性金融资产</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持有至到期投资</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可供出售金融资产</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投资性房地产</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长期股权投资</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库存现金</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等科目分析填列。</t>
    </r>
    <phoneticPr fontId="16" type="noConversion"/>
  </si>
  <si>
    <r>
      <t>13</t>
    </r>
    <r>
      <rPr>
        <sz val="10"/>
        <color indexed="12"/>
        <rFont val="宋体"/>
        <family val="3"/>
        <charset val="134"/>
      </rPr>
      <t>、取得子公司及其他营业单位支付的现金净额：反映企业取得子公司及其他营业单位购买出价中以现金支付的部分，减去子公司或其他营业单位持有的现金</t>
    </r>
    <phoneticPr fontId="16" type="noConversion"/>
  </si>
  <si>
    <t>和现金等价物后的净额。</t>
    <phoneticPr fontId="16" type="noConversion"/>
  </si>
  <si>
    <r>
      <t>测算：购买出价中以现金支付的部分</t>
    </r>
    <r>
      <rPr>
        <sz val="10"/>
        <color indexed="12"/>
        <rFont val="Arial Narrow"/>
        <family val="2"/>
      </rPr>
      <t>-</t>
    </r>
    <r>
      <rPr>
        <sz val="10"/>
        <color indexed="12"/>
        <rFont val="宋体"/>
        <family val="3"/>
        <charset val="134"/>
      </rPr>
      <t>子公司或其他营业单位持有的现金和现金等价物</t>
    </r>
    <phoneticPr fontId="16" type="noConversion"/>
  </si>
  <si>
    <r>
      <t>如为负数，应在</t>
    </r>
    <r>
      <rPr>
        <sz val="10"/>
        <color indexed="12"/>
        <rFont val="Arial Narrow"/>
        <family val="2"/>
      </rPr>
      <t>“</t>
    </r>
    <r>
      <rPr>
        <sz val="10"/>
        <color indexed="12"/>
        <rFont val="宋体"/>
        <family val="3"/>
        <charset val="134"/>
      </rPr>
      <t>收到其他与投资活动有关的现金</t>
    </r>
    <r>
      <rPr>
        <sz val="10"/>
        <color indexed="12"/>
        <rFont val="Arial Narrow"/>
        <family val="2"/>
      </rPr>
      <t>”</t>
    </r>
    <r>
      <rPr>
        <sz val="10"/>
        <color indexed="12"/>
        <rFont val="宋体"/>
        <family val="3"/>
        <charset val="134"/>
      </rPr>
      <t>项目中反映。</t>
    </r>
    <phoneticPr fontId="16" type="noConversion"/>
  </si>
  <si>
    <r>
      <t>14</t>
    </r>
    <r>
      <rPr>
        <sz val="10"/>
        <color indexed="12"/>
        <rFont val="宋体"/>
        <family val="3"/>
        <charset val="134"/>
      </rPr>
      <t>、吸收投资收到的现金：反映企业以发行股票、债券等方式筹集资金实际收到的款项净额</t>
    </r>
    <r>
      <rPr>
        <sz val="10"/>
        <color indexed="12"/>
        <rFont val="Arial Narrow"/>
        <family val="2"/>
      </rPr>
      <t>(</t>
    </r>
    <r>
      <rPr>
        <sz val="10"/>
        <color indexed="12"/>
        <rFont val="宋体"/>
        <family val="3"/>
        <charset val="134"/>
      </rPr>
      <t>发行收入减去支付的佣金等发行费用后的净额</t>
    </r>
    <r>
      <rPr>
        <sz val="10"/>
        <color indexed="12"/>
        <rFont val="Arial Narrow"/>
        <family val="2"/>
      </rPr>
      <t>)</t>
    </r>
    <r>
      <rPr>
        <sz val="10"/>
        <color indexed="12"/>
        <rFont val="宋体"/>
        <family val="3"/>
        <charset val="134"/>
      </rPr>
      <t>。</t>
    </r>
    <phoneticPr fontId="16" type="noConversion"/>
  </si>
  <si>
    <r>
      <t>以发行股票等方式筹集资金而由企业直接支付的审计、咨询等费用等在</t>
    </r>
    <r>
      <rPr>
        <sz val="10"/>
        <color indexed="12"/>
        <rFont val="Arial Narrow"/>
        <family val="2"/>
      </rPr>
      <t>“</t>
    </r>
    <r>
      <rPr>
        <sz val="10"/>
        <color indexed="12"/>
        <rFont val="宋体"/>
        <family val="3"/>
        <charset val="134"/>
      </rPr>
      <t>支付的其他与筹资活动有关的现金</t>
    </r>
    <r>
      <rPr>
        <sz val="10"/>
        <color indexed="12"/>
        <rFont val="Arial Narrow"/>
        <family val="2"/>
      </rPr>
      <t>”</t>
    </r>
    <r>
      <rPr>
        <sz val="10"/>
        <color indexed="12"/>
        <rFont val="宋体"/>
        <family val="3"/>
        <charset val="134"/>
      </rPr>
      <t>项目中反映。</t>
    </r>
    <phoneticPr fontId="16" type="noConversion"/>
  </si>
  <si>
    <r>
      <t>根据</t>
    </r>
    <r>
      <rPr>
        <sz val="10"/>
        <color indexed="12"/>
        <rFont val="Arial Narrow"/>
        <family val="2"/>
      </rPr>
      <t>“</t>
    </r>
    <r>
      <rPr>
        <sz val="10"/>
        <color indexed="12"/>
        <rFont val="宋体"/>
        <family val="3"/>
        <charset val="134"/>
      </rPr>
      <t>实收资本</t>
    </r>
    <r>
      <rPr>
        <sz val="10"/>
        <color indexed="12"/>
        <rFont val="Arial Narrow"/>
        <family val="2"/>
      </rPr>
      <t>(</t>
    </r>
    <r>
      <rPr>
        <sz val="10"/>
        <color indexed="12"/>
        <rFont val="宋体"/>
        <family val="3"/>
        <charset val="134"/>
      </rPr>
      <t>或股本</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资本公积</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库存现金</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等科目的记录分析填列。</t>
    </r>
    <phoneticPr fontId="16" type="noConversion"/>
  </si>
  <si>
    <r>
      <t>15</t>
    </r>
    <r>
      <rPr>
        <sz val="10"/>
        <color indexed="12"/>
        <rFont val="宋体"/>
        <family val="3"/>
        <charset val="134"/>
      </rPr>
      <t>、取得借款收到的现金：反映企业举借各种短期、长期借款而收到的现金，以及发行债券实际收到的款项净额（发行收入减去直接支付的佣金等发行费用后的净额）。</t>
    </r>
    <phoneticPr fontId="16" type="noConversion"/>
  </si>
  <si>
    <r>
      <t>根据</t>
    </r>
    <r>
      <rPr>
        <sz val="10"/>
        <color indexed="12"/>
        <rFont val="Arial Narrow"/>
        <family val="2"/>
      </rPr>
      <t>“</t>
    </r>
    <r>
      <rPr>
        <sz val="10"/>
        <color indexed="12"/>
        <rFont val="宋体"/>
        <family val="3"/>
        <charset val="134"/>
      </rPr>
      <t>短期借款</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长期借款</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交易性金融负债</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应付债券</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库存现金</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等科目的记录分析填列。</t>
    </r>
    <phoneticPr fontId="16" type="noConversion"/>
  </si>
  <si>
    <r>
      <t>16</t>
    </r>
    <r>
      <rPr>
        <sz val="10"/>
        <color indexed="12"/>
        <rFont val="宋体"/>
        <family val="3"/>
        <charset val="134"/>
      </rPr>
      <t>、偿还债务支付的现金：反映企业以现金偿还债务的本金，包括：归还金融企业的借款本金、偿付企业到期的债券本金等。</t>
    </r>
    <phoneticPr fontId="16" type="noConversion"/>
  </si>
  <si>
    <r>
      <t>17</t>
    </r>
    <r>
      <rPr>
        <sz val="10"/>
        <color indexed="12"/>
        <rFont val="宋体"/>
        <family val="3"/>
        <charset val="134"/>
      </rPr>
      <t>、分配股利、利润或偿付利息支付的现金：反映企业实际支付的现金股利、支付给其他投资单位的利润或用现金支付的借款利息、债券利息。</t>
    </r>
    <phoneticPr fontId="16" type="noConversion"/>
  </si>
  <si>
    <r>
      <t>根据</t>
    </r>
    <r>
      <rPr>
        <sz val="10"/>
        <color indexed="12"/>
        <rFont val="Arial Narrow"/>
        <family val="2"/>
      </rPr>
      <t>“</t>
    </r>
    <r>
      <rPr>
        <sz val="10"/>
        <color indexed="12"/>
        <rFont val="宋体"/>
        <family val="3"/>
        <charset val="134"/>
      </rPr>
      <t>应付股利</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应付利息</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利润分配</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财务费用</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在建工程</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制造费用</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研发支出</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库存现金</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等科目的记录分析填列。</t>
    </r>
    <phoneticPr fontId="16" type="noConversion"/>
  </si>
  <si>
    <r>
      <t>18</t>
    </r>
    <r>
      <rPr>
        <sz val="10"/>
        <color indexed="12"/>
        <rFont val="宋体"/>
        <family val="3"/>
        <charset val="134"/>
      </rPr>
      <t>、汇率变动对现金的影响：外币现金流量以及境外子公司的现金流量，应当采用现金流量发生日的即期汇率或按照系统合理的方法确定的、与现金流量发生日即期汇率近似的汇率折算。</t>
    </r>
    <phoneticPr fontId="16" type="noConversion"/>
  </si>
  <si>
    <t>汇率变动对现金的影响额应当作为调节项目，在现金流量表中单独列报。</t>
    <phoneticPr fontId="16" type="noConversion"/>
  </si>
  <si>
    <t>汇率变动对现金的影响，指企业外币现金流量及境外子公司的现金流量折算成记账本币时，所采用的是现金流量发生日的汇率或即期汇率的近似汇率，</t>
    <phoneticPr fontId="16" type="noConversion"/>
  </si>
  <si>
    <r>
      <t>而现金流量表</t>
    </r>
    <r>
      <rPr>
        <sz val="10"/>
        <color indexed="12"/>
        <rFont val="Arial Narrow"/>
        <family val="2"/>
      </rPr>
      <t>”</t>
    </r>
    <r>
      <rPr>
        <sz val="10"/>
        <color indexed="12"/>
        <rFont val="宋体"/>
        <family val="3"/>
        <charset val="134"/>
      </rPr>
      <t>现金及现金等价物净增加额</t>
    </r>
    <r>
      <rPr>
        <sz val="10"/>
        <color indexed="12"/>
        <rFont val="Arial Narrow"/>
        <family val="2"/>
      </rPr>
      <t>”</t>
    </r>
    <r>
      <rPr>
        <sz val="10"/>
        <color indexed="12"/>
        <rFont val="宋体"/>
        <family val="3"/>
        <charset val="134"/>
      </rPr>
      <t>项目中外币现金净增加额是按资产负债表日的即期汇率折算。这两者的差额即为汇率变动对现金的影响。</t>
    </r>
    <phoneticPr fontId="16" type="noConversion"/>
  </si>
  <si>
    <r>
      <t>现金流量表</t>
    </r>
    <r>
      <rPr>
        <b/>
        <sz val="14"/>
        <rFont val="Arial Narrow"/>
        <family val="2"/>
      </rPr>
      <t>-</t>
    </r>
    <r>
      <rPr>
        <b/>
        <sz val="14"/>
        <rFont val="宋体"/>
        <family val="3"/>
        <charset val="134"/>
      </rPr>
      <t>补充资料的核查记录</t>
    </r>
    <phoneticPr fontId="4" type="noConversion"/>
  </si>
  <si>
    <t>A5-1-3</t>
    <phoneticPr fontId="4" type="noConversion"/>
  </si>
  <si>
    <t>（一）现金流量表补充资料</t>
    <phoneticPr fontId="4" type="noConversion"/>
  </si>
  <si>
    <r>
      <t>补充资料</t>
    </r>
    <r>
      <rPr>
        <b/>
        <sz val="11"/>
        <color indexed="10"/>
        <rFont val="Arial Narrow"/>
        <family val="2"/>
      </rPr>
      <t/>
    </r>
    <phoneticPr fontId="4" type="noConversion"/>
  </si>
  <si>
    <t>3</t>
    <phoneticPr fontId="4" type="noConversion"/>
  </si>
  <si>
    <t>4</t>
    <phoneticPr fontId="4" type="noConversion"/>
  </si>
  <si>
    <r>
      <t>1</t>
    </r>
    <r>
      <rPr>
        <b/>
        <sz val="10"/>
        <rFont val="宋体"/>
        <family val="3"/>
        <charset val="134"/>
      </rPr>
      <t>、将净利润调节为经营活动现金流量：</t>
    </r>
  </si>
  <si>
    <r>
      <t>净利润</t>
    </r>
    <r>
      <rPr>
        <sz val="10"/>
        <color indexed="10"/>
        <rFont val="Arial Narrow"/>
        <family val="2"/>
      </rPr>
      <t/>
    </r>
    <phoneticPr fontId="4" type="noConversion"/>
  </si>
  <si>
    <t>加：计提的资产减值准备</t>
  </si>
  <si>
    <t>= 固定资产本期计提折旧额</t>
    <phoneticPr fontId="4" type="noConversion"/>
  </si>
  <si>
    <t>+ 油气资产本期计提折耗额</t>
    <phoneticPr fontId="4" type="noConversion"/>
  </si>
  <si>
    <r>
      <t xml:space="preserve">+ </t>
    </r>
    <r>
      <rPr>
        <sz val="9"/>
        <rFont val="宋体"/>
        <family val="3"/>
        <charset val="134"/>
      </rPr>
      <t>生产性生物资产本期计提折旧额</t>
    </r>
    <phoneticPr fontId="4" type="noConversion"/>
  </si>
  <si>
    <t>无形资产摊销</t>
  </si>
  <si>
    <t>= 无形资产本期计提摊销额</t>
    <phoneticPr fontId="4" type="noConversion"/>
  </si>
  <si>
    <t>长期待摊费用摊销</t>
  </si>
  <si>
    <t>= 长期待摊费用本期摊销数</t>
    <phoneticPr fontId="4" type="noConversion"/>
  </si>
  <si>
    <t>处置固定资产、无形资产和其他长期资产的损失（收益以"-"填列）</t>
  </si>
  <si>
    <t>原值</t>
    <phoneticPr fontId="4" type="noConversion"/>
  </si>
  <si>
    <t>减值准备</t>
    <phoneticPr fontId="4" type="noConversion"/>
  </si>
  <si>
    <t>净值</t>
    <phoneticPr fontId="4" type="noConversion"/>
  </si>
  <si>
    <r>
      <t>收现</t>
    </r>
    <r>
      <rPr>
        <u val="singleAccounting"/>
        <sz val="9"/>
        <rFont val="Arial Narrow"/>
        <family val="2"/>
      </rPr>
      <t>/</t>
    </r>
    <r>
      <rPr>
        <u val="singleAccounting"/>
        <sz val="9"/>
        <rFont val="宋体"/>
        <family val="3"/>
        <charset val="134"/>
      </rPr>
      <t>付现</t>
    </r>
    <phoneticPr fontId="4" type="noConversion"/>
  </si>
  <si>
    <t>净损失</t>
    <phoneticPr fontId="4" type="noConversion"/>
  </si>
  <si>
    <r>
      <t xml:space="preserve">= </t>
    </r>
    <r>
      <rPr>
        <sz val="9"/>
        <rFont val="宋体"/>
        <family val="3"/>
        <charset val="134"/>
      </rPr>
      <t>无形资产</t>
    </r>
    <phoneticPr fontId="4" type="noConversion"/>
  </si>
  <si>
    <r>
      <t xml:space="preserve">= </t>
    </r>
    <r>
      <rPr>
        <sz val="9"/>
        <rFont val="宋体"/>
        <family val="3"/>
        <charset val="134"/>
      </rPr>
      <t>其他长期资产</t>
    </r>
    <phoneticPr fontId="4" type="noConversion"/>
  </si>
  <si>
    <t>固定资产报废损失（收益以"-"填列）</t>
  </si>
  <si>
    <t>公允价值变动损失（收益以“－”号填列）</t>
  </si>
  <si>
    <r>
      <t xml:space="preserve">= </t>
    </r>
    <r>
      <rPr>
        <sz val="9"/>
        <rFont val="宋体"/>
        <family val="3"/>
        <charset val="134"/>
      </rPr>
      <t>公允价值变动损益本期发生额</t>
    </r>
    <phoneticPr fontId="4" type="noConversion"/>
  </si>
  <si>
    <t>财务费用（收益以"-"填列）</t>
  </si>
  <si>
    <r>
      <t>筹资财务费用借方数</t>
    </r>
    <r>
      <rPr>
        <sz val="9"/>
        <rFont val="Arial Narrow"/>
        <family val="2"/>
      </rPr>
      <t>(</t>
    </r>
    <r>
      <rPr>
        <sz val="9"/>
        <rFont val="宋体"/>
        <family val="3"/>
        <charset val="134"/>
      </rPr>
      <t>扣除贴现利息支出后</t>
    </r>
    <r>
      <rPr>
        <sz val="9"/>
        <rFont val="Arial Narrow"/>
        <family val="2"/>
      </rPr>
      <t>)-</t>
    </r>
    <r>
      <rPr>
        <sz val="9"/>
        <rFont val="宋体"/>
        <family val="3"/>
        <charset val="134"/>
      </rPr>
      <t>经营性项目汇兑损失</t>
    </r>
    <r>
      <rPr>
        <sz val="9"/>
        <rFont val="Arial Narrow"/>
        <family val="2"/>
      </rPr>
      <t>-</t>
    </r>
    <r>
      <rPr>
        <sz val="9"/>
        <rFont val="宋体"/>
        <family val="3"/>
        <charset val="134"/>
      </rPr>
      <t>筹资、投资性项目汇兑收益</t>
    </r>
    <r>
      <rPr>
        <sz val="9"/>
        <rFont val="Arial Narrow"/>
        <family val="2"/>
      </rPr>
      <t>+</t>
    </r>
    <r>
      <rPr>
        <sz val="9"/>
        <rFont val="宋体"/>
        <family val="3"/>
        <charset val="134"/>
      </rPr>
      <t>货币资金项目汇兑损失（减：收益）</t>
    </r>
    <phoneticPr fontId="4" type="noConversion"/>
  </si>
  <si>
    <t>投资损失（收益以"-"填列）</t>
  </si>
  <si>
    <r>
      <t xml:space="preserve">= </t>
    </r>
    <r>
      <rPr>
        <sz val="9"/>
        <rFont val="宋体"/>
        <family val="3"/>
        <charset val="134"/>
      </rPr>
      <t>投资收益本期发生额</t>
    </r>
    <phoneticPr fontId="4" type="noConversion"/>
  </si>
  <si>
    <t>递延所得税资产减少（增加以“－”号填列）</t>
  </si>
  <si>
    <r>
      <t xml:space="preserve">= </t>
    </r>
    <r>
      <rPr>
        <sz val="9"/>
        <rFont val="宋体"/>
        <family val="3"/>
        <charset val="134"/>
      </rPr>
      <t>递延所得税资产期初余额</t>
    </r>
    <r>
      <rPr>
        <sz val="9"/>
        <rFont val="Arial Narrow"/>
        <family val="2"/>
      </rPr>
      <t>-</t>
    </r>
    <r>
      <rPr>
        <sz val="9"/>
        <rFont val="宋体"/>
        <family val="3"/>
        <charset val="134"/>
      </rPr>
      <t>递延所得税资产期末余额</t>
    </r>
    <phoneticPr fontId="4" type="noConversion"/>
  </si>
  <si>
    <t>期初余额</t>
    <phoneticPr fontId="4" type="noConversion"/>
  </si>
  <si>
    <t>期末余额</t>
    <phoneticPr fontId="4" type="noConversion"/>
  </si>
  <si>
    <r>
      <t>期初</t>
    </r>
    <r>
      <rPr>
        <u val="singleAccounting"/>
        <sz val="9"/>
        <rFont val="Arial Narrow"/>
        <family val="2"/>
      </rPr>
      <t>-</t>
    </r>
    <r>
      <rPr>
        <u val="singleAccounting"/>
        <sz val="9"/>
        <rFont val="宋体"/>
        <family val="3"/>
        <charset val="134"/>
      </rPr>
      <t>期末</t>
    </r>
    <phoneticPr fontId="4" type="noConversion"/>
  </si>
  <si>
    <t>递延所得税负债增加（减少以“－”号填列）</t>
  </si>
  <si>
    <r>
      <t xml:space="preserve">= </t>
    </r>
    <r>
      <rPr>
        <sz val="9"/>
        <rFont val="宋体"/>
        <family val="3"/>
        <charset val="134"/>
      </rPr>
      <t>递延所得税负债期末余额</t>
    </r>
    <r>
      <rPr>
        <sz val="9"/>
        <rFont val="Arial Narrow"/>
        <family val="2"/>
      </rPr>
      <t>-</t>
    </r>
    <r>
      <rPr>
        <sz val="9"/>
        <rFont val="宋体"/>
        <family val="3"/>
        <charset val="134"/>
      </rPr>
      <t>递延所得税资产期初余额</t>
    </r>
    <phoneticPr fontId="4" type="noConversion"/>
  </si>
  <si>
    <r>
      <t>期末</t>
    </r>
    <r>
      <rPr>
        <u val="singleAccounting"/>
        <sz val="9"/>
        <rFont val="Arial Narrow"/>
        <family val="2"/>
      </rPr>
      <t>-</t>
    </r>
    <r>
      <rPr>
        <u val="singleAccounting"/>
        <sz val="9"/>
        <rFont val="宋体"/>
        <family val="3"/>
        <charset val="134"/>
      </rPr>
      <t>期初</t>
    </r>
    <phoneticPr fontId="4" type="noConversion"/>
  </si>
  <si>
    <t>= 存货期初余额-存货期末余额</t>
    <phoneticPr fontId="4" type="noConversion"/>
  </si>
  <si>
    <t>非经营性减少</t>
    <phoneticPr fontId="4" type="noConversion"/>
  </si>
  <si>
    <t>存货实际减少</t>
    <phoneticPr fontId="4" type="noConversion"/>
  </si>
  <si>
    <t>经营性应收项目的减少（增加以“－”号填列）</t>
  </si>
  <si>
    <t>实际减少</t>
    <phoneticPr fontId="4" type="noConversion"/>
  </si>
  <si>
    <t>应收票据的减少</t>
    <phoneticPr fontId="4" type="noConversion"/>
  </si>
  <si>
    <t>应收账款的减少</t>
    <phoneticPr fontId="4" type="noConversion"/>
  </si>
  <si>
    <t>其他应收款的减少</t>
    <phoneticPr fontId="4" type="noConversion"/>
  </si>
  <si>
    <t>预付账款的减少</t>
    <phoneticPr fontId="4" type="noConversion"/>
  </si>
  <si>
    <t>一年内到期的非流动资产减少</t>
    <phoneticPr fontId="4" type="noConversion"/>
  </si>
  <si>
    <t>其他流动资产的减少</t>
    <phoneticPr fontId="4" type="noConversion"/>
  </si>
  <si>
    <t>长期应收款的减少</t>
    <phoneticPr fontId="4" type="noConversion"/>
  </si>
  <si>
    <t>经营性应付项目的增加（减少以“－”号填列）</t>
  </si>
  <si>
    <t>负债方经营性项目增加</t>
    <phoneticPr fontId="4" type="noConversion"/>
  </si>
  <si>
    <t>实际增加</t>
    <phoneticPr fontId="4" type="noConversion"/>
  </si>
  <si>
    <t>应付帐款的增加</t>
    <phoneticPr fontId="4" type="noConversion"/>
  </si>
  <si>
    <t>应付票据的增加</t>
    <phoneticPr fontId="4" type="noConversion"/>
  </si>
  <si>
    <t>预收帐款的增加</t>
    <phoneticPr fontId="4" type="noConversion"/>
  </si>
  <si>
    <t>应付职工薪酬的增加</t>
    <phoneticPr fontId="4" type="noConversion"/>
  </si>
  <si>
    <t>应交税费的增加</t>
    <phoneticPr fontId="4" type="noConversion"/>
  </si>
  <si>
    <t>其他应付款的增加</t>
    <phoneticPr fontId="4" type="noConversion"/>
  </si>
  <si>
    <t>一年内到期的非流动负债增加</t>
    <phoneticPr fontId="4" type="noConversion"/>
  </si>
  <si>
    <t>其他流动负债增加</t>
    <phoneticPr fontId="4" type="noConversion"/>
  </si>
  <si>
    <t>长期应付款增加</t>
    <phoneticPr fontId="4" type="noConversion"/>
  </si>
  <si>
    <t>预计负债增加</t>
    <phoneticPr fontId="4" type="noConversion"/>
  </si>
  <si>
    <t>其他非流动负债增加</t>
    <phoneticPr fontId="4" type="noConversion"/>
  </si>
  <si>
    <t>其他</t>
  </si>
  <si>
    <r>
      <t>2</t>
    </r>
    <r>
      <rPr>
        <b/>
        <sz val="10"/>
        <rFont val="宋体"/>
        <family val="3"/>
        <charset val="134"/>
      </rPr>
      <t>、不涉及现金收支的投资和筹资活动</t>
    </r>
    <phoneticPr fontId="4" type="noConversion"/>
  </si>
  <si>
    <t>债务转为资本</t>
  </si>
  <si>
    <t>一年内到期的可转换公司债券</t>
  </si>
  <si>
    <t>融资租入固定资产</t>
  </si>
  <si>
    <r>
      <t>3</t>
    </r>
    <r>
      <rPr>
        <b/>
        <sz val="10"/>
        <rFont val="宋体"/>
        <family val="3"/>
        <charset val="134"/>
      </rPr>
      <t>、现金及现金等价物净增加情况：</t>
    </r>
    <phoneticPr fontId="4" type="noConversion"/>
  </si>
  <si>
    <t>现金期末余额</t>
  </si>
  <si>
    <t>减：现金的期初余额</t>
  </si>
  <si>
    <t>加：现金等价物的期末余额</t>
  </si>
  <si>
    <t>减：现金等价物的期初余额</t>
  </si>
  <si>
    <t>现金及现金等价物净增加额</t>
  </si>
  <si>
    <t>编制说明：</t>
    <phoneticPr fontId="4" type="noConversion"/>
  </si>
  <si>
    <t>1、所谓间接法，是指以净利润为起算点，调整不涉及现金的收入、费用、营业外收支等有关项目，剔除投资活动、筹资活动对现金流量的影响，据此计算出经营活动产生的现金流量。</t>
    <phoneticPr fontId="4" type="noConversion"/>
  </si>
  <si>
    <r>
      <t>2</t>
    </r>
    <r>
      <rPr>
        <sz val="9"/>
        <color indexed="12"/>
        <rFont val="宋体"/>
        <family val="3"/>
        <charset val="134"/>
      </rPr>
      <t>、由于净利润是按照权责发生制原则确定的，且包括了与投资活动和筹资活动相关的收益和费用，将净利润调节为经营活动现金流量，实际上就是将按权责发生制原则确定的净利润</t>
    </r>
    <phoneticPr fontId="4" type="noConversion"/>
  </si>
  <si>
    <t>调整为现金净流入，并剔除投资活动和筹资活动对现金流量的影响。</t>
  </si>
  <si>
    <r>
      <t>3</t>
    </r>
    <r>
      <rPr>
        <sz val="9"/>
        <color indexed="12"/>
        <rFont val="宋体"/>
        <family val="3"/>
        <charset val="134"/>
      </rPr>
      <t>、财务费用：企业发生的财务费用中</t>
    </r>
    <r>
      <rPr>
        <b/>
        <sz val="9"/>
        <color indexed="12"/>
        <rFont val="宋体"/>
        <family val="3"/>
        <charset val="134"/>
      </rPr>
      <t>不属于经营活动的部分</t>
    </r>
    <r>
      <rPr>
        <sz val="9"/>
        <color indexed="12"/>
        <rFont val="宋体"/>
        <family val="3"/>
        <charset val="134"/>
      </rPr>
      <t>，应加回。</t>
    </r>
    <phoneticPr fontId="4" type="noConversion"/>
  </si>
  <si>
    <r>
      <t>4</t>
    </r>
    <r>
      <rPr>
        <sz val="9"/>
        <color indexed="12"/>
        <rFont val="宋体"/>
        <family val="3"/>
        <charset val="134"/>
      </rPr>
      <t>、存货的减少</t>
    </r>
    <r>
      <rPr>
        <sz val="9"/>
        <color indexed="12"/>
        <rFont val="Arial Narrow"/>
        <family val="2"/>
      </rPr>
      <t>(</t>
    </r>
    <r>
      <rPr>
        <sz val="9"/>
        <color indexed="12"/>
        <rFont val="宋体"/>
        <family val="3"/>
        <charset val="134"/>
      </rPr>
      <t>减：增加</t>
    </r>
    <r>
      <rPr>
        <sz val="9"/>
        <color indexed="12"/>
        <rFont val="Arial Narrow"/>
        <family val="2"/>
      </rPr>
      <t>)</t>
    </r>
    <r>
      <rPr>
        <sz val="9"/>
        <color indexed="12"/>
        <rFont val="宋体"/>
        <family val="3"/>
        <charset val="134"/>
      </rPr>
      <t>：如果存货的增减变化过程属于投资活动，如在建工程领用存货，应当将这一因素剔除。</t>
    </r>
    <phoneticPr fontId="4" type="noConversion"/>
  </si>
  <si>
    <r>
      <t xml:space="preserve">= </t>
    </r>
    <r>
      <rPr>
        <sz val="9"/>
        <rFont val="宋体"/>
        <family val="3"/>
        <charset val="134"/>
      </rPr>
      <t>其他</t>
    </r>
    <phoneticPr fontId="4" type="noConversion"/>
  </si>
  <si>
    <t>= 短期借款本期减少金额</t>
    <phoneticPr fontId="4" type="noConversion"/>
  </si>
  <si>
    <t>+ 长期借款本期减少金额</t>
    <phoneticPr fontId="4" type="noConversion"/>
  </si>
  <si>
    <t>发行债券收到的现金</t>
    <phoneticPr fontId="4" type="noConversion"/>
  </si>
  <si>
    <r>
      <rPr>
        <sz val="10"/>
        <rFont val="宋体"/>
        <family val="3"/>
        <charset val="134"/>
      </rPr>
      <t>存货的减少（增加以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</si>
  <si>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t>索引：A2-3</t>
    <phoneticPr fontId="51" type="noConversion"/>
  </si>
  <si>
    <r>
      <rPr>
        <b/>
        <sz val="10"/>
        <color indexed="10"/>
        <rFont val="宋体"/>
        <family val="3"/>
        <charset val="134"/>
      </rPr>
      <t>索引：</t>
    </r>
    <r>
      <rPr>
        <b/>
        <sz val="10"/>
        <color indexed="10"/>
        <rFont val="Arial Narrow"/>
        <family val="2"/>
      </rPr>
      <t>A5-1-2</t>
    </r>
    <phoneticPr fontId="16" type="noConversion"/>
  </si>
  <si>
    <r>
      <rPr>
        <b/>
        <sz val="10"/>
        <color indexed="10"/>
        <rFont val="宋体"/>
        <family val="3"/>
        <charset val="134"/>
      </rPr>
      <t>索引：</t>
    </r>
    <r>
      <rPr>
        <b/>
        <sz val="10"/>
        <color indexed="10"/>
        <rFont val="Arial Narrow"/>
        <family val="2"/>
      </rPr>
      <t>A1-13-5</t>
    </r>
    <phoneticPr fontId="4" type="noConversion"/>
  </si>
  <si>
    <r>
      <t xml:space="preserve">= </t>
    </r>
    <r>
      <rPr>
        <sz val="9"/>
        <rFont val="宋体"/>
        <family val="3"/>
        <charset val="134"/>
      </rPr>
      <t>固定资产（处置）</t>
    </r>
    <phoneticPr fontId="4" type="noConversion"/>
  </si>
  <si>
    <t>致同会计师事务所</t>
    <phoneticPr fontId="4" type="noConversion"/>
  </si>
  <si>
    <t>本工作簿基于2006年《企业会计准则》编制，并考虑了后续的更新。</t>
    <phoneticPr fontId="16" type="noConversion"/>
  </si>
  <si>
    <r>
      <t>5.</t>
    </r>
    <r>
      <rPr>
        <sz val="10"/>
        <rFont val="宋体"/>
        <family val="3"/>
        <charset val="134"/>
      </rPr>
      <t>其他</t>
    </r>
    <phoneticPr fontId="4" type="noConversion"/>
  </si>
  <si>
    <r>
      <t>1.</t>
    </r>
    <r>
      <rPr>
        <sz val="10"/>
        <rFont val="宋体"/>
        <family val="3"/>
        <charset val="134"/>
      </rPr>
      <t>权益法下可转损益的其他综合收益</t>
    </r>
    <phoneticPr fontId="4" type="noConversion"/>
  </si>
  <si>
    <r>
      <t xml:space="preserve">   </t>
    </r>
    <r>
      <rPr>
        <sz val="10"/>
        <rFont val="宋体"/>
        <family val="3"/>
        <charset val="134"/>
      </rPr>
      <t>（一）基本每股收益</t>
    </r>
    <phoneticPr fontId="4" type="noConversion"/>
  </si>
  <si>
    <t>D12</t>
  </si>
  <si>
    <t>D14</t>
  </si>
  <si>
    <t>D33</t>
  </si>
  <si>
    <t>D37</t>
  </si>
  <si>
    <t>E18</t>
  </si>
  <si>
    <t>G4</t>
  </si>
  <si>
    <t>G7</t>
  </si>
  <si>
    <t>G8</t>
  </si>
  <si>
    <t>G9</t>
  </si>
  <si>
    <t>G11</t>
  </si>
  <si>
    <t>G12</t>
  </si>
  <si>
    <t>G13</t>
  </si>
  <si>
    <t>G14</t>
  </si>
  <si>
    <t>G16</t>
  </si>
  <si>
    <t>G18</t>
  </si>
  <si>
    <t>G39</t>
  </si>
  <si>
    <t>code</t>
    <phoneticPr fontId="51" type="noConversion"/>
  </si>
  <si>
    <t>D1</t>
    <phoneticPr fontId="4" type="noConversion"/>
  </si>
  <si>
    <t>D39</t>
  </si>
  <si>
    <t>E2</t>
  </si>
  <si>
    <t>G25</t>
  </si>
  <si>
    <r>
      <t xml:space="preserve">              </t>
    </r>
    <r>
      <rPr>
        <sz val="10"/>
        <rFont val="宋体"/>
        <family val="3"/>
        <charset val="134"/>
      </rPr>
      <t>其他业务成本</t>
    </r>
    <phoneticPr fontId="4" type="noConversion"/>
  </si>
  <si>
    <r>
      <t>1</t>
    </r>
    <r>
      <rPr>
        <sz val="10"/>
        <rFont val="宋体"/>
        <family val="3"/>
        <charset val="134"/>
      </rPr>
      <t>、将净利润调节为经营活动现金流量：</t>
    </r>
    <phoneticPr fontId="4" type="noConversion"/>
  </si>
  <si>
    <r>
      <t xml:space="preserve">     </t>
    </r>
    <r>
      <rPr>
        <sz val="10"/>
        <rFont val="宋体"/>
        <family val="3"/>
        <charset val="134"/>
      </rPr>
      <t>销售商品、提供劳务收到的现金</t>
    </r>
    <phoneticPr fontId="4" type="noConversion"/>
  </si>
  <si>
    <r>
      <t xml:space="preserve">     </t>
    </r>
    <r>
      <rPr>
        <sz val="10"/>
        <rFont val="宋体"/>
        <family val="3"/>
        <charset val="134"/>
      </rPr>
      <t>净利润</t>
    </r>
    <phoneticPr fontId="4" type="noConversion"/>
  </si>
  <si>
    <r>
      <t xml:space="preserve">     </t>
    </r>
    <r>
      <rPr>
        <sz val="10"/>
        <rFont val="宋体"/>
        <family val="3"/>
        <charset val="134"/>
      </rPr>
      <t>收到的税费返还</t>
    </r>
    <phoneticPr fontId="4" type="noConversion"/>
  </si>
  <si>
    <r>
      <t xml:space="preserve">     </t>
    </r>
    <r>
      <rPr>
        <sz val="10"/>
        <rFont val="宋体"/>
        <family val="3"/>
        <charset val="134"/>
      </rPr>
      <t>收到的其他与经营活动有关的现金</t>
    </r>
    <phoneticPr fontId="4" type="noConversion"/>
  </si>
  <si>
    <r>
      <t xml:space="preserve">     </t>
    </r>
    <r>
      <rPr>
        <b/>
        <sz val="10"/>
        <rFont val="宋体"/>
        <family val="3"/>
        <charset val="134"/>
      </rPr>
      <t>经营活动现金流入小计</t>
    </r>
    <phoneticPr fontId="4" type="noConversion"/>
  </si>
  <si>
    <r>
      <t xml:space="preserve">        </t>
    </r>
    <r>
      <rPr>
        <sz val="10"/>
        <rFont val="宋体"/>
        <family val="3"/>
        <charset val="134"/>
      </rPr>
      <t>税金及附加</t>
    </r>
    <phoneticPr fontId="4" type="noConversion"/>
  </si>
  <si>
    <r>
      <t xml:space="preserve">     </t>
    </r>
    <r>
      <rPr>
        <sz val="10"/>
        <rFont val="宋体"/>
        <family val="3"/>
        <charset val="134"/>
      </rPr>
      <t>购买商品、接受劳务支付的现金</t>
    </r>
    <phoneticPr fontId="4" type="noConversion"/>
  </si>
  <si>
    <r>
      <t xml:space="preserve">     </t>
    </r>
    <r>
      <rPr>
        <sz val="10"/>
        <rFont val="宋体"/>
        <family val="3"/>
        <charset val="134"/>
      </rPr>
      <t>无形资产摊销</t>
    </r>
    <phoneticPr fontId="4" type="noConversion"/>
  </si>
  <si>
    <r>
      <t xml:space="preserve">     </t>
    </r>
    <r>
      <rPr>
        <sz val="10"/>
        <rFont val="宋体"/>
        <family val="3"/>
        <charset val="134"/>
      </rPr>
      <t>支付给职工以及为职工支付的现金</t>
    </r>
    <phoneticPr fontId="4" type="noConversion"/>
  </si>
  <si>
    <r>
      <t xml:space="preserve">     </t>
    </r>
    <r>
      <rPr>
        <sz val="10"/>
        <rFont val="宋体"/>
        <family val="3"/>
        <charset val="134"/>
      </rPr>
      <t>长期待摊费用摊销</t>
    </r>
    <phoneticPr fontId="4" type="noConversion"/>
  </si>
  <si>
    <r>
      <t xml:space="preserve">     </t>
    </r>
    <r>
      <rPr>
        <sz val="10"/>
        <rFont val="宋体"/>
        <family val="3"/>
        <charset val="134"/>
      </rPr>
      <t>支付各项税费</t>
    </r>
    <phoneticPr fontId="4" type="noConversion"/>
  </si>
  <si>
    <r>
      <t xml:space="preserve">     </t>
    </r>
    <r>
      <rPr>
        <sz val="10"/>
        <rFont val="宋体"/>
        <family val="3"/>
        <charset val="134"/>
      </rPr>
      <t>支付的其他与经营活动有关的现金</t>
    </r>
    <phoneticPr fontId="4" type="noConversion"/>
  </si>
  <si>
    <r>
      <t xml:space="preserve">     </t>
    </r>
    <r>
      <rPr>
        <b/>
        <sz val="10"/>
        <rFont val="宋体"/>
        <family val="3"/>
        <charset val="134"/>
      </rPr>
      <t>经营活动现金流出小计</t>
    </r>
    <phoneticPr fontId="4" type="noConversion"/>
  </si>
  <si>
    <r>
      <t xml:space="preserve">     </t>
    </r>
    <r>
      <rPr>
        <b/>
        <sz val="10"/>
        <rFont val="宋体"/>
        <family val="3"/>
        <charset val="134"/>
      </rPr>
      <t>经营活动产生的现金流量净额</t>
    </r>
    <phoneticPr fontId="4" type="noConversion"/>
  </si>
  <si>
    <r>
      <t xml:space="preserve">     </t>
    </r>
    <r>
      <rPr>
        <sz val="10"/>
        <rFont val="宋体"/>
        <family val="3"/>
        <charset val="134"/>
      </rPr>
      <t>收回投资所收到的现金</t>
    </r>
    <phoneticPr fontId="4" type="noConversion"/>
  </si>
  <si>
    <r>
      <t xml:space="preserve">        </t>
    </r>
    <r>
      <rPr>
        <sz val="10"/>
        <rFont val="宋体"/>
        <family val="3"/>
        <charset val="134"/>
      </rPr>
      <t>其中：对联营企业和合营企业的投资收益</t>
    </r>
    <phoneticPr fontId="4" type="noConversion"/>
  </si>
  <si>
    <r>
      <t xml:space="preserve">     </t>
    </r>
    <r>
      <rPr>
        <sz val="10"/>
        <rFont val="宋体"/>
        <family val="3"/>
        <charset val="134"/>
      </rPr>
      <t>处置固定资产、无形资产和其他长期资产而收到的现金净额</t>
    </r>
    <phoneticPr fontId="4" type="noConversion"/>
  </si>
  <si>
    <r>
      <t xml:space="preserve">     </t>
    </r>
    <r>
      <rPr>
        <sz val="10"/>
        <rFont val="宋体"/>
        <family val="3"/>
        <charset val="134"/>
      </rPr>
      <t>处置子公司及其他营业单位收到的现金净额</t>
    </r>
    <phoneticPr fontId="4" type="noConversion"/>
  </si>
  <si>
    <r>
      <t xml:space="preserve">     </t>
    </r>
    <r>
      <rPr>
        <sz val="10"/>
        <rFont val="宋体"/>
        <family val="3"/>
        <charset val="134"/>
      </rPr>
      <t>收到其他与投资活动有关的现金</t>
    </r>
    <phoneticPr fontId="4" type="noConversion"/>
  </si>
  <si>
    <r>
      <t xml:space="preserve">     </t>
    </r>
    <r>
      <rPr>
        <sz val="10"/>
        <rFont val="宋体"/>
        <family val="3"/>
        <charset val="134"/>
      </rPr>
      <t>其他</t>
    </r>
    <phoneticPr fontId="4" type="noConversion"/>
  </si>
  <si>
    <r>
      <t xml:space="preserve">     </t>
    </r>
    <r>
      <rPr>
        <b/>
        <sz val="10"/>
        <rFont val="宋体"/>
        <family val="3"/>
        <charset val="134"/>
      </rPr>
      <t>投资活动现金流入小计</t>
    </r>
    <phoneticPr fontId="4" type="noConversion"/>
  </si>
  <si>
    <r>
      <t xml:space="preserve">     </t>
    </r>
    <r>
      <rPr>
        <sz val="10"/>
        <rFont val="宋体"/>
        <family val="3"/>
        <charset val="134"/>
      </rPr>
      <t>投资所支付的现金</t>
    </r>
    <phoneticPr fontId="4" type="noConversion"/>
  </si>
  <si>
    <r>
      <t xml:space="preserve">    </t>
    </r>
    <r>
      <rPr>
        <sz val="10"/>
        <rFont val="宋体"/>
        <family val="3"/>
        <charset val="134"/>
      </rPr>
      <t>加：营业外收入</t>
    </r>
    <phoneticPr fontId="4" type="noConversion"/>
  </si>
  <si>
    <r>
      <t xml:space="preserve">    </t>
    </r>
    <r>
      <rPr>
        <sz val="10"/>
        <rFont val="宋体"/>
        <family val="3"/>
        <charset val="134"/>
      </rPr>
      <t>减：营业外支出</t>
    </r>
    <phoneticPr fontId="4" type="noConversion"/>
  </si>
  <si>
    <r>
      <t xml:space="preserve">     </t>
    </r>
    <r>
      <rPr>
        <sz val="10"/>
        <rFont val="宋体"/>
        <family val="3"/>
        <charset val="134"/>
      </rPr>
      <t>支付其他与投资活动有关的现金</t>
    </r>
    <phoneticPr fontId="4" type="noConversion"/>
  </si>
  <si>
    <r>
      <t xml:space="preserve">     </t>
    </r>
    <r>
      <rPr>
        <sz val="10"/>
        <rFont val="宋体"/>
        <family val="3"/>
        <charset val="134"/>
      </rPr>
      <t>债务转为资本</t>
    </r>
    <phoneticPr fontId="4" type="noConversion"/>
  </si>
  <si>
    <r>
      <t xml:space="preserve">     </t>
    </r>
    <r>
      <rPr>
        <sz val="10"/>
        <rFont val="宋体"/>
        <family val="3"/>
        <charset val="134"/>
      </rPr>
      <t>一年内到期的可转换公司债券</t>
    </r>
    <phoneticPr fontId="4" type="noConversion"/>
  </si>
  <si>
    <r>
      <t xml:space="preserve">    </t>
    </r>
    <r>
      <rPr>
        <sz val="10"/>
        <rFont val="宋体"/>
        <family val="3"/>
        <charset val="134"/>
      </rPr>
      <t>减：所得税费用</t>
    </r>
    <phoneticPr fontId="4" type="noConversion"/>
  </si>
  <si>
    <r>
      <t xml:space="preserve">      </t>
    </r>
    <r>
      <rPr>
        <b/>
        <sz val="10"/>
        <rFont val="宋体"/>
        <family val="3"/>
        <charset val="134"/>
      </rPr>
      <t>投资活动现金流出小计</t>
    </r>
    <phoneticPr fontId="4" type="noConversion"/>
  </si>
  <si>
    <r>
      <t xml:space="preserve">     </t>
    </r>
    <r>
      <rPr>
        <sz val="10"/>
        <rFont val="宋体"/>
        <family val="3"/>
        <charset val="134"/>
      </rPr>
      <t>融资租入固定资产</t>
    </r>
    <phoneticPr fontId="4" type="noConversion"/>
  </si>
  <si>
    <r>
      <t xml:space="preserve">     </t>
    </r>
    <r>
      <rPr>
        <b/>
        <sz val="10"/>
        <rFont val="宋体"/>
        <family val="3"/>
        <charset val="134"/>
      </rPr>
      <t>投资活动产生的现金流量净额</t>
    </r>
    <phoneticPr fontId="4" type="noConversion"/>
  </si>
  <si>
    <r>
      <t xml:space="preserve">     </t>
    </r>
    <r>
      <rPr>
        <sz val="10"/>
        <rFont val="宋体"/>
        <family val="3"/>
        <charset val="134"/>
      </rPr>
      <t>吸收投资所收到的现金</t>
    </r>
    <phoneticPr fontId="4" type="noConversion"/>
  </si>
  <si>
    <r>
      <t>3</t>
    </r>
    <r>
      <rPr>
        <sz val="10"/>
        <rFont val="宋体"/>
        <family val="3"/>
        <charset val="134"/>
      </rPr>
      <t>、现金及现金等价物净变动情况：</t>
    </r>
    <phoneticPr fontId="4" type="noConversion"/>
  </si>
  <si>
    <r>
      <t xml:space="preserve">     </t>
    </r>
    <r>
      <rPr>
        <sz val="10"/>
        <rFont val="宋体"/>
        <family val="3"/>
        <charset val="134"/>
      </rPr>
      <t>取得借款收到的现金</t>
    </r>
    <phoneticPr fontId="4" type="noConversion"/>
  </si>
  <si>
    <r>
      <t xml:space="preserve">     </t>
    </r>
    <r>
      <rPr>
        <sz val="10"/>
        <rFont val="宋体"/>
        <family val="3"/>
        <charset val="134"/>
      </rPr>
      <t>现金的期末余额</t>
    </r>
    <phoneticPr fontId="4" type="noConversion"/>
  </si>
  <si>
    <r>
      <t xml:space="preserve">     </t>
    </r>
    <r>
      <rPr>
        <sz val="10"/>
        <rFont val="宋体"/>
        <family val="3"/>
        <charset val="134"/>
      </rPr>
      <t>减：现金的期初余额</t>
    </r>
    <phoneticPr fontId="4" type="noConversion"/>
  </si>
  <si>
    <r>
      <t xml:space="preserve">     </t>
    </r>
    <r>
      <rPr>
        <sz val="10"/>
        <rFont val="宋体"/>
        <family val="3"/>
        <charset val="134"/>
      </rPr>
      <t>加：现金等价物的期末余额</t>
    </r>
    <phoneticPr fontId="4" type="noConversion"/>
  </si>
  <si>
    <r>
      <t xml:space="preserve">     </t>
    </r>
    <r>
      <rPr>
        <b/>
        <sz val="10"/>
        <rFont val="宋体"/>
        <family val="3"/>
        <charset val="134"/>
      </rPr>
      <t>筹资活动现金流入小计</t>
    </r>
    <phoneticPr fontId="4" type="noConversion"/>
  </si>
  <si>
    <r>
      <t xml:space="preserve">     </t>
    </r>
    <r>
      <rPr>
        <sz val="10"/>
        <rFont val="宋体"/>
        <family val="3"/>
        <charset val="134"/>
      </rPr>
      <t>减：现金等价物的期初余额</t>
    </r>
    <phoneticPr fontId="4" type="noConversion"/>
  </si>
  <si>
    <r>
      <t xml:space="preserve">     </t>
    </r>
    <r>
      <rPr>
        <sz val="10"/>
        <rFont val="宋体"/>
        <family val="3"/>
        <charset val="134"/>
      </rPr>
      <t>偿还债务支付的现金</t>
    </r>
    <phoneticPr fontId="4" type="noConversion"/>
  </si>
  <si>
    <r>
      <t xml:space="preserve">     </t>
    </r>
    <r>
      <rPr>
        <sz val="10"/>
        <rFont val="宋体"/>
        <family val="3"/>
        <charset val="134"/>
      </rPr>
      <t>分配股利、利润或偿付利息支付的现金</t>
    </r>
    <phoneticPr fontId="4" type="noConversion"/>
  </si>
  <si>
    <r>
      <t xml:space="preserve">  </t>
    </r>
    <r>
      <rPr>
        <sz val="10"/>
        <rFont val="宋体"/>
        <family val="3"/>
        <charset val="134"/>
      </rPr>
      <t>（一）不能重分类进损益的其他综合收益</t>
    </r>
    <phoneticPr fontId="4" type="noConversion"/>
  </si>
  <si>
    <r>
      <t>1.</t>
    </r>
    <r>
      <rPr>
        <sz val="10"/>
        <rFont val="宋体"/>
        <family val="3"/>
        <charset val="134"/>
      </rPr>
      <t>重新计量设定受益计划变动额</t>
    </r>
    <phoneticPr fontId="4" type="noConversion"/>
  </si>
  <si>
    <r>
      <t>2.</t>
    </r>
    <r>
      <rPr>
        <sz val="10"/>
        <rFont val="宋体"/>
        <family val="3"/>
        <charset val="134"/>
      </rPr>
      <t>权益法下不能转损益的其他综合收益</t>
    </r>
    <phoneticPr fontId="4" type="noConversion"/>
  </si>
  <si>
    <r>
      <t xml:space="preserve">     </t>
    </r>
    <r>
      <rPr>
        <b/>
        <sz val="10"/>
        <rFont val="宋体"/>
        <family val="3"/>
        <charset val="134"/>
      </rPr>
      <t>筹资活动现金流出小计</t>
    </r>
    <phoneticPr fontId="4" type="noConversion"/>
  </si>
  <si>
    <r>
      <t xml:space="preserve">     </t>
    </r>
    <r>
      <rPr>
        <b/>
        <sz val="10"/>
        <rFont val="宋体"/>
        <family val="3"/>
        <charset val="134"/>
      </rPr>
      <t>筹资活动产生的现金流量净额</t>
    </r>
    <phoneticPr fontId="4" type="noConversion"/>
  </si>
  <si>
    <r>
      <t xml:space="preserve">  </t>
    </r>
    <r>
      <rPr>
        <sz val="10"/>
        <rFont val="宋体"/>
        <family val="3"/>
        <charset val="134"/>
      </rPr>
      <t>（二）将重分类进损益的其他综合收益</t>
    </r>
    <phoneticPr fontId="4" type="noConversion"/>
  </si>
  <si>
    <r>
      <t xml:space="preserve">     </t>
    </r>
    <r>
      <rPr>
        <b/>
        <sz val="10"/>
        <rFont val="宋体"/>
        <family val="3"/>
        <charset val="134"/>
      </rPr>
      <t>现金及现金等价物净增加额</t>
    </r>
    <phoneticPr fontId="4" type="noConversion"/>
  </si>
  <si>
    <r>
      <t xml:space="preserve">     </t>
    </r>
    <r>
      <rPr>
        <sz val="10"/>
        <rFont val="宋体"/>
        <family val="3"/>
        <charset val="134"/>
      </rPr>
      <t>归属于少数股东的综合收益总额</t>
    </r>
    <phoneticPr fontId="4" type="noConversion"/>
  </si>
  <si>
    <t>长期应付职工薪酬增加</t>
    <phoneticPr fontId="4" type="noConversion"/>
  </si>
  <si>
    <r>
      <t xml:space="preserve">     </t>
    </r>
    <r>
      <rPr>
        <sz val="10"/>
        <rFont val="宋体"/>
        <family val="3"/>
        <charset val="134"/>
      </rPr>
      <t>其中：子公司吸收少数股东投资收到的现金</t>
    </r>
    <phoneticPr fontId="4" type="noConversion"/>
  </si>
  <si>
    <r>
      <t xml:space="preserve">      </t>
    </r>
    <r>
      <rPr>
        <sz val="10"/>
        <rFont val="宋体"/>
        <family val="3"/>
        <charset val="134"/>
      </rPr>
      <t>其中：子公司支付给少数股东的股利、利润</t>
    </r>
    <phoneticPr fontId="4" type="noConversion"/>
  </si>
  <si>
    <r>
      <t xml:space="preserve">        </t>
    </r>
    <r>
      <rPr>
        <sz val="10"/>
        <rFont val="宋体"/>
        <family val="3"/>
        <charset val="134"/>
      </rPr>
      <t>信用减值损失</t>
    </r>
    <phoneticPr fontId="4" type="noConversion"/>
  </si>
  <si>
    <r>
      <t>2021</t>
    </r>
    <r>
      <rPr>
        <sz val="11"/>
        <rFont val="宋体"/>
        <family val="3"/>
        <charset val="134"/>
      </rPr>
      <t>年度</t>
    </r>
    <phoneticPr fontId="4" type="noConversion"/>
  </si>
  <si>
    <r>
      <t>2022</t>
    </r>
    <r>
      <rPr>
        <sz val="11"/>
        <rFont val="宋体"/>
        <family val="3"/>
        <charset val="134"/>
      </rPr>
      <t>年度</t>
    </r>
    <phoneticPr fontId="4" type="noConversion"/>
  </si>
  <si>
    <r>
      <rPr>
        <b/>
        <sz val="10"/>
        <color indexed="56"/>
        <rFont val="宋体"/>
        <family val="3"/>
        <charset val="134"/>
      </rPr>
      <t>会计报表格式及科目名称</t>
    </r>
    <phoneticPr fontId="4" type="noConversion"/>
  </si>
  <si>
    <r>
      <rPr>
        <b/>
        <sz val="10"/>
        <rFont val="宋体"/>
        <family val="3"/>
        <charset val="134"/>
      </rPr>
      <t>报表项目</t>
    </r>
    <phoneticPr fontId="51" type="noConversion"/>
  </si>
  <si>
    <r>
      <rPr>
        <b/>
        <sz val="10"/>
        <color indexed="12"/>
        <rFont val="宋体"/>
        <family val="3"/>
        <charset val="134"/>
      </rPr>
      <t>本表没有颜色的单元格可以根据需要进行修改，本系统的其它表格将随之改变。比如，可将</t>
    </r>
    <r>
      <rPr>
        <b/>
        <sz val="10"/>
        <color indexed="12"/>
        <rFont val="Arial Narrow"/>
        <family val="2"/>
      </rPr>
      <t>“</t>
    </r>
    <r>
      <rPr>
        <b/>
        <sz val="10"/>
        <color indexed="12"/>
        <rFont val="宋体"/>
        <family val="3"/>
        <charset val="134"/>
      </rPr>
      <t>存货</t>
    </r>
    <r>
      <rPr>
        <b/>
        <sz val="10"/>
        <color indexed="12"/>
        <rFont val="Arial Narrow"/>
        <family val="2"/>
      </rPr>
      <t>”</t>
    </r>
    <r>
      <rPr>
        <b/>
        <sz val="10"/>
        <color indexed="12"/>
        <rFont val="宋体"/>
        <family val="3"/>
        <charset val="134"/>
      </rPr>
      <t>改为</t>
    </r>
    <r>
      <rPr>
        <b/>
        <sz val="10"/>
        <color indexed="12"/>
        <rFont val="Arial Narrow"/>
        <family val="2"/>
      </rPr>
      <t>“</t>
    </r>
    <r>
      <rPr>
        <b/>
        <sz val="10"/>
        <color indexed="12"/>
        <rFont val="宋体"/>
        <family val="3"/>
        <charset val="134"/>
      </rPr>
      <t>存货</t>
    </r>
    <r>
      <rPr>
        <b/>
        <sz val="10"/>
        <color indexed="12"/>
        <rFont val="Arial Narrow"/>
        <family val="2"/>
      </rPr>
      <t>1”</t>
    </r>
    <r>
      <rPr>
        <b/>
        <sz val="10"/>
        <color indexed="12"/>
        <rFont val="宋体"/>
        <family val="3"/>
        <charset val="134"/>
      </rPr>
      <t>。</t>
    </r>
    <r>
      <rPr>
        <b/>
        <sz val="10"/>
        <color indexed="10"/>
        <rFont val="宋体"/>
        <family val="3"/>
        <charset val="134"/>
      </rPr>
      <t>正确的修改方法，是在拟修改的单元格直接输入新的内容，请不要使用剪切或拖拽功能。</t>
    </r>
    <phoneticPr fontId="4" type="noConversion"/>
  </si>
  <si>
    <r>
      <rPr>
        <b/>
        <sz val="10"/>
        <color indexed="56"/>
        <rFont val="宋体"/>
        <family val="3"/>
        <charset val="134"/>
      </rPr>
      <t>资</t>
    </r>
    <r>
      <rPr>
        <b/>
        <sz val="10"/>
        <color indexed="56"/>
        <rFont val="Arial Narrow"/>
        <family val="2"/>
      </rPr>
      <t xml:space="preserve">   </t>
    </r>
    <r>
      <rPr>
        <b/>
        <sz val="10"/>
        <color indexed="56"/>
        <rFont val="宋体"/>
        <family val="3"/>
        <charset val="134"/>
      </rPr>
      <t>产</t>
    </r>
    <r>
      <rPr>
        <b/>
        <sz val="10"/>
        <color indexed="56"/>
        <rFont val="Arial Narrow"/>
        <family val="2"/>
      </rPr>
      <t xml:space="preserve">   </t>
    </r>
    <r>
      <rPr>
        <b/>
        <sz val="10"/>
        <color indexed="56"/>
        <rFont val="宋体"/>
        <family val="3"/>
        <charset val="134"/>
      </rPr>
      <t>类</t>
    </r>
    <phoneticPr fontId="4" type="noConversion"/>
  </si>
  <si>
    <r>
      <rPr>
        <b/>
        <sz val="10"/>
        <color indexed="56"/>
        <rFont val="宋体"/>
        <family val="3"/>
        <charset val="134"/>
      </rPr>
      <t>负债及所有者权益类</t>
    </r>
    <phoneticPr fontId="4" type="noConversion"/>
  </si>
  <si>
    <r>
      <rPr>
        <b/>
        <sz val="10"/>
        <color indexed="56"/>
        <rFont val="宋体"/>
        <family val="3"/>
        <charset val="134"/>
      </rPr>
      <t>损</t>
    </r>
    <r>
      <rPr>
        <b/>
        <sz val="10"/>
        <color indexed="56"/>
        <rFont val="Arial Narrow"/>
        <family val="2"/>
      </rPr>
      <t xml:space="preserve">   </t>
    </r>
    <r>
      <rPr>
        <b/>
        <sz val="10"/>
        <color indexed="56"/>
        <rFont val="宋体"/>
        <family val="3"/>
        <charset val="134"/>
      </rPr>
      <t>益</t>
    </r>
    <r>
      <rPr>
        <b/>
        <sz val="10"/>
        <color indexed="56"/>
        <rFont val="Arial Narrow"/>
        <family val="2"/>
      </rPr>
      <t xml:space="preserve">   </t>
    </r>
    <r>
      <rPr>
        <b/>
        <sz val="10"/>
        <color indexed="56"/>
        <rFont val="宋体"/>
        <family val="3"/>
        <charset val="134"/>
      </rPr>
      <t>类</t>
    </r>
    <phoneticPr fontId="4" type="noConversion"/>
  </si>
  <si>
    <r>
      <rPr>
        <b/>
        <sz val="10"/>
        <color indexed="56"/>
        <rFont val="宋体"/>
        <family val="3"/>
        <charset val="134"/>
      </rPr>
      <t>现金流量表类</t>
    </r>
    <phoneticPr fontId="4" type="noConversion"/>
  </si>
  <si>
    <r>
      <rPr>
        <b/>
        <sz val="10"/>
        <color indexed="56"/>
        <rFont val="宋体"/>
        <family val="3"/>
        <charset val="134"/>
      </rPr>
      <t>行</t>
    </r>
    <phoneticPr fontId="4" type="noConversion"/>
  </si>
  <si>
    <r>
      <rPr>
        <b/>
        <sz val="10"/>
        <color indexed="56"/>
        <rFont val="宋体"/>
        <family val="3"/>
        <charset val="134"/>
      </rPr>
      <t>补充资料</t>
    </r>
    <phoneticPr fontId="4" type="noConversion"/>
  </si>
  <si>
    <r>
      <rPr>
        <i/>
        <sz val="10"/>
        <rFont val="宋体"/>
        <family val="3"/>
        <charset val="134"/>
      </rPr>
      <t>流动资产：</t>
    </r>
    <phoneticPr fontId="4" type="noConversion"/>
  </si>
  <si>
    <r>
      <rPr>
        <i/>
        <sz val="10"/>
        <rFont val="宋体"/>
        <family val="3"/>
        <charset val="134"/>
      </rPr>
      <t>流动负债：</t>
    </r>
    <phoneticPr fontId="4" type="noConversion"/>
  </si>
  <si>
    <r>
      <rPr>
        <sz val="10"/>
        <rFont val="宋体"/>
        <family val="3"/>
        <charset val="134"/>
      </rPr>
      <t>一、经营活动产生的现金流量</t>
    </r>
    <phoneticPr fontId="4" type="noConversion"/>
  </si>
  <si>
    <r>
      <rPr>
        <b/>
        <i/>
        <sz val="10"/>
        <rFont val="宋体"/>
        <family val="3"/>
        <charset val="134"/>
      </rPr>
      <t>流动资产：</t>
    </r>
  </si>
  <si>
    <r>
      <rPr>
        <sz val="10"/>
        <rFont val="宋体"/>
        <family val="3"/>
        <charset val="134"/>
      </rPr>
      <t>货币资金</t>
    </r>
    <phoneticPr fontId="4" type="noConversion"/>
  </si>
  <si>
    <r>
      <rPr>
        <sz val="10"/>
        <rFont val="宋体"/>
        <family val="3"/>
        <charset val="134"/>
      </rPr>
      <t>短期借款</t>
    </r>
    <phoneticPr fontId="4" type="noConversion"/>
  </si>
  <si>
    <r>
      <t xml:space="preserve">        </t>
    </r>
    <r>
      <rPr>
        <sz val="10"/>
        <rFont val="宋体"/>
        <family val="3"/>
        <charset val="134"/>
      </rPr>
      <t>其中：主营业务收入</t>
    </r>
  </si>
  <si>
    <r>
      <rPr>
        <sz val="10"/>
        <rFont val="宋体"/>
        <family val="3"/>
        <charset val="134"/>
      </rPr>
      <t>交易性金融资产</t>
    </r>
    <phoneticPr fontId="4" type="noConversion"/>
  </si>
  <si>
    <r>
      <rPr>
        <sz val="10"/>
        <rFont val="宋体"/>
        <family val="3"/>
        <charset val="134"/>
      </rPr>
      <t>交易性金融负债</t>
    </r>
    <phoneticPr fontId="4" type="noConversion"/>
  </si>
  <si>
    <r>
      <rPr>
        <sz val="10"/>
        <rFont val="宋体"/>
        <family val="3"/>
        <charset val="134"/>
      </rPr>
      <t>应付票据</t>
    </r>
    <phoneticPr fontId="4" type="noConversion"/>
  </si>
  <si>
    <r>
      <rPr>
        <sz val="10"/>
        <rFont val="宋体"/>
        <family val="3"/>
        <charset val="134"/>
      </rPr>
      <t>应收票据</t>
    </r>
    <phoneticPr fontId="4" type="noConversion"/>
  </si>
  <si>
    <r>
      <rPr>
        <sz val="10"/>
        <rFont val="宋体"/>
        <family val="3"/>
        <charset val="134"/>
      </rPr>
      <t>应付账款</t>
    </r>
    <phoneticPr fontId="4" type="noConversion"/>
  </si>
  <si>
    <r>
      <rPr>
        <sz val="10"/>
        <rFont val="宋体"/>
        <family val="3"/>
        <charset val="134"/>
      </rPr>
      <t>衍生金融负债</t>
    </r>
    <phoneticPr fontId="4" type="noConversion"/>
  </si>
  <si>
    <r>
      <t xml:space="preserve">        </t>
    </r>
    <r>
      <rPr>
        <sz val="10"/>
        <rFont val="宋体"/>
        <family val="3"/>
        <charset val="134"/>
      </rPr>
      <t>其中：主营业务成本</t>
    </r>
    <phoneticPr fontId="4" type="noConversion"/>
  </si>
  <si>
    <r>
      <rPr>
        <sz val="10"/>
        <rFont val="宋体"/>
        <family val="3"/>
        <charset val="134"/>
      </rPr>
      <t>加：资产减值损失</t>
    </r>
    <phoneticPr fontId="4" type="noConversion"/>
  </si>
  <si>
    <r>
      <rPr>
        <sz val="10"/>
        <rFont val="宋体"/>
        <family val="3"/>
        <charset val="134"/>
      </rPr>
      <t>应收款项融资</t>
    </r>
  </si>
  <si>
    <r>
      <rPr>
        <sz val="10"/>
        <rFont val="宋体"/>
        <family val="3"/>
        <charset val="134"/>
      </rPr>
      <t>预收款项</t>
    </r>
    <phoneticPr fontId="4" type="noConversion"/>
  </si>
  <si>
    <r>
      <t xml:space="preserve">        </t>
    </r>
    <r>
      <rPr>
        <sz val="10"/>
        <rFont val="宋体"/>
        <family val="3"/>
        <charset val="134"/>
      </rPr>
      <t>管理费用</t>
    </r>
    <phoneticPr fontId="4" type="noConversion"/>
  </si>
  <si>
    <r>
      <rPr>
        <sz val="10"/>
        <rFont val="宋体"/>
        <family val="3"/>
        <charset val="134"/>
      </rPr>
      <t>应付职工薪酬</t>
    </r>
    <phoneticPr fontId="4" type="noConversion"/>
  </si>
  <si>
    <r>
      <t xml:space="preserve">        </t>
    </r>
    <r>
      <rPr>
        <sz val="10"/>
        <rFont val="宋体"/>
        <family val="3"/>
        <charset val="134"/>
      </rPr>
      <t>研发费用</t>
    </r>
    <phoneticPr fontId="4" type="noConversion"/>
  </si>
  <si>
    <r>
      <t xml:space="preserve">     </t>
    </r>
    <r>
      <rPr>
        <sz val="10"/>
        <rFont val="宋体"/>
        <family val="3"/>
        <charset val="134"/>
      </rPr>
      <t>处置固定资产、无形资产和其他长期资产的损失（收益以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</si>
  <si>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r>
      <rPr>
        <sz val="10"/>
        <rFont val="宋体"/>
        <family val="3"/>
        <charset val="134"/>
      </rPr>
      <t>应交税费</t>
    </r>
    <phoneticPr fontId="4" type="noConversion"/>
  </si>
  <si>
    <r>
      <t xml:space="preserve">        </t>
    </r>
    <r>
      <rPr>
        <sz val="10"/>
        <rFont val="宋体"/>
        <family val="3"/>
        <charset val="134"/>
      </rPr>
      <t>财务费用</t>
    </r>
    <phoneticPr fontId="4" type="noConversion"/>
  </si>
  <si>
    <r>
      <rPr>
        <sz val="10"/>
        <rFont val="宋体"/>
        <family val="3"/>
        <charset val="134"/>
      </rPr>
      <t>递延收益</t>
    </r>
    <phoneticPr fontId="4" type="noConversion"/>
  </si>
  <si>
    <r>
      <t xml:space="preserve">     </t>
    </r>
    <r>
      <rPr>
        <sz val="10"/>
        <rFont val="宋体"/>
        <family val="3"/>
        <charset val="134"/>
      </rPr>
      <t>固定资产报废损失（收益以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</si>
  <si>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r>
      <rPr>
        <sz val="10"/>
        <rFont val="宋体"/>
        <family val="3"/>
        <charset val="134"/>
      </rPr>
      <t>其他应付款</t>
    </r>
  </si>
  <si>
    <r>
      <t xml:space="preserve">        </t>
    </r>
    <r>
      <rPr>
        <sz val="10"/>
        <rFont val="宋体"/>
        <family val="3"/>
        <charset val="134"/>
      </rPr>
      <t>其中：利息费用</t>
    </r>
    <phoneticPr fontId="4" type="noConversion"/>
  </si>
  <si>
    <r>
      <t xml:space="preserve">     </t>
    </r>
    <r>
      <rPr>
        <sz val="10"/>
        <rFont val="宋体"/>
        <family val="3"/>
        <charset val="134"/>
      </rPr>
      <t>公允价值变动损失（收益以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</si>
  <si>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r>
      <t xml:space="preserve">  </t>
    </r>
    <r>
      <rPr>
        <sz val="10"/>
        <rFont val="宋体"/>
        <family val="3"/>
        <charset val="134"/>
      </rPr>
      <t>其中：应付利息</t>
    </r>
    <phoneticPr fontId="4" type="noConversion"/>
  </si>
  <si>
    <r>
      <rPr>
        <sz val="10"/>
        <rFont val="宋体"/>
        <family val="3"/>
        <charset val="134"/>
      </rPr>
      <t>预计负债</t>
    </r>
    <phoneticPr fontId="4" type="noConversion"/>
  </si>
  <si>
    <r>
      <t xml:space="preserve">              </t>
    </r>
    <r>
      <rPr>
        <sz val="10"/>
        <rFont val="宋体"/>
        <family val="3"/>
        <charset val="134"/>
      </rPr>
      <t>利息收入</t>
    </r>
    <phoneticPr fontId="4" type="noConversion"/>
  </si>
  <si>
    <r>
      <t xml:space="preserve">     </t>
    </r>
    <r>
      <rPr>
        <sz val="10"/>
        <rFont val="宋体"/>
        <family val="3"/>
        <charset val="134"/>
      </rPr>
      <t>财务费用（收益以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</si>
  <si>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r>
      <rPr>
        <sz val="10"/>
        <rFont val="宋体"/>
        <family val="3"/>
        <charset val="134"/>
      </rPr>
      <t>合同资产</t>
    </r>
    <phoneticPr fontId="4" type="noConversion"/>
  </si>
  <si>
    <r>
      <t xml:space="preserve">        </t>
    </r>
    <r>
      <rPr>
        <sz val="10"/>
        <rFont val="宋体"/>
        <family val="3"/>
        <charset val="134"/>
      </rPr>
      <t>应付股利</t>
    </r>
    <phoneticPr fontId="4" type="noConversion"/>
  </si>
  <si>
    <r>
      <t xml:space="preserve">    </t>
    </r>
    <r>
      <rPr>
        <sz val="10"/>
        <rFont val="宋体"/>
        <family val="3"/>
        <charset val="134"/>
      </rPr>
      <t>加：其他收益</t>
    </r>
    <phoneticPr fontId="4" type="noConversion"/>
  </si>
  <si>
    <r>
      <rPr>
        <sz val="10"/>
        <rFont val="宋体"/>
        <family val="3"/>
        <charset val="134"/>
      </rPr>
      <t>二、投资活动产生的现金流量</t>
    </r>
    <phoneticPr fontId="4" type="noConversion"/>
  </si>
  <si>
    <r>
      <t xml:space="preserve">     </t>
    </r>
    <r>
      <rPr>
        <sz val="10"/>
        <rFont val="宋体"/>
        <family val="3"/>
        <charset val="134"/>
      </rPr>
      <t>投资损失（收益以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</si>
  <si>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r>
      <rPr>
        <sz val="10"/>
        <rFont val="宋体"/>
        <family val="3"/>
        <charset val="134"/>
      </rPr>
      <t>持有待售资产</t>
    </r>
    <phoneticPr fontId="4" type="noConversion"/>
  </si>
  <si>
    <r>
      <rPr>
        <sz val="10"/>
        <rFont val="宋体"/>
        <family val="3"/>
        <charset val="134"/>
      </rPr>
      <t>持有待售负债</t>
    </r>
    <phoneticPr fontId="4" type="noConversion"/>
  </si>
  <si>
    <r>
      <t xml:space="preserve">        </t>
    </r>
    <r>
      <rPr>
        <sz val="10"/>
        <rFont val="宋体"/>
        <family val="3"/>
        <charset val="134"/>
      </rPr>
      <t>投资收益（损失以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</si>
  <si>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r>
      <t xml:space="preserve">     </t>
    </r>
    <r>
      <rPr>
        <sz val="10"/>
        <rFont val="宋体"/>
        <family val="3"/>
        <charset val="134"/>
      </rPr>
      <t>递延所得税资产减少（增加以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</si>
  <si>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r>
      <rPr>
        <sz val="10"/>
        <rFont val="宋体"/>
        <family val="3"/>
        <charset val="134"/>
      </rPr>
      <t>一年内到期的非流动资产</t>
    </r>
    <phoneticPr fontId="4" type="noConversion"/>
  </si>
  <si>
    <r>
      <rPr>
        <sz val="10"/>
        <rFont val="宋体"/>
        <family val="3"/>
        <charset val="134"/>
      </rPr>
      <t>一年内到期的非流动负债</t>
    </r>
  </si>
  <si>
    <r>
      <t xml:space="preserve">     </t>
    </r>
    <r>
      <rPr>
        <sz val="10"/>
        <rFont val="宋体"/>
        <family val="3"/>
        <charset val="134"/>
      </rPr>
      <t>取得投资收益所收到的现金</t>
    </r>
    <phoneticPr fontId="4" type="noConversion"/>
  </si>
  <si>
    <r>
      <t xml:space="preserve">     </t>
    </r>
    <r>
      <rPr>
        <sz val="10"/>
        <rFont val="宋体"/>
        <family val="3"/>
        <charset val="134"/>
      </rPr>
      <t>递延所得税负债增加（减少以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</si>
  <si>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r>
      <rPr>
        <sz val="10"/>
        <rFont val="宋体"/>
        <family val="3"/>
        <charset val="134"/>
      </rPr>
      <t>其他流动资产</t>
    </r>
    <phoneticPr fontId="4" type="noConversion"/>
  </si>
  <si>
    <r>
      <rPr>
        <sz val="10"/>
        <rFont val="宋体"/>
        <family val="3"/>
        <charset val="134"/>
      </rPr>
      <t>其他流动负债</t>
    </r>
  </si>
  <si>
    <r>
      <t xml:space="preserve">     </t>
    </r>
    <r>
      <rPr>
        <sz val="10"/>
        <rFont val="宋体"/>
        <family val="3"/>
        <charset val="134"/>
      </rPr>
      <t>存货的减少（增加以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</si>
  <si>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r>
      <rPr>
        <b/>
        <sz val="10"/>
        <rFont val="宋体"/>
        <family val="3"/>
        <charset val="134"/>
      </rPr>
      <t>流动负债合计</t>
    </r>
    <phoneticPr fontId="4" type="noConversion"/>
  </si>
  <si>
    <r>
      <t xml:space="preserve">        </t>
    </r>
    <r>
      <rPr>
        <sz val="10"/>
        <rFont val="宋体"/>
        <family val="3"/>
        <charset val="134"/>
      </rPr>
      <t>净敞口套期收益（损失以</t>
    </r>
    <r>
      <rPr>
        <sz val="10"/>
        <rFont val="Arial Narrow"/>
        <family val="2"/>
      </rPr>
      <t>“-”</t>
    </r>
    <r>
      <rPr>
        <sz val="10"/>
        <rFont val="宋体"/>
        <family val="3"/>
        <charset val="134"/>
      </rPr>
      <t>号填列）</t>
    </r>
    <phoneticPr fontId="4" type="noConversion"/>
  </si>
  <si>
    <r>
      <t xml:space="preserve">     </t>
    </r>
    <r>
      <rPr>
        <sz val="10"/>
        <rFont val="宋体"/>
        <family val="3"/>
        <charset val="134"/>
      </rPr>
      <t>经营性应收项目的减少（增加以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</si>
  <si>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r>
      <rPr>
        <i/>
        <sz val="10"/>
        <rFont val="宋体"/>
        <family val="3"/>
        <charset val="134"/>
      </rPr>
      <t>非流动负债</t>
    </r>
    <r>
      <rPr>
        <i/>
        <sz val="10"/>
        <rFont val="Arial Narrow"/>
        <family val="2"/>
      </rPr>
      <t>:</t>
    </r>
  </si>
  <si>
    <r>
      <t xml:space="preserve">     </t>
    </r>
    <r>
      <rPr>
        <sz val="10"/>
        <rFont val="宋体"/>
        <family val="3"/>
        <charset val="134"/>
      </rPr>
      <t>经营性应付项目的增加（减少以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</si>
  <si>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r>
      <rPr>
        <b/>
        <sz val="10"/>
        <rFont val="宋体"/>
        <family val="3"/>
        <charset val="134"/>
      </rPr>
      <t>流动资产合计</t>
    </r>
  </si>
  <si>
    <r>
      <rPr>
        <sz val="10"/>
        <rFont val="宋体"/>
        <family val="3"/>
        <charset val="134"/>
      </rPr>
      <t>长期借款</t>
    </r>
    <phoneticPr fontId="4" type="noConversion"/>
  </si>
  <si>
    <r>
      <rPr>
        <i/>
        <sz val="10"/>
        <rFont val="宋体"/>
        <family val="3"/>
        <charset val="134"/>
      </rPr>
      <t>非流动资产</t>
    </r>
    <r>
      <rPr>
        <i/>
        <sz val="10"/>
        <rFont val="Arial Narrow"/>
        <family val="2"/>
      </rPr>
      <t>:</t>
    </r>
  </si>
  <si>
    <r>
      <rPr>
        <sz val="10"/>
        <rFont val="宋体"/>
        <family val="3"/>
        <charset val="134"/>
      </rPr>
      <t>应付债券</t>
    </r>
    <phoneticPr fontId="4" type="noConversion"/>
  </si>
  <si>
    <r>
      <rPr>
        <sz val="10"/>
        <rFont val="宋体"/>
        <family val="3"/>
        <charset val="134"/>
      </rPr>
      <t>债权投资</t>
    </r>
  </si>
  <si>
    <r>
      <t xml:space="preserve">  </t>
    </r>
    <r>
      <rPr>
        <sz val="10"/>
        <rFont val="宋体"/>
        <family val="3"/>
        <charset val="134"/>
      </rPr>
      <t>其中：优先股</t>
    </r>
    <phoneticPr fontId="4" type="noConversion"/>
  </si>
  <si>
    <r>
      <t xml:space="preserve">     </t>
    </r>
    <r>
      <rPr>
        <sz val="10"/>
        <rFont val="宋体"/>
        <family val="3"/>
        <charset val="134"/>
      </rPr>
      <t>购置固定资产、无形资产和其他长期资产所支付现金</t>
    </r>
    <r>
      <rPr>
        <sz val="10"/>
        <rFont val="Arial Narrow"/>
        <family val="2"/>
      </rPr>
      <t xml:space="preserve"> </t>
    </r>
    <phoneticPr fontId="4" type="noConversion"/>
  </si>
  <si>
    <r>
      <t xml:space="preserve">        </t>
    </r>
    <r>
      <rPr>
        <sz val="10"/>
        <rFont val="宋体"/>
        <family val="3"/>
        <charset val="134"/>
      </rPr>
      <t>永续债</t>
    </r>
    <phoneticPr fontId="4" type="noConversion"/>
  </si>
  <si>
    <r>
      <rPr>
        <sz val="10"/>
        <rFont val="宋体"/>
        <family val="3"/>
        <charset val="134"/>
      </rPr>
      <t>长期应付款</t>
    </r>
    <phoneticPr fontId="4" type="noConversion"/>
  </si>
  <si>
    <r>
      <rPr>
        <sz val="10"/>
        <rFont val="宋体"/>
        <family val="3"/>
        <charset val="134"/>
      </rPr>
      <t>二、营业利润（亏损以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</si>
  <si>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其他债权投资</t>
    </r>
  </si>
  <si>
    <r>
      <rPr>
        <sz val="10"/>
        <rFont val="宋体"/>
        <family val="3"/>
        <charset val="134"/>
      </rPr>
      <t>租赁负债</t>
    </r>
    <phoneticPr fontId="4" type="noConversion"/>
  </si>
  <si>
    <r>
      <t xml:space="preserve">     </t>
    </r>
    <r>
      <rPr>
        <sz val="10"/>
        <rFont val="宋体"/>
        <family val="3"/>
        <charset val="134"/>
      </rPr>
      <t>取得子公司及其他营业单位支付的现金净额</t>
    </r>
    <phoneticPr fontId="4" type="noConversion"/>
  </si>
  <si>
    <r>
      <t>2</t>
    </r>
    <r>
      <rPr>
        <sz val="10"/>
        <rFont val="宋体"/>
        <family val="3"/>
        <charset val="134"/>
      </rPr>
      <t>、不涉及现金收支的投资和筹资活动：</t>
    </r>
    <phoneticPr fontId="4" type="noConversion"/>
  </si>
  <si>
    <r>
      <rPr>
        <sz val="10"/>
        <rFont val="宋体"/>
        <family val="3"/>
        <charset val="134"/>
      </rPr>
      <t>长期应付职工薪酬</t>
    </r>
    <phoneticPr fontId="4" type="noConversion"/>
  </si>
  <si>
    <r>
      <rPr>
        <sz val="10"/>
        <rFont val="宋体"/>
        <family val="3"/>
        <charset val="134"/>
      </rPr>
      <t>设定受益计划净资产</t>
    </r>
    <phoneticPr fontId="4" type="noConversion"/>
  </si>
  <si>
    <r>
      <rPr>
        <sz val="10"/>
        <rFont val="宋体"/>
        <family val="3"/>
        <charset val="134"/>
      </rPr>
      <t>其他权益工具投资</t>
    </r>
  </si>
  <si>
    <r>
      <rPr>
        <sz val="10"/>
        <rFont val="宋体"/>
        <family val="3"/>
        <charset val="134"/>
      </rPr>
      <t>递延所得税负债</t>
    </r>
    <phoneticPr fontId="4" type="noConversion"/>
  </si>
  <si>
    <r>
      <rPr>
        <sz val="10"/>
        <rFont val="宋体"/>
        <family val="3"/>
        <charset val="134"/>
      </rPr>
      <t>四、净利润（净亏损以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</si>
  <si>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三、筹资活动产生的现金流量</t>
    </r>
    <phoneticPr fontId="4" type="noConversion"/>
  </si>
  <si>
    <r>
      <rPr>
        <sz val="10"/>
        <rFont val="宋体"/>
        <family val="3"/>
        <charset val="134"/>
      </rPr>
      <t>其他非流动金融资产</t>
    </r>
  </si>
  <si>
    <r>
      <rPr>
        <sz val="10"/>
        <rFont val="宋体"/>
        <family val="3"/>
        <charset val="134"/>
      </rPr>
      <t>其他非流动负债</t>
    </r>
    <phoneticPr fontId="4" type="noConversion"/>
  </si>
  <si>
    <r>
      <t xml:space="preserve"> </t>
    </r>
    <r>
      <rPr>
        <sz val="10"/>
        <rFont val="宋体"/>
        <family val="3"/>
        <charset val="134"/>
      </rPr>
      <t>（一）按经营持续性分类</t>
    </r>
  </si>
  <si>
    <r>
      <rPr>
        <b/>
        <sz val="10"/>
        <rFont val="宋体"/>
        <family val="3"/>
        <charset val="134"/>
      </rPr>
      <t>非流动负债合计</t>
    </r>
    <phoneticPr fontId="4" type="noConversion"/>
  </si>
  <si>
    <r>
      <t xml:space="preserve">     </t>
    </r>
    <r>
      <rPr>
        <sz val="10"/>
        <rFont val="宋体"/>
        <family val="3"/>
        <charset val="134"/>
      </rPr>
      <t>其中：持续经营净利润（净亏损以</t>
    </r>
    <r>
      <rPr>
        <sz val="10"/>
        <rFont val="Arial Narrow"/>
        <family val="2"/>
      </rPr>
      <t>“-”</t>
    </r>
    <r>
      <rPr>
        <sz val="10"/>
        <rFont val="宋体"/>
        <family val="3"/>
        <charset val="134"/>
      </rPr>
      <t>号填列）</t>
    </r>
    <phoneticPr fontId="4" type="noConversion"/>
  </si>
  <si>
    <r>
      <rPr>
        <b/>
        <sz val="10"/>
        <rFont val="宋体"/>
        <family val="3"/>
        <charset val="134"/>
      </rPr>
      <t>负</t>
    </r>
    <r>
      <rPr>
        <b/>
        <sz val="10"/>
        <rFont val="Arial Narrow"/>
        <family val="2"/>
      </rPr>
      <t xml:space="preserve"> </t>
    </r>
    <r>
      <rPr>
        <b/>
        <sz val="10"/>
        <rFont val="宋体"/>
        <family val="3"/>
        <charset val="134"/>
      </rPr>
      <t>债</t>
    </r>
    <r>
      <rPr>
        <b/>
        <sz val="10"/>
        <rFont val="Arial Narrow"/>
        <family val="2"/>
      </rPr>
      <t xml:space="preserve"> </t>
    </r>
    <r>
      <rPr>
        <b/>
        <sz val="10"/>
        <rFont val="宋体"/>
        <family val="3"/>
        <charset val="134"/>
      </rPr>
      <t>合</t>
    </r>
    <r>
      <rPr>
        <b/>
        <sz val="10"/>
        <rFont val="Arial Narrow"/>
        <family val="2"/>
      </rPr>
      <t xml:space="preserve"> </t>
    </r>
    <r>
      <rPr>
        <b/>
        <sz val="10"/>
        <rFont val="宋体"/>
        <family val="3"/>
        <charset val="134"/>
      </rPr>
      <t>计</t>
    </r>
    <phoneticPr fontId="4" type="noConversion"/>
  </si>
  <si>
    <r>
      <t xml:space="preserve">                 </t>
    </r>
    <r>
      <rPr>
        <sz val="10"/>
        <rFont val="宋体"/>
        <family val="3"/>
        <charset val="134"/>
      </rPr>
      <t>终止经营净利润（净亏损以</t>
    </r>
    <r>
      <rPr>
        <sz val="10"/>
        <rFont val="Arial Narrow"/>
        <family val="2"/>
      </rPr>
      <t>“-”</t>
    </r>
    <r>
      <rPr>
        <sz val="10"/>
        <rFont val="宋体"/>
        <family val="3"/>
        <charset val="134"/>
      </rPr>
      <t>号填列）</t>
    </r>
    <phoneticPr fontId="4" type="noConversion"/>
  </si>
  <si>
    <r>
      <t xml:space="preserve"> </t>
    </r>
    <r>
      <rPr>
        <sz val="10"/>
        <rFont val="宋体"/>
        <family val="3"/>
        <charset val="134"/>
      </rPr>
      <t>（二）按所有权归属分类</t>
    </r>
  </si>
  <si>
    <r>
      <t xml:space="preserve">     </t>
    </r>
    <r>
      <rPr>
        <sz val="10"/>
        <rFont val="宋体"/>
        <family val="3"/>
        <charset val="134"/>
      </rPr>
      <t>收到的其他与筹资活动有关的现金</t>
    </r>
  </si>
  <si>
    <r>
      <rPr>
        <sz val="10"/>
        <rFont val="宋体"/>
        <family val="3"/>
        <charset val="134"/>
      </rPr>
      <t>油气资产</t>
    </r>
    <phoneticPr fontId="4" type="noConversion"/>
  </si>
  <si>
    <r>
      <rPr>
        <sz val="10"/>
        <rFont val="宋体"/>
        <family val="3"/>
        <charset val="134"/>
      </rPr>
      <t>其他权益工具</t>
    </r>
    <phoneticPr fontId="4" type="noConversion"/>
  </si>
  <si>
    <r>
      <t xml:space="preserve">                 </t>
    </r>
    <r>
      <rPr>
        <sz val="10"/>
        <rFont val="宋体"/>
        <family val="3"/>
        <charset val="134"/>
      </rPr>
      <t>少数股东损益（净亏损以</t>
    </r>
    <r>
      <rPr>
        <sz val="10"/>
        <rFont val="Arial Narrow"/>
        <family val="2"/>
      </rPr>
      <t>“-”</t>
    </r>
    <r>
      <rPr>
        <sz val="10"/>
        <rFont val="宋体"/>
        <family val="3"/>
        <charset val="134"/>
      </rPr>
      <t>号填列）</t>
    </r>
    <phoneticPr fontId="4" type="noConversion"/>
  </si>
  <si>
    <r>
      <rPr>
        <sz val="10"/>
        <rFont val="宋体"/>
        <family val="3"/>
        <charset val="134"/>
      </rPr>
      <t>少数股东权益</t>
    </r>
    <phoneticPr fontId="4" type="noConversion"/>
  </si>
  <si>
    <r>
      <rPr>
        <sz val="10"/>
        <rFont val="宋体"/>
        <family val="3"/>
        <charset val="134"/>
      </rPr>
      <t>五、其他综合收益的税后净额</t>
    </r>
  </si>
  <si>
    <r>
      <rPr>
        <sz val="10"/>
        <rFont val="宋体"/>
        <family val="3"/>
        <charset val="134"/>
      </rPr>
      <t>开发支出</t>
    </r>
    <phoneticPr fontId="4" type="noConversion"/>
  </si>
  <si>
    <r>
      <rPr>
        <sz val="10"/>
        <rFont val="宋体"/>
        <family val="3"/>
        <charset val="134"/>
      </rPr>
      <t>资本公积</t>
    </r>
  </si>
  <si>
    <r>
      <rPr>
        <sz val="10"/>
        <rFont val="宋体"/>
        <family val="3"/>
        <charset val="134"/>
      </rPr>
      <t>减：库存股</t>
    </r>
    <phoneticPr fontId="4" type="noConversion"/>
  </si>
  <si>
    <r>
      <rPr>
        <sz val="10"/>
        <rFont val="宋体"/>
        <family val="3"/>
        <charset val="134"/>
      </rPr>
      <t>长期待摊费用</t>
    </r>
    <phoneticPr fontId="4" type="noConversion"/>
  </si>
  <si>
    <r>
      <rPr>
        <sz val="10"/>
        <rFont val="宋体"/>
        <family val="3"/>
        <charset val="134"/>
      </rPr>
      <t>其他综合收益</t>
    </r>
    <phoneticPr fontId="4" type="noConversion"/>
  </si>
  <si>
    <r>
      <rPr>
        <sz val="10"/>
        <rFont val="宋体"/>
        <family val="3"/>
        <charset val="134"/>
      </rPr>
      <t>递延所得税资产</t>
    </r>
    <phoneticPr fontId="4" type="noConversion"/>
  </si>
  <si>
    <r>
      <rPr>
        <sz val="10"/>
        <rFont val="宋体"/>
        <family val="3"/>
        <charset val="134"/>
      </rPr>
      <t>专项储备</t>
    </r>
    <phoneticPr fontId="4" type="noConversion"/>
  </si>
  <si>
    <r>
      <t>3.</t>
    </r>
    <r>
      <rPr>
        <sz val="10"/>
        <rFont val="宋体"/>
        <family val="3"/>
        <charset val="134"/>
      </rPr>
      <t>其他权益工具投资公允价值变动</t>
    </r>
    <r>
      <rPr>
        <sz val="10"/>
        <rFont val="Arial Narrow"/>
        <family val="2"/>
      </rPr>
      <t xml:space="preserve"> </t>
    </r>
    <phoneticPr fontId="4" type="noConversion"/>
  </si>
  <si>
    <r>
      <rPr>
        <sz val="10"/>
        <rFont val="宋体"/>
        <family val="3"/>
        <charset val="134"/>
      </rPr>
      <t>其他非流动资产</t>
    </r>
    <phoneticPr fontId="4" type="noConversion"/>
  </si>
  <si>
    <r>
      <rPr>
        <sz val="10"/>
        <rFont val="宋体"/>
        <family val="3"/>
        <charset val="134"/>
      </rPr>
      <t>盈余公积</t>
    </r>
  </si>
  <si>
    <r>
      <t>4.</t>
    </r>
    <r>
      <rPr>
        <sz val="10"/>
        <rFont val="宋体"/>
        <family val="3"/>
        <charset val="134"/>
      </rPr>
      <t>企业自身信用风险公允价值变动</t>
    </r>
    <r>
      <rPr>
        <sz val="10"/>
        <rFont val="Arial Narrow"/>
        <family val="2"/>
      </rPr>
      <t xml:space="preserve"> </t>
    </r>
    <phoneticPr fontId="4" type="noConversion"/>
  </si>
  <si>
    <r>
      <rPr>
        <sz val="10"/>
        <rFont val="宋体"/>
        <family val="3"/>
        <charset val="134"/>
      </rPr>
      <t>未分配利润</t>
    </r>
  </si>
  <si>
    <r>
      <rPr>
        <b/>
        <sz val="10"/>
        <rFont val="宋体"/>
        <family val="3"/>
        <charset val="134"/>
      </rPr>
      <t>四、汇率变动对现金及现金等价物的影响</t>
    </r>
  </si>
  <si>
    <r>
      <rPr>
        <b/>
        <sz val="10"/>
        <rFont val="宋体"/>
        <family val="3"/>
        <charset val="134"/>
      </rPr>
      <t>五、现金及现金等价物净增加额</t>
    </r>
  </si>
  <si>
    <r>
      <t xml:space="preserve">    </t>
    </r>
    <r>
      <rPr>
        <sz val="10"/>
        <rFont val="宋体"/>
        <family val="3"/>
        <charset val="134"/>
      </rPr>
      <t>加：期初现金及现金等价物余额</t>
    </r>
  </si>
  <si>
    <r>
      <rPr>
        <b/>
        <sz val="10"/>
        <rFont val="宋体"/>
        <family val="3"/>
        <charset val="134"/>
      </rPr>
      <t>非流动资产合计</t>
    </r>
    <phoneticPr fontId="4" type="noConversion"/>
  </si>
  <si>
    <r>
      <t>2.</t>
    </r>
    <r>
      <rPr>
        <sz val="10"/>
        <rFont val="宋体"/>
        <family val="3"/>
        <charset val="134"/>
      </rPr>
      <t>其他债权投资公允价值变动</t>
    </r>
    <r>
      <rPr>
        <sz val="10"/>
        <rFont val="Arial Narrow"/>
        <family val="2"/>
      </rPr>
      <t xml:space="preserve"> </t>
    </r>
    <phoneticPr fontId="4" type="noConversion"/>
  </si>
  <si>
    <r>
      <rPr>
        <b/>
        <sz val="10"/>
        <rFont val="宋体"/>
        <family val="3"/>
        <charset val="134"/>
      </rPr>
      <t>六、期末现金及现金等价物余额</t>
    </r>
    <phoneticPr fontId="4" type="noConversion"/>
  </si>
  <si>
    <r>
      <rPr>
        <b/>
        <sz val="10"/>
        <color indexed="18"/>
        <rFont val="宋体"/>
        <family val="3"/>
        <charset val="134"/>
      </rPr>
      <t>资</t>
    </r>
    <r>
      <rPr>
        <b/>
        <sz val="10"/>
        <color indexed="18"/>
        <rFont val="Arial Narrow"/>
        <family val="2"/>
      </rPr>
      <t xml:space="preserve"> </t>
    </r>
    <r>
      <rPr>
        <b/>
        <sz val="10"/>
        <color indexed="18"/>
        <rFont val="宋体"/>
        <family val="3"/>
        <charset val="134"/>
      </rPr>
      <t>产</t>
    </r>
    <r>
      <rPr>
        <b/>
        <sz val="10"/>
        <color indexed="18"/>
        <rFont val="Arial Narrow"/>
        <family val="2"/>
      </rPr>
      <t xml:space="preserve"> </t>
    </r>
    <r>
      <rPr>
        <b/>
        <sz val="10"/>
        <color indexed="18"/>
        <rFont val="宋体"/>
        <family val="3"/>
        <charset val="134"/>
      </rPr>
      <t>总</t>
    </r>
    <r>
      <rPr>
        <b/>
        <sz val="10"/>
        <color indexed="18"/>
        <rFont val="Arial Narrow"/>
        <family val="2"/>
      </rPr>
      <t xml:space="preserve"> </t>
    </r>
    <r>
      <rPr>
        <b/>
        <sz val="10"/>
        <color indexed="18"/>
        <rFont val="宋体"/>
        <family val="3"/>
        <charset val="134"/>
      </rPr>
      <t>计</t>
    </r>
  </si>
  <si>
    <r>
      <rPr>
        <sz val="10"/>
        <rFont val="宋体"/>
        <family val="3"/>
        <charset val="134"/>
      </rPr>
      <t>归属于少数股东的其他综合收益的税后净额</t>
    </r>
    <phoneticPr fontId="4" type="noConversion"/>
  </si>
  <si>
    <r>
      <rPr>
        <sz val="10"/>
        <rFont val="宋体"/>
        <family val="3"/>
        <charset val="134"/>
      </rPr>
      <t>六、综合收益总额</t>
    </r>
    <phoneticPr fontId="4" type="noConversion"/>
  </si>
  <si>
    <r>
      <rPr>
        <sz val="10"/>
        <rFont val="宋体"/>
        <family val="3"/>
        <charset val="134"/>
      </rPr>
      <t>七、每股收益</t>
    </r>
    <phoneticPr fontId="4" type="noConversion"/>
  </si>
  <si>
    <r>
      <t xml:space="preserve">   </t>
    </r>
    <r>
      <rPr>
        <sz val="10"/>
        <rFont val="宋体"/>
        <family val="3"/>
        <charset val="134"/>
      </rPr>
      <t>（二）稀释每股收益</t>
    </r>
  </si>
  <si>
    <r>
      <t xml:space="preserve">    1</t>
    </r>
    <r>
      <rPr>
        <sz val="10"/>
        <rFont val="宋体"/>
        <family val="3"/>
        <charset val="134"/>
      </rPr>
      <t>、提取法定盈余公积</t>
    </r>
    <phoneticPr fontId="4" type="noConversion"/>
  </si>
  <si>
    <r>
      <t xml:space="preserve">    1</t>
    </r>
    <r>
      <rPr>
        <sz val="10"/>
        <rFont val="宋体"/>
        <family val="3"/>
        <charset val="134"/>
      </rPr>
      <t>、应付优先股股利</t>
    </r>
    <phoneticPr fontId="4" type="noConversion"/>
  </si>
  <si>
    <r>
      <t xml:space="preserve">    2</t>
    </r>
    <r>
      <rPr>
        <sz val="10"/>
        <rFont val="宋体"/>
        <family val="3"/>
        <charset val="134"/>
      </rPr>
      <t>、提取任意盈余公积</t>
    </r>
    <phoneticPr fontId="4" type="noConversion"/>
  </si>
  <si>
    <r>
      <t xml:space="preserve">    3</t>
    </r>
    <r>
      <rPr>
        <sz val="10"/>
        <rFont val="宋体"/>
        <family val="3"/>
        <charset val="134"/>
      </rPr>
      <t>、应付普通股股利（应付利润）</t>
    </r>
    <phoneticPr fontId="4" type="noConversion"/>
  </si>
  <si>
    <r>
      <t xml:space="preserve">    4</t>
    </r>
    <r>
      <rPr>
        <sz val="10"/>
        <rFont val="宋体"/>
        <family val="3"/>
        <charset val="134"/>
      </rPr>
      <t>、转作资本（或股本）的普通股股利</t>
    </r>
    <phoneticPr fontId="4" type="noConversion"/>
  </si>
  <si>
    <r>
      <t xml:space="preserve">    5</t>
    </r>
    <r>
      <rPr>
        <sz val="10"/>
        <rFont val="宋体"/>
        <family val="3"/>
        <charset val="134"/>
      </rPr>
      <t>、其他</t>
    </r>
    <phoneticPr fontId="4" type="noConversion"/>
  </si>
  <si>
    <r>
      <t>现</t>
    </r>
    <r>
      <rPr>
        <b/>
        <sz val="10"/>
        <rFont val="Arial Narrow"/>
        <family val="2"/>
      </rPr>
      <t xml:space="preserve">  </t>
    </r>
    <r>
      <rPr>
        <b/>
        <sz val="10"/>
        <rFont val="宋体"/>
        <family val="3"/>
        <charset val="134"/>
      </rPr>
      <t>金</t>
    </r>
    <r>
      <rPr>
        <b/>
        <sz val="10"/>
        <rFont val="Arial Narrow"/>
        <family val="2"/>
      </rPr>
      <t xml:space="preserve">  </t>
    </r>
    <r>
      <rPr>
        <b/>
        <sz val="10"/>
        <rFont val="宋体"/>
        <family val="3"/>
        <charset val="134"/>
      </rPr>
      <t>流</t>
    </r>
    <r>
      <rPr>
        <b/>
        <sz val="10"/>
        <rFont val="Arial Narrow"/>
        <family val="2"/>
      </rPr>
      <t xml:space="preserve">  </t>
    </r>
    <r>
      <rPr>
        <b/>
        <sz val="10"/>
        <rFont val="宋体"/>
        <family val="3"/>
        <charset val="134"/>
      </rPr>
      <t>量</t>
    </r>
    <r>
      <rPr>
        <b/>
        <sz val="10"/>
        <rFont val="Arial Narrow"/>
        <family val="2"/>
      </rPr>
      <t xml:space="preserve">  </t>
    </r>
    <r>
      <rPr>
        <b/>
        <sz val="10"/>
        <rFont val="宋体"/>
        <family val="3"/>
        <charset val="134"/>
      </rPr>
      <t>表</t>
    </r>
  </si>
  <si>
    <r>
      <rPr>
        <b/>
        <sz val="8.5"/>
        <rFont val="宋体"/>
        <family val="3"/>
        <charset val="134"/>
      </rPr>
      <t>上期审定数
①</t>
    </r>
    <phoneticPr fontId="4" type="noConversion"/>
  </si>
  <si>
    <r>
      <rPr>
        <b/>
        <sz val="8.5"/>
        <rFont val="宋体"/>
        <family val="3"/>
        <charset val="134"/>
      </rPr>
      <t>本年期初数
②</t>
    </r>
    <phoneticPr fontId="4" type="noConversion"/>
  </si>
  <si>
    <r>
      <rPr>
        <b/>
        <sz val="8.5"/>
        <rFont val="宋体"/>
        <family val="3"/>
        <charset val="134"/>
      </rPr>
      <t>辅助列</t>
    </r>
    <phoneticPr fontId="4" type="noConversion"/>
  </si>
  <si>
    <r>
      <rPr>
        <b/>
        <sz val="8.5"/>
        <rFont val="宋体"/>
        <family val="3"/>
        <charset val="134"/>
      </rPr>
      <t>差异
①</t>
    </r>
    <r>
      <rPr>
        <b/>
        <sz val="8.5"/>
        <rFont val="Arial Narrow"/>
        <family val="2"/>
      </rPr>
      <t>-</t>
    </r>
    <r>
      <rPr>
        <b/>
        <sz val="8.5"/>
        <rFont val="宋体"/>
        <family val="3"/>
        <charset val="134"/>
      </rPr>
      <t>②</t>
    </r>
    <phoneticPr fontId="4" type="noConversion"/>
  </si>
  <si>
    <r>
      <rPr>
        <sz val="8.5"/>
        <rFont val="宋体"/>
        <family val="3"/>
        <charset val="134"/>
      </rPr>
      <t>上期审定</t>
    </r>
    <r>
      <rPr>
        <sz val="8.5"/>
        <rFont val="Arial Narrow"/>
        <family val="2"/>
      </rPr>
      <t>BS</t>
    </r>
    <r>
      <rPr>
        <sz val="8.5"/>
        <rFont val="宋体"/>
        <family val="3"/>
        <charset val="134"/>
      </rPr>
      <t>平衡</t>
    </r>
    <phoneticPr fontId="4" type="noConversion"/>
  </si>
  <si>
    <r>
      <rPr>
        <sz val="8.5"/>
        <rFont val="宋体"/>
        <family val="3"/>
        <charset val="134"/>
      </rPr>
      <t>本年期初</t>
    </r>
    <r>
      <rPr>
        <sz val="8.5"/>
        <rFont val="Arial Narrow"/>
        <family val="2"/>
      </rPr>
      <t>BS</t>
    </r>
    <r>
      <rPr>
        <sz val="8.5"/>
        <rFont val="宋体"/>
        <family val="3"/>
        <charset val="134"/>
      </rPr>
      <t>平衡</t>
    </r>
    <phoneticPr fontId="4" type="noConversion"/>
  </si>
  <si>
    <t>未审资产负债表趋势分析</t>
    <phoneticPr fontId="4" type="noConversion"/>
  </si>
  <si>
    <r>
      <rPr>
        <b/>
        <sz val="8.5"/>
        <rFont val="宋体"/>
        <family val="3"/>
        <charset val="134"/>
      </rPr>
      <t>资</t>
    </r>
    <r>
      <rPr>
        <b/>
        <sz val="8.5"/>
        <rFont val="Arial Narrow"/>
        <family val="2"/>
      </rPr>
      <t xml:space="preserve">           </t>
    </r>
    <r>
      <rPr>
        <b/>
        <sz val="8.5"/>
        <rFont val="宋体"/>
        <family val="3"/>
        <charset val="134"/>
      </rPr>
      <t>产</t>
    </r>
    <phoneticPr fontId="4" type="noConversion"/>
  </si>
  <si>
    <r>
      <rPr>
        <sz val="8.5"/>
        <rFont val="宋体"/>
        <family val="3"/>
        <charset val="134"/>
      </rPr>
      <t>索引：</t>
    </r>
    <r>
      <rPr>
        <sz val="8.5"/>
        <rFont val="Arial Narrow"/>
        <family val="2"/>
      </rPr>
      <t xml:space="preserve"> </t>
    </r>
    <r>
      <rPr>
        <u/>
        <sz val="8.5"/>
        <rFont val="Arial Narrow"/>
        <family val="2"/>
      </rPr>
      <t xml:space="preserve">           </t>
    </r>
    <phoneticPr fontId="4" type="noConversion"/>
  </si>
  <si>
    <r>
      <rPr>
        <sz val="8.5"/>
        <rFont val="宋体"/>
        <family val="3"/>
        <charset val="134"/>
      </rPr>
      <t>日期：</t>
    </r>
    <phoneticPr fontId="4" type="noConversion"/>
  </si>
  <si>
    <r>
      <rPr>
        <sz val="8.5"/>
        <rFont val="宋体"/>
        <family val="3"/>
        <charset val="134"/>
      </rPr>
      <t>分页：</t>
    </r>
    <r>
      <rPr>
        <u/>
        <sz val="8.5"/>
        <rFont val="Arial Narrow"/>
        <family val="2"/>
      </rPr>
      <t xml:space="preserve">       </t>
    </r>
    <r>
      <rPr>
        <sz val="8.5"/>
        <rFont val="Arial Narrow"/>
        <family val="2"/>
      </rPr>
      <t xml:space="preserve">    </t>
    </r>
    <phoneticPr fontId="4" type="noConversion"/>
  </si>
  <si>
    <r>
      <rPr>
        <b/>
        <sz val="8.5"/>
        <rFont val="宋体"/>
        <family val="3"/>
        <charset val="134"/>
      </rPr>
      <t>账项调整</t>
    </r>
    <phoneticPr fontId="4" type="noConversion"/>
  </si>
  <si>
    <r>
      <rPr>
        <b/>
        <sz val="8.5"/>
        <rFont val="宋体"/>
        <family val="3"/>
        <charset val="134"/>
      </rPr>
      <t>报表调整</t>
    </r>
    <phoneticPr fontId="4" type="noConversion"/>
  </si>
  <si>
    <r>
      <rPr>
        <b/>
        <sz val="8.5"/>
        <rFont val="宋体"/>
        <family val="3"/>
        <charset val="134"/>
      </rPr>
      <t>借方</t>
    </r>
    <phoneticPr fontId="4" type="noConversion"/>
  </si>
  <si>
    <r>
      <rPr>
        <b/>
        <sz val="8.5"/>
        <rFont val="宋体"/>
        <family val="3"/>
        <charset val="134"/>
      </rPr>
      <t>贷方</t>
    </r>
    <phoneticPr fontId="4" type="noConversion"/>
  </si>
  <si>
    <t>比重%</t>
  </si>
  <si>
    <t>未审数</t>
  </si>
  <si>
    <t>本年比上年增长（横向趋势分析）</t>
    <phoneticPr fontId="4" type="noConversion"/>
  </si>
  <si>
    <t>本年比上年比重增长差异（纵向趋势分析）</t>
    <phoneticPr fontId="4" type="noConversion"/>
  </si>
  <si>
    <t>预付款项原值</t>
  </si>
  <si>
    <t>预付款项坏账准备</t>
  </si>
  <si>
    <t>其他应收款坏账准备</t>
  </si>
  <si>
    <t>长期应收款坏账准备</t>
  </si>
  <si>
    <t>长期应收款原值</t>
  </si>
  <si>
    <t>长期股权投资原值</t>
  </si>
  <si>
    <t>长期股权投资减值准备</t>
  </si>
  <si>
    <t>投资性房地产累计折旧</t>
  </si>
  <si>
    <t>投资性房地产净值</t>
  </si>
  <si>
    <t>投资性房地产减值准备</t>
  </si>
  <si>
    <t>投资性房地产原值</t>
  </si>
  <si>
    <t>固定资产原值</t>
  </si>
  <si>
    <t>固定资产累计折旧</t>
  </si>
  <si>
    <t>固定资产净值</t>
  </si>
  <si>
    <t>固定资产减值准备</t>
  </si>
  <si>
    <t>在建工程原值</t>
  </si>
  <si>
    <t>在建工程减值准备</t>
  </si>
  <si>
    <t>工程物资原值</t>
  </si>
  <si>
    <t>工程物资减值准备</t>
  </si>
  <si>
    <t>使用权资产累计折旧</t>
  </si>
  <si>
    <t>使用权资产原值</t>
  </si>
  <si>
    <t>无形资产原值</t>
  </si>
  <si>
    <t>无形资产累计摊销</t>
  </si>
  <si>
    <t>无形资产净值</t>
  </si>
  <si>
    <t>无形资产减值准备</t>
  </si>
  <si>
    <t>商誉原值</t>
  </si>
  <si>
    <t>商誉减值准备</t>
  </si>
  <si>
    <t>应收利息</t>
  </si>
  <si>
    <t>其他应收款原值</t>
  </si>
  <si>
    <t>存货原值</t>
  </si>
  <si>
    <t>存货跌价准备</t>
  </si>
  <si>
    <t>未审报表</t>
    <phoneticPr fontId="16" type="noConversion"/>
  </si>
  <si>
    <t>期初核对</t>
    <phoneticPr fontId="16" type="noConversion"/>
  </si>
  <si>
    <t>TB</t>
    <phoneticPr fontId="16" type="noConversion"/>
  </si>
  <si>
    <t>审定报表</t>
    <phoneticPr fontId="16" type="noConversion"/>
  </si>
  <si>
    <t>未审BS分析</t>
    <phoneticPr fontId="16" type="noConversion"/>
  </si>
  <si>
    <t>未审PL分析</t>
    <phoneticPr fontId="16" type="noConversion"/>
  </si>
  <si>
    <r>
      <rPr>
        <b/>
        <sz val="9"/>
        <color indexed="18"/>
        <rFont val="微软雅黑"/>
        <family val="2"/>
        <charset val="134"/>
      </rPr>
      <t>未审综合收益表分析</t>
    </r>
    <phoneticPr fontId="4" type="noConversion"/>
  </si>
  <si>
    <r>
      <rPr>
        <sz val="9"/>
        <rFont val="微软雅黑"/>
        <family val="2"/>
        <charset val="134"/>
      </rPr>
      <t>日期：</t>
    </r>
    <phoneticPr fontId="4" type="noConversion"/>
  </si>
  <si>
    <r>
      <rPr>
        <sz val="9"/>
        <rFont val="微软雅黑"/>
        <family val="2"/>
        <charset val="134"/>
      </rPr>
      <t>分页：</t>
    </r>
    <r>
      <rPr>
        <u/>
        <sz val="10"/>
        <rFont val="Arial Narrow"/>
        <family val="2"/>
      </rPr>
      <t/>
    </r>
    <phoneticPr fontId="4" type="noConversion"/>
  </si>
  <si>
    <r>
      <rPr>
        <b/>
        <sz val="9"/>
        <rFont val="微软雅黑"/>
        <family val="2"/>
        <charset val="134"/>
      </rPr>
      <t>项</t>
    </r>
    <r>
      <rPr>
        <b/>
        <sz val="9"/>
        <rFont val="Arial Narrow"/>
        <family val="2"/>
      </rPr>
      <t xml:space="preserve">          </t>
    </r>
    <r>
      <rPr>
        <b/>
        <sz val="9"/>
        <rFont val="微软雅黑"/>
        <family val="2"/>
        <charset val="134"/>
      </rPr>
      <t>目</t>
    </r>
  </si>
  <si>
    <r>
      <rPr>
        <sz val="9"/>
        <rFont val="微软雅黑"/>
        <family val="2"/>
        <charset val="134"/>
      </rPr>
      <t>行次</t>
    </r>
    <phoneticPr fontId="10" type="noConversion"/>
  </si>
  <si>
    <r>
      <rPr>
        <sz val="9"/>
        <rFont val="微软雅黑"/>
        <family val="2"/>
        <charset val="134"/>
      </rPr>
      <t>上年已审数</t>
    </r>
    <phoneticPr fontId="4" type="noConversion"/>
  </si>
  <si>
    <r>
      <rPr>
        <sz val="9"/>
        <rFont val="微软雅黑"/>
        <family val="2"/>
        <charset val="134"/>
      </rPr>
      <t>本年未审数</t>
    </r>
    <phoneticPr fontId="4" type="noConversion"/>
  </si>
  <si>
    <r>
      <rPr>
        <sz val="9"/>
        <rFont val="微软雅黑"/>
        <family val="2"/>
        <charset val="134"/>
      </rPr>
      <t>本年比上年增长</t>
    </r>
    <phoneticPr fontId="4" type="noConversion"/>
  </si>
  <si>
    <r>
      <rPr>
        <sz val="9"/>
        <rFont val="微软雅黑"/>
        <family val="2"/>
        <charset val="134"/>
      </rPr>
      <t>变动状况（显著</t>
    </r>
    <r>
      <rPr>
        <sz val="9"/>
        <rFont val="Arial Narrow"/>
        <family val="2"/>
      </rPr>
      <t>/</t>
    </r>
    <r>
      <rPr>
        <sz val="9"/>
        <rFont val="微软雅黑"/>
        <family val="2"/>
        <charset val="134"/>
      </rPr>
      <t>关注</t>
    </r>
    <r>
      <rPr>
        <sz val="9"/>
        <rFont val="Arial Narrow"/>
        <family val="2"/>
      </rPr>
      <t>)</t>
    </r>
    <phoneticPr fontId="4" type="noConversion"/>
  </si>
  <si>
    <r>
      <rPr>
        <sz val="9"/>
        <rFont val="微软雅黑"/>
        <family val="2"/>
        <charset val="134"/>
      </rPr>
      <t>显著变动
原因分析</t>
    </r>
    <phoneticPr fontId="4" type="noConversion"/>
  </si>
  <si>
    <r>
      <rPr>
        <sz val="9"/>
        <rFont val="微软雅黑"/>
        <family val="2"/>
        <charset val="134"/>
      </rPr>
      <t>变动额</t>
    </r>
    <phoneticPr fontId="4" type="noConversion"/>
  </si>
  <si>
    <r>
      <rPr>
        <sz val="9"/>
        <rFont val="微软雅黑"/>
        <family val="2"/>
        <charset val="134"/>
      </rPr>
      <t>变动％</t>
    </r>
    <phoneticPr fontId="4" type="noConversion"/>
  </si>
  <si>
    <r>
      <rPr>
        <sz val="10"/>
        <rFont val="微软雅黑"/>
        <family val="2"/>
        <charset val="134"/>
      </rPr>
      <t>本年比上年
增长差异</t>
    </r>
    <phoneticPr fontId="4" type="noConversion"/>
  </si>
  <si>
    <r>
      <rPr>
        <sz val="10"/>
        <rFont val="微软雅黑"/>
        <family val="2"/>
        <charset val="134"/>
      </rPr>
      <t>变动状况（显著</t>
    </r>
    <r>
      <rPr>
        <sz val="10"/>
        <rFont val="Arial Narrow"/>
        <family val="2"/>
      </rPr>
      <t>/</t>
    </r>
    <r>
      <rPr>
        <sz val="10"/>
        <rFont val="微软雅黑"/>
        <family val="2"/>
        <charset val="134"/>
      </rPr>
      <t>关注</t>
    </r>
    <r>
      <rPr>
        <sz val="10"/>
        <rFont val="Arial Narrow"/>
        <family val="2"/>
      </rPr>
      <t>)</t>
    </r>
    <phoneticPr fontId="4" type="noConversion"/>
  </si>
  <si>
    <r>
      <rPr>
        <sz val="10"/>
        <rFont val="微软雅黑"/>
        <family val="2"/>
        <charset val="134"/>
      </rPr>
      <t>显著变动
原因分析</t>
    </r>
    <phoneticPr fontId="4" type="noConversion"/>
  </si>
  <si>
    <r>
      <rPr>
        <sz val="10"/>
        <rFont val="微软雅黑"/>
        <family val="2"/>
        <charset val="134"/>
      </rPr>
      <t>已审数</t>
    </r>
  </si>
  <si>
    <r>
      <rPr>
        <sz val="10"/>
        <rFont val="微软雅黑"/>
        <family val="2"/>
        <charset val="134"/>
      </rPr>
      <t>比重</t>
    </r>
    <r>
      <rPr>
        <sz val="10"/>
        <rFont val="Arial Narrow"/>
        <family val="2"/>
      </rPr>
      <t>%</t>
    </r>
    <phoneticPr fontId="4" type="noConversion"/>
  </si>
  <si>
    <r>
      <rPr>
        <sz val="10"/>
        <rFont val="微软雅黑"/>
        <family val="2"/>
        <charset val="134"/>
      </rPr>
      <t>未审数</t>
    </r>
    <phoneticPr fontId="4" type="noConversion"/>
  </si>
  <si>
    <r>
      <rPr>
        <sz val="9"/>
        <rFont val="微软雅黑"/>
        <family val="2"/>
        <charset val="134"/>
      </rPr>
      <t>行次</t>
    </r>
    <phoneticPr fontId="4" type="noConversion"/>
  </si>
  <si>
    <r>
      <rPr>
        <sz val="9"/>
        <rFont val="微软雅黑"/>
        <family val="2"/>
        <charset val="134"/>
      </rPr>
      <t>本年已审数</t>
    </r>
    <phoneticPr fontId="4" type="noConversion"/>
  </si>
  <si>
    <r>
      <rPr>
        <sz val="9"/>
        <rFont val="微软雅黑"/>
        <family val="2"/>
        <charset val="134"/>
      </rPr>
      <t>本年比上年比重增长差异（纵向趋势分析）</t>
    </r>
    <phoneticPr fontId="4" type="noConversion"/>
  </si>
  <si>
    <r>
      <rPr>
        <sz val="9"/>
        <rFont val="微软雅黑"/>
        <family val="2"/>
        <charset val="134"/>
      </rPr>
      <t>已审数</t>
    </r>
  </si>
  <si>
    <r>
      <rPr>
        <sz val="9"/>
        <rFont val="微软雅黑"/>
        <family val="2"/>
        <charset val="134"/>
      </rPr>
      <t>已审数</t>
    </r>
    <phoneticPr fontId="4" type="noConversion"/>
  </si>
  <si>
    <r>
      <rPr>
        <sz val="9"/>
        <rFont val="微软雅黑"/>
        <family val="2"/>
        <charset val="134"/>
      </rPr>
      <t>分页：</t>
    </r>
    <r>
      <rPr>
        <u/>
        <sz val="9"/>
        <rFont val="Arial Narrow"/>
        <family val="2"/>
      </rPr>
      <t xml:space="preserve">       </t>
    </r>
    <r>
      <rPr>
        <sz val="9"/>
        <rFont val="Arial Narrow"/>
        <family val="2"/>
      </rPr>
      <t xml:space="preserve">    </t>
    </r>
    <phoneticPr fontId="4" type="noConversion"/>
  </si>
  <si>
    <r>
      <rPr>
        <sz val="9"/>
        <rFont val="微软雅黑"/>
        <family val="2"/>
        <charset val="134"/>
      </rPr>
      <t>比重</t>
    </r>
    <r>
      <rPr>
        <sz val="9"/>
        <rFont val="Arial Narrow"/>
        <family val="2"/>
      </rPr>
      <t>%</t>
    </r>
  </si>
  <si>
    <t>已审综合收益分析</t>
    <phoneticPr fontId="4" type="noConversion"/>
  </si>
  <si>
    <t>已审资产负债表趋势分析</t>
    <phoneticPr fontId="4" type="noConversion"/>
  </si>
  <si>
    <t>未审比率分析</t>
    <phoneticPr fontId="16" type="noConversion"/>
  </si>
  <si>
    <t>已审BS分析</t>
    <phoneticPr fontId="16" type="noConversion"/>
  </si>
  <si>
    <t>已审PL分析</t>
    <phoneticPr fontId="16" type="noConversion"/>
  </si>
  <si>
    <t>已审比率分析</t>
    <phoneticPr fontId="16" type="noConversion"/>
  </si>
  <si>
    <t>TB(期初)</t>
    <phoneticPr fontId="16" type="noConversion"/>
  </si>
  <si>
    <t>结算备付金*</t>
  </si>
  <si>
    <t>拆出资金*</t>
  </si>
  <si>
    <t>应收保费*</t>
  </si>
  <si>
    <t>应收分保账款*</t>
  </si>
  <si>
    <t>应收分保合同准备金*</t>
  </si>
  <si>
    <t>买入返售金融资产*</t>
  </si>
  <si>
    <t>发放贷款和垫款*</t>
  </si>
  <si>
    <t>向中央银行借款*</t>
  </si>
  <si>
    <t>拆入资金*</t>
  </si>
  <si>
    <t>应付分保账款*</t>
  </si>
  <si>
    <t>注：标注“*”的项目为金融企业专用行项目。</t>
  </si>
  <si>
    <t>金融企业资产负债表中的有关行项目在本表中的列示说明：</t>
  </si>
  <si>
    <t>1.   金融企业资产负债表中的“现金及存放中央银行款项”行项目在本表中的“货币资金”行项目中列示。</t>
  </si>
  <si>
    <t>2.   金融企业资产负债表中的“存放同业款项”“融出资金”行项目在本表中的“拆出资金”行项目中列示。</t>
  </si>
  <si>
    <t>3.   金融企业资产负债表中的“应收款项”行项目在本表中的“应收票据”“应收账款”“应收款项融资”行项目中列示。</t>
  </si>
  <si>
    <t>4.   金融企业资产负债表中的“存出保证金”“应收代位追偿款”</t>
  </si>
  <si>
    <t>“保户质押贷款”行项目在本表中的“其他流动资产”行项目中列示。</t>
  </si>
  <si>
    <t>5.   金融企业资产负债表中的“应收分保未到期责任准备金”“应收分保未决赔款准备金”“应收分保寿险责任准备金”“应收分保长期健康险责任准备金”行项目在本表中的“应收分保合同准备金”行项目中列示。</t>
  </si>
  <si>
    <t>6.   金融企业资产负债表中“金融投资”行项目下的“交易性金融资产”“债权投资”“其他债权投资”“其他权益工具投资”子项目分别在本表中的“交易性金融资产”“债权投资”“其他债权投资”“其他权益工具投资”行项目中列示。</t>
  </si>
  <si>
    <t>7.   金融企业资产负债表中的“存出资本保证金”“独立账户资产”行项目在本表中的“其他非流动资产”行项目中列示。</t>
  </si>
  <si>
    <t>8.   金融企业资产负债表中的“应付短期融资款”行项目在本表中的“短期借款”行项目中列示。</t>
  </si>
  <si>
    <t>9.   金融企业资产负债表中的“应付款项”行项目在本表中的“ 应付票据”“应付账款”行项目中列示。</t>
  </si>
  <si>
    <t>10.   金融企业资产负债表中的“应付赔付款”行项目在本表中 的 “应付账款”行项目中列示。</t>
  </si>
  <si>
    <t>11.   金融企业资产负债表中的“预收保费”行项目在本表中的“ 预收款项”行项目中列示。</t>
  </si>
  <si>
    <t>12.   金融企业资产负债表中的“同业及其他金融机构存放款项” “吸收存款”行项目在本表中的“吸收存款及同业存放”行项目中列示。</t>
  </si>
  <si>
    <t>13.   金融企业资产负债表中的“应付保单红利”行项目在本表 中的“其他应付款”行项目中列示。</t>
  </si>
  <si>
    <t>14.   金融企业资产负债表中的“保户储金及投资款”行项目在 本表中的“其他流动负债”行项目中列示。</t>
  </si>
  <si>
    <t>15.   金融企业资产负债表中的“未到期责任准备金”“未决赔款准备金”“寿险责任准备金”“长期健康险责任准备金”行项目在本表中的“保险合同准备金”行项目中列示。</t>
  </si>
  <si>
    <t>16.   金融企业资产负债表中的“独立账户负债”行项目在本表 中的“其他非流动负债”行项目中列示。</t>
  </si>
  <si>
    <t>17.   金融企业资产负债表中的“其他资产”“其他负债”行项目进行分析后在本表相关项目中列示。</t>
  </si>
  <si>
    <t>18.   有贵金属业务的，在本表中增加“贵金属”行项目对相关 贵金属资产进行列示。</t>
  </si>
  <si>
    <t>一般风险准备*</t>
  </si>
  <si>
    <r>
      <t xml:space="preserve">              </t>
    </r>
    <r>
      <rPr>
        <sz val="10"/>
        <rFont val="宋体"/>
        <family val="3"/>
        <charset val="134"/>
      </rPr>
      <t>其他业务收入</t>
    </r>
    <phoneticPr fontId="4" type="noConversion"/>
  </si>
  <si>
    <t>金融企业利润表中的有关行项目在本表中的列示说明：</t>
  </si>
  <si>
    <t>保险责任准备金”行项目的净额在本表中的“提取保险责任准备金净额”行项目中列示。</t>
  </si>
  <si>
    <r>
      <t xml:space="preserve">     </t>
    </r>
    <r>
      <rPr>
        <sz val="10"/>
        <rFont val="微软雅黑"/>
        <family val="2"/>
        <charset val="134"/>
      </rPr>
      <t>向中央银行借款净增加额</t>
    </r>
    <r>
      <rPr>
        <sz val="10"/>
        <rFont val="Arial Narrow"/>
        <family val="2"/>
      </rPr>
      <t>*</t>
    </r>
    <phoneticPr fontId="4" type="noConversion"/>
  </si>
  <si>
    <r>
      <t xml:space="preserve">     </t>
    </r>
    <r>
      <rPr>
        <sz val="10"/>
        <rFont val="微软雅黑"/>
        <family val="2"/>
        <charset val="134"/>
      </rPr>
      <t>向其他金融机构拆入资金净增加额</t>
    </r>
    <r>
      <rPr>
        <sz val="10"/>
        <rFont val="Arial Narrow"/>
        <family val="2"/>
      </rPr>
      <t>*</t>
    </r>
    <phoneticPr fontId="4" type="noConversion"/>
  </si>
  <si>
    <r>
      <t xml:space="preserve">     </t>
    </r>
    <r>
      <rPr>
        <sz val="10"/>
        <rFont val="微软雅黑"/>
        <family val="2"/>
        <charset val="134"/>
      </rPr>
      <t>收到再保业务现金净额</t>
    </r>
    <r>
      <rPr>
        <sz val="10"/>
        <rFont val="Arial Narrow"/>
        <family val="2"/>
      </rPr>
      <t>*</t>
    </r>
    <phoneticPr fontId="4" type="noConversion"/>
  </si>
  <si>
    <r>
      <t xml:space="preserve">     </t>
    </r>
    <r>
      <rPr>
        <sz val="10"/>
        <rFont val="微软雅黑"/>
        <family val="2"/>
        <charset val="134"/>
      </rPr>
      <t>保户储金及投资款净增加额</t>
    </r>
    <r>
      <rPr>
        <sz val="10"/>
        <rFont val="Arial Narrow"/>
        <family val="2"/>
      </rPr>
      <t>*</t>
    </r>
    <phoneticPr fontId="4" type="noConversion"/>
  </si>
  <si>
    <r>
      <t xml:space="preserve">     </t>
    </r>
    <r>
      <rPr>
        <sz val="10"/>
        <rFont val="微软雅黑"/>
        <family val="2"/>
        <charset val="134"/>
      </rPr>
      <t>收取利息、手续费及佣金的现金</t>
    </r>
    <r>
      <rPr>
        <sz val="10"/>
        <rFont val="Arial Narrow"/>
        <family val="2"/>
      </rPr>
      <t>*</t>
    </r>
    <phoneticPr fontId="4" type="noConversion"/>
  </si>
  <si>
    <r>
      <t xml:space="preserve">     </t>
    </r>
    <r>
      <rPr>
        <sz val="10"/>
        <rFont val="微软雅黑"/>
        <family val="2"/>
        <charset val="134"/>
      </rPr>
      <t>拆入资金净增加额</t>
    </r>
    <r>
      <rPr>
        <sz val="10"/>
        <rFont val="Arial Narrow"/>
        <family val="2"/>
      </rPr>
      <t>*</t>
    </r>
    <phoneticPr fontId="4" type="noConversion"/>
  </si>
  <si>
    <r>
      <t xml:space="preserve">     </t>
    </r>
    <r>
      <rPr>
        <sz val="10"/>
        <rFont val="微软雅黑"/>
        <family val="2"/>
        <charset val="134"/>
      </rPr>
      <t>回购业务资金净增加额</t>
    </r>
    <r>
      <rPr>
        <sz val="10"/>
        <rFont val="Arial Narrow"/>
        <family val="2"/>
      </rPr>
      <t>*</t>
    </r>
    <phoneticPr fontId="4" type="noConversion"/>
  </si>
  <si>
    <r>
      <t xml:space="preserve">     </t>
    </r>
    <r>
      <rPr>
        <sz val="10"/>
        <rFont val="微软雅黑"/>
        <family val="2"/>
        <charset val="134"/>
      </rPr>
      <t>代理买卖证券收到的现金净额</t>
    </r>
    <r>
      <rPr>
        <sz val="10"/>
        <rFont val="Arial Narrow"/>
        <family val="2"/>
      </rPr>
      <t>*</t>
    </r>
    <phoneticPr fontId="4" type="noConversion"/>
  </si>
  <si>
    <r>
      <t xml:space="preserve">     </t>
    </r>
    <r>
      <rPr>
        <sz val="10"/>
        <rFont val="微软雅黑"/>
        <family val="2"/>
        <charset val="134"/>
      </rPr>
      <t>客户贷款及垫款净增加额</t>
    </r>
    <r>
      <rPr>
        <sz val="10"/>
        <rFont val="Arial Narrow"/>
        <family val="2"/>
      </rPr>
      <t>*</t>
    </r>
    <phoneticPr fontId="4" type="noConversion"/>
  </si>
  <si>
    <r>
      <t xml:space="preserve">     </t>
    </r>
    <r>
      <rPr>
        <sz val="10"/>
        <rFont val="微软雅黑"/>
        <family val="2"/>
        <charset val="134"/>
      </rPr>
      <t>存放中央银行和同业款项净增加额</t>
    </r>
    <r>
      <rPr>
        <sz val="10"/>
        <rFont val="Arial Narrow"/>
        <family val="2"/>
      </rPr>
      <t>*</t>
    </r>
    <phoneticPr fontId="4" type="noConversion"/>
  </si>
  <si>
    <r>
      <t xml:space="preserve">     </t>
    </r>
    <r>
      <rPr>
        <sz val="10"/>
        <rFont val="微软雅黑"/>
        <family val="2"/>
        <charset val="134"/>
      </rPr>
      <t>支付原保险合同赔付款项的现金</t>
    </r>
    <r>
      <rPr>
        <sz val="10"/>
        <rFont val="Arial Narrow"/>
        <family val="2"/>
      </rPr>
      <t>*</t>
    </r>
    <phoneticPr fontId="4" type="noConversion"/>
  </si>
  <si>
    <r>
      <t xml:space="preserve">     </t>
    </r>
    <r>
      <rPr>
        <sz val="10"/>
        <rFont val="微软雅黑"/>
        <family val="2"/>
        <charset val="134"/>
      </rPr>
      <t>拆出资金净增加额</t>
    </r>
    <r>
      <rPr>
        <sz val="10"/>
        <rFont val="Arial Narrow"/>
        <family val="2"/>
      </rPr>
      <t>*</t>
    </r>
    <phoneticPr fontId="4" type="noConversion"/>
  </si>
  <si>
    <r>
      <t xml:space="preserve">     </t>
    </r>
    <r>
      <rPr>
        <sz val="10"/>
        <rFont val="微软雅黑"/>
        <family val="2"/>
        <charset val="134"/>
      </rPr>
      <t>支付利息、手续费及佣金的现金</t>
    </r>
    <r>
      <rPr>
        <sz val="10"/>
        <rFont val="Arial Narrow"/>
        <family val="2"/>
      </rPr>
      <t>*</t>
    </r>
    <phoneticPr fontId="4" type="noConversion"/>
  </si>
  <si>
    <r>
      <t xml:space="preserve">     </t>
    </r>
    <r>
      <rPr>
        <sz val="10"/>
        <rFont val="微软雅黑"/>
        <family val="2"/>
        <charset val="134"/>
      </rPr>
      <t>支付保单红利的现金</t>
    </r>
    <r>
      <rPr>
        <sz val="10"/>
        <rFont val="Arial Narrow"/>
        <family val="2"/>
      </rPr>
      <t>*</t>
    </r>
    <phoneticPr fontId="4" type="noConversion"/>
  </si>
  <si>
    <t>金融企业现金流量表中的有关行项目在本表中的列示说明：</t>
  </si>
  <si>
    <t>1.   金融企业现金流量表中“一、经营活动产生的现金流量”下的“返售业务资金净增加额”行项目（银行、证券公司专用）在本表中的“支付其他与经营活动有关的现金”行项目中列示。</t>
  </si>
  <si>
    <t>2.   金融企业现金流量表中“二、投资活动产生的现金流量”下的“返售业务资金净增加额”行项目（保险公司专用）在本表中的“支付其他与投资活动有关的现金”行项目中列示。</t>
  </si>
  <si>
    <t>金融企业现金流量表中“回购业务资金净增加额”行项目（ 保险公司专用）在本表中的“收到其他与筹资活动有关的现金”行项目中列示。</t>
  </si>
  <si>
    <r>
      <rPr>
        <sz val="10"/>
        <rFont val="宋体"/>
        <family val="3"/>
        <charset val="134"/>
      </rPr>
      <t>衍生金融资产</t>
    </r>
    <phoneticPr fontId="4" type="noConversion"/>
  </si>
  <si>
    <t>项目</t>
    <phoneticPr fontId="4" type="noConversion"/>
  </si>
  <si>
    <t xml:space="preserve">                    财务费用</t>
  </si>
  <si>
    <t xml:space="preserve">                        其中：利息费用</t>
  </si>
  <si>
    <t xml:space="preserve">                                    利息收入</t>
  </si>
  <si>
    <t xml:space="preserve">         加： 营业外收入</t>
  </si>
  <si>
    <t xml:space="preserve">                  其中：政府补助</t>
  </si>
  <si>
    <t xml:space="preserve">  应付职工薪酬</t>
  </si>
  <si>
    <t xml:space="preserve">          应付福利费</t>
  </si>
  <si>
    <t xml:space="preserve">  应交税费</t>
  </si>
  <si>
    <t xml:space="preserve">  存货</t>
  </si>
  <si>
    <t xml:space="preserve">          库存商品（产成品）</t>
  </si>
  <si>
    <t>TB调整分录 横向还是纵向</t>
    <phoneticPr fontId="4" type="noConversion"/>
  </si>
  <si>
    <t>应收账款原值</t>
    <phoneticPr fontId="4" type="noConversion"/>
  </si>
  <si>
    <t>应收账款坏账准备</t>
    <phoneticPr fontId="4" type="noConversion"/>
  </si>
  <si>
    <t>应收账款</t>
    <phoneticPr fontId="4" type="noConversion"/>
  </si>
  <si>
    <t>预付款项</t>
    <phoneticPr fontId="4" type="noConversion"/>
  </si>
  <si>
    <t>其他应收款</t>
    <phoneticPr fontId="4" type="noConversion"/>
  </si>
  <si>
    <t>存货</t>
    <phoneticPr fontId="4" type="noConversion"/>
  </si>
  <si>
    <t>长期应收款</t>
    <phoneticPr fontId="4" type="noConversion"/>
  </si>
  <si>
    <t>长期股权投资</t>
    <phoneticPr fontId="4" type="noConversion"/>
  </si>
  <si>
    <t>投资性房地产</t>
    <phoneticPr fontId="4" type="noConversion"/>
  </si>
  <si>
    <t>固定资产</t>
    <phoneticPr fontId="4" type="noConversion"/>
  </si>
  <si>
    <t>在建工程</t>
    <phoneticPr fontId="4" type="noConversion"/>
  </si>
  <si>
    <t>工程物资</t>
    <phoneticPr fontId="4" type="noConversion"/>
  </si>
  <si>
    <t>使用权资产</t>
    <phoneticPr fontId="4" type="noConversion"/>
  </si>
  <si>
    <t>无形资产</t>
    <phoneticPr fontId="4" type="noConversion"/>
  </si>
  <si>
    <t>商誉</t>
    <phoneticPr fontId="4" type="noConversion"/>
  </si>
  <si>
    <t xml:space="preserve">                                    汇兑净损失（净收益以“－”号填列）</t>
    <phoneticPr fontId="4" type="noConversion"/>
  </si>
  <si>
    <r>
      <t xml:space="preserve">                 </t>
    </r>
    <r>
      <rPr>
        <sz val="10"/>
        <rFont val="宋体"/>
        <family val="3"/>
        <charset val="134"/>
      </rPr>
      <t>其中：</t>
    </r>
    <r>
      <rPr>
        <sz val="10"/>
        <rFont val="微软雅黑"/>
        <family val="3"/>
        <charset val="134"/>
      </rPr>
      <t>政府补助</t>
    </r>
    <phoneticPr fontId="4" type="noConversion"/>
  </si>
  <si>
    <t xml:space="preserve">    其中：应付工资</t>
    <phoneticPr fontId="4" type="noConversion"/>
  </si>
  <si>
    <t xml:space="preserve">          #其中：职工奖励及福利基金</t>
    <phoneticPr fontId="4" type="noConversion"/>
  </si>
  <si>
    <t xml:space="preserve">    其中：应交税金</t>
    <phoneticPr fontId="4" type="noConversion"/>
  </si>
  <si>
    <t xml:space="preserve">    其中：原材料</t>
    <phoneticPr fontId="4" type="noConversion"/>
  </si>
  <si>
    <t xml:space="preserve"> 其中：原材料</t>
    <phoneticPr fontId="4" type="noConversion"/>
  </si>
  <si>
    <t xml:space="preserve">    库存商品（产成品）</t>
    <phoneticPr fontId="4" type="noConversion"/>
  </si>
  <si>
    <t>试算平衡表</t>
    <phoneticPr fontId="4" type="noConversion"/>
  </si>
  <si>
    <t>编制单位：</t>
    <phoneticPr fontId="147" type="noConversion"/>
  </si>
  <si>
    <t>编制：</t>
    <phoneticPr fontId="147" type="noConversion"/>
  </si>
  <si>
    <t>日期：</t>
    <phoneticPr fontId="147" type="noConversion"/>
  </si>
  <si>
    <t>索引：</t>
  </si>
  <si>
    <t>A2-2</t>
    <phoneticPr fontId="24" type="noConversion"/>
  </si>
  <si>
    <t>截止/期间：</t>
    <phoneticPr fontId="147" type="noConversion"/>
  </si>
  <si>
    <t>复核：</t>
    <phoneticPr fontId="147" type="noConversion"/>
  </si>
  <si>
    <t>页次：</t>
  </si>
  <si>
    <t>未审</t>
    <phoneticPr fontId="4" type="noConversion"/>
  </si>
  <si>
    <t>调账</t>
    <phoneticPr fontId="4" type="noConversion"/>
  </si>
  <si>
    <t>重分类</t>
    <phoneticPr fontId="24" type="noConversion"/>
  </si>
  <si>
    <t>其他</t>
    <phoneticPr fontId="4" type="noConversion"/>
  </si>
  <si>
    <t>审定</t>
    <phoneticPr fontId="4" type="noConversion"/>
  </si>
  <si>
    <t>流动资产：</t>
    <phoneticPr fontId="4" type="noConversion"/>
  </si>
  <si>
    <t>货币资金</t>
    <phoneticPr fontId="4" type="noConversion"/>
  </si>
  <si>
    <t>交易性金融资产</t>
    <phoneticPr fontId="147" type="noConversion"/>
  </si>
  <si>
    <t>以公允价值计量且其变动计入当期损益的金融资产</t>
    <phoneticPr fontId="24" type="noConversion"/>
  </si>
  <si>
    <t>衍生金融资产</t>
    <phoneticPr fontId="24" type="noConversion"/>
  </si>
  <si>
    <t>应收票据原值</t>
  </si>
  <si>
    <t>应收票据坏账准备</t>
  </si>
  <si>
    <t>应收票据</t>
    <phoneticPr fontId="4" type="noConversion"/>
  </si>
  <si>
    <t>应收账款坏账准备</t>
  </si>
  <si>
    <t>应收款项融资原值</t>
    <phoneticPr fontId="4" type="noConversion"/>
  </si>
  <si>
    <t>应收款项融资坏账准备</t>
  </si>
  <si>
    <t>应收款项融资</t>
    <phoneticPr fontId="4" type="noConversion"/>
  </si>
  <si>
    <t>预付款项原值</t>
    <phoneticPr fontId="4" type="noConversion"/>
  </si>
  <si>
    <t>预付款项坏账准备</t>
    <phoneticPr fontId="24" type="noConversion"/>
  </si>
  <si>
    <t>预付款项</t>
    <phoneticPr fontId="24" type="noConversion"/>
  </si>
  <si>
    <t>应收利息原值</t>
    <phoneticPr fontId="4" type="noConversion"/>
  </si>
  <si>
    <t>应收利息坏账准备</t>
    <phoneticPr fontId="24" type="noConversion"/>
  </si>
  <si>
    <t>应收利息</t>
    <phoneticPr fontId="4" type="noConversion"/>
  </si>
  <si>
    <t>应收股利原值</t>
    <phoneticPr fontId="4" type="noConversion"/>
  </si>
  <si>
    <t>应收股利坏账准备</t>
    <phoneticPr fontId="24" type="noConversion"/>
  </si>
  <si>
    <t>应收股利</t>
    <phoneticPr fontId="4" type="noConversion"/>
  </si>
  <si>
    <t>其他应收款原值</t>
    <phoneticPr fontId="147" type="noConversion"/>
  </si>
  <si>
    <t>其他应收款坏账准备</t>
    <phoneticPr fontId="147" type="noConversion"/>
  </si>
  <si>
    <t>其他应收款</t>
    <phoneticPr fontId="147" type="noConversion"/>
  </si>
  <si>
    <t>存货原值</t>
    <phoneticPr fontId="4" type="noConversion"/>
  </si>
  <si>
    <t>存货跌价准备</t>
    <phoneticPr fontId="4" type="noConversion"/>
  </si>
  <si>
    <t>合同资产原值</t>
    <phoneticPr fontId="147" type="noConversion"/>
  </si>
  <si>
    <t>合同资产减值准备</t>
    <phoneticPr fontId="147" type="noConversion"/>
  </si>
  <si>
    <t>合同资产</t>
    <phoneticPr fontId="147" type="noConversion"/>
  </si>
  <si>
    <t>持有待售资产原值</t>
    <phoneticPr fontId="24" type="noConversion"/>
  </si>
  <si>
    <t>持有待售资产减值准备</t>
    <phoneticPr fontId="147" type="noConversion"/>
  </si>
  <si>
    <t>持有待售资产</t>
    <phoneticPr fontId="24" type="noConversion"/>
  </si>
  <si>
    <t>一年内到期的非流动资产</t>
    <phoneticPr fontId="24" type="noConversion"/>
  </si>
  <si>
    <t>其他流动资产</t>
  </si>
  <si>
    <t>流动资产合计</t>
  </si>
  <si>
    <t>非流动资产：</t>
    <phoneticPr fontId="4" type="noConversion"/>
  </si>
  <si>
    <t>债权投资原值</t>
    <phoneticPr fontId="24" type="noConversion"/>
  </si>
  <si>
    <t>债权投资减值准备</t>
    <phoneticPr fontId="4" type="noConversion"/>
  </si>
  <si>
    <t>债权投资</t>
    <phoneticPr fontId="24" type="noConversion"/>
  </si>
  <si>
    <t>可供出售金融资产原值</t>
    <phoneticPr fontId="161" type="noConversion"/>
  </si>
  <si>
    <t>可供出售金融资产减值准备</t>
    <phoneticPr fontId="147" type="noConversion"/>
  </si>
  <si>
    <t>可供出售金融资产</t>
    <phoneticPr fontId="161" type="noConversion"/>
  </si>
  <si>
    <t>其他债权投资原值</t>
    <phoneticPr fontId="24" type="noConversion"/>
  </si>
  <si>
    <t>其他债权投资减值准备</t>
    <phoneticPr fontId="4" type="noConversion"/>
  </si>
  <si>
    <t>其他债权投资</t>
    <phoneticPr fontId="24" type="noConversion"/>
  </si>
  <si>
    <t>持有至到期投资原值</t>
    <phoneticPr fontId="161" type="noConversion"/>
  </si>
  <si>
    <t>持有至到期投资减值准备</t>
    <phoneticPr fontId="147" type="noConversion"/>
  </si>
  <si>
    <t>持有至到期投资</t>
    <phoneticPr fontId="161" type="noConversion"/>
  </si>
  <si>
    <t>长期应收款原值</t>
    <phoneticPr fontId="24" type="noConversion"/>
  </si>
  <si>
    <t>长期应收款坏账准备</t>
    <phoneticPr fontId="4" type="noConversion"/>
  </si>
  <si>
    <t>长期应收款</t>
    <phoneticPr fontId="24" type="noConversion"/>
  </si>
  <si>
    <t>设定受益计划净资产原值</t>
    <phoneticPr fontId="4" type="noConversion"/>
  </si>
  <si>
    <t>设定受益计划净资产减值准备</t>
    <phoneticPr fontId="147" type="noConversion"/>
  </si>
  <si>
    <t>设定受益计划净资产</t>
    <phoneticPr fontId="4" type="noConversion"/>
  </si>
  <si>
    <t>长期股权投资原值</t>
    <phoneticPr fontId="4" type="noConversion"/>
  </si>
  <si>
    <t>长期股权投资减值准备</t>
    <phoneticPr fontId="4" type="noConversion"/>
  </si>
  <si>
    <t>其他权益工具投资原值</t>
    <phoneticPr fontId="4" type="noConversion"/>
  </si>
  <si>
    <t>其他权益工具投资减值准备</t>
    <phoneticPr fontId="147" type="noConversion"/>
  </si>
  <si>
    <t>其他权益工具投资</t>
    <phoneticPr fontId="4" type="noConversion"/>
  </si>
  <si>
    <t>其他非流动金融资产原值</t>
    <phoneticPr fontId="4" type="noConversion"/>
  </si>
  <si>
    <t>其他非流动金融资产减值准备</t>
    <phoneticPr fontId="4" type="noConversion"/>
  </si>
  <si>
    <t>其他非流动金融资产</t>
    <phoneticPr fontId="4" type="noConversion"/>
  </si>
  <si>
    <t>投资性房地产原值</t>
    <phoneticPr fontId="4" type="noConversion"/>
  </si>
  <si>
    <t>投资性房地产累计折旧</t>
    <phoneticPr fontId="4" type="noConversion"/>
  </si>
  <si>
    <t>投资性房地产净值</t>
    <phoneticPr fontId="4" type="noConversion"/>
  </si>
  <si>
    <t>投资性房地产减值准备</t>
    <phoneticPr fontId="4" type="noConversion"/>
  </si>
  <si>
    <t>固定资产原值</t>
    <phoneticPr fontId="4" type="noConversion"/>
  </si>
  <si>
    <t>固定资产累计折旧</t>
    <phoneticPr fontId="4" type="noConversion"/>
  </si>
  <si>
    <t>固定资产净值</t>
    <phoneticPr fontId="4" type="noConversion"/>
  </si>
  <si>
    <t>在建工程原值</t>
    <phoneticPr fontId="4" type="noConversion"/>
  </si>
  <si>
    <t>在建工程减值准备</t>
    <phoneticPr fontId="4" type="noConversion"/>
  </si>
  <si>
    <t>工程物资原值</t>
    <phoneticPr fontId="24" type="noConversion"/>
  </si>
  <si>
    <t>工程物资减值准备</t>
    <phoneticPr fontId="4" type="noConversion"/>
  </si>
  <si>
    <t>工程物资</t>
    <phoneticPr fontId="24" type="noConversion"/>
  </si>
  <si>
    <t>固定资产清理</t>
  </si>
  <si>
    <t>生产性生物资产原值</t>
    <phoneticPr fontId="4" type="noConversion"/>
  </si>
  <si>
    <t>生产性生物资产累计折旧</t>
    <phoneticPr fontId="4" type="noConversion"/>
  </si>
  <si>
    <t>生产性生物资产净值</t>
    <phoneticPr fontId="4" type="noConversion"/>
  </si>
  <si>
    <t>生产性生物资产减值准备</t>
    <phoneticPr fontId="4" type="noConversion"/>
  </si>
  <si>
    <t>生产性生物资产</t>
    <phoneticPr fontId="4" type="noConversion"/>
  </si>
  <si>
    <t>油气资产原值</t>
    <phoneticPr fontId="147" type="noConversion"/>
  </si>
  <si>
    <t>油气资产累计折旧</t>
    <phoneticPr fontId="4" type="noConversion"/>
  </si>
  <si>
    <t>油气资产净值</t>
    <phoneticPr fontId="147" type="noConversion"/>
  </si>
  <si>
    <t>油气资产减值准备</t>
    <phoneticPr fontId="147" type="noConversion"/>
  </si>
  <si>
    <t>油气资产</t>
    <phoneticPr fontId="147" type="noConversion"/>
  </si>
  <si>
    <t>使用权资产原值</t>
    <phoneticPr fontId="4" type="noConversion"/>
  </si>
  <si>
    <t>使用权资产累计折旧</t>
    <phoneticPr fontId="4" type="noConversion"/>
  </si>
  <si>
    <t>使用权资产净值</t>
    <phoneticPr fontId="4" type="noConversion"/>
  </si>
  <si>
    <t>使用权资产减值准备</t>
    <phoneticPr fontId="4" type="noConversion"/>
  </si>
  <si>
    <t>无形资产原值</t>
    <phoneticPr fontId="4" type="noConversion"/>
  </si>
  <si>
    <t>无形资产累计摊销</t>
    <phoneticPr fontId="4" type="noConversion"/>
  </si>
  <si>
    <t>无形资产净值</t>
    <phoneticPr fontId="4" type="noConversion"/>
  </si>
  <si>
    <t>无形资产减值准备</t>
    <phoneticPr fontId="4" type="noConversion"/>
  </si>
  <si>
    <t>无形资产</t>
    <phoneticPr fontId="24" type="noConversion"/>
  </si>
  <si>
    <t>开发支出原值</t>
    <phoneticPr fontId="24" type="noConversion"/>
  </si>
  <si>
    <t>开发支出减值准备</t>
    <phoneticPr fontId="4" type="noConversion"/>
  </si>
  <si>
    <t>开发支出</t>
    <phoneticPr fontId="24" type="noConversion"/>
  </si>
  <si>
    <t>商誉原值</t>
    <phoneticPr fontId="24" type="noConversion"/>
  </si>
  <si>
    <t>商誉减值准备</t>
    <phoneticPr fontId="4" type="noConversion"/>
  </si>
  <si>
    <t>商誉</t>
    <phoneticPr fontId="24" type="noConversion"/>
  </si>
  <si>
    <t>长期待摊费用</t>
  </si>
  <si>
    <t>递延所得税资产</t>
  </si>
  <si>
    <t>其他非流动资产</t>
    <phoneticPr fontId="4" type="noConversion"/>
  </si>
  <si>
    <t>非流动资产合计</t>
    <phoneticPr fontId="4" type="noConversion"/>
  </si>
  <si>
    <t>资产总计</t>
    <phoneticPr fontId="4" type="noConversion"/>
  </si>
  <si>
    <t>流动负债：</t>
    <phoneticPr fontId="4" type="noConversion"/>
  </si>
  <si>
    <t>短期借款</t>
    <phoneticPr fontId="147" type="noConversion"/>
  </si>
  <si>
    <t>交易性金融负债</t>
    <phoneticPr fontId="147" type="noConversion"/>
  </si>
  <si>
    <t>以公允价值计量且其变动计入当期损益的金融负债</t>
    <phoneticPr fontId="24" type="noConversion"/>
  </si>
  <si>
    <t>衍生金融负债</t>
    <phoneticPr fontId="24" type="noConversion"/>
  </si>
  <si>
    <t>应付票据</t>
    <phoneticPr fontId="147" type="noConversion"/>
  </si>
  <si>
    <t>应付账款</t>
    <phoneticPr fontId="147" type="noConversion"/>
  </si>
  <si>
    <t>预收款项</t>
    <phoneticPr fontId="147" type="noConversion"/>
  </si>
  <si>
    <t>合同负债</t>
    <phoneticPr fontId="147" type="noConversion"/>
  </si>
  <si>
    <t>应付职工薪酬</t>
    <phoneticPr fontId="147" type="noConversion"/>
  </si>
  <si>
    <t>应交税费</t>
    <phoneticPr fontId="147" type="noConversion"/>
  </si>
  <si>
    <t>应付利息</t>
    <phoneticPr fontId="147" type="noConversion"/>
  </si>
  <si>
    <t>应付股利</t>
    <phoneticPr fontId="147" type="noConversion"/>
  </si>
  <si>
    <t>其他应付款</t>
    <phoneticPr fontId="147" type="noConversion"/>
  </si>
  <si>
    <t>持有待售负债</t>
    <phoneticPr fontId="24" type="noConversion"/>
  </si>
  <si>
    <t>一年内到期的非流动负债</t>
  </si>
  <si>
    <t>其他流动负债</t>
  </si>
  <si>
    <t>流动负债合计</t>
    <phoneticPr fontId="4" type="noConversion"/>
  </si>
  <si>
    <t>非流动负债：</t>
    <phoneticPr fontId="4" type="noConversion"/>
  </si>
  <si>
    <t>长期借款</t>
    <phoneticPr fontId="147" type="noConversion"/>
  </si>
  <si>
    <t>应付债券</t>
  </si>
  <si>
    <t>租赁负债</t>
    <phoneticPr fontId="161" type="noConversion"/>
  </si>
  <si>
    <t>长期应付款</t>
    <phoneticPr fontId="147" type="noConversion"/>
  </si>
  <si>
    <t>长期应付职工薪酬</t>
    <phoneticPr fontId="24" type="noConversion"/>
  </si>
  <si>
    <t>专项应付款</t>
  </si>
  <si>
    <t>预计负债</t>
    <phoneticPr fontId="147" type="noConversion"/>
  </si>
  <si>
    <t>递延收益</t>
    <phoneticPr fontId="147" type="noConversion"/>
  </si>
  <si>
    <t>递延所得税负债</t>
    <phoneticPr fontId="147" type="noConversion"/>
  </si>
  <si>
    <t>其他非流动负债</t>
  </si>
  <si>
    <t>非流动负债合计</t>
    <phoneticPr fontId="4" type="noConversion"/>
  </si>
  <si>
    <t>负债合计</t>
    <phoneticPr fontId="4" type="noConversion"/>
  </si>
  <si>
    <t>股东权益：</t>
  </si>
  <si>
    <t>实收资本</t>
    <phoneticPr fontId="147" type="noConversion"/>
  </si>
  <si>
    <t>其他权益工具</t>
    <phoneticPr fontId="24" type="noConversion"/>
  </si>
  <si>
    <t>其中：优先股</t>
    <phoneticPr fontId="24" type="noConversion"/>
  </si>
  <si>
    <t>其中：永续债</t>
    <phoneticPr fontId="24" type="noConversion"/>
  </si>
  <si>
    <t>资本公积</t>
    <phoneticPr fontId="147" type="noConversion"/>
  </si>
  <si>
    <t>库存股</t>
    <phoneticPr fontId="24" type="noConversion"/>
  </si>
  <si>
    <t>其他综合收益</t>
    <phoneticPr fontId="147" type="noConversion"/>
  </si>
  <si>
    <t>专项储备</t>
    <phoneticPr fontId="24" type="noConversion"/>
  </si>
  <si>
    <t>盈余公积</t>
    <phoneticPr fontId="147" type="noConversion"/>
  </si>
  <si>
    <t>未分配利润</t>
    <phoneticPr fontId="147" type="noConversion"/>
  </si>
  <si>
    <t>母公司所有者权益</t>
    <phoneticPr fontId="4" type="noConversion"/>
  </si>
  <si>
    <t>少数股东权益</t>
  </si>
  <si>
    <t>股东权益合计</t>
    <phoneticPr fontId="4" type="noConversion"/>
  </si>
  <si>
    <t>负债和股东权益总计</t>
    <phoneticPr fontId="4" type="noConversion"/>
  </si>
  <si>
    <t>一、营业收入</t>
    <phoneticPr fontId="4" type="noConversion"/>
  </si>
  <si>
    <t>主营业务收入</t>
    <phoneticPr fontId="4" type="noConversion"/>
  </si>
  <si>
    <t>其他业务收入</t>
    <phoneticPr fontId="4" type="noConversion"/>
  </si>
  <si>
    <t>营业成本</t>
    <phoneticPr fontId="4" type="noConversion"/>
  </si>
  <si>
    <t>主营业务成本</t>
    <phoneticPr fontId="147" type="noConversion"/>
  </si>
  <si>
    <t>其他业务成本</t>
    <phoneticPr fontId="147" type="noConversion"/>
  </si>
  <si>
    <t>税金及附加</t>
    <phoneticPr fontId="147" type="noConversion"/>
  </si>
  <si>
    <t>销售费用</t>
  </si>
  <si>
    <t>管理费用</t>
  </si>
  <si>
    <t>研发费用</t>
    <phoneticPr fontId="24" type="noConversion"/>
  </si>
  <si>
    <t>财务费用</t>
  </si>
  <si>
    <t>其他收益</t>
    <phoneticPr fontId="4" type="noConversion"/>
  </si>
  <si>
    <t>投资收益</t>
    <phoneticPr fontId="4" type="noConversion"/>
  </si>
  <si>
    <t>净敞口套期收益</t>
    <phoneticPr fontId="4" type="noConversion"/>
  </si>
  <si>
    <t>公允价值变动收益</t>
    <phoneticPr fontId="4" type="noConversion"/>
  </si>
  <si>
    <t>信用减值损失</t>
  </si>
  <si>
    <t>资产减值损失</t>
  </si>
  <si>
    <t>资产处置收益</t>
    <phoneticPr fontId="4" type="noConversion"/>
  </si>
  <si>
    <t>二、营业利润</t>
    <phoneticPr fontId="4" type="noConversion"/>
  </si>
  <si>
    <t>营业外收入</t>
    <phoneticPr fontId="4" type="noConversion"/>
  </si>
  <si>
    <t>营业外支出</t>
    <phoneticPr fontId="4" type="noConversion"/>
  </si>
  <si>
    <t>三、利润总额</t>
    <phoneticPr fontId="4" type="noConversion"/>
  </si>
  <si>
    <t>所得税费用</t>
    <phoneticPr fontId="4" type="noConversion"/>
  </si>
  <si>
    <t>四、净利润</t>
    <phoneticPr fontId="4" type="noConversion"/>
  </si>
  <si>
    <t>同一控制下企业合并的被合并方在合并前实现的净利润</t>
    <phoneticPr fontId="4" type="noConversion"/>
  </si>
  <si>
    <t>（一）持续经营净利润</t>
    <phoneticPr fontId="147" type="noConversion"/>
  </si>
  <si>
    <t>（二）终止经营净利润</t>
    <phoneticPr fontId="147" type="noConversion"/>
  </si>
  <si>
    <t>归属母公司的净利润</t>
    <phoneticPr fontId="4" type="noConversion"/>
  </si>
  <si>
    <t>少数股东损益</t>
    <phoneticPr fontId="24" type="noConversion"/>
  </si>
  <si>
    <t>期初未分配利润</t>
    <phoneticPr fontId="4" type="noConversion"/>
  </si>
  <si>
    <t>会计政策变更</t>
    <phoneticPr fontId="4" type="noConversion"/>
  </si>
  <si>
    <t>会计差错更正</t>
    <phoneticPr fontId="4" type="noConversion"/>
  </si>
  <si>
    <t>可供分配的利润</t>
    <phoneticPr fontId="4" type="noConversion"/>
  </si>
  <si>
    <t>提取法定盈余公积</t>
    <phoneticPr fontId="4" type="noConversion"/>
  </si>
  <si>
    <t>可供投资者分配的利润</t>
    <phoneticPr fontId="4" type="noConversion"/>
  </si>
  <si>
    <t>应付优先股股利</t>
    <phoneticPr fontId="4" type="noConversion"/>
  </si>
  <si>
    <t>提取任意盈余公积</t>
  </si>
  <si>
    <t>应付普通股股利</t>
  </si>
  <si>
    <t>转作股本的普通股股利</t>
  </si>
  <si>
    <t>内部上交利润</t>
  </si>
  <si>
    <t>直接冲减留存收益</t>
  </si>
  <si>
    <t>其他</t>
    <phoneticPr fontId="147" type="noConversion"/>
  </si>
  <si>
    <t>未分配利润</t>
    <phoneticPr fontId="4" type="noConversion"/>
  </si>
  <si>
    <t>五、其他综合收益的税后净额</t>
    <phoneticPr fontId="4" type="noConversion"/>
  </si>
  <si>
    <t>（一）归属于母公司股东的其他综合收益的税后净额</t>
    <phoneticPr fontId="4" type="noConversion"/>
  </si>
  <si>
    <t>1、不能重分类进损益的其他综合收益</t>
    <phoneticPr fontId="4" type="noConversion"/>
  </si>
  <si>
    <t>2、将重分类进损益的其他综合收益</t>
    <phoneticPr fontId="4" type="noConversion"/>
  </si>
  <si>
    <t>（二）归属于少数股东的其他综合收益的税后净额</t>
    <phoneticPr fontId="4" type="noConversion"/>
  </si>
  <si>
    <t>六、综合收益总额</t>
    <phoneticPr fontId="4" type="noConversion"/>
  </si>
  <si>
    <t>（一）归属于母公司股东的综合收益总额</t>
    <phoneticPr fontId="4" type="noConversion"/>
  </si>
  <si>
    <t>（二）归属于少数股东的综合收益总额</t>
    <phoneticPr fontId="4" type="noConversion"/>
  </si>
  <si>
    <t>七、每股收益</t>
    <phoneticPr fontId="4" type="noConversion"/>
  </si>
  <si>
    <t>（一）基本每股收益</t>
    <phoneticPr fontId="4" type="noConversion"/>
  </si>
  <si>
    <t>（二）稀释每股收益</t>
    <phoneticPr fontId="4" type="noConversion"/>
  </si>
  <si>
    <t>收到其他与经营活动有关的现金</t>
  </si>
  <si>
    <t>支付其他与经营活动有关的现金</t>
  </si>
  <si>
    <t>收回投资收到的现金</t>
  </si>
  <si>
    <t>取得投资收益收到的现金</t>
  </si>
  <si>
    <t>处置固定资产、无形资产和其他长期资产收回的现金净额</t>
  </si>
  <si>
    <t>收到其他与投资活动有关的现金</t>
  </si>
  <si>
    <t>购置固定资产、无形资产和其他长期资产支付的现金</t>
  </si>
  <si>
    <t>投资支付的现金</t>
  </si>
  <si>
    <t>支付其他与投资活动有关的现金</t>
    <phoneticPr fontId="147" type="noConversion"/>
  </si>
  <si>
    <t>吸收投资收到的现金</t>
  </si>
  <si>
    <t>取得借款收到的现金</t>
  </si>
  <si>
    <t>发行债券收到的现金</t>
    <phoneticPr fontId="24" type="noConversion"/>
  </si>
  <si>
    <t>收到其他与筹资活动有关的现金</t>
  </si>
  <si>
    <t>偿还债务支付的现金</t>
  </si>
  <si>
    <t>分配股利、利润或偿付利息支付的现金</t>
  </si>
  <si>
    <t>支付其他与筹资活动有关的现金</t>
  </si>
  <si>
    <t>现金及现金等价物净增加额</t>
    <phoneticPr fontId="4" type="noConversion"/>
  </si>
  <si>
    <t>加：期初现金及现金等价物余额</t>
    <phoneticPr fontId="147" type="noConversion"/>
  </si>
  <si>
    <t>期末现金及现金等价物余额</t>
    <phoneticPr fontId="4" type="noConversion"/>
  </si>
  <si>
    <t>1.将净利润调节为经营活动现金流量：</t>
    <phoneticPr fontId="147" type="noConversion"/>
  </si>
  <si>
    <t>净利润</t>
  </si>
  <si>
    <t>资产减值损失</t>
    <phoneticPr fontId="24" type="noConversion"/>
  </si>
  <si>
    <t>信用减值损失</t>
    <phoneticPr fontId="147" type="noConversion"/>
  </si>
  <si>
    <t>固定资产折旧、投资性房地产折旧</t>
    <phoneticPr fontId="147" type="noConversion"/>
  </si>
  <si>
    <t>处置固定资产、无形资产和其他长期资产的损失</t>
  </si>
  <si>
    <t>固定资产报废损失（收益以“－”号填列）</t>
  </si>
  <si>
    <t>财务费用（收益以“－”号填列）</t>
  </si>
  <si>
    <t>投资损失（收益以“－”号填列）</t>
  </si>
  <si>
    <t>递延所得税资产减少（增加以“－”号填列）</t>
    <phoneticPr fontId="147" type="noConversion"/>
  </si>
  <si>
    <t>存货的减少（增加以“－”号填列）</t>
  </si>
  <si>
    <t>经营活动产生的现金流量净额</t>
    <phoneticPr fontId="4" type="noConversion"/>
  </si>
  <si>
    <t>2.不涉及现金收支的重大投资和筹资活动：</t>
  </si>
  <si>
    <t>融资租入固定资产</t>
    <phoneticPr fontId="147" type="noConversion"/>
  </si>
  <si>
    <t>3.现金及现金等价物净变动情况：</t>
  </si>
  <si>
    <t>现金的期末余额</t>
    <phoneticPr fontId="4" type="noConversion"/>
  </si>
  <si>
    <r>
      <t>减：</t>
    </r>
    <r>
      <rPr>
        <sz val="8"/>
        <color indexed="10"/>
        <rFont val="宋体"/>
        <family val="3"/>
        <charset val="134"/>
      </rPr>
      <t>现金等价物</t>
    </r>
    <r>
      <rPr>
        <sz val="8"/>
        <rFont val="宋体"/>
        <family val="3"/>
        <charset val="134"/>
      </rPr>
      <t>的期初余额</t>
    </r>
    <phoneticPr fontId="24" type="noConversion"/>
  </si>
  <si>
    <t>应收款项融资原值</t>
  </si>
  <si>
    <t>应收利息原值</t>
  </si>
  <si>
    <t>应收利息坏账准备</t>
  </si>
  <si>
    <t>应收股利原值</t>
  </si>
  <si>
    <t>应收股利坏账准备</t>
  </si>
  <si>
    <t>应收股利</t>
    <phoneticPr fontId="4" type="noConversion"/>
  </si>
  <si>
    <t>合同资产原值</t>
  </si>
  <si>
    <t>合同资产减值准备</t>
  </si>
  <si>
    <t>持有待售资产原值</t>
  </si>
  <si>
    <t>持有待售资产减值准备</t>
  </si>
  <si>
    <t>债权投资原值</t>
  </si>
  <si>
    <t>债权投资减值准备</t>
  </si>
  <si>
    <t>其他债权投资原值</t>
  </si>
  <si>
    <t>其他债权投资减值准备</t>
  </si>
  <si>
    <t>生产性生物资产原值</t>
  </si>
  <si>
    <t>生产性生物资产累计折旧</t>
  </si>
  <si>
    <t>生产性生物资产净值</t>
  </si>
  <si>
    <t>生产性生物资产减值准备</t>
  </si>
  <si>
    <t>油气资产原值</t>
  </si>
  <si>
    <t>油气资产累计折旧</t>
  </si>
  <si>
    <t>油气资产净值</t>
  </si>
  <si>
    <t>油气资产减值准备</t>
  </si>
  <si>
    <t>使用权资产净值</t>
  </si>
  <si>
    <t>使用权资产减值准备</t>
  </si>
  <si>
    <t>开发支出原值</t>
  </si>
  <si>
    <t>开发支出减值准备</t>
  </si>
  <si>
    <t xml:space="preserve"> 其中：特准储备物资</t>
    <phoneticPr fontId="4" type="noConversion"/>
  </si>
  <si>
    <r>
      <rPr>
        <sz val="10"/>
        <rFont val="微软雅黑"/>
        <family val="2"/>
        <charset val="134"/>
      </rPr>
      <t>应付手续费及佣金</t>
    </r>
    <r>
      <rPr>
        <sz val="10"/>
        <rFont val="Arial Narrow"/>
        <family val="2"/>
      </rPr>
      <t>*</t>
    </r>
    <phoneticPr fontId="4" type="noConversion"/>
  </si>
  <si>
    <r>
      <rPr>
        <sz val="10"/>
        <rFont val="微软雅黑"/>
        <family val="2"/>
        <charset val="134"/>
      </rPr>
      <t>保险合同准备金</t>
    </r>
    <r>
      <rPr>
        <sz val="10"/>
        <rFont val="Arial Narrow"/>
        <family val="2"/>
      </rPr>
      <t>*</t>
    </r>
    <phoneticPr fontId="4" type="noConversion"/>
  </si>
  <si>
    <r>
      <t>3.</t>
    </r>
    <r>
      <rPr>
        <sz val="10"/>
        <rFont val="宋体"/>
        <family val="3"/>
        <charset val="134"/>
      </rPr>
      <t>金融资产重分类计入其他综合收益的金额</t>
    </r>
    <r>
      <rPr>
        <sz val="10"/>
        <rFont val="Arial Narrow"/>
        <family val="2"/>
      </rPr>
      <t xml:space="preserve"> </t>
    </r>
    <phoneticPr fontId="4" type="noConversion"/>
  </si>
  <si>
    <r>
      <t>4.</t>
    </r>
    <r>
      <rPr>
        <sz val="10"/>
        <rFont val="宋体"/>
        <family val="3"/>
        <charset val="134"/>
      </rPr>
      <t>其他债权投资信用减值准备</t>
    </r>
    <phoneticPr fontId="4" type="noConversion"/>
  </si>
  <si>
    <r>
      <t>5.</t>
    </r>
    <r>
      <rPr>
        <sz val="10"/>
        <rFont val="宋体"/>
        <family val="3"/>
        <charset val="134"/>
      </rPr>
      <t>现金流量套期储备</t>
    </r>
    <phoneticPr fontId="4" type="noConversion"/>
  </si>
  <si>
    <r>
      <t>6.</t>
    </r>
    <r>
      <rPr>
        <sz val="10"/>
        <rFont val="宋体"/>
        <family val="3"/>
        <charset val="134"/>
      </rPr>
      <t>外币财务报表折算差额</t>
    </r>
    <phoneticPr fontId="4" type="noConversion"/>
  </si>
  <si>
    <r>
      <t>7.</t>
    </r>
    <r>
      <rPr>
        <sz val="10"/>
        <rFont val="宋体"/>
        <family val="3"/>
        <charset val="134"/>
      </rPr>
      <t>自用房地产或作为存货的房地产转换为以公允价值计量的投资性房地产在转换日公允价值大于账面价值部分</t>
    </r>
    <phoneticPr fontId="4" type="noConversion"/>
  </si>
  <si>
    <r>
      <t>8.</t>
    </r>
    <r>
      <rPr>
        <sz val="10"/>
        <rFont val="宋体"/>
        <family val="3"/>
        <charset val="134"/>
      </rPr>
      <t>多次交易分步处置子公司股权构成一揽子交易的，丧失控制权之前各次交易处置价款与对应净资产账面价值份额的差额</t>
    </r>
    <phoneticPr fontId="4" type="noConversion"/>
  </si>
  <si>
    <r>
      <t>9.</t>
    </r>
    <r>
      <rPr>
        <sz val="10"/>
        <rFont val="宋体"/>
        <family val="3"/>
        <charset val="134"/>
      </rPr>
      <t>其他</t>
    </r>
    <phoneticPr fontId="4" type="noConversion"/>
  </si>
  <si>
    <r>
      <t xml:space="preserve">     </t>
    </r>
    <r>
      <rPr>
        <sz val="10"/>
        <rFont val="微软雅黑"/>
        <family val="2"/>
        <charset val="134"/>
      </rPr>
      <t>发行债券收到的现金</t>
    </r>
    <phoneticPr fontId="4" type="noConversion"/>
  </si>
  <si>
    <r>
      <t xml:space="preserve">     </t>
    </r>
    <r>
      <rPr>
        <sz val="10"/>
        <rFont val="宋体"/>
        <family val="3"/>
        <charset val="134"/>
      </rPr>
      <t>固定资产折旧、</t>
    </r>
    <r>
      <rPr>
        <sz val="10"/>
        <rFont val="微软雅黑"/>
        <family val="3"/>
        <charset val="134"/>
      </rPr>
      <t>投资性房地产折旧、</t>
    </r>
    <r>
      <rPr>
        <sz val="10"/>
        <rFont val="宋体"/>
        <family val="3"/>
        <charset val="134"/>
      </rPr>
      <t>油气资产折耗、生产性生物资产折旧</t>
    </r>
    <phoneticPr fontId="4" type="noConversion"/>
  </si>
  <si>
    <r>
      <rPr>
        <sz val="9"/>
        <rFont val="宋体"/>
        <family val="3"/>
        <charset val="134"/>
      </rPr>
      <t>借方调整累计</t>
    </r>
    <phoneticPr fontId="51" type="noConversion"/>
  </si>
  <si>
    <r>
      <rPr>
        <sz val="9"/>
        <rFont val="新宋体"/>
        <family val="3"/>
        <charset val="134"/>
      </rPr>
      <t>页码：</t>
    </r>
    <phoneticPr fontId="51" type="noConversion"/>
  </si>
  <si>
    <r>
      <rPr>
        <sz val="9"/>
        <rFont val="宋体"/>
        <family val="3"/>
        <charset val="134"/>
      </rPr>
      <t>贷方调整累计</t>
    </r>
    <phoneticPr fontId="51" type="noConversion"/>
  </si>
  <si>
    <r>
      <rPr>
        <b/>
        <sz val="9"/>
        <rFont val="宋体"/>
        <family val="3"/>
        <charset val="134"/>
      </rPr>
      <t>序号</t>
    </r>
    <phoneticPr fontId="4" type="noConversion"/>
  </si>
  <si>
    <r>
      <rPr>
        <b/>
        <sz val="9"/>
        <rFont val="宋体"/>
        <family val="3"/>
        <charset val="134"/>
      </rPr>
      <t>索引号</t>
    </r>
    <phoneticPr fontId="4" type="noConversion"/>
  </si>
  <si>
    <r>
      <rPr>
        <b/>
        <sz val="9"/>
        <rFont val="宋体"/>
        <family val="3"/>
        <charset val="134"/>
      </rPr>
      <t>调整说明</t>
    </r>
    <phoneticPr fontId="4" type="noConversion"/>
  </si>
  <si>
    <r>
      <rPr>
        <b/>
        <sz val="9"/>
        <rFont val="宋体"/>
        <family val="3"/>
        <charset val="134"/>
      </rPr>
      <t>二级</t>
    </r>
    <phoneticPr fontId="4" type="noConversion"/>
  </si>
  <si>
    <r>
      <rPr>
        <b/>
        <sz val="9"/>
        <rFont val="宋体"/>
        <family val="3"/>
        <charset val="134"/>
      </rPr>
      <t>附注项目</t>
    </r>
    <phoneticPr fontId="4" type="noConversion"/>
  </si>
  <si>
    <r>
      <rPr>
        <b/>
        <sz val="9"/>
        <rFont val="新宋体"/>
        <family val="3"/>
        <charset val="134"/>
      </rPr>
      <t>本期</t>
    </r>
    <phoneticPr fontId="4" type="noConversion"/>
  </si>
  <si>
    <r>
      <rPr>
        <b/>
        <sz val="9"/>
        <rFont val="新宋体"/>
        <family val="3"/>
        <charset val="134"/>
      </rPr>
      <t>上期</t>
    </r>
    <phoneticPr fontId="4" type="noConversion"/>
  </si>
  <si>
    <r>
      <rPr>
        <b/>
        <sz val="9"/>
        <rFont val="宋体"/>
        <family val="3"/>
        <charset val="134"/>
      </rPr>
      <t>备注</t>
    </r>
    <phoneticPr fontId="4" type="noConversion"/>
  </si>
  <si>
    <r>
      <rPr>
        <b/>
        <sz val="9"/>
        <rFont val="宋体"/>
        <family val="3"/>
        <charset val="134"/>
      </rPr>
      <t>科目名称</t>
    </r>
    <phoneticPr fontId="51" type="noConversion"/>
  </si>
  <si>
    <r>
      <rPr>
        <b/>
        <sz val="9"/>
        <rFont val="宋体"/>
        <family val="3"/>
        <charset val="134"/>
      </rPr>
      <t>附注项目</t>
    </r>
    <phoneticPr fontId="51" type="noConversion"/>
  </si>
  <si>
    <r>
      <rPr>
        <b/>
        <sz val="9"/>
        <rFont val="新宋体"/>
        <family val="3"/>
        <charset val="134"/>
      </rPr>
      <t>借方</t>
    </r>
    <phoneticPr fontId="51" type="noConversion"/>
  </si>
  <si>
    <r>
      <rPr>
        <b/>
        <sz val="9"/>
        <rFont val="新宋体"/>
        <family val="3"/>
        <charset val="134"/>
      </rPr>
      <t>贷方</t>
    </r>
    <phoneticPr fontId="51" type="noConversion"/>
  </si>
  <si>
    <r>
      <rPr>
        <sz val="9"/>
        <color indexed="10"/>
        <rFont val="宋体"/>
        <family val="3"/>
        <charset val="134"/>
      </rPr>
      <t>本表可根据需要插入行，</t>
    </r>
    <phoneticPr fontId="51" type="noConversion"/>
  </si>
  <si>
    <r>
      <rPr>
        <sz val="9"/>
        <color indexed="10"/>
        <rFont val="宋体"/>
        <family val="3"/>
        <charset val="134"/>
      </rPr>
      <t>请勿删除行。</t>
    </r>
    <phoneticPr fontId="51" type="noConversion"/>
  </si>
  <si>
    <r>
      <rPr>
        <sz val="10"/>
        <rFont val="微软雅黑"/>
        <family val="2"/>
        <charset val="134"/>
      </rPr>
      <t>卖出回购金融资产款</t>
    </r>
    <r>
      <rPr>
        <sz val="10"/>
        <rFont val="Arial Narrow"/>
        <family val="2"/>
      </rPr>
      <t>*</t>
    </r>
    <phoneticPr fontId="4" type="noConversion"/>
  </si>
  <si>
    <r>
      <rPr>
        <b/>
        <sz val="10"/>
        <color indexed="56"/>
        <rFont val="宋体"/>
        <family val="3"/>
        <charset val="134"/>
      </rPr>
      <t>项目</t>
    </r>
    <phoneticPr fontId="4" type="noConversion"/>
  </si>
  <si>
    <r>
      <t xml:space="preserve">    </t>
    </r>
    <r>
      <rPr>
        <sz val="10"/>
        <rFont val="微软雅黑"/>
        <family val="2"/>
        <charset val="134"/>
      </rPr>
      <t>客户存款和同业存放款项净增加额</t>
    </r>
    <r>
      <rPr>
        <sz val="10"/>
        <rFont val="Arial Narrow"/>
        <family val="2"/>
      </rPr>
      <t>*</t>
    </r>
    <phoneticPr fontId="4" type="noConversion"/>
  </si>
  <si>
    <r>
      <t xml:space="preserve">           </t>
    </r>
    <r>
      <rPr>
        <sz val="10"/>
        <rFont val="微软雅黑"/>
        <family val="2"/>
        <charset val="134"/>
      </rPr>
      <t>利息收入</t>
    </r>
    <r>
      <rPr>
        <sz val="10"/>
        <rFont val="Arial Narrow"/>
        <family val="2"/>
      </rPr>
      <t>*</t>
    </r>
    <phoneticPr fontId="4" type="noConversion"/>
  </si>
  <si>
    <r>
      <t xml:space="preserve">           </t>
    </r>
    <r>
      <rPr>
        <sz val="10"/>
        <rFont val="微软雅黑"/>
        <family val="2"/>
        <charset val="134"/>
      </rPr>
      <t>已赚保费</t>
    </r>
    <r>
      <rPr>
        <sz val="10"/>
        <rFont val="Arial Narrow"/>
        <family val="2"/>
      </rPr>
      <t>*</t>
    </r>
    <phoneticPr fontId="4" type="noConversion"/>
  </si>
  <si>
    <r>
      <t xml:space="preserve">           </t>
    </r>
    <r>
      <rPr>
        <sz val="10"/>
        <rFont val="微软雅黑"/>
        <family val="2"/>
        <charset val="134"/>
      </rPr>
      <t>手续费及佣金收入</t>
    </r>
    <r>
      <rPr>
        <sz val="10"/>
        <rFont val="Arial Narrow"/>
        <family val="2"/>
      </rPr>
      <t>*</t>
    </r>
    <phoneticPr fontId="4" type="noConversion"/>
  </si>
  <si>
    <r>
      <t xml:space="preserve">     </t>
    </r>
    <r>
      <rPr>
        <sz val="10"/>
        <rFont val="微软雅黑"/>
        <family val="2"/>
        <charset val="134"/>
      </rPr>
      <t>收到原保险合同保费取得的现金</t>
    </r>
    <r>
      <rPr>
        <sz val="10"/>
        <rFont val="Arial Narrow"/>
        <family val="2"/>
      </rPr>
      <t>*</t>
    </r>
    <phoneticPr fontId="4" type="noConversion"/>
  </si>
  <si>
    <r>
      <t xml:space="preserve">    </t>
    </r>
    <r>
      <rPr>
        <sz val="10"/>
        <rFont val="微软雅黑"/>
        <family val="2"/>
        <charset val="134"/>
      </rPr>
      <t>使用权资产折旧</t>
    </r>
    <phoneticPr fontId="4" type="noConversion"/>
  </si>
  <si>
    <r>
      <rPr>
        <sz val="10"/>
        <rFont val="微软雅黑"/>
        <family val="2"/>
        <charset val="134"/>
      </rPr>
      <t>应收账款原值</t>
    </r>
    <phoneticPr fontId="4" type="noConversion"/>
  </si>
  <si>
    <r>
      <t xml:space="preserve">        </t>
    </r>
    <r>
      <rPr>
        <sz val="10"/>
        <rFont val="微软雅黑"/>
        <family val="2"/>
        <charset val="134"/>
      </rPr>
      <t>利息支出</t>
    </r>
    <r>
      <rPr>
        <sz val="10"/>
        <rFont val="Arial Narrow"/>
        <family val="2"/>
      </rPr>
      <t>*</t>
    </r>
    <phoneticPr fontId="4" type="noConversion"/>
  </si>
  <si>
    <r>
      <rPr>
        <sz val="10"/>
        <rFont val="微软雅黑"/>
        <family val="2"/>
        <charset val="134"/>
      </rPr>
      <t>应收账款坏账准备</t>
    </r>
    <phoneticPr fontId="4" type="noConversion"/>
  </si>
  <si>
    <r>
      <t xml:space="preserve">        </t>
    </r>
    <r>
      <rPr>
        <sz val="10"/>
        <rFont val="微软雅黑"/>
        <family val="2"/>
        <charset val="134"/>
      </rPr>
      <t>手续费及佣金支出</t>
    </r>
    <r>
      <rPr>
        <sz val="10"/>
        <rFont val="Arial Narrow"/>
        <family val="2"/>
      </rPr>
      <t>*</t>
    </r>
    <phoneticPr fontId="4" type="noConversion"/>
  </si>
  <si>
    <r>
      <rPr>
        <sz val="10"/>
        <rFont val="微软雅黑"/>
        <family val="2"/>
        <charset val="134"/>
      </rPr>
      <t>应收账款</t>
    </r>
    <phoneticPr fontId="4" type="noConversion"/>
  </si>
  <si>
    <r>
      <t xml:space="preserve">        </t>
    </r>
    <r>
      <rPr>
        <sz val="10"/>
        <rFont val="微软雅黑"/>
        <family val="2"/>
        <charset val="134"/>
      </rPr>
      <t>退保金</t>
    </r>
    <r>
      <rPr>
        <sz val="10"/>
        <rFont val="Arial Narrow"/>
        <family val="2"/>
      </rPr>
      <t>*</t>
    </r>
    <phoneticPr fontId="4" type="noConversion"/>
  </si>
  <si>
    <r>
      <t xml:space="preserve">        </t>
    </r>
    <r>
      <rPr>
        <sz val="10"/>
        <rFont val="微软雅黑"/>
        <family val="2"/>
        <charset val="134"/>
      </rPr>
      <t>赔付支出净额</t>
    </r>
    <r>
      <rPr>
        <sz val="10"/>
        <rFont val="Arial Narrow"/>
        <family val="2"/>
      </rPr>
      <t>*</t>
    </r>
    <phoneticPr fontId="4" type="noConversion"/>
  </si>
  <si>
    <r>
      <t xml:space="preserve">        </t>
    </r>
    <r>
      <rPr>
        <sz val="10"/>
        <rFont val="微软雅黑"/>
        <family val="2"/>
        <charset val="134"/>
      </rPr>
      <t>提取保险责任准备金净额</t>
    </r>
    <r>
      <rPr>
        <sz val="10"/>
        <rFont val="Arial Narrow"/>
        <family val="2"/>
      </rPr>
      <t>*</t>
    </r>
    <phoneticPr fontId="4" type="noConversion"/>
  </si>
  <si>
    <r>
      <t xml:space="preserve">        </t>
    </r>
    <r>
      <rPr>
        <sz val="10"/>
        <rFont val="微软雅黑"/>
        <family val="2"/>
        <charset val="134"/>
      </rPr>
      <t>保单红利支出</t>
    </r>
    <r>
      <rPr>
        <sz val="10"/>
        <rFont val="Arial Narrow"/>
        <family val="2"/>
      </rPr>
      <t>*</t>
    </r>
    <phoneticPr fontId="4" type="noConversion"/>
  </si>
  <si>
    <r>
      <t xml:space="preserve">  </t>
    </r>
    <r>
      <rPr>
        <sz val="10"/>
        <rFont val="微软雅黑"/>
        <family val="2"/>
        <charset val="134"/>
      </rPr>
      <t>其中：应付工资</t>
    </r>
    <phoneticPr fontId="4" type="noConversion"/>
  </si>
  <si>
    <r>
      <t xml:space="preserve">        </t>
    </r>
    <r>
      <rPr>
        <sz val="10"/>
        <rFont val="微软雅黑"/>
        <family val="2"/>
        <charset val="134"/>
      </rPr>
      <t>分保费用</t>
    </r>
    <r>
      <rPr>
        <sz val="10"/>
        <rFont val="Arial Narrow"/>
        <family val="2"/>
      </rPr>
      <t>*</t>
    </r>
    <phoneticPr fontId="4" type="noConversion"/>
  </si>
  <si>
    <r>
      <t xml:space="preserve">      </t>
    </r>
    <r>
      <rPr>
        <sz val="10"/>
        <rFont val="微软雅黑"/>
        <family val="2"/>
        <charset val="134"/>
      </rPr>
      <t>应付福利费</t>
    </r>
    <phoneticPr fontId="4" type="noConversion"/>
  </si>
  <si>
    <r>
      <rPr>
        <sz val="10"/>
        <rFont val="微软雅黑"/>
        <family val="2"/>
        <charset val="134"/>
      </rPr>
      <t>预付款项</t>
    </r>
    <phoneticPr fontId="4" type="noConversion"/>
  </si>
  <si>
    <r>
      <t xml:space="preserve">     #</t>
    </r>
    <r>
      <rPr>
        <sz val="10"/>
        <rFont val="微软雅黑"/>
        <family val="2"/>
        <charset val="134"/>
      </rPr>
      <t>其中：职工奖励及福利基金</t>
    </r>
    <phoneticPr fontId="4" type="noConversion"/>
  </si>
  <si>
    <r>
      <t xml:space="preserve"> </t>
    </r>
    <r>
      <rPr>
        <sz val="10"/>
        <rFont val="微软雅黑"/>
        <family val="2"/>
        <charset val="134"/>
      </rPr>
      <t>其中：应交税金</t>
    </r>
    <phoneticPr fontId="4" type="noConversion"/>
  </si>
  <si>
    <r>
      <t xml:space="preserve">              </t>
    </r>
    <r>
      <rPr>
        <sz val="10"/>
        <rFont val="微软雅黑"/>
        <family val="2"/>
        <charset val="134"/>
      </rPr>
      <t>汇兑净损失（净收益以</t>
    </r>
    <r>
      <rPr>
        <sz val="10"/>
        <rFont val="Arial Narrow"/>
        <family val="2"/>
      </rPr>
      <t>“</t>
    </r>
    <r>
      <rPr>
        <sz val="10"/>
        <rFont val="微软雅黑"/>
        <family val="2"/>
        <charset val="134"/>
      </rPr>
      <t>－</t>
    </r>
    <r>
      <rPr>
        <sz val="10"/>
        <rFont val="Arial Narrow"/>
        <family val="2"/>
      </rPr>
      <t>”</t>
    </r>
    <r>
      <rPr>
        <sz val="10"/>
        <rFont val="微软雅黑"/>
        <family val="2"/>
        <charset val="134"/>
      </rPr>
      <t>号填列）</t>
    </r>
    <phoneticPr fontId="4" type="noConversion"/>
  </si>
  <si>
    <r>
      <t xml:space="preserve">      </t>
    </r>
    <r>
      <rPr>
        <sz val="10"/>
        <rFont val="微软雅黑"/>
        <family val="2"/>
        <charset val="134"/>
      </rPr>
      <t>其他</t>
    </r>
    <phoneticPr fontId="4" type="noConversion"/>
  </si>
  <si>
    <r>
      <rPr>
        <sz val="10"/>
        <rFont val="微软雅黑"/>
        <family val="2"/>
        <charset val="134"/>
      </rPr>
      <t>应收股利</t>
    </r>
    <phoneticPr fontId="4" type="noConversion"/>
  </si>
  <si>
    <r>
      <t xml:space="preserve">              </t>
    </r>
    <r>
      <rPr>
        <sz val="10"/>
        <rFont val="宋体"/>
        <family val="3"/>
        <charset val="134"/>
      </rPr>
      <t>以摊余成本计量的金融资产终止确认收益（损失以</t>
    </r>
    <r>
      <rPr>
        <sz val="10"/>
        <rFont val="Arial Narrow"/>
        <family val="2"/>
      </rPr>
      <t>“-”</t>
    </r>
    <r>
      <rPr>
        <sz val="10"/>
        <rFont val="宋体"/>
        <family val="3"/>
        <charset val="134"/>
      </rPr>
      <t>号填列）</t>
    </r>
    <phoneticPr fontId="4" type="noConversion"/>
  </si>
  <si>
    <r>
      <t xml:space="preserve">    </t>
    </r>
    <r>
      <rPr>
        <sz val="10"/>
        <rFont val="微软雅黑"/>
        <family val="2"/>
        <charset val="134"/>
      </rPr>
      <t>当期新增的使用权资产</t>
    </r>
    <phoneticPr fontId="4" type="noConversion"/>
  </si>
  <si>
    <r>
      <rPr>
        <sz val="10"/>
        <rFont val="微软雅黑"/>
        <family val="2"/>
        <charset val="134"/>
      </rPr>
      <t>其他应收款</t>
    </r>
    <phoneticPr fontId="4" type="noConversion"/>
  </si>
  <si>
    <r>
      <t xml:space="preserve">        </t>
    </r>
    <r>
      <rPr>
        <sz val="10"/>
        <rFont val="微软雅黑"/>
        <family val="2"/>
        <charset val="134"/>
      </rPr>
      <t>汇兑收益（损失以</t>
    </r>
    <r>
      <rPr>
        <sz val="10"/>
        <rFont val="Arial Narrow"/>
        <family val="2"/>
      </rPr>
      <t>“-”</t>
    </r>
    <r>
      <rPr>
        <sz val="10"/>
        <rFont val="微软雅黑"/>
        <family val="2"/>
        <charset val="134"/>
      </rPr>
      <t>号填列）</t>
    </r>
    <r>
      <rPr>
        <sz val="10"/>
        <rFont val="Arial Narrow"/>
        <family val="2"/>
      </rPr>
      <t>*</t>
    </r>
    <phoneticPr fontId="4" type="noConversion"/>
  </si>
  <si>
    <r>
      <t xml:space="preserve">        </t>
    </r>
    <r>
      <rPr>
        <sz val="10"/>
        <rFont val="宋体"/>
        <family val="3"/>
        <charset val="134"/>
      </rPr>
      <t>公允价值变动收益（损失以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</si>
  <si>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r>
      <t xml:space="preserve">        </t>
    </r>
    <r>
      <rPr>
        <sz val="10"/>
        <rFont val="宋体"/>
        <family val="3"/>
        <charset val="134"/>
      </rPr>
      <t>信用减值损失（损失以</t>
    </r>
    <r>
      <rPr>
        <sz val="10"/>
        <rFont val="Arial Narrow"/>
        <family val="2"/>
      </rPr>
      <t>“-”</t>
    </r>
    <r>
      <rPr>
        <sz val="10"/>
        <rFont val="宋体"/>
        <family val="3"/>
        <charset val="134"/>
      </rPr>
      <t>号填列）</t>
    </r>
    <phoneticPr fontId="4" type="noConversion"/>
  </si>
  <si>
    <r>
      <rPr>
        <sz val="10"/>
        <rFont val="微软雅黑"/>
        <family val="2"/>
        <charset val="134"/>
      </rPr>
      <t>存货</t>
    </r>
    <phoneticPr fontId="4" type="noConversion"/>
  </si>
  <si>
    <r>
      <t xml:space="preserve">        </t>
    </r>
    <r>
      <rPr>
        <sz val="10"/>
        <rFont val="宋体"/>
        <family val="3"/>
        <charset val="134"/>
      </rPr>
      <t>资产减值损失（损失以</t>
    </r>
    <r>
      <rPr>
        <sz val="10"/>
        <rFont val="Arial Narrow"/>
        <family val="2"/>
      </rPr>
      <t>“-”</t>
    </r>
    <r>
      <rPr>
        <sz val="10"/>
        <rFont val="宋体"/>
        <family val="3"/>
        <charset val="134"/>
      </rPr>
      <t>号填列）</t>
    </r>
    <phoneticPr fontId="4" type="noConversion"/>
  </si>
  <si>
    <r>
      <t xml:space="preserve"> </t>
    </r>
    <r>
      <rPr>
        <sz val="10"/>
        <rFont val="微软雅黑"/>
        <family val="2"/>
        <charset val="134"/>
      </rPr>
      <t>其中：原材料</t>
    </r>
    <phoneticPr fontId="4" type="noConversion"/>
  </si>
  <si>
    <r>
      <t xml:space="preserve">        </t>
    </r>
    <r>
      <rPr>
        <sz val="10"/>
        <rFont val="宋体"/>
        <family val="3"/>
        <charset val="134"/>
      </rPr>
      <t>资产处置收益（损失以</t>
    </r>
    <r>
      <rPr>
        <sz val="10"/>
        <rFont val="Arial Narrow"/>
        <family val="2"/>
      </rPr>
      <t>“-”</t>
    </r>
    <r>
      <rPr>
        <sz val="10"/>
        <rFont val="宋体"/>
        <family val="3"/>
        <charset val="134"/>
      </rPr>
      <t>号填列）</t>
    </r>
    <phoneticPr fontId="4" type="noConversion"/>
  </si>
  <si>
    <r>
      <t xml:space="preserve">    </t>
    </r>
    <r>
      <rPr>
        <sz val="10"/>
        <rFont val="微软雅黑"/>
        <family val="2"/>
        <charset val="134"/>
      </rPr>
      <t>库存商品（产成品）</t>
    </r>
    <phoneticPr fontId="4" type="noConversion"/>
  </si>
  <si>
    <r>
      <rPr>
        <sz val="10"/>
        <rFont val="微软雅黑"/>
        <family val="2"/>
        <charset val="134"/>
      </rPr>
      <t>合同资产原值</t>
    </r>
  </si>
  <si>
    <r>
      <rPr>
        <sz val="10"/>
        <rFont val="微软雅黑"/>
        <family val="2"/>
        <charset val="134"/>
      </rPr>
      <t>合同资产减值准备</t>
    </r>
  </si>
  <si>
    <r>
      <t xml:space="preserve">    </t>
    </r>
    <r>
      <rPr>
        <sz val="10"/>
        <rFont val="微软雅黑"/>
        <family val="2"/>
        <charset val="134"/>
      </rPr>
      <t>质押贷款净增加额</t>
    </r>
    <r>
      <rPr>
        <sz val="10"/>
        <rFont val="Arial Narrow"/>
        <family val="2"/>
      </rPr>
      <t>*</t>
    </r>
    <phoneticPr fontId="4" type="noConversion"/>
  </si>
  <si>
    <r>
      <rPr>
        <sz val="10"/>
        <rFont val="宋体"/>
        <family val="3"/>
        <charset val="134"/>
      </rPr>
      <t>同一控制下企业合并的被合并方在合并前实现的净利润</t>
    </r>
  </si>
  <si>
    <r>
      <t xml:space="preserve"> </t>
    </r>
    <r>
      <rPr>
        <sz val="10"/>
        <rFont val="宋体"/>
        <family val="3"/>
        <charset val="134"/>
      </rPr>
      <t>其中：特准储备基金</t>
    </r>
    <phoneticPr fontId="4" type="noConversion"/>
  </si>
  <si>
    <r>
      <rPr>
        <sz val="10"/>
        <rFont val="微软雅黑"/>
        <family val="2"/>
        <charset val="134"/>
      </rPr>
      <t>实收资本（或股本）</t>
    </r>
    <phoneticPr fontId="4" type="noConversion"/>
  </si>
  <si>
    <r>
      <t xml:space="preserve">     </t>
    </r>
    <r>
      <rPr>
        <sz val="10"/>
        <rFont val="宋体"/>
        <family val="3"/>
        <charset val="134"/>
      </rPr>
      <t>其中：归属于母公司所有者（或股东）的净利润（净亏损以</t>
    </r>
    <r>
      <rPr>
        <sz val="10"/>
        <rFont val="Arial Narrow"/>
        <family val="2"/>
      </rPr>
      <t>“-”</t>
    </r>
    <r>
      <rPr>
        <sz val="10"/>
        <rFont val="宋体"/>
        <family val="3"/>
        <charset val="134"/>
      </rPr>
      <t>号填列）</t>
    </r>
    <phoneticPr fontId="4" type="noConversion"/>
  </si>
  <si>
    <r>
      <rPr>
        <sz val="10"/>
        <rFont val="宋体"/>
        <family val="3"/>
        <charset val="134"/>
      </rPr>
      <t>归属于母公司所有者（或股东）的其他综合收益的税后净额</t>
    </r>
    <phoneticPr fontId="4" type="noConversion"/>
  </si>
  <si>
    <r>
      <rPr>
        <sz val="10"/>
        <rFont val="微软雅黑"/>
        <family val="2"/>
        <charset val="134"/>
      </rPr>
      <t>长期应收款</t>
    </r>
    <phoneticPr fontId="4" type="noConversion"/>
  </si>
  <si>
    <r>
      <rPr>
        <sz val="10"/>
        <rFont val="宋体"/>
        <family val="3"/>
        <charset val="134"/>
      </rPr>
      <t>归属于母公司所有者权益（或股东权益）合计</t>
    </r>
    <phoneticPr fontId="4" type="noConversion"/>
  </si>
  <si>
    <r>
      <rPr>
        <sz val="10"/>
        <rFont val="微软雅黑"/>
        <family val="2"/>
        <charset val="134"/>
      </rPr>
      <t>长期股权投资</t>
    </r>
    <phoneticPr fontId="4" type="noConversion"/>
  </si>
  <si>
    <r>
      <rPr>
        <b/>
        <sz val="10"/>
        <rFont val="宋体"/>
        <family val="3"/>
        <charset val="134"/>
      </rPr>
      <t>所有者权益（或股东权益）合计</t>
    </r>
    <phoneticPr fontId="4" type="noConversion"/>
  </si>
  <si>
    <r>
      <rPr>
        <b/>
        <sz val="10"/>
        <color rgb="FF000080"/>
        <rFont val="宋体"/>
        <family val="3"/>
        <charset val="134"/>
      </rPr>
      <t>负债和所有者权益（或股东权益）总计</t>
    </r>
    <phoneticPr fontId="4" type="noConversion"/>
  </si>
  <si>
    <r>
      <rPr>
        <sz val="10"/>
        <rFont val="微软雅黑"/>
        <family val="2"/>
        <charset val="134"/>
      </rPr>
      <t>投资性房地产</t>
    </r>
    <phoneticPr fontId="4" type="noConversion"/>
  </si>
  <si>
    <r>
      <t xml:space="preserve">     </t>
    </r>
    <r>
      <rPr>
        <sz val="10"/>
        <rFont val="宋体"/>
        <family val="3"/>
        <charset val="134"/>
      </rPr>
      <t>归属于母公司所有者（或股东）的综合收益总额</t>
    </r>
    <phoneticPr fontId="4" type="noConversion"/>
  </si>
  <si>
    <r>
      <rPr>
        <sz val="10"/>
        <rFont val="微软雅黑"/>
        <family val="2"/>
        <charset val="134"/>
      </rPr>
      <t>固定资产</t>
    </r>
    <phoneticPr fontId="4" type="noConversion"/>
  </si>
  <si>
    <r>
      <rPr>
        <sz val="10"/>
        <rFont val="微软雅黑"/>
        <family val="2"/>
        <charset val="134"/>
      </rPr>
      <t>固定资产清理</t>
    </r>
  </si>
  <si>
    <r>
      <rPr>
        <sz val="10"/>
        <rFont val="微软雅黑"/>
        <family val="2"/>
        <charset val="134"/>
      </rPr>
      <t>在建工程</t>
    </r>
    <phoneticPr fontId="4" type="noConversion"/>
  </si>
  <si>
    <r>
      <rPr>
        <sz val="10"/>
        <rFont val="微软雅黑"/>
        <family val="2"/>
        <charset val="134"/>
      </rPr>
      <t>工程物资</t>
    </r>
    <phoneticPr fontId="4" type="noConversion"/>
  </si>
  <si>
    <r>
      <rPr>
        <sz val="10"/>
        <rFont val="微软雅黑"/>
        <family val="2"/>
        <charset val="134"/>
      </rPr>
      <t>生产性生物资产原值</t>
    </r>
  </si>
  <si>
    <r>
      <rPr>
        <sz val="10"/>
        <rFont val="微软雅黑"/>
        <family val="2"/>
        <charset val="134"/>
      </rPr>
      <t>生产性生物资产累计折旧</t>
    </r>
  </si>
  <si>
    <r>
      <rPr>
        <sz val="10"/>
        <rFont val="微软雅黑"/>
        <family val="2"/>
        <charset val="134"/>
      </rPr>
      <t>生产性生物资产净值</t>
    </r>
  </si>
  <si>
    <r>
      <rPr>
        <sz val="10"/>
        <rFont val="微软雅黑"/>
        <family val="2"/>
        <charset val="134"/>
      </rPr>
      <t>生产性生物资产减值准备</t>
    </r>
  </si>
  <si>
    <r>
      <rPr>
        <sz val="10"/>
        <rFont val="宋体"/>
        <family val="3"/>
        <charset val="134"/>
      </rPr>
      <t>生产性生物资产</t>
    </r>
    <phoneticPr fontId="4" type="noConversion"/>
  </si>
  <si>
    <r>
      <rPr>
        <sz val="10"/>
        <rFont val="微软雅黑"/>
        <family val="2"/>
        <charset val="134"/>
      </rPr>
      <t>使用权资产</t>
    </r>
    <phoneticPr fontId="4" type="noConversion"/>
  </si>
  <si>
    <r>
      <rPr>
        <sz val="10"/>
        <rFont val="微软雅黑"/>
        <family val="2"/>
        <charset val="134"/>
      </rPr>
      <t>无形资产</t>
    </r>
    <phoneticPr fontId="4" type="noConversion"/>
  </si>
  <si>
    <r>
      <rPr>
        <sz val="10"/>
        <rFont val="微软雅黑"/>
        <family val="2"/>
        <charset val="134"/>
      </rPr>
      <t>开发支出原值</t>
    </r>
  </si>
  <si>
    <r>
      <rPr>
        <sz val="10"/>
        <rFont val="微软雅黑"/>
        <family val="2"/>
        <charset val="134"/>
      </rPr>
      <t>开发支出减值准备</t>
    </r>
  </si>
  <si>
    <r>
      <rPr>
        <sz val="10"/>
        <rFont val="微软雅黑"/>
        <family val="2"/>
        <charset val="134"/>
      </rPr>
      <t>商誉</t>
    </r>
    <phoneticPr fontId="4" type="noConversion"/>
  </si>
  <si>
    <r>
      <t xml:space="preserve"> </t>
    </r>
    <r>
      <rPr>
        <sz val="10"/>
        <rFont val="宋体"/>
        <family val="3"/>
        <charset val="134"/>
      </rPr>
      <t>其中：特准储备物资</t>
    </r>
    <phoneticPr fontId="4" type="noConversion"/>
  </si>
  <si>
    <r>
      <t>1.  </t>
    </r>
    <r>
      <rPr>
        <sz val="10"/>
        <rFont val="微软雅黑"/>
        <family val="2"/>
        <charset val="134"/>
      </rPr>
      <t>金融企业利润表中的</t>
    </r>
    <r>
      <rPr>
        <sz val="10"/>
        <rFont val="Arial Narrow"/>
        <family val="2"/>
      </rPr>
      <t>“</t>
    </r>
    <r>
      <rPr>
        <sz val="10"/>
        <rFont val="微软雅黑"/>
        <family val="2"/>
        <charset val="134"/>
      </rPr>
      <t>其他业务收入</t>
    </r>
    <r>
      <rPr>
        <sz val="10"/>
        <rFont val="Arial Narrow"/>
        <family val="2"/>
      </rPr>
      <t>”</t>
    </r>
    <r>
      <rPr>
        <sz val="10"/>
        <rFont val="微软雅黑"/>
        <family val="2"/>
        <charset val="134"/>
      </rPr>
      <t>行项目在本表中的</t>
    </r>
    <r>
      <rPr>
        <sz val="10"/>
        <rFont val="Arial Narrow"/>
        <family val="2"/>
      </rPr>
      <t xml:space="preserve">“ </t>
    </r>
    <r>
      <rPr>
        <sz val="10"/>
        <rFont val="微软雅黑"/>
        <family val="2"/>
        <charset val="134"/>
      </rPr>
      <t>营业收入</t>
    </r>
    <r>
      <rPr>
        <sz val="10"/>
        <rFont val="Arial Narrow"/>
        <family val="2"/>
      </rPr>
      <t>”</t>
    </r>
    <r>
      <rPr>
        <sz val="10"/>
        <rFont val="微软雅黑"/>
        <family val="2"/>
        <charset val="134"/>
      </rPr>
      <t>行项目中列示。</t>
    </r>
    <phoneticPr fontId="4" type="noConversion"/>
  </si>
  <si>
    <r>
      <t>2.  </t>
    </r>
    <r>
      <rPr>
        <sz val="10"/>
        <rFont val="微软雅黑"/>
        <family val="2"/>
        <charset val="134"/>
      </rPr>
      <t>金融企业利润表中的</t>
    </r>
    <r>
      <rPr>
        <sz val="10"/>
        <rFont val="Arial Narrow"/>
        <family val="2"/>
      </rPr>
      <t>“</t>
    </r>
    <r>
      <rPr>
        <sz val="10"/>
        <rFont val="微软雅黑"/>
        <family val="2"/>
        <charset val="134"/>
      </rPr>
      <t>赔付支出</t>
    </r>
    <r>
      <rPr>
        <sz val="10"/>
        <rFont val="Arial Narrow"/>
        <family val="2"/>
      </rPr>
      <t>”</t>
    </r>
    <r>
      <rPr>
        <sz val="10"/>
        <rFont val="微软雅黑"/>
        <family val="2"/>
        <charset val="134"/>
      </rPr>
      <t>与</t>
    </r>
    <r>
      <rPr>
        <sz val="10"/>
        <rFont val="Arial Narrow"/>
        <family val="2"/>
      </rPr>
      <t>“</t>
    </r>
    <r>
      <rPr>
        <sz val="10"/>
        <rFont val="微软雅黑"/>
        <family val="2"/>
        <charset val="134"/>
      </rPr>
      <t>减：摊回赔付支出</t>
    </r>
    <r>
      <rPr>
        <sz val="10"/>
        <rFont val="Arial Narrow"/>
        <family val="2"/>
      </rPr>
      <t xml:space="preserve">” </t>
    </r>
    <r>
      <rPr>
        <sz val="10"/>
        <rFont val="微软雅黑"/>
        <family val="2"/>
        <charset val="134"/>
      </rPr>
      <t>行项目的净额在本表中的</t>
    </r>
    <r>
      <rPr>
        <sz val="10"/>
        <rFont val="Arial Narrow"/>
        <family val="2"/>
      </rPr>
      <t>“</t>
    </r>
    <r>
      <rPr>
        <sz val="10"/>
        <rFont val="微软雅黑"/>
        <family val="2"/>
        <charset val="134"/>
      </rPr>
      <t>赔付支出净额</t>
    </r>
    <r>
      <rPr>
        <sz val="10"/>
        <rFont val="Arial Narrow"/>
        <family val="2"/>
      </rPr>
      <t>”</t>
    </r>
    <r>
      <rPr>
        <sz val="10"/>
        <rFont val="微软雅黑"/>
        <family val="2"/>
        <charset val="134"/>
      </rPr>
      <t>行项目中列示。</t>
    </r>
    <phoneticPr fontId="4" type="noConversion"/>
  </si>
  <si>
    <r>
      <t xml:space="preserve">3.  </t>
    </r>
    <r>
      <rPr>
        <sz val="10"/>
        <rFont val="微软雅黑"/>
        <family val="2"/>
        <charset val="134"/>
      </rPr>
      <t>金融企业利润表中的</t>
    </r>
    <r>
      <rPr>
        <sz val="10"/>
        <rFont val="Arial Narrow"/>
        <family val="2"/>
      </rPr>
      <t>“</t>
    </r>
    <r>
      <rPr>
        <sz val="10"/>
        <rFont val="微软雅黑"/>
        <family val="2"/>
        <charset val="134"/>
      </rPr>
      <t>提取保险责任准备金</t>
    </r>
    <r>
      <rPr>
        <sz val="10"/>
        <rFont val="Arial Narrow"/>
        <family val="2"/>
      </rPr>
      <t>”</t>
    </r>
    <r>
      <rPr>
        <sz val="10"/>
        <rFont val="微软雅黑"/>
        <family val="2"/>
        <charset val="134"/>
      </rPr>
      <t>与</t>
    </r>
    <r>
      <rPr>
        <sz val="10"/>
        <rFont val="Arial Narrow"/>
        <family val="2"/>
      </rPr>
      <t>“</t>
    </r>
    <r>
      <rPr>
        <sz val="10"/>
        <rFont val="微软雅黑"/>
        <family val="2"/>
        <charset val="134"/>
      </rPr>
      <t>减：摊回</t>
    </r>
    <phoneticPr fontId="4" type="noConversion"/>
  </si>
  <si>
    <r>
      <t xml:space="preserve">4. </t>
    </r>
    <r>
      <rPr>
        <sz val="10"/>
        <rFont val="微软雅黑"/>
        <family val="2"/>
        <charset val="134"/>
      </rPr>
      <t>金融企业利润表中的</t>
    </r>
    <r>
      <rPr>
        <sz val="10"/>
        <rFont val="Arial Narrow"/>
        <family val="2"/>
      </rPr>
      <t>“</t>
    </r>
    <r>
      <rPr>
        <sz val="10"/>
        <rFont val="微软雅黑"/>
        <family val="2"/>
        <charset val="134"/>
      </rPr>
      <t>业务及管理费</t>
    </r>
    <r>
      <rPr>
        <sz val="10"/>
        <rFont val="Arial Narrow"/>
        <family val="2"/>
      </rPr>
      <t>”</t>
    </r>
    <r>
      <rPr>
        <sz val="10"/>
        <rFont val="微软雅黑"/>
        <family val="2"/>
        <charset val="134"/>
      </rPr>
      <t>与</t>
    </r>
    <r>
      <rPr>
        <sz val="10"/>
        <rFont val="Arial Narrow"/>
        <family val="2"/>
      </rPr>
      <t>“</t>
    </r>
    <r>
      <rPr>
        <sz val="10"/>
        <rFont val="微软雅黑"/>
        <family val="2"/>
        <charset val="134"/>
      </rPr>
      <t>减：摊回分保费用</t>
    </r>
    <r>
      <rPr>
        <sz val="10"/>
        <rFont val="Arial Narrow"/>
        <family val="2"/>
      </rPr>
      <t>”</t>
    </r>
    <r>
      <rPr>
        <sz val="10"/>
        <rFont val="微软雅黑"/>
        <family val="2"/>
        <charset val="134"/>
      </rPr>
      <t>行项目的净额在本表中的</t>
    </r>
    <r>
      <rPr>
        <sz val="10"/>
        <rFont val="Arial Narrow"/>
        <family val="2"/>
      </rPr>
      <t>“</t>
    </r>
    <r>
      <rPr>
        <sz val="10"/>
        <rFont val="微软雅黑"/>
        <family val="2"/>
        <charset val="134"/>
      </rPr>
      <t>管理费用</t>
    </r>
    <r>
      <rPr>
        <sz val="10"/>
        <rFont val="Arial Narrow"/>
        <family val="2"/>
      </rPr>
      <t>”</t>
    </r>
    <r>
      <rPr>
        <sz val="10"/>
        <rFont val="微软雅黑"/>
        <family val="2"/>
        <charset val="134"/>
      </rPr>
      <t>行项目中列示。</t>
    </r>
    <phoneticPr fontId="4" type="noConversion"/>
  </si>
  <si>
    <r>
      <t>5.  </t>
    </r>
    <r>
      <rPr>
        <sz val="10"/>
        <rFont val="微软雅黑"/>
        <family val="2"/>
        <charset val="134"/>
      </rPr>
      <t>金融企业利润表中的</t>
    </r>
    <r>
      <rPr>
        <sz val="10"/>
        <rFont val="Arial Narrow"/>
        <family val="2"/>
      </rPr>
      <t>“</t>
    </r>
    <r>
      <rPr>
        <sz val="10"/>
        <rFont val="微软雅黑"/>
        <family val="2"/>
        <charset val="134"/>
      </rPr>
      <t>其他资产减值损失</t>
    </r>
    <r>
      <rPr>
        <sz val="10"/>
        <rFont val="Arial Narrow"/>
        <family val="2"/>
      </rPr>
      <t>”</t>
    </r>
    <r>
      <rPr>
        <sz val="10"/>
        <rFont val="微软雅黑"/>
        <family val="2"/>
        <charset val="134"/>
      </rPr>
      <t>行项目在本表中的</t>
    </r>
    <r>
      <rPr>
        <sz val="10"/>
        <rFont val="Arial Narrow"/>
        <family val="2"/>
      </rPr>
      <t>“</t>
    </r>
    <r>
      <rPr>
        <sz val="10"/>
        <rFont val="微软雅黑"/>
        <family val="2"/>
        <charset val="134"/>
      </rPr>
      <t>资产减值损失</t>
    </r>
    <r>
      <rPr>
        <sz val="10"/>
        <rFont val="Arial Narrow"/>
        <family val="2"/>
      </rPr>
      <t>”</t>
    </r>
    <r>
      <rPr>
        <sz val="10"/>
        <rFont val="微软雅黑"/>
        <family val="2"/>
        <charset val="134"/>
      </rPr>
      <t>行项目中列示。</t>
    </r>
    <phoneticPr fontId="4" type="noConversion"/>
  </si>
  <si>
    <r>
      <t>6.  </t>
    </r>
    <r>
      <rPr>
        <sz val="10"/>
        <rFont val="微软雅黑"/>
        <family val="2"/>
        <charset val="134"/>
      </rPr>
      <t>金融企业利润表中的</t>
    </r>
    <r>
      <rPr>
        <sz val="10"/>
        <rFont val="Arial Narrow"/>
        <family val="2"/>
      </rPr>
      <t>“</t>
    </r>
    <r>
      <rPr>
        <sz val="10"/>
        <rFont val="微软雅黑"/>
        <family val="2"/>
        <charset val="134"/>
      </rPr>
      <t>其他业务成本</t>
    </r>
    <r>
      <rPr>
        <sz val="10"/>
        <rFont val="Arial Narrow"/>
        <family val="2"/>
      </rPr>
      <t>”</t>
    </r>
    <r>
      <rPr>
        <sz val="10"/>
        <rFont val="微软雅黑"/>
        <family val="2"/>
        <charset val="134"/>
      </rPr>
      <t>行项目在本表中的</t>
    </r>
    <r>
      <rPr>
        <sz val="10"/>
        <rFont val="Arial Narrow"/>
        <family val="2"/>
      </rPr>
      <t xml:space="preserve">“ </t>
    </r>
    <r>
      <rPr>
        <sz val="10"/>
        <rFont val="微软雅黑"/>
        <family val="2"/>
        <charset val="134"/>
      </rPr>
      <t>营业成本</t>
    </r>
    <r>
      <rPr>
        <sz val="10"/>
        <rFont val="Arial Narrow"/>
        <family val="2"/>
      </rPr>
      <t>”</t>
    </r>
    <r>
      <rPr>
        <sz val="10"/>
        <rFont val="微软雅黑"/>
        <family val="2"/>
        <charset val="134"/>
      </rPr>
      <t>行项目中列示。</t>
    </r>
    <phoneticPr fontId="4" type="noConversion"/>
  </si>
  <si>
    <t>合同负债</t>
    <phoneticPr fontId="4" type="noConversion"/>
  </si>
  <si>
    <r>
      <rPr>
        <sz val="10"/>
        <rFont val="微软雅黑"/>
        <family val="2"/>
        <charset val="134"/>
      </rPr>
      <t>吸收存款及同业存放</t>
    </r>
    <r>
      <rPr>
        <sz val="10"/>
        <rFont val="Arial Narrow"/>
        <family val="2"/>
      </rPr>
      <t>*</t>
    </r>
    <phoneticPr fontId="4" type="noConversion"/>
  </si>
  <si>
    <r>
      <rPr>
        <sz val="10"/>
        <rFont val="微软雅黑"/>
        <family val="2"/>
        <charset val="134"/>
      </rPr>
      <t>代理买卖证券款</t>
    </r>
    <r>
      <rPr>
        <sz val="10"/>
        <rFont val="Arial Narrow"/>
        <family val="2"/>
      </rPr>
      <t>*</t>
    </r>
    <phoneticPr fontId="4" type="noConversion"/>
  </si>
  <si>
    <r>
      <rPr>
        <sz val="10"/>
        <rFont val="微软雅黑"/>
        <family val="2"/>
        <charset val="134"/>
      </rPr>
      <t>代理承销证券款</t>
    </r>
    <r>
      <rPr>
        <sz val="10"/>
        <rFont val="Arial Narrow"/>
        <family val="2"/>
      </rPr>
      <t>*</t>
    </r>
    <phoneticPr fontId="4" type="noConversion"/>
  </si>
  <si>
    <t>应收票据</t>
  </si>
  <si>
    <t>应收款项融资</t>
  </si>
  <si>
    <r>
      <t xml:space="preserve">        </t>
    </r>
    <r>
      <rPr>
        <sz val="10"/>
        <rFont val="宋体"/>
        <family val="3"/>
        <charset val="134"/>
      </rPr>
      <t>销售费用</t>
    </r>
    <phoneticPr fontId="4" type="noConversion"/>
  </si>
  <si>
    <r>
      <rPr>
        <sz val="10"/>
        <rFont val="宋体"/>
        <family val="3"/>
        <charset val="134"/>
      </rPr>
      <t>应收分保合同准备金</t>
    </r>
    <r>
      <rPr>
        <sz val="10"/>
        <rFont val="Arial Narrow"/>
        <family val="2"/>
      </rPr>
      <t>*</t>
    </r>
    <phoneticPr fontId="4" type="noConversion"/>
  </si>
  <si>
    <r>
      <rPr>
        <sz val="10"/>
        <rFont val="宋体"/>
        <family val="3"/>
        <charset val="134"/>
      </rPr>
      <t>买入返售金融资产</t>
    </r>
    <r>
      <rPr>
        <sz val="10"/>
        <rFont val="Arial Narrow"/>
        <family val="2"/>
      </rPr>
      <t>*</t>
    </r>
    <phoneticPr fontId="4" type="noConversion"/>
  </si>
  <si>
    <r>
      <rPr>
        <sz val="10"/>
        <rFont val="宋体"/>
        <family val="3"/>
        <charset val="134"/>
      </rPr>
      <t>结算备付金</t>
    </r>
    <r>
      <rPr>
        <sz val="10"/>
        <rFont val="Arial Narrow"/>
        <family val="2"/>
      </rPr>
      <t>*</t>
    </r>
    <phoneticPr fontId="4" type="noConversion"/>
  </si>
  <si>
    <r>
      <rPr>
        <sz val="10"/>
        <rFont val="宋体"/>
        <family val="3"/>
        <charset val="134"/>
      </rPr>
      <t>应收保费原值</t>
    </r>
    <r>
      <rPr>
        <sz val="10"/>
        <rFont val="Arial Narrow"/>
        <family val="2"/>
      </rPr>
      <t>*</t>
    </r>
    <phoneticPr fontId="4" type="noConversion"/>
  </si>
  <si>
    <r>
      <rPr>
        <sz val="10"/>
        <rFont val="宋体"/>
        <family val="3"/>
        <charset val="134"/>
      </rPr>
      <t>应收保费坏账准备</t>
    </r>
    <r>
      <rPr>
        <sz val="10"/>
        <rFont val="Arial Narrow"/>
        <family val="2"/>
      </rPr>
      <t>*</t>
    </r>
    <phoneticPr fontId="4" type="noConversion"/>
  </si>
  <si>
    <r>
      <rPr>
        <sz val="10"/>
        <rFont val="宋体"/>
        <family val="3"/>
        <charset val="134"/>
      </rPr>
      <t>应收保费</t>
    </r>
    <r>
      <rPr>
        <sz val="10"/>
        <rFont val="Arial Narrow"/>
        <family val="2"/>
      </rPr>
      <t>*</t>
    </r>
    <phoneticPr fontId="4" type="noConversion"/>
  </si>
  <si>
    <r>
      <rPr>
        <sz val="10"/>
        <rFont val="宋体"/>
        <family val="3"/>
        <charset val="134"/>
      </rPr>
      <t>应收分保账款坏账准备</t>
    </r>
    <r>
      <rPr>
        <sz val="10"/>
        <rFont val="Arial Narrow"/>
        <family val="2"/>
      </rPr>
      <t>*</t>
    </r>
    <phoneticPr fontId="4" type="noConversion"/>
  </si>
  <si>
    <r>
      <rPr>
        <sz val="10"/>
        <rFont val="宋体"/>
        <family val="3"/>
        <charset val="134"/>
      </rPr>
      <t>拆出资金减值准备</t>
    </r>
    <r>
      <rPr>
        <sz val="10"/>
        <rFont val="Arial Narrow"/>
        <family val="2"/>
      </rPr>
      <t>*</t>
    </r>
    <phoneticPr fontId="4" type="noConversion"/>
  </si>
  <si>
    <r>
      <rPr>
        <sz val="10"/>
        <rFont val="宋体"/>
        <family val="3"/>
        <charset val="134"/>
      </rPr>
      <t>发放贷款和垫款原值</t>
    </r>
    <r>
      <rPr>
        <sz val="10"/>
        <rFont val="Arial Narrow"/>
        <family val="2"/>
      </rPr>
      <t>*</t>
    </r>
    <phoneticPr fontId="4" type="noConversion"/>
  </si>
  <si>
    <r>
      <rPr>
        <sz val="10"/>
        <rFont val="宋体"/>
        <family val="3"/>
        <charset val="134"/>
      </rPr>
      <t>发放贷款和垫款减值准备</t>
    </r>
    <r>
      <rPr>
        <sz val="10"/>
        <rFont val="Arial Narrow"/>
        <family val="2"/>
      </rPr>
      <t>*</t>
    </r>
    <phoneticPr fontId="4" type="noConversion"/>
  </si>
  <si>
    <r>
      <rPr>
        <sz val="10"/>
        <rFont val="宋体"/>
        <family val="3"/>
        <charset val="134"/>
      </rPr>
      <t>买入返售金融资产原值</t>
    </r>
    <r>
      <rPr>
        <sz val="10"/>
        <rFont val="Arial Narrow"/>
        <family val="2"/>
      </rPr>
      <t>*</t>
    </r>
    <phoneticPr fontId="4" type="noConversion"/>
  </si>
  <si>
    <r>
      <rPr>
        <sz val="10"/>
        <rFont val="宋体"/>
        <family val="3"/>
        <charset val="134"/>
      </rPr>
      <t>买入返售金融资产减值准备</t>
    </r>
    <r>
      <rPr>
        <sz val="10"/>
        <rFont val="Arial Narrow"/>
        <family val="2"/>
      </rPr>
      <t>*</t>
    </r>
    <phoneticPr fontId="4" type="noConversion"/>
  </si>
  <si>
    <r>
      <t>一、营业</t>
    </r>
    <r>
      <rPr>
        <sz val="10"/>
        <color rgb="FFFF0000"/>
        <rFont val="宋体"/>
        <family val="3"/>
        <charset val="134"/>
      </rPr>
      <t>总</t>
    </r>
    <r>
      <rPr>
        <sz val="10"/>
        <rFont val="宋体"/>
        <family val="3"/>
        <charset val="134"/>
      </rPr>
      <t>收入</t>
    </r>
    <phoneticPr fontId="4" type="noConversion"/>
  </si>
  <si>
    <r>
      <t xml:space="preserve">    </t>
    </r>
    <r>
      <rPr>
        <sz val="10"/>
        <rFont val="宋体"/>
        <family val="3"/>
        <charset val="134"/>
      </rPr>
      <t>减：营业</t>
    </r>
    <r>
      <rPr>
        <sz val="10"/>
        <color rgb="FFFF0000"/>
        <rFont val="宋体"/>
        <family val="3"/>
        <charset val="134"/>
      </rPr>
      <t>总</t>
    </r>
    <r>
      <rPr>
        <sz val="10"/>
        <rFont val="宋体"/>
        <family val="3"/>
        <charset val="134"/>
      </rPr>
      <t>成本</t>
    </r>
    <phoneticPr fontId="4" type="noConversion"/>
  </si>
  <si>
    <t>其他调整</t>
    <phoneticPr fontId="4" type="noConversion"/>
  </si>
  <si>
    <t>借方</t>
    <phoneticPr fontId="4" type="noConversion"/>
  </si>
  <si>
    <t>贷方</t>
    <phoneticPr fontId="4" type="noConversion"/>
  </si>
  <si>
    <t>调整类别</t>
    <phoneticPr fontId="51" type="noConversion"/>
  </si>
  <si>
    <t>与现金流量表核对</t>
    <phoneticPr fontId="4" type="noConversion"/>
  </si>
  <si>
    <r>
      <rPr>
        <sz val="10"/>
        <rFont val="宋体"/>
        <family val="3"/>
        <charset val="134"/>
      </rPr>
      <t>应收分保账款原值</t>
    </r>
    <r>
      <rPr>
        <sz val="10"/>
        <rFont val="Arial Narrow"/>
        <family val="2"/>
      </rPr>
      <t>*</t>
    </r>
    <phoneticPr fontId="4" type="noConversion"/>
  </si>
  <si>
    <r>
      <rPr>
        <sz val="10"/>
        <rFont val="宋体"/>
        <family val="3"/>
        <charset val="134"/>
      </rPr>
      <t>拆出资金</t>
    </r>
    <r>
      <rPr>
        <sz val="10"/>
        <rFont val="Arial Narrow"/>
        <family val="2"/>
      </rPr>
      <t>*</t>
    </r>
    <phoneticPr fontId="4" type="noConversion"/>
  </si>
  <si>
    <r>
      <rPr>
        <sz val="10"/>
        <rFont val="宋体"/>
        <family val="3"/>
        <charset val="134"/>
      </rPr>
      <t>拆出资金原值</t>
    </r>
    <r>
      <rPr>
        <sz val="10"/>
        <rFont val="Arial Narrow"/>
        <family val="2"/>
      </rPr>
      <t>*</t>
    </r>
    <phoneticPr fontId="4" type="noConversion"/>
  </si>
  <si>
    <t>调整事项汇总表</t>
    <phoneticPr fontId="51" type="noConversion"/>
  </si>
  <si>
    <t>D41</t>
  </si>
  <si>
    <t>D46</t>
  </si>
  <si>
    <t>D48</t>
  </si>
  <si>
    <t>D57</t>
  </si>
  <si>
    <t>D59</t>
  </si>
  <si>
    <t>D73</t>
  </si>
  <si>
    <t>D75</t>
  </si>
  <si>
    <t>E26</t>
  </si>
  <si>
    <t>E27</t>
  </si>
  <si>
    <t>E28</t>
  </si>
  <si>
    <t>E30</t>
  </si>
  <si>
    <t>F2</t>
  </si>
  <si>
    <t>F4</t>
  </si>
  <si>
    <t>F9</t>
  </si>
  <si>
    <t>G2</t>
  </si>
  <si>
    <t>G3</t>
  </si>
  <si>
    <t>G10</t>
  </si>
  <si>
    <t>G15</t>
  </si>
  <si>
    <t>G17</t>
  </si>
  <si>
    <t>G21</t>
  </si>
  <si>
    <t>G26</t>
  </si>
  <si>
    <t>G40</t>
  </si>
  <si>
    <t>G41</t>
  </si>
  <si>
    <t>G43</t>
  </si>
  <si>
    <t>G49</t>
  </si>
  <si>
    <t>G51</t>
  </si>
  <si>
    <t>报表项目</t>
    <phoneticPr fontId="51" type="noConversion"/>
  </si>
  <si>
    <t>序号</t>
    <phoneticPr fontId="51" type="noConversion"/>
  </si>
  <si>
    <t>其他调整</t>
    <phoneticPr fontId="4" type="noConversion"/>
  </si>
  <si>
    <t>借方</t>
    <phoneticPr fontId="4" type="noConversion"/>
  </si>
  <si>
    <t>贷方</t>
    <phoneticPr fontId="4" type="noConversion"/>
  </si>
  <si>
    <t>试算平衡表项目</t>
    <phoneticPr fontId="4" type="noConversion"/>
  </si>
  <si>
    <t>D11</t>
    <phoneticPr fontId="4" type="noConversion"/>
  </si>
  <si>
    <t>D13</t>
    <phoneticPr fontId="4" type="noConversion"/>
  </si>
  <si>
    <t>D15</t>
    <phoneticPr fontId="4" type="noConversion"/>
  </si>
  <si>
    <t>D17</t>
    <phoneticPr fontId="4" type="noConversion"/>
  </si>
  <si>
    <t>D20</t>
    <phoneticPr fontId="4" type="noConversion"/>
  </si>
  <si>
    <t>D22</t>
    <phoneticPr fontId="4" type="noConversion"/>
  </si>
  <si>
    <t>D24</t>
    <phoneticPr fontId="4" type="noConversion"/>
  </si>
  <si>
    <t>D26</t>
    <phoneticPr fontId="4" type="noConversion"/>
  </si>
  <si>
    <t>D36</t>
    <phoneticPr fontId="4" type="noConversion"/>
  </si>
  <si>
    <t>D32</t>
    <phoneticPr fontId="4" type="noConversion"/>
  </si>
  <si>
    <t>D34</t>
    <phoneticPr fontId="4" type="noConversion"/>
  </si>
  <si>
    <t>D38</t>
    <phoneticPr fontId="4" type="noConversion"/>
  </si>
  <si>
    <t>D40</t>
    <phoneticPr fontId="4" type="noConversion"/>
  </si>
  <si>
    <t>D42</t>
    <phoneticPr fontId="4" type="noConversion"/>
  </si>
  <si>
    <t>D52</t>
    <phoneticPr fontId="4" type="noConversion"/>
  </si>
  <si>
    <t>D58</t>
    <phoneticPr fontId="4" type="noConversion"/>
  </si>
  <si>
    <t>D60</t>
    <phoneticPr fontId="4" type="noConversion"/>
  </si>
  <si>
    <t>D63</t>
    <phoneticPr fontId="4" type="noConversion"/>
  </si>
  <si>
    <t>D66</t>
    <phoneticPr fontId="4" type="noConversion"/>
  </si>
  <si>
    <t>D69</t>
    <phoneticPr fontId="4" type="noConversion"/>
  </si>
  <si>
    <t>D72</t>
    <phoneticPr fontId="4" type="noConversion"/>
  </si>
  <si>
    <t>D74</t>
    <phoneticPr fontId="4" type="noConversion"/>
  </si>
  <si>
    <t>E1</t>
    <phoneticPr fontId="4" type="noConversion"/>
  </si>
  <si>
    <t>E13</t>
  </si>
  <si>
    <t>E14</t>
  </si>
  <si>
    <t>E22</t>
  </si>
  <si>
    <t>E24</t>
  </si>
  <si>
    <t>E31</t>
  </si>
  <si>
    <t>E32</t>
  </si>
  <si>
    <t>F1</t>
    <phoneticPr fontId="4" type="noConversion"/>
  </si>
  <si>
    <t>G6</t>
  </si>
  <si>
    <t>G20</t>
  </si>
  <si>
    <t>G23</t>
  </si>
  <si>
    <t>G47</t>
  </si>
  <si>
    <t>H1</t>
    <phoneticPr fontId="4" type="noConversion"/>
  </si>
  <si>
    <t>H2</t>
  </si>
  <si>
    <t>H3</t>
  </si>
  <si>
    <t>H4</t>
  </si>
  <si>
    <t>H5</t>
  </si>
  <si>
    <t>H6</t>
  </si>
  <si>
    <t>H7</t>
  </si>
  <si>
    <t>H8</t>
  </si>
  <si>
    <t>H9</t>
  </si>
  <si>
    <t>H10</t>
  </si>
  <si>
    <t>H11</t>
  </si>
  <si>
    <t>H12</t>
  </si>
  <si>
    <t>H13</t>
  </si>
  <si>
    <t>H14</t>
    <phoneticPr fontId="4" type="noConversion"/>
  </si>
  <si>
    <t>H15</t>
  </si>
  <si>
    <t>H16</t>
  </si>
  <si>
    <t>H17</t>
  </si>
  <si>
    <t>H18</t>
  </si>
  <si>
    <t>H19</t>
  </si>
  <si>
    <t>H20</t>
  </si>
  <si>
    <t>H21</t>
  </si>
  <si>
    <t>H22</t>
  </si>
  <si>
    <t>H23</t>
  </si>
  <si>
    <t>H24</t>
    <phoneticPr fontId="4" type="noConversion"/>
  </si>
  <si>
    <t>H25</t>
  </si>
  <si>
    <t>H26</t>
  </si>
  <si>
    <t>H27</t>
  </si>
  <si>
    <t>H28</t>
  </si>
  <si>
    <t>H29</t>
    <phoneticPr fontId="4" type="noConversion"/>
  </si>
  <si>
    <t>H30</t>
  </si>
  <si>
    <t>H31</t>
  </si>
  <si>
    <t>H32</t>
  </si>
  <si>
    <t>H33</t>
  </si>
  <si>
    <t>H34</t>
    <phoneticPr fontId="4" type="noConversion"/>
  </si>
  <si>
    <t>H36</t>
  </si>
  <si>
    <t>H37</t>
  </si>
  <si>
    <t>D27-1</t>
    <phoneticPr fontId="4" type="noConversion"/>
  </si>
  <si>
    <t>D29</t>
    <phoneticPr fontId="4" type="noConversion"/>
  </si>
  <si>
    <t>D27-2</t>
    <phoneticPr fontId="4" type="noConversion"/>
  </si>
  <si>
    <t>D28</t>
    <phoneticPr fontId="4" type="noConversion"/>
  </si>
  <si>
    <t>D30</t>
    <phoneticPr fontId="4" type="noConversion"/>
  </si>
  <si>
    <t>D35</t>
  </si>
  <si>
    <t>D43</t>
  </si>
  <si>
    <t>D44</t>
  </si>
  <si>
    <t>D45</t>
    <phoneticPr fontId="4" type="noConversion"/>
  </si>
  <si>
    <t>D47</t>
  </si>
  <si>
    <t>D50</t>
    <phoneticPr fontId="4" type="noConversion"/>
  </si>
  <si>
    <t>D51</t>
  </si>
  <si>
    <t>D53</t>
    <phoneticPr fontId="4" type="noConversion"/>
  </si>
  <si>
    <t>D49</t>
    <phoneticPr fontId="4" type="noConversion"/>
  </si>
  <si>
    <t>D54</t>
  </si>
  <si>
    <t>D55</t>
  </si>
  <si>
    <t>D56</t>
    <phoneticPr fontId="4" type="noConversion"/>
  </si>
  <si>
    <t>D61</t>
    <phoneticPr fontId="4" type="noConversion"/>
  </si>
  <si>
    <t>D62</t>
  </si>
  <si>
    <t>D64</t>
    <phoneticPr fontId="4" type="noConversion"/>
  </si>
  <si>
    <t>D65</t>
  </si>
  <si>
    <t>D67</t>
    <phoneticPr fontId="4" type="noConversion"/>
  </si>
  <si>
    <t>D68</t>
  </si>
  <si>
    <t>D70</t>
    <phoneticPr fontId="4" type="noConversion"/>
  </si>
  <si>
    <t>D71</t>
  </si>
  <si>
    <t>D76</t>
  </si>
  <si>
    <t>E14-1</t>
    <phoneticPr fontId="4" type="noConversion"/>
  </si>
  <si>
    <t>E14-2</t>
  </si>
  <si>
    <t>E15</t>
    <phoneticPr fontId="4" type="noConversion"/>
  </si>
  <si>
    <t>E15-1</t>
    <phoneticPr fontId="4" type="noConversion"/>
  </si>
  <si>
    <t>E16</t>
    <phoneticPr fontId="4" type="noConversion"/>
  </si>
  <si>
    <t>E16-1</t>
    <phoneticPr fontId="4" type="noConversion"/>
  </si>
  <si>
    <t>E16-2</t>
  </si>
  <si>
    <t>E17</t>
    <phoneticPr fontId="4" type="noConversion"/>
  </si>
  <si>
    <t>E23</t>
    <phoneticPr fontId="4" type="noConversion"/>
  </si>
  <si>
    <t>E24-1</t>
    <phoneticPr fontId="4" type="noConversion"/>
  </si>
  <si>
    <t>E24-2</t>
  </si>
  <si>
    <t>E25</t>
    <phoneticPr fontId="4" type="noConversion"/>
  </si>
  <si>
    <t>E29</t>
  </si>
  <si>
    <t>E32-1</t>
    <phoneticPr fontId="4" type="noConversion"/>
  </si>
  <si>
    <t>F3</t>
    <phoneticPr fontId="4" type="noConversion"/>
  </si>
  <si>
    <t>F2-1</t>
    <phoneticPr fontId="4" type="noConversion"/>
  </si>
  <si>
    <t>F2-2</t>
  </si>
  <si>
    <t>F10</t>
    <phoneticPr fontId="4" type="noConversion"/>
  </si>
  <si>
    <t>G33</t>
  </si>
  <si>
    <t>G38</t>
  </si>
  <si>
    <t>G42</t>
  </si>
  <si>
    <t>G50</t>
  </si>
  <si>
    <t>G52</t>
  </si>
  <si>
    <t>H34-1</t>
    <phoneticPr fontId="4" type="noConversion"/>
  </si>
  <si>
    <t>H35</t>
    <phoneticPr fontId="4" type="noConversion"/>
  </si>
  <si>
    <t>H38</t>
    <phoneticPr fontId="4" type="noConversion"/>
  </si>
  <si>
    <t>H38-1</t>
    <phoneticPr fontId="4" type="noConversion"/>
  </si>
  <si>
    <t>H39</t>
    <phoneticPr fontId="4" type="noConversion"/>
  </si>
  <si>
    <t>H39-1</t>
    <phoneticPr fontId="4" type="noConversion"/>
  </si>
  <si>
    <r>
      <rPr>
        <sz val="10"/>
        <rFont val="宋体"/>
        <family val="3"/>
        <charset val="134"/>
      </rPr>
      <t>三、利润总额（亏损总额以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</si>
  <si>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t>G36</t>
  </si>
  <si>
    <t>G45</t>
  </si>
  <si>
    <t>试算平衡表项目</t>
    <phoneticPr fontId="51" type="noConversion"/>
  </si>
  <si>
    <t>二级</t>
    <phoneticPr fontId="51" type="noConversion"/>
  </si>
  <si>
    <t>D76-1</t>
    <phoneticPr fontId="4" type="noConversion"/>
  </si>
  <si>
    <t>G19</t>
  </si>
  <si>
    <t>G19-1</t>
  </si>
  <si>
    <t>G19-2</t>
  </si>
  <si>
    <t>G19-3</t>
  </si>
  <si>
    <t>G22</t>
  </si>
  <si>
    <t>G22-1</t>
  </si>
  <si>
    <t>G22-2</t>
  </si>
  <si>
    <t>G28</t>
  </si>
  <si>
    <t>G29</t>
  </si>
  <si>
    <t>G29-1</t>
  </si>
  <si>
    <t>G30</t>
  </si>
  <si>
    <t>G31</t>
  </si>
  <si>
    <t>G32</t>
  </si>
  <si>
    <t>G37</t>
  </si>
  <si>
    <t>G46</t>
  </si>
  <si>
    <t>G48</t>
  </si>
  <si>
    <t>G53</t>
  </si>
  <si>
    <t>G1</t>
  </si>
  <si>
    <t>G5</t>
  </si>
  <si>
    <r>
      <rPr>
        <b/>
        <sz val="8.5"/>
        <rFont val="宋体"/>
        <family val="3"/>
        <charset val="134"/>
      </rPr>
      <t>上期审定数
①</t>
    </r>
    <phoneticPr fontId="4" type="noConversion"/>
  </si>
  <si>
    <r>
      <rPr>
        <b/>
        <sz val="8.5"/>
        <rFont val="宋体"/>
        <family val="3"/>
        <charset val="134"/>
      </rPr>
      <t>本年期初数
②</t>
    </r>
    <phoneticPr fontId="4" type="noConversion"/>
  </si>
  <si>
    <t>上期审定数
①</t>
  </si>
  <si>
    <t>本期上期数
②</t>
  </si>
  <si>
    <t>未审报表</t>
    <phoneticPr fontId="4" type="noConversion"/>
  </si>
  <si>
    <t>期初报表核对</t>
    <phoneticPr fontId="4" type="noConversion"/>
  </si>
  <si>
    <t>期末报表</t>
    <phoneticPr fontId="4" type="noConversion"/>
  </si>
  <si>
    <t>加：年初未分配利润</t>
    <phoneticPr fontId="4" type="noConversion"/>
  </si>
  <si>
    <r>
      <t xml:space="preserve">    2</t>
    </r>
    <r>
      <rPr>
        <sz val="10"/>
        <rFont val="宋体"/>
        <family val="3"/>
        <charset val="134"/>
      </rPr>
      <t>、提取一般风险准备</t>
    </r>
    <phoneticPr fontId="4" type="noConversion"/>
  </si>
  <si>
    <t>十、未分配利润</t>
    <phoneticPr fontId="4" type="noConversion"/>
  </si>
  <si>
    <t>九、可供投资者分配的利润</t>
    <phoneticPr fontId="4" type="noConversion"/>
  </si>
  <si>
    <t>八、可供分配利润</t>
    <phoneticPr fontId="4" type="noConversion"/>
  </si>
  <si>
    <t>G54</t>
  </si>
  <si>
    <t>G55</t>
  </si>
  <si>
    <r>
      <t xml:space="preserve">    3</t>
    </r>
    <r>
      <rPr>
        <sz val="10"/>
        <rFont val="宋体"/>
        <family val="3"/>
        <charset val="134"/>
      </rPr>
      <t>、提取其他</t>
    </r>
    <phoneticPr fontId="4" type="noConversion"/>
  </si>
  <si>
    <t>H40</t>
    <phoneticPr fontId="4" type="noConversion"/>
  </si>
  <si>
    <t>H41</t>
    <phoneticPr fontId="4" type="noConversion"/>
  </si>
  <si>
    <t>H42</t>
  </si>
  <si>
    <t>H43</t>
  </si>
  <si>
    <t>H44</t>
  </si>
  <si>
    <t>H45</t>
  </si>
  <si>
    <t>H46</t>
  </si>
  <si>
    <t>H47</t>
  </si>
  <si>
    <t>H48</t>
  </si>
  <si>
    <t>H49</t>
  </si>
  <si>
    <t>H50</t>
  </si>
  <si>
    <t>H51</t>
  </si>
  <si>
    <t>H52</t>
  </si>
  <si>
    <t>H53</t>
  </si>
  <si>
    <t>H54</t>
  </si>
  <si>
    <t>H55</t>
  </si>
  <si>
    <t>H56</t>
  </si>
  <si>
    <t>二级</t>
    <phoneticPr fontId="51" type="noConversion"/>
  </si>
  <si>
    <t>二级</t>
    <phoneticPr fontId="51" type="noConversion"/>
  </si>
  <si>
    <t>主营业务成本</t>
  </si>
  <si>
    <t>其他应收款原值</t>
    <phoneticPr fontId="51" type="noConversion"/>
  </si>
  <si>
    <t>投资收益</t>
  </si>
  <si>
    <t>应付账款</t>
  </si>
  <si>
    <t>主营业务收入</t>
  </si>
  <si>
    <t>应交税费</t>
  </si>
  <si>
    <t>其他应付款</t>
  </si>
  <si>
    <t>年初未分配利润</t>
  </si>
  <si>
    <t>所得税费用</t>
  </si>
  <si>
    <t>资本公积</t>
  </si>
  <si>
    <t>盈余公积</t>
  </si>
  <si>
    <t>其他应收款原值</t>
    <phoneticPr fontId="51" type="noConversion"/>
  </si>
  <si>
    <t>长期股权投资原值</t>
    <phoneticPr fontId="51" type="noConversion"/>
  </si>
  <si>
    <t>其他应收款原值</t>
    <phoneticPr fontId="51" type="noConversion"/>
  </si>
  <si>
    <t>应收账款原值</t>
    <phoneticPr fontId="51" type="noConversion"/>
  </si>
  <si>
    <t>无形资产原值</t>
    <phoneticPr fontId="51" type="noConversion"/>
  </si>
  <si>
    <t>无形资产原值</t>
    <phoneticPr fontId="51" type="noConversion"/>
  </si>
  <si>
    <t>无形资产原值</t>
    <phoneticPr fontId="51" type="noConversion"/>
  </si>
  <si>
    <t>无形资产累计摊销</t>
    <phoneticPr fontId="51" type="noConversion"/>
  </si>
  <si>
    <t>应收账款原值</t>
    <phoneticPr fontId="51" type="noConversion"/>
  </si>
  <si>
    <t>预收款项</t>
    <phoneticPr fontId="51" type="noConversion"/>
  </si>
  <si>
    <t>信用减值损失</t>
    <phoneticPr fontId="51" type="noConversion"/>
  </si>
  <si>
    <t>应收账款原值</t>
    <phoneticPr fontId="51" type="noConversion"/>
  </si>
  <si>
    <t>无形资产累计摊销</t>
    <phoneticPr fontId="51" type="noConversion"/>
  </si>
  <si>
    <t>应收账款坏账准备</t>
    <phoneticPr fontId="51" type="noConversion"/>
  </si>
  <si>
    <t>长期股权投资原值</t>
    <phoneticPr fontId="51" type="noConversion"/>
  </si>
  <si>
    <t>实收资本（或股本）</t>
  </si>
  <si>
    <t>提取法定盈余公积</t>
    <phoneticPr fontId="51" type="noConversion"/>
  </si>
  <si>
    <t>应收账款原值</t>
    <phoneticPr fontId="51" type="noConversion"/>
  </si>
  <si>
    <t>存货原值</t>
    <phoneticPr fontId="51" type="noConversion"/>
  </si>
  <si>
    <t>原材料</t>
    <phoneticPr fontId="51" type="noConversion"/>
  </si>
  <si>
    <t>库存商品（产成品）</t>
    <phoneticPr fontId="51" type="noConversion"/>
  </si>
  <si>
    <t>应交税金</t>
    <phoneticPr fontId="51" type="noConversion"/>
  </si>
  <si>
    <t>应交税金</t>
    <phoneticPr fontId="51" type="noConversion"/>
  </si>
  <si>
    <t>应付职工薪酬</t>
    <phoneticPr fontId="51" type="noConversion"/>
  </si>
  <si>
    <t>应付工资</t>
    <phoneticPr fontId="51" type="noConversion"/>
  </si>
  <si>
    <t>应付职工薪酬</t>
    <phoneticPr fontId="51" type="noConversion"/>
  </si>
  <si>
    <t>应付福利费</t>
    <phoneticPr fontId="51" type="noConversion"/>
  </si>
  <si>
    <t>三级</t>
    <phoneticPr fontId="51" type="noConversion"/>
  </si>
  <si>
    <t>财务费用</t>
    <phoneticPr fontId="51" type="noConversion"/>
  </si>
  <si>
    <t>利息收入</t>
    <phoneticPr fontId="51" type="noConversion"/>
  </si>
  <si>
    <t>财务费用</t>
    <phoneticPr fontId="51" type="noConversion"/>
  </si>
  <si>
    <t>汇兑净损失</t>
    <phoneticPr fontId="51" type="noConversion"/>
  </si>
  <si>
    <t>年初未分配利润</t>
    <phoneticPr fontId="51" type="noConversion"/>
  </si>
  <si>
    <t>其他（不能重分类）</t>
    <phoneticPr fontId="51" type="noConversion"/>
  </si>
  <si>
    <t>其他（可以重分类）</t>
    <phoneticPr fontId="51" type="noConversion"/>
  </si>
  <si>
    <t>其他（分配）</t>
  </si>
  <si>
    <t>其他（分配）</t>
    <phoneticPr fontId="51" type="noConversion"/>
  </si>
  <si>
    <r>
      <t xml:space="preserve">      </t>
    </r>
    <r>
      <rPr>
        <sz val="10"/>
        <rFont val="宋体"/>
        <family val="3"/>
        <charset val="134"/>
      </rPr>
      <t>其中：子公司减资支付给少数股东的现金</t>
    </r>
    <phoneticPr fontId="4" type="noConversion"/>
  </si>
  <si>
    <t>其他（现）</t>
    <phoneticPr fontId="51" type="noConversion"/>
  </si>
  <si>
    <t>其他（不能重分类）</t>
    <phoneticPr fontId="51" type="noConversion"/>
  </si>
  <si>
    <t>其他（可以重分类）</t>
    <phoneticPr fontId="51" type="noConversion"/>
  </si>
  <si>
    <t>其他（分配）</t>
    <phoneticPr fontId="51" type="noConversion"/>
  </si>
  <si>
    <t>其他（分配）</t>
    <phoneticPr fontId="51" type="noConversion"/>
  </si>
  <si>
    <t>对联营企业和合营企业的投资收益</t>
    <phoneticPr fontId="51" type="noConversion"/>
  </si>
  <si>
    <t>H57</t>
  </si>
  <si>
    <t>期初报表</t>
    <phoneticPr fontId="4" type="noConversion"/>
  </si>
  <si>
    <t>审定报表</t>
    <phoneticPr fontId="4" type="noConversion"/>
  </si>
  <si>
    <t>企业原报数</t>
    <phoneticPr fontId="4" type="noConversion"/>
  </si>
  <si>
    <t>账项调整借方</t>
    <phoneticPr fontId="4" type="noConversion"/>
  </si>
  <si>
    <t>账项调整贷方</t>
    <phoneticPr fontId="4" type="noConversion"/>
  </si>
  <si>
    <t>报表调整借方</t>
    <phoneticPr fontId="4" type="noConversion"/>
  </si>
  <si>
    <t>报表调整贷方</t>
    <phoneticPr fontId="4" type="noConversion"/>
  </si>
  <si>
    <t>其他调整借方</t>
    <phoneticPr fontId="4" type="noConversion"/>
  </si>
  <si>
    <t>其他调整贷方</t>
    <phoneticPr fontId="4" type="noConversion"/>
  </si>
  <si>
    <t>企业原报数</t>
    <phoneticPr fontId="4" type="noConversion"/>
  </si>
  <si>
    <t>审定数</t>
    <phoneticPr fontId="4" type="noConversion"/>
  </si>
  <si>
    <t>审定数</t>
    <phoneticPr fontId="4" type="noConversion"/>
  </si>
  <si>
    <t>企业原报数</t>
    <phoneticPr fontId="4" type="noConversion"/>
  </si>
  <si>
    <t>账项调整借方</t>
    <phoneticPr fontId="4" type="noConversion"/>
  </si>
  <si>
    <t>账项调整贷方</t>
    <phoneticPr fontId="4" type="noConversion"/>
  </si>
  <si>
    <t>报表调整借方</t>
    <phoneticPr fontId="4" type="noConversion"/>
  </si>
  <si>
    <t>报表调整贷方</t>
    <phoneticPr fontId="4" type="noConversion"/>
  </si>
  <si>
    <t>其他调整借方</t>
    <phoneticPr fontId="4" type="noConversion"/>
  </si>
  <si>
    <t>其他调整贷方</t>
    <phoneticPr fontId="4" type="noConversion"/>
  </si>
  <si>
    <t>审定数</t>
    <phoneticPr fontId="4" type="noConversion"/>
  </si>
  <si>
    <t>账项调整借方</t>
    <phoneticPr fontId="4" type="noConversion"/>
  </si>
  <si>
    <t>账项调整贷方</t>
    <phoneticPr fontId="4" type="noConversion"/>
  </si>
  <si>
    <t>报表调整借方</t>
    <phoneticPr fontId="4" type="noConversion"/>
  </si>
  <si>
    <t>其他调整借方</t>
    <phoneticPr fontId="4" type="noConversion"/>
  </si>
  <si>
    <t>其他调整贷方</t>
    <phoneticPr fontId="4" type="noConversion"/>
  </si>
  <si>
    <t>账项调整贷方</t>
    <phoneticPr fontId="4" type="noConversion"/>
  </si>
  <si>
    <t>上期审定数</t>
  </si>
  <si>
    <t>上期审定数</t>
    <phoneticPr fontId="4" type="noConversion"/>
  </si>
  <si>
    <t>本期上期数</t>
  </si>
  <si>
    <t>本期上期数</t>
    <phoneticPr fontId="4" type="noConversion"/>
  </si>
  <si>
    <t>上期审定数</t>
    <phoneticPr fontId="4" type="noConversion"/>
  </si>
  <si>
    <t>终止经营净利润</t>
  </si>
  <si>
    <t>持续经营净利润</t>
    <phoneticPr fontId="51" type="noConversion"/>
  </si>
  <si>
    <r>
      <rPr>
        <sz val="9"/>
        <rFont val="宋体"/>
        <family val="3"/>
        <charset val="134"/>
      </rPr>
      <t>索引：</t>
    </r>
    <r>
      <rPr>
        <u/>
        <sz val="9"/>
        <rFont val="Arial Narrow"/>
        <family val="2"/>
      </rPr>
      <t xml:space="preserve">A2-1      </t>
    </r>
    <phoneticPr fontId="4" type="noConversion"/>
  </si>
  <si>
    <r>
      <rPr>
        <sz val="9"/>
        <rFont val="宋体"/>
        <family val="3"/>
        <charset val="134"/>
      </rPr>
      <t>日期：</t>
    </r>
    <phoneticPr fontId="4" type="noConversion"/>
  </si>
  <si>
    <r>
      <rPr>
        <sz val="9"/>
        <rFont val="宋体"/>
        <family val="3"/>
        <charset val="134"/>
      </rPr>
      <t>分页：</t>
    </r>
    <r>
      <rPr>
        <u/>
        <sz val="9"/>
        <rFont val="Arial Narrow"/>
        <family val="2"/>
      </rPr>
      <t xml:space="preserve">       </t>
    </r>
    <r>
      <rPr>
        <sz val="9"/>
        <rFont val="Arial Narrow"/>
        <family val="2"/>
      </rPr>
      <t xml:space="preserve">    </t>
    </r>
    <phoneticPr fontId="4" type="noConversion"/>
  </si>
  <si>
    <r>
      <rPr>
        <b/>
        <sz val="9"/>
        <rFont val="宋体"/>
        <family val="3"/>
        <charset val="134"/>
      </rPr>
      <t>企业原报数</t>
    </r>
    <phoneticPr fontId="4" type="noConversion"/>
  </si>
  <si>
    <r>
      <rPr>
        <b/>
        <sz val="9"/>
        <rFont val="宋体"/>
        <family val="3"/>
        <charset val="134"/>
      </rPr>
      <t>账项调整</t>
    </r>
    <phoneticPr fontId="4" type="noConversion"/>
  </si>
  <si>
    <r>
      <rPr>
        <b/>
        <sz val="9"/>
        <rFont val="宋体"/>
        <family val="3"/>
        <charset val="134"/>
      </rPr>
      <t>报表调整</t>
    </r>
    <phoneticPr fontId="4" type="noConversion"/>
  </si>
  <si>
    <r>
      <rPr>
        <b/>
        <sz val="9"/>
        <rFont val="宋体"/>
        <family val="3"/>
        <charset val="134"/>
      </rPr>
      <t>审定数</t>
    </r>
    <phoneticPr fontId="4" type="noConversion"/>
  </si>
  <si>
    <r>
      <rPr>
        <b/>
        <sz val="9"/>
        <rFont val="宋体"/>
        <family val="3"/>
        <charset val="134"/>
      </rPr>
      <t>借方</t>
    </r>
    <phoneticPr fontId="4" type="noConversion"/>
  </si>
  <si>
    <r>
      <rPr>
        <b/>
        <sz val="9"/>
        <rFont val="宋体"/>
        <family val="3"/>
        <charset val="134"/>
      </rPr>
      <t>贷方</t>
    </r>
    <phoneticPr fontId="4" type="noConversion"/>
  </si>
  <si>
    <r>
      <rPr>
        <b/>
        <sz val="9"/>
        <rFont val="宋体"/>
        <family val="3"/>
        <charset val="134"/>
      </rPr>
      <t>借方</t>
    </r>
    <phoneticPr fontId="4" type="noConversion"/>
  </si>
  <si>
    <t>资产负债平衡</t>
    <phoneticPr fontId="16" type="noConversion"/>
  </si>
  <si>
    <t>检验流动资产公式</t>
    <phoneticPr fontId="16" type="noConversion"/>
  </si>
  <si>
    <t>检验非流动资产公式</t>
    <phoneticPr fontId="16" type="noConversion"/>
  </si>
  <si>
    <t>检验总资产公式</t>
    <phoneticPr fontId="16" type="noConversion"/>
  </si>
  <si>
    <t>检验流动负债公式</t>
    <phoneticPr fontId="16" type="noConversion"/>
  </si>
  <si>
    <t>检验非流动负债公式</t>
    <phoneticPr fontId="16" type="noConversion"/>
  </si>
  <si>
    <t>检验总负债公式</t>
    <phoneticPr fontId="16" type="noConversion"/>
  </si>
  <si>
    <t>检验归属于母公司股东权益公式</t>
    <phoneticPr fontId="16" type="noConversion"/>
  </si>
  <si>
    <t>检验股东权益公式</t>
    <phoneticPr fontId="16" type="noConversion"/>
  </si>
  <si>
    <t>检验负债权益公式</t>
    <phoneticPr fontId="16" type="noConversion"/>
  </si>
  <si>
    <t>检验营业利润公式</t>
    <phoneticPr fontId="10" type="noConversion"/>
  </si>
  <si>
    <t>检验利润总额公式</t>
    <phoneticPr fontId="10" type="noConversion"/>
  </si>
  <si>
    <t>检验净利润公式</t>
    <phoneticPr fontId="10" type="noConversion"/>
  </si>
  <si>
    <t>检验归属于母公司所有者的净利润公式</t>
    <phoneticPr fontId="10" type="noConversion"/>
  </si>
  <si>
    <t>检验归属于母公司其他综合收益公式</t>
    <phoneticPr fontId="10" type="noConversion"/>
  </si>
  <si>
    <t>检验综合收益总额公式</t>
    <phoneticPr fontId="10" type="noConversion"/>
  </si>
  <si>
    <t>检验营业收入公式</t>
    <phoneticPr fontId="10" type="noConversion"/>
  </si>
  <si>
    <t>检验营业成本公式</t>
    <phoneticPr fontId="10" type="noConversion"/>
  </si>
  <si>
    <t>资产负债表勾稽核对：</t>
    <phoneticPr fontId="16" type="noConversion"/>
  </si>
  <si>
    <t>利润表勾稽核对：</t>
    <phoneticPr fontId="16" type="noConversion"/>
  </si>
  <si>
    <t>主表经营活动现金净流量公式</t>
    <phoneticPr fontId="16" type="noConversion"/>
  </si>
  <si>
    <t>主表投资活动现金净流量公式</t>
    <phoneticPr fontId="16" type="noConversion"/>
  </si>
  <si>
    <t>主表筹资活动现金净流量公式</t>
    <phoneticPr fontId="16" type="noConversion"/>
  </si>
  <si>
    <t>主表现金及现金等价物净增加额公式</t>
    <phoneticPr fontId="16" type="noConversion"/>
  </si>
  <si>
    <t>主表期末现金及现金等价物余额公式</t>
    <phoneticPr fontId="16" type="noConversion"/>
  </si>
  <si>
    <t>附表经营活动现金流量净额公式</t>
    <phoneticPr fontId="16" type="noConversion"/>
  </si>
  <si>
    <t>附表现金及现金等价物增加额公式</t>
    <phoneticPr fontId="16" type="noConversion"/>
  </si>
  <si>
    <t>主附表经营活动现金净流量检验</t>
    <phoneticPr fontId="16" type="noConversion"/>
  </si>
  <si>
    <t>主附表现金及现金等价物净增加额检验</t>
    <phoneticPr fontId="16" type="noConversion"/>
  </si>
  <si>
    <t>附表净利润与P/L净利润勾稽</t>
  </si>
  <si>
    <t>附表公允价值变动损失与P/L公允价值变动收益勾稽</t>
    <phoneticPr fontId="62" type="noConversion"/>
  </si>
  <si>
    <t>附表投资损失与P/L投资收益勾稽</t>
  </si>
  <si>
    <t>附表递延所得税资产减少与B/S延所得税资产勾稽</t>
    <phoneticPr fontId="62" type="noConversion"/>
  </si>
  <si>
    <t>附表递延所得税负债增加与B/S延所得税负债勾稽</t>
    <phoneticPr fontId="62" type="noConversion"/>
  </si>
  <si>
    <t>附表期末现金余额与B/S期末货币资金勾稽</t>
  </si>
  <si>
    <t>附表期初现金余额与B/S期初货币资金勾稽</t>
  </si>
  <si>
    <t>辅助检验：</t>
    <phoneticPr fontId="16" type="noConversion"/>
  </si>
  <si>
    <t>主表借款、还款与B/S长短期借款检验</t>
    <phoneticPr fontId="16" type="noConversion"/>
  </si>
  <si>
    <t>主表分配股利、利润和偿付利息所支付的现金</t>
  </si>
  <si>
    <t>附表存货的减少与B/S存货检验</t>
    <phoneticPr fontId="16" type="noConversion"/>
  </si>
  <si>
    <t>附表经营性应收项目的减少与B/S经营性应收检验（坏账准备后）</t>
    <phoneticPr fontId="16" type="noConversion"/>
  </si>
  <si>
    <t>附表经营性应付项目的增加与B/S经营性应付检验</t>
    <phoneticPr fontId="16" type="noConversion"/>
  </si>
  <si>
    <t>附注金额：</t>
    <phoneticPr fontId="16" type="noConversion"/>
  </si>
  <si>
    <t>计提的资产减值准备</t>
    <phoneticPr fontId="16" type="noConversion"/>
  </si>
  <si>
    <t>固定资产折旧</t>
    <phoneticPr fontId="16" type="noConversion"/>
  </si>
  <si>
    <t>无形资产摊销</t>
    <phoneticPr fontId="16" type="noConversion"/>
  </si>
  <si>
    <t>长期待摊费用摊销</t>
    <phoneticPr fontId="16" type="noConversion"/>
  </si>
  <si>
    <t>处置固定资产、无形资产和其他长期资产的损失（减：收益）</t>
    <phoneticPr fontId="16" type="noConversion"/>
  </si>
  <si>
    <t>固定资产报废损失</t>
    <phoneticPr fontId="16" type="noConversion"/>
  </si>
  <si>
    <t>公允价值变动损失</t>
    <phoneticPr fontId="62" type="noConversion"/>
  </si>
  <si>
    <t>差异：</t>
    <phoneticPr fontId="16" type="noConversion"/>
  </si>
  <si>
    <t>计提的资产减值准备</t>
    <phoneticPr fontId="16" type="noConversion"/>
  </si>
  <si>
    <t>固定资产折旧</t>
    <phoneticPr fontId="16" type="noConversion"/>
  </si>
  <si>
    <t>无形资产摊销</t>
    <phoneticPr fontId="16" type="noConversion"/>
  </si>
  <si>
    <t>处置固定资产、无形资产和其他长期资产的损失（减：收益）</t>
    <phoneticPr fontId="16" type="noConversion"/>
  </si>
  <si>
    <t>固定资产报废损失</t>
    <phoneticPr fontId="16" type="noConversion"/>
  </si>
  <si>
    <t>公允价值变动损失</t>
    <phoneticPr fontId="16" type="noConversion"/>
  </si>
  <si>
    <t>现金流勾稽核对：</t>
    <phoneticPr fontId="16" type="noConversion"/>
  </si>
  <si>
    <t>附表资产减值损失与P/L资产减值损失勾稽</t>
    <phoneticPr fontId="62" type="noConversion"/>
  </si>
  <si>
    <t>附表信用减值损失与P/L信用减值损失勾稽</t>
    <phoneticPr fontId="62" type="noConversion"/>
  </si>
  <si>
    <t>附表存货的减少与B/S存货勾稽</t>
    <phoneticPr fontId="62" type="noConversion"/>
  </si>
  <si>
    <t>+合同负债期末余额-合同负债期初余额</t>
    <phoneticPr fontId="4" type="noConversion"/>
  </si>
  <si>
    <t>+合同资产期初余额-合同资产期末余额</t>
    <phoneticPr fontId="4" type="noConversion"/>
  </si>
  <si>
    <t>+长期应收款期初余额-长期应收款期末余额</t>
    <phoneticPr fontId="4" type="noConversion"/>
  </si>
  <si>
    <t>= 补贴收入（与经营活动相关）</t>
    <phoneticPr fontId="4" type="noConversion"/>
  </si>
  <si>
    <t>＋其他应收款（收到的与经营活动有关的现金）</t>
    <phoneticPr fontId="4" type="noConversion"/>
  </si>
  <si>
    <t>+其他应付款（收到的与经营活动有关的现金）</t>
    <phoneticPr fontId="4" type="noConversion"/>
  </si>
  <si>
    <t>+ 预付账款期末余额-预付账款期初余额</t>
    <phoneticPr fontId="4" type="noConversion"/>
  </si>
  <si>
    <t>- （存货期初余额-存货期末余额）</t>
    <phoneticPr fontId="4" type="noConversion"/>
  </si>
  <si>
    <t>-（ 应付票据期末余额-应付票据期初余额）</t>
    <phoneticPr fontId="4" type="noConversion"/>
  </si>
  <si>
    <t>+应付账款非经营性的增加</t>
    <phoneticPr fontId="4" type="noConversion"/>
  </si>
  <si>
    <t>+应交税费-个人所得税的减少</t>
    <phoneticPr fontId="4" type="noConversion"/>
  </si>
  <si>
    <t>+其他应付款-个人社保的减少</t>
    <phoneticPr fontId="4" type="noConversion"/>
  </si>
  <si>
    <t>+其他应付款-公积金的减少</t>
    <phoneticPr fontId="4" type="noConversion"/>
  </si>
  <si>
    <t>+ 研发费用</t>
    <phoneticPr fontId="4" type="noConversion"/>
  </si>
  <si>
    <t>- 研发费用中的固定资产折旧、无形资产摊销、低值易耗品摊销</t>
    <phoneticPr fontId="4" type="noConversion"/>
  </si>
  <si>
    <t>- 研发费用中的职工薪酬等</t>
    <phoneticPr fontId="4" type="noConversion"/>
  </si>
  <si>
    <t>- 研发费用中的税费等</t>
    <phoneticPr fontId="4" type="noConversion"/>
  </si>
  <si>
    <t>= 交易性金融资产(贷方发生额)</t>
    <phoneticPr fontId="4" type="noConversion"/>
  </si>
  <si>
    <t>支付其他与筹资活动有关的现金</t>
    <phoneticPr fontId="4" type="noConversion"/>
  </si>
  <si>
    <t>= 交易性金融资产持有期间的投资收益</t>
    <phoneticPr fontId="4" type="noConversion"/>
  </si>
  <si>
    <t>+债权投资持有期间的投资收益</t>
    <phoneticPr fontId="4" type="noConversion"/>
  </si>
  <si>
    <t>+其他债权投资持有期间的投资收益</t>
    <phoneticPr fontId="4" type="noConversion"/>
  </si>
  <si>
    <t>+其他权益工具投资的投资收益</t>
    <phoneticPr fontId="4" type="noConversion"/>
  </si>
  <si>
    <r>
      <t>=</t>
    </r>
    <r>
      <rPr>
        <sz val="9"/>
        <rFont val="宋体"/>
        <family val="3"/>
        <charset val="134"/>
      </rPr>
      <t>资产处置收益（处置无形资产、其他长期资产收到的现金－处置费用）</t>
    </r>
    <phoneticPr fontId="4" type="noConversion"/>
  </si>
  <si>
    <t>+固定资产清理（处置无形资产、其他长期资产收到的现金－处置费用）</t>
    <phoneticPr fontId="4" type="noConversion"/>
  </si>
  <si>
    <r>
      <t>+</t>
    </r>
    <r>
      <rPr>
        <sz val="9"/>
        <rFont val="宋体"/>
        <family val="3"/>
        <charset val="134"/>
      </rPr>
      <t>其他</t>
    </r>
    <phoneticPr fontId="4" type="noConversion"/>
  </si>
  <si>
    <t>小计</t>
    <phoneticPr fontId="4" type="noConversion"/>
  </si>
  <si>
    <r>
      <t>=</t>
    </r>
    <r>
      <rPr>
        <sz val="9"/>
        <rFont val="宋体"/>
        <family val="3"/>
        <charset val="134"/>
      </rPr>
      <t>处置子公司及其他营业单位所取得的现金</t>
    </r>
    <phoneticPr fontId="4" type="noConversion"/>
  </si>
  <si>
    <t>+ 其他</t>
    <phoneticPr fontId="4" type="noConversion"/>
  </si>
  <si>
    <t>+应收股利减少</t>
    <phoneticPr fontId="4" type="noConversion"/>
  </si>
  <si>
    <t>+其他</t>
    <phoneticPr fontId="4" type="noConversion"/>
  </si>
  <si>
    <t>- 子公司或其他营业单位持有的现金和现金等价物</t>
    <phoneticPr fontId="4" type="noConversion"/>
  </si>
  <si>
    <t>- 处置子公司或其他营业单位相关处置费用</t>
    <phoneticPr fontId="4" type="noConversion"/>
  </si>
  <si>
    <t>= 交易性性金融资产投资支付的现金及手续费</t>
    <phoneticPr fontId="4" type="noConversion"/>
  </si>
  <si>
    <t>+ 债权投资支付的现金及手续费</t>
    <phoneticPr fontId="4" type="noConversion"/>
  </si>
  <si>
    <t>+ 其他权益工具投资支付的现金及手续费</t>
    <phoneticPr fontId="4" type="noConversion"/>
  </si>
  <si>
    <t>+ 长期股权投资支付的现金及手续费（不包括子公司）</t>
    <phoneticPr fontId="4" type="noConversion"/>
  </si>
  <si>
    <t>= 取得子公司支付的现金</t>
    <phoneticPr fontId="4" type="noConversion"/>
  </si>
  <si>
    <r>
      <t xml:space="preserve">+ </t>
    </r>
    <r>
      <rPr>
        <sz val="9"/>
        <rFont val="宋体"/>
        <family val="3"/>
        <charset val="134"/>
      </rPr>
      <t>取得其他营业单位支付的现金</t>
    </r>
    <phoneticPr fontId="4" type="noConversion"/>
  </si>
  <si>
    <r>
      <t xml:space="preserve">- </t>
    </r>
    <r>
      <rPr>
        <sz val="9"/>
        <rFont val="宋体"/>
        <family val="3"/>
        <charset val="134"/>
      </rPr>
      <t>子公司及其他营业单位持有的现金及现金等价物</t>
    </r>
    <phoneticPr fontId="4" type="noConversion"/>
  </si>
  <si>
    <t>=应收股利（收回购买股权时已宣告发放但尚未领取的现金股利）</t>
    <phoneticPr fontId="4" type="noConversion"/>
  </si>
  <si>
    <t>+ 应收利息（收回购买债券时支付的已到期而尚未领取的利息）</t>
    <phoneticPr fontId="4" type="noConversion"/>
  </si>
  <si>
    <t>+ 取得子公司及其他营业单位支付的现金净额的负数</t>
    <phoneticPr fontId="4" type="noConversion"/>
  </si>
  <si>
    <r>
      <t xml:space="preserve">+ </t>
    </r>
    <r>
      <rPr>
        <sz val="9"/>
        <rFont val="宋体"/>
        <family val="3"/>
        <charset val="134"/>
      </rPr>
      <t>其他</t>
    </r>
    <phoneticPr fontId="4" type="noConversion"/>
  </si>
  <si>
    <t>=处置子公司及其他营业单位收到的现金净额的负数</t>
    <phoneticPr fontId="4" type="noConversion"/>
  </si>
  <si>
    <t>+ 处置固定资产、无形资产、其他长期资产收回的现金为负数时</t>
    <phoneticPr fontId="4" type="noConversion"/>
  </si>
  <si>
    <t>+ 购买时已宣告而尚未领取的现金股利</t>
    <phoneticPr fontId="4" type="noConversion"/>
  </si>
  <si>
    <t>+ 购买时已到付息期但尚未领取的债券利息</t>
    <phoneticPr fontId="4" type="noConversion"/>
  </si>
  <si>
    <t>小计</t>
    <phoneticPr fontId="4" type="noConversion"/>
  </si>
  <si>
    <t>+ 其他</t>
    <phoneticPr fontId="4" type="noConversion"/>
  </si>
  <si>
    <t>= 支付现金股利</t>
    <phoneticPr fontId="4" type="noConversion"/>
  </si>
  <si>
    <t>+ 支付的借款利息</t>
    <phoneticPr fontId="4" type="noConversion"/>
  </si>
  <si>
    <t>+ 其他</t>
    <phoneticPr fontId="4" type="noConversion"/>
  </si>
  <si>
    <t>=发行股票、债券等方式筹集资金而由企业直接支付的审计、咨询等费用</t>
    <phoneticPr fontId="4" type="noConversion"/>
  </si>
  <si>
    <t>+ 融资租赁支付的现金</t>
    <phoneticPr fontId="4" type="noConversion"/>
  </si>
  <si>
    <t>+ 分期付款构建固定资产、无形资产等支付的现金</t>
    <phoneticPr fontId="4" type="noConversion"/>
  </si>
  <si>
    <t>+ 其他</t>
    <phoneticPr fontId="4" type="noConversion"/>
  </si>
  <si>
    <t>= - 利润表资产减值损失</t>
    <phoneticPr fontId="4" type="noConversion"/>
  </si>
  <si>
    <t>信用减值损失</t>
    <phoneticPr fontId="4" type="noConversion"/>
  </si>
  <si>
    <t>固定资产折旧、投资性房地产折旧、油气资产折耗、生产性生物资产折旧</t>
    <phoneticPr fontId="4" type="noConversion"/>
  </si>
  <si>
    <r>
      <t xml:space="preserve">+ </t>
    </r>
    <r>
      <rPr>
        <sz val="9"/>
        <rFont val="宋体"/>
        <family val="3"/>
        <charset val="134"/>
      </rPr>
      <t>投资性房地产本期计提折旧额</t>
    </r>
    <phoneticPr fontId="4" type="noConversion"/>
  </si>
  <si>
    <t>使用权资产折旧</t>
    <phoneticPr fontId="4" type="noConversion"/>
  </si>
  <si>
    <t>= 使用权资产本期计提折旧额</t>
    <phoneticPr fontId="4" type="noConversion"/>
  </si>
  <si>
    <r>
      <t xml:space="preserve">- </t>
    </r>
    <r>
      <rPr>
        <sz val="9"/>
        <rFont val="宋体"/>
        <family val="3"/>
        <charset val="134"/>
      </rPr>
      <t>其他（资本化计入长期资产部分等）</t>
    </r>
    <phoneticPr fontId="4" type="noConversion"/>
  </si>
  <si>
    <r>
      <t xml:space="preserve">-  </t>
    </r>
    <r>
      <rPr>
        <sz val="9"/>
        <rFont val="宋体"/>
        <family val="3"/>
        <charset val="134"/>
      </rPr>
      <t>其他（资本化计入长期资产部分等）</t>
    </r>
    <phoneticPr fontId="4" type="noConversion"/>
  </si>
  <si>
    <r>
      <t>=</t>
    </r>
    <r>
      <rPr>
        <sz val="9"/>
        <rFont val="宋体"/>
        <family val="3"/>
        <charset val="134"/>
      </rPr>
      <t>根据营业外收入分析填列</t>
    </r>
    <phoneticPr fontId="4" type="noConversion"/>
  </si>
  <si>
    <t>+ 根据营业外支出分析填列</t>
    <phoneticPr fontId="4" type="noConversion"/>
  </si>
  <si>
    <t>计入其他综合收益部分</t>
    <phoneticPr fontId="4" type="noConversion"/>
  </si>
  <si>
    <t>递延所得税负债实际增加</t>
    <phoneticPr fontId="4" type="noConversion"/>
  </si>
  <si>
    <t>递延所得税资产实际增加</t>
    <phoneticPr fontId="4" type="noConversion"/>
  </si>
  <si>
    <t>应收款项融资的减少</t>
    <phoneticPr fontId="4" type="noConversion"/>
  </si>
  <si>
    <t>合同资产的减少</t>
    <phoneticPr fontId="4" type="noConversion"/>
  </si>
  <si>
    <t>合同负债的增加</t>
    <phoneticPr fontId="4" type="noConversion"/>
  </si>
  <si>
    <t>③</t>
  </si>
  <si>
    <t>③</t>
    <phoneticPr fontId="4" type="noConversion"/>
  </si>
  <si>
    <t>④</t>
  </si>
  <si>
    <t>④</t>
    <phoneticPr fontId="4" type="noConversion"/>
  </si>
  <si>
    <t>⑤=③-①</t>
  </si>
  <si>
    <t>⑤=③-①</t>
    <phoneticPr fontId="4" type="noConversion"/>
  </si>
  <si>
    <t>⑥=⑤/①</t>
  </si>
  <si>
    <t>⑥=⑤/①</t>
    <phoneticPr fontId="4" type="noConversion"/>
  </si>
  <si>
    <r>
      <t>⑦</t>
    </r>
    <r>
      <rPr>
        <sz val="10"/>
        <rFont val="Times New Roman"/>
        <family val="1"/>
      </rPr>
      <t>=</t>
    </r>
    <r>
      <rPr>
        <sz val="10"/>
        <rFont val="宋体"/>
        <family val="3"/>
        <charset val="134"/>
      </rPr>
      <t>④</t>
    </r>
    <r>
      <rPr>
        <sz val="10"/>
        <rFont val="Times New Roman"/>
        <family val="1"/>
      </rPr>
      <t>-</t>
    </r>
    <r>
      <rPr>
        <sz val="10"/>
        <rFont val="宋体"/>
        <family val="3"/>
        <charset val="134"/>
      </rPr>
      <t>②</t>
    </r>
    <phoneticPr fontId="4" type="noConversion"/>
  </si>
  <si>
    <t>①</t>
  </si>
  <si>
    <t>本年比上年增长（横向分析）</t>
    <phoneticPr fontId="4" type="noConversion"/>
  </si>
  <si>
    <t>本年比上年
增长差异（纵向分析）</t>
    <phoneticPr fontId="4" type="noConversion"/>
  </si>
  <si>
    <t>销售毛利率</t>
  </si>
  <si>
    <t>销售净利率</t>
  </si>
  <si>
    <t>期间费用率</t>
  </si>
  <si>
    <t>销售费用率</t>
  </si>
  <si>
    <t>管理费用率</t>
  </si>
  <si>
    <t>研发费用率</t>
  </si>
  <si>
    <t>财务费用率</t>
  </si>
  <si>
    <t>（营业收入-营业成本）/营业收入</t>
  </si>
  <si>
    <t>净利润/营业收入</t>
  </si>
  <si>
    <t>营业利润/（营业成本+销售费用+管理费用+研发费用+财务费用）</t>
  </si>
  <si>
    <t>（销售费用+管理费用+研发费用+财务费用）/营业收入</t>
  </si>
  <si>
    <t>销售费用/营业收入</t>
  </si>
  <si>
    <t>管理费用/营业收入</t>
  </si>
  <si>
    <t>研发费用/营业收入</t>
  </si>
  <si>
    <t>财务费用/营业收入</t>
  </si>
  <si>
    <t>二、营运能力分析</t>
    <phoneticPr fontId="4" type="noConversion"/>
  </si>
  <si>
    <t>常用指标名称</t>
    <phoneticPr fontId="4" type="noConversion"/>
  </si>
  <si>
    <t>存货周转率</t>
  </si>
  <si>
    <t>存货周转天数</t>
  </si>
  <si>
    <t>应收账款周转率</t>
  </si>
  <si>
    <t>应收账款周转天数</t>
  </si>
  <si>
    <t>应收账款周转率（含合同资产）</t>
  </si>
  <si>
    <t>应收账款周转天数（含合同资产）</t>
  </si>
  <si>
    <t>营业成本/存货平均余额</t>
  </si>
  <si>
    <t>365/（营业成本/存货平均余额）</t>
  </si>
  <si>
    <t>营业收入/（应收账款平均余额+应收票据平均余额+应收款项融资平均余额）</t>
  </si>
  <si>
    <t>365/[营业收入/（应收账款平均余额+合同资产平均余额+应收票据平均余额+应收款项融资平均余额）]</t>
  </si>
  <si>
    <t>营业收入/（应收账款平均余额+合同资产平均余额+应收票据平均余额+应收款项融资平均余额）</t>
  </si>
  <si>
    <t>三、短期偿债能力分析</t>
    <phoneticPr fontId="4" type="noConversion"/>
  </si>
  <si>
    <t>流动比率</t>
  </si>
  <si>
    <t>速动比率</t>
  </si>
  <si>
    <t>流动资产/流动负债</t>
  </si>
  <si>
    <t>速动资产（流动资产-存货）/流动负债</t>
  </si>
  <si>
    <t>资产负债率</t>
  </si>
  <si>
    <t>息税折旧摊销前利润（元）</t>
  </si>
  <si>
    <t>利息保障倍数</t>
  </si>
  <si>
    <t>负债总额/资产总额</t>
  </si>
  <si>
    <t>息税折旧摊销前利润＝利润总额＋利息支出＋折旧费用＋摊销费用</t>
  </si>
  <si>
    <t>利息保障倍数＝（当期利润总额＋当期利息支出（不含资本化的利息支出））/当期利息支出</t>
  </si>
  <si>
    <t>四、长期偿债能力分析</t>
    <phoneticPr fontId="4" type="noConversion"/>
  </si>
  <si>
    <t>净资产收益率（加权）</t>
    <phoneticPr fontId="4" type="noConversion"/>
  </si>
  <si>
    <t>加权平均净资产收益率=P0/(E0＋NP÷2＋Ei×Mi÷M0– Ej×Mj÷M0±Ek×Mk÷M0)
其中：P0分别对应于归属于公司普通股股东的净利润；NP为归属于公司普通股股东的净利润；E0为归属于公司普通股股东的期初净资产；Ei为报告期发行新股或债转股等新增的、归属于公司普通股股东的净资产；Ej为报告期回购或现金分红等减少的、归属于公司普通股股东的净资产；M0为报告期月份数；Mi为新增净资产次月起至报告期期末的累计月数；Mj为减少净资产次月起至报告期期末的累计月数；Ek为因其他交易或事项引起的、归属于公司普通股股东的净资产增减变动；Mk为发生其他净资产增减变动次月起至报告期期末的累计月数。</t>
    <phoneticPr fontId="4" type="noConversion"/>
  </si>
  <si>
    <t>净资产收益率（扣非、加权）</t>
    <phoneticPr fontId="4" type="noConversion"/>
  </si>
  <si>
    <t>加权平均净资产收益率=P0/(E0＋NP÷2＋Ei×Mi÷M0– Ej×Mj÷M0±Ek×Mk÷M0)
其中：P0为扣除非经常性损益后归属于公司普通股股东的净利润；NP为归属于公司普通股股东的净利润；E0为归属于公司普通股股东的期初净资产；Ei为报告期发行新股或债转股等新增的、归属于公司普通股股东的净资产；Ej为报告期回购或现金分红等减少的、归属于公司普通股股东的净资产；M0为报告期月份数；Mi为新增净资产次月起至报告期期末的累计月数；Mj为减少净资产次月起至报告期期末的累计月数；Ek为因其他交易或事项引起的、归属于公司普通股股东的净资产增减变动；Mk为发生其他净资产增减变动次月起至报告期期末的累计月数。</t>
    <phoneticPr fontId="4" type="noConversion"/>
  </si>
  <si>
    <t>每股净资产</t>
  </si>
  <si>
    <t>（报告期末归属母公司股东的权益总额-优先股-归属母公司股东的永续债）/期末流通普通股股数</t>
  </si>
  <si>
    <t>每股经营活动的现金流量</t>
  </si>
  <si>
    <t xml:space="preserve">经营活动产生的现金流量净额/期末普通股股份总数 </t>
  </si>
  <si>
    <t>每股净现金流量</t>
  </si>
  <si>
    <t xml:space="preserve">现金及现金等价物净增加额/期末普通股股份总数 </t>
  </si>
  <si>
    <t>基本每股收益</t>
  </si>
  <si>
    <t>稀释每股收益</t>
  </si>
  <si>
    <t>基本每股收益（扣非）</t>
  </si>
  <si>
    <t>稀释每股收益（扣非）</t>
  </si>
  <si>
    <t>基本每股收益=P0÷S0＋S1＋Si×Mi÷M0– Sj×Mj÷M0-Sk）
其中：P0为归属于公司普通股股东的净利润；S为发行在外的普通股加权平均数；S0为期初股份总数；S1为报告期因公积金转增股本或股票股利分配等增加股份数；Si为报告期因发行新股或债转股等增加股份数；Sj为报告期因回购等减少股份数；Sk为报告期缩股数；M0报告期月份数；Mi为增加股份次月起至报告期期末的累计月数；Mj为减少股份次月起至报告期期末的累计月数。</t>
  </si>
  <si>
    <t>稀释每股收益=P1/(S0＋S1＋Si×Mi÷M0–Sj×Mj÷M0–Sk+认股权证、股份期权、可转换债券等增加的普通股加权平均数)；P1为归属于公司普通股股东的净利润，并考虑稀释性潜在普通股对其影响，按《企业会计准则》及有关规定进行调整。S0为期初股份总数；S1为报告期因公积金转增股本或股票股利分配等增加股份数；Si为报告期因发行新股或债转股等增加股份数；Sj为报告期因回购等减少股份数；Sk为报告期缩股数；M0报告期月份数；Mi为增加股份次月起至报告期期末的累计月数；Mj为减少股份次月起至报告期期末的累计月数</t>
  </si>
  <si>
    <t>基本每股收益=P0÷S0＋S1＋Si×Mi÷M0– Sj×Mj÷M0-Sk）
其中：P0为扣除非经常性损益后归属于普通股股东的净利润；S为发行在外的普通股加权平均数；S0为期初股份总数；S1为报告期因公积金转增股本或股票股利分配等增加股份数；Si为报告期因发行新股或债转股等增加股份数；Sj为报告期因回购等减少股份数；Sk为报告期缩股数；M0报告期月份数；Mi为增加股份次月起至报告期期末的累计月数；Mj为减少股份次月起至报告期期末的累计月数。</t>
  </si>
  <si>
    <t>稀释每股收益=P1/(S0＋S1＋Si×Mi÷M0–Sj×Mj÷M0–Sk+认股权证、股份期权、可转换债券等增加的普通股加权平均数)；P1为扣除非经常性损益后归属于普通股股东的净利润，并考虑稀释性潜在普通股对其影响，按《企业会计准则》及有关规定进行调整。S0为期初股份总数；S1为报告期因公积金转增股本或股票股利分配等增加股份数；Si为报告期因发行新股或债转股等增加股份数；Sj为报告期因回购等减少股份数；Sk为报告期缩股数；M0报告期月份数；Mi为增加股份次月起至报告期期末的累计月数；Mj为减少股份次月起至报告期期末的累计月数</t>
  </si>
  <si>
    <t>五、每股指标分析</t>
    <phoneticPr fontId="4" type="noConversion"/>
  </si>
  <si>
    <r>
      <rPr>
        <sz val="9"/>
        <rFont val="宋体"/>
        <family val="3"/>
        <charset val="134"/>
      </rPr>
      <t>无形资产（土地使用权、特许经营权除外）占净资产比例（</t>
    </r>
    <r>
      <rPr>
        <sz val="9"/>
        <rFont val="Times New Roman"/>
        <family val="1"/>
      </rPr>
      <t>%</t>
    </r>
    <r>
      <rPr>
        <sz val="9"/>
        <rFont val="宋体"/>
        <family val="3"/>
        <charset val="134"/>
      </rPr>
      <t>）</t>
    </r>
    <phoneticPr fontId="4" type="noConversion"/>
  </si>
  <si>
    <t>无形资产占净资产比例=无形资产（扣除土地使用权、水面养殖权和采矿权等后）/期末净资产</t>
  </si>
  <si>
    <t>研发投入占营业收入的比例（%）</t>
  </si>
  <si>
    <t>研发投入占营业收入的比例＝（本期研发资本化支出+本期研发费用）÷营业收入</t>
  </si>
  <si>
    <t>可选指标名称</t>
    <phoneticPr fontId="4" type="noConversion"/>
  </si>
  <si>
    <t>扣非归母净利润/归母净利润</t>
  </si>
  <si>
    <t>总资产收益率</t>
  </si>
  <si>
    <t>净利润/平均资产总额</t>
  </si>
  <si>
    <t>总资产报酬率</t>
  </si>
  <si>
    <t>（利润总额+利息支出净额)/平均资产总值</t>
  </si>
  <si>
    <t>归母净利润率</t>
  </si>
  <si>
    <t>归属于母公司所有者（或股东）的净利润/营业收入</t>
  </si>
  <si>
    <t>投入资本回报率ROIC</t>
  </si>
  <si>
    <t>息税前利润EBIT x (1 - 税率) /（有息负债 + 股东权益 - 现金及其等价物）</t>
  </si>
  <si>
    <t>营业外收支净额/利润总额</t>
  </si>
  <si>
    <r>
      <rPr>
        <b/>
        <sz val="9"/>
        <rFont val="微软雅黑"/>
        <family val="2"/>
        <charset val="134"/>
      </rPr>
      <t>资</t>
    </r>
    <r>
      <rPr>
        <b/>
        <sz val="9"/>
        <rFont val="微软雅黑"/>
        <family val="2"/>
        <charset val="134"/>
      </rPr>
      <t>产</t>
    </r>
    <r>
      <rPr>
        <b/>
        <sz val="9"/>
        <rFont val="Arial Narrow"/>
        <family val="2"/>
      </rPr>
      <t>/</t>
    </r>
    <r>
      <rPr>
        <b/>
        <sz val="9"/>
        <rFont val="微软雅黑"/>
        <family val="2"/>
        <charset val="134"/>
      </rPr>
      <t>负债及股东权益</t>
    </r>
    <phoneticPr fontId="4" type="noConversion"/>
  </si>
  <si>
    <r>
      <rPr>
        <sz val="9"/>
        <rFont val="宋体"/>
        <family val="3"/>
        <charset val="134"/>
      </rPr>
      <t>⑦</t>
    </r>
    <r>
      <rPr>
        <sz val="10"/>
        <rFont val="Times New Roman"/>
        <family val="1"/>
      </rPr>
      <t>=</t>
    </r>
    <r>
      <rPr>
        <sz val="10"/>
        <rFont val="宋体"/>
        <family val="3"/>
        <charset val="134"/>
      </rPr>
      <t>④</t>
    </r>
    <r>
      <rPr>
        <sz val="10"/>
        <rFont val="Times New Roman"/>
        <family val="1"/>
      </rPr>
      <t>-</t>
    </r>
    <r>
      <rPr>
        <sz val="10"/>
        <rFont val="宋体"/>
        <family val="3"/>
        <charset val="134"/>
      </rPr>
      <t>②</t>
    </r>
    <phoneticPr fontId="4" type="noConversion"/>
  </si>
  <si>
    <t>已审数</t>
    <phoneticPr fontId="4" type="noConversion"/>
  </si>
  <si>
    <t>二、营运能力分析</t>
    <phoneticPr fontId="4" type="noConversion"/>
  </si>
  <si>
    <t>总资产周转率</t>
  </si>
  <si>
    <t>营业收入/平均资产总额</t>
  </si>
  <si>
    <t>流动资产周转率</t>
  </si>
  <si>
    <t>营业收入/流动资产平均占用额</t>
  </si>
  <si>
    <t>固定资产周转率</t>
  </si>
  <si>
    <t>营业收入/固定资产平均净值</t>
  </si>
  <si>
    <t>应付账款周转率</t>
  </si>
  <si>
    <t>营业成本/应付账款平均余额</t>
  </si>
  <si>
    <t>应付账款及应付票据周转率</t>
  </si>
  <si>
    <t>营业成本/（应付账款平均余额+应付票据平均余额）</t>
  </si>
  <si>
    <t>预收账款及合同负债周转率</t>
  </si>
  <si>
    <t>营业收入/预收账款平均余额+合同负债平均余额</t>
  </si>
  <si>
    <t>预付账款周转率</t>
  </si>
  <si>
    <t>营业成本/预付账款平均余额</t>
  </si>
  <si>
    <t>三、短期偿债能力分析</t>
    <phoneticPr fontId="4" type="noConversion"/>
  </si>
  <si>
    <t>现金比率</t>
  </si>
  <si>
    <t>（货币资金+交易性金融资产）/流动负债</t>
  </si>
  <si>
    <t>现金流动负债比</t>
  </si>
  <si>
    <t>经营活动现金净流量 / 流动负债</t>
  </si>
  <si>
    <t>四、长期偿债能力分析</t>
    <phoneticPr fontId="4" type="noConversion"/>
  </si>
  <si>
    <t>产权比率</t>
  </si>
  <si>
    <t>负债总额/所有者权益总额</t>
  </si>
  <si>
    <t>资本化比率</t>
  </si>
  <si>
    <t>非流动负债总额/（非流动负债总额+所有者权益总额）</t>
  </si>
  <si>
    <t>现金债务总额比</t>
  </si>
  <si>
    <t>经营活动现金流量净额/ 负债总额</t>
  </si>
  <si>
    <t>营运资金长期负债比率</t>
  </si>
  <si>
    <t>（流动资产-流动负债）/非流动负债</t>
  </si>
  <si>
    <t>长期负债比率</t>
  </si>
  <si>
    <t>非流动负债/负债总额</t>
  </si>
  <si>
    <t>长期资本负债率</t>
  </si>
  <si>
    <t>非流动负债/（非流动负债总额+归属于母公司所有者权益（或股东权益））</t>
  </si>
  <si>
    <t>六、其他</t>
    <phoneticPr fontId="4" type="noConversion"/>
  </si>
  <si>
    <t>五、现金流量分析</t>
    <phoneticPr fontId="4" type="noConversion"/>
  </si>
  <si>
    <t>销售现金比率</t>
  </si>
  <si>
    <t>经营活动现金流量净额/营业收入</t>
  </si>
  <si>
    <t>现金收入比率</t>
  </si>
  <si>
    <t>销售商品、提供劳务收到的现金/营业收入</t>
  </si>
  <si>
    <t>盈余现金保障倍数</t>
  </si>
  <si>
    <t>经营活动现金流量净额/净利润</t>
  </si>
  <si>
    <t>现金流量保证倍数</t>
  </si>
  <si>
    <t>经营活动现金流量净额/利息支出</t>
  </si>
  <si>
    <t>资产现金回收率</t>
  </si>
  <si>
    <t>经营现金净流量/平均资产总额</t>
  </si>
  <si>
    <t>每股营业总收入</t>
  </si>
  <si>
    <t xml:space="preserve">营业收入/流通在外普通股加权平均数  </t>
  </si>
  <si>
    <t>每股资本公积</t>
  </si>
  <si>
    <t>资本公积金/期末总股本</t>
  </si>
  <si>
    <t>每股未分配利润</t>
  </si>
  <si>
    <t>当期未分配利润总额/期末总股本</t>
  </si>
  <si>
    <t>六、每股指标分析</t>
    <phoneticPr fontId="4" type="noConversion"/>
  </si>
  <si>
    <t xml:space="preserve">净资产收益率（归母平均） </t>
  </si>
  <si>
    <t>归属于母公司所有者的净利润/归属于母公司所有者权益（或股东权益）的平均余额</t>
  </si>
  <si>
    <t xml:space="preserve">净资产收益率（归母摊薄） </t>
  </si>
  <si>
    <t>归属于母公司所有者的净利润/归属于母公司所有者权益（或股东权益）的期末余额</t>
  </si>
  <si>
    <t>资本保值增值率</t>
    <phoneticPr fontId="4" type="noConversion"/>
  </si>
  <si>
    <t>期末所有者权益总额/期初所有者权益总额</t>
    <phoneticPr fontId="4" type="noConversion"/>
  </si>
  <si>
    <t>七、其他</t>
    <phoneticPr fontId="4" type="noConversion"/>
  </si>
  <si>
    <t>成本费用利润率</t>
    <phoneticPr fontId="4" type="noConversion"/>
  </si>
  <si>
    <t>365/[营业收入/（应收账款平均余额+应收票据平均余额+应收款项融资平均余额）]</t>
    <phoneticPr fontId="4" type="noConversion"/>
  </si>
  <si>
    <t>已审报表财务比率分析</t>
    <phoneticPr fontId="4" type="noConversion"/>
  </si>
  <si>
    <t>分母数值</t>
    <phoneticPr fontId="4" type="noConversion"/>
  </si>
  <si>
    <t>指标值</t>
    <phoneticPr fontId="4" type="noConversion"/>
  </si>
  <si>
    <t>分母数值</t>
    <phoneticPr fontId="4" type="noConversion"/>
  </si>
  <si>
    <t>增减</t>
    <phoneticPr fontId="4" type="noConversion"/>
  </si>
  <si>
    <t>二锅头</t>
    <phoneticPr fontId="4" type="noConversion"/>
  </si>
  <si>
    <t>张</t>
    <phoneticPr fontId="4" type="noConversion"/>
  </si>
  <si>
    <t>刘</t>
    <phoneticPr fontId="4" type="noConversion"/>
  </si>
  <si>
    <r>
      <t>直接法</t>
    </r>
    <r>
      <rPr>
        <sz val="10"/>
        <rFont val="Arial Narrow"/>
        <family val="2"/>
      </rPr>
      <t>NetCashflow</t>
    </r>
    <r>
      <rPr>
        <sz val="10"/>
        <rFont val="宋体"/>
        <family val="3"/>
        <charset val="134"/>
      </rPr>
      <t>＝间接法</t>
    </r>
    <r>
      <rPr>
        <sz val="10"/>
        <rFont val="Arial Narrow"/>
        <family val="2"/>
      </rPr>
      <t>NetCashflow</t>
    </r>
    <phoneticPr fontId="16" type="noConversion"/>
  </si>
  <si>
    <r>
      <rPr>
        <b/>
        <sz val="9"/>
        <color rgb="FFFF0000"/>
        <rFont val="新宋体"/>
        <family val="3"/>
        <charset val="134"/>
      </rPr>
      <t>索引：</t>
    </r>
    <r>
      <rPr>
        <b/>
        <sz val="9"/>
        <color rgb="FFFF0000"/>
        <rFont val="Arial Narrow"/>
        <family val="2"/>
      </rPr>
      <t>A2-2</t>
    </r>
    <phoneticPr fontId="51" type="noConversion"/>
  </si>
  <si>
    <r>
      <t>索引号：</t>
    </r>
    <r>
      <rPr>
        <b/>
        <sz val="10"/>
        <color rgb="FFFF0000"/>
        <rFont val="Arial Narrow"/>
        <family val="2"/>
      </rPr>
      <t>B15-1-1/B15-1-2/B15-1-3</t>
    </r>
    <phoneticPr fontId="4" type="noConversion"/>
  </si>
  <si>
    <t>调整事项汇总表</t>
    <phoneticPr fontId="16" type="noConversion"/>
  </si>
  <si>
    <t>若调整未全部链入试算平衡表，请检查调整分录的借贷方科目是否为报表科目，如不是报表科目，调整事项汇总表N列、O列会进行提示。</t>
    <phoneticPr fontId="16" type="noConversion"/>
  </si>
  <si>
    <t>若需添加或更改报表科目，请在</t>
    <phoneticPr fontId="16" type="noConversion"/>
  </si>
  <si>
    <t>“报表格式S列”</t>
    <phoneticPr fontId="16" type="noConversion"/>
  </si>
  <si>
    <t>7、</t>
    <phoneticPr fontId="16" type="noConversion"/>
  </si>
  <si>
    <t>调整事项汇总表R列</t>
  </si>
  <si>
    <t xml:space="preserve">由于报表项目名称存在重复的情况，主要涉及利润表中的其他及现金流中的其他，所以在
</t>
    <phoneticPr fontId="16" type="noConversion"/>
  </si>
  <si>
    <t>对个别报表项目的名称进行</t>
    <phoneticPr fontId="16" type="noConversion"/>
  </si>
  <si>
    <t>其他（不能重分类）</t>
    <phoneticPr fontId="16" type="noConversion"/>
  </si>
  <si>
    <t>其他（可以重分类）</t>
    <phoneticPr fontId="16" type="noConversion"/>
  </si>
  <si>
    <t>其他（分配）</t>
    <phoneticPr fontId="16" type="noConversion"/>
  </si>
  <si>
    <t>其他（现）</t>
    <phoneticPr fontId="16" type="noConversion"/>
  </si>
  <si>
    <t>了修改，已方便对报表项目进行正确调整，并用红色字体进行了标记，具体包括:</t>
    <phoneticPr fontId="16" type="noConversion"/>
  </si>
  <si>
    <t>-（应付账款期末余额-应付账款期初余额）</t>
    <phoneticPr fontId="4" type="noConversion"/>
  </si>
  <si>
    <t>+其他应付账款非经营性的增加</t>
    <phoneticPr fontId="4" type="noConversion"/>
  </si>
  <si>
    <r>
      <t>索引：</t>
    </r>
    <r>
      <rPr>
        <b/>
        <sz val="10"/>
        <color indexed="10"/>
        <rFont val="Arial Narrow"/>
        <family val="2"/>
      </rPr>
      <t xml:space="preserve"> </t>
    </r>
    <r>
      <rPr>
        <b/>
        <u/>
        <sz val="10"/>
        <color indexed="10"/>
        <rFont val="Arial Narrow"/>
        <family val="2"/>
      </rPr>
      <t xml:space="preserve">   B13-1         </t>
    </r>
    <phoneticPr fontId="4" type="noConversion"/>
  </si>
  <si>
    <r>
      <rPr>
        <b/>
        <sz val="9"/>
        <color indexed="10"/>
        <rFont val="微软雅黑"/>
        <family val="2"/>
        <charset val="134"/>
      </rPr>
      <t>索引：</t>
    </r>
    <r>
      <rPr>
        <b/>
        <sz val="9"/>
        <color indexed="10"/>
        <rFont val="Arial Narrow"/>
        <family val="2"/>
      </rPr>
      <t xml:space="preserve"> B13-2</t>
    </r>
    <phoneticPr fontId="4" type="noConversion"/>
  </si>
  <si>
    <r>
      <rPr>
        <b/>
        <sz val="10"/>
        <color indexed="10"/>
        <rFont val="宋体"/>
        <family val="3"/>
        <charset val="134"/>
      </rPr>
      <t>索引：</t>
    </r>
    <r>
      <rPr>
        <b/>
        <sz val="10"/>
        <color indexed="10"/>
        <rFont val="Arial Narrow"/>
        <family val="2"/>
      </rPr>
      <t>B13-4</t>
    </r>
    <phoneticPr fontId="4" type="noConversion"/>
  </si>
  <si>
    <r>
      <rPr>
        <b/>
        <sz val="9"/>
        <color rgb="FFFF0000"/>
        <rFont val="微软雅黑"/>
        <family val="2"/>
        <charset val="134"/>
      </rPr>
      <t>索引：</t>
    </r>
    <r>
      <rPr>
        <b/>
        <sz val="9"/>
        <color indexed="10"/>
        <rFont val="Arial Narrow"/>
        <family val="2"/>
      </rPr>
      <t xml:space="preserve"> </t>
    </r>
    <r>
      <rPr>
        <b/>
        <u/>
        <sz val="9"/>
        <color indexed="10"/>
        <rFont val="Arial Narrow"/>
        <family val="2"/>
      </rPr>
      <t xml:space="preserve">    A1-13-1 /A1-13-2      </t>
    </r>
    <phoneticPr fontId="4" type="noConversion"/>
  </si>
  <si>
    <r>
      <rPr>
        <b/>
        <sz val="10"/>
        <color indexed="10"/>
        <rFont val="宋体"/>
        <family val="3"/>
        <charset val="134"/>
      </rPr>
      <t>索引：</t>
    </r>
    <r>
      <rPr>
        <b/>
        <sz val="10"/>
        <color indexed="10"/>
        <rFont val="Arial Narrow"/>
        <family val="2"/>
      </rPr>
      <t>A1-13-3/A1-13-4</t>
    </r>
    <phoneticPr fontId="4" type="noConversion"/>
  </si>
  <si>
    <t>银行存款发生额与经营活动、筹资活动、投资活动的现金流量匹配分析</t>
    <phoneticPr fontId="4" type="noConversion"/>
  </si>
  <si>
    <t>流入分析</t>
    <phoneticPr fontId="4" type="noConversion"/>
  </si>
  <si>
    <t xml:space="preserve">     筹资活动</t>
    <phoneticPr fontId="4" type="noConversion"/>
  </si>
  <si>
    <t xml:space="preserve">     投资活动</t>
    <phoneticPr fontId="4" type="noConversion"/>
  </si>
  <si>
    <r>
      <rPr>
        <sz val="10"/>
        <rFont val="宋体"/>
        <family val="3"/>
        <charset val="134"/>
      </rPr>
      <t>借方发生总额</t>
    </r>
    <phoneticPr fontId="4" type="noConversion"/>
  </si>
  <si>
    <r>
      <rPr>
        <sz val="10"/>
        <rFont val="宋体"/>
        <family val="3"/>
        <charset val="134"/>
      </rPr>
      <t>减：银行存款跨行转账发生额</t>
    </r>
    <phoneticPr fontId="4" type="noConversion"/>
  </si>
  <si>
    <r>
      <rPr>
        <b/>
        <sz val="10"/>
        <rFont val="宋体"/>
        <family val="3"/>
        <charset val="134"/>
      </rPr>
      <t>项目</t>
    </r>
    <phoneticPr fontId="4" type="noConversion"/>
  </si>
  <si>
    <t>1、现金流入</t>
    <phoneticPr fontId="4" type="noConversion"/>
  </si>
  <si>
    <t>其中：经营活动</t>
    <phoneticPr fontId="4" type="noConversion"/>
  </si>
  <si>
    <t xml:space="preserve">     投资活动</t>
    <phoneticPr fontId="4" type="noConversion"/>
  </si>
  <si>
    <t>2、银行存款借方</t>
    <phoneticPr fontId="4" type="noConversion"/>
  </si>
  <si>
    <r>
      <rPr>
        <sz val="10"/>
        <rFont val="宋体"/>
        <family val="3"/>
        <charset val="134"/>
      </rPr>
      <t>减：现金转存</t>
    </r>
    <phoneticPr fontId="4" type="noConversion"/>
  </si>
  <si>
    <r>
      <rPr>
        <sz val="10"/>
        <rFont val="宋体"/>
        <family val="3"/>
        <charset val="134"/>
      </rPr>
      <t>应计入流入现金流量额</t>
    </r>
    <phoneticPr fontId="4" type="noConversion"/>
  </si>
  <si>
    <t>3、差异</t>
    <phoneticPr fontId="4" type="noConversion"/>
  </si>
  <si>
    <t>本期金额</t>
    <phoneticPr fontId="4" type="noConversion"/>
  </si>
  <si>
    <t>1、现金流出</t>
    <phoneticPr fontId="4" type="noConversion"/>
  </si>
  <si>
    <t xml:space="preserve">     筹资活动</t>
    <phoneticPr fontId="4" type="noConversion"/>
  </si>
  <si>
    <t>2、银行存款贷方</t>
    <phoneticPr fontId="4" type="noConversion"/>
  </si>
  <si>
    <r>
      <rPr>
        <sz val="10"/>
        <rFont val="宋体"/>
        <family val="3"/>
        <charset val="134"/>
        <scheme val="minor"/>
      </rPr>
      <t>贷方发生总额</t>
    </r>
    <phoneticPr fontId="4" type="noConversion"/>
  </si>
  <si>
    <r>
      <rPr>
        <sz val="10"/>
        <rFont val="宋体"/>
        <family val="3"/>
        <charset val="134"/>
        <scheme val="minor"/>
      </rPr>
      <t>减：银行存款跨行转账发生额</t>
    </r>
    <phoneticPr fontId="4" type="noConversion"/>
  </si>
  <si>
    <r>
      <rPr>
        <sz val="10"/>
        <rFont val="宋体"/>
        <family val="3"/>
        <charset val="134"/>
        <scheme val="minor"/>
      </rPr>
      <t>减：提取现金</t>
    </r>
    <phoneticPr fontId="4" type="noConversion"/>
  </si>
  <si>
    <r>
      <rPr>
        <sz val="10"/>
        <rFont val="宋体"/>
        <family val="3"/>
        <charset val="134"/>
        <scheme val="minor"/>
      </rPr>
      <t>应计入流出现金流量额</t>
    </r>
    <phoneticPr fontId="4" type="noConversion"/>
  </si>
  <si>
    <t>本期金额</t>
    <phoneticPr fontId="4" type="noConversion"/>
  </si>
  <si>
    <t>审计说明：</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</si>
</sst>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8">
    <numFmt numFmtId="8" formatCode="&quot;¥&quot;#,##0.00;[Red]&quot;¥&quot;\-#,##0.00"/>
    <numFmt numFmtId="41" formatCode="_ * #,##0_ ;_ * \-#,##0_ ;_ * &quot;-&quot;_ ;_ @_ "/>
    <numFmt numFmtId="43" formatCode="_ * #,##0.00_ ;_ * \-#,##0.00_ ;_ * &quot;-&quot;??_ ;_ @_ "/>
    <numFmt numFmtId="176" formatCode="#,##0.00_ "/>
    <numFmt numFmtId="177" formatCode="0_ "/>
    <numFmt numFmtId="178" formatCode="#,##0.00_ ;[Red]\-#,##0.00\ "/>
    <numFmt numFmtId="179" formatCode="_(* #,##0_);_(* \(#,##0\);_(* &quot;-&quot;_);_(@_)"/>
    <numFmt numFmtId="180" formatCode="_(* #,##0.00_);_(* \(#,##0.00\);_(* &quot;-&quot;??_);_(@_)"/>
    <numFmt numFmtId="181" formatCode="&quot;$&quot;#,##0_);\(&quot;$&quot;#,##0\)"/>
    <numFmt numFmtId="182" formatCode="mmm/yyyy;_-\ &quot;N/A&quot;_-;_-\ &quot;-&quot;_-"/>
    <numFmt numFmtId="183" formatCode="mmm/dd/yyyy;_-\ &quot;N/A&quot;_-;_-\ &quot;-&quot;_-"/>
    <numFmt numFmtId="184" formatCode="_-#,##0_-;\(#,##0\);_-\ \ &quot;-&quot;_-;_-@_-"/>
    <numFmt numFmtId="185" formatCode="_-#,##0.00_-;\(#,##0.00\);_-\ \ &quot;-&quot;_-;_-@_-"/>
    <numFmt numFmtId="186" formatCode="_-#,##0%_-;\(#,##0%\);_-\ &quot;-&quot;_-"/>
    <numFmt numFmtId="187" formatCode="_-#,###,_-;\(#,###,\);_-\ \ &quot;-&quot;_-;_-@_-"/>
    <numFmt numFmtId="188" formatCode="_-#,###.00,_-;\(#,###.00,\);_-\ \ &quot;-&quot;_-;_-@_-"/>
    <numFmt numFmtId="189" formatCode="_([$€-2]* #,##0.00_);_([$€-2]* \(#,##0.00\);_([$€-2]* &quot;-&quot;??_)"/>
    <numFmt numFmtId="190" formatCode="_-#0&quot;.&quot;0000_-;\(#0&quot;.&quot;0000\);_-\ \ &quot;-&quot;_-;_-@_-"/>
    <numFmt numFmtId="191" formatCode="_-#0&quot;.&quot;0,_-;\(#0&quot;.&quot;0,\);_-\ \ &quot;-&quot;_-;_-@_-"/>
    <numFmt numFmtId="192" formatCode="&quot;\&quot;#,##0;&quot;\&quot;&quot;\&quot;\-#,##0"/>
    <numFmt numFmtId="193" formatCode="&quot;\&quot;#,##0;[Red]&quot;\&quot;&quot;\&quot;\-#,##0"/>
    <numFmt numFmtId="194" formatCode="&quot;\&quot;#,##0.00;[Red]&quot;\&quot;&quot;\&quot;\-#,##0.00"/>
    <numFmt numFmtId="195" formatCode="_(&quot;$&quot;* #,##0_);_(&quot;$&quot;* \(#,##0\);_(&quot;$&quot;* &quot;-&quot;_);_(@_)"/>
    <numFmt numFmtId="196" formatCode="_(&quot;$&quot;* #,##0.00_);_(&quot;$&quot;* \(#,##0.00\);_(&quot;$&quot;* &quot;-&quot;??_);_(@_)"/>
    <numFmt numFmtId="197" formatCode="_ * #,##0_)\ _F_ ;_ * \(#,##0\)\ _F_ ;_ * &quot;-&quot;_)\ _F_ ;_ @_ "/>
    <numFmt numFmtId="198" formatCode="#,##0&quot; F&quot;_);\(#,##0&quot; F&quot;\)"/>
    <numFmt numFmtId="199" formatCode="0.00000000"/>
    <numFmt numFmtId="200" formatCode="0.0000000"/>
    <numFmt numFmtId="201" formatCode="0.000000"/>
    <numFmt numFmtId="202" formatCode="&quot;$&quot;#,##0;[Red]&quot;$&quot;&quot;$&quot;&quot;$&quot;&quot;$&quot;&quot;$&quot;&quot;$&quot;&quot;$&quot;\-#,##0"/>
    <numFmt numFmtId="203" formatCode="_-* #,##0_-;\-* #,##0_-;_-* &quot;-&quot;??_-;_-@_-"/>
    <numFmt numFmtId="204" formatCode="0.00000000000_);[Red]\(0.00000000000\)"/>
    <numFmt numFmtId="205" formatCode="hh:mm\ AM/PM_)"/>
    <numFmt numFmtId="206" formatCode=";;;"/>
    <numFmt numFmtId="207" formatCode="0.0%"/>
    <numFmt numFmtId="208" formatCode="0.00_ "/>
    <numFmt numFmtId="209" formatCode="0.00_);[Red]\(0.00\)"/>
    <numFmt numFmtId="210" formatCode="0_);[Red]\(0\)"/>
  </numFmts>
  <fonts count="189">
    <font>
      <sz val="12"/>
      <name val="宋体"/>
      <charset val="134"/>
    </font>
    <font>
      <sz val="11"/>
      <color theme="1"/>
      <name val="宋体"/>
      <family val="2"/>
      <charset val="134"/>
      <scheme val="minor"/>
    </font>
    <font>
      <sz val="12"/>
      <name val="宋体"/>
      <family val="3"/>
      <charset val="134"/>
    </font>
    <font>
      <sz val="12"/>
      <name val="宋体"/>
      <family val="3"/>
      <charset val="134"/>
    </font>
    <font>
      <sz val="9"/>
      <name val="宋体"/>
      <family val="3"/>
      <charset val="134"/>
    </font>
    <font>
      <sz val="12"/>
      <name val="Times New Roman"/>
      <family val="1"/>
    </font>
    <font>
      <sz val="12"/>
      <color indexed="10"/>
      <name val="宋体"/>
      <family val="3"/>
      <charset val="134"/>
    </font>
    <font>
      <u/>
      <sz val="12"/>
      <color indexed="12"/>
      <name val="宋体"/>
      <family val="3"/>
      <charset val="134"/>
    </font>
    <font>
      <sz val="11"/>
      <name val="宋体"/>
      <family val="3"/>
      <charset val="134"/>
    </font>
    <font>
      <sz val="11"/>
      <color indexed="14"/>
      <name val="宋体"/>
      <family val="3"/>
      <charset val="134"/>
    </font>
    <font>
      <sz val="11"/>
      <name val="Times New Roman"/>
      <family val="1"/>
    </font>
    <font>
      <b/>
      <sz val="22"/>
      <color indexed="18"/>
      <name val="隶书"/>
      <family val="3"/>
      <charset val="134"/>
    </font>
    <font>
      <sz val="10"/>
      <color indexed="18"/>
      <name val="宋体"/>
      <family val="3"/>
      <charset val="134"/>
    </font>
    <font>
      <sz val="10"/>
      <name val="宋体"/>
      <family val="3"/>
      <charset val="134"/>
    </font>
    <font>
      <sz val="9"/>
      <name val="Times New Roman"/>
      <family val="1"/>
    </font>
    <font>
      <sz val="10"/>
      <color indexed="10"/>
      <name val="宋体"/>
      <family val="3"/>
      <charset val="134"/>
    </font>
    <font>
      <sz val="10"/>
      <name val="Times New Roman"/>
      <family val="1"/>
    </font>
    <font>
      <sz val="9"/>
      <color indexed="12"/>
      <name val="Times New Roman"/>
      <family val="1"/>
    </font>
    <font>
      <sz val="9"/>
      <color indexed="10"/>
      <name val="宋体"/>
      <family val="3"/>
      <charset val="134"/>
    </font>
    <font>
      <b/>
      <sz val="12"/>
      <name val="Times New Roman"/>
      <family val="1"/>
    </font>
    <font>
      <b/>
      <sz val="12"/>
      <name val="宋体"/>
      <family val="3"/>
      <charset val="134"/>
    </font>
    <font>
      <sz val="9"/>
      <color indexed="81"/>
      <name val="宋体"/>
      <family val="3"/>
      <charset val="134"/>
    </font>
    <font>
      <b/>
      <sz val="10"/>
      <name val="Times New Roman"/>
      <family val="1"/>
    </font>
    <font>
      <i/>
      <sz val="10"/>
      <name val="宋体"/>
      <family val="3"/>
      <charset val="134"/>
    </font>
    <font>
      <b/>
      <sz val="10"/>
      <name val="宋体"/>
      <family val="3"/>
      <charset val="134"/>
    </font>
    <font>
      <b/>
      <sz val="10"/>
      <color indexed="18"/>
      <name val="宋体"/>
      <family val="3"/>
      <charset val="134"/>
    </font>
    <font>
      <b/>
      <sz val="10"/>
      <color indexed="12"/>
      <name val="宋体"/>
      <family val="3"/>
      <charset val="134"/>
    </font>
    <font>
      <b/>
      <sz val="11"/>
      <color indexed="12"/>
      <name val="宋体"/>
      <family val="3"/>
      <charset val="134"/>
    </font>
    <font>
      <b/>
      <sz val="8.5"/>
      <name val="宋体"/>
      <family val="3"/>
      <charset val="134"/>
    </font>
    <font>
      <b/>
      <sz val="22"/>
      <color indexed="61"/>
      <name val="隶书"/>
      <family val="3"/>
      <charset val="134"/>
    </font>
    <font>
      <b/>
      <sz val="10"/>
      <color indexed="18"/>
      <name val="隶书"/>
      <family val="3"/>
      <charset val="134"/>
    </font>
    <font>
      <sz val="10"/>
      <color indexed="18"/>
      <name val="隶书"/>
      <family val="3"/>
      <charset val="134"/>
    </font>
    <font>
      <sz val="8"/>
      <color indexed="18"/>
      <name val="隶书"/>
      <family val="3"/>
      <charset val="134"/>
    </font>
    <font>
      <b/>
      <sz val="10"/>
      <color indexed="12"/>
      <name val="Times New Roman"/>
      <family val="1"/>
    </font>
    <font>
      <b/>
      <sz val="9"/>
      <name val="宋体"/>
      <family val="3"/>
      <charset val="134"/>
    </font>
    <font>
      <sz val="12"/>
      <name val="Arial Narrow"/>
      <family val="2"/>
    </font>
    <font>
      <b/>
      <sz val="11"/>
      <name val="Arial Narrow"/>
      <family val="2"/>
    </font>
    <font>
      <sz val="10"/>
      <name val="Arial Narrow"/>
      <family val="2"/>
    </font>
    <font>
      <sz val="9"/>
      <name val="Arial Narrow"/>
      <family val="2"/>
    </font>
    <font>
      <b/>
      <sz val="10"/>
      <name val="Arial Narrow"/>
      <family val="2"/>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7"/>
      <name val="Small Fonts"/>
      <family val="2"/>
    </font>
    <font>
      <sz val="10"/>
      <name val="Courier"/>
      <family val="3"/>
    </font>
    <font>
      <sz val="7"/>
      <color indexed="10"/>
      <name val="Helv"/>
      <family val="2"/>
    </font>
    <font>
      <u/>
      <sz val="9"/>
      <color indexed="12"/>
      <name val="宋体"/>
      <family val="3"/>
      <charset val="134"/>
    </font>
    <font>
      <b/>
      <sz val="9"/>
      <color indexed="8"/>
      <name val="Arial Narrow"/>
      <family val="2"/>
    </font>
    <font>
      <b/>
      <sz val="9"/>
      <name val="Arial Narrow"/>
      <family val="2"/>
    </font>
    <font>
      <sz val="9"/>
      <name val="新宋体"/>
      <family val="3"/>
      <charset val="134"/>
    </font>
    <font>
      <sz val="9"/>
      <color indexed="10"/>
      <name val="Arial Narrow"/>
      <family val="2"/>
    </font>
    <font>
      <sz val="9"/>
      <color indexed="46"/>
      <name val="Arial Narrow"/>
      <family val="2"/>
    </font>
    <font>
      <b/>
      <sz val="14"/>
      <name val="宋体"/>
      <family val="3"/>
      <charset val="134"/>
    </font>
    <font>
      <b/>
      <sz val="14"/>
      <name val="Arial Narrow"/>
      <family val="2"/>
    </font>
    <font>
      <b/>
      <sz val="10"/>
      <color indexed="10"/>
      <name val="Arial Narrow"/>
      <family val="2"/>
    </font>
    <font>
      <b/>
      <sz val="11"/>
      <color indexed="10"/>
      <name val="Arial Narrow"/>
      <family val="2"/>
    </font>
    <font>
      <u/>
      <sz val="10"/>
      <name val="Arial Narrow"/>
      <family val="2"/>
    </font>
    <font>
      <sz val="11"/>
      <color indexed="9"/>
      <name val="宋体"/>
      <family val="3"/>
      <charset val="134"/>
    </font>
    <font>
      <b/>
      <i/>
      <sz val="10"/>
      <name val="宋体"/>
      <family val="3"/>
      <charset val="134"/>
    </font>
    <font>
      <sz val="10"/>
      <name val="长城仿宋"/>
      <family val="3"/>
      <charset val="134"/>
    </font>
    <font>
      <sz val="11"/>
      <name val="Arial Narrow"/>
      <family val="2"/>
    </font>
    <font>
      <sz val="10"/>
      <color indexed="9"/>
      <name val="Arial Narrow"/>
      <family val="2"/>
    </font>
    <font>
      <b/>
      <sz val="10"/>
      <color indexed="9"/>
      <name val="Arial Narrow"/>
      <family val="2"/>
    </font>
    <font>
      <sz val="10"/>
      <color indexed="8"/>
      <name val="Arial"/>
      <family val="2"/>
    </font>
    <font>
      <b/>
      <sz val="8"/>
      <name val="Arial"/>
      <family val="2"/>
    </font>
    <font>
      <sz val="10"/>
      <name val="MS Sans Serif"/>
      <family val="2"/>
    </font>
    <font>
      <b/>
      <sz val="12"/>
      <name val="Arial"/>
      <family val="2"/>
    </font>
    <font>
      <sz val="10"/>
      <color indexed="8"/>
      <name val="MS Sans Serif"/>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sz val="11"/>
      <name val="ＭＳ Ｐゴシック"/>
      <family val="2"/>
      <charset val="134"/>
    </font>
    <font>
      <sz val="12"/>
      <name val="바탕체"/>
      <family val="3"/>
    </font>
    <font>
      <sz val="11"/>
      <name val="蹈框"/>
      <family val="2"/>
    </font>
    <font>
      <b/>
      <sz val="10"/>
      <name val="长城仿宋"/>
      <family val="3"/>
      <charset val="134"/>
    </font>
    <font>
      <b/>
      <sz val="14"/>
      <color indexed="18"/>
      <name val="隶书"/>
      <family val="3"/>
      <charset val="134"/>
    </font>
    <font>
      <sz val="12"/>
      <color indexed="22"/>
      <name val="宋体"/>
      <family val="3"/>
      <charset val="134"/>
    </font>
    <font>
      <sz val="9"/>
      <color indexed="12"/>
      <name val="Arial Narrow"/>
      <family val="2"/>
    </font>
    <font>
      <b/>
      <sz val="9"/>
      <color indexed="12"/>
      <name val="Arial Narrow"/>
      <family val="2"/>
    </font>
    <font>
      <sz val="8.5"/>
      <name val="Arial Narrow"/>
      <family val="2"/>
    </font>
    <font>
      <sz val="10"/>
      <name val="幼圆"/>
      <family val="3"/>
      <charset val="134"/>
    </font>
    <font>
      <b/>
      <sz val="12"/>
      <name val="幼圆"/>
      <family val="3"/>
      <charset val="134"/>
    </font>
    <font>
      <b/>
      <sz val="11"/>
      <name val="幼圆"/>
      <family val="3"/>
      <charset val="134"/>
    </font>
    <font>
      <sz val="11"/>
      <name val="幼圆"/>
      <family val="3"/>
      <charset val="134"/>
    </font>
    <font>
      <u/>
      <sz val="11"/>
      <color indexed="12"/>
      <name val="幼圆"/>
      <family val="3"/>
      <charset val="134"/>
    </font>
    <font>
      <sz val="12"/>
      <name val="幼圆"/>
      <family val="3"/>
      <charset val="134"/>
    </font>
    <font>
      <b/>
      <sz val="10"/>
      <color indexed="10"/>
      <name val="宋体"/>
      <family val="3"/>
      <charset val="134"/>
    </font>
    <font>
      <b/>
      <sz val="9"/>
      <name val="新宋体"/>
      <family val="3"/>
      <charset val="134"/>
    </font>
    <font>
      <b/>
      <sz val="9"/>
      <color indexed="10"/>
      <name val="Arial Narrow"/>
      <family val="2"/>
    </font>
    <font>
      <sz val="10"/>
      <color indexed="8"/>
      <name val="Arial Narrow"/>
      <family val="2"/>
    </font>
    <font>
      <i/>
      <sz val="10"/>
      <name val="Arial Narrow"/>
      <family val="2"/>
    </font>
    <font>
      <b/>
      <sz val="8.5"/>
      <name val="Arial Narrow"/>
      <family val="2"/>
    </font>
    <font>
      <b/>
      <sz val="11"/>
      <name val="宋体"/>
      <family val="3"/>
      <charset val="134"/>
    </font>
    <font>
      <u val="doubleAccounting"/>
      <sz val="9"/>
      <name val="Arial Narrow"/>
      <family val="2"/>
    </font>
    <font>
      <sz val="10"/>
      <color indexed="12"/>
      <name val="Arial Narrow"/>
      <family val="2"/>
    </font>
    <font>
      <u/>
      <sz val="9"/>
      <name val="Arial Narrow"/>
      <family val="2"/>
    </font>
    <font>
      <i/>
      <sz val="10"/>
      <color indexed="12"/>
      <name val="宋体"/>
      <family val="3"/>
      <charset val="134"/>
    </font>
    <font>
      <sz val="10"/>
      <color indexed="12"/>
      <name val="宋体"/>
      <family val="3"/>
      <charset val="134"/>
    </font>
    <font>
      <sz val="10"/>
      <color indexed="10"/>
      <name val="Arial Narrow"/>
      <family val="2"/>
    </font>
    <font>
      <u val="singleAccounting"/>
      <sz val="9"/>
      <name val="宋体"/>
      <family val="3"/>
      <charset val="134"/>
    </font>
    <font>
      <u val="singleAccounting"/>
      <sz val="9"/>
      <name val="Arial Narrow"/>
      <family val="2"/>
    </font>
    <font>
      <i/>
      <sz val="9"/>
      <color indexed="12"/>
      <name val="宋体"/>
      <family val="3"/>
      <charset val="134"/>
    </font>
    <font>
      <sz val="9"/>
      <color indexed="12"/>
      <name val="宋体"/>
      <family val="3"/>
      <charset val="134"/>
    </font>
    <font>
      <b/>
      <sz val="9"/>
      <color indexed="12"/>
      <name val="宋体"/>
      <family val="3"/>
      <charset val="134"/>
    </font>
    <font>
      <b/>
      <u/>
      <sz val="10"/>
      <color indexed="10"/>
      <name val="Arial Narrow"/>
      <family val="2"/>
    </font>
    <font>
      <b/>
      <sz val="9"/>
      <color rgb="FFFF0000"/>
      <name val="新宋体"/>
      <family val="3"/>
      <charset val="134"/>
    </font>
    <font>
      <b/>
      <sz val="10"/>
      <color rgb="FFFF0000"/>
      <name val="Arial Narrow"/>
      <family val="2"/>
    </font>
    <font>
      <b/>
      <sz val="10"/>
      <color rgb="FFFF0000"/>
      <name val="宋体"/>
      <family val="3"/>
      <charset val="134"/>
    </font>
    <font>
      <b/>
      <sz val="9"/>
      <color indexed="81"/>
      <name val="宋体"/>
      <family val="3"/>
      <charset val="134"/>
    </font>
    <font>
      <b/>
      <sz val="10"/>
      <color indexed="56"/>
      <name val="宋体"/>
      <family val="3"/>
      <charset val="134"/>
    </font>
    <font>
      <b/>
      <sz val="10"/>
      <color indexed="56"/>
      <name val="Arial Narrow"/>
      <family val="2"/>
    </font>
    <font>
      <b/>
      <sz val="10"/>
      <color indexed="12"/>
      <name val="Arial Narrow"/>
      <family val="2"/>
    </font>
    <font>
      <b/>
      <i/>
      <sz val="10"/>
      <name val="Arial Narrow"/>
      <family val="2"/>
    </font>
    <font>
      <b/>
      <sz val="10"/>
      <color indexed="18"/>
      <name val="Arial Narrow"/>
      <family val="2"/>
    </font>
    <font>
      <b/>
      <sz val="10"/>
      <color indexed="18"/>
      <name val="仿宋_GB2312"/>
      <family val="3"/>
      <charset val="134"/>
    </font>
    <font>
      <b/>
      <sz val="8.5"/>
      <color indexed="18"/>
      <name val="Arial Narrow"/>
      <family val="2"/>
    </font>
    <font>
      <b/>
      <sz val="8.5"/>
      <color indexed="18"/>
      <name val="隶书"/>
      <family val="3"/>
      <charset val="134"/>
    </font>
    <font>
      <sz val="8.5"/>
      <color indexed="18"/>
      <name val="Arial Narrow"/>
      <family val="2"/>
    </font>
    <font>
      <sz val="8.5"/>
      <name val="宋体"/>
      <family val="3"/>
      <charset val="134"/>
    </font>
    <font>
      <b/>
      <sz val="8.5"/>
      <color indexed="10"/>
      <name val="Arial Narrow"/>
      <family val="2"/>
    </font>
    <font>
      <u/>
      <sz val="8.5"/>
      <name val="Arial Narrow"/>
      <family val="2"/>
    </font>
    <font>
      <sz val="9"/>
      <name val="微软雅黑"/>
      <family val="2"/>
      <charset val="134"/>
    </font>
    <font>
      <sz val="10"/>
      <name val="微软雅黑"/>
      <family val="2"/>
      <charset val="134"/>
    </font>
    <font>
      <b/>
      <sz val="9"/>
      <name val="微软雅黑"/>
      <family val="2"/>
      <charset val="134"/>
    </font>
    <font>
      <b/>
      <sz val="9"/>
      <color indexed="18"/>
      <name val="微软雅黑"/>
      <family val="2"/>
      <charset val="134"/>
    </font>
    <font>
      <b/>
      <sz val="9"/>
      <color rgb="FFFF0000"/>
      <name val="微软雅黑"/>
      <family val="2"/>
      <charset val="134"/>
    </font>
    <font>
      <b/>
      <sz val="9"/>
      <color indexed="10"/>
      <name val="微软雅黑"/>
      <family val="2"/>
      <charset val="134"/>
    </font>
    <font>
      <b/>
      <sz val="9"/>
      <color indexed="18"/>
      <name val="Arial Narrow"/>
      <family val="2"/>
    </font>
    <font>
      <b/>
      <sz val="9"/>
      <color rgb="FFFF0000"/>
      <name val="Arial Narrow"/>
      <family val="2"/>
    </font>
    <font>
      <b/>
      <u/>
      <sz val="9"/>
      <color indexed="10"/>
      <name val="Arial Narrow"/>
      <family val="2"/>
    </font>
    <font>
      <u/>
      <sz val="11"/>
      <color indexed="12"/>
      <name val="宋体"/>
      <family val="3"/>
      <charset val="134"/>
    </font>
    <font>
      <sz val="10"/>
      <name val="Arial Narrow"/>
      <family val="2"/>
      <charset val="134"/>
    </font>
    <font>
      <sz val="10"/>
      <name val="微软雅黑"/>
      <family val="3"/>
      <charset val="134"/>
    </font>
    <font>
      <sz val="11"/>
      <color theme="1"/>
      <name val="宋体"/>
      <family val="2"/>
      <charset val="134"/>
      <scheme val="minor"/>
    </font>
    <font>
      <sz val="12"/>
      <color indexed="12"/>
      <name val="宋体"/>
      <family val="3"/>
      <charset val="134"/>
    </font>
    <font>
      <sz val="8"/>
      <name val="Arial Narrow"/>
      <family val="2"/>
    </font>
    <font>
      <sz val="8"/>
      <name val="Times New Roman"/>
      <family val="1"/>
    </font>
    <font>
      <sz val="9"/>
      <name val="宋体"/>
      <family val="2"/>
      <charset val="134"/>
      <scheme val="minor"/>
    </font>
    <font>
      <b/>
      <sz val="8"/>
      <name val="Times New Roman"/>
      <family val="1"/>
    </font>
    <font>
      <sz val="8"/>
      <name val="宋体"/>
      <family val="3"/>
      <charset val="134"/>
    </font>
    <font>
      <b/>
      <sz val="8"/>
      <color indexed="10"/>
      <name val="Arial Narrow"/>
      <family val="2"/>
    </font>
    <font>
      <b/>
      <sz val="8"/>
      <name val="Arial Narrow"/>
      <family val="2"/>
    </font>
    <font>
      <b/>
      <sz val="8"/>
      <color indexed="8"/>
      <name val="Times New Roman"/>
      <family val="1"/>
    </font>
    <font>
      <b/>
      <sz val="8"/>
      <color indexed="9"/>
      <name val="宋体"/>
      <family val="3"/>
      <charset val="134"/>
    </font>
    <font>
      <b/>
      <sz val="8"/>
      <color indexed="8"/>
      <name val="宋体"/>
      <family val="3"/>
      <charset val="134"/>
    </font>
    <font>
      <sz val="8"/>
      <color indexed="8"/>
      <name val="Arial Narrow"/>
      <family val="2"/>
    </font>
    <font>
      <sz val="8"/>
      <color indexed="8"/>
      <name val="宋体"/>
      <family val="3"/>
      <charset val="134"/>
    </font>
    <font>
      <sz val="8"/>
      <color theme="5" tint="-0.249977111117893"/>
      <name val="宋体"/>
      <family val="3"/>
      <charset val="134"/>
    </font>
    <font>
      <b/>
      <sz val="8"/>
      <color theme="0"/>
      <name val="宋体"/>
      <family val="3"/>
      <charset val="134"/>
    </font>
    <font>
      <b/>
      <sz val="8"/>
      <color indexed="8"/>
      <name val="Arial Narrow"/>
      <family val="2"/>
    </font>
    <font>
      <sz val="8"/>
      <color theme="0"/>
      <name val="Arial Narrow"/>
      <family val="2"/>
    </font>
    <font>
      <sz val="9"/>
      <name val="宋体"/>
      <family val="3"/>
      <charset val="134"/>
      <scheme val="minor"/>
    </font>
    <font>
      <sz val="8"/>
      <color indexed="12"/>
      <name val="宋体"/>
      <family val="3"/>
      <charset val="134"/>
    </font>
    <font>
      <b/>
      <sz val="8"/>
      <name val="宋体"/>
      <family val="3"/>
      <charset val="134"/>
    </font>
    <font>
      <b/>
      <sz val="8"/>
      <color indexed="10"/>
      <name val="宋体"/>
      <family val="3"/>
      <charset val="134"/>
    </font>
    <font>
      <b/>
      <sz val="8"/>
      <color rgb="FFFF0000"/>
      <name val="宋体"/>
      <family val="3"/>
      <charset val="134"/>
    </font>
    <font>
      <sz val="8"/>
      <color indexed="10"/>
      <name val="宋体"/>
      <family val="3"/>
      <charset val="134"/>
    </font>
    <font>
      <b/>
      <sz val="8"/>
      <color indexed="81"/>
      <name val="宋体"/>
      <family val="3"/>
      <charset val="134"/>
    </font>
    <font>
      <sz val="8"/>
      <color indexed="81"/>
      <name val="宋体"/>
      <family val="3"/>
      <charset val="134"/>
    </font>
    <font>
      <b/>
      <sz val="10"/>
      <color rgb="FF000080"/>
      <name val="Arial Narrow"/>
      <family val="2"/>
    </font>
    <font>
      <b/>
      <sz val="10"/>
      <color rgb="FF000080"/>
      <name val="宋体"/>
      <family val="3"/>
      <charset val="134"/>
    </font>
    <font>
      <sz val="10"/>
      <color rgb="FFFF0000"/>
      <name val="宋体"/>
      <family val="3"/>
      <charset val="134"/>
    </font>
    <font>
      <b/>
      <sz val="10"/>
      <color indexed="8"/>
      <name val="Arial Narrow"/>
      <family val="2"/>
    </font>
    <font>
      <b/>
      <sz val="9"/>
      <color indexed="8"/>
      <name val="宋体"/>
      <family val="3"/>
      <charset val="134"/>
    </font>
    <font>
      <sz val="9"/>
      <color theme="0"/>
      <name val="Arial Narrow"/>
      <family val="2"/>
    </font>
    <font>
      <sz val="9"/>
      <color rgb="FFFF0000"/>
      <name val="Arial Narrow"/>
      <family val="2"/>
    </font>
    <font>
      <sz val="9"/>
      <color theme="1"/>
      <name val="宋体"/>
      <family val="3"/>
      <charset val="134"/>
    </font>
    <font>
      <sz val="9"/>
      <color theme="1"/>
      <name val="Arial Narrow"/>
      <family val="2"/>
    </font>
    <font>
      <sz val="10"/>
      <color theme="1"/>
      <name val="宋体"/>
      <family val="3"/>
      <charset val="134"/>
    </font>
    <font>
      <sz val="9"/>
      <color rgb="FFC00000"/>
      <name val="宋体"/>
      <family val="3"/>
      <charset val="134"/>
    </font>
    <font>
      <b/>
      <sz val="9"/>
      <color rgb="FFC00000"/>
      <name val="宋体"/>
      <family val="3"/>
      <charset val="134"/>
    </font>
    <font>
      <sz val="10"/>
      <color theme="1"/>
      <name val="Arial Narrow"/>
      <family val="2"/>
    </font>
    <font>
      <sz val="10"/>
      <color rgb="FFFF0000"/>
      <name val="Arial Narrow"/>
      <family val="2"/>
    </font>
    <font>
      <sz val="9"/>
      <color indexed="8"/>
      <name val="Arial Narrow"/>
      <family val="2"/>
    </font>
    <font>
      <b/>
      <sz val="10"/>
      <color indexed="61"/>
      <name val="宋体"/>
      <family val="3"/>
      <charset val="134"/>
    </font>
    <font>
      <sz val="12"/>
      <name val="长城仿宋"/>
      <family val="3"/>
      <charset val="134"/>
    </font>
    <font>
      <b/>
      <i/>
      <sz val="10"/>
      <color indexed="12"/>
      <name val="宋体"/>
      <family val="3"/>
      <charset val="134"/>
    </font>
    <font>
      <sz val="10"/>
      <name val="宋体"/>
      <family val="3"/>
      <charset val="134"/>
      <scheme val="minor"/>
    </font>
    <font>
      <b/>
      <sz val="10"/>
      <name val="宋体"/>
      <family val="3"/>
      <charset val="134"/>
      <scheme val="minor"/>
    </font>
  </fonts>
  <fills count="31">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6"/>
        <bgColor indexed="64"/>
      </patternFill>
    </fill>
    <fill>
      <patternFill patternType="solid">
        <fgColor indexed="9"/>
        <bgColor indexed="9"/>
      </patternFill>
    </fill>
    <fill>
      <patternFill patternType="solid">
        <fgColor indexed="39"/>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indexed="26"/>
        <bgColor indexed="43"/>
      </patternFill>
    </fill>
    <fill>
      <patternFill patternType="solid">
        <fgColor indexed="46"/>
        <bgColor indexed="64"/>
      </patternFill>
    </fill>
    <fill>
      <patternFill patternType="solid">
        <fgColor indexed="42"/>
        <bgColor indexed="64"/>
      </patternFill>
    </fill>
    <fill>
      <patternFill patternType="solid">
        <fgColor theme="7" tint="0.79998168889431442"/>
        <bgColor indexed="64"/>
      </patternFill>
    </fill>
    <fill>
      <patternFill patternType="solid">
        <fgColor rgb="FFFFFF99"/>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8"/>
        <bgColor indexed="64"/>
      </patternFill>
    </fill>
    <fill>
      <patternFill patternType="solid">
        <fgColor theme="0"/>
        <bgColor indexed="64"/>
      </patternFill>
    </fill>
    <fill>
      <patternFill patternType="solid">
        <fgColor indexed="43"/>
        <bgColor indexed="64"/>
      </patternFill>
    </fill>
    <fill>
      <patternFill patternType="solid">
        <fgColor theme="2"/>
        <bgColor indexed="64"/>
      </patternFill>
    </fill>
    <fill>
      <patternFill patternType="solid">
        <fgColor theme="4" tint="0.79998168889431442"/>
        <bgColor indexed="64"/>
      </patternFill>
    </fill>
    <fill>
      <patternFill patternType="solid">
        <fgColor rgb="FFB889DB"/>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CC99FF"/>
        <bgColor indexed="64"/>
      </patternFill>
    </fill>
    <fill>
      <patternFill patternType="solid">
        <fgColor rgb="FFE4DFEC"/>
        <bgColor indexed="64"/>
      </patternFill>
    </fill>
    <fill>
      <patternFill patternType="solid">
        <fgColor rgb="FFC0C0C0"/>
        <bgColor indexed="64"/>
      </patternFill>
    </fill>
    <fill>
      <patternFill patternType="solid">
        <fgColor indexed="44"/>
        <bgColor indexed="64"/>
      </patternFill>
    </fill>
  </fills>
  <borders count="109">
    <border>
      <left/>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
      <left/>
      <right style="hair">
        <color indexed="64"/>
      </right>
      <top/>
      <bottom style="hair">
        <color indexed="64"/>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bottom/>
      <diagonal/>
    </border>
    <border>
      <left/>
      <right/>
      <top/>
      <bottom style="medium">
        <color indexed="64"/>
      </bottom>
      <diagonal/>
    </border>
    <border>
      <left style="thin">
        <color indexed="64"/>
      </left>
      <right/>
      <top style="thin">
        <color indexed="64"/>
      </top>
      <bottom/>
      <diagonal/>
    </border>
    <border>
      <left/>
      <right style="thin">
        <color indexed="64"/>
      </right>
      <top/>
      <bottom style="thin">
        <color indexed="64"/>
      </bottom>
      <diagonal/>
    </border>
    <border>
      <left style="hair">
        <color indexed="64"/>
      </left>
      <right style="hair">
        <color indexed="64"/>
      </right>
      <top style="medium">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style="thin">
        <color indexed="64"/>
      </top>
      <bottom style="thin">
        <color indexed="64"/>
      </bottom>
      <diagonal/>
    </border>
    <border>
      <left/>
      <right style="hair">
        <color indexed="64"/>
      </right>
      <top style="medium">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bottom style="thin">
        <color indexed="64"/>
      </bottom>
      <diagonal/>
    </border>
    <border>
      <left/>
      <right style="hair">
        <color indexed="64"/>
      </right>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top/>
      <bottom style="hair">
        <color indexed="64"/>
      </bottom>
      <diagonal/>
    </border>
    <border>
      <left style="hair">
        <color indexed="64"/>
      </left>
      <right style="hair">
        <color indexed="64"/>
      </right>
      <top style="hair">
        <color indexed="64"/>
      </top>
      <bottom style="double">
        <color indexed="64"/>
      </bottom>
      <diagonal/>
    </border>
    <border>
      <left style="thin">
        <color indexed="64"/>
      </left>
      <right style="hair">
        <color indexed="64"/>
      </right>
      <top/>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style="thin">
        <color indexed="64"/>
      </top>
      <bottom/>
      <diagonal/>
    </border>
    <border>
      <left/>
      <right style="hair">
        <color indexed="64"/>
      </right>
      <top/>
      <bottom/>
      <diagonal/>
    </border>
    <border>
      <left/>
      <right style="hair">
        <color indexed="64"/>
      </right>
      <top/>
      <bottom style="medium">
        <color indexed="64"/>
      </bottom>
      <diagonal/>
    </border>
    <border>
      <left style="hair">
        <color indexed="64"/>
      </left>
      <right style="hair">
        <color indexed="64"/>
      </right>
      <top/>
      <bottom style="medium">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diagonal/>
    </border>
    <border>
      <left style="thin">
        <color indexed="55"/>
      </left>
      <right style="thin">
        <color indexed="55"/>
      </right>
      <top style="medium">
        <color indexed="55"/>
      </top>
      <bottom style="thin">
        <color indexed="55"/>
      </bottom>
      <diagonal/>
    </border>
    <border>
      <left style="thin">
        <color indexed="55"/>
      </left>
      <right style="thin">
        <color indexed="55"/>
      </right>
      <top style="medium">
        <color auto="1"/>
      </top>
      <bottom style="thin">
        <color indexed="55"/>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indexed="55"/>
      </left>
      <right style="thin">
        <color indexed="55"/>
      </right>
      <top style="thin">
        <color indexed="55"/>
      </top>
      <bottom style="medium">
        <color indexed="64"/>
      </bottom>
      <diagonal/>
    </border>
    <border>
      <left style="thin">
        <color indexed="55"/>
      </left>
      <right style="thin">
        <color indexed="55"/>
      </right>
      <top style="thin">
        <color indexed="55"/>
      </top>
      <bottom style="medium">
        <color indexed="55"/>
      </bottom>
      <diagonal/>
    </border>
    <border>
      <left style="hair">
        <color indexed="64"/>
      </left>
      <right/>
      <top/>
      <bottom style="medium">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hair">
        <color indexed="64"/>
      </left>
      <right style="thin">
        <color indexed="64"/>
      </right>
      <top style="thin">
        <color indexed="64"/>
      </top>
      <bottom/>
      <diagonal/>
    </border>
    <border>
      <left style="hair">
        <color indexed="64"/>
      </left>
      <right style="thin">
        <color indexed="64"/>
      </right>
      <top/>
      <bottom style="thin">
        <color indexed="64"/>
      </bottom>
      <diagonal/>
    </border>
    <border>
      <left style="thin">
        <color indexed="64"/>
      </left>
      <right style="hair">
        <color indexed="64"/>
      </right>
      <top/>
      <bottom style="thin">
        <color indexed="64"/>
      </bottom>
      <diagonal/>
    </border>
    <border>
      <left style="thin">
        <color indexed="64"/>
      </left>
      <right style="hair">
        <color indexed="64"/>
      </right>
      <top style="thin">
        <color indexed="64"/>
      </top>
      <bottom/>
      <diagonal/>
    </border>
    <border>
      <left/>
      <right/>
      <top style="hair">
        <color indexed="64"/>
      </top>
      <bottom/>
      <diagonal/>
    </border>
    <border>
      <left style="hair">
        <color indexed="64"/>
      </left>
      <right style="hair">
        <color indexed="64"/>
      </right>
      <top style="medium">
        <color indexed="64"/>
      </top>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hair">
        <color indexed="64"/>
      </right>
      <top style="hair">
        <color indexed="64"/>
      </top>
      <bottom style="medium">
        <color indexed="64"/>
      </bottom>
      <diagonal/>
    </border>
    <border>
      <left/>
      <right style="medium">
        <color indexed="64"/>
      </right>
      <top/>
      <bottom style="medium">
        <color indexed="64"/>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style="hair">
        <color indexed="64"/>
      </right>
      <top/>
      <bottom style="hair">
        <color indexed="64"/>
      </bottom>
      <diagonal/>
    </border>
    <border>
      <left style="medium">
        <color indexed="64"/>
      </left>
      <right style="hair">
        <color indexed="64"/>
      </right>
      <top/>
      <bottom style="medium">
        <color indexed="64"/>
      </bottom>
      <diagonal/>
    </border>
    <border>
      <left style="hair">
        <color indexed="64"/>
      </left>
      <right style="medium">
        <color indexed="64"/>
      </right>
      <top style="hair">
        <color indexed="64"/>
      </top>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hair">
        <color indexed="64"/>
      </left>
      <right style="medium">
        <color indexed="64"/>
      </right>
      <top/>
      <bottom style="medium">
        <color indexed="64"/>
      </bottom>
      <diagonal/>
    </border>
  </borders>
  <cellStyleXfs count="122">
    <xf numFmtId="0" fontId="0" fillId="0" borderId="0">
      <protection locked="0"/>
    </xf>
    <xf numFmtId="49" fontId="16" fillId="0" borderId="0" applyProtection="0">
      <alignment horizontal="left"/>
    </xf>
    <xf numFmtId="0" fontId="68" fillId="0" borderId="0">
      <alignment vertical="top"/>
      <protection locked="0"/>
    </xf>
    <xf numFmtId="0" fontId="68" fillId="0" borderId="0">
      <alignment vertical="top"/>
      <protection locked="0"/>
    </xf>
    <xf numFmtId="0" fontId="68" fillId="0" borderId="0">
      <alignment vertical="top"/>
    </xf>
    <xf numFmtId="0" fontId="68" fillId="0" borderId="0">
      <alignment vertical="top"/>
      <protection locked="0"/>
    </xf>
    <xf numFmtId="0" fontId="68" fillId="0" borderId="0">
      <alignment vertical="top"/>
      <protection locked="0"/>
    </xf>
    <xf numFmtId="0" fontId="68" fillId="0" borderId="0">
      <alignment vertical="top"/>
      <protection locked="0"/>
    </xf>
    <xf numFmtId="0" fontId="68" fillId="0" borderId="0">
      <alignment vertical="top"/>
    </xf>
    <xf numFmtId="0" fontId="68" fillId="0" borderId="0">
      <alignment vertical="top"/>
    </xf>
    <xf numFmtId="0" fontId="68" fillId="0" borderId="0">
      <alignment vertical="top"/>
      <protection locked="0"/>
    </xf>
    <xf numFmtId="0" fontId="68" fillId="0" borderId="0">
      <alignment vertical="top"/>
    </xf>
    <xf numFmtId="0" fontId="68" fillId="0" borderId="0">
      <alignment vertical="top"/>
    </xf>
    <xf numFmtId="0" fontId="68" fillId="0" borderId="0">
      <alignment vertical="top"/>
      <protection locked="0"/>
    </xf>
    <xf numFmtId="0" fontId="68" fillId="0" borderId="0">
      <alignment vertical="top"/>
    </xf>
    <xf numFmtId="184" fontId="16" fillId="0" borderId="0" applyFill="0" applyBorder="0" applyProtection="0">
      <alignment horizontal="right"/>
    </xf>
    <xf numFmtId="185" fontId="16" fillId="0" borderId="0" applyFill="0" applyBorder="0" applyProtection="0">
      <alignment horizontal="right"/>
    </xf>
    <xf numFmtId="183" fontId="40" fillId="0" borderId="0" applyFill="0" applyBorder="0" applyProtection="0">
      <alignment horizontal="center"/>
    </xf>
    <xf numFmtId="182" fontId="40" fillId="0" borderId="0" applyFill="0" applyBorder="0" applyProtection="0">
      <alignment horizontal="center"/>
    </xf>
    <xf numFmtId="186" fontId="41" fillId="0" borderId="0" applyFill="0" applyBorder="0" applyProtection="0">
      <alignment horizontal="right"/>
    </xf>
    <xf numFmtId="187" fontId="16" fillId="0" borderId="0" applyFill="0" applyBorder="0" applyProtection="0">
      <alignment horizontal="right"/>
    </xf>
    <xf numFmtId="188" fontId="16" fillId="0" borderId="0" applyFill="0" applyBorder="0" applyProtection="0">
      <alignment horizontal="right"/>
    </xf>
    <xf numFmtId="191" fontId="16" fillId="0" borderId="0" applyFill="0" applyBorder="0" applyProtection="0">
      <alignment horizontal="right"/>
    </xf>
    <xf numFmtId="190" fontId="16" fillId="0" borderId="0" applyFill="0" applyBorder="0" applyProtection="0">
      <alignment horizontal="right"/>
    </xf>
    <xf numFmtId="3" fontId="42" fillId="0" borderId="0"/>
    <xf numFmtId="181" fontId="43" fillId="0" borderId="1" applyAlignment="0" applyProtection="0"/>
    <xf numFmtId="198" fontId="2" fillId="0" borderId="0" applyFill="0" applyBorder="0" applyAlignment="0"/>
    <xf numFmtId="0" fontId="69" fillId="0" borderId="2">
      <alignment horizontal="center"/>
    </xf>
    <xf numFmtId="202" fontId="44" fillId="0" borderId="0"/>
    <xf numFmtId="202" fontId="44" fillId="0" borderId="0"/>
    <xf numFmtId="202" fontId="44" fillId="0" borderId="0"/>
    <xf numFmtId="202" fontId="44" fillId="0" borderId="0"/>
    <xf numFmtId="202" fontId="44" fillId="0" borderId="0"/>
    <xf numFmtId="202" fontId="44" fillId="0" borderId="0"/>
    <xf numFmtId="202" fontId="44" fillId="0" borderId="0"/>
    <xf numFmtId="202" fontId="44" fillId="0" borderId="0"/>
    <xf numFmtId="38" fontId="70" fillId="0" borderId="0" applyFont="0" applyFill="0" applyBorder="0" applyAlignment="0" applyProtection="0"/>
    <xf numFmtId="40" fontId="70" fillId="0" borderId="0" applyFont="0" applyFill="0" applyBorder="0" applyAlignment="0" applyProtection="0"/>
    <xf numFmtId="205" fontId="2" fillId="0" borderId="0" applyFont="0" applyFill="0" applyBorder="0" applyAlignment="0" applyProtection="0"/>
    <xf numFmtId="206" fontId="2" fillId="0" borderId="0" applyFont="0" applyFill="0" applyBorder="0" applyAlignment="0" applyProtection="0"/>
    <xf numFmtId="41" fontId="44" fillId="0" borderId="0" applyFont="0" applyFill="0" applyBorder="0" applyAlignment="0" applyProtection="0"/>
    <xf numFmtId="43" fontId="44" fillId="0" borderId="0" applyFont="0" applyFill="0" applyBorder="0" applyAlignment="0" applyProtection="0"/>
    <xf numFmtId="0" fontId="14" fillId="0" borderId="0">
      <alignment horizontal="left"/>
    </xf>
    <xf numFmtId="0" fontId="46" fillId="2" borderId="3"/>
    <xf numFmtId="189" fontId="16" fillId="0" borderId="0" applyFont="0" applyFill="0" applyBorder="0" applyAlignment="0" applyProtection="0"/>
    <xf numFmtId="0" fontId="45" fillId="0" borderId="0" applyNumberFormat="0" applyFill="0" applyBorder="0" applyAlignment="0" applyProtection="0">
      <alignment vertical="top"/>
      <protection locked="0"/>
    </xf>
    <xf numFmtId="38" fontId="46" fillId="3" borderId="0" applyNumberFormat="0" applyBorder="0" applyAlignment="0" applyProtection="0"/>
    <xf numFmtId="0" fontId="71" fillId="0" borderId="4" applyNumberFormat="0" applyAlignment="0" applyProtection="0">
      <alignment horizontal="left" vertical="center"/>
    </xf>
    <xf numFmtId="0" fontId="71" fillId="0" borderId="5">
      <alignment horizontal="left" vertical="center"/>
    </xf>
    <xf numFmtId="0" fontId="47" fillId="0" borderId="0" applyNumberFormat="0" applyFill="0" applyBorder="0" applyAlignment="0" applyProtection="0">
      <alignment vertical="top"/>
      <protection locked="0"/>
    </xf>
    <xf numFmtId="10" fontId="46" fillId="4" borderId="3" applyNumberFormat="0" applyBorder="0" applyAlignment="0" applyProtection="0"/>
    <xf numFmtId="0" fontId="16" fillId="0" borderId="0" applyNumberFormat="0" applyFont="0" applyFill="0" applyBorder="0" applyProtection="0">
      <alignment horizontal="left" vertical="center"/>
    </xf>
    <xf numFmtId="41" fontId="44" fillId="0" borderId="0" applyFont="0" applyFill="0" applyBorder="0" applyAlignment="0" applyProtection="0"/>
    <xf numFmtId="43" fontId="44" fillId="0" borderId="0" applyFont="0" applyFill="0" applyBorder="0" applyAlignment="0" applyProtection="0"/>
    <xf numFmtId="193" fontId="2" fillId="0" borderId="0" applyFont="0" applyFill="0" applyBorder="0" applyAlignment="0" applyProtection="0"/>
    <xf numFmtId="194" fontId="2" fillId="0" borderId="0" applyFont="0" applyFill="0" applyBorder="0" applyAlignment="0" applyProtection="0"/>
    <xf numFmtId="195" fontId="44" fillId="0" borderId="0" applyFont="0" applyFill="0" applyBorder="0" applyAlignment="0" applyProtection="0"/>
    <xf numFmtId="196" fontId="44" fillId="0" borderId="0" applyFont="0" applyFill="0" applyBorder="0" applyAlignment="0" applyProtection="0"/>
    <xf numFmtId="203" fontId="44" fillId="0" borderId="0" applyFont="0" applyFill="0" applyBorder="0" applyAlignment="0" applyProtection="0"/>
    <xf numFmtId="204" fontId="2" fillId="0" borderId="0" applyFont="0" applyFill="0" applyBorder="0" applyAlignment="0" applyProtection="0"/>
    <xf numFmtId="37" fontId="48" fillId="0" borderId="0"/>
    <xf numFmtId="0" fontId="49" fillId="0" borderId="0"/>
    <xf numFmtId="192" fontId="2" fillId="0" borderId="0"/>
    <xf numFmtId="0" fontId="70" fillId="0" borderId="0"/>
    <xf numFmtId="0" fontId="72" fillId="0" borderId="0"/>
    <xf numFmtId="10" fontId="44" fillId="0" borderId="0" applyFont="0" applyFill="0" applyBorder="0" applyAlignment="0" applyProtection="0"/>
    <xf numFmtId="0" fontId="46" fillId="3" borderId="3"/>
    <xf numFmtId="4" fontId="14" fillId="0" borderId="0">
      <alignment horizontal="right"/>
    </xf>
    <xf numFmtId="3" fontId="50" fillId="0" borderId="0"/>
    <xf numFmtId="4" fontId="73" fillId="0" borderId="0">
      <alignment horizontal="right"/>
    </xf>
    <xf numFmtId="0" fontId="74" fillId="0" borderId="0">
      <alignment horizontal="left"/>
    </xf>
    <xf numFmtId="0" fontId="75" fillId="0" borderId="3">
      <alignment horizontal="center"/>
    </xf>
    <xf numFmtId="0" fontId="75" fillId="0" borderId="0">
      <alignment horizontal="center" vertical="center"/>
    </xf>
    <xf numFmtId="0" fontId="76" fillId="5" borderId="0" applyNumberFormat="0" applyFill="0">
      <alignment horizontal="left" vertical="center"/>
    </xf>
    <xf numFmtId="0" fontId="77" fillId="0" borderId="0">
      <alignment horizontal="center"/>
    </xf>
    <xf numFmtId="0" fontId="78" fillId="0" borderId="0" applyNumberFormat="0" applyFont="0" applyFill="0" applyBorder="0" applyProtection="0">
      <alignment horizontal="center" vertical="center" wrapText="1"/>
    </xf>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4" fontId="80" fillId="0" borderId="0">
      <alignment horizontal="right"/>
    </xf>
    <xf numFmtId="0" fontId="3" fillId="0" borderId="0">
      <protection locked="0"/>
    </xf>
    <xf numFmtId="0" fontId="4" fillId="0" borderId="0">
      <protection locked="0"/>
    </xf>
    <xf numFmtId="0" fontId="5" fillId="0" borderId="0"/>
    <xf numFmtId="0" fontId="16" fillId="0" borderId="0">
      <protection locked="0"/>
    </xf>
    <xf numFmtId="0" fontId="5" fillId="0" borderId="0">
      <protection locked="0"/>
    </xf>
    <xf numFmtId="0" fontId="2" fillId="0" borderId="0">
      <protection locked="0"/>
    </xf>
    <xf numFmtId="0" fontId="4" fillId="0" borderId="0"/>
    <xf numFmtId="0" fontId="3" fillId="0" borderId="0" applyFill="0" applyBorder="0"/>
    <xf numFmtId="0" fontId="7" fillId="0" borderId="0" applyNumberFormat="0" applyFill="0" applyBorder="0" applyAlignment="0" applyProtection="0">
      <alignment vertical="top"/>
      <protection locked="0"/>
    </xf>
    <xf numFmtId="0" fontId="43" fillId="0" borderId="0" applyNumberFormat="0" applyFill="0" applyBorder="0" applyAlignment="0" applyProtection="0"/>
    <xf numFmtId="4" fontId="78" fillId="0" borderId="0" applyFont="0" applyFill="0" applyBorder="0" applyAlignment="0" applyProtection="0"/>
    <xf numFmtId="41" fontId="44" fillId="0" borderId="0" applyFont="0" applyFill="0" applyBorder="0" applyAlignment="0" applyProtection="0"/>
    <xf numFmtId="200" fontId="5" fillId="0" borderId="0" applyFont="0" applyFill="0" applyBorder="0" applyAlignment="0" applyProtection="0"/>
    <xf numFmtId="8" fontId="2" fillId="0" borderId="0" applyFont="0" applyFill="0" applyBorder="0" applyAlignment="0" applyProtection="0"/>
    <xf numFmtId="201" fontId="5" fillId="0" borderId="0" applyFont="0" applyFill="0" applyBorder="0" applyAlignment="0" applyProtection="0"/>
    <xf numFmtId="199" fontId="5" fillId="0" borderId="0" applyFont="0" applyFill="0" applyBorder="0" applyAlignment="0" applyProtection="0"/>
    <xf numFmtId="0" fontId="16" fillId="0" borderId="0"/>
    <xf numFmtId="0" fontId="5" fillId="0" borderId="0"/>
    <xf numFmtId="0" fontId="16" fillId="0" borderId="0" applyFont="0" applyFill="0" applyBorder="0" applyAlignment="0" applyProtection="0"/>
    <xf numFmtId="0" fontId="16"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179" fontId="5" fillId="0" borderId="0" applyFont="0" applyFill="0" applyBorder="0" applyAlignment="0" applyProtection="0"/>
    <xf numFmtId="180" fontId="5" fillId="0" borderId="0" applyFont="0" applyFill="0" applyBorder="0" applyAlignment="0" applyProtection="0"/>
    <xf numFmtId="43" fontId="2" fillId="0" borderId="0" applyFont="0" applyFill="0" applyBorder="0" applyAlignment="0" applyProtection="0"/>
    <xf numFmtId="0" fontId="83" fillId="0" borderId="0"/>
    <xf numFmtId="196" fontId="44" fillId="0" borderId="0" applyFont="0" applyFill="0" applyBorder="0" applyAlignment="0" applyProtection="0"/>
    <xf numFmtId="197" fontId="2" fillId="0" borderId="0" applyFont="0" applyFill="0" applyBorder="0" applyAlignment="0" applyProtection="0"/>
    <xf numFmtId="0" fontId="68" fillId="0" borderId="0">
      <alignment vertical="top"/>
      <protection locked="0"/>
    </xf>
    <xf numFmtId="38" fontId="81" fillId="0" borderId="0" applyFont="0" applyFill="0" applyBorder="0" applyAlignment="0" applyProtection="0"/>
    <xf numFmtId="40" fontId="81" fillId="0" borderId="0" applyFont="0" applyFill="0" applyBorder="0" applyAlignment="0" applyProtection="0"/>
    <xf numFmtId="0" fontId="81" fillId="0" borderId="0" applyFont="0" applyFill="0" applyBorder="0" applyAlignment="0" applyProtection="0"/>
    <xf numFmtId="0" fontId="81" fillId="0" borderId="0" applyFont="0" applyFill="0" applyBorder="0" applyAlignment="0" applyProtection="0"/>
    <xf numFmtId="0" fontId="82" fillId="0" borderId="0"/>
    <xf numFmtId="43" fontId="2" fillId="0" borderId="0" applyFont="0" applyFill="0" applyBorder="0" applyAlignment="0" applyProtection="0">
      <alignment vertical="center"/>
    </xf>
    <xf numFmtId="0" fontId="2" fillId="0" borderId="0"/>
    <xf numFmtId="43" fontId="143" fillId="0" borderId="0" applyFont="0" applyFill="0" applyBorder="0" applyAlignment="0" applyProtection="0">
      <alignment vertical="center"/>
    </xf>
    <xf numFmtId="0" fontId="2" fillId="0" borderId="0"/>
    <xf numFmtId="0" fontId="5" fillId="0" borderId="0"/>
    <xf numFmtId="0" fontId="1" fillId="0" borderId="0">
      <alignment vertical="center"/>
    </xf>
    <xf numFmtId="43" fontId="2" fillId="0" borderId="0" applyFont="0" applyFill="0" applyBorder="0" applyAlignment="0" applyProtection="0"/>
  </cellStyleXfs>
  <cellXfs count="1220">
    <xf numFmtId="0" fontId="0" fillId="0" borderId="0" xfId="0">
      <protection locked="0"/>
    </xf>
    <xf numFmtId="0" fontId="20" fillId="4" borderId="6" xfId="0" applyFont="1" applyFill="1" applyBorder="1" applyAlignment="1" applyProtection="1">
      <alignment horizontal="center" vertical="center"/>
      <protection hidden="1"/>
    </xf>
    <xf numFmtId="0" fontId="8" fillId="4" borderId="6" xfId="0" applyFont="1" applyFill="1" applyBorder="1" applyAlignment="1" applyProtection="1">
      <alignment horizontal="left" vertical="center"/>
      <protection hidden="1"/>
    </xf>
    <xf numFmtId="0" fontId="8" fillId="4" borderId="6" xfId="0" applyFont="1" applyFill="1" applyBorder="1" applyAlignment="1" applyProtection="1">
      <alignment horizontal="left" vertical="center" shrinkToFit="1"/>
      <protection hidden="1"/>
    </xf>
    <xf numFmtId="0" fontId="8" fillId="4" borderId="6" xfId="0" applyFont="1" applyFill="1" applyBorder="1" applyAlignment="1" applyProtection="1">
      <alignment vertical="center"/>
      <protection hidden="1"/>
    </xf>
    <xf numFmtId="0" fontId="0" fillId="3" borderId="0" xfId="0" applyFill="1" applyProtection="1">
      <protection hidden="1"/>
    </xf>
    <xf numFmtId="0" fontId="0" fillId="0" borderId="0" xfId="0" applyProtection="1">
      <protection locked="0"/>
    </xf>
    <xf numFmtId="22" fontId="0" fillId="0" borderId="0" xfId="0" applyNumberFormat="1" applyProtection="1">
      <protection locked="0"/>
    </xf>
    <xf numFmtId="43" fontId="0" fillId="0" borderId="0" xfId="0" applyNumberFormat="1" applyProtection="1">
      <protection locked="0"/>
    </xf>
    <xf numFmtId="43" fontId="29" fillId="4" borderId="0" xfId="102" applyFont="1" applyFill="1" applyAlignment="1" applyProtection="1">
      <alignment horizontal="center" vertical="center" shrinkToFit="1"/>
      <protection locked="0"/>
    </xf>
    <xf numFmtId="43" fontId="0" fillId="3" borderId="0" xfId="0" applyNumberFormat="1" applyFill="1" applyAlignment="1" applyProtection="1">
      <alignment vertical="center" shrinkToFit="1"/>
      <protection locked="0"/>
    </xf>
    <xf numFmtId="176" fontId="13" fillId="3" borderId="0" xfId="0" applyNumberFormat="1" applyFont="1" applyFill="1" applyAlignment="1" applyProtection="1">
      <alignment shrinkToFit="1"/>
      <protection locked="0"/>
    </xf>
    <xf numFmtId="43" fontId="29" fillId="4" borderId="0" xfId="102" applyFont="1" applyFill="1" applyAlignment="1" applyProtection="1">
      <alignment horizontal="left" vertical="center" shrinkToFit="1"/>
      <protection locked="0"/>
    </xf>
    <xf numFmtId="4" fontId="11" fillId="6" borderId="0" xfId="0" applyNumberFormat="1" applyFont="1" applyFill="1" applyBorder="1" applyAlignment="1" applyProtection="1">
      <alignment horizontal="center"/>
      <protection locked="0"/>
    </xf>
    <xf numFmtId="4" fontId="31" fillId="6" borderId="0" xfId="0" applyNumberFormat="1" applyFont="1" applyFill="1" applyBorder="1" applyAlignment="1" applyProtection="1">
      <alignment horizontal="left"/>
      <protection locked="0"/>
    </xf>
    <xf numFmtId="4" fontId="32" fillId="6" borderId="0" xfId="0" applyNumberFormat="1" applyFont="1" applyFill="1" applyBorder="1" applyAlignment="1" applyProtection="1">
      <alignment horizontal="left"/>
      <protection locked="0"/>
    </xf>
    <xf numFmtId="4" fontId="30" fillId="6" borderId="0" xfId="0" applyNumberFormat="1" applyFont="1" applyFill="1" applyBorder="1" applyAlignment="1" applyProtection="1">
      <alignment horizontal="left"/>
      <protection locked="0"/>
    </xf>
    <xf numFmtId="0" fontId="0" fillId="7" borderId="0" xfId="0" applyFill="1" applyAlignment="1" applyProtection="1">
      <alignment horizontal="center"/>
      <protection hidden="1"/>
    </xf>
    <xf numFmtId="0" fontId="0" fillId="3" borderId="0" xfId="0" applyFill="1" applyAlignment="1" applyProtection="1">
      <alignment horizontal="center"/>
      <protection hidden="1"/>
    </xf>
    <xf numFmtId="0" fontId="0" fillId="7" borderId="0" xfId="0" applyFill="1" applyProtection="1">
      <protection hidden="1"/>
    </xf>
    <xf numFmtId="0" fontId="5" fillId="3" borderId="0" xfId="0" applyFont="1" applyFill="1" applyProtection="1">
      <protection hidden="1"/>
    </xf>
    <xf numFmtId="0" fontId="0" fillId="7" borderId="0" xfId="0" applyFill="1" applyAlignment="1" applyProtection="1">
      <alignment vertical="center"/>
      <protection hidden="1"/>
    </xf>
    <xf numFmtId="0" fontId="0" fillId="7" borderId="0" xfId="0" applyFill="1" applyAlignment="1" applyProtection="1">
      <alignment horizontal="left" vertical="center"/>
      <protection hidden="1"/>
    </xf>
    <xf numFmtId="0" fontId="0" fillId="3" borderId="0" xfId="0" applyFill="1" applyAlignment="1" applyProtection="1">
      <alignment vertical="center"/>
      <protection hidden="1"/>
    </xf>
    <xf numFmtId="0" fontId="0" fillId="3" borderId="0" xfId="0" applyFill="1" applyAlignment="1" applyProtection="1">
      <alignment horizontal="left" vertical="center"/>
      <protection hidden="1"/>
    </xf>
    <xf numFmtId="0" fontId="8" fillId="8" borderId="6" xfId="0" applyFont="1" applyFill="1" applyBorder="1" applyAlignment="1" applyProtection="1">
      <alignment vertical="center" shrinkToFit="1"/>
      <protection locked="0" hidden="1"/>
    </xf>
    <xf numFmtId="0" fontId="8" fillId="8" borderId="6" xfId="0" applyFont="1" applyFill="1" applyBorder="1" applyAlignment="1" applyProtection="1">
      <alignment vertical="center"/>
      <protection locked="0" hidden="1"/>
    </xf>
    <xf numFmtId="0" fontId="27" fillId="8" borderId="6" xfId="0" applyFont="1" applyFill="1" applyBorder="1" applyAlignment="1" applyProtection="1">
      <alignment vertical="center" shrinkToFit="1"/>
      <protection locked="0" hidden="1"/>
    </xf>
    <xf numFmtId="0" fontId="10" fillId="8" borderId="6" xfId="0" applyFont="1" applyFill="1" applyBorder="1" applyAlignment="1" applyProtection="1">
      <alignment vertical="center" shrinkToFit="1"/>
      <protection locked="0" hidden="1"/>
    </xf>
    <xf numFmtId="43" fontId="24" fillId="0" borderId="0" xfId="84" applyNumberFormat="1" applyFont="1" applyBorder="1" applyAlignment="1">
      <alignment horizontal="center" vertical="center"/>
      <protection locked="0"/>
    </xf>
    <xf numFmtId="43" fontId="53" fillId="8" borderId="0" xfId="85" applyNumberFormat="1" applyFont="1" applyFill="1" applyAlignment="1">
      <alignment horizontal="centerContinuous" vertical="center"/>
      <protection locked="0"/>
    </xf>
    <xf numFmtId="43" fontId="53" fillId="8" borderId="0" xfId="85" applyNumberFormat="1" applyFont="1" applyFill="1">
      <protection locked="0"/>
    </xf>
    <xf numFmtId="43" fontId="38" fillId="0" borderId="0" xfId="85" applyNumberFormat="1" applyFont="1" applyAlignment="1">
      <alignment vertical="center"/>
      <protection locked="0"/>
    </xf>
    <xf numFmtId="43" fontId="38" fillId="0" borderId="0" xfId="85" applyNumberFormat="1" applyFont="1" applyAlignment="1">
      <alignment horizontal="center" vertical="center"/>
      <protection locked="0"/>
    </xf>
    <xf numFmtId="43" fontId="38" fillId="0" borderId="0" xfId="85" applyNumberFormat="1" applyFont="1">
      <protection locked="0"/>
    </xf>
    <xf numFmtId="43" fontId="55" fillId="0" borderId="0" xfId="85" applyNumberFormat="1" applyFont="1">
      <protection locked="0"/>
    </xf>
    <xf numFmtId="43" fontId="38" fillId="0" borderId="0" xfId="85" applyNumberFormat="1" applyFont="1" applyAlignment="1">
      <alignment horizontal="center"/>
      <protection locked="0"/>
    </xf>
    <xf numFmtId="176" fontId="37" fillId="0" borderId="0" xfId="81" applyNumberFormat="1" applyFont="1" applyAlignment="1">
      <alignment vertical="center"/>
      <protection locked="0"/>
    </xf>
    <xf numFmtId="176" fontId="38" fillId="0" borderId="0" xfId="81" applyNumberFormat="1" applyFont="1" applyAlignment="1">
      <alignment vertical="center"/>
      <protection locked="0"/>
    </xf>
    <xf numFmtId="43" fontId="13" fillId="0" borderId="0" xfId="84" applyNumberFormat="1" applyFont="1" applyBorder="1" applyAlignment="1">
      <alignment vertical="center"/>
      <protection locked="0"/>
    </xf>
    <xf numFmtId="43" fontId="8" fillId="0" borderId="0" xfId="84" applyNumberFormat="1" applyFont="1" applyBorder="1" applyAlignment="1">
      <alignment vertical="center"/>
      <protection locked="0"/>
    </xf>
    <xf numFmtId="43" fontId="24" fillId="0" borderId="9" xfId="97" applyNumberFormat="1" applyFont="1" applyBorder="1" applyAlignment="1">
      <alignment vertical="center"/>
    </xf>
    <xf numFmtId="43" fontId="13" fillId="0" borderId="9" xfId="97" applyNumberFormat="1" applyFont="1" applyBorder="1" applyAlignment="1">
      <alignment vertical="center"/>
    </xf>
    <xf numFmtId="43" fontId="24" fillId="0" borderId="0" xfId="84" applyNumberFormat="1" applyFont="1" applyBorder="1" applyAlignment="1">
      <alignment vertical="center"/>
      <protection locked="0"/>
    </xf>
    <xf numFmtId="43" fontId="24" fillId="0" borderId="0" xfId="97" applyNumberFormat="1" applyFont="1" applyFill="1" applyBorder="1" applyAlignment="1">
      <alignment vertical="center"/>
    </xf>
    <xf numFmtId="43" fontId="24" fillId="0" borderId="0" xfId="84" applyNumberFormat="1" applyFont="1" applyFill="1" applyBorder="1" applyAlignment="1">
      <alignment vertical="center"/>
      <protection locked="0"/>
    </xf>
    <xf numFmtId="43" fontId="13" fillId="0" borderId="9" xfId="84" applyNumberFormat="1" applyFont="1" applyBorder="1" applyAlignment="1">
      <alignment vertical="center"/>
      <protection locked="0"/>
    </xf>
    <xf numFmtId="43" fontId="24" fillId="0" borderId="9" xfId="84" applyNumberFormat="1" applyFont="1" applyBorder="1" applyAlignment="1">
      <alignment vertical="center"/>
      <protection locked="0"/>
    </xf>
    <xf numFmtId="0" fontId="0" fillId="9" borderId="0" xfId="0" applyFill="1" applyAlignment="1" applyProtection="1">
      <alignment vertical="center"/>
      <protection hidden="1"/>
    </xf>
    <xf numFmtId="0" fontId="0" fillId="9" borderId="0" xfId="0" applyFill="1" applyAlignment="1" applyProtection="1">
      <alignment horizontal="left" vertical="center"/>
      <protection hidden="1"/>
    </xf>
    <xf numFmtId="0" fontId="0" fillId="9" borderId="0" xfId="0" applyFill="1" applyProtection="1">
      <protection hidden="1"/>
    </xf>
    <xf numFmtId="0" fontId="22" fillId="10" borderId="12" xfId="0" applyFont="1" applyFill="1" applyBorder="1" applyAlignment="1">
      <alignment horizontal="center"/>
      <protection locked="0"/>
    </xf>
    <xf numFmtId="0" fontId="24" fillId="10" borderId="13" xfId="0" applyFont="1" applyFill="1" applyBorder="1" applyAlignment="1">
      <alignment horizontal="center"/>
      <protection locked="0"/>
    </xf>
    <xf numFmtId="0" fontId="24" fillId="10" borderId="14" xfId="0" applyFont="1" applyFill="1" applyBorder="1" applyAlignment="1">
      <alignment horizontal="center"/>
      <protection locked="0"/>
    </xf>
    <xf numFmtId="0" fontId="37" fillId="10" borderId="15" xfId="0" applyFont="1" applyFill="1" applyBorder="1" applyAlignment="1">
      <alignment horizontal="center"/>
      <protection locked="0"/>
    </xf>
    <xf numFmtId="0" fontId="15" fillId="10" borderId="16" xfId="0" applyFont="1" applyFill="1" applyBorder="1">
      <protection locked="0"/>
    </xf>
    <xf numFmtId="0" fontId="13" fillId="10" borderId="6" xfId="0" applyFont="1" applyFill="1" applyBorder="1" applyAlignment="1">
      <alignment horizontal="center"/>
      <protection locked="0"/>
    </xf>
    <xf numFmtId="0" fontId="37" fillId="10" borderId="17" xfId="0" applyFont="1" applyFill="1" applyBorder="1" applyAlignment="1">
      <alignment horizontal="center"/>
      <protection locked="0"/>
    </xf>
    <xf numFmtId="0" fontId="13" fillId="10" borderId="18" xfId="0" applyFont="1" applyFill="1" applyBorder="1" applyAlignment="1">
      <alignment horizontal="center"/>
      <protection locked="0"/>
    </xf>
    <xf numFmtId="0" fontId="15" fillId="10" borderId="19" xfId="0" applyFont="1" applyFill="1" applyBorder="1">
      <protection locked="0"/>
    </xf>
    <xf numFmtId="0" fontId="13" fillId="10" borderId="6" xfId="0" applyFont="1" applyFill="1" applyBorder="1" applyAlignment="1">
      <alignment horizontal="center" vertical="center"/>
      <protection locked="0"/>
    </xf>
    <xf numFmtId="43" fontId="37" fillId="0" borderId="21" xfId="102" applyFont="1" applyBorder="1" applyAlignment="1" applyProtection="1">
      <alignment horizontal="center" vertical="center"/>
      <protection locked="0"/>
    </xf>
    <xf numFmtId="0" fontId="16" fillId="10" borderId="6" xfId="0" applyFont="1" applyFill="1" applyBorder="1">
      <protection locked="0"/>
    </xf>
    <xf numFmtId="0" fontId="16" fillId="10" borderId="18" xfId="0" applyFont="1" applyFill="1" applyBorder="1">
      <protection locked="0"/>
    </xf>
    <xf numFmtId="0" fontId="26" fillId="3" borderId="0" xfId="0" applyFont="1" applyFill="1" applyAlignment="1" applyProtection="1">
      <alignment vertical="center"/>
      <protection hidden="1"/>
    </xf>
    <xf numFmtId="0" fontId="33" fillId="3" borderId="0" xfId="0" applyFont="1" applyFill="1" applyAlignment="1" applyProtection="1">
      <alignment horizontal="right" vertical="center"/>
      <protection hidden="1"/>
    </xf>
    <xf numFmtId="0" fontId="13" fillId="0" borderId="0" xfId="0" applyFont="1" applyFill="1" applyAlignment="1" applyProtection="1">
      <alignment vertical="center"/>
      <protection hidden="1"/>
    </xf>
    <xf numFmtId="0" fontId="0" fillId="0" borderId="0" xfId="0" applyFill="1" applyAlignment="1" applyProtection="1">
      <alignment vertical="center"/>
      <protection hidden="1"/>
    </xf>
    <xf numFmtId="43" fontId="38" fillId="3" borderId="0" xfId="85" applyNumberFormat="1" applyFont="1" applyFill="1" applyAlignment="1" applyProtection="1">
      <alignment horizontal="center" vertical="center"/>
    </xf>
    <xf numFmtId="43" fontId="38" fillId="3" borderId="0" xfId="85" applyNumberFormat="1" applyFont="1" applyFill="1" applyAlignment="1" applyProtection="1">
      <alignment horizontal="center"/>
    </xf>
    <xf numFmtId="176" fontId="13" fillId="0" borderId="0" xfId="81" applyNumberFormat="1" applyFont="1" applyAlignment="1" applyProtection="1">
      <alignment vertical="center"/>
    </xf>
    <xf numFmtId="176" fontId="13" fillId="0" borderId="0" xfId="81" applyNumberFormat="1" applyFont="1" applyAlignment="1" applyProtection="1">
      <alignment horizontal="left" vertical="center"/>
    </xf>
    <xf numFmtId="176" fontId="59" fillId="0" borderId="0" xfId="81" applyNumberFormat="1" applyFont="1" applyAlignment="1" applyProtection="1">
      <alignment vertical="center"/>
    </xf>
    <xf numFmtId="176" fontId="37" fillId="0" borderId="0" xfId="81" applyNumberFormat="1" applyFont="1" applyAlignment="1" applyProtection="1">
      <alignment vertical="center"/>
    </xf>
    <xf numFmtId="176" fontId="37" fillId="0" borderId="0" xfId="81" applyNumberFormat="1" applyFont="1" applyAlignment="1" applyProtection="1">
      <alignment horizontal="left" vertical="center"/>
    </xf>
    <xf numFmtId="43" fontId="38" fillId="0" borderId="0" xfId="85" applyNumberFormat="1" applyFont="1" applyAlignment="1" applyProtection="1">
      <alignment vertical="center"/>
    </xf>
    <xf numFmtId="43" fontId="38" fillId="0" borderId="0" xfId="85" applyNumberFormat="1" applyFont="1" applyFill="1" applyAlignment="1" applyProtection="1">
      <alignment vertical="center"/>
    </xf>
    <xf numFmtId="43" fontId="53" fillId="8" borderId="0" xfId="85" applyNumberFormat="1" applyFont="1" applyFill="1" applyAlignment="1" applyProtection="1">
      <alignment horizontal="centerContinuous" vertical="center"/>
      <protection locked="0"/>
    </xf>
    <xf numFmtId="43" fontId="54" fillId="0" borderId="0" xfId="85" applyNumberFormat="1" applyFont="1" applyAlignment="1" applyProtection="1">
      <alignment vertical="center"/>
      <protection locked="0"/>
    </xf>
    <xf numFmtId="43" fontId="38" fillId="0" borderId="0" xfId="85" applyNumberFormat="1" applyFont="1" applyProtection="1">
      <protection locked="0"/>
    </xf>
    <xf numFmtId="43" fontId="38" fillId="0" borderId="0" xfId="85" applyNumberFormat="1" applyFont="1" applyAlignment="1">
      <alignment vertical="center" wrapText="1"/>
      <protection locked="0"/>
    </xf>
    <xf numFmtId="43" fontId="38" fillId="0" borderId="0" xfId="85" applyNumberFormat="1" applyFont="1" applyAlignment="1">
      <alignment wrapText="1"/>
      <protection locked="0"/>
    </xf>
    <xf numFmtId="43" fontId="37" fillId="0" borderId="9" xfId="102" applyFont="1" applyBorder="1" applyAlignment="1" applyProtection="1">
      <alignment vertical="center"/>
    </xf>
    <xf numFmtId="43" fontId="37" fillId="0" borderId="10" xfId="102" applyFont="1" applyBorder="1" applyAlignment="1" applyProtection="1">
      <alignment horizontal="center" vertical="center"/>
      <protection locked="0"/>
    </xf>
    <xf numFmtId="43" fontId="39" fillId="0" borderId="30" xfId="102" applyFont="1" applyFill="1" applyBorder="1" applyAlignment="1" applyProtection="1">
      <alignment vertical="center"/>
      <protection locked="0"/>
    </xf>
    <xf numFmtId="43" fontId="64" fillId="0" borderId="0" xfId="103" applyNumberFormat="1" applyFont="1" applyFill="1" applyBorder="1" applyAlignment="1">
      <alignment vertical="center"/>
    </xf>
    <xf numFmtId="0" fontId="13" fillId="0" borderId="13" xfId="103" applyNumberFormat="1" applyFont="1" applyFill="1" applyBorder="1" applyAlignment="1" applyProtection="1">
      <alignment horizontal="center" vertical="center"/>
    </xf>
    <xf numFmtId="0" fontId="16" fillId="0" borderId="34" xfId="0" applyFont="1" applyFill="1" applyBorder="1" applyAlignment="1" applyProtection="1">
      <alignment horizontal="left" vertical="center" shrinkToFit="1"/>
      <protection locked="0"/>
    </xf>
    <xf numFmtId="176" fontId="13" fillId="0" borderId="0" xfId="81" applyNumberFormat="1" applyFont="1" applyBorder="1" applyAlignment="1" applyProtection="1">
      <alignment vertical="center"/>
    </xf>
    <xf numFmtId="176" fontId="13" fillId="0" borderId="0" xfId="81" applyNumberFormat="1" applyFont="1" applyBorder="1" applyAlignment="1" applyProtection="1">
      <alignment horizontal="left" vertical="center"/>
    </xf>
    <xf numFmtId="176" fontId="37" fillId="0" borderId="0" xfId="81" applyNumberFormat="1" applyFont="1" applyBorder="1" applyAlignment="1">
      <alignment vertical="center"/>
      <protection locked="0"/>
    </xf>
    <xf numFmtId="176" fontId="37" fillId="0" borderId="0" xfId="81" applyNumberFormat="1" applyFont="1" applyBorder="1" applyAlignment="1" applyProtection="1">
      <alignment vertical="center"/>
    </xf>
    <xf numFmtId="176" fontId="13" fillId="0" borderId="0" xfId="81" applyNumberFormat="1" applyFont="1" applyFill="1" applyAlignment="1" applyProtection="1">
      <alignment vertical="center"/>
    </xf>
    <xf numFmtId="176" fontId="37" fillId="0" borderId="0" xfId="81" applyNumberFormat="1" applyFont="1" applyFill="1" applyAlignment="1">
      <alignment vertical="center"/>
      <protection locked="0"/>
    </xf>
    <xf numFmtId="176" fontId="13" fillId="0" borderId="0" xfId="81" applyNumberFormat="1" applyFont="1" applyFill="1" applyAlignment="1" applyProtection="1">
      <alignment horizontal="left" vertical="center"/>
    </xf>
    <xf numFmtId="176" fontId="37" fillId="0" borderId="0" xfId="81" applyNumberFormat="1" applyFont="1" applyFill="1" applyAlignment="1" applyProtection="1">
      <alignment vertical="center"/>
    </xf>
    <xf numFmtId="176" fontId="60" fillId="0" borderId="0" xfId="81" applyNumberFormat="1" applyFont="1" applyFill="1" applyAlignment="1" applyProtection="1">
      <alignment horizontal="center" vertical="center"/>
    </xf>
    <xf numFmtId="43" fontId="4" fillId="0" borderId="0" xfId="85" applyNumberFormat="1" applyFont="1" applyFill="1" applyAlignment="1" applyProtection="1">
      <alignment vertical="center"/>
    </xf>
    <xf numFmtId="43" fontId="38" fillId="0" borderId="0" xfId="85" applyNumberFormat="1" applyFont="1" applyFill="1" applyAlignment="1">
      <alignment vertical="center"/>
      <protection locked="0"/>
    </xf>
    <xf numFmtId="176" fontId="37" fillId="0" borderId="0" xfId="81" applyNumberFormat="1" applyFont="1" applyFill="1" applyAlignment="1" applyProtection="1">
      <alignment horizontal="left" vertical="center"/>
    </xf>
    <xf numFmtId="0" fontId="4" fillId="0" borderId="0" xfId="0" applyFont="1" applyFill="1" applyAlignment="1">
      <alignment horizontal="center"/>
      <protection locked="0"/>
    </xf>
    <xf numFmtId="0" fontId="4" fillId="0" borderId="0" xfId="0" applyFont="1" applyFill="1" applyBorder="1">
      <protection locked="0"/>
    </xf>
    <xf numFmtId="0" fontId="4" fillId="0" borderId="0" xfId="0" applyFont="1" applyFill="1">
      <protection locked="0"/>
    </xf>
    <xf numFmtId="0" fontId="4" fillId="0" borderId="0" xfId="0" applyFont="1" applyFill="1" applyBorder="1" applyAlignment="1">
      <alignment horizontal="center"/>
      <protection locked="0"/>
    </xf>
    <xf numFmtId="43" fontId="4" fillId="0" borderId="0" xfId="102" applyFont="1" applyFill="1" applyBorder="1"/>
    <xf numFmtId="0" fontId="14" fillId="0" borderId="0" xfId="0" applyFont="1" applyFill="1" applyBorder="1">
      <protection locked="0"/>
    </xf>
    <xf numFmtId="43" fontId="4" fillId="0" borderId="0" xfId="102" applyFont="1" applyFill="1"/>
    <xf numFmtId="43" fontId="14" fillId="3" borderId="33" xfId="102" applyFont="1" applyFill="1" applyBorder="1" applyAlignment="1">
      <alignment horizontal="right"/>
    </xf>
    <xf numFmtId="208" fontId="14" fillId="3" borderId="33" xfId="0" applyNumberFormat="1" applyFont="1" applyFill="1" applyBorder="1" applyAlignment="1">
      <alignment horizontal="right"/>
      <protection locked="0"/>
    </xf>
    <xf numFmtId="0" fontId="4" fillId="0" borderId="0" xfId="0" applyFont="1" applyFill="1" applyAlignment="1">
      <alignment horizontal="center" vertical="center" shrinkToFit="1"/>
      <protection locked="0"/>
    </xf>
    <xf numFmtId="43" fontId="34" fillId="0" borderId="18" xfId="102" applyFont="1" applyFill="1" applyBorder="1" applyAlignment="1">
      <alignment horizontal="center" vertical="center" shrinkToFit="1"/>
    </xf>
    <xf numFmtId="176" fontId="37" fillId="0" borderId="0" xfId="81" applyNumberFormat="1" applyFont="1" applyFill="1" applyAlignment="1">
      <alignment vertical="center" shrinkToFit="1"/>
      <protection locked="0"/>
    </xf>
    <xf numFmtId="0" fontId="14" fillId="3" borderId="33" xfId="0" applyFont="1" applyFill="1" applyBorder="1" applyAlignment="1">
      <alignment horizontal="center" vertical="center" shrinkToFit="1"/>
      <protection locked="0"/>
    </xf>
    <xf numFmtId="0" fontId="4" fillId="0" borderId="6" xfId="0" applyFont="1" applyFill="1" applyBorder="1" applyAlignment="1">
      <alignment horizontal="center" shrinkToFit="1"/>
      <protection locked="0"/>
    </xf>
    <xf numFmtId="0" fontId="4" fillId="3" borderId="6" xfId="0" applyFont="1" applyFill="1" applyBorder="1" applyAlignment="1">
      <alignment horizontal="center" shrinkToFit="1"/>
      <protection locked="0"/>
    </xf>
    <xf numFmtId="0" fontId="14" fillId="3" borderId="6" xfId="0" applyFont="1" applyFill="1" applyBorder="1" applyAlignment="1">
      <alignment horizontal="center" shrinkToFit="1"/>
      <protection locked="0"/>
    </xf>
    <xf numFmtId="0" fontId="4" fillId="0" borderId="26" xfId="0" applyFont="1" applyFill="1" applyBorder="1" applyAlignment="1">
      <alignment horizontal="center" shrinkToFit="1"/>
      <protection locked="0"/>
    </xf>
    <xf numFmtId="0" fontId="4" fillId="0" borderId="0" xfId="0" applyFont="1" applyFill="1" applyBorder="1" applyAlignment="1">
      <alignment horizontal="center" shrinkToFit="1"/>
      <protection locked="0"/>
    </xf>
    <xf numFmtId="0" fontId="4" fillId="0" borderId="0" xfId="0" applyFont="1" applyFill="1" applyAlignment="1">
      <alignment horizontal="center" shrinkToFit="1"/>
      <protection locked="0"/>
    </xf>
    <xf numFmtId="0" fontId="86" fillId="3" borderId="0" xfId="0" applyFont="1" applyFill="1" applyProtection="1">
      <protection hidden="1"/>
    </xf>
    <xf numFmtId="0" fontId="37" fillId="0" borderId="33" xfId="0" applyFont="1" applyFill="1" applyBorder="1" applyAlignment="1" applyProtection="1">
      <alignment horizontal="center" vertical="center" shrinkToFit="1"/>
    </xf>
    <xf numFmtId="0" fontId="37" fillId="0" borderId="33" xfId="0" applyFont="1" applyFill="1" applyBorder="1" applyAlignment="1" applyProtection="1">
      <alignment horizontal="left" vertical="center" shrinkToFit="1"/>
    </xf>
    <xf numFmtId="43" fontId="38" fillId="0" borderId="6" xfId="102" applyNumberFormat="1" applyFont="1" applyFill="1" applyBorder="1" applyAlignment="1" applyProtection="1">
      <alignment horizontal="right" vertical="center" shrinkToFit="1"/>
    </xf>
    <xf numFmtId="10" fontId="38" fillId="0" borderId="6" xfId="77" applyNumberFormat="1" applyFont="1" applyFill="1" applyBorder="1" applyAlignment="1" applyProtection="1">
      <alignment horizontal="center" vertical="center" shrinkToFit="1"/>
    </xf>
    <xf numFmtId="10" fontId="38" fillId="0" borderId="6" xfId="77" applyNumberFormat="1" applyFont="1" applyFill="1" applyBorder="1" applyAlignment="1" applyProtection="1">
      <alignment horizontal="right" vertical="center" shrinkToFit="1"/>
    </xf>
    <xf numFmtId="43" fontId="38" fillId="0" borderId="6" xfId="102" applyFont="1" applyFill="1" applyBorder="1" applyAlignment="1">
      <alignment horizontal="right" shrinkToFit="1"/>
    </xf>
    <xf numFmtId="207" fontId="38" fillId="0" borderId="6" xfId="0" applyNumberFormat="1" applyFont="1" applyFill="1" applyBorder="1" applyAlignment="1">
      <alignment horizontal="right"/>
      <protection locked="0"/>
    </xf>
    <xf numFmtId="43" fontId="38" fillId="3" borderId="6" xfId="102" applyFont="1" applyFill="1" applyBorder="1" applyAlignment="1">
      <alignment horizontal="right" shrinkToFit="1"/>
    </xf>
    <xf numFmtId="207" fontId="38" fillId="3" borderId="6" xfId="0" applyNumberFormat="1" applyFont="1" applyFill="1" applyBorder="1" applyAlignment="1">
      <alignment horizontal="right"/>
      <protection locked="0"/>
    </xf>
    <xf numFmtId="43" fontId="38" fillId="0" borderId="26" xfId="102" applyFont="1" applyFill="1" applyBorder="1" applyAlignment="1">
      <alignment shrinkToFit="1"/>
    </xf>
    <xf numFmtId="207" fontId="38" fillId="0" borderId="26" xfId="0" applyNumberFormat="1" applyFont="1" applyFill="1" applyBorder="1" applyAlignment="1">
      <alignment horizontal="right"/>
      <protection locked="0"/>
    </xf>
    <xf numFmtId="43" fontId="38" fillId="0" borderId="26" xfId="102" applyFont="1" applyFill="1" applyBorder="1" applyAlignment="1">
      <alignment horizontal="right" shrinkToFit="1"/>
    </xf>
    <xf numFmtId="0" fontId="37" fillId="10" borderId="6" xfId="0" applyFont="1" applyFill="1" applyBorder="1" applyAlignment="1">
      <alignment horizontal="center"/>
      <protection locked="0"/>
    </xf>
    <xf numFmtId="31" fontId="65" fillId="8" borderId="6" xfId="0" applyNumberFormat="1" applyFont="1" applyFill="1" applyBorder="1" applyAlignment="1" applyProtection="1">
      <alignment horizontal="left" vertical="center" shrinkToFit="1"/>
      <protection locked="0" hidden="1"/>
    </xf>
    <xf numFmtId="0" fontId="65" fillId="8" borderId="6" xfId="0" applyFont="1" applyFill="1" applyBorder="1" applyAlignment="1" applyProtection="1">
      <alignment vertical="center" shrinkToFit="1"/>
      <protection locked="0" hidden="1"/>
    </xf>
    <xf numFmtId="176" fontId="38" fillId="0" borderId="0" xfId="81" applyNumberFormat="1" applyFont="1" applyAlignment="1" applyProtection="1">
      <alignment vertical="center"/>
    </xf>
    <xf numFmtId="177" fontId="56" fillId="11" borderId="8" xfId="85" applyNumberFormat="1" applyFont="1" applyFill="1" applyBorder="1" applyAlignment="1" applyProtection="1">
      <alignment vertical="center"/>
    </xf>
    <xf numFmtId="43" fontId="56" fillId="11" borderId="8" xfId="85" applyNumberFormat="1" applyFont="1" applyFill="1" applyBorder="1" applyAlignment="1" applyProtection="1">
      <alignment wrapText="1"/>
    </xf>
    <xf numFmtId="43" fontId="56" fillId="11" borderId="8" xfId="85" applyNumberFormat="1" applyFont="1" applyFill="1" applyBorder="1" applyAlignment="1" applyProtection="1">
      <alignment horizontal="center"/>
    </xf>
    <xf numFmtId="43" fontId="56" fillId="11" borderId="8" xfId="85" applyNumberFormat="1" applyFont="1" applyFill="1" applyBorder="1" applyProtection="1"/>
    <xf numFmtId="43" fontId="55" fillId="11" borderId="8" xfId="85" applyNumberFormat="1" applyFont="1" applyFill="1" applyBorder="1" applyAlignment="1" applyProtection="1">
      <alignment horizontal="center"/>
    </xf>
    <xf numFmtId="0" fontId="90" fillId="0" borderId="0" xfId="83" applyFont="1">
      <protection locked="0"/>
    </xf>
    <xf numFmtId="0" fontId="91" fillId="0" borderId="29" xfId="83" applyFont="1" applyBorder="1" applyAlignment="1" applyProtection="1">
      <alignment vertical="center"/>
    </xf>
    <xf numFmtId="0" fontId="90" fillId="0" borderId="1" xfId="83" applyFont="1" applyBorder="1" applyAlignment="1" applyProtection="1">
      <alignment vertical="center"/>
    </xf>
    <xf numFmtId="0" fontId="90" fillId="0" borderId="40" xfId="83" applyFont="1" applyBorder="1" applyAlignment="1" applyProtection="1">
      <alignment vertical="center"/>
    </xf>
    <xf numFmtId="0" fontId="90" fillId="0" borderId="0" xfId="83" applyFont="1" applyBorder="1" applyAlignment="1" applyProtection="1">
      <alignment vertical="center"/>
    </xf>
    <xf numFmtId="0" fontId="90" fillId="0" borderId="0" xfId="83" applyFont="1" applyAlignment="1">
      <alignment vertical="center"/>
      <protection locked="0"/>
    </xf>
    <xf numFmtId="0" fontId="90" fillId="0" borderId="21" xfId="83" applyFont="1" applyBorder="1" applyAlignment="1" applyProtection="1">
      <alignment vertical="center"/>
    </xf>
    <xf numFmtId="0" fontId="93" fillId="0" borderId="9" xfId="83" applyFont="1" applyBorder="1" applyAlignment="1" applyProtection="1">
      <alignment horizontal="center" vertical="center"/>
    </xf>
    <xf numFmtId="0" fontId="93" fillId="0" borderId="0" xfId="83" applyFont="1" applyBorder="1" applyAlignment="1" applyProtection="1">
      <alignment vertical="center"/>
    </xf>
    <xf numFmtId="0" fontId="93" fillId="0" borderId="21" xfId="83" applyFont="1" applyBorder="1" applyAlignment="1" applyProtection="1">
      <alignment vertical="center"/>
    </xf>
    <xf numFmtId="0" fontId="90" fillId="0" borderId="9" xfId="83" applyFont="1" applyBorder="1" applyAlignment="1" applyProtection="1">
      <alignment vertical="center"/>
    </xf>
    <xf numFmtId="0" fontId="93" fillId="0" borderId="0" xfId="83" applyFont="1" applyBorder="1" applyAlignment="1" applyProtection="1">
      <alignment horizontal="center" vertical="center"/>
    </xf>
    <xf numFmtId="0" fontId="94" fillId="0" borderId="0" xfId="88" applyFont="1" applyBorder="1" applyAlignment="1" applyProtection="1">
      <alignment vertical="center"/>
    </xf>
    <xf numFmtId="0" fontId="90" fillId="0" borderId="0" xfId="83" applyFont="1" applyBorder="1" applyAlignment="1">
      <alignment vertical="center"/>
      <protection locked="0"/>
    </xf>
    <xf numFmtId="0" fontId="93" fillId="0" borderId="11" xfId="83" applyFont="1" applyBorder="1" applyAlignment="1" applyProtection="1">
      <alignment horizontal="center" vertical="center"/>
    </xf>
    <xf numFmtId="0" fontId="93" fillId="0" borderId="22" xfId="83" applyFont="1" applyBorder="1" applyAlignment="1" applyProtection="1">
      <alignment vertical="center"/>
    </xf>
    <xf numFmtId="0" fontId="93" fillId="0" borderId="30" xfId="83" applyFont="1" applyBorder="1" applyAlignment="1" applyProtection="1">
      <alignment vertical="center"/>
    </xf>
    <xf numFmtId="43" fontId="53" fillId="8" borderId="0" xfId="85" applyNumberFormat="1" applyFont="1" applyFill="1" applyAlignment="1">
      <alignment shrinkToFit="1"/>
      <protection locked="0"/>
    </xf>
    <xf numFmtId="43" fontId="38" fillId="0" borderId="0" xfId="85" applyNumberFormat="1" applyFont="1" applyAlignment="1" applyProtection="1">
      <alignment vertical="center" shrinkToFit="1"/>
    </xf>
    <xf numFmtId="43" fontId="37" fillId="0" borderId="10" xfId="102" applyFont="1" applyBorder="1" applyAlignment="1" applyProtection="1">
      <alignment vertical="center"/>
      <protection locked="0"/>
    </xf>
    <xf numFmtId="43" fontId="39" fillId="0" borderId="10" xfId="102" applyFont="1" applyBorder="1" applyAlignment="1" applyProtection="1">
      <alignment vertical="center"/>
      <protection locked="0"/>
    </xf>
    <xf numFmtId="43" fontId="66" fillId="0" borderId="10" xfId="102" applyFont="1" applyBorder="1" applyAlignment="1" applyProtection="1">
      <alignment vertical="center"/>
      <protection locked="0"/>
    </xf>
    <xf numFmtId="43" fontId="67" fillId="0" borderId="10" xfId="102" applyFont="1" applyBorder="1" applyAlignment="1" applyProtection="1">
      <alignment vertical="center"/>
      <protection locked="0"/>
    </xf>
    <xf numFmtId="43" fontId="39" fillId="0" borderId="10" xfId="102" applyFont="1" applyBorder="1" applyAlignment="1" applyProtection="1">
      <alignment horizontal="center" vertical="center"/>
      <protection locked="0"/>
    </xf>
    <xf numFmtId="43" fontId="39" fillId="0" borderId="20" xfId="102" applyFont="1" applyFill="1" applyBorder="1" applyAlignment="1" applyProtection="1">
      <alignment vertical="center"/>
      <protection locked="0"/>
    </xf>
    <xf numFmtId="43" fontId="24" fillId="0" borderId="29" xfId="97" applyNumberFormat="1" applyFont="1" applyBorder="1" applyAlignment="1">
      <alignment vertical="center"/>
    </xf>
    <xf numFmtId="43" fontId="37" fillId="0" borderId="2" xfId="102" applyFont="1" applyBorder="1" applyAlignment="1" applyProtection="1">
      <alignment vertical="center"/>
      <protection locked="0"/>
    </xf>
    <xf numFmtId="43" fontId="39" fillId="0" borderId="20" xfId="102" applyFont="1" applyBorder="1" applyAlignment="1" applyProtection="1">
      <alignment horizontal="center" vertical="center"/>
      <protection locked="0"/>
    </xf>
    <xf numFmtId="43" fontId="24" fillId="0" borderId="2" xfId="97" applyNumberFormat="1" applyFont="1" applyBorder="1" applyAlignment="1">
      <alignment vertical="center"/>
    </xf>
    <xf numFmtId="43" fontId="13" fillId="0" borderId="10" xfId="97" applyNumberFormat="1" applyFont="1" applyBorder="1" applyAlignment="1">
      <alignment vertical="center"/>
    </xf>
    <xf numFmtId="43" fontId="13" fillId="0" borderId="10" xfId="97" applyNumberFormat="1" applyFont="1" applyBorder="1" applyAlignment="1">
      <alignment horizontal="left" vertical="center"/>
    </xf>
    <xf numFmtId="43" fontId="24" fillId="0" borderId="10" xfId="97" applyNumberFormat="1" applyFont="1" applyBorder="1" applyAlignment="1">
      <alignment vertical="center"/>
    </xf>
    <xf numFmtId="43" fontId="63" fillId="0" borderId="10" xfId="97" applyNumberFormat="1" applyFont="1" applyBorder="1" applyAlignment="1">
      <alignment vertical="center"/>
    </xf>
    <xf numFmtId="0" fontId="92" fillId="0" borderId="41" xfId="83" applyFont="1" applyBorder="1" applyAlignment="1" applyProtection="1">
      <alignment horizontal="center" vertical="center"/>
      <protection locked="0"/>
    </xf>
    <xf numFmtId="0" fontId="92" fillId="0" borderId="42" xfId="83" applyFont="1" applyBorder="1" applyAlignment="1" applyProtection="1">
      <alignment horizontal="center" vertical="center"/>
      <protection locked="0"/>
    </xf>
    <xf numFmtId="0" fontId="93" fillId="0" borderId="9" xfId="83" applyFont="1" applyFill="1" applyBorder="1" applyAlignment="1" applyProtection="1">
      <alignment horizontal="center" vertical="center"/>
      <protection locked="0"/>
    </xf>
    <xf numFmtId="43" fontId="14" fillId="0" borderId="7" xfId="102" applyNumberFormat="1" applyFont="1" applyFill="1" applyBorder="1" applyAlignment="1" applyProtection="1">
      <alignment horizontal="left" vertical="center" shrinkToFit="1"/>
      <protection locked="0"/>
    </xf>
    <xf numFmtId="43" fontId="17" fillId="0" borderId="7" xfId="102" applyNumberFormat="1" applyFont="1" applyFill="1" applyBorder="1" applyAlignment="1" applyProtection="1">
      <alignment horizontal="left" vertical="center" shrinkToFit="1"/>
      <protection locked="0"/>
    </xf>
    <xf numFmtId="0" fontId="95" fillId="0" borderId="9" xfId="83" applyFont="1" applyBorder="1" applyAlignment="1" applyProtection="1">
      <alignment vertical="center"/>
    </xf>
    <xf numFmtId="0" fontId="93" fillId="0" borderId="9" xfId="83" applyFont="1" applyBorder="1" applyAlignment="1" applyProtection="1">
      <alignment vertical="center"/>
    </xf>
    <xf numFmtId="43" fontId="39" fillId="0" borderId="21" xfId="102" applyFont="1" applyFill="1" applyBorder="1" applyAlignment="1" applyProtection="1">
      <alignment vertical="center"/>
      <protection locked="0"/>
    </xf>
    <xf numFmtId="43" fontId="24" fillId="0" borderId="11" xfId="97" applyNumberFormat="1" applyFont="1" applyBorder="1" applyAlignment="1">
      <alignment vertical="center"/>
    </xf>
    <xf numFmtId="43" fontId="39" fillId="0" borderId="10" xfId="102" applyFont="1" applyFill="1" applyBorder="1" applyAlignment="1" applyProtection="1">
      <alignment vertical="center"/>
      <protection locked="0"/>
    </xf>
    <xf numFmtId="43" fontId="13" fillId="0" borderId="10" xfId="97" applyNumberFormat="1" applyFont="1" applyBorder="1" applyAlignment="1">
      <alignment horizontal="left" vertical="center" indent="1"/>
    </xf>
    <xf numFmtId="43" fontId="53" fillId="0" borderId="6" xfId="102" applyNumberFormat="1" applyFont="1" applyFill="1" applyBorder="1" applyAlignment="1" applyProtection="1">
      <alignment horizontal="right" vertical="center" shrinkToFit="1"/>
    </xf>
    <xf numFmtId="10" fontId="53" fillId="0" borderId="6" xfId="77" applyNumberFormat="1" applyFont="1" applyFill="1" applyBorder="1" applyAlignment="1" applyProtection="1">
      <alignment horizontal="center" vertical="center" shrinkToFit="1"/>
    </xf>
    <xf numFmtId="43" fontId="38" fillId="0" borderId="6" xfId="102" applyNumberFormat="1" applyFont="1" applyFill="1" applyBorder="1" applyAlignment="1" applyProtection="1">
      <alignment horizontal="center" vertical="center" shrinkToFit="1"/>
    </xf>
    <xf numFmtId="43" fontId="53" fillId="0" borderId="6" xfId="102" applyNumberFormat="1" applyFont="1" applyFill="1" applyBorder="1" applyAlignment="1" applyProtection="1">
      <alignment horizontal="center" vertical="center" shrinkToFit="1"/>
    </xf>
    <xf numFmtId="207" fontId="87" fillId="0" borderId="6" xfId="0" applyNumberFormat="1" applyFont="1" applyFill="1" applyBorder="1" applyAlignment="1">
      <alignment horizontal="right"/>
      <protection locked="0"/>
    </xf>
    <xf numFmtId="207" fontId="87" fillId="0" borderId="26" xfId="0" applyNumberFormat="1" applyFont="1" applyFill="1" applyBorder="1" applyAlignment="1">
      <alignment horizontal="right"/>
      <protection locked="0"/>
    </xf>
    <xf numFmtId="31" fontId="8" fillId="4" borderId="6" xfId="0" applyNumberFormat="1" applyFont="1" applyFill="1" applyBorder="1" applyAlignment="1" applyProtection="1">
      <alignment horizontal="left" vertical="center"/>
      <protection hidden="1"/>
    </xf>
    <xf numFmtId="43" fontId="53" fillId="3" borderId="0" xfId="85" applyNumberFormat="1" applyFont="1" applyFill="1" applyAlignment="1" applyProtection="1">
      <alignment horizontal="center" vertical="center"/>
    </xf>
    <xf numFmtId="0" fontId="37" fillId="0" borderId="0" xfId="0" applyFont="1" applyFill="1" applyAlignment="1" applyProtection="1">
      <alignment vertical="center"/>
      <protection hidden="1"/>
    </xf>
    <xf numFmtId="43" fontId="99" fillId="14" borderId="6" xfId="102" applyFont="1" applyFill="1" applyBorder="1" applyAlignment="1">
      <alignment horizontal="right" vertical="center"/>
    </xf>
    <xf numFmtId="31" fontId="39" fillId="13" borderId="33" xfId="0" applyNumberFormat="1" applyFont="1" applyFill="1" applyBorder="1" applyAlignment="1" applyProtection="1">
      <alignment horizontal="center" vertical="center" shrinkToFit="1"/>
    </xf>
    <xf numFmtId="31" fontId="39" fillId="13" borderId="49" xfId="0" applyNumberFormat="1" applyFont="1" applyFill="1" applyBorder="1" applyAlignment="1" applyProtection="1">
      <alignment horizontal="center" vertical="center" shrinkToFit="1"/>
    </xf>
    <xf numFmtId="43" fontId="99" fillId="14" borderId="18" xfId="102" applyFont="1" applyFill="1" applyBorder="1" applyAlignment="1">
      <alignment horizontal="right" vertical="center"/>
    </xf>
    <xf numFmtId="0" fontId="37" fillId="0" borderId="6" xfId="0" applyFont="1" applyFill="1" applyBorder="1" applyAlignment="1" applyProtection="1">
      <alignment horizontal="left" vertical="center" shrinkToFit="1"/>
    </xf>
    <xf numFmtId="176" fontId="37" fillId="13" borderId="15" xfId="0" applyNumberFormat="1" applyFont="1" applyFill="1" applyBorder="1" applyAlignment="1" applyProtection="1">
      <alignment horizontal="left" vertical="center" shrinkToFit="1"/>
    </xf>
    <xf numFmtId="43" fontId="39" fillId="13" borderId="49" xfId="103" applyNumberFormat="1" applyFont="1" applyFill="1" applyBorder="1" applyAlignment="1" applyProtection="1">
      <alignment horizontal="center" vertical="center"/>
    </xf>
    <xf numFmtId="3" fontId="37" fillId="13" borderId="6" xfId="0" applyNumberFormat="1" applyFont="1" applyFill="1" applyBorder="1" applyAlignment="1" applyProtection="1">
      <alignment horizontal="center" vertical="center" shrinkToFit="1"/>
    </xf>
    <xf numFmtId="3" fontId="37" fillId="13" borderId="18" xfId="0" applyNumberFormat="1" applyFont="1" applyFill="1" applyBorder="1" applyAlignment="1" applyProtection="1">
      <alignment horizontal="center" vertical="center" shrinkToFit="1"/>
    </xf>
    <xf numFmtId="0" fontId="38" fillId="0" borderId="0" xfId="0" applyFont="1" applyFill="1" applyAlignment="1" applyProtection="1">
      <alignment vertical="center"/>
      <protection hidden="1"/>
    </xf>
    <xf numFmtId="0" fontId="89" fillId="0" borderId="0" xfId="0" applyFont="1" applyFill="1" applyAlignment="1" applyProtection="1">
      <alignment vertical="center"/>
      <protection hidden="1"/>
    </xf>
    <xf numFmtId="0" fontId="101" fillId="13" borderId="33" xfId="0" applyFont="1" applyFill="1" applyBorder="1" applyAlignment="1" applyProtection="1">
      <alignment horizontal="center" vertical="center" shrinkToFit="1"/>
    </xf>
    <xf numFmtId="0" fontId="101" fillId="13" borderId="15" xfId="0" applyFont="1" applyFill="1" applyBorder="1" applyAlignment="1" applyProtection="1">
      <alignment horizontal="left" vertical="center" shrinkToFit="1"/>
    </xf>
    <xf numFmtId="176" fontId="89" fillId="0" borderId="6" xfId="102" applyNumberFormat="1" applyFont="1" applyFill="1" applyBorder="1" applyAlignment="1" applyProtection="1">
      <alignment horizontal="right" vertical="center" shrinkToFit="1"/>
    </xf>
    <xf numFmtId="43" fontId="89" fillId="0" borderId="6" xfId="102" applyNumberFormat="1" applyFont="1" applyFill="1" applyBorder="1" applyAlignment="1" applyProtection="1">
      <alignment horizontal="right" vertical="center" shrinkToFit="1"/>
      <protection locked="0"/>
    </xf>
    <xf numFmtId="0" fontId="89" fillId="13" borderId="6" xfId="0" applyFont="1" applyFill="1" applyBorder="1" applyAlignment="1" applyProtection="1">
      <alignment vertical="center" shrinkToFit="1"/>
    </xf>
    <xf numFmtId="43" fontId="89" fillId="0" borderId="6" xfId="102" applyNumberFormat="1" applyFont="1" applyFill="1" applyBorder="1" applyAlignment="1" applyProtection="1">
      <alignment horizontal="right" vertical="center" shrinkToFit="1"/>
    </xf>
    <xf numFmtId="0" fontId="89" fillId="13" borderId="15" xfId="0" applyFont="1" applyFill="1" applyBorder="1" applyAlignment="1" applyProtection="1">
      <alignment horizontal="left" vertical="center" shrinkToFit="1"/>
    </xf>
    <xf numFmtId="0" fontId="101" fillId="13" borderId="17" xfId="0" applyFont="1" applyFill="1" applyBorder="1" applyAlignment="1" applyProtection="1">
      <alignment horizontal="left" vertical="center" shrinkToFit="1"/>
    </xf>
    <xf numFmtId="176" fontId="38" fillId="0" borderId="0" xfId="86" applyNumberFormat="1" applyFont="1" applyAlignment="1" applyProtection="1">
      <alignment vertical="center"/>
      <protection locked="0"/>
    </xf>
    <xf numFmtId="176" fontId="37" fillId="0" borderId="0" xfId="86" applyNumberFormat="1" applyFont="1" applyAlignment="1" applyProtection="1">
      <alignment vertical="center"/>
      <protection locked="0"/>
    </xf>
    <xf numFmtId="43" fontId="13" fillId="0" borderId="0" xfId="87" applyNumberFormat="1" applyFont="1" applyBorder="1" applyAlignment="1">
      <alignment vertical="center"/>
    </xf>
    <xf numFmtId="49" fontId="13" fillId="0" borderId="0" xfId="87" applyNumberFormat="1" applyFont="1" applyBorder="1" applyAlignment="1">
      <alignment horizontal="right" vertical="center"/>
    </xf>
    <xf numFmtId="49" fontId="13" fillId="0" borderId="22" xfId="87" applyNumberFormat="1" applyFont="1" applyBorder="1" applyAlignment="1">
      <alignment horizontal="right" vertical="center"/>
    </xf>
    <xf numFmtId="176" fontId="24" fillId="13" borderId="33" xfId="86" applyNumberFormat="1" applyFont="1" applyFill="1" applyBorder="1" applyAlignment="1" applyProtection="1">
      <alignment horizontal="center" vertical="center" wrapText="1"/>
    </xf>
    <xf numFmtId="43" fontId="37" fillId="13" borderId="49" xfId="86" applyNumberFormat="1" applyFont="1" applyFill="1" applyBorder="1" applyAlignment="1" applyProtection="1">
      <alignment vertical="center"/>
    </xf>
    <xf numFmtId="176" fontId="37" fillId="0" borderId="0" xfId="86" applyNumberFormat="1" applyFont="1" applyAlignment="1" applyProtection="1">
      <alignment vertical="center"/>
    </xf>
    <xf numFmtId="49" fontId="36" fillId="13" borderId="6" xfId="86" applyNumberFormat="1" applyFont="1" applyFill="1" applyBorder="1" applyAlignment="1" applyProtection="1">
      <alignment horizontal="center" vertical="center" wrapText="1"/>
    </xf>
    <xf numFmtId="43" fontId="37" fillId="13" borderId="16" xfId="86" applyNumberFormat="1" applyFont="1" applyFill="1" applyBorder="1" applyAlignment="1" applyProtection="1">
      <alignment vertical="center"/>
    </xf>
    <xf numFmtId="176" fontId="24" fillId="0" borderId="15" xfId="86" applyNumberFormat="1" applyFont="1" applyBorder="1" applyAlignment="1" applyProtection="1">
      <alignment vertical="center"/>
    </xf>
    <xf numFmtId="43" fontId="38" fillId="0" borderId="6" xfId="86" applyNumberFormat="1" applyFont="1" applyBorder="1" applyAlignment="1" applyProtection="1">
      <alignment vertical="center"/>
    </xf>
    <xf numFmtId="176" fontId="38" fillId="0" borderId="6" xfId="86" applyNumberFormat="1" applyFont="1" applyBorder="1" applyAlignment="1" applyProtection="1">
      <alignment vertical="center"/>
    </xf>
    <xf numFmtId="43" fontId="38" fillId="0" borderId="16" xfId="86" applyNumberFormat="1" applyFont="1" applyBorder="1" applyAlignment="1" applyProtection="1">
      <alignment vertical="center"/>
    </xf>
    <xf numFmtId="176" fontId="38" fillId="0" borderId="0" xfId="86" applyNumberFormat="1" applyFont="1" applyAlignment="1" applyProtection="1">
      <alignment vertical="center"/>
    </xf>
    <xf numFmtId="176" fontId="37" fillId="0" borderId="15" xfId="86" applyNumberFormat="1" applyFont="1" applyBorder="1" applyAlignment="1" applyProtection="1">
      <alignment horizontal="left" vertical="center"/>
    </xf>
    <xf numFmtId="43" fontId="38" fillId="14" borderId="6" xfId="86" applyNumberFormat="1" applyFont="1" applyFill="1" applyBorder="1" applyAlignment="1" applyProtection="1">
      <alignment vertical="center"/>
      <protection locked="0"/>
    </xf>
    <xf numFmtId="176" fontId="4" fillId="0" borderId="6" xfId="86" applyNumberFormat="1" applyFont="1" applyBorder="1" applyAlignment="1" applyProtection="1">
      <alignment vertical="center"/>
      <protection locked="0"/>
    </xf>
    <xf numFmtId="43" fontId="38" fillId="0" borderId="6" xfId="86" applyNumberFormat="1" applyFont="1" applyBorder="1" applyAlignment="1" applyProtection="1">
      <alignment vertical="center"/>
      <protection locked="0"/>
    </xf>
    <xf numFmtId="176" fontId="34" fillId="0" borderId="6" xfId="86" applyNumberFormat="1" applyFont="1" applyBorder="1" applyAlignment="1" applyProtection="1">
      <alignment vertical="center"/>
      <protection locked="0"/>
    </xf>
    <xf numFmtId="43" fontId="103" fillId="14" borderId="16" xfId="86" applyNumberFormat="1" applyFont="1" applyFill="1" applyBorder="1" applyAlignment="1" applyProtection="1">
      <alignment vertical="center"/>
      <protection locked="0"/>
    </xf>
    <xf numFmtId="176" fontId="37" fillId="0" borderId="15" xfId="86" applyNumberFormat="1" applyFont="1" applyBorder="1" applyAlignment="1" applyProtection="1">
      <alignment vertical="center"/>
    </xf>
    <xf numFmtId="43" fontId="37" fillId="14" borderId="6" xfId="102" applyFont="1" applyFill="1" applyBorder="1" applyAlignment="1" applyProtection="1">
      <alignment horizontal="left" vertical="center" shrinkToFit="1"/>
    </xf>
    <xf numFmtId="49" fontId="38" fillId="0" borderId="6" xfId="86" applyNumberFormat="1" applyFont="1" applyBorder="1" applyAlignment="1" applyProtection="1">
      <alignment vertical="center" wrapText="1"/>
      <protection locked="0"/>
    </xf>
    <xf numFmtId="43" fontId="38" fillId="0" borderId="6" xfId="86" applyNumberFormat="1" applyFont="1" applyFill="1" applyBorder="1" applyAlignment="1" applyProtection="1">
      <alignment vertical="center"/>
      <protection locked="0"/>
    </xf>
    <xf numFmtId="49" fontId="38" fillId="0" borderId="6" xfId="86" applyNumberFormat="1" applyFont="1" applyBorder="1" applyAlignment="1" applyProtection="1">
      <alignment horizontal="left" vertical="center" wrapText="1" indent="1"/>
      <protection locked="0"/>
    </xf>
    <xf numFmtId="43" fontId="38" fillId="0" borderId="16" xfId="86" applyNumberFormat="1" applyFont="1" applyFill="1" applyBorder="1" applyAlignment="1" applyProtection="1">
      <alignment vertical="center"/>
      <protection locked="0"/>
    </xf>
    <xf numFmtId="49" fontId="38" fillId="0" borderId="6" xfId="86" applyNumberFormat="1" applyFont="1" applyBorder="1" applyAlignment="1" applyProtection="1">
      <alignment horizontal="left" vertical="center" indent="1"/>
      <protection locked="0"/>
    </xf>
    <xf numFmtId="49" fontId="4" fillId="0" borderId="6" xfId="86" applyNumberFormat="1" applyFont="1" applyBorder="1" applyAlignment="1" applyProtection="1">
      <alignment vertical="center"/>
      <protection locked="0"/>
    </xf>
    <xf numFmtId="43" fontId="38" fillId="14" borderId="16" xfId="86" applyNumberFormat="1" applyFont="1" applyFill="1" applyBorder="1" applyAlignment="1" applyProtection="1">
      <alignment vertical="center"/>
      <protection locked="0"/>
    </xf>
    <xf numFmtId="49" fontId="38" fillId="0" borderId="6" xfId="86" applyNumberFormat="1" applyFont="1" applyFill="1" applyBorder="1" applyAlignment="1" applyProtection="1">
      <alignment vertical="center"/>
      <protection locked="0"/>
    </xf>
    <xf numFmtId="176" fontId="24" fillId="0" borderId="15" xfId="86" applyNumberFormat="1" applyFont="1" applyBorder="1" applyAlignment="1" applyProtection="1">
      <alignment horizontal="center" vertical="center"/>
    </xf>
    <xf numFmtId="207" fontId="38" fillId="0" borderId="6" xfId="78" applyNumberFormat="1" applyFont="1" applyBorder="1" applyAlignment="1" applyProtection="1">
      <alignment vertical="center"/>
    </xf>
    <xf numFmtId="43" fontId="38" fillId="0" borderId="16" xfId="86" applyNumberFormat="1" applyFont="1" applyFill="1" applyBorder="1" applyAlignment="1" applyProtection="1">
      <alignment vertical="center"/>
    </xf>
    <xf numFmtId="49" fontId="38" fillId="0" borderId="6" xfId="86" applyNumberFormat="1" applyFont="1" applyBorder="1" applyAlignment="1" applyProtection="1">
      <alignment vertical="center"/>
      <protection locked="0"/>
    </xf>
    <xf numFmtId="43" fontId="103" fillId="0" borderId="16" xfId="86" applyNumberFormat="1" applyFont="1" applyBorder="1" applyAlignment="1" applyProtection="1">
      <alignment vertical="center"/>
      <protection locked="0"/>
    </xf>
    <xf numFmtId="49" fontId="4" fillId="0" borderId="6" xfId="86" applyNumberFormat="1" applyFont="1" applyBorder="1" applyAlignment="1" applyProtection="1">
      <alignment vertical="center" wrapText="1"/>
      <protection locked="0"/>
    </xf>
    <xf numFmtId="43" fontId="38" fillId="0" borderId="16" xfId="86" applyNumberFormat="1" applyFont="1" applyBorder="1" applyAlignment="1" applyProtection="1">
      <alignment vertical="center"/>
      <protection locked="0"/>
    </xf>
    <xf numFmtId="176" fontId="37" fillId="0" borderId="15" xfId="86" applyNumberFormat="1" applyFont="1" applyFill="1" applyBorder="1" applyAlignment="1" applyProtection="1">
      <alignment vertical="center"/>
    </xf>
    <xf numFmtId="176" fontId="38" fillId="0" borderId="0" xfId="86" applyNumberFormat="1" applyFont="1" applyFill="1" applyAlignment="1" applyProtection="1">
      <alignment vertical="center"/>
      <protection locked="0"/>
    </xf>
    <xf numFmtId="43" fontId="38" fillId="14" borderId="6" xfId="86" applyNumberFormat="1" applyFont="1" applyFill="1" applyBorder="1" applyAlignment="1" applyProtection="1">
      <alignment vertical="center"/>
    </xf>
    <xf numFmtId="49" fontId="38" fillId="0" borderId="6" xfId="86" applyNumberFormat="1" applyFont="1" applyBorder="1" applyAlignment="1" applyProtection="1">
      <alignment vertical="center"/>
    </xf>
    <xf numFmtId="176" fontId="104" fillId="0" borderId="15" xfId="86" applyNumberFormat="1" applyFont="1" applyBorder="1" applyAlignment="1" applyProtection="1">
      <alignment vertical="center"/>
    </xf>
    <xf numFmtId="49" fontId="4" fillId="0" borderId="6" xfId="86" applyNumberFormat="1" applyFont="1" applyFill="1" applyBorder="1" applyAlignment="1" applyProtection="1">
      <alignment vertical="center"/>
      <protection locked="0"/>
    </xf>
    <xf numFmtId="43" fontId="38" fillId="14" borderId="7" xfId="86" applyNumberFormat="1" applyFont="1" applyFill="1" applyBorder="1" applyAlignment="1" applyProtection="1">
      <alignment vertical="center"/>
      <protection locked="0"/>
    </xf>
    <xf numFmtId="49" fontId="4" fillId="0" borderId="6" xfId="80" applyNumberFormat="1" applyFont="1" applyBorder="1" applyAlignment="1" applyProtection="1">
      <alignment horizontal="left" vertical="center"/>
    </xf>
    <xf numFmtId="43" fontId="38" fillId="0" borderId="7" xfId="86" applyNumberFormat="1" applyFont="1" applyFill="1" applyBorder="1" applyAlignment="1" applyProtection="1">
      <alignment vertical="center"/>
      <protection locked="0"/>
    </xf>
    <xf numFmtId="176" fontId="39" fillId="0" borderId="15" xfId="86" applyNumberFormat="1" applyFont="1" applyBorder="1" applyAlignment="1" applyProtection="1">
      <alignment horizontal="center" vertical="center"/>
    </xf>
    <xf numFmtId="43" fontId="38" fillId="0" borderId="0" xfId="86" applyNumberFormat="1" applyFont="1" applyAlignment="1" applyProtection="1">
      <alignment vertical="center"/>
      <protection locked="0"/>
    </xf>
    <xf numFmtId="176" fontId="38" fillId="0" borderId="16" xfId="86" applyNumberFormat="1" applyFont="1" applyBorder="1" applyAlignment="1" applyProtection="1">
      <alignment vertical="center"/>
      <protection locked="0"/>
    </xf>
    <xf numFmtId="176" fontId="105" fillId="0" borderId="16" xfId="86" applyNumberFormat="1" applyFont="1" applyFill="1" applyBorder="1" applyAlignment="1" applyProtection="1">
      <alignment vertical="center"/>
      <protection locked="0"/>
    </xf>
    <xf numFmtId="176" fontId="24" fillId="0" borderId="17" xfId="86" applyNumberFormat="1" applyFont="1" applyBorder="1" applyAlignment="1" applyProtection="1">
      <alignment vertical="center"/>
    </xf>
    <xf numFmtId="43" fontId="38" fillId="14" borderId="18" xfId="86" applyNumberFormat="1" applyFont="1" applyFill="1" applyBorder="1" applyAlignment="1" applyProtection="1">
      <alignment vertical="center"/>
    </xf>
    <xf numFmtId="49" fontId="38" fillId="0" borderId="18" xfId="86" applyNumberFormat="1" applyFont="1" applyBorder="1" applyAlignment="1" applyProtection="1">
      <alignment vertical="center"/>
    </xf>
    <xf numFmtId="43" fontId="38" fillId="0" borderId="19" xfId="86" applyNumberFormat="1" applyFont="1" applyBorder="1" applyAlignment="1" applyProtection="1">
      <alignment vertical="center"/>
    </xf>
    <xf numFmtId="43" fontId="38" fillId="0" borderId="18" xfId="86" applyNumberFormat="1" applyFont="1" applyBorder="1" applyAlignment="1" applyProtection="1">
      <alignment vertical="center"/>
    </xf>
    <xf numFmtId="49" fontId="38" fillId="0" borderId="0" xfId="86" applyNumberFormat="1" applyFont="1" applyAlignment="1" applyProtection="1">
      <alignment horizontal="center" vertical="center"/>
    </xf>
    <xf numFmtId="49" fontId="38" fillId="0" borderId="0" xfId="86" applyNumberFormat="1" applyFont="1" applyAlignment="1" applyProtection="1">
      <alignment vertical="center"/>
      <protection locked="0"/>
    </xf>
    <xf numFmtId="0" fontId="106" fillId="0" borderId="0" xfId="0" applyFont="1" applyAlignment="1" applyProtection="1">
      <alignment vertical="center"/>
      <protection locked="0"/>
    </xf>
    <xf numFmtId="0" fontId="35" fillId="0" borderId="0" xfId="0" applyFont="1" applyAlignment="1" applyProtection="1">
      <protection locked="0"/>
    </xf>
    <xf numFmtId="49" fontId="35" fillId="0" borderId="0" xfId="0" applyNumberFormat="1" applyFont="1" applyAlignment="1" applyProtection="1">
      <protection locked="0"/>
    </xf>
    <xf numFmtId="0" fontId="35" fillId="0" borderId="0" xfId="0" applyFont="1" applyFill="1" applyAlignment="1" applyProtection="1">
      <protection locked="0"/>
    </xf>
    <xf numFmtId="0" fontId="104" fillId="0" borderId="0" xfId="0" applyFont="1" applyAlignment="1" applyProtection="1">
      <alignment vertical="center"/>
      <protection locked="0"/>
    </xf>
    <xf numFmtId="0" fontId="107" fillId="0" borderId="0" xfId="0" applyFont="1" applyAlignment="1" applyProtection="1">
      <alignment vertical="center"/>
      <protection locked="0"/>
    </xf>
    <xf numFmtId="43" fontId="38" fillId="0" borderId="0" xfId="86" applyNumberFormat="1" applyFont="1" applyBorder="1" applyAlignment="1" applyProtection="1">
      <alignment vertical="center"/>
      <protection locked="0"/>
    </xf>
    <xf numFmtId="43" fontId="37" fillId="0" borderId="0" xfId="86" applyNumberFormat="1" applyFont="1" applyBorder="1" applyAlignment="1" applyProtection="1">
      <alignment vertical="center"/>
      <protection locked="0"/>
    </xf>
    <xf numFmtId="176" fontId="37" fillId="0" borderId="0" xfId="86" applyNumberFormat="1" applyFont="1" applyBorder="1" applyAlignment="1" applyProtection="1">
      <alignment vertical="center"/>
      <protection locked="0"/>
    </xf>
    <xf numFmtId="43" fontId="24" fillId="0" borderId="51" xfId="0" applyNumberFormat="1" applyFont="1" applyBorder="1" applyAlignment="1" applyProtection="1">
      <alignment vertical="center"/>
      <protection locked="0"/>
    </xf>
    <xf numFmtId="49" fontId="39" fillId="0" borderId="51" xfId="87" applyNumberFormat="1" applyFont="1" applyBorder="1" applyAlignment="1">
      <alignment horizontal="left" vertical="center"/>
    </xf>
    <xf numFmtId="176" fontId="39" fillId="0" borderId="0" xfId="86" applyNumberFormat="1" applyFont="1" applyAlignment="1" applyProtection="1">
      <alignment vertical="center"/>
      <protection locked="0"/>
    </xf>
    <xf numFmtId="49" fontId="39" fillId="0" borderId="0" xfId="86" applyNumberFormat="1" applyFont="1" applyAlignment="1" applyProtection="1">
      <alignment vertical="center"/>
      <protection locked="0"/>
    </xf>
    <xf numFmtId="43" fontId="39" fillId="0" borderId="0" xfId="87" applyNumberFormat="1" applyFont="1" applyBorder="1" applyAlignment="1">
      <alignment vertical="center"/>
    </xf>
    <xf numFmtId="176" fontId="39" fillId="0" borderId="0" xfId="86" applyNumberFormat="1" applyFont="1" applyBorder="1" applyAlignment="1" applyProtection="1">
      <alignment vertical="center"/>
      <protection locked="0"/>
    </xf>
    <xf numFmtId="176" fontId="24" fillId="0" borderId="33" xfId="86" applyNumberFormat="1" applyFont="1" applyBorder="1" applyAlignment="1" applyProtection="1">
      <alignment horizontal="center" vertical="center" wrapText="1"/>
    </xf>
    <xf numFmtId="176" fontId="37" fillId="0" borderId="0" xfId="86" applyNumberFormat="1" applyFont="1" applyBorder="1" applyAlignment="1" applyProtection="1">
      <alignment vertical="center"/>
    </xf>
    <xf numFmtId="49" fontId="36" fillId="0" borderId="52" xfId="86" applyNumberFormat="1" applyFont="1" applyBorder="1" applyAlignment="1" applyProtection="1">
      <alignment horizontal="center" vertical="center" wrapText="1"/>
    </xf>
    <xf numFmtId="43" fontId="39" fillId="0" borderId="53" xfId="86" applyNumberFormat="1" applyFont="1" applyBorder="1" applyAlignment="1" applyProtection="1">
      <alignment vertical="center"/>
    </xf>
    <xf numFmtId="49" fontId="39" fillId="0" borderId="0" xfId="86" applyNumberFormat="1" applyFont="1" applyBorder="1" applyAlignment="1" applyProtection="1">
      <alignment horizontal="center" vertical="center" wrapText="1"/>
    </xf>
    <xf numFmtId="49" fontId="36" fillId="0" borderId="0" xfId="86" applyNumberFormat="1" applyFont="1" applyBorder="1" applyAlignment="1" applyProtection="1">
      <alignment horizontal="center" vertical="center" wrapText="1"/>
    </xf>
    <xf numFmtId="43" fontId="13" fillId="0" borderId="15" xfId="86" applyNumberFormat="1" applyFont="1" applyBorder="1" applyAlignment="1" applyProtection="1">
      <alignment vertical="center"/>
    </xf>
    <xf numFmtId="43" fontId="37" fillId="14" borderId="6" xfId="86" applyNumberFormat="1" applyFont="1" applyFill="1" applyBorder="1" applyAlignment="1" applyProtection="1">
      <alignment vertical="center"/>
    </xf>
    <xf numFmtId="43" fontId="37" fillId="0" borderId="15" xfId="86" applyNumberFormat="1" applyFont="1" applyBorder="1" applyAlignment="1" applyProtection="1">
      <alignment vertical="center"/>
    </xf>
    <xf numFmtId="49" fontId="37" fillId="0" borderId="8" xfId="86" applyNumberFormat="1" applyFont="1" applyBorder="1" applyAlignment="1" applyProtection="1">
      <alignment horizontal="center" vertical="center"/>
    </xf>
    <xf numFmtId="176" fontId="37" fillId="0" borderId="6" xfId="86" applyNumberFormat="1" applyFont="1" applyBorder="1" applyAlignment="1">
      <alignment vertical="center"/>
    </xf>
    <xf numFmtId="43" fontId="103" fillId="14" borderId="6" xfId="86" applyNumberFormat="1" applyFont="1" applyFill="1" applyBorder="1" applyAlignment="1" applyProtection="1">
      <alignment vertical="center"/>
      <protection locked="0"/>
    </xf>
    <xf numFmtId="176" fontId="38" fillId="0" borderId="6" xfId="86" applyNumberFormat="1" applyFont="1" applyBorder="1" applyAlignment="1" applyProtection="1">
      <alignment horizontal="right" vertical="center"/>
      <protection locked="0"/>
    </xf>
    <xf numFmtId="176" fontId="38" fillId="0" borderId="0" xfId="86" applyNumberFormat="1" applyFont="1" applyBorder="1" applyAlignment="1" applyProtection="1">
      <alignment horizontal="right" vertical="center"/>
      <protection locked="0"/>
    </xf>
    <xf numFmtId="43" fontId="103" fillId="0" borderId="6" xfId="86" applyNumberFormat="1" applyFont="1" applyFill="1" applyBorder="1" applyAlignment="1" applyProtection="1">
      <alignment vertical="center"/>
      <protection locked="0"/>
    </xf>
    <xf numFmtId="43" fontId="37" fillId="0" borderId="15" xfId="86" applyNumberFormat="1" applyFont="1" applyBorder="1" applyAlignment="1" applyProtection="1">
      <alignment vertical="center" wrapText="1"/>
    </xf>
    <xf numFmtId="43" fontId="103" fillId="0" borderId="6" xfId="86" applyNumberFormat="1" applyFont="1" applyBorder="1" applyAlignment="1" applyProtection="1">
      <alignment vertical="center"/>
      <protection locked="0"/>
    </xf>
    <xf numFmtId="43" fontId="109" fillId="0" borderId="6" xfId="86" applyNumberFormat="1" applyFont="1" applyBorder="1" applyAlignment="1" applyProtection="1">
      <alignment horizontal="center" vertical="center"/>
      <protection locked="0"/>
    </xf>
    <xf numFmtId="43" fontId="38" fillId="0" borderId="0" xfId="86" applyNumberFormat="1" applyFont="1" applyFill="1" applyBorder="1" applyAlignment="1" applyProtection="1">
      <alignment vertical="center"/>
      <protection locked="0"/>
    </xf>
    <xf numFmtId="43" fontId="110" fillId="0" borderId="6" xfId="86" applyNumberFormat="1" applyFont="1" applyBorder="1" applyAlignment="1" applyProtection="1">
      <alignment horizontal="center" vertical="center"/>
      <protection locked="0"/>
    </xf>
    <xf numFmtId="43" fontId="110" fillId="14" borderId="6" xfId="86" applyNumberFormat="1" applyFont="1" applyFill="1" applyBorder="1" applyAlignment="1" applyProtection="1">
      <alignment horizontal="center" vertical="center"/>
      <protection locked="0"/>
    </xf>
    <xf numFmtId="43" fontId="110" fillId="14" borderId="6" xfId="86" applyNumberFormat="1" applyFont="1" applyFill="1" applyBorder="1" applyAlignment="1" applyProtection="1">
      <alignment vertical="center"/>
      <protection locked="0"/>
    </xf>
    <xf numFmtId="49" fontId="4" fillId="0" borderId="6" xfId="86" applyNumberFormat="1" applyFont="1" applyBorder="1" applyAlignment="1" applyProtection="1">
      <alignment horizontal="left" vertical="center" indent="1"/>
      <protection locked="0"/>
    </xf>
    <xf numFmtId="43" fontId="39" fillId="0" borderId="15" xfId="86" applyNumberFormat="1" applyFont="1" applyBorder="1" applyAlignment="1" applyProtection="1">
      <alignment vertical="center"/>
    </xf>
    <xf numFmtId="43" fontId="38" fillId="0" borderId="0" xfId="86" applyNumberFormat="1" applyFont="1" applyBorder="1" applyAlignment="1" applyProtection="1">
      <alignment vertical="center"/>
    </xf>
    <xf numFmtId="43" fontId="39" fillId="0" borderId="17" xfId="86" applyNumberFormat="1" applyFont="1" applyBorder="1" applyAlignment="1" applyProtection="1">
      <alignment vertical="center"/>
    </xf>
    <xf numFmtId="43" fontId="38" fillId="0" borderId="0" xfId="86" applyNumberFormat="1" applyFont="1" applyAlignment="1" applyProtection="1">
      <alignment vertical="center"/>
    </xf>
    <xf numFmtId="43" fontId="111" fillId="0" borderId="0" xfId="86" applyNumberFormat="1" applyFont="1" applyAlignment="1" applyProtection="1">
      <alignment vertical="center"/>
    </xf>
    <xf numFmtId="0" fontId="112" fillId="0" borderId="0" xfId="86" applyNumberFormat="1" applyFont="1" applyAlignment="1" applyProtection="1">
      <alignment vertical="center"/>
    </xf>
    <xf numFmtId="0" fontId="87" fillId="0" borderId="0" xfId="86" applyNumberFormat="1" applyFont="1" applyAlignment="1" applyProtection="1">
      <alignment vertical="center"/>
    </xf>
    <xf numFmtId="43" fontId="87" fillId="0" borderId="0" xfId="86" applyNumberFormat="1" applyFont="1" applyAlignment="1" applyProtection="1">
      <alignment vertical="center"/>
    </xf>
    <xf numFmtId="49" fontId="34" fillId="0" borderId="6" xfId="86" applyNumberFormat="1" applyFont="1" applyBorder="1" applyAlignment="1" applyProtection="1">
      <alignment vertical="center"/>
      <protection locked="0"/>
    </xf>
    <xf numFmtId="43" fontId="115" fillId="0" borderId="0" xfId="85" applyNumberFormat="1" applyFont="1" applyAlignment="1" applyProtection="1">
      <alignment vertical="center"/>
      <protection locked="0"/>
    </xf>
    <xf numFmtId="176" fontId="116" fillId="0" borderId="0" xfId="86" applyNumberFormat="1" applyFont="1" applyAlignment="1" applyProtection="1">
      <alignment vertical="center"/>
      <protection locked="0"/>
    </xf>
    <xf numFmtId="176" fontId="117" fillId="0" borderId="0" xfId="81" applyNumberFormat="1" applyFont="1" applyAlignment="1" applyProtection="1">
      <alignment horizontal="left" vertical="center"/>
    </xf>
    <xf numFmtId="176" fontId="116" fillId="0" borderId="0" xfId="81" applyNumberFormat="1" applyFont="1" applyBorder="1" applyAlignment="1" applyProtection="1">
      <alignment horizontal="left" vertical="center"/>
    </xf>
    <xf numFmtId="43" fontId="99" fillId="0" borderId="6" xfId="102" applyFont="1" applyFill="1" applyBorder="1" applyAlignment="1">
      <alignment horizontal="right" vertical="center"/>
    </xf>
    <xf numFmtId="43" fontId="37" fillId="0" borderId="6" xfId="102" applyFont="1" applyBorder="1" applyProtection="1">
      <protection locked="0"/>
    </xf>
    <xf numFmtId="0" fontId="37" fillId="0" borderId="0" xfId="0" applyFont="1" applyFill="1" applyAlignment="1" applyProtection="1">
      <alignment vertical="center"/>
    </xf>
    <xf numFmtId="43" fontId="99" fillId="14" borderId="7" xfId="102" applyFont="1" applyFill="1" applyBorder="1" applyAlignment="1">
      <alignment horizontal="right" vertical="center"/>
    </xf>
    <xf numFmtId="43" fontId="38" fillId="0" borderId="0" xfId="102" applyFont="1" applyAlignment="1" applyProtection="1">
      <alignment vertical="center" shrinkToFit="1"/>
      <protection locked="0"/>
    </xf>
    <xf numFmtId="43" fontId="38" fillId="0" borderId="43" xfId="102" applyNumberFormat="1" applyFont="1" applyFill="1" applyBorder="1" applyAlignment="1" applyProtection="1">
      <alignment horizontal="right" vertical="center" shrinkToFit="1"/>
    </xf>
    <xf numFmtId="0" fontId="37" fillId="0" borderId="0" xfId="0" applyFont="1" applyFill="1" applyBorder="1" applyAlignment="1" applyProtection="1">
      <alignment vertical="center"/>
    </xf>
    <xf numFmtId="43" fontId="39" fillId="0" borderId="22" xfId="85" applyNumberFormat="1" applyFont="1" applyFill="1" applyBorder="1" applyAlignment="1" applyProtection="1">
      <alignment horizontal="center"/>
      <protection locked="0"/>
    </xf>
    <xf numFmtId="43" fontId="39" fillId="0" borderId="22" xfId="85" applyNumberFormat="1" applyFont="1" applyFill="1" applyBorder="1" applyAlignment="1" applyProtection="1">
      <alignment horizontal="center" shrinkToFit="1"/>
      <protection locked="0"/>
    </xf>
    <xf numFmtId="43" fontId="120" fillId="0" borderId="22" xfId="0" applyNumberFormat="1" applyFont="1" applyFill="1" applyBorder="1" applyAlignment="1" applyProtection="1">
      <alignment horizontal="center" vertical="center"/>
    </xf>
    <xf numFmtId="0" fontId="121" fillId="0" borderId="22" xfId="0" applyNumberFormat="1" applyFont="1" applyFill="1" applyBorder="1" applyAlignment="1" applyProtection="1">
      <alignment horizontal="left" vertical="center"/>
    </xf>
    <xf numFmtId="43" fontId="37" fillId="0" borderId="0" xfId="85" applyNumberFormat="1" applyFont="1" applyFill="1" applyAlignment="1" applyProtection="1">
      <alignment horizontal="center" vertical="center"/>
      <protection locked="0"/>
    </xf>
    <xf numFmtId="43" fontId="37" fillId="0" borderId="0" xfId="85" applyNumberFormat="1" applyFont="1" applyFill="1" applyAlignment="1" applyProtection="1">
      <alignment shrinkToFit="1"/>
      <protection locked="0"/>
    </xf>
    <xf numFmtId="0" fontId="120" fillId="0" borderId="3" xfId="0" applyNumberFormat="1" applyFont="1" applyFill="1" applyBorder="1" applyAlignment="1" applyProtection="1">
      <alignment horizontal="center" vertical="center"/>
    </xf>
    <xf numFmtId="0" fontId="37" fillId="0" borderId="0" xfId="0" applyFont="1" applyFill="1" applyBorder="1" applyAlignment="1" applyProtection="1">
      <alignment horizontal="center" vertical="center"/>
    </xf>
    <xf numFmtId="43" fontId="37" fillId="0" borderId="0" xfId="85" applyNumberFormat="1" applyFont="1" applyFill="1" applyAlignment="1" applyProtection="1">
      <alignment vertical="center" shrinkToFit="1"/>
      <protection locked="0"/>
    </xf>
    <xf numFmtId="0" fontId="37" fillId="0" borderId="0" xfId="0" applyFont="1" applyFill="1" applyAlignment="1" applyProtection="1">
      <alignment horizontal="center" vertical="center"/>
    </xf>
    <xf numFmtId="0" fontId="100" fillId="0" borderId="3" xfId="0" applyFont="1" applyFill="1" applyBorder="1" applyAlignment="1" applyProtection="1">
      <alignment vertical="center" shrinkToFit="1"/>
    </xf>
    <xf numFmtId="0" fontId="37" fillId="0" borderId="3" xfId="0" applyNumberFormat="1" applyFont="1" applyFill="1" applyBorder="1" applyAlignment="1" applyProtection="1">
      <alignment horizontal="center" vertical="center" shrinkToFit="1"/>
    </xf>
    <xf numFmtId="0" fontId="37" fillId="0" borderId="3" xfId="0" applyFont="1" applyFill="1" applyBorder="1" applyAlignment="1" applyProtection="1">
      <alignment vertical="center" shrinkToFit="1"/>
    </xf>
    <xf numFmtId="178" fontId="100" fillId="0" borderId="3" xfId="0" applyNumberFormat="1" applyFont="1" applyFill="1" applyBorder="1" applyAlignment="1" applyProtection="1">
      <alignment horizontal="left" vertical="center" shrinkToFit="1"/>
    </xf>
    <xf numFmtId="0" fontId="37" fillId="0" borderId="3" xfId="0" applyNumberFormat="1" applyFont="1" applyFill="1" applyBorder="1" applyAlignment="1" applyProtection="1">
      <alignment vertical="center" shrinkToFit="1"/>
    </xf>
    <xf numFmtId="178" fontId="37" fillId="0" borderId="3" xfId="0" applyNumberFormat="1" applyFont="1" applyFill="1" applyBorder="1" applyAlignment="1" applyProtection="1">
      <alignment horizontal="left" vertical="center" shrinkToFit="1"/>
    </xf>
    <xf numFmtId="189" fontId="37" fillId="0" borderId="3" xfId="0" applyNumberFormat="1" applyFont="1" applyFill="1" applyBorder="1" applyAlignment="1" applyProtection="1">
      <alignment vertical="center" shrinkToFit="1"/>
    </xf>
    <xf numFmtId="0" fontId="37" fillId="0" borderId="0" xfId="0" applyFont="1" applyFill="1" applyBorder="1" applyAlignment="1" applyProtection="1">
      <alignment vertical="center" shrinkToFit="1"/>
    </xf>
    <xf numFmtId="43" fontId="122" fillId="0" borderId="0" xfId="85" applyNumberFormat="1" applyFont="1" applyFill="1" applyBorder="1" applyAlignment="1" applyProtection="1">
      <alignment shrinkToFit="1"/>
      <protection locked="0"/>
    </xf>
    <xf numFmtId="178" fontId="37" fillId="0" borderId="3" xfId="0" applyNumberFormat="1" applyFont="1" applyFill="1" applyBorder="1" applyAlignment="1" applyProtection="1">
      <alignment horizontal="left" vertical="center" shrinkToFit="1"/>
      <protection locked="0"/>
    </xf>
    <xf numFmtId="0" fontId="37" fillId="0" borderId="3" xfId="0" applyFont="1" applyFill="1" applyBorder="1" applyAlignment="1" applyProtection="1">
      <alignment vertical="center" shrinkToFit="1"/>
      <protection locked="0"/>
    </xf>
    <xf numFmtId="43" fontId="37" fillId="0" borderId="0" xfId="85" applyNumberFormat="1" applyFont="1" applyFill="1" applyAlignment="1" applyProtection="1">
      <alignment horizontal="center"/>
      <protection locked="0"/>
    </xf>
    <xf numFmtId="43" fontId="37" fillId="0" borderId="0" xfId="85" applyNumberFormat="1" applyFont="1" applyFill="1" applyBorder="1" applyAlignment="1" applyProtection="1">
      <alignment horizontal="left" shrinkToFit="1"/>
      <protection locked="0"/>
    </xf>
    <xf numFmtId="178" fontId="39" fillId="0" borderId="3" xfId="0" applyNumberFormat="1" applyFont="1" applyFill="1" applyBorder="1" applyAlignment="1" applyProtection="1">
      <alignment horizontal="left" vertical="center" shrinkToFit="1"/>
    </xf>
    <xf numFmtId="0" fontId="37" fillId="0" borderId="3" xfId="0" applyFont="1" applyFill="1" applyBorder="1" applyAlignment="1" applyProtection="1">
      <alignment vertical="center" wrapText="1" shrinkToFit="1"/>
      <protection locked="0"/>
    </xf>
    <xf numFmtId="0" fontId="37" fillId="0" borderId="3" xfId="0" applyFont="1" applyFill="1" applyBorder="1" applyAlignment="1" applyProtection="1">
      <alignment horizontal="left" vertical="center" shrinkToFit="1"/>
    </xf>
    <xf numFmtId="178" fontId="39" fillId="0" borderId="3" xfId="0" applyNumberFormat="1" applyFont="1" applyFill="1" applyBorder="1" applyAlignment="1" applyProtection="1">
      <alignment horizontal="center" vertical="center" shrinkToFit="1"/>
    </xf>
    <xf numFmtId="0" fontId="39" fillId="0" borderId="3" xfId="0" applyFont="1" applyFill="1" applyBorder="1" applyAlignment="1" applyProtection="1">
      <alignment horizontal="center" vertical="center" shrinkToFit="1"/>
    </xf>
    <xf numFmtId="43" fontId="39" fillId="0" borderId="0" xfId="85" applyNumberFormat="1" applyFont="1" applyFill="1" applyBorder="1" applyAlignment="1" applyProtection="1">
      <alignment horizontal="center" shrinkToFit="1"/>
      <protection locked="0"/>
    </xf>
    <xf numFmtId="43" fontId="39" fillId="0" borderId="3" xfId="102" applyFont="1" applyFill="1" applyBorder="1" applyAlignment="1" applyProtection="1">
      <alignment horizontal="left" vertical="center" shrinkToFit="1"/>
    </xf>
    <xf numFmtId="0" fontId="37" fillId="0" borderId="3" xfId="0" applyFont="1" applyFill="1" applyBorder="1" applyAlignment="1" applyProtection="1">
      <alignment horizontal="left" vertical="center" indent="1" shrinkToFit="1"/>
    </xf>
    <xf numFmtId="189" fontId="37" fillId="0" borderId="3" xfId="0" applyNumberFormat="1" applyFont="1" applyFill="1" applyBorder="1" applyAlignment="1" applyProtection="1">
      <alignment horizontal="left" vertical="center" shrinkToFit="1"/>
    </xf>
    <xf numFmtId="0" fontId="39" fillId="0" borderId="3" xfId="0" applyFont="1" applyFill="1" applyBorder="1" applyAlignment="1" applyProtection="1">
      <alignment vertical="center" shrinkToFit="1"/>
    </xf>
    <xf numFmtId="0" fontId="123" fillId="0" borderId="3" xfId="0" applyFont="1" applyFill="1" applyBorder="1" applyAlignment="1" applyProtection="1">
      <alignment horizontal="center" vertical="center" shrinkToFit="1"/>
    </xf>
    <xf numFmtId="43" fontId="37" fillId="0" borderId="0" xfId="0" applyNumberFormat="1" applyFont="1" applyFill="1" applyAlignment="1" applyProtection="1">
      <alignment vertical="center"/>
    </xf>
    <xf numFmtId="0" fontId="37" fillId="0" borderId="0" xfId="0" applyNumberFormat="1" applyFont="1" applyFill="1" applyAlignment="1" applyProtection="1">
      <alignment vertical="center"/>
    </xf>
    <xf numFmtId="0" fontId="37" fillId="0" borderId="0" xfId="0" applyNumberFormat="1" applyFont="1" applyFill="1" applyAlignment="1" applyProtection="1">
      <alignment horizontal="center" vertical="center"/>
    </xf>
    <xf numFmtId="43" fontId="37" fillId="0" borderId="0" xfId="0" applyNumberFormat="1" applyFont="1" applyFill="1" applyBorder="1" applyAlignment="1" applyProtection="1">
      <alignment vertical="center"/>
    </xf>
    <xf numFmtId="43" fontId="37" fillId="0" borderId="0" xfId="0" applyNumberFormat="1" applyFont="1" applyFill="1" applyAlignment="1" applyProtection="1">
      <alignment horizontal="center" vertical="center"/>
    </xf>
    <xf numFmtId="0" fontId="37" fillId="13" borderId="0" xfId="0" applyFont="1" applyFill="1" applyAlignment="1" applyProtection="1">
      <alignment vertical="center"/>
      <protection hidden="1"/>
    </xf>
    <xf numFmtId="176" fontId="37" fillId="0" borderId="6" xfId="102" applyNumberFormat="1" applyFont="1" applyFill="1" applyBorder="1" applyAlignment="1" applyProtection="1">
      <alignment horizontal="right" vertical="center" shrinkToFit="1"/>
    </xf>
    <xf numFmtId="176" fontId="37" fillId="0" borderId="16" xfId="102" applyNumberFormat="1" applyFont="1" applyFill="1" applyBorder="1" applyAlignment="1" applyProtection="1">
      <alignment horizontal="right" vertical="center" shrinkToFit="1"/>
    </xf>
    <xf numFmtId="43" fontId="37" fillId="0" borderId="6" xfId="102" applyNumberFormat="1" applyFont="1" applyFill="1" applyBorder="1" applyAlignment="1" applyProtection="1">
      <alignment horizontal="right" vertical="center" shrinkToFit="1"/>
      <protection locked="0"/>
    </xf>
    <xf numFmtId="43" fontId="37" fillId="0" borderId="6" xfId="102" applyFont="1" applyFill="1" applyBorder="1" applyAlignment="1" applyProtection="1">
      <alignment horizontal="right" vertical="center" shrinkToFit="1"/>
      <protection locked="0"/>
    </xf>
    <xf numFmtId="43" fontId="37" fillId="0" borderId="16" xfId="102" applyNumberFormat="1" applyFont="1" applyFill="1" applyBorder="1" applyAlignment="1" applyProtection="1">
      <alignment horizontal="right" vertical="center" shrinkToFit="1"/>
      <protection locked="0"/>
    </xf>
    <xf numFmtId="43" fontId="37" fillId="0" borderId="6" xfId="102" applyNumberFormat="1" applyFont="1" applyFill="1" applyBorder="1" applyAlignment="1" applyProtection="1">
      <alignment horizontal="right" vertical="center" shrinkToFit="1"/>
    </xf>
    <xf numFmtId="43" fontId="37" fillId="0" borderId="16" xfId="102" applyNumberFormat="1" applyFont="1" applyFill="1" applyBorder="1" applyAlignment="1" applyProtection="1">
      <alignment horizontal="right" vertical="center" shrinkToFit="1"/>
    </xf>
    <xf numFmtId="0" fontId="37" fillId="0" borderId="0" xfId="0" applyFont="1" applyFill="1" applyAlignment="1" applyProtection="1">
      <alignment vertical="center" shrinkToFit="1"/>
    </xf>
    <xf numFmtId="0" fontId="116" fillId="0" borderId="0" xfId="0" applyFont="1" applyFill="1" applyAlignment="1" applyProtection="1">
      <alignment horizontal="right" vertical="center"/>
    </xf>
    <xf numFmtId="31" fontId="39" fillId="13" borderId="49" xfId="103" applyNumberFormat="1" applyFont="1" applyFill="1" applyBorder="1" applyAlignment="1" applyProtection="1">
      <alignment horizontal="center" vertical="center"/>
    </xf>
    <xf numFmtId="31" fontId="39" fillId="13" borderId="61" xfId="0" applyNumberFormat="1" applyFont="1" applyFill="1" applyBorder="1" applyAlignment="1" applyProtection="1">
      <alignment horizontal="center" vertical="center" shrinkToFit="1"/>
    </xf>
    <xf numFmtId="0" fontId="89" fillId="13" borderId="46" xfId="0" applyFont="1" applyFill="1" applyBorder="1" applyAlignment="1" applyProtection="1">
      <alignment horizontal="center" vertical="center" shrinkToFit="1"/>
    </xf>
    <xf numFmtId="14" fontId="125" fillId="6" borderId="0" xfId="0" applyNumberFormat="1" applyFont="1" applyFill="1" applyAlignment="1" applyProtection="1">
      <alignment vertical="center"/>
    </xf>
    <xf numFmtId="0" fontId="89" fillId="6" borderId="0" xfId="0" applyFont="1" applyFill="1" applyAlignment="1" applyProtection="1">
      <alignment vertical="center"/>
    </xf>
    <xf numFmtId="14" fontId="127" fillId="6" borderId="0" xfId="0" applyNumberFormat="1" applyFont="1" applyFill="1" applyAlignment="1" applyProtection="1">
      <alignment horizontal="center" vertical="center"/>
    </xf>
    <xf numFmtId="14" fontId="89" fillId="6" borderId="0" xfId="102" applyNumberFormat="1" applyFont="1" applyFill="1" applyAlignment="1" applyProtection="1">
      <alignment vertical="center"/>
    </xf>
    <xf numFmtId="14" fontId="127" fillId="6" borderId="0" xfId="102" applyNumberFormat="1" applyFont="1" applyFill="1" applyAlignment="1" applyProtection="1">
      <alignment vertical="center"/>
    </xf>
    <xf numFmtId="0" fontId="89" fillId="6" borderId="0" xfId="0" applyFont="1" applyFill="1" applyAlignment="1" applyProtection="1">
      <alignment vertical="center" shrinkToFit="1"/>
    </xf>
    <xf numFmtId="31" fontId="89" fillId="6" borderId="28" xfId="102" applyNumberFormat="1" applyFont="1" applyFill="1" applyBorder="1" applyAlignment="1" applyProtection="1">
      <alignment horizontal="right" vertical="center" shrinkToFit="1"/>
    </xf>
    <xf numFmtId="176" fontId="101" fillId="13" borderId="39" xfId="0" applyNumberFormat="1" applyFont="1" applyFill="1" applyBorder="1" applyAlignment="1" applyProtection="1">
      <alignment horizontal="center" vertical="center" shrinkToFit="1"/>
    </xf>
    <xf numFmtId="3" fontId="101" fillId="13" borderId="48" xfId="0" applyNumberFormat="1" applyFont="1" applyFill="1" applyBorder="1" applyAlignment="1" applyProtection="1">
      <alignment horizontal="center" vertical="center" wrapText="1" shrinkToFit="1"/>
    </xf>
    <xf numFmtId="0" fontId="101" fillId="13" borderId="48" xfId="0" applyFont="1" applyFill="1" applyBorder="1" applyAlignment="1" applyProtection="1">
      <alignment horizontal="center" vertical="center" wrapText="1" shrinkToFit="1"/>
    </xf>
    <xf numFmtId="3" fontId="89" fillId="13" borderId="13" xfId="0" applyNumberFormat="1" applyFont="1" applyFill="1" applyBorder="1" applyAlignment="1" applyProtection="1">
      <alignment horizontal="center" vertical="center" shrinkToFit="1"/>
    </xf>
    <xf numFmtId="0" fontId="89" fillId="0" borderId="13" xfId="0" applyFont="1" applyFill="1" applyBorder="1" applyAlignment="1" applyProtection="1">
      <alignment horizontal="center" vertical="center" shrinkToFit="1"/>
    </xf>
    <xf numFmtId="0" fontId="89" fillId="0" borderId="13" xfId="0" applyFont="1" applyFill="1" applyBorder="1" applyAlignment="1" applyProtection="1">
      <alignment horizontal="center" vertical="center" shrinkToFit="1"/>
      <protection locked="0"/>
    </xf>
    <xf numFmtId="0" fontId="89" fillId="0" borderId="13" xfId="0" applyFont="1" applyFill="1" applyBorder="1" applyAlignment="1" applyProtection="1">
      <alignment horizontal="left" vertical="center" shrinkToFit="1"/>
    </xf>
    <xf numFmtId="176" fontId="89" fillId="13" borderId="23" xfId="0" applyNumberFormat="1" applyFont="1" applyFill="1" applyBorder="1" applyAlignment="1" applyProtection="1">
      <alignment horizontal="left" vertical="center" shrinkToFit="1"/>
    </xf>
    <xf numFmtId="0" fontId="89" fillId="0" borderId="0" xfId="0" applyFont="1" applyFill="1" applyAlignment="1" applyProtection="1">
      <alignment horizontal="left" vertical="center"/>
      <protection hidden="1"/>
    </xf>
    <xf numFmtId="43" fontId="89" fillId="0" borderId="0" xfId="102" applyFont="1" applyFill="1" applyBorder="1" applyAlignment="1" applyProtection="1">
      <alignment horizontal="center" vertical="center" shrinkToFit="1"/>
      <protection hidden="1"/>
    </xf>
    <xf numFmtId="43" fontId="89" fillId="0" borderId="0" xfId="102" applyFont="1" applyFill="1" applyBorder="1" applyAlignment="1" applyProtection="1">
      <alignment vertical="center" shrinkToFit="1"/>
      <protection hidden="1"/>
    </xf>
    <xf numFmtId="43" fontId="89" fillId="0" borderId="0" xfId="0" applyNumberFormat="1" applyFont="1" applyFill="1" applyAlignment="1" applyProtection="1">
      <alignment vertical="center"/>
      <protection locked="0"/>
    </xf>
    <xf numFmtId="43" fontId="37" fillId="0" borderId="6" xfId="102" applyFont="1" applyBorder="1" applyAlignment="1" applyProtection="1">
      <alignment vertical="center"/>
    </xf>
    <xf numFmtId="4" fontId="124" fillId="15" borderId="0" xfId="0" applyNumberFormat="1" applyFont="1" applyFill="1" applyAlignment="1" applyProtection="1">
      <alignment horizontal="center" vertical="center" shrinkToFit="1"/>
    </xf>
    <xf numFmtId="4" fontId="123" fillId="15" borderId="0" xfId="0" applyNumberFormat="1" applyFont="1" applyFill="1" applyAlignment="1" applyProtection="1">
      <alignment horizontal="center" vertical="center" shrinkToFit="1"/>
    </xf>
    <xf numFmtId="4" fontId="125" fillId="6" borderId="0" xfId="0" applyNumberFormat="1" applyFont="1" applyFill="1" applyAlignment="1" applyProtection="1">
      <alignment horizontal="center" vertical="center" shrinkToFit="1"/>
    </xf>
    <xf numFmtId="0" fontId="37" fillId="0" borderId="32" xfId="0" applyFont="1" applyFill="1" applyBorder="1" applyAlignment="1" applyProtection="1">
      <alignment horizontal="center" vertical="center" shrinkToFit="1"/>
    </xf>
    <xf numFmtId="43" fontId="38" fillId="0" borderId="25" xfId="102" applyNumberFormat="1" applyFont="1" applyFill="1" applyBorder="1" applyAlignment="1" applyProtection="1">
      <alignment horizontal="right" vertical="center" shrinkToFit="1"/>
    </xf>
    <xf numFmtId="0" fontId="89" fillId="0" borderId="0" xfId="0" applyFont="1">
      <protection locked="0"/>
    </xf>
    <xf numFmtId="43" fontId="101" fillId="0" borderId="0" xfId="84" applyNumberFormat="1" applyFont="1" applyBorder="1" applyAlignment="1" applyProtection="1">
      <alignment horizontal="center" vertical="center"/>
    </xf>
    <xf numFmtId="43" fontId="89" fillId="0" borderId="0" xfId="102" applyNumberFormat="1" applyFont="1" applyBorder="1" applyAlignment="1" applyProtection="1">
      <alignment vertical="center"/>
    </xf>
    <xf numFmtId="0" fontId="89" fillId="0" borderId="0" xfId="84" applyNumberFormat="1" applyFont="1" applyBorder="1" applyAlignment="1" applyProtection="1">
      <alignment vertical="center"/>
    </xf>
    <xf numFmtId="43" fontId="89" fillId="0" borderId="0" xfId="84" applyNumberFormat="1" applyFont="1" applyBorder="1" applyAlignment="1" applyProtection="1">
      <alignment vertical="center"/>
    </xf>
    <xf numFmtId="0" fontId="89" fillId="0" borderId="0" xfId="0" applyFont="1" applyFill="1" applyAlignment="1" applyProtection="1">
      <alignment horizontal="left" vertical="center" shrinkToFit="1"/>
    </xf>
    <xf numFmtId="176" fontId="101" fillId="13" borderId="50" xfId="0" applyNumberFormat="1" applyFont="1" applyFill="1" applyBorder="1" applyAlignment="1" applyProtection="1">
      <alignment horizontal="center" vertical="center" shrinkToFit="1"/>
    </xf>
    <xf numFmtId="31" fontId="101" fillId="13" borderId="33" xfId="0" applyNumberFormat="1" applyFont="1" applyFill="1" applyBorder="1" applyAlignment="1" applyProtection="1">
      <alignment horizontal="center" vertical="center" shrinkToFit="1"/>
    </xf>
    <xf numFmtId="0" fontId="101" fillId="0" borderId="0" xfId="0" applyFont="1">
      <protection locked="0"/>
    </xf>
    <xf numFmtId="43" fontId="89" fillId="0" borderId="0" xfId="84" applyNumberFormat="1" applyFont="1" applyBorder="1" applyAlignment="1">
      <alignment vertical="center"/>
      <protection locked="0"/>
    </xf>
    <xf numFmtId="43" fontId="89" fillId="0" borderId="0" xfId="102" applyFont="1" applyBorder="1" applyAlignment="1" applyProtection="1">
      <alignment vertical="center"/>
      <protection locked="0"/>
    </xf>
    <xf numFmtId="209" fontId="101" fillId="0" borderId="0" xfId="84" applyNumberFormat="1" applyFont="1" applyBorder="1" applyAlignment="1" applyProtection="1">
      <alignment horizontal="center" vertical="center"/>
    </xf>
    <xf numFmtId="209" fontId="89" fillId="0" borderId="0" xfId="0" applyNumberFormat="1" applyFont="1" applyFill="1" applyAlignment="1" applyProtection="1">
      <alignment horizontal="left" vertical="center" shrinkToFit="1"/>
    </xf>
    <xf numFmtId="209" fontId="89" fillId="0" borderId="0" xfId="84" applyNumberFormat="1" applyFont="1" applyBorder="1" applyAlignment="1">
      <alignment horizontal="center" vertical="center"/>
      <protection locked="0"/>
    </xf>
    <xf numFmtId="209" fontId="101" fillId="13" borderId="61" xfId="0" applyNumberFormat="1" applyFont="1" applyFill="1" applyBorder="1" applyAlignment="1" applyProtection="1">
      <alignment horizontal="center" vertical="center" shrinkToFit="1"/>
    </xf>
    <xf numFmtId="176" fontId="37" fillId="13" borderId="6" xfId="0" applyNumberFormat="1" applyFont="1" applyFill="1" applyBorder="1" applyAlignment="1" applyProtection="1">
      <alignment horizontal="left" vertical="center" shrinkToFit="1"/>
    </xf>
    <xf numFmtId="180" fontId="89" fillId="0" borderId="6" xfId="104" applyFont="1" applyBorder="1" applyAlignment="1" applyProtection="1">
      <alignment vertical="center"/>
    </xf>
    <xf numFmtId="43" fontId="89" fillId="0" borderId="6" xfId="102" applyFont="1" applyBorder="1" applyAlignment="1" applyProtection="1">
      <alignment vertical="center"/>
    </xf>
    <xf numFmtId="176" fontId="101" fillId="0" borderId="0" xfId="81" applyNumberFormat="1" applyFont="1" applyAlignment="1">
      <alignment horizontal="centerContinuous" vertical="center"/>
      <protection locked="0"/>
    </xf>
    <xf numFmtId="176" fontId="89" fillId="0" borderId="0" xfId="81" applyNumberFormat="1" applyFont="1" applyAlignment="1">
      <alignment vertical="center"/>
      <protection locked="0"/>
    </xf>
    <xf numFmtId="43" fontId="89" fillId="0" borderId="0" xfId="85" applyNumberFormat="1" applyFont="1" applyAlignment="1">
      <alignment vertical="center"/>
      <protection locked="0"/>
    </xf>
    <xf numFmtId="176" fontId="89" fillId="0" borderId="0" xfId="81" applyNumberFormat="1" applyFont="1" applyAlignment="1" applyProtection="1">
      <alignment vertical="center"/>
    </xf>
    <xf numFmtId="176" fontId="89" fillId="0" borderId="0" xfId="81" applyNumberFormat="1" applyFont="1" applyAlignment="1" applyProtection="1">
      <alignment horizontal="left" vertical="center"/>
    </xf>
    <xf numFmtId="176" fontId="129" fillId="0" borderId="0" xfId="81" applyNumberFormat="1" applyFont="1" applyAlignment="1" applyProtection="1">
      <alignment vertical="center"/>
    </xf>
    <xf numFmtId="176" fontId="129" fillId="0" borderId="0" xfId="81" applyNumberFormat="1" applyFont="1" applyAlignment="1" applyProtection="1">
      <alignment horizontal="center" vertical="center"/>
    </xf>
    <xf numFmtId="176" fontId="89" fillId="0" borderId="13" xfId="81" applyNumberFormat="1" applyFont="1" applyBorder="1" applyAlignment="1" applyProtection="1">
      <alignment vertical="center"/>
    </xf>
    <xf numFmtId="43" fontId="101" fillId="0" borderId="6" xfId="102" applyFont="1" applyBorder="1" applyAlignment="1" applyProtection="1">
      <alignment vertical="center"/>
    </xf>
    <xf numFmtId="43" fontId="38" fillId="0" borderId="6" xfId="102" applyFont="1" applyFill="1" applyBorder="1" applyAlignment="1" applyProtection="1">
      <alignment horizontal="center" vertical="center" shrinkToFit="1"/>
    </xf>
    <xf numFmtId="14" fontId="14" fillId="0" borderId="7" xfId="102" applyNumberFormat="1" applyFont="1" applyFill="1" applyBorder="1" applyAlignment="1" applyProtection="1">
      <alignment horizontal="left" vertical="center" shrinkToFit="1"/>
      <protection locked="0"/>
    </xf>
    <xf numFmtId="0" fontId="37" fillId="15" borderId="3" xfId="0" applyFont="1" applyFill="1" applyBorder="1" applyAlignment="1" applyProtection="1">
      <alignment vertical="center" shrinkToFit="1"/>
    </xf>
    <xf numFmtId="0" fontId="39" fillId="0" borderId="0" xfId="0" applyFont="1" applyFill="1" applyBorder="1" applyAlignment="1" applyProtection="1">
      <alignment horizontal="center" vertical="center" shrinkToFit="1"/>
    </xf>
    <xf numFmtId="0" fontId="123" fillId="0" borderId="0" xfId="0" applyFont="1" applyFill="1" applyBorder="1" applyAlignment="1" applyProtection="1">
      <alignment horizontal="center" vertical="center" shrinkToFit="1"/>
    </xf>
    <xf numFmtId="178" fontId="37" fillId="15" borderId="3" xfId="0" applyNumberFormat="1" applyFont="1" applyFill="1" applyBorder="1" applyAlignment="1" applyProtection="1">
      <alignment horizontal="left" vertical="center" shrinkToFit="1"/>
    </xf>
    <xf numFmtId="43" fontId="14" fillId="0" borderId="36" xfId="102" applyNumberFormat="1" applyFont="1" applyFill="1" applyBorder="1" applyAlignment="1" applyProtection="1">
      <alignment horizontal="left" vertical="center" shrinkToFit="1"/>
      <protection locked="0"/>
    </xf>
    <xf numFmtId="176" fontId="38" fillId="0" borderId="0" xfId="81" applyNumberFormat="1" applyFont="1" applyAlignment="1" applyProtection="1">
      <alignment horizontal="left" vertical="center"/>
    </xf>
    <xf numFmtId="176" fontId="138" fillId="0" borderId="0" xfId="81" applyNumberFormat="1" applyFont="1" applyAlignment="1" applyProtection="1">
      <alignment horizontal="left" vertical="center"/>
    </xf>
    <xf numFmtId="176" fontId="98" fillId="0" borderId="0" xfId="81" applyNumberFormat="1" applyFont="1" applyAlignment="1" applyProtection="1">
      <alignment horizontal="center" vertical="center"/>
    </xf>
    <xf numFmtId="43" fontId="38" fillId="0" borderId="0" xfId="103" applyNumberFormat="1" applyFont="1" applyFill="1" applyBorder="1" applyAlignment="1">
      <alignment vertical="center"/>
    </xf>
    <xf numFmtId="0" fontId="38" fillId="0" borderId="13" xfId="103" applyNumberFormat="1" applyFont="1" applyFill="1" applyBorder="1" applyAlignment="1" applyProtection="1">
      <alignment horizontal="center" vertical="center"/>
    </xf>
    <xf numFmtId="43" fontId="53" fillId="0" borderId="13" xfId="102" applyFont="1" applyFill="1" applyBorder="1" applyAlignment="1" applyProtection="1">
      <alignment vertical="center" shrinkToFit="1"/>
    </xf>
    <xf numFmtId="43" fontId="38" fillId="0" borderId="24" xfId="103" applyNumberFormat="1" applyFont="1" applyFill="1" applyBorder="1" applyAlignment="1" applyProtection="1">
      <alignment horizontal="left" vertical="center" shrinkToFit="1"/>
      <protection locked="0"/>
    </xf>
    <xf numFmtId="43" fontId="38" fillId="0" borderId="6" xfId="102" applyFont="1" applyFill="1" applyBorder="1" applyAlignment="1" applyProtection="1">
      <alignment vertical="center" shrinkToFit="1"/>
    </xf>
    <xf numFmtId="43" fontId="38" fillId="0" borderId="7" xfId="102" applyNumberFormat="1" applyFont="1" applyFill="1" applyBorder="1" applyAlignment="1" applyProtection="1">
      <alignment horizontal="left" vertical="center" shrinkToFit="1"/>
      <protection locked="0"/>
    </xf>
    <xf numFmtId="43" fontId="38" fillId="0" borderId="7" xfId="103" applyNumberFormat="1" applyFont="1" applyFill="1" applyBorder="1" applyAlignment="1" applyProtection="1">
      <alignment horizontal="left" vertical="center" shrinkToFit="1"/>
      <protection locked="0"/>
    </xf>
    <xf numFmtId="43" fontId="53" fillId="0" borderId="6" xfId="102" applyFont="1" applyFill="1" applyBorder="1" applyAlignment="1" applyProtection="1">
      <alignment vertical="center" shrinkToFit="1"/>
    </xf>
    <xf numFmtId="176" fontId="98" fillId="0" borderId="0" xfId="81" applyNumberFormat="1" applyFont="1" applyAlignment="1" applyProtection="1">
      <alignment vertical="center"/>
    </xf>
    <xf numFmtId="0" fontId="38" fillId="0" borderId="33" xfId="0" applyFont="1" applyFill="1" applyBorder="1" applyAlignment="1" applyProtection="1">
      <alignment horizontal="center" vertical="center" shrinkToFit="1"/>
    </xf>
    <xf numFmtId="0" fontId="38" fillId="0" borderId="33" xfId="0" applyFont="1" applyFill="1" applyBorder="1" applyAlignment="1" applyProtection="1">
      <alignment horizontal="left" vertical="center" shrinkToFit="1"/>
    </xf>
    <xf numFmtId="0" fontId="38" fillId="0" borderId="34" xfId="0" applyFont="1" applyFill="1" applyBorder="1" applyAlignment="1" applyProtection="1">
      <alignment horizontal="left" vertical="center" shrinkToFit="1"/>
      <protection locked="0"/>
    </xf>
    <xf numFmtId="43" fontId="38" fillId="0" borderId="7" xfId="102" applyNumberFormat="1" applyFont="1" applyFill="1" applyBorder="1" applyAlignment="1" applyProtection="1">
      <alignment horizontal="right" vertical="center" shrinkToFit="1"/>
      <protection locked="0"/>
    </xf>
    <xf numFmtId="43" fontId="88" fillId="0" borderId="7" xfId="102" applyNumberFormat="1" applyFont="1" applyFill="1" applyBorder="1" applyAlignment="1" applyProtection="1">
      <alignment horizontal="right" vertical="center" shrinkToFit="1"/>
      <protection locked="0"/>
    </xf>
    <xf numFmtId="43" fontId="87" fillId="0" borderId="7" xfId="102" applyNumberFormat="1" applyFont="1" applyFill="1" applyBorder="1" applyAlignment="1" applyProtection="1">
      <alignment horizontal="right" vertical="center" shrinkToFit="1"/>
      <protection locked="0"/>
    </xf>
    <xf numFmtId="0" fontId="38" fillId="0" borderId="32" xfId="0" applyFont="1" applyFill="1" applyBorder="1" applyAlignment="1" applyProtection="1">
      <alignment horizontal="center" vertical="center" shrinkToFit="1"/>
    </xf>
    <xf numFmtId="43" fontId="53" fillId="0" borderId="25" xfId="102" applyNumberFormat="1" applyFont="1" applyFill="1" applyBorder="1" applyAlignment="1" applyProtection="1">
      <alignment horizontal="right" vertical="center" shrinkToFit="1"/>
    </xf>
    <xf numFmtId="3" fontId="38" fillId="0" borderId="0" xfId="0" applyNumberFormat="1" applyFont="1" applyFill="1" applyBorder="1" applyAlignment="1" applyProtection="1">
      <alignment horizontal="center" vertical="center" shrinkToFit="1"/>
    </xf>
    <xf numFmtId="43" fontId="88" fillId="0" borderId="24" xfId="102" applyNumberFormat="1" applyFont="1" applyFill="1" applyBorder="1" applyAlignment="1" applyProtection="1">
      <alignment horizontal="right" vertical="center" shrinkToFit="1"/>
      <protection locked="0"/>
    </xf>
    <xf numFmtId="0" fontId="38" fillId="0" borderId="28" xfId="0" applyFont="1" applyFill="1" applyBorder="1" applyAlignment="1" applyProtection="1">
      <alignment vertical="center"/>
      <protection hidden="1"/>
    </xf>
    <xf numFmtId="0" fontId="13" fillId="0" borderId="64" xfId="103" applyNumberFormat="1" applyFont="1" applyFill="1" applyBorder="1" applyAlignment="1" applyProtection="1">
      <alignment horizontal="center" vertical="center"/>
    </xf>
    <xf numFmtId="0" fontId="93" fillId="0" borderId="11" xfId="83" applyFont="1" applyFill="1" applyBorder="1" applyAlignment="1" applyProtection="1">
      <alignment horizontal="center" vertical="center"/>
      <protection locked="0"/>
    </xf>
    <xf numFmtId="0" fontId="94" fillId="0" borderId="21" xfId="88" applyFont="1" applyFill="1" applyBorder="1" applyAlignment="1">
      <protection locked="0"/>
    </xf>
    <xf numFmtId="0" fontId="140" fillId="0" borderId="21" xfId="88" applyFont="1" applyFill="1" applyBorder="1" applyAlignment="1">
      <protection locked="0"/>
    </xf>
    <xf numFmtId="0" fontId="93" fillId="0" borderId="0" xfId="83" applyFont="1">
      <protection locked="0"/>
    </xf>
    <xf numFmtId="0" fontId="93" fillId="15" borderId="0" xfId="83" applyFont="1" applyFill="1" applyBorder="1" applyAlignment="1" applyProtection="1">
      <alignment vertical="center"/>
    </xf>
    <xf numFmtId="0" fontId="90" fillId="15" borderId="0" xfId="83" applyFont="1" applyFill="1" applyAlignment="1">
      <alignment vertical="center"/>
      <protection locked="0"/>
    </xf>
    <xf numFmtId="0" fontId="94" fillId="15" borderId="0" xfId="88" applyFont="1" applyFill="1" applyBorder="1" applyAlignment="1" applyProtection="1">
      <alignment vertical="center"/>
    </xf>
    <xf numFmtId="0" fontId="93" fillId="15" borderId="21" xfId="83" applyFont="1" applyFill="1" applyBorder="1" applyAlignment="1" applyProtection="1">
      <alignment vertical="center"/>
    </xf>
    <xf numFmtId="0" fontId="90" fillId="15" borderId="0" xfId="83" applyFont="1" applyFill="1" applyBorder="1" applyAlignment="1" applyProtection="1">
      <alignment vertical="center"/>
    </xf>
    <xf numFmtId="0" fontId="90" fillId="15" borderId="0" xfId="83" applyFont="1" applyFill="1" applyBorder="1" applyAlignment="1">
      <alignment vertical="center"/>
      <protection locked="0"/>
    </xf>
    <xf numFmtId="0" fontId="37" fillId="16" borderId="3" xfId="0" applyFont="1" applyFill="1" applyBorder="1" applyAlignment="1" applyProtection="1">
      <alignment vertical="center" shrinkToFit="1"/>
    </xf>
    <xf numFmtId="0" fontId="39" fillId="0" borderId="0" xfId="0" applyFont="1" applyFill="1" applyAlignment="1" applyProtection="1">
      <alignment vertical="center"/>
    </xf>
    <xf numFmtId="189" fontId="13" fillId="0" borderId="3" xfId="0" applyNumberFormat="1" applyFont="1" applyFill="1" applyBorder="1" applyAlignment="1" applyProtection="1">
      <alignment vertical="center" shrinkToFit="1"/>
    </xf>
    <xf numFmtId="0" fontId="132" fillId="15" borderId="3" xfId="0" applyFont="1" applyFill="1" applyBorder="1" applyAlignment="1" applyProtection="1">
      <alignment vertical="center" shrinkToFit="1"/>
    </xf>
    <xf numFmtId="43" fontId="119" fillId="0" borderId="3" xfId="0" applyNumberFormat="1" applyFont="1" applyFill="1" applyBorder="1" applyAlignment="1" applyProtection="1">
      <alignment horizontal="center" vertical="center"/>
    </xf>
    <xf numFmtId="0" fontId="2" fillId="0" borderId="0" xfId="0" applyFont="1">
      <protection locked="0"/>
    </xf>
    <xf numFmtId="178" fontId="132" fillId="15" borderId="3" xfId="0" applyNumberFormat="1" applyFont="1" applyFill="1" applyBorder="1" applyAlignment="1" applyProtection="1">
      <alignment horizontal="left" vertical="center" shrinkToFit="1"/>
    </xf>
    <xf numFmtId="0" fontId="132" fillId="17" borderId="3" xfId="0" applyFont="1" applyFill="1" applyBorder="1" applyAlignment="1" applyProtection="1">
      <alignment vertical="center" shrinkToFit="1"/>
    </xf>
    <xf numFmtId="43" fontId="145" fillId="0" borderId="0" xfId="115" applyFont="1" applyFill="1" applyAlignment="1" applyProtection="1">
      <protection locked="0"/>
    </xf>
    <xf numFmtId="0" fontId="146" fillId="0" borderId="0" xfId="115" applyNumberFormat="1" applyFont="1" applyBorder="1" applyAlignment="1" applyProtection="1">
      <alignment vertical="center"/>
      <protection locked="0"/>
    </xf>
    <xf numFmtId="43" fontId="148" fillId="0" borderId="0" xfId="115" applyNumberFormat="1" applyFont="1" applyAlignment="1"/>
    <xf numFmtId="0" fontId="149" fillId="0" borderId="0" xfId="115" applyNumberFormat="1" applyFont="1" applyAlignment="1" applyProtection="1">
      <alignment vertical="center"/>
      <protection locked="0"/>
    </xf>
    <xf numFmtId="0" fontId="149" fillId="0" borderId="0" xfId="115" applyNumberFormat="1" applyFont="1" applyAlignment="1" applyProtection="1">
      <alignment horizontal="right" vertical="center"/>
      <protection locked="0"/>
    </xf>
    <xf numFmtId="43" fontId="149" fillId="0" borderId="0" xfId="115" applyFont="1" applyFill="1" applyAlignment="1" applyProtection="1">
      <alignment horizontal="center" vertical="center"/>
      <protection locked="0"/>
    </xf>
    <xf numFmtId="0" fontId="149" fillId="0" borderId="0" xfId="115" applyNumberFormat="1" applyFont="1" applyBorder="1" applyAlignment="1" applyProtection="1">
      <alignment vertical="center"/>
      <protection locked="0"/>
    </xf>
    <xf numFmtId="0" fontId="146" fillId="0" borderId="0" xfId="115" applyNumberFormat="1" applyFont="1" applyAlignment="1" applyProtection="1">
      <alignment horizontal="center" vertical="center"/>
      <protection locked="0"/>
    </xf>
    <xf numFmtId="43" fontId="150" fillId="0" borderId="0" xfId="115" applyFont="1" applyAlignment="1"/>
    <xf numFmtId="43" fontId="150" fillId="0" borderId="0" xfId="115" applyFont="1" applyFill="1" applyAlignment="1"/>
    <xf numFmtId="43" fontId="151" fillId="0" borderId="0" xfId="115" applyFont="1" applyFill="1" applyAlignment="1"/>
    <xf numFmtId="43" fontId="152" fillId="0" borderId="0" xfId="115" applyFont="1" applyFill="1" applyAlignment="1"/>
    <xf numFmtId="176" fontId="153" fillId="18" borderId="65" xfId="115" applyNumberFormat="1" applyFont="1" applyFill="1" applyBorder="1" applyAlignment="1">
      <alignment horizontal="left" vertical="center"/>
    </xf>
    <xf numFmtId="43" fontId="153" fillId="18" borderId="65" xfId="115" applyNumberFormat="1" applyFont="1" applyFill="1" applyBorder="1" applyAlignment="1" applyProtection="1">
      <alignment horizontal="center" vertical="center"/>
      <protection locked="0"/>
    </xf>
    <xf numFmtId="43" fontId="153" fillId="18" borderId="65" xfId="115" applyFont="1" applyFill="1" applyBorder="1" applyAlignment="1" applyProtection="1">
      <alignment horizontal="center" vertical="center"/>
      <protection locked="0"/>
    </xf>
    <xf numFmtId="43" fontId="145" fillId="0" borderId="0" xfId="115" applyFont="1" applyFill="1" applyAlignment="1" applyProtection="1">
      <alignment horizontal="center" vertical="center"/>
      <protection locked="0"/>
    </xf>
    <xf numFmtId="0" fontId="154" fillId="0" borderId="66" xfId="116" applyFont="1" applyFill="1" applyBorder="1" applyAlignment="1" applyProtection="1">
      <alignment horizontal="left"/>
    </xf>
    <xf numFmtId="43" fontId="145" fillId="0" borderId="66" xfId="115" applyNumberFormat="1" applyFont="1" applyFill="1" applyBorder="1" applyAlignment="1" applyProtection="1"/>
    <xf numFmtId="43" fontId="155" fillId="0" borderId="66" xfId="115" applyFont="1" applyFill="1" applyBorder="1" applyAlignment="1" applyProtection="1"/>
    <xf numFmtId="43" fontId="155" fillId="0" borderId="66" xfId="115" applyNumberFormat="1" applyFont="1" applyFill="1" applyBorder="1" applyAlignment="1" applyProtection="1"/>
    <xf numFmtId="43" fontId="155" fillId="19" borderId="66" xfId="115" applyNumberFormat="1" applyFont="1" applyFill="1" applyBorder="1" applyAlignment="1" applyProtection="1"/>
    <xf numFmtId="43" fontId="145" fillId="0" borderId="0" xfId="115" applyFont="1" applyFill="1" applyBorder="1" applyAlignment="1" applyProtection="1">
      <protection locked="0"/>
    </xf>
    <xf numFmtId="0" fontId="156" fillId="0" borderId="67" xfId="116" applyFont="1" applyFill="1" applyBorder="1" applyAlignment="1" applyProtection="1">
      <alignment horizontal="left"/>
    </xf>
    <xf numFmtId="43" fontId="145" fillId="20" borderId="67" xfId="115" applyFont="1" applyFill="1" applyBorder="1" applyAlignment="1" applyProtection="1">
      <protection locked="0"/>
    </xf>
    <xf numFmtId="43" fontId="155" fillId="12" borderId="67" xfId="115" applyFont="1" applyFill="1" applyBorder="1" applyAlignment="1" applyProtection="1"/>
    <xf numFmtId="43" fontId="155" fillId="0" borderId="67" xfId="115" applyNumberFormat="1" applyFont="1" applyFill="1" applyBorder="1" applyAlignment="1" applyProtection="1"/>
    <xf numFmtId="0" fontId="156" fillId="19" borderId="67" xfId="116" applyFont="1" applyFill="1" applyBorder="1" applyAlignment="1" applyProtection="1">
      <alignment horizontal="left"/>
    </xf>
    <xf numFmtId="0" fontId="156" fillId="0" borderId="67" xfId="116" applyFont="1" applyFill="1" applyBorder="1" applyAlignment="1" applyProtection="1">
      <alignment horizontal="left" shrinkToFit="1"/>
    </xf>
    <xf numFmtId="0" fontId="157" fillId="19" borderId="67" xfId="116" applyFont="1" applyFill="1" applyBorder="1" applyAlignment="1" applyProtection="1">
      <alignment horizontal="left"/>
    </xf>
    <xf numFmtId="43" fontId="145" fillId="0" borderId="67" xfId="115" applyFont="1" applyFill="1" applyBorder="1" applyAlignment="1">
      <alignment vertical="center"/>
    </xf>
    <xf numFmtId="43" fontId="155" fillId="0" borderId="67" xfId="115" applyFont="1" applyFill="1" applyBorder="1" applyAlignment="1" applyProtection="1">
      <alignment vertical="center"/>
    </xf>
    <xf numFmtId="0" fontId="156" fillId="21" borderId="67" xfId="116" applyFont="1" applyFill="1" applyBorder="1" applyAlignment="1" applyProtection="1">
      <alignment horizontal="left"/>
    </xf>
    <xf numFmtId="0" fontId="157" fillId="21" borderId="67" xfId="116" applyFont="1" applyFill="1" applyBorder="1" applyAlignment="1" applyProtection="1">
      <alignment horizontal="left"/>
    </xf>
    <xf numFmtId="0" fontId="156" fillId="22" borderId="67" xfId="116" applyFont="1" applyFill="1" applyBorder="1" applyAlignment="1" applyProtection="1">
      <alignment horizontal="left"/>
    </xf>
    <xf numFmtId="0" fontId="157" fillId="22" borderId="67" xfId="116" applyFont="1" applyFill="1" applyBorder="1" applyAlignment="1" applyProtection="1">
      <alignment horizontal="left"/>
    </xf>
    <xf numFmtId="43" fontId="145" fillId="0" borderId="67" xfId="115" applyFont="1" applyFill="1" applyBorder="1" applyAlignment="1" applyProtection="1"/>
    <xf numFmtId="43" fontId="155" fillId="0" borderId="67" xfId="115" applyFont="1" applyFill="1" applyBorder="1" applyAlignment="1" applyProtection="1"/>
    <xf numFmtId="176" fontId="156" fillId="0" borderId="67" xfId="117" applyNumberFormat="1" applyFont="1" applyFill="1" applyBorder="1" applyAlignment="1" applyProtection="1">
      <alignment horizontal="left"/>
    </xf>
    <xf numFmtId="0" fontId="158" fillId="23" borderId="67" xfId="116" applyFont="1" applyFill="1" applyBorder="1" applyAlignment="1" applyProtection="1">
      <alignment horizontal="left"/>
    </xf>
    <xf numFmtId="43" fontId="151" fillId="19" borderId="67" xfId="115" applyFont="1" applyFill="1" applyBorder="1" applyAlignment="1" applyProtection="1"/>
    <xf numFmtId="43" fontId="159" fillId="0" borderId="67" xfId="115" applyNumberFormat="1" applyFont="1" applyFill="1" applyBorder="1" applyAlignment="1" applyProtection="1"/>
    <xf numFmtId="43" fontId="160" fillId="0" borderId="0" xfId="115" applyFont="1" applyFill="1" applyAlignment="1" applyProtection="1">
      <protection locked="0"/>
    </xf>
    <xf numFmtId="0" fontId="154" fillId="19" borderId="67" xfId="116" applyFont="1" applyFill="1" applyBorder="1" applyAlignment="1" applyProtection="1">
      <alignment horizontal="left"/>
    </xf>
    <xf numFmtId="43" fontId="155" fillId="0" borderId="67" xfId="115" applyFont="1" applyFill="1" applyBorder="1" applyAlignment="1" applyProtection="1">
      <protection locked="0"/>
    </xf>
    <xf numFmtId="43" fontId="145" fillId="0" borderId="67" xfId="115" applyFont="1" applyFill="1" applyBorder="1" applyAlignment="1" applyProtection="1">
      <protection locked="0"/>
    </xf>
    <xf numFmtId="43" fontId="145" fillId="0" borderId="67" xfId="115" applyFont="1" applyFill="1" applyBorder="1" applyAlignment="1" applyProtection="1">
      <alignment vertical="center"/>
    </xf>
    <xf numFmtId="43" fontId="145" fillId="0" borderId="67" xfId="115" applyFont="1" applyFill="1" applyBorder="1" applyAlignment="1"/>
    <xf numFmtId="176" fontId="153" fillId="23" borderId="65" xfId="115" applyNumberFormat="1" applyFont="1" applyFill="1" applyBorder="1" applyAlignment="1">
      <alignment horizontal="left" vertical="center"/>
    </xf>
    <xf numFmtId="43" fontId="151" fillId="0" borderId="0" xfId="115" applyFont="1" applyFill="1" applyAlignment="1" applyProtection="1">
      <protection locked="0"/>
    </xf>
    <xf numFmtId="0" fontId="154" fillId="0" borderId="67" xfId="116" applyFont="1" applyFill="1" applyBorder="1" applyAlignment="1" applyProtection="1">
      <alignment horizontal="left"/>
    </xf>
    <xf numFmtId="43" fontId="150" fillId="0" borderId="67" xfId="115" applyFont="1" applyFill="1" applyBorder="1" applyAlignment="1" applyProtection="1"/>
    <xf numFmtId="43" fontId="145" fillId="0" borderId="68" xfId="115" applyFont="1" applyFill="1" applyBorder="1" applyAlignment="1" applyProtection="1"/>
    <xf numFmtId="43" fontId="155" fillId="0" borderId="68" xfId="115" applyNumberFormat="1" applyFont="1" applyFill="1" applyBorder="1" applyAlignment="1" applyProtection="1"/>
    <xf numFmtId="0" fontId="156" fillId="16" borderId="69" xfId="116" applyFont="1" applyFill="1" applyBorder="1" applyAlignment="1" applyProtection="1">
      <alignment horizontal="left"/>
    </xf>
    <xf numFmtId="43" fontId="145" fillId="0" borderId="69" xfId="115" applyFont="1" applyFill="1" applyBorder="1" applyAlignment="1" applyProtection="1"/>
    <xf numFmtId="43" fontId="155" fillId="0" borderId="69" xfId="115" applyNumberFormat="1" applyFont="1" applyFill="1" applyBorder="1" applyAlignment="1" applyProtection="1"/>
    <xf numFmtId="0" fontId="156" fillId="16" borderId="67" xfId="116" applyFont="1" applyFill="1" applyBorder="1" applyAlignment="1" applyProtection="1">
      <alignment horizontal="left"/>
    </xf>
    <xf numFmtId="0" fontId="156" fillId="24" borderId="67" xfId="116" applyFont="1" applyFill="1" applyBorder="1" applyAlignment="1" applyProtection="1">
      <alignment horizontal="left"/>
    </xf>
    <xf numFmtId="43" fontId="145" fillId="12" borderId="67" xfId="115" applyFont="1" applyFill="1" applyBorder="1" applyAlignment="1" applyProtection="1"/>
    <xf numFmtId="43" fontId="150" fillId="12" borderId="67" xfId="115" applyFont="1" applyFill="1" applyBorder="1" applyAlignment="1" applyProtection="1"/>
    <xf numFmtId="0" fontId="162" fillId="0" borderId="67" xfId="116" applyFont="1" applyFill="1" applyBorder="1" applyAlignment="1" applyProtection="1">
      <alignment horizontal="left"/>
    </xf>
    <xf numFmtId="43" fontId="155" fillId="20" borderId="67" xfId="115" applyFont="1" applyFill="1" applyBorder="1" applyAlignment="1" applyProtection="1">
      <protection locked="0"/>
    </xf>
    <xf numFmtId="0" fontId="149" fillId="0" borderId="67" xfId="116" applyFont="1" applyFill="1" applyBorder="1" applyAlignment="1" applyProtection="1">
      <alignment horizontal="left"/>
    </xf>
    <xf numFmtId="43" fontId="150" fillId="0" borderId="67" xfId="115" applyFont="1" applyFill="1" applyBorder="1" applyAlignment="1" applyProtection="1">
      <alignment vertical="center"/>
    </xf>
    <xf numFmtId="43" fontId="150" fillId="20" borderId="67" xfId="115" applyFont="1" applyFill="1" applyBorder="1" applyAlignment="1" applyProtection="1">
      <protection locked="0"/>
    </xf>
    <xf numFmtId="43" fontId="151" fillId="12" borderId="67" xfId="115" applyFont="1" applyFill="1" applyBorder="1" applyAlignment="1" applyProtection="1"/>
    <xf numFmtId="0" fontId="156" fillId="19" borderId="68" xfId="116" applyFont="1" applyFill="1" applyBorder="1" applyAlignment="1" applyProtection="1">
      <alignment horizontal="left"/>
    </xf>
    <xf numFmtId="43" fontId="145" fillId="20" borderId="68" xfId="115" applyFont="1" applyFill="1" applyBorder="1" applyAlignment="1" applyProtection="1">
      <protection locked="0"/>
    </xf>
    <xf numFmtId="0" fontId="156" fillId="0" borderId="68" xfId="116" applyFont="1" applyFill="1" applyBorder="1" applyAlignment="1" applyProtection="1">
      <alignment horizontal="left"/>
    </xf>
    <xf numFmtId="4" fontId="163" fillId="0" borderId="70" xfId="118" applyNumberFormat="1" applyFont="1" applyBorder="1" applyAlignment="1"/>
    <xf numFmtId="43" fontId="155" fillId="0" borderId="70" xfId="115" applyFont="1" applyFill="1" applyBorder="1" applyAlignment="1" applyProtection="1">
      <protection locked="0"/>
    </xf>
    <xf numFmtId="43" fontId="155" fillId="0" borderId="70" xfId="115" applyNumberFormat="1" applyFont="1" applyFill="1" applyBorder="1" applyAlignment="1" applyProtection="1"/>
    <xf numFmtId="0" fontId="156" fillId="0" borderId="67" xfId="116" applyFont="1" applyFill="1" applyBorder="1" applyAlignment="1" applyProtection="1">
      <alignment horizontal="left" vertical="center"/>
    </xf>
    <xf numFmtId="176" fontId="153" fillId="23" borderId="71" xfId="115" applyNumberFormat="1" applyFont="1" applyFill="1" applyBorder="1" applyAlignment="1">
      <alignment horizontal="left" vertical="center"/>
    </xf>
    <xf numFmtId="176" fontId="163" fillId="19" borderId="72" xfId="115" applyNumberFormat="1" applyFont="1" applyFill="1" applyBorder="1" applyAlignment="1">
      <alignment horizontal="left" vertical="center"/>
    </xf>
    <xf numFmtId="43" fontId="155" fillId="0" borderId="66" xfId="115" applyFont="1" applyFill="1" applyBorder="1" applyAlignment="1" applyProtection="1">
      <protection locked="0"/>
    </xf>
    <xf numFmtId="4" fontId="149" fillId="0" borderId="67" xfId="118" applyNumberFormat="1" applyFont="1" applyBorder="1" applyAlignment="1"/>
    <xf numFmtId="43" fontId="145" fillId="0" borderId="67" xfId="115" applyFont="1" applyBorder="1" applyAlignment="1"/>
    <xf numFmtId="43" fontId="155" fillId="0" borderId="67" xfId="115" applyFont="1" applyFill="1" applyBorder="1" applyAlignment="1"/>
    <xf numFmtId="4" fontId="164" fillId="0" borderId="67" xfId="118" applyNumberFormat="1" applyFont="1" applyFill="1" applyBorder="1" applyAlignment="1"/>
    <xf numFmtId="43" fontId="150" fillId="0" borderId="67" xfId="115" applyFont="1" applyFill="1" applyBorder="1" applyAlignment="1"/>
    <xf numFmtId="176" fontId="163" fillId="19" borderId="65" xfId="115" applyNumberFormat="1" applyFont="1" applyFill="1" applyBorder="1" applyAlignment="1">
      <alignment horizontal="left" vertical="center"/>
    </xf>
    <xf numFmtId="4" fontId="149" fillId="0" borderId="67" xfId="118" applyNumberFormat="1" applyFont="1" applyBorder="1" applyAlignment="1">
      <alignment vertical="center"/>
    </xf>
    <xf numFmtId="4" fontId="165" fillId="0" borderId="67" xfId="118" applyNumberFormat="1" applyFont="1" applyFill="1" applyBorder="1" applyAlignment="1"/>
    <xf numFmtId="4" fontId="156" fillId="0" borderId="67" xfId="118" applyNumberFormat="1" applyFont="1" applyFill="1" applyBorder="1" applyAlignment="1"/>
    <xf numFmtId="4" fontId="162" fillId="0" borderId="67" xfId="118" applyNumberFormat="1" applyFont="1" applyBorder="1" applyAlignment="1"/>
    <xf numFmtId="43" fontId="145" fillId="0" borderId="73" xfId="115" applyFont="1" applyBorder="1" applyAlignment="1"/>
    <xf numFmtId="43" fontId="155" fillId="0" borderId="73" xfId="115" applyNumberFormat="1" applyFont="1" applyFill="1" applyBorder="1" applyAlignment="1" applyProtection="1"/>
    <xf numFmtId="43" fontId="163" fillId="0" borderId="66" xfId="119" applyNumberFormat="1" applyFont="1" applyFill="1" applyBorder="1" applyAlignment="1"/>
    <xf numFmtId="176" fontId="151" fillId="0" borderId="66" xfId="117" applyNumberFormat="1" applyFont="1" applyBorder="1" applyAlignment="1"/>
    <xf numFmtId="176" fontId="159" fillId="0" borderId="66" xfId="117" applyNumberFormat="1" applyFont="1" applyFill="1" applyBorder="1" applyAlignment="1"/>
    <xf numFmtId="176" fontId="155" fillId="0" borderId="66" xfId="117" applyNumberFormat="1" applyFont="1" applyFill="1" applyBorder="1" applyAlignment="1" applyProtection="1"/>
    <xf numFmtId="43" fontId="149" fillId="0" borderId="67" xfId="119" applyNumberFormat="1" applyFont="1" applyBorder="1" applyAlignment="1"/>
    <xf numFmtId="176" fontId="155" fillId="0" borderId="67" xfId="117" applyNumberFormat="1" applyFont="1" applyFill="1" applyBorder="1" applyAlignment="1" applyProtection="1"/>
    <xf numFmtId="43" fontId="149" fillId="0" borderId="67" xfId="119" applyNumberFormat="1" applyFont="1" applyFill="1" applyBorder="1" applyAlignment="1"/>
    <xf numFmtId="43" fontId="145" fillId="0" borderId="74" xfId="115" applyFont="1" applyFill="1" applyBorder="1" applyAlignment="1"/>
    <xf numFmtId="176" fontId="155" fillId="0" borderId="74" xfId="117" applyNumberFormat="1" applyFont="1" applyFill="1" applyBorder="1" applyAlignment="1" applyProtection="1"/>
    <xf numFmtId="176" fontId="149" fillId="0" borderId="0" xfId="115" applyNumberFormat="1" applyFont="1" applyAlignment="1"/>
    <xf numFmtId="43" fontId="152" fillId="0" borderId="0" xfId="115" applyNumberFormat="1" applyFont="1" applyFill="1" applyAlignment="1"/>
    <xf numFmtId="43" fontId="145" fillId="0" borderId="0" xfId="115" applyNumberFormat="1" applyFont="1" applyAlignment="1"/>
    <xf numFmtId="178" fontId="13" fillId="15" borderId="3" xfId="0" applyNumberFormat="1" applyFont="1" applyFill="1" applyBorder="1" applyAlignment="1" applyProtection="1">
      <alignment horizontal="left" vertical="center" shrinkToFit="1"/>
    </xf>
    <xf numFmtId="178" fontId="13" fillId="0" borderId="3" xfId="0" applyNumberFormat="1" applyFont="1" applyFill="1" applyBorder="1" applyAlignment="1" applyProtection="1">
      <alignment horizontal="left" vertical="center" shrinkToFit="1"/>
    </xf>
    <xf numFmtId="43" fontId="38" fillId="0" borderId="0" xfId="102" applyFont="1" applyProtection="1">
      <protection locked="0"/>
    </xf>
    <xf numFmtId="43" fontId="120" fillId="0" borderId="3" xfId="0" applyNumberFormat="1" applyFont="1" applyFill="1" applyBorder="1" applyAlignment="1" applyProtection="1">
      <alignment horizontal="center" vertical="center"/>
    </xf>
    <xf numFmtId="43" fontId="120" fillId="0" borderId="0" xfId="0" applyNumberFormat="1" applyFont="1" applyFill="1" applyBorder="1" applyAlignment="1" applyProtection="1">
      <alignment horizontal="center" vertical="center"/>
    </xf>
    <xf numFmtId="189" fontId="141" fillId="0" borderId="3" xfId="0" applyNumberFormat="1" applyFont="1" applyFill="1" applyBorder="1" applyAlignment="1" applyProtection="1">
      <alignment vertical="center" shrinkToFit="1"/>
    </xf>
    <xf numFmtId="43" fontId="37" fillId="0" borderId="7" xfId="102" applyFont="1" applyBorder="1" applyProtection="1">
      <protection locked="0"/>
    </xf>
    <xf numFmtId="43" fontId="99" fillId="0" borderId="16" xfId="102" applyFont="1" applyFill="1" applyBorder="1" applyAlignment="1">
      <alignment horizontal="right" vertical="center"/>
    </xf>
    <xf numFmtId="43" fontId="89" fillId="0" borderId="0" xfId="102" applyNumberFormat="1" applyFont="1" applyFill="1" applyBorder="1" applyAlignment="1" applyProtection="1">
      <alignment horizontal="right" vertical="center" shrinkToFit="1"/>
      <protection locked="0"/>
    </xf>
    <xf numFmtId="176" fontId="89" fillId="13" borderId="51" xfId="0" applyNumberFormat="1" applyFont="1" applyFill="1" applyBorder="1" applyAlignment="1" applyProtection="1">
      <alignment horizontal="left" vertical="center" shrinkToFit="1"/>
    </xf>
    <xf numFmtId="43" fontId="89" fillId="0" borderId="37" xfId="102" applyNumberFormat="1" applyFont="1" applyFill="1" applyBorder="1" applyAlignment="1" applyProtection="1">
      <alignment horizontal="right" vertical="center" shrinkToFit="1"/>
      <protection locked="0"/>
    </xf>
    <xf numFmtId="43" fontId="89" fillId="0" borderId="13" xfId="102" applyNumberFormat="1" applyFont="1" applyFill="1" applyBorder="1" applyAlignment="1" applyProtection="1">
      <alignment horizontal="right" vertical="center" shrinkToFit="1"/>
      <protection locked="0"/>
    </xf>
    <xf numFmtId="0" fontId="89" fillId="0" borderId="0" xfId="0" applyFont="1" applyFill="1" applyBorder="1" applyAlignment="1" applyProtection="1">
      <alignment vertical="center"/>
      <protection hidden="1"/>
    </xf>
    <xf numFmtId="10" fontId="38" fillId="0" borderId="18" xfId="77" applyNumberFormat="1" applyFont="1" applyFill="1" applyBorder="1" applyAlignment="1" applyProtection="1">
      <alignment horizontal="center" vertical="center" shrinkToFit="1"/>
    </xf>
    <xf numFmtId="0" fontId="38" fillId="0" borderId="44" xfId="103" applyNumberFormat="1" applyFont="1" applyFill="1" applyBorder="1" applyAlignment="1" applyProtection="1">
      <alignment horizontal="center" vertical="center"/>
    </xf>
    <xf numFmtId="43" fontId="38" fillId="0" borderId="18" xfId="102" applyFont="1" applyFill="1" applyBorder="1" applyAlignment="1" applyProtection="1">
      <alignment vertical="center" shrinkToFit="1"/>
    </xf>
    <xf numFmtId="43" fontId="38" fillId="0" borderId="64" xfId="102" applyNumberFormat="1" applyFont="1" applyFill="1" applyBorder="1" applyAlignment="1" applyProtection="1">
      <alignment horizontal="right" vertical="center" shrinkToFit="1"/>
    </xf>
    <xf numFmtId="43" fontId="88" fillId="0" borderId="75" xfId="102" applyNumberFormat="1" applyFont="1" applyFill="1" applyBorder="1" applyAlignment="1" applyProtection="1">
      <alignment horizontal="right" vertical="center" shrinkToFit="1"/>
      <protection locked="0"/>
    </xf>
    <xf numFmtId="43" fontId="138" fillId="0" borderId="0" xfId="85" applyNumberFormat="1" applyFont="1" applyAlignment="1" applyProtection="1">
      <alignment vertical="center"/>
      <protection locked="0"/>
    </xf>
    <xf numFmtId="43" fontId="38" fillId="0" borderId="0" xfId="85" applyNumberFormat="1" applyFont="1" applyAlignment="1" applyProtection="1">
      <alignment vertical="center"/>
      <protection locked="0"/>
    </xf>
    <xf numFmtId="43" fontId="53" fillId="13" borderId="6" xfId="85" applyNumberFormat="1" applyFont="1" applyFill="1" applyBorder="1" applyAlignment="1" applyProtection="1">
      <alignment horizontal="center"/>
    </xf>
    <xf numFmtId="0" fontId="93" fillId="0" borderId="21" xfId="83" applyFont="1" applyBorder="1">
      <protection locked="0"/>
    </xf>
    <xf numFmtId="0" fontId="93" fillId="0" borderId="30" xfId="83" applyFont="1" applyBorder="1">
      <protection locked="0"/>
    </xf>
    <xf numFmtId="189" fontId="37" fillId="0" borderId="3" xfId="0" applyNumberFormat="1" applyFont="1" applyFill="1" applyBorder="1" applyAlignment="1" applyProtection="1">
      <alignment vertical="center" wrapText="1" shrinkToFit="1"/>
    </xf>
    <xf numFmtId="178" fontId="169" fillId="0" borderId="3" xfId="0" applyNumberFormat="1" applyFont="1" applyFill="1" applyBorder="1" applyAlignment="1" applyProtection="1">
      <alignment horizontal="center" vertical="center" shrinkToFit="1"/>
    </xf>
    <xf numFmtId="43" fontId="99" fillId="0" borderId="7" xfId="102" applyFont="1" applyFill="1" applyBorder="1" applyAlignment="1">
      <alignment horizontal="right" vertical="center"/>
    </xf>
    <xf numFmtId="176" fontId="101" fillId="13" borderId="23" xfId="0" applyNumberFormat="1" applyFont="1" applyFill="1" applyBorder="1" applyAlignment="1" applyProtection="1">
      <alignment horizontal="left" vertical="center" shrinkToFit="1"/>
    </xf>
    <xf numFmtId="3" fontId="101" fillId="13" borderId="13" xfId="0" applyNumberFormat="1" applyFont="1" applyFill="1" applyBorder="1" applyAlignment="1" applyProtection="1">
      <alignment horizontal="center" vertical="center" shrinkToFit="1"/>
    </xf>
    <xf numFmtId="43" fontId="101" fillId="0" borderId="6" xfId="102" applyNumberFormat="1" applyFont="1" applyFill="1" applyBorder="1" applyAlignment="1" applyProtection="1">
      <alignment horizontal="right" vertical="center" shrinkToFit="1"/>
      <protection locked="0"/>
    </xf>
    <xf numFmtId="43" fontId="101" fillId="0" borderId="6" xfId="102" applyNumberFormat="1" applyFont="1" applyFill="1" applyBorder="1" applyAlignment="1" applyProtection="1">
      <alignment horizontal="right" vertical="center" shrinkToFit="1"/>
    </xf>
    <xf numFmtId="0" fontId="101" fillId="0" borderId="0" xfId="0" applyFont="1" applyFill="1" applyAlignment="1" applyProtection="1">
      <alignment vertical="center"/>
      <protection hidden="1"/>
    </xf>
    <xf numFmtId="0" fontId="37" fillId="26" borderId="0" xfId="0" applyFont="1" applyFill="1" applyAlignment="1" applyProtection="1">
      <alignment vertical="center"/>
      <protection hidden="1"/>
    </xf>
    <xf numFmtId="43" fontId="37" fillId="14" borderId="6" xfId="102" applyNumberFormat="1" applyFont="1" applyFill="1" applyBorder="1" applyAlignment="1" applyProtection="1">
      <alignment horizontal="right" vertical="center" shrinkToFit="1"/>
      <protection locked="0"/>
    </xf>
    <xf numFmtId="176" fontId="37" fillId="13" borderId="77" xfId="0" applyNumberFormat="1" applyFont="1" applyFill="1" applyBorder="1" applyAlignment="1" applyProtection="1">
      <alignment horizontal="left" vertical="center" shrinkToFit="1"/>
    </xf>
    <xf numFmtId="0" fontId="24" fillId="13" borderId="34" xfId="0" applyFont="1" applyFill="1" applyBorder="1" applyAlignment="1" applyProtection="1">
      <alignment horizontal="center" vertical="center" shrinkToFit="1"/>
    </xf>
    <xf numFmtId="0" fontId="101" fillId="13" borderId="77" xfId="0" applyFont="1" applyFill="1" applyBorder="1" applyAlignment="1" applyProtection="1">
      <alignment horizontal="left" vertical="center" shrinkToFit="1"/>
    </xf>
    <xf numFmtId="0" fontId="89" fillId="13" borderId="77" xfId="0" applyFont="1" applyFill="1" applyBorder="1" applyAlignment="1" applyProtection="1">
      <alignment horizontal="left" vertical="center" shrinkToFit="1"/>
    </xf>
    <xf numFmtId="210" fontId="123" fillId="15" borderId="0" xfId="0" applyNumberFormat="1" applyFont="1" applyFill="1" applyAlignment="1" applyProtection="1">
      <alignment horizontal="center" vertical="center" shrinkToFit="1"/>
    </xf>
    <xf numFmtId="210" fontId="24" fillId="13" borderId="33" xfId="0" applyNumberFormat="1" applyFont="1" applyFill="1" applyBorder="1" applyAlignment="1" applyProtection="1">
      <alignment horizontal="center" vertical="center" shrinkToFit="1"/>
    </xf>
    <xf numFmtId="210" fontId="37" fillId="13" borderId="6" xfId="0" applyNumberFormat="1" applyFont="1" applyFill="1" applyBorder="1" applyAlignment="1" applyProtection="1">
      <alignment horizontal="center" vertical="center" shrinkToFit="1"/>
    </xf>
    <xf numFmtId="210" fontId="84" fillId="13" borderId="33" xfId="103" applyNumberFormat="1" applyFont="1" applyFill="1" applyBorder="1" applyAlignment="1" applyProtection="1">
      <alignment horizontal="center" vertical="center"/>
    </xf>
    <xf numFmtId="210" fontId="89" fillId="13" borderId="6" xfId="0" applyNumberFormat="1" applyFont="1" applyFill="1" applyBorder="1" applyAlignment="1" applyProtection="1">
      <alignment horizontal="center" vertical="center" shrinkToFit="1"/>
    </xf>
    <xf numFmtId="210" fontId="101" fillId="13" borderId="33" xfId="0" applyNumberFormat="1" applyFont="1" applyFill="1" applyBorder="1" applyAlignment="1" applyProtection="1">
      <alignment horizontal="center" vertical="center" shrinkToFit="1"/>
    </xf>
    <xf numFmtId="210" fontId="89" fillId="13" borderId="7" xfId="0" applyNumberFormat="1" applyFont="1" applyFill="1" applyBorder="1" applyAlignment="1" applyProtection="1">
      <alignment horizontal="center" vertical="center" shrinkToFit="1"/>
    </xf>
    <xf numFmtId="210" fontId="89" fillId="13" borderId="46" xfId="0" applyNumberFormat="1" applyFont="1" applyFill="1" applyBorder="1" applyAlignment="1" applyProtection="1">
      <alignment horizontal="center" vertical="center" shrinkToFit="1"/>
    </xf>
    <xf numFmtId="210" fontId="37" fillId="0" borderId="0" xfId="0" applyNumberFormat="1" applyFont="1" applyFill="1" applyAlignment="1" applyProtection="1">
      <alignment horizontal="center" vertical="center" shrinkToFit="1"/>
    </xf>
    <xf numFmtId="210" fontId="37" fillId="0" borderId="0" xfId="0" applyNumberFormat="1" applyFont="1" applyFill="1" applyAlignment="1" applyProtection="1">
      <alignment horizontal="center" vertical="center"/>
      <protection hidden="1"/>
    </xf>
    <xf numFmtId="210" fontId="37" fillId="13" borderId="13" xfId="0" applyNumberFormat="1" applyFont="1" applyFill="1" applyBorder="1" applyAlignment="1" applyProtection="1">
      <alignment horizontal="center" vertical="center" shrinkToFit="1"/>
    </xf>
    <xf numFmtId="210" fontId="37" fillId="13" borderId="18" xfId="0" applyNumberFormat="1" applyFont="1" applyFill="1" applyBorder="1" applyAlignment="1" applyProtection="1">
      <alignment horizontal="center" vertical="center" shrinkToFit="1"/>
    </xf>
    <xf numFmtId="31" fontId="39" fillId="13" borderId="13" xfId="0" applyNumberFormat="1" applyFont="1" applyFill="1" applyBorder="1" applyAlignment="1" applyProtection="1">
      <alignment horizontal="center" vertical="center" shrinkToFit="1"/>
    </xf>
    <xf numFmtId="176" fontId="39" fillId="13" borderId="15" xfId="0" applyNumberFormat="1" applyFont="1" applyFill="1" applyBorder="1" applyAlignment="1" applyProtection="1">
      <alignment horizontal="left" vertical="center" shrinkToFit="1"/>
    </xf>
    <xf numFmtId="210" fontId="39" fillId="13" borderId="6" xfId="0" applyNumberFormat="1" applyFont="1" applyFill="1" applyBorder="1" applyAlignment="1" applyProtection="1">
      <alignment horizontal="center" vertical="center" shrinkToFit="1"/>
    </xf>
    <xf numFmtId="43" fontId="172" fillId="14" borderId="6" xfId="102" applyFont="1" applyFill="1" applyBorder="1" applyAlignment="1">
      <alignment horizontal="right" vertical="center"/>
    </xf>
    <xf numFmtId="0" fontId="39" fillId="0" borderId="0" xfId="0" applyFont="1" applyFill="1" applyAlignment="1" applyProtection="1">
      <alignment vertical="center"/>
      <protection hidden="1"/>
    </xf>
    <xf numFmtId="176" fontId="39" fillId="13" borderId="77" xfId="0" applyNumberFormat="1" applyFont="1" applyFill="1" applyBorder="1" applyAlignment="1" applyProtection="1">
      <alignment horizontal="left" vertical="center" shrinkToFit="1"/>
    </xf>
    <xf numFmtId="43" fontId="39" fillId="14" borderId="6" xfId="102" applyNumberFormat="1" applyFont="1" applyFill="1" applyBorder="1" applyAlignment="1" applyProtection="1">
      <alignment horizontal="right" vertical="center" shrinkToFit="1"/>
      <protection locked="0"/>
    </xf>
    <xf numFmtId="43" fontId="37" fillId="14" borderId="7" xfId="102" applyFont="1" applyFill="1" applyBorder="1" applyProtection="1">
      <protection locked="0"/>
    </xf>
    <xf numFmtId="43" fontId="52" fillId="8" borderId="0" xfId="85" applyNumberFormat="1" applyFont="1" applyFill="1" applyAlignment="1">
      <alignment horizontal="center" vertical="center"/>
      <protection locked="0"/>
    </xf>
    <xf numFmtId="43" fontId="53" fillId="8" borderId="0" xfId="85" applyNumberFormat="1" applyFont="1" applyFill="1" applyAlignment="1">
      <alignment horizontal="center" vertical="center" wrapText="1"/>
      <protection locked="0"/>
    </xf>
    <xf numFmtId="43" fontId="173" fillId="0" borderId="0" xfId="85" applyNumberFormat="1" applyFont="1" applyFill="1" applyAlignment="1" applyProtection="1">
      <alignment vertical="center"/>
    </xf>
    <xf numFmtId="43" fontId="37" fillId="0" borderId="6" xfId="102" applyFont="1" applyFill="1" applyBorder="1" applyAlignment="1" applyProtection="1">
      <alignment vertical="center"/>
    </xf>
    <xf numFmtId="43" fontId="89" fillId="14" borderId="6" xfId="102" applyFont="1" applyFill="1" applyBorder="1" applyAlignment="1" applyProtection="1">
      <alignment vertical="center"/>
    </xf>
    <xf numFmtId="176" fontId="39" fillId="13" borderId="6" xfId="0" applyNumberFormat="1" applyFont="1" applyFill="1" applyBorder="1" applyAlignment="1" applyProtection="1">
      <alignment horizontal="left" vertical="center" shrinkToFit="1"/>
    </xf>
    <xf numFmtId="3" fontId="39" fillId="13" borderId="6" xfId="0" applyNumberFormat="1" applyFont="1" applyFill="1" applyBorder="1" applyAlignment="1" applyProtection="1">
      <alignment horizontal="center" vertical="center" shrinkToFit="1"/>
    </xf>
    <xf numFmtId="43" fontId="172" fillId="14" borderId="7" xfId="102" applyFont="1" applyFill="1" applyBorder="1" applyAlignment="1">
      <alignment horizontal="right" vertical="center"/>
    </xf>
    <xf numFmtId="43" fontId="89" fillId="14" borderId="6" xfId="102" applyNumberFormat="1" applyFont="1" applyFill="1" applyBorder="1" applyAlignment="1" applyProtection="1">
      <alignment horizontal="right" vertical="center" shrinkToFit="1"/>
      <protection locked="0"/>
    </xf>
    <xf numFmtId="3" fontId="37" fillId="13" borderId="13" xfId="0" applyNumberFormat="1" applyFont="1" applyFill="1" applyBorder="1" applyAlignment="1" applyProtection="1">
      <alignment horizontal="center" vertical="center" shrinkToFit="1"/>
    </xf>
    <xf numFmtId="43" fontId="89" fillId="0" borderId="13" xfId="102" applyFont="1" applyBorder="1" applyAlignment="1" applyProtection="1">
      <alignment vertical="center"/>
    </xf>
    <xf numFmtId="176" fontId="39" fillId="13" borderId="18" xfId="0" applyNumberFormat="1" applyFont="1" applyFill="1" applyBorder="1" applyAlignment="1" applyProtection="1">
      <alignment horizontal="left" vertical="center" shrinkToFit="1"/>
    </xf>
    <xf numFmtId="3" fontId="39" fillId="13" borderId="18" xfId="0" applyNumberFormat="1" applyFont="1" applyFill="1" applyBorder="1" applyAlignment="1" applyProtection="1">
      <alignment horizontal="center" vertical="center" shrinkToFit="1"/>
    </xf>
    <xf numFmtId="43" fontId="172" fillId="14" borderId="46" xfId="102" applyFont="1" applyFill="1" applyBorder="1" applyAlignment="1">
      <alignment horizontal="right" vertical="center"/>
    </xf>
    <xf numFmtId="176" fontId="39" fillId="13" borderId="37" xfId="0" applyNumberFormat="1" applyFont="1" applyFill="1" applyBorder="1" applyAlignment="1" applyProtection="1">
      <alignment horizontal="left" vertical="center" shrinkToFit="1"/>
    </xf>
    <xf numFmtId="3" fontId="39" fillId="13" borderId="37" xfId="0" applyNumberFormat="1" applyFont="1" applyFill="1" applyBorder="1" applyAlignment="1" applyProtection="1">
      <alignment horizontal="center" vertical="center" shrinkToFit="1"/>
    </xf>
    <xf numFmtId="43" fontId="172" fillId="14" borderId="37" xfId="102" applyFont="1" applyFill="1" applyBorder="1" applyAlignment="1">
      <alignment horizontal="right" vertical="center"/>
    </xf>
    <xf numFmtId="43" fontId="172" fillId="14" borderId="18" xfId="102" applyFont="1" applyFill="1" applyBorder="1" applyAlignment="1">
      <alignment horizontal="right" vertical="center"/>
    </xf>
    <xf numFmtId="176" fontId="24" fillId="0" borderId="15" xfId="86" applyNumberFormat="1" applyFont="1" applyBorder="1" applyAlignment="1" applyProtection="1">
      <alignment horizontal="left" vertical="center"/>
    </xf>
    <xf numFmtId="176" fontId="4" fillId="14" borderId="6" xfId="86" applyNumberFormat="1" applyFont="1" applyFill="1" applyBorder="1" applyAlignment="1" applyProtection="1">
      <alignment vertical="center"/>
      <protection locked="0"/>
    </xf>
    <xf numFmtId="43" fontId="37" fillId="0" borderId="6" xfId="102" applyFont="1" applyFill="1" applyBorder="1" applyAlignment="1" applyProtection="1">
      <alignment horizontal="left" vertical="center" shrinkToFit="1"/>
    </xf>
    <xf numFmtId="43" fontId="56" fillId="27" borderId="8" xfId="85" applyNumberFormat="1" applyFont="1" applyFill="1" applyBorder="1" applyProtection="1"/>
    <xf numFmtId="43" fontId="38" fillId="27" borderId="0" xfId="85" applyNumberFormat="1" applyFont="1" applyFill="1">
      <protection locked="0"/>
    </xf>
    <xf numFmtId="43" fontId="39" fillId="0" borderId="6" xfId="102" applyFont="1" applyFill="1" applyBorder="1" applyAlignment="1" applyProtection="1">
      <alignment vertical="center"/>
    </xf>
    <xf numFmtId="43" fontId="99" fillId="0" borderId="18" xfId="102" applyFont="1" applyFill="1" applyBorder="1" applyAlignment="1">
      <alignment horizontal="right" vertical="center"/>
    </xf>
    <xf numFmtId="43" fontId="34" fillId="3" borderId="22" xfId="85" applyNumberFormat="1" applyFont="1" applyFill="1" applyBorder="1" applyAlignment="1" applyProtection="1">
      <alignment horizontal="center"/>
    </xf>
    <xf numFmtId="0" fontId="28" fillId="0" borderId="0" xfId="81" applyFont="1" applyAlignment="1">
      <alignment horizontal="centerContinuous" vertical="center"/>
      <protection locked="0"/>
    </xf>
    <xf numFmtId="43" fontId="39" fillId="0" borderId="0" xfId="85" applyNumberFormat="1" applyFont="1" applyFill="1" applyBorder="1" applyAlignment="1" applyProtection="1">
      <alignment horizontal="left" shrinkToFit="1"/>
      <protection locked="0"/>
    </xf>
    <xf numFmtId="43" fontId="37" fillId="0" borderId="0" xfId="85" applyNumberFormat="1" applyFont="1" applyFill="1" applyBorder="1" applyAlignment="1" applyProtection="1">
      <alignment shrinkToFit="1"/>
      <protection locked="0"/>
    </xf>
    <xf numFmtId="43" fontId="39" fillId="0" borderId="0" xfId="85" applyNumberFormat="1" applyFont="1" applyFill="1" applyBorder="1" applyAlignment="1" applyProtection="1">
      <alignment shrinkToFit="1"/>
      <protection locked="0"/>
    </xf>
    <xf numFmtId="43" fontId="38" fillId="0" borderId="0" xfId="85" applyNumberFormat="1" applyFont="1" applyAlignment="1">
      <alignment horizontal="right"/>
      <protection locked="0"/>
    </xf>
    <xf numFmtId="43" fontId="53" fillId="8" borderId="0" xfId="85" applyNumberFormat="1" applyFont="1" applyFill="1" applyAlignment="1">
      <alignment horizontal="right" shrinkToFit="1"/>
      <protection locked="0"/>
    </xf>
    <xf numFmtId="43" fontId="38" fillId="0" borderId="0" xfId="85" applyNumberFormat="1" applyFont="1" applyAlignment="1" applyProtection="1">
      <alignment horizontal="right" vertical="center" shrinkToFit="1"/>
    </xf>
    <xf numFmtId="43" fontId="55" fillId="0" borderId="0" xfId="85" applyNumberFormat="1" applyFont="1" applyAlignment="1" applyProtection="1">
      <alignment horizontal="right" shrinkToFit="1"/>
    </xf>
    <xf numFmtId="43" fontId="4" fillId="0" borderId="0" xfId="85" applyNumberFormat="1" applyFont="1" applyAlignment="1">
      <alignment horizontal="right"/>
      <protection locked="0"/>
    </xf>
    <xf numFmtId="43" fontId="38" fillId="3" borderId="0" xfId="85" applyNumberFormat="1" applyFont="1" applyFill="1" applyAlignment="1" applyProtection="1">
      <alignment shrinkToFit="1"/>
    </xf>
    <xf numFmtId="43" fontId="34" fillId="3" borderId="22" xfId="85" applyNumberFormat="1" applyFont="1" applyFill="1" applyBorder="1" applyAlignment="1" applyProtection="1">
      <alignment horizontal="center" shrinkToFit="1"/>
    </xf>
    <xf numFmtId="43" fontId="53" fillId="3" borderId="0" xfId="85" applyNumberFormat="1" applyFont="1" applyFill="1" applyAlignment="1" applyProtection="1">
      <alignment shrinkToFit="1"/>
    </xf>
    <xf numFmtId="43" fontId="37" fillId="14" borderId="6" xfId="102" applyFont="1" applyFill="1" applyBorder="1" applyAlignment="1" applyProtection="1">
      <alignment vertical="center"/>
    </xf>
    <xf numFmtId="43" fontId="39" fillId="14" borderId="6" xfId="102" applyFont="1" applyFill="1" applyBorder="1" applyAlignment="1" applyProtection="1">
      <alignment vertical="center"/>
    </xf>
    <xf numFmtId="43" fontId="38" fillId="0" borderId="0" xfId="85" applyNumberFormat="1" applyFont="1" applyAlignment="1">
      <alignment shrinkToFit="1"/>
      <protection locked="0"/>
    </xf>
    <xf numFmtId="43" fontId="38" fillId="0" borderId="0" xfId="85" applyNumberFormat="1" applyFont="1" applyAlignment="1">
      <alignment vertical="center" shrinkToFit="1"/>
      <protection locked="0"/>
    </xf>
    <xf numFmtId="43" fontId="4" fillId="0" borderId="0" xfId="85" applyNumberFormat="1" applyFont="1" applyAlignment="1">
      <alignment shrinkToFit="1"/>
      <protection locked="0"/>
    </xf>
    <xf numFmtId="43" fontId="38" fillId="27" borderId="0" xfId="85" applyNumberFormat="1" applyFont="1" applyFill="1" applyAlignment="1">
      <alignment shrinkToFit="1"/>
      <protection locked="0"/>
    </xf>
    <xf numFmtId="43" fontId="174" fillId="0" borderId="0" xfId="85" applyNumberFormat="1" applyFont="1" applyAlignment="1">
      <alignment horizontal="right" shrinkToFit="1"/>
      <protection locked="0"/>
    </xf>
    <xf numFmtId="43" fontId="175" fillId="27" borderId="8" xfId="85" applyNumberFormat="1" applyFont="1" applyFill="1" applyBorder="1" applyAlignment="1" applyProtection="1">
      <alignment horizontal="center"/>
    </xf>
    <xf numFmtId="43" fontId="37" fillId="25" borderId="6" xfId="102" applyNumberFormat="1" applyFont="1" applyFill="1" applyBorder="1" applyAlignment="1" applyProtection="1">
      <alignment horizontal="right" vertical="center" shrinkToFit="1"/>
      <protection locked="0"/>
    </xf>
    <xf numFmtId="43" fontId="101" fillId="14" borderId="6" xfId="102" applyNumberFormat="1" applyFont="1" applyFill="1" applyBorder="1" applyAlignment="1" applyProtection="1">
      <alignment horizontal="right" vertical="center" shrinkToFit="1"/>
      <protection locked="0"/>
    </xf>
    <xf numFmtId="176" fontId="101" fillId="13" borderId="79" xfId="0" applyNumberFormat="1" applyFont="1" applyFill="1" applyBorder="1" applyAlignment="1" applyProtection="1">
      <alignment horizontal="left" vertical="center" shrinkToFit="1"/>
    </xf>
    <xf numFmtId="3" fontId="101" fillId="13" borderId="43" xfId="0" applyNumberFormat="1" applyFont="1" applyFill="1" applyBorder="1" applyAlignment="1" applyProtection="1">
      <alignment horizontal="center" vertical="center" shrinkToFit="1"/>
    </xf>
    <xf numFmtId="43" fontId="101" fillId="14" borderId="43" xfId="102" applyNumberFormat="1" applyFont="1" applyFill="1" applyBorder="1" applyAlignment="1" applyProtection="1">
      <alignment horizontal="right" vertical="center" shrinkToFit="1"/>
      <protection locked="0"/>
    </xf>
    <xf numFmtId="43" fontId="101" fillId="0" borderId="43" xfId="102" applyNumberFormat="1" applyFont="1" applyFill="1" applyBorder="1" applyAlignment="1" applyProtection="1">
      <alignment horizontal="right" vertical="center" shrinkToFit="1"/>
      <protection locked="0"/>
    </xf>
    <xf numFmtId="43" fontId="89" fillId="0" borderId="13" xfId="102" applyNumberFormat="1" applyFont="1" applyFill="1" applyBorder="1" applyAlignment="1" applyProtection="1">
      <alignment horizontal="right" vertical="center" shrinkToFit="1"/>
    </xf>
    <xf numFmtId="43" fontId="101" fillId="0" borderId="43" xfId="102" applyNumberFormat="1" applyFont="1" applyFill="1" applyBorder="1" applyAlignment="1" applyProtection="1">
      <alignment horizontal="right" vertical="center" shrinkToFit="1"/>
    </xf>
    <xf numFmtId="176" fontId="101" fillId="13" borderId="25" xfId="0" applyNumberFormat="1" applyFont="1" applyFill="1" applyBorder="1" applyAlignment="1" applyProtection="1">
      <alignment horizontal="left" vertical="center" shrinkToFit="1"/>
    </xf>
    <xf numFmtId="3" fontId="101" fillId="13" borderId="6" xfId="0" applyNumberFormat="1" applyFont="1" applyFill="1" applyBorder="1" applyAlignment="1" applyProtection="1">
      <alignment horizontal="center" vertical="center" shrinkToFit="1"/>
    </xf>
    <xf numFmtId="176" fontId="101" fillId="13" borderId="63" xfId="0" applyNumberFormat="1" applyFont="1" applyFill="1" applyBorder="1" applyAlignment="1" applyProtection="1">
      <alignment horizontal="left" vertical="center" shrinkToFit="1"/>
    </xf>
    <xf numFmtId="3" fontId="101" fillId="13" borderId="64" xfId="0" applyNumberFormat="1" applyFont="1" applyFill="1" applyBorder="1" applyAlignment="1" applyProtection="1">
      <alignment horizontal="center" vertical="center" shrinkToFit="1"/>
    </xf>
    <xf numFmtId="43" fontId="99" fillId="14" borderId="43" xfId="102" applyFont="1" applyFill="1" applyBorder="1" applyAlignment="1">
      <alignment horizontal="right" vertical="center"/>
    </xf>
    <xf numFmtId="31" fontId="101" fillId="0" borderId="13" xfId="102" applyNumberFormat="1" applyFont="1" applyFill="1" applyBorder="1" applyAlignment="1" applyProtection="1">
      <alignment horizontal="right" vertical="center" shrinkToFit="1"/>
      <protection locked="0"/>
    </xf>
    <xf numFmtId="43" fontId="101" fillId="0" borderId="13" xfId="102" applyNumberFormat="1" applyFont="1" applyFill="1" applyBorder="1" applyAlignment="1" applyProtection="1">
      <alignment horizontal="right" vertical="center" shrinkToFit="1"/>
      <protection locked="0"/>
    </xf>
    <xf numFmtId="43" fontId="101" fillId="0" borderId="13" xfId="102" applyNumberFormat="1" applyFont="1" applyFill="1" applyBorder="1" applyAlignment="1" applyProtection="1">
      <alignment horizontal="right" vertical="center" shrinkToFit="1"/>
    </xf>
    <xf numFmtId="176" fontId="89" fillId="13" borderId="25" xfId="0" applyNumberFormat="1" applyFont="1" applyFill="1" applyBorder="1" applyAlignment="1" applyProtection="1">
      <alignment horizontal="left" vertical="center" shrinkToFit="1"/>
    </xf>
    <xf numFmtId="3" fontId="89" fillId="13" borderId="6" xfId="0" applyNumberFormat="1" applyFont="1" applyFill="1" applyBorder="1" applyAlignment="1" applyProtection="1">
      <alignment horizontal="center" vertical="center" shrinkToFit="1"/>
    </xf>
    <xf numFmtId="176" fontId="89" fillId="13" borderId="63" xfId="0" applyNumberFormat="1" applyFont="1" applyFill="1" applyBorder="1" applyAlignment="1" applyProtection="1">
      <alignment horizontal="left" vertical="center" shrinkToFit="1"/>
    </xf>
    <xf numFmtId="3" fontId="89" fillId="13" borderId="64" xfId="0" applyNumberFormat="1" applyFont="1" applyFill="1" applyBorder="1" applyAlignment="1" applyProtection="1">
      <alignment horizontal="center" vertical="center" shrinkToFit="1"/>
    </xf>
    <xf numFmtId="43" fontId="89" fillId="0" borderId="43" xfId="102" applyNumberFormat="1" applyFont="1" applyFill="1" applyBorder="1" applyAlignment="1" applyProtection="1">
      <alignment horizontal="right" vertical="center" shrinkToFit="1"/>
      <protection locked="0"/>
    </xf>
    <xf numFmtId="43" fontId="89" fillId="0" borderId="43" xfId="102" applyNumberFormat="1" applyFont="1" applyFill="1" applyBorder="1" applyAlignment="1" applyProtection="1">
      <alignment horizontal="right" vertical="center" shrinkToFit="1"/>
    </xf>
    <xf numFmtId="31" fontId="101" fillId="0" borderId="13" xfId="102" applyNumberFormat="1" applyFont="1" applyFill="1" applyBorder="1" applyAlignment="1" applyProtection="1">
      <alignment horizontal="center" vertical="center" shrinkToFit="1"/>
      <protection locked="0"/>
    </xf>
    <xf numFmtId="43" fontId="101" fillId="0" borderId="13" xfId="102" applyNumberFormat="1" applyFont="1" applyFill="1" applyBorder="1" applyAlignment="1" applyProtection="1">
      <alignment horizontal="center" vertical="center" shrinkToFit="1"/>
    </xf>
    <xf numFmtId="43" fontId="37" fillId="0" borderId="7" xfId="102" applyFont="1" applyFill="1" applyBorder="1" applyProtection="1">
      <protection locked="0"/>
    </xf>
    <xf numFmtId="43" fontId="99" fillId="14" borderId="80" xfId="102" applyFont="1" applyFill="1" applyBorder="1" applyAlignment="1">
      <alignment horizontal="right" vertical="center"/>
    </xf>
    <xf numFmtId="43" fontId="39" fillId="0" borderId="6" xfId="102" applyFont="1" applyBorder="1" applyAlignment="1" applyProtection="1">
      <alignment vertical="center"/>
    </xf>
    <xf numFmtId="177" fontId="38" fillId="0" borderId="37" xfId="85" applyNumberFormat="1" applyFont="1" applyFill="1" applyBorder="1" applyAlignment="1">
      <alignment vertical="center"/>
      <protection locked="0"/>
    </xf>
    <xf numFmtId="177" fontId="38" fillId="0" borderId="37" xfId="85" applyNumberFormat="1" applyFont="1" applyFill="1" applyBorder="1" applyAlignment="1">
      <alignment vertical="center" shrinkToFit="1"/>
      <protection locked="0"/>
    </xf>
    <xf numFmtId="177" fontId="38" fillId="0" borderId="37" xfId="85" applyNumberFormat="1" applyFont="1" applyFill="1" applyBorder="1" applyAlignment="1">
      <alignment vertical="center" wrapText="1"/>
      <protection locked="0"/>
    </xf>
    <xf numFmtId="177" fontId="38" fillId="0" borderId="27" xfId="85" applyNumberFormat="1" applyFont="1" applyFill="1" applyBorder="1" applyAlignment="1">
      <alignment vertical="center"/>
      <protection locked="0"/>
    </xf>
    <xf numFmtId="177" fontId="38" fillId="0" borderId="27" xfId="85" applyNumberFormat="1" applyFont="1" applyFill="1" applyBorder="1" applyAlignment="1">
      <alignment vertical="center" shrinkToFit="1"/>
      <protection locked="0"/>
    </xf>
    <xf numFmtId="177" fontId="38" fillId="0" borderId="27" xfId="85" applyNumberFormat="1" applyFont="1" applyFill="1" applyBorder="1" applyAlignment="1">
      <alignment vertical="center" wrapText="1"/>
      <protection locked="0"/>
    </xf>
    <xf numFmtId="177" fontId="38" fillId="0" borderId="13" xfId="85" applyNumberFormat="1" applyFont="1" applyFill="1" applyBorder="1" applyAlignment="1">
      <alignment vertical="center"/>
      <protection locked="0"/>
    </xf>
    <xf numFmtId="177" fontId="38" fillId="0" borderId="13" xfId="85" applyNumberFormat="1" applyFont="1" applyFill="1" applyBorder="1" applyAlignment="1">
      <alignment vertical="center" shrinkToFit="1"/>
      <protection locked="0"/>
    </xf>
    <xf numFmtId="177" fontId="38" fillId="0" borderId="13" xfId="85" applyNumberFormat="1" applyFont="1" applyFill="1" applyBorder="1" applyAlignment="1">
      <alignment vertical="center" wrapText="1"/>
      <protection locked="0"/>
    </xf>
    <xf numFmtId="43" fontId="175" fillId="27" borderId="8" xfId="85" applyNumberFormat="1" applyFont="1" applyFill="1" applyBorder="1" applyProtection="1"/>
    <xf numFmtId="210" fontId="101" fillId="13" borderId="6" xfId="0" applyNumberFormat="1" applyFont="1" applyFill="1" applyBorder="1" applyAlignment="1" applyProtection="1">
      <alignment horizontal="center" vertical="center" shrinkToFit="1"/>
    </xf>
    <xf numFmtId="0" fontId="101" fillId="13" borderId="6" xfId="0" applyFont="1" applyFill="1" applyBorder="1" applyAlignment="1" applyProtection="1">
      <alignment vertical="center" shrinkToFit="1"/>
    </xf>
    <xf numFmtId="210" fontId="101" fillId="13" borderId="7" xfId="0" applyNumberFormat="1" applyFont="1" applyFill="1" applyBorder="1" applyAlignment="1" applyProtection="1">
      <alignment horizontal="center" vertical="center" shrinkToFit="1"/>
    </xf>
    <xf numFmtId="43" fontId="120" fillId="0" borderId="3" xfId="0" applyNumberFormat="1" applyFont="1" applyFill="1" applyBorder="1" applyAlignment="1" applyProtection="1">
      <alignment horizontal="center" vertical="center"/>
    </xf>
    <xf numFmtId="0" fontId="34" fillId="0" borderId="18" xfId="0" applyFont="1" applyFill="1" applyBorder="1" applyAlignment="1">
      <alignment horizontal="center" vertical="center" shrinkToFit="1"/>
      <protection locked="0"/>
    </xf>
    <xf numFmtId="43" fontId="37" fillId="0" borderId="16" xfId="102" applyFont="1" applyFill="1" applyBorder="1" applyAlignment="1" applyProtection="1">
      <alignment vertical="center"/>
    </xf>
    <xf numFmtId="43" fontId="39" fillId="0" borderId="16" xfId="102" applyFont="1" applyFill="1" applyBorder="1" applyAlignment="1" applyProtection="1">
      <alignment vertical="center"/>
    </xf>
    <xf numFmtId="176" fontId="39" fillId="28" borderId="50" xfId="0" applyNumberFormat="1" applyFont="1" applyFill="1" applyBorder="1" applyAlignment="1" applyProtection="1">
      <alignment horizontal="center" vertical="center" shrinkToFit="1"/>
    </xf>
    <xf numFmtId="43" fontId="172" fillId="14" borderId="16" xfId="102" applyFont="1" applyFill="1" applyBorder="1" applyAlignment="1">
      <alignment horizontal="right" vertical="center"/>
    </xf>
    <xf numFmtId="176" fontId="39" fillId="13" borderId="78" xfId="0" applyNumberFormat="1" applyFont="1" applyFill="1" applyBorder="1" applyAlignment="1" applyProtection="1">
      <alignment horizontal="left" vertical="center" shrinkToFit="1"/>
    </xf>
    <xf numFmtId="210" fontId="39" fillId="13" borderId="18" xfId="0" applyNumberFormat="1" applyFont="1" applyFill="1" applyBorder="1" applyAlignment="1" applyProtection="1">
      <alignment horizontal="center" vertical="center" shrinkToFit="1"/>
    </xf>
    <xf numFmtId="0" fontId="13" fillId="0" borderId="3" xfId="0" applyFont="1" applyFill="1" applyBorder="1" applyAlignment="1" applyProtection="1">
      <alignment vertical="center" shrinkToFit="1"/>
    </xf>
    <xf numFmtId="176" fontId="39" fillId="13" borderId="17" xfId="0" applyNumberFormat="1" applyFont="1" applyFill="1" applyBorder="1" applyAlignment="1" applyProtection="1">
      <alignment horizontal="left" vertical="center" shrinkToFit="1"/>
    </xf>
    <xf numFmtId="43" fontId="176" fillId="0" borderId="25" xfId="85" applyNumberFormat="1" applyFont="1" applyFill="1" applyBorder="1" applyAlignment="1">
      <alignment shrinkToFit="1"/>
      <protection locked="0"/>
    </xf>
    <xf numFmtId="43" fontId="177" fillId="0" borderId="6" xfId="85" applyNumberFormat="1" applyFont="1" applyFill="1" applyBorder="1" applyAlignment="1">
      <alignment horizontal="center"/>
      <protection locked="0"/>
    </xf>
    <xf numFmtId="43" fontId="177" fillId="0" borderId="0" xfId="85" applyNumberFormat="1" applyFont="1" applyFill="1" applyAlignment="1">
      <alignment vertical="center"/>
      <protection locked="0"/>
    </xf>
    <xf numFmtId="43" fontId="177" fillId="0" borderId="25" xfId="85" applyNumberFormat="1" applyFont="1" applyFill="1" applyBorder="1" applyAlignment="1">
      <alignment shrinkToFit="1"/>
      <protection locked="0"/>
    </xf>
    <xf numFmtId="43" fontId="177" fillId="0" borderId="62" xfId="85" applyNumberFormat="1" applyFont="1" applyFill="1" applyBorder="1" applyAlignment="1">
      <alignment shrinkToFit="1"/>
      <protection locked="0"/>
    </xf>
    <xf numFmtId="43" fontId="177" fillId="0" borderId="27" xfId="85" applyNumberFormat="1" applyFont="1" applyFill="1" applyBorder="1" applyProtection="1">
      <protection locked="0"/>
    </xf>
    <xf numFmtId="177" fontId="177" fillId="0" borderId="6" xfId="85" applyNumberFormat="1" applyFont="1" applyFill="1" applyBorder="1" applyAlignment="1">
      <alignment horizontal="center" vertical="center"/>
      <protection locked="0"/>
    </xf>
    <xf numFmtId="43" fontId="177" fillId="0" borderId="7" xfId="85" applyNumberFormat="1" applyFont="1" applyFill="1" applyBorder="1">
      <protection locked="0"/>
    </xf>
    <xf numFmtId="43" fontId="177" fillId="0" borderId="6" xfId="105" applyNumberFormat="1" applyFont="1" applyFill="1" applyBorder="1" applyProtection="1">
      <protection locked="0"/>
    </xf>
    <xf numFmtId="43" fontId="177" fillId="0" borderId="8" xfId="85" applyNumberFormat="1" applyFont="1" applyFill="1" applyBorder="1" applyAlignment="1">
      <alignment shrinkToFit="1"/>
      <protection locked="0"/>
    </xf>
    <xf numFmtId="43" fontId="177" fillId="0" borderId="8" xfId="85" applyNumberFormat="1" applyFont="1" applyFill="1" applyBorder="1" applyAlignment="1">
      <alignment horizontal="center"/>
      <protection locked="0"/>
    </xf>
    <xf numFmtId="43" fontId="177" fillId="0" borderId="0" xfId="85" applyNumberFormat="1" applyFont="1" applyFill="1" applyProtection="1"/>
    <xf numFmtId="43" fontId="177" fillId="0" borderId="0" xfId="85" applyNumberFormat="1" applyFont="1" applyFill="1" applyAlignment="1" applyProtection="1">
      <alignment horizontal="center"/>
    </xf>
    <xf numFmtId="43" fontId="177" fillId="0" borderId="8" xfId="85" applyNumberFormat="1" applyFont="1" applyFill="1" applyBorder="1" applyAlignment="1" applyProtection="1">
      <alignment horizontal="center"/>
    </xf>
    <xf numFmtId="43" fontId="176" fillId="0" borderId="8" xfId="85" applyNumberFormat="1" applyFont="1" applyFill="1" applyBorder="1" applyAlignment="1">
      <alignment shrinkToFit="1"/>
      <protection locked="0"/>
    </xf>
    <xf numFmtId="43" fontId="177" fillId="0" borderId="8" xfId="85" applyNumberFormat="1" applyFont="1" applyFill="1" applyBorder="1" applyProtection="1"/>
    <xf numFmtId="0" fontId="178" fillId="0" borderId="23" xfId="81" applyNumberFormat="1" applyFont="1" applyFill="1" applyBorder="1" applyAlignment="1" applyProtection="1">
      <alignment vertical="center"/>
    </xf>
    <xf numFmtId="177" fontId="177" fillId="0" borderId="37" xfId="85" applyNumberFormat="1" applyFont="1" applyFill="1" applyBorder="1" applyAlignment="1">
      <alignment vertical="center" wrapText="1"/>
      <protection locked="0"/>
    </xf>
    <xf numFmtId="43" fontId="176" fillId="0" borderId="0" xfId="85" applyNumberFormat="1" applyFont="1" applyFill="1" applyProtection="1"/>
    <xf numFmtId="43" fontId="176" fillId="0" borderId="8" xfId="85" applyNumberFormat="1" applyFont="1" applyFill="1" applyBorder="1" applyProtection="1"/>
    <xf numFmtId="177" fontId="38" fillId="0" borderId="0" xfId="85" applyNumberFormat="1" applyFont="1" applyFill="1" applyBorder="1" applyAlignment="1">
      <alignment vertical="center" shrinkToFit="1"/>
      <protection locked="0"/>
    </xf>
    <xf numFmtId="177" fontId="177" fillId="0" borderId="85" xfId="85" applyNumberFormat="1" applyFont="1" applyFill="1" applyBorder="1" applyAlignment="1">
      <alignment vertical="center" wrapText="1"/>
      <protection locked="0"/>
    </xf>
    <xf numFmtId="43" fontId="177" fillId="0" borderId="8" xfId="85" applyNumberFormat="1" applyFont="1" applyFill="1" applyBorder="1">
      <protection locked="0"/>
    </xf>
    <xf numFmtId="43" fontId="177" fillId="0" borderId="8" xfId="105" applyNumberFormat="1" applyFont="1" applyFill="1" applyBorder="1" applyProtection="1">
      <protection locked="0"/>
    </xf>
    <xf numFmtId="43" fontId="179" fillId="3" borderId="0" xfId="85" applyNumberFormat="1" applyFont="1" applyFill="1" applyAlignment="1" applyProtection="1">
      <alignment shrinkToFit="1"/>
    </xf>
    <xf numFmtId="43" fontId="180" fillId="3" borderId="0" xfId="85" applyNumberFormat="1" applyFont="1" applyFill="1" applyAlignment="1" applyProtection="1">
      <alignment shrinkToFit="1"/>
    </xf>
    <xf numFmtId="43" fontId="53" fillId="0" borderId="0" xfId="85" applyNumberFormat="1" applyFont="1" applyFill="1" applyAlignment="1" applyProtection="1">
      <alignment shrinkToFit="1"/>
    </xf>
    <xf numFmtId="43" fontId="37" fillId="14" borderId="16" xfId="102" applyFont="1" applyFill="1" applyBorder="1" applyAlignment="1" applyProtection="1">
      <alignment vertical="center"/>
    </xf>
    <xf numFmtId="43" fontId="39" fillId="14" borderId="16" xfId="102" applyFont="1" applyFill="1" applyBorder="1" applyAlignment="1" applyProtection="1">
      <alignment vertical="center"/>
    </xf>
    <xf numFmtId="43" fontId="39" fillId="14" borderId="18" xfId="102" applyFont="1" applyFill="1" applyBorder="1" applyAlignment="1" applyProtection="1">
      <alignment vertical="center"/>
    </xf>
    <xf numFmtId="43" fontId="39" fillId="14" borderId="19" xfId="102" applyFont="1" applyFill="1" applyBorder="1" applyAlignment="1" applyProtection="1">
      <alignment vertical="center"/>
    </xf>
    <xf numFmtId="176" fontId="39" fillId="13" borderId="13" xfId="0" applyNumberFormat="1" applyFont="1" applyFill="1" applyBorder="1" applyAlignment="1" applyProtection="1">
      <alignment horizontal="left" vertical="center" shrinkToFit="1"/>
    </xf>
    <xf numFmtId="43" fontId="101" fillId="0" borderId="0" xfId="0" applyNumberFormat="1" applyFont="1">
      <protection locked="0"/>
    </xf>
    <xf numFmtId="176" fontId="39" fillId="13" borderId="13" xfId="0" applyNumberFormat="1" applyFont="1" applyFill="1" applyBorder="1" applyAlignment="1" applyProtection="1">
      <alignment horizontal="center" vertical="center" shrinkToFit="1"/>
    </xf>
    <xf numFmtId="3" fontId="39" fillId="13" borderId="13" xfId="0" applyNumberFormat="1" applyFont="1" applyFill="1" applyBorder="1" applyAlignment="1" applyProtection="1">
      <alignment horizontal="center" vertical="center" shrinkToFit="1"/>
    </xf>
    <xf numFmtId="43" fontId="101" fillId="28" borderId="13" xfId="102" applyFont="1" applyFill="1" applyBorder="1" applyAlignment="1" applyProtection="1">
      <alignment horizontal="center" vertical="center"/>
    </xf>
    <xf numFmtId="3" fontId="37" fillId="28" borderId="13" xfId="0" applyNumberFormat="1" applyFont="1" applyFill="1" applyBorder="1" applyAlignment="1" applyProtection="1">
      <alignment horizontal="center" vertical="center" shrinkToFit="1"/>
    </xf>
    <xf numFmtId="176" fontId="39" fillId="13" borderId="6" xfId="0" applyNumberFormat="1" applyFont="1" applyFill="1" applyBorder="1" applyAlignment="1" applyProtection="1">
      <alignment horizontal="center" vertical="center" shrinkToFit="1"/>
    </xf>
    <xf numFmtId="43" fontId="101" fillId="14" borderId="6" xfId="102" applyFont="1" applyFill="1" applyBorder="1" applyAlignment="1" applyProtection="1">
      <alignment vertical="center"/>
    </xf>
    <xf numFmtId="176" fontId="89" fillId="0" borderId="14" xfId="81" applyNumberFormat="1" applyFont="1" applyBorder="1" applyAlignment="1" applyProtection="1">
      <alignment vertical="center"/>
    </xf>
    <xf numFmtId="43" fontId="101" fillId="14" borderId="18" xfId="102" applyFont="1" applyFill="1" applyBorder="1" applyAlignment="1" applyProtection="1">
      <alignment vertical="center"/>
    </xf>
    <xf numFmtId="176" fontId="101" fillId="28" borderId="12" xfId="81" applyNumberFormat="1" applyFont="1" applyFill="1" applyBorder="1" applyAlignment="1" applyProtection="1">
      <alignment vertical="center"/>
    </xf>
    <xf numFmtId="176" fontId="89" fillId="28" borderId="12" xfId="81" applyNumberFormat="1" applyFont="1" applyFill="1" applyBorder="1" applyAlignment="1" applyProtection="1">
      <alignment vertical="center"/>
    </xf>
    <xf numFmtId="176" fontId="101" fillId="28" borderId="83" xfId="81" applyNumberFormat="1" applyFont="1" applyFill="1" applyBorder="1" applyAlignment="1" applyProtection="1">
      <alignment vertical="center"/>
    </xf>
    <xf numFmtId="176" fontId="89" fillId="28" borderId="23" xfId="81" applyNumberFormat="1" applyFont="1" applyFill="1" applyBorder="1" applyAlignment="1" applyProtection="1">
      <alignment vertical="center"/>
    </xf>
    <xf numFmtId="176" fontId="101" fillId="28" borderId="18" xfId="81" applyNumberFormat="1" applyFont="1" applyFill="1" applyBorder="1" applyAlignment="1" applyProtection="1">
      <alignment horizontal="center" vertical="center"/>
    </xf>
    <xf numFmtId="176" fontId="28" fillId="28" borderId="18" xfId="81" applyNumberFormat="1" applyFont="1" applyFill="1" applyBorder="1" applyAlignment="1" applyProtection="1">
      <alignment horizontal="center" vertical="center"/>
    </xf>
    <xf numFmtId="43" fontId="89" fillId="0" borderId="6" xfId="102" applyFont="1" applyFill="1" applyBorder="1" applyAlignment="1" applyProtection="1">
      <alignment vertical="center"/>
    </xf>
    <xf numFmtId="176" fontId="101" fillId="28" borderId="23" xfId="81" applyNumberFormat="1" applyFont="1" applyFill="1" applyBorder="1" applyAlignment="1" applyProtection="1">
      <alignment vertical="center"/>
    </xf>
    <xf numFmtId="176" fontId="101" fillId="28" borderId="23" xfId="81" applyNumberFormat="1" applyFont="1" applyFill="1" applyBorder="1" applyAlignment="1" applyProtection="1">
      <alignment horizontal="center" vertical="center"/>
    </xf>
    <xf numFmtId="43" fontId="28" fillId="28" borderId="13" xfId="102" applyFont="1" applyFill="1" applyBorder="1" applyAlignment="1" applyProtection="1">
      <alignment horizontal="center" vertical="center"/>
    </xf>
    <xf numFmtId="31" fontId="28" fillId="28" borderId="6" xfId="102" applyNumberFormat="1" applyFont="1" applyFill="1" applyBorder="1" applyAlignment="1" applyProtection="1">
      <alignment horizontal="center" vertical="center"/>
    </xf>
    <xf numFmtId="43" fontId="101" fillId="28" borderId="6" xfId="102" applyFont="1" applyFill="1" applyBorder="1" applyAlignment="1" applyProtection="1">
      <alignment horizontal="center" vertical="center"/>
    </xf>
    <xf numFmtId="43" fontId="39" fillId="14" borderId="37" xfId="102" applyFont="1" applyFill="1" applyBorder="1" applyAlignment="1" applyProtection="1">
      <alignment vertical="center"/>
    </xf>
    <xf numFmtId="31" fontId="28" fillId="28" borderId="13" xfId="102" applyNumberFormat="1" applyFont="1" applyFill="1" applyBorder="1" applyAlignment="1" applyProtection="1">
      <alignment horizontal="center" vertical="center"/>
    </xf>
    <xf numFmtId="176" fontId="101" fillId="28" borderId="50" xfId="81" applyNumberFormat="1" applyFont="1" applyFill="1" applyBorder="1" applyAlignment="1" applyProtection="1">
      <alignment horizontal="center" vertical="center"/>
    </xf>
    <xf numFmtId="43" fontId="101" fillId="28" borderId="33" xfId="102" applyFont="1" applyFill="1" applyBorder="1" applyAlignment="1" applyProtection="1">
      <alignment horizontal="center" vertical="center"/>
    </xf>
    <xf numFmtId="43" fontId="28" fillId="28" borderId="33" xfId="102" applyFont="1" applyFill="1" applyBorder="1" applyAlignment="1" applyProtection="1">
      <alignment horizontal="center" vertical="center"/>
    </xf>
    <xf numFmtId="31" fontId="101" fillId="28" borderId="49" xfId="102" applyNumberFormat="1" applyFont="1" applyFill="1" applyBorder="1" applyAlignment="1" applyProtection="1">
      <alignment horizontal="center" vertical="center"/>
    </xf>
    <xf numFmtId="176" fontId="101" fillId="28" borderId="62" xfId="81" applyNumberFormat="1" applyFont="1" applyFill="1" applyBorder="1" applyAlignment="1" applyProtection="1">
      <alignment vertical="center"/>
    </xf>
    <xf numFmtId="43" fontId="101" fillId="0" borderId="16" xfId="102" applyFont="1" applyBorder="1" applyAlignment="1" applyProtection="1">
      <alignment vertical="center"/>
    </xf>
    <xf numFmtId="0" fontId="34" fillId="0" borderId="0" xfId="81" applyNumberFormat="1" applyFont="1" applyAlignment="1">
      <alignment horizontal="centerContinuous" vertical="center"/>
      <protection locked="0"/>
    </xf>
    <xf numFmtId="176" fontId="53" fillId="0" borderId="0" xfId="81" applyNumberFormat="1" applyFont="1" applyAlignment="1">
      <alignment horizontal="centerContinuous" vertical="center"/>
      <protection locked="0"/>
    </xf>
    <xf numFmtId="176" fontId="34" fillId="0" borderId="0" xfId="81" applyNumberFormat="1" applyFont="1" applyAlignment="1">
      <alignment horizontal="centerContinuous" vertical="center"/>
      <protection locked="0"/>
    </xf>
    <xf numFmtId="176" fontId="53" fillId="0" borderId="0" xfId="81" applyNumberFormat="1" applyFont="1" applyAlignment="1">
      <alignment horizontal="center" vertical="center"/>
      <protection locked="0"/>
    </xf>
    <xf numFmtId="176" fontId="53" fillId="0" borderId="0" xfId="81" applyNumberFormat="1" applyFont="1" applyFill="1" applyAlignment="1">
      <alignment horizontal="centerContinuous" vertical="center"/>
      <protection locked="0"/>
    </xf>
    <xf numFmtId="0" fontId="38" fillId="0" borderId="0" xfId="81" applyNumberFormat="1" applyFont="1" applyAlignment="1" applyProtection="1">
      <alignment vertical="center"/>
    </xf>
    <xf numFmtId="176" fontId="38" fillId="0" borderId="0" xfId="81" applyNumberFormat="1" applyFont="1" applyFill="1" applyAlignment="1" applyProtection="1">
      <alignment horizontal="left" vertical="center"/>
    </xf>
    <xf numFmtId="176" fontId="53" fillId="28" borderId="18" xfId="81" applyNumberFormat="1" applyFont="1" applyFill="1" applyBorder="1" applyAlignment="1" applyProtection="1">
      <alignment horizontal="center" vertical="center"/>
    </xf>
    <xf numFmtId="176" fontId="34" fillId="28" borderId="18" xfId="81" applyNumberFormat="1" applyFont="1" applyFill="1" applyBorder="1" applyAlignment="1" applyProtection="1">
      <alignment horizontal="center" vertical="center"/>
    </xf>
    <xf numFmtId="0" fontId="53" fillId="28" borderId="12" xfId="81" applyNumberFormat="1" applyFont="1" applyFill="1" applyBorder="1" applyAlignment="1" applyProtection="1">
      <alignment vertical="center"/>
    </xf>
    <xf numFmtId="14" fontId="53" fillId="0" borderId="13" xfId="81" applyNumberFormat="1" applyFont="1" applyBorder="1" applyAlignment="1" applyProtection="1">
      <alignment vertical="center"/>
    </xf>
    <xf numFmtId="43" fontId="53" fillId="0" borderId="6" xfId="102" applyFont="1" applyBorder="1" applyAlignment="1" applyProtection="1">
      <alignment vertical="center"/>
    </xf>
    <xf numFmtId="14" fontId="53" fillId="0" borderId="16" xfId="102" applyNumberFormat="1" applyFont="1" applyFill="1" applyBorder="1" applyAlignment="1" applyProtection="1">
      <alignment vertical="center"/>
    </xf>
    <xf numFmtId="0" fontId="38" fillId="28" borderId="12" xfId="81" applyNumberFormat="1" applyFont="1" applyFill="1" applyBorder="1" applyAlignment="1" applyProtection="1">
      <alignment vertical="center"/>
    </xf>
    <xf numFmtId="43" fontId="38" fillId="14" borderId="6" xfId="102" applyFont="1" applyFill="1" applyBorder="1" applyAlignment="1" applyProtection="1">
      <alignment vertical="center"/>
    </xf>
    <xf numFmtId="43" fontId="38" fillId="14" borderId="16" xfId="102" applyFont="1" applyFill="1" applyBorder="1" applyAlignment="1" applyProtection="1">
      <alignment vertical="center"/>
    </xf>
    <xf numFmtId="43" fontId="53" fillId="14" borderId="6" xfId="102" applyFont="1" applyFill="1" applyBorder="1" applyAlignment="1" applyProtection="1">
      <alignment vertical="center"/>
    </xf>
    <xf numFmtId="43" fontId="52" fillId="14" borderId="6" xfId="102" applyFont="1" applyFill="1" applyBorder="1" applyAlignment="1">
      <alignment horizontal="right" vertical="center"/>
    </xf>
    <xf numFmtId="43" fontId="53" fillId="14" borderId="16" xfId="102" applyFont="1" applyFill="1" applyBorder="1" applyAlignment="1" applyProtection="1">
      <alignment vertical="center"/>
    </xf>
    <xf numFmtId="176" fontId="53" fillId="0" borderId="0" xfId="81" applyNumberFormat="1" applyFont="1" applyAlignment="1">
      <alignment vertical="center"/>
      <protection locked="0"/>
    </xf>
    <xf numFmtId="43" fontId="38" fillId="0" borderId="6" xfId="102" applyFont="1" applyBorder="1" applyAlignment="1" applyProtection="1">
      <alignment vertical="center"/>
    </xf>
    <xf numFmtId="43" fontId="38" fillId="0" borderId="16" xfId="102" applyFont="1" applyFill="1" applyBorder="1" applyAlignment="1" applyProtection="1">
      <alignment vertical="center"/>
    </xf>
    <xf numFmtId="0" fontId="53" fillId="28" borderId="83" xfId="81" applyNumberFormat="1" applyFont="1" applyFill="1" applyBorder="1" applyAlignment="1" applyProtection="1">
      <alignment vertical="center"/>
    </xf>
    <xf numFmtId="43" fontId="53" fillId="14" borderId="18" xfId="102" applyFont="1" applyFill="1" applyBorder="1" applyAlignment="1" applyProtection="1">
      <alignment vertical="center"/>
    </xf>
    <xf numFmtId="43" fontId="183" fillId="14" borderId="18" xfId="102" applyFont="1" applyFill="1" applyBorder="1" applyAlignment="1">
      <alignment horizontal="right" vertical="center"/>
    </xf>
    <xf numFmtId="43" fontId="53" fillId="14" borderId="19" xfId="102" applyFont="1" applyFill="1" applyBorder="1" applyAlignment="1" applyProtection="1">
      <alignment vertical="center"/>
    </xf>
    <xf numFmtId="0" fontId="53" fillId="28" borderId="50" xfId="81" applyNumberFormat="1" applyFont="1" applyFill="1" applyBorder="1" applyAlignment="1" applyProtection="1">
      <alignment vertical="center"/>
    </xf>
    <xf numFmtId="14" fontId="34" fillId="28" borderId="33" xfId="102" applyNumberFormat="1" applyFont="1" applyFill="1" applyBorder="1" applyAlignment="1" applyProtection="1">
      <alignment vertical="center"/>
    </xf>
    <xf numFmtId="43" fontId="34" fillId="28" borderId="33" xfId="102" applyFont="1" applyFill="1" applyBorder="1" applyAlignment="1" applyProtection="1">
      <alignment vertical="center"/>
    </xf>
    <xf numFmtId="14" fontId="34" fillId="28" borderId="49" xfId="102" applyNumberFormat="1" applyFont="1" applyFill="1" applyBorder="1" applyAlignment="1" applyProtection="1">
      <alignment horizontal="center" vertical="center"/>
    </xf>
    <xf numFmtId="43" fontId="53" fillId="14" borderId="6" xfId="102" applyNumberFormat="1" applyFont="1" applyFill="1" applyBorder="1" applyAlignment="1" applyProtection="1">
      <alignment horizontal="right" vertical="center" shrinkToFit="1"/>
      <protection locked="0"/>
    </xf>
    <xf numFmtId="43" fontId="38" fillId="14" borderId="6" xfId="102" applyNumberFormat="1" applyFont="1" applyFill="1" applyBorder="1" applyAlignment="1" applyProtection="1">
      <alignment horizontal="right" vertical="center" shrinkToFit="1"/>
      <protection locked="0"/>
    </xf>
    <xf numFmtId="0" fontId="53" fillId="28" borderId="23" xfId="81" applyNumberFormat="1" applyFont="1" applyFill="1" applyBorder="1" applyAlignment="1" applyProtection="1">
      <alignment vertical="center"/>
    </xf>
    <xf numFmtId="43" fontId="34" fillId="28" borderId="13" xfId="102" applyFont="1" applyFill="1" applyBorder="1" applyAlignment="1" applyProtection="1">
      <alignment horizontal="center" vertical="center"/>
    </xf>
    <xf numFmtId="0" fontId="38" fillId="28" borderId="23" xfId="81" applyNumberFormat="1" applyFont="1" applyFill="1" applyBorder="1" applyAlignment="1" applyProtection="1">
      <alignment vertical="center"/>
    </xf>
    <xf numFmtId="43" fontId="38" fillId="0" borderId="6" xfId="102" applyFont="1" applyFill="1" applyBorder="1" applyAlignment="1" applyProtection="1">
      <alignment vertical="center"/>
    </xf>
    <xf numFmtId="31" fontId="34" fillId="28" borderId="6" xfId="102" applyNumberFormat="1" applyFont="1" applyFill="1" applyBorder="1" applyAlignment="1" applyProtection="1">
      <alignment horizontal="center" vertical="center"/>
    </xf>
    <xf numFmtId="43" fontId="34" fillId="28" borderId="6" xfId="102" applyFont="1" applyFill="1" applyBorder="1" applyAlignment="1" applyProtection="1">
      <alignment vertical="center"/>
    </xf>
    <xf numFmtId="43" fontId="34" fillId="28" borderId="6" xfId="102" applyFont="1" applyFill="1" applyBorder="1" applyAlignment="1" applyProtection="1">
      <alignment horizontal="center" vertical="center"/>
    </xf>
    <xf numFmtId="0" fontId="53" fillId="28" borderId="23" xfId="81" applyNumberFormat="1" applyFont="1" applyFill="1" applyBorder="1" applyAlignment="1" applyProtection="1">
      <alignment horizontal="center" vertical="center"/>
    </xf>
    <xf numFmtId="43" fontId="53" fillId="28" borderId="6" xfId="102" applyFont="1" applyFill="1" applyBorder="1" applyAlignment="1" applyProtection="1">
      <alignment horizontal="center" vertical="center"/>
    </xf>
    <xf numFmtId="0" fontId="38" fillId="28" borderId="0" xfId="81" applyNumberFormat="1" applyFont="1" applyFill="1" applyAlignment="1">
      <alignment vertical="center"/>
      <protection locked="0"/>
    </xf>
    <xf numFmtId="0" fontId="38" fillId="0" borderId="0" xfId="81" applyNumberFormat="1" applyFont="1" applyAlignment="1">
      <alignment vertical="center"/>
      <protection locked="0"/>
    </xf>
    <xf numFmtId="176" fontId="38" fillId="0" borderId="0" xfId="81" applyNumberFormat="1" applyFont="1" applyFill="1" applyAlignment="1">
      <alignment vertical="center"/>
      <protection locked="0"/>
    </xf>
    <xf numFmtId="43" fontId="101" fillId="28" borderId="6" xfId="102" applyFont="1" applyFill="1" applyBorder="1" applyAlignment="1" applyProtection="1">
      <alignment vertical="center"/>
    </xf>
    <xf numFmtId="0" fontId="184" fillId="0" borderId="0" xfId="102" applyNumberFormat="1" applyFont="1" applyProtection="1">
      <protection locked="0"/>
    </xf>
    <xf numFmtId="43" fontId="37" fillId="0" borderId="0" xfId="84" applyNumberFormat="1" applyFont="1" applyBorder="1" applyAlignment="1">
      <alignment horizontal="center" vertical="center"/>
      <protection locked="0"/>
    </xf>
    <xf numFmtId="43" fontId="37" fillId="0" borderId="0" xfId="102" applyFont="1" applyBorder="1" applyAlignment="1" applyProtection="1">
      <alignment vertical="center"/>
      <protection locked="0"/>
    </xf>
    <xf numFmtId="43" fontId="37" fillId="0" borderId="0" xfId="84" applyNumberFormat="1" applyFont="1" applyBorder="1" applyAlignment="1">
      <alignment vertical="center"/>
      <protection locked="0"/>
    </xf>
    <xf numFmtId="0" fontId="13" fillId="12" borderId="0" xfId="102" applyNumberFormat="1" applyFont="1" applyFill="1" applyProtection="1">
      <protection locked="0"/>
    </xf>
    <xf numFmtId="43" fontId="13" fillId="12" borderId="0" xfId="84" applyNumberFormat="1" applyFont="1" applyFill="1" applyBorder="1" applyAlignment="1">
      <alignment horizontal="center" vertical="center"/>
      <protection locked="0"/>
    </xf>
    <xf numFmtId="43" fontId="37" fillId="12" borderId="0" xfId="102" applyFont="1" applyFill="1" applyProtection="1">
      <protection locked="0"/>
    </xf>
    <xf numFmtId="43" fontId="182" fillId="12" borderId="0" xfId="102" applyFont="1" applyFill="1" applyProtection="1">
      <protection locked="0"/>
    </xf>
    <xf numFmtId="43" fontId="37" fillId="0" borderId="0" xfId="102" applyFont="1" applyProtection="1">
      <protection locked="0"/>
    </xf>
    <xf numFmtId="43" fontId="185" fillId="0" borderId="0" xfId="103" applyNumberFormat="1" applyFont="1" applyBorder="1" applyAlignment="1">
      <alignment vertical="center"/>
    </xf>
    <xf numFmtId="43" fontId="8" fillId="0" borderId="0" xfId="84" applyNumberFormat="1" applyFont="1" applyBorder="1" applyAlignment="1">
      <alignment horizontal="center" vertical="center"/>
      <protection locked="0"/>
    </xf>
    <xf numFmtId="43" fontId="65" fillId="0" borderId="0" xfId="84" applyNumberFormat="1" applyFont="1" applyBorder="1" applyAlignment="1">
      <alignment horizontal="center" vertical="center"/>
      <protection locked="0"/>
    </xf>
    <xf numFmtId="43" fontId="37" fillId="12" borderId="0" xfId="102" applyFont="1" applyFill="1" applyBorder="1" applyAlignment="1" applyProtection="1">
      <alignment horizontal="center" vertical="center"/>
      <protection locked="0"/>
    </xf>
    <xf numFmtId="43" fontId="37" fillId="12" borderId="0" xfId="102" applyFont="1" applyFill="1" applyBorder="1" applyAlignment="1" applyProtection="1">
      <alignment vertical="center"/>
      <protection locked="0"/>
    </xf>
    <xf numFmtId="0" fontId="13" fillId="12" borderId="0" xfId="102" applyNumberFormat="1" applyFont="1" applyFill="1" applyAlignment="1" applyProtection="1">
      <alignment shrinkToFit="1"/>
      <protection locked="0"/>
    </xf>
    <xf numFmtId="0" fontId="26" fillId="0" borderId="0" xfId="102" applyNumberFormat="1" applyFont="1" applyProtection="1">
      <protection locked="0"/>
    </xf>
    <xf numFmtId="43" fontId="37" fillId="0" borderId="0" xfId="102" applyFont="1" applyBorder="1" applyAlignment="1" applyProtection="1">
      <alignment horizontal="center" vertical="center"/>
      <protection locked="0"/>
    </xf>
    <xf numFmtId="0" fontId="13" fillId="30" borderId="0" xfId="102" applyNumberFormat="1" applyFont="1" applyFill="1" applyProtection="1">
      <protection locked="0"/>
    </xf>
    <xf numFmtId="43" fontId="37" fillId="30" borderId="0" xfId="102" applyFont="1" applyFill="1" applyBorder="1" applyAlignment="1" applyProtection="1">
      <alignment horizontal="center" vertical="center"/>
      <protection locked="0"/>
    </xf>
    <xf numFmtId="43" fontId="37" fillId="30" borderId="0" xfId="102" applyFont="1" applyFill="1" applyBorder="1" applyAlignment="1" applyProtection="1">
      <alignment vertical="center"/>
      <protection locked="0"/>
    </xf>
    <xf numFmtId="0" fontId="186" fillId="0" borderId="0" xfId="102" applyNumberFormat="1" applyFont="1" applyProtection="1">
      <protection locked="0"/>
    </xf>
    <xf numFmtId="43" fontId="13" fillId="0" borderId="0" xfId="84" applyNumberFormat="1" applyFont="1" applyBorder="1" applyAlignment="1">
      <alignment horizontal="center" vertical="center"/>
      <protection locked="0"/>
    </xf>
    <xf numFmtId="0" fontId="13" fillId="0" borderId="29" xfId="102" applyNumberFormat="1" applyFont="1" applyFill="1" applyBorder="1" applyProtection="1">
      <protection locked="0"/>
    </xf>
    <xf numFmtId="43" fontId="37" fillId="0" borderId="1" xfId="102" applyFont="1" applyFill="1" applyBorder="1" applyAlignment="1" applyProtection="1">
      <alignment horizontal="center" vertical="center"/>
      <protection locked="0"/>
    </xf>
    <xf numFmtId="0" fontId="13" fillId="0" borderId="9" xfId="102" applyNumberFormat="1" applyFont="1" applyFill="1" applyBorder="1" applyProtection="1">
      <protection locked="0"/>
    </xf>
    <xf numFmtId="43" fontId="37" fillId="0" borderId="0" xfId="102" applyFont="1" applyFill="1" applyBorder="1" applyAlignment="1" applyProtection="1">
      <alignment horizontal="center" vertical="center"/>
      <protection locked="0"/>
    </xf>
    <xf numFmtId="43" fontId="37" fillId="0" borderId="0" xfId="102" applyFont="1" applyFill="1" applyBorder="1" applyAlignment="1" applyProtection="1">
      <alignment vertical="center"/>
      <protection locked="0"/>
    </xf>
    <xf numFmtId="0" fontId="13" fillId="0" borderId="22" xfId="102" applyNumberFormat="1" applyFont="1" applyFill="1" applyBorder="1" applyProtection="1">
      <protection locked="0"/>
    </xf>
    <xf numFmtId="43" fontId="37" fillId="0" borderId="22" xfId="102" applyFont="1" applyFill="1" applyBorder="1" applyAlignment="1" applyProtection="1">
      <alignment horizontal="center" vertical="center"/>
      <protection locked="0"/>
    </xf>
    <xf numFmtId="176" fontId="37" fillId="0" borderId="0" xfId="0" applyNumberFormat="1" applyFont="1" applyFill="1" applyBorder="1" applyAlignment="1" applyProtection="1">
      <alignment horizontal="left" vertical="center" shrinkToFit="1"/>
    </xf>
    <xf numFmtId="209" fontId="89" fillId="0" borderId="0" xfId="84" applyNumberFormat="1" applyFont="1" applyFill="1" applyBorder="1" applyAlignment="1">
      <alignment horizontal="center" vertical="center"/>
      <protection locked="0"/>
    </xf>
    <xf numFmtId="43" fontId="182" fillId="0" borderId="0" xfId="102" applyFont="1" applyFill="1" applyProtection="1">
      <protection locked="0"/>
    </xf>
    <xf numFmtId="49" fontId="4" fillId="14" borderId="6" xfId="86" applyNumberFormat="1" applyFont="1" applyFill="1" applyBorder="1" applyAlignment="1" applyProtection="1">
      <alignment vertical="center" wrapText="1"/>
      <protection locked="0"/>
    </xf>
    <xf numFmtId="49" fontId="4" fillId="14" borderId="6" xfId="86" applyNumberFormat="1" applyFont="1" applyFill="1" applyBorder="1" applyAlignment="1" applyProtection="1">
      <alignment vertical="center"/>
      <protection locked="0"/>
    </xf>
    <xf numFmtId="210" fontId="24" fillId="13" borderId="33" xfId="86" applyNumberFormat="1" applyFont="1" applyFill="1" applyBorder="1" applyAlignment="1" applyProtection="1">
      <alignment horizontal="center" vertical="center" wrapText="1"/>
    </xf>
    <xf numFmtId="210" fontId="36" fillId="13" borderId="6" xfId="86" applyNumberFormat="1" applyFont="1" applyFill="1" applyBorder="1" applyAlignment="1" applyProtection="1">
      <alignment horizontal="center" vertical="center" wrapText="1"/>
    </xf>
    <xf numFmtId="210" fontId="38" fillId="14" borderId="6" xfId="86" applyNumberFormat="1" applyFont="1" applyFill="1" applyBorder="1" applyAlignment="1" applyProtection="1">
      <alignment vertical="center"/>
      <protection locked="0"/>
    </xf>
    <xf numFmtId="210" fontId="37" fillId="0" borderId="6" xfId="86" applyNumberFormat="1" applyFont="1" applyBorder="1" applyAlignment="1" applyProtection="1">
      <alignment horizontal="center" vertical="center"/>
    </xf>
    <xf numFmtId="210" fontId="37" fillId="0" borderId="6" xfId="86" applyNumberFormat="1" applyFont="1" applyFill="1" applyBorder="1" applyAlignment="1" applyProtection="1">
      <alignment horizontal="center" vertical="center"/>
    </xf>
    <xf numFmtId="210" fontId="37" fillId="0" borderId="18" xfId="86" applyNumberFormat="1" applyFont="1" applyBorder="1" applyAlignment="1" applyProtection="1">
      <alignment horizontal="center" vertical="center"/>
    </xf>
    <xf numFmtId="210" fontId="37" fillId="0" borderId="13" xfId="86" applyNumberFormat="1" applyFont="1" applyBorder="1" applyAlignment="1" applyProtection="1">
      <alignment horizontal="center" vertical="center"/>
    </xf>
    <xf numFmtId="210" fontId="38" fillId="0" borderId="0" xfId="86" applyNumberFormat="1" applyFont="1" applyAlignment="1" applyProtection="1">
      <alignment horizontal="center" vertical="center"/>
    </xf>
    <xf numFmtId="210" fontId="35" fillId="0" borderId="0" xfId="0" applyNumberFormat="1" applyFont="1" applyAlignment="1" applyProtection="1">
      <protection locked="0"/>
    </xf>
    <xf numFmtId="210" fontId="37" fillId="14" borderId="6" xfId="86" applyNumberFormat="1" applyFont="1" applyFill="1" applyBorder="1" applyAlignment="1" applyProtection="1">
      <alignment horizontal="center" vertical="center"/>
    </xf>
    <xf numFmtId="176" fontId="181" fillId="0" borderId="15" xfId="86" applyNumberFormat="1" applyFont="1" applyBorder="1" applyAlignment="1" applyProtection="1">
      <alignment vertical="center"/>
    </xf>
    <xf numFmtId="43" fontId="103" fillId="0" borderId="16" xfId="86" applyNumberFormat="1" applyFont="1" applyFill="1" applyBorder="1" applyAlignment="1" applyProtection="1">
      <alignment vertical="center"/>
      <protection locked="0"/>
    </xf>
    <xf numFmtId="43" fontId="13" fillId="0" borderId="15" xfId="86" applyNumberFormat="1" applyFont="1" applyBorder="1" applyAlignment="1" applyProtection="1">
      <alignment vertical="center" wrapText="1"/>
    </xf>
    <xf numFmtId="210" fontId="38" fillId="0" borderId="6" xfId="86" applyNumberFormat="1" applyFont="1" applyFill="1" applyBorder="1" applyAlignment="1" applyProtection="1">
      <alignment vertical="center"/>
      <protection locked="0"/>
    </xf>
    <xf numFmtId="43" fontId="13" fillId="0" borderId="15" xfId="86" applyNumberFormat="1" applyFont="1" applyFill="1" applyBorder="1" applyAlignment="1" applyProtection="1">
      <alignment vertical="center"/>
    </xf>
    <xf numFmtId="43" fontId="110" fillId="0" borderId="6" xfId="86" applyNumberFormat="1" applyFont="1" applyFill="1" applyBorder="1" applyAlignment="1" applyProtection="1">
      <alignment horizontal="center" vertical="center"/>
      <protection locked="0"/>
    </xf>
    <xf numFmtId="43" fontId="109" fillId="0" borderId="6" xfId="86" applyNumberFormat="1" applyFont="1" applyFill="1" applyBorder="1" applyAlignment="1" applyProtection="1">
      <alignment horizontal="center" vertical="center"/>
      <protection locked="0"/>
    </xf>
    <xf numFmtId="43" fontId="110" fillId="0" borderId="6" xfId="86" applyNumberFormat="1" applyFont="1" applyFill="1" applyBorder="1" applyAlignment="1" applyProtection="1">
      <alignment vertical="center"/>
      <protection locked="0"/>
    </xf>
    <xf numFmtId="43" fontId="14" fillId="0" borderId="0" xfId="102" applyNumberFormat="1" applyFont="1" applyFill="1" applyBorder="1" applyAlignment="1" applyProtection="1">
      <alignment horizontal="left" vertical="center" shrinkToFit="1"/>
      <protection locked="0"/>
    </xf>
    <xf numFmtId="3" fontId="102" fillId="0" borderId="0" xfId="0" applyNumberFormat="1" applyFont="1" applyFill="1" applyBorder="1" applyAlignment="1" applyProtection="1">
      <alignment horizontal="center" vertical="center" shrinkToFit="1"/>
    </xf>
    <xf numFmtId="10" fontId="53" fillId="0" borderId="6" xfId="77" applyNumberFormat="1" applyFont="1" applyFill="1" applyBorder="1" applyAlignment="1" applyProtection="1">
      <alignment horizontal="right" vertical="center" shrinkToFit="1"/>
    </xf>
    <xf numFmtId="43" fontId="77" fillId="0" borderId="36" xfId="102" applyNumberFormat="1" applyFont="1" applyFill="1" applyBorder="1" applyAlignment="1" applyProtection="1">
      <alignment horizontal="left" vertical="center" shrinkToFit="1"/>
      <protection locked="0"/>
    </xf>
    <xf numFmtId="0" fontId="20" fillId="0" borderId="0" xfId="0" applyFont="1" applyFill="1" applyAlignment="1" applyProtection="1">
      <alignment vertical="center"/>
      <protection hidden="1"/>
    </xf>
    <xf numFmtId="43" fontId="77" fillId="0" borderId="7" xfId="102" applyNumberFormat="1" applyFont="1" applyFill="1" applyBorder="1" applyAlignment="1" applyProtection="1">
      <alignment horizontal="left" vertical="center" shrinkToFit="1"/>
      <protection locked="0"/>
    </xf>
    <xf numFmtId="0" fontId="13" fillId="28" borderId="31" xfId="0" applyFont="1" applyFill="1" applyBorder="1" applyAlignment="1" applyProtection="1">
      <alignment horizontal="centerContinuous" vertical="center"/>
    </xf>
    <xf numFmtId="0" fontId="13" fillId="28" borderId="6" xfId="0" applyFont="1" applyFill="1" applyBorder="1" applyAlignment="1" applyProtection="1">
      <alignment horizontal="center" vertical="center"/>
    </xf>
    <xf numFmtId="0" fontId="13" fillId="28" borderId="6" xfId="0" applyFont="1" applyFill="1" applyBorder="1" applyAlignment="1" applyProtection="1">
      <alignment horizontal="centerContinuous" vertical="center"/>
    </xf>
    <xf numFmtId="0" fontId="4" fillId="28" borderId="18" xfId="0" applyFont="1" applyFill="1" applyBorder="1" applyAlignment="1" applyProtection="1">
      <alignment horizontal="center" vertical="center"/>
    </xf>
    <xf numFmtId="0" fontId="13" fillId="28" borderId="18" xfId="0" applyFont="1" applyFill="1" applyBorder="1" applyAlignment="1" applyProtection="1">
      <alignment horizontal="center" vertical="center"/>
    </xf>
    <xf numFmtId="176" fontId="13" fillId="28" borderId="0" xfId="0" applyNumberFormat="1" applyFont="1" applyFill="1" applyBorder="1" applyAlignment="1" applyProtection="1">
      <alignment horizontal="left" vertical="center" shrinkToFit="1"/>
    </xf>
    <xf numFmtId="176" fontId="24" fillId="28" borderId="0" xfId="0" applyNumberFormat="1" applyFont="1" applyFill="1" applyBorder="1" applyAlignment="1" applyProtection="1">
      <alignment horizontal="left" vertical="center" shrinkToFit="1"/>
    </xf>
    <xf numFmtId="0" fontId="38" fillId="28" borderId="31" xfId="0" applyFont="1" applyFill="1" applyBorder="1" applyAlignment="1" applyProtection="1">
      <alignment horizontal="centerContinuous" vertical="center"/>
    </xf>
    <xf numFmtId="0" fontId="37" fillId="28" borderId="25" xfId="0" applyFont="1" applyFill="1" applyBorder="1" applyAlignment="1" applyProtection="1">
      <alignment horizontal="center" vertical="center"/>
    </xf>
    <xf numFmtId="0" fontId="37" fillId="28" borderId="6" xfId="0" applyFont="1" applyFill="1" applyBorder="1" applyAlignment="1" applyProtection="1">
      <alignment horizontal="center" vertical="center"/>
    </xf>
    <xf numFmtId="0" fontId="38" fillId="28" borderId="6" xfId="0" applyFont="1" applyFill="1" applyBorder="1" applyAlignment="1" applyProtection="1">
      <alignment horizontal="centerContinuous" vertical="center"/>
    </xf>
    <xf numFmtId="0" fontId="38" fillId="28" borderId="18" xfId="0" applyFont="1" applyFill="1" applyBorder="1" applyAlignment="1" applyProtection="1">
      <alignment horizontal="center" vertical="center"/>
    </xf>
    <xf numFmtId="43" fontId="53" fillId="28" borderId="23" xfId="103" applyNumberFormat="1" applyFont="1" applyFill="1" applyBorder="1" applyAlignment="1" applyProtection="1">
      <alignment vertical="center"/>
    </xf>
    <xf numFmtId="43" fontId="38" fillId="28" borderId="23" xfId="103" applyNumberFormat="1" applyFont="1" applyFill="1" applyBorder="1" applyAlignment="1" applyProtection="1">
      <alignment vertical="center"/>
    </xf>
    <xf numFmtId="43" fontId="53" fillId="28" borderId="45" xfId="103" applyNumberFormat="1" applyFont="1" applyFill="1" applyBorder="1" applyAlignment="1" applyProtection="1">
      <alignment vertical="center"/>
    </xf>
    <xf numFmtId="43" fontId="38" fillId="0" borderId="6" xfId="121" applyNumberFormat="1" applyFont="1" applyFill="1" applyBorder="1" applyAlignment="1" applyProtection="1">
      <alignment horizontal="center" vertical="center" shrinkToFit="1"/>
    </xf>
    <xf numFmtId="10" fontId="38" fillId="0" borderId="6" xfId="78" applyNumberFormat="1" applyFont="1" applyFill="1" applyBorder="1" applyAlignment="1" applyProtection="1">
      <alignment horizontal="center" vertical="center" shrinkToFit="1"/>
    </xf>
    <xf numFmtId="10" fontId="38" fillId="0" borderId="6" xfId="78" applyNumberFormat="1" applyFont="1" applyFill="1" applyBorder="1" applyAlignment="1" applyProtection="1">
      <alignment horizontal="right" vertical="center" shrinkToFit="1"/>
    </xf>
    <xf numFmtId="0" fontId="131" fillId="28" borderId="31" xfId="0" applyFont="1" applyFill="1" applyBorder="1" applyAlignment="1" applyProtection="1">
      <alignment horizontal="centerContinuous" vertical="center"/>
    </xf>
    <xf numFmtId="0" fontId="4" fillId="0" borderId="6" xfId="80" applyFont="1" applyFill="1" applyBorder="1" applyAlignment="1">
      <alignment horizontal="left" vertical="center" wrapText="1" shrinkToFit="1"/>
      <protection locked="0"/>
    </xf>
    <xf numFmtId="0" fontId="4" fillId="0" borderId="6" xfId="0" applyFont="1" applyFill="1" applyBorder="1" applyAlignment="1">
      <alignment horizontal="center"/>
      <protection locked="0"/>
    </xf>
    <xf numFmtId="0" fontId="4" fillId="0" borderId="6" xfId="80" applyFont="1" applyFill="1" applyBorder="1" applyAlignment="1">
      <alignment horizontal="left" vertical="center" shrinkToFit="1"/>
      <protection locked="0"/>
    </xf>
    <xf numFmtId="0" fontId="38" fillId="28" borderId="6" xfId="0" applyFont="1" applyFill="1" applyBorder="1" applyAlignment="1" applyProtection="1">
      <alignment horizontal="center" vertical="center"/>
    </xf>
    <xf numFmtId="0" fontId="38" fillId="28" borderId="31" xfId="0" applyFont="1" applyFill="1" applyBorder="1" applyAlignment="1" applyProtection="1">
      <alignment horizontal="center" vertical="center"/>
    </xf>
    <xf numFmtId="3" fontId="53" fillId="0" borderId="0" xfId="0" applyNumberFormat="1" applyFont="1" applyFill="1" applyBorder="1" applyAlignment="1" applyProtection="1">
      <alignment horizontal="center" vertical="center" shrinkToFit="1"/>
    </xf>
    <xf numFmtId="0" fontId="53" fillId="0" borderId="0" xfId="0" applyFont="1" applyFill="1" applyAlignment="1" applyProtection="1">
      <alignment vertical="center"/>
      <protection hidden="1"/>
    </xf>
    <xf numFmtId="43" fontId="88" fillId="0" borderId="24" xfId="102" applyNumberFormat="1" applyFont="1" applyFill="1" applyBorder="1" applyAlignment="1" applyProtection="1">
      <alignment horizontal="center" vertical="center" shrinkToFit="1"/>
      <protection locked="0"/>
    </xf>
    <xf numFmtId="41" fontId="38" fillId="0" borderId="43" xfId="102" applyNumberFormat="1" applyFont="1" applyFill="1" applyBorder="1" applyAlignment="1" applyProtection="1">
      <alignment horizontal="right" vertical="center"/>
    </xf>
    <xf numFmtId="10" fontId="38" fillId="0" borderId="28" xfId="77" applyNumberFormat="1" applyFont="1" applyFill="1" applyBorder="1" applyAlignment="1" applyProtection="1">
      <alignment vertical="center"/>
      <protection hidden="1"/>
    </xf>
    <xf numFmtId="0" fontId="38" fillId="0" borderId="0" xfId="0" applyFont="1" applyFill="1" applyBorder="1" applyAlignment="1" applyProtection="1">
      <alignment vertical="center"/>
      <protection hidden="1"/>
    </xf>
    <xf numFmtId="0" fontId="38" fillId="0" borderId="93" xfId="0" applyFont="1" applyFill="1" applyBorder="1" applyAlignment="1" applyProtection="1">
      <alignment vertical="center"/>
      <protection hidden="1"/>
    </xf>
    <xf numFmtId="43" fontId="38" fillId="0" borderId="90" xfId="102" applyNumberFormat="1" applyFont="1" applyFill="1" applyBorder="1" applyAlignment="1" applyProtection="1">
      <alignment horizontal="right" vertical="center" shrinkToFit="1"/>
      <protection locked="0"/>
    </xf>
    <xf numFmtId="43" fontId="53" fillId="0" borderId="90" xfId="102" applyNumberFormat="1" applyFont="1" applyFill="1" applyBorder="1" applyAlignment="1" applyProtection="1">
      <alignment horizontal="center" vertical="center" shrinkToFit="1"/>
      <protection locked="0"/>
    </xf>
    <xf numFmtId="43" fontId="53" fillId="0" borderId="90" xfId="102" applyNumberFormat="1" applyFont="1" applyFill="1" applyBorder="1" applyAlignment="1" applyProtection="1">
      <alignment horizontal="right" vertical="center" shrinkToFit="1"/>
      <protection locked="0"/>
    </xf>
    <xf numFmtId="43" fontId="38" fillId="0" borderId="90" xfId="102" applyNumberFormat="1" applyFont="1" applyFill="1" applyBorder="1" applyAlignment="1" applyProtection="1">
      <alignment horizontal="right" vertical="center" shrinkToFit="1"/>
    </xf>
    <xf numFmtId="10" fontId="38" fillId="0" borderId="43" xfId="77" applyNumberFormat="1" applyFont="1" applyFill="1" applyBorder="1" applyAlignment="1" applyProtection="1">
      <alignment horizontal="center" vertical="center" shrinkToFit="1"/>
    </xf>
    <xf numFmtId="43" fontId="38" fillId="0" borderId="43" xfId="102" applyNumberFormat="1" applyFont="1" applyFill="1" applyBorder="1" applyAlignment="1" applyProtection="1">
      <alignment horizontal="center" vertical="center" shrinkToFit="1"/>
    </xf>
    <xf numFmtId="10" fontId="38" fillId="0" borderId="43" xfId="78" applyNumberFormat="1" applyFont="1" applyFill="1" applyBorder="1" applyAlignment="1" applyProtection="1">
      <alignment horizontal="center" vertical="center" shrinkToFit="1"/>
    </xf>
    <xf numFmtId="0" fontId="38" fillId="0" borderId="95" xfId="0" applyFont="1" applyFill="1" applyBorder="1" applyAlignment="1" applyProtection="1">
      <alignment vertical="center"/>
      <protection hidden="1"/>
    </xf>
    <xf numFmtId="176" fontId="38" fillId="28" borderId="92" xfId="0" applyNumberFormat="1" applyFont="1" applyFill="1" applyBorder="1" applyAlignment="1" applyProtection="1">
      <alignment horizontal="left" vertical="center"/>
    </xf>
    <xf numFmtId="176" fontId="53" fillId="28" borderId="92" xfId="0" applyNumberFormat="1" applyFont="1" applyFill="1" applyBorder="1" applyAlignment="1" applyProtection="1">
      <alignment horizontal="center" vertical="center"/>
    </xf>
    <xf numFmtId="176" fontId="53" fillId="28" borderId="92" xfId="0" applyNumberFormat="1" applyFont="1" applyFill="1" applyBorder="1" applyAlignment="1" applyProtection="1">
      <alignment horizontal="left" vertical="center"/>
    </xf>
    <xf numFmtId="43" fontId="53" fillId="28" borderId="94" xfId="102" applyNumberFormat="1" applyFont="1" applyFill="1" applyBorder="1" applyAlignment="1" applyProtection="1">
      <alignment horizontal="right" vertical="center"/>
    </xf>
    <xf numFmtId="10" fontId="53" fillId="0" borderId="6" xfId="78" applyNumberFormat="1" applyFont="1" applyFill="1" applyBorder="1" applyAlignment="1" applyProtection="1">
      <alignment horizontal="right" vertical="center" shrinkToFit="1"/>
    </xf>
    <xf numFmtId="10" fontId="53" fillId="0" borderId="6" xfId="78" applyNumberFormat="1" applyFont="1" applyFill="1" applyBorder="1" applyAlignment="1" applyProtection="1">
      <alignment horizontal="center" vertical="center" shrinkToFit="1"/>
    </xf>
    <xf numFmtId="43" fontId="53" fillId="0" borderId="6" xfId="121" applyNumberFormat="1" applyFont="1" applyFill="1" applyBorder="1" applyAlignment="1" applyProtection="1">
      <alignment horizontal="center" vertical="center" shrinkToFit="1"/>
    </xf>
    <xf numFmtId="43" fontId="13" fillId="28" borderId="99" xfId="103" applyNumberFormat="1" applyFont="1" applyFill="1" applyBorder="1" applyAlignment="1" applyProtection="1">
      <alignment vertical="center"/>
    </xf>
    <xf numFmtId="43" fontId="13" fillId="28" borderId="100" xfId="103" applyNumberFormat="1" applyFont="1" applyFill="1" applyBorder="1" applyAlignment="1" applyProtection="1">
      <alignment vertical="center"/>
    </xf>
    <xf numFmtId="10" fontId="38" fillId="0" borderId="43" xfId="77" applyNumberFormat="1" applyFont="1" applyFill="1" applyBorder="1" applyAlignment="1" applyProtection="1">
      <alignment horizontal="right" vertical="center" shrinkToFit="1"/>
    </xf>
    <xf numFmtId="209" fontId="37" fillId="0" borderId="0" xfId="81" applyNumberFormat="1" applyFont="1" applyBorder="1" applyAlignment="1" applyProtection="1">
      <alignment horizontal="left" vertical="center"/>
    </xf>
    <xf numFmtId="209" fontId="37" fillId="28" borderId="25" xfId="0" applyNumberFormat="1" applyFont="1" applyFill="1" applyBorder="1" applyAlignment="1" applyProtection="1">
      <alignment horizontal="center" vertical="center"/>
    </xf>
    <xf numFmtId="209" fontId="38" fillId="0" borderId="6" xfId="77" applyNumberFormat="1" applyFont="1" applyFill="1" applyBorder="1" applyAlignment="1" applyProtection="1">
      <alignment horizontal="right" vertical="center" shrinkToFit="1"/>
    </xf>
    <xf numFmtId="209" fontId="0" fillId="0" borderId="0" xfId="0" applyNumberFormat="1" applyFill="1" applyAlignment="1" applyProtection="1">
      <alignment vertical="center"/>
      <protection hidden="1"/>
    </xf>
    <xf numFmtId="209" fontId="4" fillId="28" borderId="37" xfId="0" applyNumberFormat="1" applyFont="1" applyFill="1" applyBorder="1" applyAlignment="1" applyProtection="1">
      <alignment horizontal="center" vertical="center"/>
    </xf>
    <xf numFmtId="0" fontId="4" fillId="28" borderId="37" xfId="0" applyFont="1" applyFill="1" applyBorder="1" applyAlignment="1" applyProtection="1">
      <alignment horizontal="center" vertical="center"/>
    </xf>
    <xf numFmtId="0" fontId="13" fillId="28" borderId="37" xfId="0" applyFont="1" applyFill="1" applyBorder="1" applyAlignment="1" applyProtection="1">
      <alignment horizontal="center" vertical="center"/>
    </xf>
    <xf numFmtId="43" fontId="132" fillId="28" borderId="25" xfId="102" applyFont="1" applyFill="1" applyBorder="1" applyAlignment="1" applyProtection="1">
      <alignment horizontal="center" vertical="center"/>
    </xf>
    <xf numFmtId="43" fontId="4" fillId="28" borderId="37" xfId="102" applyFont="1" applyFill="1" applyBorder="1" applyAlignment="1" applyProtection="1">
      <alignment horizontal="center" vertical="center"/>
    </xf>
    <xf numFmtId="43" fontId="38" fillId="0" borderId="6" xfId="102" applyFont="1" applyFill="1" applyBorder="1" applyAlignment="1" applyProtection="1">
      <alignment horizontal="right" vertical="center" shrinkToFit="1"/>
    </xf>
    <xf numFmtId="43" fontId="0" fillId="0" borderId="0" xfId="102" applyFont="1" applyFill="1" applyAlignment="1" applyProtection="1">
      <alignment vertical="center"/>
      <protection hidden="1"/>
    </xf>
    <xf numFmtId="43" fontId="38" fillId="28" borderId="31" xfId="102" applyFont="1" applyFill="1" applyBorder="1" applyAlignment="1" applyProtection="1">
      <alignment horizontal="centerContinuous" vertical="center"/>
    </xf>
    <xf numFmtId="43" fontId="38" fillId="28" borderId="6" xfId="102" applyFont="1" applyFill="1" applyBorder="1" applyAlignment="1" applyProtection="1">
      <alignment horizontal="centerContinuous" vertical="center"/>
    </xf>
    <xf numFmtId="43" fontId="64" fillId="0" borderId="6" xfId="103" applyNumberFormat="1" applyFont="1" applyFill="1" applyBorder="1" applyAlignment="1">
      <alignment vertical="center"/>
    </xf>
    <xf numFmtId="43" fontId="64" fillId="0" borderId="6" xfId="102" applyFont="1" applyFill="1" applyBorder="1" applyAlignment="1">
      <alignment vertical="center"/>
    </xf>
    <xf numFmtId="0" fontId="0" fillId="0" borderId="6" xfId="0" applyFill="1" applyBorder="1" applyAlignment="1" applyProtection="1">
      <alignment vertical="center"/>
      <protection hidden="1"/>
    </xf>
    <xf numFmtId="43" fontId="64" fillId="0" borderId="90" xfId="103" applyNumberFormat="1" applyFont="1" applyFill="1" applyBorder="1" applyAlignment="1">
      <alignment vertical="center"/>
    </xf>
    <xf numFmtId="0" fontId="0" fillId="0" borderId="90" xfId="0" applyFill="1" applyBorder="1" applyAlignment="1" applyProtection="1">
      <alignment vertical="center"/>
      <protection hidden="1"/>
    </xf>
    <xf numFmtId="10" fontId="38" fillId="0" borderId="90" xfId="77" applyNumberFormat="1" applyFont="1" applyFill="1" applyBorder="1" applyAlignment="1" applyProtection="1">
      <alignment horizontal="right" vertical="center" shrinkToFit="1"/>
    </xf>
    <xf numFmtId="209" fontId="38" fillId="0" borderId="43" xfId="77" applyNumberFormat="1" applyFont="1" applyFill="1" applyBorder="1" applyAlignment="1" applyProtection="1">
      <alignment horizontal="right" vertical="center" shrinkToFit="1"/>
    </xf>
    <xf numFmtId="43" fontId="38" fillId="0" borderId="43" xfId="102" applyFont="1" applyFill="1" applyBorder="1" applyAlignment="1" applyProtection="1">
      <alignment horizontal="right" vertical="center" shrinkToFit="1"/>
    </xf>
    <xf numFmtId="10" fontId="38" fillId="0" borderId="102" xfId="77" applyNumberFormat="1" applyFont="1" applyFill="1" applyBorder="1" applyAlignment="1" applyProtection="1">
      <alignment horizontal="right" vertical="center" shrinkToFit="1"/>
    </xf>
    <xf numFmtId="0" fontId="14" fillId="0" borderId="6" xfId="0" applyFont="1" applyFill="1" applyBorder="1" applyAlignment="1">
      <alignment horizontal="center" shrinkToFit="1"/>
      <protection locked="0"/>
    </xf>
    <xf numFmtId="43" fontId="38" fillId="14" borderId="6" xfId="102" applyFont="1" applyFill="1" applyBorder="1" applyAlignment="1">
      <alignment horizontal="right" shrinkToFit="1"/>
    </xf>
    <xf numFmtId="207" fontId="87" fillId="14" borderId="6" xfId="0" applyNumberFormat="1" applyFont="1" applyFill="1" applyBorder="1" applyAlignment="1">
      <alignment horizontal="right"/>
      <protection locked="0"/>
    </xf>
    <xf numFmtId="43" fontId="34" fillId="29" borderId="18" xfId="102" applyFont="1" applyFill="1" applyBorder="1" applyAlignment="1">
      <alignment horizontal="center" vertical="center" shrinkToFit="1"/>
    </xf>
    <xf numFmtId="0" fontId="34" fillId="29" borderId="18" xfId="0" applyFont="1" applyFill="1" applyBorder="1" applyAlignment="1">
      <alignment horizontal="center" vertical="center" shrinkToFit="1"/>
      <protection locked="0"/>
    </xf>
    <xf numFmtId="207" fontId="38" fillId="14" borderId="6" xfId="0" applyNumberFormat="1" applyFont="1" applyFill="1" applyBorder="1" applyAlignment="1">
      <alignment horizontal="right"/>
      <protection locked="0"/>
    </xf>
    <xf numFmtId="207" fontId="38" fillId="14" borderId="6" xfId="102" applyNumberFormat="1" applyFont="1" applyFill="1" applyBorder="1" applyAlignment="1">
      <alignment horizontal="right" shrinkToFit="1"/>
    </xf>
    <xf numFmtId="209" fontId="38" fillId="14" borderId="6" xfId="0" applyNumberFormat="1" applyFont="1" applyFill="1" applyBorder="1" applyAlignment="1">
      <alignment horizontal="right"/>
      <protection locked="0"/>
    </xf>
    <xf numFmtId="208" fontId="38" fillId="14" borderId="6" xfId="0" applyNumberFormat="1" applyFont="1" applyFill="1" applyBorder="1" applyAlignment="1">
      <alignment horizontal="right"/>
      <protection locked="0"/>
    </xf>
    <xf numFmtId="43" fontId="38" fillId="14" borderId="6" xfId="102" applyFont="1" applyFill="1" applyBorder="1" applyAlignment="1" applyProtection="1">
      <alignment horizontal="right"/>
      <protection locked="0"/>
    </xf>
    <xf numFmtId="0" fontId="4" fillId="0" borderId="64" xfId="0" applyFont="1" applyFill="1" applyBorder="1" applyAlignment="1">
      <alignment horizontal="center" shrinkToFit="1"/>
      <protection locked="0"/>
    </xf>
    <xf numFmtId="43" fontId="38" fillId="0" borderId="64" xfId="102" applyFont="1" applyFill="1" applyBorder="1" applyAlignment="1">
      <alignment shrinkToFit="1"/>
    </xf>
    <xf numFmtId="207" fontId="87" fillId="0" borderId="64" xfId="0" applyNumberFormat="1" applyFont="1" applyFill="1" applyBorder="1" applyAlignment="1">
      <alignment horizontal="right"/>
      <protection locked="0"/>
    </xf>
    <xf numFmtId="43" fontId="38" fillId="0" borderId="64" xfId="102" applyFont="1" applyFill="1" applyBorder="1" applyAlignment="1">
      <alignment horizontal="right" shrinkToFit="1"/>
    </xf>
    <xf numFmtId="207" fontId="38" fillId="0" borderId="64" xfId="0" applyNumberFormat="1" applyFont="1" applyFill="1" applyBorder="1" applyAlignment="1">
      <alignment horizontal="right"/>
      <protection locked="0"/>
    </xf>
    <xf numFmtId="0" fontId="14" fillId="0" borderId="6" xfId="0" applyFont="1" applyFill="1" applyBorder="1" applyAlignment="1">
      <alignment horizontal="left"/>
      <protection locked="0"/>
    </xf>
    <xf numFmtId="0" fontId="4" fillId="0" borderId="6" xfId="80" applyFont="1" applyFill="1" applyBorder="1" applyAlignment="1">
      <alignment horizontal="center" vertical="center" shrinkToFit="1"/>
      <protection locked="0"/>
    </xf>
    <xf numFmtId="0" fontId="4" fillId="0" borderId="6" xfId="0" applyFont="1" applyFill="1" applyBorder="1" applyAlignment="1">
      <alignment horizontal="center" wrapText="1"/>
      <protection locked="0"/>
    </xf>
    <xf numFmtId="0" fontId="14" fillId="3" borderId="6" xfId="0" applyFont="1" applyFill="1" applyBorder="1" applyAlignment="1">
      <alignment horizontal="center" vertical="center" shrinkToFit="1"/>
      <protection locked="0"/>
    </xf>
    <xf numFmtId="43" fontId="14" fillId="3" borderId="6" xfId="102" applyFont="1" applyFill="1" applyBorder="1" applyAlignment="1">
      <alignment horizontal="right"/>
    </xf>
    <xf numFmtId="208" fontId="14" fillId="3" borderId="6" xfId="0" applyNumberFormat="1" applyFont="1" applyFill="1" applyBorder="1" applyAlignment="1">
      <alignment horizontal="right"/>
      <protection locked="0"/>
    </xf>
    <xf numFmtId="0" fontId="4" fillId="3" borderId="97" xfId="0" applyFont="1" applyFill="1" applyBorder="1" applyAlignment="1">
      <alignment horizontal="left"/>
      <protection locked="0"/>
    </xf>
    <xf numFmtId="208" fontId="14" fillId="3" borderId="90" xfId="0" applyNumberFormat="1" applyFont="1" applyFill="1" applyBorder="1" applyAlignment="1">
      <alignment horizontal="center"/>
      <protection locked="0"/>
    </xf>
    <xf numFmtId="0" fontId="14" fillId="0" borderId="97" xfId="0" applyFont="1" applyFill="1" applyBorder="1" applyAlignment="1">
      <alignment horizontal="left"/>
      <protection locked="0"/>
    </xf>
    <xf numFmtId="208" fontId="14" fillId="0" borderId="90" xfId="0" applyNumberFormat="1" applyFont="1" applyFill="1" applyBorder="1" applyAlignment="1">
      <alignment horizontal="center"/>
      <protection locked="0"/>
    </xf>
    <xf numFmtId="0" fontId="4" fillId="0" borderId="97" xfId="0" applyFont="1" applyFill="1" applyBorder="1" applyAlignment="1">
      <alignment horizontal="left"/>
      <protection locked="0"/>
    </xf>
    <xf numFmtId="0" fontId="4" fillId="0" borderId="97" xfId="80" applyFont="1" applyFill="1" applyBorder="1" applyAlignment="1">
      <alignment horizontal="left" vertical="center"/>
      <protection locked="0"/>
    </xf>
    <xf numFmtId="0" fontId="4" fillId="0" borderId="97" xfId="0" applyFont="1" applyFill="1" applyBorder="1" applyAlignment="1">
      <alignment horizontal="left" shrinkToFit="1"/>
      <protection locked="0"/>
    </xf>
    <xf numFmtId="0" fontId="14" fillId="0" borderId="90" xfId="0" applyFont="1" applyFill="1" applyBorder="1" applyAlignment="1">
      <alignment horizontal="left"/>
      <protection locked="0"/>
    </xf>
    <xf numFmtId="0" fontId="14" fillId="0" borderId="94" xfId="0" applyFont="1" applyFill="1" applyBorder="1">
      <protection locked="0"/>
    </xf>
    <xf numFmtId="0" fontId="4" fillId="0" borderId="43" xfId="0" applyFont="1" applyFill="1" applyBorder="1" applyAlignment="1">
      <alignment horizontal="center" shrinkToFit="1"/>
      <protection locked="0"/>
    </xf>
    <xf numFmtId="43" fontId="38" fillId="0" borderId="43" xfId="102" applyFont="1" applyFill="1" applyBorder="1" applyAlignment="1">
      <alignment shrinkToFit="1"/>
    </xf>
    <xf numFmtId="207" fontId="87" fillId="0" borderId="43" xfId="0" applyNumberFormat="1" applyFont="1" applyFill="1" applyBorder="1" applyAlignment="1">
      <alignment horizontal="right"/>
      <protection locked="0"/>
    </xf>
    <xf numFmtId="43" fontId="38" fillId="0" borderId="43" xfId="102" applyFont="1" applyFill="1" applyBorder="1" applyAlignment="1">
      <alignment horizontal="right" shrinkToFit="1"/>
    </xf>
    <xf numFmtId="207" fontId="38" fillId="0" borderId="43" xfId="0" applyNumberFormat="1" applyFont="1" applyFill="1" applyBorder="1" applyAlignment="1">
      <alignment horizontal="right"/>
      <protection locked="0"/>
    </xf>
    <xf numFmtId="208" fontId="14" fillId="0" borderId="102" xfId="0" applyNumberFormat="1" applyFont="1" applyFill="1" applyBorder="1" applyAlignment="1">
      <alignment horizontal="center"/>
      <protection locked="0"/>
    </xf>
    <xf numFmtId="0" fontId="4" fillId="3" borderId="104" xfId="0" applyFont="1" applyFill="1" applyBorder="1" applyAlignment="1">
      <alignment horizontal="left"/>
      <protection locked="0"/>
    </xf>
    <xf numFmtId="208" fontId="14" fillId="3" borderId="105" xfId="0" applyNumberFormat="1" applyFont="1" applyFill="1" applyBorder="1" applyAlignment="1">
      <alignment horizontal="center"/>
      <protection locked="0"/>
    </xf>
    <xf numFmtId="0" fontId="14" fillId="0" borderId="97" xfId="80" applyFont="1" applyFill="1" applyBorder="1" applyAlignment="1">
      <alignment horizontal="left" vertical="center"/>
      <protection locked="0"/>
    </xf>
    <xf numFmtId="0" fontId="14" fillId="0" borderId="106" xfId="0" applyFont="1" applyFill="1" applyBorder="1">
      <protection locked="0"/>
    </xf>
    <xf numFmtId="208" fontId="14" fillId="0" borderId="107" xfId="0" applyNumberFormat="1" applyFont="1" applyFill="1" applyBorder="1" applyAlignment="1">
      <alignment horizontal="center"/>
      <protection locked="0"/>
    </xf>
    <xf numFmtId="31" fontId="37" fillId="0" borderId="0" xfId="102" applyNumberFormat="1" applyFont="1" applyFill="1" applyBorder="1" applyAlignment="1" applyProtection="1">
      <alignment horizontal="left" vertical="center" shrinkToFit="1"/>
    </xf>
    <xf numFmtId="4" fontId="37" fillId="0" borderId="0" xfId="0" applyNumberFormat="1" applyFont="1" applyFill="1" applyBorder="1" applyAlignment="1" applyProtection="1">
      <alignment horizontal="right" vertical="center" shrinkToFit="1"/>
    </xf>
    <xf numFmtId="31" fontId="14" fillId="6" borderId="28" xfId="102" applyNumberFormat="1" applyFont="1" applyFill="1" applyBorder="1" applyAlignment="1" applyProtection="1">
      <alignment horizontal="left" vertical="center" shrinkToFit="1"/>
    </xf>
    <xf numFmtId="4" fontId="117" fillId="15" borderId="0" xfId="0" applyNumberFormat="1" applyFont="1" applyFill="1" applyAlignment="1" applyProtection="1">
      <alignment horizontal="center" vertical="center" shrinkToFit="1"/>
    </xf>
    <xf numFmtId="176" fontId="39" fillId="13" borderId="76" xfId="0" applyNumberFormat="1" applyFont="1" applyFill="1" applyBorder="1" applyAlignment="1" applyProtection="1">
      <alignment horizontal="center" vertical="center" shrinkToFit="1"/>
    </xf>
    <xf numFmtId="43" fontId="13" fillId="0" borderId="0" xfId="84" applyNumberFormat="1" applyFont="1" applyBorder="1" applyAlignment="1" applyProtection="1">
      <alignment horizontal="right" vertical="center" wrapText="1"/>
    </xf>
    <xf numFmtId="0" fontId="14" fillId="0" borderId="100" xfId="0" applyFont="1" applyFill="1" applyBorder="1">
      <protection locked="0"/>
    </xf>
    <xf numFmtId="208" fontId="14" fillId="0" borderId="108" xfId="0" applyNumberFormat="1" applyFont="1" applyFill="1" applyBorder="1" applyAlignment="1">
      <alignment horizontal="center"/>
      <protection locked="0"/>
    </xf>
    <xf numFmtId="0" fontId="7" fillId="15" borderId="0" xfId="88" applyFill="1" applyBorder="1" applyAlignment="1" applyProtection="1">
      <alignment vertical="center"/>
    </xf>
    <xf numFmtId="0" fontId="93" fillId="0" borderId="9" xfId="83" applyFont="1" applyFill="1" applyBorder="1" applyAlignment="1" applyProtection="1">
      <alignment horizontal="center" vertical="center"/>
    </xf>
    <xf numFmtId="0" fontId="93" fillId="0" borderId="0" xfId="83" applyFont="1" applyFill="1" applyBorder="1" applyAlignment="1" applyProtection="1">
      <alignment vertical="center"/>
    </xf>
    <xf numFmtId="0" fontId="93" fillId="0" borderId="21" xfId="83" applyFont="1" applyFill="1" applyBorder="1" applyAlignment="1" applyProtection="1">
      <alignment vertical="center"/>
    </xf>
    <xf numFmtId="0" fontId="90" fillId="0" borderId="0" xfId="83" applyFont="1" applyAlignment="1">
      <protection locked="0"/>
    </xf>
    <xf numFmtId="0" fontId="93" fillId="0" borderId="0" xfId="83" applyFont="1" applyFill="1" applyBorder="1" applyAlignment="1" applyProtection="1">
      <alignment horizontal="center" vertical="center"/>
      <protection locked="0"/>
    </xf>
    <xf numFmtId="0" fontId="93" fillId="0" borderId="0" xfId="83" applyFont="1" applyBorder="1">
      <protection locked="0"/>
    </xf>
    <xf numFmtId="0" fontId="93" fillId="15" borderId="0" xfId="83" applyFont="1" applyFill="1" applyBorder="1" applyAlignment="1" applyProtection="1">
      <alignment horizontal="left" vertical="center"/>
    </xf>
    <xf numFmtId="0" fontId="7" fillId="0" borderId="22" xfId="88" applyBorder="1" applyAlignment="1" applyProtection="1">
      <alignment vertical="center"/>
    </xf>
    <xf numFmtId="0" fontId="7" fillId="0" borderId="0" xfId="88" applyBorder="1" applyAlignment="1" applyProtection="1">
      <alignment vertical="center"/>
    </xf>
    <xf numFmtId="176" fontId="98" fillId="0" borderId="0" xfId="81" applyNumberFormat="1" applyFont="1" applyAlignment="1" applyProtection="1">
      <alignment horizontal="left" vertical="center"/>
    </xf>
    <xf numFmtId="176" fontId="59" fillId="0" borderId="0" xfId="81" applyNumberFormat="1" applyFont="1" applyFill="1" applyAlignment="1" applyProtection="1">
      <alignment horizontal="left" vertical="center"/>
    </xf>
    <xf numFmtId="176" fontId="59" fillId="0" borderId="0" xfId="81" applyNumberFormat="1" applyFont="1" applyBorder="1" applyAlignment="1" applyProtection="1">
      <alignment horizontal="left" vertical="center"/>
    </xf>
    <xf numFmtId="0" fontId="20" fillId="10" borderId="54" xfId="0" applyFont="1" applyFill="1" applyBorder="1" applyAlignment="1">
      <alignment horizontal="center"/>
      <protection locked="0"/>
    </xf>
    <xf numFmtId="0" fontId="20" fillId="10" borderId="38" xfId="0" applyFont="1" applyFill="1" applyBorder="1" applyAlignment="1">
      <alignment horizontal="center"/>
      <protection locked="0"/>
    </xf>
    <xf numFmtId="0" fontId="20" fillId="10" borderId="55" xfId="0" applyFont="1" applyFill="1" applyBorder="1" applyAlignment="1">
      <alignment horizontal="center"/>
      <protection locked="0"/>
    </xf>
    <xf numFmtId="0" fontId="20" fillId="4" borderId="6" xfId="0" applyFont="1" applyFill="1" applyBorder="1" applyAlignment="1" applyProtection="1">
      <alignment horizontal="center" vertical="center"/>
      <protection hidden="1"/>
    </xf>
    <xf numFmtId="0" fontId="6" fillId="7" borderId="0" xfId="0" applyFont="1" applyFill="1" applyAlignment="1" applyProtection="1">
      <alignment horizontal="center"/>
      <protection hidden="1"/>
    </xf>
    <xf numFmtId="0" fontId="0" fillId="7" borderId="0" xfId="0" applyFill="1" applyAlignment="1" applyProtection="1">
      <alignment horizontal="center" vertical="center"/>
      <protection hidden="1"/>
    </xf>
    <xf numFmtId="0" fontId="0" fillId="4" borderId="6" xfId="0" applyFill="1" applyBorder="1" applyAlignment="1" applyProtection="1">
      <alignment horizontal="center" vertical="center"/>
      <protection hidden="1"/>
    </xf>
    <xf numFmtId="0" fontId="0" fillId="4" borderId="6" xfId="0" applyFill="1" applyBorder="1" applyAlignment="1" applyProtection="1">
      <alignment horizontal="center" vertical="center" wrapText="1" shrinkToFit="1"/>
      <protection hidden="1"/>
    </xf>
    <xf numFmtId="0" fontId="0" fillId="4" borderId="37" xfId="0" applyFill="1" applyBorder="1" applyAlignment="1" applyProtection="1">
      <alignment horizontal="center" vertical="center" wrapText="1"/>
      <protection hidden="1"/>
    </xf>
    <xf numFmtId="0" fontId="0" fillId="4" borderId="27" xfId="0" applyFill="1" applyBorder="1" applyAlignment="1" applyProtection="1">
      <alignment horizontal="center" vertical="center" wrapText="1"/>
      <protection hidden="1"/>
    </xf>
    <xf numFmtId="0" fontId="0" fillId="4" borderId="13" xfId="0" applyFill="1" applyBorder="1" applyAlignment="1" applyProtection="1">
      <alignment horizontal="center" vertical="center" wrapText="1"/>
      <protection hidden="1"/>
    </xf>
    <xf numFmtId="0" fontId="0" fillId="4" borderId="37" xfId="0" applyFill="1" applyBorder="1" applyAlignment="1" applyProtection="1">
      <alignment horizontal="center" vertical="center" wrapText="1" shrinkToFit="1"/>
      <protection hidden="1"/>
    </xf>
    <xf numFmtId="0" fontId="0" fillId="4" borderId="27" xfId="0" applyFill="1" applyBorder="1" applyAlignment="1" applyProtection="1">
      <alignment horizontal="center" vertical="center" wrapText="1" shrinkToFit="1"/>
      <protection hidden="1"/>
    </xf>
    <xf numFmtId="0" fontId="0" fillId="4" borderId="13" xfId="0" applyFill="1" applyBorder="1" applyAlignment="1" applyProtection="1">
      <alignment horizontal="center" vertical="center" wrapText="1" shrinkToFit="1"/>
      <protection hidden="1"/>
    </xf>
    <xf numFmtId="43" fontId="120" fillId="0" borderId="3" xfId="0" applyNumberFormat="1" applyFont="1" applyFill="1" applyBorder="1" applyAlignment="1" applyProtection="1">
      <alignment horizontal="center" vertical="center"/>
    </xf>
    <xf numFmtId="43" fontId="120" fillId="0" borderId="0" xfId="0" applyNumberFormat="1" applyFont="1" applyFill="1" applyBorder="1" applyAlignment="1" applyProtection="1">
      <alignment horizontal="center" vertical="center"/>
    </xf>
    <xf numFmtId="43" fontId="120" fillId="0" borderId="41" xfId="0" applyNumberFormat="1" applyFont="1" applyFill="1" applyBorder="1" applyAlignment="1" applyProtection="1">
      <alignment horizontal="center" vertical="center"/>
    </xf>
    <xf numFmtId="43" fontId="120" fillId="0" borderId="5" xfId="0" applyNumberFormat="1" applyFont="1" applyFill="1" applyBorder="1" applyAlignment="1" applyProtection="1">
      <alignment horizontal="center" vertical="center"/>
    </xf>
    <xf numFmtId="43" fontId="120" fillId="0" borderId="2" xfId="0" applyNumberFormat="1" applyFont="1" applyFill="1" applyBorder="1" applyAlignment="1" applyProtection="1">
      <alignment horizontal="center" vertical="center"/>
    </xf>
    <xf numFmtId="43" fontId="120" fillId="0" borderId="10" xfId="0" applyNumberFormat="1" applyFont="1" applyFill="1" applyBorder="1" applyAlignment="1" applyProtection="1">
      <alignment horizontal="center" vertical="center"/>
    </xf>
    <xf numFmtId="43" fontId="120" fillId="0" borderId="20" xfId="0" applyNumberFormat="1" applyFont="1" applyFill="1" applyBorder="1" applyAlignment="1" applyProtection="1">
      <alignment horizontal="center" vertical="center"/>
    </xf>
    <xf numFmtId="43" fontId="144" fillId="0" borderId="0" xfId="88" applyNumberFormat="1" applyFont="1" applyAlignment="1" applyProtection="1">
      <alignment horizontal="center" vertical="center"/>
    </xf>
    <xf numFmtId="43" fontId="20" fillId="0" borderId="0" xfId="115" applyFont="1" applyAlignment="1">
      <alignment horizontal="center" vertical="center"/>
    </xf>
    <xf numFmtId="4" fontId="124" fillId="15" borderId="0" xfId="0" applyNumberFormat="1" applyFont="1" applyFill="1" applyAlignment="1" applyProtection="1">
      <alignment horizontal="center" vertical="center" shrinkToFit="1"/>
    </xf>
    <xf numFmtId="4" fontId="123" fillId="15" borderId="0" xfId="0" applyNumberFormat="1" applyFont="1" applyFill="1" applyAlignment="1" applyProtection="1">
      <alignment horizontal="center" vertical="center" shrinkToFit="1"/>
    </xf>
    <xf numFmtId="0" fontId="37" fillId="15" borderId="0" xfId="102" applyNumberFormat="1" applyFont="1" applyFill="1" applyBorder="1" applyAlignment="1" applyProtection="1">
      <alignment horizontal="right" vertical="center"/>
    </xf>
    <xf numFmtId="176" fontId="37" fillId="15" borderId="0" xfId="102" applyNumberFormat="1" applyFont="1" applyFill="1" applyBorder="1" applyAlignment="1" applyProtection="1">
      <alignment horizontal="center" vertical="center" shrinkToFit="1"/>
    </xf>
    <xf numFmtId="0" fontId="116" fillId="0" borderId="0" xfId="0" applyFont="1" applyFill="1" applyAlignment="1" applyProtection="1">
      <alignment horizontal="right" vertical="center"/>
    </xf>
    <xf numFmtId="0" fontId="39" fillId="0" borderId="0" xfId="0" applyFont="1" applyFill="1" applyAlignment="1" applyProtection="1">
      <alignment horizontal="right" vertical="center"/>
    </xf>
    <xf numFmtId="4" fontId="89" fillId="6" borderId="28" xfId="0" applyNumberFormat="1" applyFont="1" applyFill="1" applyBorder="1" applyAlignment="1" applyProtection="1">
      <alignment horizontal="center" vertical="center" shrinkToFit="1"/>
    </xf>
    <xf numFmtId="4" fontId="126" fillId="6" borderId="0" xfId="0" applyNumberFormat="1" applyFont="1" applyFill="1" applyAlignment="1" applyProtection="1">
      <alignment horizontal="center" vertical="center" shrinkToFit="1"/>
    </xf>
    <xf numFmtId="4" fontId="125" fillId="6" borderId="0" xfId="0" applyNumberFormat="1" applyFont="1" applyFill="1" applyAlignment="1" applyProtection="1">
      <alignment horizontal="center" vertical="center" shrinkToFit="1"/>
    </xf>
    <xf numFmtId="176" fontId="53" fillId="28" borderId="81" xfId="81" applyNumberFormat="1" applyFont="1" applyFill="1" applyBorder="1" applyAlignment="1" applyProtection="1">
      <alignment horizontal="center" vertical="center"/>
    </xf>
    <xf numFmtId="176" fontId="53" fillId="28" borderId="82" xfId="81" applyNumberFormat="1" applyFont="1" applyFill="1" applyBorder="1" applyAlignment="1" applyProtection="1">
      <alignment horizontal="center" vertical="center"/>
    </xf>
    <xf numFmtId="0" fontId="53" fillId="28" borderId="84" xfId="81" applyNumberFormat="1" applyFont="1" applyFill="1" applyBorder="1" applyAlignment="1" applyProtection="1">
      <alignment horizontal="center" vertical="center"/>
    </xf>
    <xf numFmtId="0" fontId="53" fillId="28" borderId="83" xfId="81" applyNumberFormat="1" applyFont="1" applyFill="1" applyBorder="1" applyAlignment="1" applyProtection="1">
      <alignment horizontal="center" vertical="center"/>
    </xf>
    <xf numFmtId="176" fontId="53" fillId="28" borderId="33" xfId="81" applyNumberFormat="1" applyFont="1" applyFill="1" applyBorder="1" applyAlignment="1" applyProtection="1">
      <alignment horizontal="center" vertical="center"/>
    </xf>
    <xf numFmtId="176" fontId="53" fillId="28" borderId="18" xfId="81" applyNumberFormat="1" applyFont="1" applyFill="1" applyBorder="1" applyAlignment="1" applyProtection="1">
      <alignment horizontal="center" vertical="center"/>
    </xf>
    <xf numFmtId="176" fontId="34" fillId="28" borderId="34" xfId="81" applyNumberFormat="1" applyFont="1" applyFill="1" applyBorder="1" applyAlignment="1" applyProtection="1">
      <alignment horizontal="center" vertical="center"/>
    </xf>
    <xf numFmtId="0" fontId="4" fillId="28" borderId="32" xfId="0" applyFont="1" applyFill="1" applyBorder="1" applyAlignment="1">
      <alignment horizontal="center" vertical="center"/>
      <protection locked="0"/>
    </xf>
    <xf numFmtId="176" fontId="101" fillId="28" borderId="81" xfId="81" applyNumberFormat="1" applyFont="1" applyFill="1" applyBorder="1" applyAlignment="1" applyProtection="1">
      <alignment horizontal="center" vertical="center" wrapText="1"/>
    </xf>
    <xf numFmtId="176" fontId="101" fillId="28" borderId="82" xfId="81" applyNumberFormat="1" applyFont="1" applyFill="1" applyBorder="1" applyAlignment="1" applyProtection="1">
      <alignment horizontal="center" vertical="center" wrapText="1"/>
    </xf>
    <xf numFmtId="0" fontId="39" fillId="28" borderId="84" xfId="81" applyNumberFormat="1" applyFont="1" applyFill="1" applyBorder="1" applyAlignment="1" applyProtection="1">
      <alignment horizontal="center" vertical="center"/>
    </xf>
    <xf numFmtId="0" fontId="39" fillId="28" borderId="83" xfId="81" applyNumberFormat="1" applyFont="1" applyFill="1" applyBorder="1" applyAlignment="1" applyProtection="1">
      <alignment horizontal="center" vertical="center"/>
    </xf>
    <xf numFmtId="176" fontId="101" fillId="28" borderId="61" xfId="81" applyNumberFormat="1" applyFont="1" applyFill="1" applyBorder="1" applyAlignment="1" applyProtection="1">
      <alignment horizontal="center" vertical="center" wrapText="1"/>
    </xf>
    <xf numFmtId="176" fontId="101" fillId="28" borderId="44" xfId="81" applyNumberFormat="1" applyFont="1" applyFill="1" applyBorder="1" applyAlignment="1" applyProtection="1">
      <alignment horizontal="center" vertical="center" wrapText="1"/>
    </xf>
    <xf numFmtId="176" fontId="101" fillId="28" borderId="33" xfId="81" applyNumberFormat="1" applyFont="1" applyFill="1" applyBorder="1" applyAlignment="1" applyProtection="1">
      <alignment horizontal="center" vertical="center"/>
    </xf>
    <xf numFmtId="176" fontId="28" fillId="28" borderId="34" xfId="81" applyNumberFormat="1" applyFont="1" applyFill="1" applyBorder="1" applyAlignment="1" applyProtection="1">
      <alignment horizontal="center" vertical="center"/>
    </xf>
    <xf numFmtId="176" fontId="101" fillId="28" borderId="32" xfId="81" applyNumberFormat="1" applyFont="1" applyFill="1" applyBorder="1" applyAlignment="1" applyProtection="1">
      <alignment horizontal="center" vertical="center"/>
    </xf>
    <xf numFmtId="43" fontId="53" fillId="13" borderId="37" xfId="85" applyNumberFormat="1" applyFont="1" applyFill="1" applyBorder="1" applyAlignment="1" applyProtection="1">
      <alignment horizontal="center" vertical="center" shrinkToFit="1"/>
    </xf>
    <xf numFmtId="43" fontId="53" fillId="13" borderId="13" xfId="85" applyNumberFormat="1" applyFont="1" applyFill="1" applyBorder="1" applyAlignment="1" applyProtection="1">
      <alignment horizontal="center" vertical="center" shrinkToFit="1"/>
    </xf>
    <xf numFmtId="43" fontId="34" fillId="13" borderId="37" xfId="85" applyNumberFormat="1" applyFont="1" applyFill="1" applyBorder="1" applyAlignment="1" applyProtection="1">
      <alignment horizontal="center" vertical="center" shrinkToFit="1"/>
    </xf>
    <xf numFmtId="43" fontId="53" fillId="13" borderId="6" xfId="85" applyNumberFormat="1" applyFont="1" applyFill="1" applyBorder="1" applyAlignment="1" applyProtection="1">
      <alignment horizontal="center"/>
    </xf>
    <xf numFmtId="43" fontId="53" fillId="13" borderId="37" xfId="85" applyNumberFormat="1" applyFont="1" applyFill="1" applyBorder="1" applyAlignment="1" applyProtection="1">
      <alignment horizontal="center" vertical="center"/>
      <protection locked="0"/>
    </xf>
    <xf numFmtId="43" fontId="53" fillId="13" borderId="13" xfId="85" applyNumberFormat="1" applyFont="1" applyFill="1" applyBorder="1" applyAlignment="1" applyProtection="1">
      <alignment horizontal="center" vertical="center"/>
      <protection locked="0"/>
    </xf>
    <xf numFmtId="43" fontId="34" fillId="13" borderId="6" xfId="85" applyNumberFormat="1" applyFont="1" applyFill="1" applyBorder="1" applyAlignment="1" applyProtection="1">
      <alignment horizontal="center" vertical="center" shrinkToFit="1"/>
    </xf>
    <xf numFmtId="43" fontId="53" fillId="13" borderId="6" xfId="85" applyNumberFormat="1" applyFont="1" applyFill="1" applyBorder="1" applyAlignment="1" applyProtection="1">
      <alignment horizontal="center" vertical="center" shrinkToFit="1"/>
    </xf>
    <xf numFmtId="4" fontId="12" fillId="6" borderId="0" xfId="0" applyNumberFormat="1" applyFont="1" applyFill="1" applyBorder="1" applyAlignment="1" applyProtection="1">
      <alignment horizontal="left"/>
      <protection locked="0"/>
    </xf>
    <xf numFmtId="43" fontId="24" fillId="8" borderId="29" xfId="84" applyNumberFormat="1" applyFont="1" applyFill="1" applyBorder="1" applyAlignment="1">
      <alignment horizontal="center" vertical="center"/>
      <protection locked="0"/>
    </xf>
    <xf numFmtId="43" fontId="24" fillId="8" borderId="11" xfId="84" applyNumberFormat="1" applyFont="1" applyFill="1" applyBorder="1" applyAlignment="1">
      <alignment horizontal="center" vertical="center"/>
      <protection locked="0"/>
    </xf>
    <xf numFmtId="43" fontId="24" fillId="8" borderId="2" xfId="84" applyNumberFormat="1" applyFont="1" applyFill="1" applyBorder="1" applyAlignment="1">
      <alignment horizontal="center" vertical="center"/>
      <protection locked="0"/>
    </xf>
    <xf numFmtId="43" fontId="24" fillId="8" borderId="20" xfId="84" applyNumberFormat="1" applyFont="1" applyFill="1" applyBorder="1" applyAlignment="1">
      <alignment horizontal="center" vertical="center"/>
      <protection locked="0"/>
    </xf>
    <xf numFmtId="43" fontId="57" fillId="0" borderId="0" xfId="84" applyNumberFormat="1" applyFont="1" applyBorder="1" applyAlignment="1">
      <alignment horizontal="center" vertical="center"/>
      <protection locked="0"/>
    </xf>
    <xf numFmtId="43" fontId="24" fillId="8" borderId="40" xfId="84" applyNumberFormat="1" applyFont="1" applyFill="1" applyBorder="1" applyAlignment="1">
      <alignment horizontal="center" vertical="center"/>
      <protection locked="0"/>
    </xf>
    <xf numFmtId="43" fontId="24" fillId="8" borderId="30" xfId="84" applyNumberFormat="1" applyFont="1" applyFill="1" applyBorder="1" applyAlignment="1">
      <alignment horizontal="center" vertical="center"/>
      <protection locked="0"/>
    </xf>
    <xf numFmtId="43" fontId="28" fillId="0" borderId="0" xfId="84" applyNumberFormat="1" applyFont="1" applyBorder="1" applyAlignment="1" applyProtection="1">
      <alignment horizontal="center" vertical="center"/>
    </xf>
    <xf numFmtId="43" fontId="101" fillId="0" borderId="0" xfId="84" applyNumberFormat="1" applyFont="1" applyBorder="1" applyAlignment="1" applyProtection="1">
      <alignment horizontal="center" vertical="center"/>
    </xf>
    <xf numFmtId="0" fontId="89" fillId="0" borderId="0" xfId="0" applyFont="1" applyFill="1" applyAlignment="1" applyProtection="1">
      <alignment horizontal="left" vertical="center" shrinkToFit="1"/>
    </xf>
    <xf numFmtId="0" fontId="57" fillId="0" borderId="0" xfId="82" applyFont="1" applyAlignment="1">
      <alignment horizontal="center" vertical="center"/>
    </xf>
    <xf numFmtId="0" fontId="58" fillId="0" borderId="0" xfId="82" applyFont="1" applyAlignment="1">
      <alignment horizontal="center" vertical="center"/>
    </xf>
    <xf numFmtId="0" fontId="35" fillId="0" borderId="0" xfId="0" applyFont="1" applyAlignment="1" applyProtection="1">
      <alignment vertical="center"/>
      <protection locked="0"/>
    </xf>
    <xf numFmtId="9" fontId="57" fillId="0" borderId="0" xfId="86" applyNumberFormat="1" applyFont="1" applyBorder="1" applyAlignment="1" applyProtection="1">
      <alignment horizontal="center" vertical="center"/>
    </xf>
    <xf numFmtId="9" fontId="58" fillId="0" borderId="0" xfId="86" applyNumberFormat="1" applyFont="1" applyBorder="1" applyAlignment="1" applyProtection="1">
      <alignment horizontal="center" vertical="center"/>
    </xf>
    <xf numFmtId="176" fontId="102" fillId="13" borderId="50" xfId="86" applyNumberFormat="1" applyFont="1" applyFill="1" applyBorder="1" applyAlignment="1" applyProtection="1">
      <alignment horizontal="center" vertical="center" wrapText="1"/>
    </xf>
    <xf numFmtId="176" fontId="36" fillId="13" borderId="15" xfId="86" applyNumberFormat="1" applyFont="1" applyFill="1" applyBorder="1" applyAlignment="1" applyProtection="1">
      <alignment horizontal="center" vertical="center" wrapText="1"/>
    </xf>
    <xf numFmtId="43" fontId="57" fillId="0" borderId="0" xfId="86" applyNumberFormat="1" applyFont="1" applyAlignment="1" applyProtection="1">
      <alignment horizontal="center" vertical="center"/>
    </xf>
    <xf numFmtId="43" fontId="58" fillId="0" borderId="0" xfId="86" applyNumberFormat="1" applyFont="1" applyAlignment="1" applyProtection="1">
      <alignment horizontal="center" vertical="center"/>
    </xf>
    <xf numFmtId="43" fontId="102" fillId="0" borderId="50" xfId="86" applyNumberFormat="1" applyFont="1" applyBorder="1" applyAlignment="1" applyProtection="1">
      <alignment horizontal="center" vertical="center" wrapText="1"/>
    </xf>
    <xf numFmtId="43" fontId="36" fillId="0" borderId="56" xfId="86" applyNumberFormat="1" applyFont="1" applyBorder="1" applyAlignment="1" applyProtection="1">
      <alignment horizontal="center" vertical="center" wrapText="1"/>
    </xf>
    <xf numFmtId="49" fontId="24" fillId="0" borderId="34" xfId="86" applyNumberFormat="1" applyFont="1" applyBorder="1" applyAlignment="1" applyProtection="1">
      <alignment horizontal="center" vertical="center" wrapText="1"/>
    </xf>
    <xf numFmtId="49" fontId="39" fillId="0" borderId="57" xfId="86" applyNumberFormat="1" applyFont="1" applyBorder="1" applyAlignment="1" applyProtection="1">
      <alignment horizontal="center" vertical="center" wrapText="1"/>
    </xf>
    <xf numFmtId="176" fontId="24" fillId="0" borderId="33" xfId="86" applyNumberFormat="1" applyFont="1" applyBorder="1" applyAlignment="1" applyProtection="1">
      <alignment horizontal="center" vertical="center" wrapText="1"/>
    </xf>
    <xf numFmtId="176" fontId="39" fillId="0" borderId="33" xfId="86" applyNumberFormat="1" applyFont="1" applyBorder="1" applyAlignment="1" applyProtection="1">
      <alignment horizontal="center" vertical="center" wrapText="1"/>
    </xf>
    <xf numFmtId="49" fontId="36" fillId="0" borderId="52" xfId="86" applyNumberFormat="1" applyFont="1" applyBorder="1" applyAlignment="1" applyProtection="1">
      <alignment horizontal="center" vertical="center" wrapText="1"/>
    </xf>
    <xf numFmtId="0" fontId="13" fillId="28" borderId="60" xfId="0" applyFont="1" applyFill="1" applyBorder="1" applyAlignment="1" applyProtection="1">
      <alignment horizontal="center" vertical="center" wrapText="1"/>
    </xf>
    <xf numFmtId="0" fontId="13" fillId="28" borderId="13" xfId="0" applyFont="1" applyFill="1" applyBorder="1" applyAlignment="1" applyProtection="1">
      <alignment horizontal="center" vertical="center"/>
    </xf>
    <xf numFmtId="0" fontId="13" fillId="28" borderId="31" xfId="0" applyFont="1" applyFill="1" applyBorder="1" applyAlignment="1" applyProtection="1">
      <alignment horizontal="center" vertical="center" wrapText="1" shrinkToFit="1"/>
    </xf>
    <xf numFmtId="0" fontId="13" fillId="28" borderId="6" xfId="0" applyFont="1" applyFill="1" applyBorder="1" applyAlignment="1" applyProtection="1">
      <alignment horizontal="center" vertical="center" wrapText="1" shrinkToFit="1"/>
    </xf>
    <xf numFmtId="0" fontId="13" fillId="28" borderId="18" xfId="0" applyFont="1" applyFill="1" applyBorder="1" applyAlignment="1" applyProtection="1">
      <alignment horizontal="center" vertical="center" wrapText="1" shrinkToFit="1"/>
    </xf>
    <xf numFmtId="0" fontId="13" fillId="28" borderId="59" xfId="0" applyFont="1" applyFill="1" applyBorder="1" applyAlignment="1" applyProtection="1">
      <alignment horizontal="center" vertical="center" wrapText="1" shrinkToFit="1"/>
      <protection locked="0"/>
    </xf>
    <xf numFmtId="0" fontId="13" fillId="28" borderId="7" xfId="0" applyFont="1" applyFill="1" applyBorder="1" applyAlignment="1" applyProtection="1">
      <alignment horizontal="center" vertical="center" wrapText="1" shrinkToFit="1"/>
      <protection locked="0"/>
    </xf>
    <xf numFmtId="0" fontId="13" fillId="28" borderId="46" xfId="0" applyFont="1" applyFill="1" applyBorder="1" applyAlignment="1" applyProtection="1">
      <alignment horizontal="center" vertical="center" wrapText="1" shrinkToFit="1"/>
      <protection locked="0"/>
    </xf>
    <xf numFmtId="4" fontId="85" fillId="0" borderId="0" xfId="0" applyNumberFormat="1" applyFont="1" applyFill="1" applyAlignment="1" applyProtection="1">
      <alignment horizontal="center" vertical="center" shrinkToFit="1"/>
    </xf>
    <xf numFmtId="176" fontId="24" fillId="28" borderId="58" xfId="0" applyNumberFormat="1" applyFont="1" applyFill="1" applyBorder="1" applyAlignment="1" applyProtection="1">
      <alignment horizontal="center" vertical="center" shrinkToFit="1"/>
    </xf>
    <xf numFmtId="176" fontId="24" fillId="28" borderId="25" xfId="0" applyNumberFormat="1" applyFont="1" applyFill="1" applyBorder="1" applyAlignment="1" applyProtection="1">
      <alignment horizontal="center" vertical="center" shrinkToFit="1"/>
    </xf>
    <xf numFmtId="176" fontId="24" fillId="28" borderId="35" xfId="0" applyNumberFormat="1" applyFont="1" applyFill="1" applyBorder="1" applyAlignment="1" applyProtection="1">
      <alignment horizontal="center" vertical="center" shrinkToFit="1"/>
    </xf>
    <xf numFmtId="0" fontId="13" fillId="28" borderId="59" xfId="0" applyFont="1" applyFill="1" applyBorder="1" applyAlignment="1" applyProtection="1">
      <alignment horizontal="center" vertical="center" wrapText="1" shrinkToFit="1"/>
    </xf>
    <xf numFmtId="0" fontId="13" fillId="28" borderId="7" xfId="0" applyFont="1" applyFill="1" applyBorder="1" applyAlignment="1" applyProtection="1">
      <alignment horizontal="center" vertical="center" wrapText="1" shrinkToFit="1"/>
    </xf>
    <xf numFmtId="0" fontId="13" fillId="28" borderId="46" xfId="0" applyFont="1" applyFill="1" applyBorder="1" applyAlignment="1" applyProtection="1">
      <alignment horizontal="center" vertical="center" wrapText="1" shrinkToFit="1"/>
    </xf>
    <xf numFmtId="3" fontId="13" fillId="28" borderId="60" xfId="0" applyNumberFormat="1" applyFont="1" applyFill="1" applyBorder="1" applyAlignment="1" applyProtection="1">
      <alignment horizontal="center" vertical="center" wrapText="1" shrinkToFit="1"/>
    </xf>
    <xf numFmtId="3" fontId="13" fillId="28" borderId="27" xfId="0" applyNumberFormat="1" applyFont="1" applyFill="1" applyBorder="1" applyAlignment="1" applyProtection="1">
      <alignment horizontal="center" vertical="center" wrapText="1" shrinkToFit="1"/>
    </xf>
    <xf numFmtId="0" fontId="13" fillId="28" borderId="59" xfId="0" applyFont="1" applyFill="1" applyBorder="1" applyAlignment="1" applyProtection="1">
      <alignment horizontal="center" vertical="center"/>
    </xf>
    <xf numFmtId="0" fontId="13" fillId="28" borderId="58" xfId="0" applyFont="1" applyFill="1" applyBorder="1" applyAlignment="1" applyProtection="1">
      <alignment horizontal="center" vertical="center"/>
    </xf>
    <xf numFmtId="43" fontId="53" fillId="28" borderId="58" xfId="103" applyNumberFormat="1" applyFont="1" applyFill="1" applyBorder="1" applyAlignment="1" applyProtection="1">
      <alignment horizontal="center" vertical="center"/>
    </xf>
    <xf numFmtId="43" fontId="53" fillId="28" borderId="25" xfId="103" applyNumberFormat="1" applyFont="1" applyFill="1" applyBorder="1" applyAlignment="1" applyProtection="1">
      <alignment horizontal="center" vertical="center"/>
    </xf>
    <xf numFmtId="43" fontId="53" fillId="28" borderId="47" xfId="103" applyNumberFormat="1" applyFont="1" applyFill="1" applyBorder="1" applyAlignment="1" applyProtection="1">
      <alignment horizontal="center" vertical="center"/>
    </xf>
    <xf numFmtId="43" fontId="38" fillId="28" borderId="60" xfId="103" applyNumberFormat="1" applyFont="1" applyFill="1" applyBorder="1" applyAlignment="1" applyProtection="1">
      <alignment horizontal="center" vertical="center"/>
    </xf>
    <xf numFmtId="43" fontId="38" fillId="28" borderId="27" xfId="103" applyNumberFormat="1" applyFont="1" applyFill="1" applyBorder="1" applyAlignment="1" applyProtection="1">
      <alignment horizontal="center" vertical="center"/>
    </xf>
    <xf numFmtId="43" fontId="38" fillId="28" borderId="44" xfId="103" applyNumberFormat="1" applyFont="1" applyFill="1" applyBorder="1" applyAlignment="1" applyProtection="1">
      <alignment horizontal="center" vertical="center"/>
    </xf>
    <xf numFmtId="4" fontId="137" fillId="0" borderId="0" xfId="0" applyNumberFormat="1" applyFont="1" applyFill="1" applyAlignment="1" applyProtection="1">
      <alignment horizontal="center" vertical="center" shrinkToFit="1"/>
    </xf>
    <xf numFmtId="0" fontId="38" fillId="28" borderId="31" xfId="0" applyFont="1" applyFill="1" applyBorder="1" applyAlignment="1" applyProtection="1">
      <alignment horizontal="center" vertical="center" wrapText="1" shrinkToFit="1"/>
    </xf>
    <xf numFmtId="0" fontId="38" fillId="28" borderId="6" xfId="0" applyFont="1" applyFill="1" applyBorder="1" applyAlignment="1" applyProtection="1">
      <alignment horizontal="center" vertical="center" wrapText="1" shrinkToFit="1"/>
    </xf>
    <xf numFmtId="0" fontId="38" fillId="28" borderId="18" xfId="0" applyFont="1" applyFill="1" applyBorder="1" applyAlignment="1" applyProtection="1">
      <alignment horizontal="center" vertical="center" wrapText="1" shrinkToFit="1"/>
    </xf>
    <xf numFmtId="0" fontId="38" fillId="28" borderId="59" xfId="0" applyFont="1" applyFill="1" applyBorder="1" applyAlignment="1" applyProtection="1">
      <alignment horizontal="center" vertical="center" wrapText="1" shrinkToFit="1"/>
    </xf>
    <xf numFmtId="0" fontId="38" fillId="28" borderId="7" xfId="0" applyFont="1" applyFill="1" applyBorder="1" applyAlignment="1" applyProtection="1">
      <alignment horizontal="center" vertical="center" wrapText="1" shrinkToFit="1"/>
    </xf>
    <xf numFmtId="0" fontId="38" fillId="28" borderId="46" xfId="0" applyFont="1" applyFill="1" applyBorder="1" applyAlignment="1" applyProtection="1">
      <alignment horizontal="center" vertical="center" wrapText="1" shrinkToFit="1"/>
    </xf>
    <xf numFmtId="0" fontId="132" fillId="28" borderId="60" xfId="0" applyFont="1" applyFill="1" applyBorder="1" applyAlignment="1" applyProtection="1">
      <alignment horizontal="center" vertical="center" wrapText="1"/>
    </xf>
    <xf numFmtId="0" fontId="37" fillId="28" borderId="13" xfId="0" applyFont="1" applyFill="1" applyBorder="1" applyAlignment="1" applyProtection="1">
      <alignment horizontal="center" vertical="center"/>
    </xf>
    <xf numFmtId="0" fontId="37" fillId="28" borderId="31" xfId="0" applyFont="1" applyFill="1" applyBorder="1" applyAlignment="1" applyProtection="1">
      <alignment horizontal="center" vertical="center" wrapText="1" shrinkToFit="1"/>
    </xf>
    <xf numFmtId="0" fontId="37" fillId="28" borderId="6" xfId="0" applyFont="1" applyFill="1" applyBorder="1" applyAlignment="1" applyProtection="1">
      <alignment horizontal="center" vertical="center" wrapText="1" shrinkToFit="1"/>
    </xf>
    <xf numFmtId="0" fontId="37" fillId="28" borderId="18" xfId="0" applyFont="1" applyFill="1" applyBorder="1" applyAlignment="1" applyProtection="1">
      <alignment horizontal="center" vertical="center" wrapText="1" shrinkToFit="1"/>
    </xf>
    <xf numFmtId="0" fontId="37" fillId="28" borderId="59" xfId="0" applyFont="1" applyFill="1" applyBorder="1" applyAlignment="1" applyProtection="1">
      <alignment horizontal="center" vertical="center" wrapText="1" shrinkToFit="1"/>
      <protection locked="0"/>
    </xf>
    <xf numFmtId="0" fontId="37" fillId="28" borderId="7" xfId="0" applyFont="1" applyFill="1" applyBorder="1" applyAlignment="1" applyProtection="1">
      <alignment horizontal="center" vertical="center" wrapText="1" shrinkToFit="1"/>
      <protection locked="0"/>
    </xf>
    <xf numFmtId="0" fontId="37" fillId="28" borderId="46" xfId="0" applyFont="1" applyFill="1" applyBorder="1" applyAlignment="1" applyProtection="1">
      <alignment horizontal="center" vertical="center" wrapText="1" shrinkToFit="1"/>
      <protection locked="0"/>
    </xf>
    <xf numFmtId="0" fontId="38" fillId="28" borderId="59" xfId="0" applyFont="1" applyFill="1" applyBorder="1" applyAlignment="1" applyProtection="1">
      <alignment horizontal="center" vertical="center"/>
    </xf>
    <xf numFmtId="0" fontId="38" fillId="28" borderId="58" xfId="0" applyFont="1" applyFill="1" applyBorder="1" applyAlignment="1" applyProtection="1">
      <alignment horizontal="center" vertical="center"/>
    </xf>
    <xf numFmtId="0" fontId="34" fillId="0" borderId="88" xfId="0" applyFont="1" applyFill="1" applyBorder="1" applyAlignment="1">
      <alignment horizontal="center" vertical="center" shrinkToFit="1"/>
      <protection locked="0"/>
    </xf>
    <xf numFmtId="0" fontId="34" fillId="0" borderId="91" xfId="0" applyFont="1" applyFill="1" applyBorder="1" applyAlignment="1">
      <alignment horizontal="center" vertical="center" shrinkToFit="1"/>
      <protection locked="0"/>
    </xf>
    <xf numFmtId="0" fontId="34" fillId="0" borderId="87" xfId="0" applyFont="1" applyFill="1" applyBorder="1" applyAlignment="1">
      <alignment horizontal="center" vertical="center" shrinkToFit="1"/>
      <protection locked="0"/>
    </xf>
    <xf numFmtId="0" fontId="34" fillId="0" borderId="103" xfId="0" applyFont="1" applyFill="1" applyBorder="1" applyAlignment="1">
      <alignment horizontal="center" vertical="center" shrinkToFit="1"/>
      <protection locked="0"/>
    </xf>
    <xf numFmtId="0" fontId="34" fillId="0" borderId="86" xfId="0" applyFont="1" applyFill="1" applyBorder="1" applyAlignment="1">
      <alignment horizontal="center" vertical="center" shrinkToFit="1"/>
      <protection locked="0"/>
    </xf>
    <xf numFmtId="0" fontId="34" fillId="0" borderId="44" xfId="0" applyFont="1" applyFill="1" applyBorder="1" applyAlignment="1">
      <alignment horizontal="center" vertical="center" shrinkToFit="1"/>
      <protection locked="0"/>
    </xf>
    <xf numFmtId="0" fontId="53" fillId="0" borderId="31" xfId="0" applyFont="1" applyFill="1" applyBorder="1" applyAlignment="1">
      <alignment horizontal="center" vertical="center" shrinkToFit="1"/>
      <protection locked="0"/>
    </xf>
    <xf numFmtId="0" fontId="34" fillId="0" borderId="31" xfId="0" applyFont="1" applyFill="1" applyBorder="1" applyAlignment="1">
      <alignment horizontal="center" vertical="center" shrinkToFit="1"/>
      <protection locked="0"/>
    </xf>
    <xf numFmtId="0" fontId="34" fillId="0" borderId="18" xfId="0" applyFont="1" applyFill="1" applyBorder="1" applyAlignment="1">
      <alignment horizontal="center" vertical="center" shrinkToFit="1"/>
      <protection locked="0"/>
    </xf>
    <xf numFmtId="0" fontId="85" fillId="0" borderId="0" xfId="0" applyFont="1" applyFill="1" applyAlignment="1">
      <alignment horizontal="center"/>
      <protection locked="0"/>
    </xf>
    <xf numFmtId="0" fontId="53" fillId="29" borderId="31" xfId="0" applyFont="1" applyFill="1" applyBorder="1" applyAlignment="1">
      <alignment horizontal="center" vertical="center" shrinkToFit="1"/>
      <protection locked="0"/>
    </xf>
    <xf numFmtId="0" fontId="34" fillId="29" borderId="31" xfId="0" applyFont="1" applyFill="1" applyBorder="1" applyAlignment="1">
      <alignment horizontal="center" vertical="center" shrinkToFit="1"/>
      <protection locked="0"/>
    </xf>
    <xf numFmtId="0" fontId="34" fillId="29" borderId="18" xfId="0" applyFont="1" applyFill="1" applyBorder="1" applyAlignment="1">
      <alignment horizontal="center" vertical="center" shrinkToFit="1"/>
      <protection locked="0"/>
    </xf>
    <xf numFmtId="0" fontId="34" fillId="29" borderId="88" xfId="0" applyFont="1" applyFill="1" applyBorder="1" applyAlignment="1">
      <alignment horizontal="center" vertical="center" shrinkToFit="1"/>
      <protection locked="0"/>
    </xf>
    <xf numFmtId="0" fontId="34" fillId="29" borderId="91" xfId="0" applyFont="1" applyFill="1" applyBorder="1" applyAlignment="1">
      <alignment horizontal="center" vertical="center" shrinkToFit="1"/>
      <protection locked="0"/>
    </xf>
    <xf numFmtId="0" fontId="34" fillId="29" borderId="87" xfId="0" applyFont="1" applyFill="1" applyBorder="1" applyAlignment="1">
      <alignment horizontal="center" vertical="center" shrinkToFit="1"/>
      <protection locked="0"/>
    </xf>
    <xf numFmtId="0" fontId="34" fillId="29" borderId="103" xfId="0" applyFont="1" applyFill="1" applyBorder="1" applyAlignment="1">
      <alignment horizontal="center" vertical="center" shrinkToFit="1"/>
      <protection locked="0"/>
    </xf>
    <xf numFmtId="0" fontId="34" fillId="29" borderId="86" xfId="0" applyFont="1" applyFill="1" applyBorder="1" applyAlignment="1">
      <alignment horizontal="center" vertical="center" shrinkToFit="1"/>
      <protection locked="0"/>
    </xf>
    <xf numFmtId="0" fontId="34" fillId="29" borderId="44" xfId="0" applyFont="1" applyFill="1" applyBorder="1" applyAlignment="1">
      <alignment horizontal="center" vertical="center" shrinkToFit="1"/>
      <protection locked="0"/>
    </xf>
    <xf numFmtId="4" fontId="134" fillId="0" borderId="0" xfId="0" applyNumberFormat="1" applyFont="1" applyFill="1" applyAlignment="1" applyProtection="1">
      <alignment horizontal="center" vertical="center" shrinkToFit="1"/>
    </xf>
    <xf numFmtId="0" fontId="38" fillId="28" borderId="86" xfId="0" applyFont="1" applyFill="1" applyBorder="1" applyAlignment="1" applyProtection="1">
      <alignment horizontal="center" vertical="center" wrapText="1"/>
    </xf>
    <xf numFmtId="0" fontId="38" fillId="28" borderId="13" xfId="0" applyFont="1" applyFill="1" applyBorder="1" applyAlignment="1" applyProtection="1">
      <alignment horizontal="center" vertical="center"/>
    </xf>
    <xf numFmtId="0" fontId="38" fillId="28" borderId="88" xfId="0" applyFont="1" applyFill="1" applyBorder="1" applyAlignment="1" applyProtection="1">
      <alignment horizontal="center" vertical="center" wrapText="1" shrinkToFit="1"/>
      <protection locked="0"/>
    </xf>
    <xf numFmtId="0" fontId="38" fillId="28" borderId="90" xfId="0" applyFont="1" applyFill="1" applyBorder="1" applyAlignment="1" applyProtection="1">
      <alignment horizontal="center" vertical="center" wrapText="1" shrinkToFit="1"/>
      <protection locked="0"/>
    </xf>
    <xf numFmtId="0" fontId="38" fillId="28" borderId="91" xfId="0" applyFont="1" applyFill="1" applyBorder="1" applyAlignment="1" applyProtection="1">
      <alignment horizontal="center" vertical="center" wrapText="1" shrinkToFit="1"/>
      <protection locked="0"/>
    </xf>
    <xf numFmtId="176" fontId="53" fillId="28" borderId="87" xfId="0" applyNumberFormat="1" applyFont="1" applyFill="1" applyBorder="1" applyAlignment="1" applyProtection="1">
      <alignment horizontal="center" vertical="center"/>
    </xf>
    <xf numFmtId="176" fontId="53" fillId="28" borderId="89" xfId="0" applyNumberFormat="1" applyFont="1" applyFill="1" applyBorder="1" applyAlignment="1" applyProtection="1">
      <alignment horizontal="center" vertical="center"/>
    </xf>
    <xf numFmtId="0" fontId="38" fillId="28" borderId="86" xfId="0" applyFont="1" applyFill="1" applyBorder="1" applyAlignment="1" applyProtection="1">
      <alignment horizontal="center" vertical="center" wrapText="1" shrinkToFit="1"/>
    </xf>
    <xf numFmtId="0" fontId="38" fillId="28" borderId="27" xfId="0" applyFont="1" applyFill="1" applyBorder="1" applyAlignment="1" applyProtection="1">
      <alignment horizontal="center" vertical="center" wrapText="1" shrinkToFit="1"/>
    </xf>
    <xf numFmtId="0" fontId="38" fillId="28" borderId="44" xfId="0" applyFont="1" applyFill="1" applyBorder="1" applyAlignment="1" applyProtection="1">
      <alignment horizontal="center" vertical="center" wrapText="1" shrinkToFit="1"/>
    </xf>
    <xf numFmtId="3" fontId="38" fillId="28" borderId="86" xfId="0" applyNumberFormat="1" applyFont="1" applyFill="1" applyBorder="1" applyAlignment="1" applyProtection="1">
      <alignment horizontal="center" vertical="center" wrapText="1" shrinkToFit="1"/>
    </xf>
    <xf numFmtId="3" fontId="38" fillId="28" borderId="27" xfId="0" applyNumberFormat="1" applyFont="1" applyFill="1" applyBorder="1" applyAlignment="1" applyProtection="1">
      <alignment horizontal="center" vertical="center" wrapText="1" shrinkToFit="1"/>
    </xf>
    <xf numFmtId="0" fontId="37" fillId="28" borderId="37" xfId="0" applyFont="1" applyFill="1" applyBorder="1" applyAlignment="1" applyProtection="1">
      <alignment horizontal="center" vertical="center" wrapText="1" shrinkToFit="1"/>
    </xf>
    <xf numFmtId="0" fontId="37" fillId="28" borderId="88" xfId="0" applyFont="1" applyFill="1" applyBorder="1" applyAlignment="1" applyProtection="1">
      <alignment horizontal="center" vertical="center" wrapText="1" shrinkToFit="1"/>
      <protection locked="0"/>
    </xf>
    <xf numFmtId="0" fontId="37" fillId="28" borderId="90" xfId="0" applyFont="1" applyFill="1" applyBorder="1" applyAlignment="1" applyProtection="1">
      <alignment horizontal="center" vertical="center" wrapText="1" shrinkToFit="1"/>
      <protection locked="0"/>
    </xf>
    <xf numFmtId="0" fontId="37" fillId="28" borderId="101" xfId="0" applyFont="1" applyFill="1" applyBorder="1" applyAlignment="1" applyProtection="1">
      <alignment horizontal="center" vertical="center" wrapText="1" shrinkToFit="1"/>
      <protection locked="0"/>
    </xf>
    <xf numFmtId="4" fontId="85" fillId="0" borderId="0" xfId="0" applyNumberFormat="1" applyFont="1" applyFill="1" applyBorder="1" applyAlignment="1" applyProtection="1">
      <alignment horizontal="center" vertical="center" shrinkToFit="1"/>
    </xf>
    <xf numFmtId="0" fontId="38" fillId="28" borderId="37" xfId="0" applyFont="1" applyFill="1" applyBorder="1" applyAlignment="1" applyProtection="1">
      <alignment horizontal="center" vertical="center" wrapText="1" shrinkToFit="1"/>
    </xf>
    <xf numFmtId="0" fontId="38" fillId="28" borderId="36" xfId="0" applyFont="1" applyFill="1" applyBorder="1" applyAlignment="1" applyProtection="1">
      <alignment horizontal="center" vertical="center" wrapText="1" shrinkToFit="1"/>
    </xf>
    <xf numFmtId="0" fontId="37" fillId="28" borderId="86" xfId="0" applyFont="1" applyFill="1" applyBorder="1" applyAlignment="1" applyProtection="1">
      <alignment horizontal="center" vertical="center" wrapText="1"/>
    </xf>
    <xf numFmtId="43" fontId="84" fillId="28" borderId="96" xfId="103" applyNumberFormat="1" applyFont="1" applyFill="1" applyBorder="1" applyAlignment="1" applyProtection="1">
      <alignment horizontal="center" vertical="center"/>
    </xf>
    <xf numFmtId="43" fontId="84" fillId="28" borderId="97" xfId="103" applyNumberFormat="1" applyFont="1" applyFill="1" applyBorder="1" applyAlignment="1" applyProtection="1">
      <alignment horizontal="center" vertical="center"/>
    </xf>
    <xf numFmtId="43" fontId="84" fillId="28" borderId="98" xfId="103" applyNumberFormat="1" applyFont="1" applyFill="1" applyBorder="1" applyAlignment="1" applyProtection="1">
      <alignment horizontal="center" vertical="center"/>
    </xf>
    <xf numFmtId="43" fontId="84" fillId="28" borderId="86" xfId="103" applyNumberFormat="1" applyFont="1" applyFill="1" applyBorder="1" applyAlignment="1" applyProtection="1">
      <alignment horizontal="center" vertical="center" wrapText="1"/>
    </xf>
    <xf numFmtId="43" fontId="84" fillId="28" borderId="27" xfId="103" applyNumberFormat="1" applyFont="1" applyFill="1" applyBorder="1" applyAlignment="1" applyProtection="1">
      <alignment horizontal="center" vertical="center" wrapText="1"/>
    </xf>
    <xf numFmtId="43" fontId="84" fillId="28" borderId="44" xfId="103" applyNumberFormat="1" applyFont="1" applyFill="1" applyBorder="1" applyAlignment="1" applyProtection="1">
      <alignment horizontal="center" vertical="center" wrapText="1"/>
    </xf>
    <xf numFmtId="176" fontId="34" fillId="0" borderId="0" xfId="86" applyNumberFormat="1" applyFont="1" applyAlignment="1" applyProtection="1">
      <alignment vertical="center"/>
    </xf>
    <xf numFmtId="0" fontId="39" fillId="13" borderId="6" xfId="80" applyFont="1" applyFill="1" applyBorder="1" applyAlignment="1">
      <alignment horizontal="center" vertical="center"/>
      <protection locked="0"/>
    </xf>
    <xf numFmtId="0" fontId="24" fillId="0" borderId="6" xfId="80" applyFont="1" applyBorder="1" applyAlignment="1">
      <alignment vertical="center"/>
      <protection locked="0"/>
    </xf>
    <xf numFmtId="0" fontId="187" fillId="0" borderId="6" xfId="80" applyFont="1" applyBorder="1" applyAlignment="1">
      <alignment vertical="center"/>
      <protection locked="0"/>
    </xf>
    <xf numFmtId="0" fontId="188" fillId="0" borderId="6" xfId="80" applyFont="1" applyBorder="1" applyAlignment="1">
      <alignment vertical="center"/>
      <protection locked="0"/>
    </xf>
    <xf numFmtId="0" fontId="24" fillId="13" borderId="6" xfId="80" applyFont="1" applyFill="1" applyBorder="1" applyAlignment="1">
      <alignment horizontal="center" vertical="center"/>
      <protection locked="0"/>
    </xf>
    <xf numFmtId="0" fontId="24" fillId="13" borderId="6" xfId="80" applyFont="1" applyFill="1" applyBorder="1" applyAlignment="1">
      <alignment horizontal="center" vertical="center"/>
      <protection locked="0"/>
    </xf>
    <xf numFmtId="0" fontId="39" fillId="0" borderId="6" xfId="80" applyFont="1" applyBorder="1" applyAlignment="1">
      <alignment horizontal="center" vertical="center"/>
      <protection locked="0"/>
    </xf>
    <xf numFmtId="176" fontId="38" fillId="0" borderId="0" xfId="86" applyNumberFormat="1" applyFont="1" applyAlignment="1" applyProtection="1">
      <alignment horizontal="center" vertical="center"/>
      <protection locked="0"/>
    </xf>
    <xf numFmtId="176" fontId="34" fillId="0" borderId="51" xfId="86" applyNumberFormat="1" applyFont="1" applyBorder="1" applyAlignment="1" applyProtection="1">
      <alignment horizontal="center" vertical="center"/>
    </xf>
    <xf numFmtId="43" fontId="39" fillId="0" borderId="6" xfId="80" applyNumberFormat="1" applyFont="1" applyBorder="1" applyAlignment="1">
      <alignment horizontal="center" vertical="center"/>
      <protection locked="0"/>
    </xf>
    <xf numFmtId="43" fontId="39" fillId="0" borderId="6" xfId="102" applyFont="1" applyBorder="1" applyAlignment="1" applyProtection="1">
      <alignment horizontal="center" vertical="center"/>
      <protection locked="0"/>
    </xf>
    <xf numFmtId="43" fontId="39" fillId="0" borderId="6" xfId="102" applyFont="1" applyBorder="1" applyAlignment="1" applyProtection="1">
      <alignment vertical="center"/>
      <protection locked="0"/>
    </xf>
    <xf numFmtId="43" fontId="37" fillId="0" borderId="6" xfId="102" applyFont="1" applyBorder="1" applyAlignment="1" applyProtection="1">
      <alignment vertical="center"/>
      <protection locked="0"/>
    </xf>
    <xf numFmtId="43" fontId="37" fillId="0" borderId="6" xfId="80" applyNumberFormat="1" applyFont="1" applyBorder="1" applyAlignment="1">
      <alignment horizontal="center" vertical="center"/>
      <protection locked="0"/>
    </xf>
    <xf numFmtId="0" fontId="37" fillId="0" borderId="6" xfId="80" applyFont="1" applyBorder="1" applyAlignment="1">
      <alignment horizontal="center" vertical="center"/>
      <protection locked="0"/>
    </xf>
  </cellXfs>
  <cellStyles count="122">
    <cellStyle name="@_text" xfId="1"/>
    <cellStyle name="_2005审计报表及附注-中国建材股份模板（房屋）" xfId="2"/>
    <cellStyle name="_宝丽华房地产20051231" xfId="3"/>
    <cellStyle name="_北新房屋2004年审-刘" xfId="4"/>
    <cellStyle name="_北新股份2005年审工作底稿" xfId="5"/>
    <cellStyle name="_北新建材关连交易基础表051230（10－12月版）更新稿" xfId="6"/>
    <cellStyle name="_北新建材-会计报表附注模版" xfId="7"/>
    <cellStyle name="_北新龙之星2004年审工作底稿" xfId="8"/>
    <cellStyle name="_北新物流2005底稿-刘" xfId="9"/>
    <cellStyle name="_北新置换memo" xfId="10"/>
    <cellStyle name="_存货结转测试" xfId="11"/>
    <cellStyle name="_存货数量与明细05.12" xfId="12"/>
    <cellStyle name="_关联交易" xfId="13"/>
    <cellStyle name="_长期借款－江阴" xfId="14"/>
    <cellStyle name="{Comma [0]}" xfId="15"/>
    <cellStyle name="{Comma}" xfId="16"/>
    <cellStyle name="{Date}" xfId="17"/>
    <cellStyle name="{Month}" xfId="18"/>
    <cellStyle name="{Percent}" xfId="19"/>
    <cellStyle name="{Thousand [0]}" xfId="20"/>
    <cellStyle name="{Thousand}" xfId="21"/>
    <cellStyle name="{Z'0000(1 dec)}" xfId="22"/>
    <cellStyle name="{Z'0000(4 dec)}" xfId="23"/>
    <cellStyle name="Black" xfId="24"/>
    <cellStyle name="Border" xfId="25"/>
    <cellStyle name="Calc Currency (0)" xfId="26"/>
    <cellStyle name="Column_Title" xfId="27"/>
    <cellStyle name="Comma  - Style1" xfId="28"/>
    <cellStyle name="Comma  - Style2" xfId="29"/>
    <cellStyle name="Comma  - Style3" xfId="30"/>
    <cellStyle name="Comma  - Style4" xfId="31"/>
    <cellStyle name="Comma  - Style5" xfId="32"/>
    <cellStyle name="Comma  - Style6" xfId="33"/>
    <cellStyle name="Comma  - Style7" xfId="34"/>
    <cellStyle name="Comma  - Style8" xfId="35"/>
    <cellStyle name="Comma [0]_ rislugp" xfId="36"/>
    <cellStyle name="Comma_ rislugp" xfId="37"/>
    <cellStyle name="Currency [0]_ rislugp" xfId="38"/>
    <cellStyle name="Currency_ rislugp" xfId="39"/>
    <cellStyle name="Dezimal [0]_laroux" xfId="40"/>
    <cellStyle name="Dezimal_laroux" xfId="41"/>
    <cellStyle name="entry" xfId="42"/>
    <cellStyle name="entry box" xfId="43"/>
    <cellStyle name="Euro" xfId="44"/>
    <cellStyle name="Followed Hyperlink_AheadBehind.xls Chart 23" xfId="45"/>
    <cellStyle name="Grey" xfId="46"/>
    <cellStyle name="Header1" xfId="47"/>
    <cellStyle name="Header2" xfId="48"/>
    <cellStyle name="Hyperlink_AheadBehind.xls Chart 23" xfId="49"/>
    <cellStyle name="Input [yellow]" xfId="50"/>
    <cellStyle name="left" xfId="51"/>
    <cellStyle name="Millares [0]_laroux" xfId="52"/>
    <cellStyle name="Millares_laroux" xfId="53"/>
    <cellStyle name="Milliers [0]_laroux" xfId="54"/>
    <cellStyle name="Milliers_laroux" xfId="55"/>
    <cellStyle name="Moneda [0]_laroux" xfId="56"/>
    <cellStyle name="Moneda_laroux" xfId="57"/>
    <cellStyle name="Mon閠aire [0]_laroux" xfId="58"/>
    <cellStyle name="Mon閠aire_laroux" xfId="59"/>
    <cellStyle name="no dec" xfId="60"/>
    <cellStyle name="Non défini" xfId="61"/>
    <cellStyle name="Normal - Style1" xfId="62"/>
    <cellStyle name="Normal_ rislugp" xfId="63"/>
    <cellStyle name="Normalny_Arkusz1" xfId="64"/>
    <cellStyle name="Percent [2]" xfId="65"/>
    <cellStyle name="Prefilled" xfId="66"/>
    <cellStyle name="price" xfId="67"/>
    <cellStyle name="Red" xfId="68"/>
    <cellStyle name="revised" xfId="69"/>
    <cellStyle name="section" xfId="70"/>
    <cellStyle name="style" xfId="71"/>
    <cellStyle name="style1" xfId="72"/>
    <cellStyle name="style2" xfId="73"/>
    <cellStyle name="title" xfId="74"/>
    <cellStyle name="wrap" xfId="75"/>
    <cellStyle name="パーセント_laroux" xfId="76"/>
    <cellStyle name="百分比" xfId="77" builtinId="5"/>
    <cellStyle name="百分比 2" xfId="78"/>
    <cellStyle name="標準_１１月価格表" xfId="79"/>
    <cellStyle name="常规" xfId="0" builtinId="0"/>
    <cellStyle name="常规 2" xfId="80"/>
    <cellStyle name="常规 3" xfId="120"/>
    <cellStyle name="常规_2003年调整表1" xfId="81"/>
    <cellStyle name="常规_Book2_0本部" xfId="116"/>
    <cellStyle name="常规_c-资产类" xfId="82"/>
    <cellStyle name="常规_sheet" xfId="83"/>
    <cellStyle name="常规_经营审定报表 2" xfId="119"/>
    <cellStyle name="常规_母公司合并0812" xfId="118"/>
    <cellStyle name="常规_审计调整试算平衡表（修改中）" xfId="84"/>
    <cellStyle name="常规_试算表(三建主业)" xfId="85"/>
    <cellStyle name="常规_现金流量表审核 (1)" xfId="86"/>
    <cellStyle name="常规_新审定表" xfId="87"/>
    <cellStyle name="超链接" xfId="88" builtinId="8"/>
    <cellStyle name="分级显示行_1_4附件二凯旋评估表" xfId="89"/>
    <cellStyle name="桁区切り [0.00]_１１月価格表" xfId="90"/>
    <cellStyle name="桁区切り_１１月価格表" xfId="91"/>
    <cellStyle name="霓付 [0]_97MBO" xfId="92"/>
    <cellStyle name="霓付_97MBO" xfId="93"/>
    <cellStyle name="烹拳 [0]_97MBO" xfId="94"/>
    <cellStyle name="烹拳_97MBO" xfId="95"/>
    <cellStyle name="普通_ 白土" xfId="96"/>
    <cellStyle name="普通_现金流量表" xfId="97"/>
    <cellStyle name="千分位[0]_ 白土" xfId="98"/>
    <cellStyle name="千分位_ 白土" xfId="99"/>
    <cellStyle name="千位[0]_97汇总" xfId="100"/>
    <cellStyle name="千位_97汇总" xfId="101"/>
    <cellStyle name="千位分隔" xfId="102" builtinId="3"/>
    <cellStyle name="千位分隔 2 2" xfId="115"/>
    <cellStyle name="千位分隔 3" xfId="117"/>
    <cellStyle name="千位分隔[0]_审计调整试算平衡表（修改中）" xfId="103"/>
    <cellStyle name="千位分隔_合并报表审计套餐(CAS-V0.0)" xfId="121"/>
    <cellStyle name="千位分隔_审计调整试算平衡表（修改中）" xfId="104"/>
    <cellStyle name="千位分隔_试算表(三建主业)" xfId="105"/>
    <cellStyle name="钎霖_laroux" xfId="106"/>
    <cellStyle name="通貨 [0.00]_１１月価格表" xfId="107"/>
    <cellStyle name="通貨_１１月価格表" xfId="108"/>
    <cellStyle name="样式 1" xfId="109"/>
    <cellStyle name="콤마 [0]_BOILER-CO1" xfId="110"/>
    <cellStyle name="콤마_BOILER-CO1" xfId="111"/>
    <cellStyle name="통화 [0]_BOILER-CO1" xfId="112"/>
    <cellStyle name="통화_BOILER-CO1" xfId="113"/>
    <cellStyle name="표준_0N-HANDLING " xfId="114"/>
  </cellStyles>
  <dxfs count="73">
    <dxf>
      <font>
        <condense val="0"/>
        <extend val="0"/>
        <color auto="1"/>
      </font>
      <fill>
        <patternFill patternType="none">
          <bgColor indexed="65"/>
        </patternFill>
      </fill>
    </dxf>
    <dxf>
      <font>
        <condense val="0"/>
        <extend val="0"/>
        <color indexed="10"/>
      </font>
      <fill>
        <patternFill patternType="none">
          <bgColor indexed="65"/>
        </patternFill>
      </fill>
    </dxf>
    <dxf>
      <font>
        <color rgb="FF9C0006"/>
      </font>
      <fill>
        <patternFill>
          <bgColor rgb="FFFFC7CE"/>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lor rgb="FF9C0006"/>
      </font>
      <fill>
        <patternFill>
          <bgColor rgb="FFFFC7CE"/>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lor rgb="FF9C0006"/>
      </font>
      <fill>
        <patternFill>
          <bgColor rgb="FFFFC7CE"/>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lor rgb="FF9C0006"/>
      </font>
      <fill>
        <patternFill>
          <bgColor rgb="FFFFC7CE"/>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lor rgb="FF9C0006"/>
      </font>
      <fill>
        <patternFill>
          <bgColor rgb="FFFFC7CE"/>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lor rgb="FF9C0006"/>
      </font>
      <fill>
        <patternFill>
          <bgColor rgb="FFFFC7CE"/>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0"/>
      </font>
    </dxf>
    <dxf>
      <font>
        <condense val="0"/>
        <extend val="0"/>
        <color indexed="10"/>
      </font>
    </dxf>
    <dxf>
      <font>
        <condense val="0"/>
        <extend val="0"/>
        <color indexed="12"/>
      </font>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indexed="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CCE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99"/>
      <color rgb="FFC0C0C0"/>
      <color rgb="FFE4DFEC"/>
      <color rgb="FFCC99FF"/>
      <color rgb="FF99CCFF"/>
      <color rgb="FF96969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8</xdr:row>
      <xdr:rowOff>47625</xdr:rowOff>
    </xdr:from>
    <xdr:to>
      <xdr:col>0</xdr:col>
      <xdr:colOff>762000</xdr:colOff>
      <xdr:row>9</xdr:row>
      <xdr:rowOff>95251</xdr:rowOff>
    </xdr:to>
    <xdr:sp macro="" textlink="">
      <xdr:nvSpPr>
        <xdr:cNvPr id="3520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295400"/>
          <a:ext cx="76200" cy="219075"/>
        </a:xfrm>
        <a:prstGeom prst="rect">
          <a:avLst/>
        </a:prstGeom>
        <a:noFill/>
        <a:ln w="9525">
          <a:noFill/>
          <a:miter lim="800000"/>
          <a:headEnd/>
          <a:tailEnd/>
        </a:ln>
      </xdr:spPr>
    </xdr:sp>
    <xdr:clientData/>
  </xdr:twoCellAnchor>
  <xdr:twoCellAnchor editAs="oneCell">
    <xdr:from>
      <xdr:col>0</xdr:col>
      <xdr:colOff>685800</xdr:colOff>
      <xdr:row>10</xdr:row>
      <xdr:rowOff>47625</xdr:rowOff>
    </xdr:from>
    <xdr:to>
      <xdr:col>0</xdr:col>
      <xdr:colOff>762000</xdr:colOff>
      <xdr:row>11</xdr:row>
      <xdr:rowOff>95250</xdr:rowOff>
    </xdr:to>
    <xdr:sp macro="" textlink="">
      <xdr:nvSpPr>
        <xdr:cNvPr id="3520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466850"/>
          <a:ext cx="76200" cy="219075"/>
        </a:xfrm>
        <a:prstGeom prst="rect">
          <a:avLst/>
        </a:prstGeom>
        <a:noFill/>
        <a:ln w="9525">
          <a:noFill/>
          <a:miter lim="800000"/>
          <a:headEnd/>
          <a:tailEnd/>
        </a:ln>
      </xdr:spPr>
    </xdr:sp>
    <xdr:clientData/>
  </xdr:twoCellAnchor>
  <xdr:oneCellAnchor>
    <xdr:from>
      <xdr:col>0</xdr:col>
      <xdr:colOff>685800</xdr:colOff>
      <xdr:row>21</xdr:row>
      <xdr:rowOff>47625</xdr:rowOff>
    </xdr:from>
    <xdr:ext cx="76200" cy="225425"/>
    <xdr:sp macro="" textlink="">
      <xdr:nvSpPr>
        <xdr:cNvPr id="4" name="Text Box 1">
          <a:extLst>
            <a:ext uri="{FF2B5EF4-FFF2-40B4-BE49-F238E27FC236}">
              <a16:creationId xmlns:a16="http://schemas.microsoft.com/office/drawing/2014/main" id="{D2C3BBD3-3999-448B-8895-D71B8903C385}"/>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22</xdr:row>
      <xdr:rowOff>47625</xdr:rowOff>
    </xdr:from>
    <xdr:ext cx="76200" cy="225425"/>
    <xdr:sp macro="" textlink="">
      <xdr:nvSpPr>
        <xdr:cNvPr id="5" name="Text Box 1">
          <a:extLst>
            <a:ext uri="{FF2B5EF4-FFF2-40B4-BE49-F238E27FC236}">
              <a16:creationId xmlns:a16="http://schemas.microsoft.com/office/drawing/2014/main" id="{0F18FF81-3470-4325-9152-4F7DDEC9AA63}"/>
            </a:ext>
          </a:extLst>
        </xdr:cNvPr>
        <xdr:cNvSpPr txBox="1">
          <a:spLocks noChangeArrowheads="1"/>
        </xdr:cNvSpPr>
      </xdr:nvSpPr>
      <xdr:spPr bwMode="auto">
        <a:xfrm>
          <a:off x="685800" y="1740958"/>
          <a:ext cx="76200" cy="225425"/>
        </a:xfrm>
        <a:prstGeom prst="rect">
          <a:avLst/>
        </a:prstGeom>
        <a:noFill/>
        <a:ln w="9525">
          <a:noFill/>
          <a:miter lim="800000"/>
          <a:headEnd/>
          <a:tailEnd/>
        </a:ln>
      </xdr:spPr>
    </xdr:sp>
    <xdr:clientData/>
  </xdr:oneCellAnchor>
  <xdr:oneCellAnchor>
    <xdr:from>
      <xdr:col>0</xdr:col>
      <xdr:colOff>685800</xdr:colOff>
      <xdr:row>25</xdr:row>
      <xdr:rowOff>47625</xdr:rowOff>
    </xdr:from>
    <xdr:ext cx="76200" cy="225425"/>
    <xdr:sp macro="" textlink="">
      <xdr:nvSpPr>
        <xdr:cNvPr id="6" name="Text Box 1">
          <a:extLst>
            <a:ext uri="{FF2B5EF4-FFF2-40B4-BE49-F238E27FC236}">
              <a16:creationId xmlns:a16="http://schemas.microsoft.com/office/drawing/2014/main" id="{21D6D490-C7CF-474B-AF48-5B25205C4C17}"/>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29</xdr:row>
      <xdr:rowOff>47625</xdr:rowOff>
    </xdr:from>
    <xdr:ext cx="76200" cy="225425"/>
    <xdr:sp macro="" textlink="">
      <xdr:nvSpPr>
        <xdr:cNvPr id="8" name="Text Box 1">
          <a:extLst>
            <a:ext uri="{FF2B5EF4-FFF2-40B4-BE49-F238E27FC236}">
              <a16:creationId xmlns:a16="http://schemas.microsoft.com/office/drawing/2014/main" id="{FA96D38F-7FEB-41A6-854F-D248AE5EA1CF}"/>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30</xdr:row>
      <xdr:rowOff>47625</xdr:rowOff>
    </xdr:from>
    <xdr:ext cx="76200" cy="225425"/>
    <xdr:sp macro="" textlink="">
      <xdr:nvSpPr>
        <xdr:cNvPr id="9" name="Text Box 1">
          <a:extLst>
            <a:ext uri="{FF2B5EF4-FFF2-40B4-BE49-F238E27FC236}">
              <a16:creationId xmlns:a16="http://schemas.microsoft.com/office/drawing/2014/main" id="{0F481909-4FE0-4972-BF72-0E7314953B23}"/>
            </a:ext>
          </a:extLst>
        </xdr:cNvPr>
        <xdr:cNvSpPr txBox="1">
          <a:spLocks noChangeArrowheads="1"/>
        </xdr:cNvSpPr>
      </xdr:nvSpPr>
      <xdr:spPr bwMode="auto">
        <a:xfrm>
          <a:off x="685800" y="1740958"/>
          <a:ext cx="76200" cy="225425"/>
        </a:xfrm>
        <a:prstGeom prst="rect">
          <a:avLst/>
        </a:prstGeom>
        <a:noFill/>
        <a:ln w="9525">
          <a:noFill/>
          <a:miter lim="800000"/>
          <a:headEnd/>
          <a:tailEnd/>
        </a:ln>
      </xdr:spPr>
    </xdr:sp>
    <xdr:clientData/>
  </xdr:oneCellAnchor>
  <xdr:oneCellAnchor>
    <xdr:from>
      <xdr:col>0</xdr:col>
      <xdr:colOff>685800</xdr:colOff>
      <xdr:row>33</xdr:row>
      <xdr:rowOff>47625</xdr:rowOff>
    </xdr:from>
    <xdr:ext cx="76200" cy="225425"/>
    <xdr:sp macro="" textlink="">
      <xdr:nvSpPr>
        <xdr:cNvPr id="10" name="Text Box 1">
          <a:extLst>
            <a:ext uri="{FF2B5EF4-FFF2-40B4-BE49-F238E27FC236}">
              <a16:creationId xmlns:a16="http://schemas.microsoft.com/office/drawing/2014/main" id="{AFD14CD5-6BE5-4FA8-82B2-62FDEDB3B2A0}"/>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34</xdr:row>
      <xdr:rowOff>47625</xdr:rowOff>
    </xdr:from>
    <xdr:ext cx="76200" cy="225425"/>
    <xdr:sp macro="" textlink="">
      <xdr:nvSpPr>
        <xdr:cNvPr id="11" name="Text Box 1">
          <a:extLst>
            <a:ext uri="{FF2B5EF4-FFF2-40B4-BE49-F238E27FC236}">
              <a16:creationId xmlns:a16="http://schemas.microsoft.com/office/drawing/2014/main" id="{E92B866E-494C-43F2-9385-1C46D8BB7819}"/>
            </a:ext>
          </a:extLst>
        </xdr:cNvPr>
        <xdr:cNvSpPr txBox="1">
          <a:spLocks noChangeArrowheads="1"/>
        </xdr:cNvSpPr>
      </xdr:nvSpPr>
      <xdr:spPr bwMode="auto">
        <a:xfrm>
          <a:off x="685800" y="1740958"/>
          <a:ext cx="76200" cy="225425"/>
        </a:xfrm>
        <a:prstGeom prst="rect">
          <a:avLst/>
        </a:prstGeom>
        <a:noFill/>
        <a:ln w="9525">
          <a:noFill/>
          <a:miter lim="800000"/>
          <a:headEnd/>
          <a:tailEnd/>
        </a:ln>
      </xdr:spPr>
    </xdr:sp>
    <xdr:clientData/>
  </xdr:oneCellAnchor>
  <xdr:oneCellAnchor>
    <xdr:from>
      <xdr:col>0</xdr:col>
      <xdr:colOff>685800</xdr:colOff>
      <xdr:row>29</xdr:row>
      <xdr:rowOff>47625</xdr:rowOff>
    </xdr:from>
    <xdr:ext cx="76200" cy="225425"/>
    <xdr:sp macro="" textlink="">
      <xdr:nvSpPr>
        <xdr:cNvPr id="12" name="Text Box 1">
          <a:extLst>
            <a:ext uri="{FF2B5EF4-FFF2-40B4-BE49-F238E27FC236}">
              <a16:creationId xmlns:a16="http://schemas.microsoft.com/office/drawing/2014/main" id="{CB302103-62A6-45AC-BAA4-486997C44244}"/>
            </a:ext>
          </a:extLst>
        </xdr:cNvPr>
        <xdr:cNvSpPr txBox="1">
          <a:spLocks noChangeArrowheads="1"/>
        </xdr:cNvSpPr>
      </xdr:nvSpPr>
      <xdr:spPr bwMode="auto">
        <a:xfrm>
          <a:off x="685800" y="2985558"/>
          <a:ext cx="76200" cy="225425"/>
        </a:xfrm>
        <a:prstGeom prst="rect">
          <a:avLst/>
        </a:prstGeom>
        <a:noFill/>
        <a:ln w="9525">
          <a:noFill/>
          <a:miter lim="800000"/>
          <a:headEnd/>
          <a:tailEnd/>
        </a:ln>
      </xdr:spPr>
    </xdr:sp>
    <xdr:clientData/>
  </xdr:oneCellAnchor>
  <xdr:oneCellAnchor>
    <xdr:from>
      <xdr:col>0</xdr:col>
      <xdr:colOff>685800</xdr:colOff>
      <xdr:row>30</xdr:row>
      <xdr:rowOff>47625</xdr:rowOff>
    </xdr:from>
    <xdr:ext cx="76200" cy="225425"/>
    <xdr:sp macro="" textlink="">
      <xdr:nvSpPr>
        <xdr:cNvPr id="13" name="Text Box 1">
          <a:extLst>
            <a:ext uri="{FF2B5EF4-FFF2-40B4-BE49-F238E27FC236}">
              <a16:creationId xmlns:a16="http://schemas.microsoft.com/office/drawing/2014/main" id="{655FBFC7-AE3A-4A4C-8B7D-D0B44E23311C}"/>
            </a:ext>
          </a:extLst>
        </xdr:cNvPr>
        <xdr:cNvSpPr txBox="1">
          <a:spLocks noChangeArrowheads="1"/>
        </xdr:cNvSpPr>
      </xdr:nvSpPr>
      <xdr:spPr bwMode="auto">
        <a:xfrm>
          <a:off x="685800" y="3163358"/>
          <a:ext cx="76200" cy="225425"/>
        </a:xfrm>
        <a:prstGeom prst="rect">
          <a:avLst/>
        </a:prstGeom>
        <a:noFill/>
        <a:ln w="9525">
          <a:noFill/>
          <a:miter lim="800000"/>
          <a:headEnd/>
          <a:tailEnd/>
        </a:ln>
      </xdr:spPr>
    </xdr:sp>
    <xdr:clientData/>
  </xdr:oneCellAnchor>
  <xdr:oneCellAnchor>
    <xdr:from>
      <xdr:col>0</xdr:col>
      <xdr:colOff>685800</xdr:colOff>
      <xdr:row>33</xdr:row>
      <xdr:rowOff>47625</xdr:rowOff>
    </xdr:from>
    <xdr:ext cx="76200" cy="225425"/>
    <xdr:sp macro="" textlink="">
      <xdr:nvSpPr>
        <xdr:cNvPr id="14" name="Text Box 1">
          <a:extLst>
            <a:ext uri="{FF2B5EF4-FFF2-40B4-BE49-F238E27FC236}">
              <a16:creationId xmlns:a16="http://schemas.microsoft.com/office/drawing/2014/main" id="{A233050E-2592-4A0E-A2F7-8B61200E189A}"/>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33</xdr:row>
      <xdr:rowOff>47625</xdr:rowOff>
    </xdr:from>
    <xdr:ext cx="76200" cy="225425"/>
    <xdr:sp macro="" textlink="">
      <xdr:nvSpPr>
        <xdr:cNvPr id="15" name="Text Box 1">
          <a:extLst>
            <a:ext uri="{FF2B5EF4-FFF2-40B4-BE49-F238E27FC236}">
              <a16:creationId xmlns:a16="http://schemas.microsoft.com/office/drawing/2014/main" id="{3306ED44-3D82-4D0C-83C9-46A1D777C4E3}"/>
            </a:ext>
          </a:extLst>
        </xdr:cNvPr>
        <xdr:cNvSpPr txBox="1">
          <a:spLocks noChangeArrowheads="1"/>
        </xdr:cNvSpPr>
      </xdr:nvSpPr>
      <xdr:spPr bwMode="auto">
        <a:xfrm>
          <a:off x="685800" y="2985558"/>
          <a:ext cx="76200" cy="225425"/>
        </a:xfrm>
        <a:prstGeom prst="rect">
          <a:avLst/>
        </a:prstGeom>
        <a:noFill/>
        <a:ln w="9525">
          <a:noFill/>
          <a:miter lim="800000"/>
          <a:headEnd/>
          <a:tailEnd/>
        </a:ln>
      </xdr:spPr>
    </xdr:sp>
    <xdr:clientData/>
  </xdr:oneCellAnchor>
  <xdr:oneCellAnchor>
    <xdr:from>
      <xdr:col>0</xdr:col>
      <xdr:colOff>685800</xdr:colOff>
      <xdr:row>34</xdr:row>
      <xdr:rowOff>47625</xdr:rowOff>
    </xdr:from>
    <xdr:ext cx="76200" cy="225425"/>
    <xdr:sp macro="" textlink="">
      <xdr:nvSpPr>
        <xdr:cNvPr id="16" name="Text Box 1">
          <a:extLst>
            <a:ext uri="{FF2B5EF4-FFF2-40B4-BE49-F238E27FC236}">
              <a16:creationId xmlns:a16="http://schemas.microsoft.com/office/drawing/2014/main" id="{67FE4EB5-48B5-4493-99E1-856EB0A48FFA}"/>
            </a:ext>
          </a:extLst>
        </xdr:cNvPr>
        <xdr:cNvSpPr txBox="1">
          <a:spLocks noChangeArrowheads="1"/>
        </xdr:cNvSpPr>
      </xdr:nvSpPr>
      <xdr:spPr bwMode="auto">
        <a:xfrm>
          <a:off x="685800" y="3163358"/>
          <a:ext cx="76200" cy="225425"/>
        </a:xfrm>
        <a:prstGeom prst="rect">
          <a:avLst/>
        </a:prstGeom>
        <a:noFill/>
        <a:ln w="9525">
          <a:noFill/>
          <a:miter lim="800000"/>
          <a:headEnd/>
          <a:tailEnd/>
        </a:ln>
      </xdr:spPr>
    </xdr:sp>
    <xdr:clientData/>
  </xdr:oneCellAnchor>
  <xdr:oneCellAnchor>
    <xdr:from>
      <xdr:col>0</xdr:col>
      <xdr:colOff>685800</xdr:colOff>
      <xdr:row>37</xdr:row>
      <xdr:rowOff>47625</xdr:rowOff>
    </xdr:from>
    <xdr:ext cx="76200" cy="225425"/>
    <xdr:sp macro="" textlink="">
      <xdr:nvSpPr>
        <xdr:cNvPr id="17" name="Text Box 1">
          <a:extLst>
            <a:ext uri="{FF2B5EF4-FFF2-40B4-BE49-F238E27FC236}">
              <a16:creationId xmlns:a16="http://schemas.microsoft.com/office/drawing/2014/main" id="{37015476-7897-4D6D-9904-9DE453EDBBD1}"/>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37</xdr:row>
      <xdr:rowOff>47625</xdr:rowOff>
    </xdr:from>
    <xdr:ext cx="76200" cy="225425"/>
    <xdr:sp macro="" textlink="">
      <xdr:nvSpPr>
        <xdr:cNvPr id="18" name="Text Box 1">
          <a:extLst>
            <a:ext uri="{FF2B5EF4-FFF2-40B4-BE49-F238E27FC236}">
              <a16:creationId xmlns:a16="http://schemas.microsoft.com/office/drawing/2014/main" id="{591AB3D1-E469-47CA-8CF9-25CFE6F5E3BF}"/>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37</xdr:row>
      <xdr:rowOff>47625</xdr:rowOff>
    </xdr:from>
    <xdr:ext cx="76200" cy="225425"/>
    <xdr:sp macro="" textlink="">
      <xdr:nvSpPr>
        <xdr:cNvPr id="19" name="Text Box 1">
          <a:extLst>
            <a:ext uri="{FF2B5EF4-FFF2-40B4-BE49-F238E27FC236}">
              <a16:creationId xmlns:a16="http://schemas.microsoft.com/office/drawing/2014/main" id="{3EBF755B-297A-4F30-83E6-696C3EA4D3F2}"/>
            </a:ext>
          </a:extLst>
        </xdr:cNvPr>
        <xdr:cNvSpPr txBox="1">
          <a:spLocks noChangeArrowheads="1"/>
        </xdr:cNvSpPr>
      </xdr:nvSpPr>
      <xdr:spPr bwMode="auto">
        <a:xfrm>
          <a:off x="685800" y="2985558"/>
          <a:ext cx="76200" cy="225425"/>
        </a:xfrm>
        <a:prstGeom prst="rect">
          <a:avLst/>
        </a:prstGeom>
        <a:noFill/>
        <a:ln w="9525">
          <a:noFill/>
          <a:miter lim="800000"/>
          <a:headEnd/>
          <a:tailEnd/>
        </a:ln>
      </xdr:spPr>
    </xdr:sp>
    <xdr:clientData/>
  </xdr:oneCellAnchor>
  <xdr:oneCellAnchor>
    <xdr:from>
      <xdr:col>0</xdr:col>
      <xdr:colOff>685800</xdr:colOff>
      <xdr:row>38</xdr:row>
      <xdr:rowOff>47625</xdr:rowOff>
    </xdr:from>
    <xdr:ext cx="76200" cy="225425"/>
    <xdr:sp macro="" textlink="">
      <xdr:nvSpPr>
        <xdr:cNvPr id="20" name="Text Box 1">
          <a:extLst>
            <a:ext uri="{FF2B5EF4-FFF2-40B4-BE49-F238E27FC236}">
              <a16:creationId xmlns:a16="http://schemas.microsoft.com/office/drawing/2014/main" id="{971267D8-3EDA-4951-81DA-40EA33AE7120}"/>
            </a:ext>
          </a:extLst>
        </xdr:cNvPr>
        <xdr:cNvSpPr txBox="1">
          <a:spLocks noChangeArrowheads="1"/>
        </xdr:cNvSpPr>
      </xdr:nvSpPr>
      <xdr:spPr bwMode="auto">
        <a:xfrm>
          <a:off x="685800" y="3163358"/>
          <a:ext cx="76200" cy="225425"/>
        </a:xfrm>
        <a:prstGeom prst="rect">
          <a:avLst/>
        </a:prstGeom>
        <a:noFill/>
        <a:ln w="9525">
          <a:noFill/>
          <a:miter lim="800000"/>
          <a:headEnd/>
          <a:tailEnd/>
        </a:ln>
      </xdr:spPr>
    </xdr:sp>
    <xdr:clientData/>
  </xdr:oneCellAnchor>
  <xdr:oneCellAnchor>
    <xdr:from>
      <xdr:col>0</xdr:col>
      <xdr:colOff>685800</xdr:colOff>
      <xdr:row>41</xdr:row>
      <xdr:rowOff>47625</xdr:rowOff>
    </xdr:from>
    <xdr:ext cx="76200" cy="225425"/>
    <xdr:sp macro="" textlink="">
      <xdr:nvSpPr>
        <xdr:cNvPr id="21" name="Text Box 1">
          <a:extLst>
            <a:ext uri="{FF2B5EF4-FFF2-40B4-BE49-F238E27FC236}">
              <a16:creationId xmlns:a16="http://schemas.microsoft.com/office/drawing/2014/main" id="{20C13FCA-429B-41E4-9C8F-546F878C61C6}"/>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41</xdr:row>
      <xdr:rowOff>47625</xdr:rowOff>
    </xdr:from>
    <xdr:ext cx="76200" cy="225425"/>
    <xdr:sp macro="" textlink="">
      <xdr:nvSpPr>
        <xdr:cNvPr id="22" name="Text Box 1">
          <a:extLst>
            <a:ext uri="{FF2B5EF4-FFF2-40B4-BE49-F238E27FC236}">
              <a16:creationId xmlns:a16="http://schemas.microsoft.com/office/drawing/2014/main" id="{EF77DD13-14DD-4A3B-A35E-287AF8041063}"/>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41</xdr:row>
      <xdr:rowOff>47625</xdr:rowOff>
    </xdr:from>
    <xdr:ext cx="76200" cy="225425"/>
    <xdr:sp macro="" textlink="">
      <xdr:nvSpPr>
        <xdr:cNvPr id="23" name="Text Box 1">
          <a:extLst>
            <a:ext uri="{FF2B5EF4-FFF2-40B4-BE49-F238E27FC236}">
              <a16:creationId xmlns:a16="http://schemas.microsoft.com/office/drawing/2014/main" id="{D032DE2F-1B98-4ECA-9C92-9B187F1832DA}"/>
            </a:ext>
          </a:extLst>
        </xdr:cNvPr>
        <xdr:cNvSpPr txBox="1">
          <a:spLocks noChangeArrowheads="1"/>
        </xdr:cNvSpPr>
      </xdr:nvSpPr>
      <xdr:spPr bwMode="auto">
        <a:xfrm>
          <a:off x="685800" y="2985558"/>
          <a:ext cx="76200" cy="225425"/>
        </a:xfrm>
        <a:prstGeom prst="rect">
          <a:avLst/>
        </a:prstGeom>
        <a:noFill/>
        <a:ln w="9525">
          <a:noFill/>
          <a:miter lim="800000"/>
          <a:headEnd/>
          <a:tailEnd/>
        </a:ln>
      </xdr:spPr>
    </xdr:sp>
    <xdr:clientData/>
  </xdr:oneCellAnchor>
  <xdr:oneCellAnchor>
    <xdr:from>
      <xdr:col>0</xdr:col>
      <xdr:colOff>685800</xdr:colOff>
      <xdr:row>42</xdr:row>
      <xdr:rowOff>47625</xdr:rowOff>
    </xdr:from>
    <xdr:ext cx="76200" cy="225425"/>
    <xdr:sp macro="" textlink="">
      <xdr:nvSpPr>
        <xdr:cNvPr id="24" name="Text Box 1">
          <a:extLst>
            <a:ext uri="{FF2B5EF4-FFF2-40B4-BE49-F238E27FC236}">
              <a16:creationId xmlns:a16="http://schemas.microsoft.com/office/drawing/2014/main" id="{59A838F1-D280-400E-99D4-355B31893BC4}"/>
            </a:ext>
          </a:extLst>
        </xdr:cNvPr>
        <xdr:cNvSpPr txBox="1">
          <a:spLocks noChangeArrowheads="1"/>
        </xdr:cNvSpPr>
      </xdr:nvSpPr>
      <xdr:spPr bwMode="auto">
        <a:xfrm>
          <a:off x="685800" y="3163358"/>
          <a:ext cx="76200" cy="225425"/>
        </a:xfrm>
        <a:prstGeom prst="rect">
          <a:avLst/>
        </a:prstGeom>
        <a:noFill/>
        <a:ln w="9525">
          <a:noFill/>
          <a:miter lim="800000"/>
          <a:headEnd/>
          <a:tailEnd/>
        </a:ln>
      </xdr:spPr>
    </xdr:sp>
    <xdr:clientData/>
  </xdr:oneCellAnchor>
  <xdr:oneCellAnchor>
    <xdr:from>
      <xdr:col>0</xdr:col>
      <xdr:colOff>685800</xdr:colOff>
      <xdr:row>45</xdr:row>
      <xdr:rowOff>47625</xdr:rowOff>
    </xdr:from>
    <xdr:ext cx="76200" cy="225425"/>
    <xdr:sp macro="" textlink="">
      <xdr:nvSpPr>
        <xdr:cNvPr id="25" name="Text Box 1">
          <a:extLst>
            <a:ext uri="{FF2B5EF4-FFF2-40B4-BE49-F238E27FC236}">
              <a16:creationId xmlns:a16="http://schemas.microsoft.com/office/drawing/2014/main" id="{4793DBEA-CC7F-4BF2-946C-8034B9788644}"/>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45</xdr:row>
      <xdr:rowOff>47625</xdr:rowOff>
    </xdr:from>
    <xdr:ext cx="76200" cy="225425"/>
    <xdr:sp macro="" textlink="">
      <xdr:nvSpPr>
        <xdr:cNvPr id="26" name="Text Box 1">
          <a:extLst>
            <a:ext uri="{FF2B5EF4-FFF2-40B4-BE49-F238E27FC236}">
              <a16:creationId xmlns:a16="http://schemas.microsoft.com/office/drawing/2014/main" id="{3356AF2F-42EE-4EA9-ACC0-4BF14D544068}"/>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30</xdr:row>
      <xdr:rowOff>47625</xdr:rowOff>
    </xdr:from>
    <xdr:ext cx="76200" cy="225425"/>
    <xdr:sp macro="" textlink="">
      <xdr:nvSpPr>
        <xdr:cNvPr id="27" name="Text Box 1">
          <a:extLst>
            <a:ext uri="{FF2B5EF4-FFF2-40B4-BE49-F238E27FC236}">
              <a16:creationId xmlns:a16="http://schemas.microsoft.com/office/drawing/2014/main" id="{A822C8E7-9D75-40CE-8674-0BF2B396013F}"/>
            </a:ext>
          </a:extLst>
        </xdr:cNvPr>
        <xdr:cNvSpPr txBox="1">
          <a:spLocks noChangeArrowheads="1"/>
        </xdr:cNvSpPr>
      </xdr:nvSpPr>
      <xdr:spPr bwMode="auto">
        <a:xfrm>
          <a:off x="685800" y="2985558"/>
          <a:ext cx="76200" cy="225425"/>
        </a:xfrm>
        <a:prstGeom prst="rect">
          <a:avLst/>
        </a:prstGeom>
        <a:noFill/>
        <a:ln w="9525">
          <a:noFill/>
          <a:miter lim="800000"/>
          <a:headEnd/>
          <a:tailEnd/>
        </a:ln>
      </xdr:spPr>
    </xdr:sp>
    <xdr:clientData/>
  </xdr:oneCellAnchor>
  <xdr:oneCellAnchor>
    <xdr:from>
      <xdr:col>0</xdr:col>
      <xdr:colOff>685800</xdr:colOff>
      <xdr:row>34</xdr:row>
      <xdr:rowOff>47625</xdr:rowOff>
    </xdr:from>
    <xdr:ext cx="76200" cy="225425"/>
    <xdr:sp macro="" textlink="">
      <xdr:nvSpPr>
        <xdr:cNvPr id="28" name="Text Box 1">
          <a:extLst>
            <a:ext uri="{FF2B5EF4-FFF2-40B4-BE49-F238E27FC236}">
              <a16:creationId xmlns:a16="http://schemas.microsoft.com/office/drawing/2014/main" id="{7DE6C61F-3418-4E18-B94C-0985D5BBDE69}"/>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35</xdr:row>
      <xdr:rowOff>47625</xdr:rowOff>
    </xdr:from>
    <xdr:ext cx="76200" cy="225425"/>
    <xdr:sp macro="" textlink="">
      <xdr:nvSpPr>
        <xdr:cNvPr id="29" name="Text Box 1">
          <a:extLst>
            <a:ext uri="{FF2B5EF4-FFF2-40B4-BE49-F238E27FC236}">
              <a16:creationId xmlns:a16="http://schemas.microsoft.com/office/drawing/2014/main" id="{316243DA-3E6F-4703-853A-BDC50DD82B7A}"/>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34</xdr:row>
      <xdr:rowOff>47625</xdr:rowOff>
    </xdr:from>
    <xdr:ext cx="76200" cy="225425"/>
    <xdr:sp macro="" textlink="">
      <xdr:nvSpPr>
        <xdr:cNvPr id="30" name="Text Box 1">
          <a:extLst>
            <a:ext uri="{FF2B5EF4-FFF2-40B4-BE49-F238E27FC236}">
              <a16:creationId xmlns:a16="http://schemas.microsoft.com/office/drawing/2014/main" id="{F751DA81-A411-466C-AC30-6C37ECEFCD37}"/>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35</xdr:row>
      <xdr:rowOff>47625</xdr:rowOff>
    </xdr:from>
    <xdr:ext cx="76200" cy="225425"/>
    <xdr:sp macro="" textlink="">
      <xdr:nvSpPr>
        <xdr:cNvPr id="31" name="Text Box 1">
          <a:extLst>
            <a:ext uri="{FF2B5EF4-FFF2-40B4-BE49-F238E27FC236}">
              <a16:creationId xmlns:a16="http://schemas.microsoft.com/office/drawing/2014/main" id="{D56B630B-4808-4915-9E21-DF8DBA5560F7}"/>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35</xdr:row>
      <xdr:rowOff>47625</xdr:rowOff>
    </xdr:from>
    <xdr:ext cx="76200" cy="225425"/>
    <xdr:sp macro="" textlink="">
      <xdr:nvSpPr>
        <xdr:cNvPr id="32" name="Text Box 1">
          <a:extLst>
            <a:ext uri="{FF2B5EF4-FFF2-40B4-BE49-F238E27FC236}">
              <a16:creationId xmlns:a16="http://schemas.microsoft.com/office/drawing/2014/main" id="{6332BA90-426C-4F1B-B338-3EBC1B23C62D}"/>
            </a:ext>
          </a:extLst>
        </xdr:cNvPr>
        <xdr:cNvSpPr txBox="1">
          <a:spLocks noChangeArrowheads="1"/>
        </xdr:cNvSpPr>
      </xdr:nvSpPr>
      <xdr:spPr bwMode="auto">
        <a:xfrm>
          <a:off x="685800" y="2985558"/>
          <a:ext cx="76200" cy="225425"/>
        </a:xfrm>
        <a:prstGeom prst="rect">
          <a:avLst/>
        </a:prstGeom>
        <a:noFill/>
        <a:ln w="9525">
          <a:noFill/>
          <a:miter lim="800000"/>
          <a:headEnd/>
          <a:tailEnd/>
        </a:ln>
      </xdr:spPr>
    </xdr:sp>
    <xdr:clientData/>
  </xdr:oneCellAnchor>
  <xdr:oneCellAnchor>
    <xdr:from>
      <xdr:col>0</xdr:col>
      <xdr:colOff>685800</xdr:colOff>
      <xdr:row>39</xdr:row>
      <xdr:rowOff>47625</xdr:rowOff>
    </xdr:from>
    <xdr:ext cx="76200" cy="225425"/>
    <xdr:sp macro="" textlink="">
      <xdr:nvSpPr>
        <xdr:cNvPr id="33" name="Text Box 1">
          <a:extLst>
            <a:ext uri="{FF2B5EF4-FFF2-40B4-BE49-F238E27FC236}">
              <a16:creationId xmlns:a16="http://schemas.microsoft.com/office/drawing/2014/main" id="{BD198AA0-E818-4F6F-9DDB-5EA1B5738599}"/>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40</xdr:row>
      <xdr:rowOff>47625</xdr:rowOff>
    </xdr:from>
    <xdr:ext cx="76200" cy="225425"/>
    <xdr:sp macro="" textlink="">
      <xdr:nvSpPr>
        <xdr:cNvPr id="34" name="Text Box 1">
          <a:extLst>
            <a:ext uri="{FF2B5EF4-FFF2-40B4-BE49-F238E27FC236}">
              <a16:creationId xmlns:a16="http://schemas.microsoft.com/office/drawing/2014/main" id="{7B5CACFB-B20F-470C-8C24-A90A5E708FCF}"/>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39</xdr:row>
      <xdr:rowOff>47625</xdr:rowOff>
    </xdr:from>
    <xdr:ext cx="76200" cy="225425"/>
    <xdr:sp macro="" textlink="">
      <xdr:nvSpPr>
        <xdr:cNvPr id="35" name="Text Box 1">
          <a:extLst>
            <a:ext uri="{FF2B5EF4-FFF2-40B4-BE49-F238E27FC236}">
              <a16:creationId xmlns:a16="http://schemas.microsoft.com/office/drawing/2014/main" id="{DAA72B9F-71A2-4754-BF19-2DD42681DF37}"/>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40</xdr:row>
      <xdr:rowOff>47625</xdr:rowOff>
    </xdr:from>
    <xdr:ext cx="76200" cy="225425"/>
    <xdr:sp macro="" textlink="">
      <xdr:nvSpPr>
        <xdr:cNvPr id="36" name="Text Box 1">
          <a:extLst>
            <a:ext uri="{FF2B5EF4-FFF2-40B4-BE49-F238E27FC236}">
              <a16:creationId xmlns:a16="http://schemas.microsoft.com/office/drawing/2014/main" id="{12D8F624-009A-42EC-89BF-0BFDD04F4CAD}"/>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40</xdr:row>
      <xdr:rowOff>47625</xdr:rowOff>
    </xdr:from>
    <xdr:ext cx="76200" cy="225425"/>
    <xdr:sp macro="" textlink="">
      <xdr:nvSpPr>
        <xdr:cNvPr id="37" name="Text Box 1">
          <a:extLst>
            <a:ext uri="{FF2B5EF4-FFF2-40B4-BE49-F238E27FC236}">
              <a16:creationId xmlns:a16="http://schemas.microsoft.com/office/drawing/2014/main" id="{3CA255A3-EF20-4A8C-BF18-D94EAD9281A6}"/>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40</xdr:row>
      <xdr:rowOff>47625</xdr:rowOff>
    </xdr:from>
    <xdr:ext cx="76200" cy="225425"/>
    <xdr:sp macro="" textlink="">
      <xdr:nvSpPr>
        <xdr:cNvPr id="38" name="Text Box 1">
          <a:extLst>
            <a:ext uri="{FF2B5EF4-FFF2-40B4-BE49-F238E27FC236}">
              <a16:creationId xmlns:a16="http://schemas.microsoft.com/office/drawing/2014/main" id="{FB311EC5-10CC-494E-8E36-EBEC18DCDD0A}"/>
            </a:ext>
          </a:extLst>
        </xdr:cNvPr>
        <xdr:cNvSpPr txBox="1">
          <a:spLocks noChangeArrowheads="1"/>
        </xdr:cNvSpPr>
      </xdr:nvSpPr>
      <xdr:spPr bwMode="auto">
        <a:xfrm>
          <a:off x="685800" y="2985558"/>
          <a:ext cx="76200" cy="225425"/>
        </a:xfrm>
        <a:prstGeom prst="rect">
          <a:avLst/>
        </a:prstGeom>
        <a:noFill/>
        <a:ln w="9525">
          <a:noFill/>
          <a:miter lim="800000"/>
          <a:headEnd/>
          <a:tailEnd/>
        </a:ln>
      </xdr:spPr>
    </xdr:sp>
    <xdr:clientData/>
  </xdr:oneCellAnchor>
  <xdr:oneCellAnchor>
    <xdr:from>
      <xdr:col>0</xdr:col>
      <xdr:colOff>685800</xdr:colOff>
      <xdr:row>44</xdr:row>
      <xdr:rowOff>47625</xdr:rowOff>
    </xdr:from>
    <xdr:ext cx="76200" cy="225425"/>
    <xdr:sp macro="" textlink="">
      <xdr:nvSpPr>
        <xdr:cNvPr id="39" name="Text Box 1">
          <a:extLst>
            <a:ext uri="{FF2B5EF4-FFF2-40B4-BE49-F238E27FC236}">
              <a16:creationId xmlns:a16="http://schemas.microsoft.com/office/drawing/2014/main" id="{560ECF01-0377-457B-9F04-3A1AADDA71EA}"/>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45</xdr:row>
      <xdr:rowOff>47625</xdr:rowOff>
    </xdr:from>
    <xdr:ext cx="76200" cy="225425"/>
    <xdr:sp macro="" textlink="">
      <xdr:nvSpPr>
        <xdr:cNvPr id="40" name="Text Box 1">
          <a:extLst>
            <a:ext uri="{FF2B5EF4-FFF2-40B4-BE49-F238E27FC236}">
              <a16:creationId xmlns:a16="http://schemas.microsoft.com/office/drawing/2014/main" id="{FF878D74-5549-401B-8416-7B0E7112E21A}"/>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44</xdr:row>
      <xdr:rowOff>47625</xdr:rowOff>
    </xdr:from>
    <xdr:ext cx="76200" cy="225425"/>
    <xdr:sp macro="" textlink="">
      <xdr:nvSpPr>
        <xdr:cNvPr id="41" name="Text Box 1">
          <a:extLst>
            <a:ext uri="{FF2B5EF4-FFF2-40B4-BE49-F238E27FC236}">
              <a16:creationId xmlns:a16="http://schemas.microsoft.com/office/drawing/2014/main" id="{E731B337-F027-412E-A6AF-BFBBA26724B1}"/>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45</xdr:row>
      <xdr:rowOff>47625</xdr:rowOff>
    </xdr:from>
    <xdr:ext cx="76200" cy="225425"/>
    <xdr:sp macro="" textlink="">
      <xdr:nvSpPr>
        <xdr:cNvPr id="42" name="Text Box 1">
          <a:extLst>
            <a:ext uri="{FF2B5EF4-FFF2-40B4-BE49-F238E27FC236}">
              <a16:creationId xmlns:a16="http://schemas.microsoft.com/office/drawing/2014/main" id="{32436224-12EC-44BE-A206-96C357596F50}"/>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45</xdr:row>
      <xdr:rowOff>47625</xdr:rowOff>
    </xdr:from>
    <xdr:ext cx="76200" cy="225425"/>
    <xdr:sp macro="" textlink="">
      <xdr:nvSpPr>
        <xdr:cNvPr id="43" name="Text Box 1">
          <a:extLst>
            <a:ext uri="{FF2B5EF4-FFF2-40B4-BE49-F238E27FC236}">
              <a16:creationId xmlns:a16="http://schemas.microsoft.com/office/drawing/2014/main" id="{7EF86B24-D5BC-4B77-8B21-A501DFC60750}"/>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45</xdr:row>
      <xdr:rowOff>47625</xdr:rowOff>
    </xdr:from>
    <xdr:ext cx="76200" cy="225425"/>
    <xdr:sp macro="" textlink="">
      <xdr:nvSpPr>
        <xdr:cNvPr id="44" name="Text Box 1">
          <a:extLst>
            <a:ext uri="{FF2B5EF4-FFF2-40B4-BE49-F238E27FC236}">
              <a16:creationId xmlns:a16="http://schemas.microsoft.com/office/drawing/2014/main" id="{D9DA3D29-8283-4CA7-B035-9BF43F34D5AA}"/>
            </a:ext>
          </a:extLst>
        </xdr:cNvPr>
        <xdr:cNvSpPr txBox="1">
          <a:spLocks noChangeArrowheads="1"/>
        </xdr:cNvSpPr>
      </xdr:nvSpPr>
      <xdr:spPr bwMode="auto">
        <a:xfrm>
          <a:off x="685800" y="2985558"/>
          <a:ext cx="76200" cy="225425"/>
        </a:xfrm>
        <a:prstGeom prst="rect">
          <a:avLst/>
        </a:prstGeom>
        <a:noFill/>
        <a:ln w="9525">
          <a:noFill/>
          <a:miter lim="800000"/>
          <a:headEnd/>
          <a:tailEnd/>
        </a:ln>
      </xdr:spPr>
    </xdr:sp>
    <xdr:clientData/>
  </xdr:oneCellAnchor>
  <xdr:oneCellAnchor>
    <xdr:from>
      <xdr:col>0</xdr:col>
      <xdr:colOff>685800</xdr:colOff>
      <xdr:row>49</xdr:row>
      <xdr:rowOff>47625</xdr:rowOff>
    </xdr:from>
    <xdr:ext cx="76200" cy="225425"/>
    <xdr:sp macro="" textlink="">
      <xdr:nvSpPr>
        <xdr:cNvPr id="45" name="Text Box 1">
          <a:extLst>
            <a:ext uri="{FF2B5EF4-FFF2-40B4-BE49-F238E27FC236}">
              <a16:creationId xmlns:a16="http://schemas.microsoft.com/office/drawing/2014/main" id="{BC7589E5-39D3-4EE2-9E7F-E8CC24FB99B4}"/>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50</xdr:row>
      <xdr:rowOff>47625</xdr:rowOff>
    </xdr:from>
    <xdr:ext cx="76200" cy="225425"/>
    <xdr:sp macro="" textlink="">
      <xdr:nvSpPr>
        <xdr:cNvPr id="46" name="Text Box 1">
          <a:extLst>
            <a:ext uri="{FF2B5EF4-FFF2-40B4-BE49-F238E27FC236}">
              <a16:creationId xmlns:a16="http://schemas.microsoft.com/office/drawing/2014/main" id="{19C67828-1780-4014-BFBB-12E485D10136}"/>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49</xdr:row>
      <xdr:rowOff>47625</xdr:rowOff>
    </xdr:from>
    <xdr:ext cx="76200" cy="225425"/>
    <xdr:sp macro="" textlink="">
      <xdr:nvSpPr>
        <xdr:cNvPr id="47" name="Text Box 1">
          <a:extLst>
            <a:ext uri="{FF2B5EF4-FFF2-40B4-BE49-F238E27FC236}">
              <a16:creationId xmlns:a16="http://schemas.microsoft.com/office/drawing/2014/main" id="{D0629EC8-B15A-4256-961D-C92EB7EA38DC}"/>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50</xdr:row>
      <xdr:rowOff>47625</xdr:rowOff>
    </xdr:from>
    <xdr:ext cx="76200" cy="225425"/>
    <xdr:sp macro="" textlink="">
      <xdr:nvSpPr>
        <xdr:cNvPr id="48" name="Text Box 1">
          <a:extLst>
            <a:ext uri="{FF2B5EF4-FFF2-40B4-BE49-F238E27FC236}">
              <a16:creationId xmlns:a16="http://schemas.microsoft.com/office/drawing/2014/main" id="{C9690FF3-98E6-42F0-A8CB-B180F91F5BDB}"/>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50</xdr:row>
      <xdr:rowOff>47625</xdr:rowOff>
    </xdr:from>
    <xdr:ext cx="76200" cy="225425"/>
    <xdr:sp macro="" textlink="">
      <xdr:nvSpPr>
        <xdr:cNvPr id="49" name="Text Box 1">
          <a:extLst>
            <a:ext uri="{FF2B5EF4-FFF2-40B4-BE49-F238E27FC236}">
              <a16:creationId xmlns:a16="http://schemas.microsoft.com/office/drawing/2014/main" id="{36EA7FA3-6D74-4DC7-9F86-731C6C5C38C8}"/>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50</xdr:row>
      <xdr:rowOff>47625</xdr:rowOff>
    </xdr:from>
    <xdr:ext cx="76200" cy="225425"/>
    <xdr:sp macro="" textlink="">
      <xdr:nvSpPr>
        <xdr:cNvPr id="50" name="Text Box 1">
          <a:extLst>
            <a:ext uri="{FF2B5EF4-FFF2-40B4-BE49-F238E27FC236}">
              <a16:creationId xmlns:a16="http://schemas.microsoft.com/office/drawing/2014/main" id="{3F419F2D-743A-4542-B6BA-7C87772C992F}"/>
            </a:ext>
          </a:extLst>
        </xdr:cNvPr>
        <xdr:cNvSpPr txBox="1">
          <a:spLocks noChangeArrowheads="1"/>
        </xdr:cNvSpPr>
      </xdr:nvSpPr>
      <xdr:spPr bwMode="auto">
        <a:xfrm>
          <a:off x="685800" y="2985558"/>
          <a:ext cx="76200" cy="225425"/>
        </a:xfrm>
        <a:prstGeom prst="rect">
          <a:avLst/>
        </a:prstGeom>
        <a:noFill/>
        <a:ln w="9525">
          <a:noFill/>
          <a:miter lim="800000"/>
          <a:headEnd/>
          <a:tailEnd/>
        </a:ln>
      </xdr:spPr>
    </xdr:sp>
    <xdr:clientData/>
  </xdr:oneCellAnchor>
  <xdr:oneCellAnchor>
    <xdr:from>
      <xdr:col>0</xdr:col>
      <xdr:colOff>685800</xdr:colOff>
      <xdr:row>54</xdr:row>
      <xdr:rowOff>47625</xdr:rowOff>
    </xdr:from>
    <xdr:ext cx="76200" cy="225425"/>
    <xdr:sp macro="" textlink="">
      <xdr:nvSpPr>
        <xdr:cNvPr id="51" name="Text Box 1">
          <a:extLst>
            <a:ext uri="{FF2B5EF4-FFF2-40B4-BE49-F238E27FC236}">
              <a16:creationId xmlns:a16="http://schemas.microsoft.com/office/drawing/2014/main" id="{8ED67926-1836-4A9C-8F0A-E0222B4F774A}"/>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55</xdr:row>
      <xdr:rowOff>47625</xdr:rowOff>
    </xdr:from>
    <xdr:ext cx="76200" cy="225425"/>
    <xdr:sp macro="" textlink="">
      <xdr:nvSpPr>
        <xdr:cNvPr id="52" name="Text Box 1">
          <a:extLst>
            <a:ext uri="{FF2B5EF4-FFF2-40B4-BE49-F238E27FC236}">
              <a16:creationId xmlns:a16="http://schemas.microsoft.com/office/drawing/2014/main" id="{D5B7511E-8C8B-41F7-BA01-871438429013}"/>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54</xdr:row>
      <xdr:rowOff>47625</xdr:rowOff>
    </xdr:from>
    <xdr:ext cx="76200" cy="225425"/>
    <xdr:sp macro="" textlink="">
      <xdr:nvSpPr>
        <xdr:cNvPr id="53" name="Text Box 1">
          <a:extLst>
            <a:ext uri="{FF2B5EF4-FFF2-40B4-BE49-F238E27FC236}">
              <a16:creationId xmlns:a16="http://schemas.microsoft.com/office/drawing/2014/main" id="{51D85B27-6687-421D-B7EA-A8FD034136D1}"/>
            </a:ext>
          </a:extLst>
        </xdr:cNvPr>
        <xdr:cNvSpPr txBox="1">
          <a:spLocks noChangeArrowheads="1"/>
        </xdr:cNvSpPr>
      </xdr:nvSpPr>
      <xdr:spPr bwMode="auto">
        <a:xfrm>
          <a:off x="685800" y="3696758"/>
          <a:ext cx="76200" cy="225425"/>
        </a:xfrm>
        <a:prstGeom prst="rect">
          <a:avLst/>
        </a:prstGeom>
        <a:noFill/>
        <a:ln w="9525">
          <a:noFill/>
          <a:miter lim="800000"/>
          <a:headEnd/>
          <a:tailEnd/>
        </a:ln>
      </xdr:spPr>
    </xdr:sp>
    <xdr:clientData/>
  </xdr:oneCellAnchor>
  <xdr:oneCellAnchor>
    <xdr:from>
      <xdr:col>0</xdr:col>
      <xdr:colOff>685800</xdr:colOff>
      <xdr:row>55</xdr:row>
      <xdr:rowOff>47625</xdr:rowOff>
    </xdr:from>
    <xdr:ext cx="76200" cy="225425"/>
    <xdr:sp macro="" textlink="">
      <xdr:nvSpPr>
        <xdr:cNvPr id="54" name="Text Box 1">
          <a:extLst>
            <a:ext uri="{FF2B5EF4-FFF2-40B4-BE49-F238E27FC236}">
              <a16:creationId xmlns:a16="http://schemas.microsoft.com/office/drawing/2014/main" id="{A54ABDC0-5BDF-49B2-925F-225E421CF8C0}"/>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55</xdr:row>
      <xdr:rowOff>47625</xdr:rowOff>
    </xdr:from>
    <xdr:ext cx="76200" cy="225425"/>
    <xdr:sp macro="" textlink="">
      <xdr:nvSpPr>
        <xdr:cNvPr id="55" name="Text Box 1">
          <a:extLst>
            <a:ext uri="{FF2B5EF4-FFF2-40B4-BE49-F238E27FC236}">
              <a16:creationId xmlns:a16="http://schemas.microsoft.com/office/drawing/2014/main" id="{44EFA168-D587-49DC-845D-D8F479DAACA0}"/>
            </a:ext>
          </a:extLst>
        </xdr:cNvPr>
        <xdr:cNvSpPr txBox="1">
          <a:spLocks noChangeArrowheads="1"/>
        </xdr:cNvSpPr>
      </xdr:nvSpPr>
      <xdr:spPr bwMode="auto">
        <a:xfrm>
          <a:off x="685800" y="3874558"/>
          <a:ext cx="76200" cy="225425"/>
        </a:xfrm>
        <a:prstGeom prst="rect">
          <a:avLst/>
        </a:prstGeom>
        <a:noFill/>
        <a:ln w="9525">
          <a:noFill/>
          <a:miter lim="800000"/>
          <a:headEnd/>
          <a:tailEnd/>
        </a:ln>
      </xdr:spPr>
    </xdr:sp>
    <xdr:clientData/>
  </xdr:oneCellAnchor>
  <xdr:oneCellAnchor>
    <xdr:from>
      <xdr:col>0</xdr:col>
      <xdr:colOff>685800</xdr:colOff>
      <xdr:row>51</xdr:row>
      <xdr:rowOff>47625</xdr:rowOff>
    </xdr:from>
    <xdr:ext cx="76200" cy="225425"/>
    <xdr:sp macro="" textlink="">
      <xdr:nvSpPr>
        <xdr:cNvPr id="56" name="Text Box 1">
          <a:extLst>
            <a:ext uri="{FF2B5EF4-FFF2-40B4-BE49-F238E27FC236}">
              <a16:creationId xmlns:a16="http://schemas.microsoft.com/office/drawing/2014/main" id="{F7380B2F-1B46-4711-A0FA-9CDCEA347EE2}"/>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51</xdr:row>
      <xdr:rowOff>47625</xdr:rowOff>
    </xdr:from>
    <xdr:ext cx="76200" cy="225425"/>
    <xdr:sp macro="" textlink="">
      <xdr:nvSpPr>
        <xdr:cNvPr id="57" name="Text Box 1">
          <a:extLst>
            <a:ext uri="{FF2B5EF4-FFF2-40B4-BE49-F238E27FC236}">
              <a16:creationId xmlns:a16="http://schemas.microsoft.com/office/drawing/2014/main" id="{393592CC-3E25-4879-86D4-38FF27F5A7B2}"/>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50</xdr:row>
      <xdr:rowOff>47625</xdr:rowOff>
    </xdr:from>
    <xdr:ext cx="76200" cy="225425"/>
    <xdr:sp macro="" textlink="">
      <xdr:nvSpPr>
        <xdr:cNvPr id="58" name="Text Box 1">
          <a:extLst>
            <a:ext uri="{FF2B5EF4-FFF2-40B4-BE49-F238E27FC236}">
              <a16:creationId xmlns:a16="http://schemas.microsoft.com/office/drawing/2014/main" id="{9CEE63EF-A4F4-4C2C-9F35-9E615E704338}"/>
            </a:ext>
          </a:extLst>
        </xdr:cNvPr>
        <xdr:cNvSpPr txBox="1">
          <a:spLocks noChangeArrowheads="1"/>
        </xdr:cNvSpPr>
      </xdr:nvSpPr>
      <xdr:spPr bwMode="auto">
        <a:xfrm>
          <a:off x="685800" y="6363758"/>
          <a:ext cx="76200" cy="225425"/>
        </a:xfrm>
        <a:prstGeom prst="rect">
          <a:avLst/>
        </a:prstGeom>
        <a:noFill/>
        <a:ln w="9525">
          <a:noFill/>
          <a:miter lim="800000"/>
          <a:headEnd/>
          <a:tailEnd/>
        </a:ln>
      </xdr:spPr>
    </xdr:sp>
    <xdr:clientData/>
  </xdr:oneCellAnchor>
  <xdr:oneCellAnchor>
    <xdr:from>
      <xdr:col>0</xdr:col>
      <xdr:colOff>685800</xdr:colOff>
      <xdr:row>51</xdr:row>
      <xdr:rowOff>47625</xdr:rowOff>
    </xdr:from>
    <xdr:ext cx="76200" cy="225425"/>
    <xdr:sp macro="" textlink="">
      <xdr:nvSpPr>
        <xdr:cNvPr id="59" name="Text Box 1">
          <a:extLst>
            <a:ext uri="{FF2B5EF4-FFF2-40B4-BE49-F238E27FC236}">
              <a16:creationId xmlns:a16="http://schemas.microsoft.com/office/drawing/2014/main" id="{4384911E-D1EF-43E0-B8E7-A6C623276ED9}"/>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51</xdr:row>
      <xdr:rowOff>47625</xdr:rowOff>
    </xdr:from>
    <xdr:ext cx="76200" cy="225425"/>
    <xdr:sp macro="" textlink="">
      <xdr:nvSpPr>
        <xdr:cNvPr id="61" name="Text Box 1">
          <a:extLst>
            <a:ext uri="{FF2B5EF4-FFF2-40B4-BE49-F238E27FC236}">
              <a16:creationId xmlns:a16="http://schemas.microsoft.com/office/drawing/2014/main" id="{37E8AD88-A341-4C9C-A0A9-35EF575ED87D}"/>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51</xdr:row>
      <xdr:rowOff>47625</xdr:rowOff>
    </xdr:from>
    <xdr:ext cx="76200" cy="225425"/>
    <xdr:sp macro="" textlink="">
      <xdr:nvSpPr>
        <xdr:cNvPr id="62" name="Text Box 1">
          <a:extLst>
            <a:ext uri="{FF2B5EF4-FFF2-40B4-BE49-F238E27FC236}">
              <a16:creationId xmlns:a16="http://schemas.microsoft.com/office/drawing/2014/main" id="{849F656C-06D5-4270-9985-7C9D5356DDF5}"/>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51</xdr:row>
      <xdr:rowOff>47625</xdr:rowOff>
    </xdr:from>
    <xdr:ext cx="76200" cy="225425"/>
    <xdr:sp macro="" textlink="">
      <xdr:nvSpPr>
        <xdr:cNvPr id="63" name="Text Box 1">
          <a:extLst>
            <a:ext uri="{FF2B5EF4-FFF2-40B4-BE49-F238E27FC236}">
              <a16:creationId xmlns:a16="http://schemas.microsoft.com/office/drawing/2014/main" id="{48BA208D-B031-481C-A2BC-CCF21C4E720F}"/>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55</xdr:row>
      <xdr:rowOff>47625</xdr:rowOff>
    </xdr:from>
    <xdr:ext cx="76200" cy="225425"/>
    <xdr:sp macro="" textlink="">
      <xdr:nvSpPr>
        <xdr:cNvPr id="64" name="Text Box 1">
          <a:extLst>
            <a:ext uri="{FF2B5EF4-FFF2-40B4-BE49-F238E27FC236}">
              <a16:creationId xmlns:a16="http://schemas.microsoft.com/office/drawing/2014/main" id="{764D16D9-53D9-4F33-861E-5D246D67EB40}"/>
            </a:ext>
          </a:extLst>
        </xdr:cNvPr>
        <xdr:cNvSpPr txBox="1">
          <a:spLocks noChangeArrowheads="1"/>
        </xdr:cNvSpPr>
      </xdr:nvSpPr>
      <xdr:spPr bwMode="auto">
        <a:xfrm>
          <a:off x="685800" y="7252758"/>
          <a:ext cx="76200" cy="225425"/>
        </a:xfrm>
        <a:prstGeom prst="rect">
          <a:avLst/>
        </a:prstGeom>
        <a:noFill/>
        <a:ln w="9525">
          <a:noFill/>
          <a:miter lim="800000"/>
          <a:headEnd/>
          <a:tailEnd/>
        </a:ln>
      </xdr:spPr>
    </xdr:sp>
    <xdr:clientData/>
  </xdr:oneCellAnchor>
  <xdr:oneCellAnchor>
    <xdr:from>
      <xdr:col>0</xdr:col>
      <xdr:colOff>685800</xdr:colOff>
      <xdr:row>55</xdr:row>
      <xdr:rowOff>47625</xdr:rowOff>
    </xdr:from>
    <xdr:ext cx="76200" cy="225425"/>
    <xdr:sp macro="" textlink="">
      <xdr:nvSpPr>
        <xdr:cNvPr id="65" name="Text Box 1">
          <a:extLst>
            <a:ext uri="{FF2B5EF4-FFF2-40B4-BE49-F238E27FC236}">
              <a16:creationId xmlns:a16="http://schemas.microsoft.com/office/drawing/2014/main" id="{D61B2C2C-79D0-44C2-8513-B5D219A0EE34}"/>
            </a:ext>
          </a:extLst>
        </xdr:cNvPr>
        <xdr:cNvSpPr txBox="1">
          <a:spLocks noChangeArrowheads="1"/>
        </xdr:cNvSpPr>
      </xdr:nvSpPr>
      <xdr:spPr bwMode="auto">
        <a:xfrm>
          <a:off x="685800" y="7252758"/>
          <a:ext cx="76200" cy="225425"/>
        </a:xfrm>
        <a:prstGeom prst="rect">
          <a:avLst/>
        </a:prstGeom>
        <a:noFill/>
        <a:ln w="9525">
          <a:noFill/>
          <a:miter lim="800000"/>
          <a:headEnd/>
          <a:tailEnd/>
        </a:ln>
      </xdr:spPr>
    </xdr:sp>
    <xdr:clientData/>
  </xdr:oneCellAnchor>
  <xdr:oneCellAnchor>
    <xdr:from>
      <xdr:col>0</xdr:col>
      <xdr:colOff>685800</xdr:colOff>
      <xdr:row>57</xdr:row>
      <xdr:rowOff>47625</xdr:rowOff>
    </xdr:from>
    <xdr:ext cx="76200" cy="225425"/>
    <xdr:sp macro="" textlink="">
      <xdr:nvSpPr>
        <xdr:cNvPr id="66" name="Text Box 1">
          <a:extLst>
            <a:ext uri="{FF2B5EF4-FFF2-40B4-BE49-F238E27FC236}">
              <a16:creationId xmlns:a16="http://schemas.microsoft.com/office/drawing/2014/main" id="{8ADD1F6C-51E3-4903-9855-048D822908AB}"/>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57</xdr:row>
      <xdr:rowOff>47625</xdr:rowOff>
    </xdr:from>
    <xdr:ext cx="76200" cy="225425"/>
    <xdr:sp macro="" textlink="">
      <xdr:nvSpPr>
        <xdr:cNvPr id="67" name="Text Box 1">
          <a:extLst>
            <a:ext uri="{FF2B5EF4-FFF2-40B4-BE49-F238E27FC236}">
              <a16:creationId xmlns:a16="http://schemas.microsoft.com/office/drawing/2014/main" id="{AA4D6262-B3BF-4794-A70D-49DE439EF6E0}"/>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56</xdr:row>
      <xdr:rowOff>47625</xdr:rowOff>
    </xdr:from>
    <xdr:ext cx="76200" cy="225425"/>
    <xdr:sp macro="" textlink="">
      <xdr:nvSpPr>
        <xdr:cNvPr id="68" name="Text Box 1">
          <a:extLst>
            <a:ext uri="{FF2B5EF4-FFF2-40B4-BE49-F238E27FC236}">
              <a16:creationId xmlns:a16="http://schemas.microsoft.com/office/drawing/2014/main" id="{9CFAFD68-E47E-4DCF-AC33-F7ED9D6EAC38}"/>
            </a:ext>
          </a:extLst>
        </xdr:cNvPr>
        <xdr:cNvSpPr txBox="1">
          <a:spLocks noChangeArrowheads="1"/>
        </xdr:cNvSpPr>
      </xdr:nvSpPr>
      <xdr:spPr bwMode="auto">
        <a:xfrm>
          <a:off x="685800" y="6363758"/>
          <a:ext cx="76200" cy="225425"/>
        </a:xfrm>
        <a:prstGeom prst="rect">
          <a:avLst/>
        </a:prstGeom>
        <a:noFill/>
        <a:ln w="9525">
          <a:noFill/>
          <a:miter lim="800000"/>
          <a:headEnd/>
          <a:tailEnd/>
        </a:ln>
      </xdr:spPr>
    </xdr:sp>
    <xdr:clientData/>
  </xdr:oneCellAnchor>
  <xdr:oneCellAnchor>
    <xdr:from>
      <xdr:col>0</xdr:col>
      <xdr:colOff>685800</xdr:colOff>
      <xdr:row>57</xdr:row>
      <xdr:rowOff>47625</xdr:rowOff>
    </xdr:from>
    <xdr:ext cx="76200" cy="225425"/>
    <xdr:sp macro="" textlink="">
      <xdr:nvSpPr>
        <xdr:cNvPr id="69" name="Text Box 1">
          <a:extLst>
            <a:ext uri="{FF2B5EF4-FFF2-40B4-BE49-F238E27FC236}">
              <a16:creationId xmlns:a16="http://schemas.microsoft.com/office/drawing/2014/main" id="{079F376D-158B-46F1-8F22-0B149A24A7DC}"/>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56</xdr:row>
      <xdr:rowOff>47625</xdr:rowOff>
    </xdr:from>
    <xdr:ext cx="76200" cy="225425"/>
    <xdr:sp macro="" textlink="">
      <xdr:nvSpPr>
        <xdr:cNvPr id="70" name="Text Box 1">
          <a:extLst>
            <a:ext uri="{FF2B5EF4-FFF2-40B4-BE49-F238E27FC236}">
              <a16:creationId xmlns:a16="http://schemas.microsoft.com/office/drawing/2014/main" id="{0B2070A8-71A1-4E97-86FA-E5F1BABAD8DE}"/>
            </a:ext>
          </a:extLst>
        </xdr:cNvPr>
        <xdr:cNvSpPr txBox="1">
          <a:spLocks noChangeArrowheads="1"/>
        </xdr:cNvSpPr>
      </xdr:nvSpPr>
      <xdr:spPr bwMode="auto">
        <a:xfrm>
          <a:off x="685800" y="6363758"/>
          <a:ext cx="76200" cy="225425"/>
        </a:xfrm>
        <a:prstGeom prst="rect">
          <a:avLst/>
        </a:prstGeom>
        <a:noFill/>
        <a:ln w="9525">
          <a:noFill/>
          <a:miter lim="800000"/>
          <a:headEnd/>
          <a:tailEnd/>
        </a:ln>
      </xdr:spPr>
    </xdr:sp>
    <xdr:clientData/>
  </xdr:oneCellAnchor>
  <xdr:oneCellAnchor>
    <xdr:from>
      <xdr:col>0</xdr:col>
      <xdr:colOff>685800</xdr:colOff>
      <xdr:row>57</xdr:row>
      <xdr:rowOff>47625</xdr:rowOff>
    </xdr:from>
    <xdr:ext cx="76200" cy="225425"/>
    <xdr:sp macro="" textlink="">
      <xdr:nvSpPr>
        <xdr:cNvPr id="71" name="Text Box 1">
          <a:extLst>
            <a:ext uri="{FF2B5EF4-FFF2-40B4-BE49-F238E27FC236}">
              <a16:creationId xmlns:a16="http://schemas.microsoft.com/office/drawing/2014/main" id="{EFDBA12C-EECC-4498-A3F1-227DC5792195}"/>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57</xdr:row>
      <xdr:rowOff>47625</xdr:rowOff>
    </xdr:from>
    <xdr:ext cx="76200" cy="225425"/>
    <xdr:sp macro="" textlink="">
      <xdr:nvSpPr>
        <xdr:cNvPr id="72" name="Text Box 1">
          <a:extLst>
            <a:ext uri="{FF2B5EF4-FFF2-40B4-BE49-F238E27FC236}">
              <a16:creationId xmlns:a16="http://schemas.microsoft.com/office/drawing/2014/main" id="{B99D8BA2-8795-4E92-8B4C-76AED0015A5D}"/>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57</xdr:row>
      <xdr:rowOff>47625</xdr:rowOff>
    </xdr:from>
    <xdr:ext cx="76200" cy="225425"/>
    <xdr:sp macro="" textlink="">
      <xdr:nvSpPr>
        <xdr:cNvPr id="73" name="Text Box 1">
          <a:extLst>
            <a:ext uri="{FF2B5EF4-FFF2-40B4-BE49-F238E27FC236}">
              <a16:creationId xmlns:a16="http://schemas.microsoft.com/office/drawing/2014/main" id="{1FDCB6F4-985B-4A86-B99E-02F6AB337DF0}"/>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60</xdr:row>
      <xdr:rowOff>47625</xdr:rowOff>
    </xdr:from>
    <xdr:ext cx="76200" cy="225425"/>
    <xdr:sp macro="" textlink="">
      <xdr:nvSpPr>
        <xdr:cNvPr id="74"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7252758"/>
          <a:ext cx="76200" cy="225425"/>
        </a:xfrm>
        <a:prstGeom prst="rect">
          <a:avLst/>
        </a:prstGeom>
        <a:noFill/>
        <a:ln w="9525">
          <a:noFill/>
          <a:miter lim="800000"/>
          <a:headEnd/>
          <a:tailEnd/>
        </a:ln>
      </xdr:spPr>
    </xdr:sp>
    <xdr:clientData/>
  </xdr:oneCellAnchor>
  <xdr:oneCellAnchor>
    <xdr:from>
      <xdr:col>0</xdr:col>
      <xdr:colOff>685800</xdr:colOff>
      <xdr:row>60</xdr:row>
      <xdr:rowOff>47625</xdr:rowOff>
    </xdr:from>
    <xdr:ext cx="76200" cy="225425"/>
    <xdr:sp macro="" textlink="">
      <xdr:nvSpPr>
        <xdr:cNvPr id="75"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7252758"/>
          <a:ext cx="76200" cy="225425"/>
        </a:xfrm>
        <a:prstGeom prst="rect">
          <a:avLst/>
        </a:prstGeom>
        <a:noFill/>
        <a:ln w="9525">
          <a:noFill/>
          <a:miter lim="800000"/>
          <a:headEnd/>
          <a:tailEnd/>
        </a:ln>
      </xdr:spPr>
    </xdr:sp>
    <xdr:clientData/>
  </xdr:oneCellAnchor>
  <xdr:oneCellAnchor>
    <xdr:from>
      <xdr:col>0</xdr:col>
      <xdr:colOff>685800</xdr:colOff>
      <xdr:row>64</xdr:row>
      <xdr:rowOff>47625</xdr:rowOff>
    </xdr:from>
    <xdr:ext cx="76200" cy="225425"/>
    <xdr:sp macro="" textlink="">
      <xdr:nvSpPr>
        <xdr:cNvPr id="76" name="Text Box 1">
          <a:extLst>
            <a:ext uri="{FF2B5EF4-FFF2-40B4-BE49-F238E27FC236}">
              <a16:creationId xmlns:a16="http://schemas.microsoft.com/office/drawing/2014/main" id="{77A40FE3-BA98-432A-9144-369906945C56}"/>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64</xdr:row>
      <xdr:rowOff>47625</xdr:rowOff>
    </xdr:from>
    <xdr:ext cx="76200" cy="225425"/>
    <xdr:sp macro="" textlink="">
      <xdr:nvSpPr>
        <xdr:cNvPr id="77" name="Text Box 1">
          <a:extLst>
            <a:ext uri="{FF2B5EF4-FFF2-40B4-BE49-F238E27FC236}">
              <a16:creationId xmlns:a16="http://schemas.microsoft.com/office/drawing/2014/main" id="{CD78582C-CF4B-4E6A-B104-5776AF47F69B}"/>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63</xdr:row>
      <xdr:rowOff>47625</xdr:rowOff>
    </xdr:from>
    <xdr:ext cx="76200" cy="225425"/>
    <xdr:sp macro="" textlink="">
      <xdr:nvSpPr>
        <xdr:cNvPr id="78" name="Text Box 1">
          <a:extLst>
            <a:ext uri="{FF2B5EF4-FFF2-40B4-BE49-F238E27FC236}">
              <a16:creationId xmlns:a16="http://schemas.microsoft.com/office/drawing/2014/main" id="{FBF39EC7-56C3-4C0F-A5F4-C2F9A1584049}"/>
            </a:ext>
          </a:extLst>
        </xdr:cNvPr>
        <xdr:cNvSpPr txBox="1">
          <a:spLocks noChangeArrowheads="1"/>
        </xdr:cNvSpPr>
      </xdr:nvSpPr>
      <xdr:spPr bwMode="auto">
        <a:xfrm>
          <a:off x="685800" y="6363758"/>
          <a:ext cx="76200" cy="225425"/>
        </a:xfrm>
        <a:prstGeom prst="rect">
          <a:avLst/>
        </a:prstGeom>
        <a:noFill/>
        <a:ln w="9525">
          <a:noFill/>
          <a:miter lim="800000"/>
          <a:headEnd/>
          <a:tailEnd/>
        </a:ln>
      </xdr:spPr>
    </xdr:sp>
    <xdr:clientData/>
  </xdr:oneCellAnchor>
  <xdr:oneCellAnchor>
    <xdr:from>
      <xdr:col>0</xdr:col>
      <xdr:colOff>685800</xdr:colOff>
      <xdr:row>64</xdr:row>
      <xdr:rowOff>47625</xdr:rowOff>
    </xdr:from>
    <xdr:ext cx="76200" cy="225425"/>
    <xdr:sp macro="" textlink="">
      <xdr:nvSpPr>
        <xdr:cNvPr id="79" name="Text Box 1">
          <a:extLst>
            <a:ext uri="{FF2B5EF4-FFF2-40B4-BE49-F238E27FC236}">
              <a16:creationId xmlns:a16="http://schemas.microsoft.com/office/drawing/2014/main" id="{BE49283B-F82C-4A09-BEFC-7FA71D18A443}"/>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63</xdr:row>
      <xdr:rowOff>47625</xdr:rowOff>
    </xdr:from>
    <xdr:ext cx="76200" cy="225425"/>
    <xdr:sp macro="" textlink="">
      <xdr:nvSpPr>
        <xdr:cNvPr id="80" name="Text Box 1">
          <a:extLst>
            <a:ext uri="{FF2B5EF4-FFF2-40B4-BE49-F238E27FC236}">
              <a16:creationId xmlns:a16="http://schemas.microsoft.com/office/drawing/2014/main" id="{97A19121-1A0E-4416-A1C1-6CBB6CD62E3E}"/>
            </a:ext>
          </a:extLst>
        </xdr:cNvPr>
        <xdr:cNvSpPr txBox="1">
          <a:spLocks noChangeArrowheads="1"/>
        </xdr:cNvSpPr>
      </xdr:nvSpPr>
      <xdr:spPr bwMode="auto">
        <a:xfrm>
          <a:off x="685800" y="6363758"/>
          <a:ext cx="76200" cy="225425"/>
        </a:xfrm>
        <a:prstGeom prst="rect">
          <a:avLst/>
        </a:prstGeom>
        <a:noFill/>
        <a:ln w="9525">
          <a:noFill/>
          <a:miter lim="800000"/>
          <a:headEnd/>
          <a:tailEnd/>
        </a:ln>
      </xdr:spPr>
    </xdr:sp>
    <xdr:clientData/>
  </xdr:oneCellAnchor>
  <xdr:oneCellAnchor>
    <xdr:from>
      <xdr:col>0</xdr:col>
      <xdr:colOff>685800</xdr:colOff>
      <xdr:row>64</xdr:row>
      <xdr:rowOff>47625</xdr:rowOff>
    </xdr:from>
    <xdr:ext cx="76200" cy="225425"/>
    <xdr:sp macro="" textlink="">
      <xdr:nvSpPr>
        <xdr:cNvPr id="81" name="Text Box 1">
          <a:extLst>
            <a:ext uri="{FF2B5EF4-FFF2-40B4-BE49-F238E27FC236}">
              <a16:creationId xmlns:a16="http://schemas.microsoft.com/office/drawing/2014/main" id="{206B0AE8-413C-411F-A773-F3877EF93172}"/>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64</xdr:row>
      <xdr:rowOff>47625</xdr:rowOff>
    </xdr:from>
    <xdr:ext cx="76200" cy="225425"/>
    <xdr:sp macro="" textlink="">
      <xdr:nvSpPr>
        <xdr:cNvPr id="82" name="Text Box 1">
          <a:extLst>
            <a:ext uri="{FF2B5EF4-FFF2-40B4-BE49-F238E27FC236}">
              <a16:creationId xmlns:a16="http://schemas.microsoft.com/office/drawing/2014/main" id="{FD302B4A-D1A2-492C-8D77-38D4819C61AC}"/>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64</xdr:row>
      <xdr:rowOff>47625</xdr:rowOff>
    </xdr:from>
    <xdr:ext cx="76200" cy="225425"/>
    <xdr:sp macro="" textlink="">
      <xdr:nvSpPr>
        <xdr:cNvPr id="83" name="Text Box 1">
          <a:extLst>
            <a:ext uri="{FF2B5EF4-FFF2-40B4-BE49-F238E27FC236}">
              <a16:creationId xmlns:a16="http://schemas.microsoft.com/office/drawing/2014/main" id="{345DE4F1-090C-4792-8966-DD7D2F834A88}"/>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68</xdr:row>
      <xdr:rowOff>47625</xdr:rowOff>
    </xdr:from>
    <xdr:ext cx="76200" cy="225425"/>
    <xdr:sp macro="" textlink="">
      <xdr:nvSpPr>
        <xdr:cNvPr id="84" name="Text Box 1">
          <a:extLst>
            <a:ext uri="{FF2B5EF4-FFF2-40B4-BE49-F238E27FC236}">
              <a16:creationId xmlns:a16="http://schemas.microsoft.com/office/drawing/2014/main" id="{10BDD917-9F58-48FE-8532-25A57ED88B18}"/>
            </a:ext>
          </a:extLst>
        </xdr:cNvPr>
        <xdr:cNvSpPr txBox="1">
          <a:spLocks noChangeArrowheads="1"/>
        </xdr:cNvSpPr>
      </xdr:nvSpPr>
      <xdr:spPr bwMode="auto">
        <a:xfrm>
          <a:off x="685800" y="7252758"/>
          <a:ext cx="76200" cy="225425"/>
        </a:xfrm>
        <a:prstGeom prst="rect">
          <a:avLst/>
        </a:prstGeom>
        <a:noFill/>
        <a:ln w="9525">
          <a:noFill/>
          <a:miter lim="800000"/>
          <a:headEnd/>
          <a:tailEnd/>
        </a:ln>
      </xdr:spPr>
    </xdr:sp>
    <xdr:clientData/>
  </xdr:oneCellAnchor>
  <xdr:oneCellAnchor>
    <xdr:from>
      <xdr:col>0</xdr:col>
      <xdr:colOff>685800</xdr:colOff>
      <xdr:row>68</xdr:row>
      <xdr:rowOff>47625</xdr:rowOff>
    </xdr:from>
    <xdr:ext cx="76200" cy="225425"/>
    <xdr:sp macro="" textlink="">
      <xdr:nvSpPr>
        <xdr:cNvPr id="85" name="Text Box 1">
          <a:extLst>
            <a:ext uri="{FF2B5EF4-FFF2-40B4-BE49-F238E27FC236}">
              <a16:creationId xmlns:a16="http://schemas.microsoft.com/office/drawing/2014/main" id="{50116DB6-DD32-46C9-AE00-28EC07769051}"/>
            </a:ext>
          </a:extLst>
        </xdr:cNvPr>
        <xdr:cNvSpPr txBox="1">
          <a:spLocks noChangeArrowheads="1"/>
        </xdr:cNvSpPr>
      </xdr:nvSpPr>
      <xdr:spPr bwMode="auto">
        <a:xfrm>
          <a:off x="685800" y="7252758"/>
          <a:ext cx="76200" cy="225425"/>
        </a:xfrm>
        <a:prstGeom prst="rect">
          <a:avLst/>
        </a:prstGeom>
        <a:noFill/>
        <a:ln w="9525">
          <a:noFill/>
          <a:miter lim="800000"/>
          <a:headEnd/>
          <a:tailEnd/>
        </a:ln>
      </xdr:spPr>
    </xdr:sp>
    <xdr:clientData/>
  </xdr:oneCellAnchor>
  <xdr:oneCellAnchor>
    <xdr:from>
      <xdr:col>0</xdr:col>
      <xdr:colOff>685800</xdr:colOff>
      <xdr:row>70</xdr:row>
      <xdr:rowOff>47625</xdr:rowOff>
    </xdr:from>
    <xdr:ext cx="76200" cy="225425"/>
    <xdr:sp macro="" textlink="">
      <xdr:nvSpPr>
        <xdr:cNvPr id="86" name="Text Box 1">
          <a:extLst>
            <a:ext uri="{FF2B5EF4-FFF2-40B4-BE49-F238E27FC236}">
              <a16:creationId xmlns:a16="http://schemas.microsoft.com/office/drawing/2014/main" id="{261CD0C4-92EA-43E1-8EAE-40A0C9018CC2}"/>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70</xdr:row>
      <xdr:rowOff>47625</xdr:rowOff>
    </xdr:from>
    <xdr:ext cx="76200" cy="225425"/>
    <xdr:sp macro="" textlink="">
      <xdr:nvSpPr>
        <xdr:cNvPr id="87" name="Text Box 1">
          <a:extLst>
            <a:ext uri="{FF2B5EF4-FFF2-40B4-BE49-F238E27FC236}">
              <a16:creationId xmlns:a16="http://schemas.microsoft.com/office/drawing/2014/main" id="{FDF125EC-4DBB-42E0-AC95-1082430E24AA}"/>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69</xdr:row>
      <xdr:rowOff>47625</xdr:rowOff>
    </xdr:from>
    <xdr:ext cx="76200" cy="225425"/>
    <xdr:sp macro="" textlink="">
      <xdr:nvSpPr>
        <xdr:cNvPr id="88" name="Text Box 1">
          <a:extLst>
            <a:ext uri="{FF2B5EF4-FFF2-40B4-BE49-F238E27FC236}">
              <a16:creationId xmlns:a16="http://schemas.microsoft.com/office/drawing/2014/main" id="{5DA08EFC-49B5-4332-BAC3-DA460209BF69}"/>
            </a:ext>
          </a:extLst>
        </xdr:cNvPr>
        <xdr:cNvSpPr txBox="1">
          <a:spLocks noChangeArrowheads="1"/>
        </xdr:cNvSpPr>
      </xdr:nvSpPr>
      <xdr:spPr bwMode="auto">
        <a:xfrm>
          <a:off x="685800" y="6363758"/>
          <a:ext cx="76200" cy="225425"/>
        </a:xfrm>
        <a:prstGeom prst="rect">
          <a:avLst/>
        </a:prstGeom>
        <a:noFill/>
        <a:ln w="9525">
          <a:noFill/>
          <a:miter lim="800000"/>
          <a:headEnd/>
          <a:tailEnd/>
        </a:ln>
      </xdr:spPr>
    </xdr:sp>
    <xdr:clientData/>
  </xdr:oneCellAnchor>
  <xdr:oneCellAnchor>
    <xdr:from>
      <xdr:col>0</xdr:col>
      <xdr:colOff>685800</xdr:colOff>
      <xdr:row>70</xdr:row>
      <xdr:rowOff>47625</xdr:rowOff>
    </xdr:from>
    <xdr:ext cx="76200" cy="225425"/>
    <xdr:sp macro="" textlink="">
      <xdr:nvSpPr>
        <xdr:cNvPr id="89" name="Text Box 1">
          <a:extLst>
            <a:ext uri="{FF2B5EF4-FFF2-40B4-BE49-F238E27FC236}">
              <a16:creationId xmlns:a16="http://schemas.microsoft.com/office/drawing/2014/main" id="{4BAF9CD9-648B-46F1-ABA3-E90CB176E428}"/>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69</xdr:row>
      <xdr:rowOff>47625</xdr:rowOff>
    </xdr:from>
    <xdr:ext cx="76200" cy="225425"/>
    <xdr:sp macro="" textlink="">
      <xdr:nvSpPr>
        <xdr:cNvPr id="90" name="Text Box 1">
          <a:extLst>
            <a:ext uri="{FF2B5EF4-FFF2-40B4-BE49-F238E27FC236}">
              <a16:creationId xmlns:a16="http://schemas.microsoft.com/office/drawing/2014/main" id="{33476C30-8DE8-4594-B4F2-2842CA1D8CE4}"/>
            </a:ext>
          </a:extLst>
        </xdr:cNvPr>
        <xdr:cNvSpPr txBox="1">
          <a:spLocks noChangeArrowheads="1"/>
        </xdr:cNvSpPr>
      </xdr:nvSpPr>
      <xdr:spPr bwMode="auto">
        <a:xfrm>
          <a:off x="685800" y="6363758"/>
          <a:ext cx="76200" cy="225425"/>
        </a:xfrm>
        <a:prstGeom prst="rect">
          <a:avLst/>
        </a:prstGeom>
        <a:noFill/>
        <a:ln w="9525">
          <a:noFill/>
          <a:miter lim="800000"/>
          <a:headEnd/>
          <a:tailEnd/>
        </a:ln>
      </xdr:spPr>
    </xdr:sp>
    <xdr:clientData/>
  </xdr:oneCellAnchor>
  <xdr:oneCellAnchor>
    <xdr:from>
      <xdr:col>0</xdr:col>
      <xdr:colOff>685800</xdr:colOff>
      <xdr:row>70</xdr:row>
      <xdr:rowOff>47625</xdr:rowOff>
    </xdr:from>
    <xdr:ext cx="76200" cy="225425"/>
    <xdr:sp macro="" textlink="">
      <xdr:nvSpPr>
        <xdr:cNvPr id="91" name="Text Box 1">
          <a:extLst>
            <a:ext uri="{FF2B5EF4-FFF2-40B4-BE49-F238E27FC236}">
              <a16:creationId xmlns:a16="http://schemas.microsoft.com/office/drawing/2014/main" id="{A1B21AF4-7785-4D61-84C4-C28F0C61BFA0}"/>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70</xdr:row>
      <xdr:rowOff>47625</xdr:rowOff>
    </xdr:from>
    <xdr:ext cx="76200" cy="225425"/>
    <xdr:sp macro="" textlink="">
      <xdr:nvSpPr>
        <xdr:cNvPr id="92" name="Text Box 1">
          <a:extLst>
            <a:ext uri="{FF2B5EF4-FFF2-40B4-BE49-F238E27FC236}">
              <a16:creationId xmlns:a16="http://schemas.microsoft.com/office/drawing/2014/main" id="{A818DB94-5767-4753-8163-2276696F2B04}"/>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70</xdr:row>
      <xdr:rowOff>47625</xdr:rowOff>
    </xdr:from>
    <xdr:ext cx="76200" cy="225425"/>
    <xdr:sp macro="" textlink="">
      <xdr:nvSpPr>
        <xdr:cNvPr id="93" name="Text Box 1">
          <a:extLst>
            <a:ext uri="{FF2B5EF4-FFF2-40B4-BE49-F238E27FC236}">
              <a16:creationId xmlns:a16="http://schemas.microsoft.com/office/drawing/2014/main" id="{2C53B55D-D71B-4244-99E6-417556128731}"/>
            </a:ext>
          </a:extLst>
        </xdr:cNvPr>
        <xdr:cNvSpPr txBox="1">
          <a:spLocks noChangeArrowheads="1"/>
        </xdr:cNvSpPr>
      </xdr:nvSpPr>
      <xdr:spPr bwMode="auto">
        <a:xfrm>
          <a:off x="685800" y="6541558"/>
          <a:ext cx="76200" cy="225425"/>
        </a:xfrm>
        <a:prstGeom prst="rect">
          <a:avLst/>
        </a:prstGeom>
        <a:noFill/>
        <a:ln w="9525">
          <a:noFill/>
          <a:miter lim="800000"/>
          <a:headEnd/>
          <a:tailEnd/>
        </a:ln>
      </xdr:spPr>
    </xdr:sp>
    <xdr:clientData/>
  </xdr:oneCellAnchor>
  <xdr:oneCellAnchor>
    <xdr:from>
      <xdr:col>0</xdr:col>
      <xdr:colOff>685800</xdr:colOff>
      <xdr:row>74</xdr:row>
      <xdr:rowOff>47625</xdr:rowOff>
    </xdr:from>
    <xdr:ext cx="76200" cy="225425"/>
    <xdr:sp macro="" textlink="">
      <xdr:nvSpPr>
        <xdr:cNvPr id="94" name="Text Box 1">
          <a:extLst>
            <a:ext uri="{FF2B5EF4-FFF2-40B4-BE49-F238E27FC236}">
              <a16:creationId xmlns:a16="http://schemas.microsoft.com/office/drawing/2014/main" id="{7DD0D7EA-7D07-4628-AEDD-F832EE521F80}"/>
            </a:ext>
          </a:extLst>
        </xdr:cNvPr>
        <xdr:cNvSpPr txBox="1">
          <a:spLocks noChangeArrowheads="1"/>
        </xdr:cNvSpPr>
      </xdr:nvSpPr>
      <xdr:spPr bwMode="auto">
        <a:xfrm>
          <a:off x="685800" y="7252758"/>
          <a:ext cx="76200" cy="225425"/>
        </a:xfrm>
        <a:prstGeom prst="rect">
          <a:avLst/>
        </a:prstGeom>
        <a:noFill/>
        <a:ln w="9525">
          <a:noFill/>
          <a:miter lim="800000"/>
          <a:headEnd/>
          <a:tailEnd/>
        </a:ln>
      </xdr:spPr>
    </xdr:sp>
    <xdr:clientData/>
  </xdr:oneCellAnchor>
  <xdr:oneCellAnchor>
    <xdr:from>
      <xdr:col>0</xdr:col>
      <xdr:colOff>685800</xdr:colOff>
      <xdr:row>74</xdr:row>
      <xdr:rowOff>47625</xdr:rowOff>
    </xdr:from>
    <xdr:ext cx="76200" cy="225425"/>
    <xdr:sp macro="" textlink="">
      <xdr:nvSpPr>
        <xdr:cNvPr id="95" name="Text Box 1">
          <a:extLst>
            <a:ext uri="{FF2B5EF4-FFF2-40B4-BE49-F238E27FC236}">
              <a16:creationId xmlns:a16="http://schemas.microsoft.com/office/drawing/2014/main" id="{E4FE42AA-C249-4998-860F-8A25FF6ABEF2}"/>
            </a:ext>
          </a:extLst>
        </xdr:cNvPr>
        <xdr:cNvSpPr txBox="1">
          <a:spLocks noChangeArrowheads="1"/>
        </xdr:cNvSpPr>
      </xdr:nvSpPr>
      <xdr:spPr bwMode="auto">
        <a:xfrm>
          <a:off x="685800" y="7252758"/>
          <a:ext cx="76200" cy="225425"/>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5425"/>
    <xdr:sp macro="" textlink="">
      <xdr:nvSpPr>
        <xdr:cNvPr id="96" name="Text Box 1">
          <a:extLst>
            <a:ext uri="{FF2B5EF4-FFF2-40B4-BE49-F238E27FC236}">
              <a16:creationId xmlns:a16="http://schemas.microsoft.com/office/drawing/2014/main" id="{D924FD01-C8E3-4A25-8463-2BC7CF5CD9F3}"/>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5425"/>
    <xdr:sp macro="" textlink="">
      <xdr:nvSpPr>
        <xdr:cNvPr id="97" name="Text Box 1">
          <a:extLst>
            <a:ext uri="{FF2B5EF4-FFF2-40B4-BE49-F238E27FC236}">
              <a16:creationId xmlns:a16="http://schemas.microsoft.com/office/drawing/2014/main" id="{3B566C36-4ED3-4B5A-93C8-606AE3628D1D}"/>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5425"/>
    <xdr:sp macro="" textlink="">
      <xdr:nvSpPr>
        <xdr:cNvPr id="98" name="Text Box 1">
          <a:extLst>
            <a:ext uri="{FF2B5EF4-FFF2-40B4-BE49-F238E27FC236}">
              <a16:creationId xmlns:a16="http://schemas.microsoft.com/office/drawing/2014/main" id="{14A47F83-66E3-4B76-B659-6DA42E25EC60}"/>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5425"/>
    <xdr:sp macro="" textlink="">
      <xdr:nvSpPr>
        <xdr:cNvPr id="99" name="Text Box 1">
          <a:extLst>
            <a:ext uri="{FF2B5EF4-FFF2-40B4-BE49-F238E27FC236}">
              <a16:creationId xmlns:a16="http://schemas.microsoft.com/office/drawing/2014/main" id="{B7157354-153C-41EF-A06F-A5F1D13A75D0}"/>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5425"/>
    <xdr:sp macro="" textlink="">
      <xdr:nvSpPr>
        <xdr:cNvPr id="100" name="Text Box 1">
          <a:extLst>
            <a:ext uri="{FF2B5EF4-FFF2-40B4-BE49-F238E27FC236}">
              <a16:creationId xmlns:a16="http://schemas.microsoft.com/office/drawing/2014/main" id="{F38628F6-F2C7-4235-8540-873B6210E4BA}"/>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5425"/>
    <xdr:sp macro="" textlink="">
      <xdr:nvSpPr>
        <xdr:cNvPr id="101" name="Text Box 1">
          <a:extLst>
            <a:ext uri="{FF2B5EF4-FFF2-40B4-BE49-F238E27FC236}">
              <a16:creationId xmlns:a16="http://schemas.microsoft.com/office/drawing/2014/main" id="{A9DDD82E-FC96-435F-BCCB-A18A51E8D465}"/>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74</xdr:row>
      <xdr:rowOff>47625</xdr:rowOff>
    </xdr:from>
    <xdr:ext cx="76200" cy="225425"/>
    <xdr:sp macro="" textlink="">
      <xdr:nvSpPr>
        <xdr:cNvPr id="102" name="Text Box 1">
          <a:extLst>
            <a:ext uri="{FF2B5EF4-FFF2-40B4-BE49-F238E27FC236}">
              <a16:creationId xmlns:a16="http://schemas.microsoft.com/office/drawing/2014/main" id="{971E0CB3-15BA-41DD-8D9B-B1C66C9474BA}"/>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74</xdr:row>
      <xdr:rowOff>47625</xdr:rowOff>
    </xdr:from>
    <xdr:ext cx="76200" cy="225425"/>
    <xdr:sp macro="" textlink="">
      <xdr:nvSpPr>
        <xdr:cNvPr id="103" name="Text Box 1">
          <a:extLst>
            <a:ext uri="{FF2B5EF4-FFF2-40B4-BE49-F238E27FC236}">
              <a16:creationId xmlns:a16="http://schemas.microsoft.com/office/drawing/2014/main" id="{80F541D3-4246-486A-9DF8-EAC196BE0416}"/>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74</xdr:row>
      <xdr:rowOff>47625</xdr:rowOff>
    </xdr:from>
    <xdr:ext cx="76200" cy="225425"/>
    <xdr:sp macro="" textlink="">
      <xdr:nvSpPr>
        <xdr:cNvPr id="104" name="Text Box 1">
          <a:extLst>
            <a:ext uri="{FF2B5EF4-FFF2-40B4-BE49-F238E27FC236}">
              <a16:creationId xmlns:a16="http://schemas.microsoft.com/office/drawing/2014/main" id="{BB81D521-1CE2-46A2-8281-92C9B46566C6}"/>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74</xdr:row>
      <xdr:rowOff>47625</xdr:rowOff>
    </xdr:from>
    <xdr:ext cx="76200" cy="225425"/>
    <xdr:sp macro="" textlink="">
      <xdr:nvSpPr>
        <xdr:cNvPr id="105" name="Text Box 1">
          <a:extLst>
            <a:ext uri="{FF2B5EF4-FFF2-40B4-BE49-F238E27FC236}">
              <a16:creationId xmlns:a16="http://schemas.microsoft.com/office/drawing/2014/main" id="{06300392-E987-493D-AF43-EFF1357D02BC}"/>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74</xdr:row>
      <xdr:rowOff>47625</xdr:rowOff>
    </xdr:from>
    <xdr:ext cx="76200" cy="225425"/>
    <xdr:sp macro="" textlink="">
      <xdr:nvSpPr>
        <xdr:cNvPr id="106" name="Text Box 1">
          <a:extLst>
            <a:ext uri="{FF2B5EF4-FFF2-40B4-BE49-F238E27FC236}">
              <a16:creationId xmlns:a16="http://schemas.microsoft.com/office/drawing/2014/main" id="{9BCE05EE-9FEC-40B2-9B47-0BBD8FE6E44F}"/>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74</xdr:row>
      <xdr:rowOff>47625</xdr:rowOff>
    </xdr:from>
    <xdr:ext cx="76200" cy="225425"/>
    <xdr:sp macro="" textlink="">
      <xdr:nvSpPr>
        <xdr:cNvPr id="107" name="Text Box 1">
          <a:extLst>
            <a:ext uri="{FF2B5EF4-FFF2-40B4-BE49-F238E27FC236}">
              <a16:creationId xmlns:a16="http://schemas.microsoft.com/office/drawing/2014/main" id="{C98A5D43-C524-432E-BE81-9EA97BDEA6F3}"/>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108" name="Text Box 1">
          <a:extLst>
            <a:ext uri="{FF2B5EF4-FFF2-40B4-BE49-F238E27FC236}">
              <a16:creationId xmlns:a16="http://schemas.microsoft.com/office/drawing/2014/main" id="{0653EAD0-9FDB-4F18-A271-E0262789FAC4}"/>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109" name="Text Box 1">
          <a:extLst>
            <a:ext uri="{FF2B5EF4-FFF2-40B4-BE49-F238E27FC236}">
              <a16:creationId xmlns:a16="http://schemas.microsoft.com/office/drawing/2014/main" id="{16CBAA00-7C15-4F9B-A26E-F75C789D166B}"/>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110" name="Text Box 1">
          <a:extLst>
            <a:ext uri="{FF2B5EF4-FFF2-40B4-BE49-F238E27FC236}">
              <a16:creationId xmlns:a16="http://schemas.microsoft.com/office/drawing/2014/main" id="{336341D8-8154-416D-BAFB-7FB77A8FF44C}"/>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111" name="Text Box 1">
          <a:extLst>
            <a:ext uri="{FF2B5EF4-FFF2-40B4-BE49-F238E27FC236}">
              <a16:creationId xmlns:a16="http://schemas.microsoft.com/office/drawing/2014/main" id="{AFBE4E37-2851-42F1-A2F4-F3527FC61CFD}"/>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112" name="Text Box 1">
          <a:extLst>
            <a:ext uri="{FF2B5EF4-FFF2-40B4-BE49-F238E27FC236}">
              <a16:creationId xmlns:a16="http://schemas.microsoft.com/office/drawing/2014/main" id="{C8F37D38-2FF7-4481-8B00-88F1FCF6A589}"/>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113" name="Text Box 1">
          <a:extLst>
            <a:ext uri="{FF2B5EF4-FFF2-40B4-BE49-F238E27FC236}">
              <a16:creationId xmlns:a16="http://schemas.microsoft.com/office/drawing/2014/main" id="{381B2245-8467-4CE1-866B-A6024393B66F}"/>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114" name="Text Box 1">
          <a:extLst>
            <a:ext uri="{FF2B5EF4-FFF2-40B4-BE49-F238E27FC236}">
              <a16:creationId xmlns:a16="http://schemas.microsoft.com/office/drawing/2014/main" id="{A8A30F2A-ECFD-477D-966F-D56D597799F2}"/>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115" name="Text Box 1">
          <a:extLst>
            <a:ext uri="{FF2B5EF4-FFF2-40B4-BE49-F238E27FC236}">
              <a16:creationId xmlns:a16="http://schemas.microsoft.com/office/drawing/2014/main" id="{82A80D42-95B3-4296-9ADC-6D9B4677CC51}"/>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116" name="Text Box 1">
          <a:extLst>
            <a:ext uri="{FF2B5EF4-FFF2-40B4-BE49-F238E27FC236}">
              <a16:creationId xmlns:a16="http://schemas.microsoft.com/office/drawing/2014/main" id="{2E28501B-993E-4E4C-89DC-024A2F62938C}"/>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117" name="Text Box 1">
          <a:extLst>
            <a:ext uri="{FF2B5EF4-FFF2-40B4-BE49-F238E27FC236}">
              <a16:creationId xmlns:a16="http://schemas.microsoft.com/office/drawing/2014/main" id="{5A4B102B-BD86-41C7-9FCC-D5F292C8332D}"/>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118" name="Text Box 1">
          <a:extLst>
            <a:ext uri="{FF2B5EF4-FFF2-40B4-BE49-F238E27FC236}">
              <a16:creationId xmlns:a16="http://schemas.microsoft.com/office/drawing/2014/main" id="{59F8CF77-31EA-4E7E-8AC2-F72FB241BEF3}"/>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119" name="Text Box 1">
          <a:extLst>
            <a:ext uri="{FF2B5EF4-FFF2-40B4-BE49-F238E27FC236}">
              <a16:creationId xmlns:a16="http://schemas.microsoft.com/office/drawing/2014/main" id="{0CE8584C-F3F8-4196-98A8-926A48FD4904}"/>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20" name="Text Box 1">
          <a:extLst>
            <a:ext uri="{FF2B5EF4-FFF2-40B4-BE49-F238E27FC236}">
              <a16:creationId xmlns:a16="http://schemas.microsoft.com/office/drawing/2014/main" id="{9645DDA2-259C-4B70-AE9C-8148EC44DE18}"/>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21" name="Text Box 1">
          <a:extLst>
            <a:ext uri="{FF2B5EF4-FFF2-40B4-BE49-F238E27FC236}">
              <a16:creationId xmlns:a16="http://schemas.microsoft.com/office/drawing/2014/main" id="{31CED44E-9EAC-41A1-A0A8-B0C1E21387D2}"/>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22" name="Text Box 1">
          <a:extLst>
            <a:ext uri="{FF2B5EF4-FFF2-40B4-BE49-F238E27FC236}">
              <a16:creationId xmlns:a16="http://schemas.microsoft.com/office/drawing/2014/main" id="{8B37F109-89E1-4C8A-9C29-5C4691878B47}"/>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23" name="Text Box 1">
          <a:extLst>
            <a:ext uri="{FF2B5EF4-FFF2-40B4-BE49-F238E27FC236}">
              <a16:creationId xmlns:a16="http://schemas.microsoft.com/office/drawing/2014/main" id="{8E1DD0D8-AD46-421A-977F-246455B64F95}"/>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24" name="Text Box 1">
          <a:extLst>
            <a:ext uri="{FF2B5EF4-FFF2-40B4-BE49-F238E27FC236}">
              <a16:creationId xmlns:a16="http://schemas.microsoft.com/office/drawing/2014/main" id="{116F947C-EE19-4E92-9F42-605D49AE1CF3}"/>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25" name="Text Box 1">
          <a:extLst>
            <a:ext uri="{FF2B5EF4-FFF2-40B4-BE49-F238E27FC236}">
              <a16:creationId xmlns:a16="http://schemas.microsoft.com/office/drawing/2014/main" id="{A222FAEB-C48B-43E9-9449-F6895D0E8D25}"/>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26" name="Text Box 1">
          <a:extLst>
            <a:ext uri="{FF2B5EF4-FFF2-40B4-BE49-F238E27FC236}">
              <a16:creationId xmlns:a16="http://schemas.microsoft.com/office/drawing/2014/main" id="{C1153075-6298-49F8-985A-415E93875423}"/>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27" name="Text Box 1">
          <a:extLst>
            <a:ext uri="{FF2B5EF4-FFF2-40B4-BE49-F238E27FC236}">
              <a16:creationId xmlns:a16="http://schemas.microsoft.com/office/drawing/2014/main" id="{CB9F220B-CC5F-4863-8585-6178A527A1D6}"/>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28" name="Text Box 1">
          <a:extLst>
            <a:ext uri="{FF2B5EF4-FFF2-40B4-BE49-F238E27FC236}">
              <a16:creationId xmlns:a16="http://schemas.microsoft.com/office/drawing/2014/main" id="{C5034345-0008-4FB7-95DD-5C4F7FC23B21}"/>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29" name="Text Box 1">
          <a:extLst>
            <a:ext uri="{FF2B5EF4-FFF2-40B4-BE49-F238E27FC236}">
              <a16:creationId xmlns:a16="http://schemas.microsoft.com/office/drawing/2014/main" id="{76962EE3-09EB-47B0-AA85-FAD955A84696}"/>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30" name="Text Box 1">
          <a:extLst>
            <a:ext uri="{FF2B5EF4-FFF2-40B4-BE49-F238E27FC236}">
              <a16:creationId xmlns:a16="http://schemas.microsoft.com/office/drawing/2014/main" id="{B394090B-4696-4128-A721-04103A8DA041}"/>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31" name="Text Box 1">
          <a:extLst>
            <a:ext uri="{FF2B5EF4-FFF2-40B4-BE49-F238E27FC236}">
              <a16:creationId xmlns:a16="http://schemas.microsoft.com/office/drawing/2014/main" id="{4C033251-0FC6-4815-9B94-27836C65B6A6}"/>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132" name="Text Box 1">
          <a:extLst>
            <a:ext uri="{FF2B5EF4-FFF2-40B4-BE49-F238E27FC236}">
              <a16:creationId xmlns:a16="http://schemas.microsoft.com/office/drawing/2014/main" id="{2CB53F42-62AE-4FA8-A9DB-36941C6E5951}"/>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133" name="Text Box 1">
          <a:extLst>
            <a:ext uri="{FF2B5EF4-FFF2-40B4-BE49-F238E27FC236}">
              <a16:creationId xmlns:a16="http://schemas.microsoft.com/office/drawing/2014/main" id="{2345EA7C-6DF8-47EC-844C-1B2D74958E81}"/>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134" name="Text Box 1">
          <a:extLst>
            <a:ext uri="{FF2B5EF4-FFF2-40B4-BE49-F238E27FC236}">
              <a16:creationId xmlns:a16="http://schemas.microsoft.com/office/drawing/2014/main" id="{BE104455-2D56-432F-B81D-5EC3CDCE6044}"/>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135" name="Text Box 1">
          <a:extLst>
            <a:ext uri="{FF2B5EF4-FFF2-40B4-BE49-F238E27FC236}">
              <a16:creationId xmlns:a16="http://schemas.microsoft.com/office/drawing/2014/main" id="{FB2C37CA-3613-4126-9297-8510F5E5457D}"/>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136" name="Text Box 1">
          <a:extLst>
            <a:ext uri="{FF2B5EF4-FFF2-40B4-BE49-F238E27FC236}">
              <a16:creationId xmlns:a16="http://schemas.microsoft.com/office/drawing/2014/main" id="{DD95ABD3-89E6-41C0-9B4E-559974FFDFAE}"/>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137" name="Text Box 1">
          <a:extLst>
            <a:ext uri="{FF2B5EF4-FFF2-40B4-BE49-F238E27FC236}">
              <a16:creationId xmlns:a16="http://schemas.microsoft.com/office/drawing/2014/main" id="{F239FC08-B36B-45ED-AC33-49687D3491DA}"/>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138" name="Text Box 1">
          <a:extLst>
            <a:ext uri="{FF2B5EF4-FFF2-40B4-BE49-F238E27FC236}">
              <a16:creationId xmlns:a16="http://schemas.microsoft.com/office/drawing/2014/main" id="{A244FAB7-D647-4EDF-8E0C-A2A9B6194E6A}"/>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139" name="Text Box 1">
          <a:extLst>
            <a:ext uri="{FF2B5EF4-FFF2-40B4-BE49-F238E27FC236}">
              <a16:creationId xmlns:a16="http://schemas.microsoft.com/office/drawing/2014/main" id="{756D153C-0BC8-4BC1-B6B9-0E32E90B5D7C}"/>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140" name="Text Box 1">
          <a:extLst>
            <a:ext uri="{FF2B5EF4-FFF2-40B4-BE49-F238E27FC236}">
              <a16:creationId xmlns:a16="http://schemas.microsoft.com/office/drawing/2014/main" id="{6016A613-041F-4040-A8C6-5A0846C72737}"/>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141" name="Text Box 1">
          <a:extLst>
            <a:ext uri="{FF2B5EF4-FFF2-40B4-BE49-F238E27FC236}">
              <a16:creationId xmlns:a16="http://schemas.microsoft.com/office/drawing/2014/main" id="{297E81BA-8EB8-48C5-8EF8-696F07F362AE}"/>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142" name="Text Box 1">
          <a:extLst>
            <a:ext uri="{FF2B5EF4-FFF2-40B4-BE49-F238E27FC236}">
              <a16:creationId xmlns:a16="http://schemas.microsoft.com/office/drawing/2014/main" id="{487896EF-209E-463A-9E76-D76100A9559D}"/>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143" name="Text Box 1">
          <a:extLst>
            <a:ext uri="{FF2B5EF4-FFF2-40B4-BE49-F238E27FC236}">
              <a16:creationId xmlns:a16="http://schemas.microsoft.com/office/drawing/2014/main" id="{3C11B5AF-3A29-4591-AC58-1D7DAC828746}"/>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5425"/>
    <xdr:sp macro="" textlink="">
      <xdr:nvSpPr>
        <xdr:cNvPr id="144" name="Text Box 1">
          <a:extLst>
            <a:ext uri="{FF2B5EF4-FFF2-40B4-BE49-F238E27FC236}">
              <a16:creationId xmlns:a16="http://schemas.microsoft.com/office/drawing/2014/main" id="{30AD8EB2-5A73-4E61-8B42-0CE75F91FB7C}"/>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5425"/>
    <xdr:sp macro="" textlink="">
      <xdr:nvSpPr>
        <xdr:cNvPr id="145" name="Text Box 1">
          <a:extLst>
            <a:ext uri="{FF2B5EF4-FFF2-40B4-BE49-F238E27FC236}">
              <a16:creationId xmlns:a16="http://schemas.microsoft.com/office/drawing/2014/main" id="{CF5A411F-498C-40F8-AB66-ACF3689DE0DE}"/>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5425"/>
    <xdr:sp macro="" textlink="">
      <xdr:nvSpPr>
        <xdr:cNvPr id="146" name="Text Box 1">
          <a:extLst>
            <a:ext uri="{FF2B5EF4-FFF2-40B4-BE49-F238E27FC236}">
              <a16:creationId xmlns:a16="http://schemas.microsoft.com/office/drawing/2014/main" id="{857E130E-A7A3-466C-9148-DE88C09BB347}"/>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5425"/>
    <xdr:sp macro="" textlink="">
      <xdr:nvSpPr>
        <xdr:cNvPr id="147" name="Text Box 1">
          <a:extLst>
            <a:ext uri="{FF2B5EF4-FFF2-40B4-BE49-F238E27FC236}">
              <a16:creationId xmlns:a16="http://schemas.microsoft.com/office/drawing/2014/main" id="{7935FC9A-C497-43AB-A9BC-B34EF98A01E9}"/>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5425"/>
    <xdr:sp macro="" textlink="">
      <xdr:nvSpPr>
        <xdr:cNvPr id="148" name="Text Box 1">
          <a:extLst>
            <a:ext uri="{FF2B5EF4-FFF2-40B4-BE49-F238E27FC236}">
              <a16:creationId xmlns:a16="http://schemas.microsoft.com/office/drawing/2014/main" id="{01AE3AEA-44D1-4838-B2A2-39EDD412AE49}"/>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5425"/>
    <xdr:sp macro="" textlink="">
      <xdr:nvSpPr>
        <xdr:cNvPr id="149" name="Text Box 1">
          <a:extLst>
            <a:ext uri="{FF2B5EF4-FFF2-40B4-BE49-F238E27FC236}">
              <a16:creationId xmlns:a16="http://schemas.microsoft.com/office/drawing/2014/main" id="{516A663D-D931-4BF8-A0DC-C4606943CBF9}"/>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5425"/>
    <xdr:sp macro="" textlink="">
      <xdr:nvSpPr>
        <xdr:cNvPr id="150" name="Text Box 1">
          <a:extLst>
            <a:ext uri="{FF2B5EF4-FFF2-40B4-BE49-F238E27FC236}">
              <a16:creationId xmlns:a16="http://schemas.microsoft.com/office/drawing/2014/main" id="{EC1A20FE-1BBD-47A6-8BB3-4802A851CAB6}"/>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5425"/>
    <xdr:sp macro="" textlink="">
      <xdr:nvSpPr>
        <xdr:cNvPr id="151" name="Text Box 1">
          <a:extLst>
            <a:ext uri="{FF2B5EF4-FFF2-40B4-BE49-F238E27FC236}">
              <a16:creationId xmlns:a16="http://schemas.microsoft.com/office/drawing/2014/main" id="{3A951B86-CFB5-4C47-AB57-80596E86F6C3}"/>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5425"/>
    <xdr:sp macro="" textlink="">
      <xdr:nvSpPr>
        <xdr:cNvPr id="152" name="Text Box 1">
          <a:extLst>
            <a:ext uri="{FF2B5EF4-FFF2-40B4-BE49-F238E27FC236}">
              <a16:creationId xmlns:a16="http://schemas.microsoft.com/office/drawing/2014/main" id="{190C5E20-6354-4752-847E-FFED175B9F08}"/>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5425"/>
    <xdr:sp macro="" textlink="">
      <xdr:nvSpPr>
        <xdr:cNvPr id="153" name="Text Box 1">
          <a:extLst>
            <a:ext uri="{FF2B5EF4-FFF2-40B4-BE49-F238E27FC236}">
              <a16:creationId xmlns:a16="http://schemas.microsoft.com/office/drawing/2014/main" id="{7FB6E5CD-FAD7-4E34-842B-E244AAF91C1E}"/>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5425"/>
    <xdr:sp macro="" textlink="">
      <xdr:nvSpPr>
        <xdr:cNvPr id="154" name="Text Box 1">
          <a:extLst>
            <a:ext uri="{FF2B5EF4-FFF2-40B4-BE49-F238E27FC236}">
              <a16:creationId xmlns:a16="http://schemas.microsoft.com/office/drawing/2014/main" id="{EC5E96FD-0E59-4213-9EAF-C08B12CFB233}"/>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5425"/>
    <xdr:sp macro="" textlink="">
      <xdr:nvSpPr>
        <xdr:cNvPr id="155" name="Text Box 1">
          <a:extLst>
            <a:ext uri="{FF2B5EF4-FFF2-40B4-BE49-F238E27FC236}">
              <a16:creationId xmlns:a16="http://schemas.microsoft.com/office/drawing/2014/main" id="{2DC714B6-7254-408A-859E-3C88684F213D}"/>
            </a:ext>
          </a:extLst>
        </xdr:cNvPr>
        <xdr:cNvSpPr txBox="1">
          <a:spLocks noChangeArrowheads="1"/>
        </xdr:cNvSpPr>
      </xdr:nvSpPr>
      <xdr:spPr bwMode="auto">
        <a:xfrm>
          <a:off x="685800" y="10808758"/>
          <a:ext cx="76200" cy="225425"/>
        </a:xfrm>
        <a:prstGeom prst="rect">
          <a:avLst/>
        </a:prstGeom>
        <a:noFill/>
        <a:ln w="9525">
          <a:noFill/>
          <a:miter lim="800000"/>
          <a:headEnd/>
          <a:tailEnd/>
        </a:ln>
      </xdr:spPr>
    </xdr:sp>
    <xdr:clientData/>
  </xdr:oneCellAnchor>
  <xdr:oneCellAnchor>
    <xdr:from>
      <xdr:col>0</xdr:col>
      <xdr:colOff>685800</xdr:colOff>
      <xdr:row>84</xdr:row>
      <xdr:rowOff>47625</xdr:rowOff>
    </xdr:from>
    <xdr:ext cx="76200" cy="225425"/>
    <xdr:sp macro="" textlink="">
      <xdr:nvSpPr>
        <xdr:cNvPr id="156" name="Text Box 1">
          <a:extLst>
            <a:ext uri="{FF2B5EF4-FFF2-40B4-BE49-F238E27FC236}">
              <a16:creationId xmlns:a16="http://schemas.microsoft.com/office/drawing/2014/main" id="{EB332723-5283-4BC2-83BF-1773A3A0158E}"/>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84</xdr:row>
      <xdr:rowOff>47625</xdr:rowOff>
    </xdr:from>
    <xdr:ext cx="76200" cy="225425"/>
    <xdr:sp macro="" textlink="">
      <xdr:nvSpPr>
        <xdr:cNvPr id="157" name="Text Box 1">
          <a:extLst>
            <a:ext uri="{FF2B5EF4-FFF2-40B4-BE49-F238E27FC236}">
              <a16:creationId xmlns:a16="http://schemas.microsoft.com/office/drawing/2014/main" id="{8B2A4F84-DCAF-4795-94CE-EC2E8AA47E4E}"/>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84</xdr:row>
      <xdr:rowOff>47625</xdr:rowOff>
    </xdr:from>
    <xdr:ext cx="76200" cy="225425"/>
    <xdr:sp macro="" textlink="">
      <xdr:nvSpPr>
        <xdr:cNvPr id="158" name="Text Box 1">
          <a:extLst>
            <a:ext uri="{FF2B5EF4-FFF2-40B4-BE49-F238E27FC236}">
              <a16:creationId xmlns:a16="http://schemas.microsoft.com/office/drawing/2014/main" id="{ABAFAD03-C5F8-4A81-8018-33DD4F7F62C8}"/>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84</xdr:row>
      <xdr:rowOff>47625</xdr:rowOff>
    </xdr:from>
    <xdr:ext cx="76200" cy="225425"/>
    <xdr:sp macro="" textlink="">
      <xdr:nvSpPr>
        <xdr:cNvPr id="159" name="Text Box 1">
          <a:extLst>
            <a:ext uri="{FF2B5EF4-FFF2-40B4-BE49-F238E27FC236}">
              <a16:creationId xmlns:a16="http://schemas.microsoft.com/office/drawing/2014/main" id="{0FD5BB05-8BF4-4B24-BDDA-20581E11E8F0}"/>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84</xdr:row>
      <xdr:rowOff>47625</xdr:rowOff>
    </xdr:from>
    <xdr:ext cx="76200" cy="225425"/>
    <xdr:sp macro="" textlink="">
      <xdr:nvSpPr>
        <xdr:cNvPr id="160" name="Text Box 1">
          <a:extLst>
            <a:ext uri="{FF2B5EF4-FFF2-40B4-BE49-F238E27FC236}">
              <a16:creationId xmlns:a16="http://schemas.microsoft.com/office/drawing/2014/main" id="{DCAC602B-9725-4AA2-92B8-A42FEA0580D6}"/>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84</xdr:row>
      <xdr:rowOff>47625</xdr:rowOff>
    </xdr:from>
    <xdr:ext cx="76200" cy="225425"/>
    <xdr:sp macro="" textlink="">
      <xdr:nvSpPr>
        <xdr:cNvPr id="161" name="Text Box 1">
          <a:extLst>
            <a:ext uri="{FF2B5EF4-FFF2-40B4-BE49-F238E27FC236}">
              <a16:creationId xmlns:a16="http://schemas.microsoft.com/office/drawing/2014/main" id="{AF0E604C-3262-489E-B634-952E3BF3E492}"/>
            </a:ext>
          </a:extLst>
        </xdr:cNvPr>
        <xdr:cNvSpPr txBox="1">
          <a:spLocks noChangeArrowheads="1"/>
        </xdr:cNvSpPr>
      </xdr:nvSpPr>
      <xdr:spPr bwMode="auto">
        <a:xfrm>
          <a:off x="685800" y="11164358"/>
          <a:ext cx="76200" cy="225425"/>
        </a:xfrm>
        <a:prstGeom prst="rect">
          <a:avLst/>
        </a:prstGeom>
        <a:noFill/>
        <a:ln w="9525">
          <a:noFill/>
          <a:miter lim="800000"/>
          <a:headEnd/>
          <a:tailEnd/>
        </a:ln>
      </xdr:spPr>
    </xdr:sp>
    <xdr:clientData/>
  </xdr:oneCellAnchor>
  <xdr:oneCellAnchor>
    <xdr:from>
      <xdr:col>0</xdr:col>
      <xdr:colOff>685800</xdr:colOff>
      <xdr:row>86</xdr:row>
      <xdr:rowOff>47625</xdr:rowOff>
    </xdr:from>
    <xdr:ext cx="76200" cy="225425"/>
    <xdr:sp macro="" textlink="">
      <xdr:nvSpPr>
        <xdr:cNvPr id="162" name="Text Box 1">
          <a:extLst>
            <a:ext uri="{FF2B5EF4-FFF2-40B4-BE49-F238E27FC236}">
              <a16:creationId xmlns:a16="http://schemas.microsoft.com/office/drawing/2014/main" id="{FAA7E115-8538-4B0F-9EE5-935AED511B09}"/>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86</xdr:row>
      <xdr:rowOff>47625</xdr:rowOff>
    </xdr:from>
    <xdr:ext cx="76200" cy="225425"/>
    <xdr:sp macro="" textlink="">
      <xdr:nvSpPr>
        <xdr:cNvPr id="163" name="Text Box 1">
          <a:extLst>
            <a:ext uri="{FF2B5EF4-FFF2-40B4-BE49-F238E27FC236}">
              <a16:creationId xmlns:a16="http://schemas.microsoft.com/office/drawing/2014/main" id="{85B249B1-540B-4D59-8D06-8F8F0BA79A3D}"/>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86</xdr:row>
      <xdr:rowOff>47625</xdr:rowOff>
    </xdr:from>
    <xdr:ext cx="76200" cy="225425"/>
    <xdr:sp macro="" textlink="">
      <xdr:nvSpPr>
        <xdr:cNvPr id="164" name="Text Box 1">
          <a:extLst>
            <a:ext uri="{FF2B5EF4-FFF2-40B4-BE49-F238E27FC236}">
              <a16:creationId xmlns:a16="http://schemas.microsoft.com/office/drawing/2014/main" id="{3A7D5BC3-1FBE-4EE2-8427-D33DFA40B17F}"/>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86</xdr:row>
      <xdr:rowOff>47625</xdr:rowOff>
    </xdr:from>
    <xdr:ext cx="76200" cy="225425"/>
    <xdr:sp macro="" textlink="">
      <xdr:nvSpPr>
        <xdr:cNvPr id="165" name="Text Box 1">
          <a:extLst>
            <a:ext uri="{FF2B5EF4-FFF2-40B4-BE49-F238E27FC236}">
              <a16:creationId xmlns:a16="http://schemas.microsoft.com/office/drawing/2014/main" id="{E0D81A36-6009-40DC-80A3-94801F341801}"/>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86</xdr:row>
      <xdr:rowOff>47625</xdr:rowOff>
    </xdr:from>
    <xdr:ext cx="76200" cy="225425"/>
    <xdr:sp macro="" textlink="">
      <xdr:nvSpPr>
        <xdr:cNvPr id="166" name="Text Box 1">
          <a:extLst>
            <a:ext uri="{FF2B5EF4-FFF2-40B4-BE49-F238E27FC236}">
              <a16:creationId xmlns:a16="http://schemas.microsoft.com/office/drawing/2014/main" id="{F941D710-CF6A-4F9B-95DE-A152F0621A81}"/>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86</xdr:row>
      <xdr:rowOff>47625</xdr:rowOff>
    </xdr:from>
    <xdr:ext cx="76200" cy="225425"/>
    <xdr:sp macro="" textlink="">
      <xdr:nvSpPr>
        <xdr:cNvPr id="167" name="Text Box 1">
          <a:extLst>
            <a:ext uri="{FF2B5EF4-FFF2-40B4-BE49-F238E27FC236}">
              <a16:creationId xmlns:a16="http://schemas.microsoft.com/office/drawing/2014/main" id="{9CB90E36-48EA-49A5-A4F8-07034D2A2B7B}"/>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65</xdr:row>
      <xdr:rowOff>47625</xdr:rowOff>
    </xdr:from>
    <xdr:ext cx="76200" cy="225425"/>
    <xdr:sp macro="" textlink="">
      <xdr:nvSpPr>
        <xdr:cNvPr id="168" name="Text Box 1">
          <a:extLst>
            <a:ext uri="{FF2B5EF4-FFF2-40B4-BE49-F238E27FC236}">
              <a16:creationId xmlns:a16="http://schemas.microsoft.com/office/drawing/2014/main" id="{F9F102CE-B797-45B6-8352-FDAC9771B604}"/>
            </a:ext>
          </a:extLst>
        </xdr:cNvPr>
        <xdr:cNvSpPr txBox="1">
          <a:spLocks noChangeArrowheads="1"/>
        </xdr:cNvSpPr>
      </xdr:nvSpPr>
      <xdr:spPr bwMode="auto">
        <a:xfrm>
          <a:off x="685800" y="9386358"/>
          <a:ext cx="76200" cy="225425"/>
        </a:xfrm>
        <a:prstGeom prst="rect">
          <a:avLst/>
        </a:prstGeom>
        <a:noFill/>
        <a:ln w="9525">
          <a:noFill/>
          <a:miter lim="800000"/>
          <a:headEnd/>
          <a:tailEnd/>
        </a:ln>
      </xdr:spPr>
    </xdr:sp>
    <xdr:clientData/>
  </xdr:oneCellAnchor>
  <xdr:oneCellAnchor>
    <xdr:from>
      <xdr:col>0</xdr:col>
      <xdr:colOff>685800</xdr:colOff>
      <xdr:row>65</xdr:row>
      <xdr:rowOff>47625</xdr:rowOff>
    </xdr:from>
    <xdr:ext cx="76200" cy="225425"/>
    <xdr:sp macro="" textlink="">
      <xdr:nvSpPr>
        <xdr:cNvPr id="169" name="Text Box 1">
          <a:extLst>
            <a:ext uri="{FF2B5EF4-FFF2-40B4-BE49-F238E27FC236}">
              <a16:creationId xmlns:a16="http://schemas.microsoft.com/office/drawing/2014/main" id="{84C0A78F-EF6E-4B77-8339-0D89FE91A380}"/>
            </a:ext>
          </a:extLst>
        </xdr:cNvPr>
        <xdr:cNvSpPr txBox="1">
          <a:spLocks noChangeArrowheads="1"/>
        </xdr:cNvSpPr>
      </xdr:nvSpPr>
      <xdr:spPr bwMode="auto">
        <a:xfrm>
          <a:off x="685800" y="9386358"/>
          <a:ext cx="76200" cy="225425"/>
        </a:xfrm>
        <a:prstGeom prst="rect">
          <a:avLst/>
        </a:prstGeom>
        <a:noFill/>
        <a:ln w="9525">
          <a:noFill/>
          <a:miter lim="800000"/>
          <a:headEnd/>
          <a:tailEnd/>
        </a:ln>
      </xdr:spPr>
    </xdr:sp>
    <xdr:clientData/>
  </xdr:oneCellAnchor>
  <xdr:oneCellAnchor>
    <xdr:from>
      <xdr:col>0</xdr:col>
      <xdr:colOff>685800</xdr:colOff>
      <xdr:row>66</xdr:row>
      <xdr:rowOff>47625</xdr:rowOff>
    </xdr:from>
    <xdr:ext cx="76200" cy="225425"/>
    <xdr:sp macro="" textlink="">
      <xdr:nvSpPr>
        <xdr:cNvPr id="170" name="Text Box 1">
          <a:extLst>
            <a:ext uri="{FF2B5EF4-FFF2-40B4-BE49-F238E27FC236}">
              <a16:creationId xmlns:a16="http://schemas.microsoft.com/office/drawing/2014/main" id="{EF239D62-B66F-4D7A-8D78-443D3DBB256E}"/>
            </a:ext>
          </a:extLst>
        </xdr:cNvPr>
        <xdr:cNvSpPr txBox="1">
          <a:spLocks noChangeArrowheads="1"/>
        </xdr:cNvSpPr>
      </xdr:nvSpPr>
      <xdr:spPr bwMode="auto">
        <a:xfrm>
          <a:off x="685800" y="9564158"/>
          <a:ext cx="76200" cy="225425"/>
        </a:xfrm>
        <a:prstGeom prst="rect">
          <a:avLst/>
        </a:prstGeom>
        <a:noFill/>
        <a:ln w="9525">
          <a:noFill/>
          <a:miter lim="800000"/>
          <a:headEnd/>
          <a:tailEnd/>
        </a:ln>
      </xdr:spPr>
    </xdr:sp>
    <xdr:clientData/>
  </xdr:oneCellAnchor>
  <xdr:oneCellAnchor>
    <xdr:from>
      <xdr:col>0</xdr:col>
      <xdr:colOff>685800</xdr:colOff>
      <xdr:row>66</xdr:row>
      <xdr:rowOff>47625</xdr:rowOff>
    </xdr:from>
    <xdr:ext cx="76200" cy="225425"/>
    <xdr:sp macro="" textlink="">
      <xdr:nvSpPr>
        <xdr:cNvPr id="171" name="Text Box 1">
          <a:extLst>
            <a:ext uri="{FF2B5EF4-FFF2-40B4-BE49-F238E27FC236}">
              <a16:creationId xmlns:a16="http://schemas.microsoft.com/office/drawing/2014/main" id="{E62FC0FB-07BE-4E80-82C1-D4A56DF0F3EB}"/>
            </a:ext>
          </a:extLst>
        </xdr:cNvPr>
        <xdr:cNvSpPr txBox="1">
          <a:spLocks noChangeArrowheads="1"/>
        </xdr:cNvSpPr>
      </xdr:nvSpPr>
      <xdr:spPr bwMode="auto">
        <a:xfrm>
          <a:off x="685800" y="9564158"/>
          <a:ext cx="76200" cy="225425"/>
        </a:xfrm>
        <a:prstGeom prst="rect">
          <a:avLst/>
        </a:prstGeom>
        <a:noFill/>
        <a:ln w="9525">
          <a:noFill/>
          <a:miter lim="800000"/>
          <a:headEnd/>
          <a:tailEnd/>
        </a:ln>
      </xdr:spPr>
    </xdr:sp>
    <xdr:clientData/>
  </xdr:oneCellAnchor>
  <xdr:oneCellAnchor>
    <xdr:from>
      <xdr:col>0</xdr:col>
      <xdr:colOff>685800</xdr:colOff>
      <xdr:row>68</xdr:row>
      <xdr:rowOff>47625</xdr:rowOff>
    </xdr:from>
    <xdr:ext cx="76200" cy="225425"/>
    <xdr:sp macro="" textlink="">
      <xdr:nvSpPr>
        <xdr:cNvPr id="172" name="Text Box 1">
          <a:extLst>
            <a:ext uri="{FF2B5EF4-FFF2-40B4-BE49-F238E27FC236}">
              <a16:creationId xmlns:a16="http://schemas.microsoft.com/office/drawing/2014/main" id="{D08F02AB-B887-4173-B90C-47581C14437A}"/>
            </a:ext>
          </a:extLst>
        </xdr:cNvPr>
        <xdr:cNvSpPr txBox="1">
          <a:spLocks noChangeArrowheads="1"/>
        </xdr:cNvSpPr>
      </xdr:nvSpPr>
      <xdr:spPr bwMode="auto">
        <a:xfrm>
          <a:off x="685800" y="9386358"/>
          <a:ext cx="76200" cy="225425"/>
        </a:xfrm>
        <a:prstGeom prst="rect">
          <a:avLst/>
        </a:prstGeom>
        <a:noFill/>
        <a:ln w="9525">
          <a:noFill/>
          <a:miter lim="800000"/>
          <a:headEnd/>
          <a:tailEnd/>
        </a:ln>
      </xdr:spPr>
    </xdr:sp>
    <xdr:clientData/>
  </xdr:oneCellAnchor>
  <xdr:oneCellAnchor>
    <xdr:from>
      <xdr:col>0</xdr:col>
      <xdr:colOff>685800</xdr:colOff>
      <xdr:row>68</xdr:row>
      <xdr:rowOff>47625</xdr:rowOff>
    </xdr:from>
    <xdr:ext cx="76200" cy="225425"/>
    <xdr:sp macro="" textlink="">
      <xdr:nvSpPr>
        <xdr:cNvPr id="173" name="Text Box 1">
          <a:extLst>
            <a:ext uri="{FF2B5EF4-FFF2-40B4-BE49-F238E27FC236}">
              <a16:creationId xmlns:a16="http://schemas.microsoft.com/office/drawing/2014/main" id="{73B0476C-8945-4F21-A76C-840C867FF134}"/>
            </a:ext>
          </a:extLst>
        </xdr:cNvPr>
        <xdr:cNvSpPr txBox="1">
          <a:spLocks noChangeArrowheads="1"/>
        </xdr:cNvSpPr>
      </xdr:nvSpPr>
      <xdr:spPr bwMode="auto">
        <a:xfrm>
          <a:off x="685800" y="9386358"/>
          <a:ext cx="76200" cy="225425"/>
        </a:xfrm>
        <a:prstGeom prst="rect">
          <a:avLst/>
        </a:prstGeom>
        <a:noFill/>
        <a:ln w="9525">
          <a:noFill/>
          <a:miter lim="800000"/>
          <a:headEnd/>
          <a:tailEnd/>
        </a:ln>
      </xdr:spPr>
    </xdr:sp>
    <xdr:clientData/>
  </xdr:oneCellAnchor>
  <xdr:oneCellAnchor>
    <xdr:from>
      <xdr:col>0</xdr:col>
      <xdr:colOff>685800</xdr:colOff>
      <xdr:row>69</xdr:row>
      <xdr:rowOff>47625</xdr:rowOff>
    </xdr:from>
    <xdr:ext cx="76200" cy="225425"/>
    <xdr:sp macro="" textlink="">
      <xdr:nvSpPr>
        <xdr:cNvPr id="174" name="Text Box 1">
          <a:extLst>
            <a:ext uri="{FF2B5EF4-FFF2-40B4-BE49-F238E27FC236}">
              <a16:creationId xmlns:a16="http://schemas.microsoft.com/office/drawing/2014/main" id="{C73DF6D8-4E35-4A8E-8AEF-5C5C0060BA3A}"/>
            </a:ext>
          </a:extLst>
        </xdr:cNvPr>
        <xdr:cNvSpPr txBox="1">
          <a:spLocks noChangeArrowheads="1"/>
        </xdr:cNvSpPr>
      </xdr:nvSpPr>
      <xdr:spPr bwMode="auto">
        <a:xfrm>
          <a:off x="685800" y="9564158"/>
          <a:ext cx="76200" cy="225425"/>
        </a:xfrm>
        <a:prstGeom prst="rect">
          <a:avLst/>
        </a:prstGeom>
        <a:noFill/>
        <a:ln w="9525">
          <a:noFill/>
          <a:miter lim="800000"/>
          <a:headEnd/>
          <a:tailEnd/>
        </a:ln>
      </xdr:spPr>
    </xdr:sp>
    <xdr:clientData/>
  </xdr:oneCellAnchor>
  <xdr:oneCellAnchor>
    <xdr:from>
      <xdr:col>0</xdr:col>
      <xdr:colOff>685800</xdr:colOff>
      <xdr:row>69</xdr:row>
      <xdr:rowOff>47625</xdr:rowOff>
    </xdr:from>
    <xdr:ext cx="76200" cy="225425"/>
    <xdr:sp macro="" textlink="">
      <xdr:nvSpPr>
        <xdr:cNvPr id="175" name="Text Box 1">
          <a:extLst>
            <a:ext uri="{FF2B5EF4-FFF2-40B4-BE49-F238E27FC236}">
              <a16:creationId xmlns:a16="http://schemas.microsoft.com/office/drawing/2014/main" id="{ED3194BF-212D-46A2-BC06-6E64766DA59E}"/>
            </a:ext>
          </a:extLst>
        </xdr:cNvPr>
        <xdr:cNvSpPr txBox="1">
          <a:spLocks noChangeArrowheads="1"/>
        </xdr:cNvSpPr>
      </xdr:nvSpPr>
      <xdr:spPr bwMode="auto">
        <a:xfrm>
          <a:off x="685800" y="9564158"/>
          <a:ext cx="76200" cy="225425"/>
        </a:xfrm>
        <a:prstGeom prst="rect">
          <a:avLst/>
        </a:prstGeom>
        <a:noFill/>
        <a:ln w="9525">
          <a:noFill/>
          <a:miter lim="800000"/>
          <a:headEnd/>
          <a:tailEnd/>
        </a:ln>
      </xdr:spPr>
    </xdr:sp>
    <xdr:clientData/>
  </xdr:oneCellAnchor>
  <xdr:oneCellAnchor>
    <xdr:from>
      <xdr:col>0</xdr:col>
      <xdr:colOff>685800</xdr:colOff>
      <xdr:row>71</xdr:row>
      <xdr:rowOff>47625</xdr:rowOff>
    </xdr:from>
    <xdr:ext cx="76200" cy="225425"/>
    <xdr:sp macro="" textlink="">
      <xdr:nvSpPr>
        <xdr:cNvPr id="176" name="Text Box 1">
          <a:extLst>
            <a:ext uri="{FF2B5EF4-FFF2-40B4-BE49-F238E27FC236}">
              <a16:creationId xmlns:a16="http://schemas.microsoft.com/office/drawing/2014/main" id="{45533AE4-1D0F-4482-A153-95077CBC8A78}"/>
            </a:ext>
          </a:extLst>
        </xdr:cNvPr>
        <xdr:cNvSpPr txBox="1">
          <a:spLocks noChangeArrowheads="1"/>
        </xdr:cNvSpPr>
      </xdr:nvSpPr>
      <xdr:spPr bwMode="auto">
        <a:xfrm>
          <a:off x="685800" y="9386358"/>
          <a:ext cx="76200" cy="225425"/>
        </a:xfrm>
        <a:prstGeom prst="rect">
          <a:avLst/>
        </a:prstGeom>
        <a:noFill/>
        <a:ln w="9525">
          <a:noFill/>
          <a:miter lim="800000"/>
          <a:headEnd/>
          <a:tailEnd/>
        </a:ln>
      </xdr:spPr>
    </xdr:sp>
    <xdr:clientData/>
  </xdr:oneCellAnchor>
  <xdr:oneCellAnchor>
    <xdr:from>
      <xdr:col>0</xdr:col>
      <xdr:colOff>685800</xdr:colOff>
      <xdr:row>71</xdr:row>
      <xdr:rowOff>47625</xdr:rowOff>
    </xdr:from>
    <xdr:ext cx="76200" cy="225425"/>
    <xdr:sp macro="" textlink="">
      <xdr:nvSpPr>
        <xdr:cNvPr id="177" name="Text Box 1">
          <a:extLst>
            <a:ext uri="{FF2B5EF4-FFF2-40B4-BE49-F238E27FC236}">
              <a16:creationId xmlns:a16="http://schemas.microsoft.com/office/drawing/2014/main" id="{1A05D70A-FD1D-4614-9B17-347D20B605B5}"/>
            </a:ext>
          </a:extLst>
        </xdr:cNvPr>
        <xdr:cNvSpPr txBox="1">
          <a:spLocks noChangeArrowheads="1"/>
        </xdr:cNvSpPr>
      </xdr:nvSpPr>
      <xdr:spPr bwMode="auto">
        <a:xfrm>
          <a:off x="685800" y="9386358"/>
          <a:ext cx="76200" cy="225425"/>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5425"/>
    <xdr:sp macro="" textlink="">
      <xdr:nvSpPr>
        <xdr:cNvPr id="178" name="Text Box 1">
          <a:extLst>
            <a:ext uri="{FF2B5EF4-FFF2-40B4-BE49-F238E27FC236}">
              <a16:creationId xmlns:a16="http://schemas.microsoft.com/office/drawing/2014/main" id="{EEC21B71-8090-4234-8008-6E67C1230DE2}"/>
            </a:ext>
          </a:extLst>
        </xdr:cNvPr>
        <xdr:cNvSpPr txBox="1">
          <a:spLocks noChangeArrowheads="1"/>
        </xdr:cNvSpPr>
      </xdr:nvSpPr>
      <xdr:spPr bwMode="auto">
        <a:xfrm>
          <a:off x="685800" y="9564158"/>
          <a:ext cx="76200" cy="225425"/>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5425"/>
    <xdr:sp macro="" textlink="">
      <xdr:nvSpPr>
        <xdr:cNvPr id="179" name="Text Box 1">
          <a:extLst>
            <a:ext uri="{FF2B5EF4-FFF2-40B4-BE49-F238E27FC236}">
              <a16:creationId xmlns:a16="http://schemas.microsoft.com/office/drawing/2014/main" id="{C65CFC8B-CDA7-40BA-8364-EC49B1EEBBCE}"/>
            </a:ext>
          </a:extLst>
        </xdr:cNvPr>
        <xdr:cNvSpPr txBox="1">
          <a:spLocks noChangeArrowheads="1"/>
        </xdr:cNvSpPr>
      </xdr:nvSpPr>
      <xdr:spPr bwMode="auto">
        <a:xfrm>
          <a:off x="685800" y="9564158"/>
          <a:ext cx="76200" cy="225425"/>
        </a:xfrm>
        <a:prstGeom prst="rect">
          <a:avLst/>
        </a:prstGeom>
        <a:noFill/>
        <a:ln w="9525">
          <a:noFill/>
          <a:miter lim="800000"/>
          <a:headEnd/>
          <a:tailEnd/>
        </a:ln>
      </xdr:spPr>
    </xdr:sp>
    <xdr:clientData/>
  </xdr:oneCellAnchor>
  <xdr:oneCellAnchor>
    <xdr:from>
      <xdr:col>0</xdr:col>
      <xdr:colOff>685800</xdr:colOff>
      <xdr:row>74</xdr:row>
      <xdr:rowOff>47625</xdr:rowOff>
    </xdr:from>
    <xdr:ext cx="76200" cy="225425"/>
    <xdr:sp macro="" textlink="">
      <xdr:nvSpPr>
        <xdr:cNvPr id="180" name="Text Box 1">
          <a:extLst>
            <a:ext uri="{FF2B5EF4-FFF2-40B4-BE49-F238E27FC236}">
              <a16:creationId xmlns:a16="http://schemas.microsoft.com/office/drawing/2014/main" id="{A08AE86F-F0CF-40FB-A918-5745F2AD7F07}"/>
            </a:ext>
          </a:extLst>
        </xdr:cNvPr>
        <xdr:cNvSpPr txBox="1">
          <a:spLocks noChangeArrowheads="1"/>
        </xdr:cNvSpPr>
      </xdr:nvSpPr>
      <xdr:spPr bwMode="auto">
        <a:xfrm>
          <a:off x="685800" y="9386358"/>
          <a:ext cx="76200" cy="225425"/>
        </a:xfrm>
        <a:prstGeom prst="rect">
          <a:avLst/>
        </a:prstGeom>
        <a:noFill/>
        <a:ln w="9525">
          <a:noFill/>
          <a:miter lim="800000"/>
          <a:headEnd/>
          <a:tailEnd/>
        </a:ln>
      </xdr:spPr>
    </xdr:sp>
    <xdr:clientData/>
  </xdr:oneCellAnchor>
  <xdr:oneCellAnchor>
    <xdr:from>
      <xdr:col>0</xdr:col>
      <xdr:colOff>685800</xdr:colOff>
      <xdr:row>74</xdr:row>
      <xdr:rowOff>47625</xdr:rowOff>
    </xdr:from>
    <xdr:ext cx="76200" cy="225425"/>
    <xdr:sp macro="" textlink="">
      <xdr:nvSpPr>
        <xdr:cNvPr id="181" name="Text Box 1">
          <a:extLst>
            <a:ext uri="{FF2B5EF4-FFF2-40B4-BE49-F238E27FC236}">
              <a16:creationId xmlns:a16="http://schemas.microsoft.com/office/drawing/2014/main" id="{B46C8C35-AD1B-4D1E-A728-14FB179A993D}"/>
            </a:ext>
          </a:extLst>
        </xdr:cNvPr>
        <xdr:cNvSpPr txBox="1">
          <a:spLocks noChangeArrowheads="1"/>
        </xdr:cNvSpPr>
      </xdr:nvSpPr>
      <xdr:spPr bwMode="auto">
        <a:xfrm>
          <a:off x="685800" y="9386358"/>
          <a:ext cx="76200" cy="225425"/>
        </a:xfrm>
        <a:prstGeom prst="rect">
          <a:avLst/>
        </a:prstGeom>
        <a:noFill/>
        <a:ln w="9525">
          <a:noFill/>
          <a:miter lim="800000"/>
          <a:headEnd/>
          <a:tailEnd/>
        </a:ln>
      </xdr:spPr>
    </xdr:sp>
    <xdr:clientData/>
  </xdr:oneCellAnchor>
  <xdr:oneCellAnchor>
    <xdr:from>
      <xdr:col>0</xdr:col>
      <xdr:colOff>685800</xdr:colOff>
      <xdr:row>75</xdr:row>
      <xdr:rowOff>47625</xdr:rowOff>
    </xdr:from>
    <xdr:ext cx="76200" cy="225425"/>
    <xdr:sp macro="" textlink="">
      <xdr:nvSpPr>
        <xdr:cNvPr id="182" name="Text Box 1">
          <a:extLst>
            <a:ext uri="{FF2B5EF4-FFF2-40B4-BE49-F238E27FC236}">
              <a16:creationId xmlns:a16="http://schemas.microsoft.com/office/drawing/2014/main" id="{252E7269-7235-411E-9C30-6451E2D22504}"/>
            </a:ext>
          </a:extLst>
        </xdr:cNvPr>
        <xdr:cNvSpPr txBox="1">
          <a:spLocks noChangeArrowheads="1"/>
        </xdr:cNvSpPr>
      </xdr:nvSpPr>
      <xdr:spPr bwMode="auto">
        <a:xfrm>
          <a:off x="685800" y="9564158"/>
          <a:ext cx="76200" cy="225425"/>
        </a:xfrm>
        <a:prstGeom prst="rect">
          <a:avLst/>
        </a:prstGeom>
        <a:noFill/>
        <a:ln w="9525">
          <a:noFill/>
          <a:miter lim="800000"/>
          <a:headEnd/>
          <a:tailEnd/>
        </a:ln>
      </xdr:spPr>
    </xdr:sp>
    <xdr:clientData/>
  </xdr:oneCellAnchor>
  <xdr:oneCellAnchor>
    <xdr:from>
      <xdr:col>0</xdr:col>
      <xdr:colOff>685800</xdr:colOff>
      <xdr:row>75</xdr:row>
      <xdr:rowOff>47625</xdr:rowOff>
    </xdr:from>
    <xdr:ext cx="76200" cy="225425"/>
    <xdr:sp macro="" textlink="">
      <xdr:nvSpPr>
        <xdr:cNvPr id="183" name="Text Box 1">
          <a:extLst>
            <a:ext uri="{FF2B5EF4-FFF2-40B4-BE49-F238E27FC236}">
              <a16:creationId xmlns:a16="http://schemas.microsoft.com/office/drawing/2014/main" id="{72959D4F-4422-4272-B3FF-1C086DCF0FAA}"/>
            </a:ext>
          </a:extLst>
        </xdr:cNvPr>
        <xdr:cNvSpPr txBox="1">
          <a:spLocks noChangeArrowheads="1"/>
        </xdr:cNvSpPr>
      </xdr:nvSpPr>
      <xdr:spPr bwMode="auto">
        <a:xfrm>
          <a:off x="685800" y="9564158"/>
          <a:ext cx="76200" cy="225425"/>
        </a:xfrm>
        <a:prstGeom prst="rect">
          <a:avLst/>
        </a:prstGeom>
        <a:noFill/>
        <a:ln w="9525">
          <a:noFill/>
          <a:miter lim="800000"/>
          <a:headEnd/>
          <a:tailEnd/>
        </a:ln>
      </xdr:spPr>
    </xdr:sp>
    <xdr:clientData/>
  </xdr:oneCellAnchor>
  <xdr:oneCellAnchor>
    <xdr:from>
      <xdr:col>0</xdr:col>
      <xdr:colOff>685800</xdr:colOff>
      <xdr:row>77</xdr:row>
      <xdr:rowOff>47625</xdr:rowOff>
    </xdr:from>
    <xdr:ext cx="76200" cy="225425"/>
    <xdr:sp macro="" textlink="">
      <xdr:nvSpPr>
        <xdr:cNvPr id="184" name="Text Box 1">
          <a:extLst>
            <a:ext uri="{FF2B5EF4-FFF2-40B4-BE49-F238E27FC236}">
              <a16:creationId xmlns:a16="http://schemas.microsoft.com/office/drawing/2014/main" id="{EB059BD6-CBB7-491A-BE03-D712E225A2BA}"/>
            </a:ext>
          </a:extLst>
        </xdr:cNvPr>
        <xdr:cNvSpPr txBox="1">
          <a:spLocks noChangeArrowheads="1"/>
        </xdr:cNvSpPr>
      </xdr:nvSpPr>
      <xdr:spPr bwMode="auto">
        <a:xfrm>
          <a:off x="685800" y="9386358"/>
          <a:ext cx="76200" cy="225425"/>
        </a:xfrm>
        <a:prstGeom prst="rect">
          <a:avLst/>
        </a:prstGeom>
        <a:noFill/>
        <a:ln w="9525">
          <a:noFill/>
          <a:miter lim="800000"/>
          <a:headEnd/>
          <a:tailEnd/>
        </a:ln>
      </xdr:spPr>
    </xdr:sp>
    <xdr:clientData/>
  </xdr:oneCellAnchor>
  <xdr:oneCellAnchor>
    <xdr:from>
      <xdr:col>0</xdr:col>
      <xdr:colOff>685800</xdr:colOff>
      <xdr:row>77</xdr:row>
      <xdr:rowOff>47625</xdr:rowOff>
    </xdr:from>
    <xdr:ext cx="76200" cy="225425"/>
    <xdr:sp macro="" textlink="">
      <xdr:nvSpPr>
        <xdr:cNvPr id="185" name="Text Box 1">
          <a:extLst>
            <a:ext uri="{FF2B5EF4-FFF2-40B4-BE49-F238E27FC236}">
              <a16:creationId xmlns:a16="http://schemas.microsoft.com/office/drawing/2014/main" id="{0E3C6574-34A2-4985-A677-CD9870BFDC05}"/>
            </a:ext>
          </a:extLst>
        </xdr:cNvPr>
        <xdr:cNvSpPr txBox="1">
          <a:spLocks noChangeArrowheads="1"/>
        </xdr:cNvSpPr>
      </xdr:nvSpPr>
      <xdr:spPr bwMode="auto">
        <a:xfrm>
          <a:off x="685800" y="93863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86" name="Text Box 1">
          <a:extLst>
            <a:ext uri="{FF2B5EF4-FFF2-40B4-BE49-F238E27FC236}">
              <a16:creationId xmlns:a16="http://schemas.microsoft.com/office/drawing/2014/main" id="{A233A73A-C693-42BD-803E-4CA5A9B6438B}"/>
            </a:ext>
          </a:extLst>
        </xdr:cNvPr>
        <xdr:cNvSpPr txBox="1">
          <a:spLocks noChangeArrowheads="1"/>
        </xdr:cNvSpPr>
      </xdr:nvSpPr>
      <xdr:spPr bwMode="auto">
        <a:xfrm>
          <a:off x="685800" y="95641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187" name="Text Box 1">
          <a:extLst>
            <a:ext uri="{FF2B5EF4-FFF2-40B4-BE49-F238E27FC236}">
              <a16:creationId xmlns:a16="http://schemas.microsoft.com/office/drawing/2014/main" id="{A932F5B5-5AD3-4E84-84E2-68CF97A53AAF}"/>
            </a:ext>
          </a:extLst>
        </xdr:cNvPr>
        <xdr:cNvSpPr txBox="1">
          <a:spLocks noChangeArrowheads="1"/>
        </xdr:cNvSpPr>
      </xdr:nvSpPr>
      <xdr:spPr bwMode="auto">
        <a:xfrm>
          <a:off x="685800" y="9564158"/>
          <a:ext cx="76200" cy="225425"/>
        </a:xfrm>
        <a:prstGeom prst="rect">
          <a:avLst/>
        </a:prstGeom>
        <a:noFill/>
        <a:ln w="9525">
          <a:noFill/>
          <a:miter lim="800000"/>
          <a:headEnd/>
          <a:tailEnd/>
        </a:ln>
      </xdr:spPr>
    </xdr:sp>
    <xdr:clientData/>
  </xdr:oneCellAnchor>
  <xdr:oneCellAnchor>
    <xdr:from>
      <xdr:col>0</xdr:col>
      <xdr:colOff>685800</xdr:colOff>
      <xdr:row>22</xdr:row>
      <xdr:rowOff>47625</xdr:rowOff>
    </xdr:from>
    <xdr:ext cx="76200" cy="225425"/>
    <xdr:sp macro="" textlink="">
      <xdr:nvSpPr>
        <xdr:cNvPr id="262" name="Text Box 1">
          <a:extLst>
            <a:ext uri="{FF2B5EF4-FFF2-40B4-BE49-F238E27FC236}">
              <a16:creationId xmlns:a16="http://schemas.microsoft.com/office/drawing/2014/main" id="{861D6390-D423-45B8-81DC-0FC0EA48BCF7}"/>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27</xdr:row>
      <xdr:rowOff>47625</xdr:rowOff>
    </xdr:from>
    <xdr:ext cx="76200" cy="225425"/>
    <xdr:sp macro="" textlink="">
      <xdr:nvSpPr>
        <xdr:cNvPr id="265" name="Text Box 1">
          <a:extLst>
            <a:ext uri="{FF2B5EF4-FFF2-40B4-BE49-F238E27FC236}">
              <a16:creationId xmlns:a16="http://schemas.microsoft.com/office/drawing/2014/main" id="{FE7D06C4-BFEF-45C4-9020-FD0C525756D4}"/>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27</xdr:row>
      <xdr:rowOff>47625</xdr:rowOff>
    </xdr:from>
    <xdr:ext cx="76200" cy="225425"/>
    <xdr:sp macro="" textlink="">
      <xdr:nvSpPr>
        <xdr:cNvPr id="266" name="Text Box 1">
          <a:extLst>
            <a:ext uri="{FF2B5EF4-FFF2-40B4-BE49-F238E27FC236}">
              <a16:creationId xmlns:a16="http://schemas.microsoft.com/office/drawing/2014/main" id="{B65E396D-43E9-4FE2-8AE3-394AA30EA51C}"/>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28</xdr:row>
      <xdr:rowOff>47625</xdr:rowOff>
    </xdr:from>
    <xdr:ext cx="76200" cy="225425"/>
    <xdr:sp macro="" textlink="">
      <xdr:nvSpPr>
        <xdr:cNvPr id="267" name="Text Box 1">
          <a:extLst>
            <a:ext uri="{FF2B5EF4-FFF2-40B4-BE49-F238E27FC236}">
              <a16:creationId xmlns:a16="http://schemas.microsoft.com/office/drawing/2014/main" id="{1ECA9905-AF59-4DC9-A23F-DD3842221EEC}"/>
            </a:ext>
          </a:extLst>
        </xdr:cNvPr>
        <xdr:cNvSpPr txBox="1">
          <a:spLocks noChangeArrowheads="1"/>
        </xdr:cNvSpPr>
      </xdr:nvSpPr>
      <xdr:spPr bwMode="auto">
        <a:xfrm>
          <a:off x="685800" y="1740958"/>
          <a:ext cx="76200" cy="225425"/>
        </a:xfrm>
        <a:prstGeom prst="rect">
          <a:avLst/>
        </a:prstGeom>
        <a:noFill/>
        <a:ln w="9525">
          <a:noFill/>
          <a:miter lim="800000"/>
          <a:headEnd/>
          <a:tailEnd/>
        </a:ln>
      </xdr:spPr>
    </xdr:sp>
    <xdr:clientData/>
  </xdr:oneCellAnchor>
  <xdr:oneCellAnchor>
    <xdr:from>
      <xdr:col>0</xdr:col>
      <xdr:colOff>685800</xdr:colOff>
      <xdr:row>31</xdr:row>
      <xdr:rowOff>47625</xdr:rowOff>
    </xdr:from>
    <xdr:ext cx="76200" cy="225425"/>
    <xdr:sp macro="" textlink="">
      <xdr:nvSpPr>
        <xdr:cNvPr id="268" name="Text Box 1">
          <a:extLst>
            <a:ext uri="{FF2B5EF4-FFF2-40B4-BE49-F238E27FC236}">
              <a16:creationId xmlns:a16="http://schemas.microsoft.com/office/drawing/2014/main" id="{EC052A8F-6563-4777-8AA2-DF57E7428E63}"/>
            </a:ext>
          </a:extLst>
        </xdr:cNvPr>
        <xdr:cNvSpPr txBox="1">
          <a:spLocks noChangeArrowheads="1"/>
        </xdr:cNvSpPr>
      </xdr:nvSpPr>
      <xdr:spPr bwMode="auto">
        <a:xfrm>
          <a:off x="685800" y="2274358"/>
          <a:ext cx="76200" cy="225425"/>
        </a:xfrm>
        <a:prstGeom prst="rect">
          <a:avLst/>
        </a:prstGeom>
        <a:noFill/>
        <a:ln w="9525">
          <a:noFill/>
          <a:miter lim="800000"/>
          <a:headEnd/>
          <a:tailEnd/>
        </a:ln>
      </xdr:spPr>
    </xdr:sp>
    <xdr:clientData/>
  </xdr:oneCellAnchor>
  <xdr:oneCellAnchor>
    <xdr:from>
      <xdr:col>0</xdr:col>
      <xdr:colOff>685800</xdr:colOff>
      <xdr:row>32</xdr:row>
      <xdr:rowOff>47625</xdr:rowOff>
    </xdr:from>
    <xdr:ext cx="76200" cy="225425"/>
    <xdr:sp macro="" textlink="">
      <xdr:nvSpPr>
        <xdr:cNvPr id="269" name="Text Box 1">
          <a:extLst>
            <a:ext uri="{FF2B5EF4-FFF2-40B4-BE49-F238E27FC236}">
              <a16:creationId xmlns:a16="http://schemas.microsoft.com/office/drawing/2014/main" id="{538894C5-E6D7-4D39-9EDB-64081D119AF4}"/>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32</xdr:row>
      <xdr:rowOff>47625</xdr:rowOff>
    </xdr:from>
    <xdr:ext cx="76200" cy="225425"/>
    <xdr:sp macro="" textlink="">
      <xdr:nvSpPr>
        <xdr:cNvPr id="270" name="Text Box 1">
          <a:extLst>
            <a:ext uri="{FF2B5EF4-FFF2-40B4-BE49-F238E27FC236}">
              <a16:creationId xmlns:a16="http://schemas.microsoft.com/office/drawing/2014/main" id="{E33C12D6-7990-4416-A07A-1679C9ABBFE9}"/>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32</xdr:row>
      <xdr:rowOff>47625</xdr:rowOff>
    </xdr:from>
    <xdr:ext cx="76200" cy="225425"/>
    <xdr:sp macro="" textlink="">
      <xdr:nvSpPr>
        <xdr:cNvPr id="271" name="Text Box 1">
          <a:extLst>
            <a:ext uri="{FF2B5EF4-FFF2-40B4-BE49-F238E27FC236}">
              <a16:creationId xmlns:a16="http://schemas.microsoft.com/office/drawing/2014/main" id="{27D0B9CC-0FF3-4284-ADE2-54C4E8CDA54D}"/>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33</xdr:row>
      <xdr:rowOff>47625</xdr:rowOff>
    </xdr:from>
    <xdr:ext cx="76200" cy="225425"/>
    <xdr:sp macro="" textlink="">
      <xdr:nvSpPr>
        <xdr:cNvPr id="272" name="Text Box 1">
          <a:extLst>
            <a:ext uri="{FF2B5EF4-FFF2-40B4-BE49-F238E27FC236}">
              <a16:creationId xmlns:a16="http://schemas.microsoft.com/office/drawing/2014/main" id="{233D0129-1C59-4970-A32D-AFF67BF423BB}"/>
            </a:ext>
          </a:extLst>
        </xdr:cNvPr>
        <xdr:cNvSpPr txBox="1">
          <a:spLocks noChangeArrowheads="1"/>
        </xdr:cNvSpPr>
      </xdr:nvSpPr>
      <xdr:spPr bwMode="auto">
        <a:xfrm>
          <a:off x="685800" y="1740958"/>
          <a:ext cx="76200" cy="225425"/>
        </a:xfrm>
        <a:prstGeom prst="rect">
          <a:avLst/>
        </a:prstGeom>
        <a:noFill/>
        <a:ln w="9525">
          <a:noFill/>
          <a:miter lim="800000"/>
          <a:headEnd/>
          <a:tailEnd/>
        </a:ln>
      </xdr:spPr>
    </xdr:sp>
    <xdr:clientData/>
  </xdr:oneCellAnchor>
  <xdr:oneCellAnchor>
    <xdr:from>
      <xdr:col>0</xdr:col>
      <xdr:colOff>685800</xdr:colOff>
      <xdr:row>36</xdr:row>
      <xdr:rowOff>47625</xdr:rowOff>
    </xdr:from>
    <xdr:ext cx="76200" cy="225425"/>
    <xdr:sp macro="" textlink="">
      <xdr:nvSpPr>
        <xdr:cNvPr id="273" name="Text Box 1">
          <a:extLst>
            <a:ext uri="{FF2B5EF4-FFF2-40B4-BE49-F238E27FC236}">
              <a16:creationId xmlns:a16="http://schemas.microsoft.com/office/drawing/2014/main" id="{EA09F2B2-1346-49DB-B65A-97480AB4D778}"/>
            </a:ext>
          </a:extLst>
        </xdr:cNvPr>
        <xdr:cNvSpPr txBox="1">
          <a:spLocks noChangeArrowheads="1"/>
        </xdr:cNvSpPr>
      </xdr:nvSpPr>
      <xdr:spPr bwMode="auto">
        <a:xfrm>
          <a:off x="685800" y="2274358"/>
          <a:ext cx="76200" cy="225425"/>
        </a:xfrm>
        <a:prstGeom prst="rect">
          <a:avLst/>
        </a:prstGeom>
        <a:noFill/>
        <a:ln w="9525">
          <a:noFill/>
          <a:miter lim="800000"/>
          <a:headEnd/>
          <a:tailEnd/>
        </a:ln>
      </xdr:spPr>
    </xdr:sp>
    <xdr:clientData/>
  </xdr:oneCellAnchor>
  <xdr:oneCellAnchor>
    <xdr:from>
      <xdr:col>0</xdr:col>
      <xdr:colOff>685800</xdr:colOff>
      <xdr:row>37</xdr:row>
      <xdr:rowOff>47625</xdr:rowOff>
    </xdr:from>
    <xdr:ext cx="76200" cy="225425"/>
    <xdr:sp macro="" textlink="">
      <xdr:nvSpPr>
        <xdr:cNvPr id="274" name="Text Box 1">
          <a:extLst>
            <a:ext uri="{FF2B5EF4-FFF2-40B4-BE49-F238E27FC236}">
              <a16:creationId xmlns:a16="http://schemas.microsoft.com/office/drawing/2014/main" id="{F8482BAA-70FE-4F8B-AB15-4141CCCDA011}"/>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37</xdr:row>
      <xdr:rowOff>47625</xdr:rowOff>
    </xdr:from>
    <xdr:ext cx="76200" cy="225425"/>
    <xdr:sp macro="" textlink="">
      <xdr:nvSpPr>
        <xdr:cNvPr id="275" name="Text Box 1">
          <a:extLst>
            <a:ext uri="{FF2B5EF4-FFF2-40B4-BE49-F238E27FC236}">
              <a16:creationId xmlns:a16="http://schemas.microsoft.com/office/drawing/2014/main" id="{23075DC3-B1B5-407B-A078-10925A6A7246}"/>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37</xdr:row>
      <xdr:rowOff>47625</xdr:rowOff>
    </xdr:from>
    <xdr:ext cx="76200" cy="225425"/>
    <xdr:sp macro="" textlink="">
      <xdr:nvSpPr>
        <xdr:cNvPr id="276" name="Text Box 1">
          <a:extLst>
            <a:ext uri="{FF2B5EF4-FFF2-40B4-BE49-F238E27FC236}">
              <a16:creationId xmlns:a16="http://schemas.microsoft.com/office/drawing/2014/main" id="{FAE2FF99-1027-49EE-B0C5-8089514CAA1F}"/>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38</xdr:row>
      <xdr:rowOff>47625</xdr:rowOff>
    </xdr:from>
    <xdr:ext cx="76200" cy="225425"/>
    <xdr:sp macro="" textlink="">
      <xdr:nvSpPr>
        <xdr:cNvPr id="277" name="Text Box 1">
          <a:extLst>
            <a:ext uri="{FF2B5EF4-FFF2-40B4-BE49-F238E27FC236}">
              <a16:creationId xmlns:a16="http://schemas.microsoft.com/office/drawing/2014/main" id="{8E08BA2B-37C0-4DFD-BC6F-FC244BA53A23}"/>
            </a:ext>
          </a:extLst>
        </xdr:cNvPr>
        <xdr:cNvSpPr txBox="1">
          <a:spLocks noChangeArrowheads="1"/>
        </xdr:cNvSpPr>
      </xdr:nvSpPr>
      <xdr:spPr bwMode="auto">
        <a:xfrm>
          <a:off x="685800" y="1740958"/>
          <a:ext cx="76200" cy="225425"/>
        </a:xfrm>
        <a:prstGeom prst="rect">
          <a:avLst/>
        </a:prstGeom>
        <a:noFill/>
        <a:ln w="9525">
          <a:noFill/>
          <a:miter lim="800000"/>
          <a:headEnd/>
          <a:tailEnd/>
        </a:ln>
      </xdr:spPr>
    </xdr:sp>
    <xdr:clientData/>
  </xdr:oneCellAnchor>
  <xdr:oneCellAnchor>
    <xdr:from>
      <xdr:col>0</xdr:col>
      <xdr:colOff>685800</xdr:colOff>
      <xdr:row>41</xdr:row>
      <xdr:rowOff>47625</xdr:rowOff>
    </xdr:from>
    <xdr:ext cx="76200" cy="225425"/>
    <xdr:sp macro="" textlink="">
      <xdr:nvSpPr>
        <xdr:cNvPr id="278" name="Text Box 1">
          <a:extLst>
            <a:ext uri="{FF2B5EF4-FFF2-40B4-BE49-F238E27FC236}">
              <a16:creationId xmlns:a16="http://schemas.microsoft.com/office/drawing/2014/main" id="{4642234F-19AE-4769-AB24-FEE139CF961D}"/>
            </a:ext>
          </a:extLst>
        </xdr:cNvPr>
        <xdr:cNvSpPr txBox="1">
          <a:spLocks noChangeArrowheads="1"/>
        </xdr:cNvSpPr>
      </xdr:nvSpPr>
      <xdr:spPr bwMode="auto">
        <a:xfrm>
          <a:off x="685800" y="2274358"/>
          <a:ext cx="76200" cy="225425"/>
        </a:xfrm>
        <a:prstGeom prst="rect">
          <a:avLst/>
        </a:prstGeom>
        <a:noFill/>
        <a:ln w="9525">
          <a:noFill/>
          <a:miter lim="800000"/>
          <a:headEnd/>
          <a:tailEnd/>
        </a:ln>
      </xdr:spPr>
    </xdr:sp>
    <xdr:clientData/>
  </xdr:oneCellAnchor>
  <xdr:oneCellAnchor>
    <xdr:from>
      <xdr:col>0</xdr:col>
      <xdr:colOff>685800</xdr:colOff>
      <xdr:row>42</xdr:row>
      <xdr:rowOff>47625</xdr:rowOff>
    </xdr:from>
    <xdr:ext cx="76200" cy="225425"/>
    <xdr:sp macro="" textlink="">
      <xdr:nvSpPr>
        <xdr:cNvPr id="279" name="Text Box 1">
          <a:extLst>
            <a:ext uri="{FF2B5EF4-FFF2-40B4-BE49-F238E27FC236}">
              <a16:creationId xmlns:a16="http://schemas.microsoft.com/office/drawing/2014/main" id="{9AF956F3-1744-468B-A707-FE8DA8B665AA}"/>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42</xdr:row>
      <xdr:rowOff>47625</xdr:rowOff>
    </xdr:from>
    <xdr:ext cx="76200" cy="225425"/>
    <xdr:sp macro="" textlink="">
      <xdr:nvSpPr>
        <xdr:cNvPr id="280" name="Text Box 1">
          <a:extLst>
            <a:ext uri="{FF2B5EF4-FFF2-40B4-BE49-F238E27FC236}">
              <a16:creationId xmlns:a16="http://schemas.microsoft.com/office/drawing/2014/main" id="{72AA6A11-B91A-4527-9D95-2793F8F756D5}"/>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42</xdr:row>
      <xdr:rowOff>47625</xdr:rowOff>
    </xdr:from>
    <xdr:ext cx="76200" cy="225425"/>
    <xdr:sp macro="" textlink="">
      <xdr:nvSpPr>
        <xdr:cNvPr id="281" name="Text Box 1">
          <a:extLst>
            <a:ext uri="{FF2B5EF4-FFF2-40B4-BE49-F238E27FC236}">
              <a16:creationId xmlns:a16="http://schemas.microsoft.com/office/drawing/2014/main" id="{184EB604-B02C-41F7-8399-387B0DB5D128}"/>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43</xdr:row>
      <xdr:rowOff>47625</xdr:rowOff>
    </xdr:from>
    <xdr:ext cx="76200" cy="225425"/>
    <xdr:sp macro="" textlink="">
      <xdr:nvSpPr>
        <xdr:cNvPr id="282" name="Text Box 1">
          <a:extLst>
            <a:ext uri="{FF2B5EF4-FFF2-40B4-BE49-F238E27FC236}">
              <a16:creationId xmlns:a16="http://schemas.microsoft.com/office/drawing/2014/main" id="{4B7E4CD5-8BAB-4AF7-8FBF-F20BACC71FDC}"/>
            </a:ext>
          </a:extLst>
        </xdr:cNvPr>
        <xdr:cNvSpPr txBox="1">
          <a:spLocks noChangeArrowheads="1"/>
        </xdr:cNvSpPr>
      </xdr:nvSpPr>
      <xdr:spPr bwMode="auto">
        <a:xfrm>
          <a:off x="685800" y="1740958"/>
          <a:ext cx="76200" cy="225425"/>
        </a:xfrm>
        <a:prstGeom prst="rect">
          <a:avLst/>
        </a:prstGeom>
        <a:noFill/>
        <a:ln w="9525">
          <a:noFill/>
          <a:miter lim="800000"/>
          <a:headEnd/>
          <a:tailEnd/>
        </a:ln>
      </xdr:spPr>
    </xdr:sp>
    <xdr:clientData/>
  </xdr:oneCellAnchor>
  <xdr:oneCellAnchor>
    <xdr:from>
      <xdr:col>0</xdr:col>
      <xdr:colOff>685800</xdr:colOff>
      <xdr:row>46</xdr:row>
      <xdr:rowOff>47625</xdr:rowOff>
    </xdr:from>
    <xdr:ext cx="76200" cy="225425"/>
    <xdr:sp macro="" textlink="">
      <xdr:nvSpPr>
        <xdr:cNvPr id="283" name="Text Box 1">
          <a:extLst>
            <a:ext uri="{FF2B5EF4-FFF2-40B4-BE49-F238E27FC236}">
              <a16:creationId xmlns:a16="http://schemas.microsoft.com/office/drawing/2014/main" id="{F973727A-2ACC-4EE4-AC40-9EF1FF568319}"/>
            </a:ext>
          </a:extLst>
        </xdr:cNvPr>
        <xdr:cNvSpPr txBox="1">
          <a:spLocks noChangeArrowheads="1"/>
        </xdr:cNvSpPr>
      </xdr:nvSpPr>
      <xdr:spPr bwMode="auto">
        <a:xfrm>
          <a:off x="685800" y="2274358"/>
          <a:ext cx="76200" cy="225425"/>
        </a:xfrm>
        <a:prstGeom prst="rect">
          <a:avLst/>
        </a:prstGeom>
        <a:noFill/>
        <a:ln w="9525">
          <a:noFill/>
          <a:miter lim="800000"/>
          <a:headEnd/>
          <a:tailEnd/>
        </a:ln>
      </xdr:spPr>
    </xdr:sp>
    <xdr:clientData/>
  </xdr:oneCellAnchor>
  <xdr:oneCellAnchor>
    <xdr:from>
      <xdr:col>0</xdr:col>
      <xdr:colOff>685800</xdr:colOff>
      <xdr:row>47</xdr:row>
      <xdr:rowOff>47625</xdr:rowOff>
    </xdr:from>
    <xdr:ext cx="76200" cy="225425"/>
    <xdr:sp macro="" textlink="">
      <xdr:nvSpPr>
        <xdr:cNvPr id="284" name="Text Box 1">
          <a:extLst>
            <a:ext uri="{FF2B5EF4-FFF2-40B4-BE49-F238E27FC236}">
              <a16:creationId xmlns:a16="http://schemas.microsoft.com/office/drawing/2014/main" id="{5A637E5B-3103-4785-9BD0-F2834744F35A}"/>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47</xdr:row>
      <xdr:rowOff>47625</xdr:rowOff>
    </xdr:from>
    <xdr:ext cx="76200" cy="225425"/>
    <xdr:sp macro="" textlink="">
      <xdr:nvSpPr>
        <xdr:cNvPr id="285" name="Text Box 1">
          <a:extLst>
            <a:ext uri="{FF2B5EF4-FFF2-40B4-BE49-F238E27FC236}">
              <a16:creationId xmlns:a16="http://schemas.microsoft.com/office/drawing/2014/main" id="{199171FA-0769-49D9-AF15-B73D46991E56}"/>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47</xdr:row>
      <xdr:rowOff>47625</xdr:rowOff>
    </xdr:from>
    <xdr:ext cx="76200" cy="225425"/>
    <xdr:sp macro="" textlink="">
      <xdr:nvSpPr>
        <xdr:cNvPr id="286" name="Text Box 1">
          <a:extLst>
            <a:ext uri="{FF2B5EF4-FFF2-40B4-BE49-F238E27FC236}">
              <a16:creationId xmlns:a16="http://schemas.microsoft.com/office/drawing/2014/main" id="{C8835F2B-7F2A-4DF7-BF50-FBD62198F92F}"/>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48</xdr:row>
      <xdr:rowOff>47625</xdr:rowOff>
    </xdr:from>
    <xdr:ext cx="76200" cy="225425"/>
    <xdr:sp macro="" textlink="">
      <xdr:nvSpPr>
        <xdr:cNvPr id="287" name="Text Box 1">
          <a:extLst>
            <a:ext uri="{FF2B5EF4-FFF2-40B4-BE49-F238E27FC236}">
              <a16:creationId xmlns:a16="http://schemas.microsoft.com/office/drawing/2014/main" id="{63C9AE25-8CA2-494B-93A2-08ED13FFF04D}"/>
            </a:ext>
          </a:extLst>
        </xdr:cNvPr>
        <xdr:cNvSpPr txBox="1">
          <a:spLocks noChangeArrowheads="1"/>
        </xdr:cNvSpPr>
      </xdr:nvSpPr>
      <xdr:spPr bwMode="auto">
        <a:xfrm>
          <a:off x="685800" y="1740958"/>
          <a:ext cx="76200" cy="225425"/>
        </a:xfrm>
        <a:prstGeom prst="rect">
          <a:avLst/>
        </a:prstGeom>
        <a:noFill/>
        <a:ln w="9525">
          <a:noFill/>
          <a:miter lim="800000"/>
          <a:headEnd/>
          <a:tailEnd/>
        </a:ln>
      </xdr:spPr>
    </xdr:sp>
    <xdr:clientData/>
  </xdr:oneCellAnchor>
  <xdr:oneCellAnchor>
    <xdr:from>
      <xdr:col>0</xdr:col>
      <xdr:colOff>685800</xdr:colOff>
      <xdr:row>51</xdr:row>
      <xdr:rowOff>47625</xdr:rowOff>
    </xdr:from>
    <xdr:ext cx="76200" cy="225425"/>
    <xdr:sp macro="" textlink="">
      <xdr:nvSpPr>
        <xdr:cNvPr id="288" name="Text Box 1">
          <a:extLst>
            <a:ext uri="{FF2B5EF4-FFF2-40B4-BE49-F238E27FC236}">
              <a16:creationId xmlns:a16="http://schemas.microsoft.com/office/drawing/2014/main" id="{C52410AC-3415-4E29-AC4F-6A3E00C02D32}"/>
            </a:ext>
          </a:extLst>
        </xdr:cNvPr>
        <xdr:cNvSpPr txBox="1">
          <a:spLocks noChangeArrowheads="1"/>
        </xdr:cNvSpPr>
      </xdr:nvSpPr>
      <xdr:spPr bwMode="auto">
        <a:xfrm>
          <a:off x="685800" y="2274358"/>
          <a:ext cx="76200" cy="225425"/>
        </a:xfrm>
        <a:prstGeom prst="rect">
          <a:avLst/>
        </a:prstGeom>
        <a:noFill/>
        <a:ln w="9525">
          <a:noFill/>
          <a:miter lim="800000"/>
          <a:headEnd/>
          <a:tailEnd/>
        </a:ln>
      </xdr:spPr>
    </xdr:sp>
    <xdr:clientData/>
  </xdr:oneCellAnchor>
  <xdr:oneCellAnchor>
    <xdr:from>
      <xdr:col>0</xdr:col>
      <xdr:colOff>685800</xdr:colOff>
      <xdr:row>52</xdr:row>
      <xdr:rowOff>47625</xdr:rowOff>
    </xdr:from>
    <xdr:ext cx="76200" cy="225425"/>
    <xdr:sp macro="" textlink="">
      <xdr:nvSpPr>
        <xdr:cNvPr id="289" name="Text Box 1">
          <a:extLst>
            <a:ext uri="{FF2B5EF4-FFF2-40B4-BE49-F238E27FC236}">
              <a16:creationId xmlns:a16="http://schemas.microsoft.com/office/drawing/2014/main" id="{299C9394-2CDE-42E7-AC32-BDB673783775}"/>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52</xdr:row>
      <xdr:rowOff>47625</xdr:rowOff>
    </xdr:from>
    <xdr:ext cx="76200" cy="225425"/>
    <xdr:sp macro="" textlink="">
      <xdr:nvSpPr>
        <xdr:cNvPr id="290" name="Text Box 1">
          <a:extLst>
            <a:ext uri="{FF2B5EF4-FFF2-40B4-BE49-F238E27FC236}">
              <a16:creationId xmlns:a16="http://schemas.microsoft.com/office/drawing/2014/main" id="{99839FBC-7478-4F63-8720-C0CF11065A73}"/>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52</xdr:row>
      <xdr:rowOff>47625</xdr:rowOff>
    </xdr:from>
    <xdr:ext cx="76200" cy="225425"/>
    <xdr:sp macro="" textlink="">
      <xdr:nvSpPr>
        <xdr:cNvPr id="291" name="Text Box 1">
          <a:extLst>
            <a:ext uri="{FF2B5EF4-FFF2-40B4-BE49-F238E27FC236}">
              <a16:creationId xmlns:a16="http://schemas.microsoft.com/office/drawing/2014/main" id="{4B293864-4370-4DAD-B7CA-97A476D0A3D0}"/>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56</xdr:row>
      <xdr:rowOff>47625</xdr:rowOff>
    </xdr:from>
    <xdr:ext cx="76200" cy="225425"/>
    <xdr:sp macro="" textlink="">
      <xdr:nvSpPr>
        <xdr:cNvPr id="293" name="Text Box 1">
          <a:extLst>
            <a:ext uri="{FF2B5EF4-FFF2-40B4-BE49-F238E27FC236}">
              <a16:creationId xmlns:a16="http://schemas.microsoft.com/office/drawing/2014/main" id="{A94BE69B-F13B-4D0F-B9A2-C3E0FF282701}"/>
            </a:ext>
          </a:extLst>
        </xdr:cNvPr>
        <xdr:cNvSpPr txBox="1">
          <a:spLocks noChangeArrowheads="1"/>
        </xdr:cNvSpPr>
      </xdr:nvSpPr>
      <xdr:spPr bwMode="auto">
        <a:xfrm>
          <a:off x="685800" y="2274358"/>
          <a:ext cx="76200" cy="225425"/>
        </a:xfrm>
        <a:prstGeom prst="rect">
          <a:avLst/>
        </a:prstGeom>
        <a:noFill/>
        <a:ln w="9525">
          <a:noFill/>
          <a:miter lim="800000"/>
          <a:headEnd/>
          <a:tailEnd/>
        </a:ln>
      </xdr:spPr>
    </xdr:sp>
    <xdr:clientData/>
  </xdr:oneCellAnchor>
  <xdr:oneCellAnchor>
    <xdr:from>
      <xdr:col>0</xdr:col>
      <xdr:colOff>685800</xdr:colOff>
      <xdr:row>57</xdr:row>
      <xdr:rowOff>47625</xdr:rowOff>
    </xdr:from>
    <xdr:ext cx="76200" cy="225425"/>
    <xdr:sp macro="" textlink="">
      <xdr:nvSpPr>
        <xdr:cNvPr id="294" name="Text Box 1">
          <a:extLst>
            <a:ext uri="{FF2B5EF4-FFF2-40B4-BE49-F238E27FC236}">
              <a16:creationId xmlns:a16="http://schemas.microsoft.com/office/drawing/2014/main" id="{D941D128-D02E-4674-BF30-1489C1687298}"/>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57</xdr:row>
      <xdr:rowOff>47625</xdr:rowOff>
    </xdr:from>
    <xdr:ext cx="76200" cy="225425"/>
    <xdr:sp macro="" textlink="">
      <xdr:nvSpPr>
        <xdr:cNvPr id="295" name="Text Box 1">
          <a:extLst>
            <a:ext uri="{FF2B5EF4-FFF2-40B4-BE49-F238E27FC236}">
              <a16:creationId xmlns:a16="http://schemas.microsoft.com/office/drawing/2014/main" id="{66AFDC35-F5F2-4B42-918B-3A6F1EB2F7B0}"/>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57</xdr:row>
      <xdr:rowOff>47625</xdr:rowOff>
    </xdr:from>
    <xdr:ext cx="76200" cy="225425"/>
    <xdr:sp macro="" textlink="">
      <xdr:nvSpPr>
        <xdr:cNvPr id="296" name="Text Box 1">
          <a:extLst>
            <a:ext uri="{FF2B5EF4-FFF2-40B4-BE49-F238E27FC236}">
              <a16:creationId xmlns:a16="http://schemas.microsoft.com/office/drawing/2014/main" id="{8B9FC1CD-4E83-4748-BA28-786D162E80CA}"/>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60</xdr:row>
      <xdr:rowOff>47625</xdr:rowOff>
    </xdr:from>
    <xdr:ext cx="76200" cy="225425"/>
    <xdr:sp macro="" textlink="">
      <xdr:nvSpPr>
        <xdr:cNvPr id="298"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2274358"/>
          <a:ext cx="76200" cy="225425"/>
        </a:xfrm>
        <a:prstGeom prst="rect">
          <a:avLst/>
        </a:prstGeom>
        <a:noFill/>
        <a:ln w="9525">
          <a:noFill/>
          <a:miter lim="800000"/>
          <a:headEnd/>
          <a:tailEnd/>
        </a:ln>
      </xdr:spPr>
    </xdr:sp>
    <xdr:clientData/>
  </xdr:oneCellAnchor>
  <xdr:oneCellAnchor>
    <xdr:from>
      <xdr:col>0</xdr:col>
      <xdr:colOff>685800</xdr:colOff>
      <xdr:row>63</xdr:row>
      <xdr:rowOff>47625</xdr:rowOff>
    </xdr:from>
    <xdr:ext cx="76200" cy="225425"/>
    <xdr:sp macro="" textlink="">
      <xdr:nvSpPr>
        <xdr:cNvPr id="299" name="Text Box 1">
          <a:extLst>
            <a:ext uri="{FF2B5EF4-FFF2-40B4-BE49-F238E27FC236}">
              <a16:creationId xmlns:a16="http://schemas.microsoft.com/office/drawing/2014/main" id="{819D99C0-A3BF-4B0D-A43B-AFC6A9DC0451}"/>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63</xdr:row>
      <xdr:rowOff>47625</xdr:rowOff>
    </xdr:from>
    <xdr:ext cx="76200" cy="225425"/>
    <xdr:sp macro="" textlink="">
      <xdr:nvSpPr>
        <xdr:cNvPr id="300" name="Text Box 1">
          <a:extLst>
            <a:ext uri="{FF2B5EF4-FFF2-40B4-BE49-F238E27FC236}">
              <a16:creationId xmlns:a16="http://schemas.microsoft.com/office/drawing/2014/main" id="{5EAAAEB9-15D5-4850-9D4D-C0BD6ACC5375}"/>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63</xdr:row>
      <xdr:rowOff>47625</xdr:rowOff>
    </xdr:from>
    <xdr:ext cx="76200" cy="225425"/>
    <xdr:sp macro="" textlink="">
      <xdr:nvSpPr>
        <xdr:cNvPr id="301" name="Text Box 1">
          <a:extLst>
            <a:ext uri="{FF2B5EF4-FFF2-40B4-BE49-F238E27FC236}">
              <a16:creationId xmlns:a16="http://schemas.microsoft.com/office/drawing/2014/main" id="{D52E30CB-20F1-45AC-A6AC-09E18B96F853}"/>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64</xdr:row>
      <xdr:rowOff>47625</xdr:rowOff>
    </xdr:from>
    <xdr:ext cx="76200" cy="225425"/>
    <xdr:sp macro="" textlink="">
      <xdr:nvSpPr>
        <xdr:cNvPr id="302" name="Text Box 1">
          <a:extLst>
            <a:ext uri="{FF2B5EF4-FFF2-40B4-BE49-F238E27FC236}">
              <a16:creationId xmlns:a16="http://schemas.microsoft.com/office/drawing/2014/main" id="{43844750-6C9F-4273-A0BA-884D6C8E188C}"/>
            </a:ext>
          </a:extLst>
        </xdr:cNvPr>
        <xdr:cNvSpPr txBox="1">
          <a:spLocks noChangeArrowheads="1"/>
        </xdr:cNvSpPr>
      </xdr:nvSpPr>
      <xdr:spPr bwMode="auto">
        <a:xfrm>
          <a:off x="685800" y="1740958"/>
          <a:ext cx="76200" cy="225425"/>
        </a:xfrm>
        <a:prstGeom prst="rect">
          <a:avLst/>
        </a:prstGeom>
        <a:noFill/>
        <a:ln w="9525">
          <a:noFill/>
          <a:miter lim="800000"/>
          <a:headEnd/>
          <a:tailEnd/>
        </a:ln>
      </xdr:spPr>
    </xdr:sp>
    <xdr:clientData/>
  </xdr:oneCellAnchor>
  <xdr:oneCellAnchor>
    <xdr:from>
      <xdr:col>0</xdr:col>
      <xdr:colOff>685800</xdr:colOff>
      <xdr:row>67</xdr:row>
      <xdr:rowOff>47625</xdr:rowOff>
    </xdr:from>
    <xdr:ext cx="76200" cy="225425"/>
    <xdr:sp macro="" textlink="">
      <xdr:nvSpPr>
        <xdr:cNvPr id="303" name="Text Box 1">
          <a:extLst>
            <a:ext uri="{FF2B5EF4-FFF2-40B4-BE49-F238E27FC236}">
              <a16:creationId xmlns:a16="http://schemas.microsoft.com/office/drawing/2014/main" id="{B612AE92-71B2-40F4-96F7-D1C880C8C105}"/>
            </a:ext>
          </a:extLst>
        </xdr:cNvPr>
        <xdr:cNvSpPr txBox="1">
          <a:spLocks noChangeArrowheads="1"/>
        </xdr:cNvSpPr>
      </xdr:nvSpPr>
      <xdr:spPr bwMode="auto">
        <a:xfrm>
          <a:off x="685800" y="2274358"/>
          <a:ext cx="76200" cy="225425"/>
        </a:xfrm>
        <a:prstGeom prst="rect">
          <a:avLst/>
        </a:prstGeom>
        <a:noFill/>
        <a:ln w="9525">
          <a:noFill/>
          <a:miter lim="800000"/>
          <a:headEnd/>
          <a:tailEnd/>
        </a:ln>
      </xdr:spPr>
    </xdr:sp>
    <xdr:clientData/>
  </xdr:oneCellAnchor>
  <xdr:oneCellAnchor>
    <xdr:from>
      <xdr:col>0</xdr:col>
      <xdr:colOff>685800</xdr:colOff>
      <xdr:row>68</xdr:row>
      <xdr:rowOff>47625</xdr:rowOff>
    </xdr:from>
    <xdr:ext cx="76200" cy="225425"/>
    <xdr:sp macro="" textlink="">
      <xdr:nvSpPr>
        <xdr:cNvPr id="304" name="Text Box 1">
          <a:extLst>
            <a:ext uri="{FF2B5EF4-FFF2-40B4-BE49-F238E27FC236}">
              <a16:creationId xmlns:a16="http://schemas.microsoft.com/office/drawing/2014/main" id="{E617457B-3886-477C-AF78-58645F2CF1E9}"/>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68</xdr:row>
      <xdr:rowOff>47625</xdr:rowOff>
    </xdr:from>
    <xdr:ext cx="76200" cy="225425"/>
    <xdr:sp macro="" textlink="">
      <xdr:nvSpPr>
        <xdr:cNvPr id="305" name="Text Box 1">
          <a:extLst>
            <a:ext uri="{FF2B5EF4-FFF2-40B4-BE49-F238E27FC236}">
              <a16:creationId xmlns:a16="http://schemas.microsoft.com/office/drawing/2014/main" id="{925526D7-CD1B-442B-AAA9-576F21943CD1}"/>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68</xdr:row>
      <xdr:rowOff>47625</xdr:rowOff>
    </xdr:from>
    <xdr:ext cx="76200" cy="225425"/>
    <xdr:sp macro="" textlink="">
      <xdr:nvSpPr>
        <xdr:cNvPr id="306" name="Text Box 1">
          <a:extLst>
            <a:ext uri="{FF2B5EF4-FFF2-40B4-BE49-F238E27FC236}">
              <a16:creationId xmlns:a16="http://schemas.microsoft.com/office/drawing/2014/main" id="{FF11BE06-0E6F-44E8-8BDC-582BA1BEE700}"/>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69</xdr:row>
      <xdr:rowOff>47625</xdr:rowOff>
    </xdr:from>
    <xdr:ext cx="76200" cy="225425"/>
    <xdr:sp macro="" textlink="">
      <xdr:nvSpPr>
        <xdr:cNvPr id="307" name="Text Box 1">
          <a:extLst>
            <a:ext uri="{FF2B5EF4-FFF2-40B4-BE49-F238E27FC236}">
              <a16:creationId xmlns:a16="http://schemas.microsoft.com/office/drawing/2014/main" id="{EF8CDDA9-F90D-46A0-9603-11C5BE0F03B9}"/>
            </a:ext>
          </a:extLst>
        </xdr:cNvPr>
        <xdr:cNvSpPr txBox="1">
          <a:spLocks noChangeArrowheads="1"/>
        </xdr:cNvSpPr>
      </xdr:nvSpPr>
      <xdr:spPr bwMode="auto">
        <a:xfrm>
          <a:off x="685800" y="1740958"/>
          <a:ext cx="76200" cy="225425"/>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5425"/>
    <xdr:sp macro="" textlink="">
      <xdr:nvSpPr>
        <xdr:cNvPr id="308" name="Text Box 1">
          <a:extLst>
            <a:ext uri="{FF2B5EF4-FFF2-40B4-BE49-F238E27FC236}">
              <a16:creationId xmlns:a16="http://schemas.microsoft.com/office/drawing/2014/main" id="{ABDDB96B-B710-4A1A-B121-94353B4DFF4C}"/>
            </a:ext>
          </a:extLst>
        </xdr:cNvPr>
        <xdr:cNvSpPr txBox="1">
          <a:spLocks noChangeArrowheads="1"/>
        </xdr:cNvSpPr>
      </xdr:nvSpPr>
      <xdr:spPr bwMode="auto">
        <a:xfrm>
          <a:off x="685800" y="2274358"/>
          <a:ext cx="76200" cy="225425"/>
        </a:xfrm>
        <a:prstGeom prst="rect">
          <a:avLst/>
        </a:prstGeom>
        <a:noFill/>
        <a:ln w="9525">
          <a:noFill/>
          <a:miter lim="800000"/>
          <a:headEnd/>
          <a:tailEnd/>
        </a:ln>
      </xdr:spPr>
    </xdr:sp>
    <xdr:clientData/>
  </xdr:oneCellAnchor>
  <xdr:oneCellAnchor>
    <xdr:from>
      <xdr:col>0</xdr:col>
      <xdr:colOff>685800</xdr:colOff>
      <xdr:row>73</xdr:row>
      <xdr:rowOff>47625</xdr:rowOff>
    </xdr:from>
    <xdr:ext cx="76200" cy="225425"/>
    <xdr:sp macro="" textlink="">
      <xdr:nvSpPr>
        <xdr:cNvPr id="309" name="Text Box 1">
          <a:extLst>
            <a:ext uri="{FF2B5EF4-FFF2-40B4-BE49-F238E27FC236}">
              <a16:creationId xmlns:a16="http://schemas.microsoft.com/office/drawing/2014/main" id="{F7EE8AB9-7FB7-4248-9F7A-839F2188FD84}"/>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73</xdr:row>
      <xdr:rowOff>47625</xdr:rowOff>
    </xdr:from>
    <xdr:ext cx="76200" cy="225425"/>
    <xdr:sp macro="" textlink="">
      <xdr:nvSpPr>
        <xdr:cNvPr id="310" name="Text Box 1">
          <a:extLst>
            <a:ext uri="{FF2B5EF4-FFF2-40B4-BE49-F238E27FC236}">
              <a16:creationId xmlns:a16="http://schemas.microsoft.com/office/drawing/2014/main" id="{6C73120E-780D-405E-9B1D-DD33750059C0}"/>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73</xdr:row>
      <xdr:rowOff>47625</xdr:rowOff>
    </xdr:from>
    <xdr:ext cx="76200" cy="225425"/>
    <xdr:sp macro="" textlink="">
      <xdr:nvSpPr>
        <xdr:cNvPr id="311" name="Text Box 1">
          <a:extLst>
            <a:ext uri="{FF2B5EF4-FFF2-40B4-BE49-F238E27FC236}">
              <a16:creationId xmlns:a16="http://schemas.microsoft.com/office/drawing/2014/main" id="{B475BF38-C6DD-4CB3-B9BC-C461532C7AFF}"/>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74</xdr:row>
      <xdr:rowOff>47625</xdr:rowOff>
    </xdr:from>
    <xdr:ext cx="76200" cy="225425"/>
    <xdr:sp macro="" textlink="">
      <xdr:nvSpPr>
        <xdr:cNvPr id="312" name="Text Box 1">
          <a:extLst>
            <a:ext uri="{FF2B5EF4-FFF2-40B4-BE49-F238E27FC236}">
              <a16:creationId xmlns:a16="http://schemas.microsoft.com/office/drawing/2014/main" id="{77B80FAA-E12A-4DA2-9474-F3D38BD66B24}"/>
            </a:ext>
          </a:extLst>
        </xdr:cNvPr>
        <xdr:cNvSpPr txBox="1">
          <a:spLocks noChangeArrowheads="1"/>
        </xdr:cNvSpPr>
      </xdr:nvSpPr>
      <xdr:spPr bwMode="auto">
        <a:xfrm>
          <a:off x="685800" y="1740958"/>
          <a:ext cx="76200" cy="225425"/>
        </a:xfrm>
        <a:prstGeom prst="rect">
          <a:avLst/>
        </a:prstGeom>
        <a:noFill/>
        <a:ln w="9525">
          <a:noFill/>
          <a:miter lim="800000"/>
          <a:headEnd/>
          <a:tailEnd/>
        </a:ln>
      </xdr:spPr>
    </xdr:sp>
    <xdr:clientData/>
  </xdr:oneCellAnchor>
  <xdr:oneCellAnchor>
    <xdr:from>
      <xdr:col>0</xdr:col>
      <xdr:colOff>685800</xdr:colOff>
      <xdr:row>77</xdr:row>
      <xdr:rowOff>47625</xdr:rowOff>
    </xdr:from>
    <xdr:ext cx="76200" cy="225425"/>
    <xdr:sp macro="" textlink="">
      <xdr:nvSpPr>
        <xdr:cNvPr id="313" name="Text Box 1">
          <a:extLst>
            <a:ext uri="{FF2B5EF4-FFF2-40B4-BE49-F238E27FC236}">
              <a16:creationId xmlns:a16="http://schemas.microsoft.com/office/drawing/2014/main" id="{0932EEF3-5CFF-4B74-99B5-CFE79BFAFFA0}"/>
            </a:ext>
          </a:extLst>
        </xdr:cNvPr>
        <xdr:cNvSpPr txBox="1">
          <a:spLocks noChangeArrowheads="1"/>
        </xdr:cNvSpPr>
      </xdr:nvSpPr>
      <xdr:spPr bwMode="auto">
        <a:xfrm>
          <a:off x="685800" y="22743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314" name="Text Box 1">
          <a:extLst>
            <a:ext uri="{FF2B5EF4-FFF2-40B4-BE49-F238E27FC236}">
              <a16:creationId xmlns:a16="http://schemas.microsoft.com/office/drawing/2014/main" id="{80DF1711-2E46-4C3C-B873-2B182A52F926}"/>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315" name="Text Box 1">
          <a:extLst>
            <a:ext uri="{FF2B5EF4-FFF2-40B4-BE49-F238E27FC236}">
              <a16:creationId xmlns:a16="http://schemas.microsoft.com/office/drawing/2014/main" id="{1E1F15CB-330A-4B82-BBE5-FF6EE505802C}"/>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5425"/>
    <xdr:sp macro="" textlink="">
      <xdr:nvSpPr>
        <xdr:cNvPr id="316" name="Text Box 1">
          <a:extLst>
            <a:ext uri="{FF2B5EF4-FFF2-40B4-BE49-F238E27FC236}">
              <a16:creationId xmlns:a16="http://schemas.microsoft.com/office/drawing/2014/main" id="{24A03303-FDFB-449E-AB1F-8855D5A103EC}"/>
            </a:ext>
          </a:extLst>
        </xdr:cNvPr>
        <xdr:cNvSpPr txBox="1">
          <a:spLocks noChangeArrowheads="1"/>
        </xdr:cNvSpPr>
      </xdr:nvSpPr>
      <xdr:spPr bwMode="auto">
        <a:xfrm>
          <a:off x="685800" y="1563158"/>
          <a:ext cx="76200" cy="225425"/>
        </a:xfrm>
        <a:prstGeom prst="rect">
          <a:avLst/>
        </a:prstGeom>
        <a:noFill/>
        <a:ln w="9525">
          <a:noFill/>
          <a:miter lim="800000"/>
          <a:headEnd/>
          <a:tailEnd/>
        </a:ln>
      </xdr:spPr>
    </xdr:sp>
    <xdr:clientData/>
  </xdr:oneCellAnchor>
  <xdr:oneCellAnchor>
    <xdr:from>
      <xdr:col>0</xdr:col>
      <xdr:colOff>685800</xdr:colOff>
      <xdr:row>79</xdr:row>
      <xdr:rowOff>47625</xdr:rowOff>
    </xdr:from>
    <xdr:ext cx="76200" cy="225425"/>
    <xdr:sp macro="" textlink="">
      <xdr:nvSpPr>
        <xdr:cNvPr id="317" name="Text Box 1">
          <a:extLst>
            <a:ext uri="{FF2B5EF4-FFF2-40B4-BE49-F238E27FC236}">
              <a16:creationId xmlns:a16="http://schemas.microsoft.com/office/drawing/2014/main" id="{FC9E5CA9-691C-4BB0-84F5-A2271D66CB99}"/>
            </a:ext>
          </a:extLst>
        </xdr:cNvPr>
        <xdr:cNvSpPr txBox="1">
          <a:spLocks noChangeArrowheads="1"/>
        </xdr:cNvSpPr>
      </xdr:nvSpPr>
      <xdr:spPr bwMode="auto">
        <a:xfrm>
          <a:off x="685800" y="1740958"/>
          <a:ext cx="76200" cy="22542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5425"/>
    <xdr:sp macro="" textlink="">
      <xdr:nvSpPr>
        <xdr:cNvPr id="318" name="Text Box 1">
          <a:extLst>
            <a:ext uri="{FF2B5EF4-FFF2-40B4-BE49-F238E27FC236}">
              <a16:creationId xmlns:a16="http://schemas.microsoft.com/office/drawing/2014/main" id="{39F3C653-AC7B-4515-969C-4609CF202977}"/>
            </a:ext>
          </a:extLst>
        </xdr:cNvPr>
        <xdr:cNvSpPr txBox="1">
          <a:spLocks noChangeArrowheads="1"/>
        </xdr:cNvSpPr>
      </xdr:nvSpPr>
      <xdr:spPr bwMode="auto">
        <a:xfrm>
          <a:off x="685800" y="2274358"/>
          <a:ext cx="76200" cy="225425"/>
        </a:xfrm>
        <a:prstGeom prst="rect">
          <a:avLst/>
        </a:prstGeom>
        <a:noFill/>
        <a:ln w="9525">
          <a:noFill/>
          <a:miter lim="800000"/>
          <a:headEnd/>
          <a:tailEnd/>
        </a:ln>
      </xdr:spPr>
    </xdr:sp>
    <xdr:clientData/>
  </xdr:oneCellAnchor>
  <xdr:oneCellAnchor>
    <xdr:from>
      <xdr:col>0</xdr:col>
      <xdr:colOff>685800</xdr:colOff>
      <xdr:row>83</xdr:row>
      <xdr:rowOff>47625</xdr:rowOff>
    </xdr:from>
    <xdr:ext cx="76200" cy="225425"/>
    <xdr:sp macro="" textlink="">
      <xdr:nvSpPr>
        <xdr:cNvPr id="319" name="Text Box 1">
          <a:extLst>
            <a:ext uri="{FF2B5EF4-FFF2-40B4-BE49-F238E27FC236}">
              <a16:creationId xmlns:a16="http://schemas.microsoft.com/office/drawing/2014/main" id="{85415E9D-08AC-409D-B6E9-D4B79110E64E}"/>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83</xdr:row>
      <xdr:rowOff>47625</xdr:rowOff>
    </xdr:from>
    <xdr:ext cx="76200" cy="225425"/>
    <xdr:sp macro="" textlink="">
      <xdr:nvSpPr>
        <xdr:cNvPr id="320" name="Text Box 1">
          <a:extLst>
            <a:ext uri="{FF2B5EF4-FFF2-40B4-BE49-F238E27FC236}">
              <a16:creationId xmlns:a16="http://schemas.microsoft.com/office/drawing/2014/main" id="{A4917FE2-8D7C-49BC-8923-EC8CA28FBB98}"/>
            </a:ext>
          </a:extLst>
        </xdr:cNvPr>
        <xdr:cNvSpPr txBox="1">
          <a:spLocks noChangeArrowheads="1"/>
        </xdr:cNvSpPr>
      </xdr:nvSpPr>
      <xdr:spPr bwMode="auto">
        <a:xfrm>
          <a:off x="685800" y="2452158"/>
          <a:ext cx="76200" cy="225425"/>
        </a:xfrm>
        <a:prstGeom prst="rect">
          <a:avLst/>
        </a:prstGeom>
        <a:noFill/>
        <a:ln w="9525">
          <a:noFill/>
          <a:miter lim="800000"/>
          <a:headEnd/>
          <a:tailEnd/>
        </a:ln>
      </xdr:spPr>
    </xdr:sp>
    <xdr:clientData/>
  </xdr:oneCellAnchor>
  <xdr:oneCellAnchor>
    <xdr:from>
      <xdr:col>0</xdr:col>
      <xdr:colOff>685800</xdr:colOff>
      <xdr:row>85</xdr:row>
      <xdr:rowOff>47625</xdr:rowOff>
    </xdr:from>
    <xdr:ext cx="76200" cy="225425"/>
    <xdr:sp macro="" textlink="">
      <xdr:nvSpPr>
        <xdr:cNvPr id="339" name="Text Box 1">
          <a:extLst>
            <a:ext uri="{FF2B5EF4-FFF2-40B4-BE49-F238E27FC236}">
              <a16:creationId xmlns:a16="http://schemas.microsoft.com/office/drawing/2014/main" id="{4E8AA3F0-42BD-467F-A426-D947BED43F27}"/>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85</xdr:row>
      <xdr:rowOff>47625</xdr:rowOff>
    </xdr:from>
    <xdr:ext cx="76200" cy="225425"/>
    <xdr:sp macro="" textlink="">
      <xdr:nvSpPr>
        <xdr:cNvPr id="340" name="Text Box 1">
          <a:extLst>
            <a:ext uri="{FF2B5EF4-FFF2-40B4-BE49-F238E27FC236}">
              <a16:creationId xmlns:a16="http://schemas.microsoft.com/office/drawing/2014/main" id="{72569531-556E-4168-BFD1-B64C24CF4F79}"/>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85</xdr:row>
      <xdr:rowOff>47625</xdr:rowOff>
    </xdr:from>
    <xdr:ext cx="76200" cy="225425"/>
    <xdr:sp macro="" textlink="">
      <xdr:nvSpPr>
        <xdr:cNvPr id="341" name="Text Box 1">
          <a:extLst>
            <a:ext uri="{FF2B5EF4-FFF2-40B4-BE49-F238E27FC236}">
              <a16:creationId xmlns:a16="http://schemas.microsoft.com/office/drawing/2014/main" id="{F5E65BC2-73B7-4ED3-A5AA-05CB9B507270}"/>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85</xdr:row>
      <xdr:rowOff>47625</xdr:rowOff>
    </xdr:from>
    <xdr:ext cx="76200" cy="225425"/>
    <xdr:sp macro="" textlink="">
      <xdr:nvSpPr>
        <xdr:cNvPr id="342" name="Text Box 1">
          <a:extLst>
            <a:ext uri="{FF2B5EF4-FFF2-40B4-BE49-F238E27FC236}">
              <a16:creationId xmlns:a16="http://schemas.microsoft.com/office/drawing/2014/main" id="{A56A7E99-FFF4-411C-9793-2D6555F5E5D9}"/>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85</xdr:row>
      <xdr:rowOff>47625</xdr:rowOff>
    </xdr:from>
    <xdr:ext cx="76200" cy="225425"/>
    <xdr:sp macro="" textlink="">
      <xdr:nvSpPr>
        <xdr:cNvPr id="343" name="Text Box 1">
          <a:extLst>
            <a:ext uri="{FF2B5EF4-FFF2-40B4-BE49-F238E27FC236}">
              <a16:creationId xmlns:a16="http://schemas.microsoft.com/office/drawing/2014/main" id="{3547ADBE-FAAE-473E-A266-EB8AE67E787B}"/>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85</xdr:row>
      <xdr:rowOff>47625</xdr:rowOff>
    </xdr:from>
    <xdr:ext cx="76200" cy="225425"/>
    <xdr:sp macro="" textlink="">
      <xdr:nvSpPr>
        <xdr:cNvPr id="344" name="Text Box 1">
          <a:extLst>
            <a:ext uri="{FF2B5EF4-FFF2-40B4-BE49-F238E27FC236}">
              <a16:creationId xmlns:a16="http://schemas.microsoft.com/office/drawing/2014/main" id="{8EB1526E-BD8A-40FA-AB2B-936DF7D06DC2}"/>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86</xdr:row>
      <xdr:rowOff>47625</xdr:rowOff>
    </xdr:from>
    <xdr:ext cx="76200" cy="225425"/>
    <xdr:sp macro="" textlink="">
      <xdr:nvSpPr>
        <xdr:cNvPr id="345" name="Text Box 1">
          <a:extLst>
            <a:ext uri="{FF2B5EF4-FFF2-40B4-BE49-F238E27FC236}">
              <a16:creationId xmlns:a16="http://schemas.microsoft.com/office/drawing/2014/main" id="{89693D82-B54C-4ECF-8F95-3EC22C6B5A18}"/>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86</xdr:row>
      <xdr:rowOff>47625</xdr:rowOff>
    </xdr:from>
    <xdr:ext cx="76200" cy="225425"/>
    <xdr:sp macro="" textlink="">
      <xdr:nvSpPr>
        <xdr:cNvPr id="346" name="Text Box 1">
          <a:extLst>
            <a:ext uri="{FF2B5EF4-FFF2-40B4-BE49-F238E27FC236}">
              <a16:creationId xmlns:a16="http://schemas.microsoft.com/office/drawing/2014/main" id="{560D5156-D6CA-40FB-9A5A-03659265B24F}"/>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86</xdr:row>
      <xdr:rowOff>47625</xdr:rowOff>
    </xdr:from>
    <xdr:ext cx="76200" cy="225425"/>
    <xdr:sp macro="" textlink="">
      <xdr:nvSpPr>
        <xdr:cNvPr id="347" name="Text Box 1">
          <a:extLst>
            <a:ext uri="{FF2B5EF4-FFF2-40B4-BE49-F238E27FC236}">
              <a16:creationId xmlns:a16="http://schemas.microsoft.com/office/drawing/2014/main" id="{B1CAB1F2-CBCF-486A-98EF-59392C264B70}"/>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86</xdr:row>
      <xdr:rowOff>47625</xdr:rowOff>
    </xdr:from>
    <xdr:ext cx="76200" cy="225425"/>
    <xdr:sp macro="" textlink="">
      <xdr:nvSpPr>
        <xdr:cNvPr id="348" name="Text Box 1">
          <a:extLst>
            <a:ext uri="{FF2B5EF4-FFF2-40B4-BE49-F238E27FC236}">
              <a16:creationId xmlns:a16="http://schemas.microsoft.com/office/drawing/2014/main" id="{EA18CDCB-00AF-4A84-9C44-60066979A5FE}"/>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86</xdr:row>
      <xdr:rowOff>47625</xdr:rowOff>
    </xdr:from>
    <xdr:ext cx="76200" cy="225425"/>
    <xdr:sp macro="" textlink="">
      <xdr:nvSpPr>
        <xdr:cNvPr id="349" name="Text Box 1">
          <a:extLst>
            <a:ext uri="{FF2B5EF4-FFF2-40B4-BE49-F238E27FC236}">
              <a16:creationId xmlns:a16="http://schemas.microsoft.com/office/drawing/2014/main" id="{2ED5F8E1-B275-4BB0-960C-A74754B7678E}"/>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86</xdr:row>
      <xdr:rowOff>47625</xdr:rowOff>
    </xdr:from>
    <xdr:ext cx="76200" cy="225425"/>
    <xdr:sp macro="" textlink="">
      <xdr:nvSpPr>
        <xdr:cNvPr id="350" name="Text Box 1">
          <a:extLst>
            <a:ext uri="{FF2B5EF4-FFF2-40B4-BE49-F238E27FC236}">
              <a16:creationId xmlns:a16="http://schemas.microsoft.com/office/drawing/2014/main" id="{831E2E3F-1A6F-4740-BF5F-088761D945F4}"/>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5425"/>
    <xdr:sp macro="" textlink="">
      <xdr:nvSpPr>
        <xdr:cNvPr id="351" name="Text Box 1">
          <a:extLst>
            <a:ext uri="{FF2B5EF4-FFF2-40B4-BE49-F238E27FC236}">
              <a16:creationId xmlns:a16="http://schemas.microsoft.com/office/drawing/2014/main" id="{166C8B2E-4DFF-4BCE-B688-CB4563E1D932}"/>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5425"/>
    <xdr:sp macro="" textlink="">
      <xdr:nvSpPr>
        <xdr:cNvPr id="352" name="Text Box 1">
          <a:extLst>
            <a:ext uri="{FF2B5EF4-FFF2-40B4-BE49-F238E27FC236}">
              <a16:creationId xmlns:a16="http://schemas.microsoft.com/office/drawing/2014/main" id="{8F931F5C-2F74-4E18-9178-4EDA9062CD34}"/>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5425"/>
    <xdr:sp macro="" textlink="">
      <xdr:nvSpPr>
        <xdr:cNvPr id="353" name="Text Box 1">
          <a:extLst>
            <a:ext uri="{FF2B5EF4-FFF2-40B4-BE49-F238E27FC236}">
              <a16:creationId xmlns:a16="http://schemas.microsoft.com/office/drawing/2014/main" id="{AF0881C3-3EED-4FFE-BC6C-54DEEDA650AE}"/>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5425"/>
    <xdr:sp macro="" textlink="">
      <xdr:nvSpPr>
        <xdr:cNvPr id="354" name="Text Box 1">
          <a:extLst>
            <a:ext uri="{FF2B5EF4-FFF2-40B4-BE49-F238E27FC236}">
              <a16:creationId xmlns:a16="http://schemas.microsoft.com/office/drawing/2014/main" id="{1D297F1D-D604-41FA-AA0B-78C7825CBD63}"/>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5425"/>
    <xdr:sp macro="" textlink="">
      <xdr:nvSpPr>
        <xdr:cNvPr id="355" name="Text Box 1">
          <a:extLst>
            <a:ext uri="{FF2B5EF4-FFF2-40B4-BE49-F238E27FC236}">
              <a16:creationId xmlns:a16="http://schemas.microsoft.com/office/drawing/2014/main" id="{76C9D843-C3E6-4F19-82BA-519059870D2A}"/>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5425"/>
    <xdr:sp macro="" textlink="">
      <xdr:nvSpPr>
        <xdr:cNvPr id="356" name="Text Box 1">
          <a:extLst>
            <a:ext uri="{FF2B5EF4-FFF2-40B4-BE49-F238E27FC236}">
              <a16:creationId xmlns:a16="http://schemas.microsoft.com/office/drawing/2014/main" id="{5C354128-157C-4C9A-8589-A0134F21935F}"/>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5425"/>
    <xdr:sp macro="" textlink="">
      <xdr:nvSpPr>
        <xdr:cNvPr id="357" name="Text Box 1">
          <a:extLst>
            <a:ext uri="{FF2B5EF4-FFF2-40B4-BE49-F238E27FC236}">
              <a16:creationId xmlns:a16="http://schemas.microsoft.com/office/drawing/2014/main" id="{B77478D1-977A-4C7B-B7B5-50D05164EDDD}"/>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5425"/>
    <xdr:sp macro="" textlink="">
      <xdr:nvSpPr>
        <xdr:cNvPr id="358" name="Text Box 1">
          <a:extLst>
            <a:ext uri="{FF2B5EF4-FFF2-40B4-BE49-F238E27FC236}">
              <a16:creationId xmlns:a16="http://schemas.microsoft.com/office/drawing/2014/main" id="{B160D618-5B59-4E06-B14A-F1A2D5962B33}"/>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5425"/>
    <xdr:sp macro="" textlink="">
      <xdr:nvSpPr>
        <xdr:cNvPr id="359" name="Text Box 1">
          <a:extLst>
            <a:ext uri="{FF2B5EF4-FFF2-40B4-BE49-F238E27FC236}">
              <a16:creationId xmlns:a16="http://schemas.microsoft.com/office/drawing/2014/main" id="{C940099A-536D-4051-A98A-B508CE02591F}"/>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5425"/>
    <xdr:sp macro="" textlink="">
      <xdr:nvSpPr>
        <xdr:cNvPr id="360" name="Text Box 1">
          <a:extLst>
            <a:ext uri="{FF2B5EF4-FFF2-40B4-BE49-F238E27FC236}">
              <a16:creationId xmlns:a16="http://schemas.microsoft.com/office/drawing/2014/main" id="{DCE2DF2A-EB6E-47EB-A803-7C581ED0EDA2}"/>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5425"/>
    <xdr:sp macro="" textlink="">
      <xdr:nvSpPr>
        <xdr:cNvPr id="361" name="Text Box 1">
          <a:extLst>
            <a:ext uri="{FF2B5EF4-FFF2-40B4-BE49-F238E27FC236}">
              <a16:creationId xmlns:a16="http://schemas.microsoft.com/office/drawing/2014/main" id="{69FD1A16-41DE-4F4B-88DF-2CBAAEC3B6C0}"/>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5425"/>
    <xdr:sp macro="" textlink="">
      <xdr:nvSpPr>
        <xdr:cNvPr id="362" name="Text Box 1">
          <a:extLst>
            <a:ext uri="{FF2B5EF4-FFF2-40B4-BE49-F238E27FC236}">
              <a16:creationId xmlns:a16="http://schemas.microsoft.com/office/drawing/2014/main" id="{1819D5BC-624B-4F22-B7EC-E6E3FAEBBB8E}"/>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363" name="Text Box 1">
          <a:extLst>
            <a:ext uri="{FF2B5EF4-FFF2-40B4-BE49-F238E27FC236}">
              <a16:creationId xmlns:a16="http://schemas.microsoft.com/office/drawing/2014/main" id="{9C79DC68-D83E-4C03-96D8-07175145B078}"/>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364" name="Text Box 1">
          <a:extLst>
            <a:ext uri="{FF2B5EF4-FFF2-40B4-BE49-F238E27FC236}">
              <a16:creationId xmlns:a16="http://schemas.microsoft.com/office/drawing/2014/main" id="{4A1B8A64-1FAC-4AB1-9AE8-E6A5F3949155}"/>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365" name="Text Box 1">
          <a:extLst>
            <a:ext uri="{FF2B5EF4-FFF2-40B4-BE49-F238E27FC236}">
              <a16:creationId xmlns:a16="http://schemas.microsoft.com/office/drawing/2014/main" id="{18EFE232-A6C8-433A-898C-EDA590606FE8}"/>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366" name="Text Box 1">
          <a:extLst>
            <a:ext uri="{FF2B5EF4-FFF2-40B4-BE49-F238E27FC236}">
              <a16:creationId xmlns:a16="http://schemas.microsoft.com/office/drawing/2014/main" id="{512206CC-3A0D-4ADD-B3E2-1191CF066808}"/>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367" name="Text Box 1">
          <a:extLst>
            <a:ext uri="{FF2B5EF4-FFF2-40B4-BE49-F238E27FC236}">
              <a16:creationId xmlns:a16="http://schemas.microsoft.com/office/drawing/2014/main" id="{61DF3827-848C-491C-B6C2-0CD5CFC782D7}"/>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368" name="Text Box 1">
          <a:extLst>
            <a:ext uri="{FF2B5EF4-FFF2-40B4-BE49-F238E27FC236}">
              <a16:creationId xmlns:a16="http://schemas.microsoft.com/office/drawing/2014/main" id="{80F300C8-877D-4671-8A8C-65D40A5FB809}"/>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321" name="Text Box 1">
          <a:extLst>
            <a:ext uri="{FF2B5EF4-FFF2-40B4-BE49-F238E27FC236}">
              <a16:creationId xmlns:a16="http://schemas.microsoft.com/office/drawing/2014/main" id="{514AAF60-33D3-4B78-8E80-C9B2291C955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322" name="Text Box 1">
          <a:extLst>
            <a:ext uri="{FF2B5EF4-FFF2-40B4-BE49-F238E27FC236}">
              <a16:creationId xmlns:a16="http://schemas.microsoft.com/office/drawing/2014/main" id="{56DD8743-D339-4E45-90DC-40182C0C3CDD}"/>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323" name="Text Box 1">
          <a:extLst>
            <a:ext uri="{FF2B5EF4-FFF2-40B4-BE49-F238E27FC236}">
              <a16:creationId xmlns:a16="http://schemas.microsoft.com/office/drawing/2014/main" id="{452F2873-9831-49E3-838D-D3C79DC069BD}"/>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324" name="Text Box 1">
          <a:extLst>
            <a:ext uri="{FF2B5EF4-FFF2-40B4-BE49-F238E27FC236}">
              <a16:creationId xmlns:a16="http://schemas.microsoft.com/office/drawing/2014/main" id="{C35D5F0A-108C-4071-9CAA-7660A95801D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325" name="Text Box 1">
          <a:extLst>
            <a:ext uri="{FF2B5EF4-FFF2-40B4-BE49-F238E27FC236}">
              <a16:creationId xmlns:a16="http://schemas.microsoft.com/office/drawing/2014/main" id="{8DC4E7F7-E0BC-4E1A-9976-6CAA6BC3F3C3}"/>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326" name="Text Box 1">
          <a:extLst>
            <a:ext uri="{FF2B5EF4-FFF2-40B4-BE49-F238E27FC236}">
              <a16:creationId xmlns:a16="http://schemas.microsoft.com/office/drawing/2014/main" id="{8A6B5533-B33B-4168-A690-D7E5F1575411}"/>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327" name="Text Box 1">
          <a:extLst>
            <a:ext uri="{FF2B5EF4-FFF2-40B4-BE49-F238E27FC236}">
              <a16:creationId xmlns:a16="http://schemas.microsoft.com/office/drawing/2014/main" id="{96BF31C1-A677-4F5F-8825-AA17E4C65FE0}"/>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328" name="Text Box 1">
          <a:extLst>
            <a:ext uri="{FF2B5EF4-FFF2-40B4-BE49-F238E27FC236}">
              <a16:creationId xmlns:a16="http://schemas.microsoft.com/office/drawing/2014/main" id="{FFFE8FDA-9E4E-492E-9A1D-E5E2B6DAEEB5}"/>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329" name="Text Box 1">
          <a:extLst>
            <a:ext uri="{FF2B5EF4-FFF2-40B4-BE49-F238E27FC236}">
              <a16:creationId xmlns:a16="http://schemas.microsoft.com/office/drawing/2014/main" id="{054AAE30-E455-47EE-AF40-A9EBEEF42221}"/>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330" name="Text Box 1">
          <a:extLst>
            <a:ext uri="{FF2B5EF4-FFF2-40B4-BE49-F238E27FC236}">
              <a16:creationId xmlns:a16="http://schemas.microsoft.com/office/drawing/2014/main" id="{6EE324A3-90C5-4D9C-AD16-9B13CE755C07}"/>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331" name="Text Box 1">
          <a:extLst>
            <a:ext uri="{FF2B5EF4-FFF2-40B4-BE49-F238E27FC236}">
              <a16:creationId xmlns:a16="http://schemas.microsoft.com/office/drawing/2014/main" id="{E829B0F8-394F-4A6D-AAFB-6F8790590974}"/>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332" name="Text Box 1">
          <a:extLst>
            <a:ext uri="{FF2B5EF4-FFF2-40B4-BE49-F238E27FC236}">
              <a16:creationId xmlns:a16="http://schemas.microsoft.com/office/drawing/2014/main" id="{95CF84A0-D2E9-464A-85CD-431FFC5E9AB0}"/>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90</xdr:row>
      <xdr:rowOff>47625</xdr:rowOff>
    </xdr:from>
    <xdr:ext cx="76200" cy="225425"/>
    <xdr:sp macro="" textlink="">
      <xdr:nvSpPr>
        <xdr:cNvPr id="333" name="Text Box 1">
          <a:extLst>
            <a:ext uri="{FF2B5EF4-FFF2-40B4-BE49-F238E27FC236}">
              <a16:creationId xmlns:a16="http://schemas.microsoft.com/office/drawing/2014/main" id="{C6CE0F0F-70AB-41EA-A2CD-CEBE089E5198}"/>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90</xdr:row>
      <xdr:rowOff>47625</xdr:rowOff>
    </xdr:from>
    <xdr:ext cx="76200" cy="225425"/>
    <xdr:sp macro="" textlink="">
      <xdr:nvSpPr>
        <xdr:cNvPr id="334" name="Text Box 1">
          <a:extLst>
            <a:ext uri="{FF2B5EF4-FFF2-40B4-BE49-F238E27FC236}">
              <a16:creationId xmlns:a16="http://schemas.microsoft.com/office/drawing/2014/main" id="{9207B36C-EB9F-4759-8D4E-38AC53FF4D15}"/>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90</xdr:row>
      <xdr:rowOff>47625</xdr:rowOff>
    </xdr:from>
    <xdr:ext cx="76200" cy="225425"/>
    <xdr:sp macro="" textlink="">
      <xdr:nvSpPr>
        <xdr:cNvPr id="335" name="Text Box 1">
          <a:extLst>
            <a:ext uri="{FF2B5EF4-FFF2-40B4-BE49-F238E27FC236}">
              <a16:creationId xmlns:a16="http://schemas.microsoft.com/office/drawing/2014/main" id="{9E83F9AC-47A8-41C9-997F-ACBC15D4B7DC}"/>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90</xdr:row>
      <xdr:rowOff>47625</xdr:rowOff>
    </xdr:from>
    <xdr:ext cx="76200" cy="225425"/>
    <xdr:sp macro="" textlink="">
      <xdr:nvSpPr>
        <xdr:cNvPr id="336" name="Text Box 1">
          <a:extLst>
            <a:ext uri="{FF2B5EF4-FFF2-40B4-BE49-F238E27FC236}">
              <a16:creationId xmlns:a16="http://schemas.microsoft.com/office/drawing/2014/main" id="{8963C53E-3C38-43EE-ADBA-F02C2FEE3136}"/>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90</xdr:row>
      <xdr:rowOff>47625</xdr:rowOff>
    </xdr:from>
    <xdr:ext cx="76200" cy="225425"/>
    <xdr:sp macro="" textlink="">
      <xdr:nvSpPr>
        <xdr:cNvPr id="337" name="Text Box 1">
          <a:extLst>
            <a:ext uri="{FF2B5EF4-FFF2-40B4-BE49-F238E27FC236}">
              <a16:creationId xmlns:a16="http://schemas.microsoft.com/office/drawing/2014/main" id="{D8FD44DE-672B-4814-8C11-6F6347F1C981}"/>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90</xdr:row>
      <xdr:rowOff>47625</xdr:rowOff>
    </xdr:from>
    <xdr:ext cx="76200" cy="225425"/>
    <xdr:sp macro="" textlink="">
      <xdr:nvSpPr>
        <xdr:cNvPr id="338" name="Text Box 1">
          <a:extLst>
            <a:ext uri="{FF2B5EF4-FFF2-40B4-BE49-F238E27FC236}">
              <a16:creationId xmlns:a16="http://schemas.microsoft.com/office/drawing/2014/main" id="{2FD97C5E-C9BA-4E9A-814C-30D42D607EE2}"/>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369" name="Text Box 1">
          <a:extLst>
            <a:ext uri="{FF2B5EF4-FFF2-40B4-BE49-F238E27FC236}">
              <a16:creationId xmlns:a16="http://schemas.microsoft.com/office/drawing/2014/main" id="{5DD0E0A7-EEA4-449B-A895-3FDE55795132}"/>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370" name="Text Box 1">
          <a:extLst>
            <a:ext uri="{FF2B5EF4-FFF2-40B4-BE49-F238E27FC236}">
              <a16:creationId xmlns:a16="http://schemas.microsoft.com/office/drawing/2014/main" id="{C65884FD-226E-4103-BAEF-62C025609442}"/>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371" name="Text Box 1">
          <a:extLst>
            <a:ext uri="{FF2B5EF4-FFF2-40B4-BE49-F238E27FC236}">
              <a16:creationId xmlns:a16="http://schemas.microsoft.com/office/drawing/2014/main" id="{2287987E-2A41-46D4-AE8A-61577D52FA77}"/>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372" name="Text Box 1">
          <a:extLst>
            <a:ext uri="{FF2B5EF4-FFF2-40B4-BE49-F238E27FC236}">
              <a16:creationId xmlns:a16="http://schemas.microsoft.com/office/drawing/2014/main" id="{75A891F5-9D4E-48B2-B190-8FBA4FB53160}"/>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373" name="Text Box 1">
          <a:extLst>
            <a:ext uri="{FF2B5EF4-FFF2-40B4-BE49-F238E27FC236}">
              <a16:creationId xmlns:a16="http://schemas.microsoft.com/office/drawing/2014/main" id="{C5094833-0FC8-4C07-8D05-9224A3CF0587}"/>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374" name="Text Box 1">
          <a:extLst>
            <a:ext uri="{FF2B5EF4-FFF2-40B4-BE49-F238E27FC236}">
              <a16:creationId xmlns:a16="http://schemas.microsoft.com/office/drawing/2014/main" id="{B7643E8F-9447-4CD3-857E-B1E3FB2D1F2C}"/>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375" name="Text Box 1">
          <a:extLst>
            <a:ext uri="{FF2B5EF4-FFF2-40B4-BE49-F238E27FC236}">
              <a16:creationId xmlns:a16="http://schemas.microsoft.com/office/drawing/2014/main" id="{6E52073D-E1E8-4F6E-AFE1-21A7890FCBD6}"/>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89</xdr:row>
      <xdr:rowOff>47625</xdr:rowOff>
    </xdr:from>
    <xdr:ext cx="76200" cy="225425"/>
    <xdr:sp macro="" textlink="">
      <xdr:nvSpPr>
        <xdr:cNvPr id="376" name="Text Box 1">
          <a:extLst>
            <a:ext uri="{FF2B5EF4-FFF2-40B4-BE49-F238E27FC236}">
              <a16:creationId xmlns:a16="http://schemas.microsoft.com/office/drawing/2014/main" id="{E6018F33-A2A3-4C79-ACB4-49B7AF06D931}"/>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89</xdr:row>
      <xdr:rowOff>47625</xdr:rowOff>
    </xdr:from>
    <xdr:ext cx="76200" cy="225425"/>
    <xdr:sp macro="" textlink="">
      <xdr:nvSpPr>
        <xdr:cNvPr id="377" name="Text Box 1">
          <a:extLst>
            <a:ext uri="{FF2B5EF4-FFF2-40B4-BE49-F238E27FC236}">
              <a16:creationId xmlns:a16="http://schemas.microsoft.com/office/drawing/2014/main" id="{2465FF07-6C44-43AD-A054-6526F903F015}"/>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91</xdr:row>
      <xdr:rowOff>47625</xdr:rowOff>
    </xdr:from>
    <xdr:ext cx="76200" cy="225425"/>
    <xdr:sp macro="" textlink="">
      <xdr:nvSpPr>
        <xdr:cNvPr id="378" name="Text Box 1">
          <a:extLst>
            <a:ext uri="{FF2B5EF4-FFF2-40B4-BE49-F238E27FC236}">
              <a16:creationId xmlns:a16="http://schemas.microsoft.com/office/drawing/2014/main" id="{46AFECFE-4E6F-4499-BD32-A05489C0DE59}"/>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91</xdr:row>
      <xdr:rowOff>47625</xdr:rowOff>
    </xdr:from>
    <xdr:ext cx="76200" cy="225425"/>
    <xdr:sp macro="" textlink="">
      <xdr:nvSpPr>
        <xdr:cNvPr id="379" name="Text Box 1">
          <a:extLst>
            <a:ext uri="{FF2B5EF4-FFF2-40B4-BE49-F238E27FC236}">
              <a16:creationId xmlns:a16="http://schemas.microsoft.com/office/drawing/2014/main" id="{3D77CF33-F16D-4B2F-BB8E-B4D8C1DA6BA6}"/>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91</xdr:row>
      <xdr:rowOff>47625</xdr:rowOff>
    </xdr:from>
    <xdr:ext cx="76200" cy="225425"/>
    <xdr:sp macro="" textlink="">
      <xdr:nvSpPr>
        <xdr:cNvPr id="380" name="Text Box 1">
          <a:extLst>
            <a:ext uri="{FF2B5EF4-FFF2-40B4-BE49-F238E27FC236}">
              <a16:creationId xmlns:a16="http://schemas.microsoft.com/office/drawing/2014/main" id="{4FEC712A-24E9-4E48-BA75-EDEFF78AD313}"/>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91</xdr:row>
      <xdr:rowOff>47625</xdr:rowOff>
    </xdr:from>
    <xdr:ext cx="76200" cy="225425"/>
    <xdr:sp macro="" textlink="">
      <xdr:nvSpPr>
        <xdr:cNvPr id="381" name="Text Box 1">
          <a:extLst>
            <a:ext uri="{FF2B5EF4-FFF2-40B4-BE49-F238E27FC236}">
              <a16:creationId xmlns:a16="http://schemas.microsoft.com/office/drawing/2014/main" id="{26776746-677C-4596-90C4-0965568811F2}"/>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91</xdr:row>
      <xdr:rowOff>47625</xdr:rowOff>
    </xdr:from>
    <xdr:ext cx="76200" cy="225425"/>
    <xdr:sp macro="" textlink="">
      <xdr:nvSpPr>
        <xdr:cNvPr id="382" name="Text Box 1">
          <a:extLst>
            <a:ext uri="{FF2B5EF4-FFF2-40B4-BE49-F238E27FC236}">
              <a16:creationId xmlns:a16="http://schemas.microsoft.com/office/drawing/2014/main" id="{6A83406E-3844-4F6C-B676-B87BE1642E7E}"/>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91</xdr:row>
      <xdr:rowOff>47625</xdr:rowOff>
    </xdr:from>
    <xdr:ext cx="76200" cy="225425"/>
    <xdr:sp macro="" textlink="">
      <xdr:nvSpPr>
        <xdr:cNvPr id="383" name="Text Box 1">
          <a:extLst>
            <a:ext uri="{FF2B5EF4-FFF2-40B4-BE49-F238E27FC236}">
              <a16:creationId xmlns:a16="http://schemas.microsoft.com/office/drawing/2014/main" id="{B6340A46-F78F-4BA3-8BC1-AD25E5F9A4B5}"/>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384" name="Text Box 1">
          <a:extLst>
            <a:ext uri="{FF2B5EF4-FFF2-40B4-BE49-F238E27FC236}">
              <a16:creationId xmlns:a16="http://schemas.microsoft.com/office/drawing/2014/main" id="{73C198DB-AB98-4448-A412-583812200427}"/>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385" name="Text Box 1">
          <a:extLst>
            <a:ext uri="{FF2B5EF4-FFF2-40B4-BE49-F238E27FC236}">
              <a16:creationId xmlns:a16="http://schemas.microsoft.com/office/drawing/2014/main" id="{8709A72A-9355-413A-A718-1888438CB141}"/>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386" name="Text Box 1">
          <a:extLst>
            <a:ext uri="{FF2B5EF4-FFF2-40B4-BE49-F238E27FC236}">
              <a16:creationId xmlns:a16="http://schemas.microsoft.com/office/drawing/2014/main" id="{2D19C39D-A17B-47F4-B47E-0DFA03338E88}"/>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387" name="Text Box 1">
          <a:extLst>
            <a:ext uri="{FF2B5EF4-FFF2-40B4-BE49-F238E27FC236}">
              <a16:creationId xmlns:a16="http://schemas.microsoft.com/office/drawing/2014/main" id="{DCC0E99E-0C86-4E3B-A7EB-6AC1249944B0}"/>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388" name="Text Box 1">
          <a:extLst>
            <a:ext uri="{FF2B5EF4-FFF2-40B4-BE49-F238E27FC236}">
              <a16:creationId xmlns:a16="http://schemas.microsoft.com/office/drawing/2014/main" id="{5167AE62-BE2F-4334-853F-36341C5F4147}"/>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389" name="Text Box 1">
          <a:extLst>
            <a:ext uri="{FF2B5EF4-FFF2-40B4-BE49-F238E27FC236}">
              <a16:creationId xmlns:a16="http://schemas.microsoft.com/office/drawing/2014/main" id="{51812202-DF79-46EC-BD4A-8E04C0FB2FAC}"/>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93</xdr:row>
      <xdr:rowOff>47625</xdr:rowOff>
    </xdr:from>
    <xdr:ext cx="76200" cy="225425"/>
    <xdr:sp macro="" textlink="">
      <xdr:nvSpPr>
        <xdr:cNvPr id="390" name="Text Box 1">
          <a:extLst>
            <a:ext uri="{FF2B5EF4-FFF2-40B4-BE49-F238E27FC236}">
              <a16:creationId xmlns:a16="http://schemas.microsoft.com/office/drawing/2014/main" id="{8D71416C-CDC1-40A4-B5DB-C60F54FE7333}"/>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93</xdr:row>
      <xdr:rowOff>47625</xdr:rowOff>
    </xdr:from>
    <xdr:ext cx="76200" cy="225425"/>
    <xdr:sp macro="" textlink="">
      <xdr:nvSpPr>
        <xdr:cNvPr id="391" name="Text Box 1">
          <a:extLst>
            <a:ext uri="{FF2B5EF4-FFF2-40B4-BE49-F238E27FC236}">
              <a16:creationId xmlns:a16="http://schemas.microsoft.com/office/drawing/2014/main" id="{CD1540FC-96FF-4F21-8AA9-EBC2A6B1F294}"/>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93</xdr:row>
      <xdr:rowOff>47625</xdr:rowOff>
    </xdr:from>
    <xdr:ext cx="76200" cy="225425"/>
    <xdr:sp macro="" textlink="">
      <xdr:nvSpPr>
        <xdr:cNvPr id="392" name="Text Box 1">
          <a:extLst>
            <a:ext uri="{FF2B5EF4-FFF2-40B4-BE49-F238E27FC236}">
              <a16:creationId xmlns:a16="http://schemas.microsoft.com/office/drawing/2014/main" id="{3803A0AB-0722-47F2-A5E0-8545E6E2A9B4}"/>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93</xdr:row>
      <xdr:rowOff>47625</xdr:rowOff>
    </xdr:from>
    <xdr:ext cx="76200" cy="225425"/>
    <xdr:sp macro="" textlink="">
      <xdr:nvSpPr>
        <xdr:cNvPr id="393" name="Text Box 1">
          <a:extLst>
            <a:ext uri="{FF2B5EF4-FFF2-40B4-BE49-F238E27FC236}">
              <a16:creationId xmlns:a16="http://schemas.microsoft.com/office/drawing/2014/main" id="{38D54215-64E3-4C95-AB0A-567C1B157DF9}"/>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93</xdr:row>
      <xdr:rowOff>47625</xdr:rowOff>
    </xdr:from>
    <xdr:ext cx="76200" cy="225425"/>
    <xdr:sp macro="" textlink="">
      <xdr:nvSpPr>
        <xdr:cNvPr id="394" name="Text Box 1">
          <a:extLst>
            <a:ext uri="{FF2B5EF4-FFF2-40B4-BE49-F238E27FC236}">
              <a16:creationId xmlns:a16="http://schemas.microsoft.com/office/drawing/2014/main" id="{ED364A0F-F045-4DA6-B64F-EBF0EBF610D9}"/>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93</xdr:row>
      <xdr:rowOff>47625</xdr:rowOff>
    </xdr:from>
    <xdr:ext cx="76200" cy="225425"/>
    <xdr:sp macro="" textlink="">
      <xdr:nvSpPr>
        <xdr:cNvPr id="395" name="Text Box 1">
          <a:extLst>
            <a:ext uri="{FF2B5EF4-FFF2-40B4-BE49-F238E27FC236}">
              <a16:creationId xmlns:a16="http://schemas.microsoft.com/office/drawing/2014/main" id="{B75B5CA8-3B70-4ACB-B8F4-B3E3DD0251FB}"/>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93</xdr:row>
      <xdr:rowOff>47625</xdr:rowOff>
    </xdr:from>
    <xdr:ext cx="76200" cy="225425"/>
    <xdr:sp macro="" textlink="">
      <xdr:nvSpPr>
        <xdr:cNvPr id="396" name="Text Box 1">
          <a:extLst>
            <a:ext uri="{FF2B5EF4-FFF2-40B4-BE49-F238E27FC236}">
              <a16:creationId xmlns:a16="http://schemas.microsoft.com/office/drawing/2014/main" id="{86318F6D-D45D-488A-8601-BFFE2180F993}"/>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93</xdr:row>
      <xdr:rowOff>47625</xdr:rowOff>
    </xdr:from>
    <xdr:ext cx="76200" cy="225425"/>
    <xdr:sp macro="" textlink="">
      <xdr:nvSpPr>
        <xdr:cNvPr id="397" name="Text Box 1">
          <a:extLst>
            <a:ext uri="{FF2B5EF4-FFF2-40B4-BE49-F238E27FC236}">
              <a16:creationId xmlns:a16="http://schemas.microsoft.com/office/drawing/2014/main" id="{058D98CF-EADA-4174-83CE-E8AE5C30365B}"/>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93</xdr:row>
      <xdr:rowOff>47625</xdr:rowOff>
    </xdr:from>
    <xdr:ext cx="76200" cy="225425"/>
    <xdr:sp macro="" textlink="">
      <xdr:nvSpPr>
        <xdr:cNvPr id="398" name="Text Box 1">
          <a:extLst>
            <a:ext uri="{FF2B5EF4-FFF2-40B4-BE49-F238E27FC236}">
              <a16:creationId xmlns:a16="http://schemas.microsoft.com/office/drawing/2014/main" id="{DB0C90D1-6A61-4E81-B710-E4F719EC1740}"/>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93</xdr:row>
      <xdr:rowOff>47625</xdr:rowOff>
    </xdr:from>
    <xdr:ext cx="76200" cy="225425"/>
    <xdr:sp macro="" textlink="">
      <xdr:nvSpPr>
        <xdr:cNvPr id="399" name="Text Box 1">
          <a:extLst>
            <a:ext uri="{FF2B5EF4-FFF2-40B4-BE49-F238E27FC236}">
              <a16:creationId xmlns:a16="http://schemas.microsoft.com/office/drawing/2014/main" id="{6FC45C37-63F2-4E72-B3CA-C7A194BAFACE}"/>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93</xdr:row>
      <xdr:rowOff>47625</xdr:rowOff>
    </xdr:from>
    <xdr:ext cx="76200" cy="225425"/>
    <xdr:sp macro="" textlink="">
      <xdr:nvSpPr>
        <xdr:cNvPr id="400" name="Text Box 1">
          <a:extLst>
            <a:ext uri="{FF2B5EF4-FFF2-40B4-BE49-F238E27FC236}">
              <a16:creationId xmlns:a16="http://schemas.microsoft.com/office/drawing/2014/main" id="{748ABF94-575A-4A5E-BD40-4412E4CA2DE6}"/>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93</xdr:row>
      <xdr:rowOff>47625</xdr:rowOff>
    </xdr:from>
    <xdr:ext cx="76200" cy="225425"/>
    <xdr:sp macro="" textlink="">
      <xdr:nvSpPr>
        <xdr:cNvPr id="401" name="Text Box 1">
          <a:extLst>
            <a:ext uri="{FF2B5EF4-FFF2-40B4-BE49-F238E27FC236}">
              <a16:creationId xmlns:a16="http://schemas.microsoft.com/office/drawing/2014/main" id="{1219DE2A-1A4D-42CB-AFFD-CEEEA5E0C564}"/>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5425"/>
    <xdr:sp macro="" textlink="">
      <xdr:nvSpPr>
        <xdr:cNvPr id="402" name="Text Box 1">
          <a:extLst>
            <a:ext uri="{FF2B5EF4-FFF2-40B4-BE49-F238E27FC236}">
              <a16:creationId xmlns:a16="http://schemas.microsoft.com/office/drawing/2014/main" id="{BA35C142-F709-43DF-88AF-54360F1C4746}"/>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5425"/>
    <xdr:sp macro="" textlink="">
      <xdr:nvSpPr>
        <xdr:cNvPr id="403" name="Text Box 1">
          <a:extLst>
            <a:ext uri="{FF2B5EF4-FFF2-40B4-BE49-F238E27FC236}">
              <a16:creationId xmlns:a16="http://schemas.microsoft.com/office/drawing/2014/main" id="{FEEC327B-9848-4611-BEC9-EFA5D3BD1BED}"/>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5425"/>
    <xdr:sp macro="" textlink="">
      <xdr:nvSpPr>
        <xdr:cNvPr id="404" name="Text Box 1">
          <a:extLst>
            <a:ext uri="{FF2B5EF4-FFF2-40B4-BE49-F238E27FC236}">
              <a16:creationId xmlns:a16="http://schemas.microsoft.com/office/drawing/2014/main" id="{FCDAD7D5-102B-4B1A-9697-75A28C0DBEE3}"/>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5425"/>
    <xdr:sp macro="" textlink="">
      <xdr:nvSpPr>
        <xdr:cNvPr id="405" name="Text Box 1">
          <a:extLst>
            <a:ext uri="{FF2B5EF4-FFF2-40B4-BE49-F238E27FC236}">
              <a16:creationId xmlns:a16="http://schemas.microsoft.com/office/drawing/2014/main" id="{D656CE31-21A9-4788-81AF-3C989DD4A53E}"/>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5425"/>
    <xdr:sp macro="" textlink="">
      <xdr:nvSpPr>
        <xdr:cNvPr id="406" name="Text Box 1">
          <a:extLst>
            <a:ext uri="{FF2B5EF4-FFF2-40B4-BE49-F238E27FC236}">
              <a16:creationId xmlns:a16="http://schemas.microsoft.com/office/drawing/2014/main" id="{546EA234-554D-4045-AE97-D71E56FBAD98}"/>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5425"/>
    <xdr:sp macro="" textlink="">
      <xdr:nvSpPr>
        <xdr:cNvPr id="407" name="Text Box 1">
          <a:extLst>
            <a:ext uri="{FF2B5EF4-FFF2-40B4-BE49-F238E27FC236}">
              <a16:creationId xmlns:a16="http://schemas.microsoft.com/office/drawing/2014/main" id="{7D32FCFA-2EC7-4A04-8031-193DFD1C7948}"/>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5425"/>
    <xdr:sp macro="" textlink="">
      <xdr:nvSpPr>
        <xdr:cNvPr id="408" name="Text Box 1">
          <a:extLst>
            <a:ext uri="{FF2B5EF4-FFF2-40B4-BE49-F238E27FC236}">
              <a16:creationId xmlns:a16="http://schemas.microsoft.com/office/drawing/2014/main" id="{473FEDE6-1001-4C65-B1DC-8CC68DB46B25}"/>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5425"/>
    <xdr:sp macro="" textlink="">
      <xdr:nvSpPr>
        <xdr:cNvPr id="409" name="Text Box 1">
          <a:extLst>
            <a:ext uri="{FF2B5EF4-FFF2-40B4-BE49-F238E27FC236}">
              <a16:creationId xmlns:a16="http://schemas.microsoft.com/office/drawing/2014/main" id="{AF06C6C0-4D7B-4525-913B-E84364E0EB83}"/>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5425"/>
    <xdr:sp macro="" textlink="">
      <xdr:nvSpPr>
        <xdr:cNvPr id="410" name="Text Box 1">
          <a:extLst>
            <a:ext uri="{FF2B5EF4-FFF2-40B4-BE49-F238E27FC236}">
              <a16:creationId xmlns:a16="http://schemas.microsoft.com/office/drawing/2014/main" id="{A7CCDE3F-0E3F-4FE5-84D4-1200DA5E83AC}"/>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5425"/>
    <xdr:sp macro="" textlink="">
      <xdr:nvSpPr>
        <xdr:cNvPr id="411" name="Text Box 1">
          <a:extLst>
            <a:ext uri="{FF2B5EF4-FFF2-40B4-BE49-F238E27FC236}">
              <a16:creationId xmlns:a16="http://schemas.microsoft.com/office/drawing/2014/main" id="{324DCF47-39CA-4BAD-88F7-9C3B7DC252E7}"/>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5425"/>
    <xdr:sp macro="" textlink="">
      <xdr:nvSpPr>
        <xdr:cNvPr id="412" name="Text Box 1">
          <a:extLst>
            <a:ext uri="{FF2B5EF4-FFF2-40B4-BE49-F238E27FC236}">
              <a16:creationId xmlns:a16="http://schemas.microsoft.com/office/drawing/2014/main" id="{666B3BA8-12D5-4273-99AD-EC09AF1C5935}"/>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5425"/>
    <xdr:sp macro="" textlink="">
      <xdr:nvSpPr>
        <xdr:cNvPr id="413" name="Text Box 1">
          <a:extLst>
            <a:ext uri="{FF2B5EF4-FFF2-40B4-BE49-F238E27FC236}">
              <a16:creationId xmlns:a16="http://schemas.microsoft.com/office/drawing/2014/main" id="{81E712F3-EADD-4707-ABB8-5BFB666EDD0D}"/>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96</xdr:row>
      <xdr:rowOff>47625</xdr:rowOff>
    </xdr:from>
    <xdr:ext cx="76200" cy="225425"/>
    <xdr:sp macro="" textlink="">
      <xdr:nvSpPr>
        <xdr:cNvPr id="414" name="Text Box 1">
          <a:extLst>
            <a:ext uri="{FF2B5EF4-FFF2-40B4-BE49-F238E27FC236}">
              <a16:creationId xmlns:a16="http://schemas.microsoft.com/office/drawing/2014/main" id="{123D04F6-57B7-4DF8-8363-57F031B05814}"/>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96</xdr:row>
      <xdr:rowOff>47625</xdr:rowOff>
    </xdr:from>
    <xdr:ext cx="76200" cy="225425"/>
    <xdr:sp macro="" textlink="">
      <xdr:nvSpPr>
        <xdr:cNvPr id="415" name="Text Box 1">
          <a:extLst>
            <a:ext uri="{FF2B5EF4-FFF2-40B4-BE49-F238E27FC236}">
              <a16:creationId xmlns:a16="http://schemas.microsoft.com/office/drawing/2014/main" id="{0A32D765-9C0F-4DB6-98F5-AEAA1913082A}"/>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96</xdr:row>
      <xdr:rowOff>47625</xdr:rowOff>
    </xdr:from>
    <xdr:ext cx="76200" cy="225425"/>
    <xdr:sp macro="" textlink="">
      <xdr:nvSpPr>
        <xdr:cNvPr id="416" name="Text Box 1">
          <a:extLst>
            <a:ext uri="{FF2B5EF4-FFF2-40B4-BE49-F238E27FC236}">
              <a16:creationId xmlns:a16="http://schemas.microsoft.com/office/drawing/2014/main" id="{1920286B-D026-418A-99BA-7EAE8A9F903F}"/>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96</xdr:row>
      <xdr:rowOff>47625</xdr:rowOff>
    </xdr:from>
    <xdr:ext cx="76200" cy="225425"/>
    <xdr:sp macro="" textlink="">
      <xdr:nvSpPr>
        <xdr:cNvPr id="417" name="Text Box 1">
          <a:extLst>
            <a:ext uri="{FF2B5EF4-FFF2-40B4-BE49-F238E27FC236}">
              <a16:creationId xmlns:a16="http://schemas.microsoft.com/office/drawing/2014/main" id="{2345BE1A-1986-4BFB-A985-7A0391CF6B77}"/>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96</xdr:row>
      <xdr:rowOff>47625</xdr:rowOff>
    </xdr:from>
    <xdr:ext cx="76200" cy="225425"/>
    <xdr:sp macro="" textlink="">
      <xdr:nvSpPr>
        <xdr:cNvPr id="418" name="Text Box 1">
          <a:extLst>
            <a:ext uri="{FF2B5EF4-FFF2-40B4-BE49-F238E27FC236}">
              <a16:creationId xmlns:a16="http://schemas.microsoft.com/office/drawing/2014/main" id="{C92C1C71-ACAB-42F6-853F-620571236EE2}"/>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96</xdr:row>
      <xdr:rowOff>47625</xdr:rowOff>
    </xdr:from>
    <xdr:ext cx="76200" cy="225425"/>
    <xdr:sp macro="" textlink="">
      <xdr:nvSpPr>
        <xdr:cNvPr id="419" name="Text Box 1">
          <a:extLst>
            <a:ext uri="{FF2B5EF4-FFF2-40B4-BE49-F238E27FC236}">
              <a16:creationId xmlns:a16="http://schemas.microsoft.com/office/drawing/2014/main" id="{3642E72E-7A2D-4FA2-AF22-D550B5AD174D}"/>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98</xdr:row>
      <xdr:rowOff>47625</xdr:rowOff>
    </xdr:from>
    <xdr:ext cx="76200" cy="225425"/>
    <xdr:sp macro="" textlink="">
      <xdr:nvSpPr>
        <xdr:cNvPr id="420" name="Text Box 1">
          <a:extLst>
            <a:ext uri="{FF2B5EF4-FFF2-40B4-BE49-F238E27FC236}">
              <a16:creationId xmlns:a16="http://schemas.microsoft.com/office/drawing/2014/main" id="{5B0CEF79-573D-4552-859F-411EC2FF0927}"/>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98</xdr:row>
      <xdr:rowOff>47625</xdr:rowOff>
    </xdr:from>
    <xdr:ext cx="76200" cy="225425"/>
    <xdr:sp macro="" textlink="">
      <xdr:nvSpPr>
        <xdr:cNvPr id="421" name="Text Box 1">
          <a:extLst>
            <a:ext uri="{FF2B5EF4-FFF2-40B4-BE49-F238E27FC236}">
              <a16:creationId xmlns:a16="http://schemas.microsoft.com/office/drawing/2014/main" id="{43F14C2A-92EA-42D2-A81A-3CA4D7005E8B}"/>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98</xdr:row>
      <xdr:rowOff>47625</xdr:rowOff>
    </xdr:from>
    <xdr:ext cx="76200" cy="225425"/>
    <xdr:sp macro="" textlink="">
      <xdr:nvSpPr>
        <xdr:cNvPr id="422" name="Text Box 1">
          <a:extLst>
            <a:ext uri="{FF2B5EF4-FFF2-40B4-BE49-F238E27FC236}">
              <a16:creationId xmlns:a16="http://schemas.microsoft.com/office/drawing/2014/main" id="{A7A7C717-F3BF-4B9D-A15C-8641EF5B036C}"/>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98</xdr:row>
      <xdr:rowOff>47625</xdr:rowOff>
    </xdr:from>
    <xdr:ext cx="76200" cy="225425"/>
    <xdr:sp macro="" textlink="">
      <xdr:nvSpPr>
        <xdr:cNvPr id="423" name="Text Box 1">
          <a:extLst>
            <a:ext uri="{FF2B5EF4-FFF2-40B4-BE49-F238E27FC236}">
              <a16:creationId xmlns:a16="http://schemas.microsoft.com/office/drawing/2014/main" id="{3457B1EC-FBF9-4B08-A523-C6BD241BB3D7}"/>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98</xdr:row>
      <xdr:rowOff>47625</xdr:rowOff>
    </xdr:from>
    <xdr:ext cx="76200" cy="225425"/>
    <xdr:sp macro="" textlink="">
      <xdr:nvSpPr>
        <xdr:cNvPr id="424" name="Text Box 1">
          <a:extLst>
            <a:ext uri="{FF2B5EF4-FFF2-40B4-BE49-F238E27FC236}">
              <a16:creationId xmlns:a16="http://schemas.microsoft.com/office/drawing/2014/main" id="{227421D9-A4CF-4673-85BD-76D7AA52DC5B}"/>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98</xdr:row>
      <xdr:rowOff>47625</xdr:rowOff>
    </xdr:from>
    <xdr:ext cx="76200" cy="225425"/>
    <xdr:sp macro="" textlink="">
      <xdr:nvSpPr>
        <xdr:cNvPr id="425" name="Text Box 1">
          <a:extLst>
            <a:ext uri="{FF2B5EF4-FFF2-40B4-BE49-F238E27FC236}">
              <a16:creationId xmlns:a16="http://schemas.microsoft.com/office/drawing/2014/main" id="{A54F51FE-F1C8-4B73-AC5F-01976F3731ED}"/>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5425"/>
    <xdr:sp macro="" textlink="">
      <xdr:nvSpPr>
        <xdr:cNvPr id="426" name="Text Box 1">
          <a:extLst>
            <a:ext uri="{FF2B5EF4-FFF2-40B4-BE49-F238E27FC236}">
              <a16:creationId xmlns:a16="http://schemas.microsoft.com/office/drawing/2014/main" id="{A41012A9-7E31-4E6E-9A19-68EABCC4E013}"/>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95</xdr:row>
      <xdr:rowOff>47625</xdr:rowOff>
    </xdr:from>
    <xdr:ext cx="76200" cy="225425"/>
    <xdr:sp macro="" textlink="">
      <xdr:nvSpPr>
        <xdr:cNvPr id="427" name="Text Box 1">
          <a:extLst>
            <a:ext uri="{FF2B5EF4-FFF2-40B4-BE49-F238E27FC236}">
              <a16:creationId xmlns:a16="http://schemas.microsoft.com/office/drawing/2014/main" id="{CBF9833C-47BA-4AE2-BA77-FCC89A9BAE5D}"/>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95</xdr:row>
      <xdr:rowOff>47625</xdr:rowOff>
    </xdr:from>
    <xdr:ext cx="76200" cy="225425"/>
    <xdr:sp macro="" textlink="">
      <xdr:nvSpPr>
        <xdr:cNvPr id="428" name="Text Box 1">
          <a:extLst>
            <a:ext uri="{FF2B5EF4-FFF2-40B4-BE49-F238E27FC236}">
              <a16:creationId xmlns:a16="http://schemas.microsoft.com/office/drawing/2014/main" id="{566BC3FA-5486-4389-B9EA-752EA7790B67}"/>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97</xdr:row>
      <xdr:rowOff>47625</xdr:rowOff>
    </xdr:from>
    <xdr:ext cx="76200" cy="225425"/>
    <xdr:sp macro="" textlink="">
      <xdr:nvSpPr>
        <xdr:cNvPr id="429" name="Text Box 1">
          <a:extLst>
            <a:ext uri="{FF2B5EF4-FFF2-40B4-BE49-F238E27FC236}">
              <a16:creationId xmlns:a16="http://schemas.microsoft.com/office/drawing/2014/main" id="{06FBC0EF-22D3-4BC5-AF0A-75AB34903063}"/>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97</xdr:row>
      <xdr:rowOff>47625</xdr:rowOff>
    </xdr:from>
    <xdr:ext cx="76200" cy="225425"/>
    <xdr:sp macro="" textlink="">
      <xdr:nvSpPr>
        <xdr:cNvPr id="430" name="Text Box 1">
          <a:extLst>
            <a:ext uri="{FF2B5EF4-FFF2-40B4-BE49-F238E27FC236}">
              <a16:creationId xmlns:a16="http://schemas.microsoft.com/office/drawing/2014/main" id="{EF4053F0-2E5F-4742-B812-57A610410E3D}"/>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97</xdr:row>
      <xdr:rowOff>47625</xdr:rowOff>
    </xdr:from>
    <xdr:ext cx="76200" cy="225425"/>
    <xdr:sp macro="" textlink="">
      <xdr:nvSpPr>
        <xdr:cNvPr id="431" name="Text Box 1">
          <a:extLst>
            <a:ext uri="{FF2B5EF4-FFF2-40B4-BE49-F238E27FC236}">
              <a16:creationId xmlns:a16="http://schemas.microsoft.com/office/drawing/2014/main" id="{8AB5D577-99D1-49A7-B8AD-11CF140BB40F}"/>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97</xdr:row>
      <xdr:rowOff>47625</xdr:rowOff>
    </xdr:from>
    <xdr:ext cx="76200" cy="225425"/>
    <xdr:sp macro="" textlink="">
      <xdr:nvSpPr>
        <xdr:cNvPr id="432" name="Text Box 1">
          <a:extLst>
            <a:ext uri="{FF2B5EF4-FFF2-40B4-BE49-F238E27FC236}">
              <a16:creationId xmlns:a16="http://schemas.microsoft.com/office/drawing/2014/main" id="{C3562069-6DF7-46C8-9D4D-954393AD90E6}"/>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97</xdr:row>
      <xdr:rowOff>47625</xdr:rowOff>
    </xdr:from>
    <xdr:ext cx="76200" cy="225425"/>
    <xdr:sp macro="" textlink="">
      <xdr:nvSpPr>
        <xdr:cNvPr id="433" name="Text Box 1">
          <a:extLst>
            <a:ext uri="{FF2B5EF4-FFF2-40B4-BE49-F238E27FC236}">
              <a16:creationId xmlns:a16="http://schemas.microsoft.com/office/drawing/2014/main" id="{EFF84629-AD2C-41E1-80D9-9BEA16A78888}"/>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97</xdr:row>
      <xdr:rowOff>47625</xdr:rowOff>
    </xdr:from>
    <xdr:ext cx="76200" cy="225425"/>
    <xdr:sp macro="" textlink="">
      <xdr:nvSpPr>
        <xdr:cNvPr id="434" name="Text Box 1">
          <a:extLst>
            <a:ext uri="{FF2B5EF4-FFF2-40B4-BE49-F238E27FC236}">
              <a16:creationId xmlns:a16="http://schemas.microsoft.com/office/drawing/2014/main" id="{BC190666-8DF1-44C9-B343-6D4418473946}"/>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98</xdr:row>
      <xdr:rowOff>47625</xdr:rowOff>
    </xdr:from>
    <xdr:ext cx="76200" cy="225425"/>
    <xdr:sp macro="" textlink="">
      <xdr:nvSpPr>
        <xdr:cNvPr id="435" name="Text Box 1">
          <a:extLst>
            <a:ext uri="{FF2B5EF4-FFF2-40B4-BE49-F238E27FC236}">
              <a16:creationId xmlns:a16="http://schemas.microsoft.com/office/drawing/2014/main" id="{DCFA38BB-1789-4290-8641-6A35D9822823}"/>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98</xdr:row>
      <xdr:rowOff>47625</xdr:rowOff>
    </xdr:from>
    <xdr:ext cx="76200" cy="225425"/>
    <xdr:sp macro="" textlink="">
      <xdr:nvSpPr>
        <xdr:cNvPr id="436" name="Text Box 1">
          <a:extLst>
            <a:ext uri="{FF2B5EF4-FFF2-40B4-BE49-F238E27FC236}">
              <a16:creationId xmlns:a16="http://schemas.microsoft.com/office/drawing/2014/main" id="{23C1DD7F-B38F-4231-A070-EBA1C29716F0}"/>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98</xdr:row>
      <xdr:rowOff>47625</xdr:rowOff>
    </xdr:from>
    <xdr:ext cx="76200" cy="225425"/>
    <xdr:sp macro="" textlink="">
      <xdr:nvSpPr>
        <xdr:cNvPr id="437" name="Text Box 1">
          <a:extLst>
            <a:ext uri="{FF2B5EF4-FFF2-40B4-BE49-F238E27FC236}">
              <a16:creationId xmlns:a16="http://schemas.microsoft.com/office/drawing/2014/main" id="{E710E924-A4E8-44CC-AE6E-0E58A0F4B244}"/>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98</xdr:row>
      <xdr:rowOff>47625</xdr:rowOff>
    </xdr:from>
    <xdr:ext cx="76200" cy="225425"/>
    <xdr:sp macro="" textlink="">
      <xdr:nvSpPr>
        <xdr:cNvPr id="438" name="Text Box 1">
          <a:extLst>
            <a:ext uri="{FF2B5EF4-FFF2-40B4-BE49-F238E27FC236}">
              <a16:creationId xmlns:a16="http://schemas.microsoft.com/office/drawing/2014/main" id="{480AF1E4-BF77-4B9E-8B32-D70268D79DBE}"/>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98</xdr:row>
      <xdr:rowOff>47625</xdr:rowOff>
    </xdr:from>
    <xdr:ext cx="76200" cy="225425"/>
    <xdr:sp macro="" textlink="">
      <xdr:nvSpPr>
        <xdr:cNvPr id="439" name="Text Box 1">
          <a:extLst>
            <a:ext uri="{FF2B5EF4-FFF2-40B4-BE49-F238E27FC236}">
              <a16:creationId xmlns:a16="http://schemas.microsoft.com/office/drawing/2014/main" id="{0E6F51CF-F387-4FCA-9DC2-72BD00089CCA}"/>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98</xdr:row>
      <xdr:rowOff>47625</xdr:rowOff>
    </xdr:from>
    <xdr:ext cx="76200" cy="225425"/>
    <xdr:sp macro="" textlink="">
      <xdr:nvSpPr>
        <xdr:cNvPr id="440" name="Text Box 1">
          <a:extLst>
            <a:ext uri="{FF2B5EF4-FFF2-40B4-BE49-F238E27FC236}">
              <a16:creationId xmlns:a16="http://schemas.microsoft.com/office/drawing/2014/main" id="{9A1FDA44-DC69-4E9D-9F36-75372B5B3916}"/>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99</xdr:row>
      <xdr:rowOff>47625</xdr:rowOff>
    </xdr:from>
    <xdr:ext cx="76200" cy="225425"/>
    <xdr:sp macro="" textlink="">
      <xdr:nvSpPr>
        <xdr:cNvPr id="441" name="Text Box 1">
          <a:extLst>
            <a:ext uri="{FF2B5EF4-FFF2-40B4-BE49-F238E27FC236}">
              <a16:creationId xmlns:a16="http://schemas.microsoft.com/office/drawing/2014/main" id="{B26AF53E-D9DF-46AA-9D29-3AF88B7D173F}"/>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99</xdr:row>
      <xdr:rowOff>47625</xdr:rowOff>
    </xdr:from>
    <xdr:ext cx="76200" cy="225425"/>
    <xdr:sp macro="" textlink="">
      <xdr:nvSpPr>
        <xdr:cNvPr id="442" name="Text Box 1">
          <a:extLst>
            <a:ext uri="{FF2B5EF4-FFF2-40B4-BE49-F238E27FC236}">
              <a16:creationId xmlns:a16="http://schemas.microsoft.com/office/drawing/2014/main" id="{9084F4F6-062E-4104-BFE1-685AE28067BB}"/>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99</xdr:row>
      <xdr:rowOff>47625</xdr:rowOff>
    </xdr:from>
    <xdr:ext cx="76200" cy="225425"/>
    <xdr:sp macro="" textlink="">
      <xdr:nvSpPr>
        <xdr:cNvPr id="443" name="Text Box 1">
          <a:extLst>
            <a:ext uri="{FF2B5EF4-FFF2-40B4-BE49-F238E27FC236}">
              <a16:creationId xmlns:a16="http://schemas.microsoft.com/office/drawing/2014/main" id="{1A4DB10F-6FBF-4005-A058-C13CC2343759}"/>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99</xdr:row>
      <xdr:rowOff>47625</xdr:rowOff>
    </xdr:from>
    <xdr:ext cx="76200" cy="225425"/>
    <xdr:sp macro="" textlink="">
      <xdr:nvSpPr>
        <xdr:cNvPr id="444" name="Text Box 1">
          <a:extLst>
            <a:ext uri="{FF2B5EF4-FFF2-40B4-BE49-F238E27FC236}">
              <a16:creationId xmlns:a16="http://schemas.microsoft.com/office/drawing/2014/main" id="{1A6F5927-CF20-442D-BD07-0C66B8DB4C04}"/>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99</xdr:row>
      <xdr:rowOff>47625</xdr:rowOff>
    </xdr:from>
    <xdr:ext cx="76200" cy="225425"/>
    <xdr:sp macro="" textlink="">
      <xdr:nvSpPr>
        <xdr:cNvPr id="445" name="Text Box 1">
          <a:extLst>
            <a:ext uri="{FF2B5EF4-FFF2-40B4-BE49-F238E27FC236}">
              <a16:creationId xmlns:a16="http://schemas.microsoft.com/office/drawing/2014/main" id="{FC6E4452-61AE-4D18-9F6C-E1FE29BD10B0}"/>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99</xdr:row>
      <xdr:rowOff>47625</xdr:rowOff>
    </xdr:from>
    <xdr:ext cx="76200" cy="225425"/>
    <xdr:sp macro="" textlink="">
      <xdr:nvSpPr>
        <xdr:cNvPr id="446" name="Text Box 1">
          <a:extLst>
            <a:ext uri="{FF2B5EF4-FFF2-40B4-BE49-F238E27FC236}">
              <a16:creationId xmlns:a16="http://schemas.microsoft.com/office/drawing/2014/main" id="{54A1B633-A097-400B-945A-60CA7A3CC47C}"/>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99</xdr:row>
      <xdr:rowOff>47625</xdr:rowOff>
    </xdr:from>
    <xdr:ext cx="76200" cy="225425"/>
    <xdr:sp macro="" textlink="">
      <xdr:nvSpPr>
        <xdr:cNvPr id="447" name="Text Box 1">
          <a:extLst>
            <a:ext uri="{FF2B5EF4-FFF2-40B4-BE49-F238E27FC236}">
              <a16:creationId xmlns:a16="http://schemas.microsoft.com/office/drawing/2014/main" id="{975BCAC3-7999-4C43-931D-40DF03A2EFAD}"/>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99</xdr:row>
      <xdr:rowOff>47625</xdr:rowOff>
    </xdr:from>
    <xdr:ext cx="76200" cy="225425"/>
    <xdr:sp macro="" textlink="">
      <xdr:nvSpPr>
        <xdr:cNvPr id="448" name="Text Box 1">
          <a:extLst>
            <a:ext uri="{FF2B5EF4-FFF2-40B4-BE49-F238E27FC236}">
              <a16:creationId xmlns:a16="http://schemas.microsoft.com/office/drawing/2014/main" id="{D0EF8AF3-E713-423D-8C3D-6675E984D376}"/>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99</xdr:row>
      <xdr:rowOff>47625</xdr:rowOff>
    </xdr:from>
    <xdr:ext cx="76200" cy="225425"/>
    <xdr:sp macro="" textlink="">
      <xdr:nvSpPr>
        <xdr:cNvPr id="449" name="Text Box 1">
          <a:extLst>
            <a:ext uri="{FF2B5EF4-FFF2-40B4-BE49-F238E27FC236}">
              <a16:creationId xmlns:a16="http://schemas.microsoft.com/office/drawing/2014/main" id="{13B16F38-3BA1-43E1-8B81-78E4E6AF1EEF}"/>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99</xdr:row>
      <xdr:rowOff>47625</xdr:rowOff>
    </xdr:from>
    <xdr:ext cx="76200" cy="225425"/>
    <xdr:sp macro="" textlink="">
      <xdr:nvSpPr>
        <xdr:cNvPr id="450" name="Text Box 1">
          <a:extLst>
            <a:ext uri="{FF2B5EF4-FFF2-40B4-BE49-F238E27FC236}">
              <a16:creationId xmlns:a16="http://schemas.microsoft.com/office/drawing/2014/main" id="{BCD3A949-1FE6-40F7-8218-3054A7B6A606}"/>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99</xdr:row>
      <xdr:rowOff>47625</xdr:rowOff>
    </xdr:from>
    <xdr:ext cx="76200" cy="225425"/>
    <xdr:sp macro="" textlink="">
      <xdr:nvSpPr>
        <xdr:cNvPr id="451" name="Text Box 1">
          <a:extLst>
            <a:ext uri="{FF2B5EF4-FFF2-40B4-BE49-F238E27FC236}">
              <a16:creationId xmlns:a16="http://schemas.microsoft.com/office/drawing/2014/main" id="{71C88C32-4E74-45B6-9496-A64B9CC9F7EA}"/>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99</xdr:row>
      <xdr:rowOff>47625</xdr:rowOff>
    </xdr:from>
    <xdr:ext cx="76200" cy="225425"/>
    <xdr:sp macro="" textlink="">
      <xdr:nvSpPr>
        <xdr:cNvPr id="452" name="Text Box 1">
          <a:extLst>
            <a:ext uri="{FF2B5EF4-FFF2-40B4-BE49-F238E27FC236}">
              <a16:creationId xmlns:a16="http://schemas.microsoft.com/office/drawing/2014/main" id="{CB2F7C5A-ECCC-404C-83E2-BC69E8CCA802}"/>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53" name="Text Box 1">
          <a:extLst>
            <a:ext uri="{FF2B5EF4-FFF2-40B4-BE49-F238E27FC236}">
              <a16:creationId xmlns:a16="http://schemas.microsoft.com/office/drawing/2014/main" id="{569BDE44-9594-4EED-92D4-C3CF0BB9733E}"/>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54" name="Text Box 1">
          <a:extLst>
            <a:ext uri="{FF2B5EF4-FFF2-40B4-BE49-F238E27FC236}">
              <a16:creationId xmlns:a16="http://schemas.microsoft.com/office/drawing/2014/main" id="{324094FE-3FC3-4727-9118-C69359374681}"/>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55" name="Text Box 1">
          <a:extLst>
            <a:ext uri="{FF2B5EF4-FFF2-40B4-BE49-F238E27FC236}">
              <a16:creationId xmlns:a16="http://schemas.microsoft.com/office/drawing/2014/main" id="{336AECDC-3231-4EFD-9EB6-696731AEAEF0}"/>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56" name="Text Box 1">
          <a:extLst>
            <a:ext uri="{FF2B5EF4-FFF2-40B4-BE49-F238E27FC236}">
              <a16:creationId xmlns:a16="http://schemas.microsoft.com/office/drawing/2014/main" id="{19CC53F8-556E-49EF-B292-EB061E7896D4}"/>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57" name="Text Box 1">
          <a:extLst>
            <a:ext uri="{FF2B5EF4-FFF2-40B4-BE49-F238E27FC236}">
              <a16:creationId xmlns:a16="http://schemas.microsoft.com/office/drawing/2014/main" id="{9F20EAAE-359F-4BFD-A7EF-94509CE76923}"/>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58" name="Text Box 1">
          <a:extLst>
            <a:ext uri="{FF2B5EF4-FFF2-40B4-BE49-F238E27FC236}">
              <a16:creationId xmlns:a16="http://schemas.microsoft.com/office/drawing/2014/main" id="{734727D6-99FC-4272-A398-9FB06866DE72}"/>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59" name="Text Box 1">
          <a:extLst>
            <a:ext uri="{FF2B5EF4-FFF2-40B4-BE49-F238E27FC236}">
              <a16:creationId xmlns:a16="http://schemas.microsoft.com/office/drawing/2014/main" id="{3388ABFC-349B-40B8-8F55-C00D3F36A165}"/>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60" name="Text Box 1">
          <a:extLst>
            <a:ext uri="{FF2B5EF4-FFF2-40B4-BE49-F238E27FC236}">
              <a16:creationId xmlns:a16="http://schemas.microsoft.com/office/drawing/2014/main" id="{F3D269B0-3255-49E6-A451-5A35487FB97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61" name="Text Box 1">
          <a:extLst>
            <a:ext uri="{FF2B5EF4-FFF2-40B4-BE49-F238E27FC236}">
              <a16:creationId xmlns:a16="http://schemas.microsoft.com/office/drawing/2014/main" id="{ECE24B96-22E9-4493-8930-8B789C96EE8D}"/>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62" name="Text Box 1">
          <a:extLst>
            <a:ext uri="{FF2B5EF4-FFF2-40B4-BE49-F238E27FC236}">
              <a16:creationId xmlns:a16="http://schemas.microsoft.com/office/drawing/2014/main" id="{AA58E8E8-1086-4268-A8FD-A5CBD261977B}"/>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63" name="Text Box 1">
          <a:extLst>
            <a:ext uri="{FF2B5EF4-FFF2-40B4-BE49-F238E27FC236}">
              <a16:creationId xmlns:a16="http://schemas.microsoft.com/office/drawing/2014/main" id="{56DBE8CD-D8E6-4A14-88CB-7CA3E56F17CB}"/>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64" name="Text Box 1">
          <a:extLst>
            <a:ext uri="{FF2B5EF4-FFF2-40B4-BE49-F238E27FC236}">
              <a16:creationId xmlns:a16="http://schemas.microsoft.com/office/drawing/2014/main" id="{B48939A3-AA7A-4873-B23D-B3A91089BC98}"/>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102</xdr:row>
      <xdr:rowOff>47625</xdr:rowOff>
    </xdr:from>
    <xdr:ext cx="76200" cy="225425"/>
    <xdr:sp macro="" textlink="">
      <xdr:nvSpPr>
        <xdr:cNvPr id="465" name="Text Box 1">
          <a:extLst>
            <a:ext uri="{FF2B5EF4-FFF2-40B4-BE49-F238E27FC236}">
              <a16:creationId xmlns:a16="http://schemas.microsoft.com/office/drawing/2014/main" id="{0E1D2460-D9A0-4006-A0BB-9FA9E1FE851A}"/>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102</xdr:row>
      <xdr:rowOff>47625</xdr:rowOff>
    </xdr:from>
    <xdr:ext cx="76200" cy="225425"/>
    <xdr:sp macro="" textlink="">
      <xdr:nvSpPr>
        <xdr:cNvPr id="466" name="Text Box 1">
          <a:extLst>
            <a:ext uri="{FF2B5EF4-FFF2-40B4-BE49-F238E27FC236}">
              <a16:creationId xmlns:a16="http://schemas.microsoft.com/office/drawing/2014/main" id="{BFE83B7F-2FDF-40A1-8901-CFB27E154E44}"/>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102</xdr:row>
      <xdr:rowOff>47625</xdr:rowOff>
    </xdr:from>
    <xdr:ext cx="76200" cy="225425"/>
    <xdr:sp macro="" textlink="">
      <xdr:nvSpPr>
        <xdr:cNvPr id="467" name="Text Box 1">
          <a:extLst>
            <a:ext uri="{FF2B5EF4-FFF2-40B4-BE49-F238E27FC236}">
              <a16:creationId xmlns:a16="http://schemas.microsoft.com/office/drawing/2014/main" id="{CA2955E3-51A0-4FFB-AF1D-38AF917E41CA}"/>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102</xdr:row>
      <xdr:rowOff>47625</xdr:rowOff>
    </xdr:from>
    <xdr:ext cx="76200" cy="225425"/>
    <xdr:sp macro="" textlink="">
      <xdr:nvSpPr>
        <xdr:cNvPr id="468" name="Text Box 1">
          <a:extLst>
            <a:ext uri="{FF2B5EF4-FFF2-40B4-BE49-F238E27FC236}">
              <a16:creationId xmlns:a16="http://schemas.microsoft.com/office/drawing/2014/main" id="{925BDAE1-B78D-4F38-ACDA-D24712D64645}"/>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102</xdr:row>
      <xdr:rowOff>47625</xdr:rowOff>
    </xdr:from>
    <xdr:ext cx="76200" cy="225425"/>
    <xdr:sp macro="" textlink="">
      <xdr:nvSpPr>
        <xdr:cNvPr id="469" name="Text Box 1">
          <a:extLst>
            <a:ext uri="{FF2B5EF4-FFF2-40B4-BE49-F238E27FC236}">
              <a16:creationId xmlns:a16="http://schemas.microsoft.com/office/drawing/2014/main" id="{33A4FDC4-9387-449B-A7AB-923EC59BFA54}"/>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102</xdr:row>
      <xdr:rowOff>47625</xdr:rowOff>
    </xdr:from>
    <xdr:ext cx="76200" cy="225425"/>
    <xdr:sp macro="" textlink="">
      <xdr:nvSpPr>
        <xdr:cNvPr id="470" name="Text Box 1">
          <a:extLst>
            <a:ext uri="{FF2B5EF4-FFF2-40B4-BE49-F238E27FC236}">
              <a16:creationId xmlns:a16="http://schemas.microsoft.com/office/drawing/2014/main" id="{BE4E379B-9E45-456D-B02B-A835ED68827B}"/>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71" name="Text Box 1">
          <a:extLst>
            <a:ext uri="{FF2B5EF4-FFF2-40B4-BE49-F238E27FC236}">
              <a16:creationId xmlns:a16="http://schemas.microsoft.com/office/drawing/2014/main" id="{26ADD004-C9FC-4837-AFA2-ABF35A6CAB30}"/>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72" name="Text Box 1">
          <a:extLst>
            <a:ext uri="{FF2B5EF4-FFF2-40B4-BE49-F238E27FC236}">
              <a16:creationId xmlns:a16="http://schemas.microsoft.com/office/drawing/2014/main" id="{C42F765C-A30E-4DBB-A5B1-CDF97625D3A2}"/>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73" name="Text Box 1">
          <a:extLst>
            <a:ext uri="{FF2B5EF4-FFF2-40B4-BE49-F238E27FC236}">
              <a16:creationId xmlns:a16="http://schemas.microsoft.com/office/drawing/2014/main" id="{7823D8AC-9399-4A6F-9232-E0165E4605AD}"/>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74" name="Text Box 1">
          <a:extLst>
            <a:ext uri="{FF2B5EF4-FFF2-40B4-BE49-F238E27FC236}">
              <a16:creationId xmlns:a16="http://schemas.microsoft.com/office/drawing/2014/main" id="{EC81DBBB-A737-400A-B253-234AC9D273FE}"/>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75" name="Text Box 1">
          <a:extLst>
            <a:ext uri="{FF2B5EF4-FFF2-40B4-BE49-F238E27FC236}">
              <a16:creationId xmlns:a16="http://schemas.microsoft.com/office/drawing/2014/main" id="{6CAFB4E3-6FBE-4875-AD07-BB770D533237}"/>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76" name="Text Box 1">
          <a:extLst>
            <a:ext uri="{FF2B5EF4-FFF2-40B4-BE49-F238E27FC236}">
              <a16:creationId xmlns:a16="http://schemas.microsoft.com/office/drawing/2014/main" id="{0359928C-17F8-43C9-85D9-33CA582D5F99}"/>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77" name="Text Box 1">
          <a:extLst>
            <a:ext uri="{FF2B5EF4-FFF2-40B4-BE49-F238E27FC236}">
              <a16:creationId xmlns:a16="http://schemas.microsoft.com/office/drawing/2014/main" id="{79A88750-5013-4684-BA91-2B661A19B4C6}"/>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101</xdr:row>
      <xdr:rowOff>47625</xdr:rowOff>
    </xdr:from>
    <xdr:ext cx="76200" cy="225425"/>
    <xdr:sp macro="" textlink="">
      <xdr:nvSpPr>
        <xdr:cNvPr id="478" name="Text Box 1">
          <a:extLst>
            <a:ext uri="{FF2B5EF4-FFF2-40B4-BE49-F238E27FC236}">
              <a16:creationId xmlns:a16="http://schemas.microsoft.com/office/drawing/2014/main" id="{9FE78F69-3206-42A3-8943-1A1E4A35A894}"/>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101</xdr:row>
      <xdr:rowOff>47625</xdr:rowOff>
    </xdr:from>
    <xdr:ext cx="76200" cy="225425"/>
    <xdr:sp macro="" textlink="">
      <xdr:nvSpPr>
        <xdr:cNvPr id="479" name="Text Box 1">
          <a:extLst>
            <a:ext uri="{FF2B5EF4-FFF2-40B4-BE49-F238E27FC236}">
              <a16:creationId xmlns:a16="http://schemas.microsoft.com/office/drawing/2014/main" id="{974D9ED4-03D6-4E7E-9072-700FD646C3E0}"/>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103</xdr:row>
      <xdr:rowOff>47625</xdr:rowOff>
    </xdr:from>
    <xdr:ext cx="76200" cy="225425"/>
    <xdr:sp macro="" textlink="">
      <xdr:nvSpPr>
        <xdr:cNvPr id="480" name="Text Box 1">
          <a:extLst>
            <a:ext uri="{FF2B5EF4-FFF2-40B4-BE49-F238E27FC236}">
              <a16:creationId xmlns:a16="http://schemas.microsoft.com/office/drawing/2014/main" id="{362A7B68-D2D3-477F-B58E-FAED6BD8606D}"/>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103</xdr:row>
      <xdr:rowOff>47625</xdr:rowOff>
    </xdr:from>
    <xdr:ext cx="76200" cy="225425"/>
    <xdr:sp macro="" textlink="">
      <xdr:nvSpPr>
        <xdr:cNvPr id="481" name="Text Box 1">
          <a:extLst>
            <a:ext uri="{FF2B5EF4-FFF2-40B4-BE49-F238E27FC236}">
              <a16:creationId xmlns:a16="http://schemas.microsoft.com/office/drawing/2014/main" id="{47BE6686-2BCE-4F79-AB74-CC305271BBE1}"/>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103</xdr:row>
      <xdr:rowOff>47625</xdr:rowOff>
    </xdr:from>
    <xdr:ext cx="76200" cy="225425"/>
    <xdr:sp macro="" textlink="">
      <xdr:nvSpPr>
        <xdr:cNvPr id="482" name="Text Box 1">
          <a:extLst>
            <a:ext uri="{FF2B5EF4-FFF2-40B4-BE49-F238E27FC236}">
              <a16:creationId xmlns:a16="http://schemas.microsoft.com/office/drawing/2014/main" id="{5D91866F-1C36-4EAD-81A8-DCC77055E051}"/>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103</xdr:row>
      <xdr:rowOff>47625</xdr:rowOff>
    </xdr:from>
    <xdr:ext cx="76200" cy="225425"/>
    <xdr:sp macro="" textlink="">
      <xdr:nvSpPr>
        <xdr:cNvPr id="483" name="Text Box 1">
          <a:extLst>
            <a:ext uri="{FF2B5EF4-FFF2-40B4-BE49-F238E27FC236}">
              <a16:creationId xmlns:a16="http://schemas.microsoft.com/office/drawing/2014/main" id="{981420AA-93CC-4BE0-AEA3-EA2E6E7A657A}"/>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103</xdr:row>
      <xdr:rowOff>47625</xdr:rowOff>
    </xdr:from>
    <xdr:ext cx="76200" cy="225425"/>
    <xdr:sp macro="" textlink="">
      <xdr:nvSpPr>
        <xdr:cNvPr id="484" name="Text Box 1">
          <a:extLst>
            <a:ext uri="{FF2B5EF4-FFF2-40B4-BE49-F238E27FC236}">
              <a16:creationId xmlns:a16="http://schemas.microsoft.com/office/drawing/2014/main" id="{27AA860E-5020-4579-8A4C-E5522B52A48D}"/>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103</xdr:row>
      <xdr:rowOff>47625</xdr:rowOff>
    </xdr:from>
    <xdr:ext cx="76200" cy="225425"/>
    <xdr:sp macro="" textlink="">
      <xdr:nvSpPr>
        <xdr:cNvPr id="485" name="Text Box 1">
          <a:extLst>
            <a:ext uri="{FF2B5EF4-FFF2-40B4-BE49-F238E27FC236}">
              <a16:creationId xmlns:a16="http://schemas.microsoft.com/office/drawing/2014/main" id="{94557CD3-20F1-46BE-9518-D74747D6B392}"/>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86" name="Text Box 1">
          <a:extLst>
            <a:ext uri="{FF2B5EF4-FFF2-40B4-BE49-F238E27FC236}">
              <a16:creationId xmlns:a16="http://schemas.microsoft.com/office/drawing/2014/main" id="{EC202740-EEBE-4FF9-A99F-8052BD0A6C7C}"/>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87" name="Text Box 1">
          <a:extLst>
            <a:ext uri="{FF2B5EF4-FFF2-40B4-BE49-F238E27FC236}">
              <a16:creationId xmlns:a16="http://schemas.microsoft.com/office/drawing/2014/main" id="{A577D6C2-FC89-4562-8AC0-C31559E4092C}"/>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88" name="Text Box 1">
          <a:extLst>
            <a:ext uri="{FF2B5EF4-FFF2-40B4-BE49-F238E27FC236}">
              <a16:creationId xmlns:a16="http://schemas.microsoft.com/office/drawing/2014/main" id="{AFA90B8B-C9B0-4433-A8D3-329B3BC44422}"/>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89" name="Text Box 1">
          <a:extLst>
            <a:ext uri="{FF2B5EF4-FFF2-40B4-BE49-F238E27FC236}">
              <a16:creationId xmlns:a16="http://schemas.microsoft.com/office/drawing/2014/main" id="{051F341B-E1FD-405D-9448-CAA0EAF74AA5}"/>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90" name="Text Box 1">
          <a:extLst>
            <a:ext uri="{FF2B5EF4-FFF2-40B4-BE49-F238E27FC236}">
              <a16:creationId xmlns:a16="http://schemas.microsoft.com/office/drawing/2014/main" id="{BE8EEEA6-189B-4EB1-969A-4E9B1EB5C5E6}"/>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91" name="Text Box 1">
          <a:extLst>
            <a:ext uri="{FF2B5EF4-FFF2-40B4-BE49-F238E27FC236}">
              <a16:creationId xmlns:a16="http://schemas.microsoft.com/office/drawing/2014/main" id="{9874C4BB-E08B-4807-AFA4-811EF4551FA8}"/>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105</xdr:row>
      <xdr:rowOff>47625</xdr:rowOff>
    </xdr:from>
    <xdr:ext cx="76200" cy="225425"/>
    <xdr:sp macro="" textlink="">
      <xdr:nvSpPr>
        <xdr:cNvPr id="492" name="Text Box 1">
          <a:extLst>
            <a:ext uri="{FF2B5EF4-FFF2-40B4-BE49-F238E27FC236}">
              <a16:creationId xmlns:a16="http://schemas.microsoft.com/office/drawing/2014/main" id="{9198D811-1199-42E9-ACCF-F01E27F27C54}"/>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105</xdr:row>
      <xdr:rowOff>47625</xdr:rowOff>
    </xdr:from>
    <xdr:ext cx="76200" cy="225425"/>
    <xdr:sp macro="" textlink="">
      <xdr:nvSpPr>
        <xdr:cNvPr id="493" name="Text Box 1">
          <a:extLst>
            <a:ext uri="{FF2B5EF4-FFF2-40B4-BE49-F238E27FC236}">
              <a16:creationId xmlns:a16="http://schemas.microsoft.com/office/drawing/2014/main" id="{790F16DB-7785-412A-BFD6-68E3DF5B5E19}"/>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105</xdr:row>
      <xdr:rowOff>47625</xdr:rowOff>
    </xdr:from>
    <xdr:ext cx="76200" cy="225425"/>
    <xdr:sp macro="" textlink="">
      <xdr:nvSpPr>
        <xdr:cNvPr id="494" name="Text Box 1">
          <a:extLst>
            <a:ext uri="{FF2B5EF4-FFF2-40B4-BE49-F238E27FC236}">
              <a16:creationId xmlns:a16="http://schemas.microsoft.com/office/drawing/2014/main" id="{D1FAC07D-8A03-454D-90E5-AF403D11A6EF}"/>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105</xdr:row>
      <xdr:rowOff>47625</xdr:rowOff>
    </xdr:from>
    <xdr:ext cx="76200" cy="225425"/>
    <xdr:sp macro="" textlink="">
      <xdr:nvSpPr>
        <xdr:cNvPr id="495" name="Text Box 1">
          <a:extLst>
            <a:ext uri="{FF2B5EF4-FFF2-40B4-BE49-F238E27FC236}">
              <a16:creationId xmlns:a16="http://schemas.microsoft.com/office/drawing/2014/main" id="{87459EF6-AC31-4AB4-A0B6-A2FB46338076}"/>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105</xdr:row>
      <xdr:rowOff>47625</xdr:rowOff>
    </xdr:from>
    <xdr:ext cx="76200" cy="225425"/>
    <xdr:sp macro="" textlink="">
      <xdr:nvSpPr>
        <xdr:cNvPr id="496" name="Text Box 1">
          <a:extLst>
            <a:ext uri="{FF2B5EF4-FFF2-40B4-BE49-F238E27FC236}">
              <a16:creationId xmlns:a16="http://schemas.microsoft.com/office/drawing/2014/main" id="{22C0B7DF-CE8F-431D-8A7E-ACCD0727D904}"/>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105</xdr:row>
      <xdr:rowOff>47625</xdr:rowOff>
    </xdr:from>
    <xdr:ext cx="76200" cy="225425"/>
    <xdr:sp macro="" textlink="">
      <xdr:nvSpPr>
        <xdr:cNvPr id="497" name="Text Box 1">
          <a:extLst>
            <a:ext uri="{FF2B5EF4-FFF2-40B4-BE49-F238E27FC236}">
              <a16:creationId xmlns:a16="http://schemas.microsoft.com/office/drawing/2014/main" id="{01776CC3-8AE6-4F32-8547-75893232227D}"/>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105</xdr:row>
      <xdr:rowOff>47625</xdr:rowOff>
    </xdr:from>
    <xdr:ext cx="76200" cy="225425"/>
    <xdr:sp macro="" textlink="">
      <xdr:nvSpPr>
        <xdr:cNvPr id="498" name="Text Box 1">
          <a:extLst>
            <a:ext uri="{FF2B5EF4-FFF2-40B4-BE49-F238E27FC236}">
              <a16:creationId xmlns:a16="http://schemas.microsoft.com/office/drawing/2014/main" id="{F3085592-4034-4B31-9F91-9326FCE07B1E}"/>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105</xdr:row>
      <xdr:rowOff>47625</xdr:rowOff>
    </xdr:from>
    <xdr:ext cx="76200" cy="225425"/>
    <xdr:sp macro="" textlink="">
      <xdr:nvSpPr>
        <xdr:cNvPr id="499" name="Text Box 1">
          <a:extLst>
            <a:ext uri="{FF2B5EF4-FFF2-40B4-BE49-F238E27FC236}">
              <a16:creationId xmlns:a16="http://schemas.microsoft.com/office/drawing/2014/main" id="{6A781948-B16B-4760-895D-3087FF8F5958}"/>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105</xdr:row>
      <xdr:rowOff>47625</xdr:rowOff>
    </xdr:from>
    <xdr:ext cx="76200" cy="225425"/>
    <xdr:sp macro="" textlink="">
      <xdr:nvSpPr>
        <xdr:cNvPr id="500" name="Text Box 1">
          <a:extLst>
            <a:ext uri="{FF2B5EF4-FFF2-40B4-BE49-F238E27FC236}">
              <a16:creationId xmlns:a16="http://schemas.microsoft.com/office/drawing/2014/main" id="{81650B4C-8095-4FED-B1CF-569A85246018}"/>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105</xdr:row>
      <xdr:rowOff>47625</xdr:rowOff>
    </xdr:from>
    <xdr:ext cx="76200" cy="225425"/>
    <xdr:sp macro="" textlink="">
      <xdr:nvSpPr>
        <xdr:cNvPr id="501" name="Text Box 1">
          <a:extLst>
            <a:ext uri="{FF2B5EF4-FFF2-40B4-BE49-F238E27FC236}">
              <a16:creationId xmlns:a16="http://schemas.microsoft.com/office/drawing/2014/main" id="{8319AEB5-C1C7-4AE9-A4E1-C623DE7822F5}"/>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105</xdr:row>
      <xdr:rowOff>47625</xdr:rowOff>
    </xdr:from>
    <xdr:ext cx="76200" cy="225425"/>
    <xdr:sp macro="" textlink="">
      <xdr:nvSpPr>
        <xdr:cNvPr id="502" name="Text Box 1">
          <a:extLst>
            <a:ext uri="{FF2B5EF4-FFF2-40B4-BE49-F238E27FC236}">
              <a16:creationId xmlns:a16="http://schemas.microsoft.com/office/drawing/2014/main" id="{2EEDA5EA-019C-4B84-8A9A-27CA6E4F450B}"/>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105</xdr:row>
      <xdr:rowOff>47625</xdr:rowOff>
    </xdr:from>
    <xdr:ext cx="76200" cy="225425"/>
    <xdr:sp macro="" textlink="">
      <xdr:nvSpPr>
        <xdr:cNvPr id="503" name="Text Box 1">
          <a:extLst>
            <a:ext uri="{FF2B5EF4-FFF2-40B4-BE49-F238E27FC236}">
              <a16:creationId xmlns:a16="http://schemas.microsoft.com/office/drawing/2014/main" id="{5605B241-69D8-4702-9F24-BCBFF613B735}"/>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5425"/>
    <xdr:sp macro="" textlink="">
      <xdr:nvSpPr>
        <xdr:cNvPr id="504" name="Text Box 1">
          <a:extLst>
            <a:ext uri="{FF2B5EF4-FFF2-40B4-BE49-F238E27FC236}">
              <a16:creationId xmlns:a16="http://schemas.microsoft.com/office/drawing/2014/main" id="{2CAFE652-7EDB-4623-A122-0E862F3A4559}"/>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5425"/>
    <xdr:sp macro="" textlink="">
      <xdr:nvSpPr>
        <xdr:cNvPr id="505" name="Text Box 1">
          <a:extLst>
            <a:ext uri="{FF2B5EF4-FFF2-40B4-BE49-F238E27FC236}">
              <a16:creationId xmlns:a16="http://schemas.microsoft.com/office/drawing/2014/main" id="{840526E5-7BFB-462C-8274-0C24BC254EFD}"/>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5425"/>
    <xdr:sp macro="" textlink="">
      <xdr:nvSpPr>
        <xdr:cNvPr id="506" name="Text Box 1">
          <a:extLst>
            <a:ext uri="{FF2B5EF4-FFF2-40B4-BE49-F238E27FC236}">
              <a16:creationId xmlns:a16="http://schemas.microsoft.com/office/drawing/2014/main" id="{563F5747-1F3D-4B94-8E07-490837D36BA6}"/>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5425"/>
    <xdr:sp macro="" textlink="">
      <xdr:nvSpPr>
        <xdr:cNvPr id="507" name="Text Box 1">
          <a:extLst>
            <a:ext uri="{FF2B5EF4-FFF2-40B4-BE49-F238E27FC236}">
              <a16:creationId xmlns:a16="http://schemas.microsoft.com/office/drawing/2014/main" id="{C90E297A-A3F9-4591-9CAB-22A4AC2A2E1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5425"/>
    <xdr:sp macro="" textlink="">
      <xdr:nvSpPr>
        <xdr:cNvPr id="508" name="Text Box 1">
          <a:extLst>
            <a:ext uri="{FF2B5EF4-FFF2-40B4-BE49-F238E27FC236}">
              <a16:creationId xmlns:a16="http://schemas.microsoft.com/office/drawing/2014/main" id="{FBA0D23D-AF37-4D01-B39F-37980BAEEED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5425"/>
    <xdr:sp macro="" textlink="">
      <xdr:nvSpPr>
        <xdr:cNvPr id="509" name="Text Box 1">
          <a:extLst>
            <a:ext uri="{FF2B5EF4-FFF2-40B4-BE49-F238E27FC236}">
              <a16:creationId xmlns:a16="http://schemas.microsoft.com/office/drawing/2014/main" id="{D206F557-0CF8-4E9C-B700-F15BD269DA3C}"/>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5425"/>
    <xdr:sp macro="" textlink="">
      <xdr:nvSpPr>
        <xdr:cNvPr id="510" name="Text Box 1">
          <a:extLst>
            <a:ext uri="{FF2B5EF4-FFF2-40B4-BE49-F238E27FC236}">
              <a16:creationId xmlns:a16="http://schemas.microsoft.com/office/drawing/2014/main" id="{0021AF5F-0A62-4099-B297-02C9F6271081}"/>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5425"/>
    <xdr:sp macro="" textlink="">
      <xdr:nvSpPr>
        <xdr:cNvPr id="511" name="Text Box 1">
          <a:extLst>
            <a:ext uri="{FF2B5EF4-FFF2-40B4-BE49-F238E27FC236}">
              <a16:creationId xmlns:a16="http://schemas.microsoft.com/office/drawing/2014/main" id="{1B52B09F-565F-4528-91D0-79EAF530481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5425"/>
    <xdr:sp macro="" textlink="">
      <xdr:nvSpPr>
        <xdr:cNvPr id="512" name="Text Box 1">
          <a:extLst>
            <a:ext uri="{FF2B5EF4-FFF2-40B4-BE49-F238E27FC236}">
              <a16:creationId xmlns:a16="http://schemas.microsoft.com/office/drawing/2014/main" id="{A6786F09-CB08-49F0-B2F2-B2179236559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5425"/>
    <xdr:sp macro="" textlink="">
      <xdr:nvSpPr>
        <xdr:cNvPr id="513" name="Text Box 1">
          <a:extLst>
            <a:ext uri="{FF2B5EF4-FFF2-40B4-BE49-F238E27FC236}">
              <a16:creationId xmlns:a16="http://schemas.microsoft.com/office/drawing/2014/main" id="{0F58B1C0-1738-40F6-B1B0-E3FF8D11E89E}"/>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5425"/>
    <xdr:sp macro="" textlink="">
      <xdr:nvSpPr>
        <xdr:cNvPr id="514" name="Text Box 1">
          <a:extLst>
            <a:ext uri="{FF2B5EF4-FFF2-40B4-BE49-F238E27FC236}">
              <a16:creationId xmlns:a16="http://schemas.microsoft.com/office/drawing/2014/main" id="{B4121D9E-6B94-4E9A-813C-FCAF0A08947D}"/>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5425"/>
    <xdr:sp macro="" textlink="">
      <xdr:nvSpPr>
        <xdr:cNvPr id="515" name="Text Box 1">
          <a:extLst>
            <a:ext uri="{FF2B5EF4-FFF2-40B4-BE49-F238E27FC236}">
              <a16:creationId xmlns:a16="http://schemas.microsoft.com/office/drawing/2014/main" id="{A257DE87-2212-411F-832B-DFB5BBAA1294}"/>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108</xdr:row>
      <xdr:rowOff>47625</xdr:rowOff>
    </xdr:from>
    <xdr:ext cx="76200" cy="225425"/>
    <xdr:sp macro="" textlink="">
      <xdr:nvSpPr>
        <xdr:cNvPr id="516" name="Text Box 1">
          <a:extLst>
            <a:ext uri="{FF2B5EF4-FFF2-40B4-BE49-F238E27FC236}">
              <a16:creationId xmlns:a16="http://schemas.microsoft.com/office/drawing/2014/main" id="{B5EAF238-5A20-455A-880B-8266E57062C6}"/>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108</xdr:row>
      <xdr:rowOff>47625</xdr:rowOff>
    </xdr:from>
    <xdr:ext cx="76200" cy="225425"/>
    <xdr:sp macro="" textlink="">
      <xdr:nvSpPr>
        <xdr:cNvPr id="517" name="Text Box 1">
          <a:extLst>
            <a:ext uri="{FF2B5EF4-FFF2-40B4-BE49-F238E27FC236}">
              <a16:creationId xmlns:a16="http://schemas.microsoft.com/office/drawing/2014/main" id="{59689A85-ED0D-4A78-9AD9-931B887E3576}"/>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108</xdr:row>
      <xdr:rowOff>47625</xdr:rowOff>
    </xdr:from>
    <xdr:ext cx="76200" cy="225425"/>
    <xdr:sp macro="" textlink="">
      <xdr:nvSpPr>
        <xdr:cNvPr id="518" name="Text Box 1">
          <a:extLst>
            <a:ext uri="{FF2B5EF4-FFF2-40B4-BE49-F238E27FC236}">
              <a16:creationId xmlns:a16="http://schemas.microsoft.com/office/drawing/2014/main" id="{A0F7BF49-E183-4F75-9754-596438BC02DE}"/>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108</xdr:row>
      <xdr:rowOff>47625</xdr:rowOff>
    </xdr:from>
    <xdr:ext cx="76200" cy="225425"/>
    <xdr:sp macro="" textlink="">
      <xdr:nvSpPr>
        <xdr:cNvPr id="519" name="Text Box 1">
          <a:extLst>
            <a:ext uri="{FF2B5EF4-FFF2-40B4-BE49-F238E27FC236}">
              <a16:creationId xmlns:a16="http://schemas.microsoft.com/office/drawing/2014/main" id="{5B988725-9C18-44AA-B3C0-AD04AFECD2B8}"/>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108</xdr:row>
      <xdr:rowOff>47625</xdr:rowOff>
    </xdr:from>
    <xdr:ext cx="76200" cy="225425"/>
    <xdr:sp macro="" textlink="">
      <xdr:nvSpPr>
        <xdr:cNvPr id="520" name="Text Box 1">
          <a:extLst>
            <a:ext uri="{FF2B5EF4-FFF2-40B4-BE49-F238E27FC236}">
              <a16:creationId xmlns:a16="http://schemas.microsoft.com/office/drawing/2014/main" id="{A3047A4E-6AE6-4974-B29B-82B3323592AF}"/>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108</xdr:row>
      <xdr:rowOff>47625</xdr:rowOff>
    </xdr:from>
    <xdr:ext cx="76200" cy="225425"/>
    <xdr:sp macro="" textlink="">
      <xdr:nvSpPr>
        <xdr:cNvPr id="521" name="Text Box 1">
          <a:extLst>
            <a:ext uri="{FF2B5EF4-FFF2-40B4-BE49-F238E27FC236}">
              <a16:creationId xmlns:a16="http://schemas.microsoft.com/office/drawing/2014/main" id="{21C1BC59-55FB-411C-81B0-C0A1D2F49785}"/>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110</xdr:row>
      <xdr:rowOff>47625</xdr:rowOff>
    </xdr:from>
    <xdr:ext cx="76200" cy="225425"/>
    <xdr:sp macro="" textlink="">
      <xdr:nvSpPr>
        <xdr:cNvPr id="522" name="Text Box 1">
          <a:extLst>
            <a:ext uri="{FF2B5EF4-FFF2-40B4-BE49-F238E27FC236}">
              <a16:creationId xmlns:a16="http://schemas.microsoft.com/office/drawing/2014/main" id="{C8291CE4-C2F2-475F-A1F8-DB2A66C34135}"/>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110</xdr:row>
      <xdr:rowOff>47625</xdr:rowOff>
    </xdr:from>
    <xdr:ext cx="76200" cy="225425"/>
    <xdr:sp macro="" textlink="">
      <xdr:nvSpPr>
        <xdr:cNvPr id="523" name="Text Box 1">
          <a:extLst>
            <a:ext uri="{FF2B5EF4-FFF2-40B4-BE49-F238E27FC236}">
              <a16:creationId xmlns:a16="http://schemas.microsoft.com/office/drawing/2014/main" id="{CAA1AE33-DC77-4A10-BC46-44A7C91D58EF}"/>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110</xdr:row>
      <xdr:rowOff>47625</xdr:rowOff>
    </xdr:from>
    <xdr:ext cx="76200" cy="225425"/>
    <xdr:sp macro="" textlink="">
      <xdr:nvSpPr>
        <xdr:cNvPr id="524" name="Text Box 1">
          <a:extLst>
            <a:ext uri="{FF2B5EF4-FFF2-40B4-BE49-F238E27FC236}">
              <a16:creationId xmlns:a16="http://schemas.microsoft.com/office/drawing/2014/main" id="{AEA1E1DA-A931-44DE-828C-8787B74BDA25}"/>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110</xdr:row>
      <xdr:rowOff>47625</xdr:rowOff>
    </xdr:from>
    <xdr:ext cx="76200" cy="225425"/>
    <xdr:sp macro="" textlink="">
      <xdr:nvSpPr>
        <xdr:cNvPr id="525" name="Text Box 1">
          <a:extLst>
            <a:ext uri="{FF2B5EF4-FFF2-40B4-BE49-F238E27FC236}">
              <a16:creationId xmlns:a16="http://schemas.microsoft.com/office/drawing/2014/main" id="{BC9A0DBE-BD85-4684-BD31-AB7DDA60892F}"/>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110</xdr:row>
      <xdr:rowOff>47625</xdr:rowOff>
    </xdr:from>
    <xdr:ext cx="76200" cy="225425"/>
    <xdr:sp macro="" textlink="">
      <xdr:nvSpPr>
        <xdr:cNvPr id="526" name="Text Box 1">
          <a:extLst>
            <a:ext uri="{FF2B5EF4-FFF2-40B4-BE49-F238E27FC236}">
              <a16:creationId xmlns:a16="http://schemas.microsoft.com/office/drawing/2014/main" id="{D8EFD4AD-B602-4825-941F-00EA76913758}"/>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110</xdr:row>
      <xdr:rowOff>47625</xdr:rowOff>
    </xdr:from>
    <xdr:ext cx="76200" cy="225425"/>
    <xdr:sp macro="" textlink="">
      <xdr:nvSpPr>
        <xdr:cNvPr id="527" name="Text Box 1">
          <a:extLst>
            <a:ext uri="{FF2B5EF4-FFF2-40B4-BE49-F238E27FC236}">
              <a16:creationId xmlns:a16="http://schemas.microsoft.com/office/drawing/2014/main" id="{EA486076-8285-4918-A771-211A9906B790}"/>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5425"/>
    <xdr:sp macro="" textlink="">
      <xdr:nvSpPr>
        <xdr:cNvPr id="528" name="Text Box 1">
          <a:extLst>
            <a:ext uri="{FF2B5EF4-FFF2-40B4-BE49-F238E27FC236}">
              <a16:creationId xmlns:a16="http://schemas.microsoft.com/office/drawing/2014/main" id="{E7D1AC59-46B7-4F4A-93B4-4455BB850E90}"/>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107</xdr:row>
      <xdr:rowOff>47625</xdr:rowOff>
    </xdr:from>
    <xdr:ext cx="76200" cy="225425"/>
    <xdr:sp macro="" textlink="">
      <xdr:nvSpPr>
        <xdr:cNvPr id="529" name="Text Box 1">
          <a:extLst>
            <a:ext uri="{FF2B5EF4-FFF2-40B4-BE49-F238E27FC236}">
              <a16:creationId xmlns:a16="http://schemas.microsoft.com/office/drawing/2014/main" id="{42FE9690-396D-4A9E-93C3-2FAEC1AA3998}"/>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107</xdr:row>
      <xdr:rowOff>47625</xdr:rowOff>
    </xdr:from>
    <xdr:ext cx="76200" cy="225425"/>
    <xdr:sp macro="" textlink="">
      <xdr:nvSpPr>
        <xdr:cNvPr id="530" name="Text Box 1">
          <a:extLst>
            <a:ext uri="{FF2B5EF4-FFF2-40B4-BE49-F238E27FC236}">
              <a16:creationId xmlns:a16="http://schemas.microsoft.com/office/drawing/2014/main" id="{194EC36B-A4CE-4C68-AB62-D82A4B0DBBBC}"/>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109</xdr:row>
      <xdr:rowOff>47625</xdr:rowOff>
    </xdr:from>
    <xdr:ext cx="76200" cy="225425"/>
    <xdr:sp macro="" textlink="">
      <xdr:nvSpPr>
        <xdr:cNvPr id="531" name="Text Box 1">
          <a:extLst>
            <a:ext uri="{FF2B5EF4-FFF2-40B4-BE49-F238E27FC236}">
              <a16:creationId xmlns:a16="http://schemas.microsoft.com/office/drawing/2014/main" id="{A30BB719-FCDB-491E-A980-3029515BC863}"/>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109</xdr:row>
      <xdr:rowOff>47625</xdr:rowOff>
    </xdr:from>
    <xdr:ext cx="76200" cy="225425"/>
    <xdr:sp macro="" textlink="">
      <xdr:nvSpPr>
        <xdr:cNvPr id="532" name="Text Box 1">
          <a:extLst>
            <a:ext uri="{FF2B5EF4-FFF2-40B4-BE49-F238E27FC236}">
              <a16:creationId xmlns:a16="http://schemas.microsoft.com/office/drawing/2014/main" id="{082338D7-757A-405F-85AF-BD9D4CA97C62}"/>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109</xdr:row>
      <xdr:rowOff>47625</xdr:rowOff>
    </xdr:from>
    <xdr:ext cx="76200" cy="225425"/>
    <xdr:sp macro="" textlink="">
      <xdr:nvSpPr>
        <xdr:cNvPr id="533" name="Text Box 1">
          <a:extLst>
            <a:ext uri="{FF2B5EF4-FFF2-40B4-BE49-F238E27FC236}">
              <a16:creationId xmlns:a16="http://schemas.microsoft.com/office/drawing/2014/main" id="{9E9624F6-21E1-4FF4-998F-B5155F0E5C9D}"/>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109</xdr:row>
      <xdr:rowOff>47625</xdr:rowOff>
    </xdr:from>
    <xdr:ext cx="76200" cy="225425"/>
    <xdr:sp macro="" textlink="">
      <xdr:nvSpPr>
        <xdr:cNvPr id="534" name="Text Box 1">
          <a:extLst>
            <a:ext uri="{FF2B5EF4-FFF2-40B4-BE49-F238E27FC236}">
              <a16:creationId xmlns:a16="http://schemas.microsoft.com/office/drawing/2014/main" id="{B60C3BAB-B840-4D52-87F1-9CF9E5C1E776}"/>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109</xdr:row>
      <xdr:rowOff>47625</xdr:rowOff>
    </xdr:from>
    <xdr:ext cx="76200" cy="225425"/>
    <xdr:sp macro="" textlink="">
      <xdr:nvSpPr>
        <xdr:cNvPr id="535" name="Text Box 1">
          <a:extLst>
            <a:ext uri="{FF2B5EF4-FFF2-40B4-BE49-F238E27FC236}">
              <a16:creationId xmlns:a16="http://schemas.microsoft.com/office/drawing/2014/main" id="{7FBABFB1-FD9C-4F9E-9C0C-D88D8A974962}"/>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109</xdr:row>
      <xdr:rowOff>47625</xdr:rowOff>
    </xdr:from>
    <xdr:ext cx="76200" cy="225425"/>
    <xdr:sp macro="" textlink="">
      <xdr:nvSpPr>
        <xdr:cNvPr id="536" name="Text Box 1">
          <a:extLst>
            <a:ext uri="{FF2B5EF4-FFF2-40B4-BE49-F238E27FC236}">
              <a16:creationId xmlns:a16="http://schemas.microsoft.com/office/drawing/2014/main" id="{7741A4B1-1FE1-4356-9D37-229061AD7785}"/>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110</xdr:row>
      <xdr:rowOff>47625</xdr:rowOff>
    </xdr:from>
    <xdr:ext cx="76200" cy="225425"/>
    <xdr:sp macro="" textlink="">
      <xdr:nvSpPr>
        <xdr:cNvPr id="537" name="Text Box 1">
          <a:extLst>
            <a:ext uri="{FF2B5EF4-FFF2-40B4-BE49-F238E27FC236}">
              <a16:creationId xmlns:a16="http://schemas.microsoft.com/office/drawing/2014/main" id="{7C693D0D-CD7E-4D4F-A85A-4356111DF38D}"/>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110</xdr:row>
      <xdr:rowOff>47625</xdr:rowOff>
    </xdr:from>
    <xdr:ext cx="76200" cy="225425"/>
    <xdr:sp macro="" textlink="">
      <xdr:nvSpPr>
        <xdr:cNvPr id="538" name="Text Box 1">
          <a:extLst>
            <a:ext uri="{FF2B5EF4-FFF2-40B4-BE49-F238E27FC236}">
              <a16:creationId xmlns:a16="http://schemas.microsoft.com/office/drawing/2014/main" id="{4F1F079B-4F87-4BDB-8BEB-2EB06E2E4086}"/>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110</xdr:row>
      <xdr:rowOff>47625</xdr:rowOff>
    </xdr:from>
    <xdr:ext cx="76200" cy="225425"/>
    <xdr:sp macro="" textlink="">
      <xdr:nvSpPr>
        <xdr:cNvPr id="539" name="Text Box 1">
          <a:extLst>
            <a:ext uri="{FF2B5EF4-FFF2-40B4-BE49-F238E27FC236}">
              <a16:creationId xmlns:a16="http://schemas.microsoft.com/office/drawing/2014/main" id="{822683B7-9D0F-4F42-BB21-A7ADA346EDD2}"/>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110</xdr:row>
      <xdr:rowOff>47625</xdr:rowOff>
    </xdr:from>
    <xdr:ext cx="76200" cy="225425"/>
    <xdr:sp macro="" textlink="">
      <xdr:nvSpPr>
        <xdr:cNvPr id="540" name="Text Box 1">
          <a:extLst>
            <a:ext uri="{FF2B5EF4-FFF2-40B4-BE49-F238E27FC236}">
              <a16:creationId xmlns:a16="http://schemas.microsoft.com/office/drawing/2014/main" id="{94285D08-26F8-4E2C-B619-196D1CC6CF69}"/>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110</xdr:row>
      <xdr:rowOff>47625</xdr:rowOff>
    </xdr:from>
    <xdr:ext cx="76200" cy="225425"/>
    <xdr:sp macro="" textlink="">
      <xdr:nvSpPr>
        <xdr:cNvPr id="541" name="Text Box 1">
          <a:extLst>
            <a:ext uri="{FF2B5EF4-FFF2-40B4-BE49-F238E27FC236}">
              <a16:creationId xmlns:a16="http://schemas.microsoft.com/office/drawing/2014/main" id="{36D579CA-D7E7-4CBA-8207-11C544CE9227}"/>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110</xdr:row>
      <xdr:rowOff>47625</xdr:rowOff>
    </xdr:from>
    <xdr:ext cx="76200" cy="225425"/>
    <xdr:sp macro="" textlink="">
      <xdr:nvSpPr>
        <xdr:cNvPr id="542" name="Text Box 1">
          <a:extLst>
            <a:ext uri="{FF2B5EF4-FFF2-40B4-BE49-F238E27FC236}">
              <a16:creationId xmlns:a16="http://schemas.microsoft.com/office/drawing/2014/main" id="{71F9CD13-DA69-4602-B7E2-67858A03700D}"/>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5425"/>
    <xdr:sp macro="" textlink="">
      <xdr:nvSpPr>
        <xdr:cNvPr id="543" name="Text Box 1">
          <a:extLst>
            <a:ext uri="{FF2B5EF4-FFF2-40B4-BE49-F238E27FC236}">
              <a16:creationId xmlns:a16="http://schemas.microsoft.com/office/drawing/2014/main" id="{9076A379-6447-41C4-967A-21FA95B54DDE}"/>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5425"/>
    <xdr:sp macro="" textlink="">
      <xdr:nvSpPr>
        <xdr:cNvPr id="544" name="Text Box 1">
          <a:extLst>
            <a:ext uri="{FF2B5EF4-FFF2-40B4-BE49-F238E27FC236}">
              <a16:creationId xmlns:a16="http://schemas.microsoft.com/office/drawing/2014/main" id="{8BE61BB5-9D5A-41E6-A239-924AA0AC01C2}"/>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5425"/>
    <xdr:sp macro="" textlink="">
      <xdr:nvSpPr>
        <xdr:cNvPr id="545" name="Text Box 1">
          <a:extLst>
            <a:ext uri="{FF2B5EF4-FFF2-40B4-BE49-F238E27FC236}">
              <a16:creationId xmlns:a16="http://schemas.microsoft.com/office/drawing/2014/main" id="{36C242F0-F5BD-4DAC-A0EC-28C66C8BC657}"/>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5425"/>
    <xdr:sp macro="" textlink="">
      <xdr:nvSpPr>
        <xdr:cNvPr id="546" name="Text Box 1">
          <a:extLst>
            <a:ext uri="{FF2B5EF4-FFF2-40B4-BE49-F238E27FC236}">
              <a16:creationId xmlns:a16="http://schemas.microsoft.com/office/drawing/2014/main" id="{5651BBE3-88C5-44D1-B4CA-62E7B6EAB775}"/>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5425"/>
    <xdr:sp macro="" textlink="">
      <xdr:nvSpPr>
        <xdr:cNvPr id="547" name="Text Box 1">
          <a:extLst>
            <a:ext uri="{FF2B5EF4-FFF2-40B4-BE49-F238E27FC236}">
              <a16:creationId xmlns:a16="http://schemas.microsoft.com/office/drawing/2014/main" id="{8B64D218-3399-498B-95D6-C6DA5A09D347}"/>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5425"/>
    <xdr:sp macro="" textlink="">
      <xdr:nvSpPr>
        <xdr:cNvPr id="548" name="Text Box 1">
          <a:extLst>
            <a:ext uri="{FF2B5EF4-FFF2-40B4-BE49-F238E27FC236}">
              <a16:creationId xmlns:a16="http://schemas.microsoft.com/office/drawing/2014/main" id="{0B017E87-632E-4376-8CD6-82474D9C1760}"/>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5425"/>
    <xdr:sp macro="" textlink="">
      <xdr:nvSpPr>
        <xdr:cNvPr id="549" name="Text Box 1">
          <a:extLst>
            <a:ext uri="{FF2B5EF4-FFF2-40B4-BE49-F238E27FC236}">
              <a16:creationId xmlns:a16="http://schemas.microsoft.com/office/drawing/2014/main" id="{4BD1AE29-449C-4692-81B1-7088FC60860A}"/>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5425"/>
    <xdr:sp macro="" textlink="">
      <xdr:nvSpPr>
        <xdr:cNvPr id="550" name="Text Box 1">
          <a:extLst>
            <a:ext uri="{FF2B5EF4-FFF2-40B4-BE49-F238E27FC236}">
              <a16:creationId xmlns:a16="http://schemas.microsoft.com/office/drawing/2014/main" id="{DBCF18DB-D632-424A-A4BB-8C894BA0A9C4}"/>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5425"/>
    <xdr:sp macro="" textlink="">
      <xdr:nvSpPr>
        <xdr:cNvPr id="551" name="Text Box 1">
          <a:extLst>
            <a:ext uri="{FF2B5EF4-FFF2-40B4-BE49-F238E27FC236}">
              <a16:creationId xmlns:a16="http://schemas.microsoft.com/office/drawing/2014/main" id="{31BC9440-42CD-40AE-8D22-09C8A4747E60}"/>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5425"/>
    <xdr:sp macro="" textlink="">
      <xdr:nvSpPr>
        <xdr:cNvPr id="552" name="Text Box 1">
          <a:extLst>
            <a:ext uri="{FF2B5EF4-FFF2-40B4-BE49-F238E27FC236}">
              <a16:creationId xmlns:a16="http://schemas.microsoft.com/office/drawing/2014/main" id="{334AB461-2C5D-4E72-8CDE-AD65989118C2}"/>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5425"/>
    <xdr:sp macro="" textlink="">
      <xdr:nvSpPr>
        <xdr:cNvPr id="553" name="Text Box 1">
          <a:extLst>
            <a:ext uri="{FF2B5EF4-FFF2-40B4-BE49-F238E27FC236}">
              <a16:creationId xmlns:a16="http://schemas.microsoft.com/office/drawing/2014/main" id="{356EC46D-827A-446D-A83D-E904DBAC4AA1}"/>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5425"/>
    <xdr:sp macro="" textlink="">
      <xdr:nvSpPr>
        <xdr:cNvPr id="554" name="Text Box 1">
          <a:extLst>
            <a:ext uri="{FF2B5EF4-FFF2-40B4-BE49-F238E27FC236}">
              <a16:creationId xmlns:a16="http://schemas.microsoft.com/office/drawing/2014/main" id="{018CBE9C-FD4E-49E0-B80E-9D5C910399F9}"/>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555" name="Text Box 1">
          <a:extLst>
            <a:ext uri="{FF2B5EF4-FFF2-40B4-BE49-F238E27FC236}">
              <a16:creationId xmlns:a16="http://schemas.microsoft.com/office/drawing/2014/main" id="{AAD1B872-D8D9-41CA-B723-C6F47201F7D0}"/>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556" name="Text Box 1">
          <a:extLst>
            <a:ext uri="{FF2B5EF4-FFF2-40B4-BE49-F238E27FC236}">
              <a16:creationId xmlns:a16="http://schemas.microsoft.com/office/drawing/2014/main" id="{84413549-37B3-4397-A9A9-410451C4EB7B}"/>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557" name="Text Box 1">
          <a:extLst>
            <a:ext uri="{FF2B5EF4-FFF2-40B4-BE49-F238E27FC236}">
              <a16:creationId xmlns:a16="http://schemas.microsoft.com/office/drawing/2014/main" id="{E12597B3-1E77-4843-8662-64448CC73BB2}"/>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558" name="Text Box 1">
          <a:extLst>
            <a:ext uri="{FF2B5EF4-FFF2-40B4-BE49-F238E27FC236}">
              <a16:creationId xmlns:a16="http://schemas.microsoft.com/office/drawing/2014/main" id="{306D0A01-08B0-42D3-8790-90F9455FE45D}"/>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559" name="Text Box 1">
          <a:extLst>
            <a:ext uri="{FF2B5EF4-FFF2-40B4-BE49-F238E27FC236}">
              <a16:creationId xmlns:a16="http://schemas.microsoft.com/office/drawing/2014/main" id="{D8FCFAC6-5DAD-48F9-94B5-F139C282BEA7}"/>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560" name="Text Box 1">
          <a:extLst>
            <a:ext uri="{FF2B5EF4-FFF2-40B4-BE49-F238E27FC236}">
              <a16:creationId xmlns:a16="http://schemas.microsoft.com/office/drawing/2014/main" id="{AB5EA530-E26E-463B-A519-769EA7475DDD}"/>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561" name="Text Box 1">
          <a:extLst>
            <a:ext uri="{FF2B5EF4-FFF2-40B4-BE49-F238E27FC236}">
              <a16:creationId xmlns:a16="http://schemas.microsoft.com/office/drawing/2014/main" id="{1D318D56-8C0B-40B2-8DC6-B9FDCCA99157}"/>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562" name="Text Box 1">
          <a:extLst>
            <a:ext uri="{FF2B5EF4-FFF2-40B4-BE49-F238E27FC236}">
              <a16:creationId xmlns:a16="http://schemas.microsoft.com/office/drawing/2014/main" id="{92AEF93D-97B4-4180-95AB-E6C2A4DA4E71}"/>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563" name="Text Box 1">
          <a:extLst>
            <a:ext uri="{FF2B5EF4-FFF2-40B4-BE49-F238E27FC236}">
              <a16:creationId xmlns:a16="http://schemas.microsoft.com/office/drawing/2014/main" id="{E7622BA7-E3D3-4B19-A8A8-BD42D090DA4E}"/>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564" name="Text Box 1">
          <a:extLst>
            <a:ext uri="{FF2B5EF4-FFF2-40B4-BE49-F238E27FC236}">
              <a16:creationId xmlns:a16="http://schemas.microsoft.com/office/drawing/2014/main" id="{3E517633-6FEC-41D5-A2F1-40D831500FF5}"/>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565" name="Text Box 1">
          <a:extLst>
            <a:ext uri="{FF2B5EF4-FFF2-40B4-BE49-F238E27FC236}">
              <a16:creationId xmlns:a16="http://schemas.microsoft.com/office/drawing/2014/main" id="{33B96501-5F80-4E71-8124-7A79F2B27470}"/>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566" name="Text Box 1">
          <a:extLst>
            <a:ext uri="{FF2B5EF4-FFF2-40B4-BE49-F238E27FC236}">
              <a16:creationId xmlns:a16="http://schemas.microsoft.com/office/drawing/2014/main" id="{BB3C7A6F-4B9E-4988-A9C1-7E194C40CD1B}"/>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114</xdr:row>
      <xdr:rowOff>47625</xdr:rowOff>
    </xdr:from>
    <xdr:ext cx="76200" cy="225425"/>
    <xdr:sp macro="" textlink="">
      <xdr:nvSpPr>
        <xdr:cNvPr id="567" name="Text Box 1">
          <a:extLst>
            <a:ext uri="{FF2B5EF4-FFF2-40B4-BE49-F238E27FC236}">
              <a16:creationId xmlns:a16="http://schemas.microsoft.com/office/drawing/2014/main" id="{14F2B658-0F75-4989-BBC1-160BC28BB5AE}"/>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114</xdr:row>
      <xdr:rowOff>47625</xdr:rowOff>
    </xdr:from>
    <xdr:ext cx="76200" cy="225425"/>
    <xdr:sp macro="" textlink="">
      <xdr:nvSpPr>
        <xdr:cNvPr id="568" name="Text Box 1">
          <a:extLst>
            <a:ext uri="{FF2B5EF4-FFF2-40B4-BE49-F238E27FC236}">
              <a16:creationId xmlns:a16="http://schemas.microsoft.com/office/drawing/2014/main" id="{9C13DD9F-351D-4BB7-98B4-C76845805980}"/>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114</xdr:row>
      <xdr:rowOff>47625</xdr:rowOff>
    </xdr:from>
    <xdr:ext cx="76200" cy="225425"/>
    <xdr:sp macro="" textlink="">
      <xdr:nvSpPr>
        <xdr:cNvPr id="569" name="Text Box 1">
          <a:extLst>
            <a:ext uri="{FF2B5EF4-FFF2-40B4-BE49-F238E27FC236}">
              <a16:creationId xmlns:a16="http://schemas.microsoft.com/office/drawing/2014/main" id="{D20F45D2-7ADD-4BED-9707-22C4602F7BFD}"/>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114</xdr:row>
      <xdr:rowOff>47625</xdr:rowOff>
    </xdr:from>
    <xdr:ext cx="76200" cy="225425"/>
    <xdr:sp macro="" textlink="">
      <xdr:nvSpPr>
        <xdr:cNvPr id="570" name="Text Box 1">
          <a:extLst>
            <a:ext uri="{FF2B5EF4-FFF2-40B4-BE49-F238E27FC236}">
              <a16:creationId xmlns:a16="http://schemas.microsoft.com/office/drawing/2014/main" id="{A4470096-8FAE-4C90-8087-B2B4EF239259}"/>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114</xdr:row>
      <xdr:rowOff>47625</xdr:rowOff>
    </xdr:from>
    <xdr:ext cx="76200" cy="225425"/>
    <xdr:sp macro="" textlink="">
      <xdr:nvSpPr>
        <xdr:cNvPr id="571" name="Text Box 1">
          <a:extLst>
            <a:ext uri="{FF2B5EF4-FFF2-40B4-BE49-F238E27FC236}">
              <a16:creationId xmlns:a16="http://schemas.microsoft.com/office/drawing/2014/main" id="{8FFB9144-CD16-42C7-B5B2-04FF750227C2}"/>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114</xdr:row>
      <xdr:rowOff>47625</xdr:rowOff>
    </xdr:from>
    <xdr:ext cx="76200" cy="225425"/>
    <xdr:sp macro="" textlink="">
      <xdr:nvSpPr>
        <xdr:cNvPr id="572" name="Text Box 1">
          <a:extLst>
            <a:ext uri="{FF2B5EF4-FFF2-40B4-BE49-F238E27FC236}">
              <a16:creationId xmlns:a16="http://schemas.microsoft.com/office/drawing/2014/main" id="{399AE321-0BCB-45E4-AA7D-EA7A935F1FC3}"/>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573" name="Text Box 1">
          <a:extLst>
            <a:ext uri="{FF2B5EF4-FFF2-40B4-BE49-F238E27FC236}">
              <a16:creationId xmlns:a16="http://schemas.microsoft.com/office/drawing/2014/main" id="{9DDCFC6D-16A5-43B0-8E79-9FBFC7E7B9B6}"/>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574" name="Text Box 1">
          <a:extLst>
            <a:ext uri="{FF2B5EF4-FFF2-40B4-BE49-F238E27FC236}">
              <a16:creationId xmlns:a16="http://schemas.microsoft.com/office/drawing/2014/main" id="{400FF90C-49B0-4BAE-B283-C988A520B079}"/>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575" name="Text Box 1">
          <a:extLst>
            <a:ext uri="{FF2B5EF4-FFF2-40B4-BE49-F238E27FC236}">
              <a16:creationId xmlns:a16="http://schemas.microsoft.com/office/drawing/2014/main" id="{9FD6BB11-D0B6-43CF-B293-8481B6EBCDFA}"/>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576" name="Text Box 1">
          <a:extLst>
            <a:ext uri="{FF2B5EF4-FFF2-40B4-BE49-F238E27FC236}">
              <a16:creationId xmlns:a16="http://schemas.microsoft.com/office/drawing/2014/main" id="{9250C483-CD90-4653-8100-75BF6D30C6D2}"/>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577" name="Text Box 1">
          <a:extLst>
            <a:ext uri="{FF2B5EF4-FFF2-40B4-BE49-F238E27FC236}">
              <a16:creationId xmlns:a16="http://schemas.microsoft.com/office/drawing/2014/main" id="{3E873E8A-9E3A-4783-8748-C5CCCCE0D4C2}"/>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578" name="Text Box 1">
          <a:extLst>
            <a:ext uri="{FF2B5EF4-FFF2-40B4-BE49-F238E27FC236}">
              <a16:creationId xmlns:a16="http://schemas.microsoft.com/office/drawing/2014/main" id="{F3FE2F61-139E-4661-B09F-066567BCFDF9}"/>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579" name="Text Box 1">
          <a:extLst>
            <a:ext uri="{FF2B5EF4-FFF2-40B4-BE49-F238E27FC236}">
              <a16:creationId xmlns:a16="http://schemas.microsoft.com/office/drawing/2014/main" id="{D7A789EB-B17C-4EBB-A94D-4051BA05A92A}"/>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113</xdr:row>
      <xdr:rowOff>47625</xdr:rowOff>
    </xdr:from>
    <xdr:ext cx="76200" cy="225425"/>
    <xdr:sp macro="" textlink="">
      <xdr:nvSpPr>
        <xdr:cNvPr id="580" name="Text Box 1">
          <a:extLst>
            <a:ext uri="{FF2B5EF4-FFF2-40B4-BE49-F238E27FC236}">
              <a16:creationId xmlns:a16="http://schemas.microsoft.com/office/drawing/2014/main" id="{398F1561-3154-4EC7-8917-49297B4E422D}"/>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113</xdr:row>
      <xdr:rowOff>47625</xdr:rowOff>
    </xdr:from>
    <xdr:ext cx="76200" cy="225425"/>
    <xdr:sp macro="" textlink="">
      <xdr:nvSpPr>
        <xdr:cNvPr id="581" name="Text Box 1">
          <a:extLst>
            <a:ext uri="{FF2B5EF4-FFF2-40B4-BE49-F238E27FC236}">
              <a16:creationId xmlns:a16="http://schemas.microsoft.com/office/drawing/2014/main" id="{BE26D56E-3187-4F86-AEC6-A428F846F6D8}"/>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115</xdr:row>
      <xdr:rowOff>47625</xdr:rowOff>
    </xdr:from>
    <xdr:ext cx="76200" cy="225425"/>
    <xdr:sp macro="" textlink="">
      <xdr:nvSpPr>
        <xdr:cNvPr id="582" name="Text Box 1">
          <a:extLst>
            <a:ext uri="{FF2B5EF4-FFF2-40B4-BE49-F238E27FC236}">
              <a16:creationId xmlns:a16="http://schemas.microsoft.com/office/drawing/2014/main" id="{7148CA34-1063-4036-99B3-FC43BD60F17D}"/>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115</xdr:row>
      <xdr:rowOff>47625</xdr:rowOff>
    </xdr:from>
    <xdr:ext cx="76200" cy="225425"/>
    <xdr:sp macro="" textlink="">
      <xdr:nvSpPr>
        <xdr:cNvPr id="583" name="Text Box 1">
          <a:extLst>
            <a:ext uri="{FF2B5EF4-FFF2-40B4-BE49-F238E27FC236}">
              <a16:creationId xmlns:a16="http://schemas.microsoft.com/office/drawing/2014/main" id="{9C793F63-C5AA-4365-890F-338BB179AF75}"/>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115</xdr:row>
      <xdr:rowOff>47625</xdr:rowOff>
    </xdr:from>
    <xdr:ext cx="76200" cy="225425"/>
    <xdr:sp macro="" textlink="">
      <xdr:nvSpPr>
        <xdr:cNvPr id="584" name="Text Box 1">
          <a:extLst>
            <a:ext uri="{FF2B5EF4-FFF2-40B4-BE49-F238E27FC236}">
              <a16:creationId xmlns:a16="http://schemas.microsoft.com/office/drawing/2014/main" id="{D9F9D646-0A1C-466D-B4AB-BCBB3534D885}"/>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115</xdr:row>
      <xdr:rowOff>47625</xdr:rowOff>
    </xdr:from>
    <xdr:ext cx="76200" cy="225425"/>
    <xdr:sp macro="" textlink="">
      <xdr:nvSpPr>
        <xdr:cNvPr id="585" name="Text Box 1">
          <a:extLst>
            <a:ext uri="{FF2B5EF4-FFF2-40B4-BE49-F238E27FC236}">
              <a16:creationId xmlns:a16="http://schemas.microsoft.com/office/drawing/2014/main" id="{A8BA6DC2-34F1-4559-9E3B-DC20368E8961}"/>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115</xdr:row>
      <xdr:rowOff>47625</xdr:rowOff>
    </xdr:from>
    <xdr:ext cx="76200" cy="225425"/>
    <xdr:sp macro="" textlink="">
      <xdr:nvSpPr>
        <xdr:cNvPr id="586" name="Text Box 1">
          <a:extLst>
            <a:ext uri="{FF2B5EF4-FFF2-40B4-BE49-F238E27FC236}">
              <a16:creationId xmlns:a16="http://schemas.microsoft.com/office/drawing/2014/main" id="{0BFEFC61-C380-4A74-A573-D0C991F7B8FC}"/>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115</xdr:row>
      <xdr:rowOff>47625</xdr:rowOff>
    </xdr:from>
    <xdr:ext cx="76200" cy="225425"/>
    <xdr:sp macro="" textlink="">
      <xdr:nvSpPr>
        <xdr:cNvPr id="587" name="Text Box 1">
          <a:extLst>
            <a:ext uri="{FF2B5EF4-FFF2-40B4-BE49-F238E27FC236}">
              <a16:creationId xmlns:a16="http://schemas.microsoft.com/office/drawing/2014/main" id="{5CD1B2D9-BD74-40B1-91BB-EF9118FAAF0D}"/>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588" name="Text Box 1">
          <a:extLst>
            <a:ext uri="{FF2B5EF4-FFF2-40B4-BE49-F238E27FC236}">
              <a16:creationId xmlns:a16="http://schemas.microsoft.com/office/drawing/2014/main" id="{DABB677D-9E69-497E-9AA9-F0A98E120CFA}"/>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589" name="Text Box 1">
          <a:extLst>
            <a:ext uri="{FF2B5EF4-FFF2-40B4-BE49-F238E27FC236}">
              <a16:creationId xmlns:a16="http://schemas.microsoft.com/office/drawing/2014/main" id="{2333CCAF-A236-478C-B9AE-FA9D8FDDE151}"/>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590" name="Text Box 1">
          <a:extLst>
            <a:ext uri="{FF2B5EF4-FFF2-40B4-BE49-F238E27FC236}">
              <a16:creationId xmlns:a16="http://schemas.microsoft.com/office/drawing/2014/main" id="{EEED4CB6-0C85-49CA-A7EB-EA38869ABA8E}"/>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591" name="Text Box 1">
          <a:extLst>
            <a:ext uri="{FF2B5EF4-FFF2-40B4-BE49-F238E27FC236}">
              <a16:creationId xmlns:a16="http://schemas.microsoft.com/office/drawing/2014/main" id="{B4BF810B-83A4-47FA-88C3-0AA1EDD49CC2}"/>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592" name="Text Box 1">
          <a:extLst>
            <a:ext uri="{FF2B5EF4-FFF2-40B4-BE49-F238E27FC236}">
              <a16:creationId xmlns:a16="http://schemas.microsoft.com/office/drawing/2014/main" id="{18E815CA-12C4-4271-A0AB-562DC9B1725A}"/>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593" name="Text Box 1">
          <a:extLst>
            <a:ext uri="{FF2B5EF4-FFF2-40B4-BE49-F238E27FC236}">
              <a16:creationId xmlns:a16="http://schemas.microsoft.com/office/drawing/2014/main" id="{A95F960A-0252-4E4C-A9F4-6E0FA4F3C83F}"/>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117</xdr:row>
      <xdr:rowOff>47625</xdr:rowOff>
    </xdr:from>
    <xdr:ext cx="76200" cy="225425"/>
    <xdr:sp macro="" textlink="">
      <xdr:nvSpPr>
        <xdr:cNvPr id="594" name="Text Box 1">
          <a:extLst>
            <a:ext uri="{FF2B5EF4-FFF2-40B4-BE49-F238E27FC236}">
              <a16:creationId xmlns:a16="http://schemas.microsoft.com/office/drawing/2014/main" id="{09A90E06-D993-4343-9524-D653BA116161}"/>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117</xdr:row>
      <xdr:rowOff>47625</xdr:rowOff>
    </xdr:from>
    <xdr:ext cx="76200" cy="225425"/>
    <xdr:sp macro="" textlink="">
      <xdr:nvSpPr>
        <xdr:cNvPr id="595" name="Text Box 1">
          <a:extLst>
            <a:ext uri="{FF2B5EF4-FFF2-40B4-BE49-F238E27FC236}">
              <a16:creationId xmlns:a16="http://schemas.microsoft.com/office/drawing/2014/main" id="{1DFC4346-44D4-4811-9CB5-07C090A4C186}"/>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117</xdr:row>
      <xdr:rowOff>47625</xdr:rowOff>
    </xdr:from>
    <xdr:ext cx="76200" cy="225425"/>
    <xdr:sp macro="" textlink="">
      <xdr:nvSpPr>
        <xdr:cNvPr id="596" name="Text Box 1">
          <a:extLst>
            <a:ext uri="{FF2B5EF4-FFF2-40B4-BE49-F238E27FC236}">
              <a16:creationId xmlns:a16="http://schemas.microsoft.com/office/drawing/2014/main" id="{6C0F9821-2FD8-4732-9309-2A5D186F1E6C}"/>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117</xdr:row>
      <xdr:rowOff>47625</xdr:rowOff>
    </xdr:from>
    <xdr:ext cx="76200" cy="225425"/>
    <xdr:sp macro="" textlink="">
      <xdr:nvSpPr>
        <xdr:cNvPr id="597" name="Text Box 1">
          <a:extLst>
            <a:ext uri="{FF2B5EF4-FFF2-40B4-BE49-F238E27FC236}">
              <a16:creationId xmlns:a16="http://schemas.microsoft.com/office/drawing/2014/main" id="{6F5A60ED-E857-4C37-8B6A-0EBFDCC3A53A}"/>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117</xdr:row>
      <xdr:rowOff>47625</xdr:rowOff>
    </xdr:from>
    <xdr:ext cx="76200" cy="225425"/>
    <xdr:sp macro="" textlink="">
      <xdr:nvSpPr>
        <xdr:cNvPr id="598" name="Text Box 1">
          <a:extLst>
            <a:ext uri="{FF2B5EF4-FFF2-40B4-BE49-F238E27FC236}">
              <a16:creationId xmlns:a16="http://schemas.microsoft.com/office/drawing/2014/main" id="{63D797F1-7683-4D1C-A664-3460002BFCBE}"/>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117</xdr:row>
      <xdr:rowOff>47625</xdr:rowOff>
    </xdr:from>
    <xdr:ext cx="76200" cy="225425"/>
    <xdr:sp macro="" textlink="">
      <xdr:nvSpPr>
        <xdr:cNvPr id="599" name="Text Box 1">
          <a:extLst>
            <a:ext uri="{FF2B5EF4-FFF2-40B4-BE49-F238E27FC236}">
              <a16:creationId xmlns:a16="http://schemas.microsoft.com/office/drawing/2014/main" id="{864C5896-89EA-4A4D-AA27-5A146F700751}"/>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117</xdr:row>
      <xdr:rowOff>47625</xdr:rowOff>
    </xdr:from>
    <xdr:ext cx="76200" cy="225425"/>
    <xdr:sp macro="" textlink="">
      <xdr:nvSpPr>
        <xdr:cNvPr id="600" name="Text Box 1">
          <a:extLst>
            <a:ext uri="{FF2B5EF4-FFF2-40B4-BE49-F238E27FC236}">
              <a16:creationId xmlns:a16="http://schemas.microsoft.com/office/drawing/2014/main" id="{4DEEE86A-C094-4BEE-9295-D344A639F164}"/>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117</xdr:row>
      <xdr:rowOff>47625</xdr:rowOff>
    </xdr:from>
    <xdr:ext cx="76200" cy="225425"/>
    <xdr:sp macro="" textlink="">
      <xdr:nvSpPr>
        <xdr:cNvPr id="601" name="Text Box 1">
          <a:extLst>
            <a:ext uri="{FF2B5EF4-FFF2-40B4-BE49-F238E27FC236}">
              <a16:creationId xmlns:a16="http://schemas.microsoft.com/office/drawing/2014/main" id="{E4DB8775-B622-4349-8DBD-43D6E058962A}"/>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117</xdr:row>
      <xdr:rowOff>47625</xdr:rowOff>
    </xdr:from>
    <xdr:ext cx="76200" cy="225425"/>
    <xdr:sp macro="" textlink="">
      <xdr:nvSpPr>
        <xdr:cNvPr id="602" name="Text Box 1">
          <a:extLst>
            <a:ext uri="{FF2B5EF4-FFF2-40B4-BE49-F238E27FC236}">
              <a16:creationId xmlns:a16="http://schemas.microsoft.com/office/drawing/2014/main" id="{45DC7163-3929-4C0E-A671-C001ECCBBFEA}"/>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117</xdr:row>
      <xdr:rowOff>47625</xdr:rowOff>
    </xdr:from>
    <xdr:ext cx="76200" cy="225425"/>
    <xdr:sp macro="" textlink="">
      <xdr:nvSpPr>
        <xdr:cNvPr id="603" name="Text Box 1">
          <a:extLst>
            <a:ext uri="{FF2B5EF4-FFF2-40B4-BE49-F238E27FC236}">
              <a16:creationId xmlns:a16="http://schemas.microsoft.com/office/drawing/2014/main" id="{6D6C43B8-156B-474F-A7E3-E097DAAD6D98}"/>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117</xdr:row>
      <xdr:rowOff>47625</xdr:rowOff>
    </xdr:from>
    <xdr:ext cx="76200" cy="225425"/>
    <xdr:sp macro="" textlink="">
      <xdr:nvSpPr>
        <xdr:cNvPr id="604" name="Text Box 1">
          <a:extLst>
            <a:ext uri="{FF2B5EF4-FFF2-40B4-BE49-F238E27FC236}">
              <a16:creationId xmlns:a16="http://schemas.microsoft.com/office/drawing/2014/main" id="{09A346BE-7606-4B59-9384-137CC56DA19D}"/>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117</xdr:row>
      <xdr:rowOff>47625</xdr:rowOff>
    </xdr:from>
    <xdr:ext cx="76200" cy="225425"/>
    <xdr:sp macro="" textlink="">
      <xdr:nvSpPr>
        <xdr:cNvPr id="605" name="Text Box 1">
          <a:extLst>
            <a:ext uri="{FF2B5EF4-FFF2-40B4-BE49-F238E27FC236}">
              <a16:creationId xmlns:a16="http://schemas.microsoft.com/office/drawing/2014/main" id="{175B2F9F-576A-490F-B62B-4D77EF0EDDCD}"/>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5425"/>
    <xdr:sp macro="" textlink="">
      <xdr:nvSpPr>
        <xdr:cNvPr id="606" name="Text Box 1">
          <a:extLst>
            <a:ext uri="{FF2B5EF4-FFF2-40B4-BE49-F238E27FC236}">
              <a16:creationId xmlns:a16="http://schemas.microsoft.com/office/drawing/2014/main" id="{369EE233-00E9-4BD7-9288-780FEA739B71}"/>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5425"/>
    <xdr:sp macro="" textlink="">
      <xdr:nvSpPr>
        <xdr:cNvPr id="607" name="Text Box 1">
          <a:extLst>
            <a:ext uri="{FF2B5EF4-FFF2-40B4-BE49-F238E27FC236}">
              <a16:creationId xmlns:a16="http://schemas.microsoft.com/office/drawing/2014/main" id="{FC82C722-890A-44D6-9F6F-FF8CD1B21161}"/>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5425"/>
    <xdr:sp macro="" textlink="">
      <xdr:nvSpPr>
        <xdr:cNvPr id="608" name="Text Box 1">
          <a:extLst>
            <a:ext uri="{FF2B5EF4-FFF2-40B4-BE49-F238E27FC236}">
              <a16:creationId xmlns:a16="http://schemas.microsoft.com/office/drawing/2014/main" id="{BB6150DD-884B-4403-87A8-F8B1F2ABE03C}"/>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5425"/>
    <xdr:sp macro="" textlink="">
      <xdr:nvSpPr>
        <xdr:cNvPr id="609" name="Text Box 1">
          <a:extLst>
            <a:ext uri="{FF2B5EF4-FFF2-40B4-BE49-F238E27FC236}">
              <a16:creationId xmlns:a16="http://schemas.microsoft.com/office/drawing/2014/main" id="{5EE4B3EB-0AC1-4772-ABA5-753B3254C31A}"/>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5425"/>
    <xdr:sp macro="" textlink="">
      <xdr:nvSpPr>
        <xdr:cNvPr id="610" name="Text Box 1">
          <a:extLst>
            <a:ext uri="{FF2B5EF4-FFF2-40B4-BE49-F238E27FC236}">
              <a16:creationId xmlns:a16="http://schemas.microsoft.com/office/drawing/2014/main" id="{D497B759-84B8-4A56-BD65-FEF8C91245D3}"/>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5425"/>
    <xdr:sp macro="" textlink="">
      <xdr:nvSpPr>
        <xdr:cNvPr id="611" name="Text Box 1">
          <a:extLst>
            <a:ext uri="{FF2B5EF4-FFF2-40B4-BE49-F238E27FC236}">
              <a16:creationId xmlns:a16="http://schemas.microsoft.com/office/drawing/2014/main" id="{87A59AEE-19B4-40A0-9F06-8190701EC71A}"/>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5425"/>
    <xdr:sp macro="" textlink="">
      <xdr:nvSpPr>
        <xdr:cNvPr id="612" name="Text Box 1">
          <a:extLst>
            <a:ext uri="{FF2B5EF4-FFF2-40B4-BE49-F238E27FC236}">
              <a16:creationId xmlns:a16="http://schemas.microsoft.com/office/drawing/2014/main" id="{3B22F0A9-0DEA-4569-871E-65ECA53F1D9D}"/>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5425"/>
    <xdr:sp macro="" textlink="">
      <xdr:nvSpPr>
        <xdr:cNvPr id="613" name="Text Box 1">
          <a:extLst>
            <a:ext uri="{FF2B5EF4-FFF2-40B4-BE49-F238E27FC236}">
              <a16:creationId xmlns:a16="http://schemas.microsoft.com/office/drawing/2014/main" id="{8C15E00E-8C47-4DD0-A1DA-58EEA0EFC51C}"/>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5425"/>
    <xdr:sp macro="" textlink="">
      <xdr:nvSpPr>
        <xdr:cNvPr id="614" name="Text Box 1">
          <a:extLst>
            <a:ext uri="{FF2B5EF4-FFF2-40B4-BE49-F238E27FC236}">
              <a16:creationId xmlns:a16="http://schemas.microsoft.com/office/drawing/2014/main" id="{FA2A9A8C-6A4C-46C5-A8BD-127621272E23}"/>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5425"/>
    <xdr:sp macro="" textlink="">
      <xdr:nvSpPr>
        <xdr:cNvPr id="615" name="Text Box 1">
          <a:extLst>
            <a:ext uri="{FF2B5EF4-FFF2-40B4-BE49-F238E27FC236}">
              <a16:creationId xmlns:a16="http://schemas.microsoft.com/office/drawing/2014/main" id="{E0223F5A-C8FA-419F-9E2B-38954C37CDA5}"/>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5425"/>
    <xdr:sp macro="" textlink="">
      <xdr:nvSpPr>
        <xdr:cNvPr id="616" name="Text Box 1">
          <a:extLst>
            <a:ext uri="{FF2B5EF4-FFF2-40B4-BE49-F238E27FC236}">
              <a16:creationId xmlns:a16="http://schemas.microsoft.com/office/drawing/2014/main" id="{51739FAD-CAA3-4285-B893-C0C59F8063A2}"/>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5425"/>
    <xdr:sp macro="" textlink="">
      <xdr:nvSpPr>
        <xdr:cNvPr id="617" name="Text Box 1">
          <a:extLst>
            <a:ext uri="{FF2B5EF4-FFF2-40B4-BE49-F238E27FC236}">
              <a16:creationId xmlns:a16="http://schemas.microsoft.com/office/drawing/2014/main" id="{F9F19D3D-C8BB-4A68-9442-37FC0D56C5A7}"/>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120</xdr:row>
      <xdr:rowOff>47625</xdr:rowOff>
    </xdr:from>
    <xdr:ext cx="76200" cy="225425"/>
    <xdr:sp macro="" textlink="">
      <xdr:nvSpPr>
        <xdr:cNvPr id="618" name="Text Box 1">
          <a:extLst>
            <a:ext uri="{FF2B5EF4-FFF2-40B4-BE49-F238E27FC236}">
              <a16:creationId xmlns:a16="http://schemas.microsoft.com/office/drawing/2014/main" id="{BB01E289-8E4C-4476-9FDF-26D4B7E7DAC4}"/>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120</xdr:row>
      <xdr:rowOff>47625</xdr:rowOff>
    </xdr:from>
    <xdr:ext cx="76200" cy="225425"/>
    <xdr:sp macro="" textlink="">
      <xdr:nvSpPr>
        <xdr:cNvPr id="619" name="Text Box 1">
          <a:extLst>
            <a:ext uri="{FF2B5EF4-FFF2-40B4-BE49-F238E27FC236}">
              <a16:creationId xmlns:a16="http://schemas.microsoft.com/office/drawing/2014/main" id="{4D7542CB-5381-4FCE-88ED-043278062314}"/>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120</xdr:row>
      <xdr:rowOff>47625</xdr:rowOff>
    </xdr:from>
    <xdr:ext cx="76200" cy="225425"/>
    <xdr:sp macro="" textlink="">
      <xdr:nvSpPr>
        <xdr:cNvPr id="620" name="Text Box 1">
          <a:extLst>
            <a:ext uri="{FF2B5EF4-FFF2-40B4-BE49-F238E27FC236}">
              <a16:creationId xmlns:a16="http://schemas.microsoft.com/office/drawing/2014/main" id="{0ACDE103-1616-4022-8569-D6AB1E791AEA}"/>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120</xdr:row>
      <xdr:rowOff>47625</xdr:rowOff>
    </xdr:from>
    <xdr:ext cx="76200" cy="225425"/>
    <xdr:sp macro="" textlink="">
      <xdr:nvSpPr>
        <xdr:cNvPr id="621" name="Text Box 1">
          <a:extLst>
            <a:ext uri="{FF2B5EF4-FFF2-40B4-BE49-F238E27FC236}">
              <a16:creationId xmlns:a16="http://schemas.microsoft.com/office/drawing/2014/main" id="{F6E29B86-59F0-4102-8993-563C2CA31316}"/>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120</xdr:row>
      <xdr:rowOff>47625</xdr:rowOff>
    </xdr:from>
    <xdr:ext cx="76200" cy="225425"/>
    <xdr:sp macro="" textlink="">
      <xdr:nvSpPr>
        <xdr:cNvPr id="622" name="Text Box 1">
          <a:extLst>
            <a:ext uri="{FF2B5EF4-FFF2-40B4-BE49-F238E27FC236}">
              <a16:creationId xmlns:a16="http://schemas.microsoft.com/office/drawing/2014/main" id="{6C596D51-9D85-4446-B8EF-66ABDD438B8D}"/>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120</xdr:row>
      <xdr:rowOff>47625</xdr:rowOff>
    </xdr:from>
    <xdr:ext cx="76200" cy="225425"/>
    <xdr:sp macro="" textlink="">
      <xdr:nvSpPr>
        <xdr:cNvPr id="623" name="Text Box 1">
          <a:extLst>
            <a:ext uri="{FF2B5EF4-FFF2-40B4-BE49-F238E27FC236}">
              <a16:creationId xmlns:a16="http://schemas.microsoft.com/office/drawing/2014/main" id="{A5CF89C1-15F2-468A-8F1A-3139AC1DBC35}"/>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122</xdr:row>
      <xdr:rowOff>47625</xdr:rowOff>
    </xdr:from>
    <xdr:ext cx="76200" cy="225425"/>
    <xdr:sp macro="" textlink="">
      <xdr:nvSpPr>
        <xdr:cNvPr id="624" name="Text Box 1">
          <a:extLst>
            <a:ext uri="{FF2B5EF4-FFF2-40B4-BE49-F238E27FC236}">
              <a16:creationId xmlns:a16="http://schemas.microsoft.com/office/drawing/2014/main" id="{AE77E2BE-4489-42E1-9CDE-0C1D74AF1D5E}"/>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122</xdr:row>
      <xdr:rowOff>47625</xdr:rowOff>
    </xdr:from>
    <xdr:ext cx="76200" cy="225425"/>
    <xdr:sp macro="" textlink="">
      <xdr:nvSpPr>
        <xdr:cNvPr id="625" name="Text Box 1">
          <a:extLst>
            <a:ext uri="{FF2B5EF4-FFF2-40B4-BE49-F238E27FC236}">
              <a16:creationId xmlns:a16="http://schemas.microsoft.com/office/drawing/2014/main" id="{FD8F7441-DB97-4F1F-9F90-B49AF4D15DF8}"/>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122</xdr:row>
      <xdr:rowOff>47625</xdr:rowOff>
    </xdr:from>
    <xdr:ext cx="76200" cy="225425"/>
    <xdr:sp macro="" textlink="">
      <xdr:nvSpPr>
        <xdr:cNvPr id="626" name="Text Box 1">
          <a:extLst>
            <a:ext uri="{FF2B5EF4-FFF2-40B4-BE49-F238E27FC236}">
              <a16:creationId xmlns:a16="http://schemas.microsoft.com/office/drawing/2014/main" id="{BAD7A2D8-3A91-457D-8690-80BE91CCC5A7}"/>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122</xdr:row>
      <xdr:rowOff>47625</xdr:rowOff>
    </xdr:from>
    <xdr:ext cx="76200" cy="225425"/>
    <xdr:sp macro="" textlink="">
      <xdr:nvSpPr>
        <xdr:cNvPr id="627" name="Text Box 1">
          <a:extLst>
            <a:ext uri="{FF2B5EF4-FFF2-40B4-BE49-F238E27FC236}">
              <a16:creationId xmlns:a16="http://schemas.microsoft.com/office/drawing/2014/main" id="{F5785DB9-7FCE-4E5A-A034-852F54BC4471}"/>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122</xdr:row>
      <xdr:rowOff>47625</xdr:rowOff>
    </xdr:from>
    <xdr:ext cx="76200" cy="225425"/>
    <xdr:sp macro="" textlink="">
      <xdr:nvSpPr>
        <xdr:cNvPr id="628" name="Text Box 1">
          <a:extLst>
            <a:ext uri="{FF2B5EF4-FFF2-40B4-BE49-F238E27FC236}">
              <a16:creationId xmlns:a16="http://schemas.microsoft.com/office/drawing/2014/main" id="{8B617BDE-2A41-435F-BE60-7825DD62F992}"/>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122</xdr:row>
      <xdr:rowOff>47625</xdr:rowOff>
    </xdr:from>
    <xdr:ext cx="76200" cy="225425"/>
    <xdr:sp macro="" textlink="">
      <xdr:nvSpPr>
        <xdr:cNvPr id="629" name="Text Box 1">
          <a:extLst>
            <a:ext uri="{FF2B5EF4-FFF2-40B4-BE49-F238E27FC236}">
              <a16:creationId xmlns:a16="http://schemas.microsoft.com/office/drawing/2014/main" id="{4A4F6218-8D33-4811-8F5A-65300735F6A4}"/>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5425"/>
    <xdr:sp macro="" textlink="">
      <xdr:nvSpPr>
        <xdr:cNvPr id="630" name="Text Box 1">
          <a:extLst>
            <a:ext uri="{FF2B5EF4-FFF2-40B4-BE49-F238E27FC236}">
              <a16:creationId xmlns:a16="http://schemas.microsoft.com/office/drawing/2014/main" id="{2294BEC1-AB61-46C9-9794-97161F03C4AD}"/>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119</xdr:row>
      <xdr:rowOff>47625</xdr:rowOff>
    </xdr:from>
    <xdr:ext cx="76200" cy="225425"/>
    <xdr:sp macro="" textlink="">
      <xdr:nvSpPr>
        <xdr:cNvPr id="631" name="Text Box 1">
          <a:extLst>
            <a:ext uri="{FF2B5EF4-FFF2-40B4-BE49-F238E27FC236}">
              <a16:creationId xmlns:a16="http://schemas.microsoft.com/office/drawing/2014/main" id="{0410FA65-990C-4363-BCFD-9A989C6B6B8E}"/>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119</xdr:row>
      <xdr:rowOff>47625</xdr:rowOff>
    </xdr:from>
    <xdr:ext cx="76200" cy="225425"/>
    <xdr:sp macro="" textlink="">
      <xdr:nvSpPr>
        <xdr:cNvPr id="632" name="Text Box 1">
          <a:extLst>
            <a:ext uri="{FF2B5EF4-FFF2-40B4-BE49-F238E27FC236}">
              <a16:creationId xmlns:a16="http://schemas.microsoft.com/office/drawing/2014/main" id="{8E1968E3-F7D5-4E16-BB26-A038AC8B18DB}"/>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121</xdr:row>
      <xdr:rowOff>47625</xdr:rowOff>
    </xdr:from>
    <xdr:ext cx="76200" cy="225425"/>
    <xdr:sp macro="" textlink="">
      <xdr:nvSpPr>
        <xdr:cNvPr id="633" name="Text Box 1">
          <a:extLst>
            <a:ext uri="{FF2B5EF4-FFF2-40B4-BE49-F238E27FC236}">
              <a16:creationId xmlns:a16="http://schemas.microsoft.com/office/drawing/2014/main" id="{48EED9F8-A0B0-4F85-BE7E-64ED0551C389}"/>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121</xdr:row>
      <xdr:rowOff>47625</xdr:rowOff>
    </xdr:from>
    <xdr:ext cx="76200" cy="225425"/>
    <xdr:sp macro="" textlink="">
      <xdr:nvSpPr>
        <xdr:cNvPr id="634" name="Text Box 1">
          <a:extLst>
            <a:ext uri="{FF2B5EF4-FFF2-40B4-BE49-F238E27FC236}">
              <a16:creationId xmlns:a16="http://schemas.microsoft.com/office/drawing/2014/main" id="{61A5D4A3-9F8B-46BC-8C26-A971AB481A66}"/>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121</xdr:row>
      <xdr:rowOff>47625</xdr:rowOff>
    </xdr:from>
    <xdr:ext cx="76200" cy="225425"/>
    <xdr:sp macro="" textlink="">
      <xdr:nvSpPr>
        <xdr:cNvPr id="635" name="Text Box 1">
          <a:extLst>
            <a:ext uri="{FF2B5EF4-FFF2-40B4-BE49-F238E27FC236}">
              <a16:creationId xmlns:a16="http://schemas.microsoft.com/office/drawing/2014/main" id="{BB5CEDA2-66B7-4B57-BD28-C4DDA194AE73}"/>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121</xdr:row>
      <xdr:rowOff>47625</xdr:rowOff>
    </xdr:from>
    <xdr:ext cx="76200" cy="225425"/>
    <xdr:sp macro="" textlink="">
      <xdr:nvSpPr>
        <xdr:cNvPr id="636" name="Text Box 1">
          <a:extLst>
            <a:ext uri="{FF2B5EF4-FFF2-40B4-BE49-F238E27FC236}">
              <a16:creationId xmlns:a16="http://schemas.microsoft.com/office/drawing/2014/main" id="{E33AEDCA-0930-4A5D-A3CD-1ABDFAC4FD81}"/>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121</xdr:row>
      <xdr:rowOff>47625</xdr:rowOff>
    </xdr:from>
    <xdr:ext cx="76200" cy="225425"/>
    <xdr:sp macro="" textlink="">
      <xdr:nvSpPr>
        <xdr:cNvPr id="637" name="Text Box 1">
          <a:extLst>
            <a:ext uri="{FF2B5EF4-FFF2-40B4-BE49-F238E27FC236}">
              <a16:creationId xmlns:a16="http://schemas.microsoft.com/office/drawing/2014/main" id="{0C367C3C-DB96-48B9-9841-B8AE88D4DEF1}"/>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121</xdr:row>
      <xdr:rowOff>47625</xdr:rowOff>
    </xdr:from>
    <xdr:ext cx="76200" cy="225425"/>
    <xdr:sp macro="" textlink="">
      <xdr:nvSpPr>
        <xdr:cNvPr id="638" name="Text Box 1">
          <a:extLst>
            <a:ext uri="{FF2B5EF4-FFF2-40B4-BE49-F238E27FC236}">
              <a16:creationId xmlns:a16="http://schemas.microsoft.com/office/drawing/2014/main" id="{8EDE60F8-CA89-48C3-AE0E-04F716A95427}"/>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122</xdr:row>
      <xdr:rowOff>47625</xdr:rowOff>
    </xdr:from>
    <xdr:ext cx="76200" cy="225425"/>
    <xdr:sp macro="" textlink="">
      <xdr:nvSpPr>
        <xdr:cNvPr id="639" name="Text Box 1">
          <a:extLst>
            <a:ext uri="{FF2B5EF4-FFF2-40B4-BE49-F238E27FC236}">
              <a16:creationId xmlns:a16="http://schemas.microsoft.com/office/drawing/2014/main" id="{C57A145D-0902-406E-932F-E173FB765E74}"/>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122</xdr:row>
      <xdr:rowOff>47625</xdr:rowOff>
    </xdr:from>
    <xdr:ext cx="76200" cy="225425"/>
    <xdr:sp macro="" textlink="">
      <xdr:nvSpPr>
        <xdr:cNvPr id="640" name="Text Box 1">
          <a:extLst>
            <a:ext uri="{FF2B5EF4-FFF2-40B4-BE49-F238E27FC236}">
              <a16:creationId xmlns:a16="http://schemas.microsoft.com/office/drawing/2014/main" id="{BE841DA6-FEAA-4F1A-B3D9-C9270F663080}"/>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122</xdr:row>
      <xdr:rowOff>47625</xdr:rowOff>
    </xdr:from>
    <xdr:ext cx="76200" cy="225425"/>
    <xdr:sp macro="" textlink="">
      <xdr:nvSpPr>
        <xdr:cNvPr id="641" name="Text Box 1">
          <a:extLst>
            <a:ext uri="{FF2B5EF4-FFF2-40B4-BE49-F238E27FC236}">
              <a16:creationId xmlns:a16="http://schemas.microsoft.com/office/drawing/2014/main" id="{1F525F5A-C706-4D1A-A295-B3ED9ECEEB47}"/>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122</xdr:row>
      <xdr:rowOff>47625</xdr:rowOff>
    </xdr:from>
    <xdr:ext cx="76200" cy="225425"/>
    <xdr:sp macro="" textlink="">
      <xdr:nvSpPr>
        <xdr:cNvPr id="642" name="Text Box 1">
          <a:extLst>
            <a:ext uri="{FF2B5EF4-FFF2-40B4-BE49-F238E27FC236}">
              <a16:creationId xmlns:a16="http://schemas.microsoft.com/office/drawing/2014/main" id="{4E381F29-2F9F-41C5-856F-FF72FF13E599}"/>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122</xdr:row>
      <xdr:rowOff>47625</xdr:rowOff>
    </xdr:from>
    <xdr:ext cx="76200" cy="225425"/>
    <xdr:sp macro="" textlink="">
      <xdr:nvSpPr>
        <xdr:cNvPr id="643" name="Text Box 1">
          <a:extLst>
            <a:ext uri="{FF2B5EF4-FFF2-40B4-BE49-F238E27FC236}">
              <a16:creationId xmlns:a16="http://schemas.microsoft.com/office/drawing/2014/main" id="{0826744B-0247-4939-87B2-CDDF65E14FCC}"/>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122</xdr:row>
      <xdr:rowOff>47625</xdr:rowOff>
    </xdr:from>
    <xdr:ext cx="76200" cy="225425"/>
    <xdr:sp macro="" textlink="">
      <xdr:nvSpPr>
        <xdr:cNvPr id="644" name="Text Box 1">
          <a:extLst>
            <a:ext uri="{FF2B5EF4-FFF2-40B4-BE49-F238E27FC236}">
              <a16:creationId xmlns:a16="http://schemas.microsoft.com/office/drawing/2014/main" id="{2CA4930A-F858-4D4D-A9DA-A61E29F2F90E}"/>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645" name="Text Box 1">
          <a:extLst>
            <a:ext uri="{FF2B5EF4-FFF2-40B4-BE49-F238E27FC236}">
              <a16:creationId xmlns:a16="http://schemas.microsoft.com/office/drawing/2014/main" id="{99362F39-41B9-40AF-9E96-906D732D8E00}"/>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646" name="Text Box 1">
          <a:extLst>
            <a:ext uri="{FF2B5EF4-FFF2-40B4-BE49-F238E27FC236}">
              <a16:creationId xmlns:a16="http://schemas.microsoft.com/office/drawing/2014/main" id="{91DBD775-83A0-4D61-AAD0-9606B13E8974}"/>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647" name="Text Box 1">
          <a:extLst>
            <a:ext uri="{FF2B5EF4-FFF2-40B4-BE49-F238E27FC236}">
              <a16:creationId xmlns:a16="http://schemas.microsoft.com/office/drawing/2014/main" id="{2217419D-5629-4A12-A0FD-09DC2876A4BD}"/>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648" name="Text Box 1">
          <a:extLst>
            <a:ext uri="{FF2B5EF4-FFF2-40B4-BE49-F238E27FC236}">
              <a16:creationId xmlns:a16="http://schemas.microsoft.com/office/drawing/2014/main" id="{4365C5A4-A35C-4E8E-9721-3C5D13C29763}"/>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649" name="Text Box 1">
          <a:extLst>
            <a:ext uri="{FF2B5EF4-FFF2-40B4-BE49-F238E27FC236}">
              <a16:creationId xmlns:a16="http://schemas.microsoft.com/office/drawing/2014/main" id="{DBF1985F-5EF9-4B88-92B8-A7B08F6A827B}"/>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650" name="Text Box 1">
          <a:extLst>
            <a:ext uri="{FF2B5EF4-FFF2-40B4-BE49-F238E27FC236}">
              <a16:creationId xmlns:a16="http://schemas.microsoft.com/office/drawing/2014/main" id="{ECD0D9E7-A654-46CF-A8B6-ACD7416C46AA}"/>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651" name="Text Box 1">
          <a:extLst>
            <a:ext uri="{FF2B5EF4-FFF2-40B4-BE49-F238E27FC236}">
              <a16:creationId xmlns:a16="http://schemas.microsoft.com/office/drawing/2014/main" id="{EE282C2B-DD67-4438-91EE-227EDE56332B}"/>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652" name="Text Box 1">
          <a:extLst>
            <a:ext uri="{FF2B5EF4-FFF2-40B4-BE49-F238E27FC236}">
              <a16:creationId xmlns:a16="http://schemas.microsoft.com/office/drawing/2014/main" id="{D643277A-67E7-485F-A759-CA2FF73D33A5}"/>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653" name="Text Box 1">
          <a:extLst>
            <a:ext uri="{FF2B5EF4-FFF2-40B4-BE49-F238E27FC236}">
              <a16:creationId xmlns:a16="http://schemas.microsoft.com/office/drawing/2014/main" id="{8CDA998C-904F-4A5B-959C-0CF15D4A6F31}"/>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654" name="Text Box 1">
          <a:extLst>
            <a:ext uri="{FF2B5EF4-FFF2-40B4-BE49-F238E27FC236}">
              <a16:creationId xmlns:a16="http://schemas.microsoft.com/office/drawing/2014/main" id="{2A129426-D2A0-4A99-977D-896615C3C0B3}"/>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655" name="Text Box 1">
          <a:extLst>
            <a:ext uri="{FF2B5EF4-FFF2-40B4-BE49-F238E27FC236}">
              <a16:creationId xmlns:a16="http://schemas.microsoft.com/office/drawing/2014/main" id="{B3044093-3E13-4F57-A617-A7123260FC4D}"/>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656" name="Text Box 1">
          <a:extLst>
            <a:ext uri="{FF2B5EF4-FFF2-40B4-BE49-F238E27FC236}">
              <a16:creationId xmlns:a16="http://schemas.microsoft.com/office/drawing/2014/main" id="{49F0F83F-730D-420F-8DB6-B8974F9D86FE}"/>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657" name="Text Box 1">
          <a:extLst>
            <a:ext uri="{FF2B5EF4-FFF2-40B4-BE49-F238E27FC236}">
              <a16:creationId xmlns:a16="http://schemas.microsoft.com/office/drawing/2014/main" id="{404490FB-04E0-41B3-B406-45464B9F3CF3}"/>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658" name="Text Box 1">
          <a:extLst>
            <a:ext uri="{FF2B5EF4-FFF2-40B4-BE49-F238E27FC236}">
              <a16:creationId xmlns:a16="http://schemas.microsoft.com/office/drawing/2014/main" id="{A9387C93-E4D1-4D61-9349-B5555EA52E19}"/>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659" name="Text Box 1">
          <a:extLst>
            <a:ext uri="{FF2B5EF4-FFF2-40B4-BE49-F238E27FC236}">
              <a16:creationId xmlns:a16="http://schemas.microsoft.com/office/drawing/2014/main" id="{A187B7C9-B7C0-4077-B91C-92DF08035EB4}"/>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660" name="Text Box 1">
          <a:extLst>
            <a:ext uri="{FF2B5EF4-FFF2-40B4-BE49-F238E27FC236}">
              <a16:creationId xmlns:a16="http://schemas.microsoft.com/office/drawing/2014/main" id="{9FE77246-06D0-49BE-8251-779726F7D404}"/>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661" name="Text Box 1">
          <a:extLst>
            <a:ext uri="{FF2B5EF4-FFF2-40B4-BE49-F238E27FC236}">
              <a16:creationId xmlns:a16="http://schemas.microsoft.com/office/drawing/2014/main" id="{4BD68FA2-A41A-43AF-AF65-43B65E70649A}"/>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662" name="Text Box 1">
          <a:extLst>
            <a:ext uri="{FF2B5EF4-FFF2-40B4-BE49-F238E27FC236}">
              <a16:creationId xmlns:a16="http://schemas.microsoft.com/office/drawing/2014/main" id="{516FC240-21BD-4EAD-A787-8A02C441C254}"/>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663" name="Text Box 1">
          <a:extLst>
            <a:ext uri="{FF2B5EF4-FFF2-40B4-BE49-F238E27FC236}">
              <a16:creationId xmlns:a16="http://schemas.microsoft.com/office/drawing/2014/main" id="{C4500706-8D51-421A-89B0-9F7374B2A59E}"/>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664" name="Text Box 1">
          <a:extLst>
            <a:ext uri="{FF2B5EF4-FFF2-40B4-BE49-F238E27FC236}">
              <a16:creationId xmlns:a16="http://schemas.microsoft.com/office/drawing/2014/main" id="{9AF183A9-8B73-4E6F-970B-ED2C70414B58}"/>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665" name="Text Box 1">
          <a:extLst>
            <a:ext uri="{FF2B5EF4-FFF2-40B4-BE49-F238E27FC236}">
              <a16:creationId xmlns:a16="http://schemas.microsoft.com/office/drawing/2014/main" id="{C6148042-2C60-4B0C-98F4-A527B8F3C4B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666" name="Text Box 1">
          <a:extLst>
            <a:ext uri="{FF2B5EF4-FFF2-40B4-BE49-F238E27FC236}">
              <a16:creationId xmlns:a16="http://schemas.microsoft.com/office/drawing/2014/main" id="{55608AEE-DCBB-4B77-A555-A6AA57D3A978}"/>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667" name="Text Box 1">
          <a:extLst>
            <a:ext uri="{FF2B5EF4-FFF2-40B4-BE49-F238E27FC236}">
              <a16:creationId xmlns:a16="http://schemas.microsoft.com/office/drawing/2014/main" id="{F00B857E-9CA0-4146-8DC2-7F83BE0C7B83}"/>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668" name="Text Box 1">
          <a:extLst>
            <a:ext uri="{FF2B5EF4-FFF2-40B4-BE49-F238E27FC236}">
              <a16:creationId xmlns:a16="http://schemas.microsoft.com/office/drawing/2014/main" id="{8DF57BE1-9423-4216-B1A1-7DCECCECD31B}"/>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69" name="Text Box 1">
          <a:extLst>
            <a:ext uri="{FF2B5EF4-FFF2-40B4-BE49-F238E27FC236}">
              <a16:creationId xmlns:a16="http://schemas.microsoft.com/office/drawing/2014/main" id="{65FDDBAB-2FA2-4D86-B29D-38EF869FF91C}"/>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70" name="Text Box 1">
          <a:extLst>
            <a:ext uri="{FF2B5EF4-FFF2-40B4-BE49-F238E27FC236}">
              <a16:creationId xmlns:a16="http://schemas.microsoft.com/office/drawing/2014/main" id="{FC976666-D151-4F96-BC80-DFFF145F3C75}"/>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71" name="Text Box 1">
          <a:extLst>
            <a:ext uri="{FF2B5EF4-FFF2-40B4-BE49-F238E27FC236}">
              <a16:creationId xmlns:a16="http://schemas.microsoft.com/office/drawing/2014/main" id="{0E46227E-A08E-4402-BEA7-1F9A44C97D78}"/>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72" name="Text Box 1">
          <a:extLst>
            <a:ext uri="{FF2B5EF4-FFF2-40B4-BE49-F238E27FC236}">
              <a16:creationId xmlns:a16="http://schemas.microsoft.com/office/drawing/2014/main" id="{6D45F0B9-D821-468D-A738-65FC5A694332}"/>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73" name="Text Box 1">
          <a:extLst>
            <a:ext uri="{FF2B5EF4-FFF2-40B4-BE49-F238E27FC236}">
              <a16:creationId xmlns:a16="http://schemas.microsoft.com/office/drawing/2014/main" id="{EE29539C-A816-4FCD-ADDF-CB580FB1940C}"/>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74" name="Text Box 1">
          <a:extLst>
            <a:ext uri="{FF2B5EF4-FFF2-40B4-BE49-F238E27FC236}">
              <a16:creationId xmlns:a16="http://schemas.microsoft.com/office/drawing/2014/main" id="{B43B2D8E-B6DE-47B1-99D0-F25CDBEA94BE}"/>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75" name="Text Box 1">
          <a:extLst>
            <a:ext uri="{FF2B5EF4-FFF2-40B4-BE49-F238E27FC236}">
              <a16:creationId xmlns:a16="http://schemas.microsoft.com/office/drawing/2014/main" id="{E9D43613-8364-4851-B44E-E01F6A20705F}"/>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76" name="Text Box 1">
          <a:extLst>
            <a:ext uri="{FF2B5EF4-FFF2-40B4-BE49-F238E27FC236}">
              <a16:creationId xmlns:a16="http://schemas.microsoft.com/office/drawing/2014/main" id="{C7D4C0C6-5645-42EE-A849-C7BAD9518691}"/>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77" name="Text Box 1">
          <a:extLst>
            <a:ext uri="{FF2B5EF4-FFF2-40B4-BE49-F238E27FC236}">
              <a16:creationId xmlns:a16="http://schemas.microsoft.com/office/drawing/2014/main" id="{B8C01F9B-EFC2-4B61-9D3D-D61E71606B70}"/>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78" name="Text Box 1">
          <a:extLst>
            <a:ext uri="{FF2B5EF4-FFF2-40B4-BE49-F238E27FC236}">
              <a16:creationId xmlns:a16="http://schemas.microsoft.com/office/drawing/2014/main" id="{EE2A2710-E92C-48E3-8979-FDCC5770FE38}"/>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79" name="Text Box 1">
          <a:extLst>
            <a:ext uri="{FF2B5EF4-FFF2-40B4-BE49-F238E27FC236}">
              <a16:creationId xmlns:a16="http://schemas.microsoft.com/office/drawing/2014/main" id="{5626E702-3256-452A-BA11-BE66BC3DF7CF}"/>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80" name="Text Box 1">
          <a:extLst>
            <a:ext uri="{FF2B5EF4-FFF2-40B4-BE49-F238E27FC236}">
              <a16:creationId xmlns:a16="http://schemas.microsoft.com/office/drawing/2014/main" id="{D7407668-D7F4-4020-98EF-476486C83A78}"/>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681" name="Text Box 1">
          <a:extLst>
            <a:ext uri="{FF2B5EF4-FFF2-40B4-BE49-F238E27FC236}">
              <a16:creationId xmlns:a16="http://schemas.microsoft.com/office/drawing/2014/main" id="{6FE46C50-5671-4242-A500-12C04365C4BA}"/>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82" name="Text Box 1">
          <a:extLst>
            <a:ext uri="{FF2B5EF4-FFF2-40B4-BE49-F238E27FC236}">
              <a16:creationId xmlns:a16="http://schemas.microsoft.com/office/drawing/2014/main" id="{5C018879-8D75-47CE-87F7-25FC83654B59}"/>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83" name="Text Box 1">
          <a:extLst>
            <a:ext uri="{FF2B5EF4-FFF2-40B4-BE49-F238E27FC236}">
              <a16:creationId xmlns:a16="http://schemas.microsoft.com/office/drawing/2014/main" id="{1915B278-C669-40DF-9421-2A0EF1DB0D80}"/>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84" name="Text Box 1">
          <a:extLst>
            <a:ext uri="{FF2B5EF4-FFF2-40B4-BE49-F238E27FC236}">
              <a16:creationId xmlns:a16="http://schemas.microsoft.com/office/drawing/2014/main" id="{6F6CFEB3-3116-4CFE-BB80-650F42198E28}"/>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85" name="Text Box 1">
          <a:extLst>
            <a:ext uri="{FF2B5EF4-FFF2-40B4-BE49-F238E27FC236}">
              <a16:creationId xmlns:a16="http://schemas.microsoft.com/office/drawing/2014/main" id="{0E4DECE6-959F-4F73-BA8E-5E3BD65FADB1}"/>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86" name="Text Box 1">
          <a:extLst>
            <a:ext uri="{FF2B5EF4-FFF2-40B4-BE49-F238E27FC236}">
              <a16:creationId xmlns:a16="http://schemas.microsoft.com/office/drawing/2014/main" id="{89B03B0E-AC7E-45E0-B2F7-8911BBBA3532}"/>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87" name="Text Box 1">
          <a:extLst>
            <a:ext uri="{FF2B5EF4-FFF2-40B4-BE49-F238E27FC236}">
              <a16:creationId xmlns:a16="http://schemas.microsoft.com/office/drawing/2014/main" id="{2C94F1AC-08C5-4707-9301-BD008DA198B3}"/>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88" name="Text Box 1">
          <a:extLst>
            <a:ext uri="{FF2B5EF4-FFF2-40B4-BE49-F238E27FC236}">
              <a16:creationId xmlns:a16="http://schemas.microsoft.com/office/drawing/2014/main" id="{2D303A66-B5CD-4DEF-A4A5-CFD77BAD69C7}"/>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89" name="Text Box 1">
          <a:extLst>
            <a:ext uri="{FF2B5EF4-FFF2-40B4-BE49-F238E27FC236}">
              <a16:creationId xmlns:a16="http://schemas.microsoft.com/office/drawing/2014/main" id="{C2BC374C-FB8B-455A-8180-55DD8205A0FE}"/>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90" name="Text Box 1">
          <a:extLst>
            <a:ext uri="{FF2B5EF4-FFF2-40B4-BE49-F238E27FC236}">
              <a16:creationId xmlns:a16="http://schemas.microsoft.com/office/drawing/2014/main" id="{EB1EC9BB-694E-4BC4-BD71-4CD673261770}"/>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91" name="Text Box 1">
          <a:extLst>
            <a:ext uri="{FF2B5EF4-FFF2-40B4-BE49-F238E27FC236}">
              <a16:creationId xmlns:a16="http://schemas.microsoft.com/office/drawing/2014/main" id="{B74CC6D3-C75A-47A2-BA42-622051C775D1}"/>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92" name="Text Box 1">
          <a:extLst>
            <a:ext uri="{FF2B5EF4-FFF2-40B4-BE49-F238E27FC236}">
              <a16:creationId xmlns:a16="http://schemas.microsoft.com/office/drawing/2014/main" id="{F6FA30E4-6D86-49AF-803C-90C2C0F70549}"/>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93" name="Text Box 1">
          <a:extLst>
            <a:ext uri="{FF2B5EF4-FFF2-40B4-BE49-F238E27FC236}">
              <a16:creationId xmlns:a16="http://schemas.microsoft.com/office/drawing/2014/main" id="{82796106-B00F-4C80-A79D-F024EEAA9F60}"/>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94" name="Text Box 1">
          <a:extLst>
            <a:ext uri="{FF2B5EF4-FFF2-40B4-BE49-F238E27FC236}">
              <a16:creationId xmlns:a16="http://schemas.microsoft.com/office/drawing/2014/main" id="{B5481C2D-D73E-46FE-88B3-132CD655DEC0}"/>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95" name="Text Box 1">
          <a:extLst>
            <a:ext uri="{FF2B5EF4-FFF2-40B4-BE49-F238E27FC236}">
              <a16:creationId xmlns:a16="http://schemas.microsoft.com/office/drawing/2014/main" id="{A40B46D1-BA85-436F-930D-7665D1D6C879}"/>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96" name="Text Box 1">
          <a:extLst>
            <a:ext uri="{FF2B5EF4-FFF2-40B4-BE49-F238E27FC236}">
              <a16:creationId xmlns:a16="http://schemas.microsoft.com/office/drawing/2014/main" id="{40F327D1-9605-4548-B074-DA0055268FE9}"/>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97" name="Text Box 1">
          <a:extLst>
            <a:ext uri="{FF2B5EF4-FFF2-40B4-BE49-F238E27FC236}">
              <a16:creationId xmlns:a16="http://schemas.microsoft.com/office/drawing/2014/main" id="{A23C2537-98F4-48C6-9C81-872896D70CE8}"/>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98" name="Text Box 1">
          <a:extLst>
            <a:ext uri="{FF2B5EF4-FFF2-40B4-BE49-F238E27FC236}">
              <a16:creationId xmlns:a16="http://schemas.microsoft.com/office/drawing/2014/main" id="{C3859976-CEC4-465A-BECA-FAF5F1194A00}"/>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699" name="Text Box 1">
          <a:extLst>
            <a:ext uri="{FF2B5EF4-FFF2-40B4-BE49-F238E27FC236}">
              <a16:creationId xmlns:a16="http://schemas.microsoft.com/office/drawing/2014/main" id="{001A00CC-B1F4-4FC4-A3EC-136373BDD7E5}"/>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00" name="Text Box 1">
          <a:extLst>
            <a:ext uri="{FF2B5EF4-FFF2-40B4-BE49-F238E27FC236}">
              <a16:creationId xmlns:a16="http://schemas.microsoft.com/office/drawing/2014/main" id="{1153D139-24A3-4050-8069-C40C90EFF09F}"/>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01" name="Text Box 1">
          <a:extLst>
            <a:ext uri="{FF2B5EF4-FFF2-40B4-BE49-F238E27FC236}">
              <a16:creationId xmlns:a16="http://schemas.microsoft.com/office/drawing/2014/main" id="{CFC394BE-AC98-43DC-949E-6148DBD2149A}"/>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02" name="Text Box 1">
          <a:extLst>
            <a:ext uri="{FF2B5EF4-FFF2-40B4-BE49-F238E27FC236}">
              <a16:creationId xmlns:a16="http://schemas.microsoft.com/office/drawing/2014/main" id="{09B9A8AB-3C6D-433C-8832-0AA4C31F579D}"/>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03" name="Text Box 1">
          <a:extLst>
            <a:ext uri="{FF2B5EF4-FFF2-40B4-BE49-F238E27FC236}">
              <a16:creationId xmlns:a16="http://schemas.microsoft.com/office/drawing/2014/main" id="{1A1EEF53-7DE7-4886-8091-82D9C7CCEE11}"/>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04" name="Text Box 1">
          <a:extLst>
            <a:ext uri="{FF2B5EF4-FFF2-40B4-BE49-F238E27FC236}">
              <a16:creationId xmlns:a16="http://schemas.microsoft.com/office/drawing/2014/main" id="{BD924BE5-02F5-4597-8CEF-EAC425A88462}"/>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05" name="Text Box 1">
          <a:extLst>
            <a:ext uri="{FF2B5EF4-FFF2-40B4-BE49-F238E27FC236}">
              <a16:creationId xmlns:a16="http://schemas.microsoft.com/office/drawing/2014/main" id="{B9E5BBB4-871B-4935-BD36-330934867D67}"/>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06" name="Text Box 1">
          <a:extLst>
            <a:ext uri="{FF2B5EF4-FFF2-40B4-BE49-F238E27FC236}">
              <a16:creationId xmlns:a16="http://schemas.microsoft.com/office/drawing/2014/main" id="{9076257A-83C2-4A6A-8B05-D1FE1ABD0583}"/>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07" name="Text Box 1">
          <a:extLst>
            <a:ext uri="{FF2B5EF4-FFF2-40B4-BE49-F238E27FC236}">
              <a16:creationId xmlns:a16="http://schemas.microsoft.com/office/drawing/2014/main" id="{E27640F7-A5B3-4926-9D84-077BB7FBFF55}"/>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08" name="Text Box 1">
          <a:extLst>
            <a:ext uri="{FF2B5EF4-FFF2-40B4-BE49-F238E27FC236}">
              <a16:creationId xmlns:a16="http://schemas.microsoft.com/office/drawing/2014/main" id="{8A6F3104-905B-4DD7-AF76-52879A86E458}"/>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09" name="Text Box 1">
          <a:extLst>
            <a:ext uri="{FF2B5EF4-FFF2-40B4-BE49-F238E27FC236}">
              <a16:creationId xmlns:a16="http://schemas.microsoft.com/office/drawing/2014/main" id="{CC24D0D5-4DA1-42D5-9619-0502E7A2449C}"/>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10" name="Text Box 1">
          <a:extLst>
            <a:ext uri="{FF2B5EF4-FFF2-40B4-BE49-F238E27FC236}">
              <a16:creationId xmlns:a16="http://schemas.microsoft.com/office/drawing/2014/main" id="{649D9412-1215-49A9-822C-3573263B0CC9}"/>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11" name="Text Box 1">
          <a:extLst>
            <a:ext uri="{FF2B5EF4-FFF2-40B4-BE49-F238E27FC236}">
              <a16:creationId xmlns:a16="http://schemas.microsoft.com/office/drawing/2014/main" id="{D0F048FC-E2D7-442A-AD46-03EB41E36E7C}"/>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12" name="Text Box 1">
          <a:extLst>
            <a:ext uri="{FF2B5EF4-FFF2-40B4-BE49-F238E27FC236}">
              <a16:creationId xmlns:a16="http://schemas.microsoft.com/office/drawing/2014/main" id="{9E7FC9D1-5988-44C8-8D0A-B703B38B3002}"/>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13" name="Text Box 1">
          <a:extLst>
            <a:ext uri="{FF2B5EF4-FFF2-40B4-BE49-F238E27FC236}">
              <a16:creationId xmlns:a16="http://schemas.microsoft.com/office/drawing/2014/main" id="{6D66C1F9-9270-42C4-91FD-62788CD915F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14" name="Text Box 1">
          <a:extLst>
            <a:ext uri="{FF2B5EF4-FFF2-40B4-BE49-F238E27FC236}">
              <a16:creationId xmlns:a16="http://schemas.microsoft.com/office/drawing/2014/main" id="{5809DC6F-1403-4313-B511-3F767E5F0488}"/>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15" name="Text Box 1">
          <a:extLst>
            <a:ext uri="{FF2B5EF4-FFF2-40B4-BE49-F238E27FC236}">
              <a16:creationId xmlns:a16="http://schemas.microsoft.com/office/drawing/2014/main" id="{A722C01E-5FC5-46DF-9576-DC5ED4976A74}"/>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16" name="Text Box 1">
          <a:extLst>
            <a:ext uri="{FF2B5EF4-FFF2-40B4-BE49-F238E27FC236}">
              <a16:creationId xmlns:a16="http://schemas.microsoft.com/office/drawing/2014/main" id="{A879BD6F-7AC4-4A99-8C09-419783494188}"/>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17" name="Text Box 1">
          <a:extLst>
            <a:ext uri="{FF2B5EF4-FFF2-40B4-BE49-F238E27FC236}">
              <a16:creationId xmlns:a16="http://schemas.microsoft.com/office/drawing/2014/main" id="{94D26696-2720-46B7-A446-2FE9B1E664BE}"/>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18" name="Text Box 1">
          <a:extLst>
            <a:ext uri="{FF2B5EF4-FFF2-40B4-BE49-F238E27FC236}">
              <a16:creationId xmlns:a16="http://schemas.microsoft.com/office/drawing/2014/main" id="{14FB6FD9-2A43-4F01-AE1C-C10F63260108}"/>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19" name="Text Box 1">
          <a:extLst>
            <a:ext uri="{FF2B5EF4-FFF2-40B4-BE49-F238E27FC236}">
              <a16:creationId xmlns:a16="http://schemas.microsoft.com/office/drawing/2014/main" id="{589A3D53-DC2F-48CF-9490-FC9EF89D578C}"/>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20" name="Text Box 1">
          <a:extLst>
            <a:ext uri="{FF2B5EF4-FFF2-40B4-BE49-F238E27FC236}">
              <a16:creationId xmlns:a16="http://schemas.microsoft.com/office/drawing/2014/main" id="{61DC9F25-5FE4-4FDB-AD03-6809AFE816F4}"/>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21" name="Text Box 1">
          <a:extLst>
            <a:ext uri="{FF2B5EF4-FFF2-40B4-BE49-F238E27FC236}">
              <a16:creationId xmlns:a16="http://schemas.microsoft.com/office/drawing/2014/main" id="{E92DE353-8EDC-49D3-802B-F0AAD3AEF4EC}"/>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22" name="Text Box 1">
          <a:extLst>
            <a:ext uri="{FF2B5EF4-FFF2-40B4-BE49-F238E27FC236}">
              <a16:creationId xmlns:a16="http://schemas.microsoft.com/office/drawing/2014/main" id="{1AB27C16-9747-42AA-BD53-08C7DF784CA3}"/>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23" name="Text Box 1">
          <a:extLst>
            <a:ext uri="{FF2B5EF4-FFF2-40B4-BE49-F238E27FC236}">
              <a16:creationId xmlns:a16="http://schemas.microsoft.com/office/drawing/2014/main" id="{F360F6C7-E939-4DBA-9659-D915D7829155}"/>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24" name="Text Box 1">
          <a:extLst>
            <a:ext uri="{FF2B5EF4-FFF2-40B4-BE49-F238E27FC236}">
              <a16:creationId xmlns:a16="http://schemas.microsoft.com/office/drawing/2014/main" id="{5B2431D2-DB47-4990-A37E-A193D7622ED2}"/>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25" name="Text Box 1">
          <a:extLst>
            <a:ext uri="{FF2B5EF4-FFF2-40B4-BE49-F238E27FC236}">
              <a16:creationId xmlns:a16="http://schemas.microsoft.com/office/drawing/2014/main" id="{3344F5FF-EA8D-4A29-8C56-46FC5BA18DE9}"/>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26" name="Text Box 1">
          <a:extLst>
            <a:ext uri="{FF2B5EF4-FFF2-40B4-BE49-F238E27FC236}">
              <a16:creationId xmlns:a16="http://schemas.microsoft.com/office/drawing/2014/main" id="{C6415F25-E36A-407B-88C6-5510DACC856A}"/>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27" name="Text Box 1">
          <a:extLst>
            <a:ext uri="{FF2B5EF4-FFF2-40B4-BE49-F238E27FC236}">
              <a16:creationId xmlns:a16="http://schemas.microsoft.com/office/drawing/2014/main" id="{730A77BC-E74A-4690-9166-5F51D34B1A56}"/>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28" name="Text Box 1">
          <a:extLst>
            <a:ext uri="{FF2B5EF4-FFF2-40B4-BE49-F238E27FC236}">
              <a16:creationId xmlns:a16="http://schemas.microsoft.com/office/drawing/2014/main" id="{A9784165-5BF3-49A0-8DE9-9C70E75DC138}"/>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29" name="Text Box 1">
          <a:extLst>
            <a:ext uri="{FF2B5EF4-FFF2-40B4-BE49-F238E27FC236}">
              <a16:creationId xmlns:a16="http://schemas.microsoft.com/office/drawing/2014/main" id="{BE51C09E-CC58-4DC9-9300-D0394A610DBF}"/>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30" name="Text Box 1">
          <a:extLst>
            <a:ext uri="{FF2B5EF4-FFF2-40B4-BE49-F238E27FC236}">
              <a16:creationId xmlns:a16="http://schemas.microsoft.com/office/drawing/2014/main" id="{89650B4E-02A3-4FE4-9860-C3353C097A75}"/>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31" name="Text Box 1">
          <a:extLst>
            <a:ext uri="{FF2B5EF4-FFF2-40B4-BE49-F238E27FC236}">
              <a16:creationId xmlns:a16="http://schemas.microsoft.com/office/drawing/2014/main" id="{CC4B0265-8D5B-476A-ACBE-D8775E4887FB}"/>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32" name="Text Box 1">
          <a:extLst>
            <a:ext uri="{FF2B5EF4-FFF2-40B4-BE49-F238E27FC236}">
              <a16:creationId xmlns:a16="http://schemas.microsoft.com/office/drawing/2014/main" id="{C23502E4-7317-4AF9-A002-4FCE400BA91D}"/>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33" name="Text Box 1">
          <a:extLst>
            <a:ext uri="{FF2B5EF4-FFF2-40B4-BE49-F238E27FC236}">
              <a16:creationId xmlns:a16="http://schemas.microsoft.com/office/drawing/2014/main" id="{7009E639-3BFE-42FB-9372-BAC508C9D9BE}"/>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34" name="Text Box 1">
          <a:extLst>
            <a:ext uri="{FF2B5EF4-FFF2-40B4-BE49-F238E27FC236}">
              <a16:creationId xmlns:a16="http://schemas.microsoft.com/office/drawing/2014/main" id="{AEE8F7A2-9421-4CE1-9680-DC9DF3D98619}"/>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35" name="Text Box 1">
          <a:extLst>
            <a:ext uri="{FF2B5EF4-FFF2-40B4-BE49-F238E27FC236}">
              <a16:creationId xmlns:a16="http://schemas.microsoft.com/office/drawing/2014/main" id="{023D2751-8403-4F7D-8718-23AB9EFDBAF2}"/>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36" name="Text Box 1">
          <a:extLst>
            <a:ext uri="{FF2B5EF4-FFF2-40B4-BE49-F238E27FC236}">
              <a16:creationId xmlns:a16="http://schemas.microsoft.com/office/drawing/2014/main" id="{49E7C041-C9CD-4F45-B868-F11B8F21AE5E}"/>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37" name="Text Box 1">
          <a:extLst>
            <a:ext uri="{FF2B5EF4-FFF2-40B4-BE49-F238E27FC236}">
              <a16:creationId xmlns:a16="http://schemas.microsoft.com/office/drawing/2014/main" id="{21DF3CD1-05CB-4354-8C9B-47F2B6CB6FDA}"/>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38" name="Text Box 1">
          <a:extLst>
            <a:ext uri="{FF2B5EF4-FFF2-40B4-BE49-F238E27FC236}">
              <a16:creationId xmlns:a16="http://schemas.microsoft.com/office/drawing/2014/main" id="{BE5B6D62-F530-4D90-B36D-8C1F7A6EA2C5}"/>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39" name="Text Box 1">
          <a:extLst>
            <a:ext uri="{FF2B5EF4-FFF2-40B4-BE49-F238E27FC236}">
              <a16:creationId xmlns:a16="http://schemas.microsoft.com/office/drawing/2014/main" id="{401E107E-96DF-4FA3-8782-FF0640CC22CC}"/>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40" name="Text Box 1">
          <a:extLst>
            <a:ext uri="{FF2B5EF4-FFF2-40B4-BE49-F238E27FC236}">
              <a16:creationId xmlns:a16="http://schemas.microsoft.com/office/drawing/2014/main" id="{EAC7AF16-A22D-4B5E-840E-FE1FDCE9BE09}"/>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41" name="Text Box 1">
          <a:extLst>
            <a:ext uri="{FF2B5EF4-FFF2-40B4-BE49-F238E27FC236}">
              <a16:creationId xmlns:a16="http://schemas.microsoft.com/office/drawing/2014/main" id="{5609EDB0-215F-4A58-9F75-540139F9FD31}"/>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42" name="Text Box 1">
          <a:extLst>
            <a:ext uri="{FF2B5EF4-FFF2-40B4-BE49-F238E27FC236}">
              <a16:creationId xmlns:a16="http://schemas.microsoft.com/office/drawing/2014/main" id="{12622666-4E95-46A7-A3C6-81B90404D39E}"/>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43" name="Text Box 1">
          <a:extLst>
            <a:ext uri="{FF2B5EF4-FFF2-40B4-BE49-F238E27FC236}">
              <a16:creationId xmlns:a16="http://schemas.microsoft.com/office/drawing/2014/main" id="{EC150A01-27BA-43F6-A74E-9B6D675F1DE3}"/>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44" name="Text Box 1">
          <a:extLst>
            <a:ext uri="{FF2B5EF4-FFF2-40B4-BE49-F238E27FC236}">
              <a16:creationId xmlns:a16="http://schemas.microsoft.com/office/drawing/2014/main" id="{90E691DD-D0E7-44E4-A013-E04F8B044272}"/>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45" name="Text Box 1">
          <a:extLst>
            <a:ext uri="{FF2B5EF4-FFF2-40B4-BE49-F238E27FC236}">
              <a16:creationId xmlns:a16="http://schemas.microsoft.com/office/drawing/2014/main" id="{BA700147-7B45-4F84-98B8-A04A0A4B8AAB}"/>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46" name="Text Box 1">
          <a:extLst>
            <a:ext uri="{FF2B5EF4-FFF2-40B4-BE49-F238E27FC236}">
              <a16:creationId xmlns:a16="http://schemas.microsoft.com/office/drawing/2014/main" id="{E6C7F026-2413-443F-A332-64D30FAF6E2E}"/>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47" name="Text Box 1">
          <a:extLst>
            <a:ext uri="{FF2B5EF4-FFF2-40B4-BE49-F238E27FC236}">
              <a16:creationId xmlns:a16="http://schemas.microsoft.com/office/drawing/2014/main" id="{F0865BF3-6503-4744-8D4E-DE5005E8ED83}"/>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48" name="Text Box 1">
          <a:extLst>
            <a:ext uri="{FF2B5EF4-FFF2-40B4-BE49-F238E27FC236}">
              <a16:creationId xmlns:a16="http://schemas.microsoft.com/office/drawing/2014/main" id="{24C3ED25-A5D2-4810-8E85-A0BC13FF2491}"/>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49" name="Text Box 1">
          <a:extLst>
            <a:ext uri="{FF2B5EF4-FFF2-40B4-BE49-F238E27FC236}">
              <a16:creationId xmlns:a16="http://schemas.microsoft.com/office/drawing/2014/main" id="{2F1814AA-B9CF-4E28-8AB4-C9AF34DD3E46}"/>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50" name="Text Box 1">
          <a:extLst>
            <a:ext uri="{FF2B5EF4-FFF2-40B4-BE49-F238E27FC236}">
              <a16:creationId xmlns:a16="http://schemas.microsoft.com/office/drawing/2014/main" id="{382205E6-914E-49B5-AC9D-E5317E46AFE5}"/>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51" name="Text Box 1">
          <a:extLst>
            <a:ext uri="{FF2B5EF4-FFF2-40B4-BE49-F238E27FC236}">
              <a16:creationId xmlns:a16="http://schemas.microsoft.com/office/drawing/2014/main" id="{B01F5E2E-64D0-4545-87BB-D1D7FE68B6E8}"/>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52" name="Text Box 1">
          <a:extLst>
            <a:ext uri="{FF2B5EF4-FFF2-40B4-BE49-F238E27FC236}">
              <a16:creationId xmlns:a16="http://schemas.microsoft.com/office/drawing/2014/main" id="{8BA6D2C0-CC11-45C5-849F-C73D4E6C8A04}"/>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53" name="Text Box 1">
          <a:extLst>
            <a:ext uri="{FF2B5EF4-FFF2-40B4-BE49-F238E27FC236}">
              <a16:creationId xmlns:a16="http://schemas.microsoft.com/office/drawing/2014/main" id="{CBB26DD7-75AA-4DE8-8A85-D59D345E732A}"/>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54" name="Text Box 1">
          <a:extLst>
            <a:ext uri="{FF2B5EF4-FFF2-40B4-BE49-F238E27FC236}">
              <a16:creationId xmlns:a16="http://schemas.microsoft.com/office/drawing/2014/main" id="{999AE529-E3B8-451C-8839-3DE20EEC4317}"/>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55" name="Text Box 1">
          <a:extLst>
            <a:ext uri="{FF2B5EF4-FFF2-40B4-BE49-F238E27FC236}">
              <a16:creationId xmlns:a16="http://schemas.microsoft.com/office/drawing/2014/main" id="{908D48AD-B43B-4897-A651-7231604E37FA}"/>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56" name="Text Box 1">
          <a:extLst>
            <a:ext uri="{FF2B5EF4-FFF2-40B4-BE49-F238E27FC236}">
              <a16:creationId xmlns:a16="http://schemas.microsoft.com/office/drawing/2014/main" id="{14DC1A5B-3CDD-43D5-9E25-8A99182AA789}"/>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57" name="Text Box 1">
          <a:extLst>
            <a:ext uri="{FF2B5EF4-FFF2-40B4-BE49-F238E27FC236}">
              <a16:creationId xmlns:a16="http://schemas.microsoft.com/office/drawing/2014/main" id="{F5569DEB-0871-4A73-AEDB-A6809C39D9AA}"/>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58" name="Text Box 1">
          <a:extLst>
            <a:ext uri="{FF2B5EF4-FFF2-40B4-BE49-F238E27FC236}">
              <a16:creationId xmlns:a16="http://schemas.microsoft.com/office/drawing/2014/main" id="{7538B648-8A67-4B50-AA2C-FFB98E41B99D}"/>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59" name="Text Box 1">
          <a:extLst>
            <a:ext uri="{FF2B5EF4-FFF2-40B4-BE49-F238E27FC236}">
              <a16:creationId xmlns:a16="http://schemas.microsoft.com/office/drawing/2014/main" id="{D1F5C063-EEAC-48FE-8531-AE8004F9E1D7}"/>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60" name="Text Box 1">
          <a:extLst>
            <a:ext uri="{FF2B5EF4-FFF2-40B4-BE49-F238E27FC236}">
              <a16:creationId xmlns:a16="http://schemas.microsoft.com/office/drawing/2014/main" id="{8E27D21F-20CE-4F53-8D32-F580EAC7A4B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61" name="Text Box 1">
          <a:extLst>
            <a:ext uri="{FF2B5EF4-FFF2-40B4-BE49-F238E27FC236}">
              <a16:creationId xmlns:a16="http://schemas.microsoft.com/office/drawing/2014/main" id="{21BA5648-62AA-46C4-8E69-B6BBE3324290}"/>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62" name="Text Box 1">
          <a:extLst>
            <a:ext uri="{FF2B5EF4-FFF2-40B4-BE49-F238E27FC236}">
              <a16:creationId xmlns:a16="http://schemas.microsoft.com/office/drawing/2014/main" id="{2FFCC5D0-98C7-44F3-A5F0-54A2E59530C0}"/>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63" name="Text Box 1">
          <a:extLst>
            <a:ext uri="{FF2B5EF4-FFF2-40B4-BE49-F238E27FC236}">
              <a16:creationId xmlns:a16="http://schemas.microsoft.com/office/drawing/2014/main" id="{06F9203C-6B05-4D5E-A996-966044E0D775}"/>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64" name="Text Box 1">
          <a:extLst>
            <a:ext uri="{FF2B5EF4-FFF2-40B4-BE49-F238E27FC236}">
              <a16:creationId xmlns:a16="http://schemas.microsoft.com/office/drawing/2014/main" id="{5E20312E-A608-4E68-81B1-829A6D709A5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65" name="Text Box 1">
          <a:extLst>
            <a:ext uri="{FF2B5EF4-FFF2-40B4-BE49-F238E27FC236}">
              <a16:creationId xmlns:a16="http://schemas.microsoft.com/office/drawing/2014/main" id="{CE477294-5C65-450D-B8F3-C993DDC2556E}"/>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66" name="Text Box 1">
          <a:extLst>
            <a:ext uri="{FF2B5EF4-FFF2-40B4-BE49-F238E27FC236}">
              <a16:creationId xmlns:a16="http://schemas.microsoft.com/office/drawing/2014/main" id="{B67B0BC8-2A88-4CED-98C0-08EBFF70D4C6}"/>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67" name="Text Box 1">
          <a:extLst>
            <a:ext uri="{FF2B5EF4-FFF2-40B4-BE49-F238E27FC236}">
              <a16:creationId xmlns:a16="http://schemas.microsoft.com/office/drawing/2014/main" id="{AB911602-E326-4EE5-B168-2940CDEA7DF9}"/>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68" name="Text Box 1">
          <a:extLst>
            <a:ext uri="{FF2B5EF4-FFF2-40B4-BE49-F238E27FC236}">
              <a16:creationId xmlns:a16="http://schemas.microsoft.com/office/drawing/2014/main" id="{E3491903-A19A-4EAF-A369-2A1F4821E7DE}"/>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69" name="Text Box 1">
          <a:extLst>
            <a:ext uri="{FF2B5EF4-FFF2-40B4-BE49-F238E27FC236}">
              <a16:creationId xmlns:a16="http://schemas.microsoft.com/office/drawing/2014/main" id="{A202FDFF-8627-4B55-B318-6F099EE1DA5D}"/>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70" name="Text Box 1">
          <a:extLst>
            <a:ext uri="{FF2B5EF4-FFF2-40B4-BE49-F238E27FC236}">
              <a16:creationId xmlns:a16="http://schemas.microsoft.com/office/drawing/2014/main" id="{7754753A-BD84-44E1-9C65-8455255AE25B}"/>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71" name="Text Box 1">
          <a:extLst>
            <a:ext uri="{FF2B5EF4-FFF2-40B4-BE49-F238E27FC236}">
              <a16:creationId xmlns:a16="http://schemas.microsoft.com/office/drawing/2014/main" id="{7F1342DE-12E6-44FA-BD39-D50D29BC2164}"/>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72" name="Text Box 1">
          <a:extLst>
            <a:ext uri="{FF2B5EF4-FFF2-40B4-BE49-F238E27FC236}">
              <a16:creationId xmlns:a16="http://schemas.microsoft.com/office/drawing/2014/main" id="{4523099A-1D7C-4F0C-9499-1D57119750AB}"/>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73" name="Text Box 1">
          <a:extLst>
            <a:ext uri="{FF2B5EF4-FFF2-40B4-BE49-F238E27FC236}">
              <a16:creationId xmlns:a16="http://schemas.microsoft.com/office/drawing/2014/main" id="{08093845-FFF8-4A17-86F1-88242F03F450}"/>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74" name="Text Box 1">
          <a:extLst>
            <a:ext uri="{FF2B5EF4-FFF2-40B4-BE49-F238E27FC236}">
              <a16:creationId xmlns:a16="http://schemas.microsoft.com/office/drawing/2014/main" id="{5F2E36D6-D417-4F99-AC1F-0ABCE4810EFB}"/>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75" name="Text Box 1">
          <a:extLst>
            <a:ext uri="{FF2B5EF4-FFF2-40B4-BE49-F238E27FC236}">
              <a16:creationId xmlns:a16="http://schemas.microsoft.com/office/drawing/2014/main" id="{1C28FB44-8976-49E9-BF7F-26FFAA451E29}"/>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76" name="Text Box 1">
          <a:extLst>
            <a:ext uri="{FF2B5EF4-FFF2-40B4-BE49-F238E27FC236}">
              <a16:creationId xmlns:a16="http://schemas.microsoft.com/office/drawing/2014/main" id="{9419DE92-AF7F-411A-A493-43B3056252BD}"/>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77" name="Text Box 1">
          <a:extLst>
            <a:ext uri="{FF2B5EF4-FFF2-40B4-BE49-F238E27FC236}">
              <a16:creationId xmlns:a16="http://schemas.microsoft.com/office/drawing/2014/main" id="{02AF870A-EADB-4930-95DA-65B30CFA7280}"/>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78" name="Text Box 1">
          <a:extLst>
            <a:ext uri="{FF2B5EF4-FFF2-40B4-BE49-F238E27FC236}">
              <a16:creationId xmlns:a16="http://schemas.microsoft.com/office/drawing/2014/main" id="{FFAA639F-C236-49C3-A109-47C49805A52C}"/>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79" name="Text Box 1">
          <a:extLst>
            <a:ext uri="{FF2B5EF4-FFF2-40B4-BE49-F238E27FC236}">
              <a16:creationId xmlns:a16="http://schemas.microsoft.com/office/drawing/2014/main" id="{DDD364A0-9AD1-484F-A032-7709903122E7}"/>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80" name="Text Box 1">
          <a:extLst>
            <a:ext uri="{FF2B5EF4-FFF2-40B4-BE49-F238E27FC236}">
              <a16:creationId xmlns:a16="http://schemas.microsoft.com/office/drawing/2014/main" id="{977FBE6D-EF1F-419D-A7F1-842F2558D4BA}"/>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81" name="Text Box 1">
          <a:extLst>
            <a:ext uri="{FF2B5EF4-FFF2-40B4-BE49-F238E27FC236}">
              <a16:creationId xmlns:a16="http://schemas.microsoft.com/office/drawing/2014/main" id="{E3DB0241-73E4-4CA9-9712-40FBB194E10E}"/>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82" name="Text Box 1">
          <a:extLst>
            <a:ext uri="{FF2B5EF4-FFF2-40B4-BE49-F238E27FC236}">
              <a16:creationId xmlns:a16="http://schemas.microsoft.com/office/drawing/2014/main" id="{420BC99B-93C0-4BAA-AD03-A9F3E1D7868C}"/>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83" name="Text Box 1">
          <a:extLst>
            <a:ext uri="{FF2B5EF4-FFF2-40B4-BE49-F238E27FC236}">
              <a16:creationId xmlns:a16="http://schemas.microsoft.com/office/drawing/2014/main" id="{DB95D419-A33D-4498-901F-4851CF75F6E1}"/>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84" name="Text Box 1">
          <a:extLst>
            <a:ext uri="{FF2B5EF4-FFF2-40B4-BE49-F238E27FC236}">
              <a16:creationId xmlns:a16="http://schemas.microsoft.com/office/drawing/2014/main" id="{7483B07D-EE83-469F-8137-625031E7F63F}"/>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85" name="Text Box 1">
          <a:extLst>
            <a:ext uri="{FF2B5EF4-FFF2-40B4-BE49-F238E27FC236}">
              <a16:creationId xmlns:a16="http://schemas.microsoft.com/office/drawing/2014/main" id="{AC757EFA-8F49-44BA-A1DD-1DF37BDED612}"/>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86" name="Text Box 1">
          <a:extLst>
            <a:ext uri="{FF2B5EF4-FFF2-40B4-BE49-F238E27FC236}">
              <a16:creationId xmlns:a16="http://schemas.microsoft.com/office/drawing/2014/main" id="{8C3C5EE1-B903-4702-AC37-E10BD497EEF6}"/>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87" name="Text Box 1">
          <a:extLst>
            <a:ext uri="{FF2B5EF4-FFF2-40B4-BE49-F238E27FC236}">
              <a16:creationId xmlns:a16="http://schemas.microsoft.com/office/drawing/2014/main" id="{8DC071E5-90A3-4751-934A-331566FE245B}"/>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88" name="Text Box 1">
          <a:extLst>
            <a:ext uri="{FF2B5EF4-FFF2-40B4-BE49-F238E27FC236}">
              <a16:creationId xmlns:a16="http://schemas.microsoft.com/office/drawing/2014/main" id="{558B59AA-C2CF-461C-AF37-C47D21098BD4}"/>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89" name="Text Box 1">
          <a:extLst>
            <a:ext uri="{FF2B5EF4-FFF2-40B4-BE49-F238E27FC236}">
              <a16:creationId xmlns:a16="http://schemas.microsoft.com/office/drawing/2014/main" id="{3DBD25C1-5E1D-4026-B6E4-2AF491E8A284}"/>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90" name="Text Box 1">
          <a:extLst>
            <a:ext uri="{FF2B5EF4-FFF2-40B4-BE49-F238E27FC236}">
              <a16:creationId xmlns:a16="http://schemas.microsoft.com/office/drawing/2014/main" id="{E740DB74-ACB6-4287-9598-ECF133A5B7E4}"/>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91" name="Text Box 1">
          <a:extLst>
            <a:ext uri="{FF2B5EF4-FFF2-40B4-BE49-F238E27FC236}">
              <a16:creationId xmlns:a16="http://schemas.microsoft.com/office/drawing/2014/main" id="{F7E8CF30-8CFB-4F36-9A3A-47CBB2E0C3DD}"/>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92" name="Text Box 1">
          <a:extLst>
            <a:ext uri="{FF2B5EF4-FFF2-40B4-BE49-F238E27FC236}">
              <a16:creationId xmlns:a16="http://schemas.microsoft.com/office/drawing/2014/main" id="{1D12F75E-B678-473E-8EAA-B3B448667482}"/>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93" name="Text Box 1">
          <a:extLst>
            <a:ext uri="{FF2B5EF4-FFF2-40B4-BE49-F238E27FC236}">
              <a16:creationId xmlns:a16="http://schemas.microsoft.com/office/drawing/2014/main" id="{A69993F5-123B-4FD9-904A-8B845466AF6B}"/>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94" name="Text Box 1">
          <a:extLst>
            <a:ext uri="{FF2B5EF4-FFF2-40B4-BE49-F238E27FC236}">
              <a16:creationId xmlns:a16="http://schemas.microsoft.com/office/drawing/2014/main" id="{F9763E7C-AF20-4651-9BD4-C14EE069883C}"/>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95" name="Text Box 1">
          <a:extLst>
            <a:ext uri="{FF2B5EF4-FFF2-40B4-BE49-F238E27FC236}">
              <a16:creationId xmlns:a16="http://schemas.microsoft.com/office/drawing/2014/main" id="{4074D6CE-CC26-46AB-BFDB-E295E4850D23}"/>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96" name="Text Box 1">
          <a:extLst>
            <a:ext uri="{FF2B5EF4-FFF2-40B4-BE49-F238E27FC236}">
              <a16:creationId xmlns:a16="http://schemas.microsoft.com/office/drawing/2014/main" id="{A9566D39-A1B9-4ED0-B54E-33AF0F33F44A}"/>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97" name="Text Box 1">
          <a:extLst>
            <a:ext uri="{FF2B5EF4-FFF2-40B4-BE49-F238E27FC236}">
              <a16:creationId xmlns:a16="http://schemas.microsoft.com/office/drawing/2014/main" id="{728CBF3D-2EFF-4CD2-9164-0F9487766521}"/>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98" name="Text Box 1">
          <a:extLst>
            <a:ext uri="{FF2B5EF4-FFF2-40B4-BE49-F238E27FC236}">
              <a16:creationId xmlns:a16="http://schemas.microsoft.com/office/drawing/2014/main" id="{7DC379F9-72E8-462F-B1C3-7EEBDF17B5A5}"/>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799" name="Text Box 1">
          <a:extLst>
            <a:ext uri="{FF2B5EF4-FFF2-40B4-BE49-F238E27FC236}">
              <a16:creationId xmlns:a16="http://schemas.microsoft.com/office/drawing/2014/main" id="{43EE23F8-7C4B-45B1-ADF3-59508B61D0E0}"/>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00" name="Text Box 1">
          <a:extLst>
            <a:ext uri="{FF2B5EF4-FFF2-40B4-BE49-F238E27FC236}">
              <a16:creationId xmlns:a16="http://schemas.microsoft.com/office/drawing/2014/main" id="{B1E60661-5850-4BDB-95AB-F3338705C40E}"/>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01" name="Text Box 1">
          <a:extLst>
            <a:ext uri="{FF2B5EF4-FFF2-40B4-BE49-F238E27FC236}">
              <a16:creationId xmlns:a16="http://schemas.microsoft.com/office/drawing/2014/main" id="{B483F96F-2D9F-4682-9EBC-8BC7524ABFA9}"/>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02" name="Text Box 1">
          <a:extLst>
            <a:ext uri="{FF2B5EF4-FFF2-40B4-BE49-F238E27FC236}">
              <a16:creationId xmlns:a16="http://schemas.microsoft.com/office/drawing/2014/main" id="{DB125BAA-B4A9-42A3-87B1-93FAE5D009CF}"/>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03" name="Text Box 1">
          <a:extLst>
            <a:ext uri="{FF2B5EF4-FFF2-40B4-BE49-F238E27FC236}">
              <a16:creationId xmlns:a16="http://schemas.microsoft.com/office/drawing/2014/main" id="{276439DB-5D44-4468-B93D-909156C84C60}"/>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04" name="Text Box 1">
          <a:extLst>
            <a:ext uri="{FF2B5EF4-FFF2-40B4-BE49-F238E27FC236}">
              <a16:creationId xmlns:a16="http://schemas.microsoft.com/office/drawing/2014/main" id="{BD99B024-9FF5-459B-8166-28EE229D1C40}"/>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05" name="Text Box 1">
          <a:extLst>
            <a:ext uri="{FF2B5EF4-FFF2-40B4-BE49-F238E27FC236}">
              <a16:creationId xmlns:a16="http://schemas.microsoft.com/office/drawing/2014/main" id="{AB433F96-3D77-4383-90BC-AADCE8D836D5}"/>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06" name="Text Box 1">
          <a:extLst>
            <a:ext uri="{FF2B5EF4-FFF2-40B4-BE49-F238E27FC236}">
              <a16:creationId xmlns:a16="http://schemas.microsoft.com/office/drawing/2014/main" id="{651AD66C-8FB0-46AC-B61A-020638FBEEB8}"/>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07" name="Text Box 1">
          <a:extLst>
            <a:ext uri="{FF2B5EF4-FFF2-40B4-BE49-F238E27FC236}">
              <a16:creationId xmlns:a16="http://schemas.microsoft.com/office/drawing/2014/main" id="{1890F44A-A39A-4C98-9D97-EE142D00D64F}"/>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08" name="Text Box 1">
          <a:extLst>
            <a:ext uri="{FF2B5EF4-FFF2-40B4-BE49-F238E27FC236}">
              <a16:creationId xmlns:a16="http://schemas.microsoft.com/office/drawing/2014/main" id="{19CF1B55-306B-470B-83CF-BEB074F4FDAB}"/>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09" name="Text Box 1">
          <a:extLst>
            <a:ext uri="{FF2B5EF4-FFF2-40B4-BE49-F238E27FC236}">
              <a16:creationId xmlns:a16="http://schemas.microsoft.com/office/drawing/2014/main" id="{AC3B603F-6B7F-4233-B4FA-7FC0B6D0986B}"/>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10" name="Text Box 1">
          <a:extLst>
            <a:ext uri="{FF2B5EF4-FFF2-40B4-BE49-F238E27FC236}">
              <a16:creationId xmlns:a16="http://schemas.microsoft.com/office/drawing/2014/main" id="{C690B657-5DB1-4CF4-AB77-F2D4EE04E451}"/>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11" name="Text Box 1">
          <a:extLst>
            <a:ext uri="{FF2B5EF4-FFF2-40B4-BE49-F238E27FC236}">
              <a16:creationId xmlns:a16="http://schemas.microsoft.com/office/drawing/2014/main" id="{346DF13B-AE35-4D57-AC01-6D16A6FD53D6}"/>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12" name="Text Box 1">
          <a:extLst>
            <a:ext uri="{FF2B5EF4-FFF2-40B4-BE49-F238E27FC236}">
              <a16:creationId xmlns:a16="http://schemas.microsoft.com/office/drawing/2014/main" id="{A8433FFE-AB66-45CE-ABA9-DAEA22289D60}"/>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13" name="Text Box 1">
          <a:extLst>
            <a:ext uri="{FF2B5EF4-FFF2-40B4-BE49-F238E27FC236}">
              <a16:creationId xmlns:a16="http://schemas.microsoft.com/office/drawing/2014/main" id="{B79E19F2-77E3-45EF-8884-32962D3186CE}"/>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14" name="Text Box 1">
          <a:extLst>
            <a:ext uri="{FF2B5EF4-FFF2-40B4-BE49-F238E27FC236}">
              <a16:creationId xmlns:a16="http://schemas.microsoft.com/office/drawing/2014/main" id="{481FF0C4-35AB-4A12-AF04-85F2A6A83C70}"/>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15" name="Text Box 1">
          <a:extLst>
            <a:ext uri="{FF2B5EF4-FFF2-40B4-BE49-F238E27FC236}">
              <a16:creationId xmlns:a16="http://schemas.microsoft.com/office/drawing/2014/main" id="{04488719-2C74-4CCC-A691-FAC3C588166E}"/>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16" name="Text Box 1">
          <a:extLst>
            <a:ext uri="{FF2B5EF4-FFF2-40B4-BE49-F238E27FC236}">
              <a16:creationId xmlns:a16="http://schemas.microsoft.com/office/drawing/2014/main" id="{69379FF4-F14C-4B2F-8351-B2E96D6B3DF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17" name="Text Box 1">
          <a:extLst>
            <a:ext uri="{FF2B5EF4-FFF2-40B4-BE49-F238E27FC236}">
              <a16:creationId xmlns:a16="http://schemas.microsoft.com/office/drawing/2014/main" id="{13AE750C-3567-43FC-943C-12640D9F479C}"/>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18" name="Text Box 1">
          <a:extLst>
            <a:ext uri="{FF2B5EF4-FFF2-40B4-BE49-F238E27FC236}">
              <a16:creationId xmlns:a16="http://schemas.microsoft.com/office/drawing/2014/main" id="{3D14D4A0-A80F-483F-9413-98547A1A334E}"/>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19" name="Text Box 1">
          <a:extLst>
            <a:ext uri="{FF2B5EF4-FFF2-40B4-BE49-F238E27FC236}">
              <a16:creationId xmlns:a16="http://schemas.microsoft.com/office/drawing/2014/main" id="{B1A113F8-0D24-48E5-921C-A39DB30F5F9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20" name="Text Box 1">
          <a:extLst>
            <a:ext uri="{FF2B5EF4-FFF2-40B4-BE49-F238E27FC236}">
              <a16:creationId xmlns:a16="http://schemas.microsoft.com/office/drawing/2014/main" id="{B1773327-C183-4E87-BA6F-A9204873744A}"/>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21" name="Text Box 1">
          <a:extLst>
            <a:ext uri="{FF2B5EF4-FFF2-40B4-BE49-F238E27FC236}">
              <a16:creationId xmlns:a16="http://schemas.microsoft.com/office/drawing/2014/main" id="{2E09CF1C-48DE-4854-9A83-C894BF4D2CF9}"/>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22" name="Text Box 1">
          <a:extLst>
            <a:ext uri="{FF2B5EF4-FFF2-40B4-BE49-F238E27FC236}">
              <a16:creationId xmlns:a16="http://schemas.microsoft.com/office/drawing/2014/main" id="{7ABAA4DB-BD88-4B19-A56D-08AFCDDCE473}"/>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23" name="Text Box 1">
          <a:extLst>
            <a:ext uri="{FF2B5EF4-FFF2-40B4-BE49-F238E27FC236}">
              <a16:creationId xmlns:a16="http://schemas.microsoft.com/office/drawing/2014/main" id="{A1F4D83F-AC37-4AE3-B558-6A0BC4C30C8E}"/>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24" name="Text Box 1">
          <a:extLst>
            <a:ext uri="{FF2B5EF4-FFF2-40B4-BE49-F238E27FC236}">
              <a16:creationId xmlns:a16="http://schemas.microsoft.com/office/drawing/2014/main" id="{3B8D2997-321D-4617-960E-76324AEE0C5C}"/>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25" name="Text Box 1">
          <a:extLst>
            <a:ext uri="{FF2B5EF4-FFF2-40B4-BE49-F238E27FC236}">
              <a16:creationId xmlns:a16="http://schemas.microsoft.com/office/drawing/2014/main" id="{D238F7E5-FBA4-4254-916B-2CDEB5EE0A71}"/>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26" name="Text Box 1">
          <a:extLst>
            <a:ext uri="{FF2B5EF4-FFF2-40B4-BE49-F238E27FC236}">
              <a16:creationId xmlns:a16="http://schemas.microsoft.com/office/drawing/2014/main" id="{951DEFAF-BD01-4907-8BBB-6CA5A322F464}"/>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27" name="Text Box 1">
          <a:extLst>
            <a:ext uri="{FF2B5EF4-FFF2-40B4-BE49-F238E27FC236}">
              <a16:creationId xmlns:a16="http://schemas.microsoft.com/office/drawing/2014/main" id="{D7DF6B19-99CF-4F22-B15A-88C6B3575A83}"/>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28" name="Text Box 1">
          <a:extLst>
            <a:ext uri="{FF2B5EF4-FFF2-40B4-BE49-F238E27FC236}">
              <a16:creationId xmlns:a16="http://schemas.microsoft.com/office/drawing/2014/main" id="{40B47B1C-4CE5-4677-A47D-60900CA92BCA}"/>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29" name="Text Box 1">
          <a:extLst>
            <a:ext uri="{FF2B5EF4-FFF2-40B4-BE49-F238E27FC236}">
              <a16:creationId xmlns:a16="http://schemas.microsoft.com/office/drawing/2014/main" id="{49DE9568-D1CA-4A09-816E-2F6DE615EA8B}"/>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30" name="Text Box 1">
          <a:extLst>
            <a:ext uri="{FF2B5EF4-FFF2-40B4-BE49-F238E27FC236}">
              <a16:creationId xmlns:a16="http://schemas.microsoft.com/office/drawing/2014/main" id="{153F695D-E62A-4D19-B47F-9AD9DD445B83}"/>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31" name="Text Box 1">
          <a:extLst>
            <a:ext uri="{FF2B5EF4-FFF2-40B4-BE49-F238E27FC236}">
              <a16:creationId xmlns:a16="http://schemas.microsoft.com/office/drawing/2014/main" id="{6F4C3934-807A-4BC4-BF86-4A0DD8A1B6BD}"/>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32" name="Text Box 1">
          <a:extLst>
            <a:ext uri="{FF2B5EF4-FFF2-40B4-BE49-F238E27FC236}">
              <a16:creationId xmlns:a16="http://schemas.microsoft.com/office/drawing/2014/main" id="{FB4D4089-02AE-4F59-A401-66D874472A4A}"/>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33" name="Text Box 1">
          <a:extLst>
            <a:ext uri="{FF2B5EF4-FFF2-40B4-BE49-F238E27FC236}">
              <a16:creationId xmlns:a16="http://schemas.microsoft.com/office/drawing/2014/main" id="{42340E45-FD24-42F3-B837-D55DCC5C359D}"/>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34" name="Text Box 1">
          <a:extLst>
            <a:ext uri="{FF2B5EF4-FFF2-40B4-BE49-F238E27FC236}">
              <a16:creationId xmlns:a16="http://schemas.microsoft.com/office/drawing/2014/main" id="{DDF9039E-EAE9-4508-A932-84ED623FB1E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35" name="Text Box 1">
          <a:extLst>
            <a:ext uri="{FF2B5EF4-FFF2-40B4-BE49-F238E27FC236}">
              <a16:creationId xmlns:a16="http://schemas.microsoft.com/office/drawing/2014/main" id="{4BEEEA5E-F6A4-4370-9547-63780FCA467C}"/>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36" name="Text Box 1">
          <a:extLst>
            <a:ext uri="{FF2B5EF4-FFF2-40B4-BE49-F238E27FC236}">
              <a16:creationId xmlns:a16="http://schemas.microsoft.com/office/drawing/2014/main" id="{3B310399-9121-471B-82C7-A9CB74A382F7}"/>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37" name="Text Box 1">
          <a:extLst>
            <a:ext uri="{FF2B5EF4-FFF2-40B4-BE49-F238E27FC236}">
              <a16:creationId xmlns:a16="http://schemas.microsoft.com/office/drawing/2014/main" id="{6715938B-0F64-409D-8482-FA1FF5BBCBC4}"/>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38" name="Text Box 1">
          <a:extLst>
            <a:ext uri="{FF2B5EF4-FFF2-40B4-BE49-F238E27FC236}">
              <a16:creationId xmlns:a16="http://schemas.microsoft.com/office/drawing/2014/main" id="{1414416A-B799-4500-BF5F-DF1675DE7B5D}"/>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39" name="Text Box 1">
          <a:extLst>
            <a:ext uri="{FF2B5EF4-FFF2-40B4-BE49-F238E27FC236}">
              <a16:creationId xmlns:a16="http://schemas.microsoft.com/office/drawing/2014/main" id="{7B2F9287-C0D2-4C84-81CC-AF9C8E17C4ED}"/>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40" name="Text Box 1">
          <a:extLst>
            <a:ext uri="{FF2B5EF4-FFF2-40B4-BE49-F238E27FC236}">
              <a16:creationId xmlns:a16="http://schemas.microsoft.com/office/drawing/2014/main" id="{9E6A317A-8D30-493E-A6D7-87119B0E9DF2}"/>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41" name="Text Box 1">
          <a:extLst>
            <a:ext uri="{FF2B5EF4-FFF2-40B4-BE49-F238E27FC236}">
              <a16:creationId xmlns:a16="http://schemas.microsoft.com/office/drawing/2014/main" id="{1A380A8B-993A-4830-85F7-ABC8EF6541EC}"/>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42" name="Text Box 1">
          <a:extLst>
            <a:ext uri="{FF2B5EF4-FFF2-40B4-BE49-F238E27FC236}">
              <a16:creationId xmlns:a16="http://schemas.microsoft.com/office/drawing/2014/main" id="{93896E3B-86F5-418C-AB69-0C833AA0A3D4}"/>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43" name="Text Box 1">
          <a:extLst>
            <a:ext uri="{FF2B5EF4-FFF2-40B4-BE49-F238E27FC236}">
              <a16:creationId xmlns:a16="http://schemas.microsoft.com/office/drawing/2014/main" id="{90E8DD36-06DE-4FD0-983E-E1E33F1550D7}"/>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44" name="Text Box 1">
          <a:extLst>
            <a:ext uri="{FF2B5EF4-FFF2-40B4-BE49-F238E27FC236}">
              <a16:creationId xmlns:a16="http://schemas.microsoft.com/office/drawing/2014/main" id="{E580A48A-A692-4CB5-ACA8-0398F1D2005B}"/>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45" name="Text Box 1">
          <a:extLst>
            <a:ext uri="{FF2B5EF4-FFF2-40B4-BE49-F238E27FC236}">
              <a16:creationId xmlns:a16="http://schemas.microsoft.com/office/drawing/2014/main" id="{F00BAFB7-1B34-4E46-A493-E17219DF7D6B}"/>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46" name="Text Box 1">
          <a:extLst>
            <a:ext uri="{FF2B5EF4-FFF2-40B4-BE49-F238E27FC236}">
              <a16:creationId xmlns:a16="http://schemas.microsoft.com/office/drawing/2014/main" id="{43E8AD31-65B2-4EF4-ADD9-208F25EE5B36}"/>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47" name="Text Box 1">
          <a:extLst>
            <a:ext uri="{FF2B5EF4-FFF2-40B4-BE49-F238E27FC236}">
              <a16:creationId xmlns:a16="http://schemas.microsoft.com/office/drawing/2014/main" id="{9B0C4B90-5373-4A51-8FDC-9C9D084659A2}"/>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48" name="Text Box 1">
          <a:extLst>
            <a:ext uri="{FF2B5EF4-FFF2-40B4-BE49-F238E27FC236}">
              <a16:creationId xmlns:a16="http://schemas.microsoft.com/office/drawing/2014/main" id="{3072FC67-07E7-45B5-A88D-432B5A296321}"/>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49" name="Text Box 1">
          <a:extLst>
            <a:ext uri="{FF2B5EF4-FFF2-40B4-BE49-F238E27FC236}">
              <a16:creationId xmlns:a16="http://schemas.microsoft.com/office/drawing/2014/main" id="{F528098C-6A9C-4FA9-A8D9-2962500831E1}"/>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50" name="Text Box 1">
          <a:extLst>
            <a:ext uri="{FF2B5EF4-FFF2-40B4-BE49-F238E27FC236}">
              <a16:creationId xmlns:a16="http://schemas.microsoft.com/office/drawing/2014/main" id="{AEC55732-1F57-449A-B7E4-1DDAE1BB66B5}"/>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51" name="Text Box 1">
          <a:extLst>
            <a:ext uri="{FF2B5EF4-FFF2-40B4-BE49-F238E27FC236}">
              <a16:creationId xmlns:a16="http://schemas.microsoft.com/office/drawing/2014/main" id="{756C0DB5-405F-448E-A327-E9E758311D33}"/>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52" name="Text Box 1">
          <a:extLst>
            <a:ext uri="{FF2B5EF4-FFF2-40B4-BE49-F238E27FC236}">
              <a16:creationId xmlns:a16="http://schemas.microsoft.com/office/drawing/2014/main" id="{63E55402-AEF8-42FF-9FCA-2D657CA80799}"/>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53" name="Text Box 1">
          <a:extLst>
            <a:ext uri="{FF2B5EF4-FFF2-40B4-BE49-F238E27FC236}">
              <a16:creationId xmlns:a16="http://schemas.microsoft.com/office/drawing/2014/main" id="{A70014EC-2186-4D35-A26E-7789957CDC09}"/>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54" name="Text Box 1">
          <a:extLst>
            <a:ext uri="{FF2B5EF4-FFF2-40B4-BE49-F238E27FC236}">
              <a16:creationId xmlns:a16="http://schemas.microsoft.com/office/drawing/2014/main" id="{9C863256-7BD1-42D0-BD95-1A565BD7E64C}"/>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55" name="Text Box 1">
          <a:extLst>
            <a:ext uri="{FF2B5EF4-FFF2-40B4-BE49-F238E27FC236}">
              <a16:creationId xmlns:a16="http://schemas.microsoft.com/office/drawing/2014/main" id="{A2EA1E82-B6BA-4773-92E1-D634DB1D8088}"/>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56" name="Text Box 1">
          <a:extLst>
            <a:ext uri="{FF2B5EF4-FFF2-40B4-BE49-F238E27FC236}">
              <a16:creationId xmlns:a16="http://schemas.microsoft.com/office/drawing/2014/main" id="{B956B887-CCF3-42A7-8650-F59B812F8330}"/>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57" name="Text Box 1">
          <a:extLst>
            <a:ext uri="{FF2B5EF4-FFF2-40B4-BE49-F238E27FC236}">
              <a16:creationId xmlns:a16="http://schemas.microsoft.com/office/drawing/2014/main" id="{020314D0-A1BB-4E62-B7B6-48C6317686B5}"/>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58" name="Text Box 1">
          <a:extLst>
            <a:ext uri="{FF2B5EF4-FFF2-40B4-BE49-F238E27FC236}">
              <a16:creationId xmlns:a16="http://schemas.microsoft.com/office/drawing/2014/main" id="{6DD0E080-9215-4266-B416-8E6A51C23125}"/>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59" name="Text Box 1">
          <a:extLst>
            <a:ext uri="{FF2B5EF4-FFF2-40B4-BE49-F238E27FC236}">
              <a16:creationId xmlns:a16="http://schemas.microsoft.com/office/drawing/2014/main" id="{AEE430E3-A8B9-461F-A97E-4D27DA0DB8F6}"/>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60" name="Text Box 1">
          <a:extLst>
            <a:ext uri="{FF2B5EF4-FFF2-40B4-BE49-F238E27FC236}">
              <a16:creationId xmlns:a16="http://schemas.microsoft.com/office/drawing/2014/main" id="{5718E85A-1D03-4B82-B6E3-86487161B223}"/>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61" name="Text Box 1">
          <a:extLst>
            <a:ext uri="{FF2B5EF4-FFF2-40B4-BE49-F238E27FC236}">
              <a16:creationId xmlns:a16="http://schemas.microsoft.com/office/drawing/2014/main" id="{2441E0A6-C55E-4469-8D8A-57D1844E14A2}"/>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62" name="Text Box 1">
          <a:extLst>
            <a:ext uri="{FF2B5EF4-FFF2-40B4-BE49-F238E27FC236}">
              <a16:creationId xmlns:a16="http://schemas.microsoft.com/office/drawing/2014/main" id="{1C39E637-4C9B-4C56-A246-9DCB49BD0680}"/>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63" name="Text Box 1">
          <a:extLst>
            <a:ext uri="{FF2B5EF4-FFF2-40B4-BE49-F238E27FC236}">
              <a16:creationId xmlns:a16="http://schemas.microsoft.com/office/drawing/2014/main" id="{F4E32F97-93AF-4A3C-B2E7-45177E36AFC6}"/>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64" name="Text Box 1">
          <a:extLst>
            <a:ext uri="{FF2B5EF4-FFF2-40B4-BE49-F238E27FC236}">
              <a16:creationId xmlns:a16="http://schemas.microsoft.com/office/drawing/2014/main" id="{96C0393F-B5BF-42F2-A945-44D7F4D847C3}"/>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65" name="Text Box 1">
          <a:extLst>
            <a:ext uri="{FF2B5EF4-FFF2-40B4-BE49-F238E27FC236}">
              <a16:creationId xmlns:a16="http://schemas.microsoft.com/office/drawing/2014/main" id="{F3DEA603-7D0D-4D8A-9030-C89EB7511853}"/>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66" name="Text Box 1">
          <a:extLst>
            <a:ext uri="{FF2B5EF4-FFF2-40B4-BE49-F238E27FC236}">
              <a16:creationId xmlns:a16="http://schemas.microsoft.com/office/drawing/2014/main" id="{A40CDD15-14B2-4546-B0AA-8AA2F2AE78D1}"/>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67" name="Text Box 1">
          <a:extLst>
            <a:ext uri="{FF2B5EF4-FFF2-40B4-BE49-F238E27FC236}">
              <a16:creationId xmlns:a16="http://schemas.microsoft.com/office/drawing/2014/main" id="{6DEDAFD5-3063-4ABB-A7B2-A558BE4278C5}"/>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68" name="Text Box 1">
          <a:extLst>
            <a:ext uri="{FF2B5EF4-FFF2-40B4-BE49-F238E27FC236}">
              <a16:creationId xmlns:a16="http://schemas.microsoft.com/office/drawing/2014/main" id="{9C4FB429-5E22-4761-910B-E2CF8BF04C45}"/>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69" name="Text Box 1">
          <a:extLst>
            <a:ext uri="{FF2B5EF4-FFF2-40B4-BE49-F238E27FC236}">
              <a16:creationId xmlns:a16="http://schemas.microsoft.com/office/drawing/2014/main" id="{4BC52578-EC0D-4244-A35B-F8CBE16BC113}"/>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70" name="Text Box 1">
          <a:extLst>
            <a:ext uri="{FF2B5EF4-FFF2-40B4-BE49-F238E27FC236}">
              <a16:creationId xmlns:a16="http://schemas.microsoft.com/office/drawing/2014/main" id="{1F3E4992-FF97-4AB1-B35D-1B67AD6540AF}"/>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71" name="Text Box 1">
          <a:extLst>
            <a:ext uri="{FF2B5EF4-FFF2-40B4-BE49-F238E27FC236}">
              <a16:creationId xmlns:a16="http://schemas.microsoft.com/office/drawing/2014/main" id="{A06DC49A-007E-49B4-89EC-31641450FAF7}"/>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72" name="Text Box 1">
          <a:extLst>
            <a:ext uri="{FF2B5EF4-FFF2-40B4-BE49-F238E27FC236}">
              <a16:creationId xmlns:a16="http://schemas.microsoft.com/office/drawing/2014/main" id="{01BC3953-B78E-4285-B993-7E492F281BD6}"/>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73" name="Text Box 1">
          <a:extLst>
            <a:ext uri="{FF2B5EF4-FFF2-40B4-BE49-F238E27FC236}">
              <a16:creationId xmlns:a16="http://schemas.microsoft.com/office/drawing/2014/main" id="{55CE11FF-F168-4E06-B9A9-23FBA628757F}"/>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74" name="Text Box 1">
          <a:extLst>
            <a:ext uri="{FF2B5EF4-FFF2-40B4-BE49-F238E27FC236}">
              <a16:creationId xmlns:a16="http://schemas.microsoft.com/office/drawing/2014/main" id="{EB28DFCA-F8DC-40A5-9819-353620C24A35}"/>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75" name="Text Box 1">
          <a:extLst>
            <a:ext uri="{FF2B5EF4-FFF2-40B4-BE49-F238E27FC236}">
              <a16:creationId xmlns:a16="http://schemas.microsoft.com/office/drawing/2014/main" id="{96A10FC0-4BC6-4EC4-A3A9-E60CE271C674}"/>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76" name="Text Box 1">
          <a:extLst>
            <a:ext uri="{FF2B5EF4-FFF2-40B4-BE49-F238E27FC236}">
              <a16:creationId xmlns:a16="http://schemas.microsoft.com/office/drawing/2014/main" id="{8FF13852-1780-44D8-AF2E-2B8DD358095D}"/>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77" name="Text Box 1">
          <a:extLst>
            <a:ext uri="{FF2B5EF4-FFF2-40B4-BE49-F238E27FC236}">
              <a16:creationId xmlns:a16="http://schemas.microsoft.com/office/drawing/2014/main" id="{EE30BDFA-E60C-4A79-B12A-423DA7457EE8}"/>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78" name="Text Box 1">
          <a:extLst>
            <a:ext uri="{FF2B5EF4-FFF2-40B4-BE49-F238E27FC236}">
              <a16:creationId xmlns:a16="http://schemas.microsoft.com/office/drawing/2014/main" id="{FFE75339-CAEA-403C-BDF4-2E2AA0E6A79B}"/>
            </a:ext>
          </a:extLst>
        </xdr:cNvPr>
        <xdr:cNvSpPr txBox="1">
          <a:spLocks noChangeArrowheads="1"/>
        </xdr:cNvSpPr>
      </xdr:nvSpPr>
      <xdr:spPr bwMode="auto">
        <a:xfrm>
          <a:off x="685800" y="132979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79" name="Text Box 1">
          <a:extLst>
            <a:ext uri="{FF2B5EF4-FFF2-40B4-BE49-F238E27FC236}">
              <a16:creationId xmlns:a16="http://schemas.microsoft.com/office/drawing/2014/main" id="{02BAC174-AB0D-425A-913A-BBFDC245A5D9}"/>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80" name="Text Box 1">
          <a:extLst>
            <a:ext uri="{FF2B5EF4-FFF2-40B4-BE49-F238E27FC236}">
              <a16:creationId xmlns:a16="http://schemas.microsoft.com/office/drawing/2014/main" id="{F17BFC49-D8B8-4C29-833E-673052A89555}"/>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81" name="Text Box 1">
          <a:extLst>
            <a:ext uri="{FF2B5EF4-FFF2-40B4-BE49-F238E27FC236}">
              <a16:creationId xmlns:a16="http://schemas.microsoft.com/office/drawing/2014/main" id="{F4DB1246-5A80-4E0F-878A-F318C1126D2A}"/>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82" name="Text Box 1">
          <a:extLst>
            <a:ext uri="{FF2B5EF4-FFF2-40B4-BE49-F238E27FC236}">
              <a16:creationId xmlns:a16="http://schemas.microsoft.com/office/drawing/2014/main" id="{1620DCB9-14F8-4F46-BA00-A797B0717DDE}"/>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83" name="Text Box 1">
          <a:extLst>
            <a:ext uri="{FF2B5EF4-FFF2-40B4-BE49-F238E27FC236}">
              <a16:creationId xmlns:a16="http://schemas.microsoft.com/office/drawing/2014/main" id="{B9706C95-8A5A-4261-AB91-89313F3AB062}"/>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84" name="Text Box 1">
          <a:extLst>
            <a:ext uri="{FF2B5EF4-FFF2-40B4-BE49-F238E27FC236}">
              <a16:creationId xmlns:a16="http://schemas.microsoft.com/office/drawing/2014/main" id="{74BF6E58-5EFB-4D4D-91AF-60C62A578D1A}"/>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85" name="Text Box 1">
          <a:extLst>
            <a:ext uri="{FF2B5EF4-FFF2-40B4-BE49-F238E27FC236}">
              <a16:creationId xmlns:a16="http://schemas.microsoft.com/office/drawing/2014/main" id="{82AFAC2B-7A0E-4023-A980-963B9B7931DE}"/>
            </a:ext>
          </a:extLst>
        </xdr:cNvPr>
        <xdr:cNvSpPr txBox="1">
          <a:spLocks noChangeArrowheads="1"/>
        </xdr:cNvSpPr>
      </xdr:nvSpPr>
      <xdr:spPr bwMode="auto">
        <a:xfrm>
          <a:off x="685800" y="12942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86" name="Text Box 1">
          <a:extLst>
            <a:ext uri="{FF2B5EF4-FFF2-40B4-BE49-F238E27FC236}">
              <a16:creationId xmlns:a16="http://schemas.microsoft.com/office/drawing/2014/main" id="{9927EB95-1B73-4CFC-A444-4D7C203B6715}"/>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87" name="Text Box 1">
          <a:extLst>
            <a:ext uri="{FF2B5EF4-FFF2-40B4-BE49-F238E27FC236}">
              <a16:creationId xmlns:a16="http://schemas.microsoft.com/office/drawing/2014/main" id="{4A56AF57-D31D-41A5-90F1-CD0E33611A63}"/>
            </a:ext>
          </a:extLst>
        </xdr:cNvPr>
        <xdr:cNvSpPr txBox="1">
          <a:spLocks noChangeArrowheads="1"/>
        </xdr:cNvSpPr>
      </xdr:nvSpPr>
      <xdr:spPr bwMode="auto">
        <a:xfrm>
          <a:off x="685800" y="131201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88" name="Text Box 1">
          <a:extLst>
            <a:ext uri="{FF2B5EF4-FFF2-40B4-BE49-F238E27FC236}">
              <a16:creationId xmlns:a16="http://schemas.microsoft.com/office/drawing/2014/main" id="{25BCFFC5-D0FC-4D34-BC59-0B637FDB2ACC}"/>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89" name="Text Box 1">
          <a:extLst>
            <a:ext uri="{FF2B5EF4-FFF2-40B4-BE49-F238E27FC236}">
              <a16:creationId xmlns:a16="http://schemas.microsoft.com/office/drawing/2014/main" id="{CB82B36F-16E8-4AA9-9A65-87FF11CEA6D9}"/>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90" name="Text Box 1">
          <a:extLst>
            <a:ext uri="{FF2B5EF4-FFF2-40B4-BE49-F238E27FC236}">
              <a16:creationId xmlns:a16="http://schemas.microsoft.com/office/drawing/2014/main" id="{F66EC40F-800D-4ED6-9547-744B77ECAC12}"/>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91" name="Text Box 1">
          <a:extLst>
            <a:ext uri="{FF2B5EF4-FFF2-40B4-BE49-F238E27FC236}">
              <a16:creationId xmlns:a16="http://schemas.microsoft.com/office/drawing/2014/main" id="{23831F3C-624C-4DD0-968D-8DA6509ACB6E}"/>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92" name="Text Box 1">
          <a:extLst>
            <a:ext uri="{FF2B5EF4-FFF2-40B4-BE49-F238E27FC236}">
              <a16:creationId xmlns:a16="http://schemas.microsoft.com/office/drawing/2014/main" id="{F3B0F3A5-5A2B-4C18-864B-8D02F3608326}"/>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93" name="Text Box 1">
          <a:extLst>
            <a:ext uri="{FF2B5EF4-FFF2-40B4-BE49-F238E27FC236}">
              <a16:creationId xmlns:a16="http://schemas.microsoft.com/office/drawing/2014/main" id="{221C201C-8855-4171-A64E-5C46058A5468}"/>
            </a:ext>
          </a:extLst>
        </xdr:cNvPr>
        <xdr:cNvSpPr txBox="1">
          <a:spLocks noChangeArrowheads="1"/>
        </xdr:cNvSpPr>
      </xdr:nvSpPr>
      <xdr:spPr bwMode="auto">
        <a:xfrm>
          <a:off x="685800" y="134757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94" name="Text Box 1">
          <a:extLst>
            <a:ext uri="{FF2B5EF4-FFF2-40B4-BE49-F238E27FC236}">
              <a16:creationId xmlns:a16="http://schemas.microsoft.com/office/drawing/2014/main" id="{EB75B132-4853-490D-BC19-4EE0833F0410}"/>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95" name="Text Box 1">
          <a:extLst>
            <a:ext uri="{FF2B5EF4-FFF2-40B4-BE49-F238E27FC236}">
              <a16:creationId xmlns:a16="http://schemas.microsoft.com/office/drawing/2014/main" id="{265A82B7-14C8-4867-81F3-173579FD8EA1}"/>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96" name="Text Box 1">
          <a:extLst>
            <a:ext uri="{FF2B5EF4-FFF2-40B4-BE49-F238E27FC236}">
              <a16:creationId xmlns:a16="http://schemas.microsoft.com/office/drawing/2014/main" id="{A5CB8FEA-FFEA-4758-A777-B528A02B5380}"/>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97" name="Text Box 1">
          <a:extLst>
            <a:ext uri="{FF2B5EF4-FFF2-40B4-BE49-F238E27FC236}">
              <a16:creationId xmlns:a16="http://schemas.microsoft.com/office/drawing/2014/main" id="{21809D3E-FAC4-45F9-A41B-40CFA55DD064}"/>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98" name="Text Box 1">
          <a:extLst>
            <a:ext uri="{FF2B5EF4-FFF2-40B4-BE49-F238E27FC236}">
              <a16:creationId xmlns:a16="http://schemas.microsoft.com/office/drawing/2014/main" id="{BB1F5AE2-2660-4CEE-88B9-D9DF6BB7B897}"/>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899" name="Text Box 1">
          <a:extLst>
            <a:ext uri="{FF2B5EF4-FFF2-40B4-BE49-F238E27FC236}">
              <a16:creationId xmlns:a16="http://schemas.microsoft.com/office/drawing/2014/main" id="{1F98CBF3-5A7F-4646-AA98-22203E2CFCFD}"/>
            </a:ext>
          </a:extLst>
        </xdr:cNvPr>
        <xdr:cNvSpPr txBox="1">
          <a:spLocks noChangeArrowheads="1"/>
        </xdr:cNvSpPr>
      </xdr:nvSpPr>
      <xdr:spPr bwMode="auto">
        <a:xfrm>
          <a:off x="685800" y="136535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900" name="Text Box 1">
          <a:extLst>
            <a:ext uri="{FF2B5EF4-FFF2-40B4-BE49-F238E27FC236}">
              <a16:creationId xmlns:a16="http://schemas.microsoft.com/office/drawing/2014/main" id="{AF74F1DF-E0A9-46FC-9F64-DAA21286B86B}"/>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901" name="Text Box 1">
          <a:extLst>
            <a:ext uri="{FF2B5EF4-FFF2-40B4-BE49-F238E27FC236}">
              <a16:creationId xmlns:a16="http://schemas.microsoft.com/office/drawing/2014/main" id="{DB073FEE-CBF8-4A58-92E4-F917A9E4781B}"/>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902" name="Text Box 1">
          <a:extLst>
            <a:ext uri="{FF2B5EF4-FFF2-40B4-BE49-F238E27FC236}">
              <a16:creationId xmlns:a16="http://schemas.microsoft.com/office/drawing/2014/main" id="{A37A9A5F-8F52-479B-AB45-28DCFE982050}"/>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903" name="Text Box 1">
          <a:extLst>
            <a:ext uri="{FF2B5EF4-FFF2-40B4-BE49-F238E27FC236}">
              <a16:creationId xmlns:a16="http://schemas.microsoft.com/office/drawing/2014/main" id="{C5569C56-2147-4C34-975B-52E7120DFDFD}"/>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904" name="Text Box 1">
          <a:extLst>
            <a:ext uri="{FF2B5EF4-FFF2-40B4-BE49-F238E27FC236}">
              <a16:creationId xmlns:a16="http://schemas.microsoft.com/office/drawing/2014/main" id="{D0F2E9D9-C0B2-482B-AE1F-70C94C804F96}"/>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905" name="Text Box 1">
          <a:extLst>
            <a:ext uri="{FF2B5EF4-FFF2-40B4-BE49-F238E27FC236}">
              <a16:creationId xmlns:a16="http://schemas.microsoft.com/office/drawing/2014/main" id="{54F50344-7A70-4E9A-A3F2-F543608F8BE0}"/>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906" name="Text Box 1">
          <a:extLst>
            <a:ext uri="{FF2B5EF4-FFF2-40B4-BE49-F238E27FC236}">
              <a16:creationId xmlns:a16="http://schemas.microsoft.com/office/drawing/2014/main" id="{0AB5340F-95D1-4182-8B90-1FF79A054BE1}"/>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907" name="Text Box 1">
          <a:extLst>
            <a:ext uri="{FF2B5EF4-FFF2-40B4-BE49-F238E27FC236}">
              <a16:creationId xmlns:a16="http://schemas.microsoft.com/office/drawing/2014/main" id="{B96BCEB8-9391-47E8-9970-FD8BEB5A9B8C}"/>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908" name="Text Box 1">
          <a:extLst>
            <a:ext uri="{FF2B5EF4-FFF2-40B4-BE49-F238E27FC236}">
              <a16:creationId xmlns:a16="http://schemas.microsoft.com/office/drawing/2014/main" id="{9A851A3E-96A7-43F1-8938-DD69E90C4B8A}"/>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909" name="Text Box 1">
          <a:extLst>
            <a:ext uri="{FF2B5EF4-FFF2-40B4-BE49-F238E27FC236}">
              <a16:creationId xmlns:a16="http://schemas.microsoft.com/office/drawing/2014/main" id="{5E6ABD05-C337-4D97-8A78-AAC7498C5BF0}"/>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910" name="Text Box 1">
          <a:extLst>
            <a:ext uri="{FF2B5EF4-FFF2-40B4-BE49-F238E27FC236}">
              <a16:creationId xmlns:a16="http://schemas.microsoft.com/office/drawing/2014/main" id="{FA325374-3AE0-4F01-A52F-A66ECEDF9185}"/>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125</xdr:row>
      <xdr:rowOff>0</xdr:rowOff>
    </xdr:from>
    <xdr:ext cx="76200" cy="225425"/>
    <xdr:sp macro="" textlink="">
      <xdr:nvSpPr>
        <xdr:cNvPr id="911" name="Text Box 1">
          <a:extLst>
            <a:ext uri="{FF2B5EF4-FFF2-40B4-BE49-F238E27FC236}">
              <a16:creationId xmlns:a16="http://schemas.microsoft.com/office/drawing/2014/main" id="{FDD81286-74A8-424E-8742-8A879B9EF7D6}"/>
            </a:ext>
          </a:extLst>
        </xdr:cNvPr>
        <xdr:cNvSpPr txBox="1">
          <a:spLocks noChangeArrowheads="1"/>
        </xdr:cNvSpPr>
      </xdr:nvSpPr>
      <xdr:spPr bwMode="auto">
        <a:xfrm>
          <a:off x="685800" y="13831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912" name="Text Box 1">
          <a:extLst>
            <a:ext uri="{FF2B5EF4-FFF2-40B4-BE49-F238E27FC236}">
              <a16:creationId xmlns:a16="http://schemas.microsoft.com/office/drawing/2014/main" id="{E23A0120-8FC3-4F6E-A0C2-ADA916BBC512}"/>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913" name="Text Box 1">
          <a:extLst>
            <a:ext uri="{FF2B5EF4-FFF2-40B4-BE49-F238E27FC236}">
              <a16:creationId xmlns:a16="http://schemas.microsoft.com/office/drawing/2014/main" id="{D8C15522-D1D0-455A-96B6-5EEB16E29A17}"/>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914" name="Text Box 1">
          <a:extLst>
            <a:ext uri="{FF2B5EF4-FFF2-40B4-BE49-F238E27FC236}">
              <a16:creationId xmlns:a16="http://schemas.microsoft.com/office/drawing/2014/main" id="{EC4934B8-D585-4A4B-8032-6A035F343320}"/>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915" name="Text Box 1">
          <a:extLst>
            <a:ext uri="{FF2B5EF4-FFF2-40B4-BE49-F238E27FC236}">
              <a16:creationId xmlns:a16="http://schemas.microsoft.com/office/drawing/2014/main" id="{53A9AD36-8F1F-4096-8AE9-C5BA33A464F8}"/>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916" name="Text Box 1">
          <a:extLst>
            <a:ext uri="{FF2B5EF4-FFF2-40B4-BE49-F238E27FC236}">
              <a16:creationId xmlns:a16="http://schemas.microsoft.com/office/drawing/2014/main" id="{DD32A4C0-84E5-46F1-B685-D87534067316}"/>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917" name="Text Box 1">
          <a:extLst>
            <a:ext uri="{FF2B5EF4-FFF2-40B4-BE49-F238E27FC236}">
              <a16:creationId xmlns:a16="http://schemas.microsoft.com/office/drawing/2014/main" id="{7971A4E1-13A7-4F3A-A929-35417E247FA1}"/>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918" name="Text Box 1">
          <a:extLst>
            <a:ext uri="{FF2B5EF4-FFF2-40B4-BE49-F238E27FC236}">
              <a16:creationId xmlns:a16="http://schemas.microsoft.com/office/drawing/2014/main" id="{C6A4600A-F876-4727-AB96-462795EDC30B}"/>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919" name="Text Box 1">
          <a:extLst>
            <a:ext uri="{FF2B5EF4-FFF2-40B4-BE49-F238E27FC236}">
              <a16:creationId xmlns:a16="http://schemas.microsoft.com/office/drawing/2014/main" id="{97AE1794-B6AC-4E89-BC7D-B6C6517B6AF2}"/>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920" name="Text Box 1">
          <a:extLst>
            <a:ext uri="{FF2B5EF4-FFF2-40B4-BE49-F238E27FC236}">
              <a16:creationId xmlns:a16="http://schemas.microsoft.com/office/drawing/2014/main" id="{D1AF6672-703F-4DC0-B804-19CDAF5EA6B6}"/>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921" name="Text Box 1">
          <a:extLst>
            <a:ext uri="{FF2B5EF4-FFF2-40B4-BE49-F238E27FC236}">
              <a16:creationId xmlns:a16="http://schemas.microsoft.com/office/drawing/2014/main" id="{1A5109B2-291C-427C-92C4-6C6E92178553}"/>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922" name="Text Box 1">
          <a:extLst>
            <a:ext uri="{FF2B5EF4-FFF2-40B4-BE49-F238E27FC236}">
              <a16:creationId xmlns:a16="http://schemas.microsoft.com/office/drawing/2014/main" id="{40F402CC-4DDF-4FA4-8BC7-3ACCE914FBA8}"/>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5425"/>
    <xdr:sp macro="" textlink="">
      <xdr:nvSpPr>
        <xdr:cNvPr id="923" name="Text Box 1">
          <a:extLst>
            <a:ext uri="{FF2B5EF4-FFF2-40B4-BE49-F238E27FC236}">
              <a16:creationId xmlns:a16="http://schemas.microsoft.com/office/drawing/2014/main" id="{6B85E447-2F79-4859-9E2E-55F6F9B5A54F}"/>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24" name="Text Box 1">
          <a:extLst>
            <a:ext uri="{FF2B5EF4-FFF2-40B4-BE49-F238E27FC236}">
              <a16:creationId xmlns:a16="http://schemas.microsoft.com/office/drawing/2014/main" id="{F57CA3F9-DDBF-43EB-9826-9B5BBE0EC42E}"/>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25" name="Text Box 1">
          <a:extLst>
            <a:ext uri="{FF2B5EF4-FFF2-40B4-BE49-F238E27FC236}">
              <a16:creationId xmlns:a16="http://schemas.microsoft.com/office/drawing/2014/main" id="{5F32FBF0-AC72-44C7-9B2F-2BE9992EE579}"/>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26" name="Text Box 1">
          <a:extLst>
            <a:ext uri="{FF2B5EF4-FFF2-40B4-BE49-F238E27FC236}">
              <a16:creationId xmlns:a16="http://schemas.microsoft.com/office/drawing/2014/main" id="{DC765197-D05E-49F4-8BD1-778900AA9D22}"/>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27" name="Text Box 1">
          <a:extLst>
            <a:ext uri="{FF2B5EF4-FFF2-40B4-BE49-F238E27FC236}">
              <a16:creationId xmlns:a16="http://schemas.microsoft.com/office/drawing/2014/main" id="{69264A00-B5EC-4E06-A51A-C8CBDF727917}"/>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28" name="Text Box 1">
          <a:extLst>
            <a:ext uri="{FF2B5EF4-FFF2-40B4-BE49-F238E27FC236}">
              <a16:creationId xmlns:a16="http://schemas.microsoft.com/office/drawing/2014/main" id="{91C6AB2B-F956-4AFB-9148-1BCE354467F4}"/>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29" name="Text Box 1">
          <a:extLst>
            <a:ext uri="{FF2B5EF4-FFF2-40B4-BE49-F238E27FC236}">
              <a16:creationId xmlns:a16="http://schemas.microsoft.com/office/drawing/2014/main" id="{573C0A0E-DF4A-4ED5-B8C5-0A34DD0286DB}"/>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30" name="Text Box 1">
          <a:extLst>
            <a:ext uri="{FF2B5EF4-FFF2-40B4-BE49-F238E27FC236}">
              <a16:creationId xmlns:a16="http://schemas.microsoft.com/office/drawing/2014/main" id="{DDF67815-B76B-4DE4-B099-683724A34072}"/>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31" name="Text Box 1">
          <a:extLst>
            <a:ext uri="{FF2B5EF4-FFF2-40B4-BE49-F238E27FC236}">
              <a16:creationId xmlns:a16="http://schemas.microsoft.com/office/drawing/2014/main" id="{9423F299-575E-4D2D-8010-D632D6B65EC3}"/>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32" name="Text Box 1">
          <a:extLst>
            <a:ext uri="{FF2B5EF4-FFF2-40B4-BE49-F238E27FC236}">
              <a16:creationId xmlns:a16="http://schemas.microsoft.com/office/drawing/2014/main" id="{9F97F2E8-3AA6-4B4B-8EF2-FF7F18DB7948}"/>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33" name="Text Box 1">
          <a:extLst>
            <a:ext uri="{FF2B5EF4-FFF2-40B4-BE49-F238E27FC236}">
              <a16:creationId xmlns:a16="http://schemas.microsoft.com/office/drawing/2014/main" id="{F501E265-B595-4268-9B2F-169F0CEAC02B}"/>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34" name="Text Box 1">
          <a:extLst>
            <a:ext uri="{FF2B5EF4-FFF2-40B4-BE49-F238E27FC236}">
              <a16:creationId xmlns:a16="http://schemas.microsoft.com/office/drawing/2014/main" id="{845C2B08-2387-4BDF-8265-24295281F069}"/>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35" name="Text Box 1">
          <a:extLst>
            <a:ext uri="{FF2B5EF4-FFF2-40B4-BE49-F238E27FC236}">
              <a16:creationId xmlns:a16="http://schemas.microsoft.com/office/drawing/2014/main" id="{232BEE13-481C-4337-9684-426650EDAACC}"/>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36" name="Text Box 1">
          <a:extLst>
            <a:ext uri="{FF2B5EF4-FFF2-40B4-BE49-F238E27FC236}">
              <a16:creationId xmlns:a16="http://schemas.microsoft.com/office/drawing/2014/main" id="{70C0F484-F4ED-4916-815E-412E4AA481E0}"/>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37" name="Text Box 1">
          <a:extLst>
            <a:ext uri="{FF2B5EF4-FFF2-40B4-BE49-F238E27FC236}">
              <a16:creationId xmlns:a16="http://schemas.microsoft.com/office/drawing/2014/main" id="{417919F6-04C0-4DF0-90C4-0938F6F8CA5C}"/>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38" name="Text Box 1">
          <a:extLst>
            <a:ext uri="{FF2B5EF4-FFF2-40B4-BE49-F238E27FC236}">
              <a16:creationId xmlns:a16="http://schemas.microsoft.com/office/drawing/2014/main" id="{0E115C21-BC78-43C7-86D6-045EC9095176}"/>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39" name="Text Box 1">
          <a:extLst>
            <a:ext uri="{FF2B5EF4-FFF2-40B4-BE49-F238E27FC236}">
              <a16:creationId xmlns:a16="http://schemas.microsoft.com/office/drawing/2014/main" id="{283548AE-DD4A-433A-B637-30E5145B28AE}"/>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40" name="Text Box 1">
          <a:extLst>
            <a:ext uri="{FF2B5EF4-FFF2-40B4-BE49-F238E27FC236}">
              <a16:creationId xmlns:a16="http://schemas.microsoft.com/office/drawing/2014/main" id="{18613A02-30B0-4500-A866-C5159588E6F6}"/>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41" name="Text Box 1">
          <a:extLst>
            <a:ext uri="{FF2B5EF4-FFF2-40B4-BE49-F238E27FC236}">
              <a16:creationId xmlns:a16="http://schemas.microsoft.com/office/drawing/2014/main" id="{ECEE27F7-ABDF-40D2-A953-B0D8CBAA1AB1}"/>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42" name="Text Box 1">
          <a:extLst>
            <a:ext uri="{FF2B5EF4-FFF2-40B4-BE49-F238E27FC236}">
              <a16:creationId xmlns:a16="http://schemas.microsoft.com/office/drawing/2014/main" id="{51171C70-F16E-43DD-B00B-E7FC67973BF1}"/>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43" name="Text Box 1">
          <a:extLst>
            <a:ext uri="{FF2B5EF4-FFF2-40B4-BE49-F238E27FC236}">
              <a16:creationId xmlns:a16="http://schemas.microsoft.com/office/drawing/2014/main" id="{B68AC26E-9E34-464F-AFD7-6F2F7C5B6EF6}"/>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44" name="Text Box 1">
          <a:extLst>
            <a:ext uri="{FF2B5EF4-FFF2-40B4-BE49-F238E27FC236}">
              <a16:creationId xmlns:a16="http://schemas.microsoft.com/office/drawing/2014/main" id="{3D5C9B5B-82F7-48E5-A4B1-99E74B0A8286}"/>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45" name="Text Box 1">
          <a:extLst>
            <a:ext uri="{FF2B5EF4-FFF2-40B4-BE49-F238E27FC236}">
              <a16:creationId xmlns:a16="http://schemas.microsoft.com/office/drawing/2014/main" id="{66482D7A-4AD9-479D-9E46-639F578BAFFC}"/>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46" name="Text Box 1">
          <a:extLst>
            <a:ext uri="{FF2B5EF4-FFF2-40B4-BE49-F238E27FC236}">
              <a16:creationId xmlns:a16="http://schemas.microsoft.com/office/drawing/2014/main" id="{023FEA95-F8F8-4C96-873C-01CD411ABB94}"/>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5425"/>
    <xdr:sp macro="" textlink="">
      <xdr:nvSpPr>
        <xdr:cNvPr id="947" name="Text Box 1">
          <a:extLst>
            <a:ext uri="{FF2B5EF4-FFF2-40B4-BE49-F238E27FC236}">
              <a16:creationId xmlns:a16="http://schemas.microsoft.com/office/drawing/2014/main" id="{FD3C33EE-B73E-4AA9-AAB4-F872F5D7834A}"/>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48" name="Text Box 1">
          <a:extLst>
            <a:ext uri="{FF2B5EF4-FFF2-40B4-BE49-F238E27FC236}">
              <a16:creationId xmlns:a16="http://schemas.microsoft.com/office/drawing/2014/main" id="{7DC94329-EFB2-4C19-9DF3-B2D445B68E95}"/>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49" name="Text Box 1">
          <a:extLst>
            <a:ext uri="{FF2B5EF4-FFF2-40B4-BE49-F238E27FC236}">
              <a16:creationId xmlns:a16="http://schemas.microsoft.com/office/drawing/2014/main" id="{8973BF2E-91EE-451F-B4D4-4EC3DE6D403B}"/>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50" name="Text Box 1">
          <a:extLst>
            <a:ext uri="{FF2B5EF4-FFF2-40B4-BE49-F238E27FC236}">
              <a16:creationId xmlns:a16="http://schemas.microsoft.com/office/drawing/2014/main" id="{4E4CE037-803E-47CF-9600-599F5F176D4E}"/>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51" name="Text Box 1">
          <a:extLst>
            <a:ext uri="{FF2B5EF4-FFF2-40B4-BE49-F238E27FC236}">
              <a16:creationId xmlns:a16="http://schemas.microsoft.com/office/drawing/2014/main" id="{76750533-985B-4E9E-94C9-9D5B9ACF054A}"/>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52" name="Text Box 1">
          <a:extLst>
            <a:ext uri="{FF2B5EF4-FFF2-40B4-BE49-F238E27FC236}">
              <a16:creationId xmlns:a16="http://schemas.microsoft.com/office/drawing/2014/main" id="{ECFF482B-8CAC-4082-814D-D5E1E9D9C276}"/>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53" name="Text Box 1">
          <a:extLst>
            <a:ext uri="{FF2B5EF4-FFF2-40B4-BE49-F238E27FC236}">
              <a16:creationId xmlns:a16="http://schemas.microsoft.com/office/drawing/2014/main" id="{DF2CF139-03B8-4201-95FF-542EAFBE3E9A}"/>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54" name="Text Box 1">
          <a:extLst>
            <a:ext uri="{FF2B5EF4-FFF2-40B4-BE49-F238E27FC236}">
              <a16:creationId xmlns:a16="http://schemas.microsoft.com/office/drawing/2014/main" id="{29773798-2FC0-4447-9E6D-502679A06C86}"/>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55" name="Text Box 1">
          <a:extLst>
            <a:ext uri="{FF2B5EF4-FFF2-40B4-BE49-F238E27FC236}">
              <a16:creationId xmlns:a16="http://schemas.microsoft.com/office/drawing/2014/main" id="{47018F98-E73A-43B6-B89C-A4D768E451FE}"/>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56" name="Text Box 1">
          <a:extLst>
            <a:ext uri="{FF2B5EF4-FFF2-40B4-BE49-F238E27FC236}">
              <a16:creationId xmlns:a16="http://schemas.microsoft.com/office/drawing/2014/main" id="{568554F4-FE3C-4424-A9FD-11C8CD961EA0}"/>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57" name="Text Box 1">
          <a:extLst>
            <a:ext uri="{FF2B5EF4-FFF2-40B4-BE49-F238E27FC236}">
              <a16:creationId xmlns:a16="http://schemas.microsoft.com/office/drawing/2014/main" id="{EE95B392-2F40-4AAE-BF55-D84CAE761911}"/>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58" name="Text Box 1">
          <a:extLst>
            <a:ext uri="{FF2B5EF4-FFF2-40B4-BE49-F238E27FC236}">
              <a16:creationId xmlns:a16="http://schemas.microsoft.com/office/drawing/2014/main" id="{9174F7A7-D097-4F08-82C7-1A61261FF34B}"/>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59" name="Text Box 1">
          <a:extLst>
            <a:ext uri="{FF2B5EF4-FFF2-40B4-BE49-F238E27FC236}">
              <a16:creationId xmlns:a16="http://schemas.microsoft.com/office/drawing/2014/main" id="{FE961144-DF83-4AC2-8898-AF112AB9E561}"/>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60" name="Text Box 1">
          <a:extLst>
            <a:ext uri="{FF2B5EF4-FFF2-40B4-BE49-F238E27FC236}">
              <a16:creationId xmlns:a16="http://schemas.microsoft.com/office/drawing/2014/main" id="{429FB2AE-8ECC-4BAD-9EA8-736C4F6001AF}"/>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61" name="Text Box 1">
          <a:extLst>
            <a:ext uri="{FF2B5EF4-FFF2-40B4-BE49-F238E27FC236}">
              <a16:creationId xmlns:a16="http://schemas.microsoft.com/office/drawing/2014/main" id="{28A07775-EBB3-4A94-BE00-1B9664AB6EE6}"/>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62" name="Text Box 1">
          <a:extLst>
            <a:ext uri="{FF2B5EF4-FFF2-40B4-BE49-F238E27FC236}">
              <a16:creationId xmlns:a16="http://schemas.microsoft.com/office/drawing/2014/main" id="{13EAAEA2-301D-45DC-A764-3B4282B7F61B}"/>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63" name="Text Box 1">
          <a:extLst>
            <a:ext uri="{FF2B5EF4-FFF2-40B4-BE49-F238E27FC236}">
              <a16:creationId xmlns:a16="http://schemas.microsoft.com/office/drawing/2014/main" id="{F139E8E9-6CF9-4B6C-BA82-46F45452D22C}"/>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64" name="Text Box 1">
          <a:extLst>
            <a:ext uri="{FF2B5EF4-FFF2-40B4-BE49-F238E27FC236}">
              <a16:creationId xmlns:a16="http://schemas.microsoft.com/office/drawing/2014/main" id="{062145A8-D710-4001-98A2-5098EAF7230B}"/>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65" name="Text Box 1">
          <a:extLst>
            <a:ext uri="{FF2B5EF4-FFF2-40B4-BE49-F238E27FC236}">
              <a16:creationId xmlns:a16="http://schemas.microsoft.com/office/drawing/2014/main" id="{44FCBDAA-C0FB-4932-A5F2-48302BC84C12}"/>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66" name="Text Box 1">
          <a:extLst>
            <a:ext uri="{FF2B5EF4-FFF2-40B4-BE49-F238E27FC236}">
              <a16:creationId xmlns:a16="http://schemas.microsoft.com/office/drawing/2014/main" id="{BF58EFF3-AF14-4A0C-882C-FB51E0E6928F}"/>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67" name="Text Box 1">
          <a:extLst>
            <a:ext uri="{FF2B5EF4-FFF2-40B4-BE49-F238E27FC236}">
              <a16:creationId xmlns:a16="http://schemas.microsoft.com/office/drawing/2014/main" id="{1A1FBDAB-B861-45BC-B302-3F7AEB61620E}"/>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68" name="Text Box 1">
          <a:extLst>
            <a:ext uri="{FF2B5EF4-FFF2-40B4-BE49-F238E27FC236}">
              <a16:creationId xmlns:a16="http://schemas.microsoft.com/office/drawing/2014/main" id="{D78AAE16-8A26-493E-ACC3-8DFDA759E60A}"/>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69" name="Text Box 1">
          <a:extLst>
            <a:ext uri="{FF2B5EF4-FFF2-40B4-BE49-F238E27FC236}">
              <a16:creationId xmlns:a16="http://schemas.microsoft.com/office/drawing/2014/main" id="{86735C25-7168-4362-8DF3-2D6725DF1A55}"/>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70" name="Text Box 1">
          <a:extLst>
            <a:ext uri="{FF2B5EF4-FFF2-40B4-BE49-F238E27FC236}">
              <a16:creationId xmlns:a16="http://schemas.microsoft.com/office/drawing/2014/main" id="{886A553D-5372-4E75-A896-70092C6BDC6D}"/>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71" name="Text Box 1">
          <a:extLst>
            <a:ext uri="{FF2B5EF4-FFF2-40B4-BE49-F238E27FC236}">
              <a16:creationId xmlns:a16="http://schemas.microsoft.com/office/drawing/2014/main" id="{81C935F5-FF77-4805-AA47-34F8CFB5F456}"/>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72" name="Text Box 1">
          <a:extLst>
            <a:ext uri="{FF2B5EF4-FFF2-40B4-BE49-F238E27FC236}">
              <a16:creationId xmlns:a16="http://schemas.microsoft.com/office/drawing/2014/main" id="{B67B9E5F-C0C4-48C5-9636-C9DF914EACC1}"/>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73" name="Text Box 1">
          <a:extLst>
            <a:ext uri="{FF2B5EF4-FFF2-40B4-BE49-F238E27FC236}">
              <a16:creationId xmlns:a16="http://schemas.microsoft.com/office/drawing/2014/main" id="{30B03674-72D5-466D-A835-A357ABED4AA4}"/>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74" name="Text Box 1">
          <a:extLst>
            <a:ext uri="{FF2B5EF4-FFF2-40B4-BE49-F238E27FC236}">
              <a16:creationId xmlns:a16="http://schemas.microsoft.com/office/drawing/2014/main" id="{00C604C0-F885-45FB-BEED-C69BE582CFEC}"/>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75" name="Text Box 1">
          <a:extLst>
            <a:ext uri="{FF2B5EF4-FFF2-40B4-BE49-F238E27FC236}">
              <a16:creationId xmlns:a16="http://schemas.microsoft.com/office/drawing/2014/main" id="{9C1E0F81-5D38-4CE3-BD68-4F5E96098257}"/>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76" name="Text Box 1">
          <a:extLst>
            <a:ext uri="{FF2B5EF4-FFF2-40B4-BE49-F238E27FC236}">
              <a16:creationId xmlns:a16="http://schemas.microsoft.com/office/drawing/2014/main" id="{FC5FAF02-2D5D-43AD-BC8E-59368137434E}"/>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77" name="Text Box 1">
          <a:extLst>
            <a:ext uri="{FF2B5EF4-FFF2-40B4-BE49-F238E27FC236}">
              <a16:creationId xmlns:a16="http://schemas.microsoft.com/office/drawing/2014/main" id="{21F3BACE-134E-4058-8192-3497E088631E}"/>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78" name="Text Box 1">
          <a:extLst>
            <a:ext uri="{FF2B5EF4-FFF2-40B4-BE49-F238E27FC236}">
              <a16:creationId xmlns:a16="http://schemas.microsoft.com/office/drawing/2014/main" id="{F9F66F5A-0BEE-45E3-8B3E-558CE963CCF6}"/>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79" name="Text Box 1">
          <a:extLst>
            <a:ext uri="{FF2B5EF4-FFF2-40B4-BE49-F238E27FC236}">
              <a16:creationId xmlns:a16="http://schemas.microsoft.com/office/drawing/2014/main" id="{17B429F9-432A-4B06-9E04-F300F2165119}"/>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80" name="Text Box 1">
          <a:extLst>
            <a:ext uri="{FF2B5EF4-FFF2-40B4-BE49-F238E27FC236}">
              <a16:creationId xmlns:a16="http://schemas.microsoft.com/office/drawing/2014/main" id="{BF46AEB9-49B1-4719-AFFD-A9EBD6381B2D}"/>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81" name="Text Box 1">
          <a:extLst>
            <a:ext uri="{FF2B5EF4-FFF2-40B4-BE49-F238E27FC236}">
              <a16:creationId xmlns:a16="http://schemas.microsoft.com/office/drawing/2014/main" id="{F22BF98A-7EA5-4F28-8C45-35FA4998A082}"/>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82" name="Text Box 1">
          <a:extLst>
            <a:ext uri="{FF2B5EF4-FFF2-40B4-BE49-F238E27FC236}">
              <a16:creationId xmlns:a16="http://schemas.microsoft.com/office/drawing/2014/main" id="{BBBDF8C9-32B6-4487-9B15-DAD9A93F1097}"/>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5425"/>
    <xdr:sp macro="" textlink="">
      <xdr:nvSpPr>
        <xdr:cNvPr id="983" name="Text Box 1">
          <a:extLst>
            <a:ext uri="{FF2B5EF4-FFF2-40B4-BE49-F238E27FC236}">
              <a16:creationId xmlns:a16="http://schemas.microsoft.com/office/drawing/2014/main" id="{5CB410D6-436E-467B-BA92-2C83C6B24494}"/>
            </a:ext>
          </a:extLst>
        </xdr:cNvPr>
        <xdr:cNvSpPr txBox="1">
          <a:spLocks noChangeArrowheads="1"/>
        </xdr:cNvSpPr>
      </xdr:nvSpPr>
      <xdr:spPr bwMode="auto">
        <a:xfrm>
          <a:off x="685800" y="200543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84" name="Text Box 1">
          <a:extLst>
            <a:ext uri="{FF2B5EF4-FFF2-40B4-BE49-F238E27FC236}">
              <a16:creationId xmlns:a16="http://schemas.microsoft.com/office/drawing/2014/main" id="{23A65D13-56FF-4016-A734-7187A083B115}"/>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85" name="Text Box 1">
          <a:extLst>
            <a:ext uri="{FF2B5EF4-FFF2-40B4-BE49-F238E27FC236}">
              <a16:creationId xmlns:a16="http://schemas.microsoft.com/office/drawing/2014/main" id="{90061BBC-87D3-4CCC-B046-155AB19B0460}"/>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86" name="Text Box 1">
          <a:extLst>
            <a:ext uri="{FF2B5EF4-FFF2-40B4-BE49-F238E27FC236}">
              <a16:creationId xmlns:a16="http://schemas.microsoft.com/office/drawing/2014/main" id="{EE4032AD-A5A5-409A-A897-5C6911AAD9DA}"/>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87" name="Text Box 1">
          <a:extLst>
            <a:ext uri="{FF2B5EF4-FFF2-40B4-BE49-F238E27FC236}">
              <a16:creationId xmlns:a16="http://schemas.microsoft.com/office/drawing/2014/main" id="{D08C575D-2FAE-4944-84EB-F1D5D5E207D0}"/>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88" name="Text Box 1">
          <a:extLst>
            <a:ext uri="{FF2B5EF4-FFF2-40B4-BE49-F238E27FC236}">
              <a16:creationId xmlns:a16="http://schemas.microsoft.com/office/drawing/2014/main" id="{2B372498-980E-4FC5-A6E2-17447436679C}"/>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89" name="Text Box 1">
          <a:extLst>
            <a:ext uri="{FF2B5EF4-FFF2-40B4-BE49-F238E27FC236}">
              <a16:creationId xmlns:a16="http://schemas.microsoft.com/office/drawing/2014/main" id="{28EC7E27-0E72-4FCC-A783-ED55D8CC071A}"/>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90" name="Text Box 1">
          <a:extLst>
            <a:ext uri="{FF2B5EF4-FFF2-40B4-BE49-F238E27FC236}">
              <a16:creationId xmlns:a16="http://schemas.microsoft.com/office/drawing/2014/main" id="{A31FC9DB-485C-4FC6-AADE-E6242F698CE4}"/>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91" name="Text Box 1">
          <a:extLst>
            <a:ext uri="{FF2B5EF4-FFF2-40B4-BE49-F238E27FC236}">
              <a16:creationId xmlns:a16="http://schemas.microsoft.com/office/drawing/2014/main" id="{7631A58D-06D8-4A19-82CB-F5BFC60F5D91}"/>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92" name="Text Box 1">
          <a:extLst>
            <a:ext uri="{FF2B5EF4-FFF2-40B4-BE49-F238E27FC236}">
              <a16:creationId xmlns:a16="http://schemas.microsoft.com/office/drawing/2014/main" id="{790B441D-A9F0-4FB0-9760-26A3AEE459D6}"/>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93" name="Text Box 1">
          <a:extLst>
            <a:ext uri="{FF2B5EF4-FFF2-40B4-BE49-F238E27FC236}">
              <a16:creationId xmlns:a16="http://schemas.microsoft.com/office/drawing/2014/main" id="{442C380F-A5AC-480B-A433-4B7A1BA1E25A}"/>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94" name="Text Box 1">
          <a:extLst>
            <a:ext uri="{FF2B5EF4-FFF2-40B4-BE49-F238E27FC236}">
              <a16:creationId xmlns:a16="http://schemas.microsoft.com/office/drawing/2014/main" id="{0F08CD26-744E-4736-954B-054729F43081}"/>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95" name="Text Box 1">
          <a:extLst>
            <a:ext uri="{FF2B5EF4-FFF2-40B4-BE49-F238E27FC236}">
              <a16:creationId xmlns:a16="http://schemas.microsoft.com/office/drawing/2014/main" id="{50C63907-BB84-4EE4-A22D-A4078FB942B4}"/>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96" name="Text Box 1">
          <a:extLst>
            <a:ext uri="{FF2B5EF4-FFF2-40B4-BE49-F238E27FC236}">
              <a16:creationId xmlns:a16="http://schemas.microsoft.com/office/drawing/2014/main" id="{2FFBDA4D-FC2C-4BEA-9B1C-0262D0A9D2C9}"/>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97" name="Text Box 1">
          <a:extLst>
            <a:ext uri="{FF2B5EF4-FFF2-40B4-BE49-F238E27FC236}">
              <a16:creationId xmlns:a16="http://schemas.microsoft.com/office/drawing/2014/main" id="{1897F2AC-CD08-4A5C-9EF1-D787E2867512}"/>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98" name="Text Box 1">
          <a:extLst>
            <a:ext uri="{FF2B5EF4-FFF2-40B4-BE49-F238E27FC236}">
              <a16:creationId xmlns:a16="http://schemas.microsoft.com/office/drawing/2014/main" id="{B05CAFC8-26AD-4BFF-963D-D6C566221936}"/>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999" name="Text Box 1">
          <a:extLst>
            <a:ext uri="{FF2B5EF4-FFF2-40B4-BE49-F238E27FC236}">
              <a16:creationId xmlns:a16="http://schemas.microsoft.com/office/drawing/2014/main" id="{5A1E09F9-47FD-482A-9A09-33A7BFA1F2ED}"/>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1000" name="Text Box 1">
          <a:extLst>
            <a:ext uri="{FF2B5EF4-FFF2-40B4-BE49-F238E27FC236}">
              <a16:creationId xmlns:a16="http://schemas.microsoft.com/office/drawing/2014/main" id="{7C100EBE-680A-467B-AACE-31E018994A30}"/>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1001" name="Text Box 1">
          <a:extLst>
            <a:ext uri="{FF2B5EF4-FFF2-40B4-BE49-F238E27FC236}">
              <a16:creationId xmlns:a16="http://schemas.microsoft.com/office/drawing/2014/main" id="{E1FB2B44-C5D6-4EC7-8981-726983E1CE5E}"/>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1002" name="Text Box 1">
          <a:extLst>
            <a:ext uri="{FF2B5EF4-FFF2-40B4-BE49-F238E27FC236}">
              <a16:creationId xmlns:a16="http://schemas.microsoft.com/office/drawing/2014/main" id="{A18ECAC7-A9CA-4210-A182-18F0B4676E04}"/>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1003" name="Text Box 1">
          <a:extLst>
            <a:ext uri="{FF2B5EF4-FFF2-40B4-BE49-F238E27FC236}">
              <a16:creationId xmlns:a16="http://schemas.microsoft.com/office/drawing/2014/main" id="{8B7F384D-578E-4399-AF49-58EAA06001F8}"/>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1004" name="Text Box 1">
          <a:extLst>
            <a:ext uri="{FF2B5EF4-FFF2-40B4-BE49-F238E27FC236}">
              <a16:creationId xmlns:a16="http://schemas.microsoft.com/office/drawing/2014/main" id="{0A73D72C-0EA4-40C2-AB56-B4D8CD336429}"/>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1005" name="Text Box 1">
          <a:extLst>
            <a:ext uri="{FF2B5EF4-FFF2-40B4-BE49-F238E27FC236}">
              <a16:creationId xmlns:a16="http://schemas.microsoft.com/office/drawing/2014/main" id="{34FEBF65-2BBD-484E-8F26-D476112F68B3}"/>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1006" name="Text Box 1">
          <a:extLst>
            <a:ext uri="{FF2B5EF4-FFF2-40B4-BE49-F238E27FC236}">
              <a16:creationId xmlns:a16="http://schemas.microsoft.com/office/drawing/2014/main" id="{1D919F3F-838A-4371-8AE0-CDD02889E092}"/>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5425"/>
    <xdr:sp macro="" textlink="">
      <xdr:nvSpPr>
        <xdr:cNvPr id="1007" name="Text Box 1">
          <a:extLst>
            <a:ext uri="{FF2B5EF4-FFF2-40B4-BE49-F238E27FC236}">
              <a16:creationId xmlns:a16="http://schemas.microsoft.com/office/drawing/2014/main" id="{11AF6437-0DD4-484E-8927-01FE336A3F73}"/>
            </a:ext>
          </a:extLst>
        </xdr:cNvPr>
        <xdr:cNvSpPr txBox="1">
          <a:spLocks noChangeArrowheads="1"/>
        </xdr:cNvSpPr>
      </xdr:nvSpPr>
      <xdr:spPr bwMode="auto">
        <a:xfrm>
          <a:off x="685800" y="20232158"/>
          <a:ext cx="76200" cy="225425"/>
        </a:xfrm>
        <a:prstGeom prst="rect">
          <a:avLst/>
        </a:prstGeom>
        <a:noFill/>
        <a:ln w="9525">
          <a:noFill/>
          <a:miter lim="800000"/>
          <a:headEnd/>
          <a:tailEnd/>
        </a:ln>
      </xdr:spPr>
    </xdr:sp>
    <xdr:clientData/>
  </xdr:oneCellAnchor>
  <xdr:oneCellAnchor>
    <xdr:from>
      <xdr:col>0</xdr:col>
      <xdr:colOff>685800</xdr:colOff>
      <xdr:row>10</xdr:row>
      <xdr:rowOff>47625</xdr:rowOff>
    </xdr:from>
    <xdr:ext cx="76200" cy="216959"/>
    <xdr:sp macro="" textlink="">
      <xdr:nvSpPr>
        <xdr:cNvPr id="375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11</xdr:row>
      <xdr:rowOff>47625</xdr:rowOff>
    </xdr:from>
    <xdr:ext cx="76200" cy="216958"/>
    <xdr:sp macro="" textlink="">
      <xdr:nvSpPr>
        <xdr:cNvPr id="375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11</xdr:row>
      <xdr:rowOff>47625</xdr:rowOff>
    </xdr:from>
    <xdr:ext cx="76200" cy="216959"/>
    <xdr:sp macro="" textlink="">
      <xdr:nvSpPr>
        <xdr:cNvPr id="375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12</xdr:row>
      <xdr:rowOff>47625</xdr:rowOff>
    </xdr:from>
    <xdr:ext cx="76200" cy="216958"/>
    <xdr:sp macro="" textlink="">
      <xdr:nvSpPr>
        <xdr:cNvPr id="376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12</xdr:row>
      <xdr:rowOff>47625</xdr:rowOff>
    </xdr:from>
    <xdr:ext cx="76200" cy="216959"/>
    <xdr:sp macro="" textlink="">
      <xdr:nvSpPr>
        <xdr:cNvPr id="376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12</xdr:row>
      <xdr:rowOff>47625</xdr:rowOff>
    </xdr:from>
    <xdr:ext cx="76200" cy="216959"/>
    <xdr:sp macro="" textlink="">
      <xdr:nvSpPr>
        <xdr:cNvPr id="376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13</xdr:row>
      <xdr:rowOff>47625</xdr:rowOff>
    </xdr:from>
    <xdr:ext cx="76200" cy="216958"/>
    <xdr:sp macro="" textlink="">
      <xdr:nvSpPr>
        <xdr:cNvPr id="376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13</xdr:row>
      <xdr:rowOff>47625</xdr:rowOff>
    </xdr:from>
    <xdr:ext cx="76200" cy="216959"/>
    <xdr:sp macro="" textlink="">
      <xdr:nvSpPr>
        <xdr:cNvPr id="376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13</xdr:row>
      <xdr:rowOff>47625</xdr:rowOff>
    </xdr:from>
    <xdr:ext cx="76200" cy="216959"/>
    <xdr:sp macro="" textlink="">
      <xdr:nvSpPr>
        <xdr:cNvPr id="376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14</xdr:row>
      <xdr:rowOff>47625</xdr:rowOff>
    </xdr:from>
    <xdr:ext cx="76200" cy="216958"/>
    <xdr:sp macro="" textlink="">
      <xdr:nvSpPr>
        <xdr:cNvPr id="376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14</xdr:row>
      <xdr:rowOff>47625</xdr:rowOff>
    </xdr:from>
    <xdr:ext cx="76200" cy="216959"/>
    <xdr:sp macro="" textlink="">
      <xdr:nvSpPr>
        <xdr:cNvPr id="376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14</xdr:row>
      <xdr:rowOff>47625</xdr:rowOff>
    </xdr:from>
    <xdr:ext cx="76200" cy="216959"/>
    <xdr:sp macro="" textlink="">
      <xdr:nvSpPr>
        <xdr:cNvPr id="376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15</xdr:row>
      <xdr:rowOff>47625</xdr:rowOff>
    </xdr:from>
    <xdr:ext cx="76200" cy="216958"/>
    <xdr:sp macro="" textlink="">
      <xdr:nvSpPr>
        <xdr:cNvPr id="376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15</xdr:row>
      <xdr:rowOff>47625</xdr:rowOff>
    </xdr:from>
    <xdr:ext cx="76200" cy="216959"/>
    <xdr:sp macro="" textlink="">
      <xdr:nvSpPr>
        <xdr:cNvPr id="377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15</xdr:row>
      <xdr:rowOff>47625</xdr:rowOff>
    </xdr:from>
    <xdr:ext cx="76200" cy="216959"/>
    <xdr:sp macro="" textlink="">
      <xdr:nvSpPr>
        <xdr:cNvPr id="377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16</xdr:row>
      <xdr:rowOff>47625</xdr:rowOff>
    </xdr:from>
    <xdr:ext cx="76200" cy="216958"/>
    <xdr:sp macro="" textlink="">
      <xdr:nvSpPr>
        <xdr:cNvPr id="377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16</xdr:row>
      <xdr:rowOff>47625</xdr:rowOff>
    </xdr:from>
    <xdr:ext cx="76200" cy="216959"/>
    <xdr:sp macro="" textlink="">
      <xdr:nvSpPr>
        <xdr:cNvPr id="377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16</xdr:row>
      <xdr:rowOff>47625</xdr:rowOff>
    </xdr:from>
    <xdr:ext cx="76200" cy="216959"/>
    <xdr:sp macro="" textlink="">
      <xdr:nvSpPr>
        <xdr:cNvPr id="377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17</xdr:row>
      <xdr:rowOff>47625</xdr:rowOff>
    </xdr:from>
    <xdr:ext cx="76200" cy="216958"/>
    <xdr:sp macro="" textlink="">
      <xdr:nvSpPr>
        <xdr:cNvPr id="377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17</xdr:row>
      <xdr:rowOff>47625</xdr:rowOff>
    </xdr:from>
    <xdr:ext cx="76200" cy="216959"/>
    <xdr:sp macro="" textlink="">
      <xdr:nvSpPr>
        <xdr:cNvPr id="377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17</xdr:row>
      <xdr:rowOff>47625</xdr:rowOff>
    </xdr:from>
    <xdr:ext cx="76200" cy="216959"/>
    <xdr:sp macro="" textlink="">
      <xdr:nvSpPr>
        <xdr:cNvPr id="377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18</xdr:row>
      <xdr:rowOff>47625</xdr:rowOff>
    </xdr:from>
    <xdr:ext cx="76200" cy="216958"/>
    <xdr:sp macro="" textlink="">
      <xdr:nvSpPr>
        <xdr:cNvPr id="377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18</xdr:row>
      <xdr:rowOff>47625</xdr:rowOff>
    </xdr:from>
    <xdr:ext cx="76200" cy="216959"/>
    <xdr:sp macro="" textlink="">
      <xdr:nvSpPr>
        <xdr:cNvPr id="377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18</xdr:row>
      <xdr:rowOff>47625</xdr:rowOff>
    </xdr:from>
    <xdr:ext cx="76200" cy="216959"/>
    <xdr:sp macro="" textlink="">
      <xdr:nvSpPr>
        <xdr:cNvPr id="378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19</xdr:row>
      <xdr:rowOff>47625</xdr:rowOff>
    </xdr:from>
    <xdr:ext cx="76200" cy="216958"/>
    <xdr:sp macro="" textlink="">
      <xdr:nvSpPr>
        <xdr:cNvPr id="378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19</xdr:row>
      <xdr:rowOff>47625</xdr:rowOff>
    </xdr:from>
    <xdr:ext cx="76200" cy="216959"/>
    <xdr:sp macro="" textlink="">
      <xdr:nvSpPr>
        <xdr:cNvPr id="378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19</xdr:row>
      <xdr:rowOff>47625</xdr:rowOff>
    </xdr:from>
    <xdr:ext cx="76200" cy="216959"/>
    <xdr:sp macro="" textlink="">
      <xdr:nvSpPr>
        <xdr:cNvPr id="378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20</xdr:row>
      <xdr:rowOff>47625</xdr:rowOff>
    </xdr:from>
    <xdr:ext cx="76200" cy="216958"/>
    <xdr:sp macro="" textlink="">
      <xdr:nvSpPr>
        <xdr:cNvPr id="378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20</xdr:row>
      <xdr:rowOff>47625</xdr:rowOff>
    </xdr:from>
    <xdr:ext cx="76200" cy="216959"/>
    <xdr:sp macro="" textlink="">
      <xdr:nvSpPr>
        <xdr:cNvPr id="378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20</xdr:row>
      <xdr:rowOff>47625</xdr:rowOff>
    </xdr:from>
    <xdr:ext cx="76200" cy="216959"/>
    <xdr:sp macro="" textlink="">
      <xdr:nvSpPr>
        <xdr:cNvPr id="378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21</xdr:row>
      <xdr:rowOff>47625</xdr:rowOff>
    </xdr:from>
    <xdr:ext cx="76200" cy="216958"/>
    <xdr:sp macro="" textlink="">
      <xdr:nvSpPr>
        <xdr:cNvPr id="378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21</xdr:row>
      <xdr:rowOff>47625</xdr:rowOff>
    </xdr:from>
    <xdr:ext cx="76200" cy="216959"/>
    <xdr:sp macro="" textlink="">
      <xdr:nvSpPr>
        <xdr:cNvPr id="378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21</xdr:row>
      <xdr:rowOff>47625</xdr:rowOff>
    </xdr:from>
    <xdr:ext cx="76200" cy="216959"/>
    <xdr:sp macro="" textlink="">
      <xdr:nvSpPr>
        <xdr:cNvPr id="378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22</xdr:row>
      <xdr:rowOff>47625</xdr:rowOff>
    </xdr:from>
    <xdr:ext cx="76200" cy="216958"/>
    <xdr:sp macro="" textlink="">
      <xdr:nvSpPr>
        <xdr:cNvPr id="379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22</xdr:row>
      <xdr:rowOff>47625</xdr:rowOff>
    </xdr:from>
    <xdr:ext cx="76200" cy="216959"/>
    <xdr:sp macro="" textlink="">
      <xdr:nvSpPr>
        <xdr:cNvPr id="379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22</xdr:row>
      <xdr:rowOff>47625</xdr:rowOff>
    </xdr:from>
    <xdr:ext cx="76200" cy="216959"/>
    <xdr:sp macro="" textlink="">
      <xdr:nvSpPr>
        <xdr:cNvPr id="379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23</xdr:row>
      <xdr:rowOff>47625</xdr:rowOff>
    </xdr:from>
    <xdr:ext cx="76200" cy="216958"/>
    <xdr:sp macro="" textlink="">
      <xdr:nvSpPr>
        <xdr:cNvPr id="379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23</xdr:row>
      <xdr:rowOff>47625</xdr:rowOff>
    </xdr:from>
    <xdr:ext cx="76200" cy="216959"/>
    <xdr:sp macro="" textlink="">
      <xdr:nvSpPr>
        <xdr:cNvPr id="379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23</xdr:row>
      <xdr:rowOff>47625</xdr:rowOff>
    </xdr:from>
    <xdr:ext cx="76200" cy="216959"/>
    <xdr:sp macro="" textlink="">
      <xdr:nvSpPr>
        <xdr:cNvPr id="379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24</xdr:row>
      <xdr:rowOff>47625</xdr:rowOff>
    </xdr:from>
    <xdr:ext cx="76200" cy="216958"/>
    <xdr:sp macro="" textlink="">
      <xdr:nvSpPr>
        <xdr:cNvPr id="379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24</xdr:row>
      <xdr:rowOff>47625</xdr:rowOff>
    </xdr:from>
    <xdr:ext cx="76200" cy="216959"/>
    <xdr:sp macro="" textlink="">
      <xdr:nvSpPr>
        <xdr:cNvPr id="379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24</xdr:row>
      <xdr:rowOff>47625</xdr:rowOff>
    </xdr:from>
    <xdr:ext cx="76200" cy="216959"/>
    <xdr:sp macro="" textlink="">
      <xdr:nvSpPr>
        <xdr:cNvPr id="379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25</xdr:row>
      <xdr:rowOff>47625</xdr:rowOff>
    </xdr:from>
    <xdr:ext cx="76200" cy="216958"/>
    <xdr:sp macro="" textlink="">
      <xdr:nvSpPr>
        <xdr:cNvPr id="379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25</xdr:row>
      <xdr:rowOff>47625</xdr:rowOff>
    </xdr:from>
    <xdr:ext cx="76200" cy="216959"/>
    <xdr:sp macro="" textlink="">
      <xdr:nvSpPr>
        <xdr:cNvPr id="380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25</xdr:row>
      <xdr:rowOff>47625</xdr:rowOff>
    </xdr:from>
    <xdr:ext cx="76200" cy="216959"/>
    <xdr:sp macro="" textlink="">
      <xdr:nvSpPr>
        <xdr:cNvPr id="380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26</xdr:row>
      <xdr:rowOff>47625</xdr:rowOff>
    </xdr:from>
    <xdr:ext cx="76200" cy="216958"/>
    <xdr:sp macro="" textlink="">
      <xdr:nvSpPr>
        <xdr:cNvPr id="380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26</xdr:row>
      <xdr:rowOff>47625</xdr:rowOff>
    </xdr:from>
    <xdr:ext cx="76200" cy="216959"/>
    <xdr:sp macro="" textlink="">
      <xdr:nvSpPr>
        <xdr:cNvPr id="380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26</xdr:row>
      <xdr:rowOff>47625</xdr:rowOff>
    </xdr:from>
    <xdr:ext cx="76200" cy="216959"/>
    <xdr:sp macro="" textlink="">
      <xdr:nvSpPr>
        <xdr:cNvPr id="380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27</xdr:row>
      <xdr:rowOff>47625</xdr:rowOff>
    </xdr:from>
    <xdr:ext cx="76200" cy="216958"/>
    <xdr:sp macro="" textlink="">
      <xdr:nvSpPr>
        <xdr:cNvPr id="380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27</xdr:row>
      <xdr:rowOff>47625</xdr:rowOff>
    </xdr:from>
    <xdr:ext cx="76200" cy="216959"/>
    <xdr:sp macro="" textlink="">
      <xdr:nvSpPr>
        <xdr:cNvPr id="380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27</xdr:row>
      <xdr:rowOff>47625</xdr:rowOff>
    </xdr:from>
    <xdr:ext cx="76200" cy="216959"/>
    <xdr:sp macro="" textlink="">
      <xdr:nvSpPr>
        <xdr:cNvPr id="380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28</xdr:row>
      <xdr:rowOff>47625</xdr:rowOff>
    </xdr:from>
    <xdr:ext cx="76200" cy="216958"/>
    <xdr:sp macro="" textlink="">
      <xdr:nvSpPr>
        <xdr:cNvPr id="380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28</xdr:row>
      <xdr:rowOff>47625</xdr:rowOff>
    </xdr:from>
    <xdr:ext cx="76200" cy="216959"/>
    <xdr:sp macro="" textlink="">
      <xdr:nvSpPr>
        <xdr:cNvPr id="380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28</xdr:row>
      <xdr:rowOff>47625</xdr:rowOff>
    </xdr:from>
    <xdr:ext cx="76200" cy="216959"/>
    <xdr:sp macro="" textlink="">
      <xdr:nvSpPr>
        <xdr:cNvPr id="381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29</xdr:row>
      <xdr:rowOff>47625</xdr:rowOff>
    </xdr:from>
    <xdr:ext cx="76200" cy="216958"/>
    <xdr:sp macro="" textlink="">
      <xdr:nvSpPr>
        <xdr:cNvPr id="381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29</xdr:row>
      <xdr:rowOff>47625</xdr:rowOff>
    </xdr:from>
    <xdr:ext cx="76200" cy="216959"/>
    <xdr:sp macro="" textlink="">
      <xdr:nvSpPr>
        <xdr:cNvPr id="381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29</xdr:row>
      <xdr:rowOff>47625</xdr:rowOff>
    </xdr:from>
    <xdr:ext cx="76200" cy="216959"/>
    <xdr:sp macro="" textlink="">
      <xdr:nvSpPr>
        <xdr:cNvPr id="381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30</xdr:row>
      <xdr:rowOff>47625</xdr:rowOff>
    </xdr:from>
    <xdr:ext cx="76200" cy="216958"/>
    <xdr:sp macro="" textlink="">
      <xdr:nvSpPr>
        <xdr:cNvPr id="381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30</xdr:row>
      <xdr:rowOff>47625</xdr:rowOff>
    </xdr:from>
    <xdr:ext cx="76200" cy="216959"/>
    <xdr:sp macro="" textlink="">
      <xdr:nvSpPr>
        <xdr:cNvPr id="381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30</xdr:row>
      <xdr:rowOff>47625</xdr:rowOff>
    </xdr:from>
    <xdr:ext cx="76200" cy="216959"/>
    <xdr:sp macro="" textlink="">
      <xdr:nvSpPr>
        <xdr:cNvPr id="381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31</xdr:row>
      <xdr:rowOff>47625</xdr:rowOff>
    </xdr:from>
    <xdr:ext cx="76200" cy="216958"/>
    <xdr:sp macro="" textlink="">
      <xdr:nvSpPr>
        <xdr:cNvPr id="381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31</xdr:row>
      <xdr:rowOff>47625</xdr:rowOff>
    </xdr:from>
    <xdr:ext cx="76200" cy="216959"/>
    <xdr:sp macro="" textlink="">
      <xdr:nvSpPr>
        <xdr:cNvPr id="381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31</xdr:row>
      <xdr:rowOff>47625</xdr:rowOff>
    </xdr:from>
    <xdr:ext cx="76200" cy="216959"/>
    <xdr:sp macro="" textlink="">
      <xdr:nvSpPr>
        <xdr:cNvPr id="381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32</xdr:row>
      <xdr:rowOff>47625</xdr:rowOff>
    </xdr:from>
    <xdr:ext cx="76200" cy="216958"/>
    <xdr:sp macro="" textlink="">
      <xdr:nvSpPr>
        <xdr:cNvPr id="382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32</xdr:row>
      <xdr:rowOff>47625</xdr:rowOff>
    </xdr:from>
    <xdr:ext cx="76200" cy="216959"/>
    <xdr:sp macro="" textlink="">
      <xdr:nvSpPr>
        <xdr:cNvPr id="382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32</xdr:row>
      <xdr:rowOff>47625</xdr:rowOff>
    </xdr:from>
    <xdr:ext cx="76200" cy="216959"/>
    <xdr:sp macro="" textlink="">
      <xdr:nvSpPr>
        <xdr:cNvPr id="382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33</xdr:row>
      <xdr:rowOff>47625</xdr:rowOff>
    </xdr:from>
    <xdr:ext cx="76200" cy="216958"/>
    <xdr:sp macro="" textlink="">
      <xdr:nvSpPr>
        <xdr:cNvPr id="382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33</xdr:row>
      <xdr:rowOff>47625</xdr:rowOff>
    </xdr:from>
    <xdr:ext cx="76200" cy="216959"/>
    <xdr:sp macro="" textlink="">
      <xdr:nvSpPr>
        <xdr:cNvPr id="382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33</xdr:row>
      <xdr:rowOff>47625</xdr:rowOff>
    </xdr:from>
    <xdr:ext cx="76200" cy="216959"/>
    <xdr:sp macro="" textlink="">
      <xdr:nvSpPr>
        <xdr:cNvPr id="382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34</xdr:row>
      <xdr:rowOff>47625</xdr:rowOff>
    </xdr:from>
    <xdr:ext cx="76200" cy="216958"/>
    <xdr:sp macro="" textlink="">
      <xdr:nvSpPr>
        <xdr:cNvPr id="382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34</xdr:row>
      <xdr:rowOff>47625</xdr:rowOff>
    </xdr:from>
    <xdr:ext cx="76200" cy="216959"/>
    <xdr:sp macro="" textlink="">
      <xdr:nvSpPr>
        <xdr:cNvPr id="382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34</xdr:row>
      <xdr:rowOff>47625</xdr:rowOff>
    </xdr:from>
    <xdr:ext cx="76200" cy="216959"/>
    <xdr:sp macro="" textlink="">
      <xdr:nvSpPr>
        <xdr:cNvPr id="382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35</xdr:row>
      <xdr:rowOff>47625</xdr:rowOff>
    </xdr:from>
    <xdr:ext cx="76200" cy="216958"/>
    <xdr:sp macro="" textlink="">
      <xdr:nvSpPr>
        <xdr:cNvPr id="382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35</xdr:row>
      <xdr:rowOff>47625</xdr:rowOff>
    </xdr:from>
    <xdr:ext cx="76200" cy="216959"/>
    <xdr:sp macro="" textlink="">
      <xdr:nvSpPr>
        <xdr:cNvPr id="383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35</xdr:row>
      <xdr:rowOff>47625</xdr:rowOff>
    </xdr:from>
    <xdr:ext cx="76200" cy="216959"/>
    <xdr:sp macro="" textlink="">
      <xdr:nvSpPr>
        <xdr:cNvPr id="383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36</xdr:row>
      <xdr:rowOff>47625</xdr:rowOff>
    </xdr:from>
    <xdr:ext cx="76200" cy="216958"/>
    <xdr:sp macro="" textlink="">
      <xdr:nvSpPr>
        <xdr:cNvPr id="383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36</xdr:row>
      <xdr:rowOff>47625</xdr:rowOff>
    </xdr:from>
    <xdr:ext cx="76200" cy="216959"/>
    <xdr:sp macro="" textlink="">
      <xdr:nvSpPr>
        <xdr:cNvPr id="383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36</xdr:row>
      <xdr:rowOff>47625</xdr:rowOff>
    </xdr:from>
    <xdr:ext cx="76200" cy="216959"/>
    <xdr:sp macro="" textlink="">
      <xdr:nvSpPr>
        <xdr:cNvPr id="383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37</xdr:row>
      <xdr:rowOff>47625</xdr:rowOff>
    </xdr:from>
    <xdr:ext cx="76200" cy="216958"/>
    <xdr:sp macro="" textlink="">
      <xdr:nvSpPr>
        <xdr:cNvPr id="383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37</xdr:row>
      <xdr:rowOff>47625</xdr:rowOff>
    </xdr:from>
    <xdr:ext cx="76200" cy="216959"/>
    <xdr:sp macro="" textlink="">
      <xdr:nvSpPr>
        <xdr:cNvPr id="383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37</xdr:row>
      <xdr:rowOff>47625</xdr:rowOff>
    </xdr:from>
    <xdr:ext cx="76200" cy="216959"/>
    <xdr:sp macro="" textlink="">
      <xdr:nvSpPr>
        <xdr:cNvPr id="383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38</xdr:row>
      <xdr:rowOff>47625</xdr:rowOff>
    </xdr:from>
    <xdr:ext cx="76200" cy="216958"/>
    <xdr:sp macro="" textlink="">
      <xdr:nvSpPr>
        <xdr:cNvPr id="383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38</xdr:row>
      <xdr:rowOff>47625</xdr:rowOff>
    </xdr:from>
    <xdr:ext cx="76200" cy="216959"/>
    <xdr:sp macro="" textlink="">
      <xdr:nvSpPr>
        <xdr:cNvPr id="383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38</xdr:row>
      <xdr:rowOff>47625</xdr:rowOff>
    </xdr:from>
    <xdr:ext cx="76200" cy="216959"/>
    <xdr:sp macro="" textlink="">
      <xdr:nvSpPr>
        <xdr:cNvPr id="384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39</xdr:row>
      <xdr:rowOff>47625</xdr:rowOff>
    </xdr:from>
    <xdr:ext cx="76200" cy="216958"/>
    <xdr:sp macro="" textlink="">
      <xdr:nvSpPr>
        <xdr:cNvPr id="384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39</xdr:row>
      <xdr:rowOff>47625</xdr:rowOff>
    </xdr:from>
    <xdr:ext cx="76200" cy="216959"/>
    <xdr:sp macro="" textlink="">
      <xdr:nvSpPr>
        <xdr:cNvPr id="384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39</xdr:row>
      <xdr:rowOff>47625</xdr:rowOff>
    </xdr:from>
    <xdr:ext cx="76200" cy="216959"/>
    <xdr:sp macro="" textlink="">
      <xdr:nvSpPr>
        <xdr:cNvPr id="384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40</xdr:row>
      <xdr:rowOff>47625</xdr:rowOff>
    </xdr:from>
    <xdr:ext cx="76200" cy="216958"/>
    <xdr:sp macro="" textlink="">
      <xdr:nvSpPr>
        <xdr:cNvPr id="384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40</xdr:row>
      <xdr:rowOff>47625</xdr:rowOff>
    </xdr:from>
    <xdr:ext cx="76200" cy="216959"/>
    <xdr:sp macro="" textlink="">
      <xdr:nvSpPr>
        <xdr:cNvPr id="384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40</xdr:row>
      <xdr:rowOff>47625</xdr:rowOff>
    </xdr:from>
    <xdr:ext cx="76200" cy="216959"/>
    <xdr:sp macro="" textlink="">
      <xdr:nvSpPr>
        <xdr:cNvPr id="384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41</xdr:row>
      <xdr:rowOff>47625</xdr:rowOff>
    </xdr:from>
    <xdr:ext cx="76200" cy="216958"/>
    <xdr:sp macro="" textlink="">
      <xdr:nvSpPr>
        <xdr:cNvPr id="384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41</xdr:row>
      <xdr:rowOff>47625</xdr:rowOff>
    </xdr:from>
    <xdr:ext cx="76200" cy="216959"/>
    <xdr:sp macro="" textlink="">
      <xdr:nvSpPr>
        <xdr:cNvPr id="384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41</xdr:row>
      <xdr:rowOff>47625</xdr:rowOff>
    </xdr:from>
    <xdr:ext cx="76200" cy="216959"/>
    <xdr:sp macro="" textlink="">
      <xdr:nvSpPr>
        <xdr:cNvPr id="384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42</xdr:row>
      <xdr:rowOff>47625</xdr:rowOff>
    </xdr:from>
    <xdr:ext cx="76200" cy="216958"/>
    <xdr:sp macro="" textlink="">
      <xdr:nvSpPr>
        <xdr:cNvPr id="385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42</xdr:row>
      <xdr:rowOff>47625</xdr:rowOff>
    </xdr:from>
    <xdr:ext cx="76200" cy="216959"/>
    <xdr:sp macro="" textlink="">
      <xdr:nvSpPr>
        <xdr:cNvPr id="385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42</xdr:row>
      <xdr:rowOff>47625</xdr:rowOff>
    </xdr:from>
    <xdr:ext cx="76200" cy="216959"/>
    <xdr:sp macro="" textlink="">
      <xdr:nvSpPr>
        <xdr:cNvPr id="385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43</xdr:row>
      <xdr:rowOff>47625</xdr:rowOff>
    </xdr:from>
    <xdr:ext cx="76200" cy="216958"/>
    <xdr:sp macro="" textlink="">
      <xdr:nvSpPr>
        <xdr:cNvPr id="385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43</xdr:row>
      <xdr:rowOff>47625</xdr:rowOff>
    </xdr:from>
    <xdr:ext cx="76200" cy="216959"/>
    <xdr:sp macro="" textlink="">
      <xdr:nvSpPr>
        <xdr:cNvPr id="385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43</xdr:row>
      <xdr:rowOff>47625</xdr:rowOff>
    </xdr:from>
    <xdr:ext cx="76200" cy="216959"/>
    <xdr:sp macro="" textlink="">
      <xdr:nvSpPr>
        <xdr:cNvPr id="385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44</xdr:row>
      <xdr:rowOff>47625</xdr:rowOff>
    </xdr:from>
    <xdr:ext cx="76200" cy="216958"/>
    <xdr:sp macro="" textlink="">
      <xdr:nvSpPr>
        <xdr:cNvPr id="385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44</xdr:row>
      <xdr:rowOff>47625</xdr:rowOff>
    </xdr:from>
    <xdr:ext cx="76200" cy="216959"/>
    <xdr:sp macro="" textlink="">
      <xdr:nvSpPr>
        <xdr:cNvPr id="385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44</xdr:row>
      <xdr:rowOff>47625</xdr:rowOff>
    </xdr:from>
    <xdr:ext cx="76200" cy="216959"/>
    <xdr:sp macro="" textlink="">
      <xdr:nvSpPr>
        <xdr:cNvPr id="385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45</xdr:row>
      <xdr:rowOff>47625</xdr:rowOff>
    </xdr:from>
    <xdr:ext cx="76200" cy="216958"/>
    <xdr:sp macro="" textlink="">
      <xdr:nvSpPr>
        <xdr:cNvPr id="385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45</xdr:row>
      <xdr:rowOff>47625</xdr:rowOff>
    </xdr:from>
    <xdr:ext cx="76200" cy="216959"/>
    <xdr:sp macro="" textlink="">
      <xdr:nvSpPr>
        <xdr:cNvPr id="386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45</xdr:row>
      <xdr:rowOff>47625</xdr:rowOff>
    </xdr:from>
    <xdr:ext cx="76200" cy="216959"/>
    <xdr:sp macro="" textlink="">
      <xdr:nvSpPr>
        <xdr:cNvPr id="386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46</xdr:row>
      <xdr:rowOff>47625</xdr:rowOff>
    </xdr:from>
    <xdr:ext cx="76200" cy="216958"/>
    <xdr:sp macro="" textlink="">
      <xdr:nvSpPr>
        <xdr:cNvPr id="386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46</xdr:row>
      <xdr:rowOff>47625</xdr:rowOff>
    </xdr:from>
    <xdr:ext cx="76200" cy="216959"/>
    <xdr:sp macro="" textlink="">
      <xdr:nvSpPr>
        <xdr:cNvPr id="386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46</xdr:row>
      <xdr:rowOff>47625</xdr:rowOff>
    </xdr:from>
    <xdr:ext cx="76200" cy="216959"/>
    <xdr:sp macro="" textlink="">
      <xdr:nvSpPr>
        <xdr:cNvPr id="386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47</xdr:row>
      <xdr:rowOff>47625</xdr:rowOff>
    </xdr:from>
    <xdr:ext cx="76200" cy="216958"/>
    <xdr:sp macro="" textlink="">
      <xdr:nvSpPr>
        <xdr:cNvPr id="386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47</xdr:row>
      <xdr:rowOff>47625</xdr:rowOff>
    </xdr:from>
    <xdr:ext cx="76200" cy="216959"/>
    <xdr:sp macro="" textlink="">
      <xdr:nvSpPr>
        <xdr:cNvPr id="386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47</xdr:row>
      <xdr:rowOff>47625</xdr:rowOff>
    </xdr:from>
    <xdr:ext cx="76200" cy="216959"/>
    <xdr:sp macro="" textlink="">
      <xdr:nvSpPr>
        <xdr:cNvPr id="386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48</xdr:row>
      <xdr:rowOff>47625</xdr:rowOff>
    </xdr:from>
    <xdr:ext cx="76200" cy="216958"/>
    <xdr:sp macro="" textlink="">
      <xdr:nvSpPr>
        <xdr:cNvPr id="386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48</xdr:row>
      <xdr:rowOff>47625</xdr:rowOff>
    </xdr:from>
    <xdr:ext cx="76200" cy="216959"/>
    <xdr:sp macro="" textlink="">
      <xdr:nvSpPr>
        <xdr:cNvPr id="386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48</xdr:row>
      <xdr:rowOff>47625</xdr:rowOff>
    </xdr:from>
    <xdr:ext cx="76200" cy="216959"/>
    <xdr:sp macro="" textlink="">
      <xdr:nvSpPr>
        <xdr:cNvPr id="387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49</xdr:row>
      <xdr:rowOff>47625</xdr:rowOff>
    </xdr:from>
    <xdr:ext cx="76200" cy="216958"/>
    <xdr:sp macro="" textlink="">
      <xdr:nvSpPr>
        <xdr:cNvPr id="387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49</xdr:row>
      <xdr:rowOff>47625</xdr:rowOff>
    </xdr:from>
    <xdr:ext cx="76200" cy="216959"/>
    <xdr:sp macro="" textlink="">
      <xdr:nvSpPr>
        <xdr:cNvPr id="387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49</xdr:row>
      <xdr:rowOff>47625</xdr:rowOff>
    </xdr:from>
    <xdr:ext cx="76200" cy="216959"/>
    <xdr:sp macro="" textlink="">
      <xdr:nvSpPr>
        <xdr:cNvPr id="387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50</xdr:row>
      <xdr:rowOff>47625</xdr:rowOff>
    </xdr:from>
    <xdr:ext cx="76200" cy="216958"/>
    <xdr:sp macro="" textlink="">
      <xdr:nvSpPr>
        <xdr:cNvPr id="387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50</xdr:row>
      <xdr:rowOff>47625</xdr:rowOff>
    </xdr:from>
    <xdr:ext cx="76200" cy="216959"/>
    <xdr:sp macro="" textlink="">
      <xdr:nvSpPr>
        <xdr:cNvPr id="387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50</xdr:row>
      <xdr:rowOff>47625</xdr:rowOff>
    </xdr:from>
    <xdr:ext cx="76200" cy="216959"/>
    <xdr:sp macro="" textlink="">
      <xdr:nvSpPr>
        <xdr:cNvPr id="387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51</xdr:row>
      <xdr:rowOff>47625</xdr:rowOff>
    </xdr:from>
    <xdr:ext cx="76200" cy="216958"/>
    <xdr:sp macro="" textlink="">
      <xdr:nvSpPr>
        <xdr:cNvPr id="387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51</xdr:row>
      <xdr:rowOff>47625</xdr:rowOff>
    </xdr:from>
    <xdr:ext cx="76200" cy="216959"/>
    <xdr:sp macro="" textlink="">
      <xdr:nvSpPr>
        <xdr:cNvPr id="387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51</xdr:row>
      <xdr:rowOff>47625</xdr:rowOff>
    </xdr:from>
    <xdr:ext cx="76200" cy="216959"/>
    <xdr:sp macro="" textlink="">
      <xdr:nvSpPr>
        <xdr:cNvPr id="387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52</xdr:row>
      <xdr:rowOff>47625</xdr:rowOff>
    </xdr:from>
    <xdr:ext cx="76200" cy="216958"/>
    <xdr:sp macro="" textlink="">
      <xdr:nvSpPr>
        <xdr:cNvPr id="388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52</xdr:row>
      <xdr:rowOff>47625</xdr:rowOff>
    </xdr:from>
    <xdr:ext cx="76200" cy="216959"/>
    <xdr:sp macro="" textlink="">
      <xdr:nvSpPr>
        <xdr:cNvPr id="388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52</xdr:row>
      <xdr:rowOff>47625</xdr:rowOff>
    </xdr:from>
    <xdr:ext cx="76200" cy="216959"/>
    <xdr:sp macro="" textlink="">
      <xdr:nvSpPr>
        <xdr:cNvPr id="388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53</xdr:row>
      <xdr:rowOff>47625</xdr:rowOff>
    </xdr:from>
    <xdr:ext cx="76200" cy="216958"/>
    <xdr:sp macro="" textlink="">
      <xdr:nvSpPr>
        <xdr:cNvPr id="388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53</xdr:row>
      <xdr:rowOff>47625</xdr:rowOff>
    </xdr:from>
    <xdr:ext cx="76200" cy="216959"/>
    <xdr:sp macro="" textlink="">
      <xdr:nvSpPr>
        <xdr:cNvPr id="388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53</xdr:row>
      <xdr:rowOff>47625</xdr:rowOff>
    </xdr:from>
    <xdr:ext cx="76200" cy="216959"/>
    <xdr:sp macro="" textlink="">
      <xdr:nvSpPr>
        <xdr:cNvPr id="388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54</xdr:row>
      <xdr:rowOff>47625</xdr:rowOff>
    </xdr:from>
    <xdr:ext cx="76200" cy="216958"/>
    <xdr:sp macro="" textlink="">
      <xdr:nvSpPr>
        <xdr:cNvPr id="388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54</xdr:row>
      <xdr:rowOff>47625</xdr:rowOff>
    </xdr:from>
    <xdr:ext cx="76200" cy="216959"/>
    <xdr:sp macro="" textlink="">
      <xdr:nvSpPr>
        <xdr:cNvPr id="388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54</xdr:row>
      <xdr:rowOff>47625</xdr:rowOff>
    </xdr:from>
    <xdr:ext cx="76200" cy="216959"/>
    <xdr:sp macro="" textlink="">
      <xdr:nvSpPr>
        <xdr:cNvPr id="388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55</xdr:row>
      <xdr:rowOff>47625</xdr:rowOff>
    </xdr:from>
    <xdr:ext cx="76200" cy="216958"/>
    <xdr:sp macro="" textlink="">
      <xdr:nvSpPr>
        <xdr:cNvPr id="388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55</xdr:row>
      <xdr:rowOff>47625</xdr:rowOff>
    </xdr:from>
    <xdr:ext cx="76200" cy="216959"/>
    <xdr:sp macro="" textlink="">
      <xdr:nvSpPr>
        <xdr:cNvPr id="389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55</xdr:row>
      <xdr:rowOff>47625</xdr:rowOff>
    </xdr:from>
    <xdr:ext cx="76200" cy="216959"/>
    <xdr:sp macro="" textlink="">
      <xdr:nvSpPr>
        <xdr:cNvPr id="389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56</xdr:row>
      <xdr:rowOff>47625</xdr:rowOff>
    </xdr:from>
    <xdr:ext cx="76200" cy="216958"/>
    <xdr:sp macro="" textlink="">
      <xdr:nvSpPr>
        <xdr:cNvPr id="389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56</xdr:row>
      <xdr:rowOff>47625</xdr:rowOff>
    </xdr:from>
    <xdr:ext cx="76200" cy="216959"/>
    <xdr:sp macro="" textlink="">
      <xdr:nvSpPr>
        <xdr:cNvPr id="389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56</xdr:row>
      <xdr:rowOff>47625</xdr:rowOff>
    </xdr:from>
    <xdr:ext cx="76200" cy="216959"/>
    <xdr:sp macro="" textlink="">
      <xdr:nvSpPr>
        <xdr:cNvPr id="389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57</xdr:row>
      <xdr:rowOff>47625</xdr:rowOff>
    </xdr:from>
    <xdr:ext cx="76200" cy="216958"/>
    <xdr:sp macro="" textlink="">
      <xdr:nvSpPr>
        <xdr:cNvPr id="389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57</xdr:row>
      <xdr:rowOff>47625</xdr:rowOff>
    </xdr:from>
    <xdr:ext cx="76200" cy="216959"/>
    <xdr:sp macro="" textlink="">
      <xdr:nvSpPr>
        <xdr:cNvPr id="389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57</xdr:row>
      <xdr:rowOff>47625</xdr:rowOff>
    </xdr:from>
    <xdr:ext cx="76200" cy="216959"/>
    <xdr:sp macro="" textlink="">
      <xdr:nvSpPr>
        <xdr:cNvPr id="389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486958"/>
          <a:ext cx="76200" cy="216959"/>
        </a:xfrm>
        <a:prstGeom prst="rect">
          <a:avLst/>
        </a:prstGeom>
        <a:noFill/>
        <a:ln w="9525">
          <a:noFill/>
          <a:miter lim="800000"/>
          <a:headEnd/>
          <a:tailEnd/>
        </a:ln>
      </xdr:spPr>
    </xdr:sp>
    <xdr:clientData/>
  </xdr:oneCellAnchor>
  <xdr:oneCellAnchor>
    <xdr:from>
      <xdr:col>0</xdr:col>
      <xdr:colOff>685800</xdr:colOff>
      <xdr:row>58</xdr:row>
      <xdr:rowOff>0</xdr:rowOff>
    </xdr:from>
    <xdr:ext cx="76200" cy="216958"/>
    <xdr:sp macro="" textlink="">
      <xdr:nvSpPr>
        <xdr:cNvPr id="389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656292"/>
          <a:ext cx="76200" cy="216958"/>
        </a:xfrm>
        <a:prstGeom prst="rect">
          <a:avLst/>
        </a:prstGeom>
        <a:noFill/>
        <a:ln w="9525">
          <a:noFill/>
          <a:miter lim="800000"/>
          <a:headEnd/>
          <a:tailEnd/>
        </a:ln>
      </xdr:spPr>
    </xdr:sp>
    <xdr:clientData/>
  </xdr:oneCellAnchor>
  <xdr:oneCellAnchor>
    <xdr:from>
      <xdr:col>0</xdr:col>
      <xdr:colOff>685800</xdr:colOff>
      <xdr:row>58</xdr:row>
      <xdr:rowOff>0</xdr:rowOff>
    </xdr:from>
    <xdr:ext cx="76200" cy="216959"/>
    <xdr:sp macro="" textlink="">
      <xdr:nvSpPr>
        <xdr:cNvPr id="389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656292"/>
          <a:ext cx="76200" cy="216959"/>
        </a:xfrm>
        <a:prstGeom prst="rect">
          <a:avLst/>
        </a:prstGeom>
        <a:noFill/>
        <a:ln w="9525">
          <a:noFill/>
          <a:miter lim="800000"/>
          <a:headEnd/>
          <a:tailEnd/>
        </a:ln>
      </xdr:spPr>
    </xdr:sp>
    <xdr:clientData/>
  </xdr:oneCellAnchor>
  <xdr:oneCellAnchor>
    <xdr:from>
      <xdr:col>0</xdr:col>
      <xdr:colOff>685800</xdr:colOff>
      <xdr:row>59</xdr:row>
      <xdr:rowOff>0</xdr:rowOff>
    </xdr:from>
    <xdr:ext cx="76200" cy="216958"/>
    <xdr:sp macro="" textlink="">
      <xdr:nvSpPr>
        <xdr:cNvPr id="390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59</xdr:row>
      <xdr:rowOff>0</xdr:rowOff>
    </xdr:from>
    <xdr:ext cx="76200" cy="216959"/>
    <xdr:sp macro="" textlink="">
      <xdr:nvSpPr>
        <xdr:cNvPr id="390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60</xdr:row>
      <xdr:rowOff>0</xdr:rowOff>
    </xdr:from>
    <xdr:ext cx="76200" cy="216958"/>
    <xdr:sp macro="" textlink="">
      <xdr:nvSpPr>
        <xdr:cNvPr id="390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60</xdr:row>
      <xdr:rowOff>0</xdr:rowOff>
    </xdr:from>
    <xdr:ext cx="76200" cy="216959"/>
    <xdr:sp macro="" textlink="">
      <xdr:nvSpPr>
        <xdr:cNvPr id="390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61</xdr:row>
      <xdr:rowOff>0</xdr:rowOff>
    </xdr:from>
    <xdr:ext cx="76200" cy="216958"/>
    <xdr:sp macro="" textlink="">
      <xdr:nvSpPr>
        <xdr:cNvPr id="390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61</xdr:row>
      <xdr:rowOff>0</xdr:rowOff>
    </xdr:from>
    <xdr:ext cx="76200" cy="216959"/>
    <xdr:sp macro="" textlink="">
      <xdr:nvSpPr>
        <xdr:cNvPr id="390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61</xdr:row>
      <xdr:rowOff>0</xdr:rowOff>
    </xdr:from>
    <xdr:ext cx="76200" cy="216958"/>
    <xdr:sp macro="" textlink="">
      <xdr:nvSpPr>
        <xdr:cNvPr id="390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61</xdr:row>
      <xdr:rowOff>0</xdr:rowOff>
    </xdr:from>
    <xdr:ext cx="76200" cy="216959"/>
    <xdr:sp macro="" textlink="">
      <xdr:nvSpPr>
        <xdr:cNvPr id="390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62</xdr:row>
      <xdr:rowOff>0</xdr:rowOff>
    </xdr:from>
    <xdr:ext cx="76200" cy="216958"/>
    <xdr:sp macro="" textlink="">
      <xdr:nvSpPr>
        <xdr:cNvPr id="390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62</xdr:row>
      <xdr:rowOff>0</xdr:rowOff>
    </xdr:from>
    <xdr:ext cx="76200" cy="216959"/>
    <xdr:sp macro="" textlink="">
      <xdr:nvSpPr>
        <xdr:cNvPr id="390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64</xdr:row>
      <xdr:rowOff>47625</xdr:rowOff>
    </xdr:from>
    <xdr:ext cx="76200" cy="225425"/>
    <xdr:sp macro="" textlink="">
      <xdr:nvSpPr>
        <xdr:cNvPr id="3910"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64</xdr:row>
      <xdr:rowOff>47625</xdr:rowOff>
    </xdr:from>
    <xdr:ext cx="76200" cy="225425"/>
    <xdr:sp macro="" textlink="">
      <xdr:nvSpPr>
        <xdr:cNvPr id="3911"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64</xdr:row>
      <xdr:rowOff>47625</xdr:rowOff>
    </xdr:from>
    <xdr:ext cx="76200" cy="225425"/>
    <xdr:sp macro="" textlink="">
      <xdr:nvSpPr>
        <xdr:cNvPr id="3912"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62</xdr:row>
      <xdr:rowOff>0</xdr:rowOff>
    </xdr:from>
    <xdr:ext cx="76200" cy="216958"/>
    <xdr:sp macro="" textlink="">
      <xdr:nvSpPr>
        <xdr:cNvPr id="391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62</xdr:row>
      <xdr:rowOff>0</xdr:rowOff>
    </xdr:from>
    <xdr:ext cx="76200" cy="216959"/>
    <xdr:sp macro="" textlink="">
      <xdr:nvSpPr>
        <xdr:cNvPr id="391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63</xdr:row>
      <xdr:rowOff>0</xdr:rowOff>
    </xdr:from>
    <xdr:ext cx="76200" cy="216958"/>
    <xdr:sp macro="" textlink="">
      <xdr:nvSpPr>
        <xdr:cNvPr id="391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63</xdr:row>
      <xdr:rowOff>0</xdr:rowOff>
    </xdr:from>
    <xdr:ext cx="76200" cy="216959"/>
    <xdr:sp macro="" textlink="">
      <xdr:nvSpPr>
        <xdr:cNvPr id="391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64</xdr:row>
      <xdr:rowOff>0</xdr:rowOff>
    </xdr:from>
    <xdr:ext cx="76200" cy="216958"/>
    <xdr:sp macro="" textlink="">
      <xdr:nvSpPr>
        <xdr:cNvPr id="391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64</xdr:row>
      <xdr:rowOff>0</xdr:rowOff>
    </xdr:from>
    <xdr:ext cx="76200" cy="216959"/>
    <xdr:sp macro="" textlink="">
      <xdr:nvSpPr>
        <xdr:cNvPr id="391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65</xdr:row>
      <xdr:rowOff>0</xdr:rowOff>
    </xdr:from>
    <xdr:ext cx="76200" cy="216958"/>
    <xdr:sp macro="" textlink="">
      <xdr:nvSpPr>
        <xdr:cNvPr id="391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65</xdr:row>
      <xdr:rowOff>0</xdr:rowOff>
    </xdr:from>
    <xdr:ext cx="76200" cy="216959"/>
    <xdr:sp macro="" textlink="">
      <xdr:nvSpPr>
        <xdr:cNvPr id="392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65</xdr:row>
      <xdr:rowOff>0</xdr:rowOff>
    </xdr:from>
    <xdr:ext cx="76200" cy="216958"/>
    <xdr:sp macro="" textlink="">
      <xdr:nvSpPr>
        <xdr:cNvPr id="392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65</xdr:row>
      <xdr:rowOff>0</xdr:rowOff>
    </xdr:from>
    <xdr:ext cx="76200" cy="216959"/>
    <xdr:sp macro="" textlink="">
      <xdr:nvSpPr>
        <xdr:cNvPr id="392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66</xdr:row>
      <xdr:rowOff>0</xdr:rowOff>
    </xdr:from>
    <xdr:ext cx="76200" cy="216958"/>
    <xdr:sp macro="" textlink="">
      <xdr:nvSpPr>
        <xdr:cNvPr id="392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66</xdr:row>
      <xdr:rowOff>0</xdr:rowOff>
    </xdr:from>
    <xdr:ext cx="76200" cy="216959"/>
    <xdr:sp macro="" textlink="">
      <xdr:nvSpPr>
        <xdr:cNvPr id="392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68</xdr:row>
      <xdr:rowOff>47625</xdr:rowOff>
    </xdr:from>
    <xdr:ext cx="76200" cy="225425"/>
    <xdr:sp macro="" textlink="">
      <xdr:nvSpPr>
        <xdr:cNvPr id="3925"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68</xdr:row>
      <xdr:rowOff>47625</xdr:rowOff>
    </xdr:from>
    <xdr:ext cx="76200" cy="225425"/>
    <xdr:sp macro="" textlink="">
      <xdr:nvSpPr>
        <xdr:cNvPr id="3926"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68</xdr:row>
      <xdr:rowOff>47625</xdr:rowOff>
    </xdr:from>
    <xdr:ext cx="76200" cy="225425"/>
    <xdr:sp macro="" textlink="">
      <xdr:nvSpPr>
        <xdr:cNvPr id="3927"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66</xdr:row>
      <xdr:rowOff>0</xdr:rowOff>
    </xdr:from>
    <xdr:ext cx="76200" cy="216958"/>
    <xdr:sp macro="" textlink="">
      <xdr:nvSpPr>
        <xdr:cNvPr id="392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66</xdr:row>
      <xdr:rowOff>0</xdr:rowOff>
    </xdr:from>
    <xdr:ext cx="76200" cy="216959"/>
    <xdr:sp macro="" textlink="">
      <xdr:nvSpPr>
        <xdr:cNvPr id="392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67</xdr:row>
      <xdr:rowOff>0</xdr:rowOff>
    </xdr:from>
    <xdr:ext cx="76200" cy="216958"/>
    <xdr:sp macro="" textlink="">
      <xdr:nvSpPr>
        <xdr:cNvPr id="393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67</xdr:row>
      <xdr:rowOff>0</xdr:rowOff>
    </xdr:from>
    <xdr:ext cx="76200" cy="216959"/>
    <xdr:sp macro="" textlink="">
      <xdr:nvSpPr>
        <xdr:cNvPr id="393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68</xdr:row>
      <xdr:rowOff>0</xdr:rowOff>
    </xdr:from>
    <xdr:ext cx="76200" cy="216958"/>
    <xdr:sp macro="" textlink="">
      <xdr:nvSpPr>
        <xdr:cNvPr id="393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68</xdr:row>
      <xdr:rowOff>0</xdr:rowOff>
    </xdr:from>
    <xdr:ext cx="76200" cy="216959"/>
    <xdr:sp macro="" textlink="">
      <xdr:nvSpPr>
        <xdr:cNvPr id="393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69</xdr:row>
      <xdr:rowOff>0</xdr:rowOff>
    </xdr:from>
    <xdr:ext cx="76200" cy="216958"/>
    <xdr:sp macro="" textlink="">
      <xdr:nvSpPr>
        <xdr:cNvPr id="393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69</xdr:row>
      <xdr:rowOff>0</xdr:rowOff>
    </xdr:from>
    <xdr:ext cx="76200" cy="216959"/>
    <xdr:sp macro="" textlink="">
      <xdr:nvSpPr>
        <xdr:cNvPr id="393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69</xdr:row>
      <xdr:rowOff>0</xdr:rowOff>
    </xdr:from>
    <xdr:ext cx="76200" cy="216958"/>
    <xdr:sp macro="" textlink="">
      <xdr:nvSpPr>
        <xdr:cNvPr id="393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69</xdr:row>
      <xdr:rowOff>0</xdr:rowOff>
    </xdr:from>
    <xdr:ext cx="76200" cy="216959"/>
    <xdr:sp macro="" textlink="">
      <xdr:nvSpPr>
        <xdr:cNvPr id="393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70</xdr:row>
      <xdr:rowOff>0</xdr:rowOff>
    </xdr:from>
    <xdr:ext cx="76200" cy="216958"/>
    <xdr:sp macro="" textlink="">
      <xdr:nvSpPr>
        <xdr:cNvPr id="393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70</xdr:row>
      <xdr:rowOff>0</xdr:rowOff>
    </xdr:from>
    <xdr:ext cx="76200" cy="216959"/>
    <xdr:sp macro="" textlink="">
      <xdr:nvSpPr>
        <xdr:cNvPr id="393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70</xdr:row>
      <xdr:rowOff>0</xdr:rowOff>
    </xdr:from>
    <xdr:ext cx="76200" cy="216958"/>
    <xdr:sp macro="" textlink="">
      <xdr:nvSpPr>
        <xdr:cNvPr id="394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70</xdr:row>
      <xdr:rowOff>0</xdr:rowOff>
    </xdr:from>
    <xdr:ext cx="76200" cy="216959"/>
    <xdr:sp macro="" textlink="">
      <xdr:nvSpPr>
        <xdr:cNvPr id="394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5425"/>
    <xdr:sp macro="" textlink="">
      <xdr:nvSpPr>
        <xdr:cNvPr id="3942"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5425"/>
    <xdr:sp macro="" textlink="">
      <xdr:nvSpPr>
        <xdr:cNvPr id="3943"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5425"/>
    <xdr:sp macro="" textlink="">
      <xdr:nvSpPr>
        <xdr:cNvPr id="3944"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70</xdr:row>
      <xdr:rowOff>0</xdr:rowOff>
    </xdr:from>
    <xdr:ext cx="76200" cy="216958"/>
    <xdr:sp macro="" textlink="">
      <xdr:nvSpPr>
        <xdr:cNvPr id="394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70</xdr:row>
      <xdr:rowOff>0</xdr:rowOff>
    </xdr:from>
    <xdr:ext cx="76200" cy="216959"/>
    <xdr:sp macro="" textlink="">
      <xdr:nvSpPr>
        <xdr:cNvPr id="394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71</xdr:row>
      <xdr:rowOff>0</xdr:rowOff>
    </xdr:from>
    <xdr:ext cx="76200" cy="216958"/>
    <xdr:sp macro="" textlink="">
      <xdr:nvSpPr>
        <xdr:cNvPr id="394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71</xdr:row>
      <xdr:rowOff>0</xdr:rowOff>
    </xdr:from>
    <xdr:ext cx="76200" cy="216959"/>
    <xdr:sp macro="" textlink="">
      <xdr:nvSpPr>
        <xdr:cNvPr id="394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72</xdr:row>
      <xdr:rowOff>0</xdr:rowOff>
    </xdr:from>
    <xdr:ext cx="76200" cy="216958"/>
    <xdr:sp macro="" textlink="">
      <xdr:nvSpPr>
        <xdr:cNvPr id="394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72</xdr:row>
      <xdr:rowOff>0</xdr:rowOff>
    </xdr:from>
    <xdr:ext cx="76200" cy="216959"/>
    <xdr:sp macro="" textlink="">
      <xdr:nvSpPr>
        <xdr:cNvPr id="395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73</xdr:row>
      <xdr:rowOff>0</xdr:rowOff>
    </xdr:from>
    <xdr:ext cx="76200" cy="216958"/>
    <xdr:sp macro="" textlink="">
      <xdr:nvSpPr>
        <xdr:cNvPr id="395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73</xdr:row>
      <xdr:rowOff>0</xdr:rowOff>
    </xdr:from>
    <xdr:ext cx="76200" cy="216959"/>
    <xdr:sp macro="" textlink="">
      <xdr:nvSpPr>
        <xdr:cNvPr id="395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73</xdr:row>
      <xdr:rowOff>0</xdr:rowOff>
    </xdr:from>
    <xdr:ext cx="76200" cy="216958"/>
    <xdr:sp macro="" textlink="">
      <xdr:nvSpPr>
        <xdr:cNvPr id="395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73</xdr:row>
      <xdr:rowOff>0</xdr:rowOff>
    </xdr:from>
    <xdr:ext cx="76200" cy="216959"/>
    <xdr:sp macro="" textlink="">
      <xdr:nvSpPr>
        <xdr:cNvPr id="395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74</xdr:row>
      <xdr:rowOff>0</xdr:rowOff>
    </xdr:from>
    <xdr:ext cx="76200" cy="216958"/>
    <xdr:sp macro="" textlink="">
      <xdr:nvSpPr>
        <xdr:cNvPr id="395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74</xdr:row>
      <xdr:rowOff>0</xdr:rowOff>
    </xdr:from>
    <xdr:ext cx="76200" cy="216959"/>
    <xdr:sp macro="" textlink="">
      <xdr:nvSpPr>
        <xdr:cNvPr id="395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74</xdr:row>
      <xdr:rowOff>0</xdr:rowOff>
    </xdr:from>
    <xdr:ext cx="76200" cy="216958"/>
    <xdr:sp macro="" textlink="">
      <xdr:nvSpPr>
        <xdr:cNvPr id="395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74</xdr:row>
      <xdr:rowOff>0</xdr:rowOff>
    </xdr:from>
    <xdr:ext cx="76200" cy="216959"/>
    <xdr:sp macro="" textlink="">
      <xdr:nvSpPr>
        <xdr:cNvPr id="395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3959"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3960"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5425"/>
    <xdr:sp macro="" textlink="">
      <xdr:nvSpPr>
        <xdr:cNvPr id="3961"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74</xdr:row>
      <xdr:rowOff>0</xdr:rowOff>
    </xdr:from>
    <xdr:ext cx="76200" cy="216958"/>
    <xdr:sp macro="" textlink="">
      <xdr:nvSpPr>
        <xdr:cNvPr id="396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74</xdr:row>
      <xdr:rowOff>0</xdr:rowOff>
    </xdr:from>
    <xdr:ext cx="76200" cy="216959"/>
    <xdr:sp macro="" textlink="">
      <xdr:nvSpPr>
        <xdr:cNvPr id="396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75</xdr:row>
      <xdr:rowOff>0</xdr:rowOff>
    </xdr:from>
    <xdr:ext cx="76200" cy="216958"/>
    <xdr:sp macro="" textlink="">
      <xdr:nvSpPr>
        <xdr:cNvPr id="396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75</xdr:row>
      <xdr:rowOff>0</xdr:rowOff>
    </xdr:from>
    <xdr:ext cx="76200" cy="216959"/>
    <xdr:sp macro="" textlink="">
      <xdr:nvSpPr>
        <xdr:cNvPr id="396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76</xdr:row>
      <xdr:rowOff>0</xdr:rowOff>
    </xdr:from>
    <xdr:ext cx="76200" cy="216958"/>
    <xdr:sp macro="" textlink="">
      <xdr:nvSpPr>
        <xdr:cNvPr id="396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76</xdr:row>
      <xdr:rowOff>0</xdr:rowOff>
    </xdr:from>
    <xdr:ext cx="76200" cy="216959"/>
    <xdr:sp macro="" textlink="">
      <xdr:nvSpPr>
        <xdr:cNvPr id="396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77</xdr:row>
      <xdr:rowOff>0</xdr:rowOff>
    </xdr:from>
    <xdr:ext cx="76200" cy="216958"/>
    <xdr:sp macro="" textlink="">
      <xdr:nvSpPr>
        <xdr:cNvPr id="396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77</xdr:row>
      <xdr:rowOff>0</xdr:rowOff>
    </xdr:from>
    <xdr:ext cx="76200" cy="216959"/>
    <xdr:sp macro="" textlink="">
      <xdr:nvSpPr>
        <xdr:cNvPr id="396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77</xdr:row>
      <xdr:rowOff>0</xdr:rowOff>
    </xdr:from>
    <xdr:ext cx="76200" cy="216958"/>
    <xdr:sp macro="" textlink="">
      <xdr:nvSpPr>
        <xdr:cNvPr id="397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77</xdr:row>
      <xdr:rowOff>0</xdr:rowOff>
    </xdr:from>
    <xdr:ext cx="76200" cy="216959"/>
    <xdr:sp macro="" textlink="">
      <xdr:nvSpPr>
        <xdr:cNvPr id="397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78</xdr:row>
      <xdr:rowOff>0</xdr:rowOff>
    </xdr:from>
    <xdr:ext cx="76200" cy="216958"/>
    <xdr:sp macro="" textlink="">
      <xdr:nvSpPr>
        <xdr:cNvPr id="397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78</xdr:row>
      <xdr:rowOff>0</xdr:rowOff>
    </xdr:from>
    <xdr:ext cx="76200" cy="216959"/>
    <xdr:sp macro="" textlink="">
      <xdr:nvSpPr>
        <xdr:cNvPr id="397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78</xdr:row>
      <xdr:rowOff>0</xdr:rowOff>
    </xdr:from>
    <xdr:ext cx="76200" cy="216958"/>
    <xdr:sp macro="" textlink="">
      <xdr:nvSpPr>
        <xdr:cNvPr id="397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78</xdr:row>
      <xdr:rowOff>0</xdr:rowOff>
    </xdr:from>
    <xdr:ext cx="76200" cy="216959"/>
    <xdr:sp macro="" textlink="">
      <xdr:nvSpPr>
        <xdr:cNvPr id="397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3976"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3977"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80</xdr:row>
      <xdr:rowOff>47625</xdr:rowOff>
    </xdr:from>
    <xdr:ext cx="76200" cy="225425"/>
    <xdr:sp macro="" textlink="">
      <xdr:nvSpPr>
        <xdr:cNvPr id="3978"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78</xdr:row>
      <xdr:rowOff>0</xdr:rowOff>
    </xdr:from>
    <xdr:ext cx="76200" cy="216958"/>
    <xdr:sp macro="" textlink="">
      <xdr:nvSpPr>
        <xdr:cNvPr id="397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78</xdr:row>
      <xdr:rowOff>0</xdr:rowOff>
    </xdr:from>
    <xdr:ext cx="76200" cy="216959"/>
    <xdr:sp macro="" textlink="">
      <xdr:nvSpPr>
        <xdr:cNvPr id="398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79</xdr:row>
      <xdr:rowOff>0</xdr:rowOff>
    </xdr:from>
    <xdr:ext cx="76200" cy="216958"/>
    <xdr:sp macro="" textlink="">
      <xdr:nvSpPr>
        <xdr:cNvPr id="398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79</xdr:row>
      <xdr:rowOff>0</xdr:rowOff>
    </xdr:from>
    <xdr:ext cx="76200" cy="216959"/>
    <xdr:sp macro="" textlink="">
      <xdr:nvSpPr>
        <xdr:cNvPr id="398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80</xdr:row>
      <xdr:rowOff>0</xdr:rowOff>
    </xdr:from>
    <xdr:ext cx="76200" cy="216958"/>
    <xdr:sp macro="" textlink="">
      <xdr:nvSpPr>
        <xdr:cNvPr id="398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80</xdr:row>
      <xdr:rowOff>0</xdr:rowOff>
    </xdr:from>
    <xdr:ext cx="76200" cy="216959"/>
    <xdr:sp macro="" textlink="">
      <xdr:nvSpPr>
        <xdr:cNvPr id="398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81</xdr:row>
      <xdr:rowOff>0</xdr:rowOff>
    </xdr:from>
    <xdr:ext cx="76200" cy="216958"/>
    <xdr:sp macro="" textlink="">
      <xdr:nvSpPr>
        <xdr:cNvPr id="398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81</xdr:row>
      <xdr:rowOff>0</xdr:rowOff>
    </xdr:from>
    <xdr:ext cx="76200" cy="216959"/>
    <xdr:sp macro="" textlink="">
      <xdr:nvSpPr>
        <xdr:cNvPr id="398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81</xdr:row>
      <xdr:rowOff>0</xdr:rowOff>
    </xdr:from>
    <xdr:ext cx="76200" cy="216958"/>
    <xdr:sp macro="" textlink="">
      <xdr:nvSpPr>
        <xdr:cNvPr id="398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81</xdr:row>
      <xdr:rowOff>0</xdr:rowOff>
    </xdr:from>
    <xdr:ext cx="76200" cy="216959"/>
    <xdr:sp macro="" textlink="">
      <xdr:nvSpPr>
        <xdr:cNvPr id="398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82</xdr:row>
      <xdr:rowOff>0</xdr:rowOff>
    </xdr:from>
    <xdr:ext cx="76200" cy="216958"/>
    <xdr:sp macro="" textlink="">
      <xdr:nvSpPr>
        <xdr:cNvPr id="398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82</xdr:row>
      <xdr:rowOff>0</xdr:rowOff>
    </xdr:from>
    <xdr:ext cx="76200" cy="216959"/>
    <xdr:sp macro="" textlink="">
      <xdr:nvSpPr>
        <xdr:cNvPr id="399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82</xdr:row>
      <xdr:rowOff>0</xdr:rowOff>
    </xdr:from>
    <xdr:ext cx="76200" cy="216958"/>
    <xdr:sp macro="" textlink="">
      <xdr:nvSpPr>
        <xdr:cNvPr id="399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82</xdr:row>
      <xdr:rowOff>0</xdr:rowOff>
    </xdr:from>
    <xdr:ext cx="76200" cy="216959"/>
    <xdr:sp macro="" textlink="">
      <xdr:nvSpPr>
        <xdr:cNvPr id="399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84</xdr:row>
      <xdr:rowOff>47625</xdr:rowOff>
    </xdr:from>
    <xdr:ext cx="76200" cy="225425"/>
    <xdr:sp macro="" textlink="">
      <xdr:nvSpPr>
        <xdr:cNvPr id="3993"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84</xdr:row>
      <xdr:rowOff>47625</xdr:rowOff>
    </xdr:from>
    <xdr:ext cx="76200" cy="225425"/>
    <xdr:sp macro="" textlink="">
      <xdr:nvSpPr>
        <xdr:cNvPr id="3994"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84</xdr:row>
      <xdr:rowOff>47625</xdr:rowOff>
    </xdr:from>
    <xdr:ext cx="76200" cy="225425"/>
    <xdr:sp macro="" textlink="">
      <xdr:nvSpPr>
        <xdr:cNvPr id="3995"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82</xdr:row>
      <xdr:rowOff>0</xdr:rowOff>
    </xdr:from>
    <xdr:ext cx="76200" cy="216958"/>
    <xdr:sp macro="" textlink="">
      <xdr:nvSpPr>
        <xdr:cNvPr id="399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82</xdr:row>
      <xdr:rowOff>0</xdr:rowOff>
    </xdr:from>
    <xdr:ext cx="76200" cy="216959"/>
    <xdr:sp macro="" textlink="">
      <xdr:nvSpPr>
        <xdr:cNvPr id="399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83</xdr:row>
      <xdr:rowOff>0</xdr:rowOff>
    </xdr:from>
    <xdr:ext cx="76200" cy="216958"/>
    <xdr:sp macro="" textlink="">
      <xdr:nvSpPr>
        <xdr:cNvPr id="399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83</xdr:row>
      <xdr:rowOff>0</xdr:rowOff>
    </xdr:from>
    <xdr:ext cx="76200" cy="216959"/>
    <xdr:sp macro="" textlink="">
      <xdr:nvSpPr>
        <xdr:cNvPr id="399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84</xdr:row>
      <xdr:rowOff>0</xdr:rowOff>
    </xdr:from>
    <xdr:ext cx="76200" cy="216958"/>
    <xdr:sp macro="" textlink="">
      <xdr:nvSpPr>
        <xdr:cNvPr id="400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84</xdr:row>
      <xdr:rowOff>0</xdr:rowOff>
    </xdr:from>
    <xdr:ext cx="76200" cy="216959"/>
    <xdr:sp macro="" textlink="">
      <xdr:nvSpPr>
        <xdr:cNvPr id="400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85</xdr:row>
      <xdr:rowOff>0</xdr:rowOff>
    </xdr:from>
    <xdr:ext cx="76200" cy="216958"/>
    <xdr:sp macro="" textlink="">
      <xdr:nvSpPr>
        <xdr:cNvPr id="400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85</xdr:row>
      <xdr:rowOff>0</xdr:rowOff>
    </xdr:from>
    <xdr:ext cx="76200" cy="216959"/>
    <xdr:sp macro="" textlink="">
      <xdr:nvSpPr>
        <xdr:cNvPr id="400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85</xdr:row>
      <xdr:rowOff>0</xdr:rowOff>
    </xdr:from>
    <xdr:ext cx="76200" cy="216958"/>
    <xdr:sp macro="" textlink="">
      <xdr:nvSpPr>
        <xdr:cNvPr id="400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85</xdr:row>
      <xdr:rowOff>0</xdr:rowOff>
    </xdr:from>
    <xdr:ext cx="76200" cy="216959"/>
    <xdr:sp macro="" textlink="">
      <xdr:nvSpPr>
        <xdr:cNvPr id="400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86</xdr:row>
      <xdr:rowOff>0</xdr:rowOff>
    </xdr:from>
    <xdr:ext cx="76200" cy="216958"/>
    <xdr:sp macro="" textlink="">
      <xdr:nvSpPr>
        <xdr:cNvPr id="400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86</xdr:row>
      <xdr:rowOff>0</xdr:rowOff>
    </xdr:from>
    <xdr:ext cx="76200" cy="216959"/>
    <xdr:sp macro="" textlink="">
      <xdr:nvSpPr>
        <xdr:cNvPr id="400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86</xdr:row>
      <xdr:rowOff>0</xdr:rowOff>
    </xdr:from>
    <xdr:ext cx="76200" cy="216958"/>
    <xdr:sp macro="" textlink="">
      <xdr:nvSpPr>
        <xdr:cNvPr id="400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86</xdr:row>
      <xdr:rowOff>0</xdr:rowOff>
    </xdr:from>
    <xdr:ext cx="76200" cy="216959"/>
    <xdr:sp macro="" textlink="">
      <xdr:nvSpPr>
        <xdr:cNvPr id="400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4010"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4011"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5425"/>
    <xdr:sp macro="" textlink="">
      <xdr:nvSpPr>
        <xdr:cNvPr id="4012"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86</xdr:row>
      <xdr:rowOff>0</xdr:rowOff>
    </xdr:from>
    <xdr:ext cx="76200" cy="216958"/>
    <xdr:sp macro="" textlink="">
      <xdr:nvSpPr>
        <xdr:cNvPr id="401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86</xdr:row>
      <xdr:rowOff>0</xdr:rowOff>
    </xdr:from>
    <xdr:ext cx="76200" cy="216959"/>
    <xdr:sp macro="" textlink="">
      <xdr:nvSpPr>
        <xdr:cNvPr id="401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87</xdr:row>
      <xdr:rowOff>0</xdr:rowOff>
    </xdr:from>
    <xdr:ext cx="76200" cy="216958"/>
    <xdr:sp macro="" textlink="">
      <xdr:nvSpPr>
        <xdr:cNvPr id="401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87</xdr:row>
      <xdr:rowOff>0</xdr:rowOff>
    </xdr:from>
    <xdr:ext cx="76200" cy="216959"/>
    <xdr:sp macro="" textlink="">
      <xdr:nvSpPr>
        <xdr:cNvPr id="401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88</xdr:row>
      <xdr:rowOff>0</xdr:rowOff>
    </xdr:from>
    <xdr:ext cx="76200" cy="216958"/>
    <xdr:sp macro="" textlink="">
      <xdr:nvSpPr>
        <xdr:cNvPr id="401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88</xdr:row>
      <xdr:rowOff>0</xdr:rowOff>
    </xdr:from>
    <xdr:ext cx="76200" cy="216959"/>
    <xdr:sp macro="" textlink="">
      <xdr:nvSpPr>
        <xdr:cNvPr id="401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89</xdr:row>
      <xdr:rowOff>0</xdr:rowOff>
    </xdr:from>
    <xdr:ext cx="76200" cy="216958"/>
    <xdr:sp macro="" textlink="">
      <xdr:nvSpPr>
        <xdr:cNvPr id="401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89</xdr:row>
      <xdr:rowOff>0</xdr:rowOff>
    </xdr:from>
    <xdr:ext cx="76200" cy="216959"/>
    <xdr:sp macro="" textlink="">
      <xdr:nvSpPr>
        <xdr:cNvPr id="402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89</xdr:row>
      <xdr:rowOff>0</xdr:rowOff>
    </xdr:from>
    <xdr:ext cx="76200" cy="216958"/>
    <xdr:sp macro="" textlink="">
      <xdr:nvSpPr>
        <xdr:cNvPr id="402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89</xdr:row>
      <xdr:rowOff>0</xdr:rowOff>
    </xdr:from>
    <xdr:ext cx="76200" cy="216959"/>
    <xdr:sp macro="" textlink="">
      <xdr:nvSpPr>
        <xdr:cNvPr id="402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90</xdr:row>
      <xdr:rowOff>0</xdr:rowOff>
    </xdr:from>
    <xdr:ext cx="76200" cy="216958"/>
    <xdr:sp macro="" textlink="">
      <xdr:nvSpPr>
        <xdr:cNvPr id="402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90</xdr:row>
      <xdr:rowOff>0</xdr:rowOff>
    </xdr:from>
    <xdr:ext cx="76200" cy="216959"/>
    <xdr:sp macro="" textlink="">
      <xdr:nvSpPr>
        <xdr:cNvPr id="402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90</xdr:row>
      <xdr:rowOff>0</xdr:rowOff>
    </xdr:from>
    <xdr:ext cx="76200" cy="216958"/>
    <xdr:sp macro="" textlink="">
      <xdr:nvSpPr>
        <xdr:cNvPr id="402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90</xdr:row>
      <xdr:rowOff>0</xdr:rowOff>
    </xdr:from>
    <xdr:ext cx="76200" cy="216959"/>
    <xdr:sp macro="" textlink="">
      <xdr:nvSpPr>
        <xdr:cNvPr id="402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4027"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4028"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92</xdr:row>
      <xdr:rowOff>47625</xdr:rowOff>
    </xdr:from>
    <xdr:ext cx="76200" cy="225425"/>
    <xdr:sp macro="" textlink="">
      <xdr:nvSpPr>
        <xdr:cNvPr id="4029"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90</xdr:row>
      <xdr:rowOff>0</xdr:rowOff>
    </xdr:from>
    <xdr:ext cx="76200" cy="216958"/>
    <xdr:sp macro="" textlink="">
      <xdr:nvSpPr>
        <xdr:cNvPr id="403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90</xdr:row>
      <xdr:rowOff>0</xdr:rowOff>
    </xdr:from>
    <xdr:ext cx="76200" cy="216959"/>
    <xdr:sp macro="" textlink="">
      <xdr:nvSpPr>
        <xdr:cNvPr id="403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91</xdr:row>
      <xdr:rowOff>0</xdr:rowOff>
    </xdr:from>
    <xdr:ext cx="76200" cy="216958"/>
    <xdr:sp macro="" textlink="">
      <xdr:nvSpPr>
        <xdr:cNvPr id="403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91</xdr:row>
      <xdr:rowOff>0</xdr:rowOff>
    </xdr:from>
    <xdr:ext cx="76200" cy="216959"/>
    <xdr:sp macro="" textlink="">
      <xdr:nvSpPr>
        <xdr:cNvPr id="403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92</xdr:row>
      <xdr:rowOff>0</xdr:rowOff>
    </xdr:from>
    <xdr:ext cx="76200" cy="216958"/>
    <xdr:sp macro="" textlink="">
      <xdr:nvSpPr>
        <xdr:cNvPr id="403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92</xdr:row>
      <xdr:rowOff>0</xdr:rowOff>
    </xdr:from>
    <xdr:ext cx="76200" cy="216959"/>
    <xdr:sp macro="" textlink="">
      <xdr:nvSpPr>
        <xdr:cNvPr id="403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93</xdr:row>
      <xdr:rowOff>0</xdr:rowOff>
    </xdr:from>
    <xdr:ext cx="76200" cy="216958"/>
    <xdr:sp macro="" textlink="">
      <xdr:nvSpPr>
        <xdr:cNvPr id="403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93</xdr:row>
      <xdr:rowOff>0</xdr:rowOff>
    </xdr:from>
    <xdr:ext cx="76200" cy="216959"/>
    <xdr:sp macro="" textlink="">
      <xdr:nvSpPr>
        <xdr:cNvPr id="403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93</xdr:row>
      <xdr:rowOff>0</xdr:rowOff>
    </xdr:from>
    <xdr:ext cx="76200" cy="216958"/>
    <xdr:sp macro="" textlink="">
      <xdr:nvSpPr>
        <xdr:cNvPr id="403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93</xdr:row>
      <xdr:rowOff>0</xdr:rowOff>
    </xdr:from>
    <xdr:ext cx="76200" cy="216959"/>
    <xdr:sp macro="" textlink="">
      <xdr:nvSpPr>
        <xdr:cNvPr id="403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94</xdr:row>
      <xdr:rowOff>0</xdr:rowOff>
    </xdr:from>
    <xdr:ext cx="76200" cy="216958"/>
    <xdr:sp macro="" textlink="">
      <xdr:nvSpPr>
        <xdr:cNvPr id="404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94</xdr:row>
      <xdr:rowOff>0</xdr:rowOff>
    </xdr:from>
    <xdr:ext cx="76200" cy="216959"/>
    <xdr:sp macro="" textlink="">
      <xdr:nvSpPr>
        <xdr:cNvPr id="404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94</xdr:row>
      <xdr:rowOff>0</xdr:rowOff>
    </xdr:from>
    <xdr:ext cx="76200" cy="216958"/>
    <xdr:sp macro="" textlink="">
      <xdr:nvSpPr>
        <xdr:cNvPr id="404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94</xdr:row>
      <xdr:rowOff>0</xdr:rowOff>
    </xdr:from>
    <xdr:ext cx="76200" cy="216959"/>
    <xdr:sp macro="" textlink="">
      <xdr:nvSpPr>
        <xdr:cNvPr id="404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96</xdr:row>
      <xdr:rowOff>47625</xdr:rowOff>
    </xdr:from>
    <xdr:ext cx="76200" cy="225425"/>
    <xdr:sp macro="" textlink="">
      <xdr:nvSpPr>
        <xdr:cNvPr id="4044"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96</xdr:row>
      <xdr:rowOff>47625</xdr:rowOff>
    </xdr:from>
    <xdr:ext cx="76200" cy="225425"/>
    <xdr:sp macro="" textlink="">
      <xdr:nvSpPr>
        <xdr:cNvPr id="4045"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96</xdr:row>
      <xdr:rowOff>47625</xdr:rowOff>
    </xdr:from>
    <xdr:ext cx="76200" cy="225425"/>
    <xdr:sp macro="" textlink="">
      <xdr:nvSpPr>
        <xdr:cNvPr id="4046"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94</xdr:row>
      <xdr:rowOff>0</xdr:rowOff>
    </xdr:from>
    <xdr:ext cx="76200" cy="216958"/>
    <xdr:sp macro="" textlink="">
      <xdr:nvSpPr>
        <xdr:cNvPr id="404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94</xdr:row>
      <xdr:rowOff>0</xdr:rowOff>
    </xdr:from>
    <xdr:ext cx="76200" cy="216959"/>
    <xdr:sp macro="" textlink="">
      <xdr:nvSpPr>
        <xdr:cNvPr id="404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95</xdr:row>
      <xdr:rowOff>0</xdr:rowOff>
    </xdr:from>
    <xdr:ext cx="76200" cy="216958"/>
    <xdr:sp macro="" textlink="">
      <xdr:nvSpPr>
        <xdr:cNvPr id="404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95</xdr:row>
      <xdr:rowOff>0</xdr:rowOff>
    </xdr:from>
    <xdr:ext cx="76200" cy="216959"/>
    <xdr:sp macro="" textlink="">
      <xdr:nvSpPr>
        <xdr:cNvPr id="405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96</xdr:row>
      <xdr:rowOff>0</xdr:rowOff>
    </xdr:from>
    <xdr:ext cx="76200" cy="216958"/>
    <xdr:sp macro="" textlink="">
      <xdr:nvSpPr>
        <xdr:cNvPr id="405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96</xdr:row>
      <xdr:rowOff>0</xdr:rowOff>
    </xdr:from>
    <xdr:ext cx="76200" cy="216959"/>
    <xdr:sp macro="" textlink="">
      <xdr:nvSpPr>
        <xdr:cNvPr id="405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97</xdr:row>
      <xdr:rowOff>0</xdr:rowOff>
    </xdr:from>
    <xdr:ext cx="76200" cy="216958"/>
    <xdr:sp macro="" textlink="">
      <xdr:nvSpPr>
        <xdr:cNvPr id="405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97</xdr:row>
      <xdr:rowOff>0</xdr:rowOff>
    </xdr:from>
    <xdr:ext cx="76200" cy="216959"/>
    <xdr:sp macro="" textlink="">
      <xdr:nvSpPr>
        <xdr:cNvPr id="405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97</xdr:row>
      <xdr:rowOff>0</xdr:rowOff>
    </xdr:from>
    <xdr:ext cx="76200" cy="216958"/>
    <xdr:sp macro="" textlink="">
      <xdr:nvSpPr>
        <xdr:cNvPr id="405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97</xdr:row>
      <xdr:rowOff>0</xdr:rowOff>
    </xdr:from>
    <xdr:ext cx="76200" cy="216959"/>
    <xdr:sp macro="" textlink="">
      <xdr:nvSpPr>
        <xdr:cNvPr id="405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98</xdr:row>
      <xdr:rowOff>0</xdr:rowOff>
    </xdr:from>
    <xdr:ext cx="76200" cy="216958"/>
    <xdr:sp macro="" textlink="">
      <xdr:nvSpPr>
        <xdr:cNvPr id="405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98</xdr:row>
      <xdr:rowOff>0</xdr:rowOff>
    </xdr:from>
    <xdr:ext cx="76200" cy="216959"/>
    <xdr:sp macro="" textlink="">
      <xdr:nvSpPr>
        <xdr:cNvPr id="405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98</xdr:row>
      <xdr:rowOff>0</xdr:rowOff>
    </xdr:from>
    <xdr:ext cx="76200" cy="216958"/>
    <xdr:sp macro="" textlink="">
      <xdr:nvSpPr>
        <xdr:cNvPr id="405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98</xdr:row>
      <xdr:rowOff>0</xdr:rowOff>
    </xdr:from>
    <xdr:ext cx="76200" cy="216959"/>
    <xdr:sp macro="" textlink="">
      <xdr:nvSpPr>
        <xdr:cNvPr id="406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061"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062"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5425"/>
    <xdr:sp macro="" textlink="">
      <xdr:nvSpPr>
        <xdr:cNvPr id="4063"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98</xdr:row>
      <xdr:rowOff>0</xdr:rowOff>
    </xdr:from>
    <xdr:ext cx="76200" cy="216958"/>
    <xdr:sp macro="" textlink="">
      <xdr:nvSpPr>
        <xdr:cNvPr id="406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98</xdr:row>
      <xdr:rowOff>0</xdr:rowOff>
    </xdr:from>
    <xdr:ext cx="76200" cy="216959"/>
    <xdr:sp macro="" textlink="">
      <xdr:nvSpPr>
        <xdr:cNvPr id="406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99</xdr:row>
      <xdr:rowOff>0</xdr:rowOff>
    </xdr:from>
    <xdr:ext cx="76200" cy="216958"/>
    <xdr:sp macro="" textlink="">
      <xdr:nvSpPr>
        <xdr:cNvPr id="406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99</xdr:row>
      <xdr:rowOff>0</xdr:rowOff>
    </xdr:from>
    <xdr:ext cx="76200" cy="216959"/>
    <xdr:sp macro="" textlink="">
      <xdr:nvSpPr>
        <xdr:cNvPr id="406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100</xdr:row>
      <xdr:rowOff>0</xdr:rowOff>
    </xdr:from>
    <xdr:ext cx="76200" cy="216958"/>
    <xdr:sp macro="" textlink="">
      <xdr:nvSpPr>
        <xdr:cNvPr id="406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100</xdr:row>
      <xdr:rowOff>0</xdr:rowOff>
    </xdr:from>
    <xdr:ext cx="76200" cy="216959"/>
    <xdr:sp macro="" textlink="">
      <xdr:nvSpPr>
        <xdr:cNvPr id="406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101</xdr:row>
      <xdr:rowOff>0</xdr:rowOff>
    </xdr:from>
    <xdr:ext cx="76200" cy="216958"/>
    <xdr:sp macro="" textlink="">
      <xdr:nvSpPr>
        <xdr:cNvPr id="407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101</xdr:row>
      <xdr:rowOff>0</xdr:rowOff>
    </xdr:from>
    <xdr:ext cx="76200" cy="216959"/>
    <xdr:sp macro="" textlink="">
      <xdr:nvSpPr>
        <xdr:cNvPr id="407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101</xdr:row>
      <xdr:rowOff>0</xdr:rowOff>
    </xdr:from>
    <xdr:ext cx="76200" cy="216958"/>
    <xdr:sp macro="" textlink="">
      <xdr:nvSpPr>
        <xdr:cNvPr id="407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101</xdr:row>
      <xdr:rowOff>0</xdr:rowOff>
    </xdr:from>
    <xdr:ext cx="76200" cy="216959"/>
    <xdr:sp macro="" textlink="">
      <xdr:nvSpPr>
        <xdr:cNvPr id="407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102</xdr:row>
      <xdr:rowOff>0</xdr:rowOff>
    </xdr:from>
    <xdr:ext cx="76200" cy="216958"/>
    <xdr:sp macro="" textlink="">
      <xdr:nvSpPr>
        <xdr:cNvPr id="407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102</xdr:row>
      <xdr:rowOff>0</xdr:rowOff>
    </xdr:from>
    <xdr:ext cx="76200" cy="216959"/>
    <xdr:sp macro="" textlink="">
      <xdr:nvSpPr>
        <xdr:cNvPr id="407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102</xdr:row>
      <xdr:rowOff>0</xdr:rowOff>
    </xdr:from>
    <xdr:ext cx="76200" cy="216958"/>
    <xdr:sp macro="" textlink="">
      <xdr:nvSpPr>
        <xdr:cNvPr id="407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102</xdr:row>
      <xdr:rowOff>0</xdr:rowOff>
    </xdr:from>
    <xdr:ext cx="76200" cy="216959"/>
    <xdr:sp macro="" textlink="">
      <xdr:nvSpPr>
        <xdr:cNvPr id="407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078"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079"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104</xdr:row>
      <xdr:rowOff>47625</xdr:rowOff>
    </xdr:from>
    <xdr:ext cx="76200" cy="225425"/>
    <xdr:sp macro="" textlink="">
      <xdr:nvSpPr>
        <xdr:cNvPr id="4080"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102</xdr:row>
      <xdr:rowOff>0</xdr:rowOff>
    </xdr:from>
    <xdr:ext cx="76200" cy="216958"/>
    <xdr:sp macro="" textlink="">
      <xdr:nvSpPr>
        <xdr:cNvPr id="408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102</xdr:row>
      <xdr:rowOff>0</xdr:rowOff>
    </xdr:from>
    <xdr:ext cx="76200" cy="216959"/>
    <xdr:sp macro="" textlink="">
      <xdr:nvSpPr>
        <xdr:cNvPr id="408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103</xdr:row>
      <xdr:rowOff>0</xdr:rowOff>
    </xdr:from>
    <xdr:ext cx="76200" cy="216958"/>
    <xdr:sp macro="" textlink="">
      <xdr:nvSpPr>
        <xdr:cNvPr id="408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103</xdr:row>
      <xdr:rowOff>0</xdr:rowOff>
    </xdr:from>
    <xdr:ext cx="76200" cy="216959"/>
    <xdr:sp macro="" textlink="">
      <xdr:nvSpPr>
        <xdr:cNvPr id="408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104</xdr:row>
      <xdr:rowOff>0</xdr:rowOff>
    </xdr:from>
    <xdr:ext cx="76200" cy="216958"/>
    <xdr:sp macro="" textlink="">
      <xdr:nvSpPr>
        <xdr:cNvPr id="408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104</xdr:row>
      <xdr:rowOff>0</xdr:rowOff>
    </xdr:from>
    <xdr:ext cx="76200" cy="216959"/>
    <xdr:sp macro="" textlink="">
      <xdr:nvSpPr>
        <xdr:cNvPr id="408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105</xdr:row>
      <xdr:rowOff>0</xdr:rowOff>
    </xdr:from>
    <xdr:ext cx="76200" cy="216958"/>
    <xdr:sp macro="" textlink="">
      <xdr:nvSpPr>
        <xdr:cNvPr id="408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105</xdr:row>
      <xdr:rowOff>0</xdr:rowOff>
    </xdr:from>
    <xdr:ext cx="76200" cy="216959"/>
    <xdr:sp macro="" textlink="">
      <xdr:nvSpPr>
        <xdr:cNvPr id="408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105</xdr:row>
      <xdr:rowOff>0</xdr:rowOff>
    </xdr:from>
    <xdr:ext cx="76200" cy="216958"/>
    <xdr:sp macro="" textlink="">
      <xdr:nvSpPr>
        <xdr:cNvPr id="408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105</xdr:row>
      <xdr:rowOff>0</xdr:rowOff>
    </xdr:from>
    <xdr:ext cx="76200" cy="216959"/>
    <xdr:sp macro="" textlink="">
      <xdr:nvSpPr>
        <xdr:cNvPr id="409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106</xdr:row>
      <xdr:rowOff>0</xdr:rowOff>
    </xdr:from>
    <xdr:ext cx="76200" cy="216958"/>
    <xdr:sp macro="" textlink="">
      <xdr:nvSpPr>
        <xdr:cNvPr id="409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106</xdr:row>
      <xdr:rowOff>0</xdr:rowOff>
    </xdr:from>
    <xdr:ext cx="76200" cy="216959"/>
    <xdr:sp macro="" textlink="">
      <xdr:nvSpPr>
        <xdr:cNvPr id="409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106</xdr:row>
      <xdr:rowOff>0</xdr:rowOff>
    </xdr:from>
    <xdr:ext cx="76200" cy="216958"/>
    <xdr:sp macro="" textlink="">
      <xdr:nvSpPr>
        <xdr:cNvPr id="409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106</xdr:row>
      <xdr:rowOff>0</xdr:rowOff>
    </xdr:from>
    <xdr:ext cx="76200" cy="216959"/>
    <xdr:sp macro="" textlink="">
      <xdr:nvSpPr>
        <xdr:cNvPr id="409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108</xdr:row>
      <xdr:rowOff>47625</xdr:rowOff>
    </xdr:from>
    <xdr:ext cx="76200" cy="225425"/>
    <xdr:sp macro="" textlink="">
      <xdr:nvSpPr>
        <xdr:cNvPr id="4095"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108</xdr:row>
      <xdr:rowOff>47625</xdr:rowOff>
    </xdr:from>
    <xdr:ext cx="76200" cy="225425"/>
    <xdr:sp macro="" textlink="">
      <xdr:nvSpPr>
        <xdr:cNvPr id="4096"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108</xdr:row>
      <xdr:rowOff>47625</xdr:rowOff>
    </xdr:from>
    <xdr:ext cx="76200" cy="225425"/>
    <xdr:sp macro="" textlink="">
      <xdr:nvSpPr>
        <xdr:cNvPr id="4097"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106</xdr:row>
      <xdr:rowOff>0</xdr:rowOff>
    </xdr:from>
    <xdr:ext cx="76200" cy="216958"/>
    <xdr:sp macro="" textlink="">
      <xdr:nvSpPr>
        <xdr:cNvPr id="409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106</xdr:row>
      <xdr:rowOff>0</xdr:rowOff>
    </xdr:from>
    <xdr:ext cx="76200" cy="216959"/>
    <xdr:sp macro="" textlink="">
      <xdr:nvSpPr>
        <xdr:cNvPr id="409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107</xdr:row>
      <xdr:rowOff>0</xdr:rowOff>
    </xdr:from>
    <xdr:ext cx="76200" cy="216958"/>
    <xdr:sp macro="" textlink="">
      <xdr:nvSpPr>
        <xdr:cNvPr id="410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107</xdr:row>
      <xdr:rowOff>0</xdr:rowOff>
    </xdr:from>
    <xdr:ext cx="76200" cy="216959"/>
    <xdr:sp macro="" textlink="">
      <xdr:nvSpPr>
        <xdr:cNvPr id="410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108</xdr:row>
      <xdr:rowOff>0</xdr:rowOff>
    </xdr:from>
    <xdr:ext cx="76200" cy="216958"/>
    <xdr:sp macro="" textlink="">
      <xdr:nvSpPr>
        <xdr:cNvPr id="410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108</xdr:row>
      <xdr:rowOff>0</xdr:rowOff>
    </xdr:from>
    <xdr:ext cx="76200" cy="216959"/>
    <xdr:sp macro="" textlink="">
      <xdr:nvSpPr>
        <xdr:cNvPr id="410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109</xdr:row>
      <xdr:rowOff>0</xdr:rowOff>
    </xdr:from>
    <xdr:ext cx="76200" cy="216958"/>
    <xdr:sp macro="" textlink="">
      <xdr:nvSpPr>
        <xdr:cNvPr id="410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109</xdr:row>
      <xdr:rowOff>0</xdr:rowOff>
    </xdr:from>
    <xdr:ext cx="76200" cy="216959"/>
    <xdr:sp macro="" textlink="">
      <xdr:nvSpPr>
        <xdr:cNvPr id="410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109</xdr:row>
      <xdr:rowOff>0</xdr:rowOff>
    </xdr:from>
    <xdr:ext cx="76200" cy="216958"/>
    <xdr:sp macro="" textlink="">
      <xdr:nvSpPr>
        <xdr:cNvPr id="410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109</xdr:row>
      <xdr:rowOff>0</xdr:rowOff>
    </xdr:from>
    <xdr:ext cx="76200" cy="216959"/>
    <xdr:sp macro="" textlink="">
      <xdr:nvSpPr>
        <xdr:cNvPr id="410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110</xdr:row>
      <xdr:rowOff>0</xdr:rowOff>
    </xdr:from>
    <xdr:ext cx="76200" cy="216958"/>
    <xdr:sp macro="" textlink="">
      <xdr:nvSpPr>
        <xdr:cNvPr id="410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110</xdr:row>
      <xdr:rowOff>0</xdr:rowOff>
    </xdr:from>
    <xdr:ext cx="76200" cy="216959"/>
    <xdr:sp macro="" textlink="">
      <xdr:nvSpPr>
        <xdr:cNvPr id="410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110</xdr:row>
      <xdr:rowOff>0</xdr:rowOff>
    </xdr:from>
    <xdr:ext cx="76200" cy="216958"/>
    <xdr:sp macro="" textlink="">
      <xdr:nvSpPr>
        <xdr:cNvPr id="411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110</xdr:row>
      <xdr:rowOff>0</xdr:rowOff>
    </xdr:from>
    <xdr:ext cx="76200" cy="216959"/>
    <xdr:sp macro="" textlink="">
      <xdr:nvSpPr>
        <xdr:cNvPr id="411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4112"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4113"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5425"/>
    <xdr:sp macro="" textlink="">
      <xdr:nvSpPr>
        <xdr:cNvPr id="4114"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110</xdr:row>
      <xdr:rowOff>0</xdr:rowOff>
    </xdr:from>
    <xdr:ext cx="76200" cy="216958"/>
    <xdr:sp macro="" textlink="">
      <xdr:nvSpPr>
        <xdr:cNvPr id="411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110</xdr:row>
      <xdr:rowOff>0</xdr:rowOff>
    </xdr:from>
    <xdr:ext cx="76200" cy="216959"/>
    <xdr:sp macro="" textlink="">
      <xdr:nvSpPr>
        <xdr:cNvPr id="411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111</xdr:row>
      <xdr:rowOff>0</xdr:rowOff>
    </xdr:from>
    <xdr:ext cx="76200" cy="216958"/>
    <xdr:sp macro="" textlink="">
      <xdr:nvSpPr>
        <xdr:cNvPr id="411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111</xdr:row>
      <xdr:rowOff>0</xdr:rowOff>
    </xdr:from>
    <xdr:ext cx="76200" cy="216959"/>
    <xdr:sp macro="" textlink="">
      <xdr:nvSpPr>
        <xdr:cNvPr id="411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112</xdr:row>
      <xdr:rowOff>0</xdr:rowOff>
    </xdr:from>
    <xdr:ext cx="76200" cy="216958"/>
    <xdr:sp macro="" textlink="">
      <xdr:nvSpPr>
        <xdr:cNvPr id="411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112</xdr:row>
      <xdr:rowOff>0</xdr:rowOff>
    </xdr:from>
    <xdr:ext cx="76200" cy="216959"/>
    <xdr:sp macro="" textlink="">
      <xdr:nvSpPr>
        <xdr:cNvPr id="412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113</xdr:row>
      <xdr:rowOff>0</xdr:rowOff>
    </xdr:from>
    <xdr:ext cx="76200" cy="216958"/>
    <xdr:sp macro="" textlink="">
      <xdr:nvSpPr>
        <xdr:cNvPr id="412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113</xdr:row>
      <xdr:rowOff>0</xdr:rowOff>
    </xdr:from>
    <xdr:ext cx="76200" cy="216959"/>
    <xdr:sp macro="" textlink="">
      <xdr:nvSpPr>
        <xdr:cNvPr id="412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113</xdr:row>
      <xdr:rowOff>0</xdr:rowOff>
    </xdr:from>
    <xdr:ext cx="76200" cy="216958"/>
    <xdr:sp macro="" textlink="">
      <xdr:nvSpPr>
        <xdr:cNvPr id="412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113</xdr:row>
      <xdr:rowOff>0</xdr:rowOff>
    </xdr:from>
    <xdr:ext cx="76200" cy="216959"/>
    <xdr:sp macro="" textlink="">
      <xdr:nvSpPr>
        <xdr:cNvPr id="412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114</xdr:row>
      <xdr:rowOff>0</xdr:rowOff>
    </xdr:from>
    <xdr:ext cx="76200" cy="216958"/>
    <xdr:sp macro="" textlink="">
      <xdr:nvSpPr>
        <xdr:cNvPr id="412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114</xdr:row>
      <xdr:rowOff>0</xdr:rowOff>
    </xdr:from>
    <xdr:ext cx="76200" cy="216959"/>
    <xdr:sp macro="" textlink="">
      <xdr:nvSpPr>
        <xdr:cNvPr id="412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114</xdr:row>
      <xdr:rowOff>0</xdr:rowOff>
    </xdr:from>
    <xdr:ext cx="76200" cy="216958"/>
    <xdr:sp macro="" textlink="">
      <xdr:nvSpPr>
        <xdr:cNvPr id="412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114</xdr:row>
      <xdr:rowOff>0</xdr:rowOff>
    </xdr:from>
    <xdr:ext cx="76200" cy="216959"/>
    <xdr:sp macro="" textlink="">
      <xdr:nvSpPr>
        <xdr:cNvPr id="412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4129"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4130"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5425"/>
    <xdr:sp macro="" textlink="">
      <xdr:nvSpPr>
        <xdr:cNvPr id="4131"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114</xdr:row>
      <xdr:rowOff>0</xdr:rowOff>
    </xdr:from>
    <xdr:ext cx="76200" cy="216958"/>
    <xdr:sp macro="" textlink="">
      <xdr:nvSpPr>
        <xdr:cNvPr id="413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114</xdr:row>
      <xdr:rowOff>0</xdr:rowOff>
    </xdr:from>
    <xdr:ext cx="76200" cy="216959"/>
    <xdr:sp macro="" textlink="">
      <xdr:nvSpPr>
        <xdr:cNvPr id="413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115</xdr:row>
      <xdr:rowOff>0</xdr:rowOff>
    </xdr:from>
    <xdr:ext cx="76200" cy="216958"/>
    <xdr:sp macro="" textlink="">
      <xdr:nvSpPr>
        <xdr:cNvPr id="413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115</xdr:row>
      <xdr:rowOff>0</xdr:rowOff>
    </xdr:from>
    <xdr:ext cx="76200" cy="216959"/>
    <xdr:sp macro="" textlink="">
      <xdr:nvSpPr>
        <xdr:cNvPr id="413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116</xdr:row>
      <xdr:rowOff>0</xdr:rowOff>
    </xdr:from>
    <xdr:ext cx="76200" cy="216958"/>
    <xdr:sp macro="" textlink="">
      <xdr:nvSpPr>
        <xdr:cNvPr id="4136"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116</xdr:row>
      <xdr:rowOff>0</xdr:rowOff>
    </xdr:from>
    <xdr:ext cx="76200" cy="216959"/>
    <xdr:sp macro="" textlink="">
      <xdr:nvSpPr>
        <xdr:cNvPr id="4137"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117</xdr:row>
      <xdr:rowOff>0</xdr:rowOff>
    </xdr:from>
    <xdr:ext cx="76200" cy="216958"/>
    <xdr:sp macro="" textlink="">
      <xdr:nvSpPr>
        <xdr:cNvPr id="4138"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117</xdr:row>
      <xdr:rowOff>0</xdr:rowOff>
    </xdr:from>
    <xdr:ext cx="76200" cy="216959"/>
    <xdr:sp macro="" textlink="">
      <xdr:nvSpPr>
        <xdr:cNvPr id="4139"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117</xdr:row>
      <xdr:rowOff>0</xdr:rowOff>
    </xdr:from>
    <xdr:ext cx="76200" cy="216958"/>
    <xdr:sp macro="" textlink="">
      <xdr:nvSpPr>
        <xdr:cNvPr id="4140"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117</xdr:row>
      <xdr:rowOff>0</xdr:rowOff>
    </xdr:from>
    <xdr:ext cx="76200" cy="216959"/>
    <xdr:sp macro="" textlink="">
      <xdr:nvSpPr>
        <xdr:cNvPr id="4141"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118</xdr:row>
      <xdr:rowOff>0</xdr:rowOff>
    </xdr:from>
    <xdr:ext cx="76200" cy="216958"/>
    <xdr:sp macro="" textlink="">
      <xdr:nvSpPr>
        <xdr:cNvPr id="4142"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118</xdr:row>
      <xdr:rowOff>0</xdr:rowOff>
    </xdr:from>
    <xdr:ext cx="76200" cy="216959"/>
    <xdr:sp macro="" textlink="">
      <xdr:nvSpPr>
        <xdr:cNvPr id="4143"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118</xdr:row>
      <xdr:rowOff>0</xdr:rowOff>
    </xdr:from>
    <xdr:ext cx="76200" cy="216958"/>
    <xdr:sp macro="" textlink="">
      <xdr:nvSpPr>
        <xdr:cNvPr id="4144"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118</xdr:row>
      <xdr:rowOff>0</xdr:rowOff>
    </xdr:from>
    <xdr:ext cx="76200" cy="216959"/>
    <xdr:sp macro="" textlink="">
      <xdr:nvSpPr>
        <xdr:cNvPr id="4145"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120</xdr:row>
      <xdr:rowOff>47625</xdr:rowOff>
    </xdr:from>
    <xdr:ext cx="76200" cy="225425"/>
    <xdr:sp macro="" textlink="">
      <xdr:nvSpPr>
        <xdr:cNvPr id="4146" name="Text Box 1">
          <a:extLst>
            <a:ext uri="{FF2B5EF4-FFF2-40B4-BE49-F238E27FC236}">
              <a16:creationId xmlns:a16="http://schemas.microsoft.com/office/drawing/2014/main" id="{CC1DEE73-618C-4BAD-9344-825344C3A843}"/>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120</xdr:row>
      <xdr:rowOff>47625</xdr:rowOff>
    </xdr:from>
    <xdr:ext cx="76200" cy="225425"/>
    <xdr:sp macro="" textlink="">
      <xdr:nvSpPr>
        <xdr:cNvPr id="4147" name="Text Box 1">
          <a:extLst>
            <a:ext uri="{FF2B5EF4-FFF2-40B4-BE49-F238E27FC236}">
              <a16:creationId xmlns:a16="http://schemas.microsoft.com/office/drawing/2014/main" id="{E6305E04-56AB-4367-86B0-705A8ED9129F}"/>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120</xdr:row>
      <xdr:rowOff>47625</xdr:rowOff>
    </xdr:from>
    <xdr:ext cx="76200" cy="225425"/>
    <xdr:sp macro="" textlink="">
      <xdr:nvSpPr>
        <xdr:cNvPr id="4148" name="Text Box 1">
          <a:extLst>
            <a:ext uri="{FF2B5EF4-FFF2-40B4-BE49-F238E27FC236}">
              <a16:creationId xmlns:a16="http://schemas.microsoft.com/office/drawing/2014/main" id="{504ED468-EFCF-4757-88C0-D3236CA610BD}"/>
            </a:ext>
          </a:extLst>
        </xdr:cNvPr>
        <xdr:cNvSpPr txBox="1">
          <a:spLocks noChangeArrowheads="1"/>
        </xdr:cNvSpPr>
      </xdr:nvSpPr>
      <xdr:spPr bwMode="auto">
        <a:xfrm>
          <a:off x="685800" y="10292292"/>
          <a:ext cx="76200" cy="225425"/>
        </a:xfrm>
        <a:prstGeom prst="rect">
          <a:avLst/>
        </a:prstGeom>
        <a:noFill/>
        <a:ln w="9525">
          <a:noFill/>
          <a:miter lim="800000"/>
          <a:headEnd/>
          <a:tailEnd/>
        </a:ln>
      </xdr:spPr>
    </xdr:sp>
    <xdr:clientData/>
  </xdr:oneCellAnchor>
  <xdr:oneCellAnchor>
    <xdr:from>
      <xdr:col>0</xdr:col>
      <xdr:colOff>685800</xdr:colOff>
      <xdr:row>118</xdr:row>
      <xdr:rowOff>0</xdr:rowOff>
    </xdr:from>
    <xdr:ext cx="76200" cy="216958"/>
    <xdr:sp macro="" textlink="">
      <xdr:nvSpPr>
        <xdr:cNvPr id="414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9906000"/>
          <a:ext cx="76200" cy="216958"/>
        </a:xfrm>
        <a:prstGeom prst="rect">
          <a:avLst/>
        </a:prstGeom>
        <a:noFill/>
        <a:ln w="9525">
          <a:noFill/>
          <a:miter lim="800000"/>
          <a:headEnd/>
          <a:tailEnd/>
        </a:ln>
      </xdr:spPr>
    </xdr:sp>
    <xdr:clientData/>
  </xdr:oneCellAnchor>
  <xdr:oneCellAnchor>
    <xdr:from>
      <xdr:col>0</xdr:col>
      <xdr:colOff>685800</xdr:colOff>
      <xdr:row>118</xdr:row>
      <xdr:rowOff>0</xdr:rowOff>
    </xdr:from>
    <xdr:ext cx="76200" cy="216959"/>
    <xdr:sp macro="" textlink="">
      <xdr:nvSpPr>
        <xdr:cNvPr id="415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9906000"/>
          <a:ext cx="76200" cy="216959"/>
        </a:xfrm>
        <a:prstGeom prst="rect">
          <a:avLst/>
        </a:prstGeom>
        <a:noFill/>
        <a:ln w="9525">
          <a:noFill/>
          <a:miter lim="800000"/>
          <a:headEnd/>
          <a:tailEnd/>
        </a:ln>
      </xdr:spPr>
    </xdr:sp>
    <xdr:clientData/>
  </xdr:oneCellAnchor>
  <xdr:oneCellAnchor>
    <xdr:from>
      <xdr:col>0</xdr:col>
      <xdr:colOff>685800</xdr:colOff>
      <xdr:row>119</xdr:row>
      <xdr:rowOff>0</xdr:rowOff>
    </xdr:from>
    <xdr:ext cx="76200" cy="216958"/>
    <xdr:sp macro="" textlink="">
      <xdr:nvSpPr>
        <xdr:cNvPr id="415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075333"/>
          <a:ext cx="76200" cy="216958"/>
        </a:xfrm>
        <a:prstGeom prst="rect">
          <a:avLst/>
        </a:prstGeom>
        <a:noFill/>
        <a:ln w="9525">
          <a:noFill/>
          <a:miter lim="800000"/>
          <a:headEnd/>
          <a:tailEnd/>
        </a:ln>
      </xdr:spPr>
    </xdr:sp>
    <xdr:clientData/>
  </xdr:oneCellAnchor>
  <xdr:oneCellAnchor>
    <xdr:from>
      <xdr:col>0</xdr:col>
      <xdr:colOff>685800</xdr:colOff>
      <xdr:row>119</xdr:row>
      <xdr:rowOff>0</xdr:rowOff>
    </xdr:from>
    <xdr:ext cx="76200" cy="216959"/>
    <xdr:sp macro="" textlink="">
      <xdr:nvSpPr>
        <xdr:cNvPr id="415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075333"/>
          <a:ext cx="76200" cy="216959"/>
        </a:xfrm>
        <a:prstGeom prst="rect">
          <a:avLst/>
        </a:prstGeom>
        <a:noFill/>
        <a:ln w="9525">
          <a:noFill/>
          <a:miter lim="800000"/>
          <a:headEnd/>
          <a:tailEnd/>
        </a:ln>
      </xdr:spPr>
    </xdr:sp>
    <xdr:clientData/>
  </xdr:oneCellAnchor>
  <xdr:oneCellAnchor>
    <xdr:from>
      <xdr:col>0</xdr:col>
      <xdr:colOff>685800</xdr:colOff>
      <xdr:row>120</xdr:row>
      <xdr:rowOff>0</xdr:rowOff>
    </xdr:from>
    <xdr:ext cx="76200" cy="216958"/>
    <xdr:sp macro="" textlink="">
      <xdr:nvSpPr>
        <xdr:cNvPr id="4153"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244667"/>
          <a:ext cx="76200" cy="216958"/>
        </a:xfrm>
        <a:prstGeom prst="rect">
          <a:avLst/>
        </a:prstGeom>
        <a:noFill/>
        <a:ln w="9525">
          <a:noFill/>
          <a:miter lim="800000"/>
          <a:headEnd/>
          <a:tailEnd/>
        </a:ln>
      </xdr:spPr>
    </xdr:sp>
    <xdr:clientData/>
  </xdr:oneCellAnchor>
  <xdr:oneCellAnchor>
    <xdr:from>
      <xdr:col>0</xdr:col>
      <xdr:colOff>685800</xdr:colOff>
      <xdr:row>120</xdr:row>
      <xdr:rowOff>0</xdr:rowOff>
    </xdr:from>
    <xdr:ext cx="76200" cy="216959"/>
    <xdr:sp macro="" textlink="">
      <xdr:nvSpPr>
        <xdr:cNvPr id="4154"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244667"/>
          <a:ext cx="76200" cy="216959"/>
        </a:xfrm>
        <a:prstGeom prst="rect">
          <a:avLst/>
        </a:prstGeom>
        <a:noFill/>
        <a:ln w="9525">
          <a:noFill/>
          <a:miter lim="800000"/>
          <a:headEnd/>
          <a:tailEnd/>
        </a:ln>
      </xdr:spPr>
    </xdr:sp>
    <xdr:clientData/>
  </xdr:oneCellAnchor>
  <xdr:oneCellAnchor>
    <xdr:from>
      <xdr:col>0</xdr:col>
      <xdr:colOff>685800</xdr:colOff>
      <xdr:row>121</xdr:row>
      <xdr:rowOff>0</xdr:rowOff>
    </xdr:from>
    <xdr:ext cx="76200" cy="216958"/>
    <xdr:sp macro="" textlink="">
      <xdr:nvSpPr>
        <xdr:cNvPr id="4155"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121</xdr:row>
      <xdr:rowOff>0</xdr:rowOff>
    </xdr:from>
    <xdr:ext cx="76200" cy="216959"/>
    <xdr:sp macro="" textlink="">
      <xdr:nvSpPr>
        <xdr:cNvPr id="4156"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121</xdr:row>
      <xdr:rowOff>0</xdr:rowOff>
    </xdr:from>
    <xdr:ext cx="76200" cy="216958"/>
    <xdr:sp macro="" textlink="">
      <xdr:nvSpPr>
        <xdr:cNvPr id="4157"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414000"/>
          <a:ext cx="76200" cy="216958"/>
        </a:xfrm>
        <a:prstGeom prst="rect">
          <a:avLst/>
        </a:prstGeom>
        <a:noFill/>
        <a:ln w="9525">
          <a:noFill/>
          <a:miter lim="800000"/>
          <a:headEnd/>
          <a:tailEnd/>
        </a:ln>
      </xdr:spPr>
    </xdr:sp>
    <xdr:clientData/>
  </xdr:oneCellAnchor>
  <xdr:oneCellAnchor>
    <xdr:from>
      <xdr:col>0</xdr:col>
      <xdr:colOff>685800</xdr:colOff>
      <xdr:row>121</xdr:row>
      <xdr:rowOff>0</xdr:rowOff>
    </xdr:from>
    <xdr:ext cx="76200" cy="216959"/>
    <xdr:sp macro="" textlink="">
      <xdr:nvSpPr>
        <xdr:cNvPr id="4158"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414000"/>
          <a:ext cx="76200" cy="216959"/>
        </a:xfrm>
        <a:prstGeom prst="rect">
          <a:avLst/>
        </a:prstGeom>
        <a:noFill/>
        <a:ln w="9525">
          <a:noFill/>
          <a:miter lim="800000"/>
          <a:headEnd/>
          <a:tailEnd/>
        </a:ln>
      </xdr:spPr>
    </xdr:sp>
    <xdr:clientData/>
  </xdr:oneCellAnchor>
  <xdr:oneCellAnchor>
    <xdr:from>
      <xdr:col>0</xdr:col>
      <xdr:colOff>685800</xdr:colOff>
      <xdr:row>122</xdr:row>
      <xdr:rowOff>0</xdr:rowOff>
    </xdr:from>
    <xdr:ext cx="76200" cy="216958"/>
    <xdr:sp macro="" textlink="">
      <xdr:nvSpPr>
        <xdr:cNvPr id="4159"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122</xdr:row>
      <xdr:rowOff>0</xdr:rowOff>
    </xdr:from>
    <xdr:ext cx="76200" cy="216959"/>
    <xdr:sp macro="" textlink="">
      <xdr:nvSpPr>
        <xdr:cNvPr id="4160"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oneCellAnchor>
    <xdr:from>
      <xdr:col>0</xdr:col>
      <xdr:colOff>685800</xdr:colOff>
      <xdr:row>122</xdr:row>
      <xdr:rowOff>0</xdr:rowOff>
    </xdr:from>
    <xdr:ext cx="76200" cy="216958"/>
    <xdr:sp macro="" textlink="">
      <xdr:nvSpPr>
        <xdr:cNvPr id="4161" name="Text Box 1">
          <a:extLst>
            <a:ext uri="{FF2B5EF4-FFF2-40B4-BE49-F238E27FC236}">
              <a16:creationId xmlns:a16="http://schemas.microsoft.com/office/drawing/2014/main" id="{00000000-0008-0000-0400-000088890000}"/>
            </a:ext>
          </a:extLst>
        </xdr:cNvPr>
        <xdr:cNvSpPr txBox="1">
          <a:spLocks noChangeArrowheads="1"/>
        </xdr:cNvSpPr>
      </xdr:nvSpPr>
      <xdr:spPr bwMode="auto">
        <a:xfrm>
          <a:off x="685800" y="10583333"/>
          <a:ext cx="76200" cy="216958"/>
        </a:xfrm>
        <a:prstGeom prst="rect">
          <a:avLst/>
        </a:prstGeom>
        <a:noFill/>
        <a:ln w="9525">
          <a:noFill/>
          <a:miter lim="800000"/>
          <a:headEnd/>
          <a:tailEnd/>
        </a:ln>
      </xdr:spPr>
    </xdr:sp>
    <xdr:clientData/>
  </xdr:oneCellAnchor>
  <xdr:oneCellAnchor>
    <xdr:from>
      <xdr:col>0</xdr:col>
      <xdr:colOff>685800</xdr:colOff>
      <xdr:row>122</xdr:row>
      <xdr:rowOff>0</xdr:rowOff>
    </xdr:from>
    <xdr:ext cx="76200" cy="216959"/>
    <xdr:sp macro="" textlink="">
      <xdr:nvSpPr>
        <xdr:cNvPr id="4162" name="Text Box 1">
          <a:extLst>
            <a:ext uri="{FF2B5EF4-FFF2-40B4-BE49-F238E27FC236}">
              <a16:creationId xmlns:a16="http://schemas.microsoft.com/office/drawing/2014/main" id="{00000000-0008-0000-0400-000087890000}"/>
            </a:ext>
          </a:extLst>
        </xdr:cNvPr>
        <xdr:cNvSpPr txBox="1">
          <a:spLocks noChangeArrowheads="1"/>
        </xdr:cNvSpPr>
      </xdr:nvSpPr>
      <xdr:spPr bwMode="auto">
        <a:xfrm>
          <a:off x="685800" y="10583333"/>
          <a:ext cx="76200" cy="216959"/>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685800</xdr:colOff>
      <xdr:row>8</xdr:row>
      <xdr:rowOff>47625</xdr:rowOff>
    </xdr:from>
    <xdr:to>
      <xdr:col>0</xdr:col>
      <xdr:colOff>762000</xdr:colOff>
      <xdr:row>9</xdr:row>
      <xdr:rowOff>95250</xdr:rowOff>
    </xdr:to>
    <xdr:sp macro="" textlink="">
      <xdr:nvSpPr>
        <xdr:cNvPr id="42861"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466850"/>
          <a:ext cx="76200" cy="219075"/>
        </a:xfrm>
        <a:prstGeom prst="rect">
          <a:avLst/>
        </a:prstGeom>
        <a:noFill/>
        <a:ln w="9525">
          <a:noFill/>
          <a:miter lim="800000"/>
          <a:headEnd/>
          <a:tailEnd/>
        </a:ln>
      </xdr:spPr>
    </xdr:sp>
    <xdr:clientData/>
  </xdr:twoCellAnchor>
  <xdr:twoCellAnchor editAs="oneCell">
    <xdr:from>
      <xdr:col>0</xdr:col>
      <xdr:colOff>685800</xdr:colOff>
      <xdr:row>16</xdr:row>
      <xdr:rowOff>47625</xdr:rowOff>
    </xdr:from>
    <xdr:to>
      <xdr:col>0</xdr:col>
      <xdr:colOff>762000</xdr:colOff>
      <xdr:row>17</xdr:row>
      <xdr:rowOff>95251</xdr:rowOff>
    </xdr:to>
    <xdr:sp macro="" textlink="">
      <xdr:nvSpPr>
        <xdr:cNvPr id="42862" name="Text Box 1">
          <a:extLst>
            <a:ext uri="{FF2B5EF4-FFF2-40B4-BE49-F238E27FC236}">
              <a16:creationId xmlns:a16="http://schemas.microsoft.com/office/drawing/2014/main" id="{00000000-0008-0000-0700-00006EA70000}"/>
            </a:ext>
          </a:extLst>
        </xdr:cNvPr>
        <xdr:cNvSpPr txBox="1">
          <a:spLocks noChangeArrowheads="1"/>
        </xdr:cNvSpPr>
      </xdr:nvSpPr>
      <xdr:spPr bwMode="auto">
        <a:xfrm>
          <a:off x="685800" y="1638300"/>
          <a:ext cx="76200" cy="219075"/>
        </a:xfrm>
        <a:prstGeom prst="rect">
          <a:avLst/>
        </a:prstGeom>
        <a:noFill/>
        <a:ln w="9525">
          <a:noFill/>
          <a:miter lim="800000"/>
          <a:headEnd/>
          <a:tailEnd/>
        </a:ln>
      </xdr:spPr>
    </xdr:sp>
    <xdr:clientData/>
  </xdr:twoCellAnchor>
  <xdr:oneCellAnchor>
    <xdr:from>
      <xdr:col>0</xdr:col>
      <xdr:colOff>685800</xdr:colOff>
      <xdr:row>18</xdr:row>
      <xdr:rowOff>47625</xdr:rowOff>
    </xdr:from>
    <xdr:ext cx="76200" cy="222885"/>
    <xdr:sp macro="" textlink="">
      <xdr:nvSpPr>
        <xdr:cNvPr id="4" name="Text Box 1">
          <a:extLst>
            <a:ext uri="{FF2B5EF4-FFF2-40B4-BE49-F238E27FC236}">
              <a16:creationId xmlns:a16="http://schemas.microsoft.com/office/drawing/2014/main" id="{E9BD6D22-930F-49C7-A06D-3F8982D90775}"/>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19</xdr:row>
      <xdr:rowOff>47625</xdr:rowOff>
    </xdr:from>
    <xdr:ext cx="76200" cy="222885"/>
    <xdr:sp macro="" textlink="">
      <xdr:nvSpPr>
        <xdr:cNvPr id="5" name="Text Box 1">
          <a:extLst>
            <a:ext uri="{FF2B5EF4-FFF2-40B4-BE49-F238E27FC236}">
              <a16:creationId xmlns:a16="http://schemas.microsoft.com/office/drawing/2014/main" id="{A498EC7C-4C4E-431D-88F0-8F63E68415E5}"/>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21</xdr:row>
      <xdr:rowOff>47625</xdr:rowOff>
    </xdr:from>
    <xdr:ext cx="76200" cy="222885"/>
    <xdr:sp macro="" textlink="">
      <xdr:nvSpPr>
        <xdr:cNvPr id="6" name="Text Box 1">
          <a:extLst>
            <a:ext uri="{FF2B5EF4-FFF2-40B4-BE49-F238E27FC236}">
              <a16:creationId xmlns:a16="http://schemas.microsoft.com/office/drawing/2014/main" id="{C4B2FB98-4245-4398-8F95-9AC5F181CC8C}"/>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22</xdr:row>
      <xdr:rowOff>47625</xdr:rowOff>
    </xdr:from>
    <xdr:ext cx="76200" cy="222885"/>
    <xdr:sp macro="" textlink="">
      <xdr:nvSpPr>
        <xdr:cNvPr id="7" name="Text Box 1">
          <a:extLst>
            <a:ext uri="{FF2B5EF4-FFF2-40B4-BE49-F238E27FC236}">
              <a16:creationId xmlns:a16="http://schemas.microsoft.com/office/drawing/2014/main" id="{FDF30CF9-AE68-4768-AEDF-836019E5ADA1}"/>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24</xdr:row>
      <xdr:rowOff>47625</xdr:rowOff>
    </xdr:from>
    <xdr:ext cx="76200" cy="222885"/>
    <xdr:sp macro="" textlink="">
      <xdr:nvSpPr>
        <xdr:cNvPr id="8" name="Text Box 1">
          <a:extLst>
            <a:ext uri="{FF2B5EF4-FFF2-40B4-BE49-F238E27FC236}">
              <a16:creationId xmlns:a16="http://schemas.microsoft.com/office/drawing/2014/main" id="{259E80B3-D046-4F6B-8472-278CE8CAA270}"/>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25</xdr:row>
      <xdr:rowOff>47625</xdr:rowOff>
    </xdr:from>
    <xdr:ext cx="76200" cy="222885"/>
    <xdr:sp macro="" textlink="">
      <xdr:nvSpPr>
        <xdr:cNvPr id="9" name="Text Box 1">
          <a:extLst>
            <a:ext uri="{FF2B5EF4-FFF2-40B4-BE49-F238E27FC236}">
              <a16:creationId xmlns:a16="http://schemas.microsoft.com/office/drawing/2014/main" id="{DC59651C-32B6-456D-9EBB-503E7082B992}"/>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27</xdr:row>
      <xdr:rowOff>47625</xdr:rowOff>
    </xdr:from>
    <xdr:ext cx="76200" cy="222885"/>
    <xdr:sp macro="" textlink="">
      <xdr:nvSpPr>
        <xdr:cNvPr id="10" name="Text Box 1">
          <a:extLst>
            <a:ext uri="{FF2B5EF4-FFF2-40B4-BE49-F238E27FC236}">
              <a16:creationId xmlns:a16="http://schemas.microsoft.com/office/drawing/2014/main" id="{BF420236-1C13-42B6-96CC-3EA344C53BD8}"/>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28</xdr:row>
      <xdr:rowOff>47625</xdr:rowOff>
    </xdr:from>
    <xdr:ext cx="76200" cy="222885"/>
    <xdr:sp macro="" textlink="">
      <xdr:nvSpPr>
        <xdr:cNvPr id="11" name="Text Box 1">
          <a:extLst>
            <a:ext uri="{FF2B5EF4-FFF2-40B4-BE49-F238E27FC236}">
              <a16:creationId xmlns:a16="http://schemas.microsoft.com/office/drawing/2014/main" id="{448B220B-388E-48DB-9CE6-1179A9CC5B7E}"/>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30</xdr:row>
      <xdr:rowOff>47625</xdr:rowOff>
    </xdr:from>
    <xdr:ext cx="76200" cy="222885"/>
    <xdr:sp macro="" textlink="">
      <xdr:nvSpPr>
        <xdr:cNvPr id="12" name="Text Box 1">
          <a:extLst>
            <a:ext uri="{FF2B5EF4-FFF2-40B4-BE49-F238E27FC236}">
              <a16:creationId xmlns:a16="http://schemas.microsoft.com/office/drawing/2014/main" id="{C79195F8-E66D-44C7-BA6D-4FD9CB574FA3}"/>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31</xdr:row>
      <xdr:rowOff>47625</xdr:rowOff>
    </xdr:from>
    <xdr:ext cx="76200" cy="222885"/>
    <xdr:sp macro="" textlink="">
      <xdr:nvSpPr>
        <xdr:cNvPr id="13" name="Text Box 1">
          <a:extLst>
            <a:ext uri="{FF2B5EF4-FFF2-40B4-BE49-F238E27FC236}">
              <a16:creationId xmlns:a16="http://schemas.microsoft.com/office/drawing/2014/main" id="{E98EE586-3EFE-4F65-A15A-A44D29B76AEC}"/>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33</xdr:row>
      <xdr:rowOff>47625</xdr:rowOff>
    </xdr:from>
    <xdr:ext cx="76200" cy="222885"/>
    <xdr:sp macro="" textlink="">
      <xdr:nvSpPr>
        <xdr:cNvPr id="14" name="Text Box 1">
          <a:extLst>
            <a:ext uri="{FF2B5EF4-FFF2-40B4-BE49-F238E27FC236}">
              <a16:creationId xmlns:a16="http://schemas.microsoft.com/office/drawing/2014/main" id="{473333A4-BCE1-4734-953D-B2DA9757E7F1}"/>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34</xdr:row>
      <xdr:rowOff>47625</xdr:rowOff>
    </xdr:from>
    <xdr:ext cx="76200" cy="222885"/>
    <xdr:sp macro="" textlink="">
      <xdr:nvSpPr>
        <xdr:cNvPr id="15" name="Text Box 1">
          <a:extLst>
            <a:ext uri="{FF2B5EF4-FFF2-40B4-BE49-F238E27FC236}">
              <a16:creationId xmlns:a16="http://schemas.microsoft.com/office/drawing/2014/main" id="{0C5612D6-487E-4DB3-988C-12C24E77AB65}"/>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36</xdr:row>
      <xdr:rowOff>47625</xdr:rowOff>
    </xdr:from>
    <xdr:ext cx="76200" cy="222885"/>
    <xdr:sp macro="" textlink="">
      <xdr:nvSpPr>
        <xdr:cNvPr id="16" name="Text Box 1">
          <a:extLst>
            <a:ext uri="{FF2B5EF4-FFF2-40B4-BE49-F238E27FC236}">
              <a16:creationId xmlns:a16="http://schemas.microsoft.com/office/drawing/2014/main" id="{27000B00-AB46-40F7-AEE7-C1F16B503CC7}"/>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37</xdr:row>
      <xdr:rowOff>47625</xdr:rowOff>
    </xdr:from>
    <xdr:ext cx="76200" cy="222885"/>
    <xdr:sp macro="" textlink="">
      <xdr:nvSpPr>
        <xdr:cNvPr id="17" name="Text Box 1">
          <a:extLst>
            <a:ext uri="{FF2B5EF4-FFF2-40B4-BE49-F238E27FC236}">
              <a16:creationId xmlns:a16="http://schemas.microsoft.com/office/drawing/2014/main" id="{91478A62-FB04-4C9B-BA06-3D4579E54FF6}"/>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39</xdr:row>
      <xdr:rowOff>47625</xdr:rowOff>
    </xdr:from>
    <xdr:ext cx="76200" cy="222885"/>
    <xdr:sp macro="" textlink="">
      <xdr:nvSpPr>
        <xdr:cNvPr id="18" name="Text Box 1">
          <a:extLst>
            <a:ext uri="{FF2B5EF4-FFF2-40B4-BE49-F238E27FC236}">
              <a16:creationId xmlns:a16="http://schemas.microsoft.com/office/drawing/2014/main" id="{A134EE44-E7A1-47F2-9AE0-CCFCA661FD5F}"/>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40</xdr:row>
      <xdr:rowOff>47625</xdr:rowOff>
    </xdr:from>
    <xdr:ext cx="76200" cy="222885"/>
    <xdr:sp macro="" textlink="">
      <xdr:nvSpPr>
        <xdr:cNvPr id="19" name="Text Box 1">
          <a:extLst>
            <a:ext uri="{FF2B5EF4-FFF2-40B4-BE49-F238E27FC236}">
              <a16:creationId xmlns:a16="http://schemas.microsoft.com/office/drawing/2014/main" id="{94FA8BFD-B7F5-46E3-BAB7-F02726FD5A22}"/>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42</xdr:row>
      <xdr:rowOff>47625</xdr:rowOff>
    </xdr:from>
    <xdr:ext cx="76200" cy="222885"/>
    <xdr:sp macro="" textlink="">
      <xdr:nvSpPr>
        <xdr:cNvPr id="20" name="Text Box 1">
          <a:extLst>
            <a:ext uri="{FF2B5EF4-FFF2-40B4-BE49-F238E27FC236}">
              <a16:creationId xmlns:a16="http://schemas.microsoft.com/office/drawing/2014/main" id="{840EA35E-3618-48BE-AE09-AED6253D08B2}"/>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43</xdr:row>
      <xdr:rowOff>47625</xdr:rowOff>
    </xdr:from>
    <xdr:ext cx="76200" cy="222885"/>
    <xdr:sp macro="" textlink="">
      <xdr:nvSpPr>
        <xdr:cNvPr id="21" name="Text Box 1">
          <a:extLst>
            <a:ext uri="{FF2B5EF4-FFF2-40B4-BE49-F238E27FC236}">
              <a16:creationId xmlns:a16="http://schemas.microsoft.com/office/drawing/2014/main" id="{B23B36B0-FF09-4680-8BF2-83651021C132}"/>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45</xdr:row>
      <xdr:rowOff>47625</xdr:rowOff>
    </xdr:from>
    <xdr:ext cx="76200" cy="222885"/>
    <xdr:sp macro="" textlink="">
      <xdr:nvSpPr>
        <xdr:cNvPr id="22" name="Text Box 1">
          <a:extLst>
            <a:ext uri="{FF2B5EF4-FFF2-40B4-BE49-F238E27FC236}">
              <a16:creationId xmlns:a16="http://schemas.microsoft.com/office/drawing/2014/main" id="{C8883959-6F4D-4C59-AD18-07B9EC10AFF6}"/>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46</xdr:row>
      <xdr:rowOff>47625</xdr:rowOff>
    </xdr:from>
    <xdr:ext cx="76200" cy="222885"/>
    <xdr:sp macro="" textlink="">
      <xdr:nvSpPr>
        <xdr:cNvPr id="23" name="Text Box 1">
          <a:extLst>
            <a:ext uri="{FF2B5EF4-FFF2-40B4-BE49-F238E27FC236}">
              <a16:creationId xmlns:a16="http://schemas.microsoft.com/office/drawing/2014/main" id="{1172471F-4B54-4A89-AD6D-CEDA07344E09}"/>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48</xdr:row>
      <xdr:rowOff>47625</xdr:rowOff>
    </xdr:from>
    <xdr:ext cx="76200" cy="222885"/>
    <xdr:sp macro="" textlink="">
      <xdr:nvSpPr>
        <xdr:cNvPr id="24" name="Text Box 1">
          <a:extLst>
            <a:ext uri="{FF2B5EF4-FFF2-40B4-BE49-F238E27FC236}">
              <a16:creationId xmlns:a16="http://schemas.microsoft.com/office/drawing/2014/main" id="{91DD73FF-A982-4E1B-BE31-2CFDAF1BE37A}"/>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49</xdr:row>
      <xdr:rowOff>47625</xdr:rowOff>
    </xdr:from>
    <xdr:ext cx="76200" cy="222885"/>
    <xdr:sp macro="" textlink="">
      <xdr:nvSpPr>
        <xdr:cNvPr id="25" name="Text Box 1">
          <a:extLst>
            <a:ext uri="{FF2B5EF4-FFF2-40B4-BE49-F238E27FC236}">
              <a16:creationId xmlns:a16="http://schemas.microsoft.com/office/drawing/2014/main" id="{0C9A581D-F9DC-429A-9B86-02F384A38E9D}"/>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51</xdr:row>
      <xdr:rowOff>47625</xdr:rowOff>
    </xdr:from>
    <xdr:ext cx="76200" cy="222885"/>
    <xdr:sp macro="" textlink="">
      <xdr:nvSpPr>
        <xdr:cNvPr id="26" name="Text Box 1">
          <a:extLst>
            <a:ext uri="{FF2B5EF4-FFF2-40B4-BE49-F238E27FC236}">
              <a16:creationId xmlns:a16="http://schemas.microsoft.com/office/drawing/2014/main" id="{52590A21-5CC8-43F2-8D02-198007728252}"/>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52</xdr:row>
      <xdr:rowOff>47625</xdr:rowOff>
    </xdr:from>
    <xdr:ext cx="76200" cy="222885"/>
    <xdr:sp macro="" textlink="">
      <xdr:nvSpPr>
        <xdr:cNvPr id="27" name="Text Box 1">
          <a:extLst>
            <a:ext uri="{FF2B5EF4-FFF2-40B4-BE49-F238E27FC236}">
              <a16:creationId xmlns:a16="http://schemas.microsoft.com/office/drawing/2014/main" id="{E3DCAAA9-F696-43A4-A43D-70BDFD309CBB}"/>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54</xdr:row>
      <xdr:rowOff>47625</xdr:rowOff>
    </xdr:from>
    <xdr:ext cx="76200" cy="222885"/>
    <xdr:sp macro="" textlink="">
      <xdr:nvSpPr>
        <xdr:cNvPr id="28" name="Text Box 1">
          <a:extLst>
            <a:ext uri="{FF2B5EF4-FFF2-40B4-BE49-F238E27FC236}">
              <a16:creationId xmlns:a16="http://schemas.microsoft.com/office/drawing/2014/main" id="{47F57D06-2895-4527-B0F0-309C189D78FD}"/>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55</xdr:row>
      <xdr:rowOff>47625</xdr:rowOff>
    </xdr:from>
    <xdr:ext cx="76200" cy="222885"/>
    <xdr:sp macro="" textlink="">
      <xdr:nvSpPr>
        <xdr:cNvPr id="29" name="Text Box 1">
          <a:extLst>
            <a:ext uri="{FF2B5EF4-FFF2-40B4-BE49-F238E27FC236}">
              <a16:creationId xmlns:a16="http://schemas.microsoft.com/office/drawing/2014/main" id="{02DB1CC1-CE7C-4512-8CD1-04250D0D4AFF}"/>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58</xdr:row>
      <xdr:rowOff>47625</xdr:rowOff>
    </xdr:from>
    <xdr:ext cx="76200" cy="222885"/>
    <xdr:sp macro="" textlink="">
      <xdr:nvSpPr>
        <xdr:cNvPr id="30" name="Text Box 1">
          <a:extLst>
            <a:ext uri="{FF2B5EF4-FFF2-40B4-BE49-F238E27FC236}">
              <a16:creationId xmlns:a16="http://schemas.microsoft.com/office/drawing/2014/main" id="{D01E604B-E859-407E-9EDF-C5CEC81003C6}"/>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59</xdr:row>
      <xdr:rowOff>47625</xdr:rowOff>
    </xdr:from>
    <xdr:ext cx="76200" cy="222885"/>
    <xdr:sp macro="" textlink="">
      <xdr:nvSpPr>
        <xdr:cNvPr id="31" name="Text Box 1">
          <a:extLst>
            <a:ext uri="{FF2B5EF4-FFF2-40B4-BE49-F238E27FC236}">
              <a16:creationId xmlns:a16="http://schemas.microsoft.com/office/drawing/2014/main" id="{79B123C6-87A4-430A-9B64-7F3D7C5738E1}"/>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63</xdr:row>
      <xdr:rowOff>47625</xdr:rowOff>
    </xdr:from>
    <xdr:ext cx="76200" cy="222885"/>
    <xdr:sp macro="" textlink="">
      <xdr:nvSpPr>
        <xdr:cNvPr id="32" name="Text Box 1">
          <a:extLst>
            <a:ext uri="{FF2B5EF4-FFF2-40B4-BE49-F238E27FC236}">
              <a16:creationId xmlns:a16="http://schemas.microsoft.com/office/drawing/2014/main" id="{B303E7A0-8B3A-4DD6-9B15-AA0C9B8CBB9F}"/>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64</xdr:row>
      <xdr:rowOff>47625</xdr:rowOff>
    </xdr:from>
    <xdr:ext cx="76200" cy="222885"/>
    <xdr:sp macro="" textlink="">
      <xdr:nvSpPr>
        <xdr:cNvPr id="33" name="Text Box 1">
          <a:extLst>
            <a:ext uri="{FF2B5EF4-FFF2-40B4-BE49-F238E27FC236}">
              <a16:creationId xmlns:a16="http://schemas.microsoft.com/office/drawing/2014/main" id="{A45B0B38-B6CD-4DAB-B2D3-0044AA8E7AA5}"/>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66</xdr:row>
      <xdr:rowOff>47625</xdr:rowOff>
    </xdr:from>
    <xdr:ext cx="76200" cy="222885"/>
    <xdr:sp macro="" textlink="">
      <xdr:nvSpPr>
        <xdr:cNvPr id="34" name="Text Box 1">
          <a:extLst>
            <a:ext uri="{FF2B5EF4-FFF2-40B4-BE49-F238E27FC236}">
              <a16:creationId xmlns:a16="http://schemas.microsoft.com/office/drawing/2014/main" id="{5C683704-379F-4E6B-9BB3-51CF4CB61166}"/>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67</xdr:row>
      <xdr:rowOff>47625</xdr:rowOff>
    </xdr:from>
    <xdr:ext cx="76200" cy="222885"/>
    <xdr:sp macro="" textlink="">
      <xdr:nvSpPr>
        <xdr:cNvPr id="35" name="Text Box 1">
          <a:extLst>
            <a:ext uri="{FF2B5EF4-FFF2-40B4-BE49-F238E27FC236}">
              <a16:creationId xmlns:a16="http://schemas.microsoft.com/office/drawing/2014/main" id="{47CC763A-8AE4-48B9-8CC2-C1A11E774A82}"/>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69</xdr:row>
      <xdr:rowOff>47625</xdr:rowOff>
    </xdr:from>
    <xdr:ext cx="76200" cy="222885"/>
    <xdr:sp macro="" textlink="">
      <xdr:nvSpPr>
        <xdr:cNvPr id="36" name="Text Box 1">
          <a:extLst>
            <a:ext uri="{FF2B5EF4-FFF2-40B4-BE49-F238E27FC236}">
              <a16:creationId xmlns:a16="http://schemas.microsoft.com/office/drawing/2014/main" id="{33F4D44D-5124-4213-8B7F-5D8582C98C88}"/>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70</xdr:row>
      <xdr:rowOff>47625</xdr:rowOff>
    </xdr:from>
    <xdr:ext cx="76200" cy="222885"/>
    <xdr:sp macro="" textlink="">
      <xdr:nvSpPr>
        <xdr:cNvPr id="37" name="Text Box 1">
          <a:extLst>
            <a:ext uri="{FF2B5EF4-FFF2-40B4-BE49-F238E27FC236}">
              <a16:creationId xmlns:a16="http://schemas.microsoft.com/office/drawing/2014/main" id="{65183DE7-4B48-4063-8DB1-397BE32387FF}"/>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2885"/>
    <xdr:sp macro="" textlink="">
      <xdr:nvSpPr>
        <xdr:cNvPr id="38" name="Text Box 1">
          <a:extLst>
            <a:ext uri="{FF2B5EF4-FFF2-40B4-BE49-F238E27FC236}">
              <a16:creationId xmlns:a16="http://schemas.microsoft.com/office/drawing/2014/main" id="{A62EC7AE-80A6-438B-B039-96C05C3772C4}"/>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73</xdr:row>
      <xdr:rowOff>47625</xdr:rowOff>
    </xdr:from>
    <xdr:ext cx="76200" cy="222885"/>
    <xdr:sp macro="" textlink="">
      <xdr:nvSpPr>
        <xdr:cNvPr id="39" name="Text Box 1">
          <a:extLst>
            <a:ext uri="{FF2B5EF4-FFF2-40B4-BE49-F238E27FC236}">
              <a16:creationId xmlns:a16="http://schemas.microsoft.com/office/drawing/2014/main" id="{58804412-4065-4EC9-8762-69488A64DF2A}"/>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75</xdr:row>
      <xdr:rowOff>47625</xdr:rowOff>
    </xdr:from>
    <xdr:ext cx="76200" cy="222885"/>
    <xdr:sp macro="" textlink="">
      <xdr:nvSpPr>
        <xdr:cNvPr id="40" name="Text Box 1">
          <a:extLst>
            <a:ext uri="{FF2B5EF4-FFF2-40B4-BE49-F238E27FC236}">
              <a16:creationId xmlns:a16="http://schemas.microsoft.com/office/drawing/2014/main" id="{09002025-41C5-4617-95EF-9CF270340432}"/>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2885"/>
    <xdr:sp macro="" textlink="">
      <xdr:nvSpPr>
        <xdr:cNvPr id="41" name="Text Box 1">
          <a:extLst>
            <a:ext uri="{FF2B5EF4-FFF2-40B4-BE49-F238E27FC236}">
              <a16:creationId xmlns:a16="http://schemas.microsoft.com/office/drawing/2014/main" id="{771F135B-2BAB-4E7F-A8DC-6A3E598DEE81}"/>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2885"/>
    <xdr:sp macro="" textlink="">
      <xdr:nvSpPr>
        <xdr:cNvPr id="42" name="Text Box 1">
          <a:extLst>
            <a:ext uri="{FF2B5EF4-FFF2-40B4-BE49-F238E27FC236}">
              <a16:creationId xmlns:a16="http://schemas.microsoft.com/office/drawing/2014/main" id="{4B9DB9DC-52FC-4F5F-B2B9-C1DD3EE60AAA}"/>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79</xdr:row>
      <xdr:rowOff>47625</xdr:rowOff>
    </xdr:from>
    <xdr:ext cx="76200" cy="222885"/>
    <xdr:sp macro="" textlink="">
      <xdr:nvSpPr>
        <xdr:cNvPr id="43" name="Text Box 1">
          <a:extLst>
            <a:ext uri="{FF2B5EF4-FFF2-40B4-BE49-F238E27FC236}">
              <a16:creationId xmlns:a16="http://schemas.microsoft.com/office/drawing/2014/main" id="{0CDA1089-D327-48DB-A88B-9A815AA7EFD1}"/>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81</xdr:row>
      <xdr:rowOff>47625</xdr:rowOff>
    </xdr:from>
    <xdr:ext cx="76200" cy="222885"/>
    <xdr:sp macro="" textlink="">
      <xdr:nvSpPr>
        <xdr:cNvPr id="44" name="Text Box 1">
          <a:extLst>
            <a:ext uri="{FF2B5EF4-FFF2-40B4-BE49-F238E27FC236}">
              <a16:creationId xmlns:a16="http://schemas.microsoft.com/office/drawing/2014/main" id="{5DEA8DEB-E469-4A30-AB65-17D01DBA6743}"/>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2885"/>
    <xdr:sp macro="" textlink="">
      <xdr:nvSpPr>
        <xdr:cNvPr id="45" name="Text Box 1">
          <a:extLst>
            <a:ext uri="{FF2B5EF4-FFF2-40B4-BE49-F238E27FC236}">
              <a16:creationId xmlns:a16="http://schemas.microsoft.com/office/drawing/2014/main" id="{CF833B27-5EB9-49BD-A165-BAE6527B55BD}"/>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84</xdr:row>
      <xdr:rowOff>47625</xdr:rowOff>
    </xdr:from>
    <xdr:ext cx="76200" cy="222885"/>
    <xdr:sp macro="" textlink="">
      <xdr:nvSpPr>
        <xdr:cNvPr id="46" name="Text Box 1">
          <a:extLst>
            <a:ext uri="{FF2B5EF4-FFF2-40B4-BE49-F238E27FC236}">
              <a16:creationId xmlns:a16="http://schemas.microsoft.com/office/drawing/2014/main" id="{EB449ABB-2AF2-475C-B3CE-8B32565FBCBE}"/>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85</xdr:row>
      <xdr:rowOff>47625</xdr:rowOff>
    </xdr:from>
    <xdr:ext cx="76200" cy="222885"/>
    <xdr:sp macro="" textlink="">
      <xdr:nvSpPr>
        <xdr:cNvPr id="47" name="Text Box 1">
          <a:extLst>
            <a:ext uri="{FF2B5EF4-FFF2-40B4-BE49-F238E27FC236}">
              <a16:creationId xmlns:a16="http://schemas.microsoft.com/office/drawing/2014/main" id="{2927C10A-23EF-4E93-A718-40AF332B3903}"/>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2885"/>
    <xdr:sp macro="" textlink="">
      <xdr:nvSpPr>
        <xdr:cNvPr id="48" name="Text Box 1">
          <a:extLst>
            <a:ext uri="{FF2B5EF4-FFF2-40B4-BE49-F238E27FC236}">
              <a16:creationId xmlns:a16="http://schemas.microsoft.com/office/drawing/2014/main" id="{081FFC78-D528-45CB-B4A0-B4BFE0F83FC2}"/>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88</xdr:row>
      <xdr:rowOff>47625</xdr:rowOff>
    </xdr:from>
    <xdr:ext cx="76200" cy="222885"/>
    <xdr:sp macro="" textlink="">
      <xdr:nvSpPr>
        <xdr:cNvPr id="49" name="Text Box 1">
          <a:extLst>
            <a:ext uri="{FF2B5EF4-FFF2-40B4-BE49-F238E27FC236}">
              <a16:creationId xmlns:a16="http://schemas.microsoft.com/office/drawing/2014/main" id="{5FF9A165-9181-493C-981F-59143D791F4E}"/>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90</xdr:row>
      <xdr:rowOff>47625</xdr:rowOff>
    </xdr:from>
    <xdr:ext cx="76200" cy="222885"/>
    <xdr:sp macro="" textlink="">
      <xdr:nvSpPr>
        <xdr:cNvPr id="50" name="Text Box 1">
          <a:extLst>
            <a:ext uri="{FF2B5EF4-FFF2-40B4-BE49-F238E27FC236}">
              <a16:creationId xmlns:a16="http://schemas.microsoft.com/office/drawing/2014/main" id="{CEE7062D-E2BA-46B6-B3B3-C733CBE35957}"/>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91</xdr:row>
      <xdr:rowOff>47625</xdr:rowOff>
    </xdr:from>
    <xdr:ext cx="76200" cy="222885"/>
    <xdr:sp macro="" textlink="">
      <xdr:nvSpPr>
        <xdr:cNvPr id="51" name="Text Box 1">
          <a:extLst>
            <a:ext uri="{FF2B5EF4-FFF2-40B4-BE49-F238E27FC236}">
              <a16:creationId xmlns:a16="http://schemas.microsoft.com/office/drawing/2014/main" id="{6637B424-4330-4FD2-96E0-460D7A66186F}"/>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93</xdr:row>
      <xdr:rowOff>47625</xdr:rowOff>
    </xdr:from>
    <xdr:ext cx="76200" cy="222885"/>
    <xdr:sp macro="" textlink="">
      <xdr:nvSpPr>
        <xdr:cNvPr id="52" name="Text Box 1">
          <a:extLst>
            <a:ext uri="{FF2B5EF4-FFF2-40B4-BE49-F238E27FC236}">
              <a16:creationId xmlns:a16="http://schemas.microsoft.com/office/drawing/2014/main" id="{29425C2E-E057-4236-8B7A-453D4C5E2211}"/>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94</xdr:row>
      <xdr:rowOff>47625</xdr:rowOff>
    </xdr:from>
    <xdr:ext cx="76200" cy="222885"/>
    <xdr:sp macro="" textlink="">
      <xdr:nvSpPr>
        <xdr:cNvPr id="53" name="Text Box 1">
          <a:extLst>
            <a:ext uri="{FF2B5EF4-FFF2-40B4-BE49-F238E27FC236}">
              <a16:creationId xmlns:a16="http://schemas.microsoft.com/office/drawing/2014/main" id="{47EEDE6D-B1BE-4A0A-9D40-AA4F01F8B920}"/>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96</xdr:row>
      <xdr:rowOff>47625</xdr:rowOff>
    </xdr:from>
    <xdr:ext cx="76200" cy="222885"/>
    <xdr:sp macro="" textlink="">
      <xdr:nvSpPr>
        <xdr:cNvPr id="54" name="Text Box 1">
          <a:extLst>
            <a:ext uri="{FF2B5EF4-FFF2-40B4-BE49-F238E27FC236}">
              <a16:creationId xmlns:a16="http://schemas.microsoft.com/office/drawing/2014/main" id="{065870BB-79D4-4908-898E-B4E62163CC1B}"/>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97</xdr:row>
      <xdr:rowOff>47625</xdr:rowOff>
    </xdr:from>
    <xdr:ext cx="76200" cy="222885"/>
    <xdr:sp macro="" textlink="">
      <xdr:nvSpPr>
        <xdr:cNvPr id="55" name="Text Box 1">
          <a:extLst>
            <a:ext uri="{FF2B5EF4-FFF2-40B4-BE49-F238E27FC236}">
              <a16:creationId xmlns:a16="http://schemas.microsoft.com/office/drawing/2014/main" id="{DBF0BFA6-D28B-4834-82E3-A7A856E8CBFE}"/>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99</xdr:row>
      <xdr:rowOff>47625</xdr:rowOff>
    </xdr:from>
    <xdr:ext cx="76200" cy="222885"/>
    <xdr:sp macro="" textlink="">
      <xdr:nvSpPr>
        <xdr:cNvPr id="56" name="Text Box 1">
          <a:extLst>
            <a:ext uri="{FF2B5EF4-FFF2-40B4-BE49-F238E27FC236}">
              <a16:creationId xmlns:a16="http://schemas.microsoft.com/office/drawing/2014/main" id="{FE790143-C00F-44E2-AB6F-531B1F659DEA}"/>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100</xdr:row>
      <xdr:rowOff>47625</xdr:rowOff>
    </xdr:from>
    <xdr:ext cx="76200" cy="222885"/>
    <xdr:sp macro="" textlink="">
      <xdr:nvSpPr>
        <xdr:cNvPr id="57" name="Text Box 1">
          <a:extLst>
            <a:ext uri="{FF2B5EF4-FFF2-40B4-BE49-F238E27FC236}">
              <a16:creationId xmlns:a16="http://schemas.microsoft.com/office/drawing/2014/main" id="{54C3C34A-DF52-4B44-B94F-403601302CCF}"/>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102</xdr:row>
      <xdr:rowOff>47625</xdr:rowOff>
    </xdr:from>
    <xdr:ext cx="76200" cy="222885"/>
    <xdr:sp macro="" textlink="">
      <xdr:nvSpPr>
        <xdr:cNvPr id="58" name="Text Box 1">
          <a:extLst>
            <a:ext uri="{FF2B5EF4-FFF2-40B4-BE49-F238E27FC236}">
              <a16:creationId xmlns:a16="http://schemas.microsoft.com/office/drawing/2014/main" id="{DB0651CE-CE05-45EB-AF6A-E801C15A085C}"/>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103</xdr:row>
      <xdr:rowOff>47625</xdr:rowOff>
    </xdr:from>
    <xdr:ext cx="76200" cy="222885"/>
    <xdr:sp macro="" textlink="">
      <xdr:nvSpPr>
        <xdr:cNvPr id="59" name="Text Box 1">
          <a:extLst>
            <a:ext uri="{FF2B5EF4-FFF2-40B4-BE49-F238E27FC236}">
              <a16:creationId xmlns:a16="http://schemas.microsoft.com/office/drawing/2014/main" id="{ACB56449-630E-458A-BFC1-BD307F0BFDC4}"/>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105</xdr:row>
      <xdr:rowOff>47625</xdr:rowOff>
    </xdr:from>
    <xdr:ext cx="76200" cy="222885"/>
    <xdr:sp macro="" textlink="">
      <xdr:nvSpPr>
        <xdr:cNvPr id="60" name="Text Box 1">
          <a:extLst>
            <a:ext uri="{FF2B5EF4-FFF2-40B4-BE49-F238E27FC236}">
              <a16:creationId xmlns:a16="http://schemas.microsoft.com/office/drawing/2014/main" id="{10BBA3EF-76EE-4964-9C4C-4DC30B099DE5}"/>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106</xdr:row>
      <xdr:rowOff>47625</xdr:rowOff>
    </xdr:from>
    <xdr:ext cx="76200" cy="222885"/>
    <xdr:sp macro="" textlink="">
      <xdr:nvSpPr>
        <xdr:cNvPr id="61" name="Text Box 1">
          <a:extLst>
            <a:ext uri="{FF2B5EF4-FFF2-40B4-BE49-F238E27FC236}">
              <a16:creationId xmlns:a16="http://schemas.microsoft.com/office/drawing/2014/main" id="{56F15F87-2913-4D6A-9A0C-D2C90B809B28}"/>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108</xdr:row>
      <xdr:rowOff>47625</xdr:rowOff>
    </xdr:from>
    <xdr:ext cx="76200" cy="222885"/>
    <xdr:sp macro="" textlink="">
      <xdr:nvSpPr>
        <xdr:cNvPr id="62" name="Text Box 1">
          <a:extLst>
            <a:ext uri="{FF2B5EF4-FFF2-40B4-BE49-F238E27FC236}">
              <a16:creationId xmlns:a16="http://schemas.microsoft.com/office/drawing/2014/main" id="{8E65E51D-E98D-4E58-B712-66231FA1EA8C}"/>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109</xdr:row>
      <xdr:rowOff>47625</xdr:rowOff>
    </xdr:from>
    <xdr:ext cx="76200" cy="222885"/>
    <xdr:sp macro="" textlink="">
      <xdr:nvSpPr>
        <xdr:cNvPr id="63" name="Text Box 1">
          <a:extLst>
            <a:ext uri="{FF2B5EF4-FFF2-40B4-BE49-F238E27FC236}">
              <a16:creationId xmlns:a16="http://schemas.microsoft.com/office/drawing/2014/main" id="{47E14DE2-859A-43AF-A2DC-D6009C012829}"/>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2885"/>
    <xdr:sp macro="" textlink="">
      <xdr:nvSpPr>
        <xdr:cNvPr id="64" name="Text Box 1">
          <a:extLst>
            <a:ext uri="{FF2B5EF4-FFF2-40B4-BE49-F238E27FC236}">
              <a16:creationId xmlns:a16="http://schemas.microsoft.com/office/drawing/2014/main" id="{496AE600-91AE-4AF1-A855-8FB8E1544ED3}"/>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112</xdr:row>
      <xdr:rowOff>47625</xdr:rowOff>
    </xdr:from>
    <xdr:ext cx="76200" cy="222885"/>
    <xdr:sp macro="" textlink="">
      <xdr:nvSpPr>
        <xdr:cNvPr id="65" name="Text Box 1">
          <a:extLst>
            <a:ext uri="{FF2B5EF4-FFF2-40B4-BE49-F238E27FC236}">
              <a16:creationId xmlns:a16="http://schemas.microsoft.com/office/drawing/2014/main" id="{A1EF1A9D-429D-419B-8B54-E6E28461F5A4}"/>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114</xdr:row>
      <xdr:rowOff>47625</xdr:rowOff>
    </xdr:from>
    <xdr:ext cx="76200" cy="222885"/>
    <xdr:sp macro="" textlink="">
      <xdr:nvSpPr>
        <xdr:cNvPr id="66" name="Text Box 1">
          <a:extLst>
            <a:ext uri="{FF2B5EF4-FFF2-40B4-BE49-F238E27FC236}">
              <a16:creationId xmlns:a16="http://schemas.microsoft.com/office/drawing/2014/main" id="{5C47BD3D-FBF8-4D49-994B-7D2D74A1220D}"/>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115</xdr:row>
      <xdr:rowOff>47625</xdr:rowOff>
    </xdr:from>
    <xdr:ext cx="76200" cy="222885"/>
    <xdr:sp macro="" textlink="">
      <xdr:nvSpPr>
        <xdr:cNvPr id="67" name="Text Box 1">
          <a:extLst>
            <a:ext uri="{FF2B5EF4-FFF2-40B4-BE49-F238E27FC236}">
              <a16:creationId xmlns:a16="http://schemas.microsoft.com/office/drawing/2014/main" id="{48C4D019-DD72-4A69-92F7-518FFFA23C10}"/>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117</xdr:row>
      <xdr:rowOff>47625</xdr:rowOff>
    </xdr:from>
    <xdr:ext cx="76200" cy="222885"/>
    <xdr:sp macro="" textlink="">
      <xdr:nvSpPr>
        <xdr:cNvPr id="68" name="Text Box 1">
          <a:extLst>
            <a:ext uri="{FF2B5EF4-FFF2-40B4-BE49-F238E27FC236}">
              <a16:creationId xmlns:a16="http://schemas.microsoft.com/office/drawing/2014/main" id="{4CE75412-4C9F-4D84-A4C9-1C3E03E63844}"/>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2885"/>
    <xdr:sp macro="" textlink="">
      <xdr:nvSpPr>
        <xdr:cNvPr id="69" name="Text Box 1">
          <a:extLst>
            <a:ext uri="{FF2B5EF4-FFF2-40B4-BE49-F238E27FC236}">
              <a16:creationId xmlns:a16="http://schemas.microsoft.com/office/drawing/2014/main" id="{38A4B8EC-FC14-4016-B3C1-7F608ED76E72}"/>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120</xdr:row>
      <xdr:rowOff>47625</xdr:rowOff>
    </xdr:from>
    <xdr:ext cx="76200" cy="222885"/>
    <xdr:sp macro="" textlink="">
      <xdr:nvSpPr>
        <xdr:cNvPr id="70" name="Text Box 1">
          <a:extLst>
            <a:ext uri="{FF2B5EF4-FFF2-40B4-BE49-F238E27FC236}">
              <a16:creationId xmlns:a16="http://schemas.microsoft.com/office/drawing/2014/main" id="{F476040A-7060-4907-808D-94BFD1050018}"/>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121</xdr:row>
      <xdr:rowOff>47625</xdr:rowOff>
    </xdr:from>
    <xdr:ext cx="76200" cy="222885"/>
    <xdr:sp macro="" textlink="">
      <xdr:nvSpPr>
        <xdr:cNvPr id="71" name="Text Box 1">
          <a:extLst>
            <a:ext uri="{FF2B5EF4-FFF2-40B4-BE49-F238E27FC236}">
              <a16:creationId xmlns:a16="http://schemas.microsoft.com/office/drawing/2014/main" id="{92D88F8B-EDED-444E-8B8D-DAEA32766378}"/>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2885"/>
    <xdr:sp macro="" textlink="">
      <xdr:nvSpPr>
        <xdr:cNvPr id="72" name="Text Box 1">
          <a:extLst>
            <a:ext uri="{FF2B5EF4-FFF2-40B4-BE49-F238E27FC236}">
              <a16:creationId xmlns:a16="http://schemas.microsoft.com/office/drawing/2014/main" id="{69F06984-6DBA-44BC-B21D-B704D8F06AF4}"/>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2885"/>
    <xdr:sp macro="" textlink="">
      <xdr:nvSpPr>
        <xdr:cNvPr id="73" name="Text Box 1">
          <a:extLst>
            <a:ext uri="{FF2B5EF4-FFF2-40B4-BE49-F238E27FC236}">
              <a16:creationId xmlns:a16="http://schemas.microsoft.com/office/drawing/2014/main" id="{04A52BE6-0DF7-490C-BF9F-DCB469E7983F}"/>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2885"/>
    <xdr:sp macro="" textlink="">
      <xdr:nvSpPr>
        <xdr:cNvPr id="74" name="Text Box 1">
          <a:extLst>
            <a:ext uri="{FF2B5EF4-FFF2-40B4-BE49-F238E27FC236}">
              <a16:creationId xmlns:a16="http://schemas.microsoft.com/office/drawing/2014/main" id="{67944662-0B4A-49FF-9E1D-87039731FB0D}"/>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127</xdr:row>
      <xdr:rowOff>47625</xdr:rowOff>
    </xdr:from>
    <xdr:ext cx="76200" cy="222885"/>
    <xdr:sp macro="" textlink="">
      <xdr:nvSpPr>
        <xdr:cNvPr id="75" name="Text Box 1">
          <a:extLst>
            <a:ext uri="{FF2B5EF4-FFF2-40B4-BE49-F238E27FC236}">
              <a16:creationId xmlns:a16="http://schemas.microsoft.com/office/drawing/2014/main" id="{FDE01004-0EC0-4432-83D5-839FE9387164}"/>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129</xdr:row>
      <xdr:rowOff>47625</xdr:rowOff>
    </xdr:from>
    <xdr:ext cx="76200" cy="222885"/>
    <xdr:sp macro="" textlink="">
      <xdr:nvSpPr>
        <xdr:cNvPr id="76" name="Text Box 1">
          <a:extLst>
            <a:ext uri="{FF2B5EF4-FFF2-40B4-BE49-F238E27FC236}">
              <a16:creationId xmlns:a16="http://schemas.microsoft.com/office/drawing/2014/main" id="{90924BEE-AF38-41C0-B393-78142E2DD97B}"/>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130</xdr:row>
      <xdr:rowOff>47625</xdr:rowOff>
    </xdr:from>
    <xdr:ext cx="76200" cy="222885"/>
    <xdr:sp macro="" textlink="">
      <xdr:nvSpPr>
        <xdr:cNvPr id="77" name="Text Box 1">
          <a:extLst>
            <a:ext uri="{FF2B5EF4-FFF2-40B4-BE49-F238E27FC236}">
              <a16:creationId xmlns:a16="http://schemas.microsoft.com/office/drawing/2014/main" id="{8997583F-D3AD-471B-9EFB-4FF3ADD94C40}"/>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132</xdr:row>
      <xdr:rowOff>47625</xdr:rowOff>
    </xdr:from>
    <xdr:ext cx="76200" cy="222885"/>
    <xdr:sp macro="" textlink="">
      <xdr:nvSpPr>
        <xdr:cNvPr id="78" name="Text Box 1">
          <a:extLst>
            <a:ext uri="{FF2B5EF4-FFF2-40B4-BE49-F238E27FC236}">
              <a16:creationId xmlns:a16="http://schemas.microsoft.com/office/drawing/2014/main" id="{82E2B7F4-E98D-4B49-BD83-D792561219FA}"/>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133</xdr:row>
      <xdr:rowOff>47625</xdr:rowOff>
    </xdr:from>
    <xdr:ext cx="76200" cy="222885"/>
    <xdr:sp macro="" textlink="">
      <xdr:nvSpPr>
        <xdr:cNvPr id="79" name="Text Box 1">
          <a:extLst>
            <a:ext uri="{FF2B5EF4-FFF2-40B4-BE49-F238E27FC236}">
              <a16:creationId xmlns:a16="http://schemas.microsoft.com/office/drawing/2014/main" id="{48DCFF6C-7F5D-4AA2-ACF9-59B49CE59C39}"/>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135</xdr:row>
      <xdr:rowOff>47625</xdr:rowOff>
    </xdr:from>
    <xdr:ext cx="76200" cy="222885"/>
    <xdr:sp macro="" textlink="">
      <xdr:nvSpPr>
        <xdr:cNvPr id="80" name="Text Box 1">
          <a:extLst>
            <a:ext uri="{FF2B5EF4-FFF2-40B4-BE49-F238E27FC236}">
              <a16:creationId xmlns:a16="http://schemas.microsoft.com/office/drawing/2014/main" id="{02AFEA77-F036-4D0F-953D-F26922336842}"/>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136</xdr:row>
      <xdr:rowOff>47625</xdr:rowOff>
    </xdr:from>
    <xdr:ext cx="76200" cy="222885"/>
    <xdr:sp macro="" textlink="">
      <xdr:nvSpPr>
        <xdr:cNvPr id="81" name="Text Box 1">
          <a:extLst>
            <a:ext uri="{FF2B5EF4-FFF2-40B4-BE49-F238E27FC236}">
              <a16:creationId xmlns:a16="http://schemas.microsoft.com/office/drawing/2014/main" id="{B9510AB6-FC38-4A81-B9B9-2E44296B4358}"/>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138</xdr:row>
      <xdr:rowOff>47625</xdr:rowOff>
    </xdr:from>
    <xdr:ext cx="76200" cy="222885"/>
    <xdr:sp macro="" textlink="">
      <xdr:nvSpPr>
        <xdr:cNvPr id="82" name="Text Box 1">
          <a:extLst>
            <a:ext uri="{FF2B5EF4-FFF2-40B4-BE49-F238E27FC236}">
              <a16:creationId xmlns:a16="http://schemas.microsoft.com/office/drawing/2014/main" id="{3327B302-76FA-42D4-ABCB-0DA941EB6353}"/>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139</xdr:row>
      <xdr:rowOff>47625</xdr:rowOff>
    </xdr:from>
    <xdr:ext cx="76200" cy="222885"/>
    <xdr:sp macro="" textlink="">
      <xdr:nvSpPr>
        <xdr:cNvPr id="83" name="Text Box 1">
          <a:extLst>
            <a:ext uri="{FF2B5EF4-FFF2-40B4-BE49-F238E27FC236}">
              <a16:creationId xmlns:a16="http://schemas.microsoft.com/office/drawing/2014/main" id="{19959606-0E6A-4DA7-8C19-42154B831857}"/>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141</xdr:row>
      <xdr:rowOff>47625</xdr:rowOff>
    </xdr:from>
    <xdr:ext cx="76200" cy="222885"/>
    <xdr:sp macro="" textlink="">
      <xdr:nvSpPr>
        <xdr:cNvPr id="84" name="Text Box 1">
          <a:extLst>
            <a:ext uri="{FF2B5EF4-FFF2-40B4-BE49-F238E27FC236}">
              <a16:creationId xmlns:a16="http://schemas.microsoft.com/office/drawing/2014/main" id="{781CFDD7-3E25-435A-B925-F5C66C27FA07}"/>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142</xdr:row>
      <xdr:rowOff>47625</xdr:rowOff>
    </xdr:from>
    <xdr:ext cx="76200" cy="222885"/>
    <xdr:sp macro="" textlink="">
      <xdr:nvSpPr>
        <xdr:cNvPr id="85" name="Text Box 1">
          <a:extLst>
            <a:ext uri="{FF2B5EF4-FFF2-40B4-BE49-F238E27FC236}">
              <a16:creationId xmlns:a16="http://schemas.microsoft.com/office/drawing/2014/main" id="{B7ED4417-9AF0-4575-A962-480574D6946D}"/>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144</xdr:row>
      <xdr:rowOff>47625</xdr:rowOff>
    </xdr:from>
    <xdr:ext cx="76200" cy="222885"/>
    <xdr:sp macro="" textlink="">
      <xdr:nvSpPr>
        <xdr:cNvPr id="86" name="Text Box 1">
          <a:extLst>
            <a:ext uri="{FF2B5EF4-FFF2-40B4-BE49-F238E27FC236}">
              <a16:creationId xmlns:a16="http://schemas.microsoft.com/office/drawing/2014/main" id="{AAA5C5A6-F885-4800-9ABC-EFF69F721E3D}"/>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145</xdr:row>
      <xdr:rowOff>47625</xdr:rowOff>
    </xdr:from>
    <xdr:ext cx="76200" cy="222885"/>
    <xdr:sp macro="" textlink="">
      <xdr:nvSpPr>
        <xdr:cNvPr id="87" name="Text Box 1">
          <a:extLst>
            <a:ext uri="{FF2B5EF4-FFF2-40B4-BE49-F238E27FC236}">
              <a16:creationId xmlns:a16="http://schemas.microsoft.com/office/drawing/2014/main" id="{FE267441-5633-4893-A82B-4761F079E612}"/>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147</xdr:row>
      <xdr:rowOff>47625</xdr:rowOff>
    </xdr:from>
    <xdr:ext cx="76200" cy="222885"/>
    <xdr:sp macro="" textlink="">
      <xdr:nvSpPr>
        <xdr:cNvPr id="88" name="Text Box 1">
          <a:extLst>
            <a:ext uri="{FF2B5EF4-FFF2-40B4-BE49-F238E27FC236}">
              <a16:creationId xmlns:a16="http://schemas.microsoft.com/office/drawing/2014/main" id="{17FEAFF6-C263-4898-AB04-21AFC1B81395}"/>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148</xdr:row>
      <xdr:rowOff>47625</xdr:rowOff>
    </xdr:from>
    <xdr:ext cx="76200" cy="222885"/>
    <xdr:sp macro="" textlink="">
      <xdr:nvSpPr>
        <xdr:cNvPr id="89" name="Text Box 1">
          <a:extLst>
            <a:ext uri="{FF2B5EF4-FFF2-40B4-BE49-F238E27FC236}">
              <a16:creationId xmlns:a16="http://schemas.microsoft.com/office/drawing/2014/main" id="{8B88AF0A-842C-4752-8153-532504677A63}"/>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150</xdr:row>
      <xdr:rowOff>47625</xdr:rowOff>
    </xdr:from>
    <xdr:ext cx="76200" cy="222885"/>
    <xdr:sp macro="" textlink="">
      <xdr:nvSpPr>
        <xdr:cNvPr id="90" name="Text Box 1">
          <a:extLst>
            <a:ext uri="{FF2B5EF4-FFF2-40B4-BE49-F238E27FC236}">
              <a16:creationId xmlns:a16="http://schemas.microsoft.com/office/drawing/2014/main" id="{A9FC425A-B3D9-48D5-A641-75AD1E01FFE5}"/>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151</xdr:row>
      <xdr:rowOff>47625</xdr:rowOff>
    </xdr:from>
    <xdr:ext cx="76200" cy="222885"/>
    <xdr:sp macro="" textlink="">
      <xdr:nvSpPr>
        <xdr:cNvPr id="91" name="Text Box 1">
          <a:extLst>
            <a:ext uri="{FF2B5EF4-FFF2-40B4-BE49-F238E27FC236}">
              <a16:creationId xmlns:a16="http://schemas.microsoft.com/office/drawing/2014/main" id="{4AE6259F-F7A2-463F-8478-F417CC4FFB7D}"/>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153</xdr:row>
      <xdr:rowOff>47625</xdr:rowOff>
    </xdr:from>
    <xdr:ext cx="76200" cy="222885"/>
    <xdr:sp macro="" textlink="">
      <xdr:nvSpPr>
        <xdr:cNvPr id="92" name="Text Box 1">
          <a:extLst>
            <a:ext uri="{FF2B5EF4-FFF2-40B4-BE49-F238E27FC236}">
              <a16:creationId xmlns:a16="http://schemas.microsoft.com/office/drawing/2014/main" id="{041A206C-61F4-4E66-B786-DA414B649F08}"/>
            </a:ext>
          </a:extLst>
        </xdr:cNvPr>
        <xdr:cNvSpPr txBox="1">
          <a:spLocks noChangeArrowheads="1"/>
        </xdr:cNvSpPr>
      </xdr:nvSpPr>
      <xdr:spPr bwMode="auto">
        <a:xfrm>
          <a:off x="685800" y="1373505"/>
          <a:ext cx="76200" cy="222885"/>
        </a:xfrm>
        <a:prstGeom prst="rect">
          <a:avLst/>
        </a:prstGeom>
        <a:noFill/>
        <a:ln w="9525">
          <a:noFill/>
          <a:miter lim="800000"/>
          <a:headEnd/>
          <a:tailEnd/>
        </a:ln>
      </xdr:spPr>
    </xdr:sp>
    <xdr:clientData/>
  </xdr:oneCellAnchor>
  <xdr:oneCellAnchor>
    <xdr:from>
      <xdr:col>0</xdr:col>
      <xdr:colOff>685800</xdr:colOff>
      <xdr:row>154</xdr:row>
      <xdr:rowOff>47625</xdr:rowOff>
    </xdr:from>
    <xdr:ext cx="76200" cy="222885"/>
    <xdr:sp macro="" textlink="">
      <xdr:nvSpPr>
        <xdr:cNvPr id="93" name="Text Box 1">
          <a:extLst>
            <a:ext uri="{FF2B5EF4-FFF2-40B4-BE49-F238E27FC236}">
              <a16:creationId xmlns:a16="http://schemas.microsoft.com/office/drawing/2014/main" id="{6014E1DD-A79A-40AF-ADCE-C78CE9DA69A8}"/>
            </a:ext>
          </a:extLst>
        </xdr:cNvPr>
        <xdr:cNvSpPr txBox="1">
          <a:spLocks noChangeArrowheads="1"/>
        </xdr:cNvSpPr>
      </xdr:nvSpPr>
      <xdr:spPr bwMode="auto">
        <a:xfrm>
          <a:off x="685800" y="1548765"/>
          <a:ext cx="76200" cy="222885"/>
        </a:xfrm>
        <a:prstGeom prst="rect">
          <a:avLst/>
        </a:prstGeom>
        <a:noFill/>
        <a:ln w="9525">
          <a:noFill/>
          <a:miter lim="800000"/>
          <a:headEnd/>
          <a:tailEnd/>
        </a:ln>
      </xdr:spPr>
    </xdr:sp>
    <xdr:clientData/>
  </xdr:oneCellAnchor>
  <xdr:oneCellAnchor>
    <xdr:from>
      <xdr:col>0</xdr:col>
      <xdr:colOff>685800</xdr:colOff>
      <xdr:row>152</xdr:row>
      <xdr:rowOff>47625</xdr:rowOff>
    </xdr:from>
    <xdr:ext cx="76200" cy="222885"/>
    <xdr:sp macro="" textlink="">
      <xdr:nvSpPr>
        <xdr:cNvPr id="94" name="Text Box 1">
          <a:extLst>
            <a:ext uri="{FF2B5EF4-FFF2-40B4-BE49-F238E27FC236}">
              <a16:creationId xmlns:a16="http://schemas.microsoft.com/office/drawing/2014/main" id="{7EF2087A-08FB-4D75-BEE1-37EEF25441E7}"/>
            </a:ext>
          </a:extLst>
        </xdr:cNvPr>
        <xdr:cNvSpPr txBox="1">
          <a:spLocks noChangeArrowheads="1"/>
        </xdr:cNvSpPr>
      </xdr:nvSpPr>
      <xdr:spPr bwMode="auto">
        <a:xfrm>
          <a:off x="685800" y="19745325"/>
          <a:ext cx="76200" cy="222885"/>
        </a:xfrm>
        <a:prstGeom prst="rect">
          <a:avLst/>
        </a:prstGeom>
        <a:noFill/>
        <a:ln w="9525">
          <a:noFill/>
          <a:miter lim="800000"/>
          <a:headEnd/>
          <a:tailEnd/>
        </a:ln>
      </xdr:spPr>
    </xdr:sp>
    <xdr:clientData/>
  </xdr:oneCellAnchor>
  <xdr:oneCellAnchor>
    <xdr:from>
      <xdr:col>0</xdr:col>
      <xdr:colOff>685800</xdr:colOff>
      <xdr:row>154</xdr:row>
      <xdr:rowOff>47625</xdr:rowOff>
    </xdr:from>
    <xdr:ext cx="76200" cy="222885"/>
    <xdr:sp macro="" textlink="">
      <xdr:nvSpPr>
        <xdr:cNvPr id="95" name="Text Box 1">
          <a:extLst>
            <a:ext uri="{FF2B5EF4-FFF2-40B4-BE49-F238E27FC236}">
              <a16:creationId xmlns:a16="http://schemas.microsoft.com/office/drawing/2014/main" id="{2BEB85DD-6CED-49E2-9A5F-D15B31B92BD4}"/>
            </a:ext>
          </a:extLst>
        </xdr:cNvPr>
        <xdr:cNvSpPr txBox="1">
          <a:spLocks noChangeArrowheads="1"/>
        </xdr:cNvSpPr>
      </xdr:nvSpPr>
      <xdr:spPr bwMode="auto">
        <a:xfrm>
          <a:off x="685800" y="20004405"/>
          <a:ext cx="76200" cy="222885"/>
        </a:xfrm>
        <a:prstGeom prst="rect">
          <a:avLst/>
        </a:prstGeom>
        <a:noFill/>
        <a:ln w="9525">
          <a:noFill/>
          <a:miter lim="800000"/>
          <a:headEnd/>
          <a:tailEnd/>
        </a:ln>
      </xdr:spPr>
    </xdr:sp>
    <xdr:clientData/>
  </xdr:oneCellAnchor>
  <xdr:oneCellAnchor>
    <xdr:from>
      <xdr:col>0</xdr:col>
      <xdr:colOff>685800</xdr:colOff>
      <xdr:row>155</xdr:row>
      <xdr:rowOff>47625</xdr:rowOff>
    </xdr:from>
    <xdr:ext cx="76200" cy="222885"/>
    <xdr:sp macro="" textlink="">
      <xdr:nvSpPr>
        <xdr:cNvPr id="96" name="Text Box 1">
          <a:extLst>
            <a:ext uri="{FF2B5EF4-FFF2-40B4-BE49-F238E27FC236}">
              <a16:creationId xmlns:a16="http://schemas.microsoft.com/office/drawing/2014/main" id="{E00A6D9F-74D1-448C-8E54-F5E69C3C9E46}"/>
            </a:ext>
          </a:extLst>
        </xdr:cNvPr>
        <xdr:cNvSpPr txBox="1">
          <a:spLocks noChangeArrowheads="1"/>
        </xdr:cNvSpPr>
      </xdr:nvSpPr>
      <xdr:spPr bwMode="auto">
        <a:xfrm>
          <a:off x="685800" y="20133945"/>
          <a:ext cx="76200" cy="222885"/>
        </a:xfrm>
        <a:prstGeom prst="rect">
          <a:avLst/>
        </a:prstGeom>
        <a:noFill/>
        <a:ln w="9525">
          <a:noFill/>
          <a:miter lim="800000"/>
          <a:headEnd/>
          <a:tailEnd/>
        </a:ln>
      </xdr:spPr>
    </xdr:sp>
    <xdr:clientData/>
  </xdr:oneCellAnchor>
  <xdr:oneCellAnchor>
    <xdr:from>
      <xdr:col>0</xdr:col>
      <xdr:colOff>685800</xdr:colOff>
      <xdr:row>157</xdr:row>
      <xdr:rowOff>47625</xdr:rowOff>
    </xdr:from>
    <xdr:ext cx="76200" cy="222885"/>
    <xdr:sp macro="" textlink="">
      <xdr:nvSpPr>
        <xdr:cNvPr id="97" name="Text Box 1">
          <a:extLst>
            <a:ext uri="{FF2B5EF4-FFF2-40B4-BE49-F238E27FC236}">
              <a16:creationId xmlns:a16="http://schemas.microsoft.com/office/drawing/2014/main" id="{010C2351-A406-48FE-882B-7B9ECB5450DF}"/>
            </a:ext>
          </a:extLst>
        </xdr:cNvPr>
        <xdr:cNvSpPr txBox="1">
          <a:spLocks noChangeArrowheads="1"/>
        </xdr:cNvSpPr>
      </xdr:nvSpPr>
      <xdr:spPr bwMode="auto">
        <a:xfrm>
          <a:off x="685800" y="20393025"/>
          <a:ext cx="76200" cy="222885"/>
        </a:xfrm>
        <a:prstGeom prst="rect">
          <a:avLst/>
        </a:prstGeom>
        <a:noFill/>
        <a:ln w="9525">
          <a:noFill/>
          <a:miter lim="800000"/>
          <a:headEnd/>
          <a:tailEnd/>
        </a:ln>
      </xdr:spPr>
    </xdr:sp>
    <xdr:clientData/>
  </xdr:oneCellAnchor>
  <xdr:oneCellAnchor>
    <xdr:from>
      <xdr:col>6</xdr:col>
      <xdr:colOff>0</xdr:colOff>
      <xdr:row>168</xdr:row>
      <xdr:rowOff>100965</xdr:rowOff>
    </xdr:from>
    <xdr:ext cx="76200" cy="222885"/>
    <xdr:sp macro="" textlink="">
      <xdr:nvSpPr>
        <xdr:cNvPr id="98" name="Text Box 1">
          <a:extLst>
            <a:ext uri="{FF2B5EF4-FFF2-40B4-BE49-F238E27FC236}">
              <a16:creationId xmlns:a16="http://schemas.microsoft.com/office/drawing/2014/main" id="{D534AA38-0802-46BF-BA31-5972ED391A1A}"/>
            </a:ext>
          </a:extLst>
        </xdr:cNvPr>
        <xdr:cNvSpPr txBox="1">
          <a:spLocks noChangeArrowheads="1"/>
        </xdr:cNvSpPr>
      </xdr:nvSpPr>
      <xdr:spPr bwMode="auto">
        <a:xfrm>
          <a:off x="5661660" y="22778085"/>
          <a:ext cx="76200" cy="222885"/>
        </a:xfrm>
        <a:prstGeom prst="rect">
          <a:avLst/>
        </a:prstGeom>
        <a:noFill/>
        <a:ln w="9525">
          <a:noFill/>
          <a:miter lim="800000"/>
          <a:headEnd/>
          <a:tailEnd/>
        </a:ln>
      </xdr:spPr>
    </xdr:sp>
    <xdr:clientData/>
  </xdr:oneCellAnchor>
  <xdr:oneCellAnchor>
    <xdr:from>
      <xdr:col>0</xdr:col>
      <xdr:colOff>685800</xdr:colOff>
      <xdr:row>159</xdr:row>
      <xdr:rowOff>47625</xdr:rowOff>
    </xdr:from>
    <xdr:ext cx="76200" cy="222885"/>
    <xdr:sp macro="" textlink="">
      <xdr:nvSpPr>
        <xdr:cNvPr id="99" name="Text Box 1">
          <a:extLst>
            <a:ext uri="{FF2B5EF4-FFF2-40B4-BE49-F238E27FC236}">
              <a16:creationId xmlns:a16="http://schemas.microsoft.com/office/drawing/2014/main" id="{DCD4060A-8F1B-4CBF-B737-E7BC71D36D2B}"/>
            </a:ext>
          </a:extLst>
        </xdr:cNvPr>
        <xdr:cNvSpPr txBox="1">
          <a:spLocks noChangeArrowheads="1"/>
        </xdr:cNvSpPr>
      </xdr:nvSpPr>
      <xdr:spPr bwMode="auto">
        <a:xfrm>
          <a:off x="685800" y="19745325"/>
          <a:ext cx="76200" cy="222885"/>
        </a:xfrm>
        <a:prstGeom prst="rect">
          <a:avLst/>
        </a:prstGeom>
        <a:noFill/>
        <a:ln w="9525">
          <a:noFill/>
          <a:miter lim="800000"/>
          <a:headEnd/>
          <a:tailEnd/>
        </a:ln>
      </xdr:spPr>
    </xdr:sp>
    <xdr:clientData/>
  </xdr:oneCellAnchor>
  <xdr:oneCellAnchor>
    <xdr:from>
      <xdr:col>0</xdr:col>
      <xdr:colOff>685800</xdr:colOff>
      <xdr:row>161</xdr:row>
      <xdr:rowOff>47625</xdr:rowOff>
    </xdr:from>
    <xdr:ext cx="76200" cy="222885"/>
    <xdr:sp macro="" textlink="">
      <xdr:nvSpPr>
        <xdr:cNvPr id="100" name="Text Box 1">
          <a:extLst>
            <a:ext uri="{FF2B5EF4-FFF2-40B4-BE49-F238E27FC236}">
              <a16:creationId xmlns:a16="http://schemas.microsoft.com/office/drawing/2014/main" id="{1CC064A0-4BCA-46FA-A8F5-E14BA5A9250C}"/>
            </a:ext>
          </a:extLst>
        </xdr:cNvPr>
        <xdr:cNvSpPr txBox="1">
          <a:spLocks noChangeArrowheads="1"/>
        </xdr:cNvSpPr>
      </xdr:nvSpPr>
      <xdr:spPr bwMode="auto">
        <a:xfrm>
          <a:off x="685800" y="20004405"/>
          <a:ext cx="76200" cy="222885"/>
        </a:xfrm>
        <a:prstGeom prst="rect">
          <a:avLst/>
        </a:prstGeom>
        <a:noFill/>
        <a:ln w="9525">
          <a:noFill/>
          <a:miter lim="800000"/>
          <a:headEnd/>
          <a:tailEnd/>
        </a:ln>
      </xdr:spPr>
    </xdr:sp>
    <xdr:clientData/>
  </xdr:oneCellAnchor>
  <xdr:oneCellAnchor>
    <xdr:from>
      <xdr:col>0</xdr:col>
      <xdr:colOff>685800</xdr:colOff>
      <xdr:row>162</xdr:row>
      <xdr:rowOff>47625</xdr:rowOff>
    </xdr:from>
    <xdr:ext cx="76200" cy="222885"/>
    <xdr:sp macro="" textlink="">
      <xdr:nvSpPr>
        <xdr:cNvPr id="101" name="Text Box 1">
          <a:extLst>
            <a:ext uri="{FF2B5EF4-FFF2-40B4-BE49-F238E27FC236}">
              <a16:creationId xmlns:a16="http://schemas.microsoft.com/office/drawing/2014/main" id="{0198B484-6D62-463C-9B44-6BCA508E5D3E}"/>
            </a:ext>
          </a:extLst>
        </xdr:cNvPr>
        <xdr:cNvSpPr txBox="1">
          <a:spLocks noChangeArrowheads="1"/>
        </xdr:cNvSpPr>
      </xdr:nvSpPr>
      <xdr:spPr bwMode="auto">
        <a:xfrm>
          <a:off x="685800" y="20133945"/>
          <a:ext cx="76200" cy="222885"/>
        </a:xfrm>
        <a:prstGeom prst="rect">
          <a:avLst/>
        </a:prstGeom>
        <a:noFill/>
        <a:ln w="9525">
          <a:noFill/>
          <a:miter lim="800000"/>
          <a:headEnd/>
          <a:tailEnd/>
        </a:ln>
      </xdr:spPr>
    </xdr:sp>
    <xdr:clientData/>
  </xdr:oneCellAnchor>
  <xdr:oneCellAnchor>
    <xdr:from>
      <xdr:col>0</xdr:col>
      <xdr:colOff>685800</xdr:colOff>
      <xdr:row>164</xdr:row>
      <xdr:rowOff>47625</xdr:rowOff>
    </xdr:from>
    <xdr:ext cx="76200" cy="222885"/>
    <xdr:sp macro="" textlink="">
      <xdr:nvSpPr>
        <xdr:cNvPr id="102" name="Text Box 1">
          <a:extLst>
            <a:ext uri="{FF2B5EF4-FFF2-40B4-BE49-F238E27FC236}">
              <a16:creationId xmlns:a16="http://schemas.microsoft.com/office/drawing/2014/main" id="{2BD0A4BF-134D-4C97-AE9B-BAC1395CF8B4}"/>
            </a:ext>
          </a:extLst>
        </xdr:cNvPr>
        <xdr:cNvSpPr txBox="1">
          <a:spLocks noChangeArrowheads="1"/>
        </xdr:cNvSpPr>
      </xdr:nvSpPr>
      <xdr:spPr bwMode="auto">
        <a:xfrm>
          <a:off x="685800" y="20393025"/>
          <a:ext cx="76200" cy="222885"/>
        </a:xfrm>
        <a:prstGeom prst="rect">
          <a:avLst/>
        </a:prstGeom>
        <a:noFill/>
        <a:ln w="9525">
          <a:noFill/>
          <a:miter lim="800000"/>
          <a:headEnd/>
          <a:tailEnd/>
        </a:ln>
      </xdr:spPr>
    </xdr:sp>
    <xdr:clientData/>
  </xdr:oneCellAnchor>
  <xdr:oneCellAnchor>
    <xdr:from>
      <xdr:col>0</xdr:col>
      <xdr:colOff>685800</xdr:colOff>
      <xdr:row>166</xdr:row>
      <xdr:rowOff>47625</xdr:rowOff>
    </xdr:from>
    <xdr:ext cx="76200" cy="222885"/>
    <xdr:sp macro="" textlink="">
      <xdr:nvSpPr>
        <xdr:cNvPr id="104" name="Text Box 1">
          <a:extLst>
            <a:ext uri="{FF2B5EF4-FFF2-40B4-BE49-F238E27FC236}">
              <a16:creationId xmlns:a16="http://schemas.microsoft.com/office/drawing/2014/main" id="{5898CB69-21F3-470E-8A1C-AEB919771EE8}"/>
            </a:ext>
          </a:extLst>
        </xdr:cNvPr>
        <xdr:cNvSpPr txBox="1">
          <a:spLocks noChangeArrowheads="1"/>
        </xdr:cNvSpPr>
      </xdr:nvSpPr>
      <xdr:spPr bwMode="auto">
        <a:xfrm>
          <a:off x="685800" y="19745325"/>
          <a:ext cx="76200" cy="222885"/>
        </a:xfrm>
        <a:prstGeom prst="rect">
          <a:avLst/>
        </a:prstGeom>
        <a:noFill/>
        <a:ln w="9525">
          <a:noFill/>
          <a:miter lim="800000"/>
          <a:headEnd/>
          <a:tailEnd/>
        </a:ln>
      </xdr:spPr>
    </xdr:sp>
    <xdr:clientData/>
  </xdr:oneCellAnchor>
  <xdr:oneCellAnchor>
    <xdr:from>
      <xdr:col>0</xdr:col>
      <xdr:colOff>685800</xdr:colOff>
      <xdr:row>168</xdr:row>
      <xdr:rowOff>47625</xdr:rowOff>
    </xdr:from>
    <xdr:ext cx="76200" cy="222885"/>
    <xdr:sp macro="" textlink="">
      <xdr:nvSpPr>
        <xdr:cNvPr id="105" name="Text Box 1">
          <a:extLst>
            <a:ext uri="{FF2B5EF4-FFF2-40B4-BE49-F238E27FC236}">
              <a16:creationId xmlns:a16="http://schemas.microsoft.com/office/drawing/2014/main" id="{3807A62B-983F-4C9B-AEFA-EF3A15AA23C4}"/>
            </a:ext>
          </a:extLst>
        </xdr:cNvPr>
        <xdr:cNvSpPr txBox="1">
          <a:spLocks noChangeArrowheads="1"/>
        </xdr:cNvSpPr>
      </xdr:nvSpPr>
      <xdr:spPr bwMode="auto">
        <a:xfrm>
          <a:off x="685800" y="20004405"/>
          <a:ext cx="76200" cy="222885"/>
        </a:xfrm>
        <a:prstGeom prst="rect">
          <a:avLst/>
        </a:prstGeom>
        <a:noFill/>
        <a:ln w="9525">
          <a:noFill/>
          <a:miter lim="800000"/>
          <a:headEnd/>
          <a:tailEnd/>
        </a:ln>
      </xdr:spPr>
    </xdr:sp>
    <xdr:clientData/>
  </xdr:oneCellAnchor>
  <xdr:oneCellAnchor>
    <xdr:from>
      <xdr:col>0</xdr:col>
      <xdr:colOff>685800</xdr:colOff>
      <xdr:row>169</xdr:row>
      <xdr:rowOff>47625</xdr:rowOff>
    </xdr:from>
    <xdr:ext cx="76200" cy="222885"/>
    <xdr:sp macro="" textlink="">
      <xdr:nvSpPr>
        <xdr:cNvPr id="106" name="Text Box 1">
          <a:extLst>
            <a:ext uri="{FF2B5EF4-FFF2-40B4-BE49-F238E27FC236}">
              <a16:creationId xmlns:a16="http://schemas.microsoft.com/office/drawing/2014/main" id="{ED81BD0B-E58D-43DD-BB2E-66A0CB614BE4}"/>
            </a:ext>
          </a:extLst>
        </xdr:cNvPr>
        <xdr:cNvSpPr txBox="1">
          <a:spLocks noChangeArrowheads="1"/>
        </xdr:cNvSpPr>
      </xdr:nvSpPr>
      <xdr:spPr bwMode="auto">
        <a:xfrm>
          <a:off x="685800" y="20133945"/>
          <a:ext cx="76200" cy="222885"/>
        </a:xfrm>
        <a:prstGeom prst="rect">
          <a:avLst/>
        </a:prstGeom>
        <a:noFill/>
        <a:ln w="9525">
          <a:noFill/>
          <a:miter lim="800000"/>
          <a:headEnd/>
          <a:tailEnd/>
        </a:ln>
      </xdr:spPr>
    </xdr:sp>
    <xdr:clientData/>
  </xdr:oneCellAnchor>
  <xdr:oneCellAnchor>
    <xdr:from>
      <xdr:col>0</xdr:col>
      <xdr:colOff>685800</xdr:colOff>
      <xdr:row>171</xdr:row>
      <xdr:rowOff>47625</xdr:rowOff>
    </xdr:from>
    <xdr:ext cx="76200" cy="222885"/>
    <xdr:sp macro="" textlink="">
      <xdr:nvSpPr>
        <xdr:cNvPr id="107" name="Text Box 1">
          <a:extLst>
            <a:ext uri="{FF2B5EF4-FFF2-40B4-BE49-F238E27FC236}">
              <a16:creationId xmlns:a16="http://schemas.microsoft.com/office/drawing/2014/main" id="{97425FAE-E6B1-4F32-B987-39227A3326E0}"/>
            </a:ext>
          </a:extLst>
        </xdr:cNvPr>
        <xdr:cNvSpPr txBox="1">
          <a:spLocks noChangeArrowheads="1"/>
        </xdr:cNvSpPr>
      </xdr:nvSpPr>
      <xdr:spPr bwMode="auto">
        <a:xfrm>
          <a:off x="685800" y="20393025"/>
          <a:ext cx="76200" cy="222885"/>
        </a:xfrm>
        <a:prstGeom prst="rect">
          <a:avLst/>
        </a:prstGeom>
        <a:noFill/>
        <a:ln w="9525">
          <a:noFill/>
          <a:miter lim="800000"/>
          <a:headEnd/>
          <a:tailEnd/>
        </a:ln>
      </xdr:spPr>
    </xdr:sp>
    <xdr:clientData/>
  </xdr:oneCellAnchor>
  <xdr:oneCellAnchor>
    <xdr:from>
      <xdr:col>0</xdr:col>
      <xdr:colOff>685800</xdr:colOff>
      <xdr:row>172</xdr:row>
      <xdr:rowOff>47625</xdr:rowOff>
    </xdr:from>
    <xdr:ext cx="76200" cy="222885"/>
    <xdr:sp macro="" textlink="">
      <xdr:nvSpPr>
        <xdr:cNvPr id="108" name="Text Box 1">
          <a:extLst>
            <a:ext uri="{FF2B5EF4-FFF2-40B4-BE49-F238E27FC236}">
              <a16:creationId xmlns:a16="http://schemas.microsoft.com/office/drawing/2014/main" id="{91ABE950-4B61-49F8-ACCB-17C73E2FFDE1}"/>
            </a:ext>
          </a:extLst>
        </xdr:cNvPr>
        <xdr:cNvSpPr txBox="1">
          <a:spLocks noChangeArrowheads="1"/>
        </xdr:cNvSpPr>
      </xdr:nvSpPr>
      <xdr:spPr bwMode="auto">
        <a:xfrm>
          <a:off x="685800" y="20522565"/>
          <a:ext cx="76200" cy="222885"/>
        </a:xfrm>
        <a:prstGeom prst="rect">
          <a:avLst/>
        </a:prstGeom>
        <a:noFill/>
        <a:ln w="9525">
          <a:noFill/>
          <a:miter lim="800000"/>
          <a:headEnd/>
          <a:tailEnd/>
        </a:ln>
      </xdr:spPr>
    </xdr:sp>
    <xdr:clientData/>
  </xdr:oneCellAnchor>
  <xdr:oneCellAnchor>
    <xdr:from>
      <xdr:col>0</xdr:col>
      <xdr:colOff>685800</xdr:colOff>
      <xdr:row>168</xdr:row>
      <xdr:rowOff>47625</xdr:rowOff>
    </xdr:from>
    <xdr:ext cx="76200" cy="222885"/>
    <xdr:sp macro="" textlink="">
      <xdr:nvSpPr>
        <xdr:cNvPr id="109" name="Text Box 1">
          <a:extLst>
            <a:ext uri="{FF2B5EF4-FFF2-40B4-BE49-F238E27FC236}">
              <a16:creationId xmlns:a16="http://schemas.microsoft.com/office/drawing/2014/main" id="{C6FAF84D-C35D-48EA-B914-45E3F2DACA96}"/>
            </a:ext>
          </a:extLst>
        </xdr:cNvPr>
        <xdr:cNvSpPr txBox="1">
          <a:spLocks noChangeArrowheads="1"/>
        </xdr:cNvSpPr>
      </xdr:nvSpPr>
      <xdr:spPr bwMode="auto">
        <a:xfrm>
          <a:off x="685800" y="21558885"/>
          <a:ext cx="76200" cy="222885"/>
        </a:xfrm>
        <a:prstGeom prst="rect">
          <a:avLst/>
        </a:prstGeom>
        <a:noFill/>
        <a:ln w="9525">
          <a:noFill/>
          <a:miter lim="800000"/>
          <a:headEnd/>
          <a:tailEnd/>
        </a:ln>
      </xdr:spPr>
    </xdr:sp>
    <xdr:clientData/>
  </xdr:oneCellAnchor>
  <xdr:oneCellAnchor>
    <xdr:from>
      <xdr:col>0</xdr:col>
      <xdr:colOff>685800</xdr:colOff>
      <xdr:row>170</xdr:row>
      <xdr:rowOff>47625</xdr:rowOff>
    </xdr:from>
    <xdr:ext cx="76200" cy="222885"/>
    <xdr:sp macro="" textlink="">
      <xdr:nvSpPr>
        <xdr:cNvPr id="110" name="Text Box 1">
          <a:extLst>
            <a:ext uri="{FF2B5EF4-FFF2-40B4-BE49-F238E27FC236}">
              <a16:creationId xmlns:a16="http://schemas.microsoft.com/office/drawing/2014/main" id="{298E3320-6AE0-4419-B7C9-54F0BEF56D7B}"/>
            </a:ext>
          </a:extLst>
        </xdr:cNvPr>
        <xdr:cNvSpPr txBox="1">
          <a:spLocks noChangeArrowheads="1"/>
        </xdr:cNvSpPr>
      </xdr:nvSpPr>
      <xdr:spPr bwMode="auto">
        <a:xfrm>
          <a:off x="685800" y="21817965"/>
          <a:ext cx="76200" cy="222885"/>
        </a:xfrm>
        <a:prstGeom prst="rect">
          <a:avLst/>
        </a:prstGeom>
        <a:noFill/>
        <a:ln w="9525">
          <a:noFill/>
          <a:miter lim="800000"/>
          <a:headEnd/>
          <a:tailEnd/>
        </a:ln>
      </xdr:spPr>
    </xdr:sp>
    <xdr:clientData/>
  </xdr:oneCellAnchor>
  <xdr:oneCellAnchor>
    <xdr:from>
      <xdr:col>0</xdr:col>
      <xdr:colOff>685800</xdr:colOff>
      <xdr:row>171</xdr:row>
      <xdr:rowOff>47625</xdr:rowOff>
    </xdr:from>
    <xdr:ext cx="76200" cy="222885"/>
    <xdr:sp macro="" textlink="">
      <xdr:nvSpPr>
        <xdr:cNvPr id="111" name="Text Box 1">
          <a:extLst>
            <a:ext uri="{FF2B5EF4-FFF2-40B4-BE49-F238E27FC236}">
              <a16:creationId xmlns:a16="http://schemas.microsoft.com/office/drawing/2014/main" id="{62B8C3FF-C568-467D-9463-BDFA2AAEAAEF}"/>
            </a:ext>
          </a:extLst>
        </xdr:cNvPr>
        <xdr:cNvSpPr txBox="1">
          <a:spLocks noChangeArrowheads="1"/>
        </xdr:cNvSpPr>
      </xdr:nvSpPr>
      <xdr:spPr bwMode="auto">
        <a:xfrm>
          <a:off x="685800" y="21947505"/>
          <a:ext cx="76200" cy="222885"/>
        </a:xfrm>
        <a:prstGeom prst="rect">
          <a:avLst/>
        </a:prstGeom>
        <a:noFill/>
        <a:ln w="9525">
          <a:noFill/>
          <a:miter lim="800000"/>
          <a:headEnd/>
          <a:tailEnd/>
        </a:ln>
      </xdr:spPr>
    </xdr:sp>
    <xdr:clientData/>
  </xdr:oneCellAnchor>
  <xdr:oneCellAnchor>
    <xdr:from>
      <xdr:col>0</xdr:col>
      <xdr:colOff>685800</xdr:colOff>
      <xdr:row>173</xdr:row>
      <xdr:rowOff>47625</xdr:rowOff>
    </xdr:from>
    <xdr:ext cx="76200" cy="222885"/>
    <xdr:sp macro="" textlink="">
      <xdr:nvSpPr>
        <xdr:cNvPr id="112" name="Text Box 1">
          <a:extLst>
            <a:ext uri="{FF2B5EF4-FFF2-40B4-BE49-F238E27FC236}">
              <a16:creationId xmlns:a16="http://schemas.microsoft.com/office/drawing/2014/main" id="{0F80CE53-8777-4DA8-8A78-EA9E1434D5A5}"/>
            </a:ext>
          </a:extLst>
        </xdr:cNvPr>
        <xdr:cNvSpPr txBox="1">
          <a:spLocks noChangeArrowheads="1"/>
        </xdr:cNvSpPr>
      </xdr:nvSpPr>
      <xdr:spPr bwMode="auto">
        <a:xfrm>
          <a:off x="685800" y="22206585"/>
          <a:ext cx="76200" cy="222885"/>
        </a:xfrm>
        <a:prstGeom prst="rect">
          <a:avLst/>
        </a:prstGeom>
        <a:noFill/>
        <a:ln w="9525">
          <a:noFill/>
          <a:miter lim="800000"/>
          <a:headEnd/>
          <a:tailEnd/>
        </a:ln>
      </xdr:spPr>
    </xdr:sp>
    <xdr:clientData/>
  </xdr:oneCellAnchor>
  <xdr:oneCellAnchor>
    <xdr:from>
      <xdr:col>0</xdr:col>
      <xdr:colOff>685800</xdr:colOff>
      <xdr:row>175</xdr:row>
      <xdr:rowOff>47625</xdr:rowOff>
    </xdr:from>
    <xdr:ext cx="76200" cy="222885"/>
    <xdr:sp macro="" textlink="">
      <xdr:nvSpPr>
        <xdr:cNvPr id="113" name="Text Box 1">
          <a:extLst>
            <a:ext uri="{FF2B5EF4-FFF2-40B4-BE49-F238E27FC236}">
              <a16:creationId xmlns:a16="http://schemas.microsoft.com/office/drawing/2014/main" id="{38E2839E-2C74-45DF-B60A-32E7E3916913}"/>
            </a:ext>
          </a:extLst>
        </xdr:cNvPr>
        <xdr:cNvSpPr txBox="1">
          <a:spLocks noChangeArrowheads="1"/>
        </xdr:cNvSpPr>
      </xdr:nvSpPr>
      <xdr:spPr bwMode="auto">
        <a:xfrm>
          <a:off x="685800" y="22465665"/>
          <a:ext cx="76200" cy="222885"/>
        </a:xfrm>
        <a:prstGeom prst="rect">
          <a:avLst/>
        </a:prstGeom>
        <a:noFill/>
        <a:ln w="9525">
          <a:noFill/>
          <a:miter lim="800000"/>
          <a:headEnd/>
          <a:tailEnd/>
        </a:ln>
      </xdr:spPr>
    </xdr:sp>
    <xdr:clientData/>
  </xdr:oneCellAnchor>
  <xdr:oneCellAnchor>
    <xdr:from>
      <xdr:col>0</xdr:col>
      <xdr:colOff>685800</xdr:colOff>
      <xdr:row>177</xdr:row>
      <xdr:rowOff>47625</xdr:rowOff>
    </xdr:from>
    <xdr:ext cx="76200" cy="222885"/>
    <xdr:sp macro="" textlink="">
      <xdr:nvSpPr>
        <xdr:cNvPr id="114" name="Text Box 1">
          <a:extLst>
            <a:ext uri="{FF2B5EF4-FFF2-40B4-BE49-F238E27FC236}">
              <a16:creationId xmlns:a16="http://schemas.microsoft.com/office/drawing/2014/main" id="{34F1AD82-F019-4942-8CA2-671A2BAFF905}"/>
            </a:ext>
          </a:extLst>
        </xdr:cNvPr>
        <xdr:cNvSpPr txBox="1">
          <a:spLocks noChangeArrowheads="1"/>
        </xdr:cNvSpPr>
      </xdr:nvSpPr>
      <xdr:spPr bwMode="auto">
        <a:xfrm>
          <a:off x="685800" y="21558885"/>
          <a:ext cx="76200" cy="222885"/>
        </a:xfrm>
        <a:prstGeom prst="rect">
          <a:avLst/>
        </a:prstGeom>
        <a:noFill/>
        <a:ln w="9525">
          <a:noFill/>
          <a:miter lim="800000"/>
          <a:headEnd/>
          <a:tailEnd/>
        </a:ln>
      </xdr:spPr>
    </xdr:sp>
    <xdr:clientData/>
  </xdr:oneCellAnchor>
  <xdr:oneCellAnchor>
    <xdr:from>
      <xdr:col>0</xdr:col>
      <xdr:colOff>685800</xdr:colOff>
      <xdr:row>179</xdr:row>
      <xdr:rowOff>47625</xdr:rowOff>
    </xdr:from>
    <xdr:ext cx="76200" cy="222885"/>
    <xdr:sp macro="" textlink="">
      <xdr:nvSpPr>
        <xdr:cNvPr id="115" name="Text Box 1">
          <a:extLst>
            <a:ext uri="{FF2B5EF4-FFF2-40B4-BE49-F238E27FC236}">
              <a16:creationId xmlns:a16="http://schemas.microsoft.com/office/drawing/2014/main" id="{488F6F19-5ECE-4BFE-A23C-1576C26C3DD2}"/>
            </a:ext>
          </a:extLst>
        </xdr:cNvPr>
        <xdr:cNvSpPr txBox="1">
          <a:spLocks noChangeArrowheads="1"/>
        </xdr:cNvSpPr>
      </xdr:nvSpPr>
      <xdr:spPr bwMode="auto">
        <a:xfrm>
          <a:off x="685800" y="21817965"/>
          <a:ext cx="76200" cy="222885"/>
        </a:xfrm>
        <a:prstGeom prst="rect">
          <a:avLst/>
        </a:prstGeom>
        <a:noFill/>
        <a:ln w="9525">
          <a:noFill/>
          <a:miter lim="800000"/>
          <a:headEnd/>
          <a:tailEnd/>
        </a:ln>
      </xdr:spPr>
    </xdr:sp>
    <xdr:clientData/>
  </xdr:oneCellAnchor>
  <xdr:oneCellAnchor>
    <xdr:from>
      <xdr:col>0</xdr:col>
      <xdr:colOff>685800</xdr:colOff>
      <xdr:row>180</xdr:row>
      <xdr:rowOff>47625</xdr:rowOff>
    </xdr:from>
    <xdr:ext cx="76200" cy="222885"/>
    <xdr:sp macro="" textlink="">
      <xdr:nvSpPr>
        <xdr:cNvPr id="116" name="Text Box 1">
          <a:extLst>
            <a:ext uri="{FF2B5EF4-FFF2-40B4-BE49-F238E27FC236}">
              <a16:creationId xmlns:a16="http://schemas.microsoft.com/office/drawing/2014/main" id="{D6EFBF17-19E3-42A2-8EEA-BB2CF32A6654}"/>
            </a:ext>
          </a:extLst>
        </xdr:cNvPr>
        <xdr:cNvSpPr txBox="1">
          <a:spLocks noChangeArrowheads="1"/>
        </xdr:cNvSpPr>
      </xdr:nvSpPr>
      <xdr:spPr bwMode="auto">
        <a:xfrm>
          <a:off x="685800" y="21947505"/>
          <a:ext cx="76200" cy="222885"/>
        </a:xfrm>
        <a:prstGeom prst="rect">
          <a:avLst/>
        </a:prstGeom>
        <a:noFill/>
        <a:ln w="9525">
          <a:noFill/>
          <a:miter lim="800000"/>
          <a:headEnd/>
          <a:tailEnd/>
        </a:ln>
      </xdr:spPr>
    </xdr:sp>
    <xdr:clientData/>
  </xdr:oneCellAnchor>
  <xdr:oneCellAnchor>
    <xdr:from>
      <xdr:col>0</xdr:col>
      <xdr:colOff>685800</xdr:colOff>
      <xdr:row>182</xdr:row>
      <xdr:rowOff>47625</xdr:rowOff>
    </xdr:from>
    <xdr:ext cx="76200" cy="222885"/>
    <xdr:sp macro="" textlink="">
      <xdr:nvSpPr>
        <xdr:cNvPr id="117" name="Text Box 1">
          <a:extLst>
            <a:ext uri="{FF2B5EF4-FFF2-40B4-BE49-F238E27FC236}">
              <a16:creationId xmlns:a16="http://schemas.microsoft.com/office/drawing/2014/main" id="{36A8CD80-9063-4345-AE8F-AD5A137AADBE}"/>
            </a:ext>
          </a:extLst>
        </xdr:cNvPr>
        <xdr:cNvSpPr txBox="1">
          <a:spLocks noChangeArrowheads="1"/>
        </xdr:cNvSpPr>
      </xdr:nvSpPr>
      <xdr:spPr bwMode="auto">
        <a:xfrm>
          <a:off x="685800" y="22206585"/>
          <a:ext cx="76200" cy="222885"/>
        </a:xfrm>
        <a:prstGeom prst="rect">
          <a:avLst/>
        </a:prstGeom>
        <a:noFill/>
        <a:ln w="9525">
          <a:noFill/>
          <a:miter lim="800000"/>
          <a:headEnd/>
          <a:tailEnd/>
        </a:ln>
      </xdr:spPr>
    </xdr:sp>
    <xdr:clientData/>
  </xdr:oneCellAnchor>
  <xdr:oneCellAnchor>
    <xdr:from>
      <xdr:col>0</xdr:col>
      <xdr:colOff>685800</xdr:colOff>
      <xdr:row>184</xdr:row>
      <xdr:rowOff>47625</xdr:rowOff>
    </xdr:from>
    <xdr:ext cx="76200" cy="222885"/>
    <xdr:sp macro="" textlink="">
      <xdr:nvSpPr>
        <xdr:cNvPr id="118" name="Text Box 1">
          <a:extLst>
            <a:ext uri="{FF2B5EF4-FFF2-40B4-BE49-F238E27FC236}">
              <a16:creationId xmlns:a16="http://schemas.microsoft.com/office/drawing/2014/main" id="{53BCFF85-96A6-43A6-A2D6-247C3694A833}"/>
            </a:ext>
          </a:extLst>
        </xdr:cNvPr>
        <xdr:cNvSpPr txBox="1">
          <a:spLocks noChangeArrowheads="1"/>
        </xdr:cNvSpPr>
      </xdr:nvSpPr>
      <xdr:spPr bwMode="auto">
        <a:xfrm>
          <a:off x="685800" y="22465665"/>
          <a:ext cx="76200" cy="222885"/>
        </a:xfrm>
        <a:prstGeom prst="rect">
          <a:avLst/>
        </a:prstGeom>
        <a:noFill/>
        <a:ln w="9525">
          <a:noFill/>
          <a:miter lim="800000"/>
          <a:headEnd/>
          <a:tailEnd/>
        </a:ln>
      </xdr:spPr>
    </xdr:sp>
    <xdr:clientData/>
  </xdr:oneCellAnchor>
  <xdr:oneCellAnchor>
    <xdr:from>
      <xdr:col>0</xdr:col>
      <xdr:colOff>685800</xdr:colOff>
      <xdr:row>185</xdr:row>
      <xdr:rowOff>47625</xdr:rowOff>
    </xdr:from>
    <xdr:ext cx="76200" cy="222885"/>
    <xdr:sp macro="" textlink="">
      <xdr:nvSpPr>
        <xdr:cNvPr id="119" name="Text Box 1">
          <a:extLst>
            <a:ext uri="{FF2B5EF4-FFF2-40B4-BE49-F238E27FC236}">
              <a16:creationId xmlns:a16="http://schemas.microsoft.com/office/drawing/2014/main" id="{3CA56F3E-CCC0-4C6E-8140-0AEE550DB76F}"/>
            </a:ext>
          </a:extLst>
        </xdr:cNvPr>
        <xdr:cNvSpPr txBox="1">
          <a:spLocks noChangeArrowheads="1"/>
        </xdr:cNvSpPr>
      </xdr:nvSpPr>
      <xdr:spPr bwMode="auto">
        <a:xfrm>
          <a:off x="685800" y="23890605"/>
          <a:ext cx="76200" cy="222885"/>
        </a:xfrm>
        <a:prstGeom prst="rect">
          <a:avLst/>
        </a:prstGeom>
        <a:noFill/>
        <a:ln w="9525">
          <a:noFill/>
          <a:miter lim="800000"/>
          <a:headEnd/>
          <a:tailEnd/>
        </a:ln>
      </xdr:spPr>
    </xdr:sp>
    <xdr:clientData/>
  </xdr:oneCellAnchor>
  <xdr:oneCellAnchor>
    <xdr:from>
      <xdr:col>0</xdr:col>
      <xdr:colOff>685800</xdr:colOff>
      <xdr:row>187</xdr:row>
      <xdr:rowOff>47625</xdr:rowOff>
    </xdr:from>
    <xdr:ext cx="76200" cy="222885"/>
    <xdr:sp macro="" textlink="">
      <xdr:nvSpPr>
        <xdr:cNvPr id="120" name="Text Box 1">
          <a:extLst>
            <a:ext uri="{FF2B5EF4-FFF2-40B4-BE49-F238E27FC236}">
              <a16:creationId xmlns:a16="http://schemas.microsoft.com/office/drawing/2014/main" id="{324E489D-CF6D-459E-92EA-9D32BE9ED267}"/>
            </a:ext>
          </a:extLst>
        </xdr:cNvPr>
        <xdr:cNvSpPr txBox="1">
          <a:spLocks noChangeArrowheads="1"/>
        </xdr:cNvSpPr>
      </xdr:nvSpPr>
      <xdr:spPr bwMode="auto">
        <a:xfrm>
          <a:off x="685800" y="24149685"/>
          <a:ext cx="76200" cy="222885"/>
        </a:xfrm>
        <a:prstGeom prst="rect">
          <a:avLst/>
        </a:prstGeom>
        <a:noFill/>
        <a:ln w="9525">
          <a:noFill/>
          <a:miter lim="800000"/>
          <a:headEnd/>
          <a:tailEnd/>
        </a:ln>
      </xdr:spPr>
    </xdr:sp>
    <xdr:clientData/>
  </xdr:oneCellAnchor>
  <xdr:oneCellAnchor>
    <xdr:from>
      <xdr:col>0</xdr:col>
      <xdr:colOff>685800</xdr:colOff>
      <xdr:row>188</xdr:row>
      <xdr:rowOff>47625</xdr:rowOff>
    </xdr:from>
    <xdr:ext cx="76200" cy="222885"/>
    <xdr:sp macro="" textlink="">
      <xdr:nvSpPr>
        <xdr:cNvPr id="121" name="Text Box 1">
          <a:extLst>
            <a:ext uri="{FF2B5EF4-FFF2-40B4-BE49-F238E27FC236}">
              <a16:creationId xmlns:a16="http://schemas.microsoft.com/office/drawing/2014/main" id="{BE792508-D3BD-4B99-89BE-293A517D9298}"/>
            </a:ext>
          </a:extLst>
        </xdr:cNvPr>
        <xdr:cNvSpPr txBox="1">
          <a:spLocks noChangeArrowheads="1"/>
        </xdr:cNvSpPr>
      </xdr:nvSpPr>
      <xdr:spPr bwMode="auto">
        <a:xfrm>
          <a:off x="685800" y="24279225"/>
          <a:ext cx="76200" cy="222885"/>
        </a:xfrm>
        <a:prstGeom prst="rect">
          <a:avLst/>
        </a:prstGeom>
        <a:noFill/>
        <a:ln w="9525">
          <a:noFill/>
          <a:miter lim="800000"/>
          <a:headEnd/>
          <a:tailEnd/>
        </a:ln>
      </xdr:spPr>
    </xdr:sp>
    <xdr:clientData/>
  </xdr:oneCellAnchor>
  <xdr:oneCellAnchor>
    <xdr:from>
      <xdr:col>0</xdr:col>
      <xdr:colOff>685800</xdr:colOff>
      <xdr:row>190</xdr:row>
      <xdr:rowOff>47625</xdr:rowOff>
    </xdr:from>
    <xdr:ext cx="76200" cy="222885"/>
    <xdr:sp macro="" textlink="">
      <xdr:nvSpPr>
        <xdr:cNvPr id="122" name="Text Box 1">
          <a:extLst>
            <a:ext uri="{FF2B5EF4-FFF2-40B4-BE49-F238E27FC236}">
              <a16:creationId xmlns:a16="http://schemas.microsoft.com/office/drawing/2014/main" id="{293A22BB-CF87-4200-A51A-894035BFA8E8}"/>
            </a:ext>
          </a:extLst>
        </xdr:cNvPr>
        <xdr:cNvSpPr txBox="1">
          <a:spLocks noChangeArrowheads="1"/>
        </xdr:cNvSpPr>
      </xdr:nvSpPr>
      <xdr:spPr bwMode="auto">
        <a:xfrm>
          <a:off x="685800" y="24538305"/>
          <a:ext cx="76200" cy="222885"/>
        </a:xfrm>
        <a:prstGeom prst="rect">
          <a:avLst/>
        </a:prstGeom>
        <a:noFill/>
        <a:ln w="9525">
          <a:noFill/>
          <a:miter lim="800000"/>
          <a:headEnd/>
          <a:tailEnd/>
        </a:ln>
      </xdr:spPr>
    </xdr:sp>
    <xdr:clientData/>
  </xdr:oneCellAnchor>
  <xdr:oneCellAnchor>
    <xdr:from>
      <xdr:col>0</xdr:col>
      <xdr:colOff>685800</xdr:colOff>
      <xdr:row>193</xdr:row>
      <xdr:rowOff>47625</xdr:rowOff>
    </xdr:from>
    <xdr:ext cx="76200" cy="222885"/>
    <xdr:sp macro="" textlink="">
      <xdr:nvSpPr>
        <xdr:cNvPr id="123" name="Text Box 1">
          <a:extLst>
            <a:ext uri="{FF2B5EF4-FFF2-40B4-BE49-F238E27FC236}">
              <a16:creationId xmlns:a16="http://schemas.microsoft.com/office/drawing/2014/main" id="{09A554B1-D7B8-45B5-8472-E558847845E3}"/>
            </a:ext>
          </a:extLst>
        </xdr:cNvPr>
        <xdr:cNvSpPr txBox="1">
          <a:spLocks noChangeArrowheads="1"/>
        </xdr:cNvSpPr>
      </xdr:nvSpPr>
      <xdr:spPr bwMode="auto">
        <a:xfrm>
          <a:off x="685800" y="23890605"/>
          <a:ext cx="76200" cy="222885"/>
        </a:xfrm>
        <a:prstGeom prst="rect">
          <a:avLst/>
        </a:prstGeom>
        <a:noFill/>
        <a:ln w="9525">
          <a:noFill/>
          <a:miter lim="800000"/>
          <a:headEnd/>
          <a:tailEnd/>
        </a:ln>
      </xdr:spPr>
    </xdr:sp>
    <xdr:clientData/>
  </xdr:oneCellAnchor>
  <xdr:oneCellAnchor>
    <xdr:from>
      <xdr:col>0</xdr:col>
      <xdr:colOff>685800</xdr:colOff>
      <xdr:row>195</xdr:row>
      <xdr:rowOff>47625</xdr:rowOff>
    </xdr:from>
    <xdr:ext cx="76200" cy="222885"/>
    <xdr:sp macro="" textlink="">
      <xdr:nvSpPr>
        <xdr:cNvPr id="124" name="Text Box 1">
          <a:extLst>
            <a:ext uri="{FF2B5EF4-FFF2-40B4-BE49-F238E27FC236}">
              <a16:creationId xmlns:a16="http://schemas.microsoft.com/office/drawing/2014/main" id="{45CE4399-2D21-467E-96E4-028166914707}"/>
            </a:ext>
          </a:extLst>
        </xdr:cNvPr>
        <xdr:cNvSpPr txBox="1">
          <a:spLocks noChangeArrowheads="1"/>
        </xdr:cNvSpPr>
      </xdr:nvSpPr>
      <xdr:spPr bwMode="auto">
        <a:xfrm>
          <a:off x="685800" y="24149685"/>
          <a:ext cx="76200" cy="222885"/>
        </a:xfrm>
        <a:prstGeom prst="rect">
          <a:avLst/>
        </a:prstGeom>
        <a:noFill/>
        <a:ln w="9525">
          <a:noFill/>
          <a:miter lim="800000"/>
          <a:headEnd/>
          <a:tailEnd/>
        </a:ln>
      </xdr:spPr>
    </xdr:sp>
    <xdr:clientData/>
  </xdr:oneCellAnchor>
  <xdr:oneCellAnchor>
    <xdr:from>
      <xdr:col>0</xdr:col>
      <xdr:colOff>685800</xdr:colOff>
      <xdr:row>196</xdr:row>
      <xdr:rowOff>47625</xdr:rowOff>
    </xdr:from>
    <xdr:ext cx="76200" cy="222885"/>
    <xdr:sp macro="" textlink="">
      <xdr:nvSpPr>
        <xdr:cNvPr id="125" name="Text Box 1">
          <a:extLst>
            <a:ext uri="{FF2B5EF4-FFF2-40B4-BE49-F238E27FC236}">
              <a16:creationId xmlns:a16="http://schemas.microsoft.com/office/drawing/2014/main" id="{ECE5881C-2124-4E52-B326-384F221B8935}"/>
            </a:ext>
          </a:extLst>
        </xdr:cNvPr>
        <xdr:cNvSpPr txBox="1">
          <a:spLocks noChangeArrowheads="1"/>
        </xdr:cNvSpPr>
      </xdr:nvSpPr>
      <xdr:spPr bwMode="auto">
        <a:xfrm>
          <a:off x="685800" y="24279225"/>
          <a:ext cx="76200" cy="222885"/>
        </a:xfrm>
        <a:prstGeom prst="rect">
          <a:avLst/>
        </a:prstGeom>
        <a:noFill/>
        <a:ln w="9525">
          <a:noFill/>
          <a:miter lim="800000"/>
          <a:headEnd/>
          <a:tailEnd/>
        </a:ln>
      </xdr:spPr>
    </xdr:sp>
    <xdr:clientData/>
  </xdr:oneCellAnchor>
  <xdr:oneCellAnchor>
    <xdr:from>
      <xdr:col>0</xdr:col>
      <xdr:colOff>685800</xdr:colOff>
      <xdr:row>198</xdr:row>
      <xdr:rowOff>47625</xdr:rowOff>
    </xdr:from>
    <xdr:ext cx="76200" cy="222885"/>
    <xdr:sp macro="" textlink="">
      <xdr:nvSpPr>
        <xdr:cNvPr id="126" name="Text Box 1">
          <a:extLst>
            <a:ext uri="{FF2B5EF4-FFF2-40B4-BE49-F238E27FC236}">
              <a16:creationId xmlns:a16="http://schemas.microsoft.com/office/drawing/2014/main" id="{358121EE-0DA5-48E1-B6BB-80E951E01133}"/>
            </a:ext>
          </a:extLst>
        </xdr:cNvPr>
        <xdr:cNvSpPr txBox="1">
          <a:spLocks noChangeArrowheads="1"/>
        </xdr:cNvSpPr>
      </xdr:nvSpPr>
      <xdr:spPr bwMode="auto">
        <a:xfrm>
          <a:off x="685800" y="24538305"/>
          <a:ext cx="76200" cy="222885"/>
        </a:xfrm>
        <a:prstGeom prst="rect">
          <a:avLst/>
        </a:prstGeom>
        <a:noFill/>
        <a:ln w="9525">
          <a:noFill/>
          <a:miter lim="800000"/>
          <a:headEnd/>
          <a:tailEnd/>
        </a:ln>
      </xdr:spPr>
    </xdr:sp>
    <xdr:clientData/>
  </xdr:oneCellAnchor>
  <xdr:oneCellAnchor>
    <xdr:from>
      <xdr:col>0</xdr:col>
      <xdr:colOff>685800</xdr:colOff>
      <xdr:row>201</xdr:row>
      <xdr:rowOff>47625</xdr:rowOff>
    </xdr:from>
    <xdr:ext cx="76200" cy="222885"/>
    <xdr:sp macro="" textlink="">
      <xdr:nvSpPr>
        <xdr:cNvPr id="127" name="Text Box 1">
          <a:extLst>
            <a:ext uri="{FF2B5EF4-FFF2-40B4-BE49-F238E27FC236}">
              <a16:creationId xmlns:a16="http://schemas.microsoft.com/office/drawing/2014/main" id="{1919E8C9-F7D4-44C8-9469-EA67CCBE876E}"/>
            </a:ext>
          </a:extLst>
        </xdr:cNvPr>
        <xdr:cNvSpPr txBox="1">
          <a:spLocks noChangeArrowheads="1"/>
        </xdr:cNvSpPr>
      </xdr:nvSpPr>
      <xdr:spPr bwMode="auto">
        <a:xfrm>
          <a:off x="685800" y="23890605"/>
          <a:ext cx="76200" cy="222885"/>
        </a:xfrm>
        <a:prstGeom prst="rect">
          <a:avLst/>
        </a:prstGeom>
        <a:noFill/>
        <a:ln w="9525">
          <a:noFill/>
          <a:miter lim="800000"/>
          <a:headEnd/>
          <a:tailEnd/>
        </a:ln>
      </xdr:spPr>
    </xdr:sp>
    <xdr:clientData/>
  </xdr:oneCellAnchor>
  <xdr:oneCellAnchor>
    <xdr:from>
      <xdr:col>0</xdr:col>
      <xdr:colOff>685800</xdr:colOff>
      <xdr:row>203</xdr:row>
      <xdr:rowOff>47625</xdr:rowOff>
    </xdr:from>
    <xdr:ext cx="76200" cy="222885"/>
    <xdr:sp macro="" textlink="">
      <xdr:nvSpPr>
        <xdr:cNvPr id="128" name="Text Box 1">
          <a:extLst>
            <a:ext uri="{FF2B5EF4-FFF2-40B4-BE49-F238E27FC236}">
              <a16:creationId xmlns:a16="http://schemas.microsoft.com/office/drawing/2014/main" id="{C59464A8-9E3E-4B26-B9F1-D00F7FA6669C}"/>
            </a:ext>
          </a:extLst>
        </xdr:cNvPr>
        <xdr:cNvSpPr txBox="1">
          <a:spLocks noChangeArrowheads="1"/>
        </xdr:cNvSpPr>
      </xdr:nvSpPr>
      <xdr:spPr bwMode="auto">
        <a:xfrm>
          <a:off x="685800" y="24149685"/>
          <a:ext cx="76200" cy="222885"/>
        </a:xfrm>
        <a:prstGeom prst="rect">
          <a:avLst/>
        </a:prstGeom>
        <a:noFill/>
        <a:ln w="9525">
          <a:noFill/>
          <a:miter lim="800000"/>
          <a:headEnd/>
          <a:tailEnd/>
        </a:ln>
      </xdr:spPr>
    </xdr:sp>
    <xdr:clientData/>
  </xdr:oneCellAnchor>
  <xdr:oneCellAnchor>
    <xdr:from>
      <xdr:col>0</xdr:col>
      <xdr:colOff>685800</xdr:colOff>
      <xdr:row>204</xdr:row>
      <xdr:rowOff>47625</xdr:rowOff>
    </xdr:from>
    <xdr:ext cx="76200" cy="222885"/>
    <xdr:sp macro="" textlink="">
      <xdr:nvSpPr>
        <xdr:cNvPr id="129" name="Text Box 1">
          <a:extLst>
            <a:ext uri="{FF2B5EF4-FFF2-40B4-BE49-F238E27FC236}">
              <a16:creationId xmlns:a16="http://schemas.microsoft.com/office/drawing/2014/main" id="{691EEA5C-4092-4C27-9EF0-CBEB937C6ECC}"/>
            </a:ext>
          </a:extLst>
        </xdr:cNvPr>
        <xdr:cNvSpPr txBox="1">
          <a:spLocks noChangeArrowheads="1"/>
        </xdr:cNvSpPr>
      </xdr:nvSpPr>
      <xdr:spPr bwMode="auto">
        <a:xfrm>
          <a:off x="685800" y="24279225"/>
          <a:ext cx="76200" cy="222885"/>
        </a:xfrm>
        <a:prstGeom prst="rect">
          <a:avLst/>
        </a:prstGeom>
        <a:noFill/>
        <a:ln w="9525">
          <a:noFill/>
          <a:miter lim="800000"/>
          <a:headEnd/>
          <a:tailEnd/>
        </a:ln>
      </xdr:spPr>
    </xdr:sp>
    <xdr:clientData/>
  </xdr:oneCellAnchor>
  <xdr:oneCellAnchor>
    <xdr:from>
      <xdr:col>0</xdr:col>
      <xdr:colOff>685800</xdr:colOff>
      <xdr:row>206</xdr:row>
      <xdr:rowOff>47625</xdr:rowOff>
    </xdr:from>
    <xdr:ext cx="76200" cy="222885"/>
    <xdr:sp macro="" textlink="">
      <xdr:nvSpPr>
        <xdr:cNvPr id="130" name="Text Box 1">
          <a:extLst>
            <a:ext uri="{FF2B5EF4-FFF2-40B4-BE49-F238E27FC236}">
              <a16:creationId xmlns:a16="http://schemas.microsoft.com/office/drawing/2014/main" id="{635C5091-812E-4FF0-A09B-1B004BBC4AD4}"/>
            </a:ext>
          </a:extLst>
        </xdr:cNvPr>
        <xdr:cNvSpPr txBox="1">
          <a:spLocks noChangeArrowheads="1"/>
        </xdr:cNvSpPr>
      </xdr:nvSpPr>
      <xdr:spPr bwMode="auto">
        <a:xfrm>
          <a:off x="685800" y="24538305"/>
          <a:ext cx="76200" cy="222885"/>
        </a:xfrm>
        <a:prstGeom prst="rect">
          <a:avLst/>
        </a:prstGeom>
        <a:noFill/>
        <a:ln w="9525">
          <a:noFill/>
          <a:miter lim="800000"/>
          <a:headEnd/>
          <a:tailEnd/>
        </a:ln>
      </xdr:spPr>
    </xdr:sp>
    <xdr:clientData/>
  </xdr:oneCellAnchor>
  <xdr:oneCellAnchor>
    <xdr:from>
      <xdr:col>0</xdr:col>
      <xdr:colOff>685800</xdr:colOff>
      <xdr:row>199</xdr:row>
      <xdr:rowOff>47625</xdr:rowOff>
    </xdr:from>
    <xdr:ext cx="76200" cy="222885"/>
    <xdr:sp macro="" textlink="">
      <xdr:nvSpPr>
        <xdr:cNvPr id="131" name="Text Box 1">
          <a:extLst>
            <a:ext uri="{FF2B5EF4-FFF2-40B4-BE49-F238E27FC236}">
              <a16:creationId xmlns:a16="http://schemas.microsoft.com/office/drawing/2014/main" id="{2B6029FB-F8D3-4E84-8062-DF37D32E8BE2}"/>
            </a:ext>
          </a:extLst>
        </xdr:cNvPr>
        <xdr:cNvSpPr txBox="1">
          <a:spLocks noChangeArrowheads="1"/>
        </xdr:cNvSpPr>
      </xdr:nvSpPr>
      <xdr:spPr bwMode="auto">
        <a:xfrm>
          <a:off x="685800" y="25963245"/>
          <a:ext cx="76200" cy="222885"/>
        </a:xfrm>
        <a:prstGeom prst="rect">
          <a:avLst/>
        </a:prstGeom>
        <a:noFill/>
        <a:ln w="9525">
          <a:noFill/>
          <a:miter lim="800000"/>
          <a:headEnd/>
          <a:tailEnd/>
        </a:ln>
      </xdr:spPr>
    </xdr:sp>
    <xdr:clientData/>
  </xdr:oneCellAnchor>
  <xdr:oneCellAnchor>
    <xdr:from>
      <xdr:col>0</xdr:col>
      <xdr:colOff>685800</xdr:colOff>
      <xdr:row>201</xdr:row>
      <xdr:rowOff>47625</xdr:rowOff>
    </xdr:from>
    <xdr:ext cx="76200" cy="222885"/>
    <xdr:sp macro="" textlink="">
      <xdr:nvSpPr>
        <xdr:cNvPr id="132" name="Text Box 1">
          <a:extLst>
            <a:ext uri="{FF2B5EF4-FFF2-40B4-BE49-F238E27FC236}">
              <a16:creationId xmlns:a16="http://schemas.microsoft.com/office/drawing/2014/main" id="{90BED427-AF83-4CF3-B561-979713FD4255}"/>
            </a:ext>
          </a:extLst>
        </xdr:cNvPr>
        <xdr:cNvSpPr txBox="1">
          <a:spLocks noChangeArrowheads="1"/>
        </xdr:cNvSpPr>
      </xdr:nvSpPr>
      <xdr:spPr bwMode="auto">
        <a:xfrm>
          <a:off x="685800" y="26222325"/>
          <a:ext cx="76200" cy="222885"/>
        </a:xfrm>
        <a:prstGeom prst="rect">
          <a:avLst/>
        </a:prstGeom>
        <a:noFill/>
        <a:ln w="9525">
          <a:noFill/>
          <a:miter lim="800000"/>
          <a:headEnd/>
          <a:tailEnd/>
        </a:ln>
      </xdr:spPr>
    </xdr:sp>
    <xdr:clientData/>
  </xdr:oneCellAnchor>
  <xdr:oneCellAnchor>
    <xdr:from>
      <xdr:col>0</xdr:col>
      <xdr:colOff>685800</xdr:colOff>
      <xdr:row>202</xdr:row>
      <xdr:rowOff>47625</xdr:rowOff>
    </xdr:from>
    <xdr:ext cx="76200" cy="222885"/>
    <xdr:sp macro="" textlink="">
      <xdr:nvSpPr>
        <xdr:cNvPr id="133" name="Text Box 1">
          <a:extLst>
            <a:ext uri="{FF2B5EF4-FFF2-40B4-BE49-F238E27FC236}">
              <a16:creationId xmlns:a16="http://schemas.microsoft.com/office/drawing/2014/main" id="{147374A5-2305-41E4-87E2-966FBBB9CEB7}"/>
            </a:ext>
          </a:extLst>
        </xdr:cNvPr>
        <xdr:cNvSpPr txBox="1">
          <a:spLocks noChangeArrowheads="1"/>
        </xdr:cNvSpPr>
      </xdr:nvSpPr>
      <xdr:spPr bwMode="auto">
        <a:xfrm>
          <a:off x="685800" y="26351865"/>
          <a:ext cx="76200" cy="222885"/>
        </a:xfrm>
        <a:prstGeom prst="rect">
          <a:avLst/>
        </a:prstGeom>
        <a:noFill/>
        <a:ln w="9525">
          <a:noFill/>
          <a:miter lim="800000"/>
          <a:headEnd/>
          <a:tailEnd/>
        </a:ln>
      </xdr:spPr>
    </xdr:sp>
    <xdr:clientData/>
  </xdr:oneCellAnchor>
  <xdr:oneCellAnchor>
    <xdr:from>
      <xdr:col>0</xdr:col>
      <xdr:colOff>685800</xdr:colOff>
      <xdr:row>205</xdr:row>
      <xdr:rowOff>47625</xdr:rowOff>
    </xdr:from>
    <xdr:ext cx="76200" cy="222885"/>
    <xdr:sp macro="" textlink="">
      <xdr:nvSpPr>
        <xdr:cNvPr id="134" name="Text Box 1">
          <a:extLst>
            <a:ext uri="{FF2B5EF4-FFF2-40B4-BE49-F238E27FC236}">
              <a16:creationId xmlns:a16="http://schemas.microsoft.com/office/drawing/2014/main" id="{112F993D-C039-4DDE-ACD5-F55622D04D1E}"/>
            </a:ext>
          </a:extLst>
        </xdr:cNvPr>
        <xdr:cNvSpPr txBox="1">
          <a:spLocks noChangeArrowheads="1"/>
        </xdr:cNvSpPr>
      </xdr:nvSpPr>
      <xdr:spPr bwMode="auto">
        <a:xfrm>
          <a:off x="685800" y="25963245"/>
          <a:ext cx="76200" cy="222885"/>
        </a:xfrm>
        <a:prstGeom prst="rect">
          <a:avLst/>
        </a:prstGeom>
        <a:noFill/>
        <a:ln w="9525">
          <a:noFill/>
          <a:miter lim="800000"/>
          <a:headEnd/>
          <a:tailEnd/>
        </a:ln>
      </xdr:spPr>
    </xdr:sp>
    <xdr:clientData/>
  </xdr:oneCellAnchor>
  <xdr:oneCellAnchor>
    <xdr:from>
      <xdr:col>0</xdr:col>
      <xdr:colOff>685800</xdr:colOff>
      <xdr:row>207</xdr:row>
      <xdr:rowOff>47625</xdr:rowOff>
    </xdr:from>
    <xdr:ext cx="76200" cy="222885"/>
    <xdr:sp macro="" textlink="">
      <xdr:nvSpPr>
        <xdr:cNvPr id="135" name="Text Box 1">
          <a:extLst>
            <a:ext uri="{FF2B5EF4-FFF2-40B4-BE49-F238E27FC236}">
              <a16:creationId xmlns:a16="http://schemas.microsoft.com/office/drawing/2014/main" id="{88BFBBBE-7D9D-4F0B-8AD7-DDAD737315E2}"/>
            </a:ext>
          </a:extLst>
        </xdr:cNvPr>
        <xdr:cNvSpPr txBox="1">
          <a:spLocks noChangeArrowheads="1"/>
        </xdr:cNvSpPr>
      </xdr:nvSpPr>
      <xdr:spPr bwMode="auto">
        <a:xfrm>
          <a:off x="685800" y="26222325"/>
          <a:ext cx="76200" cy="222885"/>
        </a:xfrm>
        <a:prstGeom prst="rect">
          <a:avLst/>
        </a:prstGeom>
        <a:noFill/>
        <a:ln w="9525">
          <a:noFill/>
          <a:miter lim="800000"/>
          <a:headEnd/>
          <a:tailEnd/>
        </a:ln>
      </xdr:spPr>
    </xdr:sp>
    <xdr:clientData/>
  </xdr:oneCellAnchor>
  <xdr:oneCellAnchor>
    <xdr:from>
      <xdr:col>0</xdr:col>
      <xdr:colOff>685800</xdr:colOff>
      <xdr:row>208</xdr:row>
      <xdr:rowOff>47625</xdr:rowOff>
    </xdr:from>
    <xdr:ext cx="76200" cy="222885"/>
    <xdr:sp macro="" textlink="">
      <xdr:nvSpPr>
        <xdr:cNvPr id="136" name="Text Box 1">
          <a:extLst>
            <a:ext uri="{FF2B5EF4-FFF2-40B4-BE49-F238E27FC236}">
              <a16:creationId xmlns:a16="http://schemas.microsoft.com/office/drawing/2014/main" id="{4D871261-93EF-43D7-A7C9-57EA32CE1195}"/>
            </a:ext>
          </a:extLst>
        </xdr:cNvPr>
        <xdr:cNvSpPr txBox="1">
          <a:spLocks noChangeArrowheads="1"/>
        </xdr:cNvSpPr>
      </xdr:nvSpPr>
      <xdr:spPr bwMode="auto">
        <a:xfrm>
          <a:off x="685800" y="26351865"/>
          <a:ext cx="76200" cy="222885"/>
        </a:xfrm>
        <a:prstGeom prst="rect">
          <a:avLst/>
        </a:prstGeom>
        <a:noFill/>
        <a:ln w="9525">
          <a:noFill/>
          <a:miter lim="800000"/>
          <a:headEnd/>
          <a:tailEnd/>
        </a:ln>
      </xdr:spPr>
    </xdr:sp>
    <xdr:clientData/>
  </xdr:oneCellAnchor>
  <xdr:oneCellAnchor>
    <xdr:from>
      <xdr:col>0</xdr:col>
      <xdr:colOff>685800</xdr:colOff>
      <xdr:row>211</xdr:row>
      <xdr:rowOff>47625</xdr:rowOff>
    </xdr:from>
    <xdr:ext cx="76200" cy="222885"/>
    <xdr:sp macro="" textlink="">
      <xdr:nvSpPr>
        <xdr:cNvPr id="137" name="Text Box 1">
          <a:extLst>
            <a:ext uri="{FF2B5EF4-FFF2-40B4-BE49-F238E27FC236}">
              <a16:creationId xmlns:a16="http://schemas.microsoft.com/office/drawing/2014/main" id="{57DA5FC0-AA51-4BC1-9861-E70A0FE8B0D3}"/>
            </a:ext>
          </a:extLst>
        </xdr:cNvPr>
        <xdr:cNvSpPr txBox="1">
          <a:spLocks noChangeArrowheads="1"/>
        </xdr:cNvSpPr>
      </xdr:nvSpPr>
      <xdr:spPr bwMode="auto">
        <a:xfrm>
          <a:off x="685800" y="25963245"/>
          <a:ext cx="76200" cy="222885"/>
        </a:xfrm>
        <a:prstGeom prst="rect">
          <a:avLst/>
        </a:prstGeom>
        <a:noFill/>
        <a:ln w="9525">
          <a:noFill/>
          <a:miter lim="800000"/>
          <a:headEnd/>
          <a:tailEnd/>
        </a:ln>
      </xdr:spPr>
    </xdr:sp>
    <xdr:clientData/>
  </xdr:oneCellAnchor>
  <xdr:oneCellAnchor>
    <xdr:from>
      <xdr:col>0</xdr:col>
      <xdr:colOff>685800</xdr:colOff>
      <xdr:row>213</xdr:row>
      <xdr:rowOff>47625</xdr:rowOff>
    </xdr:from>
    <xdr:ext cx="76200" cy="222885"/>
    <xdr:sp macro="" textlink="">
      <xdr:nvSpPr>
        <xdr:cNvPr id="138" name="Text Box 1">
          <a:extLst>
            <a:ext uri="{FF2B5EF4-FFF2-40B4-BE49-F238E27FC236}">
              <a16:creationId xmlns:a16="http://schemas.microsoft.com/office/drawing/2014/main" id="{22D1DFF3-BE3C-49B6-A3B0-64AEB05A8CA1}"/>
            </a:ext>
          </a:extLst>
        </xdr:cNvPr>
        <xdr:cNvSpPr txBox="1">
          <a:spLocks noChangeArrowheads="1"/>
        </xdr:cNvSpPr>
      </xdr:nvSpPr>
      <xdr:spPr bwMode="auto">
        <a:xfrm>
          <a:off x="685800" y="26222325"/>
          <a:ext cx="76200" cy="222885"/>
        </a:xfrm>
        <a:prstGeom prst="rect">
          <a:avLst/>
        </a:prstGeom>
        <a:noFill/>
        <a:ln w="9525">
          <a:noFill/>
          <a:miter lim="800000"/>
          <a:headEnd/>
          <a:tailEnd/>
        </a:ln>
      </xdr:spPr>
    </xdr:sp>
    <xdr:clientData/>
  </xdr:oneCellAnchor>
  <xdr:oneCellAnchor>
    <xdr:from>
      <xdr:col>0</xdr:col>
      <xdr:colOff>685800</xdr:colOff>
      <xdr:row>214</xdr:row>
      <xdr:rowOff>47625</xdr:rowOff>
    </xdr:from>
    <xdr:ext cx="76200" cy="222885"/>
    <xdr:sp macro="" textlink="">
      <xdr:nvSpPr>
        <xdr:cNvPr id="139" name="Text Box 1">
          <a:extLst>
            <a:ext uri="{FF2B5EF4-FFF2-40B4-BE49-F238E27FC236}">
              <a16:creationId xmlns:a16="http://schemas.microsoft.com/office/drawing/2014/main" id="{4232E4A5-004C-4D00-8D79-6808AAABADFB}"/>
            </a:ext>
          </a:extLst>
        </xdr:cNvPr>
        <xdr:cNvSpPr txBox="1">
          <a:spLocks noChangeArrowheads="1"/>
        </xdr:cNvSpPr>
      </xdr:nvSpPr>
      <xdr:spPr bwMode="auto">
        <a:xfrm>
          <a:off x="685800" y="26351865"/>
          <a:ext cx="76200" cy="222885"/>
        </a:xfrm>
        <a:prstGeom prst="rect">
          <a:avLst/>
        </a:prstGeom>
        <a:noFill/>
        <a:ln w="9525">
          <a:noFill/>
          <a:miter lim="800000"/>
          <a:headEnd/>
          <a:tailEnd/>
        </a:ln>
      </xdr:spPr>
    </xdr:sp>
    <xdr:clientData/>
  </xdr:oneCellAnchor>
  <xdr:oneCellAnchor>
    <xdr:from>
      <xdr:col>0</xdr:col>
      <xdr:colOff>685800</xdr:colOff>
      <xdr:row>214</xdr:row>
      <xdr:rowOff>47625</xdr:rowOff>
    </xdr:from>
    <xdr:ext cx="76200" cy="222885"/>
    <xdr:sp macro="" textlink="">
      <xdr:nvSpPr>
        <xdr:cNvPr id="140" name="Text Box 1">
          <a:extLst>
            <a:ext uri="{FF2B5EF4-FFF2-40B4-BE49-F238E27FC236}">
              <a16:creationId xmlns:a16="http://schemas.microsoft.com/office/drawing/2014/main" id="{0050A2BE-16D4-45BC-A48C-B7D86E10DC6C}"/>
            </a:ext>
          </a:extLst>
        </xdr:cNvPr>
        <xdr:cNvSpPr txBox="1">
          <a:spLocks noChangeArrowheads="1"/>
        </xdr:cNvSpPr>
      </xdr:nvSpPr>
      <xdr:spPr bwMode="auto">
        <a:xfrm>
          <a:off x="685800" y="27906345"/>
          <a:ext cx="76200" cy="222885"/>
        </a:xfrm>
        <a:prstGeom prst="rect">
          <a:avLst/>
        </a:prstGeom>
        <a:noFill/>
        <a:ln w="9525">
          <a:noFill/>
          <a:miter lim="800000"/>
          <a:headEnd/>
          <a:tailEnd/>
        </a:ln>
      </xdr:spPr>
    </xdr:sp>
    <xdr:clientData/>
  </xdr:oneCellAnchor>
  <xdr:oneCellAnchor>
    <xdr:from>
      <xdr:col>0</xdr:col>
      <xdr:colOff>685800</xdr:colOff>
      <xdr:row>217</xdr:row>
      <xdr:rowOff>47625</xdr:rowOff>
    </xdr:from>
    <xdr:ext cx="76200" cy="222885"/>
    <xdr:sp macro="" textlink="">
      <xdr:nvSpPr>
        <xdr:cNvPr id="141" name="Text Box 1">
          <a:extLst>
            <a:ext uri="{FF2B5EF4-FFF2-40B4-BE49-F238E27FC236}">
              <a16:creationId xmlns:a16="http://schemas.microsoft.com/office/drawing/2014/main" id="{20BB6F7D-9D84-432C-B311-057D1CD919BC}"/>
            </a:ext>
          </a:extLst>
        </xdr:cNvPr>
        <xdr:cNvSpPr txBox="1">
          <a:spLocks noChangeArrowheads="1"/>
        </xdr:cNvSpPr>
      </xdr:nvSpPr>
      <xdr:spPr bwMode="auto">
        <a:xfrm>
          <a:off x="685800" y="28294965"/>
          <a:ext cx="76200" cy="222885"/>
        </a:xfrm>
        <a:prstGeom prst="rect">
          <a:avLst/>
        </a:prstGeom>
        <a:noFill/>
        <a:ln w="9525">
          <a:noFill/>
          <a:miter lim="800000"/>
          <a:headEnd/>
          <a:tailEnd/>
        </a:ln>
      </xdr:spPr>
    </xdr:sp>
    <xdr:clientData/>
  </xdr:oneCellAnchor>
  <xdr:oneCellAnchor>
    <xdr:from>
      <xdr:col>0</xdr:col>
      <xdr:colOff>685800</xdr:colOff>
      <xdr:row>219</xdr:row>
      <xdr:rowOff>47625</xdr:rowOff>
    </xdr:from>
    <xdr:ext cx="76200" cy="222885"/>
    <xdr:sp macro="" textlink="">
      <xdr:nvSpPr>
        <xdr:cNvPr id="142" name="Text Box 1">
          <a:extLst>
            <a:ext uri="{FF2B5EF4-FFF2-40B4-BE49-F238E27FC236}">
              <a16:creationId xmlns:a16="http://schemas.microsoft.com/office/drawing/2014/main" id="{4A9C6C47-355E-435E-9ED5-8A3B95409F5A}"/>
            </a:ext>
          </a:extLst>
        </xdr:cNvPr>
        <xdr:cNvSpPr txBox="1">
          <a:spLocks noChangeArrowheads="1"/>
        </xdr:cNvSpPr>
      </xdr:nvSpPr>
      <xdr:spPr bwMode="auto">
        <a:xfrm>
          <a:off x="685800" y="28554045"/>
          <a:ext cx="76200" cy="222885"/>
        </a:xfrm>
        <a:prstGeom prst="rect">
          <a:avLst/>
        </a:prstGeom>
        <a:noFill/>
        <a:ln w="9525">
          <a:noFill/>
          <a:miter lim="800000"/>
          <a:headEnd/>
          <a:tailEnd/>
        </a:ln>
      </xdr:spPr>
    </xdr:sp>
    <xdr:clientData/>
  </xdr:oneCellAnchor>
  <xdr:oneCellAnchor>
    <xdr:from>
      <xdr:col>0</xdr:col>
      <xdr:colOff>685800</xdr:colOff>
      <xdr:row>220</xdr:row>
      <xdr:rowOff>47625</xdr:rowOff>
    </xdr:from>
    <xdr:ext cx="76200" cy="222885"/>
    <xdr:sp macro="" textlink="">
      <xdr:nvSpPr>
        <xdr:cNvPr id="143" name="Text Box 1">
          <a:extLst>
            <a:ext uri="{FF2B5EF4-FFF2-40B4-BE49-F238E27FC236}">
              <a16:creationId xmlns:a16="http://schemas.microsoft.com/office/drawing/2014/main" id="{58EA7249-6201-4AFB-89D0-171C1E83511F}"/>
            </a:ext>
          </a:extLst>
        </xdr:cNvPr>
        <xdr:cNvSpPr txBox="1">
          <a:spLocks noChangeArrowheads="1"/>
        </xdr:cNvSpPr>
      </xdr:nvSpPr>
      <xdr:spPr bwMode="auto">
        <a:xfrm>
          <a:off x="685800" y="27906345"/>
          <a:ext cx="76200" cy="222885"/>
        </a:xfrm>
        <a:prstGeom prst="rect">
          <a:avLst/>
        </a:prstGeom>
        <a:noFill/>
        <a:ln w="9525">
          <a:noFill/>
          <a:miter lim="800000"/>
          <a:headEnd/>
          <a:tailEnd/>
        </a:ln>
      </xdr:spPr>
    </xdr:sp>
    <xdr:clientData/>
  </xdr:oneCellAnchor>
  <xdr:oneCellAnchor>
    <xdr:from>
      <xdr:col>0</xdr:col>
      <xdr:colOff>685800</xdr:colOff>
      <xdr:row>223</xdr:row>
      <xdr:rowOff>47625</xdr:rowOff>
    </xdr:from>
    <xdr:ext cx="76200" cy="222885"/>
    <xdr:sp macro="" textlink="">
      <xdr:nvSpPr>
        <xdr:cNvPr id="144" name="Text Box 1">
          <a:extLst>
            <a:ext uri="{FF2B5EF4-FFF2-40B4-BE49-F238E27FC236}">
              <a16:creationId xmlns:a16="http://schemas.microsoft.com/office/drawing/2014/main" id="{A9725E6A-58B0-4F65-8676-D651AB86F7F9}"/>
            </a:ext>
          </a:extLst>
        </xdr:cNvPr>
        <xdr:cNvSpPr txBox="1">
          <a:spLocks noChangeArrowheads="1"/>
        </xdr:cNvSpPr>
      </xdr:nvSpPr>
      <xdr:spPr bwMode="auto">
        <a:xfrm>
          <a:off x="685800" y="28294965"/>
          <a:ext cx="76200" cy="222885"/>
        </a:xfrm>
        <a:prstGeom prst="rect">
          <a:avLst/>
        </a:prstGeom>
        <a:noFill/>
        <a:ln w="9525">
          <a:noFill/>
          <a:miter lim="800000"/>
          <a:headEnd/>
          <a:tailEnd/>
        </a:ln>
      </xdr:spPr>
    </xdr:sp>
    <xdr:clientData/>
  </xdr:oneCellAnchor>
  <xdr:oneCellAnchor>
    <xdr:from>
      <xdr:col>0</xdr:col>
      <xdr:colOff>685800</xdr:colOff>
      <xdr:row>225</xdr:row>
      <xdr:rowOff>47625</xdr:rowOff>
    </xdr:from>
    <xdr:ext cx="76200" cy="222885"/>
    <xdr:sp macro="" textlink="">
      <xdr:nvSpPr>
        <xdr:cNvPr id="145" name="Text Box 1">
          <a:extLst>
            <a:ext uri="{FF2B5EF4-FFF2-40B4-BE49-F238E27FC236}">
              <a16:creationId xmlns:a16="http://schemas.microsoft.com/office/drawing/2014/main" id="{F34B7203-0F55-4ED8-B182-BD5763C440B5}"/>
            </a:ext>
          </a:extLst>
        </xdr:cNvPr>
        <xdr:cNvSpPr txBox="1">
          <a:spLocks noChangeArrowheads="1"/>
        </xdr:cNvSpPr>
      </xdr:nvSpPr>
      <xdr:spPr bwMode="auto">
        <a:xfrm>
          <a:off x="685800" y="28554045"/>
          <a:ext cx="76200" cy="222885"/>
        </a:xfrm>
        <a:prstGeom prst="rect">
          <a:avLst/>
        </a:prstGeom>
        <a:noFill/>
        <a:ln w="9525">
          <a:noFill/>
          <a:miter lim="800000"/>
          <a:headEnd/>
          <a:tailEnd/>
        </a:ln>
      </xdr:spPr>
    </xdr:sp>
    <xdr:clientData/>
  </xdr:oneCellAnchor>
  <xdr:oneCellAnchor>
    <xdr:from>
      <xdr:col>0</xdr:col>
      <xdr:colOff>685800</xdr:colOff>
      <xdr:row>226</xdr:row>
      <xdr:rowOff>47625</xdr:rowOff>
    </xdr:from>
    <xdr:ext cx="76200" cy="222885"/>
    <xdr:sp macro="" textlink="">
      <xdr:nvSpPr>
        <xdr:cNvPr id="146" name="Text Box 1">
          <a:extLst>
            <a:ext uri="{FF2B5EF4-FFF2-40B4-BE49-F238E27FC236}">
              <a16:creationId xmlns:a16="http://schemas.microsoft.com/office/drawing/2014/main" id="{AB439A8E-912E-43FA-B53F-C2196C90064B}"/>
            </a:ext>
          </a:extLst>
        </xdr:cNvPr>
        <xdr:cNvSpPr txBox="1">
          <a:spLocks noChangeArrowheads="1"/>
        </xdr:cNvSpPr>
      </xdr:nvSpPr>
      <xdr:spPr bwMode="auto">
        <a:xfrm>
          <a:off x="685800" y="27906345"/>
          <a:ext cx="76200" cy="222885"/>
        </a:xfrm>
        <a:prstGeom prst="rect">
          <a:avLst/>
        </a:prstGeom>
        <a:noFill/>
        <a:ln w="9525">
          <a:noFill/>
          <a:miter lim="800000"/>
          <a:headEnd/>
          <a:tailEnd/>
        </a:ln>
      </xdr:spPr>
    </xdr:sp>
    <xdr:clientData/>
  </xdr:oneCellAnchor>
  <xdr:oneCellAnchor>
    <xdr:from>
      <xdr:col>0</xdr:col>
      <xdr:colOff>685800</xdr:colOff>
      <xdr:row>229</xdr:row>
      <xdr:rowOff>47625</xdr:rowOff>
    </xdr:from>
    <xdr:ext cx="76200" cy="222885"/>
    <xdr:sp macro="" textlink="">
      <xdr:nvSpPr>
        <xdr:cNvPr id="147" name="Text Box 1">
          <a:extLst>
            <a:ext uri="{FF2B5EF4-FFF2-40B4-BE49-F238E27FC236}">
              <a16:creationId xmlns:a16="http://schemas.microsoft.com/office/drawing/2014/main" id="{106F8FA2-7CA0-458D-9501-D9FCF5C4AA9F}"/>
            </a:ext>
          </a:extLst>
        </xdr:cNvPr>
        <xdr:cNvSpPr txBox="1">
          <a:spLocks noChangeArrowheads="1"/>
        </xdr:cNvSpPr>
      </xdr:nvSpPr>
      <xdr:spPr bwMode="auto">
        <a:xfrm>
          <a:off x="685800" y="28294965"/>
          <a:ext cx="76200" cy="222885"/>
        </a:xfrm>
        <a:prstGeom prst="rect">
          <a:avLst/>
        </a:prstGeom>
        <a:noFill/>
        <a:ln w="9525">
          <a:noFill/>
          <a:miter lim="800000"/>
          <a:headEnd/>
          <a:tailEnd/>
        </a:ln>
      </xdr:spPr>
    </xdr:sp>
    <xdr:clientData/>
  </xdr:oneCellAnchor>
  <xdr:oneCellAnchor>
    <xdr:from>
      <xdr:col>0</xdr:col>
      <xdr:colOff>685800</xdr:colOff>
      <xdr:row>231</xdr:row>
      <xdr:rowOff>47625</xdr:rowOff>
    </xdr:from>
    <xdr:ext cx="76200" cy="222885"/>
    <xdr:sp macro="" textlink="">
      <xdr:nvSpPr>
        <xdr:cNvPr id="148" name="Text Box 1">
          <a:extLst>
            <a:ext uri="{FF2B5EF4-FFF2-40B4-BE49-F238E27FC236}">
              <a16:creationId xmlns:a16="http://schemas.microsoft.com/office/drawing/2014/main" id="{2B362114-BE77-4086-B685-6E8CF53F4597}"/>
            </a:ext>
          </a:extLst>
        </xdr:cNvPr>
        <xdr:cNvSpPr txBox="1">
          <a:spLocks noChangeArrowheads="1"/>
        </xdr:cNvSpPr>
      </xdr:nvSpPr>
      <xdr:spPr bwMode="auto">
        <a:xfrm>
          <a:off x="685800" y="28554045"/>
          <a:ext cx="76200" cy="222885"/>
        </a:xfrm>
        <a:prstGeom prst="rect">
          <a:avLst/>
        </a:prstGeom>
        <a:noFill/>
        <a:ln w="9525">
          <a:noFill/>
          <a:miter lim="800000"/>
          <a:headEnd/>
          <a:tailEnd/>
        </a:ln>
      </xdr:spPr>
    </xdr:sp>
    <xdr:clientData/>
  </xdr:oneCellAnchor>
  <xdr:oneCellAnchor>
    <xdr:from>
      <xdr:col>0</xdr:col>
      <xdr:colOff>685800</xdr:colOff>
      <xdr:row>232</xdr:row>
      <xdr:rowOff>47625</xdr:rowOff>
    </xdr:from>
    <xdr:ext cx="76200" cy="222885"/>
    <xdr:sp macro="" textlink="">
      <xdr:nvSpPr>
        <xdr:cNvPr id="149" name="Text Box 1">
          <a:extLst>
            <a:ext uri="{FF2B5EF4-FFF2-40B4-BE49-F238E27FC236}">
              <a16:creationId xmlns:a16="http://schemas.microsoft.com/office/drawing/2014/main" id="{E67AD197-A4EA-461E-835E-E5B751535C99}"/>
            </a:ext>
          </a:extLst>
        </xdr:cNvPr>
        <xdr:cNvSpPr txBox="1">
          <a:spLocks noChangeArrowheads="1"/>
        </xdr:cNvSpPr>
      </xdr:nvSpPr>
      <xdr:spPr bwMode="auto">
        <a:xfrm>
          <a:off x="685800" y="27906345"/>
          <a:ext cx="76200" cy="222885"/>
        </a:xfrm>
        <a:prstGeom prst="rect">
          <a:avLst/>
        </a:prstGeom>
        <a:noFill/>
        <a:ln w="9525">
          <a:noFill/>
          <a:miter lim="800000"/>
          <a:headEnd/>
          <a:tailEnd/>
        </a:ln>
      </xdr:spPr>
    </xdr:sp>
    <xdr:clientData/>
  </xdr:oneCellAnchor>
  <xdr:oneCellAnchor>
    <xdr:from>
      <xdr:col>0</xdr:col>
      <xdr:colOff>685800</xdr:colOff>
      <xdr:row>298</xdr:row>
      <xdr:rowOff>0</xdr:rowOff>
    </xdr:from>
    <xdr:ext cx="76200" cy="222885"/>
    <xdr:sp macro="" textlink="">
      <xdr:nvSpPr>
        <xdr:cNvPr id="150" name="Text Box 1">
          <a:extLst>
            <a:ext uri="{FF2B5EF4-FFF2-40B4-BE49-F238E27FC236}">
              <a16:creationId xmlns:a16="http://schemas.microsoft.com/office/drawing/2014/main" id="{D5125F1D-0AC2-411F-B717-959A4E427C4D}"/>
            </a:ext>
          </a:extLst>
        </xdr:cNvPr>
        <xdr:cNvSpPr txBox="1">
          <a:spLocks noChangeArrowheads="1"/>
        </xdr:cNvSpPr>
      </xdr:nvSpPr>
      <xdr:spPr bwMode="auto">
        <a:xfrm>
          <a:off x="685800" y="28294965"/>
          <a:ext cx="76200" cy="222885"/>
        </a:xfrm>
        <a:prstGeom prst="rect">
          <a:avLst/>
        </a:prstGeom>
        <a:noFill/>
        <a:ln w="9525">
          <a:noFill/>
          <a:miter lim="800000"/>
          <a:headEnd/>
          <a:tailEnd/>
        </a:ln>
      </xdr:spPr>
    </xdr:sp>
    <xdr:clientData/>
  </xdr:oneCellAnchor>
  <xdr:oneCellAnchor>
    <xdr:from>
      <xdr:col>0</xdr:col>
      <xdr:colOff>685800</xdr:colOff>
      <xdr:row>298</xdr:row>
      <xdr:rowOff>0</xdr:rowOff>
    </xdr:from>
    <xdr:ext cx="76200" cy="222885"/>
    <xdr:sp macro="" textlink="">
      <xdr:nvSpPr>
        <xdr:cNvPr id="151" name="Text Box 1">
          <a:extLst>
            <a:ext uri="{FF2B5EF4-FFF2-40B4-BE49-F238E27FC236}">
              <a16:creationId xmlns:a16="http://schemas.microsoft.com/office/drawing/2014/main" id="{A39C94FC-5982-487B-A18B-9C7F2CCC66A6}"/>
            </a:ext>
          </a:extLst>
        </xdr:cNvPr>
        <xdr:cNvSpPr txBox="1">
          <a:spLocks noChangeArrowheads="1"/>
        </xdr:cNvSpPr>
      </xdr:nvSpPr>
      <xdr:spPr bwMode="auto">
        <a:xfrm>
          <a:off x="685800" y="28554045"/>
          <a:ext cx="76200" cy="222885"/>
        </a:xfrm>
        <a:prstGeom prst="rect">
          <a:avLst/>
        </a:prstGeom>
        <a:noFill/>
        <a:ln w="9525">
          <a:noFill/>
          <a:miter lim="800000"/>
          <a:headEnd/>
          <a:tailEnd/>
        </a:ln>
      </xdr:spPr>
    </xdr:sp>
    <xdr:clientData/>
  </xdr:oneCellAnchor>
  <xdr:oneCellAnchor>
    <xdr:from>
      <xdr:col>0</xdr:col>
      <xdr:colOff>685800</xdr:colOff>
      <xdr:row>298</xdr:row>
      <xdr:rowOff>0</xdr:rowOff>
    </xdr:from>
    <xdr:ext cx="76200" cy="222885"/>
    <xdr:sp macro="" textlink="">
      <xdr:nvSpPr>
        <xdr:cNvPr id="152" name="Text Box 1">
          <a:extLst>
            <a:ext uri="{FF2B5EF4-FFF2-40B4-BE49-F238E27FC236}">
              <a16:creationId xmlns:a16="http://schemas.microsoft.com/office/drawing/2014/main" id="{23B7E11B-E88A-474A-8E46-58A49FFCEE3A}"/>
            </a:ext>
          </a:extLst>
        </xdr:cNvPr>
        <xdr:cNvSpPr txBox="1">
          <a:spLocks noChangeArrowheads="1"/>
        </xdr:cNvSpPr>
      </xdr:nvSpPr>
      <xdr:spPr bwMode="auto">
        <a:xfrm>
          <a:off x="685800" y="27906345"/>
          <a:ext cx="76200" cy="222885"/>
        </a:xfrm>
        <a:prstGeom prst="rect">
          <a:avLst/>
        </a:prstGeom>
        <a:noFill/>
        <a:ln w="9525">
          <a:noFill/>
          <a:miter lim="800000"/>
          <a:headEnd/>
          <a:tailEnd/>
        </a:ln>
      </xdr:spPr>
    </xdr:sp>
    <xdr:clientData/>
  </xdr:oneCellAnchor>
  <xdr:oneCellAnchor>
    <xdr:from>
      <xdr:col>0</xdr:col>
      <xdr:colOff>685800</xdr:colOff>
      <xdr:row>298</xdr:row>
      <xdr:rowOff>0</xdr:rowOff>
    </xdr:from>
    <xdr:ext cx="76200" cy="222885"/>
    <xdr:sp macro="" textlink="">
      <xdr:nvSpPr>
        <xdr:cNvPr id="153" name="Text Box 1">
          <a:extLst>
            <a:ext uri="{FF2B5EF4-FFF2-40B4-BE49-F238E27FC236}">
              <a16:creationId xmlns:a16="http://schemas.microsoft.com/office/drawing/2014/main" id="{26D7EDAD-3562-408B-8F18-70755C7C39E6}"/>
            </a:ext>
          </a:extLst>
        </xdr:cNvPr>
        <xdr:cNvSpPr txBox="1">
          <a:spLocks noChangeArrowheads="1"/>
        </xdr:cNvSpPr>
      </xdr:nvSpPr>
      <xdr:spPr bwMode="auto">
        <a:xfrm>
          <a:off x="685800" y="28294965"/>
          <a:ext cx="76200" cy="222885"/>
        </a:xfrm>
        <a:prstGeom prst="rect">
          <a:avLst/>
        </a:prstGeom>
        <a:noFill/>
        <a:ln w="9525">
          <a:noFill/>
          <a:miter lim="800000"/>
          <a:headEnd/>
          <a:tailEnd/>
        </a:ln>
      </xdr:spPr>
    </xdr:sp>
    <xdr:clientData/>
  </xdr:oneCellAnchor>
  <xdr:oneCellAnchor>
    <xdr:from>
      <xdr:col>0</xdr:col>
      <xdr:colOff>685800</xdr:colOff>
      <xdr:row>298</xdr:row>
      <xdr:rowOff>0</xdr:rowOff>
    </xdr:from>
    <xdr:ext cx="76200" cy="222885"/>
    <xdr:sp macro="" textlink="">
      <xdr:nvSpPr>
        <xdr:cNvPr id="154" name="Text Box 1">
          <a:extLst>
            <a:ext uri="{FF2B5EF4-FFF2-40B4-BE49-F238E27FC236}">
              <a16:creationId xmlns:a16="http://schemas.microsoft.com/office/drawing/2014/main" id="{0D2C5DC3-2E70-4487-9CCA-F1AA82580C11}"/>
            </a:ext>
          </a:extLst>
        </xdr:cNvPr>
        <xdr:cNvSpPr txBox="1">
          <a:spLocks noChangeArrowheads="1"/>
        </xdr:cNvSpPr>
      </xdr:nvSpPr>
      <xdr:spPr bwMode="auto">
        <a:xfrm>
          <a:off x="685800" y="28554045"/>
          <a:ext cx="76200" cy="222885"/>
        </a:xfrm>
        <a:prstGeom prst="rect">
          <a:avLst/>
        </a:prstGeom>
        <a:noFill/>
        <a:ln w="9525">
          <a:noFill/>
          <a:miter lim="800000"/>
          <a:headEnd/>
          <a:tailEnd/>
        </a:ln>
      </xdr:spPr>
    </xdr:sp>
    <xdr:clientData/>
  </xdr:oneCellAnchor>
  <xdr:oneCellAnchor>
    <xdr:from>
      <xdr:col>0</xdr:col>
      <xdr:colOff>685800</xdr:colOff>
      <xdr:row>39</xdr:row>
      <xdr:rowOff>47625</xdr:rowOff>
    </xdr:from>
    <xdr:ext cx="76200" cy="225425"/>
    <xdr:sp macro="" textlink="">
      <xdr:nvSpPr>
        <xdr:cNvPr id="155" name="Text Box 1">
          <a:extLst>
            <a:ext uri="{FF2B5EF4-FFF2-40B4-BE49-F238E27FC236}">
              <a16:creationId xmlns:a16="http://schemas.microsoft.com/office/drawing/2014/main" id="{712C4B13-DDB1-4875-9B05-A419F024FB91}"/>
            </a:ext>
          </a:extLst>
        </xdr:cNvPr>
        <xdr:cNvSpPr txBox="1">
          <a:spLocks noChangeArrowheads="1"/>
        </xdr:cNvSpPr>
      </xdr:nvSpPr>
      <xdr:spPr bwMode="auto">
        <a:xfrm>
          <a:off x="685800" y="1427692"/>
          <a:ext cx="76200" cy="225425"/>
        </a:xfrm>
        <a:prstGeom prst="rect">
          <a:avLst/>
        </a:prstGeom>
        <a:noFill/>
        <a:ln w="9525">
          <a:noFill/>
          <a:miter lim="800000"/>
          <a:headEnd/>
          <a:tailEnd/>
        </a:ln>
      </xdr:spPr>
    </xdr:sp>
    <xdr:clientData/>
  </xdr:oneCellAnchor>
  <xdr:oneCellAnchor>
    <xdr:from>
      <xdr:col>0</xdr:col>
      <xdr:colOff>685800</xdr:colOff>
      <xdr:row>40</xdr:row>
      <xdr:rowOff>47625</xdr:rowOff>
    </xdr:from>
    <xdr:ext cx="76200" cy="225425"/>
    <xdr:sp macro="" textlink="">
      <xdr:nvSpPr>
        <xdr:cNvPr id="156" name="Text Box 1">
          <a:extLst>
            <a:ext uri="{FF2B5EF4-FFF2-40B4-BE49-F238E27FC236}">
              <a16:creationId xmlns:a16="http://schemas.microsoft.com/office/drawing/2014/main" id="{205EF1AE-5FE0-4F00-B0B1-0EE043A4A359}"/>
            </a:ext>
          </a:extLst>
        </xdr:cNvPr>
        <xdr:cNvSpPr txBox="1">
          <a:spLocks noChangeArrowheads="1"/>
        </xdr:cNvSpPr>
      </xdr:nvSpPr>
      <xdr:spPr bwMode="auto">
        <a:xfrm>
          <a:off x="685800" y="1605492"/>
          <a:ext cx="76200" cy="225425"/>
        </a:xfrm>
        <a:prstGeom prst="rect">
          <a:avLst/>
        </a:prstGeom>
        <a:noFill/>
        <a:ln w="9525">
          <a:noFill/>
          <a:miter lim="800000"/>
          <a:headEnd/>
          <a:tailEnd/>
        </a:ln>
      </xdr:spPr>
    </xdr:sp>
    <xdr:clientData/>
  </xdr:oneCellAnchor>
  <xdr:oneCellAnchor>
    <xdr:from>
      <xdr:col>0</xdr:col>
      <xdr:colOff>685800</xdr:colOff>
      <xdr:row>42</xdr:row>
      <xdr:rowOff>47625</xdr:rowOff>
    </xdr:from>
    <xdr:ext cx="76200" cy="222885"/>
    <xdr:sp macro="" textlink="">
      <xdr:nvSpPr>
        <xdr:cNvPr id="157" name="Text Box 1">
          <a:extLst>
            <a:ext uri="{FF2B5EF4-FFF2-40B4-BE49-F238E27FC236}">
              <a16:creationId xmlns:a16="http://schemas.microsoft.com/office/drawing/2014/main" id="{34558495-37A7-4315-A861-FAA9CD4A5A07}"/>
            </a:ext>
          </a:extLst>
        </xdr:cNvPr>
        <xdr:cNvSpPr txBox="1">
          <a:spLocks noChangeArrowheads="1"/>
        </xdr:cNvSpPr>
      </xdr:nvSpPr>
      <xdr:spPr bwMode="auto">
        <a:xfrm>
          <a:off x="685800" y="1961092"/>
          <a:ext cx="76200" cy="222885"/>
        </a:xfrm>
        <a:prstGeom prst="rect">
          <a:avLst/>
        </a:prstGeom>
        <a:noFill/>
        <a:ln w="9525">
          <a:noFill/>
          <a:miter lim="800000"/>
          <a:headEnd/>
          <a:tailEnd/>
        </a:ln>
      </xdr:spPr>
    </xdr:sp>
    <xdr:clientData/>
  </xdr:oneCellAnchor>
  <xdr:oneCellAnchor>
    <xdr:from>
      <xdr:col>0</xdr:col>
      <xdr:colOff>685800</xdr:colOff>
      <xdr:row>43</xdr:row>
      <xdr:rowOff>47625</xdr:rowOff>
    </xdr:from>
    <xdr:ext cx="76200" cy="222885"/>
    <xdr:sp macro="" textlink="">
      <xdr:nvSpPr>
        <xdr:cNvPr id="158" name="Text Box 1">
          <a:extLst>
            <a:ext uri="{FF2B5EF4-FFF2-40B4-BE49-F238E27FC236}">
              <a16:creationId xmlns:a16="http://schemas.microsoft.com/office/drawing/2014/main" id="{1D4465F4-ABA8-4A60-B0B2-A8A13CD22F64}"/>
            </a:ext>
          </a:extLst>
        </xdr:cNvPr>
        <xdr:cNvSpPr txBox="1">
          <a:spLocks noChangeArrowheads="1"/>
        </xdr:cNvSpPr>
      </xdr:nvSpPr>
      <xdr:spPr bwMode="auto">
        <a:xfrm>
          <a:off x="685800" y="2138892"/>
          <a:ext cx="76200" cy="222885"/>
        </a:xfrm>
        <a:prstGeom prst="rect">
          <a:avLst/>
        </a:prstGeom>
        <a:noFill/>
        <a:ln w="9525">
          <a:noFill/>
          <a:miter lim="800000"/>
          <a:headEnd/>
          <a:tailEnd/>
        </a:ln>
      </xdr:spPr>
    </xdr:sp>
    <xdr:clientData/>
  </xdr:oneCellAnchor>
  <xdr:oneCellAnchor>
    <xdr:from>
      <xdr:col>0</xdr:col>
      <xdr:colOff>685800</xdr:colOff>
      <xdr:row>45</xdr:row>
      <xdr:rowOff>47625</xdr:rowOff>
    </xdr:from>
    <xdr:ext cx="76200" cy="222885"/>
    <xdr:sp macro="" textlink="">
      <xdr:nvSpPr>
        <xdr:cNvPr id="159" name="Text Box 1">
          <a:extLst>
            <a:ext uri="{FF2B5EF4-FFF2-40B4-BE49-F238E27FC236}">
              <a16:creationId xmlns:a16="http://schemas.microsoft.com/office/drawing/2014/main" id="{B440CF09-520E-4A98-8CB4-D0908111D2BA}"/>
            </a:ext>
          </a:extLst>
        </xdr:cNvPr>
        <xdr:cNvSpPr txBox="1">
          <a:spLocks noChangeArrowheads="1"/>
        </xdr:cNvSpPr>
      </xdr:nvSpPr>
      <xdr:spPr bwMode="auto">
        <a:xfrm>
          <a:off x="685800" y="2494492"/>
          <a:ext cx="76200" cy="222885"/>
        </a:xfrm>
        <a:prstGeom prst="rect">
          <a:avLst/>
        </a:prstGeom>
        <a:noFill/>
        <a:ln w="9525">
          <a:noFill/>
          <a:miter lim="800000"/>
          <a:headEnd/>
          <a:tailEnd/>
        </a:ln>
      </xdr:spPr>
    </xdr:sp>
    <xdr:clientData/>
  </xdr:oneCellAnchor>
  <xdr:oneCellAnchor>
    <xdr:from>
      <xdr:col>0</xdr:col>
      <xdr:colOff>685800</xdr:colOff>
      <xdr:row>46</xdr:row>
      <xdr:rowOff>47625</xdr:rowOff>
    </xdr:from>
    <xdr:ext cx="76200" cy="222885"/>
    <xdr:sp macro="" textlink="">
      <xdr:nvSpPr>
        <xdr:cNvPr id="160" name="Text Box 1">
          <a:extLst>
            <a:ext uri="{FF2B5EF4-FFF2-40B4-BE49-F238E27FC236}">
              <a16:creationId xmlns:a16="http://schemas.microsoft.com/office/drawing/2014/main" id="{65BB7956-4B86-41F3-819C-561B1438455A}"/>
            </a:ext>
          </a:extLst>
        </xdr:cNvPr>
        <xdr:cNvSpPr txBox="1">
          <a:spLocks noChangeArrowheads="1"/>
        </xdr:cNvSpPr>
      </xdr:nvSpPr>
      <xdr:spPr bwMode="auto">
        <a:xfrm>
          <a:off x="685800" y="2672292"/>
          <a:ext cx="76200" cy="222885"/>
        </a:xfrm>
        <a:prstGeom prst="rect">
          <a:avLst/>
        </a:prstGeom>
        <a:noFill/>
        <a:ln w="9525">
          <a:noFill/>
          <a:miter lim="800000"/>
          <a:headEnd/>
          <a:tailEnd/>
        </a:ln>
      </xdr:spPr>
    </xdr:sp>
    <xdr:clientData/>
  </xdr:oneCellAnchor>
  <xdr:oneCellAnchor>
    <xdr:from>
      <xdr:col>0</xdr:col>
      <xdr:colOff>685800</xdr:colOff>
      <xdr:row>48</xdr:row>
      <xdr:rowOff>47625</xdr:rowOff>
    </xdr:from>
    <xdr:ext cx="76200" cy="222885"/>
    <xdr:sp macro="" textlink="">
      <xdr:nvSpPr>
        <xdr:cNvPr id="161" name="Text Box 1">
          <a:extLst>
            <a:ext uri="{FF2B5EF4-FFF2-40B4-BE49-F238E27FC236}">
              <a16:creationId xmlns:a16="http://schemas.microsoft.com/office/drawing/2014/main" id="{B5ABD393-0AC5-4BA7-9076-3505986145B6}"/>
            </a:ext>
          </a:extLst>
        </xdr:cNvPr>
        <xdr:cNvSpPr txBox="1">
          <a:spLocks noChangeArrowheads="1"/>
        </xdr:cNvSpPr>
      </xdr:nvSpPr>
      <xdr:spPr bwMode="auto">
        <a:xfrm>
          <a:off x="685800" y="3027892"/>
          <a:ext cx="76200" cy="222885"/>
        </a:xfrm>
        <a:prstGeom prst="rect">
          <a:avLst/>
        </a:prstGeom>
        <a:noFill/>
        <a:ln w="9525">
          <a:noFill/>
          <a:miter lim="800000"/>
          <a:headEnd/>
          <a:tailEnd/>
        </a:ln>
      </xdr:spPr>
    </xdr:sp>
    <xdr:clientData/>
  </xdr:oneCellAnchor>
  <xdr:oneCellAnchor>
    <xdr:from>
      <xdr:col>0</xdr:col>
      <xdr:colOff>685800</xdr:colOff>
      <xdr:row>49</xdr:row>
      <xdr:rowOff>47625</xdr:rowOff>
    </xdr:from>
    <xdr:ext cx="76200" cy="222885"/>
    <xdr:sp macro="" textlink="">
      <xdr:nvSpPr>
        <xdr:cNvPr id="162" name="Text Box 1">
          <a:extLst>
            <a:ext uri="{FF2B5EF4-FFF2-40B4-BE49-F238E27FC236}">
              <a16:creationId xmlns:a16="http://schemas.microsoft.com/office/drawing/2014/main" id="{9676E947-1CF4-44AF-91FC-0DCE97D3B02D}"/>
            </a:ext>
          </a:extLst>
        </xdr:cNvPr>
        <xdr:cNvSpPr txBox="1">
          <a:spLocks noChangeArrowheads="1"/>
        </xdr:cNvSpPr>
      </xdr:nvSpPr>
      <xdr:spPr bwMode="auto">
        <a:xfrm>
          <a:off x="685800" y="3205692"/>
          <a:ext cx="76200" cy="222885"/>
        </a:xfrm>
        <a:prstGeom prst="rect">
          <a:avLst/>
        </a:prstGeom>
        <a:noFill/>
        <a:ln w="9525">
          <a:noFill/>
          <a:miter lim="800000"/>
          <a:headEnd/>
          <a:tailEnd/>
        </a:ln>
      </xdr:spPr>
    </xdr:sp>
    <xdr:clientData/>
  </xdr:oneCellAnchor>
  <xdr:oneCellAnchor>
    <xdr:from>
      <xdr:col>0</xdr:col>
      <xdr:colOff>685800</xdr:colOff>
      <xdr:row>51</xdr:row>
      <xdr:rowOff>47625</xdr:rowOff>
    </xdr:from>
    <xdr:ext cx="76200" cy="222885"/>
    <xdr:sp macro="" textlink="">
      <xdr:nvSpPr>
        <xdr:cNvPr id="163" name="Text Box 1">
          <a:extLst>
            <a:ext uri="{FF2B5EF4-FFF2-40B4-BE49-F238E27FC236}">
              <a16:creationId xmlns:a16="http://schemas.microsoft.com/office/drawing/2014/main" id="{08A7AFED-422A-415F-9FE4-4F9C5B68F0D3}"/>
            </a:ext>
          </a:extLst>
        </xdr:cNvPr>
        <xdr:cNvSpPr txBox="1">
          <a:spLocks noChangeArrowheads="1"/>
        </xdr:cNvSpPr>
      </xdr:nvSpPr>
      <xdr:spPr bwMode="auto">
        <a:xfrm>
          <a:off x="685800" y="3561292"/>
          <a:ext cx="76200" cy="222885"/>
        </a:xfrm>
        <a:prstGeom prst="rect">
          <a:avLst/>
        </a:prstGeom>
        <a:noFill/>
        <a:ln w="9525">
          <a:noFill/>
          <a:miter lim="800000"/>
          <a:headEnd/>
          <a:tailEnd/>
        </a:ln>
      </xdr:spPr>
    </xdr:sp>
    <xdr:clientData/>
  </xdr:oneCellAnchor>
  <xdr:oneCellAnchor>
    <xdr:from>
      <xdr:col>0</xdr:col>
      <xdr:colOff>685800</xdr:colOff>
      <xdr:row>52</xdr:row>
      <xdr:rowOff>47625</xdr:rowOff>
    </xdr:from>
    <xdr:ext cx="76200" cy="222885"/>
    <xdr:sp macro="" textlink="">
      <xdr:nvSpPr>
        <xdr:cNvPr id="164" name="Text Box 1">
          <a:extLst>
            <a:ext uri="{FF2B5EF4-FFF2-40B4-BE49-F238E27FC236}">
              <a16:creationId xmlns:a16="http://schemas.microsoft.com/office/drawing/2014/main" id="{123EBC2D-E536-4E3C-AE66-FC701FA76766}"/>
            </a:ext>
          </a:extLst>
        </xdr:cNvPr>
        <xdr:cNvSpPr txBox="1">
          <a:spLocks noChangeArrowheads="1"/>
        </xdr:cNvSpPr>
      </xdr:nvSpPr>
      <xdr:spPr bwMode="auto">
        <a:xfrm>
          <a:off x="685800" y="3739092"/>
          <a:ext cx="76200" cy="222885"/>
        </a:xfrm>
        <a:prstGeom prst="rect">
          <a:avLst/>
        </a:prstGeom>
        <a:noFill/>
        <a:ln w="9525">
          <a:noFill/>
          <a:miter lim="800000"/>
          <a:headEnd/>
          <a:tailEnd/>
        </a:ln>
      </xdr:spPr>
    </xdr:sp>
    <xdr:clientData/>
  </xdr:oneCellAnchor>
  <xdr:oneCellAnchor>
    <xdr:from>
      <xdr:col>0</xdr:col>
      <xdr:colOff>685800</xdr:colOff>
      <xdr:row>54</xdr:row>
      <xdr:rowOff>47625</xdr:rowOff>
    </xdr:from>
    <xdr:ext cx="76200" cy="222885"/>
    <xdr:sp macro="" textlink="">
      <xdr:nvSpPr>
        <xdr:cNvPr id="165" name="Text Box 1">
          <a:extLst>
            <a:ext uri="{FF2B5EF4-FFF2-40B4-BE49-F238E27FC236}">
              <a16:creationId xmlns:a16="http://schemas.microsoft.com/office/drawing/2014/main" id="{D855E141-C6E7-448C-A009-47D9AFEF0B78}"/>
            </a:ext>
          </a:extLst>
        </xdr:cNvPr>
        <xdr:cNvSpPr txBox="1">
          <a:spLocks noChangeArrowheads="1"/>
        </xdr:cNvSpPr>
      </xdr:nvSpPr>
      <xdr:spPr bwMode="auto">
        <a:xfrm>
          <a:off x="685800" y="4094692"/>
          <a:ext cx="76200" cy="222885"/>
        </a:xfrm>
        <a:prstGeom prst="rect">
          <a:avLst/>
        </a:prstGeom>
        <a:noFill/>
        <a:ln w="9525">
          <a:noFill/>
          <a:miter lim="800000"/>
          <a:headEnd/>
          <a:tailEnd/>
        </a:ln>
      </xdr:spPr>
    </xdr:sp>
    <xdr:clientData/>
  </xdr:oneCellAnchor>
  <xdr:oneCellAnchor>
    <xdr:from>
      <xdr:col>0</xdr:col>
      <xdr:colOff>685800</xdr:colOff>
      <xdr:row>55</xdr:row>
      <xdr:rowOff>47625</xdr:rowOff>
    </xdr:from>
    <xdr:ext cx="76200" cy="222885"/>
    <xdr:sp macro="" textlink="">
      <xdr:nvSpPr>
        <xdr:cNvPr id="166" name="Text Box 1">
          <a:extLst>
            <a:ext uri="{FF2B5EF4-FFF2-40B4-BE49-F238E27FC236}">
              <a16:creationId xmlns:a16="http://schemas.microsoft.com/office/drawing/2014/main" id="{6A305879-4340-44B2-81B1-8C08A18C1719}"/>
            </a:ext>
          </a:extLst>
        </xdr:cNvPr>
        <xdr:cNvSpPr txBox="1">
          <a:spLocks noChangeArrowheads="1"/>
        </xdr:cNvSpPr>
      </xdr:nvSpPr>
      <xdr:spPr bwMode="auto">
        <a:xfrm>
          <a:off x="685800" y="4272492"/>
          <a:ext cx="76200" cy="222885"/>
        </a:xfrm>
        <a:prstGeom prst="rect">
          <a:avLst/>
        </a:prstGeom>
        <a:noFill/>
        <a:ln w="9525">
          <a:noFill/>
          <a:miter lim="800000"/>
          <a:headEnd/>
          <a:tailEnd/>
        </a:ln>
      </xdr:spPr>
    </xdr:sp>
    <xdr:clientData/>
  </xdr:oneCellAnchor>
  <xdr:oneCellAnchor>
    <xdr:from>
      <xdr:col>0</xdr:col>
      <xdr:colOff>685800</xdr:colOff>
      <xdr:row>58</xdr:row>
      <xdr:rowOff>47625</xdr:rowOff>
    </xdr:from>
    <xdr:ext cx="76200" cy="222885"/>
    <xdr:sp macro="" textlink="">
      <xdr:nvSpPr>
        <xdr:cNvPr id="167" name="Text Box 1">
          <a:extLst>
            <a:ext uri="{FF2B5EF4-FFF2-40B4-BE49-F238E27FC236}">
              <a16:creationId xmlns:a16="http://schemas.microsoft.com/office/drawing/2014/main" id="{18689BEF-61E5-4898-8AED-FC3D086B5089}"/>
            </a:ext>
          </a:extLst>
        </xdr:cNvPr>
        <xdr:cNvSpPr txBox="1">
          <a:spLocks noChangeArrowheads="1"/>
        </xdr:cNvSpPr>
      </xdr:nvSpPr>
      <xdr:spPr bwMode="auto">
        <a:xfrm>
          <a:off x="685800" y="4628092"/>
          <a:ext cx="76200" cy="222885"/>
        </a:xfrm>
        <a:prstGeom prst="rect">
          <a:avLst/>
        </a:prstGeom>
        <a:noFill/>
        <a:ln w="9525">
          <a:noFill/>
          <a:miter lim="800000"/>
          <a:headEnd/>
          <a:tailEnd/>
        </a:ln>
      </xdr:spPr>
    </xdr:sp>
    <xdr:clientData/>
  </xdr:oneCellAnchor>
  <xdr:oneCellAnchor>
    <xdr:from>
      <xdr:col>0</xdr:col>
      <xdr:colOff>685800</xdr:colOff>
      <xdr:row>59</xdr:row>
      <xdr:rowOff>47625</xdr:rowOff>
    </xdr:from>
    <xdr:ext cx="76200" cy="222885"/>
    <xdr:sp macro="" textlink="">
      <xdr:nvSpPr>
        <xdr:cNvPr id="168" name="Text Box 1">
          <a:extLst>
            <a:ext uri="{FF2B5EF4-FFF2-40B4-BE49-F238E27FC236}">
              <a16:creationId xmlns:a16="http://schemas.microsoft.com/office/drawing/2014/main" id="{D9B8FDC5-5772-4C00-ACDF-3BD0E6EE635F}"/>
            </a:ext>
          </a:extLst>
        </xdr:cNvPr>
        <xdr:cNvSpPr txBox="1">
          <a:spLocks noChangeArrowheads="1"/>
        </xdr:cNvSpPr>
      </xdr:nvSpPr>
      <xdr:spPr bwMode="auto">
        <a:xfrm>
          <a:off x="685800" y="4805892"/>
          <a:ext cx="76200" cy="222885"/>
        </a:xfrm>
        <a:prstGeom prst="rect">
          <a:avLst/>
        </a:prstGeom>
        <a:noFill/>
        <a:ln w="9525">
          <a:noFill/>
          <a:miter lim="800000"/>
          <a:headEnd/>
          <a:tailEnd/>
        </a:ln>
      </xdr:spPr>
    </xdr:sp>
    <xdr:clientData/>
  </xdr:oneCellAnchor>
  <xdr:oneCellAnchor>
    <xdr:from>
      <xdr:col>0</xdr:col>
      <xdr:colOff>685800</xdr:colOff>
      <xdr:row>63</xdr:row>
      <xdr:rowOff>47625</xdr:rowOff>
    </xdr:from>
    <xdr:ext cx="76200" cy="222885"/>
    <xdr:sp macro="" textlink="">
      <xdr:nvSpPr>
        <xdr:cNvPr id="169" name="Text Box 1">
          <a:extLst>
            <a:ext uri="{FF2B5EF4-FFF2-40B4-BE49-F238E27FC236}">
              <a16:creationId xmlns:a16="http://schemas.microsoft.com/office/drawing/2014/main" id="{FD6AAF5B-9143-44A1-9A9A-8F16F1571531}"/>
            </a:ext>
          </a:extLst>
        </xdr:cNvPr>
        <xdr:cNvSpPr txBox="1">
          <a:spLocks noChangeArrowheads="1"/>
        </xdr:cNvSpPr>
      </xdr:nvSpPr>
      <xdr:spPr bwMode="auto">
        <a:xfrm>
          <a:off x="685800" y="5161492"/>
          <a:ext cx="76200" cy="222885"/>
        </a:xfrm>
        <a:prstGeom prst="rect">
          <a:avLst/>
        </a:prstGeom>
        <a:noFill/>
        <a:ln w="9525">
          <a:noFill/>
          <a:miter lim="800000"/>
          <a:headEnd/>
          <a:tailEnd/>
        </a:ln>
      </xdr:spPr>
    </xdr:sp>
    <xdr:clientData/>
  </xdr:oneCellAnchor>
  <xdr:oneCellAnchor>
    <xdr:from>
      <xdr:col>0</xdr:col>
      <xdr:colOff>685800</xdr:colOff>
      <xdr:row>66</xdr:row>
      <xdr:rowOff>47625</xdr:rowOff>
    </xdr:from>
    <xdr:ext cx="76200" cy="225425"/>
    <xdr:sp macro="" textlink="">
      <xdr:nvSpPr>
        <xdr:cNvPr id="170" name="Text Box 1">
          <a:extLst>
            <a:ext uri="{FF2B5EF4-FFF2-40B4-BE49-F238E27FC236}">
              <a16:creationId xmlns:a16="http://schemas.microsoft.com/office/drawing/2014/main" id="{79C25A1E-FA81-4D75-AB71-55C827FEB814}"/>
            </a:ext>
          </a:extLst>
        </xdr:cNvPr>
        <xdr:cNvSpPr txBox="1">
          <a:spLocks noChangeArrowheads="1"/>
        </xdr:cNvSpPr>
      </xdr:nvSpPr>
      <xdr:spPr bwMode="auto">
        <a:xfrm>
          <a:off x="685800" y="1427692"/>
          <a:ext cx="76200" cy="225425"/>
        </a:xfrm>
        <a:prstGeom prst="rect">
          <a:avLst/>
        </a:prstGeom>
        <a:noFill/>
        <a:ln w="9525">
          <a:noFill/>
          <a:miter lim="800000"/>
          <a:headEnd/>
          <a:tailEnd/>
        </a:ln>
      </xdr:spPr>
    </xdr:sp>
    <xdr:clientData/>
  </xdr:oneCellAnchor>
  <xdr:oneCellAnchor>
    <xdr:from>
      <xdr:col>0</xdr:col>
      <xdr:colOff>685800</xdr:colOff>
      <xdr:row>67</xdr:row>
      <xdr:rowOff>47625</xdr:rowOff>
    </xdr:from>
    <xdr:ext cx="76200" cy="225425"/>
    <xdr:sp macro="" textlink="">
      <xdr:nvSpPr>
        <xdr:cNvPr id="171" name="Text Box 1">
          <a:extLst>
            <a:ext uri="{FF2B5EF4-FFF2-40B4-BE49-F238E27FC236}">
              <a16:creationId xmlns:a16="http://schemas.microsoft.com/office/drawing/2014/main" id="{BDB35762-EF17-462B-9262-C196AAFA3737}"/>
            </a:ext>
          </a:extLst>
        </xdr:cNvPr>
        <xdr:cNvSpPr txBox="1">
          <a:spLocks noChangeArrowheads="1"/>
        </xdr:cNvSpPr>
      </xdr:nvSpPr>
      <xdr:spPr bwMode="auto">
        <a:xfrm>
          <a:off x="685800" y="1605492"/>
          <a:ext cx="76200" cy="225425"/>
        </a:xfrm>
        <a:prstGeom prst="rect">
          <a:avLst/>
        </a:prstGeom>
        <a:noFill/>
        <a:ln w="9525">
          <a:noFill/>
          <a:miter lim="800000"/>
          <a:headEnd/>
          <a:tailEnd/>
        </a:ln>
      </xdr:spPr>
    </xdr:sp>
    <xdr:clientData/>
  </xdr:oneCellAnchor>
  <xdr:oneCellAnchor>
    <xdr:from>
      <xdr:col>0</xdr:col>
      <xdr:colOff>685800</xdr:colOff>
      <xdr:row>69</xdr:row>
      <xdr:rowOff>47625</xdr:rowOff>
    </xdr:from>
    <xdr:ext cx="76200" cy="222885"/>
    <xdr:sp macro="" textlink="">
      <xdr:nvSpPr>
        <xdr:cNvPr id="172" name="Text Box 1">
          <a:extLst>
            <a:ext uri="{FF2B5EF4-FFF2-40B4-BE49-F238E27FC236}">
              <a16:creationId xmlns:a16="http://schemas.microsoft.com/office/drawing/2014/main" id="{0284500D-8572-4539-80E3-928840FFF58A}"/>
            </a:ext>
          </a:extLst>
        </xdr:cNvPr>
        <xdr:cNvSpPr txBox="1">
          <a:spLocks noChangeArrowheads="1"/>
        </xdr:cNvSpPr>
      </xdr:nvSpPr>
      <xdr:spPr bwMode="auto">
        <a:xfrm>
          <a:off x="685800" y="1961092"/>
          <a:ext cx="76200" cy="222885"/>
        </a:xfrm>
        <a:prstGeom prst="rect">
          <a:avLst/>
        </a:prstGeom>
        <a:noFill/>
        <a:ln w="9525">
          <a:noFill/>
          <a:miter lim="800000"/>
          <a:headEnd/>
          <a:tailEnd/>
        </a:ln>
      </xdr:spPr>
    </xdr:sp>
    <xdr:clientData/>
  </xdr:oneCellAnchor>
  <xdr:oneCellAnchor>
    <xdr:from>
      <xdr:col>0</xdr:col>
      <xdr:colOff>685800</xdr:colOff>
      <xdr:row>70</xdr:row>
      <xdr:rowOff>47625</xdr:rowOff>
    </xdr:from>
    <xdr:ext cx="76200" cy="222885"/>
    <xdr:sp macro="" textlink="">
      <xdr:nvSpPr>
        <xdr:cNvPr id="173" name="Text Box 1">
          <a:extLst>
            <a:ext uri="{FF2B5EF4-FFF2-40B4-BE49-F238E27FC236}">
              <a16:creationId xmlns:a16="http://schemas.microsoft.com/office/drawing/2014/main" id="{A73E0135-A595-4E45-B2A7-53FB31416CB0}"/>
            </a:ext>
          </a:extLst>
        </xdr:cNvPr>
        <xdr:cNvSpPr txBox="1">
          <a:spLocks noChangeArrowheads="1"/>
        </xdr:cNvSpPr>
      </xdr:nvSpPr>
      <xdr:spPr bwMode="auto">
        <a:xfrm>
          <a:off x="685800" y="2138892"/>
          <a:ext cx="76200" cy="222885"/>
        </a:xfrm>
        <a:prstGeom prst="rect">
          <a:avLst/>
        </a:prstGeom>
        <a:noFill/>
        <a:ln w="9525">
          <a:noFill/>
          <a:miter lim="800000"/>
          <a:headEnd/>
          <a:tailEnd/>
        </a:ln>
      </xdr:spPr>
    </xdr:sp>
    <xdr:clientData/>
  </xdr:oneCellAnchor>
  <xdr:oneCellAnchor>
    <xdr:from>
      <xdr:col>0</xdr:col>
      <xdr:colOff>685800</xdr:colOff>
      <xdr:row>72</xdr:row>
      <xdr:rowOff>47625</xdr:rowOff>
    </xdr:from>
    <xdr:ext cx="76200" cy="222885"/>
    <xdr:sp macro="" textlink="">
      <xdr:nvSpPr>
        <xdr:cNvPr id="174" name="Text Box 1">
          <a:extLst>
            <a:ext uri="{FF2B5EF4-FFF2-40B4-BE49-F238E27FC236}">
              <a16:creationId xmlns:a16="http://schemas.microsoft.com/office/drawing/2014/main" id="{1E597A50-7AC2-40EF-8370-C8B662D6E895}"/>
            </a:ext>
          </a:extLst>
        </xdr:cNvPr>
        <xdr:cNvSpPr txBox="1">
          <a:spLocks noChangeArrowheads="1"/>
        </xdr:cNvSpPr>
      </xdr:nvSpPr>
      <xdr:spPr bwMode="auto">
        <a:xfrm>
          <a:off x="685800" y="2494492"/>
          <a:ext cx="76200" cy="222885"/>
        </a:xfrm>
        <a:prstGeom prst="rect">
          <a:avLst/>
        </a:prstGeom>
        <a:noFill/>
        <a:ln w="9525">
          <a:noFill/>
          <a:miter lim="800000"/>
          <a:headEnd/>
          <a:tailEnd/>
        </a:ln>
      </xdr:spPr>
    </xdr:sp>
    <xdr:clientData/>
  </xdr:oneCellAnchor>
  <xdr:oneCellAnchor>
    <xdr:from>
      <xdr:col>0</xdr:col>
      <xdr:colOff>685800</xdr:colOff>
      <xdr:row>73</xdr:row>
      <xdr:rowOff>47625</xdr:rowOff>
    </xdr:from>
    <xdr:ext cx="76200" cy="222885"/>
    <xdr:sp macro="" textlink="">
      <xdr:nvSpPr>
        <xdr:cNvPr id="175" name="Text Box 1">
          <a:extLst>
            <a:ext uri="{FF2B5EF4-FFF2-40B4-BE49-F238E27FC236}">
              <a16:creationId xmlns:a16="http://schemas.microsoft.com/office/drawing/2014/main" id="{C3DD0EE4-6DC3-4F3A-B0B9-1462B87E1CA5}"/>
            </a:ext>
          </a:extLst>
        </xdr:cNvPr>
        <xdr:cNvSpPr txBox="1">
          <a:spLocks noChangeArrowheads="1"/>
        </xdr:cNvSpPr>
      </xdr:nvSpPr>
      <xdr:spPr bwMode="auto">
        <a:xfrm>
          <a:off x="685800" y="2672292"/>
          <a:ext cx="76200" cy="222885"/>
        </a:xfrm>
        <a:prstGeom prst="rect">
          <a:avLst/>
        </a:prstGeom>
        <a:noFill/>
        <a:ln w="9525">
          <a:noFill/>
          <a:miter lim="800000"/>
          <a:headEnd/>
          <a:tailEnd/>
        </a:ln>
      </xdr:spPr>
    </xdr:sp>
    <xdr:clientData/>
  </xdr:oneCellAnchor>
  <xdr:oneCellAnchor>
    <xdr:from>
      <xdr:col>0</xdr:col>
      <xdr:colOff>685800</xdr:colOff>
      <xdr:row>75</xdr:row>
      <xdr:rowOff>47625</xdr:rowOff>
    </xdr:from>
    <xdr:ext cx="76200" cy="222885"/>
    <xdr:sp macro="" textlink="">
      <xdr:nvSpPr>
        <xdr:cNvPr id="176" name="Text Box 1">
          <a:extLst>
            <a:ext uri="{FF2B5EF4-FFF2-40B4-BE49-F238E27FC236}">
              <a16:creationId xmlns:a16="http://schemas.microsoft.com/office/drawing/2014/main" id="{21EC96CE-3958-4A49-BD6B-18C8028D5DED}"/>
            </a:ext>
          </a:extLst>
        </xdr:cNvPr>
        <xdr:cNvSpPr txBox="1">
          <a:spLocks noChangeArrowheads="1"/>
        </xdr:cNvSpPr>
      </xdr:nvSpPr>
      <xdr:spPr bwMode="auto">
        <a:xfrm>
          <a:off x="685800" y="3027892"/>
          <a:ext cx="76200" cy="222885"/>
        </a:xfrm>
        <a:prstGeom prst="rect">
          <a:avLst/>
        </a:prstGeom>
        <a:noFill/>
        <a:ln w="9525">
          <a:noFill/>
          <a:miter lim="800000"/>
          <a:headEnd/>
          <a:tailEnd/>
        </a:ln>
      </xdr:spPr>
    </xdr:sp>
    <xdr:clientData/>
  </xdr:oneCellAnchor>
  <xdr:oneCellAnchor>
    <xdr:from>
      <xdr:col>0</xdr:col>
      <xdr:colOff>685800</xdr:colOff>
      <xdr:row>76</xdr:row>
      <xdr:rowOff>47625</xdr:rowOff>
    </xdr:from>
    <xdr:ext cx="76200" cy="222885"/>
    <xdr:sp macro="" textlink="">
      <xdr:nvSpPr>
        <xdr:cNvPr id="177" name="Text Box 1">
          <a:extLst>
            <a:ext uri="{FF2B5EF4-FFF2-40B4-BE49-F238E27FC236}">
              <a16:creationId xmlns:a16="http://schemas.microsoft.com/office/drawing/2014/main" id="{BBD9CCDC-4091-4690-8D7B-F3DCE39970DA}"/>
            </a:ext>
          </a:extLst>
        </xdr:cNvPr>
        <xdr:cNvSpPr txBox="1">
          <a:spLocks noChangeArrowheads="1"/>
        </xdr:cNvSpPr>
      </xdr:nvSpPr>
      <xdr:spPr bwMode="auto">
        <a:xfrm>
          <a:off x="685800" y="3205692"/>
          <a:ext cx="76200" cy="222885"/>
        </a:xfrm>
        <a:prstGeom prst="rect">
          <a:avLst/>
        </a:prstGeom>
        <a:noFill/>
        <a:ln w="9525">
          <a:noFill/>
          <a:miter lim="800000"/>
          <a:headEnd/>
          <a:tailEnd/>
        </a:ln>
      </xdr:spPr>
    </xdr:sp>
    <xdr:clientData/>
  </xdr:oneCellAnchor>
  <xdr:oneCellAnchor>
    <xdr:from>
      <xdr:col>0</xdr:col>
      <xdr:colOff>685800</xdr:colOff>
      <xdr:row>78</xdr:row>
      <xdr:rowOff>47625</xdr:rowOff>
    </xdr:from>
    <xdr:ext cx="76200" cy="222885"/>
    <xdr:sp macro="" textlink="">
      <xdr:nvSpPr>
        <xdr:cNvPr id="178" name="Text Box 1">
          <a:extLst>
            <a:ext uri="{FF2B5EF4-FFF2-40B4-BE49-F238E27FC236}">
              <a16:creationId xmlns:a16="http://schemas.microsoft.com/office/drawing/2014/main" id="{02D5F565-E522-474F-8A61-FA099FED8E92}"/>
            </a:ext>
          </a:extLst>
        </xdr:cNvPr>
        <xdr:cNvSpPr txBox="1">
          <a:spLocks noChangeArrowheads="1"/>
        </xdr:cNvSpPr>
      </xdr:nvSpPr>
      <xdr:spPr bwMode="auto">
        <a:xfrm>
          <a:off x="685800" y="3561292"/>
          <a:ext cx="76200" cy="222885"/>
        </a:xfrm>
        <a:prstGeom prst="rect">
          <a:avLst/>
        </a:prstGeom>
        <a:noFill/>
        <a:ln w="9525">
          <a:noFill/>
          <a:miter lim="800000"/>
          <a:headEnd/>
          <a:tailEnd/>
        </a:ln>
      </xdr:spPr>
    </xdr:sp>
    <xdr:clientData/>
  </xdr:oneCellAnchor>
  <xdr:oneCellAnchor>
    <xdr:from>
      <xdr:col>0</xdr:col>
      <xdr:colOff>685800</xdr:colOff>
      <xdr:row>79</xdr:row>
      <xdr:rowOff>47625</xdr:rowOff>
    </xdr:from>
    <xdr:ext cx="76200" cy="222885"/>
    <xdr:sp macro="" textlink="">
      <xdr:nvSpPr>
        <xdr:cNvPr id="179" name="Text Box 1">
          <a:extLst>
            <a:ext uri="{FF2B5EF4-FFF2-40B4-BE49-F238E27FC236}">
              <a16:creationId xmlns:a16="http://schemas.microsoft.com/office/drawing/2014/main" id="{EA3AB654-AFE4-42E4-930F-6D727C7F3B5E}"/>
            </a:ext>
          </a:extLst>
        </xdr:cNvPr>
        <xdr:cNvSpPr txBox="1">
          <a:spLocks noChangeArrowheads="1"/>
        </xdr:cNvSpPr>
      </xdr:nvSpPr>
      <xdr:spPr bwMode="auto">
        <a:xfrm>
          <a:off x="685800" y="3739092"/>
          <a:ext cx="76200" cy="222885"/>
        </a:xfrm>
        <a:prstGeom prst="rect">
          <a:avLst/>
        </a:prstGeom>
        <a:noFill/>
        <a:ln w="9525">
          <a:noFill/>
          <a:miter lim="800000"/>
          <a:headEnd/>
          <a:tailEnd/>
        </a:ln>
      </xdr:spPr>
    </xdr:sp>
    <xdr:clientData/>
  </xdr:oneCellAnchor>
  <xdr:oneCellAnchor>
    <xdr:from>
      <xdr:col>0</xdr:col>
      <xdr:colOff>685800</xdr:colOff>
      <xdr:row>81</xdr:row>
      <xdr:rowOff>47625</xdr:rowOff>
    </xdr:from>
    <xdr:ext cx="76200" cy="222885"/>
    <xdr:sp macro="" textlink="">
      <xdr:nvSpPr>
        <xdr:cNvPr id="180" name="Text Box 1">
          <a:extLst>
            <a:ext uri="{FF2B5EF4-FFF2-40B4-BE49-F238E27FC236}">
              <a16:creationId xmlns:a16="http://schemas.microsoft.com/office/drawing/2014/main" id="{EF161507-2F5F-409D-B9BA-9196A7E19E59}"/>
            </a:ext>
          </a:extLst>
        </xdr:cNvPr>
        <xdr:cNvSpPr txBox="1">
          <a:spLocks noChangeArrowheads="1"/>
        </xdr:cNvSpPr>
      </xdr:nvSpPr>
      <xdr:spPr bwMode="auto">
        <a:xfrm>
          <a:off x="685800" y="4094692"/>
          <a:ext cx="76200" cy="222885"/>
        </a:xfrm>
        <a:prstGeom prst="rect">
          <a:avLst/>
        </a:prstGeom>
        <a:noFill/>
        <a:ln w="9525">
          <a:noFill/>
          <a:miter lim="800000"/>
          <a:headEnd/>
          <a:tailEnd/>
        </a:ln>
      </xdr:spPr>
    </xdr:sp>
    <xdr:clientData/>
  </xdr:oneCellAnchor>
  <xdr:oneCellAnchor>
    <xdr:from>
      <xdr:col>0</xdr:col>
      <xdr:colOff>685800</xdr:colOff>
      <xdr:row>82</xdr:row>
      <xdr:rowOff>47625</xdr:rowOff>
    </xdr:from>
    <xdr:ext cx="76200" cy="222885"/>
    <xdr:sp macro="" textlink="">
      <xdr:nvSpPr>
        <xdr:cNvPr id="181" name="Text Box 1">
          <a:extLst>
            <a:ext uri="{FF2B5EF4-FFF2-40B4-BE49-F238E27FC236}">
              <a16:creationId xmlns:a16="http://schemas.microsoft.com/office/drawing/2014/main" id="{2BC75141-EA29-46C3-BE19-5EC292CAB5DD}"/>
            </a:ext>
          </a:extLst>
        </xdr:cNvPr>
        <xdr:cNvSpPr txBox="1">
          <a:spLocks noChangeArrowheads="1"/>
        </xdr:cNvSpPr>
      </xdr:nvSpPr>
      <xdr:spPr bwMode="auto">
        <a:xfrm>
          <a:off x="685800" y="4272492"/>
          <a:ext cx="76200" cy="222885"/>
        </a:xfrm>
        <a:prstGeom prst="rect">
          <a:avLst/>
        </a:prstGeom>
        <a:noFill/>
        <a:ln w="9525">
          <a:noFill/>
          <a:miter lim="800000"/>
          <a:headEnd/>
          <a:tailEnd/>
        </a:ln>
      </xdr:spPr>
    </xdr:sp>
    <xdr:clientData/>
  </xdr:oneCellAnchor>
  <xdr:oneCellAnchor>
    <xdr:from>
      <xdr:col>0</xdr:col>
      <xdr:colOff>685800</xdr:colOff>
      <xdr:row>84</xdr:row>
      <xdr:rowOff>47625</xdr:rowOff>
    </xdr:from>
    <xdr:ext cx="76200" cy="222885"/>
    <xdr:sp macro="" textlink="">
      <xdr:nvSpPr>
        <xdr:cNvPr id="182" name="Text Box 1">
          <a:extLst>
            <a:ext uri="{FF2B5EF4-FFF2-40B4-BE49-F238E27FC236}">
              <a16:creationId xmlns:a16="http://schemas.microsoft.com/office/drawing/2014/main" id="{90A01A46-683C-4ADD-A171-72DBF8DF01C7}"/>
            </a:ext>
          </a:extLst>
        </xdr:cNvPr>
        <xdr:cNvSpPr txBox="1">
          <a:spLocks noChangeArrowheads="1"/>
        </xdr:cNvSpPr>
      </xdr:nvSpPr>
      <xdr:spPr bwMode="auto">
        <a:xfrm>
          <a:off x="685800" y="4628092"/>
          <a:ext cx="76200" cy="222885"/>
        </a:xfrm>
        <a:prstGeom prst="rect">
          <a:avLst/>
        </a:prstGeom>
        <a:noFill/>
        <a:ln w="9525">
          <a:noFill/>
          <a:miter lim="800000"/>
          <a:headEnd/>
          <a:tailEnd/>
        </a:ln>
      </xdr:spPr>
    </xdr:sp>
    <xdr:clientData/>
  </xdr:oneCellAnchor>
  <xdr:oneCellAnchor>
    <xdr:from>
      <xdr:col>0</xdr:col>
      <xdr:colOff>685800</xdr:colOff>
      <xdr:row>85</xdr:row>
      <xdr:rowOff>47625</xdr:rowOff>
    </xdr:from>
    <xdr:ext cx="76200" cy="222885"/>
    <xdr:sp macro="" textlink="">
      <xdr:nvSpPr>
        <xdr:cNvPr id="183" name="Text Box 1">
          <a:extLst>
            <a:ext uri="{FF2B5EF4-FFF2-40B4-BE49-F238E27FC236}">
              <a16:creationId xmlns:a16="http://schemas.microsoft.com/office/drawing/2014/main" id="{46380E78-D153-439E-BACE-4B9E5029CD6B}"/>
            </a:ext>
          </a:extLst>
        </xdr:cNvPr>
        <xdr:cNvSpPr txBox="1">
          <a:spLocks noChangeArrowheads="1"/>
        </xdr:cNvSpPr>
      </xdr:nvSpPr>
      <xdr:spPr bwMode="auto">
        <a:xfrm>
          <a:off x="685800" y="4805892"/>
          <a:ext cx="76200" cy="222885"/>
        </a:xfrm>
        <a:prstGeom prst="rect">
          <a:avLst/>
        </a:prstGeom>
        <a:noFill/>
        <a:ln w="9525">
          <a:noFill/>
          <a:miter lim="800000"/>
          <a:headEnd/>
          <a:tailEnd/>
        </a:ln>
      </xdr:spPr>
    </xdr:sp>
    <xdr:clientData/>
  </xdr:oneCellAnchor>
  <xdr:oneCellAnchor>
    <xdr:from>
      <xdr:col>0</xdr:col>
      <xdr:colOff>685800</xdr:colOff>
      <xdr:row>87</xdr:row>
      <xdr:rowOff>47625</xdr:rowOff>
    </xdr:from>
    <xdr:ext cx="76200" cy="222885"/>
    <xdr:sp macro="" textlink="">
      <xdr:nvSpPr>
        <xdr:cNvPr id="184" name="Text Box 1">
          <a:extLst>
            <a:ext uri="{FF2B5EF4-FFF2-40B4-BE49-F238E27FC236}">
              <a16:creationId xmlns:a16="http://schemas.microsoft.com/office/drawing/2014/main" id="{4847F8DE-5EFC-4158-8D07-54E011BE07BE}"/>
            </a:ext>
          </a:extLst>
        </xdr:cNvPr>
        <xdr:cNvSpPr txBox="1">
          <a:spLocks noChangeArrowheads="1"/>
        </xdr:cNvSpPr>
      </xdr:nvSpPr>
      <xdr:spPr bwMode="auto">
        <a:xfrm>
          <a:off x="685800" y="5161492"/>
          <a:ext cx="76200" cy="222885"/>
        </a:xfrm>
        <a:prstGeom prst="rect">
          <a:avLst/>
        </a:prstGeom>
        <a:noFill/>
        <a:ln w="9525">
          <a:noFill/>
          <a:miter lim="800000"/>
          <a:headEnd/>
          <a:tailEnd/>
        </a:ln>
      </xdr:spPr>
    </xdr:sp>
    <xdr:clientData/>
  </xdr:oneCellAnchor>
  <xdr:oneCellAnchor>
    <xdr:from>
      <xdr:col>0</xdr:col>
      <xdr:colOff>685800</xdr:colOff>
      <xdr:row>110</xdr:row>
      <xdr:rowOff>47625</xdr:rowOff>
    </xdr:from>
    <xdr:ext cx="76200" cy="222885"/>
    <xdr:sp macro="" textlink="">
      <xdr:nvSpPr>
        <xdr:cNvPr id="185" name="Text Box 1">
          <a:extLst>
            <a:ext uri="{FF2B5EF4-FFF2-40B4-BE49-F238E27FC236}">
              <a16:creationId xmlns:a16="http://schemas.microsoft.com/office/drawing/2014/main" id="{34F3B6B7-C1A0-4416-9653-7E59F8FCFB8E}"/>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111</xdr:row>
      <xdr:rowOff>47625</xdr:rowOff>
    </xdr:from>
    <xdr:ext cx="76200" cy="222885"/>
    <xdr:sp macro="" textlink="">
      <xdr:nvSpPr>
        <xdr:cNvPr id="186" name="Text Box 1">
          <a:extLst>
            <a:ext uri="{FF2B5EF4-FFF2-40B4-BE49-F238E27FC236}">
              <a16:creationId xmlns:a16="http://schemas.microsoft.com/office/drawing/2014/main" id="{428783BA-CDB6-440B-8522-1BDA09F85485}"/>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113</xdr:row>
      <xdr:rowOff>47625</xdr:rowOff>
    </xdr:from>
    <xdr:ext cx="76200" cy="222885"/>
    <xdr:sp macro="" textlink="">
      <xdr:nvSpPr>
        <xdr:cNvPr id="187" name="Text Box 1">
          <a:extLst>
            <a:ext uri="{FF2B5EF4-FFF2-40B4-BE49-F238E27FC236}">
              <a16:creationId xmlns:a16="http://schemas.microsoft.com/office/drawing/2014/main" id="{47D17D79-F70E-49C7-9320-271B0922722F}"/>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114</xdr:row>
      <xdr:rowOff>47625</xdr:rowOff>
    </xdr:from>
    <xdr:ext cx="76200" cy="222885"/>
    <xdr:sp macro="" textlink="">
      <xdr:nvSpPr>
        <xdr:cNvPr id="188" name="Text Box 1">
          <a:extLst>
            <a:ext uri="{FF2B5EF4-FFF2-40B4-BE49-F238E27FC236}">
              <a16:creationId xmlns:a16="http://schemas.microsoft.com/office/drawing/2014/main" id="{51F5D4A0-7029-47BF-AA93-B76C14EC851E}"/>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115</xdr:row>
      <xdr:rowOff>47625</xdr:rowOff>
    </xdr:from>
    <xdr:ext cx="76200" cy="222885"/>
    <xdr:sp macro="" textlink="">
      <xdr:nvSpPr>
        <xdr:cNvPr id="189" name="Text Box 1">
          <a:extLst>
            <a:ext uri="{FF2B5EF4-FFF2-40B4-BE49-F238E27FC236}">
              <a16:creationId xmlns:a16="http://schemas.microsoft.com/office/drawing/2014/main" id="{B1461104-E5C1-4CA5-8DEF-A18E1E1E8450}"/>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116</xdr:row>
      <xdr:rowOff>47625</xdr:rowOff>
    </xdr:from>
    <xdr:ext cx="76200" cy="222885"/>
    <xdr:sp macro="" textlink="">
      <xdr:nvSpPr>
        <xdr:cNvPr id="190" name="Text Box 1">
          <a:extLst>
            <a:ext uri="{FF2B5EF4-FFF2-40B4-BE49-F238E27FC236}">
              <a16:creationId xmlns:a16="http://schemas.microsoft.com/office/drawing/2014/main" id="{096FE8EE-F285-4B4F-A8C0-E291D3EBFED7}"/>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118</xdr:row>
      <xdr:rowOff>47625</xdr:rowOff>
    </xdr:from>
    <xdr:ext cx="76200" cy="222885"/>
    <xdr:sp macro="" textlink="">
      <xdr:nvSpPr>
        <xdr:cNvPr id="191" name="Text Box 1">
          <a:extLst>
            <a:ext uri="{FF2B5EF4-FFF2-40B4-BE49-F238E27FC236}">
              <a16:creationId xmlns:a16="http://schemas.microsoft.com/office/drawing/2014/main" id="{DE5FD5D4-24B2-4943-8BED-8E2179ABE79E}"/>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119</xdr:row>
      <xdr:rowOff>47625</xdr:rowOff>
    </xdr:from>
    <xdr:ext cx="76200" cy="222885"/>
    <xdr:sp macro="" textlink="">
      <xdr:nvSpPr>
        <xdr:cNvPr id="192" name="Text Box 1">
          <a:extLst>
            <a:ext uri="{FF2B5EF4-FFF2-40B4-BE49-F238E27FC236}">
              <a16:creationId xmlns:a16="http://schemas.microsoft.com/office/drawing/2014/main" id="{118BE7BE-6532-45C6-B9B5-4FE09207AE0C}"/>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120</xdr:row>
      <xdr:rowOff>47625</xdr:rowOff>
    </xdr:from>
    <xdr:ext cx="76200" cy="222885"/>
    <xdr:sp macro="" textlink="">
      <xdr:nvSpPr>
        <xdr:cNvPr id="193" name="Text Box 1">
          <a:extLst>
            <a:ext uri="{FF2B5EF4-FFF2-40B4-BE49-F238E27FC236}">
              <a16:creationId xmlns:a16="http://schemas.microsoft.com/office/drawing/2014/main" id="{5D09D504-59A4-4431-AC38-6FC16BD4AF04}"/>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120</xdr:row>
      <xdr:rowOff>47625</xdr:rowOff>
    </xdr:from>
    <xdr:ext cx="76200" cy="222885"/>
    <xdr:sp macro="" textlink="">
      <xdr:nvSpPr>
        <xdr:cNvPr id="194" name="Text Box 1">
          <a:extLst>
            <a:ext uri="{FF2B5EF4-FFF2-40B4-BE49-F238E27FC236}">
              <a16:creationId xmlns:a16="http://schemas.microsoft.com/office/drawing/2014/main" id="{C1440E5C-F05F-4BFB-ACBE-E6CFF2D4075E}"/>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121</xdr:row>
      <xdr:rowOff>47625</xdr:rowOff>
    </xdr:from>
    <xdr:ext cx="76200" cy="222885"/>
    <xdr:sp macro="" textlink="">
      <xdr:nvSpPr>
        <xdr:cNvPr id="195" name="Text Box 1">
          <a:extLst>
            <a:ext uri="{FF2B5EF4-FFF2-40B4-BE49-F238E27FC236}">
              <a16:creationId xmlns:a16="http://schemas.microsoft.com/office/drawing/2014/main" id="{2114EAC5-E811-48F4-B317-AD2DA1A70A1F}"/>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123</xdr:row>
      <xdr:rowOff>47625</xdr:rowOff>
    </xdr:from>
    <xdr:ext cx="76200" cy="222885"/>
    <xdr:sp macro="" textlink="">
      <xdr:nvSpPr>
        <xdr:cNvPr id="196" name="Text Box 1">
          <a:extLst>
            <a:ext uri="{FF2B5EF4-FFF2-40B4-BE49-F238E27FC236}">
              <a16:creationId xmlns:a16="http://schemas.microsoft.com/office/drawing/2014/main" id="{2EF60181-7A19-41A7-8A73-CD3771B52B7F}"/>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124</xdr:row>
      <xdr:rowOff>47625</xdr:rowOff>
    </xdr:from>
    <xdr:ext cx="76200" cy="222885"/>
    <xdr:sp macro="" textlink="">
      <xdr:nvSpPr>
        <xdr:cNvPr id="197" name="Text Box 1">
          <a:extLst>
            <a:ext uri="{FF2B5EF4-FFF2-40B4-BE49-F238E27FC236}">
              <a16:creationId xmlns:a16="http://schemas.microsoft.com/office/drawing/2014/main" id="{4EBEAE00-CD58-495C-AD6A-04EEB5B52E58}"/>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2885"/>
    <xdr:sp macro="" textlink="">
      <xdr:nvSpPr>
        <xdr:cNvPr id="198" name="Text Box 1">
          <a:extLst>
            <a:ext uri="{FF2B5EF4-FFF2-40B4-BE49-F238E27FC236}">
              <a16:creationId xmlns:a16="http://schemas.microsoft.com/office/drawing/2014/main" id="{4EF0BCC8-6772-4DA5-8A2A-134EE70662EB}"/>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125</xdr:row>
      <xdr:rowOff>47625</xdr:rowOff>
    </xdr:from>
    <xdr:ext cx="76200" cy="222885"/>
    <xdr:sp macro="" textlink="">
      <xdr:nvSpPr>
        <xdr:cNvPr id="199" name="Text Box 1">
          <a:extLst>
            <a:ext uri="{FF2B5EF4-FFF2-40B4-BE49-F238E27FC236}">
              <a16:creationId xmlns:a16="http://schemas.microsoft.com/office/drawing/2014/main" id="{661F56C6-1432-44AF-9170-872261575DA8}"/>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126</xdr:row>
      <xdr:rowOff>47625</xdr:rowOff>
    </xdr:from>
    <xdr:ext cx="76200" cy="222885"/>
    <xdr:sp macro="" textlink="">
      <xdr:nvSpPr>
        <xdr:cNvPr id="200" name="Text Box 1">
          <a:extLst>
            <a:ext uri="{FF2B5EF4-FFF2-40B4-BE49-F238E27FC236}">
              <a16:creationId xmlns:a16="http://schemas.microsoft.com/office/drawing/2014/main" id="{DEE42996-0171-459A-8F37-2BE279225414}"/>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128</xdr:row>
      <xdr:rowOff>47625</xdr:rowOff>
    </xdr:from>
    <xdr:ext cx="76200" cy="222885"/>
    <xdr:sp macro="" textlink="">
      <xdr:nvSpPr>
        <xdr:cNvPr id="201" name="Text Box 1">
          <a:extLst>
            <a:ext uri="{FF2B5EF4-FFF2-40B4-BE49-F238E27FC236}">
              <a16:creationId xmlns:a16="http://schemas.microsoft.com/office/drawing/2014/main" id="{E2FBCC5D-B5E6-4B73-B31A-F454825654E3}"/>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129</xdr:row>
      <xdr:rowOff>47625</xdr:rowOff>
    </xdr:from>
    <xdr:ext cx="76200" cy="222885"/>
    <xdr:sp macro="" textlink="">
      <xdr:nvSpPr>
        <xdr:cNvPr id="202" name="Text Box 1">
          <a:extLst>
            <a:ext uri="{FF2B5EF4-FFF2-40B4-BE49-F238E27FC236}">
              <a16:creationId xmlns:a16="http://schemas.microsoft.com/office/drawing/2014/main" id="{CFB66550-5BA7-4329-856F-FBA0D420503B}"/>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130</xdr:row>
      <xdr:rowOff>47625</xdr:rowOff>
    </xdr:from>
    <xdr:ext cx="76200" cy="222885"/>
    <xdr:sp macro="" textlink="">
      <xdr:nvSpPr>
        <xdr:cNvPr id="203" name="Text Box 1">
          <a:extLst>
            <a:ext uri="{FF2B5EF4-FFF2-40B4-BE49-F238E27FC236}">
              <a16:creationId xmlns:a16="http://schemas.microsoft.com/office/drawing/2014/main" id="{98350C73-ED05-444E-998E-4A1A6242BAAF}"/>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130</xdr:row>
      <xdr:rowOff>47625</xdr:rowOff>
    </xdr:from>
    <xdr:ext cx="76200" cy="222885"/>
    <xdr:sp macro="" textlink="">
      <xdr:nvSpPr>
        <xdr:cNvPr id="204" name="Text Box 1">
          <a:extLst>
            <a:ext uri="{FF2B5EF4-FFF2-40B4-BE49-F238E27FC236}">
              <a16:creationId xmlns:a16="http://schemas.microsoft.com/office/drawing/2014/main" id="{B7EA8712-62AB-45EC-BEE6-ADBD6F082EF7}"/>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131</xdr:row>
      <xdr:rowOff>47625</xdr:rowOff>
    </xdr:from>
    <xdr:ext cx="76200" cy="222885"/>
    <xdr:sp macro="" textlink="">
      <xdr:nvSpPr>
        <xdr:cNvPr id="205" name="Text Box 1">
          <a:extLst>
            <a:ext uri="{FF2B5EF4-FFF2-40B4-BE49-F238E27FC236}">
              <a16:creationId xmlns:a16="http://schemas.microsoft.com/office/drawing/2014/main" id="{14B1FE30-3133-4E72-9944-709E4F46E42D}"/>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133</xdr:row>
      <xdr:rowOff>47625</xdr:rowOff>
    </xdr:from>
    <xdr:ext cx="76200" cy="222885"/>
    <xdr:sp macro="" textlink="">
      <xdr:nvSpPr>
        <xdr:cNvPr id="206" name="Text Box 1">
          <a:extLst>
            <a:ext uri="{FF2B5EF4-FFF2-40B4-BE49-F238E27FC236}">
              <a16:creationId xmlns:a16="http://schemas.microsoft.com/office/drawing/2014/main" id="{08F873B5-A13C-4191-9F1C-D50CF7CC958E}"/>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134</xdr:row>
      <xdr:rowOff>47625</xdr:rowOff>
    </xdr:from>
    <xdr:ext cx="76200" cy="222885"/>
    <xdr:sp macro="" textlink="">
      <xdr:nvSpPr>
        <xdr:cNvPr id="207" name="Text Box 1">
          <a:extLst>
            <a:ext uri="{FF2B5EF4-FFF2-40B4-BE49-F238E27FC236}">
              <a16:creationId xmlns:a16="http://schemas.microsoft.com/office/drawing/2014/main" id="{498EC782-4D6F-4B93-917C-5474FDDA9CE4}"/>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135</xdr:row>
      <xdr:rowOff>47625</xdr:rowOff>
    </xdr:from>
    <xdr:ext cx="76200" cy="222885"/>
    <xdr:sp macro="" textlink="">
      <xdr:nvSpPr>
        <xdr:cNvPr id="208" name="Text Box 1">
          <a:extLst>
            <a:ext uri="{FF2B5EF4-FFF2-40B4-BE49-F238E27FC236}">
              <a16:creationId xmlns:a16="http://schemas.microsoft.com/office/drawing/2014/main" id="{1BC0C150-5CD3-4A56-9A34-7B36C826A492}"/>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135</xdr:row>
      <xdr:rowOff>47625</xdr:rowOff>
    </xdr:from>
    <xdr:ext cx="76200" cy="222885"/>
    <xdr:sp macro="" textlink="">
      <xdr:nvSpPr>
        <xdr:cNvPr id="209" name="Text Box 1">
          <a:extLst>
            <a:ext uri="{FF2B5EF4-FFF2-40B4-BE49-F238E27FC236}">
              <a16:creationId xmlns:a16="http://schemas.microsoft.com/office/drawing/2014/main" id="{E0DE4CD2-5E01-4530-A735-BAB2B6E56514}"/>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136</xdr:row>
      <xdr:rowOff>47625</xdr:rowOff>
    </xdr:from>
    <xdr:ext cx="76200" cy="222885"/>
    <xdr:sp macro="" textlink="">
      <xdr:nvSpPr>
        <xdr:cNvPr id="210" name="Text Box 1">
          <a:extLst>
            <a:ext uri="{FF2B5EF4-FFF2-40B4-BE49-F238E27FC236}">
              <a16:creationId xmlns:a16="http://schemas.microsoft.com/office/drawing/2014/main" id="{410ED687-A1DF-490A-A29A-D5B9F777E4AD}"/>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138</xdr:row>
      <xdr:rowOff>47625</xdr:rowOff>
    </xdr:from>
    <xdr:ext cx="76200" cy="222885"/>
    <xdr:sp macro="" textlink="">
      <xdr:nvSpPr>
        <xdr:cNvPr id="211" name="Text Box 1">
          <a:extLst>
            <a:ext uri="{FF2B5EF4-FFF2-40B4-BE49-F238E27FC236}">
              <a16:creationId xmlns:a16="http://schemas.microsoft.com/office/drawing/2014/main" id="{A8C60234-2E64-4996-BDC7-A6CF4ECEC1CF}"/>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139</xdr:row>
      <xdr:rowOff>47625</xdr:rowOff>
    </xdr:from>
    <xdr:ext cx="76200" cy="222885"/>
    <xdr:sp macro="" textlink="">
      <xdr:nvSpPr>
        <xdr:cNvPr id="212" name="Text Box 1">
          <a:extLst>
            <a:ext uri="{FF2B5EF4-FFF2-40B4-BE49-F238E27FC236}">
              <a16:creationId xmlns:a16="http://schemas.microsoft.com/office/drawing/2014/main" id="{A6F674E4-AFCA-494B-8473-7B836E641972}"/>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140</xdr:row>
      <xdr:rowOff>47625</xdr:rowOff>
    </xdr:from>
    <xdr:ext cx="76200" cy="222885"/>
    <xdr:sp macro="" textlink="">
      <xdr:nvSpPr>
        <xdr:cNvPr id="213" name="Text Box 1">
          <a:extLst>
            <a:ext uri="{FF2B5EF4-FFF2-40B4-BE49-F238E27FC236}">
              <a16:creationId xmlns:a16="http://schemas.microsoft.com/office/drawing/2014/main" id="{D416B469-0FFC-4B6C-8D09-DCF4F52B2A8F}"/>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140</xdr:row>
      <xdr:rowOff>47625</xdr:rowOff>
    </xdr:from>
    <xdr:ext cx="76200" cy="222885"/>
    <xdr:sp macro="" textlink="">
      <xdr:nvSpPr>
        <xdr:cNvPr id="214" name="Text Box 1">
          <a:extLst>
            <a:ext uri="{FF2B5EF4-FFF2-40B4-BE49-F238E27FC236}">
              <a16:creationId xmlns:a16="http://schemas.microsoft.com/office/drawing/2014/main" id="{CE203655-DF4C-4F09-8671-F11F4BD997CD}"/>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141</xdr:row>
      <xdr:rowOff>47625</xdr:rowOff>
    </xdr:from>
    <xdr:ext cx="76200" cy="222885"/>
    <xdr:sp macro="" textlink="">
      <xdr:nvSpPr>
        <xdr:cNvPr id="215" name="Text Box 1">
          <a:extLst>
            <a:ext uri="{FF2B5EF4-FFF2-40B4-BE49-F238E27FC236}">
              <a16:creationId xmlns:a16="http://schemas.microsoft.com/office/drawing/2014/main" id="{21A3247D-151B-4BD9-8669-8FF7CF521B96}"/>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143</xdr:row>
      <xdr:rowOff>47625</xdr:rowOff>
    </xdr:from>
    <xdr:ext cx="76200" cy="222885"/>
    <xdr:sp macro="" textlink="">
      <xdr:nvSpPr>
        <xdr:cNvPr id="216" name="Text Box 1">
          <a:extLst>
            <a:ext uri="{FF2B5EF4-FFF2-40B4-BE49-F238E27FC236}">
              <a16:creationId xmlns:a16="http://schemas.microsoft.com/office/drawing/2014/main" id="{592C6C42-0F35-40E3-9DF9-CDB913518BAA}"/>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144</xdr:row>
      <xdr:rowOff>47625</xdr:rowOff>
    </xdr:from>
    <xdr:ext cx="76200" cy="222885"/>
    <xdr:sp macro="" textlink="">
      <xdr:nvSpPr>
        <xdr:cNvPr id="217" name="Text Box 1">
          <a:extLst>
            <a:ext uri="{FF2B5EF4-FFF2-40B4-BE49-F238E27FC236}">
              <a16:creationId xmlns:a16="http://schemas.microsoft.com/office/drawing/2014/main" id="{AFB06F07-2BE8-44D2-B6F4-0724449E069E}"/>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145</xdr:row>
      <xdr:rowOff>47625</xdr:rowOff>
    </xdr:from>
    <xdr:ext cx="76200" cy="222885"/>
    <xdr:sp macro="" textlink="">
      <xdr:nvSpPr>
        <xdr:cNvPr id="218" name="Text Box 1">
          <a:extLst>
            <a:ext uri="{FF2B5EF4-FFF2-40B4-BE49-F238E27FC236}">
              <a16:creationId xmlns:a16="http://schemas.microsoft.com/office/drawing/2014/main" id="{6A8C013F-A719-4E22-B483-BB7A0C0A36A2}"/>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145</xdr:row>
      <xdr:rowOff>47625</xdr:rowOff>
    </xdr:from>
    <xdr:ext cx="76200" cy="222885"/>
    <xdr:sp macro="" textlink="">
      <xdr:nvSpPr>
        <xdr:cNvPr id="219" name="Text Box 1">
          <a:extLst>
            <a:ext uri="{FF2B5EF4-FFF2-40B4-BE49-F238E27FC236}">
              <a16:creationId xmlns:a16="http://schemas.microsoft.com/office/drawing/2014/main" id="{6A752C42-AC38-48F0-8990-71AA7A433FE0}"/>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146</xdr:row>
      <xdr:rowOff>47625</xdr:rowOff>
    </xdr:from>
    <xdr:ext cx="76200" cy="222885"/>
    <xdr:sp macro="" textlink="">
      <xdr:nvSpPr>
        <xdr:cNvPr id="220" name="Text Box 1">
          <a:extLst>
            <a:ext uri="{FF2B5EF4-FFF2-40B4-BE49-F238E27FC236}">
              <a16:creationId xmlns:a16="http://schemas.microsoft.com/office/drawing/2014/main" id="{DCB4C66B-E12A-4625-A687-D21A7A03C774}"/>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148</xdr:row>
      <xdr:rowOff>47625</xdr:rowOff>
    </xdr:from>
    <xdr:ext cx="76200" cy="222885"/>
    <xdr:sp macro="" textlink="">
      <xdr:nvSpPr>
        <xdr:cNvPr id="221" name="Text Box 1">
          <a:extLst>
            <a:ext uri="{FF2B5EF4-FFF2-40B4-BE49-F238E27FC236}">
              <a16:creationId xmlns:a16="http://schemas.microsoft.com/office/drawing/2014/main" id="{6D058858-002C-49B5-9E27-5E43C27E3FDE}"/>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149</xdr:row>
      <xdr:rowOff>47625</xdr:rowOff>
    </xdr:from>
    <xdr:ext cx="76200" cy="222885"/>
    <xdr:sp macro="" textlink="">
      <xdr:nvSpPr>
        <xdr:cNvPr id="222" name="Text Box 1">
          <a:extLst>
            <a:ext uri="{FF2B5EF4-FFF2-40B4-BE49-F238E27FC236}">
              <a16:creationId xmlns:a16="http://schemas.microsoft.com/office/drawing/2014/main" id="{FD2345D5-EAAF-43EE-A638-48A9A9819EEE}"/>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150</xdr:row>
      <xdr:rowOff>47625</xdr:rowOff>
    </xdr:from>
    <xdr:ext cx="76200" cy="222885"/>
    <xdr:sp macro="" textlink="">
      <xdr:nvSpPr>
        <xdr:cNvPr id="223" name="Text Box 1">
          <a:extLst>
            <a:ext uri="{FF2B5EF4-FFF2-40B4-BE49-F238E27FC236}">
              <a16:creationId xmlns:a16="http://schemas.microsoft.com/office/drawing/2014/main" id="{B957E5DC-9C9C-400E-9A49-0A9FB471F083}"/>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150</xdr:row>
      <xdr:rowOff>47625</xdr:rowOff>
    </xdr:from>
    <xdr:ext cx="76200" cy="222885"/>
    <xdr:sp macro="" textlink="">
      <xdr:nvSpPr>
        <xdr:cNvPr id="224" name="Text Box 1">
          <a:extLst>
            <a:ext uri="{FF2B5EF4-FFF2-40B4-BE49-F238E27FC236}">
              <a16:creationId xmlns:a16="http://schemas.microsoft.com/office/drawing/2014/main" id="{7D73FC95-1F18-418E-B53F-9D4CC8E4C5DD}"/>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151</xdr:row>
      <xdr:rowOff>47625</xdr:rowOff>
    </xdr:from>
    <xdr:ext cx="76200" cy="222885"/>
    <xdr:sp macro="" textlink="">
      <xdr:nvSpPr>
        <xdr:cNvPr id="225" name="Text Box 1">
          <a:extLst>
            <a:ext uri="{FF2B5EF4-FFF2-40B4-BE49-F238E27FC236}">
              <a16:creationId xmlns:a16="http://schemas.microsoft.com/office/drawing/2014/main" id="{F4126FB3-F82B-4B48-91A4-D3C240E12D9D}"/>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153</xdr:row>
      <xdr:rowOff>47625</xdr:rowOff>
    </xdr:from>
    <xdr:ext cx="76200" cy="222885"/>
    <xdr:sp macro="" textlink="">
      <xdr:nvSpPr>
        <xdr:cNvPr id="226" name="Text Box 1">
          <a:extLst>
            <a:ext uri="{FF2B5EF4-FFF2-40B4-BE49-F238E27FC236}">
              <a16:creationId xmlns:a16="http://schemas.microsoft.com/office/drawing/2014/main" id="{FD396724-6025-4135-B70F-2BAADB3D30A3}"/>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154</xdr:row>
      <xdr:rowOff>47625</xdr:rowOff>
    </xdr:from>
    <xdr:ext cx="76200" cy="222885"/>
    <xdr:sp macro="" textlink="">
      <xdr:nvSpPr>
        <xdr:cNvPr id="227" name="Text Box 1">
          <a:extLst>
            <a:ext uri="{FF2B5EF4-FFF2-40B4-BE49-F238E27FC236}">
              <a16:creationId xmlns:a16="http://schemas.microsoft.com/office/drawing/2014/main" id="{D3ADBCB4-C1A2-4932-B8E2-3D73EC16F769}"/>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155</xdr:row>
      <xdr:rowOff>47625</xdr:rowOff>
    </xdr:from>
    <xdr:ext cx="76200" cy="222885"/>
    <xdr:sp macro="" textlink="">
      <xdr:nvSpPr>
        <xdr:cNvPr id="228" name="Text Box 1">
          <a:extLst>
            <a:ext uri="{FF2B5EF4-FFF2-40B4-BE49-F238E27FC236}">
              <a16:creationId xmlns:a16="http://schemas.microsoft.com/office/drawing/2014/main" id="{142BE1CE-53B1-4774-8CB5-BA948B476248}"/>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155</xdr:row>
      <xdr:rowOff>47625</xdr:rowOff>
    </xdr:from>
    <xdr:ext cx="76200" cy="222885"/>
    <xdr:sp macro="" textlink="">
      <xdr:nvSpPr>
        <xdr:cNvPr id="229" name="Text Box 1">
          <a:extLst>
            <a:ext uri="{FF2B5EF4-FFF2-40B4-BE49-F238E27FC236}">
              <a16:creationId xmlns:a16="http://schemas.microsoft.com/office/drawing/2014/main" id="{10D9555A-2E35-40B8-B4F3-8FED8205FF30}"/>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156</xdr:row>
      <xdr:rowOff>47625</xdr:rowOff>
    </xdr:from>
    <xdr:ext cx="76200" cy="222885"/>
    <xdr:sp macro="" textlink="">
      <xdr:nvSpPr>
        <xdr:cNvPr id="230" name="Text Box 1">
          <a:extLst>
            <a:ext uri="{FF2B5EF4-FFF2-40B4-BE49-F238E27FC236}">
              <a16:creationId xmlns:a16="http://schemas.microsoft.com/office/drawing/2014/main" id="{EF027945-33BB-4DA7-A0F0-FEA39338936A}"/>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158</xdr:row>
      <xdr:rowOff>47625</xdr:rowOff>
    </xdr:from>
    <xdr:ext cx="76200" cy="222885"/>
    <xdr:sp macro="" textlink="">
      <xdr:nvSpPr>
        <xdr:cNvPr id="231" name="Text Box 1">
          <a:extLst>
            <a:ext uri="{FF2B5EF4-FFF2-40B4-BE49-F238E27FC236}">
              <a16:creationId xmlns:a16="http://schemas.microsoft.com/office/drawing/2014/main" id="{7A692B9E-7C37-4CAA-9C1F-EF43A02EC4E4}"/>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159</xdr:row>
      <xdr:rowOff>47625</xdr:rowOff>
    </xdr:from>
    <xdr:ext cx="76200" cy="222885"/>
    <xdr:sp macro="" textlink="">
      <xdr:nvSpPr>
        <xdr:cNvPr id="232" name="Text Box 1">
          <a:extLst>
            <a:ext uri="{FF2B5EF4-FFF2-40B4-BE49-F238E27FC236}">
              <a16:creationId xmlns:a16="http://schemas.microsoft.com/office/drawing/2014/main" id="{2D01B9AF-AEDE-44B8-927C-AEEBD7A61504}"/>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160</xdr:row>
      <xdr:rowOff>47625</xdr:rowOff>
    </xdr:from>
    <xdr:ext cx="76200" cy="222885"/>
    <xdr:sp macro="" textlink="">
      <xdr:nvSpPr>
        <xdr:cNvPr id="233" name="Text Box 1">
          <a:extLst>
            <a:ext uri="{FF2B5EF4-FFF2-40B4-BE49-F238E27FC236}">
              <a16:creationId xmlns:a16="http://schemas.microsoft.com/office/drawing/2014/main" id="{2F4479F6-1961-4B6B-A2DF-C33FD4E341E1}"/>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160</xdr:row>
      <xdr:rowOff>47625</xdr:rowOff>
    </xdr:from>
    <xdr:ext cx="76200" cy="222885"/>
    <xdr:sp macro="" textlink="">
      <xdr:nvSpPr>
        <xdr:cNvPr id="234" name="Text Box 1">
          <a:extLst>
            <a:ext uri="{FF2B5EF4-FFF2-40B4-BE49-F238E27FC236}">
              <a16:creationId xmlns:a16="http://schemas.microsoft.com/office/drawing/2014/main" id="{C98BE19B-64D1-4F41-8836-9EFE137DD653}"/>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161</xdr:row>
      <xdr:rowOff>47625</xdr:rowOff>
    </xdr:from>
    <xdr:ext cx="76200" cy="222885"/>
    <xdr:sp macro="" textlink="">
      <xdr:nvSpPr>
        <xdr:cNvPr id="235" name="Text Box 1">
          <a:extLst>
            <a:ext uri="{FF2B5EF4-FFF2-40B4-BE49-F238E27FC236}">
              <a16:creationId xmlns:a16="http://schemas.microsoft.com/office/drawing/2014/main" id="{ADD5689C-113F-4EAD-9B72-EA4931BA5768}"/>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163</xdr:row>
      <xdr:rowOff>47625</xdr:rowOff>
    </xdr:from>
    <xdr:ext cx="76200" cy="222885"/>
    <xdr:sp macro="" textlink="">
      <xdr:nvSpPr>
        <xdr:cNvPr id="236" name="Text Box 1">
          <a:extLst>
            <a:ext uri="{FF2B5EF4-FFF2-40B4-BE49-F238E27FC236}">
              <a16:creationId xmlns:a16="http://schemas.microsoft.com/office/drawing/2014/main" id="{1FC426C0-E702-4F5E-9529-768E84C71622}"/>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164</xdr:row>
      <xdr:rowOff>47625</xdr:rowOff>
    </xdr:from>
    <xdr:ext cx="76200" cy="222885"/>
    <xdr:sp macro="" textlink="">
      <xdr:nvSpPr>
        <xdr:cNvPr id="237" name="Text Box 1">
          <a:extLst>
            <a:ext uri="{FF2B5EF4-FFF2-40B4-BE49-F238E27FC236}">
              <a16:creationId xmlns:a16="http://schemas.microsoft.com/office/drawing/2014/main" id="{CFECEDC8-7861-447E-A1EE-A997566C6CD4}"/>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165</xdr:row>
      <xdr:rowOff>47625</xdr:rowOff>
    </xdr:from>
    <xdr:ext cx="76200" cy="222885"/>
    <xdr:sp macro="" textlink="">
      <xdr:nvSpPr>
        <xdr:cNvPr id="238" name="Text Box 1">
          <a:extLst>
            <a:ext uri="{FF2B5EF4-FFF2-40B4-BE49-F238E27FC236}">
              <a16:creationId xmlns:a16="http://schemas.microsoft.com/office/drawing/2014/main" id="{EF414410-0274-4383-825A-D1BB2D4EFEC9}"/>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165</xdr:row>
      <xdr:rowOff>47625</xdr:rowOff>
    </xdr:from>
    <xdr:ext cx="76200" cy="222885"/>
    <xdr:sp macro="" textlink="">
      <xdr:nvSpPr>
        <xdr:cNvPr id="239" name="Text Box 1">
          <a:extLst>
            <a:ext uri="{FF2B5EF4-FFF2-40B4-BE49-F238E27FC236}">
              <a16:creationId xmlns:a16="http://schemas.microsoft.com/office/drawing/2014/main" id="{380EA27F-7BA6-43D8-B26D-A9F389DA5DF0}"/>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166</xdr:row>
      <xdr:rowOff>47625</xdr:rowOff>
    </xdr:from>
    <xdr:ext cx="76200" cy="222885"/>
    <xdr:sp macro="" textlink="">
      <xdr:nvSpPr>
        <xdr:cNvPr id="240" name="Text Box 1">
          <a:extLst>
            <a:ext uri="{FF2B5EF4-FFF2-40B4-BE49-F238E27FC236}">
              <a16:creationId xmlns:a16="http://schemas.microsoft.com/office/drawing/2014/main" id="{3A209EDA-2AFE-44A9-98E6-0539ECBCD8F9}"/>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168</xdr:row>
      <xdr:rowOff>47625</xdr:rowOff>
    </xdr:from>
    <xdr:ext cx="76200" cy="222885"/>
    <xdr:sp macro="" textlink="">
      <xdr:nvSpPr>
        <xdr:cNvPr id="241" name="Text Box 1">
          <a:extLst>
            <a:ext uri="{FF2B5EF4-FFF2-40B4-BE49-F238E27FC236}">
              <a16:creationId xmlns:a16="http://schemas.microsoft.com/office/drawing/2014/main" id="{2825795A-BFFE-4037-A816-BDF1B67C6D6C}"/>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169</xdr:row>
      <xdr:rowOff>47625</xdr:rowOff>
    </xdr:from>
    <xdr:ext cx="76200" cy="222885"/>
    <xdr:sp macro="" textlink="">
      <xdr:nvSpPr>
        <xdr:cNvPr id="242" name="Text Box 1">
          <a:extLst>
            <a:ext uri="{FF2B5EF4-FFF2-40B4-BE49-F238E27FC236}">
              <a16:creationId xmlns:a16="http://schemas.microsoft.com/office/drawing/2014/main" id="{ACBCA760-BE5A-4D63-8D87-7EBCF4983342}"/>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170</xdr:row>
      <xdr:rowOff>47625</xdr:rowOff>
    </xdr:from>
    <xdr:ext cx="76200" cy="222885"/>
    <xdr:sp macro="" textlink="">
      <xdr:nvSpPr>
        <xdr:cNvPr id="243" name="Text Box 1">
          <a:extLst>
            <a:ext uri="{FF2B5EF4-FFF2-40B4-BE49-F238E27FC236}">
              <a16:creationId xmlns:a16="http://schemas.microsoft.com/office/drawing/2014/main" id="{11631E30-DDEE-4391-8869-ABA34AF4080D}"/>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170</xdr:row>
      <xdr:rowOff>47625</xdr:rowOff>
    </xdr:from>
    <xdr:ext cx="76200" cy="222885"/>
    <xdr:sp macro="" textlink="">
      <xdr:nvSpPr>
        <xdr:cNvPr id="244" name="Text Box 1">
          <a:extLst>
            <a:ext uri="{FF2B5EF4-FFF2-40B4-BE49-F238E27FC236}">
              <a16:creationId xmlns:a16="http://schemas.microsoft.com/office/drawing/2014/main" id="{BBFA3189-AF0A-48D9-A0DD-08BC72D9AC0E}"/>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171</xdr:row>
      <xdr:rowOff>47625</xdr:rowOff>
    </xdr:from>
    <xdr:ext cx="76200" cy="222885"/>
    <xdr:sp macro="" textlink="">
      <xdr:nvSpPr>
        <xdr:cNvPr id="245" name="Text Box 1">
          <a:extLst>
            <a:ext uri="{FF2B5EF4-FFF2-40B4-BE49-F238E27FC236}">
              <a16:creationId xmlns:a16="http://schemas.microsoft.com/office/drawing/2014/main" id="{A6559455-AFDE-4EE4-A366-640A878DFCCB}"/>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173</xdr:row>
      <xdr:rowOff>47625</xdr:rowOff>
    </xdr:from>
    <xdr:ext cx="76200" cy="222885"/>
    <xdr:sp macro="" textlink="">
      <xdr:nvSpPr>
        <xdr:cNvPr id="246" name="Text Box 1">
          <a:extLst>
            <a:ext uri="{FF2B5EF4-FFF2-40B4-BE49-F238E27FC236}">
              <a16:creationId xmlns:a16="http://schemas.microsoft.com/office/drawing/2014/main" id="{458D0B52-E2FC-4818-A819-130BF322A274}"/>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174</xdr:row>
      <xdr:rowOff>47625</xdr:rowOff>
    </xdr:from>
    <xdr:ext cx="76200" cy="222885"/>
    <xdr:sp macro="" textlink="">
      <xdr:nvSpPr>
        <xdr:cNvPr id="247" name="Text Box 1">
          <a:extLst>
            <a:ext uri="{FF2B5EF4-FFF2-40B4-BE49-F238E27FC236}">
              <a16:creationId xmlns:a16="http://schemas.microsoft.com/office/drawing/2014/main" id="{F98D05EA-515A-4486-BA9F-26222D20C4D9}"/>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175</xdr:row>
      <xdr:rowOff>47625</xdr:rowOff>
    </xdr:from>
    <xdr:ext cx="76200" cy="222885"/>
    <xdr:sp macro="" textlink="">
      <xdr:nvSpPr>
        <xdr:cNvPr id="248" name="Text Box 1">
          <a:extLst>
            <a:ext uri="{FF2B5EF4-FFF2-40B4-BE49-F238E27FC236}">
              <a16:creationId xmlns:a16="http://schemas.microsoft.com/office/drawing/2014/main" id="{E4707D4B-1DAB-40EC-9D69-8E0C4814387F}"/>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175</xdr:row>
      <xdr:rowOff>47625</xdr:rowOff>
    </xdr:from>
    <xdr:ext cx="76200" cy="222885"/>
    <xdr:sp macro="" textlink="">
      <xdr:nvSpPr>
        <xdr:cNvPr id="249" name="Text Box 1">
          <a:extLst>
            <a:ext uri="{FF2B5EF4-FFF2-40B4-BE49-F238E27FC236}">
              <a16:creationId xmlns:a16="http://schemas.microsoft.com/office/drawing/2014/main" id="{288E5C6E-9CCA-49EF-BB30-F24DE581504C}"/>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176</xdr:row>
      <xdr:rowOff>47625</xdr:rowOff>
    </xdr:from>
    <xdr:ext cx="76200" cy="222885"/>
    <xdr:sp macro="" textlink="">
      <xdr:nvSpPr>
        <xdr:cNvPr id="250" name="Text Box 1">
          <a:extLst>
            <a:ext uri="{FF2B5EF4-FFF2-40B4-BE49-F238E27FC236}">
              <a16:creationId xmlns:a16="http://schemas.microsoft.com/office/drawing/2014/main" id="{6787D67E-1552-4E82-A7FB-893DC2950AB5}"/>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178</xdr:row>
      <xdr:rowOff>47625</xdr:rowOff>
    </xdr:from>
    <xdr:ext cx="76200" cy="222885"/>
    <xdr:sp macro="" textlink="">
      <xdr:nvSpPr>
        <xdr:cNvPr id="251" name="Text Box 1">
          <a:extLst>
            <a:ext uri="{FF2B5EF4-FFF2-40B4-BE49-F238E27FC236}">
              <a16:creationId xmlns:a16="http://schemas.microsoft.com/office/drawing/2014/main" id="{325CB4BE-26EB-4C82-90C6-81C033620BEC}"/>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179</xdr:row>
      <xdr:rowOff>47625</xdr:rowOff>
    </xdr:from>
    <xdr:ext cx="76200" cy="222885"/>
    <xdr:sp macro="" textlink="">
      <xdr:nvSpPr>
        <xdr:cNvPr id="252" name="Text Box 1">
          <a:extLst>
            <a:ext uri="{FF2B5EF4-FFF2-40B4-BE49-F238E27FC236}">
              <a16:creationId xmlns:a16="http://schemas.microsoft.com/office/drawing/2014/main" id="{844EDBA7-F125-4ACC-8576-86C3BF89365B}"/>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180</xdr:row>
      <xdr:rowOff>47625</xdr:rowOff>
    </xdr:from>
    <xdr:ext cx="76200" cy="222885"/>
    <xdr:sp macro="" textlink="">
      <xdr:nvSpPr>
        <xdr:cNvPr id="253" name="Text Box 1">
          <a:extLst>
            <a:ext uri="{FF2B5EF4-FFF2-40B4-BE49-F238E27FC236}">
              <a16:creationId xmlns:a16="http://schemas.microsoft.com/office/drawing/2014/main" id="{33B3772F-CB96-42BF-91F4-6BAD30DBE71D}"/>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180</xdr:row>
      <xdr:rowOff>47625</xdr:rowOff>
    </xdr:from>
    <xdr:ext cx="76200" cy="222885"/>
    <xdr:sp macro="" textlink="">
      <xdr:nvSpPr>
        <xdr:cNvPr id="254" name="Text Box 1">
          <a:extLst>
            <a:ext uri="{FF2B5EF4-FFF2-40B4-BE49-F238E27FC236}">
              <a16:creationId xmlns:a16="http://schemas.microsoft.com/office/drawing/2014/main" id="{72CD5FA7-1AA7-41C4-8231-328F72FF1F95}"/>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181</xdr:row>
      <xdr:rowOff>47625</xdr:rowOff>
    </xdr:from>
    <xdr:ext cx="76200" cy="222885"/>
    <xdr:sp macro="" textlink="">
      <xdr:nvSpPr>
        <xdr:cNvPr id="255" name="Text Box 1">
          <a:extLst>
            <a:ext uri="{FF2B5EF4-FFF2-40B4-BE49-F238E27FC236}">
              <a16:creationId xmlns:a16="http://schemas.microsoft.com/office/drawing/2014/main" id="{EF848CA9-15EB-4DBB-B0EA-7267A38E216B}"/>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183</xdr:row>
      <xdr:rowOff>47625</xdr:rowOff>
    </xdr:from>
    <xdr:ext cx="76200" cy="222885"/>
    <xdr:sp macro="" textlink="">
      <xdr:nvSpPr>
        <xdr:cNvPr id="256" name="Text Box 1">
          <a:extLst>
            <a:ext uri="{FF2B5EF4-FFF2-40B4-BE49-F238E27FC236}">
              <a16:creationId xmlns:a16="http://schemas.microsoft.com/office/drawing/2014/main" id="{4E17CFA4-2996-4DE6-A6D4-DCEEECC4250F}"/>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184</xdr:row>
      <xdr:rowOff>47625</xdr:rowOff>
    </xdr:from>
    <xdr:ext cx="76200" cy="222885"/>
    <xdr:sp macro="" textlink="">
      <xdr:nvSpPr>
        <xdr:cNvPr id="257" name="Text Box 1">
          <a:extLst>
            <a:ext uri="{FF2B5EF4-FFF2-40B4-BE49-F238E27FC236}">
              <a16:creationId xmlns:a16="http://schemas.microsoft.com/office/drawing/2014/main" id="{E29D61D2-E9F0-4B28-871A-E4FBA13C3AF2}"/>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185</xdr:row>
      <xdr:rowOff>47625</xdr:rowOff>
    </xdr:from>
    <xdr:ext cx="76200" cy="222885"/>
    <xdr:sp macro="" textlink="">
      <xdr:nvSpPr>
        <xdr:cNvPr id="258" name="Text Box 1">
          <a:extLst>
            <a:ext uri="{FF2B5EF4-FFF2-40B4-BE49-F238E27FC236}">
              <a16:creationId xmlns:a16="http://schemas.microsoft.com/office/drawing/2014/main" id="{462EB976-E760-41B6-AFB4-781F08129376}"/>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185</xdr:row>
      <xdr:rowOff>47625</xdr:rowOff>
    </xdr:from>
    <xdr:ext cx="76200" cy="222885"/>
    <xdr:sp macro="" textlink="">
      <xdr:nvSpPr>
        <xdr:cNvPr id="259" name="Text Box 1">
          <a:extLst>
            <a:ext uri="{FF2B5EF4-FFF2-40B4-BE49-F238E27FC236}">
              <a16:creationId xmlns:a16="http://schemas.microsoft.com/office/drawing/2014/main" id="{FFDD5026-C929-433A-B0A6-F18B8264817D}"/>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186</xdr:row>
      <xdr:rowOff>47625</xdr:rowOff>
    </xdr:from>
    <xdr:ext cx="76200" cy="222885"/>
    <xdr:sp macro="" textlink="">
      <xdr:nvSpPr>
        <xdr:cNvPr id="260" name="Text Box 1">
          <a:extLst>
            <a:ext uri="{FF2B5EF4-FFF2-40B4-BE49-F238E27FC236}">
              <a16:creationId xmlns:a16="http://schemas.microsoft.com/office/drawing/2014/main" id="{FBBEFEC4-2398-44BC-8999-B96D9BB68F8B}"/>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188</xdr:row>
      <xdr:rowOff>47625</xdr:rowOff>
    </xdr:from>
    <xdr:ext cx="76200" cy="222885"/>
    <xdr:sp macro="" textlink="">
      <xdr:nvSpPr>
        <xdr:cNvPr id="261" name="Text Box 1">
          <a:extLst>
            <a:ext uri="{FF2B5EF4-FFF2-40B4-BE49-F238E27FC236}">
              <a16:creationId xmlns:a16="http://schemas.microsoft.com/office/drawing/2014/main" id="{9D99CF6B-6966-4087-90AA-583F27BF1782}"/>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189</xdr:row>
      <xdr:rowOff>47625</xdr:rowOff>
    </xdr:from>
    <xdr:ext cx="76200" cy="222885"/>
    <xdr:sp macro="" textlink="">
      <xdr:nvSpPr>
        <xdr:cNvPr id="262" name="Text Box 1">
          <a:extLst>
            <a:ext uri="{FF2B5EF4-FFF2-40B4-BE49-F238E27FC236}">
              <a16:creationId xmlns:a16="http://schemas.microsoft.com/office/drawing/2014/main" id="{42E0EBF1-B369-4231-A805-96053D123D9F}"/>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190</xdr:row>
      <xdr:rowOff>47625</xdr:rowOff>
    </xdr:from>
    <xdr:ext cx="76200" cy="222885"/>
    <xdr:sp macro="" textlink="">
      <xdr:nvSpPr>
        <xdr:cNvPr id="263" name="Text Box 1">
          <a:extLst>
            <a:ext uri="{FF2B5EF4-FFF2-40B4-BE49-F238E27FC236}">
              <a16:creationId xmlns:a16="http://schemas.microsoft.com/office/drawing/2014/main" id="{B70A0FAB-4CFE-4FF9-91D3-027CE1A04C03}"/>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190</xdr:row>
      <xdr:rowOff>47625</xdr:rowOff>
    </xdr:from>
    <xdr:ext cx="76200" cy="222885"/>
    <xdr:sp macro="" textlink="">
      <xdr:nvSpPr>
        <xdr:cNvPr id="264" name="Text Box 1">
          <a:extLst>
            <a:ext uri="{FF2B5EF4-FFF2-40B4-BE49-F238E27FC236}">
              <a16:creationId xmlns:a16="http://schemas.microsoft.com/office/drawing/2014/main" id="{01DAEEF4-F2BB-4584-AAD7-470B6E03B471}"/>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191</xdr:row>
      <xdr:rowOff>47625</xdr:rowOff>
    </xdr:from>
    <xdr:ext cx="76200" cy="222885"/>
    <xdr:sp macro="" textlink="">
      <xdr:nvSpPr>
        <xdr:cNvPr id="265" name="Text Box 1">
          <a:extLst>
            <a:ext uri="{FF2B5EF4-FFF2-40B4-BE49-F238E27FC236}">
              <a16:creationId xmlns:a16="http://schemas.microsoft.com/office/drawing/2014/main" id="{5E2E0F48-3C7D-49B5-940E-7A3337F34840}"/>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193</xdr:row>
      <xdr:rowOff>47625</xdr:rowOff>
    </xdr:from>
    <xdr:ext cx="76200" cy="222885"/>
    <xdr:sp macro="" textlink="">
      <xdr:nvSpPr>
        <xdr:cNvPr id="266" name="Text Box 1">
          <a:extLst>
            <a:ext uri="{FF2B5EF4-FFF2-40B4-BE49-F238E27FC236}">
              <a16:creationId xmlns:a16="http://schemas.microsoft.com/office/drawing/2014/main" id="{C53D2365-F626-471B-8AF2-B367C0513A6B}"/>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194</xdr:row>
      <xdr:rowOff>47625</xdr:rowOff>
    </xdr:from>
    <xdr:ext cx="76200" cy="222885"/>
    <xdr:sp macro="" textlink="">
      <xdr:nvSpPr>
        <xdr:cNvPr id="267" name="Text Box 1">
          <a:extLst>
            <a:ext uri="{FF2B5EF4-FFF2-40B4-BE49-F238E27FC236}">
              <a16:creationId xmlns:a16="http://schemas.microsoft.com/office/drawing/2014/main" id="{BB2B734E-BE0A-4B92-80C3-75FAA36FAED7}"/>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195</xdr:row>
      <xdr:rowOff>47625</xdr:rowOff>
    </xdr:from>
    <xdr:ext cx="76200" cy="222885"/>
    <xdr:sp macro="" textlink="">
      <xdr:nvSpPr>
        <xdr:cNvPr id="268" name="Text Box 1">
          <a:extLst>
            <a:ext uri="{FF2B5EF4-FFF2-40B4-BE49-F238E27FC236}">
              <a16:creationId xmlns:a16="http://schemas.microsoft.com/office/drawing/2014/main" id="{E82FFC5B-FF02-4F85-AADA-4844FEA0BB47}"/>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195</xdr:row>
      <xdr:rowOff>47625</xdr:rowOff>
    </xdr:from>
    <xdr:ext cx="76200" cy="222885"/>
    <xdr:sp macro="" textlink="">
      <xdr:nvSpPr>
        <xdr:cNvPr id="269" name="Text Box 1">
          <a:extLst>
            <a:ext uri="{FF2B5EF4-FFF2-40B4-BE49-F238E27FC236}">
              <a16:creationId xmlns:a16="http://schemas.microsoft.com/office/drawing/2014/main" id="{3E8FED8D-72D1-4F45-8E24-9D140EFC7D53}"/>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196</xdr:row>
      <xdr:rowOff>47625</xdr:rowOff>
    </xdr:from>
    <xdr:ext cx="76200" cy="222885"/>
    <xdr:sp macro="" textlink="">
      <xdr:nvSpPr>
        <xdr:cNvPr id="270" name="Text Box 1">
          <a:extLst>
            <a:ext uri="{FF2B5EF4-FFF2-40B4-BE49-F238E27FC236}">
              <a16:creationId xmlns:a16="http://schemas.microsoft.com/office/drawing/2014/main" id="{1E0F3AA2-469D-4B4F-8CAC-B6C67110CD37}"/>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198</xdr:row>
      <xdr:rowOff>47625</xdr:rowOff>
    </xdr:from>
    <xdr:ext cx="76200" cy="222885"/>
    <xdr:sp macro="" textlink="">
      <xdr:nvSpPr>
        <xdr:cNvPr id="271" name="Text Box 1">
          <a:extLst>
            <a:ext uri="{FF2B5EF4-FFF2-40B4-BE49-F238E27FC236}">
              <a16:creationId xmlns:a16="http://schemas.microsoft.com/office/drawing/2014/main" id="{15320876-86F1-48D6-95EC-897B2ABC0EFB}"/>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199</xdr:row>
      <xdr:rowOff>47625</xdr:rowOff>
    </xdr:from>
    <xdr:ext cx="76200" cy="222885"/>
    <xdr:sp macro="" textlink="">
      <xdr:nvSpPr>
        <xdr:cNvPr id="272" name="Text Box 1">
          <a:extLst>
            <a:ext uri="{FF2B5EF4-FFF2-40B4-BE49-F238E27FC236}">
              <a16:creationId xmlns:a16="http://schemas.microsoft.com/office/drawing/2014/main" id="{F5E2AF20-3EB0-4D55-9BBD-B6F51175319F}"/>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200</xdr:row>
      <xdr:rowOff>47625</xdr:rowOff>
    </xdr:from>
    <xdr:ext cx="76200" cy="222885"/>
    <xdr:sp macro="" textlink="">
      <xdr:nvSpPr>
        <xdr:cNvPr id="273" name="Text Box 1">
          <a:extLst>
            <a:ext uri="{FF2B5EF4-FFF2-40B4-BE49-F238E27FC236}">
              <a16:creationId xmlns:a16="http://schemas.microsoft.com/office/drawing/2014/main" id="{D37408AB-46F0-4803-BB3B-773F502E7317}"/>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200</xdr:row>
      <xdr:rowOff>47625</xdr:rowOff>
    </xdr:from>
    <xdr:ext cx="76200" cy="222885"/>
    <xdr:sp macro="" textlink="">
      <xdr:nvSpPr>
        <xdr:cNvPr id="274" name="Text Box 1">
          <a:extLst>
            <a:ext uri="{FF2B5EF4-FFF2-40B4-BE49-F238E27FC236}">
              <a16:creationId xmlns:a16="http://schemas.microsoft.com/office/drawing/2014/main" id="{ECC895C5-ECBF-4CE7-A61F-2E7DB3E85337}"/>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201</xdr:row>
      <xdr:rowOff>47625</xdr:rowOff>
    </xdr:from>
    <xdr:ext cx="76200" cy="222885"/>
    <xdr:sp macro="" textlink="">
      <xdr:nvSpPr>
        <xdr:cNvPr id="275" name="Text Box 1">
          <a:extLst>
            <a:ext uri="{FF2B5EF4-FFF2-40B4-BE49-F238E27FC236}">
              <a16:creationId xmlns:a16="http://schemas.microsoft.com/office/drawing/2014/main" id="{64A89C82-89A5-40EC-805F-6B835D429670}"/>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203</xdr:row>
      <xdr:rowOff>47625</xdr:rowOff>
    </xdr:from>
    <xdr:ext cx="76200" cy="222885"/>
    <xdr:sp macro="" textlink="">
      <xdr:nvSpPr>
        <xdr:cNvPr id="276" name="Text Box 1">
          <a:extLst>
            <a:ext uri="{FF2B5EF4-FFF2-40B4-BE49-F238E27FC236}">
              <a16:creationId xmlns:a16="http://schemas.microsoft.com/office/drawing/2014/main" id="{3B7EC3A9-4CD7-4F7D-A3DD-057A18B46834}"/>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204</xdr:row>
      <xdr:rowOff>47625</xdr:rowOff>
    </xdr:from>
    <xdr:ext cx="76200" cy="222885"/>
    <xdr:sp macro="" textlink="">
      <xdr:nvSpPr>
        <xdr:cNvPr id="277" name="Text Box 1">
          <a:extLst>
            <a:ext uri="{FF2B5EF4-FFF2-40B4-BE49-F238E27FC236}">
              <a16:creationId xmlns:a16="http://schemas.microsoft.com/office/drawing/2014/main" id="{E992FFA2-695D-4DF3-BC2F-D8F12A0D18BD}"/>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205</xdr:row>
      <xdr:rowOff>47625</xdr:rowOff>
    </xdr:from>
    <xdr:ext cx="76200" cy="222885"/>
    <xdr:sp macro="" textlink="">
      <xdr:nvSpPr>
        <xdr:cNvPr id="278" name="Text Box 1">
          <a:extLst>
            <a:ext uri="{FF2B5EF4-FFF2-40B4-BE49-F238E27FC236}">
              <a16:creationId xmlns:a16="http://schemas.microsoft.com/office/drawing/2014/main" id="{431B96FB-2069-421E-A8F2-11F71C5CCC42}"/>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205</xdr:row>
      <xdr:rowOff>47625</xdr:rowOff>
    </xdr:from>
    <xdr:ext cx="76200" cy="222885"/>
    <xdr:sp macro="" textlink="">
      <xdr:nvSpPr>
        <xdr:cNvPr id="279" name="Text Box 1">
          <a:extLst>
            <a:ext uri="{FF2B5EF4-FFF2-40B4-BE49-F238E27FC236}">
              <a16:creationId xmlns:a16="http://schemas.microsoft.com/office/drawing/2014/main" id="{F8605998-5879-4B69-9B7C-20E3F06F47B6}"/>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206</xdr:row>
      <xdr:rowOff>47625</xdr:rowOff>
    </xdr:from>
    <xdr:ext cx="76200" cy="222885"/>
    <xdr:sp macro="" textlink="">
      <xdr:nvSpPr>
        <xdr:cNvPr id="280" name="Text Box 1">
          <a:extLst>
            <a:ext uri="{FF2B5EF4-FFF2-40B4-BE49-F238E27FC236}">
              <a16:creationId xmlns:a16="http://schemas.microsoft.com/office/drawing/2014/main" id="{ED715917-29FA-4DC2-A487-39A69D6BC621}"/>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208</xdr:row>
      <xdr:rowOff>47625</xdr:rowOff>
    </xdr:from>
    <xdr:ext cx="76200" cy="222885"/>
    <xdr:sp macro="" textlink="">
      <xdr:nvSpPr>
        <xdr:cNvPr id="281" name="Text Box 1">
          <a:extLst>
            <a:ext uri="{FF2B5EF4-FFF2-40B4-BE49-F238E27FC236}">
              <a16:creationId xmlns:a16="http://schemas.microsoft.com/office/drawing/2014/main" id="{B2D6B9FF-1766-4D3C-A903-877CD8F552D5}"/>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209</xdr:row>
      <xdr:rowOff>47625</xdr:rowOff>
    </xdr:from>
    <xdr:ext cx="76200" cy="222885"/>
    <xdr:sp macro="" textlink="">
      <xdr:nvSpPr>
        <xdr:cNvPr id="282" name="Text Box 1">
          <a:extLst>
            <a:ext uri="{FF2B5EF4-FFF2-40B4-BE49-F238E27FC236}">
              <a16:creationId xmlns:a16="http://schemas.microsoft.com/office/drawing/2014/main" id="{E7D0C2DC-CD5F-4643-8265-0A260B985766}"/>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210</xdr:row>
      <xdr:rowOff>47625</xdr:rowOff>
    </xdr:from>
    <xdr:ext cx="76200" cy="222885"/>
    <xdr:sp macro="" textlink="">
      <xdr:nvSpPr>
        <xdr:cNvPr id="283" name="Text Box 1">
          <a:extLst>
            <a:ext uri="{FF2B5EF4-FFF2-40B4-BE49-F238E27FC236}">
              <a16:creationId xmlns:a16="http://schemas.microsoft.com/office/drawing/2014/main" id="{0249D808-C886-4687-A1F6-8DA60998BDAB}"/>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210</xdr:row>
      <xdr:rowOff>47625</xdr:rowOff>
    </xdr:from>
    <xdr:ext cx="76200" cy="222885"/>
    <xdr:sp macro="" textlink="">
      <xdr:nvSpPr>
        <xdr:cNvPr id="284" name="Text Box 1">
          <a:extLst>
            <a:ext uri="{FF2B5EF4-FFF2-40B4-BE49-F238E27FC236}">
              <a16:creationId xmlns:a16="http://schemas.microsoft.com/office/drawing/2014/main" id="{CD9E3D46-8759-4414-8C98-1EC552739EB4}"/>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211</xdr:row>
      <xdr:rowOff>47625</xdr:rowOff>
    </xdr:from>
    <xdr:ext cx="76200" cy="222885"/>
    <xdr:sp macro="" textlink="">
      <xdr:nvSpPr>
        <xdr:cNvPr id="285" name="Text Box 1">
          <a:extLst>
            <a:ext uri="{FF2B5EF4-FFF2-40B4-BE49-F238E27FC236}">
              <a16:creationId xmlns:a16="http://schemas.microsoft.com/office/drawing/2014/main" id="{4A12456E-1F8E-4E05-AF0E-562E94CFD548}"/>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213</xdr:row>
      <xdr:rowOff>47625</xdr:rowOff>
    </xdr:from>
    <xdr:ext cx="76200" cy="222885"/>
    <xdr:sp macro="" textlink="">
      <xdr:nvSpPr>
        <xdr:cNvPr id="286" name="Text Box 1">
          <a:extLst>
            <a:ext uri="{FF2B5EF4-FFF2-40B4-BE49-F238E27FC236}">
              <a16:creationId xmlns:a16="http://schemas.microsoft.com/office/drawing/2014/main" id="{B0983939-EC23-48BE-AA77-FA5D51A530CF}"/>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214</xdr:row>
      <xdr:rowOff>47625</xdr:rowOff>
    </xdr:from>
    <xdr:ext cx="76200" cy="222885"/>
    <xdr:sp macro="" textlink="">
      <xdr:nvSpPr>
        <xdr:cNvPr id="287" name="Text Box 1">
          <a:extLst>
            <a:ext uri="{FF2B5EF4-FFF2-40B4-BE49-F238E27FC236}">
              <a16:creationId xmlns:a16="http://schemas.microsoft.com/office/drawing/2014/main" id="{4065BCEB-6387-4D62-A2EA-453E4FFFFD87}"/>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215</xdr:row>
      <xdr:rowOff>47625</xdr:rowOff>
    </xdr:from>
    <xdr:ext cx="76200" cy="222885"/>
    <xdr:sp macro="" textlink="">
      <xdr:nvSpPr>
        <xdr:cNvPr id="288" name="Text Box 1">
          <a:extLst>
            <a:ext uri="{FF2B5EF4-FFF2-40B4-BE49-F238E27FC236}">
              <a16:creationId xmlns:a16="http://schemas.microsoft.com/office/drawing/2014/main" id="{CC6F9CB5-5A65-481C-ADCF-F9182BE000FE}"/>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215</xdr:row>
      <xdr:rowOff>47625</xdr:rowOff>
    </xdr:from>
    <xdr:ext cx="76200" cy="222885"/>
    <xdr:sp macro="" textlink="">
      <xdr:nvSpPr>
        <xdr:cNvPr id="289" name="Text Box 1">
          <a:extLst>
            <a:ext uri="{FF2B5EF4-FFF2-40B4-BE49-F238E27FC236}">
              <a16:creationId xmlns:a16="http://schemas.microsoft.com/office/drawing/2014/main" id="{7DEE48C4-F21A-44D0-AC0A-095B326537AB}"/>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216</xdr:row>
      <xdr:rowOff>47625</xdr:rowOff>
    </xdr:from>
    <xdr:ext cx="76200" cy="222885"/>
    <xdr:sp macro="" textlink="">
      <xdr:nvSpPr>
        <xdr:cNvPr id="290" name="Text Box 1">
          <a:extLst>
            <a:ext uri="{FF2B5EF4-FFF2-40B4-BE49-F238E27FC236}">
              <a16:creationId xmlns:a16="http://schemas.microsoft.com/office/drawing/2014/main" id="{5B2D4780-3103-46AF-8B80-B498C223C26D}"/>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218</xdr:row>
      <xdr:rowOff>47625</xdr:rowOff>
    </xdr:from>
    <xdr:ext cx="76200" cy="222885"/>
    <xdr:sp macro="" textlink="">
      <xdr:nvSpPr>
        <xdr:cNvPr id="291" name="Text Box 1">
          <a:extLst>
            <a:ext uri="{FF2B5EF4-FFF2-40B4-BE49-F238E27FC236}">
              <a16:creationId xmlns:a16="http://schemas.microsoft.com/office/drawing/2014/main" id="{CB29EAB1-F4DC-4047-AD2C-B5CCC3B530E5}"/>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219</xdr:row>
      <xdr:rowOff>47625</xdr:rowOff>
    </xdr:from>
    <xdr:ext cx="76200" cy="222885"/>
    <xdr:sp macro="" textlink="">
      <xdr:nvSpPr>
        <xdr:cNvPr id="292" name="Text Box 1">
          <a:extLst>
            <a:ext uri="{FF2B5EF4-FFF2-40B4-BE49-F238E27FC236}">
              <a16:creationId xmlns:a16="http://schemas.microsoft.com/office/drawing/2014/main" id="{6924B0E1-5EFC-4C69-B454-CC2345BE2025}"/>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220</xdr:row>
      <xdr:rowOff>47625</xdr:rowOff>
    </xdr:from>
    <xdr:ext cx="76200" cy="222885"/>
    <xdr:sp macro="" textlink="">
      <xdr:nvSpPr>
        <xdr:cNvPr id="293" name="Text Box 1">
          <a:extLst>
            <a:ext uri="{FF2B5EF4-FFF2-40B4-BE49-F238E27FC236}">
              <a16:creationId xmlns:a16="http://schemas.microsoft.com/office/drawing/2014/main" id="{2A59E706-4BBD-4099-A96B-3B046E46BDE6}"/>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220</xdr:row>
      <xdr:rowOff>47625</xdr:rowOff>
    </xdr:from>
    <xdr:ext cx="76200" cy="222885"/>
    <xdr:sp macro="" textlink="">
      <xdr:nvSpPr>
        <xdr:cNvPr id="294" name="Text Box 1">
          <a:extLst>
            <a:ext uri="{FF2B5EF4-FFF2-40B4-BE49-F238E27FC236}">
              <a16:creationId xmlns:a16="http://schemas.microsoft.com/office/drawing/2014/main" id="{8EC07E9D-6B5F-49FE-8662-B1972338DCE7}"/>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221</xdr:row>
      <xdr:rowOff>47625</xdr:rowOff>
    </xdr:from>
    <xdr:ext cx="76200" cy="222885"/>
    <xdr:sp macro="" textlink="">
      <xdr:nvSpPr>
        <xdr:cNvPr id="295" name="Text Box 1">
          <a:extLst>
            <a:ext uri="{FF2B5EF4-FFF2-40B4-BE49-F238E27FC236}">
              <a16:creationId xmlns:a16="http://schemas.microsoft.com/office/drawing/2014/main" id="{B69B19D7-6614-4E65-9E2E-2893DF4C851B}"/>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223</xdr:row>
      <xdr:rowOff>47625</xdr:rowOff>
    </xdr:from>
    <xdr:ext cx="76200" cy="222885"/>
    <xdr:sp macro="" textlink="">
      <xdr:nvSpPr>
        <xdr:cNvPr id="296" name="Text Box 1">
          <a:extLst>
            <a:ext uri="{FF2B5EF4-FFF2-40B4-BE49-F238E27FC236}">
              <a16:creationId xmlns:a16="http://schemas.microsoft.com/office/drawing/2014/main" id="{871BAA4F-F3FE-4054-9113-02C8C6094925}"/>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224</xdr:row>
      <xdr:rowOff>47625</xdr:rowOff>
    </xdr:from>
    <xdr:ext cx="76200" cy="222885"/>
    <xdr:sp macro="" textlink="">
      <xdr:nvSpPr>
        <xdr:cNvPr id="297" name="Text Box 1">
          <a:extLst>
            <a:ext uri="{FF2B5EF4-FFF2-40B4-BE49-F238E27FC236}">
              <a16:creationId xmlns:a16="http://schemas.microsoft.com/office/drawing/2014/main" id="{4570D82B-7937-4C63-AFEF-9705F392B20B}"/>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225</xdr:row>
      <xdr:rowOff>47625</xdr:rowOff>
    </xdr:from>
    <xdr:ext cx="76200" cy="222885"/>
    <xdr:sp macro="" textlink="">
      <xdr:nvSpPr>
        <xdr:cNvPr id="298" name="Text Box 1">
          <a:extLst>
            <a:ext uri="{FF2B5EF4-FFF2-40B4-BE49-F238E27FC236}">
              <a16:creationId xmlns:a16="http://schemas.microsoft.com/office/drawing/2014/main" id="{179EB6A1-BE20-4B5C-85E6-AA4E52984FC5}"/>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225</xdr:row>
      <xdr:rowOff>47625</xdr:rowOff>
    </xdr:from>
    <xdr:ext cx="76200" cy="222885"/>
    <xdr:sp macro="" textlink="">
      <xdr:nvSpPr>
        <xdr:cNvPr id="299" name="Text Box 1">
          <a:extLst>
            <a:ext uri="{FF2B5EF4-FFF2-40B4-BE49-F238E27FC236}">
              <a16:creationId xmlns:a16="http://schemas.microsoft.com/office/drawing/2014/main" id="{3176ACF4-8BF2-4EDB-865C-DA419007D58E}"/>
            </a:ext>
          </a:extLst>
        </xdr:cNvPr>
        <xdr:cNvSpPr txBox="1">
          <a:spLocks noChangeArrowheads="1"/>
        </xdr:cNvSpPr>
      </xdr:nvSpPr>
      <xdr:spPr bwMode="auto">
        <a:xfrm>
          <a:off x="685800" y="16896292"/>
          <a:ext cx="76200" cy="222885"/>
        </a:xfrm>
        <a:prstGeom prst="rect">
          <a:avLst/>
        </a:prstGeom>
        <a:noFill/>
        <a:ln w="9525">
          <a:noFill/>
          <a:miter lim="800000"/>
          <a:headEnd/>
          <a:tailEnd/>
        </a:ln>
      </xdr:spPr>
    </xdr:sp>
    <xdr:clientData/>
  </xdr:oneCellAnchor>
  <xdr:oneCellAnchor>
    <xdr:from>
      <xdr:col>0</xdr:col>
      <xdr:colOff>685800</xdr:colOff>
      <xdr:row>226</xdr:row>
      <xdr:rowOff>47625</xdr:rowOff>
    </xdr:from>
    <xdr:ext cx="76200" cy="222885"/>
    <xdr:sp macro="" textlink="">
      <xdr:nvSpPr>
        <xdr:cNvPr id="300" name="Text Box 1">
          <a:extLst>
            <a:ext uri="{FF2B5EF4-FFF2-40B4-BE49-F238E27FC236}">
              <a16:creationId xmlns:a16="http://schemas.microsoft.com/office/drawing/2014/main" id="{0693F5FE-BA49-426B-8724-DC42E057257D}"/>
            </a:ext>
          </a:extLst>
        </xdr:cNvPr>
        <xdr:cNvSpPr txBox="1">
          <a:spLocks noChangeArrowheads="1"/>
        </xdr:cNvSpPr>
      </xdr:nvSpPr>
      <xdr:spPr bwMode="auto">
        <a:xfrm>
          <a:off x="685800" y="17074092"/>
          <a:ext cx="76200" cy="222885"/>
        </a:xfrm>
        <a:prstGeom prst="rect">
          <a:avLst/>
        </a:prstGeom>
        <a:noFill/>
        <a:ln w="9525">
          <a:noFill/>
          <a:miter lim="800000"/>
          <a:headEnd/>
          <a:tailEnd/>
        </a:ln>
      </xdr:spPr>
    </xdr:sp>
    <xdr:clientData/>
  </xdr:oneCellAnchor>
  <xdr:oneCellAnchor>
    <xdr:from>
      <xdr:col>0</xdr:col>
      <xdr:colOff>685800</xdr:colOff>
      <xdr:row>228</xdr:row>
      <xdr:rowOff>47625</xdr:rowOff>
    </xdr:from>
    <xdr:ext cx="76200" cy="222885"/>
    <xdr:sp macro="" textlink="">
      <xdr:nvSpPr>
        <xdr:cNvPr id="301" name="Text Box 1">
          <a:extLst>
            <a:ext uri="{FF2B5EF4-FFF2-40B4-BE49-F238E27FC236}">
              <a16:creationId xmlns:a16="http://schemas.microsoft.com/office/drawing/2014/main" id="{02EEF000-2952-4A9B-91FC-12CAF4F5F7D2}"/>
            </a:ext>
          </a:extLst>
        </xdr:cNvPr>
        <xdr:cNvSpPr txBox="1">
          <a:spLocks noChangeArrowheads="1"/>
        </xdr:cNvSpPr>
      </xdr:nvSpPr>
      <xdr:spPr bwMode="auto">
        <a:xfrm>
          <a:off x="685800" y="17429692"/>
          <a:ext cx="76200" cy="222885"/>
        </a:xfrm>
        <a:prstGeom prst="rect">
          <a:avLst/>
        </a:prstGeom>
        <a:noFill/>
        <a:ln w="9525">
          <a:noFill/>
          <a:miter lim="800000"/>
          <a:headEnd/>
          <a:tailEnd/>
        </a:ln>
      </xdr:spPr>
    </xdr:sp>
    <xdr:clientData/>
  </xdr:oneCellAnchor>
  <xdr:oneCellAnchor>
    <xdr:from>
      <xdr:col>0</xdr:col>
      <xdr:colOff>685800</xdr:colOff>
      <xdr:row>229</xdr:row>
      <xdr:rowOff>47625</xdr:rowOff>
    </xdr:from>
    <xdr:ext cx="76200" cy="222885"/>
    <xdr:sp macro="" textlink="">
      <xdr:nvSpPr>
        <xdr:cNvPr id="302" name="Text Box 1">
          <a:extLst>
            <a:ext uri="{FF2B5EF4-FFF2-40B4-BE49-F238E27FC236}">
              <a16:creationId xmlns:a16="http://schemas.microsoft.com/office/drawing/2014/main" id="{B279840F-5D36-4E4C-AFB1-E48A947405AA}"/>
            </a:ext>
          </a:extLst>
        </xdr:cNvPr>
        <xdr:cNvSpPr txBox="1">
          <a:spLocks noChangeArrowheads="1"/>
        </xdr:cNvSpPr>
      </xdr:nvSpPr>
      <xdr:spPr bwMode="auto">
        <a:xfrm>
          <a:off x="685800" y="17607492"/>
          <a:ext cx="76200" cy="222885"/>
        </a:xfrm>
        <a:prstGeom prst="rect">
          <a:avLst/>
        </a:prstGeom>
        <a:noFill/>
        <a:ln w="9525">
          <a:noFill/>
          <a:miter lim="800000"/>
          <a:headEnd/>
          <a:tailEnd/>
        </a:ln>
      </xdr:spPr>
    </xdr:sp>
    <xdr:clientData/>
  </xdr:oneCellAnchor>
  <xdr:oneCellAnchor>
    <xdr:from>
      <xdr:col>0</xdr:col>
      <xdr:colOff>685800</xdr:colOff>
      <xdr:row>230</xdr:row>
      <xdr:rowOff>47625</xdr:rowOff>
    </xdr:from>
    <xdr:ext cx="76200" cy="222885"/>
    <xdr:sp macro="" textlink="">
      <xdr:nvSpPr>
        <xdr:cNvPr id="303" name="Text Box 1">
          <a:extLst>
            <a:ext uri="{FF2B5EF4-FFF2-40B4-BE49-F238E27FC236}">
              <a16:creationId xmlns:a16="http://schemas.microsoft.com/office/drawing/2014/main" id="{F2F6BEBB-9CAB-468B-8F1E-C5E3A38E8A5A}"/>
            </a:ext>
          </a:extLst>
        </xdr:cNvPr>
        <xdr:cNvSpPr txBox="1">
          <a:spLocks noChangeArrowheads="1"/>
        </xdr:cNvSpPr>
      </xdr:nvSpPr>
      <xdr:spPr bwMode="auto">
        <a:xfrm>
          <a:off x="685800" y="17785292"/>
          <a:ext cx="76200" cy="222885"/>
        </a:xfrm>
        <a:prstGeom prst="rect">
          <a:avLst/>
        </a:prstGeom>
        <a:noFill/>
        <a:ln w="9525">
          <a:noFill/>
          <a:miter lim="800000"/>
          <a:headEnd/>
          <a:tailEnd/>
        </a:ln>
      </xdr:spPr>
    </xdr:sp>
    <xdr:clientData/>
  </xdr:oneCellAnchor>
  <xdr:oneCellAnchor>
    <xdr:from>
      <xdr:col>0</xdr:col>
      <xdr:colOff>685800</xdr:colOff>
      <xdr:row>233</xdr:row>
      <xdr:rowOff>47625</xdr:rowOff>
    </xdr:from>
    <xdr:ext cx="76200" cy="222885"/>
    <xdr:sp macro="" textlink="">
      <xdr:nvSpPr>
        <xdr:cNvPr id="304" name="Text Box 1">
          <a:extLst>
            <a:ext uri="{FF2B5EF4-FFF2-40B4-BE49-F238E27FC236}">
              <a16:creationId xmlns:a16="http://schemas.microsoft.com/office/drawing/2014/main" id="{0FB278C4-C195-483A-BA31-A25ECB2102B1}"/>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235</xdr:row>
      <xdr:rowOff>47625</xdr:rowOff>
    </xdr:from>
    <xdr:ext cx="76200" cy="222885"/>
    <xdr:sp macro="" textlink="">
      <xdr:nvSpPr>
        <xdr:cNvPr id="305" name="Text Box 1">
          <a:extLst>
            <a:ext uri="{FF2B5EF4-FFF2-40B4-BE49-F238E27FC236}">
              <a16:creationId xmlns:a16="http://schemas.microsoft.com/office/drawing/2014/main" id="{BD674B0B-C609-4A7A-B74C-A7F2708901E9}"/>
            </a:ext>
          </a:extLst>
        </xdr:cNvPr>
        <xdr:cNvSpPr txBox="1">
          <a:spLocks noChangeArrowheads="1"/>
        </xdr:cNvSpPr>
      </xdr:nvSpPr>
      <xdr:spPr bwMode="auto">
        <a:xfrm>
          <a:off x="685800" y="39299092"/>
          <a:ext cx="76200" cy="222885"/>
        </a:xfrm>
        <a:prstGeom prst="rect">
          <a:avLst/>
        </a:prstGeom>
        <a:noFill/>
        <a:ln w="9525">
          <a:noFill/>
          <a:miter lim="800000"/>
          <a:headEnd/>
          <a:tailEnd/>
        </a:ln>
      </xdr:spPr>
    </xdr:sp>
    <xdr:clientData/>
  </xdr:oneCellAnchor>
  <xdr:oneCellAnchor>
    <xdr:from>
      <xdr:col>0</xdr:col>
      <xdr:colOff>685800</xdr:colOff>
      <xdr:row>236</xdr:row>
      <xdr:rowOff>47625</xdr:rowOff>
    </xdr:from>
    <xdr:ext cx="76200" cy="222885"/>
    <xdr:sp macro="" textlink="">
      <xdr:nvSpPr>
        <xdr:cNvPr id="306" name="Text Box 1">
          <a:extLst>
            <a:ext uri="{FF2B5EF4-FFF2-40B4-BE49-F238E27FC236}">
              <a16:creationId xmlns:a16="http://schemas.microsoft.com/office/drawing/2014/main" id="{132C993D-ABB0-470E-AAA2-240FCAF8BE76}"/>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232</xdr:row>
      <xdr:rowOff>47625</xdr:rowOff>
    </xdr:from>
    <xdr:ext cx="76200" cy="222885"/>
    <xdr:sp macro="" textlink="">
      <xdr:nvSpPr>
        <xdr:cNvPr id="307" name="Text Box 1">
          <a:extLst>
            <a:ext uri="{FF2B5EF4-FFF2-40B4-BE49-F238E27FC236}">
              <a16:creationId xmlns:a16="http://schemas.microsoft.com/office/drawing/2014/main" id="{7B8C5891-5254-4E3C-A00E-D171B97220ED}"/>
            </a:ext>
          </a:extLst>
        </xdr:cNvPr>
        <xdr:cNvSpPr txBox="1">
          <a:spLocks noChangeArrowheads="1"/>
        </xdr:cNvSpPr>
      </xdr:nvSpPr>
      <xdr:spPr bwMode="auto">
        <a:xfrm>
          <a:off x="685800" y="38765692"/>
          <a:ext cx="76200" cy="222885"/>
        </a:xfrm>
        <a:prstGeom prst="rect">
          <a:avLst/>
        </a:prstGeom>
        <a:noFill/>
        <a:ln w="9525">
          <a:noFill/>
          <a:miter lim="800000"/>
          <a:headEnd/>
          <a:tailEnd/>
        </a:ln>
      </xdr:spPr>
    </xdr:sp>
    <xdr:clientData/>
  </xdr:oneCellAnchor>
  <xdr:oneCellAnchor>
    <xdr:from>
      <xdr:col>0</xdr:col>
      <xdr:colOff>685800</xdr:colOff>
      <xdr:row>233</xdr:row>
      <xdr:rowOff>47625</xdr:rowOff>
    </xdr:from>
    <xdr:ext cx="76200" cy="222885"/>
    <xdr:sp macro="" textlink="">
      <xdr:nvSpPr>
        <xdr:cNvPr id="308" name="Text Box 1">
          <a:extLst>
            <a:ext uri="{FF2B5EF4-FFF2-40B4-BE49-F238E27FC236}">
              <a16:creationId xmlns:a16="http://schemas.microsoft.com/office/drawing/2014/main" id="{FDAFA5CB-6394-4978-B666-94F0BC6C39DA}"/>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234</xdr:row>
      <xdr:rowOff>47625</xdr:rowOff>
    </xdr:from>
    <xdr:ext cx="76200" cy="222885"/>
    <xdr:sp macro="" textlink="">
      <xdr:nvSpPr>
        <xdr:cNvPr id="309" name="Text Box 1">
          <a:extLst>
            <a:ext uri="{FF2B5EF4-FFF2-40B4-BE49-F238E27FC236}">
              <a16:creationId xmlns:a16="http://schemas.microsoft.com/office/drawing/2014/main" id="{B1DE810C-8F3D-4396-A921-44DDEBC7A0B4}"/>
            </a:ext>
          </a:extLst>
        </xdr:cNvPr>
        <xdr:cNvSpPr txBox="1">
          <a:spLocks noChangeArrowheads="1"/>
        </xdr:cNvSpPr>
      </xdr:nvSpPr>
      <xdr:spPr bwMode="auto">
        <a:xfrm>
          <a:off x="685800" y="39121292"/>
          <a:ext cx="76200" cy="222885"/>
        </a:xfrm>
        <a:prstGeom prst="rect">
          <a:avLst/>
        </a:prstGeom>
        <a:noFill/>
        <a:ln w="9525">
          <a:noFill/>
          <a:miter lim="800000"/>
          <a:headEnd/>
          <a:tailEnd/>
        </a:ln>
      </xdr:spPr>
    </xdr:sp>
    <xdr:clientData/>
  </xdr:oneCellAnchor>
  <xdr:oneCellAnchor>
    <xdr:from>
      <xdr:col>0</xdr:col>
      <xdr:colOff>685800</xdr:colOff>
      <xdr:row>237</xdr:row>
      <xdr:rowOff>47625</xdr:rowOff>
    </xdr:from>
    <xdr:ext cx="76200" cy="222885"/>
    <xdr:sp macro="" textlink="">
      <xdr:nvSpPr>
        <xdr:cNvPr id="310" name="Text Box 1">
          <a:extLst>
            <a:ext uri="{FF2B5EF4-FFF2-40B4-BE49-F238E27FC236}">
              <a16:creationId xmlns:a16="http://schemas.microsoft.com/office/drawing/2014/main" id="{E6C84755-53EC-47D9-B1EB-9B75FC1B3BC8}"/>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239</xdr:row>
      <xdr:rowOff>47625</xdr:rowOff>
    </xdr:from>
    <xdr:ext cx="76200" cy="222885"/>
    <xdr:sp macro="" textlink="">
      <xdr:nvSpPr>
        <xdr:cNvPr id="311" name="Text Box 1">
          <a:extLst>
            <a:ext uri="{FF2B5EF4-FFF2-40B4-BE49-F238E27FC236}">
              <a16:creationId xmlns:a16="http://schemas.microsoft.com/office/drawing/2014/main" id="{36D83C82-98C5-4396-9AFF-B095E4622947}"/>
            </a:ext>
          </a:extLst>
        </xdr:cNvPr>
        <xdr:cNvSpPr txBox="1">
          <a:spLocks noChangeArrowheads="1"/>
        </xdr:cNvSpPr>
      </xdr:nvSpPr>
      <xdr:spPr bwMode="auto">
        <a:xfrm>
          <a:off x="685800" y="39299092"/>
          <a:ext cx="76200" cy="222885"/>
        </a:xfrm>
        <a:prstGeom prst="rect">
          <a:avLst/>
        </a:prstGeom>
        <a:noFill/>
        <a:ln w="9525">
          <a:noFill/>
          <a:miter lim="800000"/>
          <a:headEnd/>
          <a:tailEnd/>
        </a:ln>
      </xdr:spPr>
    </xdr:sp>
    <xdr:clientData/>
  </xdr:oneCellAnchor>
  <xdr:oneCellAnchor>
    <xdr:from>
      <xdr:col>0</xdr:col>
      <xdr:colOff>685800</xdr:colOff>
      <xdr:row>240</xdr:row>
      <xdr:rowOff>47625</xdr:rowOff>
    </xdr:from>
    <xdr:ext cx="76200" cy="222885"/>
    <xdr:sp macro="" textlink="">
      <xdr:nvSpPr>
        <xdr:cNvPr id="312" name="Text Box 1">
          <a:extLst>
            <a:ext uri="{FF2B5EF4-FFF2-40B4-BE49-F238E27FC236}">
              <a16:creationId xmlns:a16="http://schemas.microsoft.com/office/drawing/2014/main" id="{16CCC098-37AE-4FE9-A514-8E02E63CF685}"/>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236</xdr:row>
      <xdr:rowOff>47625</xdr:rowOff>
    </xdr:from>
    <xdr:ext cx="76200" cy="222885"/>
    <xdr:sp macro="" textlink="">
      <xdr:nvSpPr>
        <xdr:cNvPr id="313" name="Text Box 1">
          <a:extLst>
            <a:ext uri="{FF2B5EF4-FFF2-40B4-BE49-F238E27FC236}">
              <a16:creationId xmlns:a16="http://schemas.microsoft.com/office/drawing/2014/main" id="{A0AB30D7-D8D0-4185-A854-CB2576A0C741}"/>
            </a:ext>
          </a:extLst>
        </xdr:cNvPr>
        <xdr:cNvSpPr txBox="1">
          <a:spLocks noChangeArrowheads="1"/>
        </xdr:cNvSpPr>
      </xdr:nvSpPr>
      <xdr:spPr bwMode="auto">
        <a:xfrm>
          <a:off x="685800" y="38765692"/>
          <a:ext cx="76200" cy="222885"/>
        </a:xfrm>
        <a:prstGeom prst="rect">
          <a:avLst/>
        </a:prstGeom>
        <a:noFill/>
        <a:ln w="9525">
          <a:noFill/>
          <a:miter lim="800000"/>
          <a:headEnd/>
          <a:tailEnd/>
        </a:ln>
      </xdr:spPr>
    </xdr:sp>
    <xdr:clientData/>
  </xdr:oneCellAnchor>
  <xdr:oneCellAnchor>
    <xdr:from>
      <xdr:col>0</xdr:col>
      <xdr:colOff>685800</xdr:colOff>
      <xdr:row>237</xdr:row>
      <xdr:rowOff>47625</xdr:rowOff>
    </xdr:from>
    <xdr:ext cx="76200" cy="222885"/>
    <xdr:sp macro="" textlink="">
      <xdr:nvSpPr>
        <xdr:cNvPr id="314" name="Text Box 1">
          <a:extLst>
            <a:ext uri="{FF2B5EF4-FFF2-40B4-BE49-F238E27FC236}">
              <a16:creationId xmlns:a16="http://schemas.microsoft.com/office/drawing/2014/main" id="{845EF0DB-6ED2-40B4-A9EA-63FD59FC733F}"/>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238</xdr:row>
      <xdr:rowOff>47625</xdr:rowOff>
    </xdr:from>
    <xdr:ext cx="76200" cy="222885"/>
    <xdr:sp macro="" textlink="">
      <xdr:nvSpPr>
        <xdr:cNvPr id="315" name="Text Box 1">
          <a:extLst>
            <a:ext uri="{FF2B5EF4-FFF2-40B4-BE49-F238E27FC236}">
              <a16:creationId xmlns:a16="http://schemas.microsoft.com/office/drawing/2014/main" id="{C103F654-964A-4193-8FA7-D6B1A4839B2A}"/>
            </a:ext>
          </a:extLst>
        </xdr:cNvPr>
        <xdr:cNvSpPr txBox="1">
          <a:spLocks noChangeArrowheads="1"/>
        </xdr:cNvSpPr>
      </xdr:nvSpPr>
      <xdr:spPr bwMode="auto">
        <a:xfrm>
          <a:off x="685800" y="39121292"/>
          <a:ext cx="76200" cy="222885"/>
        </a:xfrm>
        <a:prstGeom prst="rect">
          <a:avLst/>
        </a:prstGeom>
        <a:noFill/>
        <a:ln w="9525">
          <a:noFill/>
          <a:miter lim="800000"/>
          <a:headEnd/>
          <a:tailEnd/>
        </a:ln>
      </xdr:spPr>
    </xdr:sp>
    <xdr:clientData/>
  </xdr:oneCellAnchor>
  <xdr:oneCellAnchor>
    <xdr:from>
      <xdr:col>0</xdr:col>
      <xdr:colOff>685800</xdr:colOff>
      <xdr:row>240</xdr:row>
      <xdr:rowOff>47625</xdr:rowOff>
    </xdr:from>
    <xdr:ext cx="76200" cy="222885"/>
    <xdr:sp macro="" textlink="">
      <xdr:nvSpPr>
        <xdr:cNvPr id="316" name="Text Box 1">
          <a:extLst>
            <a:ext uri="{FF2B5EF4-FFF2-40B4-BE49-F238E27FC236}">
              <a16:creationId xmlns:a16="http://schemas.microsoft.com/office/drawing/2014/main" id="{54B3B6E2-5807-479E-95AF-FB9FF56E6BB7}"/>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241</xdr:row>
      <xdr:rowOff>47625</xdr:rowOff>
    </xdr:from>
    <xdr:ext cx="76200" cy="222885"/>
    <xdr:sp macro="" textlink="">
      <xdr:nvSpPr>
        <xdr:cNvPr id="317" name="Text Box 1">
          <a:extLst>
            <a:ext uri="{FF2B5EF4-FFF2-40B4-BE49-F238E27FC236}">
              <a16:creationId xmlns:a16="http://schemas.microsoft.com/office/drawing/2014/main" id="{B08ADBEE-2F35-45A9-93F1-8474005FCC1F}"/>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243</xdr:row>
      <xdr:rowOff>47625</xdr:rowOff>
    </xdr:from>
    <xdr:ext cx="76200" cy="222885"/>
    <xdr:sp macro="" textlink="">
      <xdr:nvSpPr>
        <xdr:cNvPr id="318" name="Text Box 1">
          <a:extLst>
            <a:ext uri="{FF2B5EF4-FFF2-40B4-BE49-F238E27FC236}">
              <a16:creationId xmlns:a16="http://schemas.microsoft.com/office/drawing/2014/main" id="{8D4D19AA-AF54-4131-A9B7-9709D2A3878B}"/>
            </a:ext>
          </a:extLst>
        </xdr:cNvPr>
        <xdr:cNvSpPr txBox="1">
          <a:spLocks noChangeArrowheads="1"/>
        </xdr:cNvSpPr>
      </xdr:nvSpPr>
      <xdr:spPr bwMode="auto">
        <a:xfrm>
          <a:off x="685800" y="39299092"/>
          <a:ext cx="76200" cy="222885"/>
        </a:xfrm>
        <a:prstGeom prst="rect">
          <a:avLst/>
        </a:prstGeom>
        <a:noFill/>
        <a:ln w="9525">
          <a:noFill/>
          <a:miter lim="800000"/>
          <a:headEnd/>
          <a:tailEnd/>
        </a:ln>
      </xdr:spPr>
    </xdr:sp>
    <xdr:clientData/>
  </xdr:oneCellAnchor>
  <xdr:oneCellAnchor>
    <xdr:from>
      <xdr:col>0</xdr:col>
      <xdr:colOff>685800</xdr:colOff>
      <xdr:row>244</xdr:row>
      <xdr:rowOff>47625</xdr:rowOff>
    </xdr:from>
    <xdr:ext cx="76200" cy="222885"/>
    <xdr:sp macro="" textlink="">
      <xdr:nvSpPr>
        <xdr:cNvPr id="319" name="Text Box 1">
          <a:extLst>
            <a:ext uri="{FF2B5EF4-FFF2-40B4-BE49-F238E27FC236}">
              <a16:creationId xmlns:a16="http://schemas.microsoft.com/office/drawing/2014/main" id="{82941142-255A-413F-85C1-9FAFC0FD095C}"/>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240</xdr:row>
      <xdr:rowOff>47625</xdr:rowOff>
    </xdr:from>
    <xdr:ext cx="76200" cy="222885"/>
    <xdr:sp macro="" textlink="">
      <xdr:nvSpPr>
        <xdr:cNvPr id="320" name="Text Box 1">
          <a:extLst>
            <a:ext uri="{FF2B5EF4-FFF2-40B4-BE49-F238E27FC236}">
              <a16:creationId xmlns:a16="http://schemas.microsoft.com/office/drawing/2014/main" id="{69E079FC-83B9-4F9E-B282-16846F936A6C}"/>
            </a:ext>
          </a:extLst>
        </xdr:cNvPr>
        <xdr:cNvSpPr txBox="1">
          <a:spLocks noChangeArrowheads="1"/>
        </xdr:cNvSpPr>
      </xdr:nvSpPr>
      <xdr:spPr bwMode="auto">
        <a:xfrm>
          <a:off x="685800" y="38765692"/>
          <a:ext cx="76200" cy="222885"/>
        </a:xfrm>
        <a:prstGeom prst="rect">
          <a:avLst/>
        </a:prstGeom>
        <a:noFill/>
        <a:ln w="9525">
          <a:noFill/>
          <a:miter lim="800000"/>
          <a:headEnd/>
          <a:tailEnd/>
        </a:ln>
      </xdr:spPr>
    </xdr:sp>
    <xdr:clientData/>
  </xdr:oneCellAnchor>
  <xdr:oneCellAnchor>
    <xdr:from>
      <xdr:col>0</xdr:col>
      <xdr:colOff>685800</xdr:colOff>
      <xdr:row>241</xdr:row>
      <xdr:rowOff>47625</xdr:rowOff>
    </xdr:from>
    <xdr:ext cx="76200" cy="222885"/>
    <xdr:sp macro="" textlink="">
      <xdr:nvSpPr>
        <xdr:cNvPr id="321" name="Text Box 1">
          <a:extLst>
            <a:ext uri="{FF2B5EF4-FFF2-40B4-BE49-F238E27FC236}">
              <a16:creationId xmlns:a16="http://schemas.microsoft.com/office/drawing/2014/main" id="{2A2247B0-C44F-4AD5-AEFD-9D444150568E}"/>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242</xdr:row>
      <xdr:rowOff>47625</xdr:rowOff>
    </xdr:from>
    <xdr:ext cx="76200" cy="222885"/>
    <xdr:sp macro="" textlink="">
      <xdr:nvSpPr>
        <xdr:cNvPr id="322" name="Text Box 1">
          <a:extLst>
            <a:ext uri="{FF2B5EF4-FFF2-40B4-BE49-F238E27FC236}">
              <a16:creationId xmlns:a16="http://schemas.microsoft.com/office/drawing/2014/main" id="{86426E5D-2D17-449B-9D9E-74FDED578DC7}"/>
            </a:ext>
          </a:extLst>
        </xdr:cNvPr>
        <xdr:cNvSpPr txBox="1">
          <a:spLocks noChangeArrowheads="1"/>
        </xdr:cNvSpPr>
      </xdr:nvSpPr>
      <xdr:spPr bwMode="auto">
        <a:xfrm>
          <a:off x="685800" y="39121292"/>
          <a:ext cx="76200" cy="222885"/>
        </a:xfrm>
        <a:prstGeom prst="rect">
          <a:avLst/>
        </a:prstGeom>
        <a:noFill/>
        <a:ln w="9525">
          <a:noFill/>
          <a:miter lim="800000"/>
          <a:headEnd/>
          <a:tailEnd/>
        </a:ln>
      </xdr:spPr>
    </xdr:sp>
    <xdr:clientData/>
  </xdr:oneCellAnchor>
  <xdr:oneCellAnchor>
    <xdr:from>
      <xdr:col>0</xdr:col>
      <xdr:colOff>685800</xdr:colOff>
      <xdr:row>244</xdr:row>
      <xdr:rowOff>47625</xdr:rowOff>
    </xdr:from>
    <xdr:ext cx="76200" cy="222885"/>
    <xdr:sp macro="" textlink="">
      <xdr:nvSpPr>
        <xdr:cNvPr id="323" name="Text Box 1">
          <a:extLst>
            <a:ext uri="{FF2B5EF4-FFF2-40B4-BE49-F238E27FC236}">
              <a16:creationId xmlns:a16="http://schemas.microsoft.com/office/drawing/2014/main" id="{2339521E-B115-4D95-A549-B2CFCE402834}"/>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245</xdr:row>
      <xdr:rowOff>47625</xdr:rowOff>
    </xdr:from>
    <xdr:ext cx="76200" cy="222885"/>
    <xdr:sp macro="" textlink="">
      <xdr:nvSpPr>
        <xdr:cNvPr id="324" name="Text Box 1">
          <a:extLst>
            <a:ext uri="{FF2B5EF4-FFF2-40B4-BE49-F238E27FC236}">
              <a16:creationId xmlns:a16="http://schemas.microsoft.com/office/drawing/2014/main" id="{A47ED2D0-EF1B-44BB-A7A3-B7AE562D51C7}"/>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247</xdr:row>
      <xdr:rowOff>47625</xdr:rowOff>
    </xdr:from>
    <xdr:ext cx="76200" cy="222885"/>
    <xdr:sp macro="" textlink="">
      <xdr:nvSpPr>
        <xdr:cNvPr id="325" name="Text Box 1">
          <a:extLst>
            <a:ext uri="{FF2B5EF4-FFF2-40B4-BE49-F238E27FC236}">
              <a16:creationId xmlns:a16="http://schemas.microsoft.com/office/drawing/2014/main" id="{E25F1703-2B86-4B76-9018-AADDA8FACA5A}"/>
            </a:ext>
          </a:extLst>
        </xdr:cNvPr>
        <xdr:cNvSpPr txBox="1">
          <a:spLocks noChangeArrowheads="1"/>
        </xdr:cNvSpPr>
      </xdr:nvSpPr>
      <xdr:spPr bwMode="auto">
        <a:xfrm>
          <a:off x="685800" y="39299092"/>
          <a:ext cx="76200" cy="222885"/>
        </a:xfrm>
        <a:prstGeom prst="rect">
          <a:avLst/>
        </a:prstGeom>
        <a:noFill/>
        <a:ln w="9525">
          <a:noFill/>
          <a:miter lim="800000"/>
          <a:headEnd/>
          <a:tailEnd/>
        </a:ln>
      </xdr:spPr>
    </xdr:sp>
    <xdr:clientData/>
  </xdr:oneCellAnchor>
  <xdr:oneCellAnchor>
    <xdr:from>
      <xdr:col>0</xdr:col>
      <xdr:colOff>685800</xdr:colOff>
      <xdr:row>248</xdr:row>
      <xdr:rowOff>47625</xdr:rowOff>
    </xdr:from>
    <xdr:ext cx="76200" cy="222885"/>
    <xdr:sp macro="" textlink="">
      <xdr:nvSpPr>
        <xdr:cNvPr id="326" name="Text Box 1">
          <a:extLst>
            <a:ext uri="{FF2B5EF4-FFF2-40B4-BE49-F238E27FC236}">
              <a16:creationId xmlns:a16="http://schemas.microsoft.com/office/drawing/2014/main" id="{EEAB68D4-3536-4CA3-9076-B79C291333C1}"/>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244</xdr:row>
      <xdr:rowOff>47625</xdr:rowOff>
    </xdr:from>
    <xdr:ext cx="76200" cy="222885"/>
    <xdr:sp macro="" textlink="">
      <xdr:nvSpPr>
        <xdr:cNvPr id="327" name="Text Box 1">
          <a:extLst>
            <a:ext uri="{FF2B5EF4-FFF2-40B4-BE49-F238E27FC236}">
              <a16:creationId xmlns:a16="http://schemas.microsoft.com/office/drawing/2014/main" id="{4885701D-E746-45BE-B147-BA85D4FD54C7}"/>
            </a:ext>
          </a:extLst>
        </xdr:cNvPr>
        <xdr:cNvSpPr txBox="1">
          <a:spLocks noChangeArrowheads="1"/>
        </xdr:cNvSpPr>
      </xdr:nvSpPr>
      <xdr:spPr bwMode="auto">
        <a:xfrm>
          <a:off x="685800" y="38765692"/>
          <a:ext cx="76200" cy="222885"/>
        </a:xfrm>
        <a:prstGeom prst="rect">
          <a:avLst/>
        </a:prstGeom>
        <a:noFill/>
        <a:ln w="9525">
          <a:noFill/>
          <a:miter lim="800000"/>
          <a:headEnd/>
          <a:tailEnd/>
        </a:ln>
      </xdr:spPr>
    </xdr:sp>
    <xdr:clientData/>
  </xdr:oneCellAnchor>
  <xdr:oneCellAnchor>
    <xdr:from>
      <xdr:col>0</xdr:col>
      <xdr:colOff>685800</xdr:colOff>
      <xdr:row>245</xdr:row>
      <xdr:rowOff>47625</xdr:rowOff>
    </xdr:from>
    <xdr:ext cx="76200" cy="222885"/>
    <xdr:sp macro="" textlink="">
      <xdr:nvSpPr>
        <xdr:cNvPr id="328" name="Text Box 1">
          <a:extLst>
            <a:ext uri="{FF2B5EF4-FFF2-40B4-BE49-F238E27FC236}">
              <a16:creationId xmlns:a16="http://schemas.microsoft.com/office/drawing/2014/main" id="{D8FEA639-40DD-4F1E-AE74-2C582CFF56B5}"/>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246</xdr:row>
      <xdr:rowOff>47625</xdr:rowOff>
    </xdr:from>
    <xdr:ext cx="76200" cy="222885"/>
    <xdr:sp macro="" textlink="">
      <xdr:nvSpPr>
        <xdr:cNvPr id="329" name="Text Box 1">
          <a:extLst>
            <a:ext uri="{FF2B5EF4-FFF2-40B4-BE49-F238E27FC236}">
              <a16:creationId xmlns:a16="http://schemas.microsoft.com/office/drawing/2014/main" id="{AB0930CD-530F-488F-8849-A5EAEB43ACBF}"/>
            </a:ext>
          </a:extLst>
        </xdr:cNvPr>
        <xdr:cNvSpPr txBox="1">
          <a:spLocks noChangeArrowheads="1"/>
        </xdr:cNvSpPr>
      </xdr:nvSpPr>
      <xdr:spPr bwMode="auto">
        <a:xfrm>
          <a:off x="685800" y="39121292"/>
          <a:ext cx="76200" cy="222885"/>
        </a:xfrm>
        <a:prstGeom prst="rect">
          <a:avLst/>
        </a:prstGeom>
        <a:noFill/>
        <a:ln w="9525">
          <a:noFill/>
          <a:miter lim="800000"/>
          <a:headEnd/>
          <a:tailEnd/>
        </a:ln>
      </xdr:spPr>
    </xdr:sp>
    <xdr:clientData/>
  </xdr:oneCellAnchor>
  <xdr:oneCellAnchor>
    <xdr:from>
      <xdr:col>0</xdr:col>
      <xdr:colOff>685800</xdr:colOff>
      <xdr:row>248</xdr:row>
      <xdr:rowOff>47625</xdr:rowOff>
    </xdr:from>
    <xdr:ext cx="76200" cy="222885"/>
    <xdr:sp macro="" textlink="">
      <xdr:nvSpPr>
        <xdr:cNvPr id="330" name="Text Box 1">
          <a:extLst>
            <a:ext uri="{FF2B5EF4-FFF2-40B4-BE49-F238E27FC236}">
              <a16:creationId xmlns:a16="http://schemas.microsoft.com/office/drawing/2014/main" id="{D96D0E9E-758A-414C-AF26-29C848C70069}"/>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249</xdr:row>
      <xdr:rowOff>47625</xdr:rowOff>
    </xdr:from>
    <xdr:ext cx="76200" cy="222885"/>
    <xdr:sp macro="" textlink="">
      <xdr:nvSpPr>
        <xdr:cNvPr id="331" name="Text Box 1">
          <a:extLst>
            <a:ext uri="{FF2B5EF4-FFF2-40B4-BE49-F238E27FC236}">
              <a16:creationId xmlns:a16="http://schemas.microsoft.com/office/drawing/2014/main" id="{B648B4D8-6A4A-4D92-BCAE-76F4FB7FD782}"/>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251</xdr:row>
      <xdr:rowOff>47625</xdr:rowOff>
    </xdr:from>
    <xdr:ext cx="76200" cy="222885"/>
    <xdr:sp macro="" textlink="">
      <xdr:nvSpPr>
        <xdr:cNvPr id="332" name="Text Box 1">
          <a:extLst>
            <a:ext uri="{FF2B5EF4-FFF2-40B4-BE49-F238E27FC236}">
              <a16:creationId xmlns:a16="http://schemas.microsoft.com/office/drawing/2014/main" id="{679D8B15-7A95-4677-A76E-B5304F3B73AC}"/>
            </a:ext>
          </a:extLst>
        </xdr:cNvPr>
        <xdr:cNvSpPr txBox="1">
          <a:spLocks noChangeArrowheads="1"/>
        </xdr:cNvSpPr>
      </xdr:nvSpPr>
      <xdr:spPr bwMode="auto">
        <a:xfrm>
          <a:off x="685800" y="39299092"/>
          <a:ext cx="76200" cy="222885"/>
        </a:xfrm>
        <a:prstGeom prst="rect">
          <a:avLst/>
        </a:prstGeom>
        <a:noFill/>
        <a:ln w="9525">
          <a:noFill/>
          <a:miter lim="800000"/>
          <a:headEnd/>
          <a:tailEnd/>
        </a:ln>
      </xdr:spPr>
    </xdr:sp>
    <xdr:clientData/>
  </xdr:oneCellAnchor>
  <xdr:oneCellAnchor>
    <xdr:from>
      <xdr:col>0</xdr:col>
      <xdr:colOff>685800</xdr:colOff>
      <xdr:row>252</xdr:row>
      <xdr:rowOff>47625</xdr:rowOff>
    </xdr:from>
    <xdr:ext cx="76200" cy="222885"/>
    <xdr:sp macro="" textlink="">
      <xdr:nvSpPr>
        <xdr:cNvPr id="333" name="Text Box 1">
          <a:extLst>
            <a:ext uri="{FF2B5EF4-FFF2-40B4-BE49-F238E27FC236}">
              <a16:creationId xmlns:a16="http://schemas.microsoft.com/office/drawing/2014/main" id="{C2DD785B-9978-4007-900D-E21C3D9E4226}"/>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248</xdr:row>
      <xdr:rowOff>47625</xdr:rowOff>
    </xdr:from>
    <xdr:ext cx="76200" cy="222885"/>
    <xdr:sp macro="" textlink="">
      <xdr:nvSpPr>
        <xdr:cNvPr id="334" name="Text Box 1">
          <a:extLst>
            <a:ext uri="{FF2B5EF4-FFF2-40B4-BE49-F238E27FC236}">
              <a16:creationId xmlns:a16="http://schemas.microsoft.com/office/drawing/2014/main" id="{606B089A-2781-463F-BFD7-1E7F1944E3A4}"/>
            </a:ext>
          </a:extLst>
        </xdr:cNvPr>
        <xdr:cNvSpPr txBox="1">
          <a:spLocks noChangeArrowheads="1"/>
        </xdr:cNvSpPr>
      </xdr:nvSpPr>
      <xdr:spPr bwMode="auto">
        <a:xfrm>
          <a:off x="685800" y="38765692"/>
          <a:ext cx="76200" cy="222885"/>
        </a:xfrm>
        <a:prstGeom prst="rect">
          <a:avLst/>
        </a:prstGeom>
        <a:noFill/>
        <a:ln w="9525">
          <a:noFill/>
          <a:miter lim="800000"/>
          <a:headEnd/>
          <a:tailEnd/>
        </a:ln>
      </xdr:spPr>
    </xdr:sp>
    <xdr:clientData/>
  </xdr:oneCellAnchor>
  <xdr:oneCellAnchor>
    <xdr:from>
      <xdr:col>0</xdr:col>
      <xdr:colOff>685800</xdr:colOff>
      <xdr:row>249</xdr:row>
      <xdr:rowOff>47625</xdr:rowOff>
    </xdr:from>
    <xdr:ext cx="76200" cy="222885"/>
    <xdr:sp macro="" textlink="">
      <xdr:nvSpPr>
        <xdr:cNvPr id="335" name="Text Box 1">
          <a:extLst>
            <a:ext uri="{FF2B5EF4-FFF2-40B4-BE49-F238E27FC236}">
              <a16:creationId xmlns:a16="http://schemas.microsoft.com/office/drawing/2014/main" id="{C1E13E4F-2307-4511-BFCB-461604E9BC1F}"/>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250</xdr:row>
      <xdr:rowOff>47625</xdr:rowOff>
    </xdr:from>
    <xdr:ext cx="76200" cy="222885"/>
    <xdr:sp macro="" textlink="">
      <xdr:nvSpPr>
        <xdr:cNvPr id="336" name="Text Box 1">
          <a:extLst>
            <a:ext uri="{FF2B5EF4-FFF2-40B4-BE49-F238E27FC236}">
              <a16:creationId xmlns:a16="http://schemas.microsoft.com/office/drawing/2014/main" id="{ADF6CF90-2B6D-40C0-ADCE-C0E48E9E0392}"/>
            </a:ext>
          </a:extLst>
        </xdr:cNvPr>
        <xdr:cNvSpPr txBox="1">
          <a:spLocks noChangeArrowheads="1"/>
        </xdr:cNvSpPr>
      </xdr:nvSpPr>
      <xdr:spPr bwMode="auto">
        <a:xfrm>
          <a:off x="685800" y="39121292"/>
          <a:ext cx="76200" cy="222885"/>
        </a:xfrm>
        <a:prstGeom prst="rect">
          <a:avLst/>
        </a:prstGeom>
        <a:noFill/>
        <a:ln w="9525">
          <a:noFill/>
          <a:miter lim="800000"/>
          <a:headEnd/>
          <a:tailEnd/>
        </a:ln>
      </xdr:spPr>
    </xdr:sp>
    <xdr:clientData/>
  </xdr:oneCellAnchor>
  <xdr:oneCellAnchor>
    <xdr:from>
      <xdr:col>0</xdr:col>
      <xdr:colOff>685800</xdr:colOff>
      <xdr:row>252</xdr:row>
      <xdr:rowOff>47625</xdr:rowOff>
    </xdr:from>
    <xdr:ext cx="76200" cy="222885"/>
    <xdr:sp macro="" textlink="">
      <xdr:nvSpPr>
        <xdr:cNvPr id="337" name="Text Box 1">
          <a:extLst>
            <a:ext uri="{FF2B5EF4-FFF2-40B4-BE49-F238E27FC236}">
              <a16:creationId xmlns:a16="http://schemas.microsoft.com/office/drawing/2014/main" id="{49ABFC16-C4D3-4330-878C-85EE9733FFD7}"/>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253</xdr:row>
      <xdr:rowOff>47625</xdr:rowOff>
    </xdr:from>
    <xdr:ext cx="76200" cy="222885"/>
    <xdr:sp macro="" textlink="">
      <xdr:nvSpPr>
        <xdr:cNvPr id="338" name="Text Box 1">
          <a:extLst>
            <a:ext uri="{FF2B5EF4-FFF2-40B4-BE49-F238E27FC236}">
              <a16:creationId xmlns:a16="http://schemas.microsoft.com/office/drawing/2014/main" id="{C75CD34E-37AD-4A81-90BE-0107BDC609F2}"/>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255</xdr:row>
      <xdr:rowOff>47625</xdr:rowOff>
    </xdr:from>
    <xdr:ext cx="76200" cy="222885"/>
    <xdr:sp macro="" textlink="">
      <xdr:nvSpPr>
        <xdr:cNvPr id="339" name="Text Box 1">
          <a:extLst>
            <a:ext uri="{FF2B5EF4-FFF2-40B4-BE49-F238E27FC236}">
              <a16:creationId xmlns:a16="http://schemas.microsoft.com/office/drawing/2014/main" id="{76996ECD-199F-452E-8087-CBFE3A17837B}"/>
            </a:ext>
          </a:extLst>
        </xdr:cNvPr>
        <xdr:cNvSpPr txBox="1">
          <a:spLocks noChangeArrowheads="1"/>
        </xdr:cNvSpPr>
      </xdr:nvSpPr>
      <xdr:spPr bwMode="auto">
        <a:xfrm>
          <a:off x="685800" y="39299092"/>
          <a:ext cx="76200" cy="222885"/>
        </a:xfrm>
        <a:prstGeom prst="rect">
          <a:avLst/>
        </a:prstGeom>
        <a:noFill/>
        <a:ln w="9525">
          <a:noFill/>
          <a:miter lim="800000"/>
          <a:headEnd/>
          <a:tailEnd/>
        </a:ln>
      </xdr:spPr>
    </xdr:sp>
    <xdr:clientData/>
  </xdr:oneCellAnchor>
  <xdr:oneCellAnchor>
    <xdr:from>
      <xdr:col>0</xdr:col>
      <xdr:colOff>685800</xdr:colOff>
      <xdr:row>256</xdr:row>
      <xdr:rowOff>47625</xdr:rowOff>
    </xdr:from>
    <xdr:ext cx="76200" cy="222885"/>
    <xdr:sp macro="" textlink="">
      <xdr:nvSpPr>
        <xdr:cNvPr id="340" name="Text Box 1">
          <a:extLst>
            <a:ext uri="{FF2B5EF4-FFF2-40B4-BE49-F238E27FC236}">
              <a16:creationId xmlns:a16="http://schemas.microsoft.com/office/drawing/2014/main" id="{CFF90402-AEF6-4059-8574-7FA2A1DD21EA}"/>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252</xdr:row>
      <xdr:rowOff>47625</xdr:rowOff>
    </xdr:from>
    <xdr:ext cx="76200" cy="222885"/>
    <xdr:sp macro="" textlink="">
      <xdr:nvSpPr>
        <xdr:cNvPr id="341" name="Text Box 1">
          <a:extLst>
            <a:ext uri="{FF2B5EF4-FFF2-40B4-BE49-F238E27FC236}">
              <a16:creationId xmlns:a16="http://schemas.microsoft.com/office/drawing/2014/main" id="{2F52150B-E0C4-4921-BC22-CEF15515D25F}"/>
            </a:ext>
          </a:extLst>
        </xdr:cNvPr>
        <xdr:cNvSpPr txBox="1">
          <a:spLocks noChangeArrowheads="1"/>
        </xdr:cNvSpPr>
      </xdr:nvSpPr>
      <xdr:spPr bwMode="auto">
        <a:xfrm>
          <a:off x="685800" y="38765692"/>
          <a:ext cx="76200" cy="222885"/>
        </a:xfrm>
        <a:prstGeom prst="rect">
          <a:avLst/>
        </a:prstGeom>
        <a:noFill/>
        <a:ln w="9525">
          <a:noFill/>
          <a:miter lim="800000"/>
          <a:headEnd/>
          <a:tailEnd/>
        </a:ln>
      </xdr:spPr>
    </xdr:sp>
    <xdr:clientData/>
  </xdr:oneCellAnchor>
  <xdr:oneCellAnchor>
    <xdr:from>
      <xdr:col>0</xdr:col>
      <xdr:colOff>685800</xdr:colOff>
      <xdr:row>253</xdr:row>
      <xdr:rowOff>47625</xdr:rowOff>
    </xdr:from>
    <xdr:ext cx="76200" cy="222885"/>
    <xdr:sp macro="" textlink="">
      <xdr:nvSpPr>
        <xdr:cNvPr id="342" name="Text Box 1">
          <a:extLst>
            <a:ext uri="{FF2B5EF4-FFF2-40B4-BE49-F238E27FC236}">
              <a16:creationId xmlns:a16="http://schemas.microsoft.com/office/drawing/2014/main" id="{4B1DAE0E-48EF-4678-9CD4-6DEC110CECD7}"/>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254</xdr:row>
      <xdr:rowOff>47625</xdr:rowOff>
    </xdr:from>
    <xdr:ext cx="76200" cy="222885"/>
    <xdr:sp macro="" textlink="">
      <xdr:nvSpPr>
        <xdr:cNvPr id="343" name="Text Box 1">
          <a:extLst>
            <a:ext uri="{FF2B5EF4-FFF2-40B4-BE49-F238E27FC236}">
              <a16:creationId xmlns:a16="http://schemas.microsoft.com/office/drawing/2014/main" id="{F6F390AC-6930-4082-B6B8-66C4279C183B}"/>
            </a:ext>
          </a:extLst>
        </xdr:cNvPr>
        <xdr:cNvSpPr txBox="1">
          <a:spLocks noChangeArrowheads="1"/>
        </xdr:cNvSpPr>
      </xdr:nvSpPr>
      <xdr:spPr bwMode="auto">
        <a:xfrm>
          <a:off x="685800" y="39121292"/>
          <a:ext cx="76200" cy="222885"/>
        </a:xfrm>
        <a:prstGeom prst="rect">
          <a:avLst/>
        </a:prstGeom>
        <a:noFill/>
        <a:ln w="9525">
          <a:noFill/>
          <a:miter lim="800000"/>
          <a:headEnd/>
          <a:tailEnd/>
        </a:ln>
      </xdr:spPr>
    </xdr:sp>
    <xdr:clientData/>
  </xdr:oneCellAnchor>
  <xdr:oneCellAnchor>
    <xdr:from>
      <xdr:col>0</xdr:col>
      <xdr:colOff>685800</xdr:colOff>
      <xdr:row>256</xdr:row>
      <xdr:rowOff>47625</xdr:rowOff>
    </xdr:from>
    <xdr:ext cx="76200" cy="222885"/>
    <xdr:sp macro="" textlink="">
      <xdr:nvSpPr>
        <xdr:cNvPr id="344" name="Text Box 1">
          <a:extLst>
            <a:ext uri="{FF2B5EF4-FFF2-40B4-BE49-F238E27FC236}">
              <a16:creationId xmlns:a16="http://schemas.microsoft.com/office/drawing/2014/main" id="{D6215A94-B83A-4EE1-9C94-0FCC8DAC7583}"/>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257</xdr:row>
      <xdr:rowOff>47625</xdr:rowOff>
    </xdr:from>
    <xdr:ext cx="76200" cy="222885"/>
    <xdr:sp macro="" textlink="">
      <xdr:nvSpPr>
        <xdr:cNvPr id="345" name="Text Box 1">
          <a:extLst>
            <a:ext uri="{FF2B5EF4-FFF2-40B4-BE49-F238E27FC236}">
              <a16:creationId xmlns:a16="http://schemas.microsoft.com/office/drawing/2014/main" id="{20439B94-AE23-4524-8C56-41C508F507AF}"/>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259</xdr:row>
      <xdr:rowOff>47625</xdr:rowOff>
    </xdr:from>
    <xdr:ext cx="76200" cy="222885"/>
    <xdr:sp macro="" textlink="">
      <xdr:nvSpPr>
        <xdr:cNvPr id="346" name="Text Box 1">
          <a:extLst>
            <a:ext uri="{FF2B5EF4-FFF2-40B4-BE49-F238E27FC236}">
              <a16:creationId xmlns:a16="http://schemas.microsoft.com/office/drawing/2014/main" id="{FFFDEA02-B765-4182-A1D1-9B50C23A07F1}"/>
            </a:ext>
          </a:extLst>
        </xdr:cNvPr>
        <xdr:cNvSpPr txBox="1">
          <a:spLocks noChangeArrowheads="1"/>
        </xdr:cNvSpPr>
      </xdr:nvSpPr>
      <xdr:spPr bwMode="auto">
        <a:xfrm>
          <a:off x="685800" y="39299092"/>
          <a:ext cx="76200" cy="222885"/>
        </a:xfrm>
        <a:prstGeom prst="rect">
          <a:avLst/>
        </a:prstGeom>
        <a:noFill/>
        <a:ln w="9525">
          <a:noFill/>
          <a:miter lim="800000"/>
          <a:headEnd/>
          <a:tailEnd/>
        </a:ln>
      </xdr:spPr>
    </xdr:sp>
    <xdr:clientData/>
  </xdr:oneCellAnchor>
  <xdr:oneCellAnchor>
    <xdr:from>
      <xdr:col>0</xdr:col>
      <xdr:colOff>685800</xdr:colOff>
      <xdr:row>260</xdr:row>
      <xdr:rowOff>47625</xdr:rowOff>
    </xdr:from>
    <xdr:ext cx="76200" cy="222885"/>
    <xdr:sp macro="" textlink="">
      <xdr:nvSpPr>
        <xdr:cNvPr id="347" name="Text Box 1">
          <a:extLst>
            <a:ext uri="{FF2B5EF4-FFF2-40B4-BE49-F238E27FC236}">
              <a16:creationId xmlns:a16="http://schemas.microsoft.com/office/drawing/2014/main" id="{B08C8C93-76F0-43F2-B7FA-4D0E2BE7E43D}"/>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256</xdr:row>
      <xdr:rowOff>47625</xdr:rowOff>
    </xdr:from>
    <xdr:ext cx="76200" cy="222885"/>
    <xdr:sp macro="" textlink="">
      <xdr:nvSpPr>
        <xdr:cNvPr id="348" name="Text Box 1">
          <a:extLst>
            <a:ext uri="{FF2B5EF4-FFF2-40B4-BE49-F238E27FC236}">
              <a16:creationId xmlns:a16="http://schemas.microsoft.com/office/drawing/2014/main" id="{71CFF699-E112-417C-A466-79DFE6D036AB}"/>
            </a:ext>
          </a:extLst>
        </xdr:cNvPr>
        <xdr:cNvSpPr txBox="1">
          <a:spLocks noChangeArrowheads="1"/>
        </xdr:cNvSpPr>
      </xdr:nvSpPr>
      <xdr:spPr bwMode="auto">
        <a:xfrm>
          <a:off x="685800" y="38765692"/>
          <a:ext cx="76200" cy="222885"/>
        </a:xfrm>
        <a:prstGeom prst="rect">
          <a:avLst/>
        </a:prstGeom>
        <a:noFill/>
        <a:ln w="9525">
          <a:noFill/>
          <a:miter lim="800000"/>
          <a:headEnd/>
          <a:tailEnd/>
        </a:ln>
      </xdr:spPr>
    </xdr:sp>
    <xdr:clientData/>
  </xdr:oneCellAnchor>
  <xdr:oneCellAnchor>
    <xdr:from>
      <xdr:col>0</xdr:col>
      <xdr:colOff>685800</xdr:colOff>
      <xdr:row>257</xdr:row>
      <xdr:rowOff>47625</xdr:rowOff>
    </xdr:from>
    <xdr:ext cx="76200" cy="222885"/>
    <xdr:sp macro="" textlink="">
      <xdr:nvSpPr>
        <xdr:cNvPr id="349" name="Text Box 1">
          <a:extLst>
            <a:ext uri="{FF2B5EF4-FFF2-40B4-BE49-F238E27FC236}">
              <a16:creationId xmlns:a16="http://schemas.microsoft.com/office/drawing/2014/main" id="{DA125E3F-6C16-4EF7-9C15-8D1A06A9CA4F}"/>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258</xdr:row>
      <xdr:rowOff>47625</xdr:rowOff>
    </xdr:from>
    <xdr:ext cx="76200" cy="222885"/>
    <xdr:sp macro="" textlink="">
      <xdr:nvSpPr>
        <xdr:cNvPr id="350" name="Text Box 1">
          <a:extLst>
            <a:ext uri="{FF2B5EF4-FFF2-40B4-BE49-F238E27FC236}">
              <a16:creationId xmlns:a16="http://schemas.microsoft.com/office/drawing/2014/main" id="{4055F47E-8556-4F49-8083-4B587913D670}"/>
            </a:ext>
          </a:extLst>
        </xdr:cNvPr>
        <xdr:cNvSpPr txBox="1">
          <a:spLocks noChangeArrowheads="1"/>
        </xdr:cNvSpPr>
      </xdr:nvSpPr>
      <xdr:spPr bwMode="auto">
        <a:xfrm>
          <a:off x="685800" y="39121292"/>
          <a:ext cx="76200" cy="222885"/>
        </a:xfrm>
        <a:prstGeom prst="rect">
          <a:avLst/>
        </a:prstGeom>
        <a:noFill/>
        <a:ln w="9525">
          <a:noFill/>
          <a:miter lim="800000"/>
          <a:headEnd/>
          <a:tailEnd/>
        </a:ln>
      </xdr:spPr>
    </xdr:sp>
    <xdr:clientData/>
  </xdr:oneCellAnchor>
  <xdr:oneCellAnchor>
    <xdr:from>
      <xdr:col>0</xdr:col>
      <xdr:colOff>685800</xdr:colOff>
      <xdr:row>260</xdr:row>
      <xdr:rowOff>47625</xdr:rowOff>
    </xdr:from>
    <xdr:ext cx="76200" cy="222885"/>
    <xdr:sp macro="" textlink="">
      <xdr:nvSpPr>
        <xdr:cNvPr id="351" name="Text Box 1">
          <a:extLst>
            <a:ext uri="{FF2B5EF4-FFF2-40B4-BE49-F238E27FC236}">
              <a16:creationId xmlns:a16="http://schemas.microsoft.com/office/drawing/2014/main" id="{5761AC72-56A7-4EA9-BDD2-2C565F17BF7F}"/>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261</xdr:row>
      <xdr:rowOff>47625</xdr:rowOff>
    </xdr:from>
    <xdr:ext cx="76200" cy="222885"/>
    <xdr:sp macro="" textlink="">
      <xdr:nvSpPr>
        <xdr:cNvPr id="352" name="Text Box 1">
          <a:extLst>
            <a:ext uri="{FF2B5EF4-FFF2-40B4-BE49-F238E27FC236}">
              <a16:creationId xmlns:a16="http://schemas.microsoft.com/office/drawing/2014/main" id="{6B58905D-3833-4F03-AE05-74BB9CC54D2C}"/>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263</xdr:row>
      <xdr:rowOff>47625</xdr:rowOff>
    </xdr:from>
    <xdr:ext cx="76200" cy="222885"/>
    <xdr:sp macro="" textlink="">
      <xdr:nvSpPr>
        <xdr:cNvPr id="353" name="Text Box 1">
          <a:extLst>
            <a:ext uri="{FF2B5EF4-FFF2-40B4-BE49-F238E27FC236}">
              <a16:creationId xmlns:a16="http://schemas.microsoft.com/office/drawing/2014/main" id="{2D6B450F-6382-4024-99F8-6ED825BBBC0D}"/>
            </a:ext>
          </a:extLst>
        </xdr:cNvPr>
        <xdr:cNvSpPr txBox="1">
          <a:spLocks noChangeArrowheads="1"/>
        </xdr:cNvSpPr>
      </xdr:nvSpPr>
      <xdr:spPr bwMode="auto">
        <a:xfrm>
          <a:off x="685800" y="39299092"/>
          <a:ext cx="76200" cy="222885"/>
        </a:xfrm>
        <a:prstGeom prst="rect">
          <a:avLst/>
        </a:prstGeom>
        <a:noFill/>
        <a:ln w="9525">
          <a:noFill/>
          <a:miter lim="800000"/>
          <a:headEnd/>
          <a:tailEnd/>
        </a:ln>
      </xdr:spPr>
    </xdr:sp>
    <xdr:clientData/>
  </xdr:oneCellAnchor>
  <xdr:oneCellAnchor>
    <xdr:from>
      <xdr:col>0</xdr:col>
      <xdr:colOff>685800</xdr:colOff>
      <xdr:row>264</xdr:row>
      <xdr:rowOff>47625</xdr:rowOff>
    </xdr:from>
    <xdr:ext cx="76200" cy="222885"/>
    <xdr:sp macro="" textlink="">
      <xdr:nvSpPr>
        <xdr:cNvPr id="354" name="Text Box 1">
          <a:extLst>
            <a:ext uri="{FF2B5EF4-FFF2-40B4-BE49-F238E27FC236}">
              <a16:creationId xmlns:a16="http://schemas.microsoft.com/office/drawing/2014/main" id="{6B69D04B-C333-482A-9BFD-45B4102FC499}"/>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260</xdr:row>
      <xdr:rowOff>47625</xdr:rowOff>
    </xdr:from>
    <xdr:ext cx="76200" cy="222885"/>
    <xdr:sp macro="" textlink="">
      <xdr:nvSpPr>
        <xdr:cNvPr id="355" name="Text Box 1">
          <a:extLst>
            <a:ext uri="{FF2B5EF4-FFF2-40B4-BE49-F238E27FC236}">
              <a16:creationId xmlns:a16="http://schemas.microsoft.com/office/drawing/2014/main" id="{232C26E6-7C0D-4C68-94ED-79DA736C0217}"/>
            </a:ext>
          </a:extLst>
        </xdr:cNvPr>
        <xdr:cNvSpPr txBox="1">
          <a:spLocks noChangeArrowheads="1"/>
        </xdr:cNvSpPr>
      </xdr:nvSpPr>
      <xdr:spPr bwMode="auto">
        <a:xfrm>
          <a:off x="685800" y="38765692"/>
          <a:ext cx="76200" cy="222885"/>
        </a:xfrm>
        <a:prstGeom prst="rect">
          <a:avLst/>
        </a:prstGeom>
        <a:noFill/>
        <a:ln w="9525">
          <a:noFill/>
          <a:miter lim="800000"/>
          <a:headEnd/>
          <a:tailEnd/>
        </a:ln>
      </xdr:spPr>
    </xdr:sp>
    <xdr:clientData/>
  </xdr:oneCellAnchor>
  <xdr:oneCellAnchor>
    <xdr:from>
      <xdr:col>0</xdr:col>
      <xdr:colOff>685800</xdr:colOff>
      <xdr:row>261</xdr:row>
      <xdr:rowOff>47625</xdr:rowOff>
    </xdr:from>
    <xdr:ext cx="76200" cy="222885"/>
    <xdr:sp macro="" textlink="">
      <xdr:nvSpPr>
        <xdr:cNvPr id="356" name="Text Box 1">
          <a:extLst>
            <a:ext uri="{FF2B5EF4-FFF2-40B4-BE49-F238E27FC236}">
              <a16:creationId xmlns:a16="http://schemas.microsoft.com/office/drawing/2014/main" id="{E18A9976-774B-4750-82BF-0AF22E85FFF5}"/>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262</xdr:row>
      <xdr:rowOff>47625</xdr:rowOff>
    </xdr:from>
    <xdr:ext cx="76200" cy="222885"/>
    <xdr:sp macro="" textlink="">
      <xdr:nvSpPr>
        <xdr:cNvPr id="357" name="Text Box 1">
          <a:extLst>
            <a:ext uri="{FF2B5EF4-FFF2-40B4-BE49-F238E27FC236}">
              <a16:creationId xmlns:a16="http://schemas.microsoft.com/office/drawing/2014/main" id="{3674CBE7-BDA6-4241-8889-AC2F8B4916E5}"/>
            </a:ext>
          </a:extLst>
        </xdr:cNvPr>
        <xdr:cNvSpPr txBox="1">
          <a:spLocks noChangeArrowheads="1"/>
        </xdr:cNvSpPr>
      </xdr:nvSpPr>
      <xdr:spPr bwMode="auto">
        <a:xfrm>
          <a:off x="685800" y="39121292"/>
          <a:ext cx="76200" cy="222885"/>
        </a:xfrm>
        <a:prstGeom prst="rect">
          <a:avLst/>
        </a:prstGeom>
        <a:noFill/>
        <a:ln w="9525">
          <a:noFill/>
          <a:miter lim="800000"/>
          <a:headEnd/>
          <a:tailEnd/>
        </a:ln>
      </xdr:spPr>
    </xdr:sp>
    <xdr:clientData/>
  </xdr:oneCellAnchor>
  <xdr:oneCellAnchor>
    <xdr:from>
      <xdr:col>0</xdr:col>
      <xdr:colOff>685800</xdr:colOff>
      <xdr:row>264</xdr:row>
      <xdr:rowOff>47625</xdr:rowOff>
    </xdr:from>
    <xdr:ext cx="76200" cy="222885"/>
    <xdr:sp macro="" textlink="">
      <xdr:nvSpPr>
        <xdr:cNvPr id="358" name="Text Box 1">
          <a:extLst>
            <a:ext uri="{FF2B5EF4-FFF2-40B4-BE49-F238E27FC236}">
              <a16:creationId xmlns:a16="http://schemas.microsoft.com/office/drawing/2014/main" id="{AC270682-D6FA-488B-8781-B4CBA7E047F0}"/>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265</xdr:row>
      <xdr:rowOff>47625</xdr:rowOff>
    </xdr:from>
    <xdr:ext cx="76200" cy="222885"/>
    <xdr:sp macro="" textlink="">
      <xdr:nvSpPr>
        <xdr:cNvPr id="359" name="Text Box 1">
          <a:extLst>
            <a:ext uri="{FF2B5EF4-FFF2-40B4-BE49-F238E27FC236}">
              <a16:creationId xmlns:a16="http://schemas.microsoft.com/office/drawing/2014/main" id="{93CB5C69-197A-41D3-936C-799B39604278}"/>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267</xdr:row>
      <xdr:rowOff>47625</xdr:rowOff>
    </xdr:from>
    <xdr:ext cx="76200" cy="222885"/>
    <xdr:sp macro="" textlink="">
      <xdr:nvSpPr>
        <xdr:cNvPr id="360" name="Text Box 1">
          <a:extLst>
            <a:ext uri="{FF2B5EF4-FFF2-40B4-BE49-F238E27FC236}">
              <a16:creationId xmlns:a16="http://schemas.microsoft.com/office/drawing/2014/main" id="{6613670E-EC37-46D4-A154-8374569DF5D8}"/>
            </a:ext>
          </a:extLst>
        </xdr:cNvPr>
        <xdr:cNvSpPr txBox="1">
          <a:spLocks noChangeArrowheads="1"/>
        </xdr:cNvSpPr>
      </xdr:nvSpPr>
      <xdr:spPr bwMode="auto">
        <a:xfrm>
          <a:off x="685800" y="39299092"/>
          <a:ext cx="76200" cy="222885"/>
        </a:xfrm>
        <a:prstGeom prst="rect">
          <a:avLst/>
        </a:prstGeom>
        <a:noFill/>
        <a:ln w="9525">
          <a:noFill/>
          <a:miter lim="800000"/>
          <a:headEnd/>
          <a:tailEnd/>
        </a:ln>
      </xdr:spPr>
    </xdr:sp>
    <xdr:clientData/>
  </xdr:oneCellAnchor>
  <xdr:oneCellAnchor>
    <xdr:from>
      <xdr:col>0</xdr:col>
      <xdr:colOff>685800</xdr:colOff>
      <xdr:row>268</xdr:row>
      <xdr:rowOff>47625</xdr:rowOff>
    </xdr:from>
    <xdr:ext cx="76200" cy="222885"/>
    <xdr:sp macro="" textlink="">
      <xdr:nvSpPr>
        <xdr:cNvPr id="361" name="Text Box 1">
          <a:extLst>
            <a:ext uri="{FF2B5EF4-FFF2-40B4-BE49-F238E27FC236}">
              <a16:creationId xmlns:a16="http://schemas.microsoft.com/office/drawing/2014/main" id="{737586E7-5834-4B74-A846-6F1A741E95A2}"/>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264</xdr:row>
      <xdr:rowOff>47625</xdr:rowOff>
    </xdr:from>
    <xdr:ext cx="76200" cy="222885"/>
    <xdr:sp macro="" textlink="">
      <xdr:nvSpPr>
        <xdr:cNvPr id="362" name="Text Box 1">
          <a:extLst>
            <a:ext uri="{FF2B5EF4-FFF2-40B4-BE49-F238E27FC236}">
              <a16:creationId xmlns:a16="http://schemas.microsoft.com/office/drawing/2014/main" id="{171866FA-10D8-45F5-85AC-A3BE715F5483}"/>
            </a:ext>
          </a:extLst>
        </xdr:cNvPr>
        <xdr:cNvSpPr txBox="1">
          <a:spLocks noChangeArrowheads="1"/>
        </xdr:cNvSpPr>
      </xdr:nvSpPr>
      <xdr:spPr bwMode="auto">
        <a:xfrm>
          <a:off x="685800" y="38765692"/>
          <a:ext cx="76200" cy="222885"/>
        </a:xfrm>
        <a:prstGeom prst="rect">
          <a:avLst/>
        </a:prstGeom>
        <a:noFill/>
        <a:ln w="9525">
          <a:noFill/>
          <a:miter lim="800000"/>
          <a:headEnd/>
          <a:tailEnd/>
        </a:ln>
      </xdr:spPr>
    </xdr:sp>
    <xdr:clientData/>
  </xdr:oneCellAnchor>
  <xdr:oneCellAnchor>
    <xdr:from>
      <xdr:col>0</xdr:col>
      <xdr:colOff>685800</xdr:colOff>
      <xdr:row>265</xdr:row>
      <xdr:rowOff>47625</xdr:rowOff>
    </xdr:from>
    <xdr:ext cx="76200" cy="222885"/>
    <xdr:sp macro="" textlink="">
      <xdr:nvSpPr>
        <xdr:cNvPr id="363" name="Text Box 1">
          <a:extLst>
            <a:ext uri="{FF2B5EF4-FFF2-40B4-BE49-F238E27FC236}">
              <a16:creationId xmlns:a16="http://schemas.microsoft.com/office/drawing/2014/main" id="{3C728775-497B-4E25-8903-8B842712356F}"/>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266</xdr:row>
      <xdr:rowOff>47625</xdr:rowOff>
    </xdr:from>
    <xdr:ext cx="76200" cy="222885"/>
    <xdr:sp macro="" textlink="">
      <xdr:nvSpPr>
        <xdr:cNvPr id="364" name="Text Box 1">
          <a:extLst>
            <a:ext uri="{FF2B5EF4-FFF2-40B4-BE49-F238E27FC236}">
              <a16:creationId xmlns:a16="http://schemas.microsoft.com/office/drawing/2014/main" id="{5D9852F1-D859-48EF-9558-0735F819D051}"/>
            </a:ext>
          </a:extLst>
        </xdr:cNvPr>
        <xdr:cNvSpPr txBox="1">
          <a:spLocks noChangeArrowheads="1"/>
        </xdr:cNvSpPr>
      </xdr:nvSpPr>
      <xdr:spPr bwMode="auto">
        <a:xfrm>
          <a:off x="685800" y="39121292"/>
          <a:ext cx="76200" cy="222885"/>
        </a:xfrm>
        <a:prstGeom prst="rect">
          <a:avLst/>
        </a:prstGeom>
        <a:noFill/>
        <a:ln w="9525">
          <a:noFill/>
          <a:miter lim="800000"/>
          <a:headEnd/>
          <a:tailEnd/>
        </a:ln>
      </xdr:spPr>
    </xdr:sp>
    <xdr:clientData/>
  </xdr:oneCellAnchor>
  <xdr:oneCellAnchor>
    <xdr:from>
      <xdr:col>0</xdr:col>
      <xdr:colOff>685800</xdr:colOff>
      <xdr:row>268</xdr:row>
      <xdr:rowOff>47625</xdr:rowOff>
    </xdr:from>
    <xdr:ext cx="76200" cy="222885"/>
    <xdr:sp macro="" textlink="">
      <xdr:nvSpPr>
        <xdr:cNvPr id="365" name="Text Box 1">
          <a:extLst>
            <a:ext uri="{FF2B5EF4-FFF2-40B4-BE49-F238E27FC236}">
              <a16:creationId xmlns:a16="http://schemas.microsoft.com/office/drawing/2014/main" id="{32FCC2BE-82C8-4D6F-AC27-257E6875F351}"/>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269</xdr:row>
      <xdr:rowOff>47625</xdr:rowOff>
    </xdr:from>
    <xdr:ext cx="76200" cy="222885"/>
    <xdr:sp macro="" textlink="">
      <xdr:nvSpPr>
        <xdr:cNvPr id="366" name="Text Box 1">
          <a:extLst>
            <a:ext uri="{FF2B5EF4-FFF2-40B4-BE49-F238E27FC236}">
              <a16:creationId xmlns:a16="http://schemas.microsoft.com/office/drawing/2014/main" id="{643C025C-3111-48B1-8D10-8022989CDDB2}"/>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271</xdr:row>
      <xdr:rowOff>47625</xdr:rowOff>
    </xdr:from>
    <xdr:ext cx="76200" cy="222885"/>
    <xdr:sp macro="" textlink="">
      <xdr:nvSpPr>
        <xdr:cNvPr id="367" name="Text Box 1">
          <a:extLst>
            <a:ext uri="{FF2B5EF4-FFF2-40B4-BE49-F238E27FC236}">
              <a16:creationId xmlns:a16="http://schemas.microsoft.com/office/drawing/2014/main" id="{33BC2E62-1F89-44F4-A7DB-5DC1E250BD39}"/>
            </a:ext>
          </a:extLst>
        </xdr:cNvPr>
        <xdr:cNvSpPr txBox="1">
          <a:spLocks noChangeArrowheads="1"/>
        </xdr:cNvSpPr>
      </xdr:nvSpPr>
      <xdr:spPr bwMode="auto">
        <a:xfrm>
          <a:off x="685800" y="39299092"/>
          <a:ext cx="76200" cy="222885"/>
        </a:xfrm>
        <a:prstGeom prst="rect">
          <a:avLst/>
        </a:prstGeom>
        <a:noFill/>
        <a:ln w="9525">
          <a:noFill/>
          <a:miter lim="800000"/>
          <a:headEnd/>
          <a:tailEnd/>
        </a:ln>
      </xdr:spPr>
    </xdr:sp>
    <xdr:clientData/>
  </xdr:oneCellAnchor>
  <xdr:oneCellAnchor>
    <xdr:from>
      <xdr:col>0</xdr:col>
      <xdr:colOff>685800</xdr:colOff>
      <xdr:row>272</xdr:row>
      <xdr:rowOff>47625</xdr:rowOff>
    </xdr:from>
    <xdr:ext cx="76200" cy="222885"/>
    <xdr:sp macro="" textlink="">
      <xdr:nvSpPr>
        <xdr:cNvPr id="368" name="Text Box 1">
          <a:extLst>
            <a:ext uri="{FF2B5EF4-FFF2-40B4-BE49-F238E27FC236}">
              <a16:creationId xmlns:a16="http://schemas.microsoft.com/office/drawing/2014/main" id="{B47092BB-141B-4825-A827-79058A25F4CC}"/>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268</xdr:row>
      <xdr:rowOff>47625</xdr:rowOff>
    </xdr:from>
    <xdr:ext cx="76200" cy="222885"/>
    <xdr:sp macro="" textlink="">
      <xdr:nvSpPr>
        <xdr:cNvPr id="369" name="Text Box 1">
          <a:extLst>
            <a:ext uri="{FF2B5EF4-FFF2-40B4-BE49-F238E27FC236}">
              <a16:creationId xmlns:a16="http://schemas.microsoft.com/office/drawing/2014/main" id="{8F215A3F-DD45-46D7-8DD4-B86082A3D7A0}"/>
            </a:ext>
          </a:extLst>
        </xdr:cNvPr>
        <xdr:cNvSpPr txBox="1">
          <a:spLocks noChangeArrowheads="1"/>
        </xdr:cNvSpPr>
      </xdr:nvSpPr>
      <xdr:spPr bwMode="auto">
        <a:xfrm>
          <a:off x="685800" y="38765692"/>
          <a:ext cx="76200" cy="222885"/>
        </a:xfrm>
        <a:prstGeom prst="rect">
          <a:avLst/>
        </a:prstGeom>
        <a:noFill/>
        <a:ln w="9525">
          <a:noFill/>
          <a:miter lim="800000"/>
          <a:headEnd/>
          <a:tailEnd/>
        </a:ln>
      </xdr:spPr>
    </xdr:sp>
    <xdr:clientData/>
  </xdr:oneCellAnchor>
  <xdr:oneCellAnchor>
    <xdr:from>
      <xdr:col>0</xdr:col>
      <xdr:colOff>685800</xdr:colOff>
      <xdr:row>269</xdr:row>
      <xdr:rowOff>47625</xdr:rowOff>
    </xdr:from>
    <xdr:ext cx="76200" cy="222885"/>
    <xdr:sp macro="" textlink="">
      <xdr:nvSpPr>
        <xdr:cNvPr id="370" name="Text Box 1">
          <a:extLst>
            <a:ext uri="{FF2B5EF4-FFF2-40B4-BE49-F238E27FC236}">
              <a16:creationId xmlns:a16="http://schemas.microsoft.com/office/drawing/2014/main" id="{929AE5FB-2B56-400C-B63D-6E4CC675BED9}"/>
            </a:ext>
          </a:extLst>
        </xdr:cNvPr>
        <xdr:cNvSpPr txBox="1">
          <a:spLocks noChangeArrowheads="1"/>
        </xdr:cNvSpPr>
      </xdr:nvSpPr>
      <xdr:spPr bwMode="auto">
        <a:xfrm>
          <a:off x="685800" y="38943492"/>
          <a:ext cx="76200" cy="222885"/>
        </a:xfrm>
        <a:prstGeom prst="rect">
          <a:avLst/>
        </a:prstGeom>
        <a:noFill/>
        <a:ln w="9525">
          <a:noFill/>
          <a:miter lim="800000"/>
          <a:headEnd/>
          <a:tailEnd/>
        </a:ln>
      </xdr:spPr>
    </xdr:sp>
    <xdr:clientData/>
  </xdr:oneCellAnchor>
  <xdr:oneCellAnchor>
    <xdr:from>
      <xdr:col>0</xdr:col>
      <xdr:colOff>685800</xdr:colOff>
      <xdr:row>270</xdr:row>
      <xdr:rowOff>47625</xdr:rowOff>
    </xdr:from>
    <xdr:ext cx="76200" cy="222885"/>
    <xdr:sp macro="" textlink="">
      <xdr:nvSpPr>
        <xdr:cNvPr id="371" name="Text Box 1">
          <a:extLst>
            <a:ext uri="{FF2B5EF4-FFF2-40B4-BE49-F238E27FC236}">
              <a16:creationId xmlns:a16="http://schemas.microsoft.com/office/drawing/2014/main" id="{7FA54AFB-897A-4BE5-9B2A-E6922D5C336E}"/>
            </a:ext>
          </a:extLst>
        </xdr:cNvPr>
        <xdr:cNvSpPr txBox="1">
          <a:spLocks noChangeArrowheads="1"/>
        </xdr:cNvSpPr>
      </xdr:nvSpPr>
      <xdr:spPr bwMode="auto">
        <a:xfrm>
          <a:off x="685800" y="39121292"/>
          <a:ext cx="76200" cy="222885"/>
        </a:xfrm>
        <a:prstGeom prst="rect">
          <a:avLst/>
        </a:prstGeom>
        <a:noFill/>
        <a:ln w="9525">
          <a:noFill/>
          <a:miter lim="800000"/>
          <a:headEnd/>
          <a:tailEnd/>
        </a:ln>
      </xdr:spPr>
    </xdr:sp>
    <xdr:clientData/>
  </xdr:oneCellAnchor>
  <xdr:oneCellAnchor>
    <xdr:from>
      <xdr:col>0</xdr:col>
      <xdr:colOff>685800</xdr:colOff>
      <xdr:row>272</xdr:row>
      <xdr:rowOff>47625</xdr:rowOff>
    </xdr:from>
    <xdr:ext cx="76200" cy="222885"/>
    <xdr:sp macro="" textlink="">
      <xdr:nvSpPr>
        <xdr:cNvPr id="372" name="Text Box 1">
          <a:extLst>
            <a:ext uri="{FF2B5EF4-FFF2-40B4-BE49-F238E27FC236}">
              <a16:creationId xmlns:a16="http://schemas.microsoft.com/office/drawing/2014/main" id="{69BA39E3-D1FE-4951-899D-F578651AB19A}"/>
            </a:ext>
          </a:extLst>
        </xdr:cNvPr>
        <xdr:cNvSpPr txBox="1">
          <a:spLocks noChangeArrowheads="1"/>
        </xdr:cNvSpPr>
      </xdr:nvSpPr>
      <xdr:spPr bwMode="auto">
        <a:xfrm>
          <a:off x="685800" y="39476892"/>
          <a:ext cx="76200" cy="222885"/>
        </a:xfrm>
        <a:prstGeom prst="rect">
          <a:avLst/>
        </a:prstGeom>
        <a:noFill/>
        <a:ln w="9525">
          <a:noFill/>
          <a:miter lim="800000"/>
          <a:headEnd/>
          <a:tailEnd/>
        </a:ln>
      </xdr:spPr>
    </xdr:sp>
    <xdr:clientData/>
  </xdr:oneCellAnchor>
  <xdr:oneCellAnchor>
    <xdr:from>
      <xdr:col>0</xdr:col>
      <xdr:colOff>685800</xdr:colOff>
      <xdr:row>274</xdr:row>
      <xdr:rowOff>47625</xdr:rowOff>
    </xdr:from>
    <xdr:ext cx="76200" cy="222885"/>
    <xdr:sp macro="" textlink="">
      <xdr:nvSpPr>
        <xdr:cNvPr id="373" name="Text Box 1">
          <a:extLst>
            <a:ext uri="{FF2B5EF4-FFF2-40B4-BE49-F238E27FC236}">
              <a16:creationId xmlns:a16="http://schemas.microsoft.com/office/drawing/2014/main" id="{E5FBDEB0-7FD5-4D68-8776-AFA82B516244}"/>
            </a:ext>
          </a:extLst>
        </xdr:cNvPr>
        <xdr:cNvSpPr txBox="1">
          <a:spLocks noChangeArrowheads="1"/>
        </xdr:cNvSpPr>
      </xdr:nvSpPr>
      <xdr:spPr bwMode="auto">
        <a:xfrm>
          <a:off x="685800" y="46411092"/>
          <a:ext cx="76200" cy="222885"/>
        </a:xfrm>
        <a:prstGeom prst="rect">
          <a:avLst/>
        </a:prstGeom>
        <a:noFill/>
        <a:ln w="9525">
          <a:noFill/>
          <a:miter lim="800000"/>
          <a:headEnd/>
          <a:tailEnd/>
        </a:ln>
      </xdr:spPr>
    </xdr:sp>
    <xdr:clientData/>
  </xdr:oneCellAnchor>
  <xdr:oneCellAnchor>
    <xdr:from>
      <xdr:col>0</xdr:col>
      <xdr:colOff>685800</xdr:colOff>
      <xdr:row>275</xdr:row>
      <xdr:rowOff>47625</xdr:rowOff>
    </xdr:from>
    <xdr:ext cx="76200" cy="222885"/>
    <xdr:sp macro="" textlink="">
      <xdr:nvSpPr>
        <xdr:cNvPr id="374"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275</xdr:row>
      <xdr:rowOff>47625</xdr:rowOff>
    </xdr:from>
    <xdr:ext cx="76200" cy="222885"/>
    <xdr:sp macro="" textlink="">
      <xdr:nvSpPr>
        <xdr:cNvPr id="375"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277</xdr:row>
      <xdr:rowOff>47625</xdr:rowOff>
    </xdr:from>
    <xdr:ext cx="76200" cy="222885"/>
    <xdr:sp macro="" textlink="">
      <xdr:nvSpPr>
        <xdr:cNvPr id="376" name="Text Box 1">
          <a:extLst>
            <a:ext uri="{FF2B5EF4-FFF2-40B4-BE49-F238E27FC236}">
              <a16:creationId xmlns:a16="http://schemas.microsoft.com/office/drawing/2014/main" id="{CD12BC7B-C578-48EB-B2E6-D339694F5C78}"/>
            </a:ext>
          </a:extLst>
        </xdr:cNvPr>
        <xdr:cNvSpPr txBox="1">
          <a:spLocks noChangeArrowheads="1"/>
        </xdr:cNvSpPr>
      </xdr:nvSpPr>
      <xdr:spPr bwMode="auto">
        <a:xfrm>
          <a:off x="685800" y="46411092"/>
          <a:ext cx="76200" cy="222885"/>
        </a:xfrm>
        <a:prstGeom prst="rect">
          <a:avLst/>
        </a:prstGeom>
        <a:noFill/>
        <a:ln w="9525">
          <a:noFill/>
          <a:miter lim="800000"/>
          <a:headEnd/>
          <a:tailEnd/>
        </a:ln>
      </xdr:spPr>
    </xdr:sp>
    <xdr:clientData/>
  </xdr:oneCellAnchor>
  <xdr:oneCellAnchor>
    <xdr:from>
      <xdr:col>0</xdr:col>
      <xdr:colOff>685800</xdr:colOff>
      <xdr:row>278</xdr:row>
      <xdr:rowOff>47625</xdr:rowOff>
    </xdr:from>
    <xdr:ext cx="76200" cy="222885"/>
    <xdr:sp macro="" textlink="">
      <xdr:nvSpPr>
        <xdr:cNvPr id="377" name="Text Box 1">
          <a:extLst>
            <a:ext uri="{FF2B5EF4-FFF2-40B4-BE49-F238E27FC236}">
              <a16:creationId xmlns:a16="http://schemas.microsoft.com/office/drawing/2014/main" id="{B7610693-D821-43D2-9C6E-50EDDD52A3A8}"/>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278</xdr:row>
      <xdr:rowOff>47625</xdr:rowOff>
    </xdr:from>
    <xdr:ext cx="76200" cy="222885"/>
    <xdr:sp macro="" textlink="">
      <xdr:nvSpPr>
        <xdr:cNvPr id="378" name="Text Box 1">
          <a:extLst>
            <a:ext uri="{FF2B5EF4-FFF2-40B4-BE49-F238E27FC236}">
              <a16:creationId xmlns:a16="http://schemas.microsoft.com/office/drawing/2014/main" id="{080CF40D-FBEA-4AD3-9C80-DF8287F45D35}"/>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280</xdr:row>
      <xdr:rowOff>47625</xdr:rowOff>
    </xdr:from>
    <xdr:ext cx="76200" cy="222885"/>
    <xdr:sp macro="" textlink="">
      <xdr:nvSpPr>
        <xdr:cNvPr id="379" name="Text Box 1">
          <a:extLst>
            <a:ext uri="{FF2B5EF4-FFF2-40B4-BE49-F238E27FC236}">
              <a16:creationId xmlns:a16="http://schemas.microsoft.com/office/drawing/2014/main" id="{20E6CD74-0507-4369-8D70-DD50AF3243D6}"/>
            </a:ext>
          </a:extLst>
        </xdr:cNvPr>
        <xdr:cNvSpPr txBox="1">
          <a:spLocks noChangeArrowheads="1"/>
        </xdr:cNvSpPr>
      </xdr:nvSpPr>
      <xdr:spPr bwMode="auto">
        <a:xfrm>
          <a:off x="685800" y="46944492"/>
          <a:ext cx="76200" cy="222885"/>
        </a:xfrm>
        <a:prstGeom prst="rect">
          <a:avLst/>
        </a:prstGeom>
        <a:noFill/>
        <a:ln w="9525">
          <a:noFill/>
          <a:miter lim="800000"/>
          <a:headEnd/>
          <a:tailEnd/>
        </a:ln>
      </xdr:spPr>
    </xdr:sp>
    <xdr:clientData/>
  </xdr:oneCellAnchor>
  <xdr:oneCellAnchor>
    <xdr:from>
      <xdr:col>0</xdr:col>
      <xdr:colOff>685800</xdr:colOff>
      <xdr:row>280</xdr:row>
      <xdr:rowOff>47625</xdr:rowOff>
    </xdr:from>
    <xdr:ext cx="76200" cy="222885"/>
    <xdr:sp macro="" textlink="">
      <xdr:nvSpPr>
        <xdr:cNvPr id="380" name="Text Box 1">
          <a:extLst>
            <a:ext uri="{FF2B5EF4-FFF2-40B4-BE49-F238E27FC236}">
              <a16:creationId xmlns:a16="http://schemas.microsoft.com/office/drawing/2014/main" id="{7241C14B-BD71-4D3F-B759-02484389310B}"/>
            </a:ext>
          </a:extLst>
        </xdr:cNvPr>
        <xdr:cNvSpPr txBox="1">
          <a:spLocks noChangeArrowheads="1"/>
        </xdr:cNvSpPr>
      </xdr:nvSpPr>
      <xdr:spPr bwMode="auto">
        <a:xfrm>
          <a:off x="685800" y="46411092"/>
          <a:ext cx="76200" cy="222885"/>
        </a:xfrm>
        <a:prstGeom prst="rect">
          <a:avLst/>
        </a:prstGeom>
        <a:noFill/>
        <a:ln w="9525">
          <a:noFill/>
          <a:miter lim="800000"/>
          <a:headEnd/>
          <a:tailEnd/>
        </a:ln>
      </xdr:spPr>
    </xdr:sp>
    <xdr:clientData/>
  </xdr:oneCellAnchor>
  <xdr:oneCellAnchor>
    <xdr:from>
      <xdr:col>0</xdr:col>
      <xdr:colOff>685800</xdr:colOff>
      <xdr:row>281</xdr:row>
      <xdr:rowOff>47625</xdr:rowOff>
    </xdr:from>
    <xdr:ext cx="76200" cy="222885"/>
    <xdr:sp macro="" textlink="">
      <xdr:nvSpPr>
        <xdr:cNvPr id="381" name="Text Box 1">
          <a:extLst>
            <a:ext uri="{FF2B5EF4-FFF2-40B4-BE49-F238E27FC236}">
              <a16:creationId xmlns:a16="http://schemas.microsoft.com/office/drawing/2014/main" id="{0F7FB012-57F3-4E19-BF7F-5180607801BD}"/>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281</xdr:row>
      <xdr:rowOff>47625</xdr:rowOff>
    </xdr:from>
    <xdr:ext cx="76200" cy="222885"/>
    <xdr:sp macro="" textlink="">
      <xdr:nvSpPr>
        <xdr:cNvPr id="382" name="Text Box 1">
          <a:extLst>
            <a:ext uri="{FF2B5EF4-FFF2-40B4-BE49-F238E27FC236}">
              <a16:creationId xmlns:a16="http://schemas.microsoft.com/office/drawing/2014/main" id="{57992F30-3830-4A4F-A4CA-EA5EB0D9A9C7}"/>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283</xdr:row>
      <xdr:rowOff>47625</xdr:rowOff>
    </xdr:from>
    <xdr:ext cx="76200" cy="222885"/>
    <xdr:sp macro="" textlink="">
      <xdr:nvSpPr>
        <xdr:cNvPr id="383" name="Text Box 1">
          <a:extLst>
            <a:ext uri="{FF2B5EF4-FFF2-40B4-BE49-F238E27FC236}">
              <a16:creationId xmlns:a16="http://schemas.microsoft.com/office/drawing/2014/main" id="{FC51AC74-7896-429F-A0D6-3FBF74225B29}"/>
            </a:ext>
          </a:extLst>
        </xdr:cNvPr>
        <xdr:cNvSpPr txBox="1">
          <a:spLocks noChangeArrowheads="1"/>
        </xdr:cNvSpPr>
      </xdr:nvSpPr>
      <xdr:spPr bwMode="auto">
        <a:xfrm>
          <a:off x="685800" y="46944492"/>
          <a:ext cx="76200" cy="222885"/>
        </a:xfrm>
        <a:prstGeom prst="rect">
          <a:avLst/>
        </a:prstGeom>
        <a:noFill/>
        <a:ln w="9525">
          <a:noFill/>
          <a:miter lim="800000"/>
          <a:headEnd/>
          <a:tailEnd/>
        </a:ln>
      </xdr:spPr>
    </xdr:sp>
    <xdr:clientData/>
  </xdr:oneCellAnchor>
  <xdr:oneCellAnchor>
    <xdr:from>
      <xdr:col>0</xdr:col>
      <xdr:colOff>685800</xdr:colOff>
      <xdr:row>283</xdr:row>
      <xdr:rowOff>47625</xdr:rowOff>
    </xdr:from>
    <xdr:ext cx="76200" cy="222885"/>
    <xdr:sp macro="" textlink="">
      <xdr:nvSpPr>
        <xdr:cNvPr id="384" name="Text Box 1">
          <a:extLst>
            <a:ext uri="{FF2B5EF4-FFF2-40B4-BE49-F238E27FC236}">
              <a16:creationId xmlns:a16="http://schemas.microsoft.com/office/drawing/2014/main" id="{B9D422F8-200F-4407-B947-150E6A922520}"/>
            </a:ext>
          </a:extLst>
        </xdr:cNvPr>
        <xdr:cNvSpPr txBox="1">
          <a:spLocks noChangeArrowheads="1"/>
        </xdr:cNvSpPr>
      </xdr:nvSpPr>
      <xdr:spPr bwMode="auto">
        <a:xfrm>
          <a:off x="685800" y="46411092"/>
          <a:ext cx="76200" cy="222885"/>
        </a:xfrm>
        <a:prstGeom prst="rect">
          <a:avLst/>
        </a:prstGeom>
        <a:noFill/>
        <a:ln w="9525">
          <a:noFill/>
          <a:miter lim="800000"/>
          <a:headEnd/>
          <a:tailEnd/>
        </a:ln>
      </xdr:spPr>
    </xdr:sp>
    <xdr:clientData/>
  </xdr:oneCellAnchor>
  <xdr:oneCellAnchor>
    <xdr:from>
      <xdr:col>0</xdr:col>
      <xdr:colOff>685800</xdr:colOff>
      <xdr:row>284</xdr:row>
      <xdr:rowOff>47625</xdr:rowOff>
    </xdr:from>
    <xdr:ext cx="76200" cy="222885"/>
    <xdr:sp macro="" textlink="">
      <xdr:nvSpPr>
        <xdr:cNvPr id="385" name="Text Box 1">
          <a:extLst>
            <a:ext uri="{FF2B5EF4-FFF2-40B4-BE49-F238E27FC236}">
              <a16:creationId xmlns:a16="http://schemas.microsoft.com/office/drawing/2014/main" id="{A292FCE0-65A9-4935-B3F8-CAA8F61BC8B5}"/>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284</xdr:row>
      <xdr:rowOff>47625</xdr:rowOff>
    </xdr:from>
    <xdr:ext cx="76200" cy="222885"/>
    <xdr:sp macro="" textlink="">
      <xdr:nvSpPr>
        <xdr:cNvPr id="386" name="Text Box 1">
          <a:extLst>
            <a:ext uri="{FF2B5EF4-FFF2-40B4-BE49-F238E27FC236}">
              <a16:creationId xmlns:a16="http://schemas.microsoft.com/office/drawing/2014/main" id="{BAB89572-983F-4D72-A3AC-E467E3685200}"/>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286</xdr:row>
      <xdr:rowOff>47625</xdr:rowOff>
    </xdr:from>
    <xdr:ext cx="76200" cy="222885"/>
    <xdr:sp macro="" textlink="">
      <xdr:nvSpPr>
        <xdr:cNvPr id="387" name="Text Box 1">
          <a:extLst>
            <a:ext uri="{FF2B5EF4-FFF2-40B4-BE49-F238E27FC236}">
              <a16:creationId xmlns:a16="http://schemas.microsoft.com/office/drawing/2014/main" id="{9EDB83B8-2251-4C28-998C-E10F5BD828AF}"/>
            </a:ext>
          </a:extLst>
        </xdr:cNvPr>
        <xdr:cNvSpPr txBox="1">
          <a:spLocks noChangeArrowheads="1"/>
        </xdr:cNvSpPr>
      </xdr:nvSpPr>
      <xdr:spPr bwMode="auto">
        <a:xfrm>
          <a:off x="685800" y="46944492"/>
          <a:ext cx="76200" cy="222885"/>
        </a:xfrm>
        <a:prstGeom prst="rect">
          <a:avLst/>
        </a:prstGeom>
        <a:noFill/>
        <a:ln w="9525">
          <a:noFill/>
          <a:miter lim="800000"/>
          <a:headEnd/>
          <a:tailEnd/>
        </a:ln>
      </xdr:spPr>
    </xdr:sp>
    <xdr:clientData/>
  </xdr:oneCellAnchor>
  <xdr:oneCellAnchor>
    <xdr:from>
      <xdr:col>0</xdr:col>
      <xdr:colOff>685800</xdr:colOff>
      <xdr:row>286</xdr:row>
      <xdr:rowOff>47625</xdr:rowOff>
    </xdr:from>
    <xdr:ext cx="76200" cy="222885"/>
    <xdr:sp macro="" textlink="">
      <xdr:nvSpPr>
        <xdr:cNvPr id="388" name="Text Box 1">
          <a:extLst>
            <a:ext uri="{FF2B5EF4-FFF2-40B4-BE49-F238E27FC236}">
              <a16:creationId xmlns:a16="http://schemas.microsoft.com/office/drawing/2014/main" id="{F2031474-5C0C-4101-A5AD-20D5ABF77EEF}"/>
            </a:ext>
          </a:extLst>
        </xdr:cNvPr>
        <xdr:cNvSpPr txBox="1">
          <a:spLocks noChangeArrowheads="1"/>
        </xdr:cNvSpPr>
      </xdr:nvSpPr>
      <xdr:spPr bwMode="auto">
        <a:xfrm>
          <a:off x="685800" y="46411092"/>
          <a:ext cx="76200" cy="222885"/>
        </a:xfrm>
        <a:prstGeom prst="rect">
          <a:avLst/>
        </a:prstGeom>
        <a:noFill/>
        <a:ln w="9525">
          <a:noFill/>
          <a:miter lim="800000"/>
          <a:headEnd/>
          <a:tailEnd/>
        </a:ln>
      </xdr:spPr>
    </xdr:sp>
    <xdr:clientData/>
  </xdr:oneCellAnchor>
  <xdr:oneCellAnchor>
    <xdr:from>
      <xdr:col>0</xdr:col>
      <xdr:colOff>685800</xdr:colOff>
      <xdr:row>287</xdr:row>
      <xdr:rowOff>47625</xdr:rowOff>
    </xdr:from>
    <xdr:ext cx="76200" cy="222885"/>
    <xdr:sp macro="" textlink="">
      <xdr:nvSpPr>
        <xdr:cNvPr id="389" name="Text Box 1">
          <a:extLst>
            <a:ext uri="{FF2B5EF4-FFF2-40B4-BE49-F238E27FC236}">
              <a16:creationId xmlns:a16="http://schemas.microsoft.com/office/drawing/2014/main" id="{F07D9385-CE4E-49DA-81F0-5527BD5B5956}"/>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287</xdr:row>
      <xdr:rowOff>47625</xdr:rowOff>
    </xdr:from>
    <xdr:ext cx="76200" cy="222885"/>
    <xdr:sp macro="" textlink="">
      <xdr:nvSpPr>
        <xdr:cNvPr id="390" name="Text Box 1">
          <a:extLst>
            <a:ext uri="{FF2B5EF4-FFF2-40B4-BE49-F238E27FC236}">
              <a16:creationId xmlns:a16="http://schemas.microsoft.com/office/drawing/2014/main" id="{94CE295D-DDE7-4833-9929-5850678C85ED}"/>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289</xdr:row>
      <xdr:rowOff>47625</xdr:rowOff>
    </xdr:from>
    <xdr:ext cx="76200" cy="222885"/>
    <xdr:sp macro="" textlink="">
      <xdr:nvSpPr>
        <xdr:cNvPr id="391" name="Text Box 1">
          <a:extLst>
            <a:ext uri="{FF2B5EF4-FFF2-40B4-BE49-F238E27FC236}">
              <a16:creationId xmlns:a16="http://schemas.microsoft.com/office/drawing/2014/main" id="{59562651-988A-4327-B611-7F2FD61EF5F9}"/>
            </a:ext>
          </a:extLst>
        </xdr:cNvPr>
        <xdr:cNvSpPr txBox="1">
          <a:spLocks noChangeArrowheads="1"/>
        </xdr:cNvSpPr>
      </xdr:nvSpPr>
      <xdr:spPr bwMode="auto">
        <a:xfrm>
          <a:off x="685800" y="46944492"/>
          <a:ext cx="76200" cy="222885"/>
        </a:xfrm>
        <a:prstGeom prst="rect">
          <a:avLst/>
        </a:prstGeom>
        <a:noFill/>
        <a:ln w="9525">
          <a:noFill/>
          <a:miter lim="800000"/>
          <a:headEnd/>
          <a:tailEnd/>
        </a:ln>
      </xdr:spPr>
    </xdr:sp>
    <xdr:clientData/>
  </xdr:oneCellAnchor>
  <xdr:oneCellAnchor>
    <xdr:from>
      <xdr:col>0</xdr:col>
      <xdr:colOff>685800</xdr:colOff>
      <xdr:row>289</xdr:row>
      <xdr:rowOff>47625</xdr:rowOff>
    </xdr:from>
    <xdr:ext cx="76200" cy="222885"/>
    <xdr:sp macro="" textlink="">
      <xdr:nvSpPr>
        <xdr:cNvPr id="392" name="Text Box 1">
          <a:extLst>
            <a:ext uri="{FF2B5EF4-FFF2-40B4-BE49-F238E27FC236}">
              <a16:creationId xmlns:a16="http://schemas.microsoft.com/office/drawing/2014/main" id="{212AA596-340F-4198-9E54-3215999585A8}"/>
            </a:ext>
          </a:extLst>
        </xdr:cNvPr>
        <xdr:cNvSpPr txBox="1">
          <a:spLocks noChangeArrowheads="1"/>
        </xdr:cNvSpPr>
      </xdr:nvSpPr>
      <xdr:spPr bwMode="auto">
        <a:xfrm>
          <a:off x="685800" y="46411092"/>
          <a:ext cx="76200" cy="222885"/>
        </a:xfrm>
        <a:prstGeom prst="rect">
          <a:avLst/>
        </a:prstGeom>
        <a:noFill/>
        <a:ln w="9525">
          <a:noFill/>
          <a:miter lim="800000"/>
          <a:headEnd/>
          <a:tailEnd/>
        </a:ln>
      </xdr:spPr>
    </xdr:sp>
    <xdr:clientData/>
  </xdr:oneCellAnchor>
  <xdr:oneCellAnchor>
    <xdr:from>
      <xdr:col>0</xdr:col>
      <xdr:colOff>685800</xdr:colOff>
      <xdr:row>290</xdr:row>
      <xdr:rowOff>47625</xdr:rowOff>
    </xdr:from>
    <xdr:ext cx="76200" cy="222885"/>
    <xdr:sp macro="" textlink="">
      <xdr:nvSpPr>
        <xdr:cNvPr id="393" name="Text Box 1">
          <a:extLst>
            <a:ext uri="{FF2B5EF4-FFF2-40B4-BE49-F238E27FC236}">
              <a16:creationId xmlns:a16="http://schemas.microsoft.com/office/drawing/2014/main" id="{54A98421-678B-4832-A222-2F0DB3507789}"/>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290</xdr:row>
      <xdr:rowOff>47625</xdr:rowOff>
    </xdr:from>
    <xdr:ext cx="76200" cy="222885"/>
    <xdr:sp macro="" textlink="">
      <xdr:nvSpPr>
        <xdr:cNvPr id="394" name="Text Box 1">
          <a:extLst>
            <a:ext uri="{FF2B5EF4-FFF2-40B4-BE49-F238E27FC236}">
              <a16:creationId xmlns:a16="http://schemas.microsoft.com/office/drawing/2014/main" id="{9857962C-B6A0-4A4F-B1A2-2ED440518E90}"/>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292</xdr:row>
      <xdr:rowOff>47625</xdr:rowOff>
    </xdr:from>
    <xdr:ext cx="76200" cy="222885"/>
    <xdr:sp macro="" textlink="">
      <xdr:nvSpPr>
        <xdr:cNvPr id="395" name="Text Box 1">
          <a:extLst>
            <a:ext uri="{FF2B5EF4-FFF2-40B4-BE49-F238E27FC236}">
              <a16:creationId xmlns:a16="http://schemas.microsoft.com/office/drawing/2014/main" id="{124293CA-FFA9-492E-8474-87EF1D17AEDF}"/>
            </a:ext>
          </a:extLst>
        </xdr:cNvPr>
        <xdr:cNvSpPr txBox="1">
          <a:spLocks noChangeArrowheads="1"/>
        </xdr:cNvSpPr>
      </xdr:nvSpPr>
      <xdr:spPr bwMode="auto">
        <a:xfrm>
          <a:off x="685800" y="46944492"/>
          <a:ext cx="76200" cy="222885"/>
        </a:xfrm>
        <a:prstGeom prst="rect">
          <a:avLst/>
        </a:prstGeom>
        <a:noFill/>
        <a:ln w="9525">
          <a:noFill/>
          <a:miter lim="800000"/>
          <a:headEnd/>
          <a:tailEnd/>
        </a:ln>
      </xdr:spPr>
    </xdr:sp>
    <xdr:clientData/>
  </xdr:oneCellAnchor>
  <xdr:oneCellAnchor>
    <xdr:from>
      <xdr:col>0</xdr:col>
      <xdr:colOff>685800</xdr:colOff>
      <xdr:row>292</xdr:row>
      <xdr:rowOff>47625</xdr:rowOff>
    </xdr:from>
    <xdr:ext cx="76200" cy="222885"/>
    <xdr:sp macro="" textlink="">
      <xdr:nvSpPr>
        <xdr:cNvPr id="396" name="Text Box 1">
          <a:extLst>
            <a:ext uri="{FF2B5EF4-FFF2-40B4-BE49-F238E27FC236}">
              <a16:creationId xmlns:a16="http://schemas.microsoft.com/office/drawing/2014/main" id="{3F8722F0-BC9E-4D5C-813A-A892D3B46394}"/>
            </a:ext>
          </a:extLst>
        </xdr:cNvPr>
        <xdr:cNvSpPr txBox="1">
          <a:spLocks noChangeArrowheads="1"/>
        </xdr:cNvSpPr>
      </xdr:nvSpPr>
      <xdr:spPr bwMode="auto">
        <a:xfrm>
          <a:off x="685800" y="46411092"/>
          <a:ext cx="76200" cy="222885"/>
        </a:xfrm>
        <a:prstGeom prst="rect">
          <a:avLst/>
        </a:prstGeom>
        <a:noFill/>
        <a:ln w="9525">
          <a:noFill/>
          <a:miter lim="800000"/>
          <a:headEnd/>
          <a:tailEnd/>
        </a:ln>
      </xdr:spPr>
    </xdr:sp>
    <xdr:clientData/>
  </xdr:oneCellAnchor>
  <xdr:oneCellAnchor>
    <xdr:from>
      <xdr:col>0</xdr:col>
      <xdr:colOff>685800</xdr:colOff>
      <xdr:row>293</xdr:row>
      <xdr:rowOff>47625</xdr:rowOff>
    </xdr:from>
    <xdr:ext cx="76200" cy="222885"/>
    <xdr:sp macro="" textlink="">
      <xdr:nvSpPr>
        <xdr:cNvPr id="397" name="Text Box 1">
          <a:extLst>
            <a:ext uri="{FF2B5EF4-FFF2-40B4-BE49-F238E27FC236}">
              <a16:creationId xmlns:a16="http://schemas.microsoft.com/office/drawing/2014/main" id="{94C70B31-F170-4FCE-8E63-5ADC9DABC7DA}"/>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293</xdr:row>
      <xdr:rowOff>47625</xdr:rowOff>
    </xdr:from>
    <xdr:ext cx="76200" cy="222885"/>
    <xdr:sp macro="" textlink="">
      <xdr:nvSpPr>
        <xdr:cNvPr id="398" name="Text Box 1">
          <a:extLst>
            <a:ext uri="{FF2B5EF4-FFF2-40B4-BE49-F238E27FC236}">
              <a16:creationId xmlns:a16="http://schemas.microsoft.com/office/drawing/2014/main" id="{2E1B1DE0-D1C9-4D07-876E-247E6825EE5A}"/>
            </a:ext>
          </a:extLst>
        </xdr:cNvPr>
        <xdr:cNvSpPr txBox="1">
          <a:spLocks noChangeArrowheads="1"/>
        </xdr:cNvSpPr>
      </xdr:nvSpPr>
      <xdr:spPr bwMode="auto">
        <a:xfrm>
          <a:off x="685800" y="46588892"/>
          <a:ext cx="76200" cy="222885"/>
        </a:xfrm>
        <a:prstGeom prst="rect">
          <a:avLst/>
        </a:prstGeom>
        <a:noFill/>
        <a:ln w="9525">
          <a:noFill/>
          <a:miter lim="800000"/>
          <a:headEnd/>
          <a:tailEnd/>
        </a:ln>
      </xdr:spPr>
    </xdr:sp>
    <xdr:clientData/>
  </xdr:oneCellAnchor>
  <xdr:oneCellAnchor>
    <xdr:from>
      <xdr:col>0</xdr:col>
      <xdr:colOff>685800</xdr:colOff>
      <xdr:row>295</xdr:row>
      <xdr:rowOff>47625</xdr:rowOff>
    </xdr:from>
    <xdr:ext cx="76200" cy="222885"/>
    <xdr:sp macro="" textlink="">
      <xdr:nvSpPr>
        <xdr:cNvPr id="399" name="Text Box 1">
          <a:extLst>
            <a:ext uri="{FF2B5EF4-FFF2-40B4-BE49-F238E27FC236}">
              <a16:creationId xmlns:a16="http://schemas.microsoft.com/office/drawing/2014/main" id="{40006484-C6DB-424C-B743-902B841DD639}"/>
            </a:ext>
          </a:extLst>
        </xdr:cNvPr>
        <xdr:cNvSpPr txBox="1">
          <a:spLocks noChangeArrowheads="1"/>
        </xdr:cNvSpPr>
      </xdr:nvSpPr>
      <xdr:spPr bwMode="auto">
        <a:xfrm>
          <a:off x="685800" y="46944492"/>
          <a:ext cx="76200" cy="222885"/>
        </a:xfrm>
        <a:prstGeom prst="rect">
          <a:avLst/>
        </a:prstGeom>
        <a:noFill/>
        <a:ln w="9525">
          <a:noFill/>
          <a:miter lim="800000"/>
          <a:headEnd/>
          <a:tailEnd/>
        </a:ln>
      </xdr:spPr>
    </xdr:sp>
    <xdr:clientData/>
  </xdr:oneCellAnchor>
  <xdr:oneCellAnchor>
    <xdr:from>
      <xdr:col>0</xdr:col>
      <xdr:colOff>685800</xdr:colOff>
      <xdr:row>289</xdr:row>
      <xdr:rowOff>47625</xdr:rowOff>
    </xdr:from>
    <xdr:ext cx="76200" cy="222885"/>
    <xdr:sp macro="" textlink="">
      <xdr:nvSpPr>
        <xdr:cNvPr id="400" name="Text Box 1">
          <a:extLst>
            <a:ext uri="{FF2B5EF4-FFF2-40B4-BE49-F238E27FC236}">
              <a16:creationId xmlns:a16="http://schemas.microsoft.com/office/drawing/2014/main" id="{1E1CDFB6-0611-4A0D-BD2F-702BA4123B3F}"/>
            </a:ext>
          </a:extLst>
        </xdr:cNvPr>
        <xdr:cNvSpPr txBox="1">
          <a:spLocks noChangeArrowheads="1"/>
        </xdr:cNvSpPr>
      </xdr:nvSpPr>
      <xdr:spPr bwMode="auto">
        <a:xfrm>
          <a:off x="685800" y="48544692"/>
          <a:ext cx="76200" cy="222885"/>
        </a:xfrm>
        <a:prstGeom prst="rect">
          <a:avLst/>
        </a:prstGeom>
        <a:noFill/>
        <a:ln w="9525">
          <a:noFill/>
          <a:miter lim="800000"/>
          <a:headEnd/>
          <a:tailEnd/>
        </a:ln>
      </xdr:spPr>
    </xdr:sp>
    <xdr:clientData/>
  </xdr:oneCellAnchor>
  <xdr:oneCellAnchor>
    <xdr:from>
      <xdr:col>0</xdr:col>
      <xdr:colOff>685800</xdr:colOff>
      <xdr:row>289</xdr:row>
      <xdr:rowOff>47625</xdr:rowOff>
    </xdr:from>
    <xdr:ext cx="76200" cy="222885"/>
    <xdr:sp macro="" textlink="">
      <xdr:nvSpPr>
        <xdr:cNvPr id="401" name="Text Box 1">
          <a:extLst>
            <a:ext uri="{FF2B5EF4-FFF2-40B4-BE49-F238E27FC236}">
              <a16:creationId xmlns:a16="http://schemas.microsoft.com/office/drawing/2014/main" id="{F90ACD68-7447-497C-8661-BB185D84B355}"/>
            </a:ext>
          </a:extLst>
        </xdr:cNvPr>
        <xdr:cNvSpPr txBox="1">
          <a:spLocks noChangeArrowheads="1"/>
        </xdr:cNvSpPr>
      </xdr:nvSpPr>
      <xdr:spPr bwMode="auto">
        <a:xfrm>
          <a:off x="685800" y="48544692"/>
          <a:ext cx="76200" cy="222885"/>
        </a:xfrm>
        <a:prstGeom prst="rect">
          <a:avLst/>
        </a:prstGeom>
        <a:noFill/>
        <a:ln w="9525">
          <a:noFill/>
          <a:miter lim="800000"/>
          <a:headEnd/>
          <a:tailEnd/>
        </a:ln>
      </xdr:spPr>
    </xdr:sp>
    <xdr:clientData/>
  </xdr:oneCellAnchor>
  <xdr:oneCellAnchor>
    <xdr:from>
      <xdr:col>0</xdr:col>
      <xdr:colOff>685800</xdr:colOff>
      <xdr:row>290</xdr:row>
      <xdr:rowOff>47625</xdr:rowOff>
    </xdr:from>
    <xdr:ext cx="76200" cy="222885"/>
    <xdr:sp macro="" textlink="">
      <xdr:nvSpPr>
        <xdr:cNvPr id="402" name="Text Box 1">
          <a:extLst>
            <a:ext uri="{FF2B5EF4-FFF2-40B4-BE49-F238E27FC236}">
              <a16:creationId xmlns:a16="http://schemas.microsoft.com/office/drawing/2014/main" id="{8A2B6FA3-96F1-4749-8D63-1833C769ADD9}"/>
            </a:ext>
          </a:extLst>
        </xdr:cNvPr>
        <xdr:cNvSpPr txBox="1">
          <a:spLocks noChangeArrowheads="1"/>
        </xdr:cNvSpPr>
      </xdr:nvSpPr>
      <xdr:spPr bwMode="auto">
        <a:xfrm>
          <a:off x="685800" y="48722492"/>
          <a:ext cx="76200" cy="222885"/>
        </a:xfrm>
        <a:prstGeom prst="rect">
          <a:avLst/>
        </a:prstGeom>
        <a:noFill/>
        <a:ln w="9525">
          <a:noFill/>
          <a:miter lim="800000"/>
          <a:headEnd/>
          <a:tailEnd/>
        </a:ln>
      </xdr:spPr>
    </xdr:sp>
    <xdr:clientData/>
  </xdr:oneCellAnchor>
  <xdr:oneCellAnchor>
    <xdr:from>
      <xdr:col>0</xdr:col>
      <xdr:colOff>685800</xdr:colOff>
      <xdr:row>290</xdr:row>
      <xdr:rowOff>47625</xdr:rowOff>
    </xdr:from>
    <xdr:ext cx="76200" cy="222885"/>
    <xdr:sp macro="" textlink="">
      <xdr:nvSpPr>
        <xdr:cNvPr id="403" name="Text Box 1">
          <a:extLst>
            <a:ext uri="{FF2B5EF4-FFF2-40B4-BE49-F238E27FC236}">
              <a16:creationId xmlns:a16="http://schemas.microsoft.com/office/drawing/2014/main" id="{1B28165F-496D-4628-831C-74598974425B}"/>
            </a:ext>
          </a:extLst>
        </xdr:cNvPr>
        <xdr:cNvSpPr txBox="1">
          <a:spLocks noChangeArrowheads="1"/>
        </xdr:cNvSpPr>
      </xdr:nvSpPr>
      <xdr:spPr bwMode="auto">
        <a:xfrm>
          <a:off x="685800" y="48722492"/>
          <a:ext cx="76200" cy="222885"/>
        </a:xfrm>
        <a:prstGeom prst="rect">
          <a:avLst/>
        </a:prstGeom>
        <a:noFill/>
        <a:ln w="9525">
          <a:noFill/>
          <a:miter lim="800000"/>
          <a:headEnd/>
          <a:tailEnd/>
        </a:ln>
      </xdr:spPr>
    </xdr:sp>
    <xdr:clientData/>
  </xdr:oneCellAnchor>
  <xdr:oneCellAnchor>
    <xdr:from>
      <xdr:col>0</xdr:col>
      <xdr:colOff>685800</xdr:colOff>
      <xdr:row>292</xdr:row>
      <xdr:rowOff>47625</xdr:rowOff>
    </xdr:from>
    <xdr:ext cx="76200" cy="222885"/>
    <xdr:sp macro="" textlink="">
      <xdr:nvSpPr>
        <xdr:cNvPr id="404" name="Text Box 1">
          <a:extLst>
            <a:ext uri="{FF2B5EF4-FFF2-40B4-BE49-F238E27FC236}">
              <a16:creationId xmlns:a16="http://schemas.microsoft.com/office/drawing/2014/main" id="{50D2BE65-74E0-4CC9-BD52-2F57B141F194}"/>
            </a:ext>
          </a:extLst>
        </xdr:cNvPr>
        <xdr:cNvSpPr txBox="1">
          <a:spLocks noChangeArrowheads="1"/>
        </xdr:cNvSpPr>
      </xdr:nvSpPr>
      <xdr:spPr bwMode="auto">
        <a:xfrm>
          <a:off x="685800" y="49078092"/>
          <a:ext cx="76200" cy="222885"/>
        </a:xfrm>
        <a:prstGeom prst="rect">
          <a:avLst/>
        </a:prstGeom>
        <a:noFill/>
        <a:ln w="9525">
          <a:noFill/>
          <a:miter lim="800000"/>
          <a:headEnd/>
          <a:tailEnd/>
        </a:ln>
      </xdr:spPr>
    </xdr:sp>
    <xdr:clientData/>
  </xdr:oneCellAnchor>
  <xdr:oneCellAnchor>
    <xdr:from>
      <xdr:col>0</xdr:col>
      <xdr:colOff>685800</xdr:colOff>
      <xdr:row>292</xdr:row>
      <xdr:rowOff>47625</xdr:rowOff>
    </xdr:from>
    <xdr:ext cx="76200" cy="222885"/>
    <xdr:sp macro="" textlink="">
      <xdr:nvSpPr>
        <xdr:cNvPr id="405" name="Text Box 1">
          <a:extLst>
            <a:ext uri="{FF2B5EF4-FFF2-40B4-BE49-F238E27FC236}">
              <a16:creationId xmlns:a16="http://schemas.microsoft.com/office/drawing/2014/main" id="{E49FA1F1-D564-40C0-A380-775796B65634}"/>
            </a:ext>
          </a:extLst>
        </xdr:cNvPr>
        <xdr:cNvSpPr txBox="1">
          <a:spLocks noChangeArrowheads="1"/>
        </xdr:cNvSpPr>
      </xdr:nvSpPr>
      <xdr:spPr bwMode="auto">
        <a:xfrm>
          <a:off x="685800" y="49078092"/>
          <a:ext cx="76200" cy="222885"/>
        </a:xfrm>
        <a:prstGeom prst="rect">
          <a:avLst/>
        </a:prstGeom>
        <a:noFill/>
        <a:ln w="9525">
          <a:noFill/>
          <a:miter lim="800000"/>
          <a:headEnd/>
          <a:tailEnd/>
        </a:ln>
      </xdr:spPr>
    </xdr:sp>
    <xdr:clientData/>
  </xdr:oneCellAnchor>
  <xdr:oneCellAnchor>
    <xdr:from>
      <xdr:col>0</xdr:col>
      <xdr:colOff>685800</xdr:colOff>
      <xdr:row>293</xdr:row>
      <xdr:rowOff>47625</xdr:rowOff>
    </xdr:from>
    <xdr:ext cx="76200" cy="222885"/>
    <xdr:sp macro="" textlink="">
      <xdr:nvSpPr>
        <xdr:cNvPr id="406" name="Text Box 1">
          <a:extLst>
            <a:ext uri="{FF2B5EF4-FFF2-40B4-BE49-F238E27FC236}">
              <a16:creationId xmlns:a16="http://schemas.microsoft.com/office/drawing/2014/main" id="{AF797C9F-1044-4546-ABDF-6813DEB72848}"/>
            </a:ext>
          </a:extLst>
        </xdr:cNvPr>
        <xdr:cNvSpPr txBox="1">
          <a:spLocks noChangeArrowheads="1"/>
        </xdr:cNvSpPr>
      </xdr:nvSpPr>
      <xdr:spPr bwMode="auto">
        <a:xfrm>
          <a:off x="685800" y="49255892"/>
          <a:ext cx="76200" cy="222885"/>
        </a:xfrm>
        <a:prstGeom prst="rect">
          <a:avLst/>
        </a:prstGeom>
        <a:noFill/>
        <a:ln w="9525">
          <a:noFill/>
          <a:miter lim="800000"/>
          <a:headEnd/>
          <a:tailEnd/>
        </a:ln>
      </xdr:spPr>
    </xdr:sp>
    <xdr:clientData/>
  </xdr:oneCellAnchor>
  <xdr:oneCellAnchor>
    <xdr:from>
      <xdr:col>0</xdr:col>
      <xdr:colOff>685800</xdr:colOff>
      <xdr:row>293</xdr:row>
      <xdr:rowOff>47625</xdr:rowOff>
    </xdr:from>
    <xdr:ext cx="76200" cy="222885"/>
    <xdr:sp macro="" textlink="">
      <xdr:nvSpPr>
        <xdr:cNvPr id="407" name="Text Box 1">
          <a:extLst>
            <a:ext uri="{FF2B5EF4-FFF2-40B4-BE49-F238E27FC236}">
              <a16:creationId xmlns:a16="http://schemas.microsoft.com/office/drawing/2014/main" id="{0667955A-CB9B-423C-96F9-148F4E5C24C9}"/>
            </a:ext>
          </a:extLst>
        </xdr:cNvPr>
        <xdr:cNvSpPr txBox="1">
          <a:spLocks noChangeArrowheads="1"/>
        </xdr:cNvSpPr>
      </xdr:nvSpPr>
      <xdr:spPr bwMode="auto">
        <a:xfrm>
          <a:off x="685800" y="49255892"/>
          <a:ext cx="76200" cy="222885"/>
        </a:xfrm>
        <a:prstGeom prst="rect">
          <a:avLst/>
        </a:prstGeom>
        <a:noFill/>
        <a:ln w="9525">
          <a:noFill/>
          <a:miter lim="800000"/>
          <a:headEnd/>
          <a:tailEnd/>
        </a:ln>
      </xdr:spPr>
    </xdr:sp>
    <xdr:clientData/>
  </xdr:oneCellAnchor>
  <xdr:oneCellAnchor>
    <xdr:from>
      <xdr:col>0</xdr:col>
      <xdr:colOff>685800</xdr:colOff>
      <xdr:row>295</xdr:row>
      <xdr:rowOff>47625</xdr:rowOff>
    </xdr:from>
    <xdr:ext cx="76200" cy="222885"/>
    <xdr:sp macro="" textlink="">
      <xdr:nvSpPr>
        <xdr:cNvPr id="408" name="Text Box 1">
          <a:extLst>
            <a:ext uri="{FF2B5EF4-FFF2-40B4-BE49-F238E27FC236}">
              <a16:creationId xmlns:a16="http://schemas.microsoft.com/office/drawing/2014/main" id="{C8EBA378-F84E-4807-A111-894727ACFA68}"/>
            </a:ext>
          </a:extLst>
        </xdr:cNvPr>
        <xdr:cNvSpPr txBox="1">
          <a:spLocks noChangeArrowheads="1"/>
        </xdr:cNvSpPr>
      </xdr:nvSpPr>
      <xdr:spPr bwMode="auto">
        <a:xfrm>
          <a:off x="685800" y="49611492"/>
          <a:ext cx="76200" cy="222885"/>
        </a:xfrm>
        <a:prstGeom prst="rect">
          <a:avLst/>
        </a:prstGeom>
        <a:noFill/>
        <a:ln w="9525">
          <a:noFill/>
          <a:miter lim="800000"/>
          <a:headEnd/>
          <a:tailEnd/>
        </a:ln>
      </xdr:spPr>
    </xdr:sp>
    <xdr:clientData/>
  </xdr:oneCellAnchor>
  <xdr:oneCellAnchor>
    <xdr:from>
      <xdr:col>0</xdr:col>
      <xdr:colOff>685800</xdr:colOff>
      <xdr:row>295</xdr:row>
      <xdr:rowOff>47625</xdr:rowOff>
    </xdr:from>
    <xdr:ext cx="76200" cy="222885"/>
    <xdr:sp macro="" textlink="">
      <xdr:nvSpPr>
        <xdr:cNvPr id="409" name="Text Box 1">
          <a:extLst>
            <a:ext uri="{FF2B5EF4-FFF2-40B4-BE49-F238E27FC236}">
              <a16:creationId xmlns:a16="http://schemas.microsoft.com/office/drawing/2014/main" id="{5D5405DC-C89D-4551-A4A9-D5220D2BB979}"/>
            </a:ext>
          </a:extLst>
        </xdr:cNvPr>
        <xdr:cNvSpPr txBox="1">
          <a:spLocks noChangeArrowheads="1"/>
        </xdr:cNvSpPr>
      </xdr:nvSpPr>
      <xdr:spPr bwMode="auto">
        <a:xfrm>
          <a:off x="685800" y="49611492"/>
          <a:ext cx="76200" cy="222885"/>
        </a:xfrm>
        <a:prstGeom prst="rect">
          <a:avLst/>
        </a:prstGeom>
        <a:noFill/>
        <a:ln w="9525">
          <a:noFill/>
          <a:miter lim="800000"/>
          <a:headEnd/>
          <a:tailEnd/>
        </a:ln>
      </xdr:spPr>
    </xdr:sp>
    <xdr:clientData/>
  </xdr:oneCellAnchor>
  <xdr:oneCellAnchor>
    <xdr:from>
      <xdr:col>0</xdr:col>
      <xdr:colOff>685800</xdr:colOff>
      <xdr:row>295</xdr:row>
      <xdr:rowOff>47625</xdr:rowOff>
    </xdr:from>
    <xdr:ext cx="76200" cy="222885"/>
    <xdr:sp macro="" textlink="">
      <xdr:nvSpPr>
        <xdr:cNvPr id="410" name="Text Box 1">
          <a:extLst>
            <a:ext uri="{FF2B5EF4-FFF2-40B4-BE49-F238E27FC236}">
              <a16:creationId xmlns:a16="http://schemas.microsoft.com/office/drawing/2014/main" id="{9C6528CF-150D-4131-A304-5756B2397919}"/>
            </a:ext>
          </a:extLst>
        </xdr:cNvPr>
        <xdr:cNvSpPr txBox="1">
          <a:spLocks noChangeArrowheads="1"/>
        </xdr:cNvSpPr>
      </xdr:nvSpPr>
      <xdr:spPr bwMode="auto">
        <a:xfrm>
          <a:off x="685800" y="48544692"/>
          <a:ext cx="76200" cy="222885"/>
        </a:xfrm>
        <a:prstGeom prst="rect">
          <a:avLst/>
        </a:prstGeom>
        <a:noFill/>
        <a:ln w="9525">
          <a:noFill/>
          <a:miter lim="800000"/>
          <a:headEnd/>
          <a:tailEnd/>
        </a:ln>
      </xdr:spPr>
    </xdr:sp>
    <xdr:clientData/>
  </xdr:oneCellAnchor>
  <xdr:oneCellAnchor>
    <xdr:from>
      <xdr:col>0</xdr:col>
      <xdr:colOff>685800</xdr:colOff>
      <xdr:row>295</xdr:row>
      <xdr:rowOff>47625</xdr:rowOff>
    </xdr:from>
    <xdr:ext cx="76200" cy="222885"/>
    <xdr:sp macro="" textlink="">
      <xdr:nvSpPr>
        <xdr:cNvPr id="411" name="Text Box 1">
          <a:extLst>
            <a:ext uri="{FF2B5EF4-FFF2-40B4-BE49-F238E27FC236}">
              <a16:creationId xmlns:a16="http://schemas.microsoft.com/office/drawing/2014/main" id="{BE4D7DFC-3C8B-4FFD-95A0-434E0C10A80E}"/>
            </a:ext>
          </a:extLst>
        </xdr:cNvPr>
        <xdr:cNvSpPr txBox="1">
          <a:spLocks noChangeArrowheads="1"/>
        </xdr:cNvSpPr>
      </xdr:nvSpPr>
      <xdr:spPr bwMode="auto">
        <a:xfrm>
          <a:off x="685800" y="48544692"/>
          <a:ext cx="76200" cy="222885"/>
        </a:xfrm>
        <a:prstGeom prst="rect">
          <a:avLst/>
        </a:prstGeom>
        <a:noFill/>
        <a:ln w="9525">
          <a:noFill/>
          <a:miter lim="800000"/>
          <a:headEnd/>
          <a:tailEnd/>
        </a:ln>
      </xdr:spPr>
    </xdr:sp>
    <xdr:clientData/>
  </xdr:oneCellAnchor>
  <xdr:oneCellAnchor>
    <xdr:from>
      <xdr:col>0</xdr:col>
      <xdr:colOff>685800</xdr:colOff>
      <xdr:row>296</xdr:row>
      <xdr:rowOff>47625</xdr:rowOff>
    </xdr:from>
    <xdr:ext cx="76200" cy="222885"/>
    <xdr:sp macro="" textlink="">
      <xdr:nvSpPr>
        <xdr:cNvPr id="412" name="Text Box 1">
          <a:extLst>
            <a:ext uri="{FF2B5EF4-FFF2-40B4-BE49-F238E27FC236}">
              <a16:creationId xmlns:a16="http://schemas.microsoft.com/office/drawing/2014/main" id="{EDA52412-51EC-441A-A671-38DB66283B25}"/>
            </a:ext>
          </a:extLst>
        </xdr:cNvPr>
        <xdr:cNvSpPr txBox="1">
          <a:spLocks noChangeArrowheads="1"/>
        </xdr:cNvSpPr>
      </xdr:nvSpPr>
      <xdr:spPr bwMode="auto">
        <a:xfrm>
          <a:off x="685800" y="48722492"/>
          <a:ext cx="76200" cy="222885"/>
        </a:xfrm>
        <a:prstGeom prst="rect">
          <a:avLst/>
        </a:prstGeom>
        <a:noFill/>
        <a:ln w="9525">
          <a:noFill/>
          <a:miter lim="800000"/>
          <a:headEnd/>
          <a:tailEnd/>
        </a:ln>
      </xdr:spPr>
    </xdr:sp>
    <xdr:clientData/>
  </xdr:oneCellAnchor>
  <xdr:oneCellAnchor>
    <xdr:from>
      <xdr:col>0</xdr:col>
      <xdr:colOff>685800</xdr:colOff>
      <xdr:row>296</xdr:row>
      <xdr:rowOff>47625</xdr:rowOff>
    </xdr:from>
    <xdr:ext cx="76200" cy="222885"/>
    <xdr:sp macro="" textlink="">
      <xdr:nvSpPr>
        <xdr:cNvPr id="413" name="Text Box 1">
          <a:extLst>
            <a:ext uri="{FF2B5EF4-FFF2-40B4-BE49-F238E27FC236}">
              <a16:creationId xmlns:a16="http://schemas.microsoft.com/office/drawing/2014/main" id="{775AFBC5-49EF-4AFD-B67A-54BAF613AD5C}"/>
            </a:ext>
          </a:extLst>
        </xdr:cNvPr>
        <xdr:cNvSpPr txBox="1">
          <a:spLocks noChangeArrowheads="1"/>
        </xdr:cNvSpPr>
      </xdr:nvSpPr>
      <xdr:spPr bwMode="auto">
        <a:xfrm>
          <a:off x="685800" y="48722492"/>
          <a:ext cx="76200" cy="222885"/>
        </a:xfrm>
        <a:prstGeom prst="rect">
          <a:avLst/>
        </a:prstGeom>
        <a:noFill/>
        <a:ln w="9525">
          <a:noFill/>
          <a:miter lim="800000"/>
          <a:headEnd/>
          <a:tailEnd/>
        </a:ln>
      </xdr:spPr>
    </xdr:sp>
    <xdr:clientData/>
  </xdr:oneCellAnchor>
  <xdr:oneCellAnchor>
    <xdr:from>
      <xdr:col>0</xdr:col>
      <xdr:colOff>685800</xdr:colOff>
      <xdr:row>298</xdr:row>
      <xdr:rowOff>47625</xdr:rowOff>
    </xdr:from>
    <xdr:ext cx="76200" cy="222885"/>
    <xdr:sp macro="" textlink="">
      <xdr:nvSpPr>
        <xdr:cNvPr id="414" name="Text Box 1">
          <a:extLst>
            <a:ext uri="{FF2B5EF4-FFF2-40B4-BE49-F238E27FC236}">
              <a16:creationId xmlns:a16="http://schemas.microsoft.com/office/drawing/2014/main" id="{DEB02CF8-F354-4369-99FA-093E446BFA76}"/>
            </a:ext>
          </a:extLst>
        </xdr:cNvPr>
        <xdr:cNvSpPr txBox="1">
          <a:spLocks noChangeArrowheads="1"/>
        </xdr:cNvSpPr>
      </xdr:nvSpPr>
      <xdr:spPr bwMode="auto">
        <a:xfrm>
          <a:off x="685800" y="49078092"/>
          <a:ext cx="76200" cy="222885"/>
        </a:xfrm>
        <a:prstGeom prst="rect">
          <a:avLst/>
        </a:prstGeom>
        <a:noFill/>
        <a:ln w="9525">
          <a:noFill/>
          <a:miter lim="800000"/>
          <a:headEnd/>
          <a:tailEnd/>
        </a:ln>
      </xdr:spPr>
    </xdr:sp>
    <xdr:clientData/>
  </xdr:oneCellAnchor>
  <xdr:oneCellAnchor>
    <xdr:from>
      <xdr:col>0</xdr:col>
      <xdr:colOff>685800</xdr:colOff>
      <xdr:row>298</xdr:row>
      <xdr:rowOff>47625</xdr:rowOff>
    </xdr:from>
    <xdr:ext cx="76200" cy="222885"/>
    <xdr:sp macro="" textlink="">
      <xdr:nvSpPr>
        <xdr:cNvPr id="415" name="Text Box 1">
          <a:extLst>
            <a:ext uri="{FF2B5EF4-FFF2-40B4-BE49-F238E27FC236}">
              <a16:creationId xmlns:a16="http://schemas.microsoft.com/office/drawing/2014/main" id="{7FFD75E7-C078-4465-B0C0-4307B6B1A68A}"/>
            </a:ext>
          </a:extLst>
        </xdr:cNvPr>
        <xdr:cNvSpPr txBox="1">
          <a:spLocks noChangeArrowheads="1"/>
        </xdr:cNvSpPr>
      </xdr:nvSpPr>
      <xdr:spPr bwMode="auto">
        <a:xfrm>
          <a:off x="685800" y="49078092"/>
          <a:ext cx="76200" cy="222885"/>
        </a:xfrm>
        <a:prstGeom prst="rect">
          <a:avLst/>
        </a:prstGeom>
        <a:noFill/>
        <a:ln w="9525">
          <a:noFill/>
          <a:miter lim="800000"/>
          <a:headEnd/>
          <a:tailEnd/>
        </a:ln>
      </xdr:spPr>
    </xdr:sp>
    <xdr:clientData/>
  </xdr:oneCellAnchor>
  <xdr:oneCellAnchor>
    <xdr:from>
      <xdr:col>0</xdr:col>
      <xdr:colOff>685800</xdr:colOff>
      <xdr:row>299</xdr:row>
      <xdr:rowOff>47625</xdr:rowOff>
    </xdr:from>
    <xdr:ext cx="76200" cy="222885"/>
    <xdr:sp macro="" textlink="">
      <xdr:nvSpPr>
        <xdr:cNvPr id="416" name="Text Box 1">
          <a:extLst>
            <a:ext uri="{FF2B5EF4-FFF2-40B4-BE49-F238E27FC236}">
              <a16:creationId xmlns:a16="http://schemas.microsoft.com/office/drawing/2014/main" id="{DF2CB184-259C-4A2D-B950-20B41D2600A7}"/>
            </a:ext>
          </a:extLst>
        </xdr:cNvPr>
        <xdr:cNvSpPr txBox="1">
          <a:spLocks noChangeArrowheads="1"/>
        </xdr:cNvSpPr>
      </xdr:nvSpPr>
      <xdr:spPr bwMode="auto">
        <a:xfrm>
          <a:off x="685800" y="49255892"/>
          <a:ext cx="76200" cy="222885"/>
        </a:xfrm>
        <a:prstGeom prst="rect">
          <a:avLst/>
        </a:prstGeom>
        <a:noFill/>
        <a:ln w="9525">
          <a:noFill/>
          <a:miter lim="800000"/>
          <a:headEnd/>
          <a:tailEnd/>
        </a:ln>
      </xdr:spPr>
    </xdr:sp>
    <xdr:clientData/>
  </xdr:oneCellAnchor>
  <xdr:oneCellAnchor>
    <xdr:from>
      <xdr:col>0</xdr:col>
      <xdr:colOff>685800</xdr:colOff>
      <xdr:row>299</xdr:row>
      <xdr:rowOff>47625</xdr:rowOff>
    </xdr:from>
    <xdr:ext cx="76200" cy="222885"/>
    <xdr:sp macro="" textlink="">
      <xdr:nvSpPr>
        <xdr:cNvPr id="417" name="Text Box 1">
          <a:extLst>
            <a:ext uri="{FF2B5EF4-FFF2-40B4-BE49-F238E27FC236}">
              <a16:creationId xmlns:a16="http://schemas.microsoft.com/office/drawing/2014/main" id="{EE2408D1-9D75-4099-8A43-32AB9C9FDABA}"/>
            </a:ext>
          </a:extLst>
        </xdr:cNvPr>
        <xdr:cNvSpPr txBox="1">
          <a:spLocks noChangeArrowheads="1"/>
        </xdr:cNvSpPr>
      </xdr:nvSpPr>
      <xdr:spPr bwMode="auto">
        <a:xfrm>
          <a:off x="685800" y="49255892"/>
          <a:ext cx="76200" cy="222885"/>
        </a:xfrm>
        <a:prstGeom prst="rect">
          <a:avLst/>
        </a:prstGeom>
        <a:noFill/>
        <a:ln w="9525">
          <a:noFill/>
          <a:miter lim="800000"/>
          <a:headEnd/>
          <a:tailEnd/>
        </a:ln>
      </xdr:spPr>
    </xdr:sp>
    <xdr:clientData/>
  </xdr:oneCellAnchor>
  <xdr:oneCellAnchor>
    <xdr:from>
      <xdr:col>0</xdr:col>
      <xdr:colOff>685800</xdr:colOff>
      <xdr:row>301</xdr:row>
      <xdr:rowOff>47625</xdr:rowOff>
    </xdr:from>
    <xdr:ext cx="76200" cy="222885"/>
    <xdr:sp macro="" textlink="">
      <xdr:nvSpPr>
        <xdr:cNvPr id="418" name="Text Box 1">
          <a:extLst>
            <a:ext uri="{FF2B5EF4-FFF2-40B4-BE49-F238E27FC236}">
              <a16:creationId xmlns:a16="http://schemas.microsoft.com/office/drawing/2014/main" id="{FAFBCA6F-AE25-4666-B92D-E53D2F8985D5}"/>
            </a:ext>
          </a:extLst>
        </xdr:cNvPr>
        <xdr:cNvSpPr txBox="1">
          <a:spLocks noChangeArrowheads="1"/>
        </xdr:cNvSpPr>
      </xdr:nvSpPr>
      <xdr:spPr bwMode="auto">
        <a:xfrm>
          <a:off x="685800" y="49611492"/>
          <a:ext cx="76200" cy="222885"/>
        </a:xfrm>
        <a:prstGeom prst="rect">
          <a:avLst/>
        </a:prstGeom>
        <a:noFill/>
        <a:ln w="9525">
          <a:noFill/>
          <a:miter lim="800000"/>
          <a:headEnd/>
          <a:tailEnd/>
        </a:ln>
      </xdr:spPr>
    </xdr:sp>
    <xdr:clientData/>
  </xdr:oneCellAnchor>
  <xdr:oneCellAnchor>
    <xdr:from>
      <xdr:col>0</xdr:col>
      <xdr:colOff>685800</xdr:colOff>
      <xdr:row>301</xdr:row>
      <xdr:rowOff>47625</xdr:rowOff>
    </xdr:from>
    <xdr:ext cx="76200" cy="222885"/>
    <xdr:sp macro="" textlink="">
      <xdr:nvSpPr>
        <xdr:cNvPr id="419" name="Text Box 1">
          <a:extLst>
            <a:ext uri="{FF2B5EF4-FFF2-40B4-BE49-F238E27FC236}">
              <a16:creationId xmlns:a16="http://schemas.microsoft.com/office/drawing/2014/main" id="{F9E4E969-8D84-445B-ACA4-1C20BE21AC38}"/>
            </a:ext>
          </a:extLst>
        </xdr:cNvPr>
        <xdr:cNvSpPr txBox="1">
          <a:spLocks noChangeArrowheads="1"/>
        </xdr:cNvSpPr>
      </xdr:nvSpPr>
      <xdr:spPr bwMode="auto">
        <a:xfrm>
          <a:off x="685800" y="49611492"/>
          <a:ext cx="76200" cy="222885"/>
        </a:xfrm>
        <a:prstGeom prst="rect">
          <a:avLst/>
        </a:prstGeom>
        <a:noFill/>
        <a:ln w="9525">
          <a:noFill/>
          <a:miter lim="800000"/>
          <a:headEnd/>
          <a:tailEnd/>
        </a:ln>
      </xdr:spPr>
    </xdr:sp>
    <xdr:clientData/>
  </xdr:oneCellAnchor>
  <xdr:oneCellAnchor>
    <xdr:from>
      <xdr:col>0</xdr:col>
      <xdr:colOff>685800</xdr:colOff>
      <xdr:row>301</xdr:row>
      <xdr:rowOff>47625</xdr:rowOff>
    </xdr:from>
    <xdr:ext cx="76200" cy="222885"/>
    <xdr:sp macro="" textlink="">
      <xdr:nvSpPr>
        <xdr:cNvPr id="420" name="Text Box 1">
          <a:extLst>
            <a:ext uri="{FF2B5EF4-FFF2-40B4-BE49-F238E27FC236}">
              <a16:creationId xmlns:a16="http://schemas.microsoft.com/office/drawing/2014/main" id="{37C5E9C9-F8F8-4DB9-99B1-C2E86C0AB300}"/>
            </a:ext>
          </a:extLst>
        </xdr:cNvPr>
        <xdr:cNvSpPr txBox="1">
          <a:spLocks noChangeArrowheads="1"/>
        </xdr:cNvSpPr>
      </xdr:nvSpPr>
      <xdr:spPr bwMode="auto">
        <a:xfrm>
          <a:off x="685800" y="49611492"/>
          <a:ext cx="76200" cy="222885"/>
        </a:xfrm>
        <a:prstGeom prst="rect">
          <a:avLst/>
        </a:prstGeom>
        <a:noFill/>
        <a:ln w="9525">
          <a:noFill/>
          <a:miter lim="800000"/>
          <a:headEnd/>
          <a:tailEnd/>
        </a:ln>
      </xdr:spPr>
    </xdr:sp>
    <xdr:clientData/>
  </xdr:oneCellAnchor>
  <xdr:oneCellAnchor>
    <xdr:from>
      <xdr:col>0</xdr:col>
      <xdr:colOff>685800</xdr:colOff>
      <xdr:row>301</xdr:row>
      <xdr:rowOff>47625</xdr:rowOff>
    </xdr:from>
    <xdr:ext cx="76200" cy="222885"/>
    <xdr:sp macro="" textlink="">
      <xdr:nvSpPr>
        <xdr:cNvPr id="421" name="Text Box 1">
          <a:extLst>
            <a:ext uri="{FF2B5EF4-FFF2-40B4-BE49-F238E27FC236}">
              <a16:creationId xmlns:a16="http://schemas.microsoft.com/office/drawing/2014/main" id="{6BB5DE75-D359-4F61-83C6-2DCAF000089C}"/>
            </a:ext>
          </a:extLst>
        </xdr:cNvPr>
        <xdr:cNvSpPr txBox="1">
          <a:spLocks noChangeArrowheads="1"/>
        </xdr:cNvSpPr>
      </xdr:nvSpPr>
      <xdr:spPr bwMode="auto">
        <a:xfrm>
          <a:off x="685800" y="49611492"/>
          <a:ext cx="76200" cy="222885"/>
        </a:xfrm>
        <a:prstGeom prst="rect">
          <a:avLst/>
        </a:prstGeom>
        <a:noFill/>
        <a:ln w="9525">
          <a:noFill/>
          <a:miter lim="800000"/>
          <a:headEnd/>
          <a:tailEnd/>
        </a:ln>
      </xdr:spPr>
    </xdr:sp>
    <xdr:clientData/>
  </xdr:oneCellAnchor>
  <xdr:oneCellAnchor>
    <xdr:from>
      <xdr:col>0</xdr:col>
      <xdr:colOff>685800</xdr:colOff>
      <xdr:row>303</xdr:row>
      <xdr:rowOff>0</xdr:rowOff>
    </xdr:from>
    <xdr:ext cx="76200" cy="222885"/>
    <xdr:sp macro="" textlink="">
      <xdr:nvSpPr>
        <xdr:cNvPr id="422" name="Text Box 1">
          <a:extLst>
            <a:ext uri="{FF2B5EF4-FFF2-40B4-BE49-F238E27FC236}">
              <a16:creationId xmlns:a16="http://schemas.microsoft.com/office/drawing/2014/main" id="{D78EBF4D-8328-4C7C-B934-8EE480CCCF84}"/>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303</xdr:row>
      <xdr:rowOff>0</xdr:rowOff>
    </xdr:from>
    <xdr:ext cx="76200" cy="222885"/>
    <xdr:sp macro="" textlink="">
      <xdr:nvSpPr>
        <xdr:cNvPr id="423" name="Text Box 1">
          <a:extLst>
            <a:ext uri="{FF2B5EF4-FFF2-40B4-BE49-F238E27FC236}">
              <a16:creationId xmlns:a16="http://schemas.microsoft.com/office/drawing/2014/main" id="{FDF4D869-EAE4-4BAD-B1A4-A8B39C221B04}"/>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303</xdr:row>
      <xdr:rowOff>0</xdr:rowOff>
    </xdr:from>
    <xdr:ext cx="76200" cy="222885"/>
    <xdr:sp macro="" textlink="">
      <xdr:nvSpPr>
        <xdr:cNvPr id="424" name="Text Box 1">
          <a:extLst>
            <a:ext uri="{FF2B5EF4-FFF2-40B4-BE49-F238E27FC236}">
              <a16:creationId xmlns:a16="http://schemas.microsoft.com/office/drawing/2014/main" id="{59440D00-2B95-4E1B-B2C4-47ADC7B4E85D}"/>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303</xdr:row>
      <xdr:rowOff>0</xdr:rowOff>
    </xdr:from>
    <xdr:ext cx="76200" cy="222885"/>
    <xdr:sp macro="" textlink="">
      <xdr:nvSpPr>
        <xdr:cNvPr id="425" name="Text Box 1">
          <a:extLst>
            <a:ext uri="{FF2B5EF4-FFF2-40B4-BE49-F238E27FC236}">
              <a16:creationId xmlns:a16="http://schemas.microsoft.com/office/drawing/2014/main" id="{3538B1F6-532B-4C7D-AB66-20A0EFBEBABA}"/>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303</xdr:row>
      <xdr:rowOff>0</xdr:rowOff>
    </xdr:from>
    <xdr:ext cx="76200" cy="222885"/>
    <xdr:sp macro="" textlink="">
      <xdr:nvSpPr>
        <xdr:cNvPr id="426" name="Text Box 1">
          <a:extLst>
            <a:ext uri="{FF2B5EF4-FFF2-40B4-BE49-F238E27FC236}">
              <a16:creationId xmlns:a16="http://schemas.microsoft.com/office/drawing/2014/main" id="{262E55B3-4DDF-4523-90BF-70544DDD87C3}"/>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303</xdr:row>
      <xdr:rowOff>47625</xdr:rowOff>
    </xdr:from>
    <xdr:ext cx="76200" cy="222885"/>
    <xdr:sp macro="" textlink="">
      <xdr:nvSpPr>
        <xdr:cNvPr id="427" name="Text Box 1">
          <a:extLst>
            <a:ext uri="{FF2B5EF4-FFF2-40B4-BE49-F238E27FC236}">
              <a16:creationId xmlns:a16="http://schemas.microsoft.com/office/drawing/2014/main" id="{D77250A2-EBCE-4316-ACAC-8E9577CE702F}"/>
            </a:ext>
          </a:extLst>
        </xdr:cNvPr>
        <xdr:cNvSpPr txBox="1">
          <a:spLocks noChangeArrowheads="1"/>
        </xdr:cNvSpPr>
      </xdr:nvSpPr>
      <xdr:spPr bwMode="auto">
        <a:xfrm>
          <a:off x="685800" y="51211692"/>
          <a:ext cx="76200" cy="222885"/>
        </a:xfrm>
        <a:prstGeom prst="rect">
          <a:avLst/>
        </a:prstGeom>
        <a:noFill/>
        <a:ln w="9525">
          <a:noFill/>
          <a:miter lim="800000"/>
          <a:headEnd/>
          <a:tailEnd/>
        </a:ln>
      </xdr:spPr>
    </xdr:sp>
    <xdr:clientData/>
  </xdr:oneCellAnchor>
  <xdr:oneCellAnchor>
    <xdr:from>
      <xdr:col>0</xdr:col>
      <xdr:colOff>685800</xdr:colOff>
      <xdr:row>303</xdr:row>
      <xdr:rowOff>47625</xdr:rowOff>
    </xdr:from>
    <xdr:ext cx="76200" cy="222885"/>
    <xdr:sp macro="" textlink="">
      <xdr:nvSpPr>
        <xdr:cNvPr id="428" name="Text Box 1">
          <a:extLst>
            <a:ext uri="{FF2B5EF4-FFF2-40B4-BE49-F238E27FC236}">
              <a16:creationId xmlns:a16="http://schemas.microsoft.com/office/drawing/2014/main" id="{865E2BDB-E3BA-4795-8633-D1EA8BF0AA9B}"/>
            </a:ext>
          </a:extLst>
        </xdr:cNvPr>
        <xdr:cNvSpPr txBox="1">
          <a:spLocks noChangeArrowheads="1"/>
        </xdr:cNvSpPr>
      </xdr:nvSpPr>
      <xdr:spPr bwMode="auto">
        <a:xfrm>
          <a:off x="685800" y="51211692"/>
          <a:ext cx="76200" cy="222885"/>
        </a:xfrm>
        <a:prstGeom prst="rect">
          <a:avLst/>
        </a:prstGeom>
        <a:noFill/>
        <a:ln w="9525">
          <a:noFill/>
          <a:miter lim="800000"/>
          <a:headEnd/>
          <a:tailEnd/>
        </a:ln>
      </xdr:spPr>
    </xdr:sp>
    <xdr:clientData/>
  </xdr:oneCellAnchor>
  <xdr:oneCellAnchor>
    <xdr:from>
      <xdr:col>0</xdr:col>
      <xdr:colOff>685800</xdr:colOff>
      <xdr:row>304</xdr:row>
      <xdr:rowOff>47625</xdr:rowOff>
    </xdr:from>
    <xdr:ext cx="76200" cy="222885"/>
    <xdr:sp macro="" textlink="">
      <xdr:nvSpPr>
        <xdr:cNvPr id="429" name="Text Box 1">
          <a:extLst>
            <a:ext uri="{FF2B5EF4-FFF2-40B4-BE49-F238E27FC236}">
              <a16:creationId xmlns:a16="http://schemas.microsoft.com/office/drawing/2014/main" id="{402A4D4D-EBDE-4C14-AD3F-B4E7A8AC9ADD}"/>
            </a:ext>
          </a:extLst>
        </xdr:cNvPr>
        <xdr:cNvSpPr txBox="1">
          <a:spLocks noChangeArrowheads="1"/>
        </xdr:cNvSpPr>
      </xdr:nvSpPr>
      <xdr:spPr bwMode="auto">
        <a:xfrm>
          <a:off x="685800" y="51389492"/>
          <a:ext cx="76200" cy="222885"/>
        </a:xfrm>
        <a:prstGeom prst="rect">
          <a:avLst/>
        </a:prstGeom>
        <a:noFill/>
        <a:ln w="9525">
          <a:noFill/>
          <a:miter lim="800000"/>
          <a:headEnd/>
          <a:tailEnd/>
        </a:ln>
      </xdr:spPr>
    </xdr:sp>
    <xdr:clientData/>
  </xdr:oneCellAnchor>
  <xdr:oneCellAnchor>
    <xdr:from>
      <xdr:col>0</xdr:col>
      <xdr:colOff>685800</xdr:colOff>
      <xdr:row>304</xdr:row>
      <xdr:rowOff>47625</xdr:rowOff>
    </xdr:from>
    <xdr:ext cx="76200" cy="222885"/>
    <xdr:sp macro="" textlink="">
      <xdr:nvSpPr>
        <xdr:cNvPr id="430" name="Text Box 1">
          <a:extLst>
            <a:ext uri="{FF2B5EF4-FFF2-40B4-BE49-F238E27FC236}">
              <a16:creationId xmlns:a16="http://schemas.microsoft.com/office/drawing/2014/main" id="{75E6B8AC-F0B3-4C12-98D8-79F5A851A085}"/>
            </a:ext>
          </a:extLst>
        </xdr:cNvPr>
        <xdr:cNvSpPr txBox="1">
          <a:spLocks noChangeArrowheads="1"/>
        </xdr:cNvSpPr>
      </xdr:nvSpPr>
      <xdr:spPr bwMode="auto">
        <a:xfrm>
          <a:off x="685800" y="51389492"/>
          <a:ext cx="76200" cy="222885"/>
        </a:xfrm>
        <a:prstGeom prst="rect">
          <a:avLst/>
        </a:prstGeom>
        <a:noFill/>
        <a:ln w="9525">
          <a:noFill/>
          <a:miter lim="800000"/>
          <a:headEnd/>
          <a:tailEnd/>
        </a:ln>
      </xdr:spPr>
    </xdr:sp>
    <xdr:clientData/>
  </xdr:oneCellAnchor>
  <xdr:oneCellAnchor>
    <xdr:from>
      <xdr:col>0</xdr:col>
      <xdr:colOff>685800</xdr:colOff>
      <xdr:row>306</xdr:row>
      <xdr:rowOff>47625</xdr:rowOff>
    </xdr:from>
    <xdr:ext cx="76200" cy="222885"/>
    <xdr:sp macro="" textlink="">
      <xdr:nvSpPr>
        <xdr:cNvPr id="431" name="Text Box 1">
          <a:extLst>
            <a:ext uri="{FF2B5EF4-FFF2-40B4-BE49-F238E27FC236}">
              <a16:creationId xmlns:a16="http://schemas.microsoft.com/office/drawing/2014/main" id="{8BFE3EDE-5EDD-4B64-AEBA-CA542F368D5E}"/>
            </a:ext>
          </a:extLst>
        </xdr:cNvPr>
        <xdr:cNvSpPr txBox="1">
          <a:spLocks noChangeArrowheads="1"/>
        </xdr:cNvSpPr>
      </xdr:nvSpPr>
      <xdr:spPr bwMode="auto">
        <a:xfrm>
          <a:off x="685800" y="51745092"/>
          <a:ext cx="76200" cy="222885"/>
        </a:xfrm>
        <a:prstGeom prst="rect">
          <a:avLst/>
        </a:prstGeom>
        <a:noFill/>
        <a:ln w="9525">
          <a:noFill/>
          <a:miter lim="800000"/>
          <a:headEnd/>
          <a:tailEnd/>
        </a:ln>
      </xdr:spPr>
    </xdr:sp>
    <xdr:clientData/>
  </xdr:oneCellAnchor>
  <xdr:oneCellAnchor>
    <xdr:from>
      <xdr:col>0</xdr:col>
      <xdr:colOff>685800</xdr:colOff>
      <xdr:row>306</xdr:row>
      <xdr:rowOff>47625</xdr:rowOff>
    </xdr:from>
    <xdr:ext cx="76200" cy="222885"/>
    <xdr:sp macro="" textlink="">
      <xdr:nvSpPr>
        <xdr:cNvPr id="432" name="Text Box 1">
          <a:extLst>
            <a:ext uri="{FF2B5EF4-FFF2-40B4-BE49-F238E27FC236}">
              <a16:creationId xmlns:a16="http://schemas.microsoft.com/office/drawing/2014/main" id="{45504219-4DFB-4A1B-9215-A9FD7D0D8B3E}"/>
            </a:ext>
          </a:extLst>
        </xdr:cNvPr>
        <xdr:cNvSpPr txBox="1">
          <a:spLocks noChangeArrowheads="1"/>
        </xdr:cNvSpPr>
      </xdr:nvSpPr>
      <xdr:spPr bwMode="auto">
        <a:xfrm>
          <a:off x="685800" y="51745092"/>
          <a:ext cx="76200" cy="222885"/>
        </a:xfrm>
        <a:prstGeom prst="rect">
          <a:avLst/>
        </a:prstGeom>
        <a:noFill/>
        <a:ln w="9525">
          <a:noFill/>
          <a:miter lim="800000"/>
          <a:headEnd/>
          <a:tailEnd/>
        </a:ln>
      </xdr:spPr>
    </xdr:sp>
    <xdr:clientData/>
  </xdr:oneCellAnchor>
  <xdr:oneCellAnchor>
    <xdr:from>
      <xdr:col>0</xdr:col>
      <xdr:colOff>685800</xdr:colOff>
      <xdr:row>306</xdr:row>
      <xdr:rowOff>47625</xdr:rowOff>
    </xdr:from>
    <xdr:ext cx="76200" cy="222885"/>
    <xdr:sp macro="" textlink="">
      <xdr:nvSpPr>
        <xdr:cNvPr id="433" name="Text Box 1">
          <a:extLst>
            <a:ext uri="{FF2B5EF4-FFF2-40B4-BE49-F238E27FC236}">
              <a16:creationId xmlns:a16="http://schemas.microsoft.com/office/drawing/2014/main" id="{1B55CFD3-E84B-4B55-91BB-30DBD1CD66CD}"/>
            </a:ext>
          </a:extLst>
        </xdr:cNvPr>
        <xdr:cNvSpPr txBox="1">
          <a:spLocks noChangeArrowheads="1"/>
        </xdr:cNvSpPr>
      </xdr:nvSpPr>
      <xdr:spPr bwMode="auto">
        <a:xfrm>
          <a:off x="685800" y="51745092"/>
          <a:ext cx="76200" cy="222885"/>
        </a:xfrm>
        <a:prstGeom prst="rect">
          <a:avLst/>
        </a:prstGeom>
        <a:noFill/>
        <a:ln w="9525">
          <a:noFill/>
          <a:miter lim="800000"/>
          <a:headEnd/>
          <a:tailEnd/>
        </a:ln>
      </xdr:spPr>
    </xdr:sp>
    <xdr:clientData/>
  </xdr:oneCellAnchor>
  <xdr:oneCellAnchor>
    <xdr:from>
      <xdr:col>0</xdr:col>
      <xdr:colOff>685800</xdr:colOff>
      <xdr:row>306</xdr:row>
      <xdr:rowOff>47625</xdr:rowOff>
    </xdr:from>
    <xdr:ext cx="76200" cy="222885"/>
    <xdr:sp macro="" textlink="">
      <xdr:nvSpPr>
        <xdr:cNvPr id="434" name="Text Box 1">
          <a:extLst>
            <a:ext uri="{FF2B5EF4-FFF2-40B4-BE49-F238E27FC236}">
              <a16:creationId xmlns:a16="http://schemas.microsoft.com/office/drawing/2014/main" id="{60A2F131-EB3A-43E8-9DC1-BD662DB80D32}"/>
            </a:ext>
          </a:extLst>
        </xdr:cNvPr>
        <xdr:cNvSpPr txBox="1">
          <a:spLocks noChangeArrowheads="1"/>
        </xdr:cNvSpPr>
      </xdr:nvSpPr>
      <xdr:spPr bwMode="auto">
        <a:xfrm>
          <a:off x="685800" y="51745092"/>
          <a:ext cx="76200" cy="222885"/>
        </a:xfrm>
        <a:prstGeom prst="rect">
          <a:avLst/>
        </a:prstGeom>
        <a:noFill/>
        <a:ln w="9525">
          <a:noFill/>
          <a:miter lim="800000"/>
          <a:headEnd/>
          <a:tailEnd/>
        </a:ln>
      </xdr:spPr>
    </xdr:sp>
    <xdr:clientData/>
  </xdr:oneCellAnchor>
  <xdr:oneCellAnchor>
    <xdr:from>
      <xdr:col>0</xdr:col>
      <xdr:colOff>685800</xdr:colOff>
      <xdr:row>308</xdr:row>
      <xdr:rowOff>0</xdr:rowOff>
    </xdr:from>
    <xdr:ext cx="76200" cy="222885"/>
    <xdr:sp macro="" textlink="">
      <xdr:nvSpPr>
        <xdr:cNvPr id="435" name="Text Box 1">
          <a:extLst>
            <a:ext uri="{FF2B5EF4-FFF2-40B4-BE49-F238E27FC236}">
              <a16:creationId xmlns:a16="http://schemas.microsoft.com/office/drawing/2014/main" id="{1D5F294D-A36C-4C94-B4A6-6DDD06834BA3}"/>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308</xdr:row>
      <xdr:rowOff>0</xdr:rowOff>
    </xdr:from>
    <xdr:ext cx="76200" cy="222885"/>
    <xdr:sp macro="" textlink="">
      <xdr:nvSpPr>
        <xdr:cNvPr id="436" name="Text Box 1">
          <a:extLst>
            <a:ext uri="{FF2B5EF4-FFF2-40B4-BE49-F238E27FC236}">
              <a16:creationId xmlns:a16="http://schemas.microsoft.com/office/drawing/2014/main" id="{184EF580-727A-4D8C-9C25-F24116D78FB8}"/>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308</xdr:row>
      <xdr:rowOff>0</xdr:rowOff>
    </xdr:from>
    <xdr:ext cx="76200" cy="222885"/>
    <xdr:sp macro="" textlink="">
      <xdr:nvSpPr>
        <xdr:cNvPr id="437" name="Text Box 1">
          <a:extLst>
            <a:ext uri="{FF2B5EF4-FFF2-40B4-BE49-F238E27FC236}">
              <a16:creationId xmlns:a16="http://schemas.microsoft.com/office/drawing/2014/main" id="{925901F5-219B-41DB-97AB-D0FFF4ED6F79}"/>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308</xdr:row>
      <xdr:rowOff>0</xdr:rowOff>
    </xdr:from>
    <xdr:ext cx="76200" cy="222885"/>
    <xdr:sp macro="" textlink="">
      <xdr:nvSpPr>
        <xdr:cNvPr id="438" name="Text Box 1">
          <a:extLst>
            <a:ext uri="{FF2B5EF4-FFF2-40B4-BE49-F238E27FC236}">
              <a16:creationId xmlns:a16="http://schemas.microsoft.com/office/drawing/2014/main" id="{F44BE9AE-CAF5-4635-9486-7745FAE71D64}"/>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308</xdr:row>
      <xdr:rowOff>0</xdr:rowOff>
    </xdr:from>
    <xdr:ext cx="76200" cy="222885"/>
    <xdr:sp macro="" textlink="">
      <xdr:nvSpPr>
        <xdr:cNvPr id="439" name="Text Box 1">
          <a:extLst>
            <a:ext uri="{FF2B5EF4-FFF2-40B4-BE49-F238E27FC236}">
              <a16:creationId xmlns:a16="http://schemas.microsoft.com/office/drawing/2014/main" id="{49D1616F-C246-41D0-A633-198A76A1CA32}"/>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308</xdr:row>
      <xdr:rowOff>47625</xdr:rowOff>
    </xdr:from>
    <xdr:ext cx="76200" cy="222885"/>
    <xdr:sp macro="" textlink="">
      <xdr:nvSpPr>
        <xdr:cNvPr id="440" name="Text Box 1">
          <a:extLst>
            <a:ext uri="{FF2B5EF4-FFF2-40B4-BE49-F238E27FC236}">
              <a16:creationId xmlns:a16="http://schemas.microsoft.com/office/drawing/2014/main" id="{85DA7352-538A-4B61-B39A-14EDCE1DC8BF}"/>
            </a:ext>
          </a:extLst>
        </xdr:cNvPr>
        <xdr:cNvSpPr txBox="1">
          <a:spLocks noChangeArrowheads="1"/>
        </xdr:cNvSpPr>
      </xdr:nvSpPr>
      <xdr:spPr bwMode="auto">
        <a:xfrm>
          <a:off x="685800" y="51211692"/>
          <a:ext cx="76200" cy="222885"/>
        </a:xfrm>
        <a:prstGeom prst="rect">
          <a:avLst/>
        </a:prstGeom>
        <a:noFill/>
        <a:ln w="9525">
          <a:noFill/>
          <a:miter lim="800000"/>
          <a:headEnd/>
          <a:tailEnd/>
        </a:ln>
      </xdr:spPr>
    </xdr:sp>
    <xdr:clientData/>
  </xdr:oneCellAnchor>
  <xdr:oneCellAnchor>
    <xdr:from>
      <xdr:col>0</xdr:col>
      <xdr:colOff>685800</xdr:colOff>
      <xdr:row>308</xdr:row>
      <xdr:rowOff>47625</xdr:rowOff>
    </xdr:from>
    <xdr:ext cx="76200" cy="222885"/>
    <xdr:sp macro="" textlink="">
      <xdr:nvSpPr>
        <xdr:cNvPr id="441" name="Text Box 1">
          <a:extLst>
            <a:ext uri="{FF2B5EF4-FFF2-40B4-BE49-F238E27FC236}">
              <a16:creationId xmlns:a16="http://schemas.microsoft.com/office/drawing/2014/main" id="{9BE527DB-72C7-496E-A07C-21C5AD683D23}"/>
            </a:ext>
          </a:extLst>
        </xdr:cNvPr>
        <xdr:cNvSpPr txBox="1">
          <a:spLocks noChangeArrowheads="1"/>
        </xdr:cNvSpPr>
      </xdr:nvSpPr>
      <xdr:spPr bwMode="auto">
        <a:xfrm>
          <a:off x="685800" y="51211692"/>
          <a:ext cx="76200" cy="222885"/>
        </a:xfrm>
        <a:prstGeom prst="rect">
          <a:avLst/>
        </a:prstGeom>
        <a:noFill/>
        <a:ln w="9525">
          <a:noFill/>
          <a:miter lim="800000"/>
          <a:headEnd/>
          <a:tailEnd/>
        </a:ln>
      </xdr:spPr>
    </xdr:sp>
    <xdr:clientData/>
  </xdr:oneCellAnchor>
  <xdr:oneCellAnchor>
    <xdr:from>
      <xdr:col>0</xdr:col>
      <xdr:colOff>685800</xdr:colOff>
      <xdr:row>309</xdr:row>
      <xdr:rowOff>47625</xdr:rowOff>
    </xdr:from>
    <xdr:ext cx="76200" cy="222885"/>
    <xdr:sp macro="" textlink="">
      <xdr:nvSpPr>
        <xdr:cNvPr id="442" name="Text Box 1">
          <a:extLst>
            <a:ext uri="{FF2B5EF4-FFF2-40B4-BE49-F238E27FC236}">
              <a16:creationId xmlns:a16="http://schemas.microsoft.com/office/drawing/2014/main" id="{443EF6A9-523F-4953-9527-0F26811EADA7}"/>
            </a:ext>
          </a:extLst>
        </xdr:cNvPr>
        <xdr:cNvSpPr txBox="1">
          <a:spLocks noChangeArrowheads="1"/>
        </xdr:cNvSpPr>
      </xdr:nvSpPr>
      <xdr:spPr bwMode="auto">
        <a:xfrm>
          <a:off x="685800" y="51389492"/>
          <a:ext cx="76200" cy="222885"/>
        </a:xfrm>
        <a:prstGeom prst="rect">
          <a:avLst/>
        </a:prstGeom>
        <a:noFill/>
        <a:ln w="9525">
          <a:noFill/>
          <a:miter lim="800000"/>
          <a:headEnd/>
          <a:tailEnd/>
        </a:ln>
      </xdr:spPr>
    </xdr:sp>
    <xdr:clientData/>
  </xdr:oneCellAnchor>
  <xdr:oneCellAnchor>
    <xdr:from>
      <xdr:col>0</xdr:col>
      <xdr:colOff>685800</xdr:colOff>
      <xdr:row>309</xdr:row>
      <xdr:rowOff>47625</xdr:rowOff>
    </xdr:from>
    <xdr:ext cx="76200" cy="222885"/>
    <xdr:sp macro="" textlink="">
      <xdr:nvSpPr>
        <xdr:cNvPr id="443" name="Text Box 1">
          <a:extLst>
            <a:ext uri="{FF2B5EF4-FFF2-40B4-BE49-F238E27FC236}">
              <a16:creationId xmlns:a16="http://schemas.microsoft.com/office/drawing/2014/main" id="{FD7A2F52-4B09-456F-BCB6-BC585B436747}"/>
            </a:ext>
          </a:extLst>
        </xdr:cNvPr>
        <xdr:cNvSpPr txBox="1">
          <a:spLocks noChangeArrowheads="1"/>
        </xdr:cNvSpPr>
      </xdr:nvSpPr>
      <xdr:spPr bwMode="auto">
        <a:xfrm>
          <a:off x="685800" y="51389492"/>
          <a:ext cx="76200" cy="222885"/>
        </a:xfrm>
        <a:prstGeom prst="rect">
          <a:avLst/>
        </a:prstGeom>
        <a:noFill/>
        <a:ln w="9525">
          <a:noFill/>
          <a:miter lim="800000"/>
          <a:headEnd/>
          <a:tailEnd/>
        </a:ln>
      </xdr:spPr>
    </xdr:sp>
    <xdr:clientData/>
  </xdr:oneCellAnchor>
  <xdr:oneCellAnchor>
    <xdr:from>
      <xdr:col>0</xdr:col>
      <xdr:colOff>685800</xdr:colOff>
      <xdr:row>311</xdr:row>
      <xdr:rowOff>47625</xdr:rowOff>
    </xdr:from>
    <xdr:ext cx="76200" cy="222885"/>
    <xdr:sp macro="" textlink="">
      <xdr:nvSpPr>
        <xdr:cNvPr id="444" name="Text Box 1">
          <a:extLst>
            <a:ext uri="{FF2B5EF4-FFF2-40B4-BE49-F238E27FC236}">
              <a16:creationId xmlns:a16="http://schemas.microsoft.com/office/drawing/2014/main" id="{EE0F4FDE-628C-4532-B08B-1A95E9A5C3D8}"/>
            </a:ext>
          </a:extLst>
        </xdr:cNvPr>
        <xdr:cNvSpPr txBox="1">
          <a:spLocks noChangeArrowheads="1"/>
        </xdr:cNvSpPr>
      </xdr:nvSpPr>
      <xdr:spPr bwMode="auto">
        <a:xfrm>
          <a:off x="685800" y="51745092"/>
          <a:ext cx="76200" cy="222885"/>
        </a:xfrm>
        <a:prstGeom prst="rect">
          <a:avLst/>
        </a:prstGeom>
        <a:noFill/>
        <a:ln w="9525">
          <a:noFill/>
          <a:miter lim="800000"/>
          <a:headEnd/>
          <a:tailEnd/>
        </a:ln>
      </xdr:spPr>
    </xdr:sp>
    <xdr:clientData/>
  </xdr:oneCellAnchor>
  <xdr:oneCellAnchor>
    <xdr:from>
      <xdr:col>0</xdr:col>
      <xdr:colOff>685800</xdr:colOff>
      <xdr:row>311</xdr:row>
      <xdr:rowOff>47625</xdr:rowOff>
    </xdr:from>
    <xdr:ext cx="76200" cy="222885"/>
    <xdr:sp macro="" textlink="">
      <xdr:nvSpPr>
        <xdr:cNvPr id="445" name="Text Box 1">
          <a:extLst>
            <a:ext uri="{FF2B5EF4-FFF2-40B4-BE49-F238E27FC236}">
              <a16:creationId xmlns:a16="http://schemas.microsoft.com/office/drawing/2014/main" id="{B6A80C72-EA56-477E-A876-B28B7CFE2420}"/>
            </a:ext>
          </a:extLst>
        </xdr:cNvPr>
        <xdr:cNvSpPr txBox="1">
          <a:spLocks noChangeArrowheads="1"/>
        </xdr:cNvSpPr>
      </xdr:nvSpPr>
      <xdr:spPr bwMode="auto">
        <a:xfrm>
          <a:off x="685800" y="51745092"/>
          <a:ext cx="76200" cy="222885"/>
        </a:xfrm>
        <a:prstGeom prst="rect">
          <a:avLst/>
        </a:prstGeom>
        <a:noFill/>
        <a:ln w="9525">
          <a:noFill/>
          <a:miter lim="800000"/>
          <a:headEnd/>
          <a:tailEnd/>
        </a:ln>
      </xdr:spPr>
    </xdr:sp>
    <xdr:clientData/>
  </xdr:oneCellAnchor>
  <xdr:oneCellAnchor>
    <xdr:from>
      <xdr:col>0</xdr:col>
      <xdr:colOff>685800</xdr:colOff>
      <xdr:row>311</xdr:row>
      <xdr:rowOff>47625</xdr:rowOff>
    </xdr:from>
    <xdr:ext cx="76200" cy="222885"/>
    <xdr:sp macro="" textlink="">
      <xdr:nvSpPr>
        <xdr:cNvPr id="446" name="Text Box 1">
          <a:extLst>
            <a:ext uri="{FF2B5EF4-FFF2-40B4-BE49-F238E27FC236}">
              <a16:creationId xmlns:a16="http://schemas.microsoft.com/office/drawing/2014/main" id="{D081F613-29B5-489E-9632-366C2C2C67D3}"/>
            </a:ext>
          </a:extLst>
        </xdr:cNvPr>
        <xdr:cNvSpPr txBox="1">
          <a:spLocks noChangeArrowheads="1"/>
        </xdr:cNvSpPr>
      </xdr:nvSpPr>
      <xdr:spPr bwMode="auto">
        <a:xfrm>
          <a:off x="685800" y="51745092"/>
          <a:ext cx="76200" cy="222885"/>
        </a:xfrm>
        <a:prstGeom prst="rect">
          <a:avLst/>
        </a:prstGeom>
        <a:noFill/>
        <a:ln w="9525">
          <a:noFill/>
          <a:miter lim="800000"/>
          <a:headEnd/>
          <a:tailEnd/>
        </a:ln>
      </xdr:spPr>
    </xdr:sp>
    <xdr:clientData/>
  </xdr:oneCellAnchor>
  <xdr:oneCellAnchor>
    <xdr:from>
      <xdr:col>0</xdr:col>
      <xdr:colOff>685800</xdr:colOff>
      <xdr:row>311</xdr:row>
      <xdr:rowOff>47625</xdr:rowOff>
    </xdr:from>
    <xdr:ext cx="76200" cy="222885"/>
    <xdr:sp macro="" textlink="">
      <xdr:nvSpPr>
        <xdr:cNvPr id="447" name="Text Box 1">
          <a:extLst>
            <a:ext uri="{FF2B5EF4-FFF2-40B4-BE49-F238E27FC236}">
              <a16:creationId xmlns:a16="http://schemas.microsoft.com/office/drawing/2014/main" id="{18BD44F3-F9AB-462B-B5DD-2A694289C558}"/>
            </a:ext>
          </a:extLst>
        </xdr:cNvPr>
        <xdr:cNvSpPr txBox="1">
          <a:spLocks noChangeArrowheads="1"/>
        </xdr:cNvSpPr>
      </xdr:nvSpPr>
      <xdr:spPr bwMode="auto">
        <a:xfrm>
          <a:off x="685800" y="51745092"/>
          <a:ext cx="76200" cy="222885"/>
        </a:xfrm>
        <a:prstGeom prst="rect">
          <a:avLst/>
        </a:prstGeom>
        <a:noFill/>
        <a:ln w="9525">
          <a:noFill/>
          <a:miter lim="800000"/>
          <a:headEnd/>
          <a:tailEnd/>
        </a:ln>
      </xdr:spPr>
    </xdr:sp>
    <xdr:clientData/>
  </xdr:oneCellAnchor>
  <xdr:oneCellAnchor>
    <xdr:from>
      <xdr:col>0</xdr:col>
      <xdr:colOff>685800</xdr:colOff>
      <xdr:row>313</xdr:row>
      <xdr:rowOff>0</xdr:rowOff>
    </xdr:from>
    <xdr:ext cx="76200" cy="222885"/>
    <xdr:sp macro="" textlink="">
      <xdr:nvSpPr>
        <xdr:cNvPr id="448" name="Text Box 1">
          <a:extLst>
            <a:ext uri="{FF2B5EF4-FFF2-40B4-BE49-F238E27FC236}">
              <a16:creationId xmlns:a16="http://schemas.microsoft.com/office/drawing/2014/main" id="{C5546DA1-74C5-4F2F-81DC-0B60F5F36A17}"/>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313</xdr:row>
      <xdr:rowOff>0</xdr:rowOff>
    </xdr:from>
    <xdr:ext cx="76200" cy="222885"/>
    <xdr:sp macro="" textlink="">
      <xdr:nvSpPr>
        <xdr:cNvPr id="449" name="Text Box 1">
          <a:extLst>
            <a:ext uri="{FF2B5EF4-FFF2-40B4-BE49-F238E27FC236}">
              <a16:creationId xmlns:a16="http://schemas.microsoft.com/office/drawing/2014/main" id="{AE019707-8229-4DAF-AD96-391A66844547}"/>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313</xdr:row>
      <xdr:rowOff>0</xdr:rowOff>
    </xdr:from>
    <xdr:ext cx="76200" cy="222885"/>
    <xdr:sp macro="" textlink="">
      <xdr:nvSpPr>
        <xdr:cNvPr id="450" name="Text Box 1">
          <a:extLst>
            <a:ext uri="{FF2B5EF4-FFF2-40B4-BE49-F238E27FC236}">
              <a16:creationId xmlns:a16="http://schemas.microsoft.com/office/drawing/2014/main" id="{629429A2-696E-424B-B493-31412453C0C9}"/>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313</xdr:row>
      <xdr:rowOff>0</xdr:rowOff>
    </xdr:from>
    <xdr:ext cx="76200" cy="222885"/>
    <xdr:sp macro="" textlink="">
      <xdr:nvSpPr>
        <xdr:cNvPr id="451" name="Text Box 1">
          <a:extLst>
            <a:ext uri="{FF2B5EF4-FFF2-40B4-BE49-F238E27FC236}">
              <a16:creationId xmlns:a16="http://schemas.microsoft.com/office/drawing/2014/main" id="{F0365210-C030-46BE-B5C0-8F304C1A7243}"/>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313</xdr:row>
      <xdr:rowOff>0</xdr:rowOff>
    </xdr:from>
    <xdr:ext cx="76200" cy="222885"/>
    <xdr:sp macro="" textlink="">
      <xdr:nvSpPr>
        <xdr:cNvPr id="452" name="Text Box 1">
          <a:extLst>
            <a:ext uri="{FF2B5EF4-FFF2-40B4-BE49-F238E27FC236}">
              <a16:creationId xmlns:a16="http://schemas.microsoft.com/office/drawing/2014/main" id="{D58BBD0D-A4FA-482B-9AE9-28AAB564358C}"/>
            </a:ext>
          </a:extLst>
        </xdr:cNvPr>
        <xdr:cNvSpPr txBox="1">
          <a:spLocks noChangeArrowheads="1"/>
        </xdr:cNvSpPr>
      </xdr:nvSpPr>
      <xdr:spPr bwMode="auto">
        <a:xfrm>
          <a:off x="685800" y="51164067"/>
          <a:ext cx="76200" cy="222885"/>
        </a:xfrm>
        <a:prstGeom prst="rect">
          <a:avLst/>
        </a:prstGeom>
        <a:noFill/>
        <a:ln w="9525">
          <a:noFill/>
          <a:miter lim="800000"/>
          <a:headEnd/>
          <a:tailEnd/>
        </a:ln>
      </xdr:spPr>
    </xdr:sp>
    <xdr:clientData/>
  </xdr:oneCellAnchor>
  <xdr:oneCellAnchor>
    <xdr:from>
      <xdr:col>0</xdr:col>
      <xdr:colOff>685800</xdr:colOff>
      <xdr:row>313</xdr:row>
      <xdr:rowOff>47625</xdr:rowOff>
    </xdr:from>
    <xdr:ext cx="76200" cy="222885"/>
    <xdr:sp macro="" textlink="">
      <xdr:nvSpPr>
        <xdr:cNvPr id="453" name="Text Box 1">
          <a:extLst>
            <a:ext uri="{FF2B5EF4-FFF2-40B4-BE49-F238E27FC236}">
              <a16:creationId xmlns:a16="http://schemas.microsoft.com/office/drawing/2014/main" id="{3F1757A1-A1C4-4D5F-8F6A-D79F6677F0A6}"/>
            </a:ext>
          </a:extLst>
        </xdr:cNvPr>
        <xdr:cNvSpPr txBox="1">
          <a:spLocks noChangeArrowheads="1"/>
        </xdr:cNvSpPr>
      </xdr:nvSpPr>
      <xdr:spPr bwMode="auto">
        <a:xfrm>
          <a:off x="685800" y="51211692"/>
          <a:ext cx="76200" cy="222885"/>
        </a:xfrm>
        <a:prstGeom prst="rect">
          <a:avLst/>
        </a:prstGeom>
        <a:noFill/>
        <a:ln w="9525">
          <a:noFill/>
          <a:miter lim="800000"/>
          <a:headEnd/>
          <a:tailEnd/>
        </a:ln>
      </xdr:spPr>
    </xdr:sp>
    <xdr:clientData/>
  </xdr:oneCellAnchor>
  <xdr:oneCellAnchor>
    <xdr:from>
      <xdr:col>0</xdr:col>
      <xdr:colOff>685800</xdr:colOff>
      <xdr:row>313</xdr:row>
      <xdr:rowOff>47625</xdr:rowOff>
    </xdr:from>
    <xdr:ext cx="76200" cy="222885"/>
    <xdr:sp macro="" textlink="">
      <xdr:nvSpPr>
        <xdr:cNvPr id="454" name="Text Box 1">
          <a:extLst>
            <a:ext uri="{FF2B5EF4-FFF2-40B4-BE49-F238E27FC236}">
              <a16:creationId xmlns:a16="http://schemas.microsoft.com/office/drawing/2014/main" id="{765BB590-4BE7-4B94-847C-EC96AC582622}"/>
            </a:ext>
          </a:extLst>
        </xdr:cNvPr>
        <xdr:cNvSpPr txBox="1">
          <a:spLocks noChangeArrowheads="1"/>
        </xdr:cNvSpPr>
      </xdr:nvSpPr>
      <xdr:spPr bwMode="auto">
        <a:xfrm>
          <a:off x="685800" y="51211692"/>
          <a:ext cx="76200" cy="222885"/>
        </a:xfrm>
        <a:prstGeom prst="rect">
          <a:avLst/>
        </a:prstGeom>
        <a:noFill/>
        <a:ln w="9525">
          <a:noFill/>
          <a:miter lim="800000"/>
          <a:headEnd/>
          <a:tailEnd/>
        </a:ln>
      </xdr:spPr>
    </xdr:sp>
    <xdr:clientData/>
  </xdr:oneCellAnchor>
  <xdr:oneCellAnchor>
    <xdr:from>
      <xdr:col>0</xdr:col>
      <xdr:colOff>685800</xdr:colOff>
      <xdr:row>314</xdr:row>
      <xdr:rowOff>47625</xdr:rowOff>
    </xdr:from>
    <xdr:ext cx="76200" cy="222885"/>
    <xdr:sp macro="" textlink="">
      <xdr:nvSpPr>
        <xdr:cNvPr id="455" name="Text Box 1">
          <a:extLst>
            <a:ext uri="{FF2B5EF4-FFF2-40B4-BE49-F238E27FC236}">
              <a16:creationId xmlns:a16="http://schemas.microsoft.com/office/drawing/2014/main" id="{498A7DE7-8C91-4434-9DB2-E54621165D12}"/>
            </a:ext>
          </a:extLst>
        </xdr:cNvPr>
        <xdr:cNvSpPr txBox="1">
          <a:spLocks noChangeArrowheads="1"/>
        </xdr:cNvSpPr>
      </xdr:nvSpPr>
      <xdr:spPr bwMode="auto">
        <a:xfrm>
          <a:off x="685800" y="51389492"/>
          <a:ext cx="76200" cy="222885"/>
        </a:xfrm>
        <a:prstGeom prst="rect">
          <a:avLst/>
        </a:prstGeom>
        <a:noFill/>
        <a:ln w="9525">
          <a:noFill/>
          <a:miter lim="800000"/>
          <a:headEnd/>
          <a:tailEnd/>
        </a:ln>
      </xdr:spPr>
    </xdr:sp>
    <xdr:clientData/>
  </xdr:oneCellAnchor>
  <xdr:oneCellAnchor>
    <xdr:from>
      <xdr:col>0</xdr:col>
      <xdr:colOff>685800</xdr:colOff>
      <xdr:row>314</xdr:row>
      <xdr:rowOff>47625</xdr:rowOff>
    </xdr:from>
    <xdr:ext cx="76200" cy="222885"/>
    <xdr:sp macro="" textlink="">
      <xdr:nvSpPr>
        <xdr:cNvPr id="456" name="Text Box 1">
          <a:extLst>
            <a:ext uri="{FF2B5EF4-FFF2-40B4-BE49-F238E27FC236}">
              <a16:creationId xmlns:a16="http://schemas.microsoft.com/office/drawing/2014/main" id="{869C1269-493B-4D4E-A49E-E251AE7B4C7F}"/>
            </a:ext>
          </a:extLst>
        </xdr:cNvPr>
        <xdr:cNvSpPr txBox="1">
          <a:spLocks noChangeArrowheads="1"/>
        </xdr:cNvSpPr>
      </xdr:nvSpPr>
      <xdr:spPr bwMode="auto">
        <a:xfrm>
          <a:off x="685800" y="51389492"/>
          <a:ext cx="76200" cy="222885"/>
        </a:xfrm>
        <a:prstGeom prst="rect">
          <a:avLst/>
        </a:prstGeom>
        <a:noFill/>
        <a:ln w="9525">
          <a:noFill/>
          <a:miter lim="800000"/>
          <a:headEnd/>
          <a:tailEnd/>
        </a:ln>
      </xdr:spPr>
    </xdr:sp>
    <xdr:clientData/>
  </xdr:oneCellAnchor>
  <xdr:oneCellAnchor>
    <xdr:from>
      <xdr:col>0</xdr:col>
      <xdr:colOff>685800</xdr:colOff>
      <xdr:row>316</xdr:row>
      <xdr:rowOff>47625</xdr:rowOff>
    </xdr:from>
    <xdr:ext cx="76200" cy="222885"/>
    <xdr:sp macro="" textlink="">
      <xdr:nvSpPr>
        <xdr:cNvPr id="457" name="Text Box 1">
          <a:extLst>
            <a:ext uri="{FF2B5EF4-FFF2-40B4-BE49-F238E27FC236}">
              <a16:creationId xmlns:a16="http://schemas.microsoft.com/office/drawing/2014/main" id="{5870853A-8F8C-4F23-9C78-DF1E37C8EB4F}"/>
            </a:ext>
          </a:extLst>
        </xdr:cNvPr>
        <xdr:cNvSpPr txBox="1">
          <a:spLocks noChangeArrowheads="1"/>
        </xdr:cNvSpPr>
      </xdr:nvSpPr>
      <xdr:spPr bwMode="auto">
        <a:xfrm>
          <a:off x="685800" y="51745092"/>
          <a:ext cx="76200" cy="222885"/>
        </a:xfrm>
        <a:prstGeom prst="rect">
          <a:avLst/>
        </a:prstGeom>
        <a:noFill/>
        <a:ln w="9525">
          <a:noFill/>
          <a:miter lim="800000"/>
          <a:headEnd/>
          <a:tailEnd/>
        </a:ln>
      </xdr:spPr>
    </xdr:sp>
    <xdr:clientData/>
  </xdr:oneCellAnchor>
  <xdr:oneCellAnchor>
    <xdr:from>
      <xdr:col>0</xdr:col>
      <xdr:colOff>685800</xdr:colOff>
      <xdr:row>316</xdr:row>
      <xdr:rowOff>47625</xdr:rowOff>
    </xdr:from>
    <xdr:ext cx="76200" cy="222885"/>
    <xdr:sp macro="" textlink="">
      <xdr:nvSpPr>
        <xdr:cNvPr id="458" name="Text Box 1">
          <a:extLst>
            <a:ext uri="{FF2B5EF4-FFF2-40B4-BE49-F238E27FC236}">
              <a16:creationId xmlns:a16="http://schemas.microsoft.com/office/drawing/2014/main" id="{F8C5443D-9C2F-4EF2-A786-106C7FBF1719}"/>
            </a:ext>
          </a:extLst>
        </xdr:cNvPr>
        <xdr:cNvSpPr txBox="1">
          <a:spLocks noChangeArrowheads="1"/>
        </xdr:cNvSpPr>
      </xdr:nvSpPr>
      <xdr:spPr bwMode="auto">
        <a:xfrm>
          <a:off x="685800" y="51745092"/>
          <a:ext cx="76200" cy="222885"/>
        </a:xfrm>
        <a:prstGeom prst="rect">
          <a:avLst/>
        </a:prstGeom>
        <a:noFill/>
        <a:ln w="9525">
          <a:noFill/>
          <a:miter lim="800000"/>
          <a:headEnd/>
          <a:tailEnd/>
        </a:ln>
      </xdr:spPr>
    </xdr:sp>
    <xdr:clientData/>
  </xdr:oneCellAnchor>
  <xdr:oneCellAnchor>
    <xdr:from>
      <xdr:col>0</xdr:col>
      <xdr:colOff>685800</xdr:colOff>
      <xdr:row>316</xdr:row>
      <xdr:rowOff>47625</xdr:rowOff>
    </xdr:from>
    <xdr:ext cx="76200" cy="222885"/>
    <xdr:sp macro="" textlink="">
      <xdr:nvSpPr>
        <xdr:cNvPr id="459" name="Text Box 1">
          <a:extLst>
            <a:ext uri="{FF2B5EF4-FFF2-40B4-BE49-F238E27FC236}">
              <a16:creationId xmlns:a16="http://schemas.microsoft.com/office/drawing/2014/main" id="{3D3FC67C-56A4-4CB7-8D98-DD38A7BC0D14}"/>
            </a:ext>
          </a:extLst>
        </xdr:cNvPr>
        <xdr:cNvSpPr txBox="1">
          <a:spLocks noChangeArrowheads="1"/>
        </xdr:cNvSpPr>
      </xdr:nvSpPr>
      <xdr:spPr bwMode="auto">
        <a:xfrm>
          <a:off x="685800" y="51745092"/>
          <a:ext cx="76200" cy="222885"/>
        </a:xfrm>
        <a:prstGeom prst="rect">
          <a:avLst/>
        </a:prstGeom>
        <a:noFill/>
        <a:ln w="9525">
          <a:noFill/>
          <a:miter lim="800000"/>
          <a:headEnd/>
          <a:tailEnd/>
        </a:ln>
      </xdr:spPr>
    </xdr:sp>
    <xdr:clientData/>
  </xdr:oneCellAnchor>
  <xdr:oneCellAnchor>
    <xdr:from>
      <xdr:col>0</xdr:col>
      <xdr:colOff>685800</xdr:colOff>
      <xdr:row>316</xdr:row>
      <xdr:rowOff>47625</xdr:rowOff>
    </xdr:from>
    <xdr:ext cx="76200" cy="222885"/>
    <xdr:sp macro="" textlink="">
      <xdr:nvSpPr>
        <xdr:cNvPr id="460" name="Text Box 1">
          <a:extLst>
            <a:ext uri="{FF2B5EF4-FFF2-40B4-BE49-F238E27FC236}">
              <a16:creationId xmlns:a16="http://schemas.microsoft.com/office/drawing/2014/main" id="{12D7A767-A112-483D-B564-0A778A5E1895}"/>
            </a:ext>
          </a:extLst>
        </xdr:cNvPr>
        <xdr:cNvSpPr txBox="1">
          <a:spLocks noChangeArrowheads="1"/>
        </xdr:cNvSpPr>
      </xdr:nvSpPr>
      <xdr:spPr bwMode="auto">
        <a:xfrm>
          <a:off x="685800" y="51745092"/>
          <a:ext cx="76200" cy="222885"/>
        </a:xfrm>
        <a:prstGeom prst="rect">
          <a:avLst/>
        </a:prstGeom>
        <a:noFill/>
        <a:ln w="9525">
          <a:noFill/>
          <a:miter lim="800000"/>
          <a:headEnd/>
          <a:tailEnd/>
        </a:ln>
      </xdr:spPr>
    </xdr:sp>
    <xdr:clientData/>
  </xdr:oneCellAnchor>
  <xdr:oneCellAnchor>
    <xdr:from>
      <xdr:col>0</xdr:col>
      <xdr:colOff>685800</xdr:colOff>
      <xdr:row>316</xdr:row>
      <xdr:rowOff>47625</xdr:rowOff>
    </xdr:from>
    <xdr:ext cx="76200" cy="222885"/>
    <xdr:sp macro="" textlink="">
      <xdr:nvSpPr>
        <xdr:cNvPr id="461" name="Text Box 1">
          <a:extLst>
            <a:ext uri="{FF2B5EF4-FFF2-40B4-BE49-F238E27FC236}">
              <a16:creationId xmlns:a16="http://schemas.microsoft.com/office/drawing/2014/main" id="{61AC8602-AF14-44BA-AE80-4CF223CC9DEB}"/>
            </a:ext>
          </a:extLst>
        </xdr:cNvPr>
        <xdr:cNvSpPr txBox="1">
          <a:spLocks noChangeArrowheads="1"/>
        </xdr:cNvSpPr>
      </xdr:nvSpPr>
      <xdr:spPr bwMode="auto">
        <a:xfrm>
          <a:off x="685800" y="54056492"/>
          <a:ext cx="76200" cy="222885"/>
        </a:xfrm>
        <a:prstGeom prst="rect">
          <a:avLst/>
        </a:prstGeom>
        <a:noFill/>
        <a:ln w="9525">
          <a:noFill/>
          <a:miter lim="800000"/>
          <a:headEnd/>
          <a:tailEnd/>
        </a:ln>
      </xdr:spPr>
    </xdr:sp>
    <xdr:clientData/>
  </xdr:oneCellAnchor>
  <xdr:oneCellAnchor>
    <xdr:from>
      <xdr:col>0</xdr:col>
      <xdr:colOff>685800</xdr:colOff>
      <xdr:row>316</xdr:row>
      <xdr:rowOff>47625</xdr:rowOff>
    </xdr:from>
    <xdr:ext cx="76200" cy="222885"/>
    <xdr:sp macro="" textlink="">
      <xdr:nvSpPr>
        <xdr:cNvPr id="462" name="Text Box 1">
          <a:extLst>
            <a:ext uri="{FF2B5EF4-FFF2-40B4-BE49-F238E27FC236}">
              <a16:creationId xmlns:a16="http://schemas.microsoft.com/office/drawing/2014/main" id="{1E2A4AB9-0ADC-4547-8D1B-2337A50C8A79}"/>
            </a:ext>
          </a:extLst>
        </xdr:cNvPr>
        <xdr:cNvSpPr txBox="1">
          <a:spLocks noChangeArrowheads="1"/>
        </xdr:cNvSpPr>
      </xdr:nvSpPr>
      <xdr:spPr bwMode="auto">
        <a:xfrm>
          <a:off x="685800" y="54056492"/>
          <a:ext cx="76200" cy="222885"/>
        </a:xfrm>
        <a:prstGeom prst="rect">
          <a:avLst/>
        </a:prstGeom>
        <a:noFill/>
        <a:ln w="9525">
          <a:noFill/>
          <a:miter lim="800000"/>
          <a:headEnd/>
          <a:tailEnd/>
        </a:ln>
      </xdr:spPr>
    </xdr:sp>
    <xdr:clientData/>
  </xdr:oneCellAnchor>
  <xdr:oneCellAnchor>
    <xdr:from>
      <xdr:col>0</xdr:col>
      <xdr:colOff>685800</xdr:colOff>
      <xdr:row>318</xdr:row>
      <xdr:rowOff>47625</xdr:rowOff>
    </xdr:from>
    <xdr:ext cx="76200" cy="222885"/>
    <xdr:sp macro="" textlink="">
      <xdr:nvSpPr>
        <xdr:cNvPr id="463" name="Text Box 1">
          <a:extLst>
            <a:ext uri="{FF2B5EF4-FFF2-40B4-BE49-F238E27FC236}">
              <a16:creationId xmlns:a16="http://schemas.microsoft.com/office/drawing/2014/main" id="{C45C3DDC-5284-4C3D-A89B-CCEAA2490379}"/>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318</xdr:row>
      <xdr:rowOff>47625</xdr:rowOff>
    </xdr:from>
    <xdr:ext cx="76200" cy="222885"/>
    <xdr:sp macro="" textlink="">
      <xdr:nvSpPr>
        <xdr:cNvPr id="464" name="Text Box 1">
          <a:extLst>
            <a:ext uri="{FF2B5EF4-FFF2-40B4-BE49-F238E27FC236}">
              <a16:creationId xmlns:a16="http://schemas.microsoft.com/office/drawing/2014/main" id="{20341D80-3602-4B18-AC78-51EAC635B313}"/>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318</xdr:row>
      <xdr:rowOff>47625</xdr:rowOff>
    </xdr:from>
    <xdr:ext cx="76200" cy="222885"/>
    <xdr:sp macro="" textlink="">
      <xdr:nvSpPr>
        <xdr:cNvPr id="465" name="Text Box 1">
          <a:extLst>
            <a:ext uri="{FF2B5EF4-FFF2-40B4-BE49-F238E27FC236}">
              <a16:creationId xmlns:a16="http://schemas.microsoft.com/office/drawing/2014/main" id="{1BB0A46B-CBB2-4858-835E-74E71B08E169}"/>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318</xdr:row>
      <xdr:rowOff>47625</xdr:rowOff>
    </xdr:from>
    <xdr:ext cx="76200" cy="222885"/>
    <xdr:sp macro="" textlink="">
      <xdr:nvSpPr>
        <xdr:cNvPr id="466" name="Text Box 1">
          <a:extLst>
            <a:ext uri="{FF2B5EF4-FFF2-40B4-BE49-F238E27FC236}">
              <a16:creationId xmlns:a16="http://schemas.microsoft.com/office/drawing/2014/main" id="{7830581F-4706-493B-8F26-57D9C8939A80}"/>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318</xdr:row>
      <xdr:rowOff>47625</xdr:rowOff>
    </xdr:from>
    <xdr:ext cx="76200" cy="222885"/>
    <xdr:sp macro="" textlink="">
      <xdr:nvSpPr>
        <xdr:cNvPr id="467" name="Text Box 1">
          <a:extLst>
            <a:ext uri="{FF2B5EF4-FFF2-40B4-BE49-F238E27FC236}">
              <a16:creationId xmlns:a16="http://schemas.microsoft.com/office/drawing/2014/main" id="{E21A930F-1D7D-4C18-B59C-12CB1DBB7BB6}"/>
            </a:ext>
          </a:extLst>
        </xdr:cNvPr>
        <xdr:cNvSpPr txBox="1">
          <a:spLocks noChangeArrowheads="1"/>
        </xdr:cNvSpPr>
      </xdr:nvSpPr>
      <xdr:spPr bwMode="auto">
        <a:xfrm>
          <a:off x="685800" y="54056492"/>
          <a:ext cx="76200" cy="222885"/>
        </a:xfrm>
        <a:prstGeom prst="rect">
          <a:avLst/>
        </a:prstGeom>
        <a:noFill/>
        <a:ln w="9525">
          <a:noFill/>
          <a:miter lim="800000"/>
          <a:headEnd/>
          <a:tailEnd/>
        </a:ln>
      </xdr:spPr>
    </xdr:sp>
    <xdr:clientData/>
  </xdr:oneCellAnchor>
  <xdr:oneCellAnchor>
    <xdr:from>
      <xdr:col>0</xdr:col>
      <xdr:colOff>685800</xdr:colOff>
      <xdr:row>318</xdr:row>
      <xdr:rowOff>47625</xdr:rowOff>
    </xdr:from>
    <xdr:ext cx="76200" cy="222885"/>
    <xdr:sp macro="" textlink="">
      <xdr:nvSpPr>
        <xdr:cNvPr id="468" name="Text Box 1">
          <a:extLst>
            <a:ext uri="{FF2B5EF4-FFF2-40B4-BE49-F238E27FC236}">
              <a16:creationId xmlns:a16="http://schemas.microsoft.com/office/drawing/2014/main" id="{BBF9BFF1-88B7-4660-93F5-31756BC09FB5}"/>
            </a:ext>
          </a:extLst>
        </xdr:cNvPr>
        <xdr:cNvSpPr txBox="1">
          <a:spLocks noChangeArrowheads="1"/>
        </xdr:cNvSpPr>
      </xdr:nvSpPr>
      <xdr:spPr bwMode="auto">
        <a:xfrm>
          <a:off x="685800" y="54056492"/>
          <a:ext cx="76200" cy="222885"/>
        </a:xfrm>
        <a:prstGeom prst="rect">
          <a:avLst/>
        </a:prstGeom>
        <a:noFill/>
        <a:ln w="9525">
          <a:noFill/>
          <a:miter lim="800000"/>
          <a:headEnd/>
          <a:tailEnd/>
        </a:ln>
      </xdr:spPr>
    </xdr:sp>
    <xdr:clientData/>
  </xdr:oneCellAnchor>
  <xdr:oneCellAnchor>
    <xdr:from>
      <xdr:col>0</xdr:col>
      <xdr:colOff>685800</xdr:colOff>
      <xdr:row>320</xdr:row>
      <xdr:rowOff>47625</xdr:rowOff>
    </xdr:from>
    <xdr:ext cx="76200" cy="222885"/>
    <xdr:sp macro="" textlink="">
      <xdr:nvSpPr>
        <xdr:cNvPr id="469" name="Text Box 1">
          <a:extLst>
            <a:ext uri="{FF2B5EF4-FFF2-40B4-BE49-F238E27FC236}">
              <a16:creationId xmlns:a16="http://schemas.microsoft.com/office/drawing/2014/main" id="{7D3C2A0F-64DC-473A-A32F-5B76372FDE30}"/>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320</xdr:row>
      <xdr:rowOff>47625</xdr:rowOff>
    </xdr:from>
    <xdr:ext cx="76200" cy="222885"/>
    <xdr:sp macro="" textlink="">
      <xdr:nvSpPr>
        <xdr:cNvPr id="470" name="Text Box 1">
          <a:extLst>
            <a:ext uri="{FF2B5EF4-FFF2-40B4-BE49-F238E27FC236}">
              <a16:creationId xmlns:a16="http://schemas.microsoft.com/office/drawing/2014/main" id="{BCC478CE-446F-47B7-A362-4548658F1B18}"/>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320</xdr:row>
      <xdr:rowOff>47625</xdr:rowOff>
    </xdr:from>
    <xdr:ext cx="76200" cy="222885"/>
    <xdr:sp macro="" textlink="">
      <xdr:nvSpPr>
        <xdr:cNvPr id="471" name="Text Box 1">
          <a:extLst>
            <a:ext uri="{FF2B5EF4-FFF2-40B4-BE49-F238E27FC236}">
              <a16:creationId xmlns:a16="http://schemas.microsoft.com/office/drawing/2014/main" id="{8E305DC3-2222-48E0-A225-8C1A52174DCD}"/>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320</xdr:row>
      <xdr:rowOff>47625</xdr:rowOff>
    </xdr:from>
    <xdr:ext cx="76200" cy="222885"/>
    <xdr:sp macro="" textlink="">
      <xdr:nvSpPr>
        <xdr:cNvPr id="472" name="Text Box 1">
          <a:extLst>
            <a:ext uri="{FF2B5EF4-FFF2-40B4-BE49-F238E27FC236}">
              <a16:creationId xmlns:a16="http://schemas.microsoft.com/office/drawing/2014/main" id="{A4EBE5AE-39C4-4AAD-8013-F5B7B670B07E}"/>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320</xdr:row>
      <xdr:rowOff>47625</xdr:rowOff>
    </xdr:from>
    <xdr:ext cx="76200" cy="222885"/>
    <xdr:sp macro="" textlink="">
      <xdr:nvSpPr>
        <xdr:cNvPr id="473" name="Text Box 1">
          <a:extLst>
            <a:ext uri="{FF2B5EF4-FFF2-40B4-BE49-F238E27FC236}">
              <a16:creationId xmlns:a16="http://schemas.microsoft.com/office/drawing/2014/main" id="{8CEBF194-8B53-4005-82FA-C3E4F38C5766}"/>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320</xdr:row>
      <xdr:rowOff>47625</xdr:rowOff>
    </xdr:from>
    <xdr:ext cx="76200" cy="222885"/>
    <xdr:sp macro="" textlink="">
      <xdr:nvSpPr>
        <xdr:cNvPr id="474" name="Text Box 1">
          <a:extLst>
            <a:ext uri="{FF2B5EF4-FFF2-40B4-BE49-F238E27FC236}">
              <a16:creationId xmlns:a16="http://schemas.microsoft.com/office/drawing/2014/main" id="{36173288-8E82-469C-9478-F95CD5E2EC24}"/>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320</xdr:row>
      <xdr:rowOff>47625</xdr:rowOff>
    </xdr:from>
    <xdr:ext cx="76200" cy="222885"/>
    <xdr:sp macro="" textlink="">
      <xdr:nvSpPr>
        <xdr:cNvPr id="475" name="Text Box 1">
          <a:extLst>
            <a:ext uri="{FF2B5EF4-FFF2-40B4-BE49-F238E27FC236}">
              <a16:creationId xmlns:a16="http://schemas.microsoft.com/office/drawing/2014/main" id="{1AA48770-FA39-46E3-B09A-BAD65A895B93}"/>
            </a:ext>
          </a:extLst>
        </xdr:cNvPr>
        <xdr:cNvSpPr txBox="1">
          <a:spLocks noChangeArrowheads="1"/>
        </xdr:cNvSpPr>
      </xdr:nvSpPr>
      <xdr:spPr bwMode="auto">
        <a:xfrm>
          <a:off x="685800" y="54056492"/>
          <a:ext cx="76200" cy="222885"/>
        </a:xfrm>
        <a:prstGeom prst="rect">
          <a:avLst/>
        </a:prstGeom>
        <a:noFill/>
        <a:ln w="9525">
          <a:noFill/>
          <a:miter lim="800000"/>
          <a:headEnd/>
          <a:tailEnd/>
        </a:ln>
      </xdr:spPr>
    </xdr:sp>
    <xdr:clientData/>
  </xdr:oneCellAnchor>
  <xdr:oneCellAnchor>
    <xdr:from>
      <xdr:col>0</xdr:col>
      <xdr:colOff>685800</xdr:colOff>
      <xdr:row>320</xdr:row>
      <xdr:rowOff>47625</xdr:rowOff>
    </xdr:from>
    <xdr:ext cx="76200" cy="222885"/>
    <xdr:sp macro="" textlink="">
      <xdr:nvSpPr>
        <xdr:cNvPr id="476" name="Text Box 1">
          <a:extLst>
            <a:ext uri="{FF2B5EF4-FFF2-40B4-BE49-F238E27FC236}">
              <a16:creationId xmlns:a16="http://schemas.microsoft.com/office/drawing/2014/main" id="{99E9C16C-695F-4AF1-B1EF-666000FDC4D6}"/>
            </a:ext>
          </a:extLst>
        </xdr:cNvPr>
        <xdr:cNvSpPr txBox="1">
          <a:spLocks noChangeArrowheads="1"/>
        </xdr:cNvSpPr>
      </xdr:nvSpPr>
      <xdr:spPr bwMode="auto">
        <a:xfrm>
          <a:off x="685800" y="54056492"/>
          <a:ext cx="76200" cy="222885"/>
        </a:xfrm>
        <a:prstGeom prst="rect">
          <a:avLst/>
        </a:prstGeom>
        <a:noFill/>
        <a:ln w="9525">
          <a:noFill/>
          <a:miter lim="800000"/>
          <a:headEnd/>
          <a:tailEnd/>
        </a:ln>
      </xdr:spPr>
    </xdr:sp>
    <xdr:clientData/>
  </xdr:oneCellAnchor>
  <xdr:oneCellAnchor>
    <xdr:from>
      <xdr:col>0</xdr:col>
      <xdr:colOff>685800</xdr:colOff>
      <xdr:row>322</xdr:row>
      <xdr:rowOff>47625</xdr:rowOff>
    </xdr:from>
    <xdr:ext cx="76200" cy="222885"/>
    <xdr:sp macro="" textlink="">
      <xdr:nvSpPr>
        <xdr:cNvPr id="47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322</xdr:row>
      <xdr:rowOff>47625</xdr:rowOff>
    </xdr:from>
    <xdr:ext cx="76200" cy="222885"/>
    <xdr:sp macro="" textlink="">
      <xdr:nvSpPr>
        <xdr:cNvPr id="47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322</xdr:row>
      <xdr:rowOff>47625</xdr:rowOff>
    </xdr:from>
    <xdr:ext cx="76200" cy="222885"/>
    <xdr:sp macro="" textlink="">
      <xdr:nvSpPr>
        <xdr:cNvPr id="47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322</xdr:row>
      <xdr:rowOff>47625</xdr:rowOff>
    </xdr:from>
    <xdr:ext cx="76200" cy="222885"/>
    <xdr:sp macro="" textlink="">
      <xdr:nvSpPr>
        <xdr:cNvPr id="48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322</xdr:row>
      <xdr:rowOff>47625</xdr:rowOff>
    </xdr:from>
    <xdr:ext cx="76200" cy="222885"/>
    <xdr:sp macro="" textlink="">
      <xdr:nvSpPr>
        <xdr:cNvPr id="48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322</xdr:row>
      <xdr:rowOff>47625</xdr:rowOff>
    </xdr:from>
    <xdr:ext cx="76200" cy="222885"/>
    <xdr:sp macro="" textlink="">
      <xdr:nvSpPr>
        <xdr:cNvPr id="48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322</xdr:row>
      <xdr:rowOff>47625</xdr:rowOff>
    </xdr:from>
    <xdr:ext cx="76200" cy="222885"/>
    <xdr:sp macro="" textlink="">
      <xdr:nvSpPr>
        <xdr:cNvPr id="48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056492"/>
          <a:ext cx="76200" cy="222885"/>
        </a:xfrm>
        <a:prstGeom prst="rect">
          <a:avLst/>
        </a:prstGeom>
        <a:noFill/>
        <a:ln w="9525">
          <a:noFill/>
          <a:miter lim="800000"/>
          <a:headEnd/>
          <a:tailEnd/>
        </a:ln>
      </xdr:spPr>
    </xdr:sp>
    <xdr:clientData/>
  </xdr:oneCellAnchor>
  <xdr:oneCellAnchor>
    <xdr:from>
      <xdr:col>0</xdr:col>
      <xdr:colOff>685800</xdr:colOff>
      <xdr:row>322</xdr:row>
      <xdr:rowOff>47625</xdr:rowOff>
    </xdr:from>
    <xdr:ext cx="76200" cy="222885"/>
    <xdr:sp macro="" textlink="">
      <xdr:nvSpPr>
        <xdr:cNvPr id="48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0564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85" name="Text Box 1">
          <a:extLst>
            <a:ext uri="{FF2B5EF4-FFF2-40B4-BE49-F238E27FC236}">
              <a16:creationId xmlns:a16="http://schemas.microsoft.com/office/drawing/2014/main" id="{C1F905F0-248B-4DA3-AAAA-C303D2A9E8CF}"/>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86" name="Text Box 1">
          <a:extLst>
            <a:ext uri="{FF2B5EF4-FFF2-40B4-BE49-F238E27FC236}">
              <a16:creationId xmlns:a16="http://schemas.microsoft.com/office/drawing/2014/main" id="{A95C50A6-C72F-4677-82B9-9C62BB843A3B}"/>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87" name="Text Box 1">
          <a:extLst>
            <a:ext uri="{FF2B5EF4-FFF2-40B4-BE49-F238E27FC236}">
              <a16:creationId xmlns:a16="http://schemas.microsoft.com/office/drawing/2014/main" id="{D3D9DCA9-CAC2-4808-8742-5773A0CC6FD5}"/>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88" name="Text Box 1">
          <a:extLst>
            <a:ext uri="{FF2B5EF4-FFF2-40B4-BE49-F238E27FC236}">
              <a16:creationId xmlns:a16="http://schemas.microsoft.com/office/drawing/2014/main" id="{BB6CB95C-C0E4-4A82-A272-88302684F76B}"/>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89" name="Text Box 1">
          <a:extLst>
            <a:ext uri="{FF2B5EF4-FFF2-40B4-BE49-F238E27FC236}">
              <a16:creationId xmlns:a16="http://schemas.microsoft.com/office/drawing/2014/main" id="{82D4254D-9A2C-4B16-B9A3-C4047032BE4E}"/>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90" name="Text Box 1">
          <a:extLst>
            <a:ext uri="{FF2B5EF4-FFF2-40B4-BE49-F238E27FC236}">
              <a16:creationId xmlns:a16="http://schemas.microsoft.com/office/drawing/2014/main" id="{CE6EBD2A-927D-4E09-B4DA-3F0CF4C57615}"/>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91" name="Text Box 1">
          <a:extLst>
            <a:ext uri="{FF2B5EF4-FFF2-40B4-BE49-F238E27FC236}">
              <a16:creationId xmlns:a16="http://schemas.microsoft.com/office/drawing/2014/main" id="{2B778372-012F-4BE8-8EF2-1F931D8FDE31}"/>
            </a:ext>
          </a:extLst>
        </xdr:cNvPr>
        <xdr:cNvSpPr txBox="1">
          <a:spLocks noChangeArrowheads="1"/>
        </xdr:cNvSpPr>
      </xdr:nvSpPr>
      <xdr:spPr bwMode="auto">
        <a:xfrm>
          <a:off x="685800" y="540564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92" name="Text Box 1">
          <a:extLst>
            <a:ext uri="{FF2B5EF4-FFF2-40B4-BE49-F238E27FC236}">
              <a16:creationId xmlns:a16="http://schemas.microsoft.com/office/drawing/2014/main" id="{D536EF0A-2E03-481D-B2E1-F6AC2BACBD1E}"/>
            </a:ext>
          </a:extLst>
        </xdr:cNvPr>
        <xdr:cNvSpPr txBox="1">
          <a:spLocks noChangeArrowheads="1"/>
        </xdr:cNvSpPr>
      </xdr:nvSpPr>
      <xdr:spPr bwMode="auto">
        <a:xfrm>
          <a:off x="685800" y="540564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93" name="Text Box 1">
          <a:extLst>
            <a:ext uri="{FF2B5EF4-FFF2-40B4-BE49-F238E27FC236}">
              <a16:creationId xmlns:a16="http://schemas.microsoft.com/office/drawing/2014/main" id="{8FD409FF-5070-415E-AE49-DC5608679268}"/>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94" name="Text Box 1">
          <a:extLst>
            <a:ext uri="{FF2B5EF4-FFF2-40B4-BE49-F238E27FC236}">
              <a16:creationId xmlns:a16="http://schemas.microsoft.com/office/drawing/2014/main" id="{57272F0D-49FA-4AF9-BA96-C1B2E5BFBF60}"/>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95" name="Text Box 1">
          <a:extLst>
            <a:ext uri="{FF2B5EF4-FFF2-40B4-BE49-F238E27FC236}">
              <a16:creationId xmlns:a16="http://schemas.microsoft.com/office/drawing/2014/main" id="{0C04FA1E-4509-4FAA-B8CE-2F4BE8F47BE6}"/>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96" name="Text Box 1">
          <a:extLst>
            <a:ext uri="{FF2B5EF4-FFF2-40B4-BE49-F238E27FC236}">
              <a16:creationId xmlns:a16="http://schemas.microsoft.com/office/drawing/2014/main" id="{7D339186-5B90-4928-B207-E3ED8602DD99}"/>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97" name="Text Box 1">
          <a:extLst>
            <a:ext uri="{FF2B5EF4-FFF2-40B4-BE49-F238E27FC236}">
              <a16:creationId xmlns:a16="http://schemas.microsoft.com/office/drawing/2014/main" id="{9186D16E-4360-4F09-8A96-793E33EBC72C}"/>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98" name="Text Box 1">
          <a:extLst>
            <a:ext uri="{FF2B5EF4-FFF2-40B4-BE49-F238E27FC236}">
              <a16:creationId xmlns:a16="http://schemas.microsoft.com/office/drawing/2014/main" id="{AEA12412-A5D1-44B6-8C85-67DAD07F742A}"/>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499" name="Text Box 1">
          <a:extLst>
            <a:ext uri="{FF2B5EF4-FFF2-40B4-BE49-F238E27FC236}">
              <a16:creationId xmlns:a16="http://schemas.microsoft.com/office/drawing/2014/main" id="{DD36D721-E64F-42AE-BAC8-5B559BC2714C}"/>
            </a:ext>
          </a:extLst>
        </xdr:cNvPr>
        <xdr:cNvSpPr txBox="1">
          <a:spLocks noChangeArrowheads="1"/>
        </xdr:cNvSpPr>
      </xdr:nvSpPr>
      <xdr:spPr bwMode="auto">
        <a:xfrm>
          <a:off x="685800" y="540564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500" name="Text Box 1">
          <a:extLst>
            <a:ext uri="{FF2B5EF4-FFF2-40B4-BE49-F238E27FC236}">
              <a16:creationId xmlns:a16="http://schemas.microsoft.com/office/drawing/2014/main" id="{51901E4B-DD4A-4253-BB68-840DC3345AEF}"/>
            </a:ext>
          </a:extLst>
        </xdr:cNvPr>
        <xdr:cNvSpPr txBox="1">
          <a:spLocks noChangeArrowheads="1"/>
        </xdr:cNvSpPr>
      </xdr:nvSpPr>
      <xdr:spPr bwMode="auto">
        <a:xfrm>
          <a:off x="685800" y="540564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501" name="Text Box 1">
          <a:extLst>
            <a:ext uri="{FF2B5EF4-FFF2-40B4-BE49-F238E27FC236}">
              <a16:creationId xmlns:a16="http://schemas.microsoft.com/office/drawing/2014/main" id="{5959E145-35DD-49D0-B1BE-AB8CF1F5A0E5}"/>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502" name="Text Box 1">
          <a:extLst>
            <a:ext uri="{FF2B5EF4-FFF2-40B4-BE49-F238E27FC236}">
              <a16:creationId xmlns:a16="http://schemas.microsoft.com/office/drawing/2014/main" id="{45252E78-EB4B-4943-BFEB-2BFAE10BA036}"/>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503" name="Text Box 1">
          <a:extLst>
            <a:ext uri="{FF2B5EF4-FFF2-40B4-BE49-F238E27FC236}">
              <a16:creationId xmlns:a16="http://schemas.microsoft.com/office/drawing/2014/main" id="{68E40611-9A3D-4495-8C3C-2E2FA0ABE464}"/>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504" name="Text Box 1">
          <a:extLst>
            <a:ext uri="{FF2B5EF4-FFF2-40B4-BE49-F238E27FC236}">
              <a16:creationId xmlns:a16="http://schemas.microsoft.com/office/drawing/2014/main" id="{56ED3AC9-9123-4E60-B2ED-CFABD3E8A424}"/>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381</xdr:row>
      <xdr:rowOff>0</xdr:rowOff>
    </xdr:from>
    <xdr:ext cx="76200" cy="222885"/>
    <xdr:sp macro="" textlink="">
      <xdr:nvSpPr>
        <xdr:cNvPr id="505" name="Text Box 1">
          <a:extLst>
            <a:ext uri="{FF2B5EF4-FFF2-40B4-BE49-F238E27FC236}">
              <a16:creationId xmlns:a16="http://schemas.microsoft.com/office/drawing/2014/main" id="{C7AD7147-C29B-4081-B746-B33A423587EE}"/>
            </a:ext>
          </a:extLst>
        </xdr:cNvPr>
        <xdr:cNvSpPr txBox="1">
          <a:spLocks noChangeArrowheads="1"/>
        </xdr:cNvSpPr>
      </xdr:nvSpPr>
      <xdr:spPr bwMode="auto">
        <a:xfrm>
          <a:off x="685800" y="54412092"/>
          <a:ext cx="76200" cy="222885"/>
        </a:xfrm>
        <a:prstGeom prst="rect">
          <a:avLst/>
        </a:prstGeom>
        <a:noFill/>
        <a:ln w="9525">
          <a:noFill/>
          <a:miter lim="800000"/>
          <a:headEnd/>
          <a:tailEnd/>
        </a:ln>
      </xdr:spPr>
    </xdr:sp>
    <xdr:clientData/>
  </xdr:oneCellAnchor>
  <xdr:oneCellAnchor>
    <xdr:from>
      <xdr:col>0</xdr:col>
      <xdr:colOff>685800</xdr:colOff>
      <xdr:row>9</xdr:row>
      <xdr:rowOff>47625</xdr:rowOff>
    </xdr:from>
    <xdr:ext cx="76200" cy="216958"/>
    <xdr:sp macro="" textlink="">
      <xdr:nvSpPr>
        <xdr:cNvPr id="506"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9</xdr:row>
      <xdr:rowOff>47625</xdr:rowOff>
    </xdr:from>
    <xdr:ext cx="76200" cy="216958"/>
    <xdr:sp macro="" textlink="">
      <xdr:nvSpPr>
        <xdr:cNvPr id="507"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10</xdr:row>
      <xdr:rowOff>47625</xdr:rowOff>
    </xdr:from>
    <xdr:ext cx="76200" cy="216958"/>
    <xdr:sp macro="" textlink="">
      <xdr:nvSpPr>
        <xdr:cNvPr id="508"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11</xdr:row>
      <xdr:rowOff>47625</xdr:rowOff>
    </xdr:from>
    <xdr:ext cx="76200" cy="216958"/>
    <xdr:sp macro="" textlink="">
      <xdr:nvSpPr>
        <xdr:cNvPr id="509"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12</xdr:row>
      <xdr:rowOff>47625</xdr:rowOff>
    </xdr:from>
    <xdr:ext cx="76200" cy="216958"/>
    <xdr:sp macro="" textlink="">
      <xdr:nvSpPr>
        <xdr:cNvPr id="510"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13</xdr:row>
      <xdr:rowOff>47625</xdr:rowOff>
    </xdr:from>
    <xdr:ext cx="76200" cy="216958"/>
    <xdr:sp macro="" textlink="">
      <xdr:nvSpPr>
        <xdr:cNvPr id="511"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14</xdr:row>
      <xdr:rowOff>47625</xdr:rowOff>
    </xdr:from>
    <xdr:ext cx="76200" cy="216958"/>
    <xdr:sp macro="" textlink="">
      <xdr:nvSpPr>
        <xdr:cNvPr id="512"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15</xdr:row>
      <xdr:rowOff>47625</xdr:rowOff>
    </xdr:from>
    <xdr:ext cx="76200" cy="216958"/>
    <xdr:sp macro="" textlink="">
      <xdr:nvSpPr>
        <xdr:cNvPr id="513"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16</xdr:row>
      <xdr:rowOff>47625</xdr:rowOff>
    </xdr:from>
    <xdr:ext cx="76200" cy="216958"/>
    <xdr:sp macro="" textlink="">
      <xdr:nvSpPr>
        <xdr:cNvPr id="514"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17</xdr:row>
      <xdr:rowOff>47625</xdr:rowOff>
    </xdr:from>
    <xdr:ext cx="76200" cy="216958"/>
    <xdr:sp macro="" textlink="">
      <xdr:nvSpPr>
        <xdr:cNvPr id="515"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18</xdr:row>
      <xdr:rowOff>47625</xdr:rowOff>
    </xdr:from>
    <xdr:ext cx="76200" cy="216958"/>
    <xdr:sp macro="" textlink="">
      <xdr:nvSpPr>
        <xdr:cNvPr id="516"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19</xdr:row>
      <xdr:rowOff>47625</xdr:rowOff>
    </xdr:from>
    <xdr:ext cx="76200" cy="216958"/>
    <xdr:sp macro="" textlink="">
      <xdr:nvSpPr>
        <xdr:cNvPr id="517"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20</xdr:row>
      <xdr:rowOff>47625</xdr:rowOff>
    </xdr:from>
    <xdr:ext cx="76200" cy="216958"/>
    <xdr:sp macro="" textlink="">
      <xdr:nvSpPr>
        <xdr:cNvPr id="518"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21</xdr:row>
      <xdr:rowOff>47625</xdr:rowOff>
    </xdr:from>
    <xdr:ext cx="76200" cy="216958"/>
    <xdr:sp macro="" textlink="">
      <xdr:nvSpPr>
        <xdr:cNvPr id="519"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22</xdr:row>
      <xdr:rowOff>47625</xdr:rowOff>
    </xdr:from>
    <xdr:ext cx="76200" cy="216958"/>
    <xdr:sp macro="" textlink="">
      <xdr:nvSpPr>
        <xdr:cNvPr id="520"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23</xdr:row>
      <xdr:rowOff>47625</xdr:rowOff>
    </xdr:from>
    <xdr:ext cx="76200" cy="216958"/>
    <xdr:sp macro="" textlink="">
      <xdr:nvSpPr>
        <xdr:cNvPr id="521"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24</xdr:row>
      <xdr:rowOff>47625</xdr:rowOff>
    </xdr:from>
    <xdr:ext cx="76200" cy="216958"/>
    <xdr:sp macro="" textlink="">
      <xdr:nvSpPr>
        <xdr:cNvPr id="522"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25</xdr:row>
      <xdr:rowOff>47625</xdr:rowOff>
    </xdr:from>
    <xdr:ext cx="76200" cy="216958"/>
    <xdr:sp macro="" textlink="">
      <xdr:nvSpPr>
        <xdr:cNvPr id="523"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26</xdr:row>
      <xdr:rowOff>47625</xdr:rowOff>
    </xdr:from>
    <xdr:ext cx="76200" cy="216958"/>
    <xdr:sp macro="" textlink="">
      <xdr:nvSpPr>
        <xdr:cNvPr id="524"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27</xdr:row>
      <xdr:rowOff>47625</xdr:rowOff>
    </xdr:from>
    <xdr:ext cx="76200" cy="216958"/>
    <xdr:sp macro="" textlink="">
      <xdr:nvSpPr>
        <xdr:cNvPr id="525"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28</xdr:row>
      <xdr:rowOff>47625</xdr:rowOff>
    </xdr:from>
    <xdr:ext cx="76200" cy="216958"/>
    <xdr:sp macro="" textlink="">
      <xdr:nvSpPr>
        <xdr:cNvPr id="526"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29</xdr:row>
      <xdr:rowOff>47625</xdr:rowOff>
    </xdr:from>
    <xdr:ext cx="76200" cy="216958"/>
    <xdr:sp macro="" textlink="">
      <xdr:nvSpPr>
        <xdr:cNvPr id="527"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30</xdr:row>
      <xdr:rowOff>47625</xdr:rowOff>
    </xdr:from>
    <xdr:ext cx="76200" cy="216958"/>
    <xdr:sp macro="" textlink="">
      <xdr:nvSpPr>
        <xdr:cNvPr id="528"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31</xdr:row>
      <xdr:rowOff>47625</xdr:rowOff>
    </xdr:from>
    <xdr:ext cx="76200" cy="216958"/>
    <xdr:sp macro="" textlink="">
      <xdr:nvSpPr>
        <xdr:cNvPr id="529"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32</xdr:row>
      <xdr:rowOff>47625</xdr:rowOff>
    </xdr:from>
    <xdr:ext cx="76200" cy="216958"/>
    <xdr:sp macro="" textlink="">
      <xdr:nvSpPr>
        <xdr:cNvPr id="530"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33</xdr:row>
      <xdr:rowOff>47625</xdr:rowOff>
    </xdr:from>
    <xdr:ext cx="76200" cy="216958"/>
    <xdr:sp macro="" textlink="">
      <xdr:nvSpPr>
        <xdr:cNvPr id="531"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34</xdr:row>
      <xdr:rowOff>47625</xdr:rowOff>
    </xdr:from>
    <xdr:ext cx="76200" cy="216958"/>
    <xdr:sp macro="" textlink="">
      <xdr:nvSpPr>
        <xdr:cNvPr id="532"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35</xdr:row>
      <xdr:rowOff>47625</xdr:rowOff>
    </xdr:from>
    <xdr:ext cx="76200" cy="216958"/>
    <xdr:sp macro="" textlink="">
      <xdr:nvSpPr>
        <xdr:cNvPr id="533"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36</xdr:row>
      <xdr:rowOff>47625</xdr:rowOff>
    </xdr:from>
    <xdr:ext cx="76200" cy="216958"/>
    <xdr:sp macro="" textlink="">
      <xdr:nvSpPr>
        <xdr:cNvPr id="534"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37</xdr:row>
      <xdr:rowOff>47625</xdr:rowOff>
    </xdr:from>
    <xdr:ext cx="76200" cy="216958"/>
    <xdr:sp macro="" textlink="">
      <xdr:nvSpPr>
        <xdr:cNvPr id="535"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38</xdr:row>
      <xdr:rowOff>47625</xdr:rowOff>
    </xdr:from>
    <xdr:ext cx="76200" cy="216958"/>
    <xdr:sp macro="" textlink="">
      <xdr:nvSpPr>
        <xdr:cNvPr id="536"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39</xdr:row>
      <xdr:rowOff>47625</xdr:rowOff>
    </xdr:from>
    <xdr:ext cx="76200" cy="216958"/>
    <xdr:sp macro="" textlink="">
      <xdr:nvSpPr>
        <xdr:cNvPr id="537"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40</xdr:row>
      <xdr:rowOff>47625</xdr:rowOff>
    </xdr:from>
    <xdr:ext cx="76200" cy="216958"/>
    <xdr:sp macro="" textlink="">
      <xdr:nvSpPr>
        <xdr:cNvPr id="538"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41</xdr:row>
      <xdr:rowOff>47625</xdr:rowOff>
    </xdr:from>
    <xdr:ext cx="76200" cy="216958"/>
    <xdr:sp macro="" textlink="">
      <xdr:nvSpPr>
        <xdr:cNvPr id="539"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42</xdr:row>
      <xdr:rowOff>47625</xdr:rowOff>
    </xdr:from>
    <xdr:ext cx="76200" cy="216958"/>
    <xdr:sp macro="" textlink="">
      <xdr:nvSpPr>
        <xdr:cNvPr id="540"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43</xdr:row>
      <xdr:rowOff>47625</xdr:rowOff>
    </xdr:from>
    <xdr:ext cx="76200" cy="216958"/>
    <xdr:sp macro="" textlink="">
      <xdr:nvSpPr>
        <xdr:cNvPr id="541"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44</xdr:row>
      <xdr:rowOff>47625</xdr:rowOff>
    </xdr:from>
    <xdr:ext cx="76200" cy="216958"/>
    <xdr:sp macro="" textlink="">
      <xdr:nvSpPr>
        <xdr:cNvPr id="542"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45</xdr:row>
      <xdr:rowOff>47625</xdr:rowOff>
    </xdr:from>
    <xdr:ext cx="76200" cy="216958"/>
    <xdr:sp macro="" textlink="">
      <xdr:nvSpPr>
        <xdr:cNvPr id="543"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46</xdr:row>
      <xdr:rowOff>47625</xdr:rowOff>
    </xdr:from>
    <xdr:ext cx="76200" cy="216958"/>
    <xdr:sp macro="" textlink="">
      <xdr:nvSpPr>
        <xdr:cNvPr id="544"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47</xdr:row>
      <xdr:rowOff>47625</xdr:rowOff>
    </xdr:from>
    <xdr:ext cx="76200" cy="216958"/>
    <xdr:sp macro="" textlink="">
      <xdr:nvSpPr>
        <xdr:cNvPr id="545"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48</xdr:row>
      <xdr:rowOff>47625</xdr:rowOff>
    </xdr:from>
    <xdr:ext cx="76200" cy="216958"/>
    <xdr:sp macro="" textlink="">
      <xdr:nvSpPr>
        <xdr:cNvPr id="546"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49</xdr:row>
      <xdr:rowOff>47625</xdr:rowOff>
    </xdr:from>
    <xdr:ext cx="76200" cy="216958"/>
    <xdr:sp macro="" textlink="">
      <xdr:nvSpPr>
        <xdr:cNvPr id="547"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50</xdr:row>
      <xdr:rowOff>47625</xdr:rowOff>
    </xdr:from>
    <xdr:ext cx="76200" cy="216958"/>
    <xdr:sp macro="" textlink="">
      <xdr:nvSpPr>
        <xdr:cNvPr id="548"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51</xdr:row>
      <xdr:rowOff>47625</xdr:rowOff>
    </xdr:from>
    <xdr:ext cx="76200" cy="216958"/>
    <xdr:sp macro="" textlink="">
      <xdr:nvSpPr>
        <xdr:cNvPr id="549"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52</xdr:row>
      <xdr:rowOff>47625</xdr:rowOff>
    </xdr:from>
    <xdr:ext cx="76200" cy="216958"/>
    <xdr:sp macro="" textlink="">
      <xdr:nvSpPr>
        <xdr:cNvPr id="550"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53</xdr:row>
      <xdr:rowOff>47625</xdr:rowOff>
    </xdr:from>
    <xdr:ext cx="76200" cy="216958"/>
    <xdr:sp macro="" textlink="">
      <xdr:nvSpPr>
        <xdr:cNvPr id="551"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54</xdr:row>
      <xdr:rowOff>47625</xdr:rowOff>
    </xdr:from>
    <xdr:ext cx="76200" cy="216958"/>
    <xdr:sp macro="" textlink="">
      <xdr:nvSpPr>
        <xdr:cNvPr id="552"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55</xdr:row>
      <xdr:rowOff>47625</xdr:rowOff>
    </xdr:from>
    <xdr:ext cx="76200" cy="216958"/>
    <xdr:sp macro="" textlink="">
      <xdr:nvSpPr>
        <xdr:cNvPr id="553"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56</xdr:row>
      <xdr:rowOff>47625</xdr:rowOff>
    </xdr:from>
    <xdr:ext cx="76200" cy="216958"/>
    <xdr:sp macro="" textlink="">
      <xdr:nvSpPr>
        <xdr:cNvPr id="554"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1508125"/>
          <a:ext cx="76200" cy="216958"/>
        </a:xfrm>
        <a:prstGeom prst="rect">
          <a:avLst/>
        </a:prstGeom>
        <a:noFill/>
        <a:ln w="9525">
          <a:noFill/>
          <a:miter lim="800000"/>
          <a:headEnd/>
          <a:tailEnd/>
        </a:ln>
      </xdr:spPr>
    </xdr:sp>
    <xdr:clientData/>
  </xdr:oneCellAnchor>
  <xdr:oneCellAnchor>
    <xdr:from>
      <xdr:col>0</xdr:col>
      <xdr:colOff>685800</xdr:colOff>
      <xdr:row>56</xdr:row>
      <xdr:rowOff>47625</xdr:rowOff>
    </xdr:from>
    <xdr:ext cx="76200" cy="222885"/>
    <xdr:sp macro="" textlink="">
      <xdr:nvSpPr>
        <xdr:cNvPr id="555" name="Text Box 1">
          <a:extLst>
            <a:ext uri="{FF2B5EF4-FFF2-40B4-BE49-F238E27FC236}">
              <a16:creationId xmlns:a16="http://schemas.microsoft.com/office/drawing/2014/main" id="{02DB1CC1-CE7C-4512-8CD1-04250D0D4AFF}"/>
            </a:ext>
          </a:extLst>
        </xdr:cNvPr>
        <xdr:cNvSpPr txBox="1">
          <a:spLocks noChangeArrowheads="1"/>
        </xdr:cNvSpPr>
      </xdr:nvSpPr>
      <xdr:spPr bwMode="auto">
        <a:xfrm>
          <a:off x="685800" y="9466792"/>
          <a:ext cx="76200" cy="222885"/>
        </a:xfrm>
        <a:prstGeom prst="rect">
          <a:avLst/>
        </a:prstGeom>
        <a:noFill/>
        <a:ln w="9525">
          <a:noFill/>
          <a:miter lim="800000"/>
          <a:headEnd/>
          <a:tailEnd/>
        </a:ln>
      </xdr:spPr>
    </xdr:sp>
    <xdr:clientData/>
  </xdr:oneCellAnchor>
  <xdr:oneCellAnchor>
    <xdr:from>
      <xdr:col>0</xdr:col>
      <xdr:colOff>685800</xdr:colOff>
      <xdr:row>56</xdr:row>
      <xdr:rowOff>47625</xdr:rowOff>
    </xdr:from>
    <xdr:ext cx="76200" cy="222885"/>
    <xdr:sp macro="" textlink="">
      <xdr:nvSpPr>
        <xdr:cNvPr id="556" name="Text Box 1">
          <a:extLst>
            <a:ext uri="{FF2B5EF4-FFF2-40B4-BE49-F238E27FC236}">
              <a16:creationId xmlns:a16="http://schemas.microsoft.com/office/drawing/2014/main" id="{6A305879-4340-44B2-81B1-8C08A18C1719}"/>
            </a:ext>
          </a:extLst>
        </xdr:cNvPr>
        <xdr:cNvSpPr txBox="1">
          <a:spLocks noChangeArrowheads="1"/>
        </xdr:cNvSpPr>
      </xdr:nvSpPr>
      <xdr:spPr bwMode="auto">
        <a:xfrm>
          <a:off x="685800" y="9466792"/>
          <a:ext cx="76200" cy="222885"/>
        </a:xfrm>
        <a:prstGeom prst="rect">
          <a:avLst/>
        </a:prstGeom>
        <a:noFill/>
        <a:ln w="9525">
          <a:noFill/>
          <a:miter lim="800000"/>
          <a:headEnd/>
          <a:tailEnd/>
        </a:ln>
      </xdr:spPr>
    </xdr:sp>
    <xdr:clientData/>
  </xdr:oneCellAnchor>
  <xdr:oneCellAnchor>
    <xdr:from>
      <xdr:col>0</xdr:col>
      <xdr:colOff>685800</xdr:colOff>
      <xdr:row>56</xdr:row>
      <xdr:rowOff>47625</xdr:rowOff>
    </xdr:from>
    <xdr:ext cx="76200" cy="216958"/>
    <xdr:sp macro="" textlink="">
      <xdr:nvSpPr>
        <xdr:cNvPr id="557"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9466792"/>
          <a:ext cx="76200" cy="216958"/>
        </a:xfrm>
        <a:prstGeom prst="rect">
          <a:avLst/>
        </a:prstGeom>
        <a:noFill/>
        <a:ln w="9525">
          <a:noFill/>
          <a:miter lim="800000"/>
          <a:headEnd/>
          <a:tailEnd/>
        </a:ln>
      </xdr:spPr>
    </xdr:sp>
    <xdr:clientData/>
  </xdr:oneCellAnchor>
  <xdr:oneCellAnchor>
    <xdr:from>
      <xdr:col>0</xdr:col>
      <xdr:colOff>685800</xdr:colOff>
      <xdr:row>57</xdr:row>
      <xdr:rowOff>47625</xdr:rowOff>
    </xdr:from>
    <xdr:ext cx="76200" cy="216958"/>
    <xdr:sp macro="" textlink="">
      <xdr:nvSpPr>
        <xdr:cNvPr id="558" name="Text Box 1">
          <a:extLst>
            <a:ext uri="{FF2B5EF4-FFF2-40B4-BE49-F238E27FC236}">
              <a16:creationId xmlns:a16="http://schemas.microsoft.com/office/drawing/2014/main" id="{00000000-0008-0000-0700-00006DA70000}"/>
            </a:ext>
          </a:extLst>
        </xdr:cNvPr>
        <xdr:cNvSpPr txBox="1">
          <a:spLocks noChangeArrowheads="1"/>
        </xdr:cNvSpPr>
      </xdr:nvSpPr>
      <xdr:spPr bwMode="auto">
        <a:xfrm>
          <a:off x="685800" y="9636125"/>
          <a:ext cx="76200" cy="216958"/>
        </a:xfrm>
        <a:prstGeom prst="rect">
          <a:avLst/>
        </a:prstGeom>
        <a:noFill/>
        <a:ln w="9525">
          <a:noFill/>
          <a:miter lim="800000"/>
          <a:headEnd/>
          <a:tailEnd/>
        </a:ln>
      </xdr:spPr>
    </xdr:sp>
    <xdr:clientData/>
  </xdr:oneCellAnchor>
  <xdr:oneCellAnchor>
    <xdr:from>
      <xdr:col>0</xdr:col>
      <xdr:colOff>685800</xdr:colOff>
      <xdr:row>60</xdr:row>
      <xdr:rowOff>47625</xdr:rowOff>
    </xdr:from>
    <xdr:ext cx="76200" cy="222885"/>
    <xdr:sp macro="" textlink="">
      <xdr:nvSpPr>
        <xdr:cNvPr id="559" name="Text Box 1">
          <a:extLst>
            <a:ext uri="{FF2B5EF4-FFF2-40B4-BE49-F238E27FC236}">
              <a16:creationId xmlns:a16="http://schemas.microsoft.com/office/drawing/2014/main" id="{79B123C6-87A4-430A-9B64-7F3D7C5738E1}"/>
            </a:ext>
          </a:extLst>
        </xdr:cNvPr>
        <xdr:cNvSpPr txBox="1">
          <a:spLocks noChangeArrowheads="1"/>
        </xdr:cNvSpPr>
      </xdr:nvSpPr>
      <xdr:spPr bwMode="auto">
        <a:xfrm>
          <a:off x="685800" y="10144125"/>
          <a:ext cx="76200" cy="222885"/>
        </a:xfrm>
        <a:prstGeom prst="rect">
          <a:avLst/>
        </a:prstGeom>
        <a:noFill/>
        <a:ln w="9525">
          <a:noFill/>
          <a:miter lim="800000"/>
          <a:headEnd/>
          <a:tailEnd/>
        </a:ln>
      </xdr:spPr>
    </xdr:sp>
    <xdr:clientData/>
  </xdr:oneCellAnchor>
  <xdr:oneCellAnchor>
    <xdr:from>
      <xdr:col>0</xdr:col>
      <xdr:colOff>685800</xdr:colOff>
      <xdr:row>60</xdr:row>
      <xdr:rowOff>47625</xdr:rowOff>
    </xdr:from>
    <xdr:ext cx="76200" cy="222885"/>
    <xdr:sp macro="" textlink="">
      <xdr:nvSpPr>
        <xdr:cNvPr id="560" name="Text Box 1">
          <a:extLst>
            <a:ext uri="{FF2B5EF4-FFF2-40B4-BE49-F238E27FC236}">
              <a16:creationId xmlns:a16="http://schemas.microsoft.com/office/drawing/2014/main" id="{D9B8FDC5-5772-4C00-ACDF-3BD0E6EE635F}"/>
            </a:ext>
          </a:extLst>
        </xdr:cNvPr>
        <xdr:cNvSpPr txBox="1">
          <a:spLocks noChangeArrowheads="1"/>
        </xdr:cNvSpPr>
      </xdr:nvSpPr>
      <xdr:spPr bwMode="auto">
        <a:xfrm>
          <a:off x="685800" y="10144125"/>
          <a:ext cx="76200" cy="222885"/>
        </a:xfrm>
        <a:prstGeom prst="rect">
          <a:avLst/>
        </a:prstGeom>
        <a:noFill/>
        <a:ln w="9525">
          <a:noFill/>
          <a:miter lim="800000"/>
          <a:headEnd/>
          <a:tailEnd/>
        </a:ln>
      </xdr:spPr>
    </xdr:sp>
    <xdr:clientData/>
  </xdr:oneCellAnchor>
  <xdr:oneCellAnchor>
    <xdr:from>
      <xdr:col>0</xdr:col>
      <xdr:colOff>685800</xdr:colOff>
      <xdr:row>61</xdr:row>
      <xdr:rowOff>47625</xdr:rowOff>
    </xdr:from>
    <xdr:ext cx="76200" cy="222885"/>
    <xdr:sp macro="" textlink="">
      <xdr:nvSpPr>
        <xdr:cNvPr id="561" name="Text Box 1">
          <a:extLst>
            <a:ext uri="{FF2B5EF4-FFF2-40B4-BE49-F238E27FC236}">
              <a16:creationId xmlns:a16="http://schemas.microsoft.com/office/drawing/2014/main" id="{79B123C6-87A4-430A-9B64-7F3D7C5738E1}"/>
            </a:ext>
          </a:extLst>
        </xdr:cNvPr>
        <xdr:cNvSpPr txBox="1">
          <a:spLocks noChangeArrowheads="1"/>
        </xdr:cNvSpPr>
      </xdr:nvSpPr>
      <xdr:spPr bwMode="auto">
        <a:xfrm>
          <a:off x="685800" y="10144125"/>
          <a:ext cx="76200" cy="222885"/>
        </a:xfrm>
        <a:prstGeom prst="rect">
          <a:avLst/>
        </a:prstGeom>
        <a:noFill/>
        <a:ln w="9525">
          <a:noFill/>
          <a:miter lim="800000"/>
          <a:headEnd/>
          <a:tailEnd/>
        </a:ln>
      </xdr:spPr>
    </xdr:sp>
    <xdr:clientData/>
  </xdr:oneCellAnchor>
  <xdr:oneCellAnchor>
    <xdr:from>
      <xdr:col>0</xdr:col>
      <xdr:colOff>685800</xdr:colOff>
      <xdr:row>61</xdr:row>
      <xdr:rowOff>47625</xdr:rowOff>
    </xdr:from>
    <xdr:ext cx="76200" cy="222885"/>
    <xdr:sp macro="" textlink="">
      <xdr:nvSpPr>
        <xdr:cNvPr id="562" name="Text Box 1">
          <a:extLst>
            <a:ext uri="{FF2B5EF4-FFF2-40B4-BE49-F238E27FC236}">
              <a16:creationId xmlns:a16="http://schemas.microsoft.com/office/drawing/2014/main" id="{D9B8FDC5-5772-4C00-ACDF-3BD0E6EE635F}"/>
            </a:ext>
          </a:extLst>
        </xdr:cNvPr>
        <xdr:cNvSpPr txBox="1">
          <a:spLocks noChangeArrowheads="1"/>
        </xdr:cNvSpPr>
      </xdr:nvSpPr>
      <xdr:spPr bwMode="auto">
        <a:xfrm>
          <a:off x="685800" y="10144125"/>
          <a:ext cx="76200" cy="222885"/>
        </a:xfrm>
        <a:prstGeom prst="rect">
          <a:avLst/>
        </a:prstGeom>
        <a:noFill/>
        <a:ln w="9525">
          <a:noFill/>
          <a:miter lim="800000"/>
          <a:headEnd/>
          <a:tailEnd/>
        </a:ln>
      </xdr:spPr>
    </xdr:sp>
    <xdr:clientData/>
  </xdr:oneCellAnchor>
  <xdr:oneCellAnchor>
    <xdr:from>
      <xdr:col>0</xdr:col>
      <xdr:colOff>685800</xdr:colOff>
      <xdr:row>62</xdr:row>
      <xdr:rowOff>47625</xdr:rowOff>
    </xdr:from>
    <xdr:ext cx="76200" cy="222885"/>
    <xdr:sp macro="" textlink="">
      <xdr:nvSpPr>
        <xdr:cNvPr id="563" name="Text Box 1">
          <a:extLst>
            <a:ext uri="{FF2B5EF4-FFF2-40B4-BE49-F238E27FC236}">
              <a16:creationId xmlns:a16="http://schemas.microsoft.com/office/drawing/2014/main" id="{79B123C6-87A4-430A-9B64-7F3D7C5738E1}"/>
            </a:ext>
          </a:extLst>
        </xdr:cNvPr>
        <xdr:cNvSpPr txBox="1">
          <a:spLocks noChangeArrowheads="1"/>
        </xdr:cNvSpPr>
      </xdr:nvSpPr>
      <xdr:spPr bwMode="auto">
        <a:xfrm>
          <a:off x="685800" y="10313458"/>
          <a:ext cx="76200" cy="222885"/>
        </a:xfrm>
        <a:prstGeom prst="rect">
          <a:avLst/>
        </a:prstGeom>
        <a:noFill/>
        <a:ln w="9525">
          <a:noFill/>
          <a:miter lim="800000"/>
          <a:headEnd/>
          <a:tailEnd/>
        </a:ln>
      </xdr:spPr>
    </xdr:sp>
    <xdr:clientData/>
  </xdr:oneCellAnchor>
  <xdr:oneCellAnchor>
    <xdr:from>
      <xdr:col>0</xdr:col>
      <xdr:colOff>685800</xdr:colOff>
      <xdr:row>62</xdr:row>
      <xdr:rowOff>47625</xdr:rowOff>
    </xdr:from>
    <xdr:ext cx="76200" cy="222885"/>
    <xdr:sp macro="" textlink="">
      <xdr:nvSpPr>
        <xdr:cNvPr id="564" name="Text Box 1">
          <a:extLst>
            <a:ext uri="{FF2B5EF4-FFF2-40B4-BE49-F238E27FC236}">
              <a16:creationId xmlns:a16="http://schemas.microsoft.com/office/drawing/2014/main" id="{D9B8FDC5-5772-4C00-ACDF-3BD0E6EE635F}"/>
            </a:ext>
          </a:extLst>
        </xdr:cNvPr>
        <xdr:cNvSpPr txBox="1">
          <a:spLocks noChangeArrowheads="1"/>
        </xdr:cNvSpPr>
      </xdr:nvSpPr>
      <xdr:spPr bwMode="auto">
        <a:xfrm>
          <a:off x="685800" y="10313458"/>
          <a:ext cx="76200" cy="222885"/>
        </a:xfrm>
        <a:prstGeom prst="rect">
          <a:avLst/>
        </a:prstGeom>
        <a:noFill/>
        <a:ln w="9525">
          <a:noFill/>
          <a:miter lim="800000"/>
          <a:headEnd/>
          <a:tailEnd/>
        </a:ln>
      </xdr:spPr>
    </xdr:sp>
    <xdr:clientData/>
  </xdr:oneCellAnchor>
  <xdr:oneCellAnchor>
    <xdr:from>
      <xdr:col>0</xdr:col>
      <xdr:colOff>685800</xdr:colOff>
      <xdr:row>276</xdr:row>
      <xdr:rowOff>47625</xdr:rowOff>
    </xdr:from>
    <xdr:ext cx="76200" cy="222885"/>
    <xdr:sp macro="" textlink="">
      <xdr:nvSpPr>
        <xdr:cNvPr id="56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276</xdr:row>
      <xdr:rowOff>47625</xdr:rowOff>
    </xdr:from>
    <xdr:ext cx="76200" cy="222885"/>
    <xdr:sp macro="" textlink="">
      <xdr:nvSpPr>
        <xdr:cNvPr id="56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277</xdr:row>
      <xdr:rowOff>47625</xdr:rowOff>
    </xdr:from>
    <xdr:ext cx="76200" cy="222885"/>
    <xdr:sp macro="" textlink="">
      <xdr:nvSpPr>
        <xdr:cNvPr id="56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277</xdr:row>
      <xdr:rowOff>47625</xdr:rowOff>
    </xdr:from>
    <xdr:ext cx="76200" cy="222885"/>
    <xdr:sp macro="" textlink="">
      <xdr:nvSpPr>
        <xdr:cNvPr id="56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278</xdr:row>
      <xdr:rowOff>47625</xdr:rowOff>
    </xdr:from>
    <xdr:ext cx="76200" cy="222885"/>
    <xdr:sp macro="" textlink="">
      <xdr:nvSpPr>
        <xdr:cNvPr id="56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278</xdr:row>
      <xdr:rowOff>47625</xdr:rowOff>
    </xdr:from>
    <xdr:ext cx="76200" cy="222885"/>
    <xdr:sp macro="" textlink="">
      <xdr:nvSpPr>
        <xdr:cNvPr id="57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278</xdr:row>
      <xdr:rowOff>47625</xdr:rowOff>
    </xdr:from>
    <xdr:ext cx="76200" cy="222885"/>
    <xdr:sp macro="" textlink="">
      <xdr:nvSpPr>
        <xdr:cNvPr id="57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278</xdr:row>
      <xdr:rowOff>47625</xdr:rowOff>
    </xdr:from>
    <xdr:ext cx="76200" cy="222885"/>
    <xdr:sp macro="" textlink="">
      <xdr:nvSpPr>
        <xdr:cNvPr id="57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279</xdr:row>
      <xdr:rowOff>47625</xdr:rowOff>
    </xdr:from>
    <xdr:ext cx="76200" cy="222885"/>
    <xdr:sp macro="" textlink="">
      <xdr:nvSpPr>
        <xdr:cNvPr id="57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279</xdr:row>
      <xdr:rowOff>47625</xdr:rowOff>
    </xdr:from>
    <xdr:ext cx="76200" cy="222885"/>
    <xdr:sp macro="" textlink="">
      <xdr:nvSpPr>
        <xdr:cNvPr id="57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279</xdr:row>
      <xdr:rowOff>47625</xdr:rowOff>
    </xdr:from>
    <xdr:ext cx="76200" cy="222885"/>
    <xdr:sp macro="" textlink="">
      <xdr:nvSpPr>
        <xdr:cNvPr id="57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279</xdr:row>
      <xdr:rowOff>47625</xdr:rowOff>
    </xdr:from>
    <xdr:ext cx="76200" cy="222885"/>
    <xdr:sp macro="" textlink="">
      <xdr:nvSpPr>
        <xdr:cNvPr id="57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280</xdr:row>
      <xdr:rowOff>47625</xdr:rowOff>
    </xdr:from>
    <xdr:ext cx="76200" cy="222885"/>
    <xdr:sp macro="" textlink="">
      <xdr:nvSpPr>
        <xdr:cNvPr id="57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280</xdr:row>
      <xdr:rowOff>47625</xdr:rowOff>
    </xdr:from>
    <xdr:ext cx="76200" cy="222885"/>
    <xdr:sp macro="" textlink="">
      <xdr:nvSpPr>
        <xdr:cNvPr id="57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280</xdr:row>
      <xdr:rowOff>47625</xdr:rowOff>
    </xdr:from>
    <xdr:ext cx="76200" cy="222885"/>
    <xdr:sp macro="" textlink="">
      <xdr:nvSpPr>
        <xdr:cNvPr id="57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280</xdr:row>
      <xdr:rowOff>47625</xdr:rowOff>
    </xdr:from>
    <xdr:ext cx="76200" cy="222885"/>
    <xdr:sp macro="" textlink="">
      <xdr:nvSpPr>
        <xdr:cNvPr id="58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281</xdr:row>
      <xdr:rowOff>47625</xdr:rowOff>
    </xdr:from>
    <xdr:ext cx="76200" cy="222885"/>
    <xdr:sp macro="" textlink="">
      <xdr:nvSpPr>
        <xdr:cNvPr id="58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281</xdr:row>
      <xdr:rowOff>47625</xdr:rowOff>
    </xdr:from>
    <xdr:ext cx="76200" cy="222885"/>
    <xdr:sp macro="" textlink="">
      <xdr:nvSpPr>
        <xdr:cNvPr id="58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281</xdr:row>
      <xdr:rowOff>47625</xdr:rowOff>
    </xdr:from>
    <xdr:ext cx="76200" cy="222885"/>
    <xdr:sp macro="" textlink="">
      <xdr:nvSpPr>
        <xdr:cNvPr id="58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281</xdr:row>
      <xdr:rowOff>47625</xdr:rowOff>
    </xdr:from>
    <xdr:ext cx="76200" cy="222885"/>
    <xdr:sp macro="" textlink="">
      <xdr:nvSpPr>
        <xdr:cNvPr id="58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282</xdr:row>
      <xdr:rowOff>47625</xdr:rowOff>
    </xdr:from>
    <xdr:ext cx="76200" cy="222885"/>
    <xdr:sp macro="" textlink="">
      <xdr:nvSpPr>
        <xdr:cNvPr id="58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282</xdr:row>
      <xdr:rowOff>47625</xdr:rowOff>
    </xdr:from>
    <xdr:ext cx="76200" cy="222885"/>
    <xdr:sp macro="" textlink="">
      <xdr:nvSpPr>
        <xdr:cNvPr id="58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282</xdr:row>
      <xdr:rowOff>47625</xdr:rowOff>
    </xdr:from>
    <xdr:ext cx="76200" cy="222885"/>
    <xdr:sp macro="" textlink="">
      <xdr:nvSpPr>
        <xdr:cNvPr id="58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282</xdr:row>
      <xdr:rowOff>47625</xdr:rowOff>
    </xdr:from>
    <xdr:ext cx="76200" cy="222885"/>
    <xdr:sp macro="" textlink="">
      <xdr:nvSpPr>
        <xdr:cNvPr id="58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283</xdr:row>
      <xdr:rowOff>47625</xdr:rowOff>
    </xdr:from>
    <xdr:ext cx="76200" cy="222885"/>
    <xdr:sp macro="" textlink="">
      <xdr:nvSpPr>
        <xdr:cNvPr id="58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283</xdr:row>
      <xdr:rowOff>47625</xdr:rowOff>
    </xdr:from>
    <xdr:ext cx="76200" cy="222885"/>
    <xdr:sp macro="" textlink="">
      <xdr:nvSpPr>
        <xdr:cNvPr id="59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283</xdr:row>
      <xdr:rowOff>47625</xdr:rowOff>
    </xdr:from>
    <xdr:ext cx="76200" cy="222885"/>
    <xdr:sp macro="" textlink="">
      <xdr:nvSpPr>
        <xdr:cNvPr id="59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283</xdr:row>
      <xdr:rowOff>47625</xdr:rowOff>
    </xdr:from>
    <xdr:ext cx="76200" cy="222885"/>
    <xdr:sp macro="" textlink="">
      <xdr:nvSpPr>
        <xdr:cNvPr id="59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284</xdr:row>
      <xdr:rowOff>47625</xdr:rowOff>
    </xdr:from>
    <xdr:ext cx="76200" cy="222885"/>
    <xdr:sp macro="" textlink="">
      <xdr:nvSpPr>
        <xdr:cNvPr id="59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284</xdr:row>
      <xdr:rowOff>47625</xdr:rowOff>
    </xdr:from>
    <xdr:ext cx="76200" cy="222885"/>
    <xdr:sp macro="" textlink="">
      <xdr:nvSpPr>
        <xdr:cNvPr id="59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284</xdr:row>
      <xdr:rowOff>47625</xdr:rowOff>
    </xdr:from>
    <xdr:ext cx="76200" cy="222885"/>
    <xdr:sp macro="" textlink="">
      <xdr:nvSpPr>
        <xdr:cNvPr id="59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284</xdr:row>
      <xdr:rowOff>47625</xdr:rowOff>
    </xdr:from>
    <xdr:ext cx="76200" cy="222885"/>
    <xdr:sp macro="" textlink="">
      <xdr:nvSpPr>
        <xdr:cNvPr id="59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285</xdr:row>
      <xdr:rowOff>47625</xdr:rowOff>
    </xdr:from>
    <xdr:ext cx="76200" cy="222885"/>
    <xdr:sp macro="" textlink="">
      <xdr:nvSpPr>
        <xdr:cNvPr id="59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285</xdr:row>
      <xdr:rowOff>47625</xdr:rowOff>
    </xdr:from>
    <xdr:ext cx="76200" cy="222885"/>
    <xdr:sp macro="" textlink="">
      <xdr:nvSpPr>
        <xdr:cNvPr id="59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285</xdr:row>
      <xdr:rowOff>47625</xdr:rowOff>
    </xdr:from>
    <xdr:ext cx="76200" cy="222885"/>
    <xdr:sp macro="" textlink="">
      <xdr:nvSpPr>
        <xdr:cNvPr id="59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285</xdr:row>
      <xdr:rowOff>47625</xdr:rowOff>
    </xdr:from>
    <xdr:ext cx="76200" cy="222885"/>
    <xdr:sp macro="" textlink="">
      <xdr:nvSpPr>
        <xdr:cNvPr id="60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286</xdr:row>
      <xdr:rowOff>47625</xdr:rowOff>
    </xdr:from>
    <xdr:ext cx="76200" cy="222885"/>
    <xdr:sp macro="" textlink="">
      <xdr:nvSpPr>
        <xdr:cNvPr id="60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286</xdr:row>
      <xdr:rowOff>47625</xdr:rowOff>
    </xdr:from>
    <xdr:ext cx="76200" cy="222885"/>
    <xdr:sp macro="" textlink="">
      <xdr:nvSpPr>
        <xdr:cNvPr id="60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286</xdr:row>
      <xdr:rowOff>47625</xdr:rowOff>
    </xdr:from>
    <xdr:ext cx="76200" cy="222885"/>
    <xdr:sp macro="" textlink="">
      <xdr:nvSpPr>
        <xdr:cNvPr id="60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286</xdr:row>
      <xdr:rowOff>47625</xdr:rowOff>
    </xdr:from>
    <xdr:ext cx="76200" cy="222885"/>
    <xdr:sp macro="" textlink="">
      <xdr:nvSpPr>
        <xdr:cNvPr id="60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287</xdr:row>
      <xdr:rowOff>47625</xdr:rowOff>
    </xdr:from>
    <xdr:ext cx="76200" cy="222885"/>
    <xdr:sp macro="" textlink="">
      <xdr:nvSpPr>
        <xdr:cNvPr id="60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287</xdr:row>
      <xdr:rowOff>47625</xdr:rowOff>
    </xdr:from>
    <xdr:ext cx="76200" cy="222885"/>
    <xdr:sp macro="" textlink="">
      <xdr:nvSpPr>
        <xdr:cNvPr id="60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287</xdr:row>
      <xdr:rowOff>47625</xdr:rowOff>
    </xdr:from>
    <xdr:ext cx="76200" cy="222885"/>
    <xdr:sp macro="" textlink="">
      <xdr:nvSpPr>
        <xdr:cNvPr id="60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287</xdr:row>
      <xdr:rowOff>47625</xdr:rowOff>
    </xdr:from>
    <xdr:ext cx="76200" cy="222885"/>
    <xdr:sp macro="" textlink="">
      <xdr:nvSpPr>
        <xdr:cNvPr id="60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288</xdr:row>
      <xdr:rowOff>47625</xdr:rowOff>
    </xdr:from>
    <xdr:ext cx="76200" cy="222885"/>
    <xdr:sp macro="" textlink="">
      <xdr:nvSpPr>
        <xdr:cNvPr id="60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288</xdr:row>
      <xdr:rowOff>47625</xdr:rowOff>
    </xdr:from>
    <xdr:ext cx="76200" cy="222885"/>
    <xdr:sp macro="" textlink="">
      <xdr:nvSpPr>
        <xdr:cNvPr id="61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288</xdr:row>
      <xdr:rowOff>47625</xdr:rowOff>
    </xdr:from>
    <xdr:ext cx="76200" cy="222885"/>
    <xdr:sp macro="" textlink="">
      <xdr:nvSpPr>
        <xdr:cNvPr id="61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288</xdr:row>
      <xdr:rowOff>47625</xdr:rowOff>
    </xdr:from>
    <xdr:ext cx="76200" cy="222885"/>
    <xdr:sp macro="" textlink="">
      <xdr:nvSpPr>
        <xdr:cNvPr id="61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289</xdr:row>
      <xdr:rowOff>47625</xdr:rowOff>
    </xdr:from>
    <xdr:ext cx="76200" cy="222885"/>
    <xdr:sp macro="" textlink="">
      <xdr:nvSpPr>
        <xdr:cNvPr id="61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289</xdr:row>
      <xdr:rowOff>47625</xdr:rowOff>
    </xdr:from>
    <xdr:ext cx="76200" cy="222885"/>
    <xdr:sp macro="" textlink="">
      <xdr:nvSpPr>
        <xdr:cNvPr id="61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289</xdr:row>
      <xdr:rowOff>47625</xdr:rowOff>
    </xdr:from>
    <xdr:ext cx="76200" cy="222885"/>
    <xdr:sp macro="" textlink="">
      <xdr:nvSpPr>
        <xdr:cNvPr id="61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289</xdr:row>
      <xdr:rowOff>47625</xdr:rowOff>
    </xdr:from>
    <xdr:ext cx="76200" cy="222885"/>
    <xdr:sp macro="" textlink="">
      <xdr:nvSpPr>
        <xdr:cNvPr id="61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290</xdr:row>
      <xdr:rowOff>47625</xdr:rowOff>
    </xdr:from>
    <xdr:ext cx="76200" cy="222885"/>
    <xdr:sp macro="" textlink="">
      <xdr:nvSpPr>
        <xdr:cNvPr id="61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290</xdr:row>
      <xdr:rowOff>47625</xdr:rowOff>
    </xdr:from>
    <xdr:ext cx="76200" cy="222885"/>
    <xdr:sp macro="" textlink="">
      <xdr:nvSpPr>
        <xdr:cNvPr id="61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290</xdr:row>
      <xdr:rowOff>47625</xdr:rowOff>
    </xdr:from>
    <xdr:ext cx="76200" cy="222885"/>
    <xdr:sp macro="" textlink="">
      <xdr:nvSpPr>
        <xdr:cNvPr id="61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290</xdr:row>
      <xdr:rowOff>47625</xdr:rowOff>
    </xdr:from>
    <xdr:ext cx="76200" cy="222885"/>
    <xdr:sp macro="" textlink="">
      <xdr:nvSpPr>
        <xdr:cNvPr id="62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291</xdr:row>
      <xdr:rowOff>47625</xdr:rowOff>
    </xdr:from>
    <xdr:ext cx="76200" cy="222885"/>
    <xdr:sp macro="" textlink="">
      <xdr:nvSpPr>
        <xdr:cNvPr id="62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291</xdr:row>
      <xdr:rowOff>47625</xdr:rowOff>
    </xdr:from>
    <xdr:ext cx="76200" cy="222885"/>
    <xdr:sp macro="" textlink="">
      <xdr:nvSpPr>
        <xdr:cNvPr id="62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291</xdr:row>
      <xdr:rowOff>47625</xdr:rowOff>
    </xdr:from>
    <xdr:ext cx="76200" cy="222885"/>
    <xdr:sp macro="" textlink="">
      <xdr:nvSpPr>
        <xdr:cNvPr id="62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291</xdr:row>
      <xdr:rowOff>47625</xdr:rowOff>
    </xdr:from>
    <xdr:ext cx="76200" cy="222885"/>
    <xdr:sp macro="" textlink="">
      <xdr:nvSpPr>
        <xdr:cNvPr id="62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292</xdr:row>
      <xdr:rowOff>47625</xdr:rowOff>
    </xdr:from>
    <xdr:ext cx="76200" cy="222885"/>
    <xdr:sp macro="" textlink="">
      <xdr:nvSpPr>
        <xdr:cNvPr id="62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292</xdr:row>
      <xdr:rowOff>47625</xdr:rowOff>
    </xdr:from>
    <xdr:ext cx="76200" cy="222885"/>
    <xdr:sp macro="" textlink="">
      <xdr:nvSpPr>
        <xdr:cNvPr id="62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292</xdr:row>
      <xdr:rowOff>47625</xdr:rowOff>
    </xdr:from>
    <xdr:ext cx="76200" cy="222885"/>
    <xdr:sp macro="" textlink="">
      <xdr:nvSpPr>
        <xdr:cNvPr id="62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292</xdr:row>
      <xdr:rowOff>47625</xdr:rowOff>
    </xdr:from>
    <xdr:ext cx="76200" cy="222885"/>
    <xdr:sp macro="" textlink="">
      <xdr:nvSpPr>
        <xdr:cNvPr id="62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293</xdr:row>
      <xdr:rowOff>47625</xdr:rowOff>
    </xdr:from>
    <xdr:ext cx="76200" cy="222885"/>
    <xdr:sp macro="" textlink="">
      <xdr:nvSpPr>
        <xdr:cNvPr id="62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293</xdr:row>
      <xdr:rowOff>47625</xdr:rowOff>
    </xdr:from>
    <xdr:ext cx="76200" cy="222885"/>
    <xdr:sp macro="" textlink="">
      <xdr:nvSpPr>
        <xdr:cNvPr id="63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293</xdr:row>
      <xdr:rowOff>47625</xdr:rowOff>
    </xdr:from>
    <xdr:ext cx="76200" cy="222885"/>
    <xdr:sp macro="" textlink="">
      <xdr:nvSpPr>
        <xdr:cNvPr id="63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293</xdr:row>
      <xdr:rowOff>47625</xdr:rowOff>
    </xdr:from>
    <xdr:ext cx="76200" cy="222885"/>
    <xdr:sp macro="" textlink="">
      <xdr:nvSpPr>
        <xdr:cNvPr id="63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294</xdr:row>
      <xdr:rowOff>47625</xdr:rowOff>
    </xdr:from>
    <xdr:ext cx="76200" cy="222885"/>
    <xdr:sp macro="" textlink="">
      <xdr:nvSpPr>
        <xdr:cNvPr id="63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294</xdr:row>
      <xdr:rowOff>47625</xdr:rowOff>
    </xdr:from>
    <xdr:ext cx="76200" cy="222885"/>
    <xdr:sp macro="" textlink="">
      <xdr:nvSpPr>
        <xdr:cNvPr id="63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294</xdr:row>
      <xdr:rowOff>47625</xdr:rowOff>
    </xdr:from>
    <xdr:ext cx="76200" cy="222885"/>
    <xdr:sp macro="" textlink="">
      <xdr:nvSpPr>
        <xdr:cNvPr id="63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294</xdr:row>
      <xdr:rowOff>47625</xdr:rowOff>
    </xdr:from>
    <xdr:ext cx="76200" cy="222885"/>
    <xdr:sp macro="" textlink="">
      <xdr:nvSpPr>
        <xdr:cNvPr id="63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295</xdr:row>
      <xdr:rowOff>47625</xdr:rowOff>
    </xdr:from>
    <xdr:ext cx="76200" cy="222885"/>
    <xdr:sp macro="" textlink="">
      <xdr:nvSpPr>
        <xdr:cNvPr id="63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295</xdr:row>
      <xdr:rowOff>47625</xdr:rowOff>
    </xdr:from>
    <xdr:ext cx="76200" cy="222885"/>
    <xdr:sp macro="" textlink="">
      <xdr:nvSpPr>
        <xdr:cNvPr id="63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295</xdr:row>
      <xdr:rowOff>47625</xdr:rowOff>
    </xdr:from>
    <xdr:ext cx="76200" cy="222885"/>
    <xdr:sp macro="" textlink="">
      <xdr:nvSpPr>
        <xdr:cNvPr id="63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295</xdr:row>
      <xdr:rowOff>47625</xdr:rowOff>
    </xdr:from>
    <xdr:ext cx="76200" cy="222885"/>
    <xdr:sp macro="" textlink="">
      <xdr:nvSpPr>
        <xdr:cNvPr id="64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296</xdr:row>
      <xdr:rowOff>47625</xdr:rowOff>
    </xdr:from>
    <xdr:ext cx="76200" cy="222885"/>
    <xdr:sp macro="" textlink="">
      <xdr:nvSpPr>
        <xdr:cNvPr id="64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296</xdr:row>
      <xdr:rowOff>47625</xdr:rowOff>
    </xdr:from>
    <xdr:ext cx="76200" cy="222885"/>
    <xdr:sp macro="" textlink="">
      <xdr:nvSpPr>
        <xdr:cNvPr id="64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296</xdr:row>
      <xdr:rowOff>47625</xdr:rowOff>
    </xdr:from>
    <xdr:ext cx="76200" cy="222885"/>
    <xdr:sp macro="" textlink="">
      <xdr:nvSpPr>
        <xdr:cNvPr id="64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296</xdr:row>
      <xdr:rowOff>47625</xdr:rowOff>
    </xdr:from>
    <xdr:ext cx="76200" cy="222885"/>
    <xdr:sp macro="" textlink="">
      <xdr:nvSpPr>
        <xdr:cNvPr id="64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297</xdr:row>
      <xdr:rowOff>47625</xdr:rowOff>
    </xdr:from>
    <xdr:ext cx="76200" cy="222885"/>
    <xdr:sp macro="" textlink="">
      <xdr:nvSpPr>
        <xdr:cNvPr id="64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297</xdr:row>
      <xdr:rowOff>47625</xdr:rowOff>
    </xdr:from>
    <xdr:ext cx="76200" cy="222885"/>
    <xdr:sp macro="" textlink="">
      <xdr:nvSpPr>
        <xdr:cNvPr id="64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297</xdr:row>
      <xdr:rowOff>47625</xdr:rowOff>
    </xdr:from>
    <xdr:ext cx="76200" cy="222885"/>
    <xdr:sp macro="" textlink="">
      <xdr:nvSpPr>
        <xdr:cNvPr id="64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297</xdr:row>
      <xdr:rowOff>47625</xdr:rowOff>
    </xdr:from>
    <xdr:ext cx="76200" cy="222885"/>
    <xdr:sp macro="" textlink="">
      <xdr:nvSpPr>
        <xdr:cNvPr id="64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298</xdr:row>
      <xdr:rowOff>47625</xdr:rowOff>
    </xdr:from>
    <xdr:ext cx="76200" cy="222885"/>
    <xdr:sp macro="" textlink="">
      <xdr:nvSpPr>
        <xdr:cNvPr id="64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298</xdr:row>
      <xdr:rowOff>47625</xdr:rowOff>
    </xdr:from>
    <xdr:ext cx="76200" cy="222885"/>
    <xdr:sp macro="" textlink="">
      <xdr:nvSpPr>
        <xdr:cNvPr id="65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298</xdr:row>
      <xdr:rowOff>47625</xdr:rowOff>
    </xdr:from>
    <xdr:ext cx="76200" cy="222885"/>
    <xdr:sp macro="" textlink="">
      <xdr:nvSpPr>
        <xdr:cNvPr id="65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298</xdr:row>
      <xdr:rowOff>47625</xdr:rowOff>
    </xdr:from>
    <xdr:ext cx="76200" cy="222885"/>
    <xdr:sp macro="" textlink="">
      <xdr:nvSpPr>
        <xdr:cNvPr id="65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299</xdr:row>
      <xdr:rowOff>47625</xdr:rowOff>
    </xdr:from>
    <xdr:ext cx="76200" cy="222885"/>
    <xdr:sp macro="" textlink="">
      <xdr:nvSpPr>
        <xdr:cNvPr id="65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299</xdr:row>
      <xdr:rowOff>47625</xdr:rowOff>
    </xdr:from>
    <xdr:ext cx="76200" cy="222885"/>
    <xdr:sp macro="" textlink="">
      <xdr:nvSpPr>
        <xdr:cNvPr id="65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299</xdr:row>
      <xdr:rowOff>47625</xdr:rowOff>
    </xdr:from>
    <xdr:ext cx="76200" cy="222885"/>
    <xdr:sp macro="" textlink="">
      <xdr:nvSpPr>
        <xdr:cNvPr id="65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299</xdr:row>
      <xdr:rowOff>47625</xdr:rowOff>
    </xdr:from>
    <xdr:ext cx="76200" cy="222885"/>
    <xdr:sp macro="" textlink="">
      <xdr:nvSpPr>
        <xdr:cNvPr id="65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300</xdr:row>
      <xdr:rowOff>47625</xdr:rowOff>
    </xdr:from>
    <xdr:ext cx="76200" cy="222885"/>
    <xdr:sp macro="" textlink="">
      <xdr:nvSpPr>
        <xdr:cNvPr id="65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300</xdr:row>
      <xdr:rowOff>47625</xdr:rowOff>
    </xdr:from>
    <xdr:ext cx="76200" cy="222885"/>
    <xdr:sp macro="" textlink="">
      <xdr:nvSpPr>
        <xdr:cNvPr id="65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300</xdr:row>
      <xdr:rowOff>47625</xdr:rowOff>
    </xdr:from>
    <xdr:ext cx="76200" cy="222885"/>
    <xdr:sp macro="" textlink="">
      <xdr:nvSpPr>
        <xdr:cNvPr id="65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300</xdr:row>
      <xdr:rowOff>47625</xdr:rowOff>
    </xdr:from>
    <xdr:ext cx="76200" cy="222885"/>
    <xdr:sp macro="" textlink="">
      <xdr:nvSpPr>
        <xdr:cNvPr id="66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301</xdr:row>
      <xdr:rowOff>47625</xdr:rowOff>
    </xdr:from>
    <xdr:ext cx="76200" cy="222885"/>
    <xdr:sp macro="" textlink="">
      <xdr:nvSpPr>
        <xdr:cNvPr id="66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301</xdr:row>
      <xdr:rowOff>47625</xdr:rowOff>
    </xdr:from>
    <xdr:ext cx="76200" cy="222885"/>
    <xdr:sp macro="" textlink="">
      <xdr:nvSpPr>
        <xdr:cNvPr id="66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301</xdr:row>
      <xdr:rowOff>47625</xdr:rowOff>
    </xdr:from>
    <xdr:ext cx="76200" cy="222885"/>
    <xdr:sp macro="" textlink="">
      <xdr:nvSpPr>
        <xdr:cNvPr id="66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301</xdr:row>
      <xdr:rowOff>47625</xdr:rowOff>
    </xdr:from>
    <xdr:ext cx="76200" cy="222885"/>
    <xdr:sp macro="" textlink="">
      <xdr:nvSpPr>
        <xdr:cNvPr id="66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302</xdr:row>
      <xdr:rowOff>47625</xdr:rowOff>
    </xdr:from>
    <xdr:ext cx="76200" cy="222885"/>
    <xdr:sp macro="" textlink="">
      <xdr:nvSpPr>
        <xdr:cNvPr id="66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302</xdr:row>
      <xdr:rowOff>47625</xdr:rowOff>
    </xdr:from>
    <xdr:ext cx="76200" cy="222885"/>
    <xdr:sp macro="" textlink="">
      <xdr:nvSpPr>
        <xdr:cNvPr id="66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302</xdr:row>
      <xdr:rowOff>47625</xdr:rowOff>
    </xdr:from>
    <xdr:ext cx="76200" cy="222885"/>
    <xdr:sp macro="" textlink="">
      <xdr:nvSpPr>
        <xdr:cNvPr id="66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302</xdr:row>
      <xdr:rowOff>47625</xdr:rowOff>
    </xdr:from>
    <xdr:ext cx="76200" cy="222885"/>
    <xdr:sp macro="" textlink="">
      <xdr:nvSpPr>
        <xdr:cNvPr id="66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303</xdr:row>
      <xdr:rowOff>47625</xdr:rowOff>
    </xdr:from>
    <xdr:ext cx="76200" cy="222885"/>
    <xdr:sp macro="" textlink="">
      <xdr:nvSpPr>
        <xdr:cNvPr id="66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303</xdr:row>
      <xdr:rowOff>47625</xdr:rowOff>
    </xdr:from>
    <xdr:ext cx="76200" cy="222885"/>
    <xdr:sp macro="" textlink="">
      <xdr:nvSpPr>
        <xdr:cNvPr id="67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303</xdr:row>
      <xdr:rowOff>47625</xdr:rowOff>
    </xdr:from>
    <xdr:ext cx="76200" cy="222885"/>
    <xdr:sp macro="" textlink="">
      <xdr:nvSpPr>
        <xdr:cNvPr id="67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303</xdr:row>
      <xdr:rowOff>47625</xdr:rowOff>
    </xdr:from>
    <xdr:ext cx="76200" cy="222885"/>
    <xdr:sp macro="" textlink="">
      <xdr:nvSpPr>
        <xdr:cNvPr id="67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304</xdr:row>
      <xdr:rowOff>47625</xdr:rowOff>
    </xdr:from>
    <xdr:ext cx="76200" cy="222885"/>
    <xdr:sp macro="" textlink="">
      <xdr:nvSpPr>
        <xdr:cNvPr id="67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304</xdr:row>
      <xdr:rowOff>47625</xdr:rowOff>
    </xdr:from>
    <xdr:ext cx="76200" cy="222885"/>
    <xdr:sp macro="" textlink="">
      <xdr:nvSpPr>
        <xdr:cNvPr id="67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304</xdr:row>
      <xdr:rowOff>47625</xdr:rowOff>
    </xdr:from>
    <xdr:ext cx="76200" cy="222885"/>
    <xdr:sp macro="" textlink="">
      <xdr:nvSpPr>
        <xdr:cNvPr id="67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304</xdr:row>
      <xdr:rowOff>47625</xdr:rowOff>
    </xdr:from>
    <xdr:ext cx="76200" cy="222885"/>
    <xdr:sp macro="" textlink="">
      <xdr:nvSpPr>
        <xdr:cNvPr id="67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305</xdr:row>
      <xdr:rowOff>47625</xdr:rowOff>
    </xdr:from>
    <xdr:ext cx="76200" cy="222885"/>
    <xdr:sp macro="" textlink="">
      <xdr:nvSpPr>
        <xdr:cNvPr id="67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305</xdr:row>
      <xdr:rowOff>47625</xdr:rowOff>
    </xdr:from>
    <xdr:ext cx="76200" cy="222885"/>
    <xdr:sp macro="" textlink="">
      <xdr:nvSpPr>
        <xdr:cNvPr id="67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305</xdr:row>
      <xdr:rowOff>47625</xdr:rowOff>
    </xdr:from>
    <xdr:ext cx="76200" cy="222885"/>
    <xdr:sp macro="" textlink="">
      <xdr:nvSpPr>
        <xdr:cNvPr id="67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305</xdr:row>
      <xdr:rowOff>47625</xdr:rowOff>
    </xdr:from>
    <xdr:ext cx="76200" cy="222885"/>
    <xdr:sp macro="" textlink="">
      <xdr:nvSpPr>
        <xdr:cNvPr id="68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306</xdr:row>
      <xdr:rowOff>47625</xdr:rowOff>
    </xdr:from>
    <xdr:ext cx="76200" cy="222885"/>
    <xdr:sp macro="" textlink="">
      <xdr:nvSpPr>
        <xdr:cNvPr id="68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306</xdr:row>
      <xdr:rowOff>47625</xdr:rowOff>
    </xdr:from>
    <xdr:ext cx="76200" cy="222885"/>
    <xdr:sp macro="" textlink="">
      <xdr:nvSpPr>
        <xdr:cNvPr id="68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306</xdr:row>
      <xdr:rowOff>47625</xdr:rowOff>
    </xdr:from>
    <xdr:ext cx="76200" cy="222885"/>
    <xdr:sp macro="" textlink="">
      <xdr:nvSpPr>
        <xdr:cNvPr id="68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306</xdr:row>
      <xdr:rowOff>47625</xdr:rowOff>
    </xdr:from>
    <xdr:ext cx="76200" cy="222885"/>
    <xdr:sp macro="" textlink="">
      <xdr:nvSpPr>
        <xdr:cNvPr id="68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307</xdr:row>
      <xdr:rowOff>47625</xdr:rowOff>
    </xdr:from>
    <xdr:ext cx="76200" cy="222885"/>
    <xdr:sp macro="" textlink="">
      <xdr:nvSpPr>
        <xdr:cNvPr id="68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307</xdr:row>
      <xdr:rowOff>47625</xdr:rowOff>
    </xdr:from>
    <xdr:ext cx="76200" cy="222885"/>
    <xdr:sp macro="" textlink="">
      <xdr:nvSpPr>
        <xdr:cNvPr id="68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307</xdr:row>
      <xdr:rowOff>47625</xdr:rowOff>
    </xdr:from>
    <xdr:ext cx="76200" cy="222885"/>
    <xdr:sp macro="" textlink="">
      <xdr:nvSpPr>
        <xdr:cNvPr id="68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307</xdr:row>
      <xdr:rowOff>47625</xdr:rowOff>
    </xdr:from>
    <xdr:ext cx="76200" cy="222885"/>
    <xdr:sp macro="" textlink="">
      <xdr:nvSpPr>
        <xdr:cNvPr id="68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308</xdr:row>
      <xdr:rowOff>47625</xdr:rowOff>
    </xdr:from>
    <xdr:ext cx="76200" cy="222885"/>
    <xdr:sp macro="" textlink="">
      <xdr:nvSpPr>
        <xdr:cNvPr id="68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308</xdr:row>
      <xdr:rowOff>47625</xdr:rowOff>
    </xdr:from>
    <xdr:ext cx="76200" cy="222885"/>
    <xdr:sp macro="" textlink="">
      <xdr:nvSpPr>
        <xdr:cNvPr id="69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308</xdr:row>
      <xdr:rowOff>47625</xdr:rowOff>
    </xdr:from>
    <xdr:ext cx="76200" cy="222885"/>
    <xdr:sp macro="" textlink="">
      <xdr:nvSpPr>
        <xdr:cNvPr id="69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308</xdr:row>
      <xdr:rowOff>47625</xdr:rowOff>
    </xdr:from>
    <xdr:ext cx="76200" cy="222885"/>
    <xdr:sp macro="" textlink="">
      <xdr:nvSpPr>
        <xdr:cNvPr id="69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309</xdr:row>
      <xdr:rowOff>47625</xdr:rowOff>
    </xdr:from>
    <xdr:ext cx="76200" cy="222885"/>
    <xdr:sp macro="" textlink="">
      <xdr:nvSpPr>
        <xdr:cNvPr id="69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309</xdr:row>
      <xdr:rowOff>47625</xdr:rowOff>
    </xdr:from>
    <xdr:ext cx="76200" cy="222885"/>
    <xdr:sp macro="" textlink="">
      <xdr:nvSpPr>
        <xdr:cNvPr id="69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309</xdr:row>
      <xdr:rowOff>47625</xdr:rowOff>
    </xdr:from>
    <xdr:ext cx="76200" cy="222885"/>
    <xdr:sp macro="" textlink="">
      <xdr:nvSpPr>
        <xdr:cNvPr id="69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309</xdr:row>
      <xdr:rowOff>47625</xdr:rowOff>
    </xdr:from>
    <xdr:ext cx="76200" cy="222885"/>
    <xdr:sp macro="" textlink="">
      <xdr:nvSpPr>
        <xdr:cNvPr id="69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310</xdr:row>
      <xdr:rowOff>47625</xdr:rowOff>
    </xdr:from>
    <xdr:ext cx="76200" cy="222885"/>
    <xdr:sp macro="" textlink="">
      <xdr:nvSpPr>
        <xdr:cNvPr id="69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310</xdr:row>
      <xdr:rowOff>47625</xdr:rowOff>
    </xdr:from>
    <xdr:ext cx="76200" cy="222885"/>
    <xdr:sp macro="" textlink="">
      <xdr:nvSpPr>
        <xdr:cNvPr id="69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310</xdr:row>
      <xdr:rowOff>47625</xdr:rowOff>
    </xdr:from>
    <xdr:ext cx="76200" cy="222885"/>
    <xdr:sp macro="" textlink="">
      <xdr:nvSpPr>
        <xdr:cNvPr id="69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310</xdr:row>
      <xdr:rowOff>47625</xdr:rowOff>
    </xdr:from>
    <xdr:ext cx="76200" cy="222885"/>
    <xdr:sp macro="" textlink="">
      <xdr:nvSpPr>
        <xdr:cNvPr id="70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311</xdr:row>
      <xdr:rowOff>47625</xdr:rowOff>
    </xdr:from>
    <xdr:ext cx="76200" cy="222885"/>
    <xdr:sp macro="" textlink="">
      <xdr:nvSpPr>
        <xdr:cNvPr id="70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311</xdr:row>
      <xdr:rowOff>47625</xdr:rowOff>
    </xdr:from>
    <xdr:ext cx="76200" cy="222885"/>
    <xdr:sp macro="" textlink="">
      <xdr:nvSpPr>
        <xdr:cNvPr id="70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311</xdr:row>
      <xdr:rowOff>47625</xdr:rowOff>
    </xdr:from>
    <xdr:ext cx="76200" cy="222885"/>
    <xdr:sp macro="" textlink="">
      <xdr:nvSpPr>
        <xdr:cNvPr id="70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311</xdr:row>
      <xdr:rowOff>47625</xdr:rowOff>
    </xdr:from>
    <xdr:ext cx="76200" cy="222885"/>
    <xdr:sp macro="" textlink="">
      <xdr:nvSpPr>
        <xdr:cNvPr id="70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312</xdr:row>
      <xdr:rowOff>47625</xdr:rowOff>
    </xdr:from>
    <xdr:ext cx="76200" cy="222885"/>
    <xdr:sp macro="" textlink="">
      <xdr:nvSpPr>
        <xdr:cNvPr id="70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312</xdr:row>
      <xdr:rowOff>47625</xdr:rowOff>
    </xdr:from>
    <xdr:ext cx="76200" cy="222885"/>
    <xdr:sp macro="" textlink="">
      <xdr:nvSpPr>
        <xdr:cNvPr id="70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312</xdr:row>
      <xdr:rowOff>47625</xdr:rowOff>
    </xdr:from>
    <xdr:ext cx="76200" cy="222885"/>
    <xdr:sp macro="" textlink="">
      <xdr:nvSpPr>
        <xdr:cNvPr id="70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312</xdr:row>
      <xdr:rowOff>47625</xdr:rowOff>
    </xdr:from>
    <xdr:ext cx="76200" cy="222885"/>
    <xdr:sp macro="" textlink="">
      <xdr:nvSpPr>
        <xdr:cNvPr id="70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313</xdr:row>
      <xdr:rowOff>47625</xdr:rowOff>
    </xdr:from>
    <xdr:ext cx="76200" cy="222885"/>
    <xdr:sp macro="" textlink="">
      <xdr:nvSpPr>
        <xdr:cNvPr id="70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313</xdr:row>
      <xdr:rowOff>47625</xdr:rowOff>
    </xdr:from>
    <xdr:ext cx="76200" cy="222885"/>
    <xdr:sp macro="" textlink="">
      <xdr:nvSpPr>
        <xdr:cNvPr id="71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313</xdr:row>
      <xdr:rowOff>47625</xdr:rowOff>
    </xdr:from>
    <xdr:ext cx="76200" cy="222885"/>
    <xdr:sp macro="" textlink="">
      <xdr:nvSpPr>
        <xdr:cNvPr id="71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313</xdr:row>
      <xdr:rowOff>47625</xdr:rowOff>
    </xdr:from>
    <xdr:ext cx="76200" cy="222885"/>
    <xdr:sp macro="" textlink="">
      <xdr:nvSpPr>
        <xdr:cNvPr id="71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314</xdr:row>
      <xdr:rowOff>47625</xdr:rowOff>
    </xdr:from>
    <xdr:ext cx="76200" cy="222885"/>
    <xdr:sp macro="" textlink="">
      <xdr:nvSpPr>
        <xdr:cNvPr id="71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314</xdr:row>
      <xdr:rowOff>47625</xdr:rowOff>
    </xdr:from>
    <xdr:ext cx="76200" cy="222885"/>
    <xdr:sp macro="" textlink="">
      <xdr:nvSpPr>
        <xdr:cNvPr id="71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314</xdr:row>
      <xdr:rowOff>47625</xdr:rowOff>
    </xdr:from>
    <xdr:ext cx="76200" cy="222885"/>
    <xdr:sp macro="" textlink="">
      <xdr:nvSpPr>
        <xdr:cNvPr id="71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314</xdr:row>
      <xdr:rowOff>47625</xdr:rowOff>
    </xdr:from>
    <xdr:ext cx="76200" cy="222885"/>
    <xdr:sp macro="" textlink="">
      <xdr:nvSpPr>
        <xdr:cNvPr id="71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315</xdr:row>
      <xdr:rowOff>47625</xdr:rowOff>
    </xdr:from>
    <xdr:ext cx="76200" cy="222885"/>
    <xdr:sp macro="" textlink="">
      <xdr:nvSpPr>
        <xdr:cNvPr id="71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315</xdr:row>
      <xdr:rowOff>47625</xdr:rowOff>
    </xdr:from>
    <xdr:ext cx="76200" cy="222885"/>
    <xdr:sp macro="" textlink="">
      <xdr:nvSpPr>
        <xdr:cNvPr id="71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315</xdr:row>
      <xdr:rowOff>47625</xdr:rowOff>
    </xdr:from>
    <xdr:ext cx="76200" cy="222885"/>
    <xdr:sp macro="" textlink="">
      <xdr:nvSpPr>
        <xdr:cNvPr id="71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315</xdr:row>
      <xdr:rowOff>47625</xdr:rowOff>
    </xdr:from>
    <xdr:ext cx="76200" cy="222885"/>
    <xdr:sp macro="" textlink="">
      <xdr:nvSpPr>
        <xdr:cNvPr id="72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316</xdr:row>
      <xdr:rowOff>47625</xdr:rowOff>
    </xdr:from>
    <xdr:ext cx="76200" cy="222885"/>
    <xdr:sp macro="" textlink="">
      <xdr:nvSpPr>
        <xdr:cNvPr id="72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316</xdr:row>
      <xdr:rowOff>47625</xdr:rowOff>
    </xdr:from>
    <xdr:ext cx="76200" cy="222885"/>
    <xdr:sp macro="" textlink="">
      <xdr:nvSpPr>
        <xdr:cNvPr id="72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316</xdr:row>
      <xdr:rowOff>47625</xdr:rowOff>
    </xdr:from>
    <xdr:ext cx="76200" cy="222885"/>
    <xdr:sp macro="" textlink="">
      <xdr:nvSpPr>
        <xdr:cNvPr id="72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316</xdr:row>
      <xdr:rowOff>47625</xdr:rowOff>
    </xdr:from>
    <xdr:ext cx="76200" cy="222885"/>
    <xdr:sp macro="" textlink="">
      <xdr:nvSpPr>
        <xdr:cNvPr id="72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317</xdr:row>
      <xdr:rowOff>47625</xdr:rowOff>
    </xdr:from>
    <xdr:ext cx="76200" cy="222885"/>
    <xdr:sp macro="" textlink="">
      <xdr:nvSpPr>
        <xdr:cNvPr id="72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317</xdr:row>
      <xdr:rowOff>47625</xdr:rowOff>
    </xdr:from>
    <xdr:ext cx="76200" cy="222885"/>
    <xdr:sp macro="" textlink="">
      <xdr:nvSpPr>
        <xdr:cNvPr id="72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317</xdr:row>
      <xdr:rowOff>47625</xdr:rowOff>
    </xdr:from>
    <xdr:ext cx="76200" cy="222885"/>
    <xdr:sp macro="" textlink="">
      <xdr:nvSpPr>
        <xdr:cNvPr id="72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317</xdr:row>
      <xdr:rowOff>47625</xdr:rowOff>
    </xdr:from>
    <xdr:ext cx="76200" cy="222885"/>
    <xdr:sp macro="" textlink="">
      <xdr:nvSpPr>
        <xdr:cNvPr id="72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318</xdr:row>
      <xdr:rowOff>47625</xdr:rowOff>
    </xdr:from>
    <xdr:ext cx="76200" cy="222885"/>
    <xdr:sp macro="" textlink="">
      <xdr:nvSpPr>
        <xdr:cNvPr id="72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318</xdr:row>
      <xdr:rowOff>47625</xdr:rowOff>
    </xdr:from>
    <xdr:ext cx="76200" cy="222885"/>
    <xdr:sp macro="" textlink="">
      <xdr:nvSpPr>
        <xdr:cNvPr id="73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318</xdr:row>
      <xdr:rowOff>47625</xdr:rowOff>
    </xdr:from>
    <xdr:ext cx="76200" cy="222885"/>
    <xdr:sp macro="" textlink="">
      <xdr:nvSpPr>
        <xdr:cNvPr id="73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318</xdr:row>
      <xdr:rowOff>47625</xdr:rowOff>
    </xdr:from>
    <xdr:ext cx="76200" cy="222885"/>
    <xdr:sp macro="" textlink="">
      <xdr:nvSpPr>
        <xdr:cNvPr id="73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319</xdr:row>
      <xdr:rowOff>47625</xdr:rowOff>
    </xdr:from>
    <xdr:ext cx="76200" cy="222885"/>
    <xdr:sp macro="" textlink="">
      <xdr:nvSpPr>
        <xdr:cNvPr id="73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319</xdr:row>
      <xdr:rowOff>47625</xdr:rowOff>
    </xdr:from>
    <xdr:ext cx="76200" cy="222885"/>
    <xdr:sp macro="" textlink="">
      <xdr:nvSpPr>
        <xdr:cNvPr id="73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319</xdr:row>
      <xdr:rowOff>47625</xdr:rowOff>
    </xdr:from>
    <xdr:ext cx="76200" cy="222885"/>
    <xdr:sp macro="" textlink="">
      <xdr:nvSpPr>
        <xdr:cNvPr id="73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319</xdr:row>
      <xdr:rowOff>47625</xdr:rowOff>
    </xdr:from>
    <xdr:ext cx="76200" cy="222885"/>
    <xdr:sp macro="" textlink="">
      <xdr:nvSpPr>
        <xdr:cNvPr id="73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320</xdr:row>
      <xdr:rowOff>47625</xdr:rowOff>
    </xdr:from>
    <xdr:ext cx="76200" cy="222885"/>
    <xdr:sp macro="" textlink="">
      <xdr:nvSpPr>
        <xdr:cNvPr id="73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320</xdr:row>
      <xdr:rowOff>47625</xdr:rowOff>
    </xdr:from>
    <xdr:ext cx="76200" cy="222885"/>
    <xdr:sp macro="" textlink="">
      <xdr:nvSpPr>
        <xdr:cNvPr id="73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320</xdr:row>
      <xdr:rowOff>47625</xdr:rowOff>
    </xdr:from>
    <xdr:ext cx="76200" cy="222885"/>
    <xdr:sp macro="" textlink="">
      <xdr:nvSpPr>
        <xdr:cNvPr id="73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320</xdr:row>
      <xdr:rowOff>47625</xdr:rowOff>
    </xdr:from>
    <xdr:ext cx="76200" cy="222885"/>
    <xdr:sp macro="" textlink="">
      <xdr:nvSpPr>
        <xdr:cNvPr id="74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321</xdr:row>
      <xdr:rowOff>47625</xdr:rowOff>
    </xdr:from>
    <xdr:ext cx="76200" cy="222885"/>
    <xdr:sp macro="" textlink="">
      <xdr:nvSpPr>
        <xdr:cNvPr id="74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321</xdr:row>
      <xdr:rowOff>47625</xdr:rowOff>
    </xdr:from>
    <xdr:ext cx="76200" cy="222885"/>
    <xdr:sp macro="" textlink="">
      <xdr:nvSpPr>
        <xdr:cNvPr id="74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321</xdr:row>
      <xdr:rowOff>47625</xdr:rowOff>
    </xdr:from>
    <xdr:ext cx="76200" cy="222885"/>
    <xdr:sp macro="" textlink="">
      <xdr:nvSpPr>
        <xdr:cNvPr id="74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321</xdr:row>
      <xdr:rowOff>47625</xdr:rowOff>
    </xdr:from>
    <xdr:ext cx="76200" cy="222885"/>
    <xdr:sp macro="" textlink="">
      <xdr:nvSpPr>
        <xdr:cNvPr id="74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322</xdr:row>
      <xdr:rowOff>47625</xdr:rowOff>
    </xdr:from>
    <xdr:ext cx="76200" cy="222885"/>
    <xdr:sp macro="" textlink="">
      <xdr:nvSpPr>
        <xdr:cNvPr id="74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322</xdr:row>
      <xdr:rowOff>47625</xdr:rowOff>
    </xdr:from>
    <xdr:ext cx="76200" cy="222885"/>
    <xdr:sp macro="" textlink="">
      <xdr:nvSpPr>
        <xdr:cNvPr id="74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322</xdr:row>
      <xdr:rowOff>47625</xdr:rowOff>
    </xdr:from>
    <xdr:ext cx="76200" cy="222885"/>
    <xdr:sp macro="" textlink="">
      <xdr:nvSpPr>
        <xdr:cNvPr id="74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322</xdr:row>
      <xdr:rowOff>47625</xdr:rowOff>
    </xdr:from>
    <xdr:ext cx="76200" cy="222885"/>
    <xdr:sp macro="" textlink="">
      <xdr:nvSpPr>
        <xdr:cNvPr id="74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720125"/>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4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5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46889458"/>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5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5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5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5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5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5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5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5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5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6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6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323</xdr:row>
      <xdr:rowOff>47625</xdr:rowOff>
    </xdr:from>
    <xdr:ext cx="76200" cy="222885"/>
    <xdr:sp macro="" textlink="">
      <xdr:nvSpPr>
        <xdr:cNvPr id="76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6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6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6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6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6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6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6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7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7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7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7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7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7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324</xdr:row>
      <xdr:rowOff>47625</xdr:rowOff>
    </xdr:from>
    <xdr:ext cx="76200" cy="222885"/>
    <xdr:sp macro="" textlink="">
      <xdr:nvSpPr>
        <xdr:cNvPr id="77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7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7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7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8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8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8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8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8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8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8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8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8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8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9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9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9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9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9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9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9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9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9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79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80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80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325</xdr:row>
      <xdr:rowOff>47625</xdr:rowOff>
    </xdr:from>
    <xdr:ext cx="76200" cy="222885"/>
    <xdr:sp macro="" textlink="">
      <xdr:nvSpPr>
        <xdr:cNvPr id="80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0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0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0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0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0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0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0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1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1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1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1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1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1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1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1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1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1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2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2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2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2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2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2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2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2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326</xdr:row>
      <xdr:rowOff>47625</xdr:rowOff>
    </xdr:from>
    <xdr:ext cx="76200" cy="222885"/>
    <xdr:sp macro="" textlink="">
      <xdr:nvSpPr>
        <xdr:cNvPr id="82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2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3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3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3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3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3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3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3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3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3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3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4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4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4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4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4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4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4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4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4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4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5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5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5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5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327</xdr:row>
      <xdr:rowOff>47625</xdr:rowOff>
    </xdr:from>
    <xdr:ext cx="76200" cy="222885"/>
    <xdr:sp macro="" textlink="">
      <xdr:nvSpPr>
        <xdr:cNvPr id="85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5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5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5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5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5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6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6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6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6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6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6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6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6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6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6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7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7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7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7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7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7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7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7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7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7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328</xdr:row>
      <xdr:rowOff>47625</xdr:rowOff>
    </xdr:from>
    <xdr:ext cx="76200" cy="222885"/>
    <xdr:sp macro="" textlink="">
      <xdr:nvSpPr>
        <xdr:cNvPr id="88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8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8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8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8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8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8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8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8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8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9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9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9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9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9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9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9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9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9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89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90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90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90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90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90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90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329</xdr:row>
      <xdr:rowOff>47625</xdr:rowOff>
    </xdr:from>
    <xdr:ext cx="76200" cy="222885"/>
    <xdr:sp macro="" textlink="">
      <xdr:nvSpPr>
        <xdr:cNvPr id="90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0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0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0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1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1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1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1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1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1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1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1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1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1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2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2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2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2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2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2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2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2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2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2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3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3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330</xdr:row>
      <xdr:rowOff>47625</xdr:rowOff>
    </xdr:from>
    <xdr:ext cx="76200" cy="222885"/>
    <xdr:sp macro="" textlink="">
      <xdr:nvSpPr>
        <xdr:cNvPr id="93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3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3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3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3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3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3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3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4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4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4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4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4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4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4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4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4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4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5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5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5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5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5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5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5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5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331</xdr:row>
      <xdr:rowOff>47625</xdr:rowOff>
    </xdr:from>
    <xdr:ext cx="76200" cy="222885"/>
    <xdr:sp macro="" textlink="">
      <xdr:nvSpPr>
        <xdr:cNvPr id="95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5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6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6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6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6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6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6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6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6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6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6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7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7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7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7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7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7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7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7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7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7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8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8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8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8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332</xdr:row>
      <xdr:rowOff>47625</xdr:rowOff>
    </xdr:from>
    <xdr:ext cx="76200" cy="222885"/>
    <xdr:sp macro="" textlink="">
      <xdr:nvSpPr>
        <xdr:cNvPr id="98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8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8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8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8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8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9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9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9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9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9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9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9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9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9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99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100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100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100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100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100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100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100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100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100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100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333</xdr:row>
      <xdr:rowOff>47625</xdr:rowOff>
    </xdr:from>
    <xdr:ext cx="76200" cy="222885"/>
    <xdr:sp macro="" textlink="">
      <xdr:nvSpPr>
        <xdr:cNvPr id="101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1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1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1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1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1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1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1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1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1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2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2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2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2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2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2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2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2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2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2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3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3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3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3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3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3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334</xdr:row>
      <xdr:rowOff>47625</xdr:rowOff>
    </xdr:from>
    <xdr:ext cx="76200" cy="222885"/>
    <xdr:sp macro="" textlink="">
      <xdr:nvSpPr>
        <xdr:cNvPr id="103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3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3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3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4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4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4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4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4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4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4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4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4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4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5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5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5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5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5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5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5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5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5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5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6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6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335</xdr:row>
      <xdr:rowOff>47625</xdr:rowOff>
    </xdr:from>
    <xdr:ext cx="76200" cy="222885"/>
    <xdr:sp macro="" textlink="">
      <xdr:nvSpPr>
        <xdr:cNvPr id="106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6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6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6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6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6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6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6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7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7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7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7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7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7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7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7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7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7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8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8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8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8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8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8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8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8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336</xdr:row>
      <xdr:rowOff>47625</xdr:rowOff>
    </xdr:from>
    <xdr:ext cx="76200" cy="222885"/>
    <xdr:sp macro="" textlink="">
      <xdr:nvSpPr>
        <xdr:cNvPr id="108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08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09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09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09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09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09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09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09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09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09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09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0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0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0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0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0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0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0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0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0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0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1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1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1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1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337</xdr:row>
      <xdr:rowOff>47625</xdr:rowOff>
    </xdr:from>
    <xdr:ext cx="76200" cy="222885"/>
    <xdr:sp macro="" textlink="">
      <xdr:nvSpPr>
        <xdr:cNvPr id="111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1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1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1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1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1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2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2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2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2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2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2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2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2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2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2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3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3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3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3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3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3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3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3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3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3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338</xdr:row>
      <xdr:rowOff>47625</xdr:rowOff>
    </xdr:from>
    <xdr:ext cx="76200" cy="222885"/>
    <xdr:sp macro="" textlink="">
      <xdr:nvSpPr>
        <xdr:cNvPr id="114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4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4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4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4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4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4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4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4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4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5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5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5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5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5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5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5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5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5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5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6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6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6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6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6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6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339</xdr:row>
      <xdr:rowOff>47625</xdr:rowOff>
    </xdr:from>
    <xdr:ext cx="76200" cy="222885"/>
    <xdr:sp macro="" textlink="">
      <xdr:nvSpPr>
        <xdr:cNvPr id="116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6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6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6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7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7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7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7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7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7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7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7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7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7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8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8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8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8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8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8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8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8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8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8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9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9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340</xdr:row>
      <xdr:rowOff>47625</xdr:rowOff>
    </xdr:from>
    <xdr:ext cx="76200" cy="222885"/>
    <xdr:sp macro="" textlink="">
      <xdr:nvSpPr>
        <xdr:cNvPr id="119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19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19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19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19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19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19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19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0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0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0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0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0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0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0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0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0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0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1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1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1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1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1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1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1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1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341</xdr:row>
      <xdr:rowOff>47625</xdr:rowOff>
    </xdr:from>
    <xdr:ext cx="76200" cy="222885"/>
    <xdr:sp macro="" textlink="">
      <xdr:nvSpPr>
        <xdr:cNvPr id="121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1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2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2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2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2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2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2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2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2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2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2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3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3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3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3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3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3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3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3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3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3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4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4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4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4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342</xdr:row>
      <xdr:rowOff>47625</xdr:rowOff>
    </xdr:from>
    <xdr:ext cx="76200" cy="222885"/>
    <xdr:sp macro="" textlink="">
      <xdr:nvSpPr>
        <xdr:cNvPr id="124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4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4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4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4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4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5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5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5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5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5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5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5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5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5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5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6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6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6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6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6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6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6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6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6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343</xdr:row>
      <xdr:rowOff>47625</xdr:rowOff>
    </xdr:from>
    <xdr:ext cx="76200" cy="222885"/>
    <xdr:sp macro="" textlink="">
      <xdr:nvSpPr>
        <xdr:cNvPr id="126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2</xdr:col>
      <xdr:colOff>541867</xdr:colOff>
      <xdr:row>343</xdr:row>
      <xdr:rowOff>64559</xdr:rowOff>
    </xdr:from>
    <xdr:ext cx="76200" cy="222885"/>
    <xdr:sp macro="" textlink="">
      <xdr:nvSpPr>
        <xdr:cNvPr id="127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4267200" y="61007626"/>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7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7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7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7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7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7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7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7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7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8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8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8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8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8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8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8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8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8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8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9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9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9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9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9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9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344</xdr:row>
      <xdr:rowOff>47625</xdr:rowOff>
    </xdr:from>
    <xdr:ext cx="76200" cy="222885"/>
    <xdr:sp macro="" textlink="">
      <xdr:nvSpPr>
        <xdr:cNvPr id="129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29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29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29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0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0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0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0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0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0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0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0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0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0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1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1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1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1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1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1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1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1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1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1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2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2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345</xdr:row>
      <xdr:rowOff>47625</xdr:rowOff>
    </xdr:from>
    <xdr:ext cx="76200" cy="222885"/>
    <xdr:sp macro="" textlink="">
      <xdr:nvSpPr>
        <xdr:cNvPr id="132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2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2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2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2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2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2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2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3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3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3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3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3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3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3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3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3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3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4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4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4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4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4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4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4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4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346</xdr:row>
      <xdr:rowOff>47625</xdr:rowOff>
    </xdr:from>
    <xdr:ext cx="76200" cy="222885"/>
    <xdr:sp macro="" textlink="">
      <xdr:nvSpPr>
        <xdr:cNvPr id="134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4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5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5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5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5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5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5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5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5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5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5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6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6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6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6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6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6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6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6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6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6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7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7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7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7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347</xdr:row>
      <xdr:rowOff>47625</xdr:rowOff>
    </xdr:from>
    <xdr:ext cx="76200" cy="222885"/>
    <xdr:sp macro="" textlink="">
      <xdr:nvSpPr>
        <xdr:cNvPr id="137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7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7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7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7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7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8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8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8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8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8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8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8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8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8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8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9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9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9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9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9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9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9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9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9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39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348</xdr:row>
      <xdr:rowOff>47625</xdr:rowOff>
    </xdr:from>
    <xdr:ext cx="76200" cy="222885"/>
    <xdr:sp macro="" textlink="">
      <xdr:nvSpPr>
        <xdr:cNvPr id="140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0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0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0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0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0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0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0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0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0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1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1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1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1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1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1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1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1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1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1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2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2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2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2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2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2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349</xdr:row>
      <xdr:rowOff>47625</xdr:rowOff>
    </xdr:from>
    <xdr:ext cx="76200" cy="222885"/>
    <xdr:sp macro="" textlink="">
      <xdr:nvSpPr>
        <xdr:cNvPr id="142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2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2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2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3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3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3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3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3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3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3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3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3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3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4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4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4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4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4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4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4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4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4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4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5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5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350</xdr:row>
      <xdr:rowOff>47625</xdr:rowOff>
    </xdr:from>
    <xdr:ext cx="76200" cy="222885"/>
    <xdr:sp macro="" textlink="">
      <xdr:nvSpPr>
        <xdr:cNvPr id="145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5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5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5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5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5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5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5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6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6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6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6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6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6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6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6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6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6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7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7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7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7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7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7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7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7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351</xdr:row>
      <xdr:rowOff>47625</xdr:rowOff>
    </xdr:from>
    <xdr:ext cx="76200" cy="222885"/>
    <xdr:sp macro="" textlink="">
      <xdr:nvSpPr>
        <xdr:cNvPr id="147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7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8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8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8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8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8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8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8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8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8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8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9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9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9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9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9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9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9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9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9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49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50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50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50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50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352</xdr:row>
      <xdr:rowOff>47625</xdr:rowOff>
    </xdr:from>
    <xdr:ext cx="76200" cy="222885"/>
    <xdr:sp macro="" textlink="">
      <xdr:nvSpPr>
        <xdr:cNvPr id="150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0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0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0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0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0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1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1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1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1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1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1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1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1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1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1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2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2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2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2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2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2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2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2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2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2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353</xdr:row>
      <xdr:rowOff>47625</xdr:rowOff>
    </xdr:from>
    <xdr:ext cx="76200" cy="222885"/>
    <xdr:sp macro="" textlink="">
      <xdr:nvSpPr>
        <xdr:cNvPr id="153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3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3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3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3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3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3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3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3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3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4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4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4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4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4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4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4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4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4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4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5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5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5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5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5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5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354</xdr:row>
      <xdr:rowOff>47625</xdr:rowOff>
    </xdr:from>
    <xdr:ext cx="76200" cy="222885"/>
    <xdr:sp macro="" textlink="">
      <xdr:nvSpPr>
        <xdr:cNvPr id="155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5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5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5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6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6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6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6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6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6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6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6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6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6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7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7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7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7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7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7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7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7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7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7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8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8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355</xdr:row>
      <xdr:rowOff>47625</xdr:rowOff>
    </xdr:from>
    <xdr:ext cx="76200" cy="222885"/>
    <xdr:sp macro="" textlink="">
      <xdr:nvSpPr>
        <xdr:cNvPr id="158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8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8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8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8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8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8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8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9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9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9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9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9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9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9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9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9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59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60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60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60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60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60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60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60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60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356</xdr:row>
      <xdr:rowOff>47625</xdr:rowOff>
    </xdr:from>
    <xdr:ext cx="76200" cy="222885"/>
    <xdr:sp macro="" textlink="">
      <xdr:nvSpPr>
        <xdr:cNvPr id="160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0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1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1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1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1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1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1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1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1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1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1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2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2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2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2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2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2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2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2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2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2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3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3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3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3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357</xdr:row>
      <xdr:rowOff>47625</xdr:rowOff>
    </xdr:from>
    <xdr:ext cx="76200" cy="222885"/>
    <xdr:sp macro="" textlink="">
      <xdr:nvSpPr>
        <xdr:cNvPr id="163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3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3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3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3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3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4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4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4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4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4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4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4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4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4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4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5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5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5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5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5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5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5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5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5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5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358</xdr:row>
      <xdr:rowOff>47625</xdr:rowOff>
    </xdr:from>
    <xdr:ext cx="76200" cy="222885"/>
    <xdr:sp macro="" textlink="">
      <xdr:nvSpPr>
        <xdr:cNvPr id="166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6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6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6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6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6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6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6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6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6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7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7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7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7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7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7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7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7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7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7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8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8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8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8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8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8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359</xdr:row>
      <xdr:rowOff>47625</xdr:rowOff>
    </xdr:from>
    <xdr:ext cx="76200" cy="222885"/>
    <xdr:sp macro="" textlink="">
      <xdr:nvSpPr>
        <xdr:cNvPr id="168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68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68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68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69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69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69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69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69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69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69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69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69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69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70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70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70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70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70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70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70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70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70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70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71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71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360</xdr:row>
      <xdr:rowOff>47625</xdr:rowOff>
    </xdr:from>
    <xdr:ext cx="76200" cy="222885"/>
    <xdr:sp macro="" textlink="">
      <xdr:nvSpPr>
        <xdr:cNvPr id="171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1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1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1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1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1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1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1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2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2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2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2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2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2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2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2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2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2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3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3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3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3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3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3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3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3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361</xdr:row>
      <xdr:rowOff>47625</xdr:rowOff>
    </xdr:from>
    <xdr:ext cx="76200" cy="222885"/>
    <xdr:sp macro="" textlink="">
      <xdr:nvSpPr>
        <xdr:cNvPr id="173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3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4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4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4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4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4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4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4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4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4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4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5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5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5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5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5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5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5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5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5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5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6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6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6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6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362</xdr:row>
      <xdr:rowOff>47625</xdr:rowOff>
    </xdr:from>
    <xdr:ext cx="76200" cy="222885"/>
    <xdr:sp macro="" textlink="">
      <xdr:nvSpPr>
        <xdr:cNvPr id="176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6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6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6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6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6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7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7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7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7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7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7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7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7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7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7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8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8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8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8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8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8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8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8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8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8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179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678792"/>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79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79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79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79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79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79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79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79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79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80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80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80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80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180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54848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1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1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1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2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2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2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2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2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2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2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2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2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2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3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3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3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3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3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3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3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3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3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3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4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4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363</xdr:row>
      <xdr:rowOff>47625</xdr:rowOff>
    </xdr:from>
    <xdr:ext cx="76200" cy="222885"/>
    <xdr:sp macro="" textlink="">
      <xdr:nvSpPr>
        <xdr:cNvPr id="344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4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4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4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4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4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4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4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5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5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5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5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5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5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5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5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5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5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6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6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6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6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6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6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6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6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6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6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7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7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7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7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7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7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7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7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7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7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8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8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8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8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8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8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8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8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8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8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9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9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9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9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364</xdr:row>
      <xdr:rowOff>47625</xdr:rowOff>
    </xdr:from>
    <xdr:ext cx="76200" cy="222885"/>
    <xdr:sp macro="" textlink="">
      <xdr:nvSpPr>
        <xdr:cNvPr id="349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49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49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49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49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49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0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0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0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0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0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0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0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0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0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0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1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1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1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1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1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1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1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1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1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1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2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2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2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2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2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2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2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2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2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2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3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3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3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3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3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3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3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3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3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3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4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4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4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4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4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4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4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4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4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4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5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5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5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5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5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5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5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5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5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5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6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6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6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6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6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6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6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6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6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6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7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7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365</xdr:row>
      <xdr:rowOff>47625</xdr:rowOff>
    </xdr:from>
    <xdr:ext cx="76200" cy="222885"/>
    <xdr:sp macro="" textlink="">
      <xdr:nvSpPr>
        <xdr:cNvPr id="357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7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7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7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7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7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7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7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8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8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8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8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8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8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8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8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8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8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9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9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9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9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9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9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9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9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9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59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0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0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0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0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0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0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0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0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0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0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1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1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1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1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1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1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1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1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1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1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2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2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2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2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2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2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2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2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2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2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3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3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3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3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3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3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3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3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3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3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4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4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4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4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4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4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4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4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4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4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366</xdr:row>
      <xdr:rowOff>47625</xdr:rowOff>
    </xdr:from>
    <xdr:ext cx="76200" cy="222885"/>
    <xdr:sp macro="" textlink="">
      <xdr:nvSpPr>
        <xdr:cNvPr id="365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5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5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5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5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5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5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5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5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5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6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6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6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6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6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6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6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6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6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6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7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7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7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7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7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7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7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7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7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7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8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8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8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8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8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8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8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8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8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8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9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9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9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9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9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9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9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9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9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69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0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0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0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0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0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0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0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0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0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0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1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1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1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1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1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1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1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1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1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1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2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2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2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2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2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2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2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2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367</xdr:row>
      <xdr:rowOff>47625</xdr:rowOff>
    </xdr:from>
    <xdr:ext cx="76200" cy="222885"/>
    <xdr:sp macro="" textlink="">
      <xdr:nvSpPr>
        <xdr:cNvPr id="372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2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3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3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3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3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3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3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3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3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3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3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4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4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4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4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4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4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4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4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4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4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5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5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5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5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5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5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5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5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5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5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6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6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6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6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6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6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6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6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6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6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7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7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7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7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7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7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7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7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7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7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8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8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8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8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8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8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8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8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8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8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9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9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9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9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9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9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9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9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9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79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80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80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80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80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80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80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368</xdr:row>
      <xdr:rowOff>47625</xdr:rowOff>
    </xdr:from>
    <xdr:ext cx="76200" cy="222885"/>
    <xdr:sp macro="" textlink="">
      <xdr:nvSpPr>
        <xdr:cNvPr id="380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0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0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0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1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1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1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1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1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1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1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1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1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1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2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2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2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2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2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2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2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2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2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2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3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3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3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3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3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3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3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3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3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3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4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4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4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4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4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4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4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4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4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4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5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5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5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5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5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5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5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5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5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5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6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6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6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6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6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6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6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6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6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6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7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7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7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7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7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7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7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7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7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7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8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8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8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8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369</xdr:row>
      <xdr:rowOff>47625</xdr:rowOff>
    </xdr:from>
    <xdr:ext cx="76200" cy="222885"/>
    <xdr:sp macro="" textlink="">
      <xdr:nvSpPr>
        <xdr:cNvPr id="388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8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8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8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8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8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9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9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9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9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9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9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9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9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9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89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0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0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0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0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0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0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0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0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0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0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1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1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1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1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1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1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1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1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1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1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2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2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2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2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2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2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2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2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2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2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3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3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3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3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3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3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3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3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3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3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4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4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4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4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4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4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4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4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4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4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5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5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5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5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5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5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5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5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5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5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6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6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370</xdr:row>
      <xdr:rowOff>47625</xdr:rowOff>
    </xdr:from>
    <xdr:ext cx="76200" cy="222885"/>
    <xdr:sp macro="" textlink="">
      <xdr:nvSpPr>
        <xdr:cNvPr id="396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6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6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6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6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6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6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6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7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7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7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7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7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7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7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7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7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7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8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8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8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8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8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8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8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8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8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8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9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9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9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9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9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9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9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9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9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399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0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0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0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0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0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0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0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0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0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0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1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1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1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1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1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1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1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1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1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1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2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2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2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2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2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2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2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2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2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2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3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3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3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3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3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3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3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3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3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3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371</xdr:row>
      <xdr:rowOff>47625</xdr:rowOff>
    </xdr:from>
    <xdr:ext cx="76200" cy="222885"/>
    <xdr:sp macro="" textlink="">
      <xdr:nvSpPr>
        <xdr:cNvPr id="404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4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4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4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4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4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4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4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4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4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5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5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5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5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5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5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5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5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5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5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6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6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6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6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6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6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6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6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6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6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7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7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7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7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7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7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7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7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7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7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8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8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8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8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8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8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8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8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8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8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9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9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9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9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9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9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9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9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9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09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0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0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0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0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0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0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0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0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0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0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1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1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1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1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1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1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1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1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372</xdr:row>
      <xdr:rowOff>47625</xdr:rowOff>
    </xdr:from>
    <xdr:ext cx="76200" cy="222885"/>
    <xdr:sp macro="" textlink="">
      <xdr:nvSpPr>
        <xdr:cNvPr id="411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1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2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2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2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2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2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2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2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2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2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2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3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3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3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3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3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3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3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3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3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3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4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4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4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4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4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4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4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4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4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4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5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5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5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5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5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5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5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5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5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5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6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6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6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6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6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6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6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6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6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6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7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7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7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7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7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7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7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7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7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7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8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8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8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8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8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8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8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8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8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8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9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9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9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9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9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9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373</xdr:row>
      <xdr:rowOff>47625</xdr:rowOff>
    </xdr:from>
    <xdr:ext cx="76200" cy="222885"/>
    <xdr:sp macro="" textlink="">
      <xdr:nvSpPr>
        <xdr:cNvPr id="419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19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19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19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0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0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0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0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0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0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0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0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0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0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1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1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1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1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1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1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1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1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1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1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2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2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2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2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2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2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2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2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2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2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3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3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3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3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3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3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3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3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3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3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4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4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4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4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4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4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4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4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4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4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5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5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5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5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5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5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5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5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5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5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6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6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6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6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6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6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6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6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6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6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7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7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7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7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374</xdr:row>
      <xdr:rowOff>47625</xdr:rowOff>
    </xdr:from>
    <xdr:ext cx="76200" cy="222885"/>
    <xdr:sp macro="" textlink="">
      <xdr:nvSpPr>
        <xdr:cNvPr id="427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7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7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7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7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7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8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8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8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8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8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8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8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8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8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8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9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9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9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9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9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9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9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9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9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29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0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0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0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0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0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0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0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0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0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0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1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1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1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1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1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1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1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1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1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1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2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2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2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2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2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2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2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2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2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2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3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3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3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3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3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3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3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3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3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3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4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4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4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4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4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4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4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4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4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4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5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5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375</xdr:row>
      <xdr:rowOff>47625</xdr:rowOff>
    </xdr:from>
    <xdr:ext cx="76200" cy="222885"/>
    <xdr:sp macro="" textlink="">
      <xdr:nvSpPr>
        <xdr:cNvPr id="435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5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5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5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5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5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5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5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6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6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6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6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6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6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6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6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6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6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7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7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7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7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7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7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7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7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7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7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8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8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8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8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8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8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8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8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8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8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9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9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9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9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9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9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9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9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9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39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0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0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0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0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0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0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0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0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0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0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1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1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1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1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1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1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1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1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1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1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2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2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2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2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2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2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2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2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2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2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376</xdr:row>
      <xdr:rowOff>47625</xdr:rowOff>
    </xdr:from>
    <xdr:ext cx="76200" cy="222885"/>
    <xdr:sp macro="" textlink="">
      <xdr:nvSpPr>
        <xdr:cNvPr id="443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3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3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3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3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3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3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3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3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3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4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4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4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4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4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4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4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4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4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4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5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5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5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5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5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5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5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5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5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5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6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6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6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6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6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6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6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6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6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6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7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7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7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7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7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7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7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7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7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7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8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8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8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8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8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8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8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8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8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8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9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9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9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9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9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9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9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9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9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49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50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50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50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50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50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50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50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50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377</xdr:row>
      <xdr:rowOff>47625</xdr:rowOff>
    </xdr:from>
    <xdr:ext cx="76200" cy="222885"/>
    <xdr:sp macro="" textlink="">
      <xdr:nvSpPr>
        <xdr:cNvPr id="450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0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1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1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1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1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1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1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1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1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1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1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2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2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2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2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2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2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2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2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2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2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3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3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3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3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3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3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3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3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3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3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4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4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4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4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4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4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4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4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4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4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5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5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5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5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5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5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5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5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5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5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6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6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6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6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6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6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6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6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6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6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7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7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7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7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7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7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7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7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7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7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8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8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8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8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8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8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378</xdr:row>
      <xdr:rowOff>47625</xdr:rowOff>
    </xdr:from>
    <xdr:ext cx="76200" cy="222885"/>
    <xdr:sp macro="" textlink="">
      <xdr:nvSpPr>
        <xdr:cNvPr id="458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58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58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58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59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59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59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59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59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59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59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59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59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59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0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0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0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0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0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0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0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0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0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0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1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1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1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1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1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1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1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1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1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1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2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2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2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2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2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2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2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2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2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2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3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3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3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3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3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3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3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3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3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3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4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41"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42"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43"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44"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45"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46"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47"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48"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4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5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5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5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5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5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5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5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5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5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5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6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6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6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6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379</xdr:row>
      <xdr:rowOff>47625</xdr:rowOff>
    </xdr:from>
    <xdr:ext cx="76200" cy="222885"/>
    <xdr:sp macro="" textlink="">
      <xdr:nvSpPr>
        <xdr:cNvPr id="466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452125"/>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6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6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67"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68"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69"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70"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71"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72"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73"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74"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7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7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7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7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79"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80"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81"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82"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83"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84"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85"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86"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87"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88"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89"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90"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9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9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93"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94"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95"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96"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97"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98"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699"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00"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01"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02"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0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0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05" name="Text Box 1">
          <a:extLst>
            <a:ext uri="{FF2B5EF4-FFF2-40B4-BE49-F238E27FC236}">
              <a16:creationId xmlns:a16="http://schemas.microsoft.com/office/drawing/2014/main" id="{290A4FA0-D13A-4372-A023-F2181AD52834}"/>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06" name="Text Box 1">
          <a:extLst>
            <a:ext uri="{FF2B5EF4-FFF2-40B4-BE49-F238E27FC236}">
              <a16:creationId xmlns:a16="http://schemas.microsoft.com/office/drawing/2014/main" id="{59074291-F251-4A09-A5D1-763D3A9D6E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07" name="Text Box 1">
          <a:extLst>
            <a:ext uri="{FF2B5EF4-FFF2-40B4-BE49-F238E27FC236}">
              <a16:creationId xmlns:a16="http://schemas.microsoft.com/office/drawing/2014/main" id="{8DB5C76A-6D5C-4A07-B77E-A09709B08AB2}"/>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08" name="Text Box 1">
          <a:extLst>
            <a:ext uri="{FF2B5EF4-FFF2-40B4-BE49-F238E27FC236}">
              <a16:creationId xmlns:a16="http://schemas.microsoft.com/office/drawing/2014/main" id="{511D00ED-A05E-4952-9978-4403745FFFE6}"/>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09" name="Text Box 1">
          <a:extLst>
            <a:ext uri="{FF2B5EF4-FFF2-40B4-BE49-F238E27FC236}">
              <a16:creationId xmlns:a16="http://schemas.microsoft.com/office/drawing/2014/main" id="{38DD396E-A51E-4CAA-8FD5-07B20CB1B15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10" name="Text Box 1">
          <a:extLst>
            <a:ext uri="{FF2B5EF4-FFF2-40B4-BE49-F238E27FC236}">
              <a16:creationId xmlns:a16="http://schemas.microsoft.com/office/drawing/2014/main" id="{C0ACD268-9DB1-493A-880B-51BB74599609}"/>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11" name="Text Box 1">
          <a:extLst>
            <a:ext uri="{FF2B5EF4-FFF2-40B4-BE49-F238E27FC236}">
              <a16:creationId xmlns:a16="http://schemas.microsoft.com/office/drawing/2014/main" id="{1EDC3777-59E7-4A87-9B15-40D54D61A5F3}"/>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12" name="Text Box 1">
          <a:extLst>
            <a:ext uri="{FF2B5EF4-FFF2-40B4-BE49-F238E27FC236}">
              <a16:creationId xmlns:a16="http://schemas.microsoft.com/office/drawing/2014/main" id="{4F2CEB7C-F9E1-48A4-A63D-0C53B7B64DBC}"/>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13"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14"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15" name="Text Box 1">
          <a:extLst>
            <a:ext uri="{FF2B5EF4-FFF2-40B4-BE49-F238E27FC236}">
              <a16:creationId xmlns:a16="http://schemas.microsoft.com/office/drawing/2014/main" id="{CC919D0E-DFA8-4A78-9115-0ED3E3B1B4FE}"/>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oneCellAnchor>
    <xdr:from>
      <xdr:col>0</xdr:col>
      <xdr:colOff>685800</xdr:colOff>
      <xdr:row>380</xdr:row>
      <xdr:rowOff>47625</xdr:rowOff>
    </xdr:from>
    <xdr:ext cx="76200" cy="222885"/>
    <xdr:sp macro="" textlink="">
      <xdr:nvSpPr>
        <xdr:cNvPr id="4716" name="Text Box 1">
          <a:extLst>
            <a:ext uri="{FF2B5EF4-FFF2-40B4-BE49-F238E27FC236}">
              <a16:creationId xmlns:a16="http://schemas.microsoft.com/office/drawing/2014/main" id="{AEAD336A-6967-4C6E-B79C-EBC7F9BD4EED}"/>
            </a:ext>
          </a:extLst>
        </xdr:cNvPr>
        <xdr:cNvSpPr txBox="1">
          <a:spLocks noChangeArrowheads="1"/>
        </xdr:cNvSpPr>
      </xdr:nvSpPr>
      <xdr:spPr bwMode="auto">
        <a:xfrm>
          <a:off x="685800" y="61621458"/>
          <a:ext cx="76200" cy="222885"/>
        </a:xfrm>
        <a:prstGeom prst="rect">
          <a:avLst/>
        </a:prstGeom>
        <a:noFill/>
        <a:ln w="9525">
          <a:noFill/>
          <a:miter lim="800000"/>
          <a:headEnd/>
          <a:tailEnd/>
        </a:ln>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676275</xdr:colOff>
      <xdr:row>9</xdr:row>
      <xdr:rowOff>47625</xdr:rowOff>
    </xdr:from>
    <xdr:to>
      <xdr:col>0</xdr:col>
      <xdr:colOff>752475</xdr:colOff>
      <xdr:row>10</xdr:row>
      <xdr:rowOff>95250</xdr:rowOff>
    </xdr:to>
    <xdr:sp macro="" textlink="">
      <xdr:nvSpPr>
        <xdr:cNvPr id="46538" name="Text Box 1">
          <a:extLst>
            <a:ext uri="{FF2B5EF4-FFF2-40B4-BE49-F238E27FC236}">
              <a16:creationId xmlns:a16="http://schemas.microsoft.com/office/drawing/2014/main" id="{00000000-0008-0000-1500-0000CAB50000}"/>
            </a:ext>
          </a:extLst>
        </xdr:cNvPr>
        <xdr:cNvSpPr txBox="1">
          <a:spLocks noChangeArrowheads="1"/>
        </xdr:cNvSpPr>
      </xdr:nvSpPr>
      <xdr:spPr bwMode="auto">
        <a:xfrm>
          <a:off x="676275" y="1791758"/>
          <a:ext cx="76200" cy="225425"/>
        </a:xfrm>
        <a:prstGeom prst="rect">
          <a:avLst/>
        </a:prstGeom>
        <a:noFill/>
        <a:ln w="9525">
          <a:no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676275</xdr:colOff>
      <xdr:row>8</xdr:row>
      <xdr:rowOff>47625</xdr:rowOff>
    </xdr:from>
    <xdr:to>
      <xdr:col>0</xdr:col>
      <xdr:colOff>752475</xdr:colOff>
      <xdr:row>9</xdr:row>
      <xdr:rowOff>95250</xdr:rowOff>
    </xdr:to>
    <xdr:sp macro="" textlink="">
      <xdr:nvSpPr>
        <xdr:cNvPr id="75971" name="Text Box 1">
          <a:extLst>
            <a:ext uri="{FF2B5EF4-FFF2-40B4-BE49-F238E27FC236}">
              <a16:creationId xmlns:a16="http://schemas.microsoft.com/office/drawing/2014/main" id="{00000000-0008-0000-1A00-0000C32801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75972" name="Text Box 2">
          <a:extLst>
            <a:ext uri="{FF2B5EF4-FFF2-40B4-BE49-F238E27FC236}">
              <a16:creationId xmlns:a16="http://schemas.microsoft.com/office/drawing/2014/main" id="{00000000-0008-0000-1A00-0000C4280100}"/>
            </a:ext>
          </a:extLst>
        </xdr:cNvPr>
        <xdr:cNvSpPr txBox="1">
          <a:spLocks noChangeArrowheads="1"/>
        </xdr:cNvSpPr>
      </xdr:nvSpPr>
      <xdr:spPr bwMode="auto">
        <a:xfrm>
          <a:off x="676275" y="1581150"/>
          <a:ext cx="76200" cy="219075"/>
        </a:xfrm>
        <a:prstGeom prst="rect">
          <a:avLst/>
        </a:prstGeom>
        <a:noFill/>
        <a:ln w="9525">
          <a:noFill/>
          <a:miter lim="800000"/>
          <a:headEnd/>
          <a:tailEnd/>
        </a:ln>
      </xdr:spPr>
    </xdr:sp>
    <xdr:clientData/>
  </xdr:twoCellAnchor>
  <xdr:twoCellAnchor editAs="oneCell">
    <xdr:from>
      <xdr:col>0</xdr:col>
      <xdr:colOff>676275</xdr:colOff>
      <xdr:row>30</xdr:row>
      <xdr:rowOff>47625</xdr:rowOff>
    </xdr:from>
    <xdr:to>
      <xdr:col>0</xdr:col>
      <xdr:colOff>752475</xdr:colOff>
      <xdr:row>31</xdr:row>
      <xdr:rowOff>95250</xdr:rowOff>
    </xdr:to>
    <xdr:sp macro="" textlink="">
      <xdr:nvSpPr>
        <xdr:cNvPr id="75973" name="Text Box 3">
          <a:extLst>
            <a:ext uri="{FF2B5EF4-FFF2-40B4-BE49-F238E27FC236}">
              <a16:creationId xmlns:a16="http://schemas.microsoft.com/office/drawing/2014/main" id="{00000000-0008-0000-1A00-0000C5280100}"/>
            </a:ext>
          </a:extLst>
        </xdr:cNvPr>
        <xdr:cNvSpPr txBox="1">
          <a:spLocks noChangeArrowheads="1"/>
        </xdr:cNvSpPr>
      </xdr:nvSpPr>
      <xdr:spPr bwMode="auto">
        <a:xfrm>
          <a:off x="676275" y="5353050"/>
          <a:ext cx="76200" cy="219075"/>
        </a:xfrm>
        <a:prstGeom prst="rect">
          <a:avLst/>
        </a:prstGeom>
        <a:noFill/>
        <a:ln w="9525">
          <a:noFill/>
          <a:miter lim="800000"/>
          <a:headEnd/>
          <a:tailEnd/>
        </a:ln>
      </xdr:spPr>
    </xdr:sp>
    <xdr:clientData/>
  </xdr:twoCellAnchor>
  <xdr:twoCellAnchor editAs="oneCell">
    <xdr:from>
      <xdr:col>0</xdr:col>
      <xdr:colOff>676275</xdr:colOff>
      <xdr:row>30</xdr:row>
      <xdr:rowOff>47625</xdr:rowOff>
    </xdr:from>
    <xdr:to>
      <xdr:col>0</xdr:col>
      <xdr:colOff>752475</xdr:colOff>
      <xdr:row>31</xdr:row>
      <xdr:rowOff>95250</xdr:rowOff>
    </xdr:to>
    <xdr:sp macro="" textlink="">
      <xdr:nvSpPr>
        <xdr:cNvPr id="75974" name="Text Box 4">
          <a:extLst>
            <a:ext uri="{FF2B5EF4-FFF2-40B4-BE49-F238E27FC236}">
              <a16:creationId xmlns:a16="http://schemas.microsoft.com/office/drawing/2014/main" id="{00000000-0008-0000-1A00-0000C6280100}"/>
            </a:ext>
          </a:extLst>
        </xdr:cNvPr>
        <xdr:cNvSpPr txBox="1">
          <a:spLocks noChangeArrowheads="1"/>
        </xdr:cNvSpPr>
      </xdr:nvSpPr>
      <xdr:spPr bwMode="auto">
        <a:xfrm>
          <a:off x="676275" y="5353050"/>
          <a:ext cx="76200" cy="219075"/>
        </a:xfrm>
        <a:prstGeom prst="rect">
          <a:avLst/>
        </a:prstGeom>
        <a:noFill/>
        <a:ln w="9525">
          <a:noFill/>
          <a:miter lim="800000"/>
          <a:headEnd/>
          <a:tailEnd/>
        </a:ln>
      </xdr:spPr>
    </xdr:sp>
    <xdr:clientData/>
  </xdr:twoCellAnchor>
  <xdr:twoCellAnchor editAs="oneCell">
    <xdr:from>
      <xdr:col>0</xdr:col>
      <xdr:colOff>676275</xdr:colOff>
      <xdr:row>9</xdr:row>
      <xdr:rowOff>47625</xdr:rowOff>
    </xdr:from>
    <xdr:to>
      <xdr:col>0</xdr:col>
      <xdr:colOff>752475</xdr:colOff>
      <xdr:row>10</xdr:row>
      <xdr:rowOff>95250</xdr:rowOff>
    </xdr:to>
    <xdr:sp macro="" textlink="">
      <xdr:nvSpPr>
        <xdr:cNvPr id="75975" name="Text Box 1">
          <a:extLst>
            <a:ext uri="{FF2B5EF4-FFF2-40B4-BE49-F238E27FC236}">
              <a16:creationId xmlns:a16="http://schemas.microsoft.com/office/drawing/2014/main" id="{00000000-0008-0000-1A00-0000C7280100}"/>
            </a:ext>
          </a:extLst>
        </xdr:cNvPr>
        <xdr:cNvSpPr txBox="1">
          <a:spLocks noChangeArrowheads="1"/>
        </xdr:cNvSpPr>
      </xdr:nvSpPr>
      <xdr:spPr bwMode="auto">
        <a:xfrm>
          <a:off x="676275" y="1752600"/>
          <a:ext cx="76200" cy="219075"/>
        </a:xfrm>
        <a:prstGeom prst="rect">
          <a:avLst/>
        </a:prstGeom>
        <a:noFill/>
        <a:ln w="9525">
          <a:noFill/>
          <a:miter lim="800000"/>
          <a:headEnd/>
          <a:tailEnd/>
        </a:ln>
      </xdr:spPr>
    </xdr:sp>
    <xdr:clientData/>
  </xdr:twoCellAnchor>
  <xdr:twoCellAnchor editAs="oneCell">
    <xdr:from>
      <xdr:col>0</xdr:col>
      <xdr:colOff>676275</xdr:colOff>
      <xdr:row>9</xdr:row>
      <xdr:rowOff>47625</xdr:rowOff>
    </xdr:from>
    <xdr:to>
      <xdr:col>0</xdr:col>
      <xdr:colOff>752475</xdr:colOff>
      <xdr:row>10</xdr:row>
      <xdr:rowOff>95250</xdr:rowOff>
    </xdr:to>
    <xdr:sp macro="" textlink="">
      <xdr:nvSpPr>
        <xdr:cNvPr id="75976" name="Text Box 2">
          <a:extLst>
            <a:ext uri="{FF2B5EF4-FFF2-40B4-BE49-F238E27FC236}">
              <a16:creationId xmlns:a16="http://schemas.microsoft.com/office/drawing/2014/main" id="{00000000-0008-0000-1A00-0000C8280100}"/>
            </a:ext>
          </a:extLst>
        </xdr:cNvPr>
        <xdr:cNvSpPr txBox="1">
          <a:spLocks noChangeArrowheads="1"/>
        </xdr:cNvSpPr>
      </xdr:nvSpPr>
      <xdr:spPr bwMode="auto">
        <a:xfrm>
          <a:off x="676275" y="1752600"/>
          <a:ext cx="76200" cy="219075"/>
        </a:xfrm>
        <a:prstGeom prst="rect">
          <a:avLst/>
        </a:prstGeom>
        <a:noFill/>
        <a:ln w="9525">
          <a:noFill/>
          <a:miter lim="800000"/>
          <a:headEnd/>
          <a:tailEnd/>
        </a:ln>
      </xdr:spPr>
    </xdr:sp>
    <xdr:clientData/>
  </xdr:twoCellAnchor>
  <xdr:oneCellAnchor>
    <xdr:from>
      <xdr:col>0</xdr:col>
      <xdr:colOff>676275</xdr:colOff>
      <xdr:row>89</xdr:row>
      <xdr:rowOff>47625</xdr:rowOff>
    </xdr:from>
    <xdr:ext cx="76200" cy="222885"/>
    <xdr:sp macro="" textlink="">
      <xdr:nvSpPr>
        <xdr:cNvPr id="8" name="Text Box 1">
          <a:extLst>
            <a:ext uri="{FF2B5EF4-FFF2-40B4-BE49-F238E27FC236}">
              <a16:creationId xmlns:a16="http://schemas.microsoft.com/office/drawing/2014/main" id="{00000000-0008-0000-1A00-0000C3280100}"/>
            </a:ext>
          </a:extLst>
        </xdr:cNvPr>
        <xdr:cNvSpPr txBox="1">
          <a:spLocks noChangeArrowheads="1"/>
        </xdr:cNvSpPr>
      </xdr:nvSpPr>
      <xdr:spPr bwMode="auto">
        <a:xfrm>
          <a:off x="676275" y="1472565"/>
          <a:ext cx="76200" cy="222885"/>
        </a:xfrm>
        <a:prstGeom prst="rect">
          <a:avLst/>
        </a:prstGeom>
        <a:noFill/>
        <a:ln w="9525">
          <a:noFill/>
          <a:miter lim="800000"/>
          <a:headEnd/>
          <a:tailEnd/>
        </a:ln>
      </xdr:spPr>
    </xdr:sp>
    <xdr:clientData/>
  </xdr:oneCellAnchor>
  <xdr:oneCellAnchor>
    <xdr:from>
      <xdr:col>0</xdr:col>
      <xdr:colOff>676275</xdr:colOff>
      <xdr:row>89</xdr:row>
      <xdr:rowOff>47625</xdr:rowOff>
    </xdr:from>
    <xdr:ext cx="76200" cy="222885"/>
    <xdr:sp macro="" textlink="">
      <xdr:nvSpPr>
        <xdr:cNvPr id="9" name="Text Box 2">
          <a:extLst>
            <a:ext uri="{FF2B5EF4-FFF2-40B4-BE49-F238E27FC236}">
              <a16:creationId xmlns:a16="http://schemas.microsoft.com/office/drawing/2014/main" id="{00000000-0008-0000-1A00-0000C4280100}"/>
            </a:ext>
          </a:extLst>
        </xdr:cNvPr>
        <xdr:cNvSpPr txBox="1">
          <a:spLocks noChangeArrowheads="1"/>
        </xdr:cNvSpPr>
      </xdr:nvSpPr>
      <xdr:spPr bwMode="auto">
        <a:xfrm>
          <a:off x="676275" y="1472565"/>
          <a:ext cx="76200" cy="222885"/>
        </a:xfrm>
        <a:prstGeom prst="rect">
          <a:avLst/>
        </a:prstGeom>
        <a:noFill/>
        <a:ln w="9525">
          <a:noFill/>
          <a:miter lim="800000"/>
          <a:headEnd/>
          <a:tailEnd/>
        </a:ln>
      </xdr:spPr>
    </xdr:sp>
    <xdr:clientData/>
  </xdr:oneCellAnchor>
  <xdr:oneCellAnchor>
    <xdr:from>
      <xdr:col>0</xdr:col>
      <xdr:colOff>676275</xdr:colOff>
      <xdr:row>111</xdr:row>
      <xdr:rowOff>47625</xdr:rowOff>
    </xdr:from>
    <xdr:ext cx="76200" cy="222885"/>
    <xdr:sp macro="" textlink="">
      <xdr:nvSpPr>
        <xdr:cNvPr id="10" name="Text Box 3">
          <a:extLst>
            <a:ext uri="{FF2B5EF4-FFF2-40B4-BE49-F238E27FC236}">
              <a16:creationId xmlns:a16="http://schemas.microsoft.com/office/drawing/2014/main" id="{00000000-0008-0000-1A00-0000C5280100}"/>
            </a:ext>
          </a:extLst>
        </xdr:cNvPr>
        <xdr:cNvSpPr txBox="1">
          <a:spLocks noChangeArrowheads="1"/>
        </xdr:cNvSpPr>
      </xdr:nvSpPr>
      <xdr:spPr bwMode="auto">
        <a:xfrm>
          <a:off x="676275" y="5328285"/>
          <a:ext cx="76200" cy="222885"/>
        </a:xfrm>
        <a:prstGeom prst="rect">
          <a:avLst/>
        </a:prstGeom>
        <a:noFill/>
        <a:ln w="9525">
          <a:noFill/>
          <a:miter lim="800000"/>
          <a:headEnd/>
          <a:tailEnd/>
        </a:ln>
      </xdr:spPr>
    </xdr:sp>
    <xdr:clientData/>
  </xdr:oneCellAnchor>
  <xdr:oneCellAnchor>
    <xdr:from>
      <xdr:col>0</xdr:col>
      <xdr:colOff>676275</xdr:colOff>
      <xdr:row>111</xdr:row>
      <xdr:rowOff>47625</xdr:rowOff>
    </xdr:from>
    <xdr:ext cx="76200" cy="222885"/>
    <xdr:sp macro="" textlink="">
      <xdr:nvSpPr>
        <xdr:cNvPr id="11" name="Text Box 4">
          <a:extLst>
            <a:ext uri="{FF2B5EF4-FFF2-40B4-BE49-F238E27FC236}">
              <a16:creationId xmlns:a16="http://schemas.microsoft.com/office/drawing/2014/main" id="{00000000-0008-0000-1A00-0000C6280100}"/>
            </a:ext>
          </a:extLst>
        </xdr:cNvPr>
        <xdr:cNvSpPr txBox="1">
          <a:spLocks noChangeArrowheads="1"/>
        </xdr:cNvSpPr>
      </xdr:nvSpPr>
      <xdr:spPr bwMode="auto">
        <a:xfrm>
          <a:off x="676275" y="5328285"/>
          <a:ext cx="76200" cy="222885"/>
        </a:xfrm>
        <a:prstGeom prst="rect">
          <a:avLst/>
        </a:prstGeom>
        <a:noFill/>
        <a:ln w="9525">
          <a:noFill/>
          <a:miter lim="800000"/>
          <a:headEnd/>
          <a:tailEnd/>
        </a:ln>
      </xdr:spPr>
    </xdr:sp>
    <xdr:clientData/>
  </xdr:oneCellAnchor>
  <xdr:oneCellAnchor>
    <xdr:from>
      <xdr:col>0</xdr:col>
      <xdr:colOff>676275</xdr:colOff>
      <xdr:row>90</xdr:row>
      <xdr:rowOff>47625</xdr:rowOff>
    </xdr:from>
    <xdr:ext cx="76200" cy="222885"/>
    <xdr:sp macro="" textlink="">
      <xdr:nvSpPr>
        <xdr:cNvPr id="12" name="Text Box 1">
          <a:extLst>
            <a:ext uri="{FF2B5EF4-FFF2-40B4-BE49-F238E27FC236}">
              <a16:creationId xmlns:a16="http://schemas.microsoft.com/office/drawing/2014/main" id="{00000000-0008-0000-1A00-0000C7280100}"/>
            </a:ext>
          </a:extLst>
        </xdr:cNvPr>
        <xdr:cNvSpPr txBox="1">
          <a:spLocks noChangeArrowheads="1"/>
        </xdr:cNvSpPr>
      </xdr:nvSpPr>
      <xdr:spPr bwMode="auto">
        <a:xfrm>
          <a:off x="676275" y="1647825"/>
          <a:ext cx="76200" cy="222885"/>
        </a:xfrm>
        <a:prstGeom prst="rect">
          <a:avLst/>
        </a:prstGeom>
        <a:noFill/>
        <a:ln w="9525">
          <a:noFill/>
          <a:miter lim="800000"/>
          <a:headEnd/>
          <a:tailEnd/>
        </a:ln>
      </xdr:spPr>
    </xdr:sp>
    <xdr:clientData/>
  </xdr:oneCellAnchor>
  <xdr:oneCellAnchor>
    <xdr:from>
      <xdr:col>0</xdr:col>
      <xdr:colOff>676275</xdr:colOff>
      <xdr:row>90</xdr:row>
      <xdr:rowOff>47625</xdr:rowOff>
    </xdr:from>
    <xdr:ext cx="76200" cy="222885"/>
    <xdr:sp macro="" textlink="">
      <xdr:nvSpPr>
        <xdr:cNvPr id="13" name="Text Box 2">
          <a:extLst>
            <a:ext uri="{FF2B5EF4-FFF2-40B4-BE49-F238E27FC236}">
              <a16:creationId xmlns:a16="http://schemas.microsoft.com/office/drawing/2014/main" id="{00000000-0008-0000-1A00-0000C8280100}"/>
            </a:ext>
          </a:extLst>
        </xdr:cNvPr>
        <xdr:cNvSpPr txBox="1">
          <a:spLocks noChangeArrowheads="1"/>
        </xdr:cNvSpPr>
      </xdr:nvSpPr>
      <xdr:spPr bwMode="auto">
        <a:xfrm>
          <a:off x="676275" y="1647825"/>
          <a:ext cx="76200" cy="22288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20Data/Desktop/TB&#65288;&#28436;&#31034;&#6528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00%20&#24037;&#20316;/19%20&#24213;&#31295;&#31243;&#24207;/A3-1&#12289;-2%20&#21512;&#24182;&#25253;&#34920;&#23457;&#35745;&#22871;&#39184;-2019083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21/00%20&#19987;&#39033;&#23457;&#35745;2021/6.TB&#27169;&#26495;/&#21442;&#32771;TB/TB&#65288;&#28436;&#31034;1&#65289;07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余额表"/>
      <sheetName val="全账龄公式"/>
      <sheetName val="试算"/>
      <sheetName val="分录"/>
      <sheetName val="附注2"/>
      <sheetName val="附注1"/>
      <sheetName val="附注1参数"/>
      <sheetName val="附注1参数（2"/>
      <sheetName val="账表核对"/>
      <sheetName val="辅助余额表"/>
      <sheetName val="序时账"/>
      <sheetName val="资产负债表"/>
      <sheetName val="利润表"/>
    </sheetNames>
    <sheetDataSet>
      <sheetData sheetId="0" refreshError="1"/>
      <sheetData sheetId="1" refreshError="1"/>
      <sheetData sheetId="2">
        <row r="7">
          <cell r="C7" t="str">
            <v>调账</v>
          </cell>
          <cell r="D7" t="str">
            <v>重分类</v>
          </cell>
          <cell r="E7" t="str">
            <v>其他</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_temp__"/>
      <sheetName val="说明"/>
      <sheetName val="TEST"/>
      <sheetName val="报表格式"/>
      <sheetName val="年初BS审定"/>
      <sheetName val="上年PL审定"/>
      <sheetName val="期初核对BS"/>
      <sheetName val="期初核对PL"/>
      <sheetName val="母公司BS汇总"/>
      <sheetName val="母公司PL汇总"/>
      <sheetName val="母公司CF汇总"/>
      <sheetName val="母公司汇总抵销"/>
      <sheetName val="母公司账项调整"/>
      <sheetName val="母公司报表调整"/>
      <sheetName val="母公司TB资产"/>
      <sheetName val="母公司TB负债"/>
      <sheetName val="母公司TB损益"/>
      <sheetName val="TB母公司CF"/>
      <sheetName val="合并BS汇总"/>
      <sheetName val="合并PL汇总"/>
      <sheetName val="合并CF汇总"/>
      <sheetName val="权益抵销"/>
      <sheetName val="往来交易抵销"/>
      <sheetName val="合并报表调整 "/>
      <sheetName val="合并TB资产"/>
      <sheetName val="合并TB负债"/>
      <sheetName val="合并TB损益"/>
      <sheetName val=" "/>
      <sheetName val="TB合并CF"/>
      <sheetName val="审定合并BS"/>
      <sheetName val="审定合并PL"/>
      <sheetName val="审定合并CF"/>
      <sheetName val="已审横向BS"/>
      <sheetName val="已审纵向BS"/>
      <sheetName val="已审横向PL"/>
      <sheetName val="已审纵向PL"/>
      <sheetName val="已审比率分析"/>
      <sheetName val="Q2-4 EPS-ROE(新)"/>
      <sheetName val="母已审横向BS"/>
      <sheetName val="母已审纵向BS"/>
      <sheetName val="母已审横向PL"/>
      <sheetName val="母已审纵向PL"/>
      <sheetName val="母已审比率分析"/>
    </sheetNames>
    <sheetDataSet>
      <sheetData sheetId="0"/>
      <sheetData sheetId="1">
        <row r="28">
          <cell r="E28" t="str">
            <v>股份有限公司</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试算"/>
      <sheetName val="分录"/>
      <sheetName val="附注2"/>
      <sheetName val="附注1"/>
      <sheetName val="附注1参数"/>
      <sheetName val="附注1核对"/>
      <sheetName val="附注1 (6)"/>
      <sheetName val="附注1 (7)"/>
      <sheetName val="辅助余额表"/>
      <sheetName val="余额表"/>
      <sheetName val="筛选"/>
      <sheetName val="透视对方科目"/>
      <sheetName val="透视表明细"/>
      <sheetName val="透视表大额凭证"/>
      <sheetName val="透视表1"/>
      <sheetName val="附注1参数 (2)"/>
      <sheetName val="账表核对"/>
    </sheetNames>
    <sheetDataSet>
      <sheetData sheetId="0"/>
      <sheetData sheetId="1">
        <row r="8">
          <cell r="C8" t="str">
            <v>借：</v>
          </cell>
          <cell r="D8" t="str">
            <v>资产减值损失</v>
          </cell>
          <cell r="H8">
            <v>-1807111.9100000004</v>
          </cell>
          <cell r="I8" t="str">
            <v>调账</v>
          </cell>
        </row>
        <row r="9">
          <cell r="C9" t="str">
            <v>贷：</v>
          </cell>
          <cell r="D9" t="str">
            <v>应收账款坏账准备</v>
          </cell>
          <cell r="H9">
            <v>-2584887.41</v>
          </cell>
          <cell r="I9" t="str">
            <v>调账</v>
          </cell>
        </row>
        <row r="10">
          <cell r="C10" t="str">
            <v>贷：</v>
          </cell>
          <cell r="D10" t="str">
            <v>应收账款坏账准备</v>
          </cell>
          <cell r="H10">
            <v>415296.25</v>
          </cell>
          <cell r="I10" t="str">
            <v>调账</v>
          </cell>
        </row>
        <row r="11">
          <cell r="C11" t="str">
            <v>贷：</v>
          </cell>
          <cell r="D11" t="str">
            <v>应收账款坏账准备</v>
          </cell>
          <cell r="H11">
            <v>-357203.99</v>
          </cell>
          <cell r="I11" t="str">
            <v>调账</v>
          </cell>
        </row>
        <row r="12">
          <cell r="C12" t="str">
            <v>贷：</v>
          </cell>
          <cell r="D12" t="str">
            <v>应收账款坏账准备</v>
          </cell>
          <cell r="H12">
            <v>993567.65</v>
          </cell>
          <cell r="I12" t="str">
            <v>调账</v>
          </cell>
        </row>
        <row r="13">
          <cell r="C13" t="str">
            <v>贷：</v>
          </cell>
          <cell r="D13" t="str">
            <v>应收账款坏账准备</v>
          </cell>
          <cell r="H13">
            <v>-273884.40999999997</v>
          </cell>
          <cell r="I13" t="str">
            <v>调账</v>
          </cell>
        </row>
        <row r="14">
          <cell r="I14" t="str">
            <v>调账</v>
          </cell>
        </row>
        <row r="15">
          <cell r="C15" t="str">
            <v>借：</v>
          </cell>
          <cell r="D15" t="str">
            <v>资产减值损失</v>
          </cell>
          <cell r="H15">
            <v>2276.739999999998</v>
          </cell>
          <cell r="I15" t="str">
            <v>调账</v>
          </cell>
        </row>
        <row r="16">
          <cell r="C16" t="str">
            <v>贷：</v>
          </cell>
          <cell r="D16" t="str">
            <v>其他应收款坏账准备</v>
          </cell>
          <cell r="H16">
            <v>33379.46</v>
          </cell>
          <cell r="I16" t="str">
            <v>调账</v>
          </cell>
        </row>
        <row r="17">
          <cell r="C17" t="str">
            <v>贷：</v>
          </cell>
          <cell r="D17" t="str">
            <v>其他应收款坏账准备</v>
          </cell>
          <cell r="H17">
            <v>-6259.94</v>
          </cell>
          <cell r="I17" t="str">
            <v>调账</v>
          </cell>
        </row>
        <row r="18">
          <cell r="C18" t="str">
            <v>贷：</v>
          </cell>
          <cell r="D18" t="str">
            <v>其他应收款坏账准备</v>
          </cell>
          <cell r="H18">
            <v>-5694.5</v>
          </cell>
          <cell r="I18" t="str">
            <v>调账</v>
          </cell>
        </row>
        <row r="19">
          <cell r="C19" t="str">
            <v>贷：</v>
          </cell>
          <cell r="D19" t="str">
            <v>其他应收款坏账准备</v>
          </cell>
          <cell r="H19">
            <v>-2898.67</v>
          </cell>
          <cell r="I19" t="str">
            <v>调账</v>
          </cell>
        </row>
        <row r="20">
          <cell r="C20" t="str">
            <v>贷：</v>
          </cell>
          <cell r="D20" t="str">
            <v>其他应收款坏账准备</v>
          </cell>
          <cell r="H20">
            <v>-16249.61</v>
          </cell>
          <cell r="I20" t="str">
            <v>调账</v>
          </cell>
        </row>
        <row r="21">
          <cell r="I21" t="str">
            <v>调账</v>
          </cell>
        </row>
        <row r="22">
          <cell r="C22" t="str">
            <v>借：</v>
          </cell>
          <cell r="D22" t="str">
            <v>应交税费</v>
          </cell>
          <cell r="H22">
            <v>-210.89</v>
          </cell>
          <cell r="I22" t="str">
            <v>调账</v>
          </cell>
        </row>
        <row r="23">
          <cell r="C23" t="str">
            <v>借：</v>
          </cell>
          <cell r="D23" t="str">
            <v>应交税费</v>
          </cell>
          <cell r="H23">
            <v>-1718.61</v>
          </cell>
          <cell r="I23" t="str">
            <v>调账</v>
          </cell>
        </row>
        <row r="24">
          <cell r="C24" t="str">
            <v>贷：</v>
          </cell>
          <cell r="D24" t="str">
            <v>应交税费</v>
          </cell>
          <cell r="H24">
            <v>-210.89</v>
          </cell>
          <cell r="I24" t="str">
            <v>调账</v>
          </cell>
        </row>
        <row r="25">
          <cell r="C25" t="str">
            <v>贷：</v>
          </cell>
          <cell r="D25" t="str">
            <v>应交税费</v>
          </cell>
          <cell r="H25">
            <v>-1718.61</v>
          </cell>
          <cell r="I25" t="str">
            <v>调账</v>
          </cell>
        </row>
        <row r="26">
          <cell r="I26" t="str">
            <v>调账</v>
          </cell>
        </row>
        <row r="27">
          <cell r="C27" t="str">
            <v>贷：</v>
          </cell>
          <cell r="D27" t="str">
            <v>其他收益</v>
          </cell>
          <cell r="H27">
            <v>3784698.38</v>
          </cell>
          <cell r="I27" t="str">
            <v>调账</v>
          </cell>
        </row>
        <row r="28">
          <cell r="C28" t="str">
            <v>贷：</v>
          </cell>
          <cell r="D28" t="str">
            <v>营业外收入</v>
          </cell>
          <cell r="H28">
            <v>-3784698.38</v>
          </cell>
          <cell r="I28" t="str">
            <v>调账</v>
          </cell>
        </row>
        <row r="29">
          <cell r="I29" t="str">
            <v>调账</v>
          </cell>
        </row>
        <row r="30">
          <cell r="I30" t="str">
            <v>调账</v>
          </cell>
        </row>
        <row r="31">
          <cell r="C31" t="str">
            <v>借：</v>
          </cell>
          <cell r="D31" t="str">
            <v>提取法定盈余公积</v>
          </cell>
          <cell r="H31">
            <v>2645989.33</v>
          </cell>
          <cell r="I31" t="str">
            <v>调账</v>
          </cell>
        </row>
        <row r="32">
          <cell r="C32" t="str">
            <v>贷：</v>
          </cell>
          <cell r="D32" t="str">
            <v>盈余公积</v>
          </cell>
          <cell r="H32">
            <v>2645989.33</v>
          </cell>
          <cell r="I32" t="str">
            <v>调账</v>
          </cell>
        </row>
        <row r="33">
          <cell r="I33" t="str">
            <v>调账</v>
          </cell>
        </row>
        <row r="34">
          <cell r="C34" t="str">
            <v>借：</v>
          </cell>
          <cell r="D34" t="str">
            <v>递延所得税资产</v>
          </cell>
          <cell r="H34">
            <v>-908967.36</v>
          </cell>
          <cell r="I34" t="str">
            <v>调账</v>
          </cell>
        </row>
        <row r="35">
          <cell r="C35" t="str">
            <v>借：</v>
          </cell>
          <cell r="D35" t="str">
            <v>所得税费用</v>
          </cell>
          <cell r="H35">
            <v>908967.36</v>
          </cell>
          <cell r="I35" t="str">
            <v>调账</v>
          </cell>
        </row>
        <row r="36">
          <cell r="I36" t="str">
            <v>调账</v>
          </cell>
        </row>
        <row r="37">
          <cell r="C37" t="str">
            <v>借：</v>
          </cell>
          <cell r="D37" t="str">
            <v>所得税费用</v>
          </cell>
          <cell r="H37">
            <v>-908967.36</v>
          </cell>
          <cell r="I37" t="str">
            <v>调账</v>
          </cell>
        </row>
        <row r="38">
          <cell r="C38" t="str">
            <v>贷：</v>
          </cell>
          <cell r="D38" t="str">
            <v>应交税费</v>
          </cell>
          <cell r="H38">
            <v>-908967.36</v>
          </cell>
          <cell r="I38" t="str">
            <v>调账</v>
          </cell>
        </row>
        <row r="39">
          <cell r="I39" t="str">
            <v>调账</v>
          </cell>
        </row>
        <row r="40">
          <cell r="C40" t="str">
            <v>借：</v>
          </cell>
          <cell r="D40" t="str">
            <v>所得税费用</v>
          </cell>
          <cell r="H40">
            <v>-822117.72</v>
          </cell>
          <cell r="I40" t="str">
            <v>调账</v>
          </cell>
        </row>
        <row r="41">
          <cell r="C41" t="str">
            <v>贷：</v>
          </cell>
          <cell r="D41" t="str">
            <v>应交税费</v>
          </cell>
          <cell r="H41">
            <v>-822117.72</v>
          </cell>
          <cell r="I41" t="str">
            <v>调账</v>
          </cell>
        </row>
        <row r="42">
          <cell r="C42" t="str">
            <v>借：</v>
          </cell>
          <cell r="D42" t="str">
            <v>递延所得税资产</v>
          </cell>
          <cell r="H42">
            <v>273362.78000000003</v>
          </cell>
          <cell r="I42" t="str">
            <v>调账</v>
          </cell>
        </row>
        <row r="43">
          <cell r="C43" t="str">
            <v>借：</v>
          </cell>
          <cell r="D43" t="str">
            <v>所得税费用</v>
          </cell>
          <cell r="H43">
            <v>-273362.78000000003</v>
          </cell>
          <cell r="I43" t="str">
            <v>调账</v>
          </cell>
        </row>
        <row r="44">
          <cell r="I44" t="str">
            <v>调账</v>
          </cell>
        </row>
        <row r="45">
          <cell r="C45" t="str">
            <v>借：</v>
          </cell>
          <cell r="D45" t="str">
            <v>财务费用</v>
          </cell>
          <cell r="H45">
            <v>99</v>
          </cell>
          <cell r="I45" t="str">
            <v>调账</v>
          </cell>
        </row>
        <row r="46">
          <cell r="C46" t="str">
            <v>贷：</v>
          </cell>
          <cell r="D46" t="str">
            <v>应付利息</v>
          </cell>
          <cell r="H46">
            <v>99</v>
          </cell>
          <cell r="I46" t="str">
            <v>调账</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C26"/>
  <sheetViews>
    <sheetView workbookViewId="0">
      <selection activeCell="C26" sqref="C26"/>
    </sheetView>
  </sheetViews>
  <sheetFormatPr defaultRowHeight="15.6"/>
  <sheetData>
    <row r="26" spans="3:3">
      <c r="C26" s="82">
        <f>SUM(C6)-SUM(C9,C12,C13,C14,C17,C21,C22)+SUM(C23,C24)</f>
        <v>0</v>
      </c>
    </row>
  </sheetData>
  <phoneticPr fontId="4"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B2:M27"/>
  <sheetViews>
    <sheetView tabSelected="1" zoomScale="80" zoomScaleNormal="80" workbookViewId="0">
      <selection activeCell="F33" sqref="F33"/>
    </sheetView>
  </sheetViews>
  <sheetFormatPr defaultColWidth="7" defaultRowHeight="13.2"/>
  <cols>
    <col min="1" max="1" width="0.69921875" style="141" customWidth="1"/>
    <col min="2" max="2" width="7.3984375" style="141" customWidth="1"/>
    <col min="3" max="3" width="20.5" style="1023" customWidth="1"/>
    <col min="4" max="4" width="13.19921875" style="141" customWidth="1"/>
    <col min="5" max="5" width="16.8984375" style="141" customWidth="1"/>
    <col min="6" max="7" width="13.3984375" style="141" customWidth="1"/>
    <col min="8" max="8" width="9.3984375" style="141" customWidth="1"/>
    <col min="9" max="9" width="8.8984375" style="141" customWidth="1"/>
    <col min="10" max="10" width="34.59765625" style="141" customWidth="1"/>
    <col min="11" max="11" width="0.8984375" style="141" customWidth="1"/>
    <col min="12" max="12" width="5.09765625" style="141" customWidth="1"/>
    <col min="13" max="13" width="15.19921875" style="467" customWidth="1"/>
    <col min="14" max="16384" width="7" style="141"/>
  </cols>
  <sheetData>
    <row r="2" spans="2:13" s="146" customFormat="1" ht="15.9" customHeight="1">
      <c r="B2" s="142" t="s">
        <v>93</v>
      </c>
      <c r="C2" s="143"/>
      <c r="D2" s="143"/>
      <c r="E2" s="143"/>
      <c r="F2" s="143"/>
      <c r="G2" s="143"/>
      <c r="H2" s="143"/>
      <c r="I2" s="143"/>
      <c r="J2" s="144"/>
      <c r="K2" s="145"/>
      <c r="L2" s="174" t="s">
        <v>94</v>
      </c>
      <c r="M2" s="175" t="s">
        <v>95</v>
      </c>
    </row>
    <row r="3" spans="2:13" s="146" customFormat="1" ht="15.9" customHeight="1">
      <c r="B3" s="179"/>
      <c r="C3" s="145"/>
      <c r="D3" s="145"/>
      <c r="E3" s="145"/>
      <c r="F3" s="145"/>
      <c r="G3" s="145"/>
      <c r="H3" s="145"/>
      <c r="I3" s="145"/>
      <c r="J3" s="147"/>
      <c r="K3" s="145"/>
      <c r="L3" s="176">
        <v>1</v>
      </c>
      <c r="M3" s="465" t="s">
        <v>74</v>
      </c>
    </row>
    <row r="4" spans="2:13" s="146" customFormat="1" ht="15.9" customHeight="1">
      <c r="B4" s="148">
        <v>1</v>
      </c>
      <c r="C4" s="149" t="s">
        <v>421</v>
      </c>
      <c r="D4" s="149"/>
      <c r="E4" s="149"/>
      <c r="F4" s="149"/>
      <c r="G4" s="149"/>
      <c r="H4" s="149"/>
      <c r="I4" s="149"/>
      <c r="J4" s="150"/>
      <c r="K4" s="145"/>
      <c r="L4" s="176">
        <v>2</v>
      </c>
      <c r="M4" s="465" t="s">
        <v>46</v>
      </c>
    </row>
    <row r="5" spans="2:13" s="146" customFormat="1" ht="15.9" customHeight="1">
      <c r="B5" s="180"/>
      <c r="C5" s="149" t="s">
        <v>139</v>
      </c>
      <c r="D5" s="149"/>
      <c r="E5" s="149"/>
      <c r="F5" s="149"/>
      <c r="G5" s="149"/>
      <c r="H5" s="149"/>
      <c r="I5" s="149"/>
      <c r="J5" s="150"/>
      <c r="K5" s="145"/>
      <c r="L5" s="176">
        <v>3</v>
      </c>
      <c r="M5" s="465" t="s">
        <v>47</v>
      </c>
    </row>
    <row r="6" spans="2:13" s="146" customFormat="1" ht="15.9" customHeight="1">
      <c r="B6" s="180"/>
      <c r="C6" s="149"/>
      <c r="D6" s="149"/>
      <c r="E6" s="149"/>
      <c r="F6" s="149"/>
      <c r="G6" s="149"/>
      <c r="H6" s="149"/>
      <c r="I6" s="149"/>
      <c r="J6" s="150"/>
      <c r="K6" s="145"/>
      <c r="L6" s="176">
        <v>4</v>
      </c>
      <c r="M6" s="466" t="s">
        <v>679</v>
      </c>
    </row>
    <row r="7" spans="2:13" s="146" customFormat="1" ht="15.9" customHeight="1">
      <c r="B7" s="148">
        <v>2</v>
      </c>
      <c r="C7" s="149" t="s">
        <v>96</v>
      </c>
      <c r="D7" s="149"/>
      <c r="E7" s="149"/>
      <c r="F7" s="149"/>
      <c r="G7" s="149"/>
      <c r="H7" s="149"/>
      <c r="I7" s="149"/>
      <c r="J7" s="150"/>
      <c r="K7" s="145"/>
      <c r="L7" s="176">
        <v>5</v>
      </c>
      <c r="M7" s="466" t="s">
        <v>680</v>
      </c>
    </row>
    <row r="8" spans="2:13" s="146" customFormat="1" ht="15.9" customHeight="1">
      <c r="B8" s="151"/>
      <c r="C8" s="145"/>
      <c r="D8" s="145"/>
      <c r="E8" s="145"/>
      <c r="F8" s="145"/>
      <c r="G8" s="145"/>
      <c r="H8" s="145"/>
      <c r="I8" s="145"/>
      <c r="J8" s="147"/>
      <c r="K8" s="145"/>
      <c r="L8" s="176">
        <v>6</v>
      </c>
      <c r="M8" s="466" t="s">
        <v>681</v>
      </c>
    </row>
    <row r="9" spans="2:13" s="146" customFormat="1" ht="15.9" customHeight="1">
      <c r="B9" s="148">
        <v>3</v>
      </c>
      <c r="C9" s="149" t="s">
        <v>97</v>
      </c>
      <c r="D9" s="149"/>
      <c r="E9" s="149"/>
      <c r="F9" s="149"/>
      <c r="G9" s="149"/>
      <c r="H9" s="149"/>
      <c r="I9" s="149"/>
      <c r="J9" s="150"/>
      <c r="K9" s="145"/>
      <c r="L9" s="176">
        <v>7</v>
      </c>
      <c r="M9" s="466" t="s">
        <v>716</v>
      </c>
    </row>
    <row r="10" spans="2:13" s="146" customFormat="1" ht="15.9" customHeight="1">
      <c r="B10" s="148"/>
      <c r="C10" s="149" t="s">
        <v>98</v>
      </c>
      <c r="D10" s="149"/>
      <c r="E10" s="149"/>
      <c r="F10" s="149"/>
      <c r="G10" s="149"/>
      <c r="H10" s="149"/>
      <c r="I10" s="149"/>
      <c r="J10" s="150"/>
      <c r="K10" s="145"/>
      <c r="L10" s="176">
        <v>8</v>
      </c>
      <c r="M10" s="466" t="s">
        <v>51</v>
      </c>
    </row>
    <row r="11" spans="2:13" s="146" customFormat="1" ht="15.9" customHeight="1">
      <c r="B11" s="148"/>
      <c r="C11" s="149"/>
      <c r="D11" s="149"/>
      <c r="E11" s="149"/>
      <c r="F11" s="149"/>
      <c r="G11" s="149"/>
      <c r="H11" s="149"/>
      <c r="I11" s="149"/>
      <c r="J11" s="150"/>
      <c r="K11" s="145"/>
      <c r="L11" s="176">
        <v>9</v>
      </c>
      <c r="M11" s="466" t="s">
        <v>48</v>
      </c>
    </row>
    <row r="12" spans="2:13" s="146" customFormat="1" ht="15.9" customHeight="1">
      <c r="B12" s="148">
        <v>4</v>
      </c>
      <c r="C12" s="152" t="s">
        <v>99</v>
      </c>
      <c r="D12" s="153" t="s">
        <v>49</v>
      </c>
      <c r="E12" s="149" t="s">
        <v>100</v>
      </c>
      <c r="F12" s="149"/>
      <c r="G12" s="149"/>
      <c r="H12" s="149"/>
      <c r="I12" s="149"/>
      <c r="J12" s="150"/>
      <c r="K12" s="145"/>
      <c r="L12" s="176">
        <v>10</v>
      </c>
      <c r="M12" s="466" t="s">
        <v>682</v>
      </c>
    </row>
    <row r="13" spans="2:13" s="146" customFormat="1" ht="15.9" customHeight="1">
      <c r="B13" s="148"/>
      <c r="C13" s="149"/>
      <c r="D13" s="149"/>
      <c r="E13" s="149"/>
      <c r="F13" s="149"/>
      <c r="G13" s="149"/>
      <c r="H13" s="149"/>
      <c r="I13" s="149"/>
      <c r="J13" s="150"/>
      <c r="K13" s="145"/>
      <c r="L13" s="176">
        <v>11</v>
      </c>
      <c r="M13" s="466" t="s">
        <v>683</v>
      </c>
    </row>
    <row r="14" spans="2:13" s="146" customFormat="1" ht="15.9" customHeight="1">
      <c r="B14" s="148">
        <v>5</v>
      </c>
      <c r="C14" s="468" t="s">
        <v>101</v>
      </c>
      <c r="D14" s="468"/>
      <c r="E14" s="468"/>
      <c r="F14" s="469"/>
      <c r="G14" s="470" t="s">
        <v>50</v>
      </c>
      <c r="H14" s="468" t="s">
        <v>102</v>
      </c>
      <c r="I14" s="468"/>
      <c r="J14" s="471"/>
      <c r="K14" s="472"/>
      <c r="L14" s="176">
        <v>12</v>
      </c>
      <c r="M14" s="466" t="s">
        <v>684</v>
      </c>
    </row>
    <row r="15" spans="2:13" s="146" customFormat="1" ht="15.9" customHeight="1">
      <c r="B15" s="148"/>
      <c r="C15" s="468" t="s">
        <v>103</v>
      </c>
      <c r="D15" s="468"/>
      <c r="E15" s="470" t="s">
        <v>50</v>
      </c>
      <c r="F15" s="468" t="s">
        <v>104</v>
      </c>
      <c r="G15" s="468"/>
      <c r="H15" s="468"/>
      <c r="I15" s="468"/>
      <c r="J15" s="471"/>
      <c r="K15" s="472"/>
      <c r="L15" s="176">
        <v>13</v>
      </c>
      <c r="M15" s="466" t="s">
        <v>712</v>
      </c>
    </row>
    <row r="16" spans="2:13" s="146" customFormat="1" ht="15.9" customHeight="1">
      <c r="B16" s="148"/>
      <c r="C16" s="468"/>
      <c r="D16" s="468"/>
      <c r="E16" s="468"/>
      <c r="F16" s="468"/>
      <c r="G16" s="468"/>
      <c r="H16" s="468"/>
      <c r="I16" s="468"/>
      <c r="J16" s="471"/>
      <c r="K16" s="472"/>
      <c r="L16" s="176">
        <v>14</v>
      </c>
      <c r="M16" s="466" t="s">
        <v>713</v>
      </c>
    </row>
    <row r="17" spans="2:13" s="146" customFormat="1" ht="15.9" customHeight="1">
      <c r="B17" s="148">
        <v>6</v>
      </c>
      <c r="C17" s="1019" t="s">
        <v>1829</v>
      </c>
      <c r="D17" s="468" t="s">
        <v>105</v>
      </c>
      <c r="E17" s="468"/>
      <c r="F17" s="468"/>
      <c r="G17" s="468"/>
      <c r="H17" s="468"/>
      <c r="I17" s="468"/>
      <c r="J17" s="471"/>
      <c r="K17" s="473"/>
      <c r="L17" s="176">
        <v>15</v>
      </c>
      <c r="M17" s="466" t="s">
        <v>714</v>
      </c>
    </row>
    <row r="18" spans="2:13" s="146" customFormat="1" ht="15.9" customHeight="1">
      <c r="B18" s="148"/>
      <c r="C18" s="468" t="s">
        <v>1830</v>
      </c>
      <c r="D18" s="468"/>
      <c r="E18" s="468"/>
      <c r="F18" s="468"/>
      <c r="G18" s="468"/>
      <c r="H18" s="468"/>
      <c r="I18" s="468"/>
      <c r="J18" s="471"/>
      <c r="K18" s="473"/>
      <c r="L18" s="176">
        <v>16</v>
      </c>
      <c r="M18" s="466" t="s">
        <v>715</v>
      </c>
    </row>
    <row r="19" spans="2:13" s="146" customFormat="1" ht="15.9" customHeight="1">
      <c r="B19" s="148"/>
      <c r="C19" s="1026" t="s">
        <v>1831</v>
      </c>
      <c r="D19" s="470" t="s">
        <v>50</v>
      </c>
      <c r="E19" s="468" t="s">
        <v>106</v>
      </c>
      <c r="F19" s="468"/>
      <c r="G19" s="468"/>
      <c r="H19" s="1019" t="s">
        <v>1832</v>
      </c>
      <c r="I19" s="468"/>
      <c r="J19" s="471"/>
      <c r="K19" s="473"/>
      <c r="L19" s="176"/>
      <c r="M19" s="603"/>
    </row>
    <row r="20" spans="2:13" s="146" customFormat="1" ht="15.9" customHeight="1">
      <c r="B20" s="1020"/>
      <c r="C20" s="1021"/>
      <c r="D20" s="1021"/>
      <c r="E20" s="1021"/>
      <c r="F20" s="1021"/>
      <c r="G20" s="1021"/>
      <c r="H20" s="1021"/>
      <c r="I20" s="1021"/>
      <c r="J20" s="1022"/>
      <c r="K20" s="473"/>
      <c r="L20" s="176"/>
      <c r="M20" s="603"/>
    </row>
    <row r="21" spans="2:13" s="146" customFormat="1" ht="15.9" customHeight="1">
      <c r="B21" s="1020" t="s">
        <v>1833</v>
      </c>
      <c r="C21" s="156" t="s">
        <v>1835</v>
      </c>
      <c r="D21" s="1021"/>
      <c r="E21" s="1021"/>
      <c r="F21" s="1021"/>
      <c r="G21" s="1021"/>
      <c r="H21" s="1021"/>
      <c r="I21" s="1021"/>
      <c r="J21" s="1022"/>
      <c r="K21" s="154"/>
      <c r="L21" s="464"/>
      <c r="M21" s="604"/>
    </row>
    <row r="22" spans="2:13" s="146" customFormat="1" ht="15.9" customHeight="1">
      <c r="B22" s="1020"/>
      <c r="C22" s="1027" t="s">
        <v>1834</v>
      </c>
      <c r="D22" s="1021" t="s">
        <v>1836</v>
      </c>
      <c r="E22" s="1021"/>
      <c r="F22" s="1021"/>
      <c r="G22" s="1021"/>
      <c r="H22" s="1021"/>
      <c r="I22" s="1021"/>
      <c r="J22" s="1022"/>
      <c r="K22" s="154"/>
      <c r="L22" s="1024"/>
      <c r="M22" s="1025"/>
    </row>
    <row r="23" spans="2:13" s="146" customFormat="1" ht="15.9" customHeight="1">
      <c r="B23" s="1020"/>
      <c r="C23" s="149" t="s">
        <v>1841</v>
      </c>
      <c r="D23" s="1021"/>
      <c r="E23" s="1021"/>
      <c r="F23" s="1021"/>
      <c r="G23" s="1021"/>
      <c r="H23" s="1021"/>
      <c r="I23" s="1021"/>
      <c r="J23" s="1022"/>
      <c r="K23" s="154"/>
      <c r="L23" s="1024"/>
      <c r="M23" s="1025"/>
    </row>
    <row r="24" spans="2:13" s="146" customFormat="1" ht="15.9" customHeight="1">
      <c r="B24" s="1020"/>
      <c r="C24" s="1028" t="s">
        <v>1837</v>
      </c>
      <c r="D24" s="1021"/>
      <c r="E24" s="1021"/>
      <c r="F24" s="1021"/>
      <c r="G24" s="1021"/>
      <c r="H24" s="1021"/>
      <c r="I24" s="1021"/>
      <c r="J24" s="1022"/>
      <c r="K24" s="154"/>
      <c r="L24" s="1024"/>
      <c r="M24" s="1025"/>
    </row>
    <row r="25" spans="2:13" s="146" customFormat="1" ht="15.9" customHeight="1">
      <c r="B25" s="1020"/>
      <c r="C25" s="1028" t="s">
        <v>1838</v>
      </c>
      <c r="D25" s="1021"/>
      <c r="E25" s="1021"/>
      <c r="F25" s="1021"/>
      <c r="G25" s="1021"/>
      <c r="H25" s="1021"/>
      <c r="I25" s="1021"/>
      <c r="J25" s="1022"/>
      <c r="K25" s="154"/>
      <c r="L25" s="1024"/>
      <c r="M25" s="1025"/>
    </row>
    <row r="26" spans="2:13" s="146" customFormat="1" ht="15.9" customHeight="1">
      <c r="B26" s="1020"/>
      <c r="C26" s="1028" t="s">
        <v>1839</v>
      </c>
      <c r="D26" s="1021"/>
      <c r="E26" s="1021"/>
      <c r="F26" s="1021"/>
      <c r="G26" s="1021"/>
      <c r="H26" s="1021"/>
      <c r="I26" s="1021"/>
      <c r="J26" s="1022"/>
      <c r="K26" s="154"/>
      <c r="L26" s="1024"/>
      <c r="M26" s="1025"/>
    </row>
    <row r="27" spans="2:13" ht="15.6">
      <c r="B27" s="155"/>
      <c r="C27" s="1027" t="s">
        <v>1840</v>
      </c>
      <c r="D27" s="156"/>
      <c r="E27" s="156"/>
      <c r="F27" s="156"/>
      <c r="G27" s="156"/>
      <c r="H27" s="156"/>
      <c r="I27" s="156"/>
      <c r="J27" s="157"/>
    </row>
  </sheetData>
  <sheetProtection formatCells="0" insertRows="0" autoFilter="0" pivotTables="0"/>
  <phoneticPr fontId="16" type="noConversion"/>
  <hyperlinks>
    <hyperlink ref="D12" location="参数!D3" display="“参数表”"/>
    <hyperlink ref="G14" location="报表格式!A1" display="“报表格式”"/>
    <hyperlink ref="E15" location="说明!A1" display="“报表格式”"/>
    <hyperlink ref="C17" location="调整事项汇总表!A1" display="调整事项汇总表"/>
    <hyperlink ref="D19" location="报表格式!Print_Titles" display="“报表格式”"/>
    <hyperlink ref="H19" location="报表格式!S:S" display="“报表格式S列”"/>
    <hyperlink ref="M3" location="说明!B2:J18" display="说明"/>
    <hyperlink ref="M4" location="参数!D3" display="参数"/>
    <hyperlink ref="M5" location="'报表格式'!A1" display="'报表格式'!A1"/>
    <hyperlink ref="M6" location="未审报表!A1" display="未审报表"/>
    <hyperlink ref="M7" location="期初核对!A1" display="期初核对"/>
    <hyperlink ref="M10" location="账项调整!A1" display="账项调整"/>
    <hyperlink ref="M11" location="报表调整!A1" display="报表调整"/>
    <hyperlink ref="M12" location="审定报表!A1" display="审定报表"/>
    <hyperlink ref="M13" location="未审BS分析!A1" display="未审BS分析"/>
    <hyperlink ref="M14" location="未审PL分析!A1" display="未审PL分析"/>
    <hyperlink ref="M15" location="未审比率分析!A1" display="未审比率分析"/>
    <hyperlink ref="M16" location="已审BS分析!A1" display="已审BS分析"/>
    <hyperlink ref="M17" location="已审PL分析!A1" display="已审PL分析"/>
    <hyperlink ref="M18" location="已审比率分析!A1" display="已审比率分析"/>
    <hyperlink ref="M8" location="TB!A1" display="TB"/>
    <hyperlink ref="M9" location="'TB(期初)'!A1" display="TB(期初)"/>
    <hyperlink ref="C22" location="调整事项汇总表!R:R" display="调整事项汇总表R列"/>
    <hyperlink ref="C24" location="调整事项汇总表!R245" display="其他（不能重分类）"/>
    <hyperlink ref="C25" location="调整事项汇总表!R255" display="其他（可以重分类）"/>
    <hyperlink ref="C26" location="调整事项汇总表!R273" display="其他（分配）"/>
    <hyperlink ref="C27" location="调整事项汇总表!R362" display="其他（现）"/>
  </hyperlinks>
  <printOptions horizontalCentered="1"/>
  <pageMargins left="0.74803149606299202" right="0.74803149606299202" top="0.98425196850393704" bottom="0.98425196850393704" header="0.511811023622047" footer="0.511811023622047"/>
  <pageSetup paperSize="9" scale="67" orientation="portrait" cellComments="asDisplayed" r:id="rId1"/>
  <headerFooter alignWithMargins="0">
    <oddHeader>&amp;C&amp;F/&amp;A&amp;R&amp;T  &amp;D</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autoPageBreaks="0"/>
  </sheetPr>
  <dimension ref="A1:I43"/>
  <sheetViews>
    <sheetView topLeftCell="A16" zoomScale="80" zoomScaleNormal="80" workbookViewId="0">
      <selection activeCell="C39" sqref="C39"/>
    </sheetView>
  </sheetViews>
  <sheetFormatPr defaultColWidth="9" defaultRowHeight="15.6"/>
  <cols>
    <col min="1" max="1" width="1.19921875" style="23" customWidth="1"/>
    <col min="2" max="2" width="3.69921875" style="23" customWidth="1"/>
    <col min="3" max="3" width="34.59765625" style="23" bestFit="1" customWidth="1"/>
    <col min="4" max="4" width="31.8984375" style="23" bestFit="1" customWidth="1"/>
    <col min="5" max="5" width="34.09765625" style="24" customWidth="1"/>
    <col min="6" max="6" width="1.09765625" style="5" customWidth="1"/>
    <col min="7" max="7" width="2.09765625" style="5" hidden="1" customWidth="1"/>
    <col min="8" max="8" width="9.69921875" style="5" hidden="1" customWidth="1"/>
    <col min="9" max="9" width="4.69921875" style="5" customWidth="1"/>
    <col min="10" max="10" width="5.69921875" style="5" customWidth="1"/>
    <col min="11" max="11" width="8.69921875" style="5" customWidth="1"/>
    <col min="12" max="16384" width="9" style="5"/>
  </cols>
  <sheetData>
    <row r="1" spans="1:9" ht="8.25" customHeight="1">
      <c r="A1" s="1036"/>
      <c r="B1" s="1036"/>
      <c r="C1" s="1036"/>
      <c r="D1" s="1036"/>
      <c r="E1" s="1036"/>
      <c r="F1" s="1036"/>
    </row>
    <row r="2" spans="1:9" s="18" customFormat="1" ht="16.5" customHeight="1">
      <c r="A2" s="1037"/>
      <c r="B2" s="1035" t="s">
        <v>25</v>
      </c>
      <c r="C2" s="1035"/>
      <c r="D2" s="1" t="s">
        <v>26</v>
      </c>
      <c r="E2" s="1" t="s">
        <v>27</v>
      </c>
      <c r="F2" s="17"/>
    </row>
    <row r="3" spans="1:9" ht="16.5" customHeight="1">
      <c r="A3" s="1037"/>
      <c r="B3" s="1040" t="s">
        <v>28</v>
      </c>
      <c r="C3" s="2" t="s">
        <v>38</v>
      </c>
      <c r="D3" s="25" t="s">
        <v>1823</v>
      </c>
      <c r="E3" s="2" t="s">
        <v>10</v>
      </c>
      <c r="F3" s="19"/>
    </row>
    <row r="4" spans="1:9" ht="16.5" customHeight="1">
      <c r="A4" s="1037"/>
      <c r="B4" s="1041"/>
      <c r="C4" s="26" t="s">
        <v>89</v>
      </c>
      <c r="D4" s="28"/>
      <c r="E4" s="2" t="s">
        <v>32</v>
      </c>
      <c r="F4" s="19"/>
    </row>
    <row r="5" spans="1:9" ht="16.5" customHeight="1">
      <c r="A5" s="1037"/>
      <c r="B5" s="1041"/>
      <c r="C5" s="26" t="s">
        <v>90</v>
      </c>
      <c r="D5" s="28"/>
      <c r="E5" s="2" t="s">
        <v>33</v>
      </c>
      <c r="F5" s="19"/>
    </row>
    <row r="6" spans="1:9" ht="16.5" customHeight="1">
      <c r="A6" s="1037"/>
      <c r="B6" s="1042"/>
      <c r="C6" s="26" t="s">
        <v>91</v>
      </c>
      <c r="D6" s="28"/>
      <c r="E6" s="2" t="s">
        <v>34</v>
      </c>
      <c r="F6" s="19"/>
      <c r="H6" s="20"/>
    </row>
    <row r="7" spans="1:9" ht="6" customHeight="1">
      <c r="A7" s="1037"/>
      <c r="B7" s="1038"/>
      <c r="C7" s="1038"/>
      <c r="D7" s="1038"/>
      <c r="E7" s="1038"/>
      <c r="F7" s="19"/>
    </row>
    <row r="8" spans="1:9" ht="16.5" customHeight="1">
      <c r="A8" s="1037"/>
      <c r="B8" s="1043" t="s">
        <v>21</v>
      </c>
      <c r="C8" s="4" t="s">
        <v>30</v>
      </c>
      <c r="D8" s="27" t="s">
        <v>111</v>
      </c>
      <c r="E8" s="3" t="s">
        <v>138</v>
      </c>
      <c r="F8" s="19"/>
    </row>
    <row r="9" spans="1:9" ht="16.5" customHeight="1">
      <c r="A9" s="1037"/>
      <c r="B9" s="1044"/>
      <c r="C9" s="4" t="s">
        <v>2</v>
      </c>
      <c r="D9" s="134" t="s">
        <v>501</v>
      </c>
      <c r="E9" s="3" t="s">
        <v>134</v>
      </c>
      <c r="F9" s="19"/>
      <c r="H9" s="5" t="s">
        <v>31</v>
      </c>
    </row>
    <row r="10" spans="1:9" ht="16.5" customHeight="1">
      <c r="A10" s="1037"/>
      <c r="B10" s="1044"/>
      <c r="C10" s="4" t="s">
        <v>16</v>
      </c>
      <c r="D10" s="134" t="s">
        <v>502</v>
      </c>
      <c r="E10" s="3" t="s">
        <v>135</v>
      </c>
      <c r="F10" s="19"/>
      <c r="H10" s="5" t="s">
        <v>112</v>
      </c>
    </row>
    <row r="11" spans="1:9" ht="16.5" customHeight="1">
      <c r="A11" s="1037"/>
      <c r="B11" s="1044"/>
      <c r="C11" s="4" t="s">
        <v>17</v>
      </c>
      <c r="D11" s="133">
        <v>44561</v>
      </c>
      <c r="E11" s="191" t="s">
        <v>136</v>
      </c>
      <c r="F11" s="19"/>
      <c r="I11" s="119">
        <f>MONTH(D11)</f>
        <v>12</v>
      </c>
    </row>
    <row r="12" spans="1:9" ht="16.5" customHeight="1">
      <c r="A12" s="1037"/>
      <c r="B12" s="1044"/>
      <c r="C12" s="4" t="s">
        <v>18</v>
      </c>
      <c r="D12" s="133">
        <v>44926</v>
      </c>
      <c r="E12" s="2" t="s">
        <v>137</v>
      </c>
      <c r="F12" s="19"/>
      <c r="I12" s="119">
        <f>MONTH(D12)</f>
        <v>12</v>
      </c>
    </row>
    <row r="13" spans="1:9" ht="16.5" customHeight="1">
      <c r="A13" s="1037"/>
      <c r="B13" s="1045"/>
      <c r="C13" s="4" t="s">
        <v>19</v>
      </c>
      <c r="D13" s="25" t="s">
        <v>40</v>
      </c>
      <c r="E13" s="4" t="s">
        <v>39</v>
      </c>
      <c r="F13" s="19"/>
    </row>
    <row r="14" spans="1:9">
      <c r="A14" s="1037"/>
      <c r="B14" s="1039"/>
      <c r="C14" s="1039"/>
      <c r="D14" s="1039"/>
      <c r="E14" s="1039"/>
      <c r="F14" s="19"/>
    </row>
    <row r="15" spans="1:9" ht="16.5" customHeight="1">
      <c r="A15" s="1037"/>
      <c r="B15" s="1043" t="s">
        <v>29</v>
      </c>
      <c r="C15" s="4" t="s">
        <v>20</v>
      </c>
      <c r="D15" s="25" t="s">
        <v>420</v>
      </c>
      <c r="E15" s="2"/>
      <c r="F15" s="19"/>
    </row>
    <row r="16" spans="1:9" ht="16.5" customHeight="1">
      <c r="A16" s="1037"/>
      <c r="B16" s="1044"/>
      <c r="C16" s="4" t="s">
        <v>45</v>
      </c>
      <c r="D16" s="25"/>
      <c r="E16" s="2"/>
      <c r="F16" s="19"/>
    </row>
    <row r="17" spans="1:6" ht="16.5" customHeight="1">
      <c r="A17" s="1037"/>
      <c r="B17" s="1044"/>
      <c r="C17" s="4" t="s">
        <v>22</v>
      </c>
      <c r="D17" s="25" t="s">
        <v>1824</v>
      </c>
      <c r="E17" s="2" t="s">
        <v>35</v>
      </c>
      <c r="F17" s="19"/>
    </row>
    <row r="18" spans="1:6" ht="16.5" customHeight="1">
      <c r="A18" s="1037"/>
      <c r="B18" s="1044"/>
      <c r="C18" s="4" t="s">
        <v>37</v>
      </c>
      <c r="D18" s="25" t="s">
        <v>1825</v>
      </c>
      <c r="E18" s="2" t="s">
        <v>36</v>
      </c>
      <c r="F18" s="19"/>
    </row>
    <row r="19" spans="1:6">
      <c r="A19" s="1037"/>
      <c r="B19" s="21"/>
      <c r="C19" s="21"/>
      <c r="D19" s="21"/>
      <c r="E19" s="22"/>
      <c r="F19" s="19"/>
    </row>
    <row r="20" spans="1:6">
      <c r="B20" s="65" t="s">
        <v>73</v>
      </c>
      <c r="C20" s="64" t="s">
        <v>44</v>
      </c>
    </row>
    <row r="21" spans="1:6">
      <c r="B21" s="65"/>
      <c r="C21" s="64"/>
    </row>
    <row r="23" spans="1:6" ht="7.5" customHeight="1">
      <c r="A23" s="48"/>
      <c r="B23" s="48"/>
      <c r="C23" s="48"/>
      <c r="D23" s="48"/>
      <c r="E23" s="49"/>
      <c r="F23" s="50"/>
    </row>
    <row r="24" spans="1:6">
      <c r="A24" s="48"/>
      <c r="B24" s="1032" t="s">
        <v>5</v>
      </c>
      <c r="C24" s="1033"/>
      <c r="D24" s="1033"/>
      <c r="E24" s="1034"/>
      <c r="F24" s="50"/>
    </row>
    <row r="25" spans="1:6">
      <c r="A25" s="48"/>
      <c r="B25" s="51" t="s">
        <v>6</v>
      </c>
      <c r="C25" s="52" t="s">
        <v>7</v>
      </c>
      <c r="D25" s="52" t="s">
        <v>8</v>
      </c>
      <c r="E25" s="53" t="s">
        <v>9</v>
      </c>
      <c r="F25" s="50"/>
    </row>
    <row r="26" spans="1:6" ht="16.2">
      <c r="A26" s="48"/>
      <c r="B26" s="54">
        <v>1</v>
      </c>
      <c r="C26" s="56" t="s">
        <v>77</v>
      </c>
      <c r="D26" s="62" t="b">
        <f>IF(ABS(审定报表!C127-审定报表!C190)&lt;0.01,TRUE,FALSE)</f>
        <v>1</v>
      </c>
      <c r="E26" s="55" t="str">
        <f>IF(D26=TRUE,"","期末资产负债表不平")</f>
        <v/>
      </c>
      <c r="F26" s="50"/>
    </row>
    <row r="27" spans="1:6" ht="16.2">
      <c r="A27" s="48"/>
      <c r="B27" s="54">
        <v>2</v>
      </c>
      <c r="C27" s="56" t="s">
        <v>78</v>
      </c>
      <c r="D27" s="62" t="b">
        <f>IF(ABS(审定报表!D127-审定报表!D190)&lt;0.01,TRUE,FALSE)</f>
        <v>1</v>
      </c>
      <c r="E27" s="55" t="str">
        <f>IF(D27=TRUE,"","期初资产负债表不平")</f>
        <v/>
      </c>
      <c r="F27" s="50"/>
    </row>
    <row r="28" spans="1:6" ht="16.2">
      <c r="A28" s="48"/>
      <c r="B28" s="54">
        <v>3</v>
      </c>
      <c r="C28" s="132" t="s">
        <v>79</v>
      </c>
      <c r="D28" s="62" t="b">
        <f>IF(ABS(审定报表!C186-审定报表!C277)&lt;0.01,TRUE,FALSE)</f>
        <v>1</v>
      </c>
      <c r="E28" s="55" t="str">
        <f>IF(D28=TRUE,"","期末利润分配表与资产负债表未分配利润勾稽不对")</f>
        <v/>
      </c>
      <c r="F28" s="50"/>
    </row>
    <row r="29" spans="1:6" ht="16.2">
      <c r="A29" s="48"/>
      <c r="B29" s="54">
        <v>4</v>
      </c>
      <c r="C29" s="132" t="s">
        <v>80</v>
      </c>
      <c r="D29" s="62" t="b">
        <f>IF(ABS(审定报表!D277-审定报表!D186)&lt;0.01,TRUE,FALSE)</f>
        <v>1</v>
      </c>
      <c r="E29" s="55" t="str">
        <f>IF(D29=TRUE,"","期初利润分配表与资产负债表未分配利润勾稽不对")</f>
        <v/>
      </c>
      <c r="F29" s="50"/>
    </row>
    <row r="30" spans="1:6" ht="16.2">
      <c r="A30" s="48"/>
      <c r="B30" s="54">
        <v>5</v>
      </c>
      <c r="C30" s="60" t="s">
        <v>81</v>
      </c>
      <c r="D30" s="62" t="b">
        <f>IF(ABS(审定报表!C266-审定报表!D277)&lt;0.01,TRUE,FALSE)</f>
        <v>1</v>
      </c>
      <c r="E30" s="55" t="str">
        <f>IF(D30=TRUE,"","利润及利润分配表年初未分配利润与上期勾稽不对")</f>
        <v/>
      </c>
      <c r="F30" s="50"/>
    </row>
    <row r="31" spans="1:6" ht="16.2">
      <c r="A31" s="48"/>
      <c r="B31" s="54">
        <v>6</v>
      </c>
      <c r="C31" s="132" t="s">
        <v>82</v>
      </c>
      <c r="D31" s="62" t="b">
        <f>IF(ABS(审定报表!C8-审定报表!C342)&lt;0.01,TRUE,FALSE)</f>
        <v>0</v>
      </c>
      <c r="E31" s="55" t="str">
        <f>IF(D31=TRUE,"","现金流量表与资产负债表期末货币资金勾稽不对")</f>
        <v>现金流量表与资产负债表期末货币资金勾稽不对</v>
      </c>
      <c r="F31" s="50"/>
    </row>
    <row r="32" spans="1:6" ht="16.2">
      <c r="A32" s="48"/>
      <c r="B32" s="54">
        <v>7</v>
      </c>
      <c r="C32" s="132" t="s">
        <v>83</v>
      </c>
      <c r="D32" s="62" t="b">
        <f>IF(ABS(审定报表!D8-审定报表!D342)&lt;0.01,TRUE,FALSE)</f>
        <v>0</v>
      </c>
      <c r="E32" s="55" t="str">
        <f>IF(D32=TRUE,"","现金流量表与资产负债表期初货币资金勾稽不对")</f>
        <v>现金流量表与资产负债表期初货币资金勾稽不对</v>
      </c>
      <c r="F32" s="50"/>
    </row>
    <row r="33" spans="1:6" ht="16.2">
      <c r="A33" s="48"/>
      <c r="B33" s="54">
        <v>8</v>
      </c>
      <c r="C33" s="56" t="s">
        <v>84</v>
      </c>
      <c r="D33" s="62" t="b">
        <f>IF(ABS(审定报表!C307-审定报表!C366)&lt;0.01,TRUE,FALSE)</f>
        <v>0</v>
      </c>
      <c r="E33" s="55" t="str">
        <f>IF(D33=TRUE,"","现金流量表主表与附表勾稽不对-经营活动现金净增加额")</f>
        <v>现金流量表主表与附表勾稽不对-经营活动现金净增加额</v>
      </c>
      <c r="F33" s="50"/>
    </row>
    <row r="34" spans="1:6" ht="16.2">
      <c r="A34" s="48"/>
      <c r="B34" s="54">
        <v>9</v>
      </c>
      <c r="C34" s="56" t="s">
        <v>1826</v>
      </c>
      <c r="D34" s="62" t="b">
        <f>IF(ABS(审定报表!C342-审定报表!C382)&lt;0.01,TRUE,FALSE)</f>
        <v>1</v>
      </c>
      <c r="E34" s="55" t="str">
        <f>IF(D34=TRUE,"","现金流量表主表与附表勾稽不对-现金净增加额")</f>
        <v/>
      </c>
      <c r="F34" s="50"/>
    </row>
    <row r="35" spans="1:6" ht="16.2">
      <c r="A35" s="48"/>
      <c r="B35" s="54">
        <v>10</v>
      </c>
      <c r="C35" s="132" t="s">
        <v>85</v>
      </c>
      <c r="D35" s="62" t="b">
        <f>IF(ABS(审定报表!C233-审定报表!C345)&lt;0.01,TRUE,FALSE)</f>
        <v>1</v>
      </c>
      <c r="E35" s="55" t="str">
        <f>IF(D35=TRUE,"","现金流量表与利润表勾稽不对-净利润")</f>
        <v/>
      </c>
      <c r="F35" s="50"/>
    </row>
    <row r="36" spans="1:6" ht="16.2">
      <c r="A36" s="48"/>
      <c r="B36" s="54">
        <v>11</v>
      </c>
      <c r="C36" s="132" t="s">
        <v>86</v>
      </c>
      <c r="D36" s="62" t="b">
        <f>IF(ABS(审定报表!C361-(审定报表!D46-审定报表!C46))&lt;0.01,TRUE,FALSE)</f>
        <v>0</v>
      </c>
      <c r="E36" s="55" t="str">
        <f>IF(D36=TRUE,"","现金流量表存货与资产负债表勾稽不对")</f>
        <v>现金流量表存货与资产负债表勾稽不对</v>
      </c>
      <c r="F36" s="50"/>
    </row>
    <row r="37" spans="1:6" ht="16.2">
      <c r="A37" s="48"/>
      <c r="B37" s="54">
        <v>12</v>
      </c>
      <c r="C37" s="132" t="s">
        <v>87</v>
      </c>
      <c r="D37" s="62" t="b">
        <f>IF(ABS(审定报表!C358+审定报表!C218)&lt;0.01,TRUE,FALSE)</f>
        <v>0</v>
      </c>
      <c r="E37" s="55" t="str">
        <f>IF(D37=TRUE,"","利润分配表与现金流量表投资收益勾稽不对")</f>
        <v>利润分配表与现金流量表投资收益勾稽不对</v>
      </c>
      <c r="F37" s="50"/>
    </row>
    <row r="38" spans="1:6" ht="16.2">
      <c r="A38" s="48"/>
      <c r="B38" s="54">
        <v>13</v>
      </c>
      <c r="C38" s="56" t="s">
        <v>88</v>
      </c>
      <c r="D38" s="62" t="b">
        <f>IF(ABS(审定报表!C233*0.1-审定报表!C268)&lt;0.01,TRUE,FALSE)</f>
        <v>1</v>
      </c>
      <c r="E38" s="55" t="str">
        <f>IF(D38=TRUE,"","按照公司政策，公司提取的法定盈余公积不符")</f>
        <v/>
      </c>
      <c r="F38" s="50"/>
    </row>
    <row r="39" spans="1:6" ht="16.2">
      <c r="A39" s="48"/>
      <c r="B39" s="54"/>
      <c r="C39" s="132"/>
      <c r="D39" s="62"/>
      <c r="E39" s="55"/>
      <c r="F39" s="50"/>
    </row>
    <row r="40" spans="1:6" ht="16.2">
      <c r="A40" s="48"/>
      <c r="B40" s="54"/>
      <c r="C40" s="132"/>
      <c r="D40" s="62"/>
      <c r="E40" s="55"/>
      <c r="F40" s="50"/>
    </row>
    <row r="41" spans="1:6" ht="16.2">
      <c r="A41" s="48"/>
      <c r="B41" s="54"/>
      <c r="C41" s="56"/>
      <c r="D41" s="62"/>
      <c r="E41" s="55"/>
      <c r="F41" s="50"/>
    </row>
    <row r="42" spans="1:6" ht="16.2">
      <c r="A42" s="48"/>
      <c r="B42" s="57"/>
      <c r="C42" s="58"/>
      <c r="D42" s="63"/>
      <c r="E42" s="59"/>
      <c r="F42" s="50"/>
    </row>
    <row r="43" spans="1:6" ht="7.5" customHeight="1">
      <c r="A43" s="48"/>
      <c r="B43" s="48"/>
      <c r="C43" s="48"/>
      <c r="D43" s="48"/>
      <c r="E43" s="49"/>
      <c r="F43" s="50"/>
    </row>
  </sheetData>
  <customSheetViews>
    <customSheetView guid="{9A8CA204-20A8-11D5-8CC7-F77182B33125}" showPageBreaks="1" printArea="1" hiddenColumns="1" view="pageBreakPreview" showRuler="0">
      <selection activeCell="D8" sqref="D8"/>
      <pageMargins left="0.74803149606299213" right="0.74803149606299213" top="1.99" bottom="0.98425196850393704" header="0.51181102362204722" footer="0.51181102362204722"/>
      <printOptions horizontalCentered="1"/>
      <pageSetup paperSize="9" orientation="landscape" r:id="rId1"/>
      <headerFooter alignWithMargins="0"/>
    </customSheetView>
  </customSheetViews>
  <mergeCells count="9">
    <mergeCell ref="B24:E24"/>
    <mergeCell ref="B2:C2"/>
    <mergeCell ref="A1:F1"/>
    <mergeCell ref="A2:A19"/>
    <mergeCell ref="B7:E7"/>
    <mergeCell ref="B14:E14"/>
    <mergeCell ref="B3:B6"/>
    <mergeCell ref="B15:B18"/>
    <mergeCell ref="B8:B13"/>
  </mergeCells>
  <phoneticPr fontId="4" type="noConversion"/>
  <conditionalFormatting sqref="D26:D42">
    <cfRule type="cellIs" dxfId="72" priority="2" stopIfTrue="1" operator="equal">
      <formula>FALSE</formula>
    </cfRule>
  </conditionalFormatting>
  <dataValidations count="1">
    <dataValidation type="list" allowBlank="1" showInputMessage="1" showErrorMessage="1" prompt="报表类型不同，资产负债表的相应项目随之改变。" sqref="D8">
      <formula1>$H$9:$H$10</formula1>
    </dataValidation>
  </dataValidations>
  <printOptions horizontalCentered="1"/>
  <pageMargins left="0.74803149606299213" right="0.74803149606299213" top="2.0078740157480315" bottom="0.98425196850393704" header="0.51181102362204722" footer="0.51181102362204722"/>
  <pageSetup paperSize="9" orientation="landscape" blackAndWhite="1" r:id="rId2"/>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U380"/>
  <sheetViews>
    <sheetView zoomScale="90" zoomScaleNormal="90" workbookViewId="0">
      <selection activeCell="S1" sqref="S1:S1048576"/>
    </sheetView>
  </sheetViews>
  <sheetFormatPr defaultColWidth="9" defaultRowHeight="12.9" customHeight="1"/>
  <cols>
    <col min="1" max="1" width="0.69921875" style="324" customWidth="1"/>
    <col min="2" max="2" width="28.59765625" style="324" customWidth="1"/>
    <col min="3" max="3" width="7.8984375" style="324" bestFit="1" customWidth="1"/>
    <col min="4" max="4" width="6.09765625" style="363" customWidth="1"/>
    <col min="5" max="5" width="38.09765625" style="363" bestFit="1" customWidth="1"/>
    <col min="6" max="6" width="7.8984375" style="363" bestFit="1" customWidth="1"/>
    <col min="7" max="7" width="6.3984375" style="363" customWidth="1"/>
    <col min="8" max="8" width="43.69921875" style="366" customWidth="1"/>
    <col min="9" max="9" width="3.09765625" style="366" customWidth="1"/>
    <col min="10" max="10" width="7" style="363" customWidth="1"/>
    <col min="11" max="11" width="36.5" style="363" customWidth="1"/>
    <col min="12" max="12" width="7.8984375" style="367" bestFit="1" customWidth="1"/>
    <col min="13" max="13" width="5.5" style="363" customWidth="1"/>
    <col min="14" max="14" width="62.8984375" style="324" bestFit="1" customWidth="1"/>
    <col min="15" max="15" width="3.69921875" style="363" bestFit="1" customWidth="1"/>
    <col min="16" max="17" width="9" style="324"/>
    <col min="18" max="18" width="7.59765625" style="350" bestFit="1" customWidth="1"/>
    <col min="19" max="19" width="38.09765625" style="334" customWidth="1"/>
    <col min="20" max="20" width="9" style="324"/>
    <col min="21" max="21" width="19.59765625" style="324" customWidth="1"/>
    <col min="22" max="16384" width="9" style="324"/>
  </cols>
  <sheetData>
    <row r="1" spans="1:20" s="328" customFormat="1" ht="13.8">
      <c r="A1" s="1047" t="s">
        <v>503</v>
      </c>
      <c r="B1" s="1047"/>
      <c r="C1" s="1047"/>
      <c r="D1" s="1047"/>
      <c r="E1" s="1047"/>
      <c r="F1" s="1047"/>
      <c r="G1" s="1047"/>
      <c r="H1" s="1047"/>
      <c r="I1" s="1047"/>
      <c r="J1" s="586"/>
      <c r="K1" s="1047" t="s">
        <v>503</v>
      </c>
      <c r="L1" s="1047"/>
      <c r="M1" s="1047"/>
      <c r="N1" s="1047"/>
      <c r="O1" s="1047"/>
      <c r="R1" s="329" t="s">
        <v>441</v>
      </c>
      <c r="S1" s="330" t="s">
        <v>504</v>
      </c>
    </row>
    <row r="2" spans="1:20" s="328" customFormat="1" ht="15" customHeight="1">
      <c r="A2" s="331"/>
      <c r="B2" s="332" t="s">
        <v>505</v>
      </c>
      <c r="C2" s="331"/>
      <c r="D2" s="331"/>
      <c r="E2" s="331"/>
      <c r="F2" s="331"/>
      <c r="G2" s="331"/>
      <c r="H2" s="331"/>
      <c r="I2" s="331"/>
      <c r="J2" s="331"/>
      <c r="K2" s="331"/>
      <c r="L2" s="331"/>
      <c r="M2" s="331"/>
      <c r="N2" s="331"/>
      <c r="O2" s="331"/>
      <c r="R2" s="333"/>
      <c r="S2" s="334"/>
    </row>
    <row r="3" spans="1:20" ht="13.8">
      <c r="A3" s="1046"/>
      <c r="B3" s="1046" t="s">
        <v>506</v>
      </c>
      <c r="C3" s="1046"/>
      <c r="D3" s="1046"/>
      <c r="E3" s="1046" t="s">
        <v>507</v>
      </c>
      <c r="F3" s="1046"/>
      <c r="G3" s="1046"/>
      <c r="H3" s="1046" t="s">
        <v>508</v>
      </c>
      <c r="I3" s="1046"/>
      <c r="J3" s="1046"/>
      <c r="K3" s="1048" t="s">
        <v>509</v>
      </c>
      <c r="L3" s="1049"/>
      <c r="M3" s="1050"/>
      <c r="N3" s="1046" t="s">
        <v>509</v>
      </c>
      <c r="O3" s="1046"/>
      <c r="P3" s="586"/>
      <c r="Q3" s="586"/>
      <c r="R3" s="333"/>
      <c r="T3" s="586"/>
    </row>
    <row r="4" spans="1:20" s="338" customFormat="1" ht="13.8">
      <c r="A4" s="1046"/>
      <c r="B4" s="725" t="s">
        <v>1117</v>
      </c>
      <c r="C4" s="335" t="s">
        <v>510</v>
      </c>
      <c r="D4" s="1046"/>
      <c r="E4" s="725" t="s">
        <v>1117</v>
      </c>
      <c r="F4" s="335" t="s">
        <v>510</v>
      </c>
      <c r="G4" s="1046"/>
      <c r="H4" s="725" t="s">
        <v>1117</v>
      </c>
      <c r="I4" s="335" t="s">
        <v>510</v>
      </c>
      <c r="J4" s="1046"/>
      <c r="K4" s="585" t="s">
        <v>1117</v>
      </c>
      <c r="L4" s="335" t="s">
        <v>510</v>
      </c>
      <c r="M4" s="1051"/>
      <c r="N4" s="1046" t="s">
        <v>511</v>
      </c>
      <c r="O4" s="1046" t="s">
        <v>510</v>
      </c>
      <c r="P4" s="336"/>
      <c r="Q4" s="336"/>
      <c r="R4" s="333"/>
      <c r="S4" s="337"/>
      <c r="T4" s="336"/>
    </row>
    <row r="5" spans="1:20" ht="15.75" customHeight="1">
      <c r="A5" s="1046"/>
      <c r="B5" s="339" t="s">
        <v>512</v>
      </c>
      <c r="C5" s="340">
        <v>1</v>
      </c>
      <c r="D5" s="1046"/>
      <c r="E5" s="342" t="s">
        <v>513</v>
      </c>
      <c r="F5" s="343">
        <f>C125+1</f>
        <v>122</v>
      </c>
      <c r="G5" s="1046"/>
      <c r="H5" s="583" t="s">
        <v>1208</v>
      </c>
      <c r="I5" s="340">
        <v>1</v>
      </c>
      <c r="J5" s="1046"/>
      <c r="K5" s="344" t="s">
        <v>514</v>
      </c>
      <c r="L5" s="340">
        <v>1</v>
      </c>
      <c r="M5" s="1051"/>
      <c r="N5" s="341" t="s">
        <v>447</v>
      </c>
      <c r="O5" s="343">
        <f>L68+1</f>
        <v>65</v>
      </c>
      <c r="P5" s="346"/>
      <c r="Q5" s="346"/>
      <c r="R5" s="333"/>
      <c r="S5" s="347" t="s">
        <v>515</v>
      </c>
      <c r="T5" s="346"/>
    </row>
    <row r="6" spans="1:20" ht="15.75" customHeight="1">
      <c r="A6" s="1046"/>
      <c r="B6" s="341" t="s">
        <v>516</v>
      </c>
      <c r="C6" s="340">
        <f>C5+1</f>
        <v>2</v>
      </c>
      <c r="D6" s="1046"/>
      <c r="E6" s="345" t="s">
        <v>517</v>
      </c>
      <c r="F6" s="343">
        <f>F5+1</f>
        <v>123</v>
      </c>
      <c r="G6" s="1046"/>
      <c r="H6" s="344" t="s">
        <v>518</v>
      </c>
      <c r="I6" s="340">
        <f>I5+1</f>
        <v>2</v>
      </c>
      <c r="J6" s="1046"/>
      <c r="K6" s="348" t="s">
        <v>448</v>
      </c>
      <c r="L6" s="340">
        <f>L5+1</f>
        <v>2</v>
      </c>
      <c r="M6" s="1051"/>
      <c r="N6" s="349" t="s">
        <v>449</v>
      </c>
      <c r="O6" s="343">
        <f>O5+1</f>
        <v>66</v>
      </c>
      <c r="P6" s="346"/>
      <c r="Q6" s="346"/>
      <c r="R6" s="350" t="s">
        <v>442</v>
      </c>
      <c r="S6" s="351" t="str">
        <f>B6</f>
        <v>货币资金</v>
      </c>
      <c r="T6" s="346"/>
    </row>
    <row r="7" spans="1:20" ht="15.75" customHeight="1">
      <c r="A7" s="1046"/>
      <c r="B7" s="341" t="s">
        <v>1198</v>
      </c>
      <c r="C7" s="340">
        <f t="shared" ref="C7:C71" si="0">C6+1</f>
        <v>3</v>
      </c>
      <c r="D7" s="1046"/>
      <c r="E7" s="345" t="s">
        <v>724</v>
      </c>
      <c r="F7" s="343">
        <f t="shared" ref="F7:F66" si="1">F6+1</f>
        <v>124</v>
      </c>
      <c r="G7" s="1046"/>
      <c r="H7" s="344" t="s">
        <v>749</v>
      </c>
      <c r="I7" s="340">
        <f t="shared" ref="I7:I70" si="2">I6+1</f>
        <v>3</v>
      </c>
      <c r="J7" s="1046"/>
      <c r="K7" s="348" t="s">
        <v>1118</v>
      </c>
      <c r="L7" s="340">
        <f t="shared" ref="L7:L68" si="3">L6+1</f>
        <v>3</v>
      </c>
      <c r="M7" s="1051"/>
      <c r="N7" s="349"/>
      <c r="O7" s="343">
        <f t="shared" ref="O7:O43" si="4">O6+1</f>
        <v>67</v>
      </c>
      <c r="P7" s="346"/>
      <c r="Q7" s="346"/>
      <c r="R7" s="350" t="s">
        <v>140</v>
      </c>
      <c r="S7" s="351" t="str">
        <f t="shared" ref="S7:S70" si="5">B7</f>
        <v>结算备付金*</v>
      </c>
      <c r="T7" s="346"/>
    </row>
    <row r="8" spans="1:20" ht="15.75" customHeight="1">
      <c r="A8" s="1046"/>
      <c r="B8" s="341" t="s">
        <v>1217</v>
      </c>
      <c r="C8" s="340">
        <f t="shared" si="0"/>
        <v>4</v>
      </c>
      <c r="D8" s="1046"/>
      <c r="E8" s="345" t="s">
        <v>725</v>
      </c>
      <c r="F8" s="343">
        <f t="shared" si="1"/>
        <v>125</v>
      </c>
      <c r="G8" s="1046"/>
      <c r="H8" s="344" t="s">
        <v>1119</v>
      </c>
      <c r="I8" s="340">
        <f t="shared" si="2"/>
        <v>4</v>
      </c>
      <c r="J8" s="1046"/>
      <c r="K8" s="348" t="s">
        <v>752</v>
      </c>
      <c r="L8" s="340">
        <f t="shared" si="3"/>
        <v>4</v>
      </c>
      <c r="M8" s="1051"/>
      <c r="N8" s="349"/>
      <c r="O8" s="343">
        <f t="shared" si="4"/>
        <v>68</v>
      </c>
      <c r="P8" s="346"/>
      <c r="Q8" s="346"/>
      <c r="R8" s="350" t="s">
        <v>113</v>
      </c>
      <c r="S8" s="351" t="str">
        <f t="shared" si="5"/>
        <v>拆出资金原值*</v>
      </c>
      <c r="T8" s="346"/>
    </row>
    <row r="9" spans="1:20" ht="15.75" customHeight="1">
      <c r="A9" s="1046"/>
      <c r="B9" s="341" t="s">
        <v>1203</v>
      </c>
      <c r="C9" s="340">
        <f t="shared" si="0"/>
        <v>5</v>
      </c>
      <c r="D9" s="1046"/>
      <c r="E9" s="345" t="s">
        <v>520</v>
      </c>
      <c r="F9" s="343">
        <f t="shared" si="1"/>
        <v>126</v>
      </c>
      <c r="G9" s="1046"/>
      <c r="H9" s="344" t="s">
        <v>1120</v>
      </c>
      <c r="I9" s="340">
        <f t="shared" si="2"/>
        <v>5</v>
      </c>
      <c r="J9" s="1046"/>
      <c r="K9" s="348" t="s">
        <v>753</v>
      </c>
      <c r="L9" s="340">
        <f t="shared" si="3"/>
        <v>5</v>
      </c>
      <c r="M9" s="1051"/>
      <c r="N9" s="349" t="s">
        <v>526</v>
      </c>
      <c r="O9" s="343">
        <f t="shared" si="4"/>
        <v>69</v>
      </c>
      <c r="P9" s="346"/>
      <c r="Q9" s="346"/>
      <c r="R9" s="350" t="s">
        <v>114</v>
      </c>
      <c r="S9" s="351" t="str">
        <f t="shared" si="5"/>
        <v>拆出资金减值准备*</v>
      </c>
      <c r="T9" s="346"/>
    </row>
    <row r="10" spans="1:20" ht="15.75" customHeight="1">
      <c r="A10" s="1046"/>
      <c r="B10" s="341" t="s">
        <v>1216</v>
      </c>
      <c r="C10" s="340">
        <f t="shared" si="0"/>
        <v>6</v>
      </c>
      <c r="D10" s="1046"/>
      <c r="E10" s="345" t="s">
        <v>524</v>
      </c>
      <c r="F10" s="343">
        <f t="shared" si="1"/>
        <v>127</v>
      </c>
      <c r="G10" s="1046"/>
      <c r="H10" s="344" t="s">
        <v>1121</v>
      </c>
      <c r="I10" s="340">
        <f t="shared" si="2"/>
        <v>6</v>
      </c>
      <c r="J10" s="1046"/>
      <c r="K10" s="348" t="s">
        <v>1122</v>
      </c>
      <c r="L10" s="340">
        <f t="shared" si="3"/>
        <v>6</v>
      </c>
      <c r="M10" s="1051"/>
      <c r="N10" s="349" t="s">
        <v>500</v>
      </c>
      <c r="O10" s="343">
        <f t="shared" si="4"/>
        <v>70</v>
      </c>
      <c r="P10" s="346"/>
      <c r="Q10" s="346"/>
      <c r="S10" s="351" t="str">
        <f t="shared" si="5"/>
        <v>拆出资金*</v>
      </c>
      <c r="T10" s="346"/>
    </row>
    <row r="11" spans="1:20" ht="15.75" customHeight="1">
      <c r="A11" s="1046"/>
      <c r="B11" s="341" t="s">
        <v>519</v>
      </c>
      <c r="C11" s="340">
        <f t="shared" si="0"/>
        <v>7</v>
      </c>
      <c r="D11" s="1046"/>
      <c r="E11" s="345" t="s">
        <v>521</v>
      </c>
      <c r="F11" s="343">
        <f t="shared" si="1"/>
        <v>128</v>
      </c>
      <c r="G11" s="1046"/>
      <c r="H11" s="344" t="s">
        <v>1209</v>
      </c>
      <c r="I11" s="340">
        <f t="shared" si="2"/>
        <v>7</v>
      </c>
      <c r="J11" s="1046"/>
      <c r="K11" s="348" t="s">
        <v>754</v>
      </c>
      <c r="L11" s="340">
        <f t="shared" si="3"/>
        <v>7</v>
      </c>
      <c r="M11" s="1051"/>
      <c r="N11" s="349" t="s">
        <v>1098</v>
      </c>
      <c r="O11" s="343">
        <f t="shared" si="4"/>
        <v>71</v>
      </c>
      <c r="P11" s="346"/>
      <c r="Q11" s="346"/>
      <c r="R11" s="350" t="s">
        <v>115</v>
      </c>
      <c r="S11" s="351" t="str">
        <f t="shared" si="5"/>
        <v>交易性金融资产</v>
      </c>
      <c r="T11" s="346"/>
    </row>
    <row r="12" spans="1:20" ht="15.75" customHeight="1">
      <c r="A12" s="1046"/>
      <c r="B12" s="341" t="s">
        <v>770</v>
      </c>
      <c r="C12" s="340">
        <f t="shared" si="0"/>
        <v>8</v>
      </c>
      <c r="D12" s="1046"/>
      <c r="E12" s="345" t="s">
        <v>523</v>
      </c>
      <c r="F12" s="343">
        <f>F11+1</f>
        <v>129</v>
      </c>
      <c r="G12" s="1046"/>
      <c r="H12" s="344" t="s">
        <v>525</v>
      </c>
      <c r="I12" s="340">
        <f t="shared" si="2"/>
        <v>8</v>
      </c>
      <c r="J12" s="1046"/>
      <c r="K12" s="348" t="s">
        <v>755</v>
      </c>
      <c r="L12" s="340">
        <f t="shared" si="3"/>
        <v>8</v>
      </c>
      <c r="M12" s="1051"/>
      <c r="N12" s="349" t="s">
        <v>1123</v>
      </c>
      <c r="O12" s="343">
        <f>O11+1</f>
        <v>72</v>
      </c>
      <c r="P12" s="346"/>
      <c r="Q12" s="346"/>
      <c r="R12" s="350" t="s">
        <v>141</v>
      </c>
      <c r="S12" s="351" t="str">
        <f t="shared" si="5"/>
        <v>衍生金融资产</v>
      </c>
      <c r="T12" s="346"/>
    </row>
    <row r="13" spans="1:20" ht="15.75" customHeight="1">
      <c r="A13" s="1046"/>
      <c r="B13" s="341" t="s">
        <v>825</v>
      </c>
      <c r="C13" s="340">
        <f t="shared" si="0"/>
        <v>9</v>
      </c>
      <c r="D13" s="1046"/>
      <c r="E13" s="345" t="s">
        <v>528</v>
      </c>
      <c r="F13" s="343">
        <f t="shared" si="1"/>
        <v>130</v>
      </c>
      <c r="G13" s="1046"/>
      <c r="H13" s="344" t="s">
        <v>446</v>
      </c>
      <c r="I13" s="340">
        <f t="shared" si="2"/>
        <v>9</v>
      </c>
      <c r="J13" s="1046"/>
      <c r="K13" s="348" t="s">
        <v>756</v>
      </c>
      <c r="L13" s="340">
        <f t="shared" si="3"/>
        <v>9</v>
      </c>
      <c r="M13" s="1051"/>
      <c r="N13" s="349" t="s">
        <v>455</v>
      </c>
      <c r="O13" s="343">
        <f t="shared" si="4"/>
        <v>73</v>
      </c>
      <c r="P13" s="346"/>
      <c r="Q13" s="346"/>
      <c r="R13" s="350" t="s">
        <v>142</v>
      </c>
      <c r="S13" s="351" t="str">
        <f t="shared" si="5"/>
        <v>应收票据原值</v>
      </c>
      <c r="T13" s="346"/>
    </row>
    <row r="14" spans="1:20" ht="15.75" customHeight="1">
      <c r="A14" s="1046"/>
      <c r="B14" s="341" t="s">
        <v>826</v>
      </c>
      <c r="C14" s="340">
        <f t="shared" si="0"/>
        <v>10</v>
      </c>
      <c r="D14" s="1046"/>
      <c r="E14" s="476" t="s">
        <v>1189</v>
      </c>
      <c r="F14" s="343">
        <f t="shared" si="1"/>
        <v>131</v>
      </c>
      <c r="G14" s="1046"/>
      <c r="H14" s="344" t="s">
        <v>1125</v>
      </c>
      <c r="I14" s="340">
        <f t="shared" si="2"/>
        <v>10</v>
      </c>
      <c r="J14" s="1046"/>
      <c r="K14" s="348" t="s">
        <v>757</v>
      </c>
      <c r="L14" s="340">
        <f t="shared" si="3"/>
        <v>10</v>
      </c>
      <c r="M14" s="1051"/>
      <c r="N14" s="349" t="s">
        <v>457</v>
      </c>
      <c r="O14" s="343">
        <f t="shared" si="4"/>
        <v>74</v>
      </c>
      <c r="P14" s="346"/>
      <c r="Q14" s="346"/>
      <c r="R14" s="350" t="s">
        <v>143</v>
      </c>
      <c r="S14" s="351" t="str">
        <f t="shared" si="5"/>
        <v>应收票据坏账准备</v>
      </c>
      <c r="T14" s="346"/>
    </row>
    <row r="15" spans="1:20" ht="15.75" customHeight="1">
      <c r="A15" s="1046"/>
      <c r="B15" s="341" t="s">
        <v>1193</v>
      </c>
      <c r="C15" s="340">
        <f t="shared" si="0"/>
        <v>11</v>
      </c>
      <c r="D15" s="1046"/>
      <c r="E15" s="587" t="s">
        <v>1116</v>
      </c>
      <c r="F15" s="343">
        <f t="shared" si="1"/>
        <v>132</v>
      </c>
      <c r="G15" s="1046"/>
      <c r="H15" s="344" t="s">
        <v>1127</v>
      </c>
      <c r="I15" s="340">
        <f t="shared" si="2"/>
        <v>11</v>
      </c>
      <c r="J15" s="1046"/>
      <c r="K15" s="348" t="s">
        <v>758</v>
      </c>
      <c r="L15" s="340">
        <f t="shared" si="3"/>
        <v>11</v>
      </c>
      <c r="M15" s="1051"/>
      <c r="N15" s="353" t="s">
        <v>532</v>
      </c>
      <c r="O15" s="343">
        <f t="shared" si="4"/>
        <v>75</v>
      </c>
      <c r="P15" s="346"/>
      <c r="Q15" s="346"/>
      <c r="S15" s="351" t="str">
        <f t="shared" si="5"/>
        <v>应收票据</v>
      </c>
      <c r="T15" s="346"/>
    </row>
    <row r="16" spans="1:20" ht="15.75" customHeight="1">
      <c r="A16" s="1046"/>
      <c r="B16" s="341" t="s">
        <v>1124</v>
      </c>
      <c r="C16" s="340">
        <f t="shared" si="0"/>
        <v>12</v>
      </c>
      <c r="D16" s="1046"/>
      <c r="E16" s="587" t="s">
        <v>1190</v>
      </c>
      <c r="F16" s="343">
        <f>F15+1</f>
        <v>133</v>
      </c>
      <c r="G16" s="1046"/>
      <c r="H16" s="344" t="s">
        <v>1129</v>
      </c>
      <c r="I16" s="340">
        <f t="shared" si="2"/>
        <v>12</v>
      </c>
      <c r="J16" s="1046"/>
      <c r="K16" s="348" t="s">
        <v>759</v>
      </c>
      <c r="L16" s="340">
        <f t="shared" si="3"/>
        <v>12</v>
      </c>
      <c r="M16" s="1051"/>
      <c r="N16" s="349" t="s">
        <v>536</v>
      </c>
      <c r="O16" s="343">
        <f t="shared" si="4"/>
        <v>76</v>
      </c>
      <c r="P16" s="346"/>
      <c r="Q16" s="346"/>
      <c r="R16" s="350" t="s">
        <v>144</v>
      </c>
      <c r="S16" s="351" t="str">
        <f t="shared" si="5"/>
        <v>应收账款原值</v>
      </c>
      <c r="T16" s="346"/>
    </row>
    <row r="17" spans="1:20" ht="15.75" customHeight="1">
      <c r="A17" s="1046"/>
      <c r="B17" s="341" t="s">
        <v>1126</v>
      </c>
      <c r="C17" s="340">
        <f t="shared" si="0"/>
        <v>13</v>
      </c>
      <c r="D17" s="1046"/>
      <c r="E17" s="587" t="s">
        <v>1191</v>
      </c>
      <c r="F17" s="343">
        <f t="shared" si="1"/>
        <v>134</v>
      </c>
      <c r="G17" s="1046"/>
      <c r="H17" s="344" t="s">
        <v>1130</v>
      </c>
      <c r="I17" s="340">
        <f t="shared" si="2"/>
        <v>13</v>
      </c>
      <c r="J17" s="1046"/>
      <c r="K17" s="348" t="s">
        <v>450</v>
      </c>
      <c r="L17" s="340">
        <f t="shared" si="3"/>
        <v>13</v>
      </c>
      <c r="M17" s="1051"/>
      <c r="N17" s="349" t="s">
        <v>539</v>
      </c>
      <c r="O17" s="343">
        <f t="shared" si="4"/>
        <v>77</v>
      </c>
      <c r="P17" s="346"/>
      <c r="Q17" s="346"/>
      <c r="R17" s="350" t="s">
        <v>145</v>
      </c>
      <c r="S17" s="351" t="str">
        <f t="shared" si="5"/>
        <v>应收账款坏账准备</v>
      </c>
      <c r="T17" s="346"/>
    </row>
    <row r="18" spans="1:20" ht="15.75" customHeight="1">
      <c r="A18" s="1046"/>
      <c r="B18" s="341" t="s">
        <v>1128</v>
      </c>
      <c r="C18" s="340">
        <f t="shared" si="0"/>
        <v>14</v>
      </c>
      <c r="D18" s="1046"/>
      <c r="E18" s="587" t="s">
        <v>1192</v>
      </c>
      <c r="F18" s="343">
        <f t="shared" si="1"/>
        <v>135</v>
      </c>
      <c r="G18" s="1046"/>
      <c r="H18" s="344" t="s">
        <v>1131</v>
      </c>
      <c r="I18" s="340">
        <f t="shared" si="2"/>
        <v>14</v>
      </c>
      <c r="J18" s="1046"/>
      <c r="K18" s="348" t="s">
        <v>451</v>
      </c>
      <c r="L18" s="340">
        <f t="shared" si="3"/>
        <v>14</v>
      </c>
      <c r="M18" s="1051"/>
      <c r="N18" s="349" t="s">
        <v>543</v>
      </c>
      <c r="O18" s="343">
        <f t="shared" si="4"/>
        <v>78</v>
      </c>
      <c r="P18" s="346"/>
      <c r="Q18" s="346"/>
      <c r="S18" s="351" t="str">
        <f t="shared" si="5"/>
        <v>应收账款</v>
      </c>
      <c r="T18" s="346"/>
    </row>
    <row r="19" spans="1:20" ht="15.75" customHeight="1">
      <c r="A19" s="1046"/>
      <c r="B19" s="341" t="s">
        <v>1061</v>
      </c>
      <c r="C19" s="340">
        <f t="shared" si="0"/>
        <v>15</v>
      </c>
      <c r="D19" s="1046"/>
      <c r="E19" s="345" t="s">
        <v>530</v>
      </c>
      <c r="F19" s="343">
        <f t="shared" si="1"/>
        <v>136</v>
      </c>
      <c r="G19" s="1046"/>
      <c r="H19" s="344" t="s">
        <v>1132</v>
      </c>
      <c r="I19" s="340">
        <f t="shared" si="2"/>
        <v>15</v>
      </c>
      <c r="J19" s="1046"/>
      <c r="K19" s="348"/>
      <c r="L19" s="340">
        <f t="shared" si="3"/>
        <v>15</v>
      </c>
      <c r="M19" s="1051"/>
      <c r="N19" s="349" t="s">
        <v>548</v>
      </c>
      <c r="O19" s="343">
        <f t="shared" si="4"/>
        <v>79</v>
      </c>
      <c r="P19" s="346"/>
      <c r="Q19" s="346"/>
      <c r="R19" s="350" t="s">
        <v>1251</v>
      </c>
      <c r="S19" s="351" t="str">
        <f t="shared" si="5"/>
        <v>应收款项融资原值</v>
      </c>
      <c r="T19" s="346"/>
    </row>
    <row r="20" spans="1:20" ht="15.75" customHeight="1">
      <c r="A20" s="1046"/>
      <c r="B20" s="341" t="s">
        <v>830</v>
      </c>
      <c r="C20" s="340">
        <f t="shared" si="0"/>
        <v>16</v>
      </c>
      <c r="D20" s="1046"/>
      <c r="E20" s="345" t="s">
        <v>1133</v>
      </c>
      <c r="F20" s="343">
        <f t="shared" si="1"/>
        <v>137</v>
      </c>
      <c r="G20" s="1046"/>
      <c r="H20" s="344" t="s">
        <v>1134</v>
      </c>
      <c r="I20" s="340">
        <f t="shared" si="2"/>
        <v>16</v>
      </c>
      <c r="J20" s="1046"/>
      <c r="K20" s="352" t="s">
        <v>452</v>
      </c>
      <c r="L20" s="340">
        <f t="shared" si="3"/>
        <v>16</v>
      </c>
      <c r="M20" s="1051"/>
      <c r="N20" s="349" t="s">
        <v>552</v>
      </c>
      <c r="O20" s="343">
        <f t="shared" si="4"/>
        <v>80</v>
      </c>
      <c r="P20" s="346"/>
      <c r="Q20" s="346"/>
      <c r="R20" s="350" t="s">
        <v>425</v>
      </c>
      <c r="S20" s="351" t="str">
        <f t="shared" si="5"/>
        <v>应收款项融资坏账准备</v>
      </c>
      <c r="T20" s="346"/>
    </row>
    <row r="21" spans="1:20" ht="15.75" customHeight="1">
      <c r="A21" s="1046"/>
      <c r="B21" s="341" t="s">
        <v>1194</v>
      </c>
      <c r="C21" s="340">
        <f t="shared" si="0"/>
        <v>17</v>
      </c>
      <c r="D21" s="1046"/>
      <c r="E21" s="345" t="s">
        <v>1135</v>
      </c>
      <c r="F21" s="343">
        <f t="shared" si="1"/>
        <v>138</v>
      </c>
      <c r="G21" s="1046"/>
      <c r="H21" s="345" t="s">
        <v>453</v>
      </c>
      <c r="I21" s="340">
        <f t="shared" si="2"/>
        <v>17</v>
      </c>
      <c r="J21" s="1046"/>
      <c r="K21" s="348" t="s">
        <v>454</v>
      </c>
      <c r="L21" s="340">
        <f t="shared" si="3"/>
        <v>17</v>
      </c>
      <c r="M21" s="1051"/>
      <c r="N21" s="349" t="s">
        <v>556</v>
      </c>
      <c r="O21" s="343">
        <f t="shared" si="4"/>
        <v>81</v>
      </c>
      <c r="P21" s="346"/>
      <c r="Q21" s="346"/>
      <c r="S21" s="351" t="str">
        <f t="shared" si="5"/>
        <v>应收款项融资</v>
      </c>
      <c r="T21" s="346"/>
    </row>
    <row r="22" spans="1:20" ht="15.75" customHeight="1">
      <c r="A22" s="1046"/>
      <c r="B22" s="341" t="s">
        <v>648</v>
      </c>
      <c r="C22" s="340">
        <f t="shared" si="0"/>
        <v>18</v>
      </c>
      <c r="D22" s="1046"/>
      <c r="E22" s="345" t="s">
        <v>1137</v>
      </c>
      <c r="F22" s="343">
        <f t="shared" si="1"/>
        <v>139</v>
      </c>
      <c r="G22" s="1046"/>
      <c r="H22" s="345" t="s">
        <v>1195</v>
      </c>
      <c r="I22" s="340">
        <f t="shared" si="2"/>
        <v>18</v>
      </c>
      <c r="J22" s="1046"/>
      <c r="K22" s="348" t="s">
        <v>760</v>
      </c>
      <c r="L22" s="340">
        <f t="shared" si="3"/>
        <v>18</v>
      </c>
      <c r="M22" s="1051"/>
      <c r="N22" s="349" t="s">
        <v>559</v>
      </c>
      <c r="O22" s="343">
        <f t="shared" si="4"/>
        <v>82</v>
      </c>
      <c r="P22" s="346"/>
      <c r="Q22" s="346"/>
      <c r="R22" s="350" t="s">
        <v>1252</v>
      </c>
      <c r="S22" s="351" t="str">
        <f t="shared" si="5"/>
        <v>预付款项原值</v>
      </c>
      <c r="T22" s="346"/>
    </row>
    <row r="23" spans="1:20" ht="15.75" customHeight="1">
      <c r="A23" s="1046"/>
      <c r="B23" s="341" t="s">
        <v>649</v>
      </c>
      <c r="C23" s="340">
        <f t="shared" si="0"/>
        <v>19</v>
      </c>
      <c r="D23" s="1046"/>
      <c r="E23" s="345" t="s">
        <v>533</v>
      </c>
      <c r="F23" s="343">
        <f t="shared" si="1"/>
        <v>140</v>
      </c>
      <c r="G23" s="1046"/>
      <c r="H23" s="345" t="s">
        <v>529</v>
      </c>
      <c r="I23" s="340">
        <f t="shared" si="2"/>
        <v>19</v>
      </c>
      <c r="J23" s="1046"/>
      <c r="K23" s="348" t="s">
        <v>761</v>
      </c>
      <c r="L23" s="340">
        <f t="shared" si="3"/>
        <v>19</v>
      </c>
      <c r="M23" s="1051"/>
      <c r="N23" s="349" t="s">
        <v>562</v>
      </c>
      <c r="O23" s="343">
        <f t="shared" si="4"/>
        <v>83</v>
      </c>
      <c r="P23" s="346"/>
      <c r="Q23" s="346"/>
      <c r="R23" s="350" t="s">
        <v>426</v>
      </c>
      <c r="S23" s="351" t="str">
        <f t="shared" si="5"/>
        <v>预付款项坏账准备</v>
      </c>
      <c r="T23" s="346"/>
    </row>
    <row r="24" spans="1:20" ht="15.75" customHeight="1">
      <c r="A24" s="1046"/>
      <c r="B24" s="341" t="s">
        <v>1136</v>
      </c>
      <c r="C24" s="340">
        <f t="shared" si="0"/>
        <v>20</v>
      </c>
      <c r="D24" s="1046"/>
      <c r="E24" s="345" t="s">
        <v>1138</v>
      </c>
      <c r="F24" s="343">
        <f t="shared" si="1"/>
        <v>141</v>
      </c>
      <c r="G24" s="1046"/>
      <c r="H24" s="344" t="s">
        <v>531</v>
      </c>
      <c r="I24" s="340">
        <f t="shared" si="2"/>
        <v>20</v>
      </c>
      <c r="J24" s="1046"/>
      <c r="K24" s="348" t="s">
        <v>762</v>
      </c>
      <c r="L24" s="340">
        <f t="shared" si="3"/>
        <v>20</v>
      </c>
      <c r="M24" s="1051"/>
      <c r="N24" s="349" t="s">
        <v>564</v>
      </c>
      <c r="O24" s="343">
        <f t="shared" si="4"/>
        <v>84</v>
      </c>
      <c r="P24" s="346"/>
      <c r="Q24" s="346"/>
      <c r="S24" s="351" t="str">
        <f t="shared" si="5"/>
        <v>预付款项</v>
      </c>
      <c r="T24" s="346"/>
    </row>
    <row r="25" spans="1:20" ht="15.75" customHeight="1">
      <c r="A25" s="1046"/>
      <c r="B25" s="341" t="s">
        <v>1199</v>
      </c>
      <c r="C25" s="340">
        <f t="shared" si="0"/>
        <v>21</v>
      </c>
      <c r="D25" s="1046"/>
      <c r="E25" s="345" t="s">
        <v>537</v>
      </c>
      <c r="F25" s="343">
        <f t="shared" si="1"/>
        <v>142</v>
      </c>
      <c r="G25" s="1046"/>
      <c r="H25" s="344" t="s">
        <v>534</v>
      </c>
      <c r="I25" s="340">
        <f t="shared" si="2"/>
        <v>21</v>
      </c>
      <c r="J25" s="1046"/>
      <c r="K25" s="348" t="s">
        <v>763</v>
      </c>
      <c r="L25" s="340">
        <f t="shared" si="3"/>
        <v>21</v>
      </c>
      <c r="M25" s="1051"/>
      <c r="N25" s="349" t="s">
        <v>467</v>
      </c>
      <c r="O25" s="343">
        <f t="shared" si="4"/>
        <v>85</v>
      </c>
      <c r="P25" s="346"/>
      <c r="Q25" s="346"/>
      <c r="R25" s="350" t="s">
        <v>1253</v>
      </c>
      <c r="S25" s="351" t="str">
        <f t="shared" si="5"/>
        <v>应收保费原值*</v>
      </c>
      <c r="T25" s="346"/>
    </row>
    <row r="26" spans="1:20" ht="15.75" customHeight="1">
      <c r="A26" s="1046"/>
      <c r="B26" s="341" t="s">
        <v>1200</v>
      </c>
      <c r="C26" s="340">
        <f t="shared" si="0"/>
        <v>22</v>
      </c>
      <c r="D26" s="1046"/>
      <c r="E26" s="341" t="s">
        <v>540</v>
      </c>
      <c r="F26" s="343">
        <f t="shared" si="1"/>
        <v>143</v>
      </c>
      <c r="G26" s="1046"/>
      <c r="H26" s="344" t="s">
        <v>538</v>
      </c>
      <c r="I26" s="340">
        <f t="shared" si="2"/>
        <v>22</v>
      </c>
      <c r="J26" s="1046"/>
      <c r="K26" s="348" t="s">
        <v>764</v>
      </c>
      <c r="L26" s="340">
        <f t="shared" si="3"/>
        <v>22</v>
      </c>
      <c r="M26" s="1051"/>
      <c r="N26" s="349"/>
      <c r="O26" s="343">
        <f t="shared" si="4"/>
        <v>86</v>
      </c>
      <c r="P26" s="346"/>
      <c r="Q26" s="346"/>
      <c r="R26" s="350" t="s">
        <v>116</v>
      </c>
      <c r="S26" s="351" t="str">
        <f t="shared" si="5"/>
        <v>应收保费坏账准备*</v>
      </c>
      <c r="T26" s="346"/>
    </row>
    <row r="27" spans="1:20" ht="15.75" customHeight="1">
      <c r="A27" s="1046"/>
      <c r="B27" s="341" t="s">
        <v>1201</v>
      </c>
      <c r="C27" s="340">
        <f t="shared" si="0"/>
        <v>23</v>
      </c>
      <c r="D27" s="1046"/>
      <c r="E27" s="345" t="s">
        <v>545</v>
      </c>
      <c r="F27" s="343">
        <f t="shared" si="1"/>
        <v>144</v>
      </c>
      <c r="G27" s="1046"/>
      <c r="H27" s="344" t="s">
        <v>542</v>
      </c>
      <c r="I27" s="340">
        <f t="shared" si="2"/>
        <v>23</v>
      </c>
      <c r="J27" s="1046"/>
      <c r="K27" s="348" t="s">
        <v>765</v>
      </c>
      <c r="L27" s="340">
        <f t="shared" si="3"/>
        <v>23</v>
      </c>
      <c r="M27" s="1051"/>
      <c r="N27" s="358" t="s">
        <v>461</v>
      </c>
      <c r="O27" s="343">
        <f t="shared" si="4"/>
        <v>87</v>
      </c>
      <c r="P27" s="346"/>
      <c r="Q27" s="346"/>
      <c r="S27" s="351" t="str">
        <f t="shared" si="5"/>
        <v>应收保费*</v>
      </c>
      <c r="T27" s="346"/>
    </row>
    <row r="28" spans="1:20" ht="15.75" customHeight="1">
      <c r="A28" s="1046"/>
      <c r="B28" s="341" t="s">
        <v>1215</v>
      </c>
      <c r="C28" s="340">
        <f t="shared" si="0"/>
        <v>24</v>
      </c>
      <c r="D28" s="1046"/>
      <c r="E28" s="345" t="s">
        <v>1088</v>
      </c>
      <c r="F28" s="343">
        <f t="shared" si="1"/>
        <v>145</v>
      </c>
      <c r="G28" s="1046"/>
      <c r="H28" s="344" t="s">
        <v>1139</v>
      </c>
      <c r="I28" s="340">
        <f t="shared" si="2"/>
        <v>24</v>
      </c>
      <c r="J28" s="1046"/>
      <c r="K28" s="348" t="s">
        <v>456</v>
      </c>
      <c r="L28" s="340">
        <f t="shared" si="3"/>
        <v>24</v>
      </c>
      <c r="M28" s="1051"/>
      <c r="N28" s="341"/>
      <c r="O28" s="343">
        <f t="shared" si="4"/>
        <v>88</v>
      </c>
      <c r="P28" s="346"/>
      <c r="Q28" s="346"/>
      <c r="R28" s="350" t="s">
        <v>1253</v>
      </c>
      <c r="S28" s="351" t="str">
        <f t="shared" si="5"/>
        <v>应收分保账款原值*</v>
      </c>
      <c r="T28" s="346"/>
    </row>
    <row r="29" spans="1:20" ht="15.75" customHeight="1">
      <c r="A29" s="1046"/>
      <c r="B29" s="341" t="s">
        <v>1202</v>
      </c>
      <c r="C29" s="340">
        <f t="shared" si="0"/>
        <v>25</v>
      </c>
      <c r="D29" s="1046"/>
      <c r="E29" s="345" t="s">
        <v>726</v>
      </c>
      <c r="F29" s="343">
        <f t="shared" si="1"/>
        <v>146</v>
      </c>
      <c r="G29" s="1046"/>
      <c r="H29" s="344" t="s">
        <v>1140</v>
      </c>
      <c r="I29" s="340">
        <f t="shared" si="2"/>
        <v>25</v>
      </c>
      <c r="J29" s="1046"/>
      <c r="K29" s="348" t="s">
        <v>458</v>
      </c>
      <c r="L29" s="340">
        <f t="shared" si="3"/>
        <v>25</v>
      </c>
      <c r="M29" s="1051"/>
      <c r="N29" s="341" t="s">
        <v>578</v>
      </c>
      <c r="O29" s="343">
        <f t="shared" si="4"/>
        <v>89</v>
      </c>
      <c r="P29" s="346"/>
      <c r="Q29" s="346"/>
      <c r="R29" s="350" t="s">
        <v>116</v>
      </c>
      <c r="S29" s="351" t="str">
        <f t="shared" si="5"/>
        <v>应收分保账款坏账准备*</v>
      </c>
      <c r="T29" s="346"/>
    </row>
    <row r="30" spans="1:20" ht="15.75" customHeight="1">
      <c r="A30" s="1046"/>
      <c r="B30" s="341" t="s">
        <v>720</v>
      </c>
      <c r="C30" s="340">
        <f t="shared" si="0"/>
        <v>26</v>
      </c>
      <c r="D30" s="1046"/>
      <c r="E30" s="345" t="s">
        <v>550</v>
      </c>
      <c r="F30" s="343">
        <f t="shared" si="1"/>
        <v>147</v>
      </c>
      <c r="G30" s="1046"/>
      <c r="H30" s="341" t="s">
        <v>546</v>
      </c>
      <c r="I30" s="340">
        <f t="shared" si="2"/>
        <v>26</v>
      </c>
      <c r="J30" s="1046"/>
      <c r="K30" s="348" t="s">
        <v>459</v>
      </c>
      <c r="L30" s="340">
        <f t="shared" si="3"/>
        <v>26</v>
      </c>
      <c r="M30" s="1051"/>
      <c r="N30" s="349" t="s">
        <v>473</v>
      </c>
      <c r="O30" s="343">
        <f t="shared" si="4"/>
        <v>90</v>
      </c>
      <c r="P30" s="346"/>
      <c r="Q30" s="346"/>
      <c r="S30" s="351" t="str">
        <f t="shared" si="5"/>
        <v>应收分保账款*</v>
      </c>
      <c r="T30" s="346"/>
    </row>
    <row r="31" spans="1:20" ht="15.75" customHeight="1">
      <c r="A31" s="1046"/>
      <c r="B31" s="341" t="s">
        <v>1196</v>
      </c>
      <c r="C31" s="340">
        <f t="shared" si="0"/>
        <v>27</v>
      </c>
      <c r="D31" s="1046"/>
      <c r="E31" s="345" t="s">
        <v>554</v>
      </c>
      <c r="F31" s="343">
        <f t="shared" si="1"/>
        <v>148</v>
      </c>
      <c r="G31" s="1046"/>
      <c r="H31" s="344" t="s">
        <v>551</v>
      </c>
      <c r="I31" s="340">
        <f t="shared" si="2"/>
        <v>27</v>
      </c>
      <c r="J31" s="1046"/>
      <c r="K31" s="348"/>
      <c r="L31" s="340">
        <f t="shared" si="3"/>
        <v>27</v>
      </c>
      <c r="M31" s="1051"/>
      <c r="N31" s="349" t="s">
        <v>474</v>
      </c>
      <c r="O31" s="343">
        <f t="shared" si="4"/>
        <v>91</v>
      </c>
      <c r="P31" s="346"/>
      <c r="Q31" s="346"/>
      <c r="R31" s="350" t="s">
        <v>1254</v>
      </c>
      <c r="S31" s="351" t="str">
        <f t="shared" si="5"/>
        <v>应收分保合同准备金*</v>
      </c>
      <c r="T31" s="346"/>
    </row>
    <row r="32" spans="1:20" ht="15.75" customHeight="1">
      <c r="A32" s="1046"/>
      <c r="B32" s="341" t="s">
        <v>1062</v>
      </c>
      <c r="C32" s="340">
        <f t="shared" si="0"/>
        <v>28</v>
      </c>
      <c r="D32" s="1046"/>
      <c r="E32" s="345" t="s">
        <v>558</v>
      </c>
      <c r="F32" s="343">
        <f t="shared" si="1"/>
        <v>149</v>
      </c>
      <c r="G32" s="1046"/>
      <c r="H32" s="344" t="s">
        <v>463</v>
      </c>
      <c r="I32" s="340">
        <f t="shared" si="2"/>
        <v>28</v>
      </c>
      <c r="J32" s="1046"/>
      <c r="K32" s="352" t="s">
        <v>460</v>
      </c>
      <c r="L32" s="340">
        <f t="shared" si="3"/>
        <v>28</v>
      </c>
      <c r="M32" s="1051"/>
      <c r="N32" s="349" t="s">
        <v>477</v>
      </c>
      <c r="O32" s="343">
        <f t="shared" si="4"/>
        <v>92</v>
      </c>
      <c r="P32" s="346"/>
      <c r="Q32" s="346"/>
      <c r="R32" s="350" t="s">
        <v>117</v>
      </c>
      <c r="S32" s="351" t="str">
        <f t="shared" si="5"/>
        <v>应收利息原值</v>
      </c>
      <c r="T32" s="346"/>
    </row>
    <row r="33" spans="1:20" ht="15.75" customHeight="1">
      <c r="A33" s="1046"/>
      <c r="B33" s="341" t="s">
        <v>1063</v>
      </c>
      <c r="C33" s="340">
        <f t="shared" si="0"/>
        <v>29</v>
      </c>
      <c r="D33" s="1046"/>
      <c r="E33" s="345" t="s">
        <v>1089</v>
      </c>
      <c r="F33" s="343">
        <f t="shared" si="1"/>
        <v>150</v>
      </c>
      <c r="G33" s="1046"/>
      <c r="H33" s="344" t="s">
        <v>1142</v>
      </c>
      <c r="I33" s="340">
        <f t="shared" si="2"/>
        <v>29</v>
      </c>
      <c r="J33" s="1046"/>
      <c r="K33" s="352" t="s">
        <v>461</v>
      </c>
      <c r="L33" s="340">
        <f t="shared" si="3"/>
        <v>29</v>
      </c>
      <c r="M33" s="1051"/>
      <c r="N33" s="349" t="s">
        <v>1143</v>
      </c>
      <c r="O33" s="343">
        <f t="shared" si="4"/>
        <v>93</v>
      </c>
      <c r="P33" s="346"/>
      <c r="Q33" s="346"/>
      <c r="R33" s="350" t="s">
        <v>118</v>
      </c>
      <c r="S33" s="351" t="str">
        <f t="shared" si="5"/>
        <v>应收利息坏账准备</v>
      </c>
      <c r="T33" s="346"/>
    </row>
    <row r="34" spans="1:20" ht="16.2" customHeight="1">
      <c r="A34" s="1046"/>
      <c r="B34" s="341" t="s">
        <v>675</v>
      </c>
      <c r="C34" s="340">
        <f t="shared" si="0"/>
        <v>30</v>
      </c>
      <c r="D34" s="1046"/>
      <c r="E34" s="355" t="s">
        <v>560</v>
      </c>
      <c r="F34" s="343">
        <f t="shared" si="1"/>
        <v>151</v>
      </c>
      <c r="G34" s="1046"/>
      <c r="H34" s="345" t="s">
        <v>1145</v>
      </c>
      <c r="I34" s="340">
        <f t="shared" si="2"/>
        <v>30</v>
      </c>
      <c r="J34" s="1046"/>
      <c r="K34" s="344" t="s">
        <v>547</v>
      </c>
      <c r="L34" s="340">
        <f t="shared" si="3"/>
        <v>30</v>
      </c>
      <c r="M34" s="1051"/>
      <c r="O34" s="343">
        <f t="shared" si="4"/>
        <v>94</v>
      </c>
      <c r="P34" s="346"/>
      <c r="Q34" s="346"/>
      <c r="S34" s="351" t="str">
        <f t="shared" si="5"/>
        <v>应收利息</v>
      </c>
      <c r="T34" s="346"/>
    </row>
    <row r="35" spans="1:20" ht="15.75" customHeight="1">
      <c r="A35" s="1046"/>
      <c r="B35" s="341" t="s">
        <v>1064</v>
      </c>
      <c r="C35" s="340">
        <f t="shared" si="0"/>
        <v>31</v>
      </c>
      <c r="D35" s="1046"/>
      <c r="E35" s="342" t="s">
        <v>563</v>
      </c>
      <c r="F35" s="343">
        <f t="shared" si="1"/>
        <v>152</v>
      </c>
      <c r="G35" s="1046"/>
      <c r="H35" s="344" t="s">
        <v>561</v>
      </c>
      <c r="I35" s="340">
        <f t="shared" si="2"/>
        <v>31</v>
      </c>
      <c r="J35" s="1046"/>
      <c r="K35" s="348" t="s">
        <v>462</v>
      </c>
      <c r="L35" s="340">
        <f t="shared" si="3"/>
        <v>31</v>
      </c>
      <c r="M35" s="1051"/>
      <c r="N35" s="349"/>
      <c r="O35" s="343">
        <f t="shared" si="4"/>
        <v>95</v>
      </c>
      <c r="P35" s="346"/>
      <c r="Q35" s="346"/>
      <c r="R35" s="350" t="s">
        <v>1255</v>
      </c>
      <c r="S35" s="351" t="str">
        <f t="shared" si="5"/>
        <v>应收股利原值</v>
      </c>
      <c r="T35" s="346"/>
    </row>
    <row r="36" spans="1:20" ht="15.75" customHeight="1">
      <c r="A36" s="1046"/>
      <c r="B36" s="341" t="s">
        <v>1065</v>
      </c>
      <c r="C36" s="340">
        <f t="shared" si="0"/>
        <v>32</v>
      </c>
      <c r="D36" s="1046"/>
      <c r="E36" s="345" t="s">
        <v>566</v>
      </c>
      <c r="F36" s="343">
        <f t="shared" si="1"/>
        <v>153</v>
      </c>
      <c r="G36" s="1046"/>
      <c r="H36" s="344" t="s">
        <v>1146</v>
      </c>
      <c r="I36" s="340">
        <f t="shared" si="2"/>
        <v>32</v>
      </c>
      <c r="J36" s="1046"/>
      <c r="K36" s="348" t="s">
        <v>555</v>
      </c>
      <c r="L36" s="340">
        <f t="shared" si="3"/>
        <v>32</v>
      </c>
      <c r="M36" s="1051"/>
      <c r="N36" s="341" t="s">
        <v>480</v>
      </c>
      <c r="O36" s="343">
        <f t="shared" si="4"/>
        <v>96</v>
      </c>
      <c r="P36" s="346"/>
      <c r="Q36" s="346"/>
      <c r="R36" s="350" t="s">
        <v>119</v>
      </c>
      <c r="S36" s="351" t="str">
        <f t="shared" si="5"/>
        <v>应收股利坏账准备</v>
      </c>
      <c r="T36" s="346"/>
    </row>
    <row r="37" spans="1:20" ht="15.75" customHeight="1">
      <c r="A37" s="1046"/>
      <c r="B37" s="341" t="s">
        <v>1141</v>
      </c>
      <c r="C37" s="340">
        <f t="shared" si="0"/>
        <v>33</v>
      </c>
      <c r="D37" s="1046"/>
      <c r="E37" s="345" t="s">
        <v>568</v>
      </c>
      <c r="F37" s="343">
        <f t="shared" si="1"/>
        <v>154</v>
      </c>
      <c r="G37" s="1046"/>
      <c r="H37" s="344" t="s">
        <v>1147</v>
      </c>
      <c r="I37" s="340">
        <f t="shared" si="2"/>
        <v>33</v>
      </c>
      <c r="J37" s="1046"/>
      <c r="K37" s="348" t="s">
        <v>464</v>
      </c>
      <c r="L37" s="340">
        <f t="shared" si="3"/>
        <v>33</v>
      </c>
      <c r="M37" s="1051"/>
      <c r="N37" s="341" t="s">
        <v>482</v>
      </c>
      <c r="O37" s="343">
        <f t="shared" si="4"/>
        <v>97</v>
      </c>
      <c r="P37" s="346"/>
      <c r="Q37" s="346"/>
      <c r="S37" s="351" t="str">
        <f t="shared" si="5"/>
        <v>应收股利</v>
      </c>
      <c r="T37" s="346"/>
    </row>
    <row r="38" spans="1:20" ht="15.75" customHeight="1">
      <c r="A38" s="1046"/>
      <c r="B38" s="341" t="s">
        <v>676</v>
      </c>
      <c r="C38" s="340">
        <f t="shared" si="0"/>
        <v>34</v>
      </c>
      <c r="D38" s="1046"/>
      <c r="E38" s="341" t="s">
        <v>570</v>
      </c>
      <c r="F38" s="343">
        <f t="shared" si="1"/>
        <v>155</v>
      </c>
      <c r="G38" s="1046"/>
      <c r="H38" s="344" t="s">
        <v>1149</v>
      </c>
      <c r="I38" s="340">
        <f t="shared" si="2"/>
        <v>34</v>
      </c>
      <c r="J38" s="1046"/>
      <c r="K38" s="348" t="s">
        <v>465</v>
      </c>
      <c r="L38" s="340">
        <f t="shared" si="3"/>
        <v>34</v>
      </c>
      <c r="M38" s="1051"/>
      <c r="N38" s="341" t="s">
        <v>483</v>
      </c>
      <c r="O38" s="343">
        <f t="shared" si="4"/>
        <v>98</v>
      </c>
      <c r="P38" s="346"/>
      <c r="Q38" s="346"/>
      <c r="R38" s="350" t="s">
        <v>1256</v>
      </c>
      <c r="S38" s="351" t="str">
        <f t="shared" si="5"/>
        <v>其他应收款原值</v>
      </c>
      <c r="T38" s="346"/>
    </row>
    <row r="39" spans="1:20" ht="15.75" customHeight="1">
      <c r="A39" s="1046"/>
      <c r="B39" s="341" t="s">
        <v>650</v>
      </c>
      <c r="C39" s="340">
        <f t="shared" si="0"/>
        <v>35</v>
      </c>
      <c r="D39" s="1046"/>
      <c r="E39" s="341" t="s">
        <v>572</v>
      </c>
      <c r="F39" s="343">
        <f t="shared" si="1"/>
        <v>156</v>
      </c>
      <c r="G39" s="1046"/>
      <c r="H39" s="344" t="s">
        <v>1151</v>
      </c>
      <c r="I39" s="340">
        <f t="shared" si="2"/>
        <v>35</v>
      </c>
      <c r="J39" s="1046"/>
      <c r="K39" s="348" t="s">
        <v>466</v>
      </c>
      <c r="L39" s="340">
        <f t="shared" si="3"/>
        <v>35</v>
      </c>
      <c r="M39" s="1051"/>
      <c r="N39" s="341" t="s">
        <v>484</v>
      </c>
      <c r="O39" s="343">
        <f t="shared" si="4"/>
        <v>99</v>
      </c>
      <c r="Q39" s="346"/>
      <c r="R39" s="350" t="s">
        <v>120</v>
      </c>
      <c r="S39" s="351" t="str">
        <f t="shared" si="5"/>
        <v>其他应收款坏账准备</v>
      </c>
      <c r="T39" s="346"/>
    </row>
    <row r="40" spans="1:20" ht="15.75" customHeight="1">
      <c r="A40" s="1046"/>
      <c r="B40" s="341" t="s">
        <v>1144</v>
      </c>
      <c r="C40" s="340">
        <f t="shared" si="0"/>
        <v>36</v>
      </c>
      <c r="D40" s="1046"/>
      <c r="E40" s="341" t="s">
        <v>576</v>
      </c>
      <c r="F40" s="343">
        <f t="shared" si="1"/>
        <v>157</v>
      </c>
      <c r="G40" s="1046"/>
      <c r="H40" s="341" t="s">
        <v>574</v>
      </c>
      <c r="I40" s="340">
        <f t="shared" si="2"/>
        <v>36</v>
      </c>
      <c r="J40" s="1046"/>
      <c r="K40" s="348"/>
      <c r="L40" s="340">
        <f t="shared" si="3"/>
        <v>36</v>
      </c>
      <c r="M40" s="1051"/>
      <c r="N40" s="341" t="s">
        <v>486</v>
      </c>
      <c r="O40" s="343">
        <f t="shared" si="4"/>
        <v>100</v>
      </c>
      <c r="P40" s="346"/>
      <c r="Q40" s="346"/>
      <c r="S40" s="351" t="str">
        <f t="shared" si="5"/>
        <v>其他应收款</v>
      </c>
      <c r="T40" s="346"/>
    </row>
    <row r="41" spans="1:20" ht="15.75" customHeight="1">
      <c r="A41" s="1046"/>
      <c r="B41" s="341" t="s">
        <v>1206</v>
      </c>
      <c r="C41" s="340">
        <f t="shared" si="0"/>
        <v>37</v>
      </c>
      <c r="D41" s="1046"/>
      <c r="E41" s="345" t="s">
        <v>573</v>
      </c>
      <c r="F41" s="343">
        <f t="shared" si="1"/>
        <v>158</v>
      </c>
      <c r="G41" s="1046"/>
      <c r="H41" s="359" t="s">
        <v>470</v>
      </c>
      <c r="I41" s="340">
        <f t="shared" si="2"/>
        <v>37</v>
      </c>
      <c r="J41" s="1046"/>
      <c r="K41" s="352" t="s">
        <v>468</v>
      </c>
      <c r="L41" s="340">
        <f t="shared" si="3"/>
        <v>37</v>
      </c>
      <c r="M41" s="1051"/>
      <c r="N41" s="341"/>
      <c r="O41" s="343">
        <f t="shared" si="4"/>
        <v>101</v>
      </c>
      <c r="P41" s="346"/>
      <c r="Q41" s="346"/>
      <c r="R41" s="350" t="s">
        <v>1257</v>
      </c>
      <c r="S41" s="351" t="str">
        <f t="shared" si="5"/>
        <v>买入返售金融资产原值*</v>
      </c>
      <c r="T41" s="346"/>
    </row>
    <row r="42" spans="1:20" ht="15.75" customHeight="1">
      <c r="A42" s="1046"/>
      <c r="B42" s="341" t="s">
        <v>1207</v>
      </c>
      <c r="C42" s="340">
        <f t="shared" si="0"/>
        <v>38</v>
      </c>
      <c r="D42" s="1046"/>
      <c r="E42" s="345" t="s">
        <v>949</v>
      </c>
      <c r="F42" s="343">
        <f t="shared" si="1"/>
        <v>159</v>
      </c>
      <c r="G42" s="1046"/>
      <c r="H42" s="344" t="s">
        <v>799</v>
      </c>
      <c r="I42" s="340">
        <f t="shared" si="2"/>
        <v>38</v>
      </c>
      <c r="J42" s="1046"/>
      <c r="K42" s="348" t="s">
        <v>571</v>
      </c>
      <c r="L42" s="340">
        <f t="shared" si="3"/>
        <v>38</v>
      </c>
      <c r="M42" s="1051"/>
      <c r="N42" s="341"/>
      <c r="O42" s="343">
        <f t="shared" si="4"/>
        <v>102</v>
      </c>
      <c r="P42" s="346"/>
      <c r="Q42" s="346"/>
      <c r="R42" s="350" t="s">
        <v>121</v>
      </c>
      <c r="S42" s="351" t="str">
        <f t="shared" si="5"/>
        <v>买入返售金融资产减值准备*</v>
      </c>
      <c r="T42" s="346"/>
    </row>
    <row r="43" spans="1:20" ht="15.75" customHeight="1">
      <c r="A43" s="1046"/>
      <c r="B43" s="341" t="s">
        <v>1197</v>
      </c>
      <c r="C43" s="340">
        <f t="shared" si="0"/>
        <v>39</v>
      </c>
      <c r="D43" s="1046"/>
      <c r="E43" s="345" t="s">
        <v>579</v>
      </c>
      <c r="F43" s="343">
        <f t="shared" si="1"/>
        <v>160</v>
      </c>
      <c r="G43" s="1046"/>
      <c r="H43" s="359" t="s">
        <v>471</v>
      </c>
      <c r="I43" s="340">
        <f t="shared" si="2"/>
        <v>39</v>
      </c>
      <c r="J43" s="1046"/>
      <c r="K43" s="348" t="s">
        <v>469</v>
      </c>
      <c r="L43" s="340">
        <f t="shared" si="3"/>
        <v>39</v>
      </c>
      <c r="M43" s="1051"/>
      <c r="N43" s="361" t="s">
        <v>495</v>
      </c>
      <c r="O43" s="343">
        <f t="shared" si="4"/>
        <v>103</v>
      </c>
      <c r="P43" s="346"/>
      <c r="Q43" s="346"/>
      <c r="S43" s="351" t="str">
        <f t="shared" si="5"/>
        <v>买入返售金融资产*</v>
      </c>
      <c r="T43" s="346"/>
    </row>
    <row r="44" spans="1:20" ht="15.75" customHeight="1">
      <c r="A44" s="1046"/>
      <c r="B44" s="341" t="s">
        <v>677</v>
      </c>
      <c r="C44" s="340">
        <f t="shared" si="0"/>
        <v>40</v>
      </c>
      <c r="D44" s="1046"/>
      <c r="E44" s="345" t="s">
        <v>541</v>
      </c>
      <c r="F44" s="343">
        <f t="shared" si="1"/>
        <v>161</v>
      </c>
      <c r="G44" s="1046"/>
      <c r="H44" s="341" t="s">
        <v>1376</v>
      </c>
      <c r="I44" s="340">
        <f t="shared" si="2"/>
        <v>40</v>
      </c>
      <c r="J44" s="1046"/>
      <c r="K44" s="348" t="s">
        <v>1155</v>
      </c>
      <c r="L44" s="340">
        <f t="shared" si="3"/>
        <v>40</v>
      </c>
      <c r="M44" s="1051"/>
      <c r="O44" s="364"/>
      <c r="P44" s="346"/>
      <c r="Q44" s="346"/>
      <c r="R44" s="350" t="s">
        <v>1258</v>
      </c>
      <c r="S44" s="351" t="str">
        <f t="shared" si="5"/>
        <v>存货原值</v>
      </c>
      <c r="T44" s="346"/>
    </row>
    <row r="45" spans="1:20" ht="15.75" customHeight="1">
      <c r="A45" s="1046"/>
      <c r="B45" s="341" t="s">
        <v>678</v>
      </c>
      <c r="C45" s="340">
        <f t="shared" si="0"/>
        <v>41</v>
      </c>
      <c r="D45" s="1046"/>
      <c r="E45" s="345" t="s">
        <v>535</v>
      </c>
      <c r="F45" s="343">
        <f t="shared" si="1"/>
        <v>162</v>
      </c>
      <c r="G45" s="1046"/>
      <c r="H45" s="359" t="s">
        <v>475</v>
      </c>
      <c r="I45" s="340">
        <f t="shared" si="2"/>
        <v>41</v>
      </c>
      <c r="J45" s="1046"/>
      <c r="K45" s="348" t="s">
        <v>577</v>
      </c>
      <c r="L45" s="340">
        <f t="shared" si="3"/>
        <v>41</v>
      </c>
      <c r="M45" s="1051"/>
      <c r="O45" s="364"/>
      <c r="P45" s="346"/>
      <c r="Q45" s="346"/>
      <c r="R45" s="350" t="s">
        <v>122</v>
      </c>
      <c r="S45" s="351" t="str">
        <f t="shared" si="5"/>
        <v>存货跌价准备</v>
      </c>
      <c r="T45" s="346"/>
    </row>
    <row r="46" spans="1:20" ht="15.75" customHeight="1">
      <c r="A46" s="1046"/>
      <c r="B46" s="341" t="s">
        <v>1148</v>
      </c>
      <c r="C46" s="340">
        <f t="shared" si="0"/>
        <v>42</v>
      </c>
      <c r="D46" s="1046"/>
      <c r="E46" s="345" t="s">
        <v>582</v>
      </c>
      <c r="F46" s="343">
        <f t="shared" si="1"/>
        <v>163</v>
      </c>
      <c r="G46" s="1046"/>
      <c r="H46" s="341" t="s">
        <v>583</v>
      </c>
      <c r="I46" s="340">
        <f t="shared" si="2"/>
        <v>42</v>
      </c>
      <c r="J46" s="1046"/>
      <c r="K46" s="348" t="s">
        <v>472</v>
      </c>
      <c r="L46" s="340">
        <f t="shared" si="3"/>
        <v>42</v>
      </c>
      <c r="M46" s="1051"/>
      <c r="O46" s="364"/>
      <c r="P46" s="346"/>
      <c r="Q46" s="346"/>
      <c r="S46" s="351" t="str">
        <f t="shared" si="5"/>
        <v>存货</v>
      </c>
      <c r="T46" s="346"/>
    </row>
    <row r="47" spans="1:20" ht="15.75" customHeight="1">
      <c r="A47" s="1046"/>
      <c r="B47" s="341" t="s">
        <v>1150</v>
      </c>
      <c r="C47" s="340">
        <f t="shared" si="0"/>
        <v>43</v>
      </c>
      <c r="D47" s="1046"/>
      <c r="E47" s="345" t="s">
        <v>586</v>
      </c>
      <c r="F47" s="343">
        <f t="shared" si="1"/>
        <v>164</v>
      </c>
      <c r="G47" s="1046"/>
      <c r="H47" s="341" t="s">
        <v>1156</v>
      </c>
      <c r="I47" s="340">
        <f t="shared" si="2"/>
        <v>43</v>
      </c>
      <c r="J47" s="1046"/>
      <c r="K47" s="348"/>
      <c r="L47" s="340">
        <f t="shared" si="3"/>
        <v>43</v>
      </c>
      <c r="M47" s="1051"/>
      <c r="O47" s="364"/>
      <c r="P47" s="346"/>
      <c r="Q47" s="346"/>
      <c r="R47" s="350" t="s">
        <v>1321</v>
      </c>
      <c r="S47" s="351" t="str">
        <f t="shared" si="5"/>
        <v xml:space="preserve"> 其中：原材料</v>
      </c>
      <c r="T47" s="346"/>
    </row>
    <row r="48" spans="1:20" ht="15.75" customHeight="1">
      <c r="A48" s="1046"/>
      <c r="B48" s="341" t="s">
        <v>1152</v>
      </c>
      <c r="C48" s="340">
        <f t="shared" si="0"/>
        <v>44</v>
      </c>
      <c r="D48" s="1046"/>
      <c r="E48" s="344" t="s">
        <v>1157</v>
      </c>
      <c r="F48" s="343">
        <f t="shared" si="1"/>
        <v>165</v>
      </c>
      <c r="G48" s="1046"/>
      <c r="H48" s="341" t="s">
        <v>587</v>
      </c>
      <c r="I48" s="340">
        <f t="shared" si="2"/>
        <v>44</v>
      </c>
      <c r="J48" s="1046"/>
      <c r="K48" s="352" t="s">
        <v>476</v>
      </c>
      <c r="L48" s="340">
        <f t="shared" si="3"/>
        <v>44</v>
      </c>
      <c r="M48" s="1051"/>
      <c r="O48" s="364"/>
      <c r="P48" s="346"/>
      <c r="Q48" s="346"/>
      <c r="R48" s="350" t="s">
        <v>1323</v>
      </c>
      <c r="S48" s="351" t="str">
        <f t="shared" si="5"/>
        <v xml:space="preserve">    库存商品（产成品）</v>
      </c>
      <c r="T48" s="346"/>
    </row>
    <row r="49" spans="1:20" ht="15.75" customHeight="1">
      <c r="A49" s="1046"/>
      <c r="B49" s="341" t="s">
        <v>1153</v>
      </c>
      <c r="C49" s="340">
        <f t="shared" si="0"/>
        <v>45</v>
      </c>
      <c r="D49" s="1046"/>
      <c r="E49" s="355" t="s">
        <v>588</v>
      </c>
      <c r="F49" s="343">
        <f t="shared" si="1"/>
        <v>166</v>
      </c>
      <c r="G49" s="1046"/>
      <c r="H49" s="359" t="s">
        <v>589</v>
      </c>
      <c r="I49" s="340">
        <f t="shared" si="2"/>
        <v>45</v>
      </c>
      <c r="J49" s="1046"/>
      <c r="K49" s="352" t="s">
        <v>478</v>
      </c>
      <c r="L49" s="340">
        <f t="shared" si="3"/>
        <v>45</v>
      </c>
      <c r="M49" s="1051"/>
      <c r="O49" s="364"/>
      <c r="P49" s="346"/>
      <c r="Q49" s="346"/>
      <c r="R49" s="350" t="s">
        <v>1324</v>
      </c>
      <c r="S49" s="351" t="str">
        <f t="shared" si="5"/>
        <v>合同资产原值</v>
      </c>
      <c r="T49" s="346"/>
    </row>
    <row r="50" spans="1:20" ht="15.75" customHeight="1">
      <c r="A50" s="1046"/>
      <c r="B50" s="341" t="s">
        <v>1154</v>
      </c>
      <c r="C50" s="340">
        <f t="shared" si="0"/>
        <v>46</v>
      </c>
      <c r="D50" s="1046"/>
      <c r="E50" s="355" t="s">
        <v>590</v>
      </c>
      <c r="F50" s="343">
        <f t="shared" si="1"/>
        <v>167</v>
      </c>
      <c r="G50" s="1046"/>
      <c r="H50" s="359" t="s">
        <v>591</v>
      </c>
      <c r="I50" s="340">
        <f t="shared" si="2"/>
        <v>46</v>
      </c>
      <c r="J50" s="1046"/>
      <c r="K50" s="344" t="s">
        <v>584</v>
      </c>
      <c r="L50" s="340">
        <f t="shared" si="3"/>
        <v>46</v>
      </c>
      <c r="M50" s="1051"/>
      <c r="O50" s="364"/>
      <c r="P50" s="346"/>
      <c r="Q50" s="346"/>
      <c r="R50" s="350" t="s">
        <v>1322</v>
      </c>
      <c r="S50" s="351" t="str">
        <f t="shared" si="5"/>
        <v>合同资产减值准备</v>
      </c>
      <c r="T50" s="346"/>
    </row>
    <row r="51" spans="1:20" ht="15.75" customHeight="1">
      <c r="A51" s="1046"/>
      <c r="B51" s="341" t="s">
        <v>544</v>
      </c>
      <c r="C51" s="340">
        <f t="shared" si="0"/>
        <v>47</v>
      </c>
      <c r="D51" s="1046"/>
      <c r="E51" s="342" t="str">
        <f>IF([2]说明!E28="股份有限公司","股东权益：",IF([2]说明!E28="非股份有限公司","所有者权益：",""))</f>
        <v>股东权益：</v>
      </c>
      <c r="F51" s="343">
        <f t="shared" si="1"/>
        <v>168</v>
      </c>
      <c r="G51" s="1046"/>
      <c r="H51" s="341" t="s">
        <v>592</v>
      </c>
      <c r="I51" s="340">
        <f t="shared" si="2"/>
        <v>47</v>
      </c>
      <c r="J51" s="1046"/>
      <c r="K51" s="348" t="s">
        <v>479</v>
      </c>
      <c r="L51" s="340">
        <f>L50+1</f>
        <v>47</v>
      </c>
      <c r="M51" s="1051"/>
      <c r="O51" s="364"/>
      <c r="P51" s="346"/>
      <c r="Q51" s="346"/>
      <c r="S51" s="351" t="str">
        <f t="shared" si="5"/>
        <v>合同资产</v>
      </c>
      <c r="T51" s="346"/>
    </row>
    <row r="52" spans="1:20" ht="15.75" customHeight="1">
      <c r="A52" s="1046"/>
      <c r="B52" s="341" t="s">
        <v>1069</v>
      </c>
      <c r="C52" s="340">
        <f t="shared" si="0"/>
        <v>48</v>
      </c>
      <c r="D52" s="1046"/>
      <c r="E52" s="360" t="s">
        <v>1158</v>
      </c>
      <c r="F52" s="343">
        <f t="shared" si="1"/>
        <v>169</v>
      </c>
      <c r="G52" s="1046"/>
      <c r="H52" s="359" t="s">
        <v>1159</v>
      </c>
      <c r="I52" s="340">
        <f t="shared" si="2"/>
        <v>48</v>
      </c>
      <c r="J52" s="1046"/>
      <c r="K52" s="348" t="s">
        <v>498</v>
      </c>
      <c r="L52" s="340">
        <f t="shared" si="3"/>
        <v>48</v>
      </c>
      <c r="M52" s="1051"/>
      <c r="O52" s="364"/>
      <c r="P52" s="346"/>
      <c r="Q52" s="346"/>
      <c r="R52" s="350" t="s">
        <v>1325</v>
      </c>
      <c r="S52" s="351" t="str">
        <f t="shared" si="5"/>
        <v>持有待售资产原值</v>
      </c>
      <c r="T52" s="346"/>
    </row>
    <row r="53" spans="1:20" ht="15.75" customHeight="1">
      <c r="A53" s="1046"/>
      <c r="B53" s="341" t="s">
        <v>1070</v>
      </c>
      <c r="C53" s="340">
        <f t="shared" si="0"/>
        <v>49</v>
      </c>
      <c r="D53" s="1046"/>
      <c r="E53" s="360" t="s">
        <v>595</v>
      </c>
      <c r="F53" s="343">
        <f t="shared" si="1"/>
        <v>170</v>
      </c>
      <c r="G53" s="1046"/>
      <c r="H53" s="359" t="s">
        <v>596</v>
      </c>
      <c r="I53" s="340">
        <f t="shared" si="2"/>
        <v>49</v>
      </c>
      <c r="J53" s="1046"/>
      <c r="K53" s="348" t="s">
        <v>481</v>
      </c>
      <c r="L53" s="340">
        <f t="shared" si="3"/>
        <v>49</v>
      </c>
      <c r="M53" s="1051"/>
      <c r="O53" s="364"/>
      <c r="P53" s="346"/>
      <c r="Q53" s="346"/>
      <c r="R53" s="350" t="s">
        <v>146</v>
      </c>
      <c r="S53" s="351" t="str">
        <f t="shared" si="5"/>
        <v>持有待售资产减值准备</v>
      </c>
      <c r="T53" s="346"/>
    </row>
    <row r="54" spans="1:20" ht="15.75" customHeight="1">
      <c r="A54" s="1046"/>
      <c r="B54" s="341" t="s">
        <v>549</v>
      </c>
      <c r="C54" s="340">
        <f t="shared" si="0"/>
        <v>50</v>
      </c>
      <c r="D54" s="1046"/>
      <c r="E54" s="341" t="s">
        <v>570</v>
      </c>
      <c r="F54" s="343">
        <f t="shared" si="1"/>
        <v>171</v>
      </c>
      <c r="G54" s="1046"/>
      <c r="H54" s="344" t="s">
        <v>598</v>
      </c>
      <c r="I54" s="340">
        <f t="shared" si="2"/>
        <v>50</v>
      </c>
      <c r="J54" s="1046"/>
      <c r="K54" s="348" t="s">
        <v>1097</v>
      </c>
      <c r="L54" s="340">
        <f t="shared" si="3"/>
        <v>50</v>
      </c>
      <c r="M54" s="1052"/>
      <c r="O54" s="364"/>
      <c r="P54" s="346"/>
      <c r="Q54" s="346"/>
      <c r="S54" s="351" t="str">
        <f t="shared" si="5"/>
        <v>持有待售资产</v>
      </c>
      <c r="T54" s="346"/>
    </row>
    <row r="55" spans="1:20" ht="13.8">
      <c r="B55" s="341" t="s">
        <v>553</v>
      </c>
      <c r="C55" s="340">
        <f t="shared" si="0"/>
        <v>51</v>
      </c>
      <c r="E55" s="341" t="s">
        <v>572</v>
      </c>
      <c r="F55" s="343">
        <f t="shared" si="1"/>
        <v>172</v>
      </c>
      <c r="H55" s="341" t="s">
        <v>1160</v>
      </c>
      <c r="I55" s="340">
        <f t="shared" si="2"/>
        <v>51</v>
      </c>
      <c r="K55" s="348" t="s">
        <v>593</v>
      </c>
      <c r="L55" s="340">
        <f t="shared" si="3"/>
        <v>51</v>
      </c>
      <c r="O55" s="364"/>
      <c r="P55" s="346"/>
      <c r="Q55" s="346"/>
      <c r="R55" s="350" t="s">
        <v>1260</v>
      </c>
      <c r="S55" s="351" t="str">
        <f t="shared" si="5"/>
        <v>一年内到期的非流动资产</v>
      </c>
    </row>
    <row r="56" spans="1:20" ht="13.8">
      <c r="B56" s="354" t="s">
        <v>557</v>
      </c>
      <c r="C56" s="340">
        <f t="shared" si="0"/>
        <v>52</v>
      </c>
      <c r="E56" s="344" t="s">
        <v>600</v>
      </c>
      <c r="F56" s="343">
        <f t="shared" si="1"/>
        <v>173</v>
      </c>
      <c r="H56" s="341" t="s">
        <v>489</v>
      </c>
      <c r="I56" s="340">
        <f t="shared" si="2"/>
        <v>52</v>
      </c>
      <c r="K56" s="348"/>
      <c r="L56" s="340">
        <f t="shared" si="3"/>
        <v>52</v>
      </c>
      <c r="O56" s="364"/>
      <c r="R56" s="350" t="s">
        <v>427</v>
      </c>
      <c r="S56" s="351" t="str">
        <f t="shared" si="5"/>
        <v>其他流动资产</v>
      </c>
    </row>
    <row r="57" spans="1:20" ht="13.8">
      <c r="B57" s="356" t="s">
        <v>565</v>
      </c>
      <c r="C57" s="340">
        <f t="shared" si="0"/>
        <v>53</v>
      </c>
      <c r="E57" s="345" t="s">
        <v>601</v>
      </c>
      <c r="F57" s="343">
        <f t="shared" si="1"/>
        <v>174</v>
      </c>
      <c r="H57" s="359" t="s">
        <v>490</v>
      </c>
      <c r="I57" s="340">
        <f t="shared" si="2"/>
        <v>53</v>
      </c>
      <c r="K57" s="352" t="s">
        <v>485</v>
      </c>
      <c r="L57" s="340">
        <f t="shared" si="3"/>
        <v>53</v>
      </c>
      <c r="O57" s="364"/>
      <c r="S57" s="357" t="str">
        <f t="shared" si="5"/>
        <v>流动资产合计</v>
      </c>
    </row>
    <row r="58" spans="1:20" ht="13.8">
      <c r="B58" s="339" t="s">
        <v>567</v>
      </c>
      <c r="C58" s="340">
        <f t="shared" si="0"/>
        <v>54</v>
      </c>
      <c r="E58" s="344" t="s">
        <v>603</v>
      </c>
      <c r="F58" s="343">
        <f t="shared" si="1"/>
        <v>175</v>
      </c>
      <c r="H58" s="359" t="s">
        <v>491</v>
      </c>
      <c r="I58" s="340">
        <f t="shared" si="2"/>
        <v>54</v>
      </c>
      <c r="K58" s="348" t="s">
        <v>487</v>
      </c>
      <c r="L58" s="340">
        <f t="shared" si="3"/>
        <v>54</v>
      </c>
      <c r="O58" s="364"/>
      <c r="S58" s="351" t="str">
        <f t="shared" si="5"/>
        <v>非流动资产:</v>
      </c>
    </row>
    <row r="59" spans="1:20" ht="13.8">
      <c r="B59" s="341" t="s">
        <v>1204</v>
      </c>
      <c r="C59" s="340">
        <f t="shared" si="0"/>
        <v>55</v>
      </c>
      <c r="E59" s="345" t="s">
        <v>605</v>
      </c>
      <c r="F59" s="343">
        <f t="shared" si="1"/>
        <v>176</v>
      </c>
      <c r="H59" s="359" t="s">
        <v>606</v>
      </c>
      <c r="I59" s="340">
        <f t="shared" si="2"/>
        <v>55</v>
      </c>
      <c r="K59" s="348" t="s">
        <v>488</v>
      </c>
      <c r="L59" s="340">
        <f t="shared" si="3"/>
        <v>55</v>
      </c>
      <c r="O59" s="364"/>
      <c r="R59" s="350" t="s">
        <v>1261</v>
      </c>
      <c r="S59" s="351" t="str">
        <f t="shared" si="5"/>
        <v>发放贷款和垫款原值*</v>
      </c>
    </row>
    <row r="60" spans="1:20" ht="13.8">
      <c r="B60" s="341" t="s">
        <v>1205</v>
      </c>
      <c r="C60" s="340">
        <f t="shared" si="0"/>
        <v>56</v>
      </c>
      <c r="E60" s="345" t="s">
        <v>608</v>
      </c>
      <c r="F60" s="343">
        <f t="shared" si="1"/>
        <v>177</v>
      </c>
      <c r="H60" s="359" t="s">
        <v>609</v>
      </c>
      <c r="I60" s="340">
        <f t="shared" si="2"/>
        <v>56</v>
      </c>
      <c r="K60" s="348" t="s">
        <v>499</v>
      </c>
      <c r="L60" s="340">
        <f t="shared" si="3"/>
        <v>56</v>
      </c>
      <c r="O60" s="364"/>
      <c r="R60" s="350" t="s">
        <v>1326</v>
      </c>
      <c r="S60" s="351" t="str">
        <f t="shared" si="5"/>
        <v>发放贷款和垫款减值准备*</v>
      </c>
    </row>
    <row r="61" spans="1:20" ht="13.8">
      <c r="B61" s="341" t="s">
        <v>723</v>
      </c>
      <c r="C61" s="340">
        <f t="shared" si="0"/>
        <v>57</v>
      </c>
      <c r="E61" s="345" t="s">
        <v>748</v>
      </c>
      <c r="F61" s="343">
        <f t="shared" si="1"/>
        <v>178</v>
      </c>
      <c r="H61" s="359" t="s">
        <v>422</v>
      </c>
      <c r="I61" s="340">
        <f t="shared" si="2"/>
        <v>57</v>
      </c>
      <c r="K61" s="344" t="s">
        <v>0</v>
      </c>
      <c r="L61" s="340">
        <f t="shared" si="3"/>
        <v>57</v>
      </c>
      <c r="O61" s="364"/>
      <c r="S61" s="351" t="str">
        <f t="shared" si="5"/>
        <v>发放贷款和垫款*</v>
      </c>
    </row>
    <row r="62" spans="1:20" ht="13.8">
      <c r="B62" s="341" t="s">
        <v>1071</v>
      </c>
      <c r="C62" s="340">
        <f t="shared" si="0"/>
        <v>58</v>
      </c>
      <c r="E62" s="345" t="s">
        <v>610</v>
      </c>
      <c r="F62" s="343">
        <f t="shared" si="1"/>
        <v>179</v>
      </c>
      <c r="H62" s="341" t="s">
        <v>494</v>
      </c>
      <c r="I62" s="340">
        <f t="shared" si="2"/>
        <v>58</v>
      </c>
      <c r="K62" s="348" t="s">
        <v>1483</v>
      </c>
      <c r="L62" s="340">
        <f t="shared" si="3"/>
        <v>58</v>
      </c>
      <c r="O62" s="364"/>
      <c r="R62" s="350" t="s">
        <v>1259</v>
      </c>
      <c r="S62" s="351" t="str">
        <f t="shared" si="5"/>
        <v>债权投资原值</v>
      </c>
    </row>
    <row r="63" spans="1:20" ht="15" customHeight="1">
      <c r="B63" s="341" t="s">
        <v>1072</v>
      </c>
      <c r="C63" s="340">
        <f t="shared" si="0"/>
        <v>59</v>
      </c>
      <c r="E63" s="605" t="s">
        <v>1162</v>
      </c>
      <c r="F63" s="343">
        <f t="shared" si="1"/>
        <v>180</v>
      </c>
      <c r="H63" s="359" t="s">
        <v>423</v>
      </c>
      <c r="I63" s="340">
        <f t="shared" si="2"/>
        <v>59</v>
      </c>
      <c r="K63" s="352" t="s">
        <v>492</v>
      </c>
      <c r="L63" s="340">
        <f t="shared" si="3"/>
        <v>59</v>
      </c>
      <c r="O63" s="364"/>
      <c r="R63" s="350" t="s">
        <v>428</v>
      </c>
      <c r="S63" s="351" t="str">
        <f t="shared" si="5"/>
        <v>债权投资减值准备</v>
      </c>
    </row>
    <row r="64" spans="1:20" ht="13.8">
      <c r="B64" s="341" t="s">
        <v>569</v>
      </c>
      <c r="C64" s="340">
        <f t="shared" si="0"/>
        <v>60</v>
      </c>
      <c r="E64" s="345" t="s">
        <v>597</v>
      </c>
      <c r="F64" s="343">
        <f t="shared" si="1"/>
        <v>181</v>
      </c>
      <c r="H64" s="359" t="s">
        <v>615</v>
      </c>
      <c r="I64" s="340">
        <f t="shared" si="2"/>
        <v>60</v>
      </c>
      <c r="K64" s="352" t="s">
        <v>493</v>
      </c>
      <c r="L64" s="340">
        <f t="shared" si="3"/>
        <v>60</v>
      </c>
      <c r="O64" s="364"/>
      <c r="S64" s="351" t="str">
        <f t="shared" si="5"/>
        <v>债权投资</v>
      </c>
    </row>
    <row r="65" spans="2:19" ht="13.8">
      <c r="B65" s="341" t="s">
        <v>1073</v>
      </c>
      <c r="C65" s="340">
        <f t="shared" si="0"/>
        <v>61</v>
      </c>
      <c r="E65" s="355" t="s">
        <v>1164</v>
      </c>
      <c r="F65" s="343">
        <f t="shared" si="1"/>
        <v>182</v>
      </c>
      <c r="H65" s="359" t="s">
        <v>1090</v>
      </c>
      <c r="I65" s="340">
        <f t="shared" si="2"/>
        <v>61</v>
      </c>
      <c r="K65" s="352" t="s">
        <v>611</v>
      </c>
      <c r="L65" s="340">
        <f t="shared" si="3"/>
        <v>61</v>
      </c>
      <c r="O65" s="364"/>
      <c r="R65" s="350" t="s">
        <v>1262</v>
      </c>
      <c r="S65" s="351" t="str">
        <f t="shared" si="5"/>
        <v>其他债权投资原值</v>
      </c>
    </row>
    <row r="66" spans="2:19" ht="13.8">
      <c r="B66" s="341" t="s">
        <v>1074</v>
      </c>
      <c r="C66" s="340">
        <f t="shared" si="0"/>
        <v>62</v>
      </c>
      <c r="E66" s="606" t="s">
        <v>1165</v>
      </c>
      <c r="F66" s="343">
        <f t="shared" si="1"/>
        <v>183</v>
      </c>
      <c r="H66" s="359" t="s">
        <v>1091</v>
      </c>
      <c r="I66" s="340">
        <f t="shared" si="2"/>
        <v>62</v>
      </c>
      <c r="K66" s="352" t="s">
        <v>612</v>
      </c>
      <c r="L66" s="340">
        <f t="shared" si="3"/>
        <v>62</v>
      </c>
      <c r="O66" s="364"/>
      <c r="R66" s="350" t="s">
        <v>443</v>
      </c>
      <c r="S66" s="351" t="str">
        <f t="shared" si="5"/>
        <v>其他债权投资减值准备</v>
      </c>
    </row>
    <row r="67" spans="2:19" ht="13.8">
      <c r="B67" s="341" t="s">
        <v>575</v>
      </c>
      <c r="C67" s="340">
        <f t="shared" si="0"/>
        <v>63</v>
      </c>
      <c r="F67" s="364"/>
      <c r="H67" s="359" t="s">
        <v>1092</v>
      </c>
      <c r="I67" s="340">
        <f t="shared" si="2"/>
        <v>63</v>
      </c>
      <c r="K67" s="344" t="s">
        <v>613</v>
      </c>
      <c r="L67" s="340">
        <f t="shared" si="3"/>
        <v>63</v>
      </c>
      <c r="O67" s="364"/>
      <c r="S67" s="351" t="str">
        <f t="shared" si="5"/>
        <v>其他债权投资</v>
      </c>
    </row>
    <row r="68" spans="2:19" ht="13.8">
      <c r="B68" s="341" t="s">
        <v>652</v>
      </c>
      <c r="C68" s="340">
        <f t="shared" si="0"/>
        <v>64</v>
      </c>
      <c r="F68" s="364"/>
      <c r="H68" s="359" t="s">
        <v>1093</v>
      </c>
      <c r="I68" s="340">
        <f t="shared" si="2"/>
        <v>64</v>
      </c>
      <c r="K68" s="352" t="s">
        <v>616</v>
      </c>
      <c r="L68" s="340">
        <f t="shared" si="3"/>
        <v>64</v>
      </c>
      <c r="O68" s="364"/>
      <c r="R68" s="350" t="s">
        <v>1263</v>
      </c>
      <c r="S68" s="351" t="str">
        <f t="shared" si="5"/>
        <v>长期应收款原值</v>
      </c>
    </row>
    <row r="69" spans="2:19" ht="13.8">
      <c r="B69" s="341" t="s">
        <v>651</v>
      </c>
      <c r="C69" s="340">
        <f t="shared" si="0"/>
        <v>65</v>
      </c>
      <c r="F69" s="364"/>
      <c r="H69" s="359" t="s">
        <v>1094</v>
      </c>
      <c r="I69" s="340">
        <f t="shared" si="2"/>
        <v>65</v>
      </c>
      <c r="L69" s="365"/>
      <c r="O69" s="364"/>
      <c r="R69" s="350" t="s">
        <v>1219</v>
      </c>
      <c r="S69" s="351" t="str">
        <f t="shared" si="5"/>
        <v>长期应收款坏账准备</v>
      </c>
    </row>
    <row r="70" spans="2:19" ht="15">
      <c r="B70" s="341" t="s">
        <v>1161</v>
      </c>
      <c r="C70" s="340">
        <f t="shared" si="0"/>
        <v>66</v>
      </c>
      <c r="F70" s="364"/>
      <c r="H70" s="359" t="s">
        <v>1095</v>
      </c>
      <c r="I70" s="340">
        <f t="shared" si="2"/>
        <v>66</v>
      </c>
      <c r="L70" s="365"/>
      <c r="O70" s="364"/>
      <c r="S70" s="351" t="str">
        <f t="shared" si="5"/>
        <v>长期应收款</v>
      </c>
    </row>
    <row r="71" spans="2:19" ht="13.8">
      <c r="B71" s="341" t="s">
        <v>580</v>
      </c>
      <c r="C71" s="340">
        <f t="shared" si="0"/>
        <v>67</v>
      </c>
      <c r="F71" s="364"/>
      <c r="H71" s="359" t="s">
        <v>1096</v>
      </c>
      <c r="I71" s="340">
        <f t="shared" ref="I71:I90" si="6">I70+1</f>
        <v>67</v>
      </c>
      <c r="L71" s="365"/>
      <c r="O71" s="364"/>
      <c r="R71" s="350" t="s">
        <v>1264</v>
      </c>
      <c r="S71" s="351" t="str">
        <f t="shared" ref="S71:S125" si="7">B71</f>
        <v>设定受益计划净资产</v>
      </c>
    </row>
    <row r="72" spans="2:19" ht="13.8">
      <c r="B72" s="341" t="s">
        <v>653</v>
      </c>
      <c r="C72" s="340">
        <f t="shared" ref="C72:C125" si="8">C71+1</f>
        <v>68</v>
      </c>
      <c r="F72" s="364"/>
      <c r="H72" s="341" t="s">
        <v>618</v>
      </c>
      <c r="I72" s="340">
        <f t="shared" si="6"/>
        <v>68</v>
      </c>
      <c r="L72" s="365"/>
      <c r="O72" s="364"/>
      <c r="R72" s="350" t="s">
        <v>1327</v>
      </c>
      <c r="S72" s="351" t="str">
        <f t="shared" si="7"/>
        <v>长期股权投资原值</v>
      </c>
    </row>
    <row r="73" spans="2:19" ht="13.8">
      <c r="B73" s="341" t="s">
        <v>654</v>
      </c>
      <c r="C73" s="340">
        <f t="shared" si="8"/>
        <v>69</v>
      </c>
      <c r="F73" s="364"/>
      <c r="H73" s="344" t="s">
        <v>619</v>
      </c>
      <c r="I73" s="340">
        <f t="shared" si="6"/>
        <v>69</v>
      </c>
      <c r="L73" s="365"/>
      <c r="R73" s="350" t="s">
        <v>1328</v>
      </c>
      <c r="S73" s="351" t="str">
        <f t="shared" si="7"/>
        <v>长期股权投资减值准备</v>
      </c>
    </row>
    <row r="74" spans="2:19" ht="15">
      <c r="B74" s="341" t="s">
        <v>1163</v>
      </c>
      <c r="C74" s="340">
        <f t="shared" si="8"/>
        <v>70</v>
      </c>
      <c r="F74" s="364"/>
      <c r="H74" s="344" t="s">
        <v>1167</v>
      </c>
      <c r="I74" s="340">
        <f t="shared" si="6"/>
        <v>70</v>
      </c>
      <c r="L74" s="365"/>
      <c r="S74" s="351" t="str">
        <f t="shared" si="7"/>
        <v>长期股权投资</v>
      </c>
    </row>
    <row r="75" spans="2:19" ht="13.8">
      <c r="B75" s="341" t="s">
        <v>581</v>
      </c>
      <c r="C75" s="340">
        <f t="shared" si="8"/>
        <v>71</v>
      </c>
      <c r="F75" s="364"/>
      <c r="H75" s="344" t="s">
        <v>496</v>
      </c>
      <c r="I75" s="340">
        <f t="shared" si="6"/>
        <v>71</v>
      </c>
      <c r="L75" s="365"/>
      <c r="R75" s="350" t="s">
        <v>1329</v>
      </c>
      <c r="S75" s="351" t="str">
        <f t="shared" si="7"/>
        <v>其他权益工具投资</v>
      </c>
    </row>
    <row r="76" spans="2:19" ht="13.8">
      <c r="B76" s="341" t="s">
        <v>585</v>
      </c>
      <c r="C76" s="340">
        <f t="shared" si="8"/>
        <v>72</v>
      </c>
      <c r="F76" s="364"/>
      <c r="H76" s="344" t="s">
        <v>620</v>
      </c>
      <c r="I76" s="340">
        <f t="shared" si="6"/>
        <v>72</v>
      </c>
      <c r="L76" s="365"/>
      <c r="R76" s="350" t="s">
        <v>1220</v>
      </c>
      <c r="S76" s="351" t="str">
        <f t="shared" si="7"/>
        <v>其他非流动金融资产</v>
      </c>
    </row>
    <row r="77" spans="2:19" ht="13.8">
      <c r="B77" s="341" t="s">
        <v>658</v>
      </c>
      <c r="C77" s="340">
        <f t="shared" si="8"/>
        <v>73</v>
      </c>
      <c r="F77" s="364"/>
      <c r="H77" s="344" t="s">
        <v>424</v>
      </c>
      <c r="I77" s="340">
        <f t="shared" si="6"/>
        <v>73</v>
      </c>
      <c r="L77" s="365"/>
      <c r="R77" s="350" t="s">
        <v>1330</v>
      </c>
      <c r="S77" s="351" t="str">
        <f t="shared" si="7"/>
        <v>投资性房地产原值</v>
      </c>
    </row>
    <row r="78" spans="2:19" ht="13.8">
      <c r="B78" s="341" t="s">
        <v>655</v>
      </c>
      <c r="C78" s="340">
        <f t="shared" si="8"/>
        <v>74</v>
      </c>
      <c r="F78" s="364"/>
      <c r="H78" s="344" t="s">
        <v>621</v>
      </c>
      <c r="I78" s="340">
        <f t="shared" si="6"/>
        <v>74</v>
      </c>
      <c r="L78" s="365"/>
      <c r="R78" s="350" t="s">
        <v>1221</v>
      </c>
      <c r="S78" s="351" t="str">
        <f t="shared" si="7"/>
        <v>投资性房地产累计折旧</v>
      </c>
    </row>
    <row r="79" spans="2:19" ht="13.8">
      <c r="B79" s="341" t="s">
        <v>656</v>
      </c>
      <c r="C79" s="340">
        <f t="shared" si="8"/>
        <v>75</v>
      </c>
      <c r="F79" s="364"/>
      <c r="H79" s="583" t="s">
        <v>1408</v>
      </c>
      <c r="I79" s="340">
        <f t="shared" si="6"/>
        <v>75</v>
      </c>
      <c r="L79" s="365"/>
      <c r="S79" s="351" t="str">
        <f t="shared" si="7"/>
        <v>投资性房地产净值</v>
      </c>
    </row>
    <row r="80" spans="2:19" ht="13.8">
      <c r="B80" s="341" t="s">
        <v>657</v>
      </c>
      <c r="C80" s="340">
        <f t="shared" si="8"/>
        <v>76</v>
      </c>
      <c r="F80" s="364"/>
      <c r="H80" s="583" t="s">
        <v>1412</v>
      </c>
      <c r="I80" s="340">
        <f t="shared" si="6"/>
        <v>76</v>
      </c>
      <c r="L80" s="365"/>
      <c r="R80" s="350" t="s">
        <v>1334</v>
      </c>
      <c r="S80" s="351" t="str">
        <f t="shared" si="7"/>
        <v>投资性房地产减值准备</v>
      </c>
    </row>
    <row r="81" spans="2:19" ht="13.95" customHeight="1">
      <c r="B81" s="341" t="s">
        <v>1166</v>
      </c>
      <c r="C81" s="340">
        <f t="shared" si="8"/>
        <v>77</v>
      </c>
      <c r="H81" s="341" t="s">
        <v>622</v>
      </c>
      <c r="I81" s="340">
        <f t="shared" si="6"/>
        <v>77</v>
      </c>
      <c r="J81" s="366"/>
      <c r="S81" s="351" t="str">
        <f t="shared" si="7"/>
        <v>投资性房地产</v>
      </c>
    </row>
    <row r="82" spans="2:19" ht="13.95" customHeight="1">
      <c r="B82" s="344" t="s">
        <v>659</v>
      </c>
      <c r="C82" s="340">
        <f t="shared" si="8"/>
        <v>78</v>
      </c>
      <c r="H82" s="341" t="s">
        <v>1409</v>
      </c>
      <c r="I82" s="340">
        <f t="shared" si="6"/>
        <v>78</v>
      </c>
      <c r="J82" s="366"/>
      <c r="R82" s="350" t="s">
        <v>1331</v>
      </c>
      <c r="S82" s="351" t="str">
        <f t="shared" si="7"/>
        <v>固定资产原值</v>
      </c>
    </row>
    <row r="83" spans="2:19" ht="13.95" customHeight="1">
      <c r="B83" s="344" t="s">
        <v>660</v>
      </c>
      <c r="C83" s="340">
        <f t="shared" si="8"/>
        <v>79</v>
      </c>
      <c r="H83" s="341" t="s">
        <v>1415</v>
      </c>
      <c r="I83" s="340">
        <f t="shared" si="6"/>
        <v>79</v>
      </c>
      <c r="R83" s="350" t="s">
        <v>1332</v>
      </c>
      <c r="S83" s="351" t="str">
        <f t="shared" si="7"/>
        <v>固定资产累计折旧</v>
      </c>
    </row>
    <row r="84" spans="2:19" ht="13.95" customHeight="1">
      <c r="B84" s="344" t="s">
        <v>661</v>
      </c>
      <c r="C84" s="340">
        <f t="shared" si="8"/>
        <v>80</v>
      </c>
      <c r="H84" s="583" t="s">
        <v>1411</v>
      </c>
      <c r="I84" s="340">
        <f t="shared" si="6"/>
        <v>80</v>
      </c>
      <c r="S84" s="351" t="str">
        <f t="shared" si="7"/>
        <v>固定资产净值</v>
      </c>
    </row>
    <row r="85" spans="2:19" ht="13.95" customHeight="1">
      <c r="B85" s="344" t="s">
        <v>662</v>
      </c>
      <c r="C85" s="340">
        <f t="shared" si="8"/>
        <v>81</v>
      </c>
      <c r="H85" s="341" t="s">
        <v>623</v>
      </c>
      <c r="I85" s="340">
        <f t="shared" si="6"/>
        <v>81</v>
      </c>
      <c r="R85" s="350" t="s">
        <v>1265</v>
      </c>
      <c r="S85" s="351" t="str">
        <f t="shared" si="7"/>
        <v>固定资产减值准备</v>
      </c>
    </row>
    <row r="86" spans="2:19" ht="13.95" customHeight="1">
      <c r="B86" s="344" t="s">
        <v>1168</v>
      </c>
      <c r="C86" s="340">
        <f t="shared" si="8"/>
        <v>82</v>
      </c>
      <c r="H86" s="341" t="s">
        <v>624</v>
      </c>
      <c r="I86" s="340">
        <f t="shared" si="6"/>
        <v>82</v>
      </c>
      <c r="S86" s="351" t="str">
        <f t="shared" si="7"/>
        <v>固定资产</v>
      </c>
    </row>
    <row r="87" spans="2:19" ht="13.95" customHeight="1">
      <c r="B87" s="344" t="s">
        <v>1169</v>
      </c>
      <c r="C87" s="340">
        <f t="shared" si="8"/>
        <v>83</v>
      </c>
      <c r="H87" s="344" t="s">
        <v>625</v>
      </c>
      <c r="I87" s="340">
        <f t="shared" si="6"/>
        <v>83</v>
      </c>
      <c r="R87" s="350" t="s">
        <v>1333</v>
      </c>
      <c r="S87" s="351" t="str">
        <f t="shared" si="7"/>
        <v>固定资产清理</v>
      </c>
    </row>
    <row r="88" spans="2:19" ht="13.95" customHeight="1">
      <c r="B88" s="344" t="s">
        <v>663</v>
      </c>
      <c r="C88" s="340">
        <f t="shared" si="8"/>
        <v>84</v>
      </c>
      <c r="H88" s="341" t="s">
        <v>626</v>
      </c>
      <c r="I88" s="340">
        <f t="shared" si="6"/>
        <v>84</v>
      </c>
      <c r="R88" s="350" t="s">
        <v>1335</v>
      </c>
      <c r="S88" s="351" t="str">
        <f t="shared" si="7"/>
        <v>在建工程原值</v>
      </c>
    </row>
    <row r="89" spans="2:19" ht="12.9" customHeight="1">
      <c r="B89" s="344" t="s">
        <v>664</v>
      </c>
      <c r="C89" s="340">
        <f t="shared" si="8"/>
        <v>85</v>
      </c>
      <c r="H89" s="341" t="s">
        <v>627</v>
      </c>
      <c r="I89" s="340">
        <f t="shared" si="6"/>
        <v>85</v>
      </c>
      <c r="R89" s="350" t="s">
        <v>1336</v>
      </c>
      <c r="S89" s="351" t="str">
        <f t="shared" si="7"/>
        <v>在建工程减值准备</v>
      </c>
    </row>
    <row r="90" spans="2:19" ht="12.9" customHeight="1">
      <c r="B90" s="344" t="s">
        <v>1170</v>
      </c>
      <c r="C90" s="340">
        <f t="shared" si="8"/>
        <v>86</v>
      </c>
      <c r="H90" s="733" t="s">
        <v>1410</v>
      </c>
      <c r="I90" s="340">
        <f t="shared" si="6"/>
        <v>86</v>
      </c>
      <c r="S90" s="351" t="str">
        <f t="shared" si="7"/>
        <v>在建工程</v>
      </c>
    </row>
    <row r="91" spans="2:19" ht="12.9" customHeight="1">
      <c r="B91" s="344" t="s">
        <v>665</v>
      </c>
      <c r="C91" s="340">
        <f t="shared" si="8"/>
        <v>87</v>
      </c>
      <c r="R91" s="350" t="s">
        <v>1337</v>
      </c>
      <c r="S91" s="351" t="str">
        <f t="shared" si="7"/>
        <v>工程物资原值</v>
      </c>
    </row>
    <row r="92" spans="2:19" ht="12.9" customHeight="1">
      <c r="B92" s="344" t="s">
        <v>666</v>
      </c>
      <c r="C92" s="340">
        <f t="shared" si="8"/>
        <v>88</v>
      </c>
      <c r="R92" s="350" t="s">
        <v>1222</v>
      </c>
      <c r="S92" s="351" t="str">
        <f t="shared" si="7"/>
        <v>工程物资减值准备</v>
      </c>
    </row>
    <row r="93" spans="2:19" ht="12.9" customHeight="1">
      <c r="B93" s="344" t="s">
        <v>1171</v>
      </c>
      <c r="C93" s="340">
        <f t="shared" si="8"/>
        <v>89</v>
      </c>
      <c r="K93" s="366"/>
      <c r="S93" s="351" t="str">
        <f t="shared" si="7"/>
        <v>工程物资</v>
      </c>
    </row>
    <row r="94" spans="2:19" ht="12.9" customHeight="1">
      <c r="B94" s="344" t="s">
        <v>1172</v>
      </c>
      <c r="C94" s="340">
        <f t="shared" si="8"/>
        <v>90</v>
      </c>
      <c r="K94" s="366"/>
      <c r="R94" s="350" t="s">
        <v>1266</v>
      </c>
      <c r="S94" s="351" t="str">
        <f t="shared" si="7"/>
        <v>生产性生物资产原值</v>
      </c>
    </row>
    <row r="95" spans="2:19" ht="12.9" customHeight="1">
      <c r="B95" s="344" t="s">
        <v>1173</v>
      </c>
      <c r="C95" s="340">
        <f t="shared" si="8"/>
        <v>91</v>
      </c>
      <c r="R95" s="350" t="s">
        <v>1223</v>
      </c>
      <c r="S95" s="351" t="str">
        <f t="shared" si="7"/>
        <v>生产性生物资产累计折旧</v>
      </c>
    </row>
    <row r="96" spans="2:19" ht="12.9" customHeight="1">
      <c r="B96" s="344" t="s">
        <v>1174</v>
      </c>
      <c r="C96" s="340">
        <f t="shared" si="8"/>
        <v>92</v>
      </c>
      <c r="S96" s="351" t="str">
        <f t="shared" si="7"/>
        <v>生产性生物资产净值</v>
      </c>
    </row>
    <row r="97" spans="2:19" ht="12.9" customHeight="1">
      <c r="B97" s="344" t="s">
        <v>1175</v>
      </c>
      <c r="C97" s="340">
        <f t="shared" si="8"/>
        <v>93</v>
      </c>
      <c r="R97" s="350" t="s">
        <v>1267</v>
      </c>
      <c r="S97" s="351" t="str">
        <f t="shared" si="7"/>
        <v>生产性生物资产减值准备</v>
      </c>
    </row>
    <row r="98" spans="2:19" ht="12.9" customHeight="1">
      <c r="B98" s="344" t="s">
        <v>1176</v>
      </c>
      <c r="C98" s="340">
        <f t="shared" si="8"/>
        <v>94</v>
      </c>
      <c r="S98" s="351" t="str">
        <f t="shared" si="7"/>
        <v>生产性生物资产</v>
      </c>
    </row>
    <row r="99" spans="2:19" ht="12.9" customHeight="1">
      <c r="B99" s="344" t="s">
        <v>1079</v>
      </c>
      <c r="C99" s="340">
        <f t="shared" si="8"/>
        <v>95</v>
      </c>
      <c r="R99" s="350" t="s">
        <v>1338</v>
      </c>
      <c r="S99" s="351" t="str">
        <f t="shared" si="7"/>
        <v>油气资产原值</v>
      </c>
    </row>
    <row r="100" spans="2:19" ht="12.9" customHeight="1">
      <c r="B100" s="344" t="s">
        <v>1080</v>
      </c>
      <c r="C100" s="340">
        <f t="shared" si="8"/>
        <v>96</v>
      </c>
      <c r="R100" s="350" t="s">
        <v>1339</v>
      </c>
      <c r="S100" s="351" t="str">
        <f t="shared" si="7"/>
        <v>油气资产累计折旧</v>
      </c>
    </row>
    <row r="101" spans="2:19" ht="12.9" customHeight="1">
      <c r="B101" s="344" t="s">
        <v>1081</v>
      </c>
      <c r="C101" s="340">
        <f t="shared" si="8"/>
        <v>97</v>
      </c>
      <c r="S101" s="351" t="str">
        <f t="shared" si="7"/>
        <v>油气资产净值</v>
      </c>
    </row>
    <row r="102" spans="2:19" ht="12.9" customHeight="1">
      <c r="B102" s="344" t="s">
        <v>1082</v>
      </c>
      <c r="C102" s="340">
        <f t="shared" si="8"/>
        <v>98</v>
      </c>
      <c r="R102" s="350" t="s">
        <v>1268</v>
      </c>
      <c r="S102" s="351" t="str">
        <f t="shared" si="7"/>
        <v>油气资产减值准备</v>
      </c>
    </row>
    <row r="103" spans="2:19" ht="12.9" customHeight="1">
      <c r="B103" s="344" t="s">
        <v>594</v>
      </c>
      <c r="C103" s="340">
        <f t="shared" si="8"/>
        <v>99</v>
      </c>
      <c r="S103" s="351" t="str">
        <f t="shared" si="7"/>
        <v>油气资产</v>
      </c>
    </row>
    <row r="104" spans="2:19" ht="12.9" customHeight="1">
      <c r="B104" s="344" t="s">
        <v>668</v>
      </c>
      <c r="C104" s="340">
        <f t="shared" si="8"/>
        <v>100</v>
      </c>
      <c r="R104" s="350" t="s">
        <v>1340</v>
      </c>
      <c r="S104" s="351" t="str">
        <f t="shared" si="7"/>
        <v>使用权资产原值</v>
      </c>
    </row>
    <row r="105" spans="2:19" ht="12.9" customHeight="1">
      <c r="B105" s="344" t="s">
        <v>667</v>
      </c>
      <c r="C105" s="340">
        <f t="shared" si="8"/>
        <v>101</v>
      </c>
      <c r="R105" s="350" t="s">
        <v>1341</v>
      </c>
      <c r="S105" s="351" t="str">
        <f t="shared" si="7"/>
        <v>使用权资产累计折旧</v>
      </c>
    </row>
    <row r="106" spans="2:19" ht="12.9" customHeight="1">
      <c r="B106" s="344" t="s">
        <v>1083</v>
      </c>
      <c r="C106" s="340">
        <f t="shared" si="8"/>
        <v>102</v>
      </c>
      <c r="S106" s="351" t="str">
        <f t="shared" si="7"/>
        <v>使用权资产净值</v>
      </c>
    </row>
    <row r="107" spans="2:19" ht="12.9" customHeight="1">
      <c r="B107" s="344" t="s">
        <v>1084</v>
      </c>
      <c r="C107" s="340">
        <f t="shared" si="8"/>
        <v>103</v>
      </c>
      <c r="R107" s="350" t="s">
        <v>1269</v>
      </c>
      <c r="S107" s="351" t="str">
        <f t="shared" si="7"/>
        <v>使用权资产减值准备</v>
      </c>
    </row>
    <row r="108" spans="2:19" ht="12.9" customHeight="1">
      <c r="B108" s="344" t="s">
        <v>1177</v>
      </c>
      <c r="C108" s="340">
        <f t="shared" si="8"/>
        <v>104</v>
      </c>
      <c r="S108" s="351" t="str">
        <f t="shared" si="7"/>
        <v>使用权资产</v>
      </c>
    </row>
    <row r="109" spans="2:19" ht="12.9" customHeight="1">
      <c r="B109" s="344" t="s">
        <v>669</v>
      </c>
      <c r="C109" s="340">
        <f t="shared" si="8"/>
        <v>105</v>
      </c>
      <c r="R109" s="350" t="s">
        <v>1342</v>
      </c>
      <c r="S109" s="351" t="str">
        <f t="shared" si="7"/>
        <v>无形资产原值</v>
      </c>
    </row>
    <row r="110" spans="2:19" ht="12.9" customHeight="1">
      <c r="B110" s="344" t="s">
        <v>670</v>
      </c>
      <c r="C110" s="340">
        <f t="shared" si="8"/>
        <v>106</v>
      </c>
      <c r="R110" s="350" t="s">
        <v>1343</v>
      </c>
      <c r="S110" s="351" t="str">
        <f t="shared" si="7"/>
        <v>无形资产累计摊销</v>
      </c>
    </row>
    <row r="111" spans="2:19" ht="12.9" customHeight="1">
      <c r="B111" s="344" t="s">
        <v>671</v>
      </c>
      <c r="C111" s="340">
        <f t="shared" si="8"/>
        <v>107</v>
      </c>
      <c r="S111" s="351" t="str">
        <f t="shared" si="7"/>
        <v>无形资产净值</v>
      </c>
    </row>
    <row r="112" spans="2:19" ht="12.9" customHeight="1">
      <c r="B112" s="344" t="s">
        <v>672</v>
      </c>
      <c r="C112" s="340">
        <f t="shared" si="8"/>
        <v>108</v>
      </c>
      <c r="R112" s="350" t="s">
        <v>1270</v>
      </c>
      <c r="S112" s="351" t="str">
        <f t="shared" si="7"/>
        <v>无形资产减值准备</v>
      </c>
    </row>
    <row r="113" spans="2:19" ht="12.9" customHeight="1">
      <c r="B113" s="344" t="s">
        <v>1178</v>
      </c>
      <c r="C113" s="340">
        <f t="shared" si="8"/>
        <v>109</v>
      </c>
      <c r="S113" s="351" t="str">
        <f t="shared" si="7"/>
        <v>无形资产</v>
      </c>
    </row>
    <row r="114" spans="2:19" ht="12.9" customHeight="1">
      <c r="B114" s="344" t="s">
        <v>1179</v>
      </c>
      <c r="C114" s="340">
        <f t="shared" si="8"/>
        <v>110</v>
      </c>
      <c r="R114" s="350" t="s">
        <v>1344</v>
      </c>
      <c r="S114" s="351" t="str">
        <f t="shared" si="7"/>
        <v>开发支出原值</v>
      </c>
    </row>
    <row r="115" spans="2:19" ht="12.9" customHeight="1">
      <c r="B115" s="344" t="s">
        <v>1180</v>
      </c>
      <c r="C115" s="340">
        <f t="shared" si="8"/>
        <v>111</v>
      </c>
      <c r="R115" s="350" t="s">
        <v>1345</v>
      </c>
      <c r="S115" s="351" t="str">
        <f t="shared" si="7"/>
        <v>开发支出减值准备</v>
      </c>
    </row>
    <row r="116" spans="2:19" ht="12.9" customHeight="1">
      <c r="B116" s="344" t="s">
        <v>599</v>
      </c>
      <c r="C116" s="340">
        <f t="shared" si="8"/>
        <v>112</v>
      </c>
      <c r="S116" s="351" t="str">
        <f t="shared" si="7"/>
        <v>开发支出</v>
      </c>
    </row>
    <row r="117" spans="2:19" ht="12.9" customHeight="1">
      <c r="B117" s="344" t="s">
        <v>673</v>
      </c>
      <c r="C117" s="340">
        <f t="shared" si="8"/>
        <v>113</v>
      </c>
      <c r="R117" s="350" t="s">
        <v>1271</v>
      </c>
      <c r="S117" s="351" t="str">
        <f t="shared" si="7"/>
        <v>商誉原值</v>
      </c>
    </row>
    <row r="118" spans="2:19" ht="12.9" customHeight="1">
      <c r="B118" s="344" t="s">
        <v>674</v>
      </c>
      <c r="C118" s="340">
        <f t="shared" si="8"/>
        <v>114</v>
      </c>
      <c r="R118" s="350" t="s">
        <v>1224</v>
      </c>
      <c r="S118" s="351" t="str">
        <f t="shared" si="7"/>
        <v>商誉减值准备</v>
      </c>
    </row>
    <row r="119" spans="2:19" ht="12.9" customHeight="1">
      <c r="B119" s="344" t="s">
        <v>1181</v>
      </c>
      <c r="C119" s="340">
        <f t="shared" si="8"/>
        <v>115</v>
      </c>
      <c r="S119" s="351" t="str">
        <f t="shared" si="7"/>
        <v>商誉</v>
      </c>
    </row>
    <row r="120" spans="2:19" ht="12.9" customHeight="1">
      <c r="B120" s="344" t="s">
        <v>602</v>
      </c>
      <c r="C120" s="340">
        <f t="shared" si="8"/>
        <v>116</v>
      </c>
      <c r="R120" s="350" t="s">
        <v>1272</v>
      </c>
      <c r="S120" s="351" t="str">
        <f t="shared" si="7"/>
        <v>长期待摊费用</v>
      </c>
    </row>
    <row r="121" spans="2:19" ht="12.9" customHeight="1">
      <c r="B121" s="344" t="s">
        <v>604</v>
      </c>
      <c r="C121" s="340">
        <f t="shared" si="8"/>
        <v>117</v>
      </c>
      <c r="R121" s="350" t="s">
        <v>1225</v>
      </c>
      <c r="S121" s="351" t="str">
        <f t="shared" si="7"/>
        <v>递延所得税资产</v>
      </c>
    </row>
    <row r="122" spans="2:19" ht="12.9" customHeight="1">
      <c r="B122" s="344" t="s">
        <v>607</v>
      </c>
      <c r="C122" s="340">
        <f t="shared" si="8"/>
        <v>118</v>
      </c>
      <c r="R122" s="350" t="s">
        <v>1346</v>
      </c>
      <c r="S122" s="351" t="str">
        <f t="shared" si="7"/>
        <v>其他非流动资产</v>
      </c>
    </row>
    <row r="123" spans="2:19" ht="12.9" customHeight="1">
      <c r="B123" s="344" t="s">
        <v>1182</v>
      </c>
      <c r="C123" s="340">
        <f t="shared" si="8"/>
        <v>119</v>
      </c>
      <c r="R123" s="350" t="s">
        <v>1381</v>
      </c>
      <c r="S123" s="351" t="str">
        <f t="shared" si="7"/>
        <v xml:space="preserve"> 其中：特准储备物资</v>
      </c>
    </row>
    <row r="124" spans="2:19" ht="12.9" customHeight="1">
      <c r="B124" s="356" t="s">
        <v>614</v>
      </c>
      <c r="C124" s="340">
        <f t="shared" si="8"/>
        <v>120</v>
      </c>
      <c r="S124" s="357" t="str">
        <f t="shared" si="7"/>
        <v>非流动资产合计</v>
      </c>
    </row>
    <row r="125" spans="2:19" ht="12.9" customHeight="1">
      <c r="B125" s="362" t="s">
        <v>617</v>
      </c>
      <c r="C125" s="340">
        <f t="shared" si="8"/>
        <v>121</v>
      </c>
      <c r="S125" s="357" t="str">
        <f t="shared" si="7"/>
        <v>资 产 总 计</v>
      </c>
    </row>
    <row r="126" spans="2:19" ht="12.9" customHeight="1">
      <c r="S126" s="357" t="str">
        <f>E3</f>
        <v>负债及所有者权益类</v>
      </c>
    </row>
    <row r="127" spans="2:19" ht="12.9" customHeight="1">
      <c r="B127" s="436"/>
      <c r="S127" s="357" t="str">
        <f>E5</f>
        <v>流动负债：</v>
      </c>
    </row>
    <row r="128" spans="2:19" ht="12.9" customHeight="1">
      <c r="B128" s="437"/>
      <c r="R128" s="350" t="s">
        <v>1273</v>
      </c>
      <c r="S128" s="351" t="str">
        <f t="shared" ref="S128:S187" si="9">E6</f>
        <v>短期借款</v>
      </c>
    </row>
    <row r="129" spans="2:19" ht="12.9" customHeight="1">
      <c r="R129" s="350" t="s">
        <v>444</v>
      </c>
      <c r="S129" s="351" t="str">
        <f t="shared" si="9"/>
        <v>向中央银行借款*</v>
      </c>
    </row>
    <row r="130" spans="2:19" ht="12.9" customHeight="1">
      <c r="R130" s="350" t="s">
        <v>123</v>
      </c>
      <c r="S130" s="351" t="str">
        <f t="shared" si="9"/>
        <v>拆入资金*</v>
      </c>
    </row>
    <row r="131" spans="2:19" ht="12.9" customHeight="1">
      <c r="R131" s="350" t="s">
        <v>124</v>
      </c>
      <c r="S131" s="351" t="str">
        <f t="shared" si="9"/>
        <v>交易性金融负债</v>
      </c>
    </row>
    <row r="132" spans="2:19" ht="12.9" customHeight="1">
      <c r="R132" s="350" t="s">
        <v>125</v>
      </c>
      <c r="S132" s="351" t="str">
        <f t="shared" si="9"/>
        <v>衍生金融负债</v>
      </c>
    </row>
    <row r="133" spans="2:19" ht="12.9" customHeight="1">
      <c r="B133" s="475" t="s">
        <v>727</v>
      </c>
      <c r="R133" s="350" t="s">
        <v>126</v>
      </c>
      <c r="S133" s="351" t="str">
        <f t="shared" si="9"/>
        <v>应付票据</v>
      </c>
    </row>
    <row r="134" spans="2:19" ht="12.9" customHeight="1">
      <c r="R134" s="350" t="s">
        <v>127</v>
      </c>
      <c r="S134" s="351" t="str">
        <f t="shared" si="9"/>
        <v>应付账款</v>
      </c>
    </row>
    <row r="135" spans="2:19" ht="12.9" customHeight="1">
      <c r="B135" s="475" t="s">
        <v>728</v>
      </c>
      <c r="R135" s="350" t="s">
        <v>128</v>
      </c>
      <c r="S135" s="351" t="str">
        <f t="shared" si="9"/>
        <v>预收款项</v>
      </c>
    </row>
    <row r="136" spans="2:19" ht="12.9" customHeight="1">
      <c r="R136" s="350" t="s">
        <v>129</v>
      </c>
      <c r="S136" s="351" t="str">
        <f t="shared" si="9"/>
        <v>合同负债</v>
      </c>
    </row>
    <row r="137" spans="2:19" ht="12.9" customHeight="1">
      <c r="B137" s="324" t="s">
        <v>729</v>
      </c>
      <c r="R137" s="350" t="s">
        <v>130</v>
      </c>
      <c r="S137" s="351" t="str">
        <f t="shared" si="9"/>
        <v>卖出回购金融资产款*</v>
      </c>
    </row>
    <row r="138" spans="2:19" ht="12.9" customHeight="1">
      <c r="B138" s="324" t="s">
        <v>730</v>
      </c>
      <c r="R138" s="350" t="s">
        <v>147</v>
      </c>
      <c r="S138" s="351" t="str">
        <f t="shared" si="9"/>
        <v>吸收存款及同业存放*</v>
      </c>
    </row>
    <row r="139" spans="2:19" ht="12.9" customHeight="1">
      <c r="B139" s="324" t="s">
        <v>731</v>
      </c>
      <c r="R139" s="350" t="s">
        <v>148</v>
      </c>
      <c r="S139" s="351" t="str">
        <f t="shared" si="9"/>
        <v>代理买卖证券款*</v>
      </c>
    </row>
    <row r="140" spans="2:19" ht="12.9" customHeight="1">
      <c r="B140" s="324" t="s">
        <v>732</v>
      </c>
      <c r="R140" s="350" t="s">
        <v>1274</v>
      </c>
      <c r="S140" s="351" t="str">
        <f t="shared" si="9"/>
        <v>代理承销证券款*</v>
      </c>
    </row>
    <row r="141" spans="2:19" ht="12.9" customHeight="1">
      <c r="B141" s="324" t="s">
        <v>733</v>
      </c>
      <c r="R141" s="350" t="s">
        <v>1275</v>
      </c>
      <c r="S141" s="351" t="str">
        <f t="shared" si="9"/>
        <v>应付职工薪酬</v>
      </c>
    </row>
    <row r="142" spans="2:19" ht="12.9" customHeight="1">
      <c r="B142" s="324" t="s">
        <v>734</v>
      </c>
      <c r="R142" s="350" t="s">
        <v>1347</v>
      </c>
      <c r="S142" s="351" t="str">
        <f t="shared" si="9"/>
        <v xml:space="preserve">  其中：应付工资</v>
      </c>
    </row>
    <row r="143" spans="2:19" ht="12.9" customHeight="1">
      <c r="B143" s="324" t="s">
        <v>735</v>
      </c>
      <c r="R143" s="350" t="s">
        <v>1348</v>
      </c>
      <c r="S143" s="351" t="str">
        <f t="shared" si="9"/>
        <v xml:space="preserve">      应付福利费</v>
      </c>
    </row>
    <row r="144" spans="2:19" ht="12.9" customHeight="1">
      <c r="B144" s="324" t="s">
        <v>736</v>
      </c>
      <c r="S144" s="351" t="str">
        <f t="shared" si="9"/>
        <v xml:space="preserve">     #其中：职工奖励及福利基金</v>
      </c>
    </row>
    <row r="145" spans="2:19" ht="12.9" customHeight="1">
      <c r="B145" s="324" t="s">
        <v>737</v>
      </c>
      <c r="R145" s="350" t="s">
        <v>1349</v>
      </c>
      <c r="S145" s="351" t="str">
        <f t="shared" si="9"/>
        <v>应交税费</v>
      </c>
    </row>
    <row r="146" spans="2:19" ht="12.9" customHeight="1">
      <c r="B146" s="324" t="s">
        <v>738</v>
      </c>
      <c r="R146" s="350" t="s">
        <v>1350</v>
      </c>
      <c r="S146" s="351" t="str">
        <f t="shared" si="9"/>
        <v xml:space="preserve"> 其中：应交税金</v>
      </c>
    </row>
    <row r="147" spans="2:19" ht="12.9" customHeight="1">
      <c r="B147" s="324" t="s">
        <v>739</v>
      </c>
      <c r="R147" s="350" t="s">
        <v>1351</v>
      </c>
      <c r="S147" s="351" t="str">
        <f t="shared" si="9"/>
        <v>其他应付款</v>
      </c>
    </row>
    <row r="148" spans="2:19" ht="12.9" customHeight="1">
      <c r="B148" s="324" t="s">
        <v>740</v>
      </c>
      <c r="R148" s="350" t="s">
        <v>1352</v>
      </c>
      <c r="S148" s="351" t="str">
        <f t="shared" si="9"/>
        <v xml:space="preserve">  其中：应付利息</v>
      </c>
    </row>
    <row r="149" spans="2:19" ht="12.9" customHeight="1">
      <c r="B149" s="324" t="s">
        <v>741</v>
      </c>
      <c r="R149" s="350" t="s">
        <v>1353</v>
      </c>
      <c r="S149" s="351" t="str">
        <f t="shared" si="9"/>
        <v xml:space="preserve">        应付股利</v>
      </c>
    </row>
    <row r="150" spans="2:19" ht="12.9" customHeight="1">
      <c r="B150" s="324" t="s">
        <v>742</v>
      </c>
      <c r="R150" s="350" t="s">
        <v>1354</v>
      </c>
      <c r="S150" s="351" t="str">
        <f t="shared" si="9"/>
        <v>应付手续费及佣金*</v>
      </c>
    </row>
    <row r="151" spans="2:19" ht="12.9" customHeight="1">
      <c r="B151" s="324" t="s">
        <v>743</v>
      </c>
      <c r="R151" s="350" t="s">
        <v>429</v>
      </c>
      <c r="S151" s="351" t="str">
        <f t="shared" si="9"/>
        <v>应付分保账款*</v>
      </c>
    </row>
    <row r="152" spans="2:19" ht="12.9" customHeight="1">
      <c r="B152" s="324" t="s">
        <v>744</v>
      </c>
      <c r="R152" s="350" t="s">
        <v>131</v>
      </c>
      <c r="S152" s="351" t="str">
        <f t="shared" si="9"/>
        <v>持有待售负债</v>
      </c>
    </row>
    <row r="153" spans="2:19" ht="12.9" customHeight="1">
      <c r="B153" s="324" t="s">
        <v>745</v>
      </c>
      <c r="R153" s="350" t="s">
        <v>132</v>
      </c>
      <c r="S153" s="351" t="str">
        <f t="shared" si="9"/>
        <v>一年内到期的非流动负债</v>
      </c>
    </row>
    <row r="154" spans="2:19" ht="12.9" customHeight="1">
      <c r="B154" s="324" t="s">
        <v>746</v>
      </c>
      <c r="R154" s="350" t="s">
        <v>133</v>
      </c>
      <c r="S154" s="351" t="str">
        <f t="shared" si="9"/>
        <v>其他流动负债</v>
      </c>
    </row>
    <row r="155" spans="2:19" ht="12.9" customHeight="1">
      <c r="B155" s="324" t="s">
        <v>747</v>
      </c>
      <c r="R155" s="350" t="s">
        <v>1276</v>
      </c>
      <c r="S155" s="351" t="str">
        <f t="shared" si="9"/>
        <v>保险合同准备金*</v>
      </c>
    </row>
    <row r="156" spans="2:19" ht="12.9" customHeight="1">
      <c r="S156" s="357" t="str">
        <f t="shared" si="9"/>
        <v>流动负债合计</v>
      </c>
    </row>
    <row r="157" spans="2:19" ht="12.9" customHeight="1">
      <c r="S157" s="357" t="str">
        <f t="shared" si="9"/>
        <v>非流动负债:</v>
      </c>
    </row>
    <row r="158" spans="2:19" ht="12.9" customHeight="1">
      <c r="B158" s="475" t="s">
        <v>750</v>
      </c>
      <c r="R158" s="350" t="s">
        <v>1355</v>
      </c>
      <c r="S158" s="351" t="str">
        <f t="shared" si="9"/>
        <v>长期借款</v>
      </c>
    </row>
    <row r="159" spans="2:19" ht="12.9" customHeight="1">
      <c r="R159" s="350" t="s">
        <v>1277</v>
      </c>
      <c r="S159" s="351" t="str">
        <f t="shared" si="9"/>
        <v>应付债券</v>
      </c>
    </row>
    <row r="160" spans="2:19" ht="12.9" customHeight="1">
      <c r="B160" s="324" t="s">
        <v>1183</v>
      </c>
      <c r="R160" s="350" t="s">
        <v>1356</v>
      </c>
      <c r="S160" s="351" t="str">
        <f t="shared" si="9"/>
        <v xml:space="preserve">  其中：优先股</v>
      </c>
    </row>
    <row r="161" spans="2:19" ht="12.9" customHeight="1">
      <c r="B161" s="324" t="s">
        <v>1184</v>
      </c>
      <c r="R161" s="350" t="s">
        <v>1357</v>
      </c>
      <c r="S161" s="351" t="str">
        <f t="shared" si="9"/>
        <v xml:space="preserve">        永续债</v>
      </c>
    </row>
    <row r="162" spans="2:19" ht="12.9" customHeight="1">
      <c r="B162" s="324" t="s">
        <v>1185</v>
      </c>
      <c r="R162" s="350" t="s">
        <v>1358</v>
      </c>
      <c r="S162" s="351" t="str">
        <f t="shared" si="9"/>
        <v>租赁负债</v>
      </c>
    </row>
    <row r="163" spans="2:19" ht="12.9" customHeight="1">
      <c r="R163" s="350" t="s">
        <v>1226</v>
      </c>
      <c r="S163" s="351" t="str">
        <f t="shared" si="9"/>
        <v>长期应付款</v>
      </c>
    </row>
    <row r="164" spans="2:19" ht="12.9" customHeight="1">
      <c r="B164" s="475" t="s">
        <v>751</v>
      </c>
      <c r="R164" s="350" t="s">
        <v>1227</v>
      </c>
      <c r="S164" s="351" t="str">
        <f t="shared" si="9"/>
        <v>专项应付款</v>
      </c>
    </row>
    <row r="165" spans="2:19" ht="12.9" customHeight="1">
      <c r="B165" s="324" t="s">
        <v>1186</v>
      </c>
      <c r="R165" s="350" t="s">
        <v>1228</v>
      </c>
      <c r="S165" s="351" t="str">
        <f t="shared" si="9"/>
        <v>长期应付职工薪酬</v>
      </c>
    </row>
    <row r="166" spans="2:19" ht="12.9" customHeight="1">
      <c r="B166" s="324" t="s">
        <v>1187</v>
      </c>
      <c r="R166" s="350" t="s">
        <v>1359</v>
      </c>
      <c r="S166" s="351" t="str">
        <f t="shared" si="9"/>
        <v>预计负债</v>
      </c>
    </row>
    <row r="167" spans="2:19" ht="12.9" customHeight="1">
      <c r="B167" s="324" t="s">
        <v>1188</v>
      </c>
      <c r="R167" s="350" t="s">
        <v>1229</v>
      </c>
      <c r="S167" s="351" t="str">
        <f t="shared" si="9"/>
        <v>递延收益</v>
      </c>
    </row>
    <row r="168" spans="2:19" ht="12.9" customHeight="1">
      <c r="R168" s="350" t="s">
        <v>1278</v>
      </c>
      <c r="S168" s="351" t="str">
        <f t="shared" si="9"/>
        <v>递延所得税负债</v>
      </c>
    </row>
    <row r="169" spans="2:19" ht="12.9" customHeight="1">
      <c r="B169" s="475" t="s">
        <v>766</v>
      </c>
      <c r="R169" s="350" t="s">
        <v>1279</v>
      </c>
      <c r="S169" s="351" t="str">
        <f t="shared" si="9"/>
        <v>其他非流动负债</v>
      </c>
    </row>
    <row r="170" spans="2:19" ht="12.9" customHeight="1">
      <c r="R170" s="350" t="s">
        <v>1360</v>
      </c>
      <c r="S170" s="351" t="str">
        <f t="shared" si="9"/>
        <v xml:space="preserve"> 其中：特准储备基金</v>
      </c>
    </row>
    <row r="171" spans="2:19" ht="12.9" customHeight="1">
      <c r="B171" s="324" t="s">
        <v>767</v>
      </c>
      <c r="S171" s="357" t="str">
        <f t="shared" si="9"/>
        <v>非流动负债合计</v>
      </c>
    </row>
    <row r="172" spans="2:19" ht="12.9" customHeight="1">
      <c r="B172" s="324" t="s">
        <v>768</v>
      </c>
      <c r="S172" s="357" t="str">
        <f t="shared" si="9"/>
        <v>负 债 合 计</v>
      </c>
    </row>
    <row r="173" spans="2:19" ht="12.9" customHeight="1">
      <c r="B173" s="324" t="s">
        <v>769</v>
      </c>
      <c r="S173" s="351" t="str">
        <f t="shared" si="9"/>
        <v>股东权益：</v>
      </c>
    </row>
    <row r="174" spans="2:19" ht="12.9" customHeight="1">
      <c r="R174" s="350" t="s">
        <v>1280</v>
      </c>
      <c r="S174" s="351" t="str">
        <f t="shared" si="9"/>
        <v>实收资本（或股本）</v>
      </c>
    </row>
    <row r="175" spans="2:19" ht="12.9" customHeight="1">
      <c r="R175" s="350" t="s">
        <v>1230</v>
      </c>
      <c r="S175" s="351" t="str">
        <f t="shared" si="9"/>
        <v>其他权益工具</v>
      </c>
    </row>
    <row r="176" spans="2:19" ht="12.9" customHeight="1">
      <c r="R176" s="350" t="s">
        <v>1362</v>
      </c>
      <c r="S176" s="351" t="str">
        <f t="shared" si="9"/>
        <v xml:space="preserve">  其中：优先股</v>
      </c>
    </row>
    <row r="177" spans="18:19" ht="12.9" customHeight="1">
      <c r="R177" s="350" t="s">
        <v>1363</v>
      </c>
      <c r="S177" s="351" t="str">
        <f t="shared" si="9"/>
        <v xml:space="preserve">        永续债</v>
      </c>
    </row>
    <row r="178" spans="18:19" ht="12.9" customHeight="1">
      <c r="R178" s="350" t="s">
        <v>1361</v>
      </c>
      <c r="S178" s="351" t="str">
        <f t="shared" si="9"/>
        <v>资本公积</v>
      </c>
    </row>
    <row r="179" spans="18:19" ht="12.9" customHeight="1">
      <c r="R179" s="350" t="s">
        <v>1231</v>
      </c>
      <c r="S179" s="351" t="str">
        <f t="shared" si="9"/>
        <v>减：库存股</v>
      </c>
    </row>
    <row r="180" spans="18:19" ht="12.9" customHeight="1">
      <c r="R180" s="350" t="s">
        <v>149</v>
      </c>
      <c r="S180" s="351" t="str">
        <f>E58</f>
        <v>其他综合收益</v>
      </c>
    </row>
    <row r="181" spans="18:19" ht="12.9" customHeight="1">
      <c r="R181" s="350" t="s">
        <v>150</v>
      </c>
      <c r="S181" s="351" t="str">
        <f t="shared" si="9"/>
        <v>专项储备</v>
      </c>
    </row>
    <row r="182" spans="18:19" ht="12.9" customHeight="1">
      <c r="R182" s="350" t="s">
        <v>151</v>
      </c>
      <c r="S182" s="351" t="str">
        <f t="shared" si="9"/>
        <v>盈余公积</v>
      </c>
    </row>
    <row r="183" spans="18:19" ht="12.9" customHeight="1">
      <c r="R183" s="350" t="s">
        <v>152</v>
      </c>
      <c r="S183" s="351" t="str">
        <f t="shared" si="9"/>
        <v>一般风险准备*</v>
      </c>
    </row>
    <row r="184" spans="18:19" ht="12.9" customHeight="1">
      <c r="R184" s="350" t="s">
        <v>1232</v>
      </c>
      <c r="S184" s="351" t="str">
        <f t="shared" si="9"/>
        <v>未分配利润</v>
      </c>
    </row>
    <row r="185" spans="18:19" ht="12.9" customHeight="1">
      <c r="S185" s="351" t="str">
        <f t="shared" si="9"/>
        <v>归属于母公司所有者权益（或股东权益）合计</v>
      </c>
    </row>
    <row r="186" spans="18:19" ht="12.9" customHeight="1">
      <c r="R186" s="350" t="s">
        <v>1364</v>
      </c>
      <c r="S186" s="351" t="str">
        <f t="shared" si="9"/>
        <v>少数股东权益</v>
      </c>
    </row>
    <row r="187" spans="18:19" ht="12.9" customHeight="1">
      <c r="S187" s="666" t="str">
        <f t="shared" si="9"/>
        <v>所有者权益（或股东权益）合计</v>
      </c>
    </row>
    <row r="188" spans="18:19" ht="12.9" customHeight="1">
      <c r="S188" s="357" t="str">
        <f>H3</f>
        <v>损   益   类</v>
      </c>
    </row>
    <row r="189" spans="18:19" ht="12.9" customHeight="1">
      <c r="S189" s="666" t="str">
        <f>H5</f>
        <v>一、营业总收入</v>
      </c>
    </row>
    <row r="190" spans="18:19" ht="12.9" customHeight="1">
      <c r="R190" s="350" t="s">
        <v>1399</v>
      </c>
      <c r="S190" s="666" t="str">
        <f>H6</f>
        <v xml:space="preserve">        其中：主营业务收入</v>
      </c>
    </row>
    <row r="191" spans="18:19" ht="12.9" customHeight="1">
      <c r="R191" s="350" t="s">
        <v>1233</v>
      </c>
      <c r="S191" s="666" t="str">
        <f t="shared" ref="S191:S254" si="10">H7</f>
        <v xml:space="preserve">              其他业务收入</v>
      </c>
    </row>
    <row r="192" spans="18:19" ht="12.9" customHeight="1">
      <c r="R192" s="350" t="s">
        <v>1234</v>
      </c>
      <c r="S192" s="666" t="str">
        <f t="shared" si="10"/>
        <v xml:space="preserve">           利息收入*</v>
      </c>
    </row>
    <row r="193" spans="18:19" ht="12.9" customHeight="1">
      <c r="R193" s="350" t="s">
        <v>430</v>
      </c>
      <c r="S193" s="666" t="str">
        <f t="shared" si="10"/>
        <v xml:space="preserve">           已赚保费*</v>
      </c>
    </row>
    <row r="194" spans="18:19" ht="12.9" customHeight="1">
      <c r="R194" s="350" t="s">
        <v>1400</v>
      </c>
      <c r="S194" s="666" t="str">
        <f t="shared" si="10"/>
        <v xml:space="preserve">           手续费及佣金收入*</v>
      </c>
    </row>
    <row r="195" spans="18:19" ht="12.9" customHeight="1">
      <c r="S195" s="666" t="str">
        <f t="shared" si="10"/>
        <v xml:space="preserve">    减：营业总成本</v>
      </c>
    </row>
    <row r="196" spans="18:19" ht="12.9" customHeight="1">
      <c r="R196" s="350" t="s">
        <v>1281</v>
      </c>
      <c r="S196" s="666" t="str">
        <f t="shared" si="10"/>
        <v xml:space="preserve">        其中：主营业务成本</v>
      </c>
    </row>
    <row r="197" spans="18:19" ht="12.9" customHeight="1">
      <c r="R197" s="350" t="s">
        <v>431</v>
      </c>
      <c r="S197" s="666" t="str">
        <f t="shared" si="10"/>
        <v xml:space="preserve">              其他业务成本</v>
      </c>
    </row>
    <row r="198" spans="18:19" ht="12.9" customHeight="1">
      <c r="R198" s="350" t="s">
        <v>432</v>
      </c>
      <c r="S198" s="666" t="str">
        <f t="shared" si="10"/>
        <v xml:space="preserve">        利息支出*</v>
      </c>
    </row>
    <row r="199" spans="18:19" ht="12.9" customHeight="1">
      <c r="R199" s="350" t="s">
        <v>433</v>
      </c>
      <c r="S199" s="666" t="str">
        <f t="shared" si="10"/>
        <v xml:space="preserve">        手续费及佣金支出*</v>
      </c>
    </row>
    <row r="200" spans="18:19" ht="12.9" customHeight="1">
      <c r="R200" s="350" t="s">
        <v>1235</v>
      </c>
      <c r="S200" s="666" t="str">
        <f t="shared" si="10"/>
        <v xml:space="preserve">        退保金*</v>
      </c>
    </row>
    <row r="201" spans="18:19" ht="12.9" customHeight="1">
      <c r="R201" s="350" t="s">
        <v>434</v>
      </c>
      <c r="S201" s="666" t="str">
        <f t="shared" si="10"/>
        <v xml:space="preserve">        赔付支出净额*</v>
      </c>
    </row>
    <row r="202" spans="18:19" ht="12.9" customHeight="1">
      <c r="R202" s="350" t="s">
        <v>435</v>
      </c>
      <c r="S202" s="666" t="str">
        <f t="shared" si="10"/>
        <v xml:space="preserve">        提取保险责任准备金净额*</v>
      </c>
    </row>
    <row r="203" spans="18:19" ht="12.9" customHeight="1">
      <c r="R203" s="350" t="s">
        <v>436</v>
      </c>
      <c r="S203" s="666" t="str">
        <f t="shared" si="10"/>
        <v xml:space="preserve">        保单红利支出*</v>
      </c>
    </row>
    <row r="204" spans="18:19" ht="12.9" customHeight="1">
      <c r="R204" s="350" t="s">
        <v>437</v>
      </c>
      <c r="S204" s="666" t="str">
        <f t="shared" si="10"/>
        <v xml:space="preserve">        分保费用*</v>
      </c>
    </row>
    <row r="205" spans="18:19" ht="12.9" customHeight="1">
      <c r="R205" s="350" t="s">
        <v>1236</v>
      </c>
      <c r="S205" s="666" t="str">
        <f t="shared" si="10"/>
        <v xml:space="preserve">        税金及附加</v>
      </c>
    </row>
    <row r="206" spans="18:19" ht="12.9" customHeight="1">
      <c r="R206" s="350" t="s">
        <v>438</v>
      </c>
      <c r="S206" s="666" t="str">
        <f t="shared" si="10"/>
        <v xml:space="preserve">        销售费用</v>
      </c>
    </row>
    <row r="207" spans="18:19" ht="12.9" customHeight="1">
      <c r="R207" s="350" t="s">
        <v>1237</v>
      </c>
      <c r="S207" s="666" t="str">
        <f t="shared" si="10"/>
        <v xml:space="preserve">        管理费用</v>
      </c>
    </row>
    <row r="208" spans="18:19" ht="12.9" customHeight="1">
      <c r="R208" s="350" t="s">
        <v>439</v>
      </c>
      <c r="S208" s="666" t="str">
        <f t="shared" si="10"/>
        <v xml:space="preserve">        研发费用</v>
      </c>
    </row>
    <row r="209" spans="18:19" ht="12.9" customHeight="1">
      <c r="R209" s="350" t="s">
        <v>1382</v>
      </c>
      <c r="S209" s="666" t="str">
        <f t="shared" si="10"/>
        <v xml:space="preserve">        财务费用</v>
      </c>
    </row>
    <row r="210" spans="18:19" ht="12.9" customHeight="1">
      <c r="R210" s="350" t="s">
        <v>1383</v>
      </c>
      <c r="S210" s="666" t="str">
        <f t="shared" si="10"/>
        <v xml:space="preserve">        其中：利息费用</v>
      </c>
    </row>
    <row r="211" spans="18:19" ht="12.9" customHeight="1">
      <c r="R211" s="350" t="s">
        <v>1384</v>
      </c>
      <c r="S211" s="666" t="str">
        <f t="shared" si="10"/>
        <v xml:space="preserve">              利息收入</v>
      </c>
    </row>
    <row r="212" spans="18:19" ht="12.9" customHeight="1">
      <c r="R212" s="350" t="s">
        <v>1385</v>
      </c>
      <c r="S212" s="666" t="str">
        <f t="shared" si="10"/>
        <v xml:space="preserve">              汇兑净损失（净收益以“－”号填列）</v>
      </c>
    </row>
    <row r="213" spans="18:19" ht="12.9" customHeight="1">
      <c r="R213" s="350" t="s">
        <v>1282</v>
      </c>
      <c r="S213" s="666" t="str">
        <f t="shared" si="10"/>
        <v xml:space="preserve">      其他</v>
      </c>
    </row>
    <row r="214" spans="18:19" ht="12.9" customHeight="1">
      <c r="R214" s="350" t="s">
        <v>1238</v>
      </c>
      <c r="S214" s="666" t="str">
        <f t="shared" si="10"/>
        <v xml:space="preserve">    加：其他收益</v>
      </c>
    </row>
    <row r="215" spans="18:19" ht="12.9" customHeight="1">
      <c r="R215" s="350" t="s">
        <v>1386</v>
      </c>
      <c r="S215" s="666" t="str">
        <f t="shared" si="10"/>
        <v xml:space="preserve">        投资收益（损失以“－”号填列）</v>
      </c>
    </row>
    <row r="216" spans="18:19" ht="12.9" customHeight="1">
      <c r="R216" s="350" t="s">
        <v>1387</v>
      </c>
      <c r="S216" s="666" t="str">
        <f t="shared" si="10"/>
        <v xml:space="preserve">        其中：对联营企业和合营企业的投资收益</v>
      </c>
    </row>
    <row r="217" spans="18:19" ht="12.9" customHeight="1">
      <c r="R217" s="350" t="s">
        <v>1388</v>
      </c>
      <c r="S217" s="666" t="str">
        <f t="shared" si="10"/>
        <v xml:space="preserve">              以摊余成本计量的金融资产终止确认收益（损失以“-”号填列）</v>
      </c>
    </row>
    <row r="218" spans="18:19" ht="12.9" customHeight="1">
      <c r="R218" s="350" t="s">
        <v>1283</v>
      </c>
      <c r="S218" s="666" t="str">
        <f t="shared" si="10"/>
        <v xml:space="preserve">        汇兑收益（损失以“-”号填列）*</v>
      </c>
    </row>
    <row r="219" spans="18:19" ht="12.9" customHeight="1">
      <c r="R219" s="350" t="s">
        <v>153</v>
      </c>
      <c r="S219" s="666" t="str">
        <f t="shared" si="10"/>
        <v xml:space="preserve">        净敞口套期收益（损失以“-”号填列）</v>
      </c>
    </row>
    <row r="220" spans="18:19" ht="12.9" customHeight="1">
      <c r="R220" s="350" t="s">
        <v>445</v>
      </c>
      <c r="S220" s="666" t="str">
        <f t="shared" si="10"/>
        <v xml:space="preserve">        公允价值变动收益（损失以“－”号填列）</v>
      </c>
    </row>
    <row r="221" spans="18:19" ht="12.9" customHeight="1">
      <c r="R221" s="350" t="s">
        <v>1239</v>
      </c>
      <c r="S221" s="666" t="str">
        <f t="shared" si="10"/>
        <v xml:space="preserve">        信用减值损失（损失以“-”号填列）</v>
      </c>
    </row>
    <row r="222" spans="18:19" ht="12.9" customHeight="1">
      <c r="R222" s="350" t="s">
        <v>154</v>
      </c>
      <c r="S222" s="666" t="str">
        <f t="shared" si="10"/>
        <v xml:space="preserve">        资产减值损失（损失以“-”号填列）</v>
      </c>
    </row>
    <row r="223" spans="18:19" ht="12.9" customHeight="1">
      <c r="R223" s="350" t="s">
        <v>1389</v>
      </c>
      <c r="S223" s="666" t="str">
        <f t="shared" si="10"/>
        <v xml:space="preserve">        资产处置收益（损失以“-”号填列）</v>
      </c>
    </row>
    <row r="224" spans="18:19" ht="12.9" customHeight="1">
      <c r="S224" s="666" t="str">
        <f t="shared" si="10"/>
        <v>二、营业利润（亏损以“－”号填列）</v>
      </c>
    </row>
    <row r="225" spans="18:19" ht="12.9" customHeight="1">
      <c r="R225" s="350" t="s">
        <v>1390</v>
      </c>
      <c r="S225" s="666" t="str">
        <f t="shared" si="10"/>
        <v xml:space="preserve">    加：营业外收入</v>
      </c>
    </row>
    <row r="226" spans="18:19" ht="12.9" customHeight="1">
      <c r="R226" s="350" t="s">
        <v>1391</v>
      </c>
      <c r="S226" s="666" t="str">
        <f t="shared" si="10"/>
        <v xml:space="preserve">                 其中：政府补助</v>
      </c>
    </row>
    <row r="227" spans="18:19" ht="12.9" customHeight="1">
      <c r="R227" s="350" t="s">
        <v>1392</v>
      </c>
      <c r="S227" s="666" t="str">
        <f t="shared" si="10"/>
        <v xml:space="preserve">    减：营业外支出</v>
      </c>
    </row>
    <row r="228" spans="18:19" ht="12.9" customHeight="1">
      <c r="S228" s="666" t="str">
        <f t="shared" si="10"/>
        <v>三、利润总额（亏损总额以“－”号填列）</v>
      </c>
    </row>
    <row r="229" spans="18:19" ht="12.9" customHeight="1">
      <c r="R229" s="350" t="s">
        <v>1393</v>
      </c>
      <c r="S229" s="666" t="str">
        <f t="shared" si="10"/>
        <v xml:space="preserve">    减：所得税费用</v>
      </c>
    </row>
    <row r="230" spans="18:19" ht="12.9" customHeight="1">
      <c r="S230" s="666" t="str">
        <f t="shared" si="10"/>
        <v>四、净利润（净亏损以“－”号填列）</v>
      </c>
    </row>
    <row r="231" spans="18:19" ht="12.9" customHeight="1">
      <c r="S231" s="666" t="str">
        <f t="shared" si="10"/>
        <v>同一控制下企业合并的被合并方在合并前实现的净利润</v>
      </c>
    </row>
    <row r="232" spans="18:19" ht="12.9" customHeight="1">
      <c r="S232" s="666" t="str">
        <f t="shared" si="10"/>
        <v xml:space="preserve"> （一）按经营持续性分类</v>
      </c>
    </row>
    <row r="233" spans="18:19" ht="12.9" customHeight="1">
      <c r="S233" s="666" t="str">
        <f t="shared" si="10"/>
        <v xml:space="preserve">     其中：持续经营净利润（净亏损以“-”号填列）</v>
      </c>
    </row>
    <row r="234" spans="18:19" ht="12.9" customHeight="1">
      <c r="S234" s="666" t="str">
        <f t="shared" si="10"/>
        <v xml:space="preserve">                 终止经营净利润（净亏损以“-”号填列）</v>
      </c>
    </row>
    <row r="235" spans="18:19" ht="12.9" customHeight="1">
      <c r="S235" s="666" t="str">
        <f t="shared" si="10"/>
        <v xml:space="preserve"> （二）按所有权归属分类</v>
      </c>
    </row>
    <row r="236" spans="18:19" ht="12.9" customHeight="1">
      <c r="S236" s="666" t="str">
        <f t="shared" si="10"/>
        <v xml:space="preserve">     其中：归属于母公司所有者（或股东）的净利润（净亏损以“-”号填列）</v>
      </c>
    </row>
    <row r="237" spans="18:19" ht="12.9" customHeight="1">
      <c r="R237" s="350" t="s">
        <v>1394</v>
      </c>
      <c r="S237" s="666" t="str">
        <f t="shared" si="10"/>
        <v xml:space="preserve">                 少数股东损益（净亏损以“-”号填列）</v>
      </c>
    </row>
    <row r="238" spans="18:19" ht="12.9" customHeight="1">
      <c r="S238" s="666" t="str">
        <f t="shared" si="10"/>
        <v>五、其他综合收益的税后净额</v>
      </c>
    </row>
    <row r="239" spans="18:19" ht="12.9" customHeight="1">
      <c r="S239" s="666" t="str">
        <f t="shared" si="10"/>
        <v>归属于母公司所有者（或股东）的其他综合收益的税后净额</v>
      </c>
    </row>
    <row r="240" spans="18:19" ht="12.9" customHeight="1">
      <c r="S240" s="666" t="str">
        <f t="shared" si="10"/>
        <v xml:space="preserve">  （一）不能重分类进损益的其他综合收益</v>
      </c>
    </row>
    <row r="241" spans="18:19" ht="12.9" customHeight="1">
      <c r="R241" s="350" t="s">
        <v>1365</v>
      </c>
      <c r="S241" s="666" t="str">
        <f t="shared" si="10"/>
        <v>1.重新计量设定受益计划变动额</v>
      </c>
    </row>
    <row r="242" spans="18:19" ht="12.9" customHeight="1">
      <c r="R242" s="350" t="s">
        <v>155</v>
      </c>
      <c r="S242" s="666" t="str">
        <f t="shared" si="10"/>
        <v>2.权益法下不能转损益的其他综合收益</v>
      </c>
    </row>
    <row r="243" spans="18:19" ht="12.9" customHeight="1">
      <c r="R243" s="350" t="s">
        <v>156</v>
      </c>
      <c r="S243" s="666" t="str">
        <f t="shared" si="10"/>
        <v xml:space="preserve">3.其他权益工具投资公允价值变动 </v>
      </c>
    </row>
    <row r="244" spans="18:19" ht="12.9" customHeight="1">
      <c r="R244" s="350" t="s">
        <v>1377</v>
      </c>
      <c r="S244" s="666" t="str">
        <f t="shared" si="10"/>
        <v xml:space="preserve">4.企业自身信用风险公允价值变动 </v>
      </c>
    </row>
    <row r="245" spans="18:19" ht="12.9" customHeight="1">
      <c r="R245" s="350" t="s">
        <v>1395</v>
      </c>
      <c r="S245" s="666" t="str">
        <f t="shared" si="10"/>
        <v>5.其他</v>
      </c>
    </row>
    <row r="246" spans="18:19" ht="12.9" customHeight="1">
      <c r="S246" s="666" t="str">
        <f t="shared" si="10"/>
        <v xml:space="preserve">  （二）将重分类进损益的其他综合收益</v>
      </c>
    </row>
    <row r="247" spans="18:19" ht="12.9" customHeight="1">
      <c r="R247" s="350" t="s">
        <v>1366</v>
      </c>
      <c r="S247" s="666" t="str">
        <f t="shared" si="10"/>
        <v>1.权益法下可转损益的其他综合收益</v>
      </c>
    </row>
    <row r="248" spans="18:19" ht="12.9" customHeight="1">
      <c r="R248" s="350" t="s">
        <v>440</v>
      </c>
      <c r="S248" s="666" t="str">
        <f t="shared" si="10"/>
        <v xml:space="preserve">2.其他债权投资公允价值变动 </v>
      </c>
    </row>
    <row r="249" spans="18:19" ht="12.9" customHeight="1">
      <c r="R249" s="350" t="s">
        <v>1240</v>
      </c>
      <c r="S249" s="666" t="str">
        <f t="shared" si="10"/>
        <v xml:space="preserve">3.金融资产重分类计入其他综合收益的金额 </v>
      </c>
    </row>
    <row r="250" spans="18:19" ht="12.9" customHeight="1">
      <c r="R250" s="350" t="s">
        <v>1241</v>
      </c>
      <c r="S250" s="666" t="str">
        <f t="shared" si="10"/>
        <v>4.其他债权投资信用减值准备</v>
      </c>
    </row>
    <row r="251" spans="18:19" ht="12.9" customHeight="1">
      <c r="R251" s="350" t="s">
        <v>1367</v>
      </c>
      <c r="S251" s="666" t="str">
        <f t="shared" si="10"/>
        <v>5.现金流量套期储备</v>
      </c>
    </row>
    <row r="252" spans="18:19" ht="12.9" customHeight="1">
      <c r="R252" s="350" t="s">
        <v>1242</v>
      </c>
      <c r="S252" s="666" t="str">
        <f t="shared" si="10"/>
        <v>6.外币财务报表折算差额</v>
      </c>
    </row>
    <row r="253" spans="18:19" ht="12.9" customHeight="1">
      <c r="R253" s="350" t="s">
        <v>157</v>
      </c>
      <c r="S253" s="666" t="str">
        <f t="shared" si="10"/>
        <v>7.自用房地产或作为存货的房地产转换为以公允价值计量的投资性房地产在转换日公允价值大于账面价值部分</v>
      </c>
    </row>
    <row r="254" spans="18:19" ht="12.9" customHeight="1">
      <c r="R254" s="350" t="s">
        <v>1378</v>
      </c>
      <c r="S254" s="666" t="str">
        <f t="shared" si="10"/>
        <v>8.多次交易分步处置子公司股权构成一揽子交易的，丧失控制权之前各次交易处置价款与对应净资产账面价值份额的差额</v>
      </c>
    </row>
    <row r="255" spans="18:19" ht="12.9" customHeight="1">
      <c r="R255" s="350" t="s">
        <v>1396</v>
      </c>
      <c r="S255" s="666" t="str">
        <f t="shared" ref="S255:S274" si="11">H71</f>
        <v>9.其他</v>
      </c>
    </row>
    <row r="256" spans="18:19" ht="12.9" customHeight="1">
      <c r="S256" s="666" t="str">
        <f t="shared" si="11"/>
        <v>归属于少数股东的其他综合收益的税后净额</v>
      </c>
    </row>
    <row r="257" spans="18:19" ht="12.9" customHeight="1">
      <c r="S257" s="666" t="str">
        <f t="shared" si="11"/>
        <v>六、综合收益总额</v>
      </c>
    </row>
    <row r="258" spans="18:19" ht="12.9" customHeight="1">
      <c r="S258" s="666" t="str">
        <f t="shared" si="11"/>
        <v xml:space="preserve">     归属于母公司所有者（或股东）的综合收益总额</v>
      </c>
    </row>
    <row r="259" spans="18:19" ht="12.9" customHeight="1">
      <c r="S259" s="666" t="str">
        <f t="shared" si="11"/>
        <v xml:space="preserve">     归属于少数股东的综合收益总额</v>
      </c>
    </row>
    <row r="260" spans="18:19" ht="12.9" customHeight="1">
      <c r="S260" s="666" t="str">
        <f t="shared" si="11"/>
        <v>七、每股收益</v>
      </c>
    </row>
    <row r="261" spans="18:19" ht="12.9" customHeight="1">
      <c r="S261" s="666" t="str">
        <f t="shared" si="11"/>
        <v xml:space="preserve">   （一）基本每股收益</v>
      </c>
    </row>
    <row r="262" spans="18:19" ht="12.9" customHeight="1">
      <c r="S262" s="666" t="str">
        <f t="shared" si="11"/>
        <v xml:space="preserve">   （二）稀释每股收益</v>
      </c>
    </row>
    <row r="263" spans="18:19" ht="12.9" customHeight="1">
      <c r="R263" s="350" t="s">
        <v>1284</v>
      </c>
      <c r="S263" s="666" t="str">
        <f t="shared" si="11"/>
        <v>加：年初未分配利润</v>
      </c>
    </row>
    <row r="264" spans="18:19" ht="12.9" customHeight="1">
      <c r="S264" s="666" t="str">
        <f t="shared" si="11"/>
        <v>八、可供分配利润</v>
      </c>
    </row>
    <row r="265" spans="18:19" ht="12.9" customHeight="1">
      <c r="R265" s="350" t="s">
        <v>1397</v>
      </c>
      <c r="S265" s="666" t="str">
        <f t="shared" si="11"/>
        <v xml:space="preserve">    1、提取法定盈余公积</v>
      </c>
    </row>
    <row r="266" spans="18:19" ht="12.9" customHeight="1">
      <c r="R266" s="350" t="s">
        <v>1243</v>
      </c>
      <c r="S266" s="666" t="str">
        <f t="shared" si="11"/>
        <v xml:space="preserve">    2、提取一般风险准备</v>
      </c>
    </row>
    <row r="267" spans="18:19" ht="12.9" customHeight="1">
      <c r="R267" s="350" t="s">
        <v>1368</v>
      </c>
      <c r="S267" s="666" t="str">
        <f t="shared" si="11"/>
        <v xml:space="preserve">    3、提取其他</v>
      </c>
    </row>
    <row r="268" spans="18:19" ht="12.9" customHeight="1">
      <c r="S268" s="666" t="str">
        <f t="shared" si="11"/>
        <v>九、可供投资者分配的利润</v>
      </c>
    </row>
    <row r="269" spans="18:19" ht="12.9" customHeight="1">
      <c r="R269" s="350" t="s">
        <v>1244</v>
      </c>
      <c r="S269" s="666" t="str">
        <f t="shared" si="11"/>
        <v xml:space="preserve">    1、应付优先股股利</v>
      </c>
    </row>
    <row r="270" spans="18:19" ht="12.9" customHeight="1">
      <c r="R270" s="350" t="s">
        <v>1369</v>
      </c>
      <c r="S270" s="666" t="str">
        <f t="shared" si="11"/>
        <v xml:space="preserve">    2、提取任意盈余公积</v>
      </c>
    </row>
    <row r="271" spans="18:19" ht="12.9" customHeight="1">
      <c r="R271" s="350" t="s">
        <v>1398</v>
      </c>
      <c r="S271" s="666" t="str">
        <f t="shared" si="11"/>
        <v xml:space="preserve">    3、应付普通股股利（应付利润）</v>
      </c>
    </row>
    <row r="272" spans="18:19" ht="12.9" customHeight="1">
      <c r="R272" s="350" t="s">
        <v>1413</v>
      </c>
      <c r="S272" s="666" t="str">
        <f t="shared" si="11"/>
        <v xml:space="preserve">    4、转作资本（或股本）的普通股股利</v>
      </c>
    </row>
    <row r="273" spans="18:19" ht="12.9" customHeight="1">
      <c r="R273" s="350" t="s">
        <v>1414</v>
      </c>
      <c r="S273" s="666" t="str">
        <f t="shared" si="11"/>
        <v xml:space="preserve">    5、其他</v>
      </c>
    </row>
    <row r="274" spans="18:19" ht="12.9" customHeight="1">
      <c r="S274" s="666" t="str">
        <f t="shared" si="11"/>
        <v>十、未分配利润</v>
      </c>
    </row>
    <row r="275" spans="18:19" ht="12.9" customHeight="1">
      <c r="S275" s="666"/>
    </row>
    <row r="276" spans="18:19" ht="12.9" customHeight="1">
      <c r="S276" s="666"/>
    </row>
    <row r="277" spans="18:19" ht="12.9" customHeight="1">
      <c r="S277" s="357" t="str">
        <f>K3</f>
        <v>现金流量表类</v>
      </c>
    </row>
    <row r="278" spans="18:19" ht="12.9" customHeight="1">
      <c r="R278" s="350" t="s">
        <v>1285</v>
      </c>
      <c r="S278" s="667" t="str">
        <f>K6</f>
        <v xml:space="preserve">     销售商品、提供劳务收到的现金</v>
      </c>
    </row>
    <row r="279" spans="18:19" ht="12.9" customHeight="1">
      <c r="R279" s="350" t="s">
        <v>1286</v>
      </c>
      <c r="S279" s="667" t="str">
        <f t="shared" ref="S279:S340" si="12">K7</f>
        <v xml:space="preserve">    客户存款和同业存放款项净增加额*</v>
      </c>
    </row>
    <row r="280" spans="18:19" ht="12.9" customHeight="1">
      <c r="R280" s="350" t="s">
        <v>1287</v>
      </c>
      <c r="S280" s="667" t="str">
        <f t="shared" si="12"/>
        <v xml:space="preserve">     向中央银行借款净增加额*</v>
      </c>
    </row>
    <row r="281" spans="18:19" ht="12.9" customHeight="1">
      <c r="R281" s="350" t="s">
        <v>1288</v>
      </c>
      <c r="S281" s="667" t="str">
        <f t="shared" si="12"/>
        <v xml:space="preserve">     向其他金融机构拆入资金净增加额*</v>
      </c>
    </row>
    <row r="282" spans="18:19" ht="12.9" customHeight="1">
      <c r="R282" s="350" t="s">
        <v>1289</v>
      </c>
      <c r="S282" s="667" t="str">
        <f t="shared" si="12"/>
        <v xml:space="preserve">     收到原保险合同保费取得的现金*</v>
      </c>
    </row>
    <row r="283" spans="18:19" ht="12.9" customHeight="1">
      <c r="R283" s="350" t="s">
        <v>1290</v>
      </c>
      <c r="S283" s="667" t="str">
        <f t="shared" si="12"/>
        <v xml:space="preserve">     收到再保业务现金净额*</v>
      </c>
    </row>
    <row r="284" spans="18:19" ht="12.9" customHeight="1">
      <c r="R284" s="350" t="s">
        <v>1291</v>
      </c>
      <c r="S284" s="667" t="str">
        <f t="shared" si="12"/>
        <v xml:space="preserve">     保户储金及投资款净增加额*</v>
      </c>
    </row>
    <row r="285" spans="18:19" ht="12.9" customHeight="1">
      <c r="R285" s="350" t="s">
        <v>1292</v>
      </c>
      <c r="S285" s="667" t="str">
        <f t="shared" si="12"/>
        <v xml:space="preserve">     收取利息、手续费及佣金的现金*</v>
      </c>
    </row>
    <row r="286" spans="18:19" ht="12.9" customHeight="1">
      <c r="R286" s="350" t="s">
        <v>1293</v>
      </c>
      <c r="S286" s="667" t="str">
        <f t="shared" si="12"/>
        <v xml:space="preserve">     拆入资金净增加额*</v>
      </c>
    </row>
    <row r="287" spans="18:19" ht="12.9" customHeight="1">
      <c r="R287" s="350" t="s">
        <v>1294</v>
      </c>
      <c r="S287" s="667" t="str">
        <f t="shared" si="12"/>
        <v xml:space="preserve">     回购业务资金净增加额*</v>
      </c>
    </row>
    <row r="288" spans="18:19" ht="12.9" customHeight="1">
      <c r="R288" s="350" t="s">
        <v>1295</v>
      </c>
      <c r="S288" s="667" t="str">
        <f t="shared" si="12"/>
        <v xml:space="preserve">     代理买卖证券收到的现金净额*</v>
      </c>
    </row>
    <row r="289" spans="18:19" ht="12.9" customHeight="1">
      <c r="R289" s="350" t="s">
        <v>1296</v>
      </c>
      <c r="S289" s="667" t="str">
        <f t="shared" si="12"/>
        <v xml:space="preserve">     收到的税费返还</v>
      </c>
    </row>
    <row r="290" spans="18:19" ht="12.9" customHeight="1">
      <c r="R290" s="350" t="s">
        <v>1297</v>
      </c>
      <c r="S290" s="667" t="str">
        <f t="shared" si="12"/>
        <v xml:space="preserve">     收到的其他与经营活动有关的现金</v>
      </c>
    </row>
    <row r="291" spans="18:19" ht="12.9" customHeight="1">
      <c r="S291" s="667">
        <f t="shared" si="12"/>
        <v>0</v>
      </c>
    </row>
    <row r="292" spans="18:19" ht="12.9" customHeight="1">
      <c r="S292" s="667" t="str">
        <f t="shared" si="12"/>
        <v xml:space="preserve">     经营活动现金流入小计</v>
      </c>
    </row>
    <row r="293" spans="18:19" ht="12.9" customHeight="1">
      <c r="R293" s="350" t="s">
        <v>1298</v>
      </c>
      <c r="S293" s="667" t="str">
        <f t="shared" si="12"/>
        <v xml:space="preserve">     购买商品、接受劳务支付的现金</v>
      </c>
    </row>
    <row r="294" spans="18:19" ht="12.9" customHeight="1">
      <c r="R294" s="350" t="s">
        <v>1299</v>
      </c>
      <c r="S294" s="667" t="str">
        <f t="shared" si="12"/>
        <v xml:space="preserve">     客户贷款及垫款净增加额*</v>
      </c>
    </row>
    <row r="295" spans="18:19" ht="12.9" customHeight="1">
      <c r="R295" s="350" t="s">
        <v>1300</v>
      </c>
      <c r="S295" s="667" t="str">
        <f t="shared" si="12"/>
        <v xml:space="preserve">     存放中央银行和同业款项净增加额*</v>
      </c>
    </row>
    <row r="296" spans="18:19" ht="12.9" customHeight="1">
      <c r="R296" s="350" t="s">
        <v>1301</v>
      </c>
      <c r="S296" s="667" t="str">
        <f t="shared" si="12"/>
        <v xml:space="preserve">     支付原保险合同赔付款项的现金*</v>
      </c>
    </row>
    <row r="297" spans="18:19" ht="12.9" customHeight="1">
      <c r="R297" s="350" t="s">
        <v>1302</v>
      </c>
      <c r="S297" s="667" t="str">
        <f t="shared" si="12"/>
        <v xml:space="preserve">     拆出资金净增加额*</v>
      </c>
    </row>
    <row r="298" spans="18:19" ht="12.9" customHeight="1">
      <c r="R298" s="350" t="s">
        <v>1303</v>
      </c>
      <c r="S298" s="667" t="str">
        <f t="shared" si="12"/>
        <v xml:space="preserve">     支付利息、手续费及佣金的现金*</v>
      </c>
    </row>
    <row r="299" spans="18:19" ht="12.9" customHeight="1">
      <c r="R299" s="350" t="s">
        <v>1304</v>
      </c>
      <c r="S299" s="667" t="str">
        <f t="shared" si="12"/>
        <v xml:space="preserve">     支付保单红利的现金*</v>
      </c>
    </row>
    <row r="300" spans="18:19" ht="12.9" customHeight="1">
      <c r="R300" s="350" t="s">
        <v>1305</v>
      </c>
      <c r="S300" s="667" t="str">
        <f t="shared" si="12"/>
        <v xml:space="preserve">     支付给职工以及为职工支付的现金</v>
      </c>
    </row>
    <row r="301" spans="18:19" ht="12.9" customHeight="1">
      <c r="R301" s="350" t="s">
        <v>1306</v>
      </c>
      <c r="S301" s="667" t="str">
        <f t="shared" si="12"/>
        <v xml:space="preserve">     支付各项税费</v>
      </c>
    </row>
    <row r="302" spans="18:19" ht="12.9" customHeight="1">
      <c r="R302" s="350" t="s">
        <v>1307</v>
      </c>
      <c r="S302" s="667" t="str">
        <f t="shared" si="12"/>
        <v xml:space="preserve">     支付的其他与经营活动有关的现金</v>
      </c>
    </row>
    <row r="303" spans="18:19" ht="12.9" customHeight="1">
      <c r="S303" s="667">
        <f t="shared" si="12"/>
        <v>0</v>
      </c>
    </row>
    <row r="304" spans="18:19" ht="12.9" customHeight="1">
      <c r="S304" s="667" t="str">
        <f t="shared" si="12"/>
        <v xml:space="preserve">     经营活动现金流出小计</v>
      </c>
    </row>
    <row r="305" spans="18:19" ht="12.9" customHeight="1">
      <c r="S305" s="667" t="str">
        <f t="shared" si="12"/>
        <v xml:space="preserve">     经营活动产生的现金流量净额</v>
      </c>
    </row>
    <row r="306" spans="18:19" ht="12.9" customHeight="1">
      <c r="S306" s="667" t="str">
        <f t="shared" si="12"/>
        <v>二、投资活动产生的现金流量</v>
      </c>
    </row>
    <row r="307" spans="18:19" ht="12.9" customHeight="1">
      <c r="R307" s="350" t="s">
        <v>1308</v>
      </c>
      <c r="S307" s="667" t="str">
        <f t="shared" si="12"/>
        <v xml:space="preserve">     收回投资所收到的现金</v>
      </c>
    </row>
    <row r="308" spans="18:19" ht="12.9" customHeight="1">
      <c r="R308" s="350" t="s">
        <v>1309</v>
      </c>
      <c r="S308" s="667" t="str">
        <f t="shared" si="12"/>
        <v xml:space="preserve">     取得投资收益所收到的现金</v>
      </c>
    </row>
    <row r="309" spans="18:19" ht="12.9" customHeight="1">
      <c r="R309" s="350" t="s">
        <v>1310</v>
      </c>
      <c r="S309" s="667" t="str">
        <f t="shared" si="12"/>
        <v xml:space="preserve">     处置固定资产、无形资产和其他长期资产而收到的现金净额</v>
      </c>
    </row>
    <row r="310" spans="18:19" ht="12.9" customHeight="1">
      <c r="R310" s="350" t="s">
        <v>1311</v>
      </c>
      <c r="S310" s="667" t="str">
        <f t="shared" si="12"/>
        <v xml:space="preserve">     处置子公司及其他营业单位收到的现金净额</v>
      </c>
    </row>
    <row r="311" spans="18:19" ht="12.9" customHeight="1">
      <c r="R311" s="350" t="s">
        <v>1312</v>
      </c>
      <c r="S311" s="667" t="str">
        <f t="shared" si="12"/>
        <v xml:space="preserve">     收到其他与投资活动有关的现金</v>
      </c>
    </row>
    <row r="312" spans="18:19" ht="12.9" customHeight="1">
      <c r="S312" s="667">
        <f t="shared" si="12"/>
        <v>0</v>
      </c>
    </row>
    <row r="313" spans="18:19" ht="12.9" customHeight="1">
      <c r="S313" s="667" t="str">
        <f t="shared" si="12"/>
        <v xml:space="preserve">     投资活动现金流入小计</v>
      </c>
    </row>
    <row r="314" spans="18:19" ht="12.9" customHeight="1">
      <c r="R314" s="350" t="s">
        <v>1313</v>
      </c>
      <c r="S314" s="667" t="str">
        <f t="shared" si="12"/>
        <v xml:space="preserve">     购置固定资产、无形资产和其他长期资产所支付现金 </v>
      </c>
    </row>
    <row r="315" spans="18:19" ht="12.9" customHeight="1">
      <c r="R315" s="350" t="s">
        <v>1314</v>
      </c>
      <c r="S315" s="667" t="str">
        <f t="shared" si="12"/>
        <v xml:space="preserve">     投资所支付的现金</v>
      </c>
    </row>
    <row r="316" spans="18:19" ht="12.9" customHeight="1">
      <c r="R316" s="350" t="s">
        <v>1315</v>
      </c>
      <c r="S316" s="667" t="str">
        <f t="shared" si="12"/>
        <v xml:space="preserve">    质押贷款净增加额*</v>
      </c>
    </row>
    <row r="317" spans="18:19" ht="12.9" customHeight="1">
      <c r="R317" s="350" t="s">
        <v>1316</v>
      </c>
      <c r="S317" s="667" t="str">
        <f t="shared" si="12"/>
        <v xml:space="preserve">     取得子公司及其他营业单位支付的现金净额</v>
      </c>
    </row>
    <row r="318" spans="18:19" ht="12.9" customHeight="1">
      <c r="R318" s="350" t="s">
        <v>1317</v>
      </c>
      <c r="S318" s="667" t="str">
        <f t="shared" si="12"/>
        <v xml:space="preserve">     支付其他与投资活动有关的现金</v>
      </c>
    </row>
    <row r="319" spans="18:19" ht="12.9" customHeight="1">
      <c r="S319" s="667">
        <f t="shared" si="12"/>
        <v>0</v>
      </c>
    </row>
    <row r="320" spans="18:19" ht="12.9" customHeight="1">
      <c r="S320" s="667" t="str">
        <f t="shared" si="12"/>
        <v xml:space="preserve">      投资活动现金流出小计</v>
      </c>
    </row>
    <row r="321" spans="18:21" ht="12.9" customHeight="1">
      <c r="S321" s="667" t="str">
        <f t="shared" si="12"/>
        <v xml:space="preserve">     投资活动产生的现金流量净额</v>
      </c>
    </row>
    <row r="322" spans="18:21" ht="12.9" customHeight="1">
      <c r="S322" s="667" t="str">
        <f t="shared" si="12"/>
        <v>三、筹资活动产生的现金流量</v>
      </c>
    </row>
    <row r="323" spans="18:21" ht="12.9" customHeight="1">
      <c r="R323" s="350" t="s">
        <v>1318</v>
      </c>
      <c r="S323" s="667" t="str">
        <f t="shared" si="12"/>
        <v xml:space="preserve">     吸收投资所收到的现金</v>
      </c>
    </row>
    <row r="324" spans="18:21" ht="12.9" customHeight="1">
      <c r="R324" s="350" t="s">
        <v>1370</v>
      </c>
      <c r="S324" s="667" t="str">
        <f t="shared" si="12"/>
        <v xml:space="preserve">     其中：子公司吸收少数股东投资收到的现金</v>
      </c>
    </row>
    <row r="325" spans="18:21" ht="12.9" customHeight="1">
      <c r="R325" s="350" t="s">
        <v>1371</v>
      </c>
      <c r="S325" s="667" t="str">
        <f t="shared" si="12"/>
        <v xml:space="preserve">     取得借款收到的现金</v>
      </c>
    </row>
    <row r="326" spans="18:21" ht="12.9" customHeight="1">
      <c r="R326" s="350" t="s">
        <v>1319</v>
      </c>
      <c r="S326" s="667" t="str">
        <f t="shared" si="12"/>
        <v xml:space="preserve">     发行债券收到的现金</v>
      </c>
    </row>
    <row r="327" spans="18:21" ht="12.9" customHeight="1">
      <c r="R327" s="350" t="s">
        <v>1320</v>
      </c>
      <c r="S327" s="667" t="str">
        <f t="shared" si="12"/>
        <v xml:space="preserve">     收到的其他与筹资活动有关的现金</v>
      </c>
    </row>
    <row r="328" spans="18:21" ht="12.9" customHeight="1">
      <c r="S328" s="667">
        <f t="shared" si="12"/>
        <v>0</v>
      </c>
    </row>
    <row r="329" spans="18:21" ht="12.9" customHeight="1">
      <c r="S329" s="667" t="str">
        <f t="shared" si="12"/>
        <v xml:space="preserve">     筹资活动现金流入小计</v>
      </c>
    </row>
    <row r="330" spans="18:21" ht="12.9" customHeight="1">
      <c r="S330" s="667" t="str">
        <f t="shared" si="12"/>
        <v xml:space="preserve">     偿还债务支付的现金</v>
      </c>
    </row>
    <row r="331" spans="18:21" ht="12.9" customHeight="1">
      <c r="R331" s="350" t="s">
        <v>1372</v>
      </c>
      <c r="S331" s="667" t="str">
        <f t="shared" si="12"/>
        <v xml:space="preserve">     分配股利、利润或偿付利息支付的现金</v>
      </c>
    </row>
    <row r="332" spans="18:21" ht="12.9" customHeight="1">
      <c r="R332" s="350" t="s">
        <v>1373</v>
      </c>
      <c r="S332" s="667" t="str">
        <f t="shared" si="12"/>
        <v xml:space="preserve">      其中：子公司支付给少数股东的股利、利润</v>
      </c>
      <c r="U332" s="761"/>
    </row>
    <row r="333" spans="18:21" ht="12.9" customHeight="1">
      <c r="R333" s="350" t="s">
        <v>1374</v>
      </c>
      <c r="S333" s="667" t="str">
        <f t="shared" si="12"/>
        <v xml:space="preserve">     支付其他与筹资活动有关的现金</v>
      </c>
      <c r="U333" s="761"/>
    </row>
    <row r="334" spans="18:21" ht="12.9" customHeight="1">
      <c r="R334" s="350" t="s">
        <v>1375</v>
      </c>
      <c r="S334" s="667" t="str">
        <f t="shared" si="12"/>
        <v xml:space="preserve">      其中：子公司减资支付给少数股东的现金</v>
      </c>
      <c r="U334" s="761"/>
    </row>
    <row r="335" spans="18:21" ht="12.9" customHeight="1">
      <c r="S335" s="667" t="str">
        <f t="shared" si="12"/>
        <v xml:space="preserve">     筹资活动现金流出小计</v>
      </c>
    </row>
    <row r="336" spans="18:21" ht="12.9" customHeight="1">
      <c r="S336" s="667" t="str">
        <f t="shared" si="12"/>
        <v xml:space="preserve">     筹资活动产生的现金流量净额</v>
      </c>
    </row>
    <row r="337" spans="18:19" ht="12.9" customHeight="1">
      <c r="S337" s="667" t="str">
        <f t="shared" si="12"/>
        <v>四、汇率变动对现金及现金等价物的影响</v>
      </c>
    </row>
    <row r="338" spans="18:19" ht="12.9" customHeight="1">
      <c r="S338" s="667" t="str">
        <f t="shared" si="12"/>
        <v>五、现金及现金等价物净增加额</v>
      </c>
    </row>
    <row r="339" spans="18:19" ht="12.9" customHeight="1">
      <c r="S339" s="667" t="str">
        <f t="shared" si="12"/>
        <v xml:space="preserve">    加：期初现金及现金等价物余额</v>
      </c>
    </row>
    <row r="340" spans="18:19" ht="12.9" customHeight="1">
      <c r="S340" s="667" t="str">
        <f t="shared" si="12"/>
        <v>六、期末现金及现金等价物余额</v>
      </c>
    </row>
    <row r="341" spans="18:19" ht="12.9" customHeight="1">
      <c r="S341" s="668" t="str">
        <f>N4</f>
        <v>补充资料</v>
      </c>
    </row>
    <row r="342" spans="18:19" ht="12.9" customHeight="1">
      <c r="S342" s="667" t="str">
        <f>N5</f>
        <v>1、将净利润调节为经营活动现金流量：</v>
      </c>
    </row>
    <row r="343" spans="18:19" ht="12.9" customHeight="1">
      <c r="R343" s="350" t="s">
        <v>1416</v>
      </c>
      <c r="S343" s="667" t="str">
        <f t="shared" ref="S343:S380" si="13">N6</f>
        <v xml:space="preserve">     净利润</v>
      </c>
    </row>
    <row r="344" spans="18:19" ht="12.9" customHeight="1">
      <c r="S344" s="667">
        <f t="shared" si="13"/>
        <v>0</v>
      </c>
    </row>
    <row r="345" spans="18:19" ht="12.9" customHeight="1">
      <c r="S345" s="667">
        <f t="shared" si="13"/>
        <v>0</v>
      </c>
    </row>
    <row r="346" spans="18:19" ht="12.9" customHeight="1">
      <c r="R346" s="350" t="s">
        <v>1417</v>
      </c>
      <c r="S346" s="667" t="str">
        <f t="shared" si="13"/>
        <v>加：资产减值损失</v>
      </c>
    </row>
    <row r="347" spans="18:19" ht="12.9" customHeight="1">
      <c r="R347" s="350" t="s">
        <v>1418</v>
      </c>
      <c r="S347" s="667" t="str">
        <f t="shared" si="13"/>
        <v xml:space="preserve">        信用减值损失</v>
      </c>
    </row>
    <row r="348" spans="18:19" ht="12.9" customHeight="1">
      <c r="R348" s="350" t="s">
        <v>1419</v>
      </c>
      <c r="S348" s="667" t="str">
        <f t="shared" si="13"/>
        <v xml:space="preserve">     固定资产折旧、投资性房地产折旧、油气资产折耗、生产性生物资产折旧</v>
      </c>
    </row>
    <row r="349" spans="18:19" ht="12.9" customHeight="1">
      <c r="R349" s="350" t="s">
        <v>1420</v>
      </c>
      <c r="S349" s="667" t="str">
        <f t="shared" si="13"/>
        <v xml:space="preserve">    使用权资产折旧</v>
      </c>
    </row>
    <row r="350" spans="18:19" ht="12.9" customHeight="1">
      <c r="R350" s="350" t="s">
        <v>1421</v>
      </c>
      <c r="S350" s="667" t="str">
        <f t="shared" si="13"/>
        <v xml:space="preserve">     无形资产摊销</v>
      </c>
    </row>
    <row r="351" spans="18:19" ht="12.9" customHeight="1">
      <c r="R351" s="350" t="s">
        <v>1422</v>
      </c>
      <c r="S351" s="667" t="str">
        <f t="shared" si="13"/>
        <v xml:space="preserve">     长期待摊费用摊销</v>
      </c>
    </row>
    <row r="352" spans="18:19" ht="12.9" customHeight="1">
      <c r="R352" s="350" t="s">
        <v>1423</v>
      </c>
      <c r="S352" s="667" t="str">
        <f t="shared" si="13"/>
        <v xml:space="preserve">     处置固定资产、无形资产和其他长期资产的损失（收益以“－”号填列）</v>
      </c>
    </row>
    <row r="353" spans="18:19" ht="12.9" customHeight="1">
      <c r="R353" s="350" t="s">
        <v>1424</v>
      </c>
      <c r="S353" s="667" t="str">
        <f t="shared" si="13"/>
        <v xml:space="preserve">     固定资产报废损失（收益以“－”号填列）</v>
      </c>
    </row>
    <row r="354" spans="18:19" ht="12.9" customHeight="1">
      <c r="R354" s="350" t="s">
        <v>1425</v>
      </c>
      <c r="S354" s="667" t="str">
        <f t="shared" si="13"/>
        <v xml:space="preserve">     公允价值变动损失（收益以“－”号填列）</v>
      </c>
    </row>
    <row r="355" spans="18:19" ht="12.9" customHeight="1">
      <c r="R355" s="350" t="s">
        <v>1426</v>
      </c>
      <c r="S355" s="667" t="str">
        <f t="shared" si="13"/>
        <v xml:space="preserve">     财务费用（收益以“－”号填列）</v>
      </c>
    </row>
    <row r="356" spans="18:19" ht="12.9" customHeight="1">
      <c r="R356" s="350" t="s">
        <v>1427</v>
      </c>
      <c r="S356" s="667" t="str">
        <f t="shared" si="13"/>
        <v xml:space="preserve">     投资损失（收益以“－”号填列）</v>
      </c>
    </row>
    <row r="357" spans="18:19" ht="12.9" customHeight="1">
      <c r="R357" s="350" t="s">
        <v>1428</v>
      </c>
      <c r="S357" s="667" t="str">
        <f t="shared" si="13"/>
        <v xml:space="preserve">     递延所得税资产减少（增加以“－”号填列）</v>
      </c>
    </row>
    <row r="358" spans="18:19" ht="12.9" customHeight="1">
      <c r="R358" s="350" t="s">
        <v>1429</v>
      </c>
      <c r="S358" s="667" t="str">
        <f t="shared" si="13"/>
        <v xml:space="preserve">     递延所得税负债增加（减少以“－”号填列）</v>
      </c>
    </row>
    <row r="359" spans="18:19" ht="12.9" customHeight="1">
      <c r="R359" s="350" t="s">
        <v>1430</v>
      </c>
      <c r="S359" s="667" t="str">
        <f t="shared" si="13"/>
        <v xml:space="preserve">     存货的减少（增加以“－”号填列）</v>
      </c>
    </row>
    <row r="360" spans="18:19" ht="12.9" customHeight="1">
      <c r="R360" s="350" t="s">
        <v>1431</v>
      </c>
      <c r="S360" s="667" t="str">
        <f t="shared" si="13"/>
        <v xml:space="preserve">     经营性应收项目的减少（增加以“－”号填列）</v>
      </c>
    </row>
    <row r="361" spans="18:19" ht="12.9" customHeight="1">
      <c r="R361" s="350" t="s">
        <v>1432</v>
      </c>
      <c r="S361" s="667" t="str">
        <f t="shared" si="13"/>
        <v xml:space="preserve">     经营性应付项目的增加（减少以“－”号填列）</v>
      </c>
    </row>
    <row r="362" spans="18:19" ht="12.9" customHeight="1">
      <c r="R362" s="350" t="s">
        <v>1490</v>
      </c>
      <c r="S362" s="667" t="str">
        <f t="shared" si="13"/>
        <v xml:space="preserve">     其他</v>
      </c>
    </row>
    <row r="363" spans="18:19" ht="12.9" customHeight="1">
      <c r="S363" s="667">
        <f t="shared" si="13"/>
        <v>0</v>
      </c>
    </row>
    <row r="364" spans="18:19" ht="12.9" customHeight="1">
      <c r="S364" s="667" t="str">
        <f>N27</f>
        <v xml:space="preserve">     经营活动产生的现金流量净额</v>
      </c>
    </row>
    <row r="365" spans="18:19" ht="12.9" customHeight="1">
      <c r="S365" s="667">
        <f t="shared" si="13"/>
        <v>0</v>
      </c>
    </row>
    <row r="366" spans="18:19" ht="12.9" customHeight="1">
      <c r="S366" s="667" t="str">
        <f t="shared" si="13"/>
        <v>2、不涉及现金收支的投资和筹资活动：</v>
      </c>
    </row>
    <row r="367" spans="18:19" ht="12.9" customHeight="1">
      <c r="S367" s="667" t="str">
        <f t="shared" si="13"/>
        <v xml:space="preserve">     债务转为资本</v>
      </c>
    </row>
    <row r="368" spans="18:19" ht="12.9" customHeight="1">
      <c r="S368" s="667" t="str">
        <f t="shared" si="13"/>
        <v xml:space="preserve">     一年内到期的可转换公司债券</v>
      </c>
    </row>
    <row r="369" spans="19:19" ht="12.9" customHeight="1">
      <c r="S369" s="667" t="str">
        <f t="shared" si="13"/>
        <v xml:space="preserve">     融资租入固定资产</v>
      </c>
    </row>
    <row r="370" spans="19:19" ht="12.9" customHeight="1">
      <c r="S370" s="667" t="str">
        <f>N33</f>
        <v xml:space="preserve">    当期新增的使用权资产</v>
      </c>
    </row>
    <row r="371" spans="19:19" ht="12.9" customHeight="1">
      <c r="S371" s="667">
        <f t="shared" si="13"/>
        <v>0</v>
      </c>
    </row>
    <row r="372" spans="19:19" ht="12.9" customHeight="1">
      <c r="S372" s="667">
        <f t="shared" si="13"/>
        <v>0</v>
      </c>
    </row>
    <row r="373" spans="19:19" ht="12.9" customHeight="1">
      <c r="S373" s="667" t="str">
        <f t="shared" si="13"/>
        <v>3、现金及现金等价物净变动情况：</v>
      </c>
    </row>
    <row r="374" spans="19:19" ht="12.9" customHeight="1">
      <c r="S374" s="667" t="str">
        <f t="shared" si="13"/>
        <v xml:space="preserve">     现金的期末余额</v>
      </c>
    </row>
    <row r="375" spans="19:19" ht="12.9" customHeight="1">
      <c r="S375" s="667" t="str">
        <f t="shared" si="13"/>
        <v xml:space="preserve">     减：现金的期初余额</v>
      </c>
    </row>
    <row r="376" spans="19:19" ht="12.9" customHeight="1">
      <c r="S376" s="667" t="str">
        <f t="shared" si="13"/>
        <v xml:space="preserve">     加：现金等价物的期末余额</v>
      </c>
    </row>
    <row r="377" spans="19:19" ht="12.9" customHeight="1">
      <c r="S377" s="667" t="str">
        <f t="shared" si="13"/>
        <v xml:space="preserve">     减：现金等价物的期初余额</v>
      </c>
    </row>
    <row r="378" spans="19:19" ht="12.9" customHeight="1">
      <c r="S378" s="667">
        <f t="shared" si="13"/>
        <v>0</v>
      </c>
    </row>
    <row r="379" spans="19:19" ht="12.9" customHeight="1">
      <c r="S379" s="667">
        <f t="shared" si="13"/>
        <v>0</v>
      </c>
    </row>
    <row r="380" spans="19:19" ht="12.9" customHeight="1">
      <c r="S380" s="667" t="str">
        <f t="shared" si="13"/>
        <v xml:space="preserve">     现金及现金等价物净增加额</v>
      </c>
    </row>
  </sheetData>
  <sheetProtection insertRows="0" autoFilter="0" pivotTables="0"/>
  <autoFilter ref="A4:T115">
    <filterColumn colId="13" showButton="0"/>
    <filterColumn colId="14" showButton="0"/>
  </autoFilter>
  <dataConsolidate/>
  <customSheetViews>
    <customSheetView guid="{9A8CA204-20A8-11D5-8CC7-F77182B33125}" showPageBreaks="1" zeroValues="0" printArea="1" view="pageBreakPreview" showRuler="0">
      <pane ySplit="3" topLeftCell="A4" activePane="bottomLeft" state="frozenSplit"/>
      <selection pane="bottomLeft" activeCell="B5" sqref="B5"/>
      <pageMargins left="0.25" right="0.55000000000000004" top="1.1299999999999999" bottom="0.5" header="0.65" footer="0.25"/>
      <printOptions horizontalCentered="1"/>
      <pageSetup paperSize="9" orientation="landscape" r:id="rId1"/>
      <headerFooter alignWithMargins="0"/>
    </customSheetView>
  </customSheetViews>
  <mergeCells count="13">
    <mergeCell ref="J3:J54"/>
    <mergeCell ref="K1:O1"/>
    <mergeCell ref="N3:O3"/>
    <mergeCell ref="N4:O4"/>
    <mergeCell ref="K3:L3"/>
    <mergeCell ref="M3:M54"/>
    <mergeCell ref="G3:G54"/>
    <mergeCell ref="A3:A54"/>
    <mergeCell ref="A1:I1"/>
    <mergeCell ref="D3:D54"/>
    <mergeCell ref="B3:C3"/>
    <mergeCell ref="E3:F3"/>
    <mergeCell ref="H3:I3"/>
  </mergeCells>
  <phoneticPr fontId="4" type="noConversion"/>
  <conditionalFormatting sqref="S1:S1048576">
    <cfRule type="duplicateValues" dxfId="71" priority="1"/>
  </conditionalFormatting>
  <dataValidations xWindow="479" yWindow="526" count="7">
    <dataValidation allowBlank="1" showInputMessage="1" showErrorMessage="1" prompt="本栏已设定为减项" sqref="H45 H11 H43"/>
    <dataValidation allowBlank="1" showInputMessage="1" showErrorMessage="1" prompt="本栏未计入合计数" sqref="E54:E55 E26:E27 H6:H10 H12:H20 H42 H26:H29 E48 B8:B9 B13:B14 B16:B17 B19:B20 B22:B23 B25:B26 B28:B29 B32:B33 B35:B36 B38:B39 B41:B42 B44:B45 B47:B48 B52:B53 B59:B60 B62:B63 B65:B66 B68:B69 B72:B73 B77:B80 B82:B85 B88:B89 B91:B92 B94:B97 B99:B102 B104:B107 B109:B112 B114:B115 B117:B118 E24 E20:E22 E38:E39 H32:H33 H21 H22 H23 H24 H25"/>
    <dataValidation allowBlank="1" showInputMessage="1" showErrorMessage="1" prompt="本栏已设定为加项" sqref="E56 E62:E64 E36:E37 H37:H38 E6:E9 B119:B122 B43 B61 B30:B31 B6:B7 B10:B12 B15 B18 B21 B24 B27 B34 B37 B40 B46 B51 B54:B56 B64 B67 B70:B71 B74:B76 B81 B86:B87 B90 B93 B98 B103 B108 B113 B116 E11:E19 E23 E25 E28:E33 E40:E47 E52 E58 H6:H10 H34"/>
    <dataValidation allowBlank="1" showInputMessage="1" showErrorMessage="1" prompt="本栏已设为减项" sqref="E57"/>
    <dataValidation allowBlank="1" showInputMessage="1" showErrorMessage="1" prompt="本栏已设为加项" sqref="E53 H30:H31 H35:H36 H39 E59:E61 H41"/>
    <dataValidation allowBlank="1" showInputMessage="1" showErrorMessage="1" prompt="本栏未计入合计项" sqref="B49:B50"/>
    <dataValidation allowBlank="1" showInputMessage="1" showErrorMessage="1" prompt="本栏不计入合计数" sqref="B123"/>
  </dataValidations>
  <printOptions horizontalCentered="1"/>
  <pageMargins left="0.25" right="0.55000000000000004" top="0.74" bottom="0.5" header="0.65" footer="0.25"/>
  <pageSetup paperSize="9" orientation="landscape" blackAndWhite="1" r:id="rId2"/>
  <headerFooter alignWithMargins="0"/>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G292"/>
  <sheetViews>
    <sheetView showGridLines="0" showZeros="0" zoomScale="130" zoomScaleNormal="130" zoomScaleSheetLayoutView="130" workbookViewId="0">
      <pane xSplit="6" ySplit="7" topLeftCell="G101" activePane="bottomRight" state="frozen"/>
      <selection activeCell="D132" sqref="D132"/>
      <selection pane="topRight" activeCell="D132" sqref="D132"/>
      <selection pane="bottomLeft" activeCell="D132" sqref="D132"/>
      <selection pane="bottomRight" activeCell="A168" sqref="A168"/>
    </sheetView>
  </sheetViews>
  <sheetFormatPr defaultColWidth="9.19921875" defaultRowHeight="13.5" customHeight="1" outlineLevelRow="1"/>
  <cols>
    <col min="1" max="1" width="30.69921875" style="579" customWidth="1"/>
    <col min="2" max="2" width="11.69921875" style="484" customWidth="1"/>
    <col min="3" max="3" width="11.69921875" style="493" customWidth="1"/>
    <col min="4" max="4" width="11.69921875" style="580" customWidth="1"/>
    <col min="5" max="5" width="11.69921875" style="493" customWidth="1"/>
    <col min="6" max="6" width="11.69921875" style="581" customWidth="1"/>
    <col min="7" max="16384" width="9.19921875" style="482"/>
  </cols>
  <sheetData>
    <row r="1" spans="1:6" ht="13.5" hidden="1" customHeight="1" outlineLevel="1">
      <c r="A1" s="1053" t="s">
        <v>420</v>
      </c>
      <c r="B1" s="1053"/>
      <c r="C1" s="1053"/>
      <c r="D1" s="1053"/>
      <c r="E1" s="1053"/>
      <c r="F1" s="1053"/>
    </row>
    <row r="2" spans="1:6" ht="13.5" hidden="1" customHeight="1" outlineLevel="1">
      <c r="A2" s="1054" t="s">
        <v>806</v>
      </c>
      <c r="B2" s="1054"/>
      <c r="C2" s="1054"/>
      <c r="D2" s="1054"/>
      <c r="E2" s="1054"/>
      <c r="F2" s="1054"/>
    </row>
    <row r="3" spans="1:6" ht="13.5" hidden="1" customHeight="1" outlineLevel="1">
      <c r="A3" s="483" t="s">
        <v>807</v>
      </c>
      <c r="C3" s="485" t="s">
        <v>808</v>
      </c>
      <c r="D3" s="485" t="s">
        <v>809</v>
      </c>
      <c r="E3" s="486" t="s">
        <v>810</v>
      </c>
      <c r="F3" s="487" t="s">
        <v>811</v>
      </c>
    </row>
    <row r="4" spans="1:6" ht="13.5" hidden="1" customHeight="1" outlineLevel="1">
      <c r="A4" s="488" t="s">
        <v>812</v>
      </c>
      <c r="C4" s="485" t="s">
        <v>813</v>
      </c>
      <c r="D4" s="485" t="s">
        <v>809</v>
      </c>
      <c r="E4" s="486" t="s">
        <v>814</v>
      </c>
      <c r="F4" s="489"/>
    </row>
    <row r="5" spans="1:6" ht="13.5" customHeight="1" collapsed="1">
      <c r="A5" s="490"/>
      <c r="B5" s="491" t="str">
        <f>IF(ROUND(B121-B167,2)=0,"",ROUND(B121-B167,2))</f>
        <v/>
      </c>
      <c r="C5" s="491" t="str">
        <f>IF(ROUND(C121-C167,2)=0,"",ROUND(C121-C167,2))</f>
        <v/>
      </c>
      <c r="D5" s="491" t="str">
        <f>IF(ROUND(D121-D167,2)=0,"",ROUND(D121-D167,2))</f>
        <v/>
      </c>
      <c r="E5" s="491" t="str">
        <f>IF(ROUND(E121-E167,2)=0,"",ROUND(E121-E167,2))</f>
        <v/>
      </c>
      <c r="F5" s="492" t="str">
        <f>IF(ROUND(F121-F167,2)=0,"",ROUND(F121-F167,2))</f>
        <v/>
      </c>
    </row>
    <row r="6" spans="1:6" ht="13.5" customHeight="1">
      <c r="A6" s="490" t="str">
        <f>IF(SUM(B6:F6)=0,"","现金流量不平")</f>
        <v/>
      </c>
      <c r="B6" s="493" t="str">
        <f>IF(AND(ROUND(B232-B282,2)=0,ROUND(B261-B292,2)&lt;&gt;0),ROUND(B261-B292,2),IF(AND(ROUND(B232-B282,2)&lt;&gt;0,ROUND(B261-B292,2)=0),ROUND(B232-B282,2),IF(AND(ROUND(B232-B282,2)&lt;&gt;0,ROUND(B261-B292,2)),ROUND(B261-B292,2),"")))</f>
        <v/>
      </c>
      <c r="C6" s="493" t="str">
        <f>IF(AND(ROUND(C232-C282,2)=0,ROUND(C261-C292,2)&lt;&gt;0),ROUND(C261-C292,2),IF(AND(ROUND(C232-C282,2)&lt;&gt;0,ROUND(C261-C292,2)=0),ROUND(C232-C282,2),IF(AND(ROUND(C232-C282,2)&lt;&gt;0,ROUND(C261-C292,2)),ROUND(C261-C292,2),"")))</f>
        <v/>
      </c>
      <c r="D6" s="493" t="str">
        <f>IF(AND(ROUND(D232-D282,2)=0,ROUND(D261-D292,2)&lt;&gt;0),ROUND(D261-D292,2),IF(AND(ROUND(D232-D282,2)&lt;&gt;0,ROUND(D261-D292,2)=0),ROUND(D232-D282,2),IF(AND(ROUND(D232-D282,2)&lt;&gt;0,ROUND(D261-D292,2)),ROUND(D261-D292,2),"")))</f>
        <v/>
      </c>
      <c r="E6" s="493" t="str">
        <f>IF(AND(ROUND(E232-E282,2)=0,ROUND(E261-E292,2)&lt;&gt;0),ROUND(E261-E292,2),IF(AND(ROUND(E232-E282,2)&lt;&gt;0,ROUND(E261-E292,2)=0),ROUND(E232-E282,2),IF(AND(ROUND(E232-E282,2)&lt;&gt;0,ROUND(E261-E292,2)),ROUND(E261-E292,2),"")))</f>
        <v/>
      </c>
      <c r="F6" s="492" t="str">
        <f>IF(AND(ROUND(F232-F282,2)=0,ROUND(F261-F292,2)&lt;&gt;0),ROUND(F261-F292,2),IF(AND(ROUND(F232-F282,2)&lt;&gt;0,ROUND(F261-F292,2)=0),ROUND(F232-F282,2),IF(AND(ROUND(F232-F282,2)&lt;&gt;0,ROUND(F261-F292,2)),ROUND(F261-F292,2),"")))</f>
        <v/>
      </c>
    </row>
    <row r="7" spans="1:6" s="497" customFormat="1" ht="13.5" customHeight="1">
      <c r="A7" s="494" t="s">
        <v>771</v>
      </c>
      <c r="B7" s="495" t="s">
        <v>815</v>
      </c>
      <c r="C7" s="496" t="s">
        <v>816</v>
      </c>
      <c r="D7" s="495" t="s">
        <v>817</v>
      </c>
      <c r="E7" s="496" t="s">
        <v>818</v>
      </c>
      <c r="F7" s="495" t="s">
        <v>819</v>
      </c>
    </row>
    <row r="8" spans="1:6" s="503" customFormat="1" ht="13.5" customHeight="1">
      <c r="A8" s="498" t="s">
        <v>820</v>
      </c>
      <c r="B8" s="499"/>
      <c r="C8" s="500"/>
      <c r="D8" s="501"/>
      <c r="E8" s="500"/>
      <c r="F8" s="502"/>
    </row>
    <row r="9" spans="1:6" ht="13.5" customHeight="1">
      <c r="A9" s="504" t="s">
        <v>821</v>
      </c>
      <c r="B9" s="505">
        <v>128841559.86</v>
      </c>
      <c r="C9" s="506">
        <f>SUMPRODUCT(([3]分录!$D$7:$D$100=$A9)*INT((([3]分录!$C$7:$C$100="借：")-0.5)*2)*([3]分录!$I$7:$I$100=C$7)*([3]分录!$H$7:$H$100))</f>
        <v>0</v>
      </c>
      <c r="D9" s="506">
        <f>SUMPRODUCT(([3]分录!$D$7:$D$100=$A9)*INT((([3]分录!$C$7:$C$100="借：")-0.5)*2)*([3]分录!$I$7:$I$100=D$7)*([3]分录!$H$7:$H$100))</f>
        <v>0</v>
      </c>
      <c r="E9" s="506">
        <f>SUMPRODUCT(([3]分录!$D$7:$D$100=$A9)*INT((([3]分录!$C$7:$C$100="借：")-0.5)*2)*([3]分录!$I$7:$I$100=E$7)*([3]分录!$H$7:$H$100))</f>
        <v>0</v>
      </c>
      <c r="F9" s="507">
        <f t="shared" ref="F9:F74" si="0">ROUND(SUM(B9:E9),2)</f>
        <v>128841559.86</v>
      </c>
    </row>
    <row r="10" spans="1:6" ht="13.5" customHeight="1">
      <c r="A10" s="508" t="s">
        <v>822</v>
      </c>
      <c r="B10" s="505">
        <v>10338994785.889999</v>
      </c>
      <c r="C10" s="506">
        <f>SUMPRODUCT(([3]分录!$D$7:$D$100=$A10)*INT((([3]分录!$C$7:$C$100="借：")-0.5)*2)*([3]分录!$I$7:$I$100=C$7)*([3]分录!$H$7:$H$100))</f>
        <v>0</v>
      </c>
      <c r="D10" s="506">
        <f>SUMPRODUCT(([3]分录!$D$7:$D$100=$A10)*INT((([3]分录!$C$7:$C$100="借：")-0.5)*2)*([3]分录!$I$7:$I$100=D$7)*([3]分录!$H$7:$H$100))</f>
        <v>0</v>
      </c>
      <c r="E10" s="506">
        <f>SUMPRODUCT(([3]分录!$D$7:$D$100=$A10)*INT((([3]分录!$C$7:$C$100="借：")-0.5)*2)*([3]分录!$I$7:$I$100=E$7)*([3]分录!$H$7:$H$100))</f>
        <v>0</v>
      </c>
      <c r="F10" s="507">
        <f t="shared" si="0"/>
        <v>10338994785.889999</v>
      </c>
    </row>
    <row r="11" spans="1:6" ht="13.5" customHeight="1">
      <c r="A11" s="509" t="s">
        <v>823</v>
      </c>
      <c r="B11" s="505">
        <v>0</v>
      </c>
      <c r="C11" s="506">
        <f>SUMPRODUCT(([3]分录!$D$7:$D$100=$A11)*INT((([3]分录!$C$7:$C$100="借：")-0.5)*2)*([3]分录!$I$7:$I$100=C$7)*([3]分录!$H$7:$H$100))</f>
        <v>0</v>
      </c>
      <c r="D11" s="506">
        <f>SUMPRODUCT(([3]分录!$D$7:$D$100=$A11)*INT((([3]分录!$C$7:$C$100="借：")-0.5)*2)*([3]分录!$I$7:$I$100=D$7)*([3]分录!$H$7:$H$100))</f>
        <v>0</v>
      </c>
      <c r="E11" s="506">
        <f>SUMPRODUCT(([3]分录!$D$7:$D$100=$A11)*INT((([3]分录!$C$7:$C$100="借：")-0.5)*2)*([3]分录!$I$7:$I$100=E$7)*([3]分录!$H$7:$H$100))</f>
        <v>0</v>
      </c>
      <c r="F11" s="507">
        <f t="shared" si="0"/>
        <v>0</v>
      </c>
    </row>
    <row r="12" spans="1:6" ht="13.5" customHeight="1">
      <c r="A12" s="508" t="s">
        <v>824</v>
      </c>
      <c r="B12" s="505">
        <v>0</v>
      </c>
      <c r="C12" s="506">
        <f>SUMPRODUCT(([3]分录!$D$7:$D$100=$A12)*INT((([3]分录!$C$7:$C$100="借：")-0.5)*2)*([3]分录!$I$7:$I$100=C$7)*([3]分录!$H$7:$H$100))</f>
        <v>0</v>
      </c>
      <c r="D12" s="506">
        <f>SUMPRODUCT(([3]分录!$D$7:$D$100=$A12)*INT((([3]分录!$C$7:$C$100="借：")-0.5)*2)*([3]分录!$I$7:$I$100=D$7)*([3]分录!$H$7:$H$100))</f>
        <v>0</v>
      </c>
      <c r="E12" s="506">
        <f>SUMPRODUCT(([3]分录!$D$7:$D$100=$A12)*INT((([3]分录!$C$7:$C$100="借：")-0.5)*2)*([3]分录!$I$7:$I$100=E$7)*([3]分录!$H$7:$H$100))</f>
        <v>0</v>
      </c>
      <c r="F12" s="507">
        <f t="shared" si="0"/>
        <v>0</v>
      </c>
    </row>
    <row r="13" spans="1:6" ht="13.5" customHeight="1">
      <c r="A13" s="504" t="s">
        <v>825</v>
      </c>
      <c r="B13" s="505">
        <v>0</v>
      </c>
      <c r="C13" s="506">
        <f>SUMPRODUCT(([3]分录!$D$7:$D$100=$A13)*INT((([3]分录!$C$7:$C$100="借：")-0.5)*2)*([3]分录!$I$7:$I$100=C$7)*([3]分录!$H$7:$H$100))</f>
        <v>0</v>
      </c>
      <c r="D13" s="506">
        <f>SUMPRODUCT(([3]分录!$D$7:$D$100=$A13)*INT((([3]分录!$C$7:$C$100="借：")-0.5)*2)*([3]分录!$I$7:$I$100=D$7)*([3]分录!$H$7:$H$100))</f>
        <v>0</v>
      </c>
      <c r="E13" s="506">
        <f>SUMPRODUCT(([3]分录!$D$7:$D$100=$A13)*INT((([3]分录!$C$7:$C$100="借：")-0.5)*2)*([3]分录!$I$7:$I$100=E$7)*([3]分录!$H$7:$H$100))</f>
        <v>0</v>
      </c>
      <c r="F13" s="507">
        <f t="shared" si="0"/>
        <v>0</v>
      </c>
    </row>
    <row r="14" spans="1:6" ht="13.5" customHeight="1">
      <c r="A14" s="510" t="s">
        <v>826</v>
      </c>
      <c r="B14" s="505">
        <v>0</v>
      </c>
      <c r="C14" s="506">
        <f>-SUMPRODUCT(([3]分录!$D$7:$D$100=$A14)*INT((([3]分录!$C$7:$C$100="借：")-0.5)*2)*([3]分录!$I$7:$I$100=C$7)*([3]分录!$H$7:$H$100))</f>
        <v>0</v>
      </c>
      <c r="D14" s="506">
        <f>-SUMPRODUCT(([3]分录!$D$7:$D$100=$A14)*INT((([3]分录!$C$7:$C$100="借：")-0.5)*2)*([3]分录!$I$7:$I$100=D$7)*([3]分录!$H$7:$H$100))</f>
        <v>0</v>
      </c>
      <c r="E14" s="506">
        <f>-SUMPRODUCT(([3]分录!$D$7:$D$100=$A14)*INT((([3]分录!$C$7:$C$100="借：")-0.5)*2)*([3]分录!$I$7:$I$100=E$7)*([3]分录!$H$7:$H$100))</f>
        <v>0</v>
      </c>
      <c r="F14" s="507">
        <f t="shared" si="0"/>
        <v>0</v>
      </c>
    </row>
    <row r="15" spans="1:6" ht="13.5" customHeight="1">
      <c r="A15" s="504" t="s">
        <v>827</v>
      </c>
      <c r="B15" s="511">
        <v>0</v>
      </c>
      <c r="C15" s="512">
        <f>C13-C14</f>
        <v>0</v>
      </c>
      <c r="D15" s="512">
        <f>D13-D14</f>
        <v>0</v>
      </c>
      <c r="E15" s="512">
        <f>E13-E14</f>
        <v>0</v>
      </c>
      <c r="F15" s="507">
        <f t="shared" si="0"/>
        <v>0</v>
      </c>
    </row>
    <row r="16" spans="1:6" ht="13.5" customHeight="1">
      <c r="A16" s="513" t="s">
        <v>783</v>
      </c>
      <c r="B16" s="505">
        <v>0</v>
      </c>
      <c r="C16" s="506">
        <f>SUMPRODUCT(([3]分录!$D$7:$D$100=$A16)*INT((([3]分录!$C$7:$C$100="借：")-0.5)*2)*([3]分录!$I$7:$I$100=C$7)*([3]分录!$H$7:$H$100))</f>
        <v>0</v>
      </c>
      <c r="D16" s="506">
        <f>SUMPRODUCT(([3]分录!$D$7:$D$100=$A16)*INT((([3]分录!$C$7:$C$100="借：")-0.5)*2)*([3]分录!$I$7:$I$100=D$7)*([3]分录!$H$7:$H$100))</f>
        <v>0</v>
      </c>
      <c r="E16" s="506">
        <f>SUMPRODUCT(([3]分录!$D$7:$D$100=$A16)*INT((([3]分录!$C$7:$C$100="借：")-0.5)*2)*([3]分录!$I$7:$I$100=E$7)*([3]分录!$H$7:$H$100))</f>
        <v>0</v>
      </c>
      <c r="F16" s="507">
        <f t="shared" si="0"/>
        <v>0</v>
      </c>
    </row>
    <row r="17" spans="1:6" ht="13.5" customHeight="1">
      <c r="A17" s="514" t="s">
        <v>828</v>
      </c>
      <c r="B17" s="505">
        <v>0</v>
      </c>
      <c r="C17" s="506">
        <f>-SUMPRODUCT(([3]分录!$D$7:$D$100=$A17)*INT((([3]分录!$C$7:$C$100="借：")-0.5)*2)*([3]分录!$I$7:$I$100=C$7)*([3]分录!$H$7:$H$100))</f>
        <v>-1807111.9100000004</v>
      </c>
      <c r="D17" s="506">
        <f>-SUMPRODUCT(([3]分录!$D$7:$D$100=$A17)*INT((([3]分录!$C$7:$C$100="借：")-0.5)*2)*([3]分录!$I$7:$I$100=D$7)*([3]分录!$H$7:$H$100))</f>
        <v>0</v>
      </c>
      <c r="E17" s="506">
        <f>-SUMPRODUCT(([3]分录!$D$7:$D$100=$A17)*INT((([3]分录!$C$7:$C$100="借：")-0.5)*2)*([3]分录!$I$7:$I$100=E$7)*([3]分录!$H$7:$H$100))</f>
        <v>0</v>
      </c>
      <c r="F17" s="507">
        <f t="shared" si="0"/>
        <v>-1807111.91</v>
      </c>
    </row>
    <row r="18" spans="1:6" ht="13.5" customHeight="1">
      <c r="A18" s="513" t="s">
        <v>785</v>
      </c>
      <c r="B18" s="511">
        <v>0</v>
      </c>
      <c r="C18" s="512">
        <f>C16-C17</f>
        <v>1807111.9100000004</v>
      </c>
      <c r="D18" s="512">
        <f>D16-D17</f>
        <v>0</v>
      </c>
      <c r="E18" s="512">
        <f>E16-E17</f>
        <v>0</v>
      </c>
      <c r="F18" s="507">
        <f t="shared" si="0"/>
        <v>1807111.91</v>
      </c>
    </row>
    <row r="19" spans="1:6" ht="13.5" customHeight="1">
      <c r="A19" s="504" t="s">
        <v>829</v>
      </c>
      <c r="B19" s="505">
        <v>0</v>
      </c>
      <c r="C19" s="506">
        <f>SUMPRODUCT(([3]分录!$D$7:$D$100=$A19)*INT((([3]分录!$C$7:$C$100="借：")-0.5)*2)*([3]分录!$I$7:$I$100=C$7)*([3]分录!$H$7:$H$100))</f>
        <v>0</v>
      </c>
      <c r="D19" s="506">
        <f>SUMPRODUCT(([3]分录!$D$7:$D$100=$A19)*INT((([3]分录!$C$7:$C$100="借：")-0.5)*2)*([3]分录!$I$7:$I$100=D$7)*([3]分录!$H$7:$H$100))</f>
        <v>0</v>
      </c>
      <c r="E19" s="506">
        <f>SUMPRODUCT(([3]分录!$D$7:$D$100=$A19)*INT((([3]分录!$C$7:$C$100="借：")-0.5)*2)*([3]分录!$I$7:$I$100=E$7)*([3]分录!$H$7:$H$100))</f>
        <v>0</v>
      </c>
      <c r="F19" s="507">
        <f t="shared" si="0"/>
        <v>0</v>
      </c>
    </row>
    <row r="20" spans="1:6" ht="13.5" customHeight="1">
      <c r="A20" s="510" t="s">
        <v>830</v>
      </c>
      <c r="B20" s="505">
        <v>0</v>
      </c>
      <c r="C20" s="506">
        <f>-SUMPRODUCT(([3]分录!$D$7:$D$100=$A20)*INT((([3]分录!$C$7:$C$100="借：")-0.5)*2)*([3]分录!$I$7:$I$100=C$7)*([3]分录!$H$7:$H$100))</f>
        <v>0</v>
      </c>
      <c r="D20" s="506">
        <f>-SUMPRODUCT(([3]分录!$D$7:$D$100=$A20)*INT((([3]分录!$C$7:$C$100="借：")-0.5)*2)*([3]分录!$I$7:$I$100=D$7)*([3]分录!$H$7:$H$100))</f>
        <v>0</v>
      </c>
      <c r="E20" s="506">
        <f>-SUMPRODUCT(([3]分录!$D$7:$D$100=$A20)*INT((([3]分录!$C$7:$C$100="借：")-0.5)*2)*([3]分录!$I$7:$I$100=E$7)*([3]分录!$H$7:$H$100))</f>
        <v>0</v>
      </c>
      <c r="F20" s="507">
        <f t="shared" si="0"/>
        <v>0</v>
      </c>
    </row>
    <row r="21" spans="1:6" ht="13.5" customHeight="1">
      <c r="A21" s="504" t="s">
        <v>831</v>
      </c>
      <c r="B21" s="511">
        <v>0</v>
      </c>
      <c r="C21" s="512">
        <f>C19-C20</f>
        <v>0</v>
      </c>
      <c r="D21" s="512">
        <f>D19-D20</f>
        <v>0</v>
      </c>
      <c r="E21" s="512">
        <f>E19-E20</f>
        <v>0</v>
      </c>
      <c r="F21" s="507">
        <f t="shared" si="0"/>
        <v>0</v>
      </c>
    </row>
    <row r="22" spans="1:6" ht="13.5" customHeight="1">
      <c r="A22" s="515" t="s">
        <v>832</v>
      </c>
      <c r="B22" s="505">
        <v>0</v>
      </c>
      <c r="C22" s="506">
        <f>SUMPRODUCT(([3]分录!$D$7:$D$100=$A22)*INT((([3]分录!$C$7:$C$100="借：")-0.5)*2)*([3]分录!$I$7:$I$100=C$7)*([3]分录!$H$7:$H$100))</f>
        <v>0</v>
      </c>
      <c r="D22" s="506">
        <f>SUMPRODUCT(([3]分录!$D$7:$D$100=$A22)*INT((([3]分录!$C$7:$C$100="借：")-0.5)*2)*([3]分录!$I$7:$I$100=D$7)*([3]分录!$H$7:$H$100))</f>
        <v>0</v>
      </c>
      <c r="E22" s="506">
        <f>SUMPRODUCT(([3]分录!$D$7:$D$100=$A22)*INT((([3]分录!$C$7:$C$100="借：")-0.5)*2)*([3]分录!$I$7:$I$100=E$7)*([3]分录!$H$7:$H$100))</f>
        <v>0</v>
      </c>
      <c r="F22" s="507">
        <f t="shared" si="0"/>
        <v>0</v>
      </c>
    </row>
    <row r="23" spans="1:6" ht="13.5" customHeight="1">
      <c r="A23" s="516" t="s">
        <v>833</v>
      </c>
      <c r="B23" s="505">
        <v>0</v>
      </c>
      <c r="C23" s="506">
        <f>-SUMPRODUCT(([3]分录!$D$7:$D$100=$A23)*INT((([3]分录!$C$7:$C$100="借：")-0.5)*2)*([3]分录!$I$7:$I$100=C$7)*([3]分录!$H$7:$H$100))</f>
        <v>0</v>
      </c>
      <c r="D23" s="506">
        <f>-SUMPRODUCT(([3]分录!$D$7:$D$100=$A23)*INT((([3]分录!$C$7:$C$100="借：")-0.5)*2)*([3]分录!$I$7:$I$100=D$7)*([3]分录!$H$7:$H$100))</f>
        <v>0</v>
      </c>
      <c r="E23" s="506">
        <f>-SUMPRODUCT(([3]分录!$D$7:$D$100=$A23)*INT((([3]分录!$C$7:$C$100="借：")-0.5)*2)*([3]分录!$I$7:$I$100=E$7)*([3]分录!$H$7:$H$100))</f>
        <v>0</v>
      </c>
      <c r="F23" s="507">
        <f t="shared" si="0"/>
        <v>0</v>
      </c>
    </row>
    <row r="24" spans="1:6" ht="13.5" customHeight="1">
      <c r="A24" s="515" t="s">
        <v>834</v>
      </c>
      <c r="B24" s="511">
        <v>0</v>
      </c>
      <c r="C24" s="512">
        <f>C22-C23</f>
        <v>0</v>
      </c>
      <c r="D24" s="512">
        <f>D22-D23</f>
        <v>0</v>
      </c>
      <c r="E24" s="512">
        <f>E22-E23</f>
        <v>0</v>
      </c>
      <c r="F24" s="507">
        <f t="shared" si="0"/>
        <v>0</v>
      </c>
    </row>
    <row r="25" spans="1:6" ht="13.5" customHeight="1">
      <c r="A25" s="504" t="s">
        <v>835</v>
      </c>
      <c r="B25" s="505">
        <v>0</v>
      </c>
      <c r="C25" s="506">
        <f>SUMPRODUCT(([3]分录!$D$7:$D$100=$A25)*INT((([3]分录!$C$7:$C$100="借：")-0.5)*2)*([3]分录!$I$7:$I$100=C$7)*([3]分录!$H$7:$H$100))</f>
        <v>0</v>
      </c>
      <c r="D25" s="506">
        <f>SUMPRODUCT(([3]分录!$D$7:$D$100=$A25)*INT((([3]分录!$C$7:$C$100="借：")-0.5)*2)*([3]分录!$I$7:$I$100=D$7)*([3]分录!$H$7:$H$100))</f>
        <v>0</v>
      </c>
      <c r="E25" s="506">
        <f>SUMPRODUCT(([3]分录!$D$7:$D$100=$A25)*INT((([3]分录!$C$7:$C$100="借：")-0.5)*2)*([3]分录!$I$7:$I$100=E$7)*([3]分录!$H$7:$H$100))</f>
        <v>0</v>
      </c>
      <c r="F25" s="507">
        <f t="shared" si="0"/>
        <v>0</v>
      </c>
    </row>
    <row r="26" spans="1:6" ht="13.5" customHeight="1">
      <c r="A26" s="510" t="s">
        <v>836</v>
      </c>
      <c r="B26" s="505">
        <v>0</v>
      </c>
      <c r="C26" s="506">
        <f>-SUMPRODUCT(([3]分录!$D$7:$D$100=$A26)*INT((([3]分录!$C$7:$C$100="借：")-0.5)*2)*([3]分录!$I$7:$I$100=C$7)*([3]分录!$H$7:$H$100))</f>
        <v>0</v>
      </c>
      <c r="D26" s="506">
        <f>-SUMPRODUCT(([3]分录!$D$7:$D$100=$A26)*INT((([3]分录!$C$7:$C$100="借：")-0.5)*2)*([3]分录!$I$7:$I$100=D$7)*([3]分录!$H$7:$H$100))</f>
        <v>0</v>
      </c>
      <c r="E26" s="506">
        <f>-SUMPRODUCT(([3]分录!$D$7:$D$100=$A26)*INT((([3]分录!$C$7:$C$100="借：")-0.5)*2)*([3]分录!$I$7:$I$100=E$7)*([3]分录!$H$7:$H$100))</f>
        <v>0</v>
      </c>
      <c r="F26" s="507">
        <f t="shared" si="0"/>
        <v>0</v>
      </c>
    </row>
    <row r="27" spans="1:6" ht="13.5" customHeight="1">
      <c r="A27" s="504" t="s">
        <v>837</v>
      </c>
      <c r="B27" s="511">
        <v>0</v>
      </c>
      <c r="C27" s="512">
        <f>C25-C26</f>
        <v>0</v>
      </c>
      <c r="D27" s="512">
        <f>D25-D26</f>
        <v>0</v>
      </c>
      <c r="E27" s="512">
        <f>E25-E26</f>
        <v>0</v>
      </c>
      <c r="F27" s="507">
        <f t="shared" si="0"/>
        <v>0</v>
      </c>
    </row>
    <row r="28" spans="1:6" ht="13.5" customHeight="1">
      <c r="A28" s="504" t="s">
        <v>838</v>
      </c>
      <c r="B28" s="505">
        <v>0</v>
      </c>
      <c r="C28" s="506">
        <f>SUMPRODUCT(([3]分录!$D$7:$D$100=$A28)*INT((([3]分录!$C$7:$C$100="借：")-0.5)*2)*([3]分录!$I$7:$I$100=C$7)*([3]分录!$H$7:$H$100))</f>
        <v>0</v>
      </c>
      <c r="D28" s="506">
        <f>SUMPRODUCT(([3]分录!$D$7:$D$100=$A28)*INT((([3]分录!$C$7:$C$100="借：")-0.5)*2)*([3]分录!$I$7:$I$100=D$7)*([3]分录!$H$7:$H$100))</f>
        <v>0</v>
      </c>
      <c r="E28" s="506">
        <f>SUMPRODUCT(([3]分录!$D$7:$D$100=$A28)*INT((([3]分录!$C$7:$C$100="借：")-0.5)*2)*([3]分录!$I$7:$I$100=E$7)*([3]分录!$H$7:$H$100))</f>
        <v>0</v>
      </c>
      <c r="F28" s="507">
        <f t="shared" si="0"/>
        <v>0</v>
      </c>
    </row>
    <row r="29" spans="1:6" ht="13.5" customHeight="1">
      <c r="A29" s="510" t="s">
        <v>839</v>
      </c>
      <c r="B29" s="505">
        <v>0</v>
      </c>
      <c r="C29" s="506">
        <f>-SUMPRODUCT(([3]分录!$D$7:$D$100=$A29)*INT((([3]分录!$C$7:$C$100="借：")-0.5)*2)*([3]分录!$I$7:$I$100=C$7)*([3]分录!$H$7:$H$100))</f>
        <v>0</v>
      </c>
      <c r="D29" s="506">
        <f>-SUMPRODUCT(([3]分录!$D$7:$D$100=$A29)*INT((([3]分录!$C$7:$C$100="借：")-0.5)*2)*([3]分录!$I$7:$I$100=D$7)*([3]分录!$H$7:$H$100))</f>
        <v>0</v>
      </c>
      <c r="E29" s="506">
        <f>-SUMPRODUCT(([3]分录!$D$7:$D$100=$A29)*INT((([3]分录!$C$7:$C$100="借：")-0.5)*2)*([3]分录!$I$7:$I$100=E$7)*([3]分录!$H$7:$H$100))</f>
        <v>0</v>
      </c>
      <c r="F29" s="507">
        <f t="shared" si="0"/>
        <v>0</v>
      </c>
    </row>
    <row r="30" spans="1:6" ht="13.5" customHeight="1">
      <c r="A30" s="504" t="s">
        <v>840</v>
      </c>
      <c r="B30" s="511">
        <v>0</v>
      </c>
      <c r="C30" s="512">
        <f>C28-C29</f>
        <v>0</v>
      </c>
      <c r="D30" s="512">
        <f>D28-D29</f>
        <v>0</v>
      </c>
      <c r="E30" s="512">
        <f>E28-E29</f>
        <v>0</v>
      </c>
      <c r="F30" s="507">
        <f t="shared" si="0"/>
        <v>0</v>
      </c>
    </row>
    <row r="31" spans="1:6" ht="13.5" customHeight="1">
      <c r="A31" s="513" t="s">
        <v>841</v>
      </c>
      <c r="B31" s="505">
        <v>0</v>
      </c>
      <c r="C31" s="506">
        <f>SUMPRODUCT(([3]分录!$D$7:$D$100=$A31)*INT((([3]分录!$C$7:$C$100="借：")-0.5)*2)*([3]分录!$I$7:$I$100=C$7)*([3]分录!$H$7:$H$100))</f>
        <v>0</v>
      </c>
      <c r="D31" s="506">
        <f>SUMPRODUCT(([3]分录!$D$7:$D$100=$A31)*INT((([3]分录!$C$7:$C$100="借：")-0.5)*2)*([3]分录!$I$7:$I$100=D$7)*([3]分录!$H$7:$H$100))</f>
        <v>0</v>
      </c>
      <c r="E31" s="506">
        <f>SUMPRODUCT(([3]分录!$D$7:$D$100=$A31)*INT((([3]分录!$C$7:$C$100="借：")-0.5)*2)*([3]分录!$I$7:$I$100=E$7)*([3]分录!$H$7:$H$100))</f>
        <v>0</v>
      </c>
      <c r="F31" s="507">
        <f t="shared" si="0"/>
        <v>0</v>
      </c>
    </row>
    <row r="32" spans="1:6" ht="13.5" customHeight="1">
      <c r="A32" s="514" t="s">
        <v>842</v>
      </c>
      <c r="B32" s="505">
        <v>0</v>
      </c>
      <c r="C32" s="506">
        <f>-SUMPRODUCT(([3]分录!$D$7:$D$100=$A32)*INT((([3]分录!$C$7:$C$100="借：")-0.5)*2)*([3]分录!$I$7:$I$100=C$7)*([3]分录!$H$7:$H$100))</f>
        <v>2276.739999999998</v>
      </c>
      <c r="D32" s="506">
        <f>-SUMPRODUCT(([3]分录!$D$7:$D$100=$A32)*INT((([3]分录!$C$7:$C$100="借：")-0.5)*2)*([3]分录!$I$7:$I$100=D$7)*([3]分录!$H$7:$H$100))</f>
        <v>0</v>
      </c>
      <c r="E32" s="506">
        <f>-SUMPRODUCT(([3]分录!$D$7:$D$100=$A32)*INT((([3]分录!$C$7:$C$100="借：")-0.5)*2)*([3]分录!$I$7:$I$100=E$7)*([3]分录!$H$7:$H$100))</f>
        <v>0</v>
      </c>
      <c r="F32" s="507">
        <f t="shared" si="0"/>
        <v>2276.7399999999998</v>
      </c>
    </row>
    <row r="33" spans="1:7" ht="13.5" customHeight="1">
      <c r="A33" s="513" t="s">
        <v>843</v>
      </c>
      <c r="B33" s="517">
        <v>0</v>
      </c>
      <c r="C33" s="518">
        <f>C31-C32</f>
        <v>-2276.739999999998</v>
      </c>
      <c r="D33" s="518">
        <f>D31-D32</f>
        <v>0</v>
      </c>
      <c r="E33" s="518">
        <f>E31-E32</f>
        <v>0</v>
      </c>
      <c r="F33" s="507">
        <f t="shared" si="0"/>
        <v>-2276.7399999999998</v>
      </c>
    </row>
    <row r="34" spans="1:7" ht="13.5" customHeight="1">
      <c r="A34" s="515" t="s">
        <v>844</v>
      </c>
      <c r="B34" s="505">
        <v>407687019.67000002</v>
      </c>
      <c r="C34" s="506">
        <f>SUMPRODUCT(([3]分录!$D$7:$D$100=$A34)*INT((([3]分录!$C$7:$C$100="借：")-0.5)*2)*([3]分录!$I$7:$I$100=C$7)*([3]分录!$H$7:$H$100))</f>
        <v>0</v>
      </c>
      <c r="D34" s="506">
        <f>SUMPRODUCT(([3]分录!$D$7:$D$100=$A34)*INT((([3]分录!$C$7:$C$100="借：")-0.5)*2)*([3]分录!$I$7:$I$100=D$7)*([3]分录!$H$7:$H$100))</f>
        <v>0</v>
      </c>
      <c r="E34" s="506">
        <f>SUMPRODUCT(([3]分录!$D$7:$D$100=$A34)*INT((([3]分录!$C$7:$C$100="借：")-0.5)*2)*([3]分录!$I$7:$I$100=E$7)*([3]分录!$H$7:$H$100))</f>
        <v>0</v>
      </c>
      <c r="F34" s="507">
        <f>ROUND(SUM(B34:E34),2)</f>
        <v>407687019.67000002</v>
      </c>
    </row>
    <row r="35" spans="1:7" ht="13.5" customHeight="1">
      <c r="A35" s="516" t="s">
        <v>845</v>
      </c>
      <c r="B35" s="505">
        <v>0</v>
      </c>
      <c r="C35" s="506">
        <f>-SUMPRODUCT(([3]分录!$D$7:$D$100=$A35)*INT((([3]分录!$C$7:$C$100="借：")-0.5)*2)*([3]分录!$I$7:$I$100=C$7)*([3]分录!$H$7:$H$100))</f>
        <v>0</v>
      </c>
      <c r="D35" s="506">
        <f>-SUMPRODUCT(([3]分录!$D$7:$D$100=$A35)*INT((([3]分录!$C$7:$C$100="借：")-0.5)*2)*([3]分录!$I$7:$I$100=D$7)*([3]分录!$H$7:$H$100))</f>
        <v>0</v>
      </c>
      <c r="E35" s="506">
        <f>-SUMPRODUCT(([3]分录!$D$7:$D$100=$A35)*INT((([3]分录!$C$7:$C$100="借：")-0.5)*2)*([3]分录!$I$7:$I$100=E$7)*([3]分录!$H$7:$H$100))</f>
        <v>0</v>
      </c>
      <c r="F35" s="507">
        <f>ROUND(SUM(B35:E35),2)</f>
        <v>0</v>
      </c>
    </row>
    <row r="36" spans="1:7" ht="13.5" customHeight="1">
      <c r="A36" s="515" t="s">
        <v>788</v>
      </c>
      <c r="B36" s="517">
        <v>0</v>
      </c>
      <c r="C36" s="518">
        <f>C34-C35</f>
        <v>0</v>
      </c>
      <c r="D36" s="518">
        <f>D34-D35</f>
        <v>0</v>
      </c>
      <c r="E36" s="518">
        <f>E34-E35</f>
        <v>0</v>
      </c>
      <c r="F36" s="507">
        <f>ROUND(SUM(B36:E36),2)</f>
        <v>0</v>
      </c>
    </row>
    <row r="37" spans="1:7" ht="13.5" customHeight="1">
      <c r="A37" s="519" t="s">
        <v>846</v>
      </c>
      <c r="B37" s="505">
        <v>0</v>
      </c>
      <c r="C37" s="506">
        <f>SUMPRODUCT(([3]分录!$D$7:$D$100=$A37)*INT((([3]分录!$C$7:$C$100="借：")-0.5)*2)*([3]分录!$I$7:$I$100=C$7)*([3]分录!$H$7:$H$100))</f>
        <v>0</v>
      </c>
      <c r="D37" s="506">
        <f>SUMPRODUCT(([3]分录!$D$7:$D$100=$A37)*INT((([3]分录!$C$7:$C$100="借：")-0.5)*2)*([3]分录!$I$7:$I$100=D$7)*([3]分录!$H$7:$H$100))</f>
        <v>0</v>
      </c>
      <c r="E37" s="506">
        <f>SUMPRODUCT(([3]分录!$D$7:$D$100=$A37)*INT((([3]分录!$C$7:$C$100="借：")-0.5)*2)*([3]分录!$I$7:$I$100=E$7)*([3]分录!$H$7:$H$100))</f>
        <v>0</v>
      </c>
      <c r="F37" s="507">
        <f t="shared" si="0"/>
        <v>0</v>
      </c>
    </row>
    <row r="38" spans="1:7" ht="13.5" customHeight="1">
      <c r="A38" s="510" t="s">
        <v>847</v>
      </c>
      <c r="B38" s="505">
        <v>0</v>
      </c>
      <c r="C38" s="506">
        <f>-SUMPRODUCT(([3]分录!$D$7:$D$100=$A38)*INT((([3]分录!$C$7:$C$100="借：")-0.5)*2)*([3]分录!$I$7:$I$100=C$7)*([3]分录!$H$7:$H$100))</f>
        <v>0</v>
      </c>
      <c r="D38" s="506">
        <f>-SUMPRODUCT(([3]分录!$D$7:$D$100=$A38)*INT((([3]分录!$C$7:$C$100="借：")-0.5)*2)*([3]分录!$I$7:$I$100=D$7)*([3]分录!$H$7:$H$100))</f>
        <v>0</v>
      </c>
      <c r="E38" s="506">
        <f>-SUMPRODUCT(([3]分录!$D$7:$D$100=$A38)*INT((([3]分录!$C$7:$C$100="借：")-0.5)*2)*([3]分录!$I$7:$I$100=E$7)*([3]分录!$H$7:$H$100))</f>
        <v>0</v>
      </c>
      <c r="F38" s="507">
        <f t="shared" si="0"/>
        <v>0</v>
      </c>
    </row>
    <row r="39" spans="1:7" ht="13.5" customHeight="1">
      <c r="A39" s="519" t="s">
        <v>848</v>
      </c>
      <c r="B39" s="517">
        <v>0</v>
      </c>
      <c r="C39" s="518">
        <f>C37-C38</f>
        <v>0</v>
      </c>
      <c r="D39" s="518">
        <f>D37-D38</f>
        <v>0</v>
      </c>
      <c r="E39" s="518">
        <f>E37-E38</f>
        <v>0</v>
      </c>
      <c r="F39" s="507">
        <f t="shared" si="0"/>
        <v>0</v>
      </c>
    </row>
    <row r="40" spans="1:7" ht="13.5" customHeight="1">
      <c r="A40" s="504" t="s">
        <v>849</v>
      </c>
      <c r="B40" s="505">
        <v>0</v>
      </c>
      <c r="C40" s="506">
        <f>SUMPRODUCT(([3]分录!$D$7:$D$100=$A40)*INT((([3]分录!$C$7:$C$100="借：")-0.5)*2)*([3]分录!$I$7:$I$100=C$7)*([3]分录!$H$7:$H$100))</f>
        <v>0</v>
      </c>
      <c r="D40" s="506">
        <f>SUMPRODUCT(([3]分录!$D$7:$D$100=$A40)*INT((([3]分录!$C$7:$C$100="借：")-0.5)*2)*([3]分录!$I$7:$I$100=D$7)*([3]分录!$H$7:$H$100))</f>
        <v>0</v>
      </c>
      <c r="E40" s="506">
        <f>SUMPRODUCT(([3]分录!$D$7:$D$100=$A40)*INT((([3]分录!$C$7:$C$100="借：")-0.5)*2)*([3]分录!$I$7:$I$100=E$7)*([3]分录!$H$7:$H$100))</f>
        <v>0</v>
      </c>
      <c r="F40" s="507">
        <f t="shared" si="0"/>
        <v>0</v>
      </c>
    </row>
    <row r="41" spans="1:7" ht="13.5" customHeight="1">
      <c r="A41" s="510" t="s">
        <v>850</v>
      </c>
      <c r="B41" s="505">
        <v>0</v>
      </c>
      <c r="C41" s="506">
        <f>-SUMPRODUCT(([3]分录!$D$7:$D$100=$A41)*INT((([3]分录!$C$7:$C$100="借：")-0.5)*2)*([3]分录!$I$7:$I$100=C$7)*([3]分录!$H$7:$H$100))</f>
        <v>0</v>
      </c>
      <c r="D41" s="506">
        <f>-SUMPRODUCT(([3]分录!$D$7:$D$100=$A41)*INT((([3]分录!$C$7:$C$100="借：")-0.5)*2)*([3]分录!$I$7:$I$100=D$7)*([3]分录!$H$7:$H$100))</f>
        <v>0</v>
      </c>
      <c r="E41" s="506">
        <f>-SUMPRODUCT(([3]分录!$D$7:$D$100=$A41)*INT((([3]分录!$C$7:$C$100="借：")-0.5)*2)*([3]分录!$I$7:$I$100=E$7)*([3]分录!$H$7:$H$100))</f>
        <v>0</v>
      </c>
      <c r="F41" s="507">
        <f t="shared" si="0"/>
        <v>0</v>
      </c>
    </row>
    <row r="42" spans="1:7" ht="13.5" customHeight="1">
      <c r="A42" s="504" t="s">
        <v>851</v>
      </c>
      <c r="B42" s="517">
        <v>0</v>
      </c>
      <c r="C42" s="518">
        <f>C40-C41</f>
        <v>0</v>
      </c>
      <c r="D42" s="518">
        <f>D40-D41</f>
        <v>0</v>
      </c>
      <c r="E42" s="518">
        <f>E40-E41</f>
        <v>0</v>
      </c>
      <c r="F42" s="507">
        <f t="shared" si="0"/>
        <v>0</v>
      </c>
    </row>
    <row r="43" spans="1:7" ht="13.5" customHeight="1">
      <c r="A43" s="508" t="s">
        <v>852</v>
      </c>
      <c r="B43" s="505">
        <v>0</v>
      </c>
      <c r="C43" s="506">
        <f>SUMPRODUCT(([3]分录!$D$7:$D$100=$A43)*INT((([3]分录!$C$7:$C$100="借：")-0.5)*2)*([3]分录!$I$7:$I$100=C$7)*([3]分录!$H$7:$H$100))</f>
        <v>0</v>
      </c>
      <c r="D43" s="506">
        <f>SUMPRODUCT(([3]分录!$D$7:$D$100=$A43)*INT((([3]分录!$C$7:$C$100="借：")-0.5)*2)*([3]分录!$I$7:$I$100=D$7)*([3]分录!$H$7:$H$100))</f>
        <v>0</v>
      </c>
      <c r="E43" s="506">
        <f>SUMPRODUCT(([3]分录!$D$7:$D$100=$A43)*INT((([3]分录!$C$7:$C$100="借：")-0.5)*2)*([3]分录!$I$7:$I$100=E$7)*([3]分录!$H$7:$H$100))</f>
        <v>0</v>
      </c>
      <c r="F43" s="507">
        <f t="shared" si="0"/>
        <v>0</v>
      </c>
    </row>
    <row r="44" spans="1:7" ht="13.5" customHeight="1">
      <c r="A44" s="508" t="s">
        <v>853</v>
      </c>
      <c r="B44" s="505">
        <v>0</v>
      </c>
      <c r="C44" s="506">
        <f>SUMPRODUCT(([3]分录!$D$7:$D$100=$A44)*INT((([3]分录!$C$7:$C$100="借：")-0.5)*2)*([3]分录!$I$7:$I$100=C$7)*([3]分录!$H$7:$H$100))</f>
        <v>0</v>
      </c>
      <c r="D44" s="506">
        <f>SUMPRODUCT(([3]分录!$D$7:$D$100=$A44)*INT((([3]分录!$C$7:$C$100="借：")-0.5)*2)*([3]分录!$I$7:$I$100=D$7)*([3]分录!$H$7:$H$100))</f>
        <v>0</v>
      </c>
      <c r="E44" s="506">
        <f>SUMPRODUCT(([3]分录!$D$7:$D$100=$A44)*INT((([3]分录!$C$7:$C$100="借：")-0.5)*2)*([3]分录!$I$7:$I$100=E$7)*([3]分录!$H$7:$H$100))</f>
        <v>0</v>
      </c>
      <c r="F44" s="507">
        <f t="shared" si="0"/>
        <v>0</v>
      </c>
    </row>
    <row r="45" spans="1:7" s="523" customFormat="1" ht="13.5" customHeight="1">
      <c r="A45" s="520" t="s">
        <v>854</v>
      </c>
      <c r="B45" s="521">
        <v>0</v>
      </c>
      <c r="C45" s="521">
        <f>SUM(C9:C12,C15,C18,C21,C24,C27,C30,C33,C36,C39,C42,C43,C44)</f>
        <v>1804835.1700000004</v>
      </c>
      <c r="D45" s="521">
        <f>SUM(D9:D12,D15,D18,D21,D24,D27,D30,D33,D36,D39,D42,D43,D44)</f>
        <v>0</v>
      </c>
      <c r="E45" s="521">
        <f>SUM(E9:E12,E15,E18,E21,E24,E27,E30,E33,E36,E39,E42,E43,E44)</f>
        <v>0</v>
      </c>
      <c r="F45" s="522">
        <f t="shared" si="0"/>
        <v>1804835.17</v>
      </c>
      <c r="G45" s="482"/>
    </row>
    <row r="46" spans="1:7" ht="13.5" customHeight="1">
      <c r="A46" s="524" t="s">
        <v>855</v>
      </c>
      <c r="B46" s="525">
        <v>0</v>
      </c>
      <c r="C46" s="518"/>
      <c r="D46" s="518"/>
      <c r="E46" s="518"/>
      <c r="F46" s="507">
        <f t="shared" si="0"/>
        <v>0</v>
      </c>
    </row>
    <row r="47" spans="1:7" ht="13.5" customHeight="1">
      <c r="A47" s="515" t="s">
        <v>856</v>
      </c>
      <c r="B47" s="505">
        <v>0</v>
      </c>
      <c r="C47" s="506">
        <f>SUMPRODUCT(([3]分录!$D$7:$D$100=$A47)*INT((([3]分录!$C$7:$C$100="借：")-0.5)*2)*([3]分录!$I$7:$I$100=C$7)*([3]分录!$H$7:$H$100))</f>
        <v>0</v>
      </c>
      <c r="D47" s="506">
        <f>SUMPRODUCT(([3]分录!$D$7:$D$100=$A47)*INT((([3]分录!$C$7:$C$100="借：")-0.5)*2)*([3]分录!$I$7:$I$100=D$7)*([3]分录!$H$7:$H$100))</f>
        <v>0</v>
      </c>
      <c r="E47" s="506">
        <f>SUMPRODUCT(([3]分录!$D$7:$D$100=$A47)*INT((([3]分录!$C$7:$C$100="借：")-0.5)*2)*([3]分录!$I$7:$I$100=E$7)*([3]分录!$H$7:$H$100))</f>
        <v>0</v>
      </c>
      <c r="F47" s="507">
        <f t="shared" si="0"/>
        <v>0</v>
      </c>
    </row>
    <row r="48" spans="1:7" ht="13.5" customHeight="1">
      <c r="A48" s="516" t="s">
        <v>857</v>
      </c>
      <c r="B48" s="505">
        <v>0</v>
      </c>
      <c r="C48" s="506">
        <f>-SUMPRODUCT(([3]分录!$D$7:$D$100=$A48)*INT((([3]分录!$C$7:$C$100="借：")-0.5)*2)*([3]分录!$I$7:$I$100=C$7)*([3]分录!$H$7:$H$100))</f>
        <v>0</v>
      </c>
      <c r="D48" s="506">
        <f>-SUMPRODUCT(([3]分录!$D$7:$D$100=$A48)*INT((([3]分录!$C$7:$C$100="借：")-0.5)*2)*([3]分录!$I$7:$I$100=D$7)*([3]分录!$H$7:$H$100))</f>
        <v>0</v>
      </c>
      <c r="E48" s="506">
        <f>-SUMPRODUCT(([3]分录!$D$7:$D$100=$A48)*INT((([3]分录!$C$7:$C$100="借：")-0.5)*2)*([3]分录!$I$7:$I$100=E$7)*([3]分录!$H$7:$H$100))</f>
        <v>0</v>
      </c>
      <c r="F48" s="507">
        <f t="shared" si="0"/>
        <v>0</v>
      </c>
    </row>
    <row r="49" spans="1:6" ht="13.5" customHeight="1">
      <c r="A49" s="515" t="s">
        <v>858</v>
      </c>
      <c r="B49" s="517">
        <v>0</v>
      </c>
      <c r="C49" s="518">
        <f>C47-C48</f>
        <v>0</v>
      </c>
      <c r="D49" s="518">
        <f>D47-D48</f>
        <v>0</v>
      </c>
      <c r="E49" s="518">
        <f>E47-E48</f>
        <v>0</v>
      </c>
      <c r="F49" s="507">
        <f t="shared" si="0"/>
        <v>0</v>
      </c>
    </row>
    <row r="50" spans="1:6" ht="13.5" customHeight="1">
      <c r="A50" s="508" t="s">
        <v>859</v>
      </c>
      <c r="B50" s="517">
        <v>0</v>
      </c>
      <c r="C50" s="518"/>
      <c r="D50" s="518"/>
      <c r="E50" s="518"/>
      <c r="F50" s="507"/>
    </row>
    <row r="51" spans="1:6" ht="13.5" customHeight="1">
      <c r="A51" s="510" t="s">
        <v>860</v>
      </c>
      <c r="B51" s="517">
        <v>0</v>
      </c>
      <c r="C51" s="518"/>
      <c r="D51" s="518"/>
      <c r="E51" s="518"/>
      <c r="F51" s="507"/>
    </row>
    <row r="52" spans="1:6" ht="13.5" customHeight="1">
      <c r="A52" s="508" t="s">
        <v>861</v>
      </c>
      <c r="B52" s="517">
        <v>0</v>
      </c>
      <c r="C52" s="517">
        <f>C50-C51</f>
        <v>0</v>
      </c>
      <c r="D52" s="517">
        <f>D50-D51</f>
        <v>0</v>
      </c>
      <c r="E52" s="517">
        <f>E50-E51</f>
        <v>0</v>
      </c>
      <c r="F52" s="507"/>
    </row>
    <row r="53" spans="1:6" ht="13.5" customHeight="1">
      <c r="A53" s="515" t="s">
        <v>862</v>
      </c>
      <c r="B53" s="505">
        <v>0</v>
      </c>
      <c r="C53" s="506">
        <f>SUMPRODUCT(([3]分录!$D$7:$D$100=$A53)*INT((([3]分录!$C$7:$C$100="借：")-0.5)*2)*([3]分录!$I$7:$I$100=C$7)*([3]分录!$H$7:$H$100))</f>
        <v>0</v>
      </c>
      <c r="D53" s="506">
        <f>SUMPRODUCT(([3]分录!$D$7:$D$100=$A53)*INT((([3]分录!$C$7:$C$100="借：")-0.5)*2)*([3]分录!$I$7:$I$100=D$7)*([3]分录!$H$7:$H$100))</f>
        <v>0</v>
      </c>
      <c r="E53" s="506">
        <f>SUMPRODUCT(([3]分录!$D$7:$D$100=$A53)*INT((([3]分录!$C$7:$C$100="借：")-0.5)*2)*([3]分录!$I$7:$I$100=E$7)*([3]分录!$H$7:$H$100))</f>
        <v>0</v>
      </c>
      <c r="F53" s="507">
        <f t="shared" si="0"/>
        <v>0</v>
      </c>
    </row>
    <row r="54" spans="1:6" ht="13.5" customHeight="1">
      <c r="A54" s="516" t="s">
        <v>863</v>
      </c>
      <c r="B54" s="505">
        <v>0</v>
      </c>
      <c r="C54" s="506">
        <f>-SUMPRODUCT(([3]分录!$D$7:$D$100=$A54)*INT((([3]分录!$C$7:$C$100="借：")-0.5)*2)*([3]分录!$I$7:$I$100=C$7)*([3]分录!$H$7:$H$100))</f>
        <v>0</v>
      </c>
      <c r="D54" s="506">
        <f>-SUMPRODUCT(([3]分录!$D$7:$D$100=$A54)*INT((([3]分录!$C$7:$C$100="借：")-0.5)*2)*([3]分录!$I$7:$I$100=D$7)*([3]分录!$H$7:$H$100))</f>
        <v>0</v>
      </c>
      <c r="E54" s="506">
        <f>-SUMPRODUCT(([3]分录!$D$7:$D$100=$A54)*INT((([3]分录!$C$7:$C$100="借：")-0.5)*2)*([3]分录!$I$7:$I$100=E$7)*([3]分录!$H$7:$H$100))</f>
        <v>0</v>
      </c>
      <c r="F54" s="507">
        <f t="shared" si="0"/>
        <v>0</v>
      </c>
    </row>
    <row r="55" spans="1:6" ht="13.5" customHeight="1">
      <c r="A55" s="515" t="s">
        <v>864</v>
      </c>
      <c r="B55" s="525">
        <v>0</v>
      </c>
      <c r="C55" s="525">
        <f>C53-C54</f>
        <v>0</v>
      </c>
      <c r="D55" s="525">
        <f>D53-D54</f>
        <v>0</v>
      </c>
      <c r="E55" s="525">
        <f>E53-E54</f>
        <v>0</v>
      </c>
      <c r="F55" s="507">
        <f t="shared" si="0"/>
        <v>0</v>
      </c>
    </row>
    <row r="56" spans="1:6" ht="13.5" customHeight="1">
      <c r="A56" s="508" t="s">
        <v>865</v>
      </c>
      <c r="B56" s="525">
        <v>0</v>
      </c>
      <c r="C56" s="525"/>
      <c r="D56" s="525"/>
      <c r="E56" s="525"/>
      <c r="F56" s="507"/>
    </row>
    <row r="57" spans="1:6" ht="13.5" customHeight="1">
      <c r="A57" s="510" t="s">
        <v>866</v>
      </c>
      <c r="B57" s="525">
        <v>0</v>
      </c>
      <c r="C57" s="525"/>
      <c r="D57" s="525"/>
      <c r="E57" s="525"/>
      <c r="F57" s="507"/>
    </row>
    <row r="58" spans="1:6" ht="13.5" customHeight="1">
      <c r="A58" s="508" t="s">
        <v>867</v>
      </c>
      <c r="B58" s="517">
        <v>0</v>
      </c>
      <c r="C58" s="517">
        <f>C56-C57</f>
        <v>0</v>
      </c>
      <c r="D58" s="517">
        <f>D56-D57</f>
        <v>0</v>
      </c>
      <c r="E58" s="517">
        <f>E56-E57</f>
        <v>0</v>
      </c>
      <c r="F58" s="507"/>
    </row>
    <row r="59" spans="1:6" ht="13.5" customHeight="1">
      <c r="A59" s="515" t="s">
        <v>868</v>
      </c>
      <c r="B59" s="505">
        <v>0</v>
      </c>
      <c r="C59" s="506">
        <f>SUMPRODUCT(([3]分录!$D$7:$D$100=$A59)*INT((([3]分录!$C$7:$C$100="借：")-0.5)*2)*([3]分录!$I$7:$I$100=C$7)*([3]分录!$H$7:$H$100))</f>
        <v>0</v>
      </c>
      <c r="D59" s="506">
        <f>SUMPRODUCT(([3]分录!$D$7:$D$100=$A59)*INT((([3]分录!$C$7:$C$100="借：")-0.5)*2)*([3]分录!$I$7:$I$100=D$7)*([3]分录!$H$7:$H$100))</f>
        <v>0</v>
      </c>
      <c r="E59" s="506">
        <f>SUMPRODUCT(([3]分录!$D$7:$D$100=$A59)*INT((([3]分录!$C$7:$C$100="借：")-0.5)*2)*([3]分录!$I$7:$I$100=E$7)*([3]分录!$H$7:$H$100))</f>
        <v>0</v>
      </c>
      <c r="F59" s="507">
        <f t="shared" si="0"/>
        <v>0</v>
      </c>
    </row>
    <row r="60" spans="1:6" ht="13.5" customHeight="1">
      <c r="A60" s="516" t="s">
        <v>869</v>
      </c>
      <c r="B60" s="505">
        <v>0</v>
      </c>
      <c r="C60" s="506">
        <f>-SUMPRODUCT(([3]分录!$D$7:$D$100=$A60)*INT((([3]分录!$C$7:$C$100="借：")-0.5)*2)*([3]分录!$I$7:$I$100=C$7)*([3]分录!$H$7:$H$100))</f>
        <v>0</v>
      </c>
      <c r="D60" s="506">
        <f>-SUMPRODUCT(([3]分录!$D$7:$D$100=$A60)*INT((([3]分录!$C$7:$C$100="借：")-0.5)*2)*([3]分录!$I$7:$I$100=D$7)*([3]分录!$H$7:$H$100))</f>
        <v>0</v>
      </c>
      <c r="E60" s="506">
        <f>-SUMPRODUCT(([3]分录!$D$7:$D$100=$A60)*INT((([3]分录!$C$7:$C$100="借：")-0.5)*2)*([3]分录!$I$7:$I$100=E$7)*([3]分录!$H$7:$H$100))</f>
        <v>0</v>
      </c>
      <c r="F60" s="507">
        <f t="shared" si="0"/>
        <v>0</v>
      </c>
    </row>
    <row r="61" spans="1:6" ht="13.5" customHeight="1">
      <c r="A61" s="515" t="s">
        <v>870</v>
      </c>
      <c r="B61" s="525">
        <v>0</v>
      </c>
      <c r="C61" s="525">
        <f>C59-C60</f>
        <v>0</v>
      </c>
      <c r="D61" s="525">
        <f>D59-D60</f>
        <v>0</v>
      </c>
      <c r="E61" s="525">
        <f>E59-E60</f>
        <v>0</v>
      </c>
      <c r="F61" s="507">
        <f t="shared" si="0"/>
        <v>0</v>
      </c>
    </row>
    <row r="62" spans="1:6" ht="13.5" customHeight="1">
      <c r="A62" s="508" t="s">
        <v>871</v>
      </c>
      <c r="B62" s="505">
        <v>0</v>
      </c>
      <c r="C62" s="506">
        <f>SUMPRODUCT(([3]分录!$D$7:$D$100=$A62)*INT((([3]分录!$C$7:$C$100="借：")-0.5)*2)*([3]分录!$I$7:$I$100=C$7)*([3]分录!$H$7:$H$100))</f>
        <v>0</v>
      </c>
      <c r="D62" s="506">
        <f>SUMPRODUCT(([3]分录!$D$7:$D$100=$A62)*INT((([3]分录!$C$7:$C$100="借：")-0.5)*2)*([3]分录!$I$7:$I$100=D$7)*([3]分录!$H$7:$H$100))</f>
        <v>0</v>
      </c>
      <c r="E62" s="506">
        <f>SUMPRODUCT(([3]分录!$D$7:$D$100=$A62)*INT((([3]分录!$C$7:$C$100="借：")-0.5)*2)*([3]分录!$I$7:$I$100=E$7)*([3]分录!$H$7:$H$100))</f>
        <v>0</v>
      </c>
      <c r="F62" s="507">
        <f t="shared" si="0"/>
        <v>0</v>
      </c>
    </row>
    <row r="63" spans="1:6" ht="13.5" customHeight="1">
      <c r="A63" s="510" t="s">
        <v>872</v>
      </c>
      <c r="B63" s="505"/>
      <c r="C63" s="506"/>
      <c r="D63" s="506"/>
      <c r="E63" s="506"/>
      <c r="F63" s="507"/>
    </row>
    <row r="64" spans="1:6" ht="13.5" customHeight="1">
      <c r="A64" s="508" t="s">
        <v>873</v>
      </c>
      <c r="B64" s="505"/>
      <c r="C64" s="506"/>
      <c r="D64" s="506"/>
      <c r="E64" s="506"/>
      <c r="F64" s="507"/>
    </row>
    <row r="65" spans="1:6" ht="13.5" customHeight="1">
      <c r="A65" s="515" t="s">
        <v>874</v>
      </c>
      <c r="B65" s="505">
        <v>0</v>
      </c>
      <c r="C65" s="506">
        <f>SUMPRODUCT(([3]分录!$D$7:$D$100=$A65)*INT((([3]分录!$C$7:$C$100="借：")-0.5)*2)*([3]分录!$I$7:$I$100=C$7)*([3]分录!$H$7:$H$100))</f>
        <v>0</v>
      </c>
      <c r="D65" s="506">
        <f>SUMPRODUCT(([3]分录!$D$7:$D$100=$A65)*INT((([3]分录!$C$7:$C$100="借：")-0.5)*2)*([3]分录!$I$7:$I$100=D$7)*([3]分录!$H$7:$H$100))</f>
        <v>0</v>
      </c>
      <c r="E65" s="506">
        <f>SUMPRODUCT(([3]分录!$D$7:$D$100=$A65)*INT((([3]分录!$C$7:$C$100="借：")-0.5)*2)*([3]分录!$I$7:$I$100=E$7)*([3]分录!$H$7:$H$100))</f>
        <v>0</v>
      </c>
      <c r="F65" s="507">
        <f t="shared" si="0"/>
        <v>0</v>
      </c>
    </row>
    <row r="66" spans="1:6" ht="13.5" customHeight="1">
      <c r="A66" s="516" t="s">
        <v>875</v>
      </c>
      <c r="B66" s="505">
        <v>0</v>
      </c>
      <c r="C66" s="506">
        <f>-SUMPRODUCT(([3]分录!$D$7:$D$100=$A66)*INT((([3]分录!$C$7:$C$100="借：")-0.5)*2)*([3]分录!$I$7:$I$100=C$7)*([3]分录!$H$7:$H$100))</f>
        <v>0</v>
      </c>
      <c r="D66" s="506">
        <f>-SUMPRODUCT(([3]分录!$D$7:$D$100=$A66)*INT((([3]分录!$C$7:$C$100="借：")-0.5)*2)*([3]分录!$I$7:$I$100=D$7)*([3]分录!$H$7:$H$100))</f>
        <v>0</v>
      </c>
      <c r="E66" s="506">
        <f>-SUMPRODUCT(([3]分录!$D$7:$D$100=$A66)*INT((([3]分录!$C$7:$C$100="借：")-0.5)*2)*([3]分录!$I$7:$I$100=E$7)*([3]分录!$H$7:$H$100))</f>
        <v>0</v>
      </c>
      <c r="F66" s="507">
        <f t="shared" si="0"/>
        <v>0</v>
      </c>
    </row>
    <row r="67" spans="1:6" ht="13.5" customHeight="1">
      <c r="A67" s="515" t="s">
        <v>790</v>
      </c>
      <c r="B67" s="517">
        <v>0</v>
      </c>
      <c r="C67" s="518">
        <f>C65-C66</f>
        <v>0</v>
      </c>
      <c r="D67" s="518">
        <f>D65-D66</f>
        <v>0</v>
      </c>
      <c r="E67" s="518">
        <f>E65-E66</f>
        <v>0</v>
      </c>
      <c r="F67" s="507">
        <f t="shared" si="0"/>
        <v>0</v>
      </c>
    </row>
    <row r="68" spans="1:6" ht="13.5" customHeight="1">
      <c r="A68" s="504" t="s">
        <v>876</v>
      </c>
      <c r="B68" s="505">
        <v>32060795.789999999</v>
      </c>
      <c r="C68" s="506">
        <f>SUMPRODUCT(([3]分录!$D$7:$D$100=$A68)*INT((([3]分录!$C$7:$C$100="借：")-0.5)*2)*([3]分录!$I$7:$I$100=C$7)*([3]分录!$H$7:$H$100))</f>
        <v>0</v>
      </c>
      <c r="D68" s="506">
        <f>SUMPRODUCT(([3]分录!$D$7:$D$100=$A68)*INT((([3]分录!$C$7:$C$100="借：")-0.5)*2)*([3]分录!$I$7:$I$100=D$7)*([3]分录!$H$7:$H$100))</f>
        <v>0</v>
      </c>
      <c r="E68" s="506">
        <f>SUMPRODUCT(([3]分录!$D$7:$D$100=$A68)*INT((([3]分录!$C$7:$C$100="借：")-0.5)*2)*([3]分录!$I$7:$I$100=E$7)*([3]分录!$H$7:$H$100))</f>
        <v>0</v>
      </c>
      <c r="F68" s="507">
        <f t="shared" si="0"/>
        <v>32060795.789999999</v>
      </c>
    </row>
    <row r="69" spans="1:6" ht="13.5" customHeight="1">
      <c r="A69" s="510" t="s">
        <v>877</v>
      </c>
      <c r="B69" s="505">
        <v>0</v>
      </c>
      <c r="C69" s="506"/>
      <c r="D69" s="506"/>
      <c r="E69" s="506"/>
      <c r="F69" s="507"/>
    </row>
    <row r="70" spans="1:6" ht="13.5" customHeight="1">
      <c r="A70" s="504" t="s">
        <v>878</v>
      </c>
      <c r="B70" s="505">
        <v>0</v>
      </c>
      <c r="C70" s="506"/>
      <c r="D70" s="506"/>
      <c r="E70" s="506"/>
      <c r="F70" s="507"/>
    </row>
    <row r="71" spans="1:6" ht="13.5" customHeight="1">
      <c r="A71" s="515" t="s">
        <v>879</v>
      </c>
      <c r="B71" s="505">
        <v>0</v>
      </c>
      <c r="C71" s="506">
        <f>SUMPRODUCT(([3]分录!$D$7:$D$100=$A71)*INT((([3]分录!$C$7:$C$100="借：")-0.5)*2)*([3]分录!$I$7:$I$100=C$7)*([3]分录!$H$7:$H$100))</f>
        <v>0</v>
      </c>
      <c r="D71" s="506">
        <f>SUMPRODUCT(([3]分录!$D$7:$D$100=$A71)*INT((([3]分录!$C$7:$C$100="借：")-0.5)*2)*([3]分录!$I$7:$I$100=D$7)*([3]分录!$H$7:$H$100))</f>
        <v>0</v>
      </c>
      <c r="E71" s="506">
        <f>SUMPRODUCT(([3]分录!$D$7:$D$100=$A71)*INT((([3]分录!$C$7:$C$100="借：")-0.5)*2)*([3]分录!$I$7:$I$100=E$7)*([3]分录!$H$7:$H$100))</f>
        <v>0</v>
      </c>
      <c r="F71" s="507">
        <f t="shared" si="0"/>
        <v>0</v>
      </c>
    </row>
    <row r="72" spans="1:6" ht="13.5" customHeight="1">
      <c r="A72" s="516" t="s">
        <v>880</v>
      </c>
      <c r="B72" s="505">
        <v>0</v>
      </c>
      <c r="C72" s="506"/>
      <c r="D72" s="506"/>
      <c r="E72" s="506"/>
      <c r="F72" s="507"/>
    </row>
    <row r="73" spans="1:6" ht="13.5" customHeight="1">
      <c r="A73" s="515" t="s">
        <v>881</v>
      </c>
      <c r="B73" s="505">
        <v>0</v>
      </c>
      <c r="C73" s="506"/>
      <c r="D73" s="506"/>
      <c r="E73" s="506"/>
      <c r="F73" s="507"/>
    </row>
    <row r="74" spans="1:6" ht="13.5" customHeight="1">
      <c r="A74" s="504" t="s">
        <v>882</v>
      </c>
      <c r="B74" s="505">
        <v>0</v>
      </c>
      <c r="C74" s="506">
        <f>SUMPRODUCT(([3]分录!$D$7:$D$100=$A74)*INT((([3]分录!$C$7:$C$100="借：")-0.5)*2)*([3]分录!$I$7:$I$100=C$7)*([3]分录!$H$7:$H$100))</f>
        <v>0</v>
      </c>
      <c r="D74" s="506">
        <f>SUMPRODUCT(([3]分录!$D$7:$D$100=$A74)*INT((([3]分录!$C$7:$C$100="借：")-0.5)*2)*([3]分录!$I$7:$I$100=D$7)*([3]分录!$H$7:$H$100))</f>
        <v>0</v>
      </c>
      <c r="E74" s="506">
        <f>SUMPRODUCT(([3]分录!$D$7:$D$100=$A74)*INT((([3]分录!$C$7:$C$100="借：")-0.5)*2)*([3]分录!$I$7:$I$100=E$7)*([3]分录!$H$7:$H$100))</f>
        <v>0</v>
      </c>
      <c r="F74" s="507">
        <f t="shared" si="0"/>
        <v>0</v>
      </c>
    </row>
    <row r="75" spans="1:6" ht="13.5" customHeight="1">
      <c r="A75" s="504" t="s">
        <v>883</v>
      </c>
      <c r="B75" s="505">
        <v>0</v>
      </c>
      <c r="C75" s="506">
        <f>-SUMPRODUCT(([3]分录!$D$7:$D$100=$A75)*INT((([3]分录!$C$7:$C$100="借：")-0.5)*2)*([3]分录!$I$7:$I$100=C$7)*([3]分录!$H$7:$H$100))</f>
        <v>0</v>
      </c>
      <c r="D75" s="506">
        <f>-SUMPRODUCT(([3]分录!$D$7:$D$100=$A75)*INT((([3]分录!$C$7:$C$100="借：")-0.5)*2)*([3]分录!$I$7:$I$100=D$7)*([3]分录!$H$7:$H$100))</f>
        <v>0</v>
      </c>
      <c r="E75" s="506">
        <f>-SUMPRODUCT(([3]分录!$D$7:$D$100=$A75)*INT((([3]分录!$C$7:$C$100="借：")-0.5)*2)*([3]分录!$I$7:$I$100=E$7)*([3]分录!$H$7:$H$100))</f>
        <v>0</v>
      </c>
      <c r="F75" s="507">
        <f t="shared" ref="F75:F91" si="1">ROUND(SUM(B75:E75),2)</f>
        <v>0</v>
      </c>
    </row>
    <row r="76" spans="1:6" ht="13.5" customHeight="1">
      <c r="A76" s="504" t="s">
        <v>884</v>
      </c>
      <c r="B76" s="526">
        <v>0</v>
      </c>
      <c r="C76" s="518">
        <f>C74-C75</f>
        <v>0</v>
      </c>
      <c r="D76" s="518">
        <f>D74-D75</f>
        <v>0</v>
      </c>
      <c r="E76" s="518">
        <f>E74-E75</f>
        <v>0</v>
      </c>
      <c r="F76" s="507">
        <f t="shared" si="1"/>
        <v>0</v>
      </c>
    </row>
    <row r="77" spans="1:6" ht="13.5" customHeight="1">
      <c r="A77" s="510" t="s">
        <v>885</v>
      </c>
      <c r="B77" s="505">
        <v>0</v>
      </c>
      <c r="C77" s="506">
        <f>-SUMPRODUCT(([3]分录!$D$7:$D$100=$A77)*INT((([3]分录!$C$7:$C$100="借：")-0.5)*2)*([3]分录!$I$7:$I$100=C$7)*([3]分录!$H$7:$H$100))</f>
        <v>0</v>
      </c>
      <c r="D77" s="506">
        <f>-SUMPRODUCT(([3]分录!$D$7:$D$100=$A77)*INT((([3]分录!$C$7:$C$100="借：")-0.5)*2)*([3]分录!$I$7:$I$100=D$7)*([3]分录!$H$7:$H$100))</f>
        <v>0</v>
      </c>
      <c r="E77" s="506">
        <f>-SUMPRODUCT(([3]分录!$D$7:$D$100=$A77)*INT((([3]分录!$C$7:$C$100="借：")-0.5)*2)*([3]分录!$I$7:$I$100=E$7)*([3]分录!$H$7:$H$100))</f>
        <v>0</v>
      </c>
      <c r="F77" s="507">
        <f t="shared" si="1"/>
        <v>0</v>
      </c>
    </row>
    <row r="78" spans="1:6" ht="13.5" customHeight="1">
      <c r="A78" s="504" t="s">
        <v>791</v>
      </c>
      <c r="B78" s="527">
        <v>0</v>
      </c>
      <c r="C78" s="512">
        <f>C76-C77</f>
        <v>0</v>
      </c>
      <c r="D78" s="512">
        <f>D76-D77</f>
        <v>0</v>
      </c>
      <c r="E78" s="512">
        <f>E76-E77</f>
        <v>0</v>
      </c>
      <c r="F78" s="507">
        <f t="shared" si="1"/>
        <v>0</v>
      </c>
    </row>
    <row r="79" spans="1:6" ht="13.5" customHeight="1">
      <c r="A79" s="515" t="s">
        <v>886</v>
      </c>
      <c r="B79" s="505">
        <v>644973612.29999995</v>
      </c>
      <c r="C79" s="506">
        <f>SUMPRODUCT(([3]分录!$D$7:$D$100=$A79)*INT((([3]分录!$C$7:$C$100="借：")-0.5)*2)*([3]分录!$I$7:$I$100=C$7)*([3]分录!$H$7:$H$100))</f>
        <v>0</v>
      </c>
      <c r="D79" s="506">
        <f>SUMPRODUCT(([3]分录!$D$7:$D$100=$A79)*INT((([3]分录!$C$7:$C$100="借：")-0.5)*2)*([3]分录!$I$7:$I$100=D$7)*([3]分录!$H$7:$H$100))</f>
        <v>0</v>
      </c>
      <c r="E79" s="506">
        <f>SUMPRODUCT(([3]分录!$D$7:$D$100=$A79)*INT((([3]分录!$C$7:$C$100="借：")-0.5)*2)*([3]分录!$I$7:$I$100=E$7)*([3]分录!$H$7:$H$100))</f>
        <v>0</v>
      </c>
      <c r="F79" s="507">
        <f t="shared" si="1"/>
        <v>644973612.29999995</v>
      </c>
    </row>
    <row r="80" spans="1:6" ht="13.5" customHeight="1">
      <c r="A80" s="516" t="s">
        <v>887</v>
      </c>
      <c r="B80" s="505">
        <v>223739838.41999999</v>
      </c>
      <c r="C80" s="506">
        <f>-SUMPRODUCT(([3]分录!$D$7:$D$100=$A80)*INT((([3]分录!$C$7:$C$100="借：")-0.5)*2)*([3]分录!$I$7:$I$100=C$7)*([3]分录!$H$7:$H$100))</f>
        <v>0</v>
      </c>
      <c r="D80" s="506">
        <f>-SUMPRODUCT(([3]分录!$D$7:$D$100=$A80)*INT((([3]分录!$C$7:$C$100="借：")-0.5)*2)*([3]分录!$I$7:$I$100=D$7)*([3]分录!$H$7:$H$100))</f>
        <v>0</v>
      </c>
      <c r="E80" s="506">
        <f>-SUMPRODUCT(([3]分录!$D$7:$D$100=$A80)*INT((([3]分录!$C$7:$C$100="借：")-0.5)*2)*([3]分录!$I$7:$I$100=E$7)*([3]分录!$H$7:$H$100))</f>
        <v>0</v>
      </c>
      <c r="F80" s="507">
        <f t="shared" si="1"/>
        <v>223739838.41999999</v>
      </c>
    </row>
    <row r="81" spans="1:6" ht="13.5" customHeight="1">
      <c r="A81" s="515" t="s">
        <v>888</v>
      </c>
      <c r="B81" s="526">
        <v>0</v>
      </c>
      <c r="C81" s="518">
        <f>C79-C80</f>
        <v>0</v>
      </c>
      <c r="D81" s="518">
        <f>D79-D80</f>
        <v>0</v>
      </c>
      <c r="E81" s="518">
        <f>E79-E80</f>
        <v>0</v>
      </c>
      <c r="F81" s="507">
        <f t="shared" si="1"/>
        <v>0</v>
      </c>
    </row>
    <row r="82" spans="1:6" ht="13.5" customHeight="1">
      <c r="A82" s="516" t="s">
        <v>662</v>
      </c>
      <c r="B82" s="505">
        <v>0</v>
      </c>
      <c r="C82" s="506">
        <f>-SUMPRODUCT(([3]分录!$D$7:$D$100=$A82)*INT((([3]分录!$C$7:$C$100="借：")-0.5)*2)*([3]分录!$I$7:$I$100=C$7)*([3]分录!$H$7:$H$100))</f>
        <v>0</v>
      </c>
      <c r="D82" s="506">
        <f>-SUMPRODUCT(([3]分录!$D$7:$D$100=$A82)*INT((([3]分录!$C$7:$C$100="借：")-0.5)*2)*([3]分录!$I$7:$I$100=D$7)*([3]分录!$H$7:$H$100))</f>
        <v>0</v>
      </c>
      <c r="E82" s="506">
        <f>-SUMPRODUCT(([3]分录!$D$7:$D$100=$A82)*INT((([3]分录!$C$7:$C$100="借：")-0.5)*2)*([3]分录!$I$7:$I$100=E$7)*([3]分录!$H$7:$H$100))</f>
        <v>0</v>
      </c>
      <c r="F82" s="507">
        <f t="shared" si="1"/>
        <v>0</v>
      </c>
    </row>
    <row r="83" spans="1:6" ht="13.5" customHeight="1">
      <c r="A83" s="515" t="s">
        <v>792</v>
      </c>
      <c r="B83" s="517">
        <v>0</v>
      </c>
      <c r="C83" s="518">
        <f>C81-C82</f>
        <v>0</v>
      </c>
      <c r="D83" s="518">
        <f>D81-D82</f>
        <v>0</v>
      </c>
      <c r="E83" s="518">
        <f>E81-E82</f>
        <v>0</v>
      </c>
      <c r="F83" s="507">
        <f t="shared" si="1"/>
        <v>0</v>
      </c>
    </row>
    <row r="84" spans="1:6" ht="13.5" customHeight="1">
      <c r="A84" s="504" t="s">
        <v>889</v>
      </c>
      <c r="B84" s="505">
        <v>251504974.00999999</v>
      </c>
      <c r="C84" s="506">
        <f>SUMPRODUCT(([3]分录!$D$7:$D$100=$A84)*INT((([3]分录!$C$7:$C$100="借：")-0.5)*2)*([3]分录!$I$7:$I$100=C$7)*([3]分录!$H$7:$H$100))</f>
        <v>0</v>
      </c>
      <c r="D84" s="506">
        <f>SUMPRODUCT(([3]分录!$D$7:$D$100=$A84)*INT((([3]分录!$C$7:$C$100="借：")-0.5)*2)*([3]分录!$I$7:$I$100=D$7)*([3]分录!$H$7:$H$100))</f>
        <v>0</v>
      </c>
      <c r="E84" s="506">
        <f>SUMPRODUCT(([3]分录!$D$7:$D$100=$A84)*INT((([3]分录!$C$7:$C$100="借：")-0.5)*2)*([3]分录!$I$7:$I$100=E$7)*([3]分录!$H$7:$H$100))</f>
        <v>0</v>
      </c>
      <c r="F84" s="507">
        <f t="shared" si="1"/>
        <v>251504974.00999999</v>
      </c>
    </row>
    <row r="85" spans="1:6" ht="13.5" customHeight="1">
      <c r="A85" s="510" t="s">
        <v>890</v>
      </c>
      <c r="B85" s="505">
        <v>0</v>
      </c>
      <c r="C85" s="506">
        <f>-SUMPRODUCT(([3]分录!$D$7:$D$100=$A85)*INT((([3]分录!$C$7:$C$100="借：")-0.5)*2)*([3]分录!$I$7:$I$100=C$7)*([3]分录!$H$7:$H$100))</f>
        <v>0</v>
      </c>
      <c r="D85" s="506">
        <f>-SUMPRODUCT(([3]分录!$D$7:$D$100=$A85)*INT((([3]分录!$C$7:$C$100="借：")-0.5)*2)*([3]分录!$I$7:$I$100=D$7)*([3]分录!$H$7:$H$100))</f>
        <v>0</v>
      </c>
      <c r="E85" s="506">
        <f>-SUMPRODUCT(([3]分录!$D$7:$D$100=$A85)*INT((([3]分录!$C$7:$C$100="借：")-0.5)*2)*([3]分录!$I$7:$I$100=E$7)*([3]分录!$H$7:$H$100))</f>
        <v>0</v>
      </c>
      <c r="F85" s="507">
        <f t="shared" si="1"/>
        <v>0</v>
      </c>
    </row>
    <row r="86" spans="1:6" ht="13.5" customHeight="1">
      <c r="A86" s="504" t="s">
        <v>793</v>
      </c>
      <c r="B86" s="528">
        <v>0</v>
      </c>
      <c r="C86" s="518">
        <f>C84-C85</f>
        <v>0</v>
      </c>
      <c r="D86" s="518">
        <f>D84-D85</f>
        <v>0</v>
      </c>
      <c r="E86" s="518">
        <f>E84-E85</f>
        <v>0</v>
      </c>
      <c r="F86" s="507">
        <f t="shared" si="1"/>
        <v>0</v>
      </c>
    </row>
    <row r="87" spans="1:6" ht="13.5" customHeight="1">
      <c r="A87" s="515" t="s">
        <v>891</v>
      </c>
      <c r="B87" s="505">
        <v>0</v>
      </c>
      <c r="C87" s="506">
        <f>SUMPRODUCT(([3]分录!$D$7:$D$100=$A87)*INT((([3]分录!$C$7:$C$100="借：")-0.5)*2)*([3]分录!$I$7:$I$100=C$7)*([3]分录!$H$7:$H$100))</f>
        <v>0</v>
      </c>
      <c r="D87" s="506">
        <f>SUMPRODUCT(([3]分录!$D$7:$D$100=$A87)*INT((([3]分录!$C$7:$C$100="借：")-0.5)*2)*([3]分录!$I$7:$I$100=D$7)*([3]分录!$H$7:$H$100))</f>
        <v>0</v>
      </c>
      <c r="E87" s="506">
        <f>SUMPRODUCT(([3]分录!$D$7:$D$100=$A87)*INT((([3]分录!$C$7:$C$100="借：")-0.5)*2)*([3]分录!$I$7:$I$100=E$7)*([3]分录!$H$7:$H$100))</f>
        <v>0</v>
      </c>
      <c r="F87" s="507">
        <f t="shared" si="1"/>
        <v>0</v>
      </c>
    </row>
    <row r="88" spans="1:6" ht="13.5" customHeight="1">
      <c r="A88" s="516" t="s">
        <v>892</v>
      </c>
      <c r="B88" s="505">
        <v>0</v>
      </c>
      <c r="C88" s="506">
        <f>-SUMPRODUCT(([3]分录!$D$7:$D$100=$A88)*INT((([3]分录!$C$7:$C$100="借：")-0.5)*2)*([3]分录!$I$7:$I$100=C$7)*([3]分录!$H$7:$H$100))</f>
        <v>0</v>
      </c>
      <c r="D88" s="506">
        <f>-SUMPRODUCT(([3]分录!$D$7:$D$100=$A88)*INT((([3]分录!$C$7:$C$100="借：")-0.5)*2)*([3]分录!$I$7:$I$100=D$7)*([3]分录!$H$7:$H$100))</f>
        <v>0</v>
      </c>
      <c r="E88" s="506">
        <f>-SUMPRODUCT(([3]分录!$D$7:$D$100=$A88)*INT((([3]分录!$C$7:$C$100="借：")-0.5)*2)*([3]分录!$I$7:$I$100=E$7)*([3]分录!$H$7:$H$100))</f>
        <v>0</v>
      </c>
      <c r="F88" s="507">
        <f t="shared" si="1"/>
        <v>0</v>
      </c>
    </row>
    <row r="89" spans="1:6" ht="13.5" customHeight="1">
      <c r="A89" s="515" t="s">
        <v>893</v>
      </c>
      <c r="B89" s="518">
        <v>0</v>
      </c>
      <c r="C89" s="518">
        <f>C87-C88</f>
        <v>0</v>
      </c>
      <c r="D89" s="518">
        <f>D87-D88</f>
        <v>0</v>
      </c>
      <c r="E89" s="518">
        <f>E87-E88</f>
        <v>0</v>
      </c>
      <c r="F89" s="507">
        <f t="shared" si="1"/>
        <v>0</v>
      </c>
    </row>
    <row r="90" spans="1:6" ht="13.5" customHeight="1">
      <c r="A90" s="508" t="s">
        <v>894</v>
      </c>
      <c r="B90" s="505">
        <v>0</v>
      </c>
      <c r="C90" s="506">
        <f>SUMPRODUCT(([3]分录!$D$7:$D$100=$A90)*INT((([3]分录!$C$7:$C$100="借：")-0.5)*2)*([3]分录!$I$7:$I$100=C$7)*([3]分录!$H$7:$H$100))</f>
        <v>0</v>
      </c>
      <c r="D90" s="506">
        <f>SUMPRODUCT(([3]分录!$D$7:$D$100=$A90)*INT((([3]分录!$C$7:$C$100="借：")-0.5)*2)*([3]分录!$I$7:$I$100=D$7)*([3]分录!$H$7:$H$100))</f>
        <v>0</v>
      </c>
      <c r="E90" s="506">
        <f>SUMPRODUCT(([3]分录!$D$7:$D$100=$A90)*INT((([3]分录!$C$7:$C$100="借：")-0.5)*2)*([3]分录!$I$7:$I$100=E$7)*([3]分录!$H$7:$H$100))</f>
        <v>0</v>
      </c>
      <c r="F90" s="507">
        <f t="shared" si="1"/>
        <v>0</v>
      </c>
    </row>
    <row r="91" spans="1:6" ht="13.5" customHeight="1" outlineLevel="1">
      <c r="A91" s="515" t="s">
        <v>895</v>
      </c>
      <c r="B91" s="505">
        <v>0</v>
      </c>
      <c r="C91" s="506">
        <f>SUMPRODUCT(([3]分录!$D$7:$D$100=$A91)*INT((([3]分录!$C$7:$C$100="借：")-0.5)*2)*([3]分录!$I$7:$I$100=C$7)*([3]分录!$H$7:$H$100))</f>
        <v>0</v>
      </c>
      <c r="D91" s="506">
        <f>SUMPRODUCT(([3]分录!$D$7:$D$100=$A91)*INT((([3]分录!$C$7:$C$100="借：")-0.5)*2)*([3]分录!$I$7:$I$100=D$7)*([3]分录!$H$7:$H$100))</f>
        <v>0</v>
      </c>
      <c r="E91" s="506">
        <f>SUMPRODUCT(([3]分录!$D$7:$D$100=$A91)*INT((([3]分录!$C$7:$C$100="借：")-0.5)*2)*([3]分录!$I$7:$I$100=E$7)*([3]分录!$H$7:$H$100))</f>
        <v>0</v>
      </c>
      <c r="F91" s="507">
        <f t="shared" si="1"/>
        <v>0</v>
      </c>
    </row>
    <row r="92" spans="1:6" ht="13.5" customHeight="1" outlineLevel="1">
      <c r="A92" s="516" t="s">
        <v>896</v>
      </c>
      <c r="B92" s="505">
        <v>0</v>
      </c>
      <c r="C92" s="506"/>
      <c r="D92" s="506"/>
      <c r="E92" s="506"/>
      <c r="F92" s="507"/>
    </row>
    <row r="93" spans="1:6" ht="13.5" customHeight="1" outlineLevel="1">
      <c r="A93" s="515" t="s">
        <v>897</v>
      </c>
      <c r="B93" s="505">
        <v>0</v>
      </c>
      <c r="C93" s="506"/>
      <c r="D93" s="506"/>
      <c r="E93" s="506"/>
      <c r="F93" s="507"/>
    </row>
    <row r="94" spans="1:6" ht="13.5" customHeight="1" outlineLevel="1">
      <c r="A94" s="516" t="s">
        <v>898</v>
      </c>
      <c r="B94" s="505">
        <v>0</v>
      </c>
      <c r="C94" s="506"/>
      <c r="D94" s="506"/>
      <c r="E94" s="506"/>
      <c r="F94" s="507"/>
    </row>
    <row r="95" spans="1:6" ht="13.5" customHeight="1" outlineLevel="1">
      <c r="A95" s="515" t="s">
        <v>899</v>
      </c>
      <c r="B95" s="505">
        <v>0</v>
      </c>
      <c r="C95" s="506"/>
      <c r="D95" s="506"/>
      <c r="E95" s="506"/>
      <c r="F95" s="507"/>
    </row>
    <row r="96" spans="1:6" ht="13.5" customHeight="1" outlineLevel="1">
      <c r="A96" s="504" t="s">
        <v>900</v>
      </c>
      <c r="B96" s="505">
        <v>0</v>
      </c>
      <c r="C96" s="506">
        <f>SUMPRODUCT(([3]分录!$D$7:$D$100=$A96)*INT((([3]分录!$C$7:$C$100="借：")-0.5)*2)*([3]分录!$I$7:$I$100=C$7)*([3]分录!$H$7:$H$100))</f>
        <v>0</v>
      </c>
      <c r="D96" s="506">
        <f>SUMPRODUCT(([3]分录!$D$7:$D$100=$A96)*INT((([3]分录!$C$7:$C$100="借：")-0.5)*2)*([3]分录!$I$7:$I$100=D$7)*([3]分录!$H$7:$H$100))</f>
        <v>0</v>
      </c>
      <c r="E96" s="506">
        <f>SUMPRODUCT(([3]分录!$D$7:$D$100=$A96)*INT((([3]分录!$C$7:$C$100="借：")-0.5)*2)*([3]分录!$I$7:$I$100=E$7)*([3]分录!$H$7:$H$100))</f>
        <v>0</v>
      </c>
      <c r="F96" s="507">
        <f>ROUND(SUM(B96:E96),2)</f>
        <v>0</v>
      </c>
    </row>
    <row r="97" spans="1:6" ht="13.5" customHeight="1" outlineLevel="1">
      <c r="A97" s="504" t="s">
        <v>901</v>
      </c>
      <c r="B97" s="505">
        <v>0</v>
      </c>
      <c r="C97" s="506"/>
      <c r="D97" s="506"/>
      <c r="E97" s="506"/>
      <c r="F97" s="507"/>
    </row>
    <row r="98" spans="1:6" ht="13.5" customHeight="1" outlineLevel="1">
      <c r="A98" s="504" t="s">
        <v>902</v>
      </c>
      <c r="B98" s="505">
        <v>0</v>
      </c>
      <c r="C98" s="506"/>
      <c r="D98" s="506"/>
      <c r="E98" s="506"/>
      <c r="F98" s="507"/>
    </row>
    <row r="99" spans="1:6" ht="13.5" customHeight="1" outlineLevel="1">
      <c r="A99" s="510" t="s">
        <v>903</v>
      </c>
      <c r="B99" s="505">
        <v>0</v>
      </c>
      <c r="C99" s="506"/>
      <c r="D99" s="506"/>
      <c r="E99" s="506"/>
      <c r="F99" s="507"/>
    </row>
    <row r="100" spans="1:6" ht="13.5" customHeight="1" outlineLevel="1">
      <c r="A100" s="504" t="s">
        <v>904</v>
      </c>
      <c r="B100" s="505">
        <v>0</v>
      </c>
      <c r="C100" s="506"/>
      <c r="D100" s="506"/>
      <c r="E100" s="506"/>
      <c r="F100" s="507"/>
    </row>
    <row r="101" spans="1:6" ht="13.5" customHeight="1">
      <c r="A101" s="515" t="s">
        <v>905</v>
      </c>
      <c r="B101" s="505">
        <v>0</v>
      </c>
      <c r="C101" s="506">
        <f>SUMPRODUCT(([3]分录!$D$7:$D$100=$A101)*INT((([3]分录!$C$7:$C$100="借：")-0.5)*2)*([3]分录!$I$7:$I$100=C$7)*([3]分录!$H$7:$H$100))</f>
        <v>0</v>
      </c>
      <c r="D101" s="506">
        <f>SUMPRODUCT(([3]分录!$D$7:$D$100=$A101)*INT((([3]分录!$C$7:$C$100="借：")-0.5)*2)*([3]分录!$I$7:$I$100=D$7)*([3]分录!$H$7:$H$100))</f>
        <v>0</v>
      </c>
      <c r="E101" s="506">
        <f>SUMPRODUCT(([3]分录!$D$7:$D$100=$A101)*INT((([3]分录!$C$7:$C$100="借：")-0.5)*2)*([3]分录!$I$7:$I$100=E$7)*([3]分录!$H$7:$H$100))</f>
        <v>0</v>
      </c>
      <c r="F101" s="507">
        <f t="shared" ref="F101:F165" si="2">ROUND(SUM(B101:E101),2)</f>
        <v>0</v>
      </c>
    </row>
    <row r="102" spans="1:6" ht="13.5" customHeight="1">
      <c r="A102" s="516" t="s">
        <v>906</v>
      </c>
      <c r="B102" s="505">
        <v>0</v>
      </c>
      <c r="C102" s="506">
        <f>-SUMPRODUCT(([3]分录!$D$7:$D$100=$A102)*INT((([3]分录!$C$7:$C$100="借：")-0.5)*2)*([3]分录!$I$7:$I$100=C$7)*([3]分录!$H$7:$H$100))</f>
        <v>0</v>
      </c>
      <c r="D102" s="506">
        <f>-SUMPRODUCT(([3]分录!$D$7:$D$100=$A102)*INT((([3]分录!$C$7:$C$100="借：")-0.5)*2)*([3]分录!$I$7:$I$100=D$7)*([3]分录!$H$7:$H$100))</f>
        <v>0</v>
      </c>
      <c r="E102" s="506">
        <f>-SUMPRODUCT(([3]分录!$D$7:$D$100=$A102)*INT((([3]分录!$C$7:$C$100="借：")-0.5)*2)*([3]分录!$I$7:$I$100=E$7)*([3]分录!$H$7:$H$100))</f>
        <v>0</v>
      </c>
      <c r="F102" s="507">
        <f t="shared" si="2"/>
        <v>0</v>
      </c>
    </row>
    <row r="103" spans="1:6" ht="13.5" customHeight="1">
      <c r="A103" s="515" t="s">
        <v>907</v>
      </c>
      <c r="B103" s="526">
        <v>0</v>
      </c>
      <c r="C103" s="518">
        <f>C101-C102</f>
        <v>0</v>
      </c>
      <c r="D103" s="518">
        <f>D101-D102</f>
        <v>0</v>
      </c>
      <c r="E103" s="518">
        <f>E101-E102</f>
        <v>0</v>
      </c>
      <c r="F103" s="507">
        <f t="shared" si="2"/>
        <v>0</v>
      </c>
    </row>
    <row r="104" spans="1:6" ht="13.5" customHeight="1">
      <c r="A104" s="516" t="s">
        <v>908</v>
      </c>
      <c r="B104" s="505">
        <v>0</v>
      </c>
      <c r="C104" s="506">
        <f>-SUMPRODUCT(([3]分录!$D$7:$D$100=$A104)*INT((([3]分录!$C$7:$C$100="借：")-0.5)*2)*([3]分录!$I$7:$I$100=C$7)*([3]分录!$H$7:$H$100))</f>
        <v>0</v>
      </c>
      <c r="D104" s="506">
        <f>-SUMPRODUCT(([3]分录!$D$7:$D$100=$A104)*INT((([3]分录!$C$7:$C$100="借：")-0.5)*2)*([3]分录!$I$7:$I$100=D$7)*([3]分录!$H$7:$H$100))</f>
        <v>0</v>
      </c>
      <c r="E104" s="506">
        <f>-SUMPRODUCT(([3]分录!$D$7:$D$100=$A104)*INT((([3]分录!$C$7:$C$100="借：")-0.5)*2)*([3]分录!$I$7:$I$100=E$7)*([3]分录!$H$7:$H$100))</f>
        <v>0</v>
      </c>
      <c r="F104" s="507">
        <f t="shared" si="2"/>
        <v>0</v>
      </c>
    </row>
    <row r="105" spans="1:6" ht="13.5" customHeight="1">
      <c r="A105" s="515" t="s">
        <v>795</v>
      </c>
      <c r="B105" s="526">
        <v>0</v>
      </c>
      <c r="C105" s="526">
        <f>C103-C104</f>
        <v>0</v>
      </c>
      <c r="D105" s="526">
        <f>D103-D104</f>
        <v>0</v>
      </c>
      <c r="E105" s="526">
        <f>E103-E104</f>
        <v>0</v>
      </c>
      <c r="F105" s="507">
        <f t="shared" si="2"/>
        <v>0</v>
      </c>
    </row>
    <row r="106" spans="1:6" ht="13.5" customHeight="1">
      <c r="A106" s="504" t="s">
        <v>909</v>
      </c>
      <c r="B106" s="505">
        <v>0</v>
      </c>
      <c r="C106" s="506">
        <f>SUMPRODUCT(([3]分录!$D$7:$D$100=$A106)*INT((([3]分录!$C$7:$C$100="借：")-0.5)*2)*([3]分录!$I$7:$I$100=C$7)*([3]分录!$H$7:$H$100))</f>
        <v>0</v>
      </c>
      <c r="D106" s="506">
        <f>SUMPRODUCT(([3]分录!$D$7:$D$100=$A106)*INT((([3]分录!$C$7:$C$100="借：")-0.5)*2)*([3]分录!$I$7:$I$100=D$7)*([3]分录!$H$7:$H$100))</f>
        <v>0</v>
      </c>
      <c r="E106" s="506">
        <f>SUMPRODUCT(([3]分录!$D$7:$D$100=$A106)*INT((([3]分录!$C$7:$C$100="借：")-0.5)*2)*([3]分录!$I$7:$I$100=E$7)*([3]分录!$H$7:$H$100))</f>
        <v>0</v>
      </c>
      <c r="F106" s="507">
        <f t="shared" si="2"/>
        <v>0</v>
      </c>
    </row>
    <row r="107" spans="1:6" ht="13.5" customHeight="1">
      <c r="A107" s="504" t="s">
        <v>910</v>
      </c>
      <c r="B107" s="505">
        <v>0</v>
      </c>
      <c r="C107" s="506">
        <f>-SUMPRODUCT(([3]分录!$D$7:$D$100=$A107)*INT((([3]分录!$C$7:$C$100="借：")-0.5)*2)*([3]分录!$I$7:$I$100=C$7)*([3]分录!$H$7:$H$100))</f>
        <v>0</v>
      </c>
      <c r="D107" s="506">
        <f>-SUMPRODUCT(([3]分录!$D$7:$D$100=$A107)*INT((([3]分录!$C$7:$C$100="借：")-0.5)*2)*([3]分录!$I$7:$I$100=D$7)*([3]分录!$H$7:$H$100))</f>
        <v>0</v>
      </c>
      <c r="E107" s="506">
        <f>-SUMPRODUCT(([3]分录!$D$7:$D$100=$A107)*INT((([3]分录!$C$7:$C$100="借：")-0.5)*2)*([3]分录!$I$7:$I$100=E$7)*([3]分录!$H$7:$H$100))</f>
        <v>0</v>
      </c>
      <c r="F107" s="507">
        <f t="shared" si="2"/>
        <v>0</v>
      </c>
    </row>
    <row r="108" spans="1:6" ht="13.5" customHeight="1">
      <c r="A108" s="504" t="s">
        <v>911</v>
      </c>
      <c r="B108" s="526">
        <v>0</v>
      </c>
      <c r="C108" s="518">
        <f>C106-C107</f>
        <v>0</v>
      </c>
      <c r="D108" s="518">
        <f>D106-D107</f>
        <v>0</v>
      </c>
      <c r="E108" s="518">
        <f>E106-E107</f>
        <v>0</v>
      </c>
      <c r="F108" s="507">
        <f t="shared" si="2"/>
        <v>0</v>
      </c>
    </row>
    <row r="109" spans="1:6" ht="13.5" customHeight="1">
      <c r="A109" s="510" t="s">
        <v>912</v>
      </c>
      <c r="B109" s="505">
        <v>0</v>
      </c>
      <c r="C109" s="506">
        <f>-SUMPRODUCT(([3]分录!$D$7:$D$100=$A109)*INT((([3]分录!$C$7:$C$100="借：")-0.5)*2)*([3]分录!$I$7:$I$100=C$7)*([3]分录!$H$7:$H$100))</f>
        <v>0</v>
      </c>
      <c r="D109" s="506">
        <f>-SUMPRODUCT(([3]分录!$D$7:$D$100=$A109)*INT((([3]分录!$C$7:$C$100="借：")-0.5)*2)*([3]分录!$I$7:$I$100=D$7)*([3]分录!$H$7:$H$100))</f>
        <v>0</v>
      </c>
      <c r="E109" s="506">
        <f>-SUMPRODUCT(([3]分录!$D$7:$D$100=$A109)*INT((([3]分录!$C$7:$C$100="借：")-0.5)*2)*([3]分录!$I$7:$I$100=E$7)*([3]分录!$H$7:$H$100))</f>
        <v>0</v>
      </c>
      <c r="F109" s="507">
        <f t="shared" si="2"/>
        <v>0</v>
      </c>
    </row>
    <row r="110" spans="1:6" ht="13.5" customHeight="1">
      <c r="A110" s="504" t="s">
        <v>913</v>
      </c>
      <c r="B110" s="517">
        <v>0</v>
      </c>
      <c r="C110" s="518">
        <f>C108-C109</f>
        <v>0</v>
      </c>
      <c r="D110" s="518">
        <f>D108-D109</f>
        <v>0</v>
      </c>
      <c r="E110" s="518">
        <f>E108-E109</f>
        <v>0</v>
      </c>
      <c r="F110" s="507">
        <f t="shared" si="2"/>
        <v>0</v>
      </c>
    </row>
    <row r="111" spans="1:6" ht="13.5" customHeight="1">
      <c r="A111" s="515" t="s">
        <v>914</v>
      </c>
      <c r="B111" s="505">
        <v>0</v>
      </c>
      <c r="C111" s="506">
        <f>SUMPRODUCT(([3]分录!$D$7:$D$100=$A111)*INT((([3]分录!$C$7:$C$100="借：")-0.5)*2)*([3]分录!$I$7:$I$100=C$7)*([3]分录!$H$7:$H$100))</f>
        <v>0</v>
      </c>
      <c r="D111" s="506">
        <f>SUMPRODUCT(([3]分录!$D$7:$D$100=$A111)*INT((([3]分录!$C$7:$C$100="借：")-0.5)*2)*([3]分录!$I$7:$I$100=D$7)*([3]分录!$H$7:$H$100))</f>
        <v>0</v>
      </c>
      <c r="E111" s="506">
        <f>SUMPRODUCT(([3]分录!$D$7:$D$100=$A111)*INT((([3]分录!$C$7:$C$100="借：")-0.5)*2)*([3]分录!$I$7:$I$100=E$7)*([3]分录!$H$7:$H$100))</f>
        <v>0</v>
      </c>
      <c r="F111" s="507">
        <f t="shared" si="2"/>
        <v>0</v>
      </c>
    </row>
    <row r="112" spans="1:6" ht="13.5" customHeight="1">
      <c r="A112" s="516" t="s">
        <v>915</v>
      </c>
      <c r="B112" s="505"/>
      <c r="C112" s="506"/>
      <c r="D112" s="506"/>
      <c r="E112" s="506"/>
      <c r="F112" s="507"/>
    </row>
    <row r="113" spans="1:7" ht="13.5" customHeight="1">
      <c r="A113" s="515" t="s">
        <v>916</v>
      </c>
      <c r="B113" s="525">
        <f>B111-B112</f>
        <v>0</v>
      </c>
      <c r="C113" s="525">
        <f>C111-C112</f>
        <v>0</v>
      </c>
      <c r="D113" s="525">
        <f>D111-D112</f>
        <v>0</v>
      </c>
      <c r="E113" s="525">
        <f>E111-E112</f>
        <v>0</v>
      </c>
      <c r="F113" s="507"/>
    </row>
    <row r="114" spans="1:7" ht="13.5" customHeight="1">
      <c r="A114" s="504" t="s">
        <v>917</v>
      </c>
      <c r="B114" s="505">
        <v>0</v>
      </c>
      <c r="C114" s="506">
        <f>SUMPRODUCT(([3]分录!$D$7:$D$100=$A114)*INT((([3]分录!$C$7:$C$100="借：")-0.5)*2)*([3]分录!$I$7:$I$100=C$7)*([3]分录!$H$7:$H$100))</f>
        <v>0</v>
      </c>
      <c r="D114" s="506">
        <f>SUMPRODUCT(([3]分录!$D$7:$D$100=$A114)*INT((([3]分录!$C$7:$C$100="借：")-0.5)*2)*([3]分录!$I$7:$I$100=D$7)*([3]分录!$H$7:$H$100))</f>
        <v>0</v>
      </c>
      <c r="E114" s="506">
        <f>SUMPRODUCT(([3]分录!$D$7:$D$100=$A114)*INT((([3]分录!$C$7:$C$100="借：")-0.5)*2)*([3]分录!$I$7:$I$100=E$7)*([3]分录!$H$7:$H$100))</f>
        <v>0</v>
      </c>
      <c r="F114" s="507">
        <f t="shared" si="2"/>
        <v>0</v>
      </c>
    </row>
    <row r="115" spans="1:7" ht="13.5" customHeight="1">
      <c r="A115" s="510" t="s">
        <v>918</v>
      </c>
      <c r="B115" s="505">
        <v>0</v>
      </c>
      <c r="C115" s="506">
        <f>-SUMPRODUCT(([3]分录!$D$7:$D$100=$A115)*INT((([3]分录!$C$7:$C$100="借：")-0.5)*2)*([3]分录!$I$7:$I$100=C$7)*([3]分录!$H$7:$H$100))</f>
        <v>0</v>
      </c>
      <c r="D115" s="506">
        <f>-SUMPRODUCT(([3]分录!$D$7:$D$100=$A115)*INT((([3]分录!$C$7:$C$100="借：")-0.5)*2)*([3]分录!$I$7:$I$100=D$7)*([3]分录!$H$7:$H$100))</f>
        <v>0</v>
      </c>
      <c r="E115" s="506">
        <f>-SUMPRODUCT(([3]分录!$D$7:$D$100=$A115)*INT((([3]分录!$C$7:$C$100="借：")-0.5)*2)*([3]分录!$I$7:$I$100=E$7)*([3]分录!$H$7:$H$100))</f>
        <v>0</v>
      </c>
      <c r="F115" s="507">
        <f t="shared" si="2"/>
        <v>0</v>
      </c>
    </row>
    <row r="116" spans="1:7" ht="13.5" customHeight="1">
      <c r="A116" s="504" t="s">
        <v>919</v>
      </c>
      <c r="B116" s="518">
        <v>0</v>
      </c>
      <c r="C116" s="518">
        <f>C114-C115</f>
        <v>0</v>
      </c>
      <c r="D116" s="518">
        <f>D114-D115</f>
        <v>0</v>
      </c>
      <c r="E116" s="518">
        <f>E114-E115</f>
        <v>0</v>
      </c>
      <c r="F116" s="507">
        <f t="shared" si="2"/>
        <v>0</v>
      </c>
    </row>
    <row r="117" spans="1:7" ht="13.5" customHeight="1">
      <c r="A117" s="504" t="s">
        <v>920</v>
      </c>
      <c r="B117" s="505">
        <v>0</v>
      </c>
      <c r="C117" s="506">
        <f>SUMPRODUCT(([3]分录!$D$7:$D$100=$A117)*INT((([3]分录!$C$7:$C$100="借：")-0.5)*2)*([3]分录!$I$7:$I$100=C$7)*([3]分录!$H$7:$H$100))</f>
        <v>0</v>
      </c>
      <c r="D117" s="506">
        <f>SUMPRODUCT(([3]分录!$D$7:$D$100=$A117)*INT((([3]分录!$C$7:$C$100="借：")-0.5)*2)*([3]分录!$I$7:$I$100=D$7)*([3]分录!$H$7:$H$100))</f>
        <v>0</v>
      </c>
      <c r="E117" s="506">
        <f>SUMPRODUCT(([3]分录!$D$7:$D$100=$A117)*INT((([3]分录!$C$7:$C$100="借：")-0.5)*2)*([3]分录!$I$7:$I$100=E$7)*([3]分录!$H$7:$H$100))</f>
        <v>0</v>
      </c>
      <c r="F117" s="507">
        <f t="shared" si="2"/>
        <v>0</v>
      </c>
    </row>
    <row r="118" spans="1:7" ht="13.5" customHeight="1">
      <c r="A118" s="504" t="s">
        <v>921</v>
      </c>
      <c r="B118" s="505">
        <v>0</v>
      </c>
      <c r="C118" s="506">
        <f>SUMPRODUCT(([3]分录!$D$7:$D$100=$A118)*INT((([3]分录!$C$7:$C$100="借：")-0.5)*2)*([3]分录!$I$7:$I$100=C$7)*([3]分录!$H$7:$H$100))</f>
        <v>-635604.57999999996</v>
      </c>
      <c r="D118" s="506">
        <f>SUMPRODUCT(([3]分录!$D$7:$D$100=$A118)*INT((([3]分录!$C$7:$C$100="借：")-0.5)*2)*([3]分录!$I$7:$I$100=D$7)*([3]分录!$H$7:$H$100))</f>
        <v>0</v>
      </c>
      <c r="E118" s="506">
        <f>SUMPRODUCT(([3]分录!$D$7:$D$100=$A118)*INT((([3]分录!$C$7:$C$100="借：")-0.5)*2)*([3]分录!$I$7:$I$100=E$7)*([3]分录!$H$7:$H$100))</f>
        <v>0</v>
      </c>
      <c r="F118" s="507">
        <f t="shared" si="2"/>
        <v>-635604.57999999996</v>
      </c>
    </row>
    <row r="119" spans="1:7" ht="13.5" customHeight="1">
      <c r="A119" s="504" t="s">
        <v>922</v>
      </c>
      <c r="B119" s="505">
        <v>0</v>
      </c>
      <c r="C119" s="506">
        <f>SUMPRODUCT(([3]分录!$D$7:$D$100=$A119)*INT((([3]分录!$C$7:$C$100="借：")-0.5)*2)*([3]分录!$I$7:$I$100=C$7)*([3]分录!$H$7:$H$100))</f>
        <v>0</v>
      </c>
      <c r="D119" s="506">
        <f>SUMPRODUCT(([3]分录!$D$7:$D$100=$A119)*INT((([3]分录!$C$7:$C$100="借：")-0.5)*2)*([3]分录!$I$7:$I$100=D$7)*([3]分录!$H$7:$H$100))</f>
        <v>0</v>
      </c>
      <c r="E119" s="506">
        <f>SUMPRODUCT(([3]分录!$D$7:$D$100=$A119)*INT((([3]分录!$C$7:$C$100="借：")-0.5)*2)*([3]分录!$I$7:$I$100=E$7)*([3]分录!$H$7:$H$100))</f>
        <v>0</v>
      </c>
      <c r="F119" s="507">
        <f t="shared" si="2"/>
        <v>0</v>
      </c>
    </row>
    <row r="120" spans="1:7" s="530" customFormat="1" ht="13.5" customHeight="1">
      <c r="A120" s="529" t="s">
        <v>923</v>
      </c>
      <c r="B120" s="521">
        <v>0</v>
      </c>
      <c r="C120" s="521">
        <f>SUMIFS(C47:C119,$A47:$A119,"&lt;&gt;*原值*",$A47:$A119,"&lt;&gt;*折旧*",$A47:$A119,"&lt;&gt;*摊销*",$A47:$A119,"&lt;&gt;*减值*")</f>
        <v>-635604.57999999996</v>
      </c>
      <c r="D120" s="521">
        <f>SUMIFS(D47:D119,$A47:$A119,"&lt;&gt;*原值*",$A47:$A119,"&lt;&gt;*折旧*",$A47:$A119,"&lt;&gt;*摊销*",$A47:$A119,"&lt;&gt;*减值*")</f>
        <v>0</v>
      </c>
      <c r="E120" s="521">
        <f>SUMIFS(E47:E119,$A47:$A119,"&lt;&gt;*原值*",$A47:$A119,"&lt;&gt;*折旧*",$A47:$A119,"&lt;&gt;*摊销*",$A47:$A119,"&lt;&gt;*减值*")</f>
        <v>0</v>
      </c>
      <c r="F120" s="522">
        <f t="shared" si="2"/>
        <v>-635604.57999999996</v>
      </c>
      <c r="G120" s="482"/>
    </row>
    <row r="121" spans="1:7" s="530" customFormat="1" ht="13.5" customHeight="1">
      <c r="A121" s="529" t="s">
        <v>924</v>
      </c>
      <c r="B121" s="521">
        <v>0</v>
      </c>
      <c r="C121" s="521">
        <f>ROUND(C45+C120,2)</f>
        <v>1169230.5900000001</v>
      </c>
      <c r="D121" s="521">
        <f>ROUND(D45+D120,2)</f>
        <v>0</v>
      </c>
      <c r="E121" s="521">
        <f>ROUND(E45+E120,2)</f>
        <v>0</v>
      </c>
      <c r="F121" s="522">
        <f t="shared" si="2"/>
        <v>1169230.5900000001</v>
      </c>
      <c r="G121" s="482"/>
    </row>
    <row r="122" spans="1:7" ht="13.5" customHeight="1">
      <c r="A122" s="531" t="s">
        <v>925</v>
      </c>
      <c r="B122" s="525">
        <v>0</v>
      </c>
      <c r="C122" s="518"/>
      <c r="D122" s="518"/>
      <c r="E122" s="518"/>
      <c r="F122" s="507">
        <f t="shared" si="2"/>
        <v>0</v>
      </c>
    </row>
    <row r="123" spans="1:7" ht="13.5" customHeight="1">
      <c r="A123" s="513" t="s">
        <v>926</v>
      </c>
      <c r="B123" s="505">
        <v>0</v>
      </c>
      <c r="C123" s="506">
        <f>-SUMPRODUCT(([3]分录!$D$7:$D$100=$A123)*INT((([3]分录!$C$7:$C$100="借：")-0.5)*2)*([3]分录!$I$7:$I$100=C$7)*([3]分录!$H$7:$H$100))</f>
        <v>0</v>
      </c>
      <c r="D123" s="506">
        <f>-SUMPRODUCT(([3]分录!$D$7:$D$100=$A123)*INT((([3]分录!$C$7:$C$100="借：")-0.5)*2)*([3]分录!$I$7:$I$100=D$7)*([3]分录!$H$7:$H$100))</f>
        <v>0</v>
      </c>
      <c r="E123" s="506">
        <f>-SUMPRODUCT(([3]分录!$D$7:$D$100=$A123)*INT((([3]分录!$C$7:$C$100="借：")-0.5)*2)*([3]分录!$I$7:$I$100=E$7)*([3]分录!$H$7:$H$100))</f>
        <v>0</v>
      </c>
      <c r="F123" s="507">
        <f t="shared" si="2"/>
        <v>0</v>
      </c>
      <c r="G123" s="482">
        <f>VLOOKUP(A123,报表格式!E$6:F$111,2,FALSE)</f>
        <v>123</v>
      </c>
    </row>
    <row r="124" spans="1:7" ht="13.5" customHeight="1">
      <c r="A124" s="504" t="s">
        <v>927</v>
      </c>
      <c r="B124" s="505">
        <v>0</v>
      </c>
      <c r="C124" s="506">
        <f>-SUMPRODUCT(([3]分录!$D$7:$D$100=$A124)*INT((([3]分录!$C$7:$C$100="借：")-0.5)*2)*([3]分录!$I$7:$I$100=C$7)*([3]分录!$H$7:$H$100))</f>
        <v>0</v>
      </c>
      <c r="D124" s="506">
        <f>-SUMPRODUCT(([3]分录!$D$7:$D$100=$A124)*INT((([3]分录!$C$7:$C$100="借：")-0.5)*2)*([3]分录!$I$7:$I$100=D$7)*([3]分录!$H$7:$H$100))</f>
        <v>0</v>
      </c>
      <c r="E124" s="506">
        <f>-SUMPRODUCT(([3]分录!$D$7:$D$100=$A124)*INT((([3]分录!$C$7:$C$100="借：")-0.5)*2)*([3]分录!$I$7:$I$100=E$7)*([3]分录!$H$7:$H$100))</f>
        <v>0</v>
      </c>
      <c r="F124" s="507">
        <f t="shared" si="2"/>
        <v>0</v>
      </c>
      <c r="G124" s="482">
        <f>VLOOKUP(A124,报表格式!E$6:F$111,2,FALSE)</f>
        <v>126</v>
      </c>
    </row>
    <row r="125" spans="1:7" ht="13.5" customHeight="1">
      <c r="A125" s="509" t="s">
        <v>928</v>
      </c>
      <c r="B125" s="505">
        <v>0</v>
      </c>
      <c r="C125" s="506">
        <f>-SUMPRODUCT(([3]分录!$D$7:$D$100=$A125)*INT((([3]分录!$C$7:$C$100="借：")-0.5)*2)*([3]分录!$I$7:$I$100=C$7)*([3]分录!$H$7:$H$100))</f>
        <v>0</v>
      </c>
      <c r="D125" s="506">
        <f>-SUMPRODUCT(([3]分录!$D$7:$D$100=$A125)*INT((([3]分录!$C$7:$C$100="借：")-0.5)*2)*([3]分录!$I$7:$I$100=D$7)*([3]分录!$H$7:$H$100))</f>
        <v>0</v>
      </c>
      <c r="E125" s="506">
        <f>-SUMPRODUCT(([3]分录!$D$7:$D$100=$A125)*INT((([3]分录!$C$7:$C$100="借：")-0.5)*2)*([3]分录!$I$7:$I$100=E$7)*([3]分录!$H$7:$H$100))</f>
        <v>0</v>
      </c>
      <c r="F125" s="507">
        <f t="shared" si="2"/>
        <v>0</v>
      </c>
      <c r="G125" s="482" t="e">
        <f>VLOOKUP(A125,报表格式!E$6:F$111,2,FALSE)</f>
        <v>#N/A</v>
      </c>
    </row>
    <row r="126" spans="1:7" ht="13.5" customHeight="1">
      <c r="A126" s="504" t="s">
        <v>929</v>
      </c>
      <c r="B126" s="505">
        <v>0</v>
      </c>
      <c r="C126" s="506">
        <f>-SUMPRODUCT(([3]分录!$D$7:$D$100=$A126)*INT((([3]分录!$C$7:$C$100="借：")-0.5)*2)*([3]分录!$I$7:$I$100=C$7)*([3]分录!$H$7:$H$100))</f>
        <v>0</v>
      </c>
      <c r="D126" s="506">
        <f>-SUMPRODUCT(([3]分录!$D$7:$D$100=$A126)*INT((([3]分录!$C$7:$C$100="借：")-0.5)*2)*([3]分录!$I$7:$I$100=D$7)*([3]分录!$H$7:$H$100))</f>
        <v>0</v>
      </c>
      <c r="E126" s="506">
        <f>-SUMPRODUCT(([3]分录!$D$7:$D$100=$A126)*INT((([3]分录!$C$7:$C$100="借：")-0.5)*2)*([3]分录!$I$7:$I$100=E$7)*([3]分录!$H$7:$H$100))</f>
        <v>0</v>
      </c>
      <c r="F126" s="507">
        <f t="shared" si="2"/>
        <v>0</v>
      </c>
      <c r="G126" s="482">
        <f>VLOOKUP(A126,报表格式!E$6:F$111,2,FALSE)</f>
        <v>127</v>
      </c>
    </row>
    <row r="127" spans="1:7" ht="13.5" customHeight="1">
      <c r="A127" s="513" t="s">
        <v>930</v>
      </c>
      <c r="B127" s="505">
        <v>380720238.91000003</v>
      </c>
      <c r="C127" s="506">
        <f>-SUMPRODUCT(([3]分录!$D$7:$D$100=$A127)*INT((([3]分录!$C$7:$C$100="借：")-0.5)*2)*([3]分录!$I$7:$I$100=C$7)*([3]分录!$H$7:$H$100))</f>
        <v>0</v>
      </c>
      <c r="D127" s="506">
        <f>-SUMPRODUCT(([3]分录!$D$7:$D$100=$A127)*INT((([3]分录!$C$7:$C$100="借：")-0.5)*2)*([3]分录!$I$7:$I$100=D$7)*([3]分录!$H$7:$H$100))</f>
        <v>0</v>
      </c>
      <c r="E127" s="506">
        <f>-SUMPRODUCT(([3]分录!$D$7:$D$100=$A127)*INT((([3]分录!$C$7:$C$100="借：")-0.5)*2)*([3]分录!$I$7:$I$100=E$7)*([3]分录!$H$7:$H$100))</f>
        <v>0</v>
      </c>
      <c r="F127" s="507">
        <f t="shared" si="2"/>
        <v>380720238.91000003</v>
      </c>
      <c r="G127" s="482">
        <f>VLOOKUP(A127,报表格式!E$6:F$111,2,FALSE)</f>
        <v>128</v>
      </c>
    </row>
    <row r="128" spans="1:7" ht="13.5" customHeight="1">
      <c r="A128" s="513" t="s">
        <v>931</v>
      </c>
      <c r="B128" s="505">
        <v>741986820.83000004</v>
      </c>
      <c r="C128" s="506">
        <f>-SUMPRODUCT(([3]分录!$D$7:$D$100=$A128)*INT((([3]分录!$C$7:$C$100="借：")-0.5)*2)*([3]分录!$I$7:$I$100=C$7)*([3]分录!$H$7:$H$100))</f>
        <v>0</v>
      </c>
      <c r="D128" s="506">
        <f>-SUMPRODUCT(([3]分录!$D$7:$D$100=$A128)*INT((([3]分录!$C$7:$C$100="借：")-0.5)*2)*([3]分录!$I$7:$I$100=D$7)*([3]分录!$H$7:$H$100))</f>
        <v>0</v>
      </c>
      <c r="E128" s="506">
        <f>-SUMPRODUCT(([3]分录!$D$7:$D$100=$A128)*INT((([3]分录!$C$7:$C$100="借：")-0.5)*2)*([3]分录!$I$7:$I$100=E$7)*([3]分录!$H$7:$H$100))</f>
        <v>0</v>
      </c>
      <c r="F128" s="507">
        <f t="shared" si="2"/>
        <v>741986820.83000004</v>
      </c>
      <c r="G128" s="482">
        <f>VLOOKUP(A128,报表格式!E$6:F$111,2,FALSE)</f>
        <v>129</v>
      </c>
    </row>
    <row r="129" spans="1:7" ht="13.5" customHeight="1">
      <c r="A129" s="513" t="s">
        <v>932</v>
      </c>
      <c r="B129" s="505">
        <v>1938270711.1400001</v>
      </c>
      <c r="C129" s="506">
        <f>-SUMPRODUCT(([3]分录!$D$7:$D$100=$A129)*INT((([3]分录!$C$7:$C$100="借：")-0.5)*2)*([3]分录!$I$7:$I$100=C$7)*([3]分录!$H$7:$H$100))</f>
        <v>0</v>
      </c>
      <c r="D129" s="506">
        <f>-SUMPRODUCT(([3]分录!$D$7:$D$100=$A129)*INT((([3]分录!$C$7:$C$100="借：")-0.5)*2)*([3]分录!$I$7:$I$100=D$7)*([3]分录!$H$7:$H$100))</f>
        <v>0</v>
      </c>
      <c r="E129" s="506">
        <f>-SUMPRODUCT(([3]分录!$D$7:$D$100=$A129)*INT((([3]分录!$C$7:$C$100="借：")-0.5)*2)*([3]分录!$I$7:$I$100=E$7)*([3]分录!$H$7:$H$100))</f>
        <v>0</v>
      </c>
      <c r="F129" s="507">
        <f t="shared" si="2"/>
        <v>1938270711.1400001</v>
      </c>
      <c r="G129" s="482">
        <f>VLOOKUP(A129,报表格式!E$6:F$111,2,FALSE)</f>
        <v>130</v>
      </c>
    </row>
    <row r="130" spans="1:7" ht="13.5" customHeight="1">
      <c r="A130" s="513" t="s">
        <v>933</v>
      </c>
      <c r="B130" s="505">
        <v>0</v>
      </c>
      <c r="C130" s="506">
        <f>-SUMPRODUCT(([3]分录!$D$7:$D$100=$A130)*INT((([3]分录!$C$7:$C$100="借：")-0.5)*2)*([3]分录!$I$7:$I$100=C$7)*([3]分录!$H$7:$H$100))</f>
        <v>0</v>
      </c>
      <c r="D130" s="506">
        <f>-SUMPRODUCT(([3]分录!$D$7:$D$100=$A130)*INT((([3]分录!$C$7:$C$100="借：")-0.5)*2)*([3]分录!$I$7:$I$100=D$7)*([3]分录!$H$7:$H$100))</f>
        <v>0</v>
      </c>
      <c r="E130" s="506">
        <f>-SUMPRODUCT(([3]分录!$D$7:$D$100=$A130)*INT((([3]分录!$C$7:$C$100="借：")-0.5)*2)*([3]分录!$I$7:$I$100=E$7)*([3]分录!$H$7:$H$100))</f>
        <v>0</v>
      </c>
      <c r="F130" s="507">
        <f t="shared" si="2"/>
        <v>0</v>
      </c>
      <c r="G130" s="482">
        <f>VLOOKUP(A130,报表格式!E$6:F$111,2,FALSE)</f>
        <v>131</v>
      </c>
    </row>
    <row r="131" spans="1:7" ht="13.5" customHeight="1">
      <c r="A131" s="513" t="s">
        <v>934</v>
      </c>
      <c r="B131" s="505">
        <v>33710366.600000001</v>
      </c>
      <c r="C131" s="506">
        <f>-SUMPRODUCT(([3]分录!$D$7:$D$100=$A131)*INT((([3]分录!$C$7:$C$100="借：")-0.5)*2)*([3]分录!$I$7:$I$100=C$7)*([3]分录!$H$7:$H$100))</f>
        <v>0</v>
      </c>
      <c r="D131" s="506">
        <f>-SUMPRODUCT(([3]分录!$D$7:$D$100=$A131)*INT((([3]分录!$C$7:$C$100="借：")-0.5)*2)*([3]分录!$I$7:$I$100=D$7)*([3]分录!$H$7:$H$100))</f>
        <v>0</v>
      </c>
      <c r="E131" s="506">
        <f>-SUMPRODUCT(([3]分录!$D$7:$D$100=$A131)*INT((([3]分录!$C$7:$C$100="借：")-0.5)*2)*([3]分录!$I$7:$I$100=E$7)*([3]分录!$H$7:$H$100))</f>
        <v>0</v>
      </c>
      <c r="F131" s="507">
        <f t="shared" si="2"/>
        <v>33710366.600000001</v>
      </c>
      <c r="G131" s="482">
        <f>VLOOKUP(A131,报表格式!E$6:F$111,2,FALSE)</f>
        <v>136</v>
      </c>
    </row>
    <row r="132" spans="1:7" ht="13.5" customHeight="1">
      <c r="A132" s="513" t="s">
        <v>935</v>
      </c>
      <c r="B132" s="505">
        <v>42143710.219999999</v>
      </c>
      <c r="C132" s="506">
        <f>-SUMPRODUCT(([3]分录!$D$7:$D$100=$A132)*INT((([3]分录!$C$7:$C$100="借：")-0.5)*2)*([3]分录!$I$7:$I$100=C$7)*([3]分录!$H$7:$H$100))</f>
        <v>-1731085.08</v>
      </c>
      <c r="D132" s="506">
        <f>-SUMPRODUCT(([3]分录!$D$7:$D$100=$A132)*INT((([3]分录!$C$7:$C$100="借：")-0.5)*2)*([3]分录!$I$7:$I$100=D$7)*([3]分录!$H$7:$H$100))</f>
        <v>0</v>
      </c>
      <c r="E132" s="506">
        <f>-SUMPRODUCT(([3]分录!$D$7:$D$100=$A132)*INT((([3]分录!$C$7:$C$100="借：")-0.5)*2)*([3]分录!$I$7:$I$100=E$7)*([3]分录!$H$7:$H$100))</f>
        <v>0</v>
      </c>
      <c r="F132" s="507">
        <f t="shared" si="2"/>
        <v>40412625.140000001</v>
      </c>
      <c r="G132" s="482">
        <f>VLOOKUP(A132,报表格式!E$6:F$111,2,FALSE)</f>
        <v>140</v>
      </c>
    </row>
    <row r="133" spans="1:7" ht="13.5" customHeight="1">
      <c r="A133" s="513" t="s">
        <v>936</v>
      </c>
      <c r="B133" s="505">
        <v>0</v>
      </c>
      <c r="C133" s="506">
        <f>-SUMPRODUCT(([3]分录!$D$7:$D$100=$A133)*INT((([3]分录!$C$7:$C$100="借：")-0.5)*2)*([3]分录!$I$7:$I$100=C$7)*([3]分录!$H$7:$H$100))</f>
        <v>99</v>
      </c>
      <c r="D133" s="506">
        <f>-SUMPRODUCT(([3]分录!$D$7:$D$100=$A133)*INT((([3]分录!$C$7:$C$100="借：")-0.5)*2)*([3]分录!$I$7:$I$100=D$7)*([3]分录!$H$7:$H$100))</f>
        <v>0</v>
      </c>
      <c r="E133" s="506">
        <f>-SUMPRODUCT(([3]分录!$D$7:$D$100=$A133)*INT((([3]分录!$C$7:$C$100="借：")-0.5)*2)*([3]分录!$I$7:$I$100=E$7)*([3]分录!$H$7:$H$100))</f>
        <v>0</v>
      </c>
      <c r="F133" s="507">
        <f t="shared" si="2"/>
        <v>99</v>
      </c>
      <c r="G133" s="482" t="e">
        <f>VLOOKUP(A133,报表格式!E$6:F$111,2,FALSE)</f>
        <v>#N/A</v>
      </c>
    </row>
    <row r="134" spans="1:7" ht="13.5" customHeight="1">
      <c r="A134" s="513" t="s">
        <v>937</v>
      </c>
      <c r="B134" s="505">
        <v>0</v>
      </c>
      <c r="C134" s="506">
        <f>-SUMPRODUCT(([3]分录!$D$7:$D$100=$A134)*INT((([3]分录!$C$7:$C$100="借：")-0.5)*2)*([3]分录!$I$7:$I$100=C$7)*([3]分录!$H$7:$H$100))</f>
        <v>0</v>
      </c>
      <c r="D134" s="506">
        <f>-SUMPRODUCT(([3]分录!$D$7:$D$100=$A134)*INT((([3]分录!$C$7:$C$100="借：")-0.5)*2)*([3]分录!$I$7:$I$100=D$7)*([3]分录!$H$7:$H$100))</f>
        <v>0</v>
      </c>
      <c r="E134" s="506">
        <f>-SUMPRODUCT(([3]分录!$D$7:$D$100=$A134)*INT((([3]分录!$C$7:$C$100="借：")-0.5)*2)*([3]分录!$I$7:$I$100=E$7)*([3]分录!$H$7:$H$100))</f>
        <v>0</v>
      </c>
      <c r="F134" s="507">
        <f t="shared" si="2"/>
        <v>0</v>
      </c>
      <c r="G134" s="482" t="e">
        <f>VLOOKUP(A134,报表格式!E$6:F$111,2,FALSE)</f>
        <v>#N/A</v>
      </c>
    </row>
    <row r="135" spans="1:7" ht="13.5" customHeight="1">
      <c r="A135" s="513" t="s">
        <v>938</v>
      </c>
      <c r="B135" s="505">
        <v>269356858.44999999</v>
      </c>
      <c r="C135" s="506">
        <f>-SUMPRODUCT(([3]分录!$D$7:$D$100=$A135)*INT((([3]分录!$C$7:$C$100="借：")-0.5)*2)*([3]分录!$I$7:$I$100=C$7)*([3]分录!$H$7:$H$100))</f>
        <v>0</v>
      </c>
      <c r="D135" s="506">
        <f>-SUMPRODUCT(([3]分录!$D$7:$D$100=$A135)*INT((([3]分录!$C$7:$C$100="借：")-0.5)*2)*([3]分录!$I$7:$I$100=D$7)*([3]分录!$H$7:$H$100))</f>
        <v>0</v>
      </c>
      <c r="E135" s="506">
        <f>-SUMPRODUCT(([3]分录!$D$7:$D$100=$A135)*INT((([3]分录!$C$7:$C$100="借：")-0.5)*2)*([3]分录!$I$7:$I$100=E$7)*([3]分录!$H$7:$H$100))</f>
        <v>0</v>
      </c>
      <c r="F135" s="507">
        <f t="shared" si="2"/>
        <v>269356858.44999999</v>
      </c>
      <c r="G135" s="482">
        <f>VLOOKUP(A135,报表格式!E$6:F$111,2,FALSE)</f>
        <v>142</v>
      </c>
    </row>
    <row r="136" spans="1:7" ht="13.5" customHeight="1">
      <c r="A136" s="504" t="s">
        <v>939</v>
      </c>
      <c r="B136" s="505">
        <v>0</v>
      </c>
      <c r="C136" s="506">
        <f>-SUMPRODUCT(([3]分录!$D$7:$D$100=$A136)*INT((([3]分录!$C$7:$C$100="借：")-0.5)*2)*([3]分录!$I$7:$I$100=C$7)*([3]分录!$H$7:$H$100))</f>
        <v>0</v>
      </c>
      <c r="D136" s="506">
        <f>-SUMPRODUCT(([3]分录!$D$7:$D$100=$A136)*INT((([3]分录!$C$7:$C$100="借：")-0.5)*2)*([3]分录!$I$7:$I$100=D$7)*([3]分录!$H$7:$H$100))</f>
        <v>0</v>
      </c>
      <c r="E136" s="506">
        <f>-SUMPRODUCT(([3]分录!$D$7:$D$100=$A136)*INT((([3]分录!$C$7:$C$100="借：")-0.5)*2)*([3]分录!$I$7:$I$100=E$7)*([3]分录!$H$7:$H$100))</f>
        <v>0</v>
      </c>
      <c r="F136" s="507">
        <f t="shared" si="2"/>
        <v>0</v>
      </c>
      <c r="G136" s="482">
        <f>VLOOKUP(A136,报表格式!E$6:F$111,2,FALSE)</f>
        <v>147</v>
      </c>
    </row>
    <row r="137" spans="1:7" s="530" customFormat="1" ht="13.5" customHeight="1">
      <c r="A137" s="504" t="s">
        <v>940</v>
      </c>
      <c r="B137" s="505">
        <v>0</v>
      </c>
      <c r="C137" s="506">
        <f>-SUMPRODUCT(([3]分录!$D$7:$D$100=$A137)*INT((([3]分录!$C$7:$C$100="借：")-0.5)*2)*([3]分录!$I$7:$I$100=C$7)*([3]分录!$H$7:$H$100))</f>
        <v>0</v>
      </c>
      <c r="D137" s="506">
        <f>-SUMPRODUCT(([3]分录!$D$7:$D$100=$A137)*INT((([3]分录!$C$7:$C$100="借：")-0.5)*2)*([3]分录!$I$7:$I$100=D$7)*([3]分录!$H$7:$H$100))</f>
        <v>0</v>
      </c>
      <c r="E137" s="506">
        <f>-SUMPRODUCT(([3]分录!$D$7:$D$100=$A137)*INT((([3]分录!$C$7:$C$100="借：")-0.5)*2)*([3]分录!$I$7:$I$100=E$7)*([3]分录!$H$7:$H$100))</f>
        <v>0</v>
      </c>
      <c r="F137" s="507">
        <f t="shared" si="2"/>
        <v>0</v>
      </c>
      <c r="G137" s="482">
        <f>VLOOKUP(A137,报表格式!E$6:F$111,2,FALSE)</f>
        <v>148</v>
      </c>
    </row>
    <row r="138" spans="1:7" ht="13.5" customHeight="1">
      <c r="A138" s="504" t="s">
        <v>941</v>
      </c>
      <c r="B138" s="505">
        <v>0</v>
      </c>
      <c r="C138" s="506">
        <f>-SUMPRODUCT(([3]分录!$D$7:$D$100=$A138)*INT((([3]分录!$C$7:$C$100="借：")-0.5)*2)*([3]分录!$I$7:$I$100=C$7)*([3]分录!$H$7:$H$100))</f>
        <v>0</v>
      </c>
      <c r="D138" s="506">
        <f>-SUMPRODUCT(([3]分录!$D$7:$D$100=$A138)*INT((([3]分录!$C$7:$C$100="借：")-0.5)*2)*([3]分录!$I$7:$I$100=D$7)*([3]分录!$H$7:$H$100))</f>
        <v>0</v>
      </c>
      <c r="E138" s="506">
        <f>-SUMPRODUCT(([3]分录!$D$7:$D$100=$A138)*INT((([3]分录!$C$7:$C$100="借：")-0.5)*2)*([3]分录!$I$7:$I$100=E$7)*([3]分录!$H$7:$H$100))</f>
        <v>0</v>
      </c>
      <c r="F138" s="507">
        <f t="shared" si="2"/>
        <v>0</v>
      </c>
      <c r="G138" s="482">
        <f>VLOOKUP(A138,报表格式!E$6:F$111,2,FALSE)</f>
        <v>149</v>
      </c>
    </row>
    <row r="139" spans="1:7" ht="13.5" customHeight="1">
      <c r="A139" s="529" t="s">
        <v>942</v>
      </c>
      <c r="B139" s="517">
        <v>0</v>
      </c>
      <c r="C139" s="518">
        <f>SUM(C123:C138)</f>
        <v>-1730986.08</v>
      </c>
      <c r="D139" s="518">
        <f>SUM(D123:D138)</f>
        <v>0</v>
      </c>
      <c r="E139" s="518">
        <f>SUM(E123:E138)</f>
        <v>0</v>
      </c>
      <c r="F139" s="507">
        <f t="shared" si="2"/>
        <v>-1730986.08</v>
      </c>
      <c r="G139" s="482">
        <f>VLOOKUP(A139,报表格式!E$6:F$111,2,FALSE)</f>
        <v>151</v>
      </c>
    </row>
    <row r="140" spans="1:7" ht="13.5" customHeight="1">
      <c r="A140" s="531" t="s">
        <v>943</v>
      </c>
      <c r="B140" s="525">
        <v>0</v>
      </c>
      <c r="C140" s="518"/>
      <c r="D140" s="518"/>
      <c r="E140" s="518"/>
      <c r="F140" s="507">
        <f t="shared" si="2"/>
        <v>0</v>
      </c>
      <c r="G140" s="482" t="e">
        <f>VLOOKUP(A140,报表格式!E$6:F$111,2,FALSE)</f>
        <v>#N/A</v>
      </c>
    </row>
    <row r="141" spans="1:7" ht="13.5" customHeight="1">
      <c r="A141" s="513" t="s">
        <v>944</v>
      </c>
      <c r="B141" s="505">
        <v>0</v>
      </c>
      <c r="C141" s="506">
        <f>-SUMPRODUCT(([3]分录!$D$7:$D$100=$A141)*INT((([3]分录!$C$7:$C$100="借：")-0.5)*2)*([3]分录!$I$7:$I$100=C$7)*([3]分录!$H$7:$H$100))</f>
        <v>0</v>
      </c>
      <c r="D141" s="506">
        <f>-SUMPRODUCT(([3]分录!$D$7:$D$100=$A141)*INT((([3]分录!$C$7:$C$100="借：")-0.5)*2)*([3]分录!$I$7:$I$100=D$7)*([3]分录!$H$7:$H$100))</f>
        <v>0</v>
      </c>
      <c r="E141" s="506">
        <f>-SUMPRODUCT(([3]分录!$D$7:$D$100=$A141)*INT((([3]分录!$C$7:$C$100="借：")-0.5)*2)*([3]分录!$I$7:$I$100=E$7)*([3]分录!$H$7:$H$100))</f>
        <v>0</v>
      </c>
      <c r="F141" s="507">
        <f t="shared" si="2"/>
        <v>0</v>
      </c>
      <c r="G141" s="482">
        <f>VLOOKUP(A141,报表格式!E$6:F$111,2,FALSE)</f>
        <v>153</v>
      </c>
    </row>
    <row r="142" spans="1:7" ht="13.5" customHeight="1">
      <c r="A142" s="504" t="s">
        <v>945</v>
      </c>
      <c r="B142" s="505">
        <v>0</v>
      </c>
      <c r="C142" s="506">
        <f>-SUMPRODUCT(([3]分录!$D$7:$D$100=$A142)*INT((([3]分录!$C$7:$C$100="借：")-0.5)*2)*([3]分录!$I$7:$I$100=C$7)*([3]分录!$H$7:$H$100))</f>
        <v>0</v>
      </c>
      <c r="D142" s="506">
        <f>-SUMPRODUCT(([3]分录!$D$7:$D$100=$A142)*INT((([3]分录!$C$7:$C$100="借：")-0.5)*2)*([3]分录!$I$7:$I$100=D$7)*([3]分录!$H$7:$H$100))</f>
        <v>0</v>
      </c>
      <c r="E142" s="506">
        <f>-SUMPRODUCT(([3]分录!$D$7:$D$100=$A142)*INT((([3]分录!$C$7:$C$100="借：")-0.5)*2)*([3]分录!$I$7:$I$100=E$7)*([3]分录!$H$7:$H$100))</f>
        <v>0</v>
      </c>
      <c r="F142" s="507">
        <f t="shared" si="2"/>
        <v>0</v>
      </c>
      <c r="G142" s="482">
        <f>VLOOKUP(A142,报表格式!E$6:F$111,2,FALSE)</f>
        <v>154</v>
      </c>
    </row>
    <row r="143" spans="1:7" ht="13.5" customHeight="1">
      <c r="A143" s="504" t="s">
        <v>946</v>
      </c>
      <c r="B143" s="505"/>
      <c r="C143" s="506">
        <f>-SUMPRODUCT(([3]分录!$D$7:$D$100=$A143)*INT((([3]分录!$C$7:$C$100="借：")-0.5)*2)*([3]分录!$I$7:$I$100=C$7)*([3]分录!$H$7:$H$100))</f>
        <v>0</v>
      </c>
      <c r="D143" s="506">
        <f>-SUMPRODUCT(([3]分录!$D$7:$D$100=$A143)*INT((([3]分录!$C$7:$C$100="借：")-0.5)*2)*([3]分录!$I$7:$I$100=D$7)*([3]分录!$H$7:$H$100))</f>
        <v>0</v>
      </c>
      <c r="E143" s="506">
        <f>-SUMPRODUCT(([3]分录!$D$7:$D$100=$A143)*INT((([3]分录!$C$7:$C$100="借：")-0.5)*2)*([3]分录!$I$7:$I$100=E$7)*([3]分录!$H$7:$H$100))</f>
        <v>0</v>
      </c>
      <c r="F143" s="507">
        <f t="shared" si="2"/>
        <v>0</v>
      </c>
      <c r="G143" s="482">
        <f>VLOOKUP(A143,报表格式!E$6:F$111,2,FALSE)</f>
        <v>157</v>
      </c>
    </row>
    <row r="144" spans="1:7" ht="13.5" customHeight="1">
      <c r="A144" s="513" t="s">
        <v>947</v>
      </c>
      <c r="B144" s="505">
        <v>0</v>
      </c>
      <c r="C144" s="506">
        <f>-SUMPRODUCT(([3]分录!$D$7:$D$100=$A144)*INT((([3]分录!$C$7:$C$100="借：")-0.5)*2)*([3]分录!$I$7:$I$100=C$7)*([3]分录!$H$7:$H$100))</f>
        <v>0</v>
      </c>
      <c r="D144" s="506">
        <f>-SUMPRODUCT(([3]分录!$D$7:$D$100=$A144)*INT((([3]分录!$C$7:$C$100="借：")-0.5)*2)*([3]分录!$I$7:$I$100=D$7)*([3]分录!$H$7:$H$100))</f>
        <v>0</v>
      </c>
      <c r="E144" s="506">
        <f>-SUMPRODUCT(([3]分录!$D$7:$D$100=$A144)*INT((([3]分录!$C$7:$C$100="借：")-0.5)*2)*([3]分录!$I$7:$I$100=E$7)*([3]分录!$H$7:$H$100))</f>
        <v>0</v>
      </c>
      <c r="F144" s="507">
        <f t="shared" si="2"/>
        <v>0</v>
      </c>
      <c r="G144" s="482">
        <f>VLOOKUP(A144,报表格式!E$6:F$111,2,FALSE)</f>
        <v>158</v>
      </c>
    </row>
    <row r="145" spans="1:7" ht="13.5" customHeight="1">
      <c r="A145" s="504" t="s">
        <v>948</v>
      </c>
      <c r="B145" s="505">
        <v>0</v>
      </c>
      <c r="C145" s="506">
        <f>-SUMPRODUCT(([3]分录!$D$7:$D$100=$A145)*INT((([3]分录!$C$7:$C$100="借：")-0.5)*2)*([3]分录!$I$7:$I$100=C$7)*([3]分录!$H$7:$H$100))</f>
        <v>0</v>
      </c>
      <c r="D145" s="506">
        <f>-SUMPRODUCT(([3]分录!$D$7:$D$100=$A145)*INT((([3]分录!$C$7:$C$100="借：")-0.5)*2)*([3]分录!$I$7:$I$100=D$7)*([3]分录!$H$7:$H$100))</f>
        <v>0</v>
      </c>
      <c r="E145" s="506">
        <f>-SUMPRODUCT(([3]分录!$D$7:$D$100=$A145)*INT((([3]分录!$C$7:$C$100="借：")-0.5)*2)*([3]分录!$I$7:$I$100=E$7)*([3]分录!$H$7:$H$100))</f>
        <v>0</v>
      </c>
      <c r="F145" s="507">
        <f t="shared" si="2"/>
        <v>0</v>
      </c>
      <c r="G145" s="482">
        <f>VLOOKUP(A145,报表格式!E$6:F$111,2,FALSE)</f>
        <v>160</v>
      </c>
    </row>
    <row r="146" spans="1:7" ht="13.5" customHeight="1">
      <c r="A146" s="504" t="s">
        <v>949</v>
      </c>
      <c r="B146" s="505">
        <v>0</v>
      </c>
      <c r="C146" s="506">
        <f>-SUMPRODUCT(([3]分录!$D$7:$D$100=$A146)*INT((([3]分录!$C$7:$C$100="借：")-0.5)*2)*([3]分录!$I$7:$I$100=C$7)*([3]分录!$H$7:$H$100))</f>
        <v>0</v>
      </c>
      <c r="D146" s="506">
        <f>-SUMPRODUCT(([3]分录!$D$7:$D$100=$A146)*INT((([3]分录!$C$7:$C$100="借：")-0.5)*2)*([3]分录!$I$7:$I$100=D$7)*([3]分录!$H$7:$H$100))</f>
        <v>0</v>
      </c>
      <c r="E146" s="506">
        <f>-SUMPRODUCT(([3]分录!$D$7:$D$100=$A146)*INT((([3]分录!$C$7:$C$100="借：")-0.5)*2)*([3]分录!$I$7:$I$100=E$7)*([3]分录!$H$7:$H$100))</f>
        <v>0</v>
      </c>
      <c r="F146" s="507">
        <f t="shared" si="2"/>
        <v>0</v>
      </c>
      <c r="G146" s="482">
        <f>VLOOKUP(A146,报表格式!E$6:F$111,2,FALSE)</f>
        <v>159</v>
      </c>
    </row>
    <row r="147" spans="1:7" ht="13.5" customHeight="1">
      <c r="A147" s="513" t="s">
        <v>950</v>
      </c>
      <c r="B147" s="505">
        <v>0</v>
      </c>
      <c r="C147" s="506">
        <f>-SUMPRODUCT(([3]分录!$D$7:$D$100=$A147)*INT((([3]分录!$C$7:$C$100="借：")-0.5)*2)*([3]分录!$I$7:$I$100=C$7)*([3]分录!$H$7:$H$100))</f>
        <v>0</v>
      </c>
      <c r="D147" s="506">
        <f>-SUMPRODUCT(([3]分录!$D$7:$D$100=$A147)*INT((([3]分录!$C$7:$C$100="借：")-0.5)*2)*([3]分录!$I$7:$I$100=D$7)*([3]分录!$H$7:$H$100))</f>
        <v>0</v>
      </c>
      <c r="E147" s="506">
        <f>-SUMPRODUCT(([3]分录!$D$7:$D$100=$A147)*INT((([3]分录!$C$7:$C$100="借：")-0.5)*2)*([3]分录!$I$7:$I$100=E$7)*([3]分录!$H$7:$H$100))</f>
        <v>0</v>
      </c>
      <c r="F147" s="507">
        <f t="shared" si="2"/>
        <v>0</v>
      </c>
      <c r="G147" s="482">
        <f>VLOOKUP(A147,报表格式!E$6:F$111,2,FALSE)</f>
        <v>161</v>
      </c>
    </row>
    <row r="148" spans="1:7" ht="13.5" customHeight="1">
      <c r="A148" s="513" t="s">
        <v>951</v>
      </c>
      <c r="B148" s="505">
        <v>0</v>
      </c>
      <c r="C148" s="506">
        <f>-SUMPRODUCT(([3]分录!$D$7:$D$100=$A148)*INT((([3]分录!$C$7:$C$100="借：")-0.5)*2)*([3]分录!$I$7:$I$100=C$7)*([3]分录!$H$7:$H$100))</f>
        <v>0</v>
      </c>
      <c r="D148" s="506">
        <f>-SUMPRODUCT(([3]分录!$D$7:$D$100=$A148)*INT((([3]分录!$C$7:$C$100="借：")-0.5)*2)*([3]分录!$I$7:$I$100=D$7)*([3]分录!$H$7:$H$100))</f>
        <v>0</v>
      </c>
      <c r="E148" s="506">
        <f>-SUMPRODUCT(([3]分录!$D$7:$D$100=$A148)*INT((([3]分录!$C$7:$C$100="借：")-0.5)*2)*([3]分录!$I$7:$I$100=E$7)*([3]分录!$H$7:$H$100))</f>
        <v>0</v>
      </c>
      <c r="F148" s="507">
        <f t="shared" si="2"/>
        <v>0</v>
      </c>
      <c r="G148" s="482">
        <f>VLOOKUP(A148,报表格式!E$6:F$111,2,FALSE)</f>
        <v>162</v>
      </c>
    </row>
    <row r="149" spans="1:7" ht="13.5" customHeight="1">
      <c r="A149" s="513" t="s">
        <v>952</v>
      </c>
      <c r="B149" s="505">
        <v>26421657.379999999</v>
      </c>
      <c r="C149" s="506">
        <f>-SUMPRODUCT(([3]分录!$D$7:$D$100=$A149)*INT((([3]分录!$C$7:$C$100="借：")-0.5)*2)*([3]分录!$I$7:$I$100=C$7)*([3]分录!$H$7:$H$100))</f>
        <v>0</v>
      </c>
      <c r="D149" s="506">
        <f>-SUMPRODUCT(([3]分录!$D$7:$D$100=$A149)*INT((([3]分录!$C$7:$C$100="借：")-0.5)*2)*([3]分录!$I$7:$I$100=D$7)*([3]分录!$H$7:$H$100))</f>
        <v>0</v>
      </c>
      <c r="E149" s="506">
        <f>-SUMPRODUCT(([3]分录!$D$7:$D$100=$A149)*INT((([3]分录!$C$7:$C$100="借：")-0.5)*2)*([3]分录!$I$7:$I$100=E$7)*([3]分录!$H$7:$H$100))</f>
        <v>0</v>
      </c>
      <c r="F149" s="507">
        <f t="shared" si="2"/>
        <v>26421657.379999999</v>
      </c>
      <c r="G149" s="482">
        <f>VLOOKUP(A149,报表格式!E$6:F$111,2,FALSE)</f>
        <v>163</v>
      </c>
    </row>
    <row r="150" spans="1:7" ht="13.5" customHeight="1">
      <c r="A150" s="504" t="s">
        <v>953</v>
      </c>
      <c r="B150" s="505">
        <v>0</v>
      </c>
      <c r="C150" s="506">
        <f>-SUMPRODUCT(([3]分录!$D$7:$D$100=$A150)*INT((([3]分录!$C$7:$C$100="借：")-0.5)*2)*([3]分录!$I$7:$I$100=C$7)*([3]分录!$H$7:$H$100))</f>
        <v>0</v>
      </c>
      <c r="D150" s="506">
        <f>-SUMPRODUCT(([3]分录!$D$7:$D$100=$A150)*INT((([3]分录!$C$7:$C$100="借：")-0.5)*2)*([3]分录!$I$7:$I$100=D$7)*([3]分录!$H$7:$H$100))</f>
        <v>0</v>
      </c>
      <c r="E150" s="506">
        <f>-SUMPRODUCT(([3]分录!$D$7:$D$100=$A150)*INT((([3]分录!$C$7:$C$100="借：")-0.5)*2)*([3]分录!$I$7:$I$100=E$7)*([3]分录!$H$7:$H$100))</f>
        <v>0</v>
      </c>
      <c r="F150" s="507">
        <f t="shared" si="2"/>
        <v>0</v>
      </c>
      <c r="G150" s="482">
        <f>VLOOKUP(A150,报表格式!E$6:F$111,2,FALSE)</f>
        <v>164</v>
      </c>
    </row>
    <row r="151" spans="1:7" ht="13.5" customHeight="1">
      <c r="A151" s="529" t="s">
        <v>954</v>
      </c>
      <c r="B151" s="517">
        <v>0</v>
      </c>
      <c r="C151" s="517">
        <f>SUM(C141:C150)</f>
        <v>0</v>
      </c>
      <c r="D151" s="517">
        <f>SUM(D141:D150)</f>
        <v>0</v>
      </c>
      <c r="E151" s="517">
        <f>SUM(E141:E150)</f>
        <v>0</v>
      </c>
      <c r="F151" s="507">
        <f t="shared" si="2"/>
        <v>0</v>
      </c>
      <c r="G151" s="482">
        <f>VLOOKUP(A151,报表格式!E$6:F$111,2,FALSE)</f>
        <v>166</v>
      </c>
    </row>
    <row r="152" spans="1:7" ht="13.5" customHeight="1">
      <c r="A152" s="529" t="s">
        <v>955</v>
      </c>
      <c r="B152" s="517">
        <v>0</v>
      </c>
      <c r="C152" s="518">
        <f>C139+C151</f>
        <v>-1730986.08</v>
      </c>
      <c r="D152" s="518">
        <f>D139+D151</f>
        <v>0</v>
      </c>
      <c r="E152" s="518">
        <f>E139+E151</f>
        <v>0</v>
      </c>
      <c r="F152" s="507">
        <f t="shared" si="2"/>
        <v>-1730986.08</v>
      </c>
      <c r="G152" s="482" t="e">
        <f>VLOOKUP(A152,报表格式!E$6:F$111,2,FALSE)</f>
        <v>#N/A</v>
      </c>
    </row>
    <row r="153" spans="1:7" ht="13.5" customHeight="1">
      <c r="A153" s="531" t="s">
        <v>956</v>
      </c>
      <c r="B153" s="525">
        <v>0</v>
      </c>
      <c r="C153" s="518"/>
      <c r="D153" s="518"/>
      <c r="E153" s="518"/>
      <c r="F153" s="507">
        <f t="shared" si="2"/>
        <v>0</v>
      </c>
    </row>
    <row r="154" spans="1:7" ht="13.5" customHeight="1">
      <c r="A154" s="513" t="s">
        <v>957</v>
      </c>
      <c r="B154" s="505">
        <v>1265493600</v>
      </c>
      <c r="C154" s="506">
        <f>-SUMPRODUCT(([3]分录!$D$7:$D$100=$A154)*INT((([3]分录!$C$7:$C$100="借：")-0.5)*2)*([3]分录!$I$7:$I$100=C$7)*([3]分录!$H$7:$H$100))</f>
        <v>0</v>
      </c>
      <c r="D154" s="506">
        <f>-SUMPRODUCT(([3]分录!$D$7:$D$100=$A154)*INT((([3]分录!$C$7:$C$100="借：")-0.5)*2)*([3]分录!$I$7:$I$100=D$7)*([3]分录!$H$7:$H$100))</f>
        <v>0</v>
      </c>
      <c r="E154" s="506">
        <f>-SUMPRODUCT(([3]分录!$D$7:$D$100=$A154)*INT((([3]分录!$C$7:$C$100="借：")-0.5)*2)*([3]分录!$I$7:$I$100=E$7)*([3]分录!$H$7:$H$100))</f>
        <v>0</v>
      </c>
      <c r="F154" s="507">
        <f t="shared" si="2"/>
        <v>1265493600</v>
      </c>
    </row>
    <row r="155" spans="1:7" ht="13.5" customHeight="1">
      <c r="A155" s="504" t="s">
        <v>958</v>
      </c>
      <c r="B155" s="505">
        <v>0</v>
      </c>
      <c r="C155" s="506">
        <f>-SUMPRODUCT(([3]分录!$D$7:$D$100=$A155)*INT((([3]分录!$C$7:$C$100="借：")-0.5)*2)*([3]分录!$I$7:$I$100=C$7)*([3]分录!$H$7:$H$100))</f>
        <v>0</v>
      </c>
      <c r="D155" s="506">
        <f>-SUMPRODUCT(([3]分录!$D$7:$D$100=$A155)*INT((([3]分录!$C$7:$C$100="借：")-0.5)*2)*([3]分录!$I$7:$I$100=D$7)*([3]分录!$H$7:$H$100))</f>
        <v>0</v>
      </c>
      <c r="E155" s="506">
        <f>-SUMPRODUCT(([3]分录!$D$7:$D$100=$A155)*INT((([3]分录!$C$7:$C$100="借：")-0.5)*2)*([3]分录!$I$7:$I$100=E$7)*([3]分录!$H$7:$H$100))</f>
        <v>0</v>
      </c>
      <c r="F155" s="507">
        <f t="shared" si="2"/>
        <v>0</v>
      </c>
    </row>
    <row r="156" spans="1:7" ht="13.5" customHeight="1">
      <c r="A156" s="504" t="s">
        <v>959</v>
      </c>
      <c r="B156" s="505">
        <v>0</v>
      </c>
      <c r="C156" s="506">
        <f>-SUMPRODUCT(([3]分录!$D$7:$D$100=$A156)*INT((([3]分录!$C$7:$C$100="借：")-0.5)*2)*([3]分录!$I$7:$I$100=C$7)*([3]分录!$H$7:$H$100))</f>
        <v>0</v>
      </c>
      <c r="D156" s="506">
        <f>-SUMPRODUCT(([3]分录!$D$7:$D$100=$A156)*INT((([3]分录!$C$7:$C$100="借：")-0.5)*2)*([3]分录!$I$7:$I$100=D$7)*([3]分录!$H$7:$H$100))</f>
        <v>0</v>
      </c>
      <c r="E156" s="506">
        <f>-SUMPRODUCT(([3]分录!$D$7:$D$100=$A156)*INT((([3]分录!$C$7:$C$100="借：")-0.5)*2)*([3]分录!$I$7:$I$100=E$7)*([3]分录!$H$7:$H$100))</f>
        <v>0</v>
      </c>
      <c r="F156" s="507">
        <f t="shared" si="2"/>
        <v>0</v>
      </c>
    </row>
    <row r="157" spans="1:7" ht="13.5" customHeight="1">
      <c r="A157" s="504" t="s">
        <v>960</v>
      </c>
      <c r="B157" s="505">
        <v>0</v>
      </c>
      <c r="C157" s="506">
        <f>-SUMPRODUCT(([3]分录!$D$7:$D$100=$A157)*INT((([3]分录!$C$7:$C$100="借：")-0.5)*2)*([3]分录!$I$7:$I$100=C$7)*([3]分录!$H$7:$H$100))</f>
        <v>0</v>
      </c>
      <c r="D157" s="506">
        <f>-SUMPRODUCT(([3]分录!$D$7:$D$100=$A157)*INT((([3]分录!$C$7:$C$100="借：")-0.5)*2)*([3]分录!$I$7:$I$100=D$7)*([3]分录!$H$7:$H$100))</f>
        <v>0</v>
      </c>
      <c r="E157" s="506">
        <f>-SUMPRODUCT(([3]分录!$D$7:$D$100=$A157)*INT((([3]分录!$C$7:$C$100="借：")-0.5)*2)*([3]分录!$I$7:$I$100=E$7)*([3]分录!$H$7:$H$100))</f>
        <v>0</v>
      </c>
      <c r="F157" s="507">
        <f t="shared" si="2"/>
        <v>0</v>
      </c>
    </row>
    <row r="158" spans="1:7" ht="13.5" customHeight="1">
      <c r="A158" s="513" t="s">
        <v>961</v>
      </c>
      <c r="B158" s="505">
        <v>2710398400</v>
      </c>
      <c r="C158" s="506">
        <f>-SUMPRODUCT(([3]分录!$D$7:$D$100=$A158)*INT((([3]分录!$C$7:$C$100="借：")-0.5)*2)*([3]分录!$I$7:$I$100=C$7)*([3]分录!$H$7:$H$100))</f>
        <v>0</v>
      </c>
      <c r="D158" s="506">
        <f>-SUMPRODUCT(([3]分录!$D$7:$D$100=$A158)*INT((([3]分录!$C$7:$C$100="借：")-0.5)*2)*([3]分录!$I$7:$I$100=D$7)*([3]分录!$H$7:$H$100))</f>
        <v>0</v>
      </c>
      <c r="E158" s="506">
        <f>-SUMPRODUCT(([3]分录!$D$7:$D$100=$A158)*INT((([3]分录!$C$7:$C$100="借：")-0.5)*2)*([3]分录!$I$7:$I$100=E$7)*([3]分录!$H$7:$H$100))</f>
        <v>0</v>
      </c>
      <c r="F158" s="507">
        <f t="shared" si="2"/>
        <v>2710398400</v>
      </c>
    </row>
    <row r="159" spans="1:7" ht="13.5" customHeight="1">
      <c r="A159" s="504" t="s">
        <v>962</v>
      </c>
      <c r="B159" s="505">
        <v>0</v>
      </c>
      <c r="C159" s="506">
        <f>SUMPRODUCT(([3]分录!$D$7:$D$100=$A159)*INT((([3]分录!$C$7:$C$100="借：")-0.5)*2)*([3]分录!$I$7:$I$100=C$7)*([3]分录!$H$7:$H$100))</f>
        <v>0</v>
      </c>
      <c r="D159" s="506">
        <f>SUMPRODUCT(([3]分录!$D$7:$D$100=$A159)*INT((([3]分录!$C$7:$C$100="借：")-0.5)*2)*([3]分录!$I$7:$I$100=D$7)*([3]分录!$H$7:$H$100))</f>
        <v>0</v>
      </c>
      <c r="E159" s="506">
        <f>SUMPRODUCT(([3]分录!$D$7:$D$100=$A159)*INT((([3]分录!$C$7:$C$100="借：")-0.5)*2)*([3]分录!$I$7:$I$100=E$7)*([3]分录!$H$7:$H$100))</f>
        <v>0</v>
      </c>
      <c r="F159" s="507">
        <f t="shared" si="2"/>
        <v>0</v>
      </c>
    </row>
    <row r="160" spans="1:7" ht="13.5" customHeight="1">
      <c r="A160" s="513" t="s">
        <v>963</v>
      </c>
      <c r="B160" s="505">
        <v>33022639.960000001</v>
      </c>
      <c r="C160" s="506">
        <f>-SUMPRODUCT(([3]分录!$D$7:$D$100=$A160)*INT((([3]分录!$C$7:$C$100="借：")-0.5)*2)*([3]分录!$I$7:$I$100=C$7)*([3]分录!$H$7:$H$100))</f>
        <v>0</v>
      </c>
      <c r="D160" s="506">
        <f>-SUMPRODUCT(([3]分录!$D$7:$D$100=$A160)*INT((([3]分录!$C$7:$C$100="借：")-0.5)*2)*([3]分录!$I$7:$I$100=D$7)*([3]分录!$H$7:$H$100))</f>
        <v>0</v>
      </c>
      <c r="E160" s="506">
        <f>-SUMPRODUCT(([3]分录!$D$7:$D$100=$A160)*INT((([3]分录!$C$7:$C$100="借：")-0.5)*2)*([3]分录!$I$7:$I$100=E$7)*([3]分录!$H$7:$H$100))</f>
        <v>0</v>
      </c>
      <c r="F160" s="507">
        <f t="shared" si="2"/>
        <v>33022639.960000001</v>
      </c>
    </row>
    <row r="161" spans="1:6" ht="13.5" customHeight="1">
      <c r="A161" s="504" t="s">
        <v>964</v>
      </c>
      <c r="B161" s="505">
        <v>0</v>
      </c>
      <c r="C161" s="506">
        <f>-SUMPRODUCT(([3]分录!$D$7:$D$100=$A161)*INT((([3]分录!$C$7:$C$100="借：")-0.5)*2)*([3]分录!$I$7:$I$100=C$7)*([3]分录!$H$7:$H$100))</f>
        <v>0</v>
      </c>
      <c r="D161" s="506">
        <f>-SUMPRODUCT(([3]分录!$D$7:$D$100=$A161)*INT((([3]分录!$C$7:$C$100="借：")-0.5)*2)*([3]分录!$I$7:$I$100=D$7)*([3]分录!$H$7:$H$100))</f>
        <v>0</v>
      </c>
      <c r="E161" s="506">
        <f>-SUMPRODUCT(([3]分录!$D$7:$D$100=$A161)*INT((([3]分录!$C$7:$C$100="借：")-0.5)*2)*([3]分录!$I$7:$I$100=E$7)*([3]分录!$H$7:$H$100))</f>
        <v>0</v>
      </c>
      <c r="F161" s="507">
        <f t="shared" si="2"/>
        <v>0</v>
      </c>
    </row>
    <row r="162" spans="1:6" ht="13.5" customHeight="1">
      <c r="A162" s="513" t="s">
        <v>965</v>
      </c>
      <c r="B162" s="505">
        <v>632746800</v>
      </c>
      <c r="C162" s="506">
        <f>-SUMPRODUCT(([3]分录!$D$7:$D$100=$A162)*INT((([3]分录!$C$7:$C$100="借：")-0.5)*2)*([3]分录!$I$7:$I$100=C$7)*([3]分录!$H$7:$H$100))</f>
        <v>2645989.33</v>
      </c>
      <c r="D162" s="506">
        <f>-SUMPRODUCT(([3]分录!$D$7:$D$100=$A162)*INT((([3]分录!$C$7:$C$100="借：")-0.5)*2)*([3]分录!$I$7:$I$100=D$7)*([3]分录!$H$7:$H$100))</f>
        <v>0</v>
      </c>
      <c r="E162" s="506">
        <f>-SUMPRODUCT(([3]分录!$D$7:$D$100=$A162)*INT((([3]分录!$C$7:$C$100="借：")-0.5)*2)*([3]分录!$I$7:$I$100=E$7)*([3]分录!$H$7:$H$100))</f>
        <v>0</v>
      </c>
      <c r="F162" s="507">
        <f t="shared" si="2"/>
        <v>635392789.33000004</v>
      </c>
    </row>
    <row r="163" spans="1:6" ht="13.5" customHeight="1">
      <c r="A163" s="513" t="s">
        <v>966</v>
      </c>
      <c r="B163" s="527">
        <v>0</v>
      </c>
      <c r="C163" s="527">
        <f>C210</f>
        <v>254227.33999999985</v>
      </c>
      <c r="D163" s="527">
        <f>D210</f>
        <v>0</v>
      </c>
      <c r="E163" s="527">
        <f>E210</f>
        <v>0</v>
      </c>
      <c r="F163" s="507">
        <f t="shared" si="2"/>
        <v>254227.34</v>
      </c>
    </row>
    <row r="164" spans="1:6" s="530" customFormat="1" ht="13.5" customHeight="1">
      <c r="A164" s="529" t="s">
        <v>967</v>
      </c>
      <c r="B164" s="532">
        <v>0</v>
      </c>
      <c r="C164" s="532">
        <f>ROUND(SUM(C154:C158,C160:C163)-C156-C157-C159,2)</f>
        <v>2900216.67</v>
      </c>
      <c r="D164" s="532">
        <f>ROUND(SUM(D154:D158,D160:D163)-D156-D157-D159,2)</f>
        <v>0</v>
      </c>
      <c r="E164" s="532">
        <f>ROUND(SUM(E154:E158,E160:E163)-E156-E157-E159,2)</f>
        <v>0</v>
      </c>
      <c r="F164" s="507">
        <f t="shared" si="2"/>
        <v>2900216.67</v>
      </c>
    </row>
    <row r="165" spans="1:6" ht="13.5" customHeight="1">
      <c r="A165" s="504" t="s">
        <v>968</v>
      </c>
      <c r="B165" s="505">
        <v>0</v>
      </c>
      <c r="C165" s="506">
        <f>-SUMPRODUCT(([3]分录!$D$7:$D$100=$A165)*INT((([3]分录!$C$7:$C$100="借：")-0.5)*2)*([3]分录!$I$7:$I$100=C$7)*([3]分录!$H$7:$H$100))</f>
        <v>0</v>
      </c>
      <c r="D165" s="506">
        <f>-SUMPRODUCT(([3]分录!$D$7:$D$100=$A165)*INT((([3]分录!$C$7:$C$100="借：")-0.5)*2)*([3]分录!$I$7:$I$100=D$7)*([3]分录!$H$7:$H$100))</f>
        <v>0</v>
      </c>
      <c r="E165" s="506">
        <f>-SUMPRODUCT(([3]分录!$D$7:$D$100=$A165)*INT((([3]分录!$C$7:$C$100="借：")-0.5)*2)*([3]分录!$I$7:$I$100=E$7)*([3]分录!$H$7:$H$100))</f>
        <v>0</v>
      </c>
      <c r="F165" s="507">
        <f t="shared" si="2"/>
        <v>0</v>
      </c>
    </row>
    <row r="166" spans="1:6" ht="13.5" customHeight="1">
      <c r="A166" s="529" t="s">
        <v>969</v>
      </c>
      <c r="B166" s="517">
        <v>0</v>
      </c>
      <c r="C166" s="518">
        <f>C164+C165</f>
        <v>2900216.67</v>
      </c>
      <c r="D166" s="518">
        <f>D164+D165</f>
        <v>0</v>
      </c>
      <c r="E166" s="518">
        <f>E164+E165</f>
        <v>0</v>
      </c>
      <c r="F166" s="507">
        <f t="shared" ref="F166:F199" si="3">ROUND(SUM(B166:E166),2)</f>
        <v>2900216.67</v>
      </c>
    </row>
    <row r="167" spans="1:6" ht="13.5" customHeight="1" thickBot="1">
      <c r="A167" s="529" t="s">
        <v>970</v>
      </c>
      <c r="B167" s="533">
        <v>0</v>
      </c>
      <c r="C167" s="533">
        <f>ROUND(C152+C164+C165,2)</f>
        <v>1169230.5900000001</v>
      </c>
      <c r="D167" s="533">
        <f>ROUND(D152+D164+D165,2)</f>
        <v>0</v>
      </c>
      <c r="E167" s="533">
        <f>ROUND(E152+E164+E165,2)</f>
        <v>0</v>
      </c>
      <c r="F167" s="534">
        <f t="shared" si="3"/>
        <v>1169230.5900000001</v>
      </c>
    </row>
    <row r="168" spans="1:6" ht="13.5" customHeight="1">
      <c r="A168" s="535" t="s">
        <v>971</v>
      </c>
      <c r="B168" s="536">
        <v>0</v>
      </c>
      <c r="C168" s="536">
        <f>SUM(C169:C170)</f>
        <v>0</v>
      </c>
      <c r="D168" s="536">
        <f>SUM(D169:D170)</f>
        <v>0</v>
      </c>
      <c r="E168" s="536">
        <f>SUM(E169:E170)</f>
        <v>0</v>
      </c>
      <c r="F168" s="537">
        <f t="shared" si="3"/>
        <v>0</v>
      </c>
    </row>
    <row r="169" spans="1:6" ht="13.5" customHeight="1">
      <c r="A169" s="538" t="s">
        <v>972</v>
      </c>
      <c r="B169" s="505">
        <v>0</v>
      </c>
      <c r="C169" s="506">
        <f>-SUMPRODUCT(([3]分录!$D$7:$D$100=$A169)*INT((([3]分录!$C$7:$C$100="借：")-0.5)*2)*([3]分录!$I$7:$I$100=C$7)*([3]分录!$H$7:$H$100))</f>
        <v>0</v>
      </c>
      <c r="D169" s="506">
        <f>-SUMPRODUCT(([3]分录!$D$7:$D$100=$A169)*INT((([3]分录!$C$7:$C$100="借：")-0.5)*2)*([3]分录!$I$7:$I$100=D$7)*([3]分录!$H$7:$H$100))</f>
        <v>0</v>
      </c>
      <c r="E169" s="506">
        <f>-SUMPRODUCT(([3]分录!$D$7:$D$100=$A169)*INT((([3]分录!$C$7:$C$100="借：")-0.5)*2)*([3]分录!$I$7:$I$100=E$7)*([3]分录!$H$7:$H$100))</f>
        <v>0</v>
      </c>
      <c r="F169" s="507">
        <f t="shared" si="3"/>
        <v>0</v>
      </c>
    </row>
    <row r="170" spans="1:6" ht="13.5" customHeight="1">
      <c r="A170" s="538" t="s">
        <v>973</v>
      </c>
      <c r="B170" s="505">
        <v>0</v>
      </c>
      <c r="C170" s="506">
        <f>-SUMPRODUCT(([3]分录!$D$7:$D$100=$A170)*INT((([3]分录!$C$7:$C$100="借：")-0.5)*2)*([3]分录!$I$7:$I$100=C$7)*([3]分录!$H$7:$H$100))</f>
        <v>0</v>
      </c>
      <c r="D170" s="506">
        <f>-SUMPRODUCT(([3]分录!$D$7:$D$100=$A170)*INT((([3]分录!$C$7:$C$100="借：")-0.5)*2)*([3]分录!$I$7:$I$100=D$7)*([3]分录!$H$7:$H$100))</f>
        <v>0</v>
      </c>
      <c r="E170" s="506">
        <f>-SUMPRODUCT(([3]分录!$D$7:$D$100=$A170)*INT((([3]分录!$C$7:$C$100="借：")-0.5)*2)*([3]分录!$I$7:$I$100=E$7)*([3]分录!$H$7:$H$100))</f>
        <v>0</v>
      </c>
      <c r="F170" s="507">
        <f t="shared" si="3"/>
        <v>0</v>
      </c>
    </row>
    <row r="171" spans="1:6" ht="13.5" customHeight="1">
      <c r="A171" s="539" t="s">
        <v>974</v>
      </c>
      <c r="B171" s="517">
        <v>0</v>
      </c>
      <c r="C171" s="517">
        <f>SUM(C172:C173)</f>
        <v>0</v>
      </c>
      <c r="D171" s="517">
        <f>SUM(D172:D173)</f>
        <v>0</v>
      </c>
      <c r="E171" s="517">
        <f>SUM(E172:E173)</f>
        <v>0</v>
      </c>
      <c r="F171" s="507">
        <f t="shared" si="3"/>
        <v>0</v>
      </c>
    </row>
    <row r="172" spans="1:6" ht="13.5" customHeight="1">
      <c r="A172" s="539" t="s">
        <v>975</v>
      </c>
      <c r="B172" s="505">
        <v>0</v>
      </c>
      <c r="C172" s="506">
        <f>SUMPRODUCT(([3]分录!$D$7:$D$100=$A172)*INT((([3]分录!$C$7:$C$100="借：")-0.5)*2)*([3]分录!$I$7:$I$100=C$7)*([3]分录!$H$7:$H$100))</f>
        <v>0</v>
      </c>
      <c r="D172" s="506">
        <f>SUMPRODUCT(([3]分录!$D$7:$D$100=$A172)*INT((([3]分录!$C$7:$C$100="借：")-0.5)*2)*([3]分录!$I$7:$I$100=D$7)*([3]分录!$H$7:$H$100))</f>
        <v>0</v>
      </c>
      <c r="E172" s="506">
        <f>SUMPRODUCT(([3]分录!$D$7:$D$100=$A172)*INT((([3]分录!$C$7:$C$100="借：")-0.5)*2)*([3]分录!$I$7:$I$100=E$7)*([3]分录!$H$7:$H$100))</f>
        <v>0</v>
      </c>
      <c r="F172" s="507">
        <f t="shared" si="3"/>
        <v>0</v>
      </c>
    </row>
    <row r="173" spans="1:6" ht="13.5" customHeight="1">
      <c r="A173" s="539" t="s">
        <v>976</v>
      </c>
      <c r="B173" s="505">
        <v>0</v>
      </c>
      <c r="C173" s="506">
        <f>SUMPRODUCT(([3]分录!$D$7:$D$100=$A173)*INT((([3]分录!$C$7:$C$100="借：")-0.5)*2)*([3]分录!$I$7:$I$100=C$7)*([3]分录!$H$7:$H$100))</f>
        <v>0</v>
      </c>
      <c r="D173" s="506">
        <f>SUMPRODUCT(([3]分录!$D$7:$D$100=$A173)*INT((([3]分录!$C$7:$C$100="借：")-0.5)*2)*([3]分录!$I$7:$I$100=D$7)*([3]分录!$H$7:$H$100))</f>
        <v>0</v>
      </c>
      <c r="E173" s="506">
        <f>SUMPRODUCT(([3]分录!$D$7:$D$100=$A173)*INT((([3]分录!$C$7:$C$100="借：")-0.5)*2)*([3]分录!$I$7:$I$100=E$7)*([3]分录!$H$7:$H$100))</f>
        <v>0</v>
      </c>
      <c r="F173" s="507">
        <f t="shared" si="3"/>
        <v>0</v>
      </c>
    </row>
    <row r="174" spans="1:6" ht="13.5" customHeight="1">
      <c r="A174" s="539" t="s">
        <v>977</v>
      </c>
      <c r="B174" s="505">
        <v>0</v>
      </c>
      <c r="C174" s="506">
        <f>SUMPRODUCT(([3]分录!$D$7:$D$100=$A174)*INT((([3]分录!$C$7:$C$100="借：")-0.5)*2)*([3]分录!$I$7:$I$100=C$7)*([3]分录!$H$7:$H$100))</f>
        <v>0</v>
      </c>
      <c r="D174" s="506">
        <f>SUMPRODUCT(([3]分录!$D$7:$D$100=$A174)*INT((([3]分录!$C$7:$C$100="借：")-0.5)*2)*([3]分录!$I$7:$I$100=D$7)*([3]分录!$H$7:$H$100))</f>
        <v>0</v>
      </c>
      <c r="E174" s="506">
        <f>SUMPRODUCT(([3]分录!$D$7:$D$100=$A174)*INT((([3]分录!$C$7:$C$100="借：")-0.5)*2)*([3]分录!$I$7:$I$100=E$7)*([3]分录!$H$7:$H$100))</f>
        <v>0</v>
      </c>
      <c r="F174" s="507">
        <f t="shared" si="3"/>
        <v>0</v>
      </c>
    </row>
    <row r="175" spans="1:6" ht="13.5" customHeight="1">
      <c r="A175" s="539" t="s">
        <v>978</v>
      </c>
      <c r="B175" s="505">
        <v>0</v>
      </c>
      <c r="C175" s="506">
        <f>SUMPRODUCT(([3]分录!$D$7:$D$100=$A175)*INT((([3]分录!$C$7:$C$100="借：")-0.5)*2)*([3]分录!$I$7:$I$100=C$7)*([3]分录!$H$7:$H$100))</f>
        <v>0</v>
      </c>
      <c r="D175" s="506">
        <f>SUMPRODUCT(([3]分录!$D$7:$D$100=$A175)*INT((([3]分录!$C$7:$C$100="借：")-0.5)*2)*([3]分录!$I$7:$I$100=D$7)*([3]分录!$H$7:$H$100))</f>
        <v>0</v>
      </c>
      <c r="E175" s="506">
        <f>SUMPRODUCT(([3]分录!$D$7:$D$100=$A175)*INT((([3]分录!$C$7:$C$100="借：")-0.5)*2)*([3]分录!$I$7:$I$100=E$7)*([3]分录!$H$7:$H$100))</f>
        <v>0</v>
      </c>
      <c r="F175" s="507">
        <f t="shared" si="3"/>
        <v>0</v>
      </c>
    </row>
    <row r="176" spans="1:6" ht="13.5" customHeight="1">
      <c r="A176" s="539" t="s">
        <v>979</v>
      </c>
      <c r="B176" s="505">
        <v>0</v>
      </c>
      <c r="C176" s="506">
        <f>SUMPRODUCT(([3]分录!$D$7:$D$100=$A176)*INT((([3]分录!$C$7:$C$100="借：")-0.5)*2)*([3]分录!$I$7:$I$100=C$7)*([3]分录!$H$7:$H$100))</f>
        <v>0</v>
      </c>
      <c r="D176" s="506">
        <f>SUMPRODUCT(([3]分录!$D$7:$D$100=$A176)*INT((([3]分录!$C$7:$C$100="借：")-0.5)*2)*([3]分录!$I$7:$I$100=D$7)*([3]分录!$H$7:$H$100))</f>
        <v>0</v>
      </c>
      <c r="E176" s="506">
        <f>SUMPRODUCT(([3]分录!$D$7:$D$100=$A176)*INT((([3]分录!$C$7:$C$100="借：")-0.5)*2)*([3]分录!$I$7:$I$100=E$7)*([3]分录!$H$7:$H$100))</f>
        <v>0</v>
      </c>
      <c r="F176" s="507">
        <f t="shared" si="3"/>
        <v>0</v>
      </c>
    </row>
    <row r="177" spans="1:6" ht="13.5" customHeight="1">
      <c r="A177" s="539" t="s">
        <v>980</v>
      </c>
      <c r="B177" s="505">
        <v>0</v>
      </c>
      <c r="C177" s="506">
        <f>SUMPRODUCT(([3]分录!$D$7:$D$100=$A177)*INT((([3]分录!$C$7:$C$100="借：")-0.5)*2)*([3]分录!$I$7:$I$100=C$7)*([3]分录!$H$7:$H$100))</f>
        <v>0</v>
      </c>
      <c r="D177" s="506">
        <f>SUMPRODUCT(([3]分录!$D$7:$D$100=$A177)*INT((([3]分录!$C$7:$C$100="借：")-0.5)*2)*([3]分录!$I$7:$I$100=D$7)*([3]分录!$H$7:$H$100))</f>
        <v>0</v>
      </c>
      <c r="E177" s="506">
        <f>SUMPRODUCT(([3]分录!$D$7:$D$100=$A177)*INT((([3]分录!$C$7:$C$100="借：")-0.5)*2)*([3]分录!$I$7:$I$100=E$7)*([3]分录!$H$7:$H$100))</f>
        <v>0</v>
      </c>
      <c r="F177" s="507">
        <f t="shared" si="3"/>
        <v>0</v>
      </c>
    </row>
    <row r="178" spans="1:6" ht="13.5" customHeight="1">
      <c r="A178" s="539" t="s">
        <v>981</v>
      </c>
      <c r="B178" s="505">
        <v>0</v>
      </c>
      <c r="C178" s="506">
        <f>SUMPRODUCT(([3]分录!$D$7:$D$100=$A178)*INT((([3]分录!$C$7:$C$100="借：")-0.5)*2)*([3]分录!$I$7:$I$100=C$7)*([3]分录!$H$7:$H$100))</f>
        <v>99</v>
      </c>
      <c r="D178" s="506">
        <f>SUMPRODUCT(([3]分录!$D$7:$D$100=$A178)*INT((([3]分录!$C$7:$C$100="借：")-0.5)*2)*([3]分录!$I$7:$I$100=D$7)*([3]分录!$H$7:$H$100))</f>
        <v>0</v>
      </c>
      <c r="E178" s="506">
        <f>SUMPRODUCT(([3]分录!$D$7:$D$100=$A178)*INT((([3]分录!$C$7:$C$100="借：")-0.5)*2)*([3]分录!$I$7:$I$100=E$7)*([3]分录!$H$7:$H$100))</f>
        <v>0</v>
      </c>
      <c r="F178" s="507">
        <f t="shared" si="3"/>
        <v>99</v>
      </c>
    </row>
    <row r="179" spans="1:6" s="530" customFormat="1" ht="13.5" customHeight="1">
      <c r="A179" s="538" t="s">
        <v>982</v>
      </c>
      <c r="B179" s="505">
        <v>0</v>
      </c>
      <c r="C179" s="540">
        <f>-SUMPRODUCT(([3]分录!$D$7:$D$100=$A179)*INT((([3]分录!$C$7:$C$100="借：")-0.5)*2)*([3]分录!$I$7:$I$100=C$7)*([3]分录!$H$7:$H$100))</f>
        <v>3784698.38</v>
      </c>
      <c r="D179" s="540">
        <f>-SUMPRODUCT(([3]分录!$D$7:$D$100=$A179)*INT((([3]分录!$C$7:$C$100="借：")-0.5)*2)*([3]分录!$I$7:$I$100=D$7)*([3]分录!$H$7:$H$100))</f>
        <v>0</v>
      </c>
      <c r="E179" s="540">
        <f>-SUMPRODUCT(([3]分录!$D$7:$D$100=$A179)*INT((([3]分录!$C$7:$C$100="借：")-0.5)*2)*([3]分录!$I$7:$I$100=E$7)*([3]分录!$H$7:$H$100))</f>
        <v>0</v>
      </c>
      <c r="F179" s="507">
        <f t="shared" si="3"/>
        <v>3784698.38</v>
      </c>
    </row>
    <row r="180" spans="1:6" s="530" customFormat="1" ht="13.5" customHeight="1">
      <c r="A180" s="538" t="s">
        <v>983</v>
      </c>
      <c r="B180" s="505">
        <v>0</v>
      </c>
      <c r="C180" s="541">
        <f>-SUMPRODUCT(([3]分录!$D$7:$D$100=$A180)*INT((([3]分录!$C$7:$C$100="借：")-0.5)*2)*([3]分录!$I$7:$I$100=C$7)*([3]分录!$H$7:$H$100))</f>
        <v>0</v>
      </c>
      <c r="D180" s="541">
        <f>-SUMPRODUCT(([3]分录!$D$7:$D$100=$A180)*INT((([3]分录!$C$7:$C$100="借：")-0.5)*2)*([3]分录!$I$7:$I$100=D$7)*([3]分录!$H$7:$H$100))</f>
        <v>0</v>
      </c>
      <c r="E180" s="541">
        <f>-SUMPRODUCT(([3]分录!$D$7:$D$100=$A180)*INT((([3]分录!$C$7:$C$100="借：")-0.5)*2)*([3]分录!$I$7:$I$100=E$7)*([3]分录!$H$7:$H$100))</f>
        <v>0</v>
      </c>
      <c r="F180" s="507">
        <f t="shared" si="3"/>
        <v>0</v>
      </c>
    </row>
    <row r="181" spans="1:6" s="530" customFormat="1" ht="13.5" customHeight="1">
      <c r="A181" s="538" t="s">
        <v>984</v>
      </c>
      <c r="B181" s="505">
        <v>0</v>
      </c>
      <c r="C181" s="540">
        <f>-SUMPRODUCT(([3]分录!$D$7:$D$100=$A181)*INT((([3]分录!$C$7:$C$100="借：")-0.5)*2)*([3]分录!$I$7:$I$100=C$7)*([3]分录!$H$7:$H$100))</f>
        <v>0</v>
      </c>
      <c r="D181" s="540">
        <f>-SUMPRODUCT(([3]分录!$D$7:$D$100=$A181)*INT((([3]分录!$C$7:$C$100="借：")-0.5)*2)*([3]分录!$I$7:$I$100=D$7)*([3]分录!$H$7:$H$100))</f>
        <v>0</v>
      </c>
      <c r="E181" s="540">
        <f>-SUMPRODUCT(([3]分录!$D$7:$D$100=$A181)*INT((([3]分录!$C$7:$C$100="借：")-0.5)*2)*([3]分录!$I$7:$I$100=E$7)*([3]分录!$H$7:$H$100))</f>
        <v>0</v>
      </c>
      <c r="F181" s="507">
        <f t="shared" si="3"/>
        <v>0</v>
      </c>
    </row>
    <row r="182" spans="1:6" s="530" customFormat="1" ht="13.5" customHeight="1">
      <c r="A182" s="538" t="s">
        <v>985</v>
      </c>
      <c r="B182" s="505">
        <v>0</v>
      </c>
      <c r="C182" s="506">
        <f>-SUMPRODUCT(([3]分录!$D$7:$D$100=$A182)*INT((([3]分录!$C$7:$C$100="借：")-0.5)*2)*([3]分录!$I$7:$I$100=C$7)*([3]分录!$H$7:$H$100))</f>
        <v>0</v>
      </c>
      <c r="D182" s="506">
        <f>-SUMPRODUCT(([3]分录!$D$7:$D$100=$A182)*INT((([3]分录!$C$7:$C$100="借：")-0.5)*2)*([3]分录!$I$7:$I$100=D$7)*([3]分录!$H$7:$H$100))</f>
        <v>0</v>
      </c>
      <c r="E182" s="506">
        <f>-SUMPRODUCT(([3]分录!$D$7:$D$100=$A182)*INT((([3]分录!$C$7:$C$100="借：")-0.5)*2)*([3]分录!$I$7:$I$100=E$7)*([3]分录!$H$7:$H$100))</f>
        <v>0</v>
      </c>
      <c r="F182" s="507">
        <f t="shared" si="3"/>
        <v>0</v>
      </c>
    </row>
    <row r="183" spans="1:6" s="530" customFormat="1" ht="13.5" customHeight="1">
      <c r="A183" s="539" t="s">
        <v>986</v>
      </c>
      <c r="B183" s="505">
        <v>0</v>
      </c>
      <c r="C183" s="506">
        <f>-SUMPRODUCT(([3]分录!$D$7:$D$100=$A183)*INT((([3]分录!$C$7:$C$100="借：")-0.5)*2)*([3]分录!$I$7:$I$100=C$7)*([3]分录!$H$7:$H$100))</f>
        <v>0</v>
      </c>
      <c r="D183" s="506">
        <f>-SUMPRODUCT(([3]分录!$D$7:$D$100=$A183)*INT((([3]分录!$C$7:$C$100="借：")-0.5)*2)*([3]分录!$I$7:$I$100=D$7)*([3]分录!$H$7:$H$100))</f>
        <v>0</v>
      </c>
      <c r="E183" s="506">
        <f>-SUMPRODUCT(([3]分录!$D$7:$D$100=$A183)*INT((([3]分录!$C$7:$C$100="借：")-0.5)*2)*([3]分录!$I$7:$I$100=E$7)*([3]分录!$H$7:$H$100))</f>
        <v>0</v>
      </c>
      <c r="F183" s="507">
        <f t="shared" si="3"/>
        <v>0</v>
      </c>
    </row>
    <row r="184" spans="1:6" ht="13.5" customHeight="1">
      <c r="A184" s="539" t="s">
        <v>987</v>
      </c>
      <c r="B184" s="505">
        <v>0</v>
      </c>
      <c r="C184" s="506">
        <f>-SUMPRODUCT(([3]分录!$D$7:$D$100=$A184)*INT((([3]分录!$C$7:$C$100="借：")-0.5)*2)*([3]分录!$I$7:$I$100=C$7)*([3]分录!$H$7:$H$100))</f>
        <v>1804835.1700000004</v>
      </c>
      <c r="D184" s="506">
        <f>-SUMPRODUCT(([3]分录!$D$7:$D$100=$A184)*INT((([3]分录!$C$7:$C$100="借：")-0.5)*2)*([3]分录!$I$7:$I$100=D$7)*([3]分录!$H$7:$H$100))</f>
        <v>0</v>
      </c>
      <c r="E184" s="506">
        <f>-SUMPRODUCT(([3]分录!$D$7:$D$100=$A184)*INT((([3]分录!$C$7:$C$100="借：")-0.5)*2)*([3]分录!$I$7:$I$100=E$7)*([3]分录!$H$7:$H$100))</f>
        <v>0</v>
      </c>
      <c r="F184" s="507">
        <f t="shared" si="3"/>
        <v>1804835.17</v>
      </c>
    </row>
    <row r="185" spans="1:6" s="530" customFormat="1" ht="13.5" customHeight="1">
      <c r="A185" s="538" t="s">
        <v>988</v>
      </c>
      <c r="B185" s="505">
        <v>0</v>
      </c>
      <c r="C185" s="540">
        <f>-SUMPRODUCT(([3]分录!$D$7:$D$100=$A185)*INT((([3]分录!$C$7:$C$100="借：")-0.5)*2)*([3]分录!$I$7:$I$100=C$7)*([3]分录!$H$7:$H$100))</f>
        <v>0</v>
      </c>
      <c r="D185" s="540">
        <f>-SUMPRODUCT(([3]分录!$D$7:$D$100=$A185)*INT((([3]分录!$C$7:$C$100="借：")-0.5)*2)*([3]分录!$I$7:$I$100=D$7)*([3]分录!$H$7:$H$100))</f>
        <v>0</v>
      </c>
      <c r="E185" s="540">
        <f>-SUMPRODUCT(([3]分录!$D$7:$D$100=$A185)*INT((([3]分录!$C$7:$C$100="借：")-0.5)*2)*([3]分录!$I$7:$I$100=E$7)*([3]分录!$H$7:$H$100))</f>
        <v>0</v>
      </c>
      <c r="F185" s="507">
        <f t="shared" si="3"/>
        <v>0</v>
      </c>
    </row>
    <row r="186" spans="1:6" ht="13.5" customHeight="1">
      <c r="A186" s="529" t="s">
        <v>989</v>
      </c>
      <c r="B186" s="517">
        <v>0</v>
      </c>
      <c r="C186" s="517">
        <f>C168-C171-SUM(C174:C178)+SUM(C179:C185)</f>
        <v>5589434.5500000007</v>
      </c>
      <c r="D186" s="517">
        <f>D168-D171-SUM(D174:D178)+SUM(D179:D185)</f>
        <v>0</v>
      </c>
      <c r="E186" s="517">
        <f>E168-E171-SUM(E174:E178)+SUM(E179:E185)</f>
        <v>0</v>
      </c>
      <c r="F186" s="507">
        <f t="shared" si="3"/>
        <v>5589434.5499999998</v>
      </c>
    </row>
    <row r="187" spans="1:6" ht="13.5" customHeight="1">
      <c r="A187" s="538" t="s">
        <v>990</v>
      </c>
      <c r="B187" s="505">
        <v>0</v>
      </c>
      <c r="C187" s="506">
        <f>-SUMPRODUCT(([3]分录!$D$7:$D$100=$A187)*INT((([3]分录!$C$7:$C$100="借：")-0.5)*2)*([3]分录!$I$7:$I$100=C$7)*([3]分录!$H$7:$H$100))</f>
        <v>-3784698.38</v>
      </c>
      <c r="D187" s="506">
        <f>-SUMPRODUCT(([3]分录!$D$7:$D$100=$A187)*INT((([3]分录!$C$7:$C$100="借：")-0.5)*2)*([3]分录!$I$7:$I$100=D$7)*([3]分录!$H$7:$H$100))</f>
        <v>0</v>
      </c>
      <c r="E187" s="506">
        <f>-SUMPRODUCT(([3]分录!$D$7:$D$100=$A187)*INT((([3]分录!$C$7:$C$100="借：")-0.5)*2)*([3]分录!$I$7:$I$100=E$7)*([3]分录!$H$7:$H$100))</f>
        <v>0</v>
      </c>
      <c r="F187" s="507">
        <f t="shared" si="3"/>
        <v>-3784698.38</v>
      </c>
    </row>
    <row r="188" spans="1:6" ht="13.5" customHeight="1">
      <c r="A188" s="539" t="s">
        <v>991</v>
      </c>
      <c r="B188" s="505">
        <v>0</v>
      </c>
      <c r="C188" s="506">
        <f>SUMPRODUCT(([3]分录!$D$7:$D$100=$A188)*INT((([3]分录!$C$7:$C$100="借：")-0.5)*2)*([3]分录!$I$7:$I$100=C$7)*([3]分录!$H$7:$H$100))</f>
        <v>0</v>
      </c>
      <c r="D188" s="506">
        <f>SUMPRODUCT(([3]分录!$D$7:$D$100=$A188)*INT((([3]分录!$C$7:$C$100="借：")-0.5)*2)*([3]分录!$I$7:$I$100=D$7)*([3]分录!$H$7:$H$100))</f>
        <v>0</v>
      </c>
      <c r="E188" s="506">
        <f>SUMPRODUCT(([3]分录!$D$7:$D$100=$A188)*INT((([3]分录!$C$7:$C$100="借：")-0.5)*2)*([3]分录!$I$7:$I$100=E$7)*([3]分录!$H$7:$H$100))</f>
        <v>0</v>
      </c>
      <c r="F188" s="507">
        <f t="shared" si="3"/>
        <v>0</v>
      </c>
    </row>
    <row r="189" spans="1:6" ht="13.5" customHeight="1">
      <c r="A189" s="529" t="s">
        <v>992</v>
      </c>
      <c r="B189" s="517">
        <v>0</v>
      </c>
      <c r="C189" s="518">
        <f>C186+C187-C188</f>
        <v>1804736.1700000009</v>
      </c>
      <c r="D189" s="518">
        <f>D186+D187-D188</f>
        <v>0</v>
      </c>
      <c r="E189" s="518">
        <f>E186+E187-E188</f>
        <v>0</v>
      </c>
      <c r="F189" s="507">
        <f t="shared" si="3"/>
        <v>1804736.17</v>
      </c>
    </row>
    <row r="190" spans="1:6" ht="13.5" customHeight="1">
      <c r="A190" s="539" t="s">
        <v>993</v>
      </c>
      <c r="B190" s="505">
        <v>0</v>
      </c>
      <c r="C190" s="506">
        <f>SUMPRODUCT(([3]分录!$D$7:$D$100=$A190)*INT((([3]分录!$C$7:$C$100="借：")-0.5)*2)*([3]分录!$I$7:$I$100=C$7)*([3]分录!$H$7:$H$100))</f>
        <v>-1095480.5</v>
      </c>
      <c r="D190" s="506">
        <f>SUMPRODUCT(([3]分录!$D$7:$D$100=$A190)*INT((([3]分录!$C$7:$C$100="借：")-0.5)*2)*([3]分录!$I$7:$I$100=D$7)*([3]分录!$H$7:$H$100))</f>
        <v>0</v>
      </c>
      <c r="E190" s="506">
        <f>SUMPRODUCT(([3]分录!$D$7:$D$100=$A190)*INT((([3]分录!$C$7:$C$100="借：")-0.5)*2)*([3]分录!$I$7:$I$100=E$7)*([3]分录!$H$7:$H$100))</f>
        <v>0</v>
      </c>
      <c r="F190" s="507">
        <f t="shared" si="3"/>
        <v>-1095480.5</v>
      </c>
    </row>
    <row r="191" spans="1:6" ht="13.5" customHeight="1">
      <c r="A191" s="529" t="s">
        <v>994</v>
      </c>
      <c r="B191" s="511">
        <f>B189-B190</f>
        <v>0</v>
      </c>
      <c r="C191" s="512">
        <f>ROUND(C189-C190,2)</f>
        <v>2900216.67</v>
      </c>
      <c r="D191" s="512">
        <f>ROUND(D189-D190,2)</f>
        <v>0</v>
      </c>
      <c r="E191" s="512">
        <f>E189-E190</f>
        <v>0</v>
      </c>
      <c r="F191" s="507">
        <f t="shared" si="3"/>
        <v>2900216.67</v>
      </c>
    </row>
    <row r="192" spans="1:6" s="530" customFormat="1" ht="13.5" customHeight="1">
      <c r="A192" s="542" t="s">
        <v>995</v>
      </c>
      <c r="B192" s="505"/>
      <c r="C192" s="543"/>
      <c r="D192" s="543"/>
      <c r="E192" s="543"/>
      <c r="F192" s="507">
        <f t="shared" si="3"/>
        <v>0</v>
      </c>
    </row>
    <row r="193" spans="1:6" s="530" customFormat="1" ht="13.5" customHeight="1">
      <c r="A193" s="544" t="s">
        <v>996</v>
      </c>
      <c r="B193" s="505">
        <f>B191</f>
        <v>0</v>
      </c>
      <c r="C193" s="543">
        <f>C191</f>
        <v>2900216.67</v>
      </c>
      <c r="D193" s="543">
        <f>D191</f>
        <v>0</v>
      </c>
      <c r="E193" s="543">
        <f>E191</f>
        <v>0</v>
      </c>
      <c r="F193" s="507">
        <f t="shared" si="3"/>
        <v>2900216.67</v>
      </c>
    </row>
    <row r="194" spans="1:6" s="530" customFormat="1" ht="13.5" customHeight="1">
      <c r="A194" s="544" t="s">
        <v>997</v>
      </c>
      <c r="B194" s="505"/>
      <c r="C194" s="543"/>
      <c r="D194" s="543"/>
      <c r="E194" s="543"/>
      <c r="F194" s="507">
        <f t="shared" si="3"/>
        <v>0</v>
      </c>
    </row>
    <row r="195" spans="1:6" s="530" customFormat="1" ht="13.5" customHeight="1">
      <c r="A195" s="529" t="s">
        <v>998</v>
      </c>
      <c r="B195" s="545">
        <f>B191-B196</f>
        <v>0</v>
      </c>
      <c r="C195" s="545">
        <f>ROUND(C191-C196,2)</f>
        <v>2900216.67</v>
      </c>
      <c r="D195" s="545">
        <f>ROUND(D191-D196,2)</f>
        <v>0</v>
      </c>
      <c r="E195" s="545">
        <f>E191-E196</f>
        <v>0</v>
      </c>
      <c r="F195" s="507">
        <f t="shared" si="3"/>
        <v>2900216.67</v>
      </c>
    </row>
    <row r="196" spans="1:6" ht="13.5" customHeight="1">
      <c r="A196" s="504" t="s">
        <v>999</v>
      </c>
      <c r="B196" s="505"/>
      <c r="C196" s="506">
        <f>ROUND(SUMPRODUCT(([3]分录!$D$7:$D$100=$A196)*INT((([3]分录!$C$7:$C$100="借：")-0.5)*2)*([3]分录!$I$7:$I$100=C$7)*([3]分录!$H$7:$H$100)),2)</f>
        <v>0</v>
      </c>
      <c r="D196" s="506">
        <f>SUMPRODUCT(([3]分录!$D$7:$D$100=$A196)*INT((([3]分录!$C$7:$C$100="借：")-0.5)*2)*([3]分录!$I$7:$I$100=D$7)*([3]分录!$H$7:$H$100))</f>
        <v>0</v>
      </c>
      <c r="E196" s="506">
        <f>SUMPRODUCT(([3]分录!$D$7:$D$100=$A196)*INT((([3]分录!$C$7:$C$100="借：")-0.5)*2)*([3]分录!$I$7:$I$100=E$7)*([3]分录!$H$7:$H$100))</f>
        <v>0</v>
      </c>
      <c r="F196" s="507">
        <f t="shared" si="3"/>
        <v>0</v>
      </c>
    </row>
    <row r="197" spans="1:6" s="530" customFormat="1" ht="13.5" customHeight="1">
      <c r="A197" s="529" t="s">
        <v>1000</v>
      </c>
      <c r="B197" s="546"/>
      <c r="C197" s="547">
        <f>-SUMPRODUCT(([3]分录!$D$7:$D$100=$A197)*INT((([3]分录!$C$7:$C$100="借：")-0.5)*2)*([3]分录!$I$7:$I$100=C$7)*([3]分录!$H$7:$H$100))</f>
        <v>0</v>
      </c>
      <c r="D197" s="547">
        <f>-SUMPRODUCT(([3]分录!$D$7:$D$100=$A197)*INT((([3]分录!$C$7:$C$100="借：")-0.5)*2)*([3]分录!$I$7:$I$100=D$7)*([3]分录!$H$7:$H$100))</f>
        <v>0</v>
      </c>
      <c r="E197" s="547">
        <f>-SUMPRODUCT(([3]分录!$D$7:$D$100=$A197)*INT((([3]分录!$C$7:$C$100="借：")-0.5)*2)*([3]分录!$I$7:$I$100=E$7)*([3]分录!$H$7:$H$100))</f>
        <v>0</v>
      </c>
      <c r="F197" s="507">
        <f t="shared" si="3"/>
        <v>0</v>
      </c>
    </row>
    <row r="198" spans="1:6" ht="13.5" customHeight="1">
      <c r="A198" s="504" t="s">
        <v>1001</v>
      </c>
      <c r="B198" s="505"/>
      <c r="C198" s="506">
        <f>-SUMPRODUCT(([3]分录!$D$7:$D$100=$A198)*INT((([3]分录!$C$7:$C$100="借：")-0.5)*2)*([3]分录!$I$7:$I$100=C$7)*([3]分录!$H$7:$H$100))</f>
        <v>0</v>
      </c>
      <c r="D198" s="506">
        <f>-SUMPRODUCT(([3]分录!$D$7:$D$100=$A198)*INT((([3]分录!$C$7:$C$100="借：")-0.5)*2)*([3]分录!$I$7:$I$100=D$7)*([3]分录!$H$7:$H$100))</f>
        <v>0</v>
      </c>
      <c r="E198" s="506">
        <f>-SUMPRODUCT(([3]分录!$D$7:$D$100=$A198)*INT((([3]分录!$C$7:$C$100="借：")-0.5)*2)*([3]分录!$I$7:$I$100=E$7)*([3]分录!$H$7:$H$100))</f>
        <v>0</v>
      </c>
      <c r="F198" s="507">
        <f t="shared" si="3"/>
        <v>0</v>
      </c>
    </row>
    <row r="199" spans="1:6" ht="13.5" customHeight="1">
      <c r="A199" s="504" t="s">
        <v>1002</v>
      </c>
      <c r="B199" s="505"/>
      <c r="C199" s="506">
        <f>-SUMPRODUCT(([3]分录!$D$7:$D$100=$A199)*INT((([3]分录!$C$7:$C$100="借：")-0.5)*2)*([3]分录!$I$7:$I$100=C$7)*([3]分录!$H$7:$H$100))</f>
        <v>0</v>
      </c>
      <c r="D199" s="506">
        <f>-SUMPRODUCT(([3]分录!$D$7:$D$100=$A199)*INT((([3]分录!$C$7:$C$100="借：")-0.5)*2)*([3]分录!$I$7:$I$100=D$7)*([3]分录!$H$7:$H$100))</f>
        <v>0</v>
      </c>
      <c r="E199" s="506">
        <f>-SUMPRODUCT(([3]分录!$D$7:$D$100=$A199)*INT((([3]分录!$C$7:$C$100="借：")-0.5)*2)*([3]分录!$I$7:$I$100=E$7)*([3]分录!$H$7:$H$100))</f>
        <v>0</v>
      </c>
      <c r="F199" s="507">
        <f t="shared" si="3"/>
        <v>0</v>
      </c>
    </row>
    <row r="200" spans="1:6" ht="13.5" customHeight="1">
      <c r="A200" s="531" t="s">
        <v>1003</v>
      </c>
      <c r="B200" s="517">
        <f>SUM(B195,B197:B199)</f>
        <v>0</v>
      </c>
      <c r="C200" s="518">
        <f>SUM(C195,C197:C199)</f>
        <v>2900216.67</v>
      </c>
      <c r="D200" s="518">
        <f>SUM(D195,D197:D199)</f>
        <v>0</v>
      </c>
      <c r="E200" s="518">
        <f>SUM(E195,E197:E199)</f>
        <v>0</v>
      </c>
      <c r="F200" s="507">
        <f t="shared" ref="F200:F231" si="4">ROUND(SUM(B200:E200),2)</f>
        <v>2900216.67</v>
      </c>
    </row>
    <row r="201" spans="1:6" ht="13.5" customHeight="1">
      <c r="A201" s="504" t="s">
        <v>1004</v>
      </c>
      <c r="B201" s="505"/>
      <c r="C201" s="506">
        <f>SUMPRODUCT(([3]分录!$D$7:$D$100=$A201)*INT((([3]分录!$C$7:$C$100="借：")-0.5)*2)*([3]分录!$I$7:$I$100=C$7)*([3]分录!$H$7:$H$100))</f>
        <v>2645989.33</v>
      </c>
      <c r="D201" s="506">
        <f>SUMPRODUCT(([3]分录!$D$7:$D$100=$A201)*INT((([3]分录!$C$7:$C$100="借：")-0.5)*2)*([3]分录!$I$7:$I$100=D$7)*([3]分录!$H$7:$H$100))</f>
        <v>0</v>
      </c>
      <c r="E201" s="506">
        <f>SUMPRODUCT(([3]分录!$D$7:$D$100=$A201)*INT((([3]分录!$C$7:$C$100="借：")-0.5)*2)*([3]分录!$I$7:$I$100=E$7)*([3]分录!$H$7:$H$100))</f>
        <v>0</v>
      </c>
      <c r="F201" s="507">
        <f t="shared" si="4"/>
        <v>2645989.33</v>
      </c>
    </row>
    <row r="202" spans="1:6" ht="13.5" customHeight="1">
      <c r="A202" s="531" t="s">
        <v>1005</v>
      </c>
      <c r="B202" s="517">
        <f>B200-B201</f>
        <v>0</v>
      </c>
      <c r="C202" s="518">
        <f>C200-C201</f>
        <v>254227.33999999985</v>
      </c>
      <c r="D202" s="518">
        <f>D200-D201</f>
        <v>0</v>
      </c>
      <c r="E202" s="518">
        <f>E200-E201</f>
        <v>0</v>
      </c>
      <c r="F202" s="507">
        <f t="shared" si="4"/>
        <v>254227.34</v>
      </c>
    </row>
    <row r="203" spans="1:6" ht="13.5" customHeight="1">
      <c r="A203" s="504" t="s">
        <v>1006</v>
      </c>
      <c r="B203" s="505"/>
      <c r="C203" s="506">
        <f>SUMPRODUCT(([3]分录!$D$7:$D$100=$A203)*INT((([3]分录!$C$7:$C$100="借：")-0.5)*2)*([3]分录!$I$7:$I$100=C$7)*([3]分录!$H$7:$H$100))</f>
        <v>0</v>
      </c>
      <c r="D203" s="506">
        <f>SUMPRODUCT(([3]分录!$D$7:$D$100=$A203)*INT((([3]分录!$C$7:$C$100="借：")-0.5)*2)*([3]分录!$I$7:$I$100=D$7)*([3]分录!$H$7:$H$100))</f>
        <v>0</v>
      </c>
      <c r="E203" s="506">
        <f>SUMPRODUCT(([3]分录!$D$7:$D$100=$A203)*INT((([3]分录!$C$7:$C$100="借：")-0.5)*2)*([3]分录!$I$7:$I$100=E$7)*([3]分录!$H$7:$H$100))</f>
        <v>0</v>
      </c>
      <c r="F203" s="507">
        <f t="shared" si="4"/>
        <v>0</v>
      </c>
    </row>
    <row r="204" spans="1:6" ht="13.5" customHeight="1">
      <c r="A204" s="504" t="s">
        <v>1007</v>
      </c>
      <c r="B204" s="505"/>
      <c r="C204" s="506">
        <f>SUMPRODUCT(([3]分录!$D$7:$D$100=$A204)*INT((([3]分录!$C$7:$C$100="借：")-0.5)*2)*([3]分录!$I$7:$I$100=C$7)*([3]分录!$H$7:$H$100))</f>
        <v>0</v>
      </c>
      <c r="D204" s="506">
        <f>SUMPRODUCT(([3]分录!$D$7:$D$100=$A204)*INT((([3]分录!$C$7:$C$100="借：")-0.5)*2)*([3]分录!$I$7:$I$100=D$7)*([3]分录!$H$7:$H$100))</f>
        <v>0</v>
      </c>
      <c r="E204" s="506">
        <f>SUMPRODUCT(([3]分录!$D$7:$D$100=$A204)*INT((([3]分录!$C$7:$C$100="借：")-0.5)*2)*([3]分录!$I$7:$I$100=E$7)*([3]分录!$H$7:$H$100))</f>
        <v>0</v>
      </c>
      <c r="F204" s="507">
        <f t="shared" si="4"/>
        <v>0</v>
      </c>
    </row>
    <row r="205" spans="1:6" ht="13.5" customHeight="1">
      <c r="A205" s="504" t="s">
        <v>1008</v>
      </c>
      <c r="B205" s="505"/>
      <c r="C205" s="506">
        <f>SUMPRODUCT(([3]分录!$D$7:$D$100=$A205)*INT((([3]分录!$C$7:$C$100="借：")-0.5)*2)*([3]分录!$I$7:$I$100=C$7)*([3]分录!$H$7:$H$100))</f>
        <v>0</v>
      </c>
      <c r="D205" s="506">
        <f>SUMPRODUCT(([3]分录!$D$7:$D$100=$A205)*INT((([3]分录!$C$7:$C$100="借：")-0.5)*2)*([3]分录!$I$7:$I$100=D$7)*([3]分录!$H$7:$H$100))</f>
        <v>0</v>
      </c>
      <c r="E205" s="506">
        <f>SUMPRODUCT(([3]分录!$D$7:$D$100=$A205)*INT((([3]分录!$C$7:$C$100="借：")-0.5)*2)*([3]分录!$I$7:$I$100=E$7)*([3]分录!$H$7:$H$100))</f>
        <v>0</v>
      </c>
      <c r="F205" s="507">
        <f t="shared" si="4"/>
        <v>0</v>
      </c>
    </row>
    <row r="206" spans="1:6" ht="13.5" customHeight="1">
      <c r="A206" s="504" t="s">
        <v>1009</v>
      </c>
      <c r="B206" s="505"/>
      <c r="C206" s="506">
        <f>SUMPRODUCT(([3]分录!$D$7:$D$100=$A206)*INT((([3]分录!$C$7:$C$100="借：")-0.5)*2)*([3]分录!$I$7:$I$100=C$7)*([3]分录!$H$7:$H$100))</f>
        <v>0</v>
      </c>
      <c r="D206" s="506">
        <f>SUMPRODUCT(([3]分录!$D$7:$D$100=$A206)*INT((([3]分录!$C$7:$C$100="借：")-0.5)*2)*([3]分录!$I$7:$I$100=D$7)*([3]分录!$H$7:$H$100))</f>
        <v>0</v>
      </c>
      <c r="E206" s="506">
        <f>SUMPRODUCT(([3]分录!$D$7:$D$100=$A206)*INT((([3]分录!$C$7:$C$100="借：")-0.5)*2)*([3]分录!$I$7:$I$100=E$7)*([3]分录!$H$7:$H$100))</f>
        <v>0</v>
      </c>
      <c r="F206" s="507">
        <f t="shared" si="4"/>
        <v>0</v>
      </c>
    </row>
    <row r="207" spans="1:6" ht="13.5" customHeight="1">
      <c r="A207" s="548" t="s">
        <v>1010</v>
      </c>
      <c r="B207" s="549"/>
      <c r="C207" s="506">
        <f>SUMPRODUCT(([3]分录!$D$7:$D$100=$A207)*INT((([3]分录!$C$7:$C$100="借：")-0.5)*2)*([3]分录!$I$7:$I$100=C$7)*([3]分录!$H$7:$H$100))</f>
        <v>0</v>
      </c>
      <c r="D207" s="506">
        <f>SUMPRODUCT(([3]分录!$D$7:$D$100=$A207)*INT((([3]分录!$C$7:$C$100="借：")-0.5)*2)*([3]分录!$I$7:$I$100=D$7)*([3]分录!$H$7:$H$100))</f>
        <v>0</v>
      </c>
      <c r="E207" s="506">
        <f>SUMPRODUCT(([3]分录!$D$7:$D$100=$A207)*INT((([3]分录!$C$7:$C$100="借：")-0.5)*2)*([3]分录!$I$7:$I$100=E$7)*([3]分录!$H$7:$H$100))</f>
        <v>0</v>
      </c>
      <c r="F207" s="507">
        <f t="shared" si="4"/>
        <v>0</v>
      </c>
    </row>
    <row r="208" spans="1:6" ht="13.5" customHeight="1">
      <c r="A208" s="548" t="s">
        <v>1011</v>
      </c>
      <c r="B208" s="549"/>
      <c r="C208" s="506">
        <f>SUMPRODUCT(([3]分录!$D$7:$D$100=$A208)*INT((([3]分录!$C$7:$C$100="借：")-0.5)*2)*([3]分录!$I$7:$I$100=C$7)*([3]分录!$H$7:$H$100))</f>
        <v>0</v>
      </c>
      <c r="D208" s="506">
        <f>SUMPRODUCT(([3]分录!$D$7:$D$100=$A208)*INT((([3]分录!$C$7:$C$100="借：")-0.5)*2)*([3]分录!$I$7:$I$100=D$7)*([3]分录!$H$7:$H$100))</f>
        <v>0</v>
      </c>
      <c r="E208" s="506">
        <f>SUMPRODUCT(([3]分录!$D$7:$D$100=$A208)*INT((([3]分录!$C$7:$C$100="借：")-0.5)*2)*([3]分录!$I$7:$I$100=E$7)*([3]分录!$H$7:$H$100))</f>
        <v>0</v>
      </c>
      <c r="F208" s="507">
        <f t="shared" si="4"/>
        <v>0</v>
      </c>
    </row>
    <row r="209" spans="1:6" ht="13.5" customHeight="1">
      <c r="A209" s="550" t="s">
        <v>1012</v>
      </c>
      <c r="B209" s="549"/>
      <c r="C209" s="506">
        <f>SUMPRODUCT(([3]分录!$D$7:$D$100=$A209)*INT((([3]分录!$C$7:$C$100="借：")-0.5)*2)*([3]分录!$I$7:$I$100=C$7)*([3]分录!$H$7:$H$100))</f>
        <v>0</v>
      </c>
      <c r="D209" s="506">
        <f>SUMPRODUCT(([3]分录!$D$7:$D$100=$A209)*INT((([3]分录!$C$7:$C$100="借：")-0.5)*2)*([3]分录!$I$7:$I$100=D$7)*([3]分录!$H$7:$H$100))</f>
        <v>0</v>
      </c>
      <c r="E209" s="506">
        <f>SUMPRODUCT(([3]分录!$D$7:$D$100=$A209)*INT((([3]分录!$C$7:$C$100="借：")-0.5)*2)*([3]分录!$I$7:$I$100=E$7)*([3]分录!$H$7:$H$100))</f>
        <v>0</v>
      </c>
      <c r="F209" s="507">
        <f t="shared" si="4"/>
        <v>0</v>
      </c>
    </row>
    <row r="210" spans="1:6" ht="13.5" customHeight="1" thickBot="1">
      <c r="A210" s="529" t="s">
        <v>1013</v>
      </c>
      <c r="B210" s="533">
        <f>B202-B203-B204-B205-B206-B207-B208-B209</f>
        <v>0</v>
      </c>
      <c r="C210" s="533">
        <f>C202-C203-C204-C205-C206-C207-C208-C209</f>
        <v>254227.33999999985</v>
      </c>
      <c r="D210" s="533">
        <f>D202-D203-D204-D205-D206-D207-D208-D209</f>
        <v>0</v>
      </c>
      <c r="E210" s="533">
        <f>E202-E203-E204-E205-E206-E207-E208-E209</f>
        <v>0</v>
      </c>
      <c r="F210" s="534">
        <f t="shared" si="4"/>
        <v>254227.34</v>
      </c>
    </row>
    <row r="211" spans="1:6" ht="13.5" customHeight="1">
      <c r="A211" s="551" t="s">
        <v>1014</v>
      </c>
      <c r="B211" s="552"/>
      <c r="C211" s="552">
        <f>SUM(C212,C215)</f>
        <v>0</v>
      </c>
      <c r="D211" s="552">
        <f>SUM(D212,D215)</f>
        <v>0</v>
      </c>
      <c r="E211" s="552">
        <f>SUM(E212,E215)</f>
        <v>0</v>
      </c>
      <c r="F211" s="553">
        <f t="shared" si="4"/>
        <v>0</v>
      </c>
    </row>
    <row r="212" spans="1:6" ht="13.5" customHeight="1">
      <c r="A212" s="554" t="s">
        <v>1015</v>
      </c>
      <c r="B212" s="512"/>
      <c r="C212" s="512">
        <f>SUM(C213:C214)</f>
        <v>0</v>
      </c>
      <c r="D212" s="512">
        <f>SUM(D213:D214)</f>
        <v>0</v>
      </c>
      <c r="E212" s="512">
        <f>SUM(E213:E214)</f>
        <v>0</v>
      </c>
      <c r="F212" s="507">
        <f t="shared" si="4"/>
        <v>0</v>
      </c>
    </row>
    <row r="213" spans="1:6" ht="13.5" customHeight="1">
      <c r="A213" s="554" t="s">
        <v>1016</v>
      </c>
      <c r="B213" s="512"/>
      <c r="C213" s="512"/>
      <c r="D213" s="512"/>
      <c r="E213" s="512"/>
      <c r="F213" s="507">
        <f t="shared" si="4"/>
        <v>0</v>
      </c>
    </row>
    <row r="214" spans="1:6" ht="13.5" customHeight="1">
      <c r="A214" s="554" t="s">
        <v>1017</v>
      </c>
      <c r="B214" s="512"/>
      <c r="C214" s="512"/>
      <c r="D214" s="512"/>
      <c r="E214" s="512"/>
      <c r="F214" s="507">
        <f t="shared" si="4"/>
        <v>0</v>
      </c>
    </row>
    <row r="215" spans="1:6" ht="13.5" customHeight="1">
      <c r="A215" s="554" t="s">
        <v>1018</v>
      </c>
      <c r="B215" s="512"/>
      <c r="C215" s="512"/>
      <c r="D215" s="512"/>
      <c r="E215" s="512"/>
      <c r="F215" s="507">
        <f t="shared" si="4"/>
        <v>0</v>
      </c>
    </row>
    <row r="216" spans="1:6" ht="13.5" customHeight="1">
      <c r="A216" s="529" t="s">
        <v>1019</v>
      </c>
      <c r="B216" s="512"/>
      <c r="C216" s="512">
        <f>SUM(C217:C218)</f>
        <v>0</v>
      </c>
      <c r="D216" s="512">
        <f>SUM(D217:D218)</f>
        <v>0</v>
      </c>
      <c r="E216" s="512">
        <f>SUM(E217:E218)</f>
        <v>0</v>
      </c>
      <c r="F216" s="507">
        <f t="shared" si="4"/>
        <v>0</v>
      </c>
    </row>
    <row r="217" spans="1:6" ht="13.5" customHeight="1">
      <c r="A217" s="554" t="s">
        <v>1020</v>
      </c>
      <c r="B217" s="517"/>
      <c r="C217" s="517"/>
      <c r="D217" s="517"/>
      <c r="E217" s="517"/>
      <c r="F217" s="507">
        <f t="shared" si="4"/>
        <v>0</v>
      </c>
    </row>
    <row r="218" spans="1:6" ht="13.5" customHeight="1">
      <c r="A218" s="554" t="s">
        <v>1021</v>
      </c>
      <c r="B218" s="517"/>
      <c r="C218" s="517"/>
      <c r="D218" s="517"/>
      <c r="E218" s="517"/>
      <c r="F218" s="507">
        <f t="shared" si="4"/>
        <v>0</v>
      </c>
    </row>
    <row r="219" spans="1:6" ht="13.5" customHeight="1">
      <c r="A219" s="555" t="s">
        <v>1022</v>
      </c>
      <c r="B219" s="533"/>
      <c r="C219" s="533"/>
      <c r="D219" s="533"/>
      <c r="E219" s="533"/>
      <c r="F219" s="534">
        <f t="shared" si="4"/>
        <v>0</v>
      </c>
    </row>
    <row r="220" spans="1:6" ht="13.5" customHeight="1">
      <c r="A220" s="554" t="s">
        <v>1023</v>
      </c>
      <c r="B220" s="517"/>
      <c r="C220" s="517"/>
      <c r="D220" s="517"/>
      <c r="E220" s="517"/>
      <c r="F220" s="507">
        <f t="shared" si="4"/>
        <v>0</v>
      </c>
    </row>
    <row r="221" spans="1:6" s="503" customFormat="1" ht="13.5" customHeight="1">
      <c r="A221" s="554" t="s">
        <v>1024</v>
      </c>
      <c r="B221" s="517"/>
      <c r="C221" s="517"/>
      <c r="D221" s="517"/>
      <c r="E221" s="517"/>
      <c r="F221" s="507">
        <f t="shared" si="4"/>
        <v>0</v>
      </c>
    </row>
    <row r="222" spans="1:6" ht="13.5" customHeight="1">
      <c r="A222" s="556" t="s">
        <v>171</v>
      </c>
      <c r="B222" s="557"/>
      <c r="C222" s="557"/>
      <c r="D222" s="557"/>
      <c r="E222" s="557"/>
      <c r="F222" s="501">
        <f t="shared" si="4"/>
        <v>0</v>
      </c>
    </row>
    <row r="223" spans="1:6" ht="13.5" customHeight="1">
      <c r="A223" s="558" t="s">
        <v>172</v>
      </c>
      <c r="B223" s="505"/>
      <c r="C223" s="506">
        <f>-SUMPRODUCT(([3]分录!$D$7:$D$100=$A223)*INT((([3]分录!$C$7:$C$100="借：")-0.5)*2)*([3]分录!$I$7:$I$100=C$7)*([3]分录!$H$7:$H$100))</f>
        <v>0</v>
      </c>
      <c r="D223" s="506">
        <f>-SUMPRODUCT(([3]分录!$D$7:$D$100=$A223)*INT((([3]分录!$C$7:$C$100="借：")-0.5)*2)*([3]分录!$I$7:$I$100=D$7)*([3]分录!$H$7:$H$100))</f>
        <v>0</v>
      </c>
      <c r="E223" s="506">
        <f>-SUMPRODUCT(([3]分录!$D$7:$D$100=$A223)*INT((([3]分录!$C$7:$C$100="借：")-0.5)*2)*([3]分录!$I$7:$I$100=E$7)*([3]分录!$H$7:$H$100))</f>
        <v>0</v>
      </c>
      <c r="F223" s="507">
        <f t="shared" si="4"/>
        <v>0</v>
      </c>
    </row>
    <row r="224" spans="1:6" ht="13.5" customHeight="1">
      <c r="A224" s="558" t="s">
        <v>184</v>
      </c>
      <c r="B224" s="505"/>
      <c r="C224" s="506">
        <f>-SUMPRODUCT(([3]分录!$D$7:$D$100=$A224)*INT((([3]分录!$C$7:$C$100="借：")-0.5)*2)*([3]分录!$I$7:$I$100=C$7)*([3]分录!$H$7:$H$100))</f>
        <v>0</v>
      </c>
      <c r="D224" s="506">
        <f>-SUMPRODUCT(([3]分录!$D$7:$D$100=$A224)*INT((([3]分录!$C$7:$C$100="借：")-0.5)*2)*([3]分录!$I$7:$I$100=D$7)*([3]分录!$H$7:$H$100))</f>
        <v>0</v>
      </c>
      <c r="E224" s="506">
        <f>-SUMPRODUCT(([3]分录!$D$7:$D$100=$A224)*INT((([3]分录!$C$7:$C$100="借：")-0.5)*2)*([3]分录!$I$7:$I$100=E$7)*([3]分录!$H$7:$H$100))</f>
        <v>0</v>
      </c>
      <c r="F224" s="507">
        <f t="shared" si="4"/>
        <v>0</v>
      </c>
    </row>
    <row r="225" spans="1:6" ht="13.5" customHeight="1">
      <c r="A225" s="558" t="s">
        <v>1025</v>
      </c>
      <c r="B225" s="505"/>
      <c r="C225" s="506">
        <f>-SUMPRODUCT(([3]分录!$D$7:$D$100=$A225)*INT((([3]分录!$C$7:$C$100="借：")-0.5)*2)*([3]分录!$I$7:$I$100=C$7)*([3]分录!$H$7:$H$100))</f>
        <v>0</v>
      </c>
      <c r="D225" s="506">
        <f>-SUMPRODUCT(([3]分录!$D$7:$D$100=$A225)*INT((([3]分录!$C$7:$C$100="借：")-0.5)*2)*([3]分录!$I$7:$I$100=D$7)*([3]分录!$H$7:$H$100))</f>
        <v>0</v>
      </c>
      <c r="E225" s="506">
        <f>-SUMPRODUCT(([3]分录!$D$7:$D$100=$A225)*INT((([3]分录!$C$7:$C$100="借：")-0.5)*2)*([3]分录!$I$7:$I$100=E$7)*([3]分录!$H$7:$H$100))</f>
        <v>0</v>
      </c>
      <c r="F225" s="507">
        <f t="shared" si="4"/>
        <v>0</v>
      </c>
    </row>
    <row r="226" spans="1:6" ht="13.5" customHeight="1">
      <c r="A226" s="529" t="s">
        <v>195</v>
      </c>
      <c r="B226" s="559">
        <f>SUM(B223:B225)</f>
        <v>0</v>
      </c>
      <c r="C226" s="560">
        <f>SUM(C223:C225)</f>
        <v>0</v>
      </c>
      <c r="D226" s="560">
        <f>SUM(D223:D225)</f>
        <v>0</v>
      </c>
      <c r="E226" s="560">
        <f>SUM(E223:E225)</f>
        <v>0</v>
      </c>
      <c r="F226" s="507">
        <f t="shared" si="4"/>
        <v>0</v>
      </c>
    </row>
    <row r="227" spans="1:6" ht="13.5" customHeight="1">
      <c r="A227" s="558" t="s">
        <v>196</v>
      </c>
      <c r="B227" s="505"/>
      <c r="C227" s="506">
        <f>SUMPRODUCT(([3]分录!$D$7:$D$100=$A227)*INT((([3]分录!$C$7:$C$100="借：")-0.5)*2)*([3]分录!$I$7:$I$100=C$7)*([3]分录!$H$7:$H$100))</f>
        <v>0</v>
      </c>
      <c r="D227" s="506">
        <f>SUMPRODUCT(([3]分录!$D$7:$D$100=$A227)*INT((([3]分录!$C$7:$C$100="借：")-0.5)*2)*([3]分录!$I$7:$I$100=D$7)*([3]分录!$H$7:$H$100))</f>
        <v>0</v>
      </c>
      <c r="E227" s="506">
        <f>SUMPRODUCT(([3]分录!$D$7:$D$100=$A227)*INT((([3]分录!$C$7:$C$100="借：")-0.5)*2)*([3]分录!$I$7:$I$100=E$7)*([3]分录!$H$7:$H$100))</f>
        <v>0</v>
      </c>
      <c r="F227" s="507">
        <f t="shared" si="4"/>
        <v>0</v>
      </c>
    </row>
    <row r="228" spans="1:6" ht="13.5" customHeight="1">
      <c r="A228" s="558" t="s">
        <v>207</v>
      </c>
      <c r="B228" s="505"/>
      <c r="C228" s="506">
        <f>SUMPRODUCT(([3]分录!$D$7:$D$100=$A228)*INT((([3]分录!$C$7:$C$100="借：")-0.5)*2)*([3]分录!$I$7:$I$100=C$7)*([3]分录!$H$7:$H$100))</f>
        <v>0</v>
      </c>
      <c r="D228" s="506">
        <f>SUMPRODUCT(([3]分录!$D$7:$D$100=$A228)*INT((([3]分录!$C$7:$C$100="借：")-0.5)*2)*([3]分录!$I$7:$I$100=D$7)*([3]分录!$H$7:$H$100))</f>
        <v>0</v>
      </c>
      <c r="E228" s="506">
        <f>SUMPRODUCT(([3]分录!$D$7:$D$100=$A228)*INT((([3]分录!$C$7:$C$100="借：")-0.5)*2)*([3]分录!$I$7:$I$100=E$7)*([3]分录!$H$7:$H$100))</f>
        <v>0</v>
      </c>
      <c r="F228" s="507">
        <f t="shared" si="4"/>
        <v>0</v>
      </c>
    </row>
    <row r="229" spans="1:6" ht="13.5" customHeight="1">
      <c r="A229" s="558" t="s">
        <v>212</v>
      </c>
      <c r="B229" s="505"/>
      <c r="C229" s="506">
        <f>SUMPRODUCT(([3]分录!$D$7:$D$100=$A229)*INT((([3]分录!$C$7:$C$100="借：")-0.5)*2)*([3]分录!$I$7:$I$100=C$7)*([3]分录!$H$7:$H$100))</f>
        <v>0</v>
      </c>
      <c r="D229" s="506">
        <f>SUMPRODUCT(([3]分录!$D$7:$D$100=$A229)*INT((([3]分录!$C$7:$C$100="借：")-0.5)*2)*([3]分录!$I$7:$I$100=D$7)*([3]分录!$H$7:$H$100))</f>
        <v>0</v>
      </c>
      <c r="E229" s="506">
        <f>SUMPRODUCT(([3]分录!$D$7:$D$100=$A229)*INT((([3]分录!$C$7:$C$100="借：")-0.5)*2)*([3]分录!$I$7:$I$100=E$7)*([3]分录!$H$7:$H$100))</f>
        <v>0</v>
      </c>
      <c r="F229" s="507">
        <f t="shared" si="4"/>
        <v>0</v>
      </c>
    </row>
    <row r="230" spans="1:6" ht="13.5" customHeight="1">
      <c r="A230" s="558" t="s">
        <v>1026</v>
      </c>
      <c r="B230" s="505"/>
      <c r="C230" s="506">
        <f>SUMPRODUCT(([3]分录!$D$7:$D$100=$A230)*INT((([3]分录!$C$7:$C$100="借：")-0.5)*2)*([3]分录!$I$7:$I$100=C$7)*([3]分录!$H$7:$H$100))</f>
        <v>0</v>
      </c>
      <c r="D230" s="506">
        <f>SUMPRODUCT(([3]分录!$D$7:$D$100=$A230)*INT((([3]分录!$C$7:$C$100="借：")-0.5)*2)*([3]分录!$I$7:$I$100=D$7)*([3]分录!$H$7:$H$100))</f>
        <v>0</v>
      </c>
      <c r="E230" s="506">
        <f>SUMPRODUCT(([3]分录!$D$7:$D$100=$A230)*INT((([3]分录!$C$7:$C$100="借：")-0.5)*2)*([3]分录!$I$7:$I$100=E$7)*([3]分录!$H$7:$H$100))</f>
        <v>0</v>
      </c>
      <c r="F230" s="507">
        <f t="shared" si="4"/>
        <v>0</v>
      </c>
    </row>
    <row r="231" spans="1:6" ht="13.5" customHeight="1">
      <c r="A231" s="529" t="s">
        <v>228</v>
      </c>
      <c r="B231" s="559">
        <f>SUM(B227:B230)</f>
        <v>0</v>
      </c>
      <c r="C231" s="560">
        <f>SUM(C227:C230)</f>
        <v>0</v>
      </c>
      <c r="D231" s="560">
        <f>SUM(D227:D230)</f>
        <v>0</v>
      </c>
      <c r="E231" s="560">
        <f>SUM(E227:E230)</f>
        <v>0</v>
      </c>
      <c r="F231" s="507">
        <f t="shared" si="4"/>
        <v>0</v>
      </c>
    </row>
    <row r="232" spans="1:6" s="530" customFormat="1" ht="13.5" customHeight="1">
      <c r="A232" s="561" t="s">
        <v>229</v>
      </c>
      <c r="B232" s="562">
        <f>ROUND(B226-B231,2)</f>
        <v>0</v>
      </c>
      <c r="C232" s="562">
        <f>ROUND(C226-C231,2)</f>
        <v>0</v>
      </c>
      <c r="D232" s="562">
        <f>ROUND(D226-D231,2)</f>
        <v>0</v>
      </c>
      <c r="E232" s="562">
        <f>ROUND(E226-E231,2)</f>
        <v>0</v>
      </c>
      <c r="F232" s="507">
        <f t="shared" ref="F232:F263" si="5">ROUND(SUM(B232:E232),2)</f>
        <v>0</v>
      </c>
    </row>
    <row r="233" spans="1:6" ht="13.5" customHeight="1">
      <c r="A233" s="563" t="s">
        <v>230</v>
      </c>
      <c r="B233" s="525"/>
      <c r="C233" s="525"/>
      <c r="D233" s="525"/>
      <c r="E233" s="525"/>
      <c r="F233" s="507">
        <f t="shared" si="5"/>
        <v>0</v>
      </c>
    </row>
    <row r="234" spans="1:6" ht="13.5" customHeight="1">
      <c r="A234" s="558" t="s">
        <v>1027</v>
      </c>
      <c r="B234" s="505"/>
      <c r="C234" s="506">
        <f>-SUMPRODUCT(([3]分录!$D$7:$D$100=$A234)*INT((([3]分录!$C$7:$C$100="借：")-0.5)*2)*([3]分录!$I$7:$I$100=C$7)*([3]分录!$H$7:$H$100))</f>
        <v>0</v>
      </c>
      <c r="D234" s="506">
        <f>-SUMPRODUCT(([3]分录!$D$7:$D$100=$A234)*INT((([3]分录!$C$7:$C$100="借：")-0.5)*2)*([3]分录!$I$7:$I$100=D$7)*([3]分录!$H$7:$H$100))</f>
        <v>0</v>
      </c>
      <c r="E234" s="506">
        <f>-SUMPRODUCT(([3]分录!$D$7:$D$100=$A234)*INT((([3]分录!$C$7:$C$100="借：")-0.5)*2)*([3]分录!$I$7:$I$100=E$7)*([3]分录!$H$7:$H$100))</f>
        <v>0</v>
      </c>
      <c r="F234" s="507">
        <f t="shared" si="5"/>
        <v>0</v>
      </c>
    </row>
    <row r="235" spans="1:6" ht="13.5" customHeight="1">
      <c r="A235" s="558" t="s">
        <v>1028</v>
      </c>
      <c r="B235" s="505"/>
      <c r="C235" s="506">
        <f>-SUMPRODUCT(([3]分录!$D$7:$D$100=$A235)*INT((([3]分录!$C$7:$C$100="借：")-0.5)*2)*([3]分录!$I$7:$I$100=C$7)*([3]分录!$H$7:$H$100))</f>
        <v>0</v>
      </c>
      <c r="D235" s="506">
        <f>-SUMPRODUCT(([3]分录!$D$7:$D$100=$A235)*INT((([3]分录!$C$7:$C$100="借：")-0.5)*2)*([3]分录!$I$7:$I$100=D$7)*([3]分录!$H$7:$H$100))</f>
        <v>0</v>
      </c>
      <c r="E235" s="506">
        <f>-SUMPRODUCT(([3]分录!$D$7:$D$100=$A235)*INT((([3]分录!$C$7:$C$100="借：")-0.5)*2)*([3]分录!$I$7:$I$100=E$7)*([3]分录!$H$7:$H$100))</f>
        <v>0</v>
      </c>
      <c r="F235" s="507">
        <f t="shared" si="5"/>
        <v>0</v>
      </c>
    </row>
    <row r="236" spans="1:6" ht="13.5" customHeight="1">
      <c r="A236" s="564" t="s">
        <v>1029</v>
      </c>
      <c r="B236" s="505"/>
      <c r="C236" s="506">
        <f>-SUMPRODUCT(([3]分录!$D$7:$D$100=$A236)*INT((([3]分录!$C$7:$C$100="借：")-0.5)*2)*([3]分录!$I$7:$I$100=C$7)*([3]分录!$H$7:$H$100))</f>
        <v>0</v>
      </c>
      <c r="D236" s="506">
        <f>-SUMPRODUCT(([3]分录!$D$7:$D$100=$A236)*INT((([3]分录!$C$7:$C$100="借：")-0.5)*2)*([3]分录!$I$7:$I$100=D$7)*([3]分录!$H$7:$H$100))</f>
        <v>0</v>
      </c>
      <c r="E236" s="506">
        <f>-SUMPRODUCT(([3]分录!$D$7:$D$100=$A236)*INT((([3]分录!$C$7:$C$100="借：")-0.5)*2)*([3]分录!$I$7:$I$100=E$7)*([3]分录!$H$7:$H$100))</f>
        <v>0</v>
      </c>
      <c r="F236" s="507">
        <f t="shared" si="5"/>
        <v>0</v>
      </c>
    </row>
    <row r="237" spans="1:6" ht="13.5" customHeight="1">
      <c r="A237" s="558" t="s">
        <v>238</v>
      </c>
      <c r="B237" s="505"/>
      <c r="C237" s="506">
        <f>-SUMPRODUCT(([3]分录!$D$7:$D$100=$A237)*INT((([3]分录!$C$7:$C$100="借：")-0.5)*2)*([3]分录!$I$7:$I$100=C$7)*([3]分录!$H$7:$H$100))</f>
        <v>0</v>
      </c>
      <c r="D237" s="506">
        <f>-SUMPRODUCT(([3]分录!$D$7:$D$100=$A237)*INT((([3]分录!$C$7:$C$100="借：")-0.5)*2)*([3]分录!$I$7:$I$100=D$7)*([3]分录!$H$7:$H$100))</f>
        <v>0</v>
      </c>
      <c r="E237" s="506">
        <f>-SUMPRODUCT(([3]分录!$D$7:$D$100=$A237)*INT((([3]分录!$C$7:$C$100="借：")-0.5)*2)*([3]分录!$I$7:$I$100=E$7)*([3]分录!$H$7:$H$100))</f>
        <v>0</v>
      </c>
      <c r="F237" s="507">
        <f t="shared" si="5"/>
        <v>0</v>
      </c>
    </row>
    <row r="238" spans="1:6" ht="13.5" customHeight="1">
      <c r="A238" s="558" t="s">
        <v>1030</v>
      </c>
      <c r="B238" s="505"/>
      <c r="C238" s="506">
        <f>-SUMPRODUCT(([3]分录!$D$7:$D$100=$A238)*INT((([3]分录!$C$7:$C$100="借：")-0.5)*2)*([3]分录!$I$7:$I$100=C$7)*([3]分录!$H$7:$H$100))</f>
        <v>0</v>
      </c>
      <c r="D238" s="506">
        <f>-SUMPRODUCT(([3]分录!$D$7:$D$100=$A238)*INT((([3]分录!$C$7:$C$100="借：")-0.5)*2)*([3]分录!$I$7:$I$100=D$7)*([3]分录!$H$7:$H$100))</f>
        <v>0</v>
      </c>
      <c r="E238" s="506">
        <f>-SUMPRODUCT(([3]分录!$D$7:$D$100=$A238)*INT((([3]分录!$C$7:$C$100="借：")-0.5)*2)*([3]分录!$I$7:$I$100=E$7)*([3]分录!$H$7:$H$100))</f>
        <v>0</v>
      </c>
      <c r="F238" s="507">
        <f t="shared" si="5"/>
        <v>0</v>
      </c>
    </row>
    <row r="239" spans="1:6" ht="13.5" customHeight="1">
      <c r="A239" s="529" t="s">
        <v>241</v>
      </c>
      <c r="B239" s="559">
        <f>SUM(B234:B238)</f>
        <v>0</v>
      </c>
      <c r="C239" s="560">
        <f>SUM(C234:C238)</f>
        <v>0</v>
      </c>
      <c r="D239" s="560">
        <f>SUM(D234:D238)</f>
        <v>0</v>
      </c>
      <c r="E239" s="560">
        <f>SUM(E234:E238)</f>
        <v>0</v>
      </c>
      <c r="F239" s="507">
        <f t="shared" si="5"/>
        <v>0</v>
      </c>
    </row>
    <row r="240" spans="1:6" ht="13.5" customHeight="1">
      <c r="A240" s="558" t="s">
        <v>1031</v>
      </c>
      <c r="B240" s="505"/>
      <c r="C240" s="506">
        <f>SUMPRODUCT(([3]分录!$D$7:$D$100=$A240)*INT((([3]分录!$C$7:$C$100="借：")-0.5)*2)*([3]分录!$I$7:$I$100=C$7)*([3]分录!$H$7:$H$100))</f>
        <v>0</v>
      </c>
      <c r="D240" s="506">
        <f>SUMPRODUCT(([3]分录!$D$7:$D$100=$A240)*INT((([3]分录!$C$7:$C$100="借：")-0.5)*2)*([3]分录!$I$7:$I$100=D$7)*([3]分录!$H$7:$H$100))</f>
        <v>0</v>
      </c>
      <c r="E240" s="506">
        <f>SUMPRODUCT(([3]分录!$D$7:$D$100=$A240)*INT((([3]分录!$C$7:$C$100="借：")-0.5)*2)*([3]分录!$I$7:$I$100=E$7)*([3]分录!$H$7:$H$100))</f>
        <v>0</v>
      </c>
      <c r="F240" s="507">
        <f t="shared" si="5"/>
        <v>0</v>
      </c>
    </row>
    <row r="241" spans="1:6" ht="13.5" customHeight="1">
      <c r="A241" s="558" t="s">
        <v>1032</v>
      </c>
      <c r="B241" s="505"/>
      <c r="C241" s="506">
        <f>SUMPRODUCT(([3]分录!$D$7:$D$100=$A241)*INT((([3]分录!$C$7:$C$100="借：")-0.5)*2)*([3]分录!$I$7:$I$100=C$7)*([3]分录!$H$7:$H$100))</f>
        <v>0</v>
      </c>
      <c r="D241" s="506">
        <f>SUMPRODUCT(([3]分录!$D$7:$D$100=$A241)*INT((([3]分录!$C$7:$C$100="借：")-0.5)*2)*([3]分录!$I$7:$I$100=D$7)*([3]分录!$H$7:$H$100))</f>
        <v>0</v>
      </c>
      <c r="E241" s="506">
        <f>SUMPRODUCT(([3]分录!$D$7:$D$100=$A241)*INT((([3]分录!$C$7:$C$100="借：")-0.5)*2)*([3]分录!$I$7:$I$100=E$7)*([3]分录!$H$7:$H$100))</f>
        <v>0</v>
      </c>
      <c r="F241" s="507">
        <f t="shared" si="5"/>
        <v>0</v>
      </c>
    </row>
    <row r="242" spans="1:6" ht="13.5" customHeight="1">
      <c r="A242" s="558" t="s">
        <v>257</v>
      </c>
      <c r="B242" s="505"/>
      <c r="C242" s="506">
        <f>SUMPRODUCT(([3]分录!$D$7:$D$100=$A242)*INT((([3]分录!$C$7:$C$100="借：")-0.5)*2)*([3]分录!$I$7:$I$100=C$7)*([3]分录!$H$7:$H$100))</f>
        <v>0</v>
      </c>
      <c r="D242" s="506">
        <f>SUMPRODUCT(([3]分录!$D$7:$D$100=$A242)*INT((([3]分录!$C$7:$C$100="借：")-0.5)*2)*([3]分录!$I$7:$I$100=D$7)*([3]分录!$H$7:$H$100))</f>
        <v>0</v>
      </c>
      <c r="E242" s="506">
        <f>SUMPRODUCT(([3]分录!$D$7:$D$100=$A242)*INT((([3]分录!$C$7:$C$100="借：")-0.5)*2)*([3]分录!$I$7:$I$100=E$7)*([3]分录!$H$7:$H$100))</f>
        <v>0</v>
      </c>
      <c r="F242" s="507">
        <f t="shared" si="5"/>
        <v>0</v>
      </c>
    </row>
    <row r="243" spans="1:6" ht="13.5" customHeight="1">
      <c r="A243" s="558" t="s">
        <v>1033</v>
      </c>
      <c r="B243" s="505"/>
      <c r="C243" s="506">
        <f>SUMPRODUCT(([3]分录!$D$7:$D$100=$A243)*INT((([3]分录!$C$7:$C$100="借：")-0.5)*2)*([3]分录!$I$7:$I$100=C$7)*([3]分录!$H$7:$H$100))</f>
        <v>0</v>
      </c>
      <c r="D243" s="506">
        <f>SUMPRODUCT(([3]分录!$D$7:$D$100=$A243)*INT((([3]分录!$C$7:$C$100="借：")-0.5)*2)*([3]分录!$I$7:$I$100=D$7)*([3]分录!$H$7:$H$100))</f>
        <v>0</v>
      </c>
      <c r="E243" s="506">
        <f>SUMPRODUCT(([3]分录!$D$7:$D$100=$A243)*INT((([3]分录!$C$7:$C$100="借：")-0.5)*2)*([3]分录!$I$7:$I$100=E$7)*([3]分录!$H$7:$H$100))</f>
        <v>0</v>
      </c>
      <c r="F243" s="507">
        <f t="shared" si="5"/>
        <v>0</v>
      </c>
    </row>
    <row r="244" spans="1:6" ht="13.5" customHeight="1">
      <c r="A244" s="529" t="s">
        <v>259</v>
      </c>
      <c r="B244" s="559">
        <f>SUM(B240:B243)</f>
        <v>0</v>
      </c>
      <c r="C244" s="560">
        <f>SUM(C240:C243)</f>
        <v>0</v>
      </c>
      <c r="D244" s="560">
        <f>SUM(D240:D243)</f>
        <v>0</v>
      </c>
      <c r="E244" s="560">
        <f>SUM(E240:E243)</f>
        <v>0</v>
      </c>
      <c r="F244" s="507">
        <f t="shared" si="5"/>
        <v>0</v>
      </c>
    </row>
    <row r="245" spans="1:6" ht="13.5" customHeight="1">
      <c r="A245" s="565" t="s">
        <v>260</v>
      </c>
      <c r="B245" s="528">
        <f>ROUND(B239-B244,2)</f>
        <v>0</v>
      </c>
      <c r="C245" s="528">
        <f>ROUND(C239-C244,2)</f>
        <v>0</v>
      </c>
      <c r="D245" s="528">
        <f>ROUND(D239-D244,2)</f>
        <v>0</v>
      </c>
      <c r="E245" s="528">
        <f>ROUND(E239-E244,2)</f>
        <v>0</v>
      </c>
      <c r="F245" s="507">
        <f t="shared" si="5"/>
        <v>0</v>
      </c>
    </row>
    <row r="246" spans="1:6" ht="13.5" customHeight="1">
      <c r="A246" s="563" t="s">
        <v>261</v>
      </c>
      <c r="B246" s="525"/>
      <c r="C246" s="525"/>
      <c r="D246" s="525"/>
      <c r="E246" s="525"/>
      <c r="F246" s="507">
        <f t="shared" si="5"/>
        <v>0</v>
      </c>
    </row>
    <row r="247" spans="1:6" ht="13.5" customHeight="1">
      <c r="A247" s="558" t="s">
        <v>1034</v>
      </c>
      <c r="B247" s="505"/>
      <c r="C247" s="506">
        <f>-SUMPRODUCT(([3]分录!$D$7:$D$100=$A247)*INT((([3]分录!$C$7:$C$100="借：")-0.5)*2)*([3]分录!$I$7:$I$100=C$7)*([3]分录!$H$7:$H$100))</f>
        <v>0</v>
      </c>
      <c r="D247" s="506">
        <f>-SUMPRODUCT(([3]分录!$D$7:$D$100=$A247)*INT((([3]分录!$C$7:$C$100="借：")-0.5)*2)*([3]分录!$I$7:$I$100=D$7)*([3]分录!$H$7:$H$100))</f>
        <v>0</v>
      </c>
      <c r="E247" s="506">
        <f>-SUMPRODUCT(([3]分录!$D$7:$D$100=$A247)*INT((([3]分录!$C$7:$C$100="借：")-0.5)*2)*([3]分录!$I$7:$I$100=E$7)*([3]分录!$H$7:$H$100))</f>
        <v>0</v>
      </c>
      <c r="F247" s="507">
        <f t="shared" si="5"/>
        <v>0</v>
      </c>
    </row>
    <row r="248" spans="1:6" ht="13.5" customHeight="1">
      <c r="A248" s="566" t="s">
        <v>265</v>
      </c>
      <c r="B248" s="505"/>
      <c r="C248" s="506">
        <f>-SUMPRODUCT(([3]分录!$D$7:$D$100=$A248)*INT((([3]分录!$C$7:$C$100="借：")-0.5)*2)*([3]分录!$I$7:$I$100=C$7)*([3]分录!$H$7:$H$100))</f>
        <v>0</v>
      </c>
      <c r="D248" s="506">
        <f>-SUMPRODUCT(([3]分录!$D$7:$D$100=$A248)*INT((([3]分录!$C$7:$C$100="借：")-0.5)*2)*([3]分录!$I$7:$I$100=D$7)*([3]分录!$H$7:$H$100))</f>
        <v>0</v>
      </c>
      <c r="E248" s="506">
        <f>-SUMPRODUCT(([3]分录!$D$7:$D$100=$A248)*INT((([3]分录!$C$7:$C$100="借：")-0.5)*2)*([3]分录!$I$7:$I$100=E$7)*([3]分录!$H$7:$H$100))</f>
        <v>0</v>
      </c>
      <c r="F248" s="507">
        <f t="shared" si="5"/>
        <v>0</v>
      </c>
    </row>
    <row r="249" spans="1:6" ht="13.5" customHeight="1">
      <c r="A249" s="558" t="s">
        <v>1035</v>
      </c>
      <c r="B249" s="505"/>
      <c r="C249" s="506">
        <f>-SUMPRODUCT(([3]分录!$D$7:$D$100=$A249)*INT((([3]分录!$C$7:$C$100="借：")-0.5)*2)*([3]分录!$I$7:$I$100=C$7)*([3]分录!$H$7:$H$100))</f>
        <v>0</v>
      </c>
      <c r="D249" s="506">
        <f>-SUMPRODUCT(([3]分录!$D$7:$D$100=$A249)*INT((([3]分录!$C$7:$C$100="借：")-0.5)*2)*([3]分录!$I$7:$I$100=D$7)*([3]分录!$H$7:$H$100))</f>
        <v>0</v>
      </c>
      <c r="E249" s="506">
        <f>-SUMPRODUCT(([3]分录!$D$7:$D$100=$A249)*INT((([3]分录!$C$7:$C$100="借：")-0.5)*2)*([3]分录!$I$7:$I$100=E$7)*([3]分录!$H$7:$H$100))</f>
        <v>0</v>
      </c>
      <c r="F249" s="507">
        <f t="shared" si="5"/>
        <v>0</v>
      </c>
    </row>
    <row r="250" spans="1:6" ht="13.5" customHeight="1">
      <c r="A250" s="566" t="s">
        <v>1036</v>
      </c>
      <c r="B250" s="505"/>
      <c r="C250" s="506">
        <f>-SUMPRODUCT(([3]分录!$D$7:$D$100=$A250)*INT((([3]分录!$C$7:$C$100="借：")-0.5)*2)*([3]分录!$I$7:$I$100=C$7)*([3]分录!$H$7:$H$100))</f>
        <v>0</v>
      </c>
      <c r="D250" s="506">
        <f>-SUMPRODUCT(([3]分录!$D$7:$D$100=$A250)*INT((([3]分录!$C$7:$C$100="借：")-0.5)*2)*([3]分录!$I$7:$I$100=D$7)*([3]分录!$H$7:$H$100))</f>
        <v>0</v>
      </c>
      <c r="E250" s="506">
        <f>-SUMPRODUCT(([3]分录!$D$7:$D$100=$A250)*INT((([3]分录!$C$7:$C$100="借：")-0.5)*2)*([3]分录!$I$7:$I$100=E$7)*([3]分录!$H$7:$H$100))</f>
        <v>0</v>
      </c>
      <c r="F250" s="507">
        <f t="shared" si="5"/>
        <v>0</v>
      </c>
    </row>
    <row r="251" spans="1:6" ht="13.5" customHeight="1">
      <c r="A251" s="558" t="s">
        <v>1037</v>
      </c>
      <c r="B251" s="505"/>
      <c r="C251" s="506">
        <f>-SUMPRODUCT(([3]分录!$D$7:$D$100=$A251)*INT((([3]分录!$C$7:$C$100="借：")-0.5)*2)*([3]分录!$I$7:$I$100=C$7)*([3]分录!$H$7:$H$100))</f>
        <v>0</v>
      </c>
      <c r="D251" s="506">
        <f>-SUMPRODUCT(([3]分录!$D$7:$D$100=$A251)*INT((([3]分录!$C$7:$C$100="借：")-0.5)*2)*([3]分录!$I$7:$I$100=D$7)*([3]分录!$H$7:$H$100))</f>
        <v>0</v>
      </c>
      <c r="E251" s="506">
        <f>-SUMPRODUCT(([3]分录!$D$7:$D$100=$A251)*INT((([3]分录!$C$7:$C$100="借：")-0.5)*2)*([3]分录!$I$7:$I$100=E$7)*([3]分录!$H$7:$H$100))</f>
        <v>0</v>
      </c>
      <c r="F251" s="507">
        <f t="shared" si="5"/>
        <v>0</v>
      </c>
    </row>
    <row r="252" spans="1:6" ht="13.5" customHeight="1">
      <c r="A252" s="529" t="s">
        <v>271</v>
      </c>
      <c r="B252" s="559">
        <f>SUM(B247,B249:B251)</f>
        <v>0</v>
      </c>
      <c r="C252" s="560">
        <f>SUM(C247,C249:C251)</f>
        <v>0</v>
      </c>
      <c r="D252" s="560">
        <f>SUM(D247,D249:D251)</f>
        <v>0</v>
      </c>
      <c r="E252" s="560">
        <f>SUM(E247,E249:E251)</f>
        <v>0</v>
      </c>
      <c r="F252" s="507">
        <f t="shared" si="5"/>
        <v>0</v>
      </c>
    </row>
    <row r="253" spans="1:6" ht="13.5" customHeight="1">
      <c r="A253" s="558" t="s">
        <v>1038</v>
      </c>
      <c r="B253" s="505"/>
      <c r="C253" s="506">
        <f>SUMPRODUCT(([3]分录!$D$7:$D$100=$A253)*INT((([3]分录!$C$7:$C$100="借：")-0.5)*2)*([3]分录!$I$7:$I$100=C$7)*([3]分录!$H$7:$H$100))</f>
        <v>0</v>
      </c>
      <c r="D253" s="506">
        <f>SUMPRODUCT(([3]分录!$D$7:$D$100=$A253)*INT((([3]分录!$C$7:$C$100="借：")-0.5)*2)*([3]分录!$I$7:$I$100=D$7)*([3]分录!$H$7:$H$100))</f>
        <v>0</v>
      </c>
      <c r="E253" s="506">
        <f>SUMPRODUCT(([3]分录!$D$7:$D$100=$A253)*INT((([3]分录!$C$7:$C$100="借：")-0.5)*2)*([3]分录!$I$7:$I$100=E$7)*([3]分录!$H$7:$H$100))</f>
        <v>0</v>
      </c>
      <c r="F253" s="507">
        <f t="shared" si="5"/>
        <v>0</v>
      </c>
    </row>
    <row r="254" spans="1:6" ht="13.5" customHeight="1">
      <c r="A254" s="558" t="s">
        <v>1039</v>
      </c>
      <c r="B254" s="505"/>
      <c r="C254" s="506">
        <f>SUMPRODUCT(([3]分录!$D$7:$D$100=$A254)*INT((([3]分录!$C$7:$C$100="借：")-0.5)*2)*([3]分录!$I$7:$I$100=C$7)*([3]分录!$H$7:$H$100))</f>
        <v>0</v>
      </c>
      <c r="D254" s="506">
        <f>SUMPRODUCT(([3]分录!$D$7:$D$100=$A254)*INT((([3]分录!$C$7:$C$100="借：")-0.5)*2)*([3]分录!$I$7:$I$100=D$7)*([3]分录!$H$7:$H$100))</f>
        <v>0</v>
      </c>
      <c r="E254" s="506">
        <f>SUMPRODUCT(([3]分录!$D$7:$D$100=$A254)*INT((([3]分录!$C$7:$C$100="借：")-0.5)*2)*([3]分录!$I$7:$I$100=E$7)*([3]分录!$H$7:$H$100))</f>
        <v>0</v>
      </c>
      <c r="F254" s="507">
        <f t="shared" si="5"/>
        <v>0</v>
      </c>
    </row>
    <row r="255" spans="1:6" ht="13.5" customHeight="1">
      <c r="A255" s="567" t="s">
        <v>275</v>
      </c>
      <c r="B255" s="505"/>
      <c r="C255" s="506">
        <f>SUMPRODUCT(([3]分录!$D$7:$D$100=$A255)*INT((([3]分录!$C$7:$C$100="借：")-0.5)*2)*([3]分录!$I$7:$I$100=C$7)*([3]分录!$H$7:$H$100))</f>
        <v>0</v>
      </c>
      <c r="D255" s="506">
        <f>SUMPRODUCT(([3]分录!$D$7:$D$100=$A255)*INT((([3]分录!$C$7:$C$100="借：")-0.5)*2)*([3]分录!$I$7:$I$100=D$7)*([3]分录!$H$7:$H$100))</f>
        <v>0</v>
      </c>
      <c r="E255" s="506">
        <f>SUMPRODUCT(([3]分录!$D$7:$D$100=$A255)*INT((([3]分录!$C$7:$C$100="借：")-0.5)*2)*([3]分录!$I$7:$I$100=E$7)*([3]分录!$H$7:$H$100))</f>
        <v>0</v>
      </c>
      <c r="F255" s="507">
        <f t="shared" si="5"/>
        <v>0</v>
      </c>
    </row>
    <row r="256" spans="1:6" ht="13.5" customHeight="1">
      <c r="A256" s="558" t="s">
        <v>1040</v>
      </c>
      <c r="B256" s="505"/>
      <c r="C256" s="506">
        <f>SUMPRODUCT(([3]分录!$D$7:$D$100=$A256)*INT((([3]分录!$C$7:$C$100="借：")-0.5)*2)*([3]分录!$I$7:$I$100=C$7)*([3]分录!$H$7:$H$100))</f>
        <v>0</v>
      </c>
      <c r="D256" s="506">
        <f>SUMPRODUCT(([3]分录!$D$7:$D$100=$A256)*INT((([3]分录!$C$7:$C$100="借：")-0.5)*2)*([3]分录!$I$7:$I$100=D$7)*([3]分录!$H$7:$H$100))</f>
        <v>0</v>
      </c>
      <c r="E256" s="506">
        <f>SUMPRODUCT(([3]分录!$D$7:$D$100=$A256)*INT((([3]分录!$C$7:$C$100="借：")-0.5)*2)*([3]分录!$I$7:$I$100=E$7)*([3]分录!$H$7:$H$100))</f>
        <v>0</v>
      </c>
      <c r="F256" s="507">
        <f t="shared" si="5"/>
        <v>0</v>
      </c>
    </row>
    <row r="257" spans="1:6" ht="13.5" customHeight="1">
      <c r="A257" s="567" t="s">
        <v>276</v>
      </c>
      <c r="B257" s="505"/>
      <c r="C257" s="506">
        <f>SUMPRODUCT(([3]分录!$D$7:$D$100=$A257)*INT((([3]分录!$C$7:$C$100="借：")-0.5)*2)*([3]分录!$I$7:$I$100=C$7)*([3]分录!$H$7:$H$100))</f>
        <v>0</v>
      </c>
      <c r="D257" s="506">
        <f>SUMPRODUCT(([3]分录!$D$7:$D$100=$A257)*INT((([3]分录!$C$7:$C$100="借：")-0.5)*2)*([3]分录!$I$7:$I$100=D$7)*([3]分录!$H$7:$H$100))</f>
        <v>0</v>
      </c>
      <c r="E257" s="506">
        <f>SUMPRODUCT(([3]分录!$D$7:$D$100=$A257)*INT((([3]分录!$C$7:$C$100="借：")-0.5)*2)*([3]分录!$I$7:$I$100=E$7)*([3]分录!$H$7:$H$100))</f>
        <v>0</v>
      </c>
      <c r="F257" s="507">
        <f t="shared" si="5"/>
        <v>0</v>
      </c>
    </row>
    <row r="258" spans="1:6" ht="13.5" customHeight="1">
      <c r="A258" s="529" t="s">
        <v>277</v>
      </c>
      <c r="B258" s="559">
        <f>SUM(B253:B254,B256)</f>
        <v>0</v>
      </c>
      <c r="C258" s="560">
        <f>SUM(C253:C254,C256)</f>
        <v>0</v>
      </c>
      <c r="D258" s="560">
        <f>SUM(D253:D254,D256)</f>
        <v>0</v>
      </c>
      <c r="E258" s="560">
        <f>SUM(E253:E254,E256)</f>
        <v>0</v>
      </c>
      <c r="F258" s="507">
        <f t="shared" si="5"/>
        <v>0</v>
      </c>
    </row>
    <row r="259" spans="1:6" ht="13.5" customHeight="1">
      <c r="A259" s="565" t="s">
        <v>278</v>
      </c>
      <c r="B259" s="528">
        <f>ROUND(B252-B258,2)</f>
        <v>0</v>
      </c>
      <c r="C259" s="528">
        <f>ROUND(C252-C258,2)</f>
        <v>0</v>
      </c>
      <c r="D259" s="528">
        <f>ROUND(D252-D258,2)</f>
        <v>0</v>
      </c>
      <c r="E259" s="528">
        <f>ROUND(E252-E258,2)</f>
        <v>0</v>
      </c>
      <c r="F259" s="507">
        <f t="shared" si="5"/>
        <v>0</v>
      </c>
    </row>
    <row r="260" spans="1:6" ht="13.5" customHeight="1">
      <c r="A260" s="563" t="s">
        <v>279</v>
      </c>
      <c r="B260" s="505"/>
      <c r="C260" s="506">
        <f>-SUMPRODUCT(([3]分录!$D$7:$D$100=$A260)*INT((([3]分录!$C$7:$C$100="借：")-0.5)*2)*([3]分录!$I$7:$I$100=C$7)*([3]分录!$H$7:$H$100))</f>
        <v>0</v>
      </c>
      <c r="D260" s="506">
        <f>-SUMPRODUCT(([3]分录!$D$7:$D$100=$A260)*INT((([3]分录!$C$7:$C$100="借：")-0.5)*2)*([3]分录!$I$7:$I$100=D$7)*([3]分录!$H$7:$H$100))</f>
        <v>0</v>
      </c>
      <c r="E260" s="506">
        <f>-SUMPRODUCT(([3]分录!$D$7:$D$100=$A260)*INT((([3]分录!$C$7:$C$100="借：")-0.5)*2)*([3]分录!$I$7:$I$100=E$7)*([3]分录!$H$7:$H$100))</f>
        <v>0</v>
      </c>
      <c r="F260" s="507">
        <f t="shared" si="5"/>
        <v>0</v>
      </c>
    </row>
    <row r="261" spans="1:6" ht="13.5" customHeight="1">
      <c r="A261" s="529" t="s">
        <v>1041</v>
      </c>
      <c r="B261" s="559">
        <f>ROUND(SUM(B259:B260,B245,B232),2)</f>
        <v>0</v>
      </c>
      <c r="C261" s="559">
        <f>ROUND(SUM(C259:C260,C245,C232),2)</f>
        <v>0</v>
      </c>
      <c r="D261" s="559">
        <f>ROUND(SUM(D259:D260,D245,D232),2)</f>
        <v>0</v>
      </c>
      <c r="E261" s="559">
        <f>ROUND(SUM(E259:E260,E245,E232),2)</f>
        <v>0</v>
      </c>
      <c r="F261" s="507">
        <f t="shared" si="5"/>
        <v>0</v>
      </c>
    </row>
    <row r="262" spans="1:6" ht="13.5" customHeight="1">
      <c r="A262" s="558" t="s">
        <v>1042</v>
      </c>
      <c r="B262" s="543"/>
      <c r="C262" s="506">
        <f>-SUMPRODUCT(([3]分录!$D$7:$D$100=$A262)*INT((([3]分录!$C$7:$C$100="借：")-0.5)*2)*([3]分录!$I$7:$I$100=C$7)*([3]分录!$H$7:$H$100))</f>
        <v>0</v>
      </c>
      <c r="D262" s="506">
        <f>-SUMPRODUCT(([3]分录!$D$7:$D$100=$A262)*INT((([3]分录!$C$7:$C$100="借：")-0.5)*2)*([3]分录!$I$7:$I$100=D$7)*([3]分录!$H$7:$H$100))</f>
        <v>0</v>
      </c>
      <c r="E262" s="506">
        <f>-SUMPRODUCT(([3]分录!$D$7:$D$100=$A262)*INT((([3]分录!$C$7:$C$100="借：")-0.5)*2)*([3]分录!$I$7:$I$100=E$7)*([3]分录!$H$7:$H$100))</f>
        <v>0</v>
      </c>
      <c r="F262" s="507">
        <f t="shared" si="5"/>
        <v>0</v>
      </c>
    </row>
    <row r="263" spans="1:6" ht="13.5" customHeight="1" thickBot="1">
      <c r="A263" s="529" t="s">
        <v>1043</v>
      </c>
      <c r="B263" s="568">
        <f>ROUND(SUM(B261:B262),2)</f>
        <v>0</v>
      </c>
      <c r="C263" s="568">
        <f>ROUND(SUM(C261:C262),2)</f>
        <v>0</v>
      </c>
      <c r="D263" s="568">
        <f>ROUND(SUM(D261:D262),2)</f>
        <v>0</v>
      </c>
      <c r="E263" s="568">
        <f>ROUND(SUM(E261:E262),2)</f>
        <v>0</v>
      </c>
      <c r="F263" s="569">
        <f t="shared" si="5"/>
        <v>0</v>
      </c>
    </row>
    <row r="264" spans="1:6" ht="13.5" customHeight="1">
      <c r="A264" s="570" t="s">
        <v>1044</v>
      </c>
      <c r="B264" s="571"/>
      <c r="C264" s="572"/>
      <c r="D264" s="572"/>
      <c r="E264" s="572"/>
      <c r="F264" s="573">
        <f t="shared" ref="F264:F292" si="6">ROUND(SUM(B264:E264),2)</f>
        <v>0</v>
      </c>
    </row>
    <row r="265" spans="1:6" ht="13.5" customHeight="1">
      <c r="A265" s="574" t="s">
        <v>1045</v>
      </c>
      <c r="B265" s="528">
        <f>B191</f>
        <v>0</v>
      </c>
      <c r="C265" s="528">
        <f>C191</f>
        <v>2900216.67</v>
      </c>
      <c r="D265" s="528">
        <f>D191</f>
        <v>0</v>
      </c>
      <c r="E265" s="528">
        <f>E191</f>
        <v>0</v>
      </c>
      <c r="F265" s="575">
        <f t="shared" si="6"/>
        <v>2900216.67</v>
      </c>
    </row>
    <row r="266" spans="1:6" ht="13.5" customHeight="1">
      <c r="A266" s="574" t="s">
        <v>1046</v>
      </c>
      <c r="B266" s="528"/>
      <c r="C266" s="528">
        <f>-C184</f>
        <v>-1804835.1700000004</v>
      </c>
      <c r="D266" s="528">
        <f>-D184</f>
        <v>0</v>
      </c>
      <c r="E266" s="528">
        <f>-E184</f>
        <v>0</v>
      </c>
      <c r="F266" s="575">
        <f t="shared" si="6"/>
        <v>-1804835.17</v>
      </c>
    </row>
    <row r="267" spans="1:6" ht="13.5" customHeight="1">
      <c r="A267" s="539" t="s">
        <v>1047</v>
      </c>
      <c r="B267" s="528"/>
      <c r="C267" s="528">
        <f>C183</f>
        <v>0</v>
      </c>
      <c r="D267" s="528">
        <f>D183</f>
        <v>0</v>
      </c>
      <c r="E267" s="528">
        <f>E183</f>
        <v>0</v>
      </c>
      <c r="F267" s="575">
        <f t="shared" si="6"/>
        <v>0</v>
      </c>
    </row>
    <row r="268" spans="1:6" ht="13.5" customHeight="1">
      <c r="A268" s="576" t="s">
        <v>1048</v>
      </c>
      <c r="B268" s="528"/>
      <c r="C268" s="528"/>
      <c r="D268" s="528"/>
      <c r="E268" s="528"/>
      <c r="F268" s="575">
        <f t="shared" si="6"/>
        <v>0</v>
      </c>
    </row>
    <row r="269" spans="1:6" ht="13.5" customHeight="1">
      <c r="A269" s="576" t="s">
        <v>341</v>
      </c>
      <c r="B269" s="528"/>
      <c r="C269" s="528"/>
      <c r="D269" s="528"/>
      <c r="E269" s="528"/>
      <c r="F269" s="575">
        <f t="shared" si="6"/>
        <v>0</v>
      </c>
    </row>
    <row r="270" spans="1:6" ht="13.5" customHeight="1">
      <c r="A270" s="576" t="s">
        <v>343</v>
      </c>
      <c r="B270" s="528"/>
      <c r="C270" s="528"/>
      <c r="D270" s="528"/>
      <c r="E270" s="528"/>
      <c r="F270" s="575">
        <f t="shared" si="6"/>
        <v>0</v>
      </c>
    </row>
    <row r="271" spans="1:6" ht="13.5" customHeight="1">
      <c r="A271" s="574" t="s">
        <v>1049</v>
      </c>
      <c r="B271" s="528"/>
      <c r="C271" s="528"/>
      <c r="D271" s="528"/>
      <c r="E271" s="528"/>
      <c r="F271" s="575">
        <f t="shared" si="6"/>
        <v>0</v>
      </c>
    </row>
    <row r="272" spans="1:6" ht="13.5" customHeight="1">
      <c r="A272" s="574" t="s">
        <v>1050</v>
      </c>
      <c r="B272" s="528"/>
      <c r="C272" s="528"/>
      <c r="D272" s="528"/>
      <c r="E272" s="528"/>
      <c r="F272" s="575">
        <f t="shared" si="6"/>
        <v>0</v>
      </c>
    </row>
    <row r="273" spans="1:6" ht="13.5" customHeight="1">
      <c r="A273" s="574" t="s">
        <v>354</v>
      </c>
      <c r="B273" s="528"/>
      <c r="C273" s="528">
        <f>-C182</f>
        <v>0</v>
      </c>
      <c r="D273" s="528">
        <f>-D182</f>
        <v>0</v>
      </c>
      <c r="E273" s="528">
        <f>-E182</f>
        <v>0</v>
      </c>
      <c r="F273" s="575">
        <f t="shared" si="6"/>
        <v>0</v>
      </c>
    </row>
    <row r="274" spans="1:6" ht="13.5" customHeight="1">
      <c r="A274" s="574" t="s">
        <v>1051</v>
      </c>
      <c r="B274" s="528"/>
      <c r="C274" s="528"/>
      <c r="D274" s="528"/>
      <c r="E274" s="528"/>
      <c r="F274" s="575">
        <f t="shared" si="6"/>
        <v>0</v>
      </c>
    </row>
    <row r="275" spans="1:6" ht="13.5" customHeight="1">
      <c r="A275" s="574" t="s">
        <v>1052</v>
      </c>
      <c r="B275" s="528"/>
      <c r="C275" s="528">
        <f>-C180</f>
        <v>0</v>
      </c>
      <c r="D275" s="528">
        <f>-D180</f>
        <v>0</v>
      </c>
      <c r="E275" s="528">
        <f>-E180</f>
        <v>0</v>
      </c>
      <c r="F275" s="575">
        <f t="shared" si="6"/>
        <v>0</v>
      </c>
    </row>
    <row r="276" spans="1:6" ht="13.5" customHeight="1">
      <c r="A276" s="574" t="s">
        <v>1053</v>
      </c>
      <c r="B276" s="505"/>
      <c r="C276" s="528"/>
      <c r="D276" s="528"/>
      <c r="E276" s="528"/>
      <c r="F276" s="575">
        <f t="shared" si="6"/>
        <v>0</v>
      </c>
    </row>
    <row r="277" spans="1:6" ht="13.5" customHeight="1">
      <c r="A277" s="574" t="s">
        <v>365</v>
      </c>
      <c r="B277" s="505"/>
      <c r="C277" s="528"/>
      <c r="D277" s="528"/>
      <c r="E277" s="528"/>
      <c r="F277" s="575">
        <f t="shared" si="6"/>
        <v>0</v>
      </c>
    </row>
    <row r="278" spans="1:6" ht="13.5" customHeight="1">
      <c r="A278" s="574" t="s">
        <v>1054</v>
      </c>
      <c r="B278" s="505"/>
      <c r="C278" s="528"/>
      <c r="D278" s="528"/>
      <c r="E278" s="528"/>
      <c r="F278" s="575">
        <f t="shared" si="6"/>
        <v>0</v>
      </c>
    </row>
    <row r="279" spans="1:6" ht="13.5" customHeight="1">
      <c r="A279" s="574" t="s">
        <v>371</v>
      </c>
      <c r="B279" s="505"/>
      <c r="C279" s="528"/>
      <c r="D279" s="528"/>
      <c r="E279" s="528"/>
      <c r="F279" s="575">
        <f t="shared" si="6"/>
        <v>0</v>
      </c>
    </row>
    <row r="280" spans="1:6" ht="13.5" customHeight="1">
      <c r="A280" s="574" t="s">
        <v>380</v>
      </c>
      <c r="B280" s="528"/>
      <c r="C280" s="528">
        <f>C232-SUM(C265:C279)</f>
        <v>-1095381.4999999995</v>
      </c>
      <c r="D280" s="528">
        <f>D232-SUM(D265:D279)</f>
        <v>0</v>
      </c>
      <c r="E280" s="528">
        <f>E232-SUM(E265:E279)</f>
        <v>0</v>
      </c>
      <c r="F280" s="575">
        <f t="shared" si="6"/>
        <v>-1095381.5</v>
      </c>
    </row>
    <row r="281" spans="1:6" ht="13.5" customHeight="1">
      <c r="A281" s="574" t="s">
        <v>394</v>
      </c>
      <c r="B281" s="528"/>
      <c r="C281" s="528"/>
      <c r="D281" s="528"/>
      <c r="E281" s="528"/>
      <c r="F281" s="575">
        <f t="shared" si="6"/>
        <v>0</v>
      </c>
    </row>
    <row r="282" spans="1:6" ht="13.5" customHeight="1">
      <c r="A282" s="529" t="s">
        <v>1055</v>
      </c>
      <c r="B282" s="528">
        <f>SUM(B265:B281)</f>
        <v>0</v>
      </c>
      <c r="C282" s="528">
        <f>SUM(C265:C281)</f>
        <v>0</v>
      </c>
      <c r="D282" s="528">
        <f>SUM(D265:D281)</f>
        <v>0</v>
      </c>
      <c r="E282" s="528">
        <f>SUM(E265:E281)</f>
        <v>0</v>
      </c>
      <c r="F282" s="575">
        <f t="shared" si="6"/>
        <v>0</v>
      </c>
    </row>
    <row r="283" spans="1:6" ht="13.5" customHeight="1">
      <c r="A283" s="574" t="s">
        <v>1056</v>
      </c>
      <c r="B283" s="528"/>
      <c r="C283" s="528"/>
      <c r="D283" s="528"/>
      <c r="E283" s="528"/>
      <c r="F283" s="575">
        <f t="shared" si="6"/>
        <v>0</v>
      </c>
    </row>
    <row r="284" spans="1:6" ht="13.5" customHeight="1">
      <c r="A284" s="574" t="s">
        <v>396</v>
      </c>
      <c r="B284" s="528"/>
      <c r="C284" s="528"/>
      <c r="D284" s="528"/>
      <c r="E284" s="528"/>
      <c r="F284" s="575">
        <f t="shared" si="6"/>
        <v>0</v>
      </c>
    </row>
    <row r="285" spans="1:6" ht="13.5" customHeight="1">
      <c r="A285" s="574" t="s">
        <v>397</v>
      </c>
      <c r="B285" s="528"/>
      <c r="C285" s="528"/>
      <c r="D285" s="528"/>
      <c r="E285" s="528"/>
      <c r="F285" s="575">
        <f t="shared" si="6"/>
        <v>0</v>
      </c>
    </row>
    <row r="286" spans="1:6" ht="13.5" customHeight="1">
      <c r="A286" s="574" t="s">
        <v>1057</v>
      </c>
      <c r="B286" s="528"/>
      <c r="C286" s="528"/>
      <c r="D286" s="528"/>
      <c r="E286" s="528"/>
      <c r="F286" s="575">
        <f t="shared" si="6"/>
        <v>0</v>
      </c>
    </row>
    <row r="287" spans="1:6" ht="13.5" customHeight="1">
      <c r="A287" s="574" t="s">
        <v>1058</v>
      </c>
      <c r="B287" s="528"/>
      <c r="C287" s="528"/>
      <c r="D287" s="528"/>
      <c r="E287" s="528"/>
      <c r="F287" s="575">
        <f t="shared" si="6"/>
        <v>0</v>
      </c>
    </row>
    <row r="288" spans="1:6" ht="13.5" customHeight="1">
      <c r="A288" s="529" t="s">
        <v>1059</v>
      </c>
      <c r="B288" s="528"/>
      <c r="C288" s="528">
        <f>C263</f>
        <v>0</v>
      </c>
      <c r="D288" s="528">
        <f>D263</f>
        <v>0</v>
      </c>
      <c r="E288" s="528">
        <f>E263</f>
        <v>0</v>
      </c>
      <c r="F288" s="575">
        <f t="shared" si="6"/>
        <v>0</v>
      </c>
    </row>
    <row r="289" spans="1:6" ht="13.5" customHeight="1">
      <c r="A289" s="574" t="s">
        <v>401</v>
      </c>
      <c r="B289" s="528"/>
      <c r="C289" s="528">
        <f>C262</f>
        <v>0</v>
      </c>
      <c r="D289" s="528">
        <f>D262</f>
        <v>0</v>
      </c>
      <c r="E289" s="528">
        <f>E262</f>
        <v>0</v>
      </c>
      <c r="F289" s="575">
        <f t="shared" si="6"/>
        <v>0</v>
      </c>
    </row>
    <row r="290" spans="1:6" ht="13.5" customHeight="1">
      <c r="A290" s="574" t="s">
        <v>402</v>
      </c>
      <c r="B290" s="528"/>
      <c r="C290" s="528"/>
      <c r="D290" s="528"/>
      <c r="E290" s="528"/>
      <c r="F290" s="575">
        <f t="shared" si="6"/>
        <v>0</v>
      </c>
    </row>
    <row r="291" spans="1:6" ht="13.5" customHeight="1">
      <c r="A291" s="574" t="s">
        <v>1060</v>
      </c>
      <c r="B291" s="528"/>
      <c r="C291" s="528"/>
      <c r="D291" s="528"/>
      <c r="E291" s="528"/>
      <c r="F291" s="575">
        <f t="shared" si="6"/>
        <v>0</v>
      </c>
    </row>
    <row r="292" spans="1:6" ht="13.5" customHeight="1" thickBot="1">
      <c r="A292" s="529" t="s">
        <v>1041</v>
      </c>
      <c r="B292" s="577">
        <f>B288-B289+B290-B291</f>
        <v>0</v>
      </c>
      <c r="C292" s="577">
        <f>C288-C289+C290-C291</f>
        <v>0</v>
      </c>
      <c r="D292" s="577">
        <f>D288-D289+D290-D291</f>
        <v>0</v>
      </c>
      <c r="E292" s="577">
        <f>E288-E289+E290-E291</f>
        <v>0</v>
      </c>
      <c r="F292" s="578">
        <f t="shared" si="6"/>
        <v>0</v>
      </c>
    </row>
  </sheetData>
  <sheetProtection formatCells="0" formatColumns="0" formatRows="0" insertColumns="0"/>
  <mergeCells count="2">
    <mergeCell ref="A1:F1"/>
    <mergeCell ref="A2:F2"/>
  </mergeCells>
  <phoneticPr fontId="4" type="noConversion"/>
  <conditionalFormatting sqref="E3:E4">
    <cfRule type="cellIs" dxfId="70" priority="3" operator="equal">
      <formula>"其他"</formula>
    </cfRule>
    <cfRule type="cellIs" dxfId="69" priority="4" operator="equal">
      <formula>"其他$K$61"</formula>
    </cfRule>
  </conditionalFormatting>
  <conditionalFormatting sqref="C1:C2">
    <cfRule type="cellIs" dxfId="68" priority="1" stopIfTrue="1" operator="equal">
      <formula>"借："</formula>
    </cfRule>
    <cfRule type="cellIs" dxfId="67" priority="2" stopIfTrue="1" operator="equal">
      <formula>"贷："</formula>
    </cfRule>
  </conditionalFormatting>
  <hyperlinks>
    <hyperlink ref="A1:F1" location="表页目录!A17" display="致同会计师事务所"/>
  </hyperlinks>
  <printOptions horizontalCentered="1"/>
  <pageMargins left="0.51181102362204722" right="0.27559055118110237" top="0.51181102362204722" bottom="0.51181102362204722" header="0.27559055118110237" footer="0.27559055118110237"/>
  <pageSetup paperSize="9" scale="95" orientation="portrait" horizontalDpi="360" verticalDpi="360" r:id="rId1"/>
  <headerFooter alignWithMargins="0">
    <oddFooter xml:space="preserve">&amp;C&amp;P/&amp;N&amp;R致同会计师事务所&amp;"Times New Roman,常规"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113"/>
  <sheetViews>
    <sheetView workbookViewId="0">
      <selection activeCell="D14" sqref="D14"/>
    </sheetView>
  </sheetViews>
  <sheetFormatPr defaultRowHeight="16.2"/>
  <cols>
    <col min="1" max="1" width="40.5" customWidth="1"/>
    <col min="3" max="3" width="12.19921875" style="584" bestFit="1" customWidth="1"/>
  </cols>
  <sheetData>
    <row r="2" spans="1:15">
      <c r="A2" s="478" t="s">
        <v>771</v>
      </c>
      <c r="B2" s="335" t="s">
        <v>510</v>
      </c>
    </row>
    <row r="3" spans="1:15">
      <c r="A3" s="339" t="s">
        <v>512</v>
      </c>
      <c r="B3" s="340">
        <v>1</v>
      </c>
      <c r="C3" s="584" t="e">
        <f>VLOOKUP(A3,试算!$A$9:$B$121,2,FALSE)</f>
        <v>#N/A</v>
      </c>
      <c r="O3" s="479" t="s">
        <v>782</v>
      </c>
    </row>
    <row r="4" spans="1:15">
      <c r="A4" s="341" t="s">
        <v>516</v>
      </c>
      <c r="B4" s="340">
        <f>B3+1</f>
        <v>2</v>
      </c>
      <c r="C4" s="584">
        <f>VLOOKUP(A4,试算!$A$9:$B$121,2,FALSE)</f>
        <v>128841559.86</v>
      </c>
    </row>
    <row r="5" spans="1:15">
      <c r="A5" s="474" t="s">
        <v>717</v>
      </c>
      <c r="B5" s="340">
        <f t="shared" ref="B5:B68" si="0">B4+1</f>
        <v>3</v>
      </c>
      <c r="C5" s="584" t="e">
        <f>VLOOKUP(A5,试算!$A$9:$B$121,2,FALSE)</f>
        <v>#N/A</v>
      </c>
      <c r="F5" t="s">
        <v>772</v>
      </c>
    </row>
    <row r="6" spans="1:15">
      <c r="A6" s="474" t="s">
        <v>718</v>
      </c>
      <c r="B6" s="340">
        <f t="shared" si="0"/>
        <v>4</v>
      </c>
      <c r="C6" s="584" t="e">
        <f>VLOOKUP(A6,试算!$A$9:$B$121,2,FALSE)</f>
        <v>#N/A</v>
      </c>
      <c r="F6" t="s">
        <v>773</v>
      </c>
    </row>
    <row r="7" spans="1:15">
      <c r="A7" s="341" t="s">
        <v>519</v>
      </c>
      <c r="B7" s="340">
        <f t="shared" si="0"/>
        <v>5</v>
      </c>
      <c r="C7" s="584">
        <f>VLOOKUP(A7,试算!$A$9:$B$121,2,FALSE)</f>
        <v>10338994785.889999</v>
      </c>
      <c r="F7" t="s">
        <v>774</v>
      </c>
    </row>
    <row r="8" spans="1:15">
      <c r="A8" s="341" t="s">
        <v>770</v>
      </c>
      <c r="B8" s="340">
        <f t="shared" si="0"/>
        <v>6</v>
      </c>
      <c r="C8" s="584">
        <f>VLOOKUP(A8,试算!$A$9:$B$121,2,FALSE)</f>
        <v>0</v>
      </c>
      <c r="F8" s="479" t="s">
        <v>798</v>
      </c>
    </row>
    <row r="9" spans="1:15">
      <c r="A9" s="435" t="s">
        <v>522</v>
      </c>
      <c r="B9" s="340">
        <f t="shared" si="0"/>
        <v>7</v>
      </c>
      <c r="C9" s="584">
        <f>VLOOKUP(A9,试算!$A$9:$B$121,2,FALSE)</f>
        <v>0</v>
      </c>
    </row>
    <row r="10" spans="1:15">
      <c r="A10" s="435" t="s">
        <v>825</v>
      </c>
      <c r="B10" s="340">
        <f t="shared" si="0"/>
        <v>8</v>
      </c>
      <c r="C10" s="584">
        <f>VLOOKUP(A10,试算!$A$9:$B$121,2,FALSE)</f>
        <v>0</v>
      </c>
    </row>
    <row r="11" spans="1:15">
      <c r="A11" s="435" t="s">
        <v>826</v>
      </c>
      <c r="B11" s="340">
        <f t="shared" si="0"/>
        <v>9</v>
      </c>
      <c r="C11" s="584">
        <f>VLOOKUP(A11,试算!$A$9:$B$121,2,FALSE)</f>
        <v>0</v>
      </c>
    </row>
    <row r="12" spans="1:15">
      <c r="A12" s="477" t="s">
        <v>783</v>
      </c>
      <c r="B12" s="340">
        <f t="shared" si="0"/>
        <v>10</v>
      </c>
      <c r="C12" s="584">
        <f>VLOOKUP(A12,试算!$A$9:$B$121,2,FALSE)</f>
        <v>0</v>
      </c>
      <c r="H12" t="s">
        <v>775</v>
      </c>
    </row>
    <row r="13" spans="1:15">
      <c r="A13" s="477" t="s">
        <v>784</v>
      </c>
      <c r="B13" s="340">
        <f t="shared" si="0"/>
        <v>11</v>
      </c>
      <c r="C13" s="584">
        <f>VLOOKUP(A13,试算!$A$9:$B$121,2,FALSE)</f>
        <v>0</v>
      </c>
      <c r="H13" t="s">
        <v>776</v>
      </c>
    </row>
    <row r="14" spans="1:15">
      <c r="A14" s="477" t="s">
        <v>785</v>
      </c>
      <c r="B14" s="340">
        <f t="shared" si="0"/>
        <v>12</v>
      </c>
      <c r="C14" s="584">
        <f>VLOOKUP(A14,试算!$A$9:$B$121,2,FALSE)</f>
        <v>0</v>
      </c>
    </row>
    <row r="15" spans="1:15">
      <c r="A15" s="435" t="s">
        <v>527</v>
      </c>
      <c r="B15" s="340">
        <f t="shared" si="0"/>
        <v>13</v>
      </c>
      <c r="C15" s="584">
        <f>VLOOKUP(A15,试算!$A$9:$B$121,2,FALSE)</f>
        <v>0</v>
      </c>
    </row>
    <row r="16" spans="1:15" ht="18.600000000000001" customHeight="1">
      <c r="A16" s="435" t="s">
        <v>1061</v>
      </c>
      <c r="B16" s="340">
        <f t="shared" si="0"/>
        <v>14</v>
      </c>
      <c r="C16" s="584">
        <f>VLOOKUP(A16,试算!$A$9:$B$121,2,FALSE)</f>
        <v>0</v>
      </c>
      <c r="H16" t="s">
        <v>777</v>
      </c>
    </row>
    <row r="17" spans="1:8">
      <c r="A17" s="435" t="s">
        <v>830</v>
      </c>
      <c r="B17" s="340">
        <f t="shared" si="0"/>
        <v>15</v>
      </c>
      <c r="C17" s="584">
        <f>VLOOKUP(A17,试算!$A$9:$B$121,2,FALSE)</f>
        <v>0</v>
      </c>
      <c r="H17" s="479" t="s">
        <v>800</v>
      </c>
    </row>
    <row r="18" spans="1:8">
      <c r="A18" s="435" t="s">
        <v>648</v>
      </c>
      <c r="B18" s="340">
        <f t="shared" si="0"/>
        <v>16</v>
      </c>
      <c r="C18" s="584">
        <f>VLOOKUP(A18,试算!$A$9:$B$121,2,FALSE)</f>
        <v>0</v>
      </c>
      <c r="H18" t="s">
        <v>778</v>
      </c>
    </row>
    <row r="19" spans="1:8">
      <c r="A19" s="435" t="s">
        <v>649</v>
      </c>
      <c r="B19" s="340">
        <f t="shared" si="0"/>
        <v>17</v>
      </c>
      <c r="C19" s="584">
        <f>VLOOKUP(A19,试算!$A$9:$B$121,2,FALSE)</f>
        <v>0</v>
      </c>
      <c r="H19" s="479" t="s">
        <v>801</v>
      </c>
    </row>
    <row r="20" spans="1:8">
      <c r="A20" s="477" t="s">
        <v>786</v>
      </c>
      <c r="B20" s="340">
        <f t="shared" si="0"/>
        <v>18</v>
      </c>
      <c r="C20" s="584">
        <f>VLOOKUP(A20,试算!$A$9:$B$121,2,FALSE)</f>
        <v>0</v>
      </c>
    </row>
    <row r="21" spans="1:8">
      <c r="A21" s="474" t="s">
        <v>719</v>
      </c>
      <c r="B21" s="340">
        <f t="shared" si="0"/>
        <v>19</v>
      </c>
      <c r="C21" s="584" t="e">
        <f>VLOOKUP(A21,试算!$A$9:$B$121,2,FALSE)</f>
        <v>#N/A</v>
      </c>
      <c r="H21" t="s">
        <v>779</v>
      </c>
    </row>
    <row r="22" spans="1:8">
      <c r="A22" s="474" t="s">
        <v>720</v>
      </c>
      <c r="B22" s="340">
        <f t="shared" si="0"/>
        <v>20</v>
      </c>
      <c r="C22" s="584" t="e">
        <f>VLOOKUP(A22,试算!$A$9:$B$121,2,FALSE)</f>
        <v>#N/A</v>
      </c>
      <c r="H22" s="479" t="s">
        <v>802</v>
      </c>
    </row>
    <row r="23" spans="1:8">
      <c r="A23" s="474" t="s">
        <v>721</v>
      </c>
      <c r="B23" s="340">
        <f t="shared" si="0"/>
        <v>21</v>
      </c>
      <c r="C23" s="584" t="e">
        <f>VLOOKUP(A23,试算!$A$9:$B$121,2,FALSE)</f>
        <v>#N/A</v>
      </c>
    </row>
    <row r="24" spans="1:8">
      <c r="A24" s="435" t="s">
        <v>1062</v>
      </c>
      <c r="B24" s="340">
        <f t="shared" si="0"/>
        <v>22</v>
      </c>
      <c r="C24" s="584">
        <f>VLOOKUP(A24,试算!$A$9:$B$121,2,FALSE)</f>
        <v>0</v>
      </c>
    </row>
    <row r="25" spans="1:8">
      <c r="A25" s="435" t="s">
        <v>1063</v>
      </c>
      <c r="B25" s="340">
        <f t="shared" si="0"/>
        <v>23</v>
      </c>
      <c r="C25" s="584">
        <f>VLOOKUP(A25,试算!$A$9:$B$121,2,FALSE)</f>
        <v>0</v>
      </c>
      <c r="H25" t="s">
        <v>780</v>
      </c>
    </row>
    <row r="26" spans="1:8">
      <c r="A26" s="435" t="s">
        <v>675</v>
      </c>
      <c r="B26" s="340">
        <f t="shared" si="0"/>
        <v>24</v>
      </c>
      <c r="C26" s="584">
        <f>VLOOKUP(A26,试算!$A$9:$B$121,2,FALSE)</f>
        <v>0</v>
      </c>
      <c r="H26" s="479" t="s">
        <v>803</v>
      </c>
    </row>
    <row r="27" spans="1:8">
      <c r="A27" s="435" t="s">
        <v>1064</v>
      </c>
      <c r="B27" s="340">
        <f t="shared" si="0"/>
        <v>25</v>
      </c>
      <c r="C27" s="584">
        <f>VLOOKUP(A27,试算!$A$9:$B$121,2,FALSE)</f>
        <v>0</v>
      </c>
      <c r="H27" t="s">
        <v>781</v>
      </c>
    </row>
    <row r="28" spans="1:8">
      <c r="A28" s="435" t="s">
        <v>1065</v>
      </c>
      <c r="B28" s="340">
        <f t="shared" si="0"/>
        <v>26</v>
      </c>
      <c r="C28" s="584">
        <f>VLOOKUP(A28,试算!$A$9:$B$121,2,FALSE)</f>
        <v>0</v>
      </c>
    </row>
    <row r="29" spans="1:8">
      <c r="A29" s="477" t="s">
        <v>1066</v>
      </c>
      <c r="B29" s="340">
        <f t="shared" si="0"/>
        <v>27</v>
      </c>
      <c r="C29" s="584">
        <f>VLOOKUP(A29,试算!$A$9:$B$121,2,FALSE)</f>
        <v>0</v>
      </c>
    </row>
    <row r="30" spans="1:8">
      <c r="A30" s="435" t="s">
        <v>676</v>
      </c>
      <c r="B30" s="340">
        <f t="shared" si="0"/>
        <v>28</v>
      </c>
      <c r="C30" s="584">
        <f>VLOOKUP(A30,试算!$A$9:$B$121,2,FALSE)</f>
        <v>0</v>
      </c>
    </row>
    <row r="31" spans="1:8">
      <c r="A31" s="435" t="s">
        <v>650</v>
      </c>
      <c r="B31" s="340">
        <f t="shared" si="0"/>
        <v>29</v>
      </c>
      <c r="C31" s="584">
        <f>VLOOKUP(A31,试算!$A$9:$B$121,2,FALSE)</f>
        <v>0</v>
      </c>
    </row>
    <row r="32" spans="1:8">
      <c r="A32" s="477" t="s">
        <v>787</v>
      </c>
      <c r="B32" s="340">
        <f t="shared" si="0"/>
        <v>30</v>
      </c>
      <c r="C32" s="584">
        <f>VLOOKUP(A32,试算!$A$9:$B$121,2,FALSE)</f>
        <v>0</v>
      </c>
    </row>
    <row r="33" spans="1:3">
      <c r="A33" s="474" t="s">
        <v>722</v>
      </c>
      <c r="B33" s="340">
        <f t="shared" si="0"/>
        <v>31</v>
      </c>
      <c r="C33" s="584" t="e">
        <f>VLOOKUP(A33,试算!$A$9:$B$121,2,FALSE)</f>
        <v>#N/A</v>
      </c>
    </row>
    <row r="34" spans="1:3">
      <c r="A34" s="435" t="s">
        <v>677</v>
      </c>
      <c r="B34" s="340">
        <f t="shared" si="0"/>
        <v>32</v>
      </c>
      <c r="C34" s="584">
        <f>VLOOKUP(A34,试算!$A$9:$B$121,2,FALSE)</f>
        <v>407687019.67000002</v>
      </c>
    </row>
    <row r="35" spans="1:3">
      <c r="A35" s="435" t="s">
        <v>678</v>
      </c>
      <c r="B35" s="340">
        <f t="shared" si="0"/>
        <v>33</v>
      </c>
      <c r="C35" s="584">
        <f>VLOOKUP(A35,试算!$A$9:$B$121,2,FALSE)</f>
        <v>0</v>
      </c>
    </row>
    <row r="36" spans="1:3">
      <c r="A36" s="477" t="s">
        <v>788</v>
      </c>
      <c r="B36" s="340">
        <f t="shared" si="0"/>
        <v>34</v>
      </c>
      <c r="C36" s="584">
        <f>VLOOKUP(A36,试算!$A$9:$B$121,2,FALSE)</f>
        <v>0</v>
      </c>
    </row>
    <row r="37" spans="1:3">
      <c r="A37" s="481" t="s">
        <v>804</v>
      </c>
      <c r="B37" s="340">
        <f t="shared" si="0"/>
        <v>35</v>
      </c>
      <c r="C37" s="584" t="e">
        <f>VLOOKUP(A37,试算!$A$9:$B$121,2,FALSE)</f>
        <v>#N/A</v>
      </c>
    </row>
    <row r="38" spans="1:3">
      <c r="A38" s="481" t="s">
        <v>805</v>
      </c>
      <c r="B38" s="340">
        <f t="shared" si="0"/>
        <v>36</v>
      </c>
      <c r="C38" s="584" t="e">
        <f>VLOOKUP(A38,试算!$A$9:$B$121,2,FALSE)</f>
        <v>#N/A</v>
      </c>
    </row>
    <row r="39" spans="1:3">
      <c r="A39" s="477" t="s">
        <v>1067</v>
      </c>
      <c r="B39" s="340">
        <f t="shared" si="0"/>
        <v>37</v>
      </c>
      <c r="C39" s="584">
        <f>VLOOKUP(A39,试算!$A$9:$B$121,2,FALSE)</f>
        <v>0</v>
      </c>
    </row>
    <row r="40" spans="1:3">
      <c r="A40" s="477" t="s">
        <v>1068</v>
      </c>
      <c r="B40" s="340">
        <f t="shared" si="0"/>
        <v>38</v>
      </c>
      <c r="C40" s="584">
        <f>VLOOKUP(A40,试算!$A$9:$B$121,2,FALSE)</f>
        <v>0</v>
      </c>
    </row>
    <row r="41" spans="1:3">
      <c r="A41" s="435" t="s">
        <v>544</v>
      </c>
      <c r="B41" s="340">
        <f t="shared" si="0"/>
        <v>39</v>
      </c>
      <c r="C41" s="584">
        <f>VLOOKUP(A41,试算!$A$9:$B$121,2,FALSE)</f>
        <v>0</v>
      </c>
    </row>
    <row r="42" spans="1:3">
      <c r="A42" s="435" t="s">
        <v>1069</v>
      </c>
      <c r="B42" s="340">
        <f t="shared" si="0"/>
        <v>40</v>
      </c>
      <c r="C42" s="584">
        <f>VLOOKUP(A42,试算!$A$9:$B$121,2,FALSE)</f>
        <v>0</v>
      </c>
    </row>
    <row r="43" spans="1:3">
      <c r="A43" s="435" t="s">
        <v>1070</v>
      </c>
      <c r="B43" s="340">
        <f t="shared" si="0"/>
        <v>41</v>
      </c>
      <c r="C43" s="584">
        <f>VLOOKUP(A43,试算!$A$9:$B$121,2,FALSE)</f>
        <v>0</v>
      </c>
    </row>
    <row r="44" spans="1:3">
      <c r="A44" s="435" t="s">
        <v>549</v>
      </c>
      <c r="B44" s="340">
        <f t="shared" si="0"/>
        <v>42</v>
      </c>
      <c r="C44" s="584">
        <f>VLOOKUP(A44,试算!$A$9:$B$121,2,FALSE)</f>
        <v>0</v>
      </c>
    </row>
    <row r="45" spans="1:3">
      <c r="A45" s="341" t="s">
        <v>553</v>
      </c>
      <c r="B45" s="340">
        <f t="shared" si="0"/>
        <v>43</v>
      </c>
      <c r="C45" s="584">
        <f>VLOOKUP(A45,试算!$A$9:$B$121,2,FALSE)</f>
        <v>0</v>
      </c>
    </row>
    <row r="46" spans="1:3">
      <c r="A46" s="354" t="s">
        <v>557</v>
      </c>
      <c r="B46" s="340">
        <f t="shared" si="0"/>
        <v>44</v>
      </c>
      <c r="C46" s="584">
        <f>VLOOKUP(A46,试算!$A$9:$B$121,2,FALSE)</f>
        <v>0</v>
      </c>
    </row>
    <row r="47" spans="1:3">
      <c r="A47" s="356" t="s">
        <v>565</v>
      </c>
      <c r="B47" s="340">
        <f t="shared" si="0"/>
        <v>45</v>
      </c>
      <c r="C47" s="584">
        <f>VLOOKUP(A47,试算!$A$9:$B$121,2,FALSE)</f>
        <v>0</v>
      </c>
    </row>
    <row r="48" spans="1:3">
      <c r="A48" s="339" t="s">
        <v>567</v>
      </c>
      <c r="B48" s="340">
        <f t="shared" si="0"/>
        <v>46</v>
      </c>
      <c r="C48" s="584" t="e">
        <f>VLOOKUP(A48,试算!$A$9:$B$121,2,FALSE)</f>
        <v>#N/A</v>
      </c>
    </row>
    <row r="49" spans="1:3">
      <c r="A49" s="474" t="s">
        <v>723</v>
      </c>
      <c r="B49" s="340">
        <f t="shared" si="0"/>
        <v>47</v>
      </c>
      <c r="C49" s="584" t="e">
        <f>VLOOKUP(A49,试算!$A$9:$B$121,2,FALSE)</f>
        <v>#N/A</v>
      </c>
    </row>
    <row r="50" spans="1:3">
      <c r="A50" s="435" t="s">
        <v>1071</v>
      </c>
      <c r="B50" s="340">
        <f t="shared" si="0"/>
        <v>48</v>
      </c>
      <c r="C50" s="584">
        <f>VLOOKUP(A50,试算!$A$9:$B$121,2,FALSE)</f>
        <v>0</v>
      </c>
    </row>
    <row r="51" spans="1:3">
      <c r="A51" s="435" t="s">
        <v>1072</v>
      </c>
      <c r="B51" s="340">
        <f t="shared" si="0"/>
        <v>49</v>
      </c>
      <c r="C51" s="584">
        <f>VLOOKUP(A51,试算!$A$9:$B$121,2,FALSE)</f>
        <v>0</v>
      </c>
    </row>
    <row r="52" spans="1:3">
      <c r="A52" s="435" t="s">
        <v>569</v>
      </c>
      <c r="B52" s="340">
        <f t="shared" si="0"/>
        <v>50</v>
      </c>
      <c r="C52" s="584">
        <f>VLOOKUP(A52,试算!$A$9:$B$121,2,FALSE)</f>
        <v>0</v>
      </c>
    </row>
    <row r="53" spans="1:3">
      <c r="A53" s="435" t="s">
        <v>1073</v>
      </c>
      <c r="B53" s="340">
        <f t="shared" si="0"/>
        <v>51</v>
      </c>
      <c r="C53" s="584">
        <f>VLOOKUP(A53,试算!$A$9:$B$121,2,FALSE)</f>
        <v>0</v>
      </c>
    </row>
    <row r="54" spans="1:3">
      <c r="A54" s="435" t="s">
        <v>1074</v>
      </c>
      <c r="B54" s="340">
        <f t="shared" si="0"/>
        <v>52</v>
      </c>
      <c r="C54" s="584">
        <f>VLOOKUP(A54,试算!$A$9:$B$121,2,FALSE)</f>
        <v>0</v>
      </c>
    </row>
    <row r="55" spans="1:3">
      <c r="A55" s="341" t="s">
        <v>575</v>
      </c>
      <c r="B55" s="340">
        <f t="shared" si="0"/>
        <v>53</v>
      </c>
      <c r="C55" s="584">
        <f>VLOOKUP(A55,试算!$A$9:$B$121,2,FALSE)</f>
        <v>0</v>
      </c>
    </row>
    <row r="56" spans="1:3">
      <c r="A56" s="341" t="s">
        <v>652</v>
      </c>
      <c r="B56" s="340">
        <f t="shared" si="0"/>
        <v>54</v>
      </c>
      <c r="C56" s="584">
        <f>VLOOKUP(A56,试算!$A$9:$B$121,2,FALSE)</f>
        <v>0</v>
      </c>
    </row>
    <row r="57" spans="1:3">
      <c r="A57" s="435" t="s">
        <v>651</v>
      </c>
      <c r="B57" s="340">
        <f t="shared" si="0"/>
        <v>55</v>
      </c>
      <c r="C57" s="584">
        <f>VLOOKUP(A57,试算!$A$9:$B$121,2,FALSE)</f>
        <v>0</v>
      </c>
    </row>
    <row r="58" spans="1:3">
      <c r="A58" s="477" t="s">
        <v>789</v>
      </c>
      <c r="B58" s="340">
        <f t="shared" si="0"/>
        <v>56</v>
      </c>
      <c r="C58" s="584">
        <f>VLOOKUP(A58,试算!$A$9:$B$121,2,FALSE)</f>
        <v>0</v>
      </c>
    </row>
    <row r="59" spans="1:3">
      <c r="A59" s="341" t="s">
        <v>580</v>
      </c>
      <c r="B59" s="340">
        <f t="shared" si="0"/>
        <v>57</v>
      </c>
      <c r="C59" s="584">
        <f>VLOOKUP(A59,试算!$A$9:$B$121,2,FALSE)</f>
        <v>0</v>
      </c>
    </row>
    <row r="60" spans="1:3">
      <c r="A60" s="435" t="s">
        <v>653</v>
      </c>
      <c r="B60" s="340">
        <f t="shared" si="0"/>
        <v>58</v>
      </c>
      <c r="C60" s="584">
        <f>VLOOKUP(A60,试算!$A$9:$B$121,2,FALSE)</f>
        <v>0</v>
      </c>
    </row>
    <row r="61" spans="1:3">
      <c r="A61" s="435" t="s">
        <v>654</v>
      </c>
      <c r="B61" s="340">
        <f t="shared" si="0"/>
        <v>59</v>
      </c>
      <c r="C61" s="584">
        <f>VLOOKUP(A61,试算!$A$9:$B$121,2,FALSE)</f>
        <v>0</v>
      </c>
    </row>
    <row r="62" spans="1:3">
      <c r="A62" s="477" t="s">
        <v>790</v>
      </c>
      <c r="B62" s="340">
        <f t="shared" si="0"/>
        <v>60</v>
      </c>
      <c r="C62" s="584">
        <f>VLOOKUP(A62,试算!$A$9:$B$121,2,FALSE)</f>
        <v>0</v>
      </c>
    </row>
    <row r="63" spans="1:3">
      <c r="A63" s="341" t="s">
        <v>581</v>
      </c>
      <c r="B63" s="340">
        <f t="shared" si="0"/>
        <v>61</v>
      </c>
      <c r="C63" s="584">
        <f>VLOOKUP(A63,试算!$A$9:$B$121,2,FALSE)</f>
        <v>0</v>
      </c>
    </row>
    <row r="64" spans="1:3">
      <c r="A64" s="341" t="s">
        <v>585</v>
      </c>
      <c r="B64" s="340">
        <f t="shared" si="0"/>
        <v>62</v>
      </c>
      <c r="C64" s="584">
        <f>VLOOKUP(A64,试算!$A$9:$B$121,2,FALSE)</f>
        <v>0</v>
      </c>
    </row>
    <row r="65" spans="1:3">
      <c r="A65" s="435" t="s">
        <v>658</v>
      </c>
      <c r="B65" s="340">
        <f t="shared" si="0"/>
        <v>63</v>
      </c>
      <c r="C65" s="584">
        <f>VLOOKUP(A65,试算!$A$9:$B$121,2,FALSE)</f>
        <v>0</v>
      </c>
    </row>
    <row r="66" spans="1:3">
      <c r="A66" s="435" t="s">
        <v>655</v>
      </c>
      <c r="B66" s="340">
        <f t="shared" si="0"/>
        <v>64</v>
      </c>
      <c r="C66" s="584">
        <f>VLOOKUP(A66,试算!$A$9:$B$121,2,FALSE)</f>
        <v>0</v>
      </c>
    </row>
    <row r="67" spans="1:3">
      <c r="A67" s="435" t="s">
        <v>656</v>
      </c>
      <c r="B67" s="340">
        <f t="shared" si="0"/>
        <v>65</v>
      </c>
      <c r="C67" s="584">
        <f>VLOOKUP(A67,试算!$A$9:$B$121,2,FALSE)</f>
        <v>0</v>
      </c>
    </row>
    <row r="68" spans="1:3">
      <c r="A68" s="435" t="s">
        <v>657</v>
      </c>
      <c r="B68" s="340">
        <f t="shared" si="0"/>
        <v>66</v>
      </c>
      <c r="C68" s="584">
        <f>VLOOKUP(A68,试算!$A$9:$B$121,2,FALSE)</f>
        <v>0</v>
      </c>
    </row>
    <row r="69" spans="1:3">
      <c r="A69" s="477" t="s">
        <v>791</v>
      </c>
      <c r="B69" s="340">
        <f t="shared" ref="B69:B113" si="1">B68+1</f>
        <v>67</v>
      </c>
      <c r="C69" s="584">
        <f>VLOOKUP(A69,试算!$A$9:$B$121,2,FALSE)</f>
        <v>0</v>
      </c>
    </row>
    <row r="70" spans="1:3">
      <c r="A70" s="438" t="s">
        <v>659</v>
      </c>
      <c r="B70" s="340">
        <f t="shared" si="1"/>
        <v>68</v>
      </c>
      <c r="C70" s="584">
        <f>VLOOKUP(A70,试算!$A$9:$B$121,2,FALSE)</f>
        <v>644973612.29999995</v>
      </c>
    </row>
    <row r="71" spans="1:3">
      <c r="A71" s="438" t="s">
        <v>660</v>
      </c>
      <c r="B71" s="340">
        <f t="shared" si="1"/>
        <v>69</v>
      </c>
      <c r="C71" s="584">
        <f>VLOOKUP(A71,试算!$A$9:$B$121,2,FALSE)</f>
        <v>223739838.41999999</v>
      </c>
    </row>
    <row r="72" spans="1:3">
      <c r="A72" s="438" t="s">
        <v>661</v>
      </c>
      <c r="B72" s="340">
        <f t="shared" si="1"/>
        <v>70</v>
      </c>
      <c r="C72" s="584">
        <f>VLOOKUP(A72,试算!$A$9:$B$121,2,FALSE)</f>
        <v>0</v>
      </c>
    </row>
    <row r="73" spans="1:3">
      <c r="A73" s="438" t="s">
        <v>662</v>
      </c>
      <c r="B73" s="340">
        <f t="shared" si="1"/>
        <v>71</v>
      </c>
      <c r="C73" s="584">
        <f>VLOOKUP(A73,试算!$A$9:$B$121,2,FALSE)</f>
        <v>0</v>
      </c>
    </row>
    <row r="74" spans="1:3">
      <c r="A74" s="480" t="s">
        <v>792</v>
      </c>
      <c r="B74" s="340">
        <f t="shared" si="1"/>
        <v>72</v>
      </c>
      <c r="C74" s="584">
        <f>VLOOKUP(A74,试算!$A$9:$B$121,2,FALSE)</f>
        <v>0</v>
      </c>
    </row>
    <row r="75" spans="1:3">
      <c r="A75" s="480" t="s">
        <v>894</v>
      </c>
      <c r="B75" s="340">
        <f t="shared" si="1"/>
        <v>73</v>
      </c>
      <c r="C75" s="584">
        <f>VLOOKUP(A75,试算!$A$9:$B$121,2,FALSE)</f>
        <v>0</v>
      </c>
    </row>
    <row r="76" spans="1:3">
      <c r="A76" s="438" t="s">
        <v>663</v>
      </c>
      <c r="B76" s="340">
        <f t="shared" si="1"/>
        <v>74</v>
      </c>
      <c r="C76" s="584">
        <f>VLOOKUP(A76,试算!$A$9:$B$121,2,FALSE)</f>
        <v>251504974.00999999</v>
      </c>
    </row>
    <row r="77" spans="1:3">
      <c r="A77" s="438" t="s">
        <v>664</v>
      </c>
      <c r="B77" s="340">
        <f t="shared" si="1"/>
        <v>75</v>
      </c>
      <c r="C77" s="584">
        <f>VLOOKUP(A77,试算!$A$9:$B$121,2,FALSE)</f>
        <v>0</v>
      </c>
    </row>
    <row r="78" spans="1:3">
      <c r="A78" s="480" t="s">
        <v>793</v>
      </c>
      <c r="B78" s="340">
        <f t="shared" si="1"/>
        <v>76</v>
      </c>
      <c r="C78" s="584">
        <f>VLOOKUP(A78,试算!$A$9:$B$121,2,FALSE)</f>
        <v>0</v>
      </c>
    </row>
    <row r="79" spans="1:3">
      <c r="A79" s="438" t="s">
        <v>665</v>
      </c>
      <c r="B79" s="340">
        <f t="shared" si="1"/>
        <v>77</v>
      </c>
      <c r="C79" s="584">
        <f>VLOOKUP(A79,试算!$A$9:$B$121,2,FALSE)</f>
        <v>0</v>
      </c>
    </row>
    <row r="80" spans="1:3">
      <c r="A80" s="438" t="s">
        <v>666</v>
      </c>
      <c r="B80" s="340">
        <f t="shared" si="1"/>
        <v>78</v>
      </c>
      <c r="C80" s="584">
        <f>VLOOKUP(A80,试算!$A$9:$B$121,2,FALSE)</f>
        <v>0</v>
      </c>
    </row>
    <row r="81" spans="1:3">
      <c r="A81" s="480" t="s">
        <v>794</v>
      </c>
      <c r="B81" s="340">
        <f t="shared" si="1"/>
        <v>79</v>
      </c>
      <c r="C81" s="584">
        <f>VLOOKUP(A81,试算!$A$9:$B$121,2,FALSE)</f>
        <v>0</v>
      </c>
    </row>
    <row r="82" spans="1:3">
      <c r="A82" s="480" t="s">
        <v>1075</v>
      </c>
      <c r="B82" s="340">
        <f t="shared" si="1"/>
        <v>80</v>
      </c>
      <c r="C82" s="584">
        <f>VLOOKUP(A82,试算!$A$9:$B$121,2,FALSE)</f>
        <v>0</v>
      </c>
    </row>
    <row r="83" spans="1:3">
      <c r="A83" s="480" t="s">
        <v>1076</v>
      </c>
      <c r="B83" s="340">
        <f t="shared" si="1"/>
        <v>81</v>
      </c>
      <c r="C83" s="584">
        <f>VLOOKUP(A83,试算!$A$9:$B$121,2,FALSE)</f>
        <v>0</v>
      </c>
    </row>
    <row r="84" spans="1:3">
      <c r="A84" s="480" t="s">
        <v>1077</v>
      </c>
      <c r="B84" s="340">
        <f t="shared" si="1"/>
        <v>82</v>
      </c>
      <c r="C84" s="584">
        <f>VLOOKUP(A84,试算!$A$9:$B$121,2,FALSE)</f>
        <v>0</v>
      </c>
    </row>
    <row r="85" spans="1:3">
      <c r="A85" s="480" t="s">
        <v>1078</v>
      </c>
      <c r="B85" s="340">
        <f t="shared" si="1"/>
        <v>83</v>
      </c>
      <c r="C85" s="584">
        <f>VLOOKUP(A85,试算!$A$9:$B$121,2,FALSE)</f>
        <v>0</v>
      </c>
    </row>
    <row r="86" spans="1:3">
      <c r="A86" s="582" t="s">
        <v>899</v>
      </c>
      <c r="B86" s="340">
        <f t="shared" si="1"/>
        <v>84</v>
      </c>
      <c r="C86" s="584">
        <f>VLOOKUP(A86,试算!$A$9:$B$121,2,FALSE)</f>
        <v>0</v>
      </c>
    </row>
    <row r="87" spans="1:3">
      <c r="A87" s="438" t="s">
        <v>1079</v>
      </c>
      <c r="B87" s="340">
        <f t="shared" si="1"/>
        <v>85</v>
      </c>
      <c r="C87" s="584">
        <f>VLOOKUP(A87,试算!$A$9:$B$121,2,FALSE)</f>
        <v>0</v>
      </c>
    </row>
    <row r="88" spans="1:3">
      <c r="A88" s="438" t="s">
        <v>1080</v>
      </c>
      <c r="B88" s="340">
        <f t="shared" si="1"/>
        <v>86</v>
      </c>
      <c r="C88" s="584">
        <f>VLOOKUP(A88,试算!$A$9:$B$121,2,FALSE)</f>
        <v>0</v>
      </c>
    </row>
    <row r="89" spans="1:3">
      <c r="A89" s="438" t="s">
        <v>1081</v>
      </c>
      <c r="B89" s="340">
        <f t="shared" si="1"/>
        <v>87</v>
      </c>
      <c r="C89" s="584">
        <f>VLOOKUP(A89,试算!$A$9:$B$121,2,FALSE)</f>
        <v>0</v>
      </c>
    </row>
    <row r="90" spans="1:3">
      <c r="A90" s="438" t="s">
        <v>1082</v>
      </c>
      <c r="B90" s="340">
        <f t="shared" si="1"/>
        <v>88</v>
      </c>
      <c r="C90" s="584">
        <f>VLOOKUP(A90,试算!$A$9:$B$121,2,FALSE)</f>
        <v>0</v>
      </c>
    </row>
    <row r="91" spans="1:3">
      <c r="A91" s="438" t="s">
        <v>594</v>
      </c>
      <c r="B91" s="340">
        <f t="shared" si="1"/>
        <v>89</v>
      </c>
      <c r="C91" s="584">
        <f>VLOOKUP(A91,试算!$A$9:$B$121,2,FALSE)</f>
        <v>0</v>
      </c>
    </row>
    <row r="92" spans="1:3">
      <c r="A92" s="438" t="s">
        <v>668</v>
      </c>
      <c r="B92" s="340">
        <f t="shared" si="1"/>
        <v>90</v>
      </c>
      <c r="C92" s="584">
        <f>VLOOKUP(A92,试算!$A$9:$B$121,2,FALSE)</f>
        <v>0</v>
      </c>
    </row>
    <row r="93" spans="1:3">
      <c r="A93" s="438" t="s">
        <v>667</v>
      </c>
      <c r="B93" s="340">
        <f t="shared" si="1"/>
        <v>91</v>
      </c>
      <c r="C93" s="584">
        <f>VLOOKUP(A93,试算!$A$9:$B$121,2,FALSE)</f>
        <v>0</v>
      </c>
    </row>
    <row r="94" spans="1:3">
      <c r="A94" s="438" t="s">
        <v>1083</v>
      </c>
      <c r="B94" s="340">
        <f t="shared" si="1"/>
        <v>92</v>
      </c>
      <c r="C94" s="584">
        <f>VLOOKUP(A94,试算!$A$9:$B$121,2,FALSE)</f>
        <v>0</v>
      </c>
    </row>
    <row r="95" spans="1:3">
      <c r="A95" s="438" t="s">
        <v>1084</v>
      </c>
      <c r="B95" s="340">
        <f t="shared" si="1"/>
        <v>93</v>
      </c>
      <c r="C95" s="584">
        <f>VLOOKUP(A95,试算!$A$9:$B$121,2,FALSE)</f>
        <v>0</v>
      </c>
    </row>
    <row r="96" spans="1:3">
      <c r="A96" s="480" t="s">
        <v>795</v>
      </c>
      <c r="B96" s="340">
        <f t="shared" si="1"/>
        <v>94</v>
      </c>
      <c r="C96" s="584">
        <f>VLOOKUP(A96,试算!$A$9:$B$121,2,FALSE)</f>
        <v>0</v>
      </c>
    </row>
    <row r="97" spans="1:3">
      <c r="A97" s="438" t="s">
        <v>669</v>
      </c>
      <c r="B97" s="340">
        <f t="shared" si="1"/>
        <v>95</v>
      </c>
      <c r="C97" s="584">
        <f>VLOOKUP(A97,试算!$A$9:$B$121,2,FALSE)</f>
        <v>0</v>
      </c>
    </row>
    <row r="98" spans="1:3">
      <c r="A98" s="438" t="s">
        <v>670</v>
      </c>
      <c r="B98" s="340">
        <f t="shared" si="1"/>
        <v>96</v>
      </c>
      <c r="C98" s="584">
        <f>VLOOKUP(A98,试算!$A$9:$B$121,2,FALSE)</f>
        <v>0</v>
      </c>
    </row>
    <row r="99" spans="1:3">
      <c r="A99" s="438" t="s">
        <v>671</v>
      </c>
      <c r="B99" s="340">
        <f t="shared" si="1"/>
        <v>97</v>
      </c>
      <c r="C99" s="584">
        <f>VLOOKUP(A99,试算!$A$9:$B$121,2,FALSE)</f>
        <v>0</v>
      </c>
    </row>
    <row r="100" spans="1:3">
      <c r="A100" s="438" t="s">
        <v>672</v>
      </c>
      <c r="B100" s="340">
        <f t="shared" si="1"/>
        <v>98</v>
      </c>
      <c r="C100" s="584">
        <f>VLOOKUP(A100,试算!$A$9:$B$121,2,FALSE)</f>
        <v>0</v>
      </c>
    </row>
    <row r="101" spans="1:3">
      <c r="A101" s="480" t="s">
        <v>796</v>
      </c>
      <c r="B101" s="340">
        <f t="shared" si="1"/>
        <v>99</v>
      </c>
      <c r="C101" s="584">
        <f>VLOOKUP(A101,试算!$A$9:$B$121,2,FALSE)</f>
        <v>0</v>
      </c>
    </row>
    <row r="102" spans="1:3">
      <c r="A102" s="480" t="s">
        <v>1085</v>
      </c>
      <c r="B102" s="340">
        <f t="shared" si="1"/>
        <v>100</v>
      </c>
      <c r="C102" s="584">
        <f>VLOOKUP(A102,试算!$A$9:$B$121,2,FALSE)</f>
        <v>0</v>
      </c>
    </row>
    <row r="103" spans="1:3">
      <c r="A103" s="480" t="s">
        <v>1086</v>
      </c>
      <c r="B103" s="340">
        <f t="shared" si="1"/>
        <v>101</v>
      </c>
      <c r="C103" s="584">
        <f>VLOOKUP(A103,试算!$A$9:$B$121,2,FALSE)</f>
        <v>0</v>
      </c>
    </row>
    <row r="104" spans="1:3">
      <c r="A104" s="438" t="s">
        <v>599</v>
      </c>
      <c r="B104" s="340">
        <f t="shared" si="1"/>
        <v>102</v>
      </c>
      <c r="C104" s="584">
        <f>VLOOKUP(A104,试算!$A$9:$B$121,2,FALSE)</f>
        <v>0</v>
      </c>
    </row>
    <row r="105" spans="1:3">
      <c r="A105" s="438" t="s">
        <v>673</v>
      </c>
      <c r="B105" s="340">
        <f t="shared" si="1"/>
        <v>103</v>
      </c>
      <c r="C105" s="584">
        <f>VLOOKUP(A105,试算!$A$9:$B$121,2,FALSE)</f>
        <v>0</v>
      </c>
    </row>
    <row r="106" spans="1:3">
      <c r="A106" s="438" t="s">
        <v>674</v>
      </c>
      <c r="B106" s="340">
        <f t="shared" si="1"/>
        <v>104</v>
      </c>
      <c r="C106" s="584">
        <f>VLOOKUP(A106,试算!$A$9:$B$121,2,FALSE)</f>
        <v>0</v>
      </c>
    </row>
    <row r="107" spans="1:3">
      <c r="A107" s="480" t="s">
        <v>797</v>
      </c>
      <c r="B107" s="340">
        <f t="shared" si="1"/>
        <v>105</v>
      </c>
      <c r="C107" s="584">
        <f>VLOOKUP(A107,试算!$A$9:$B$121,2,FALSE)</f>
        <v>0</v>
      </c>
    </row>
    <row r="108" spans="1:3">
      <c r="A108" s="344" t="s">
        <v>602</v>
      </c>
      <c r="B108" s="340">
        <f t="shared" si="1"/>
        <v>106</v>
      </c>
      <c r="C108" s="584">
        <f>VLOOKUP(A108,试算!$A$9:$B$121,2,FALSE)</f>
        <v>0</v>
      </c>
    </row>
    <row r="109" spans="1:3">
      <c r="A109" s="344" t="s">
        <v>604</v>
      </c>
      <c r="B109" s="340">
        <f t="shared" si="1"/>
        <v>107</v>
      </c>
      <c r="C109" s="584">
        <f>VLOOKUP(A109,试算!$A$9:$B$121,2,FALSE)</f>
        <v>0</v>
      </c>
    </row>
    <row r="110" spans="1:3">
      <c r="A110" s="344" t="s">
        <v>607</v>
      </c>
      <c r="B110" s="340">
        <f t="shared" si="1"/>
        <v>108</v>
      </c>
      <c r="C110" s="584">
        <f>VLOOKUP(A110,试算!$A$9:$B$121,2,FALSE)</f>
        <v>0</v>
      </c>
    </row>
    <row r="111" spans="1:3">
      <c r="A111" s="583" t="s">
        <v>1087</v>
      </c>
      <c r="B111" s="340">
        <f t="shared" si="1"/>
        <v>109</v>
      </c>
      <c r="C111" s="584" t="e">
        <f>VLOOKUP(A111,试算!$A$9:$B$121,2,FALSE)</f>
        <v>#N/A</v>
      </c>
    </row>
    <row r="112" spans="1:3">
      <c r="A112" s="356" t="s">
        <v>614</v>
      </c>
      <c r="B112" s="340">
        <f t="shared" si="1"/>
        <v>110</v>
      </c>
      <c r="C112" s="584">
        <f>VLOOKUP(A112,试算!$A$9:$B$121,2,FALSE)</f>
        <v>0</v>
      </c>
    </row>
    <row r="113" spans="1:3">
      <c r="A113" s="362" t="s">
        <v>617</v>
      </c>
      <c r="B113" s="340">
        <f t="shared" si="1"/>
        <v>111</v>
      </c>
      <c r="C113" s="584" t="e">
        <f>VLOOKUP(A113,试算!$A$9:$B$121,2,FALSE)</f>
        <v>#N/A</v>
      </c>
    </row>
  </sheetData>
  <autoFilter ref="A2:O113"/>
  <phoneticPr fontId="4" type="noConversion"/>
  <dataValidations count="2">
    <dataValidation allowBlank="1" showInputMessage="1" showErrorMessage="1" prompt="本栏已设定为加项" sqref="A63:A69 A4:A26 A34:A46 A52:A55 A76:A111"/>
    <dataValidation allowBlank="1" showInputMessage="1" showErrorMessage="1" prompt="本栏未计入合计数" sqref="A27:A33"/>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92D050"/>
    <pageSetUpPr fitToPage="1"/>
  </sheetPr>
  <dimension ref="A1:G384"/>
  <sheetViews>
    <sheetView showZeros="0" view="pageBreakPreview" zoomScale="90" zoomScaleSheetLayoutView="90" workbookViewId="0">
      <pane xSplit="2" ySplit="6" topLeftCell="C7" activePane="bottomRight" state="frozen"/>
      <selection activeCell="B57" sqref="B57"/>
      <selection pane="topRight" activeCell="B57" sqref="B57"/>
      <selection pane="bottomLeft" activeCell="B57" sqref="B57"/>
      <selection pane="bottomRight" activeCell="C19" sqref="C19"/>
    </sheetView>
  </sheetViews>
  <sheetFormatPr defaultColWidth="9" defaultRowHeight="13.8" outlineLevelRow="1"/>
  <cols>
    <col min="1" max="1" width="48.69921875" style="193" customWidth="1"/>
    <col min="2" max="2" width="8.19921875" style="628" customWidth="1"/>
    <col min="3" max="3" width="27.8984375" style="193" customWidth="1"/>
    <col min="4" max="4" width="25" style="193" customWidth="1"/>
    <col min="5" max="5" width="9" style="193"/>
    <col min="6" max="6" width="15" style="193" bestFit="1" customWidth="1"/>
    <col min="7" max="7" width="15" style="193" customWidth="1"/>
    <col min="8" max="16384" width="9" style="193"/>
  </cols>
  <sheetData>
    <row r="1" spans="1:7" ht="20.25" customHeight="1">
      <c r="A1" s="324" t="str">
        <f>IF(ABS(D171-D255)&lt;0.005,"","年初未分配利润勾稽有误！")</f>
        <v/>
      </c>
      <c r="B1" s="1059"/>
      <c r="C1" s="1060"/>
      <c r="D1" s="377"/>
    </row>
    <row r="2" spans="1:7" s="368" customFormat="1">
      <c r="A2" s="1055" t="s">
        <v>1405</v>
      </c>
      <c r="B2" s="1056"/>
      <c r="C2" s="1056"/>
      <c r="D2" s="1056"/>
    </row>
    <row r="3" spans="1:7" s="368" customFormat="1">
      <c r="A3" s="401"/>
      <c r="B3" s="619"/>
      <c r="C3" s="402"/>
      <c r="D3" s="1014" t="s">
        <v>1828</v>
      </c>
    </row>
    <row r="4" spans="1:7" s="368" customFormat="1">
      <c r="A4" s="1057">
        <f>IF(ABS(D127-D190)&lt;0.005,0,"年初数不平，差额为：")</f>
        <v>0</v>
      </c>
      <c r="B4" s="1057"/>
      <c r="C4" s="1058"/>
      <c r="D4" s="1058"/>
    </row>
    <row r="5" spans="1:7" ht="15.75" customHeight="1">
      <c r="A5" s="376" t="str">
        <f>IF(报表格式!E55="","            对不起，请到参数表中确定报表类型！",CONCATENATE(" 编制单位：",参数!D3))</f>
        <v xml:space="preserve"> 编制单位：二锅头</v>
      </c>
      <c r="B5" s="627"/>
      <c r="C5" s="1011">
        <f>参数!$D$12</f>
        <v>44926</v>
      </c>
      <c r="D5" s="1012" t="str">
        <f>CONCATENATE("金额单位：",参数!$D$13)</f>
        <v>金额单位：人民币元</v>
      </c>
    </row>
    <row r="6" spans="1:7" ht="13.95" customHeight="1">
      <c r="A6" s="729" t="s">
        <v>158</v>
      </c>
      <c r="B6" s="620" t="s">
        <v>24</v>
      </c>
      <c r="C6" s="195">
        <f>参数!D12</f>
        <v>44926</v>
      </c>
      <c r="D6" s="195">
        <f>参数!D11</f>
        <v>44561</v>
      </c>
    </row>
    <row r="7" spans="1:7" ht="13.95" customHeight="1">
      <c r="A7" s="199" t="str">
        <f>报表格式!B5</f>
        <v>流动资产：</v>
      </c>
      <c r="B7" s="621">
        <f>报表格式!C5</f>
        <v>1</v>
      </c>
      <c r="C7" s="198"/>
      <c r="D7" s="198"/>
    </row>
    <row r="8" spans="1:7" ht="13.95" customHeight="1">
      <c r="A8" s="199" t="str">
        <f>报表格式!B6</f>
        <v>货币资金</v>
      </c>
      <c r="B8" s="621">
        <f>报表格式!C6</f>
        <v>2</v>
      </c>
      <c r="C8" s="371">
        <v>17053592.640000001</v>
      </c>
      <c r="D8" s="371">
        <v>645471.34999999928</v>
      </c>
    </row>
    <row r="9" spans="1:7" ht="13.95" customHeight="1">
      <c r="A9" s="199" t="str">
        <f>报表格式!B7</f>
        <v>结算备付金*</v>
      </c>
      <c r="B9" s="621">
        <f>报表格式!C7</f>
        <v>3</v>
      </c>
      <c r="C9" s="371"/>
      <c r="D9" s="371"/>
    </row>
    <row r="10" spans="1:7" ht="13.95" customHeight="1">
      <c r="A10" s="199" t="str">
        <f>报表格式!B8</f>
        <v>拆出资金原值*</v>
      </c>
      <c r="B10" s="621">
        <f>报表格式!C8</f>
        <v>4</v>
      </c>
      <c r="C10" s="371"/>
      <c r="D10" s="371"/>
    </row>
    <row r="11" spans="1:7" s="613" customFormat="1" ht="13.95" customHeight="1">
      <c r="A11" s="199" t="str">
        <f>报表格式!B9</f>
        <v>拆出资金减值准备*</v>
      </c>
      <c r="B11" s="621">
        <f>报表格式!C9</f>
        <v>5</v>
      </c>
      <c r="C11" s="371"/>
      <c r="D11" s="371"/>
    </row>
    <row r="12" spans="1:7" ht="13.95" customHeight="1">
      <c r="A12" s="199" t="str">
        <f>报表格式!B10</f>
        <v>拆出资金*</v>
      </c>
      <c r="B12" s="621">
        <f>报表格式!C10</f>
        <v>6</v>
      </c>
      <c r="C12" s="614">
        <f>C10-C11</f>
        <v>0</v>
      </c>
      <c r="D12" s="614">
        <f>D10-D11</f>
        <v>0</v>
      </c>
      <c r="G12" s="193">
        <v>25580388.960000001</v>
      </c>
    </row>
    <row r="13" spans="1:7" ht="13.95" customHeight="1">
      <c r="A13" s="199" t="str">
        <f>报表格式!B11</f>
        <v>交易性金融资产</v>
      </c>
      <c r="B13" s="621">
        <f>报表格式!C11</f>
        <v>7</v>
      </c>
      <c r="C13" s="371"/>
      <c r="D13" s="371"/>
      <c r="G13" s="193">
        <v>8526796.3200000003</v>
      </c>
    </row>
    <row r="14" spans="1:7" ht="13.95" customHeight="1">
      <c r="A14" s="199" t="str">
        <f>报表格式!B12</f>
        <v>衍生金融资产</v>
      </c>
      <c r="B14" s="621">
        <f>报表格式!C12</f>
        <v>8</v>
      </c>
      <c r="C14" s="371"/>
      <c r="D14" s="371"/>
      <c r="G14" s="193">
        <f>G12-G13</f>
        <v>17053592.640000001</v>
      </c>
    </row>
    <row r="15" spans="1:7" ht="13.95" customHeight="1">
      <c r="A15" s="199" t="str">
        <f>报表格式!B13</f>
        <v>应收票据原值</v>
      </c>
      <c r="B15" s="621">
        <f>报表格式!C13</f>
        <v>9</v>
      </c>
      <c r="C15" s="371"/>
      <c r="D15" s="371"/>
    </row>
    <row r="16" spans="1:7" s="613" customFormat="1" ht="13.95" customHeight="1">
      <c r="A16" s="199" t="str">
        <f>报表格式!B14</f>
        <v>应收票据坏账准备</v>
      </c>
      <c r="B16" s="621">
        <f>报表格式!C14</f>
        <v>10</v>
      </c>
      <c r="C16" s="371"/>
      <c r="D16" s="371"/>
    </row>
    <row r="17" spans="1:4" ht="13.95" customHeight="1">
      <c r="A17" s="199" t="str">
        <f>报表格式!B15</f>
        <v>应收票据</v>
      </c>
      <c r="B17" s="621">
        <f>报表格式!C15</f>
        <v>11</v>
      </c>
      <c r="C17" s="614">
        <f>C15-C16</f>
        <v>0</v>
      </c>
      <c r="D17" s="614">
        <f>D15-D16</f>
        <v>0</v>
      </c>
    </row>
    <row r="18" spans="1:4" ht="13.95" customHeight="1">
      <c r="A18" s="199" t="str">
        <f>报表格式!B16</f>
        <v>应收账款原值</v>
      </c>
      <c r="B18" s="621">
        <f>报表格式!C16</f>
        <v>12</v>
      </c>
      <c r="C18" s="371">
        <v>15449122.130000001</v>
      </c>
      <c r="D18" s="371">
        <v>16718591.219999999</v>
      </c>
    </row>
    <row r="19" spans="1:4" s="613" customFormat="1" ht="13.95" customHeight="1">
      <c r="A19" s="199" t="str">
        <f>报表格式!B17</f>
        <v>应收账款坏账准备</v>
      </c>
      <c r="B19" s="621">
        <f>报表格式!C17</f>
        <v>13</v>
      </c>
      <c r="C19" s="371">
        <v>1423224.6</v>
      </c>
      <c r="D19" s="371"/>
    </row>
    <row r="20" spans="1:4" ht="13.95" customHeight="1">
      <c r="A20" s="199" t="str">
        <f>报表格式!B18</f>
        <v>应收账款</v>
      </c>
      <c r="B20" s="621">
        <f>报表格式!C18</f>
        <v>14</v>
      </c>
      <c r="C20" s="614">
        <f>C18-C19</f>
        <v>14025897.530000001</v>
      </c>
      <c r="D20" s="614">
        <f>D18-D19</f>
        <v>16718591.219999999</v>
      </c>
    </row>
    <row r="21" spans="1:4" ht="13.95" customHeight="1" outlineLevel="1">
      <c r="A21" s="199" t="str">
        <f>报表格式!B19</f>
        <v>应收款项融资原值</v>
      </c>
      <c r="B21" s="621">
        <f>报表格式!C19</f>
        <v>15</v>
      </c>
      <c r="C21" s="372"/>
      <c r="D21" s="372"/>
    </row>
    <row r="22" spans="1:4" s="613" customFormat="1" ht="13.95" customHeight="1" outlineLevel="1">
      <c r="A22" s="199" t="str">
        <f>报表格式!B20</f>
        <v>应收款项融资坏账准备</v>
      </c>
      <c r="B22" s="621">
        <f>报表格式!C20</f>
        <v>16</v>
      </c>
      <c r="C22" s="372"/>
      <c r="D22" s="372"/>
    </row>
    <row r="23" spans="1:4" ht="13.95" customHeight="1">
      <c r="A23" s="199" t="str">
        <f>报表格式!B21</f>
        <v>应收款项融资</v>
      </c>
      <c r="B23" s="621">
        <f>报表格式!C21</f>
        <v>17</v>
      </c>
      <c r="C23" s="614">
        <f>C21-C22</f>
        <v>0</v>
      </c>
      <c r="D23" s="614">
        <f>D21-D22</f>
        <v>0</v>
      </c>
    </row>
    <row r="24" spans="1:4" ht="13.95" customHeight="1">
      <c r="A24" s="199" t="str">
        <f>报表格式!B22</f>
        <v>预付款项原值</v>
      </c>
      <c r="B24" s="621">
        <f>报表格式!C22</f>
        <v>18</v>
      </c>
      <c r="C24" s="371">
        <v>574623.4</v>
      </c>
      <c r="D24" s="371">
        <v>1584.26</v>
      </c>
    </row>
    <row r="25" spans="1:4" s="613" customFormat="1" ht="13.95" customHeight="1">
      <c r="A25" s="199" t="str">
        <f>报表格式!B23</f>
        <v>预付款项坏账准备</v>
      </c>
      <c r="B25" s="621">
        <f>报表格式!C23</f>
        <v>19</v>
      </c>
      <c r="C25" s="371"/>
      <c r="D25" s="371"/>
    </row>
    <row r="26" spans="1:4" ht="13.95" customHeight="1">
      <c r="A26" s="199" t="str">
        <f>报表格式!B24</f>
        <v>预付款项</v>
      </c>
      <c r="B26" s="621">
        <f>报表格式!C24</f>
        <v>20</v>
      </c>
      <c r="C26" s="614">
        <f>C24-C25</f>
        <v>574623.4</v>
      </c>
      <c r="D26" s="614">
        <f>D24-D25</f>
        <v>1584.26</v>
      </c>
    </row>
    <row r="27" spans="1:4" ht="13.95" customHeight="1">
      <c r="A27" s="199" t="str">
        <f>报表格式!B25</f>
        <v>应收保费原值*</v>
      </c>
      <c r="B27" s="621">
        <f>报表格式!C25</f>
        <v>21</v>
      </c>
      <c r="C27" s="371"/>
      <c r="D27" s="371"/>
    </row>
    <row r="28" spans="1:4" s="613" customFormat="1" ht="13.95" customHeight="1">
      <c r="A28" s="199" t="str">
        <f>报表格式!B26</f>
        <v>应收保费坏账准备*</v>
      </c>
      <c r="B28" s="621">
        <f>报表格式!C26</f>
        <v>22</v>
      </c>
      <c r="C28" s="371"/>
      <c r="D28" s="371"/>
    </row>
    <row r="29" spans="1:4" ht="13.95" customHeight="1">
      <c r="A29" s="199" t="str">
        <f>报表格式!B27</f>
        <v>应收保费*</v>
      </c>
      <c r="B29" s="621">
        <f>报表格式!C27</f>
        <v>23</v>
      </c>
      <c r="C29" s="614">
        <f>C27-C28</f>
        <v>0</v>
      </c>
      <c r="D29" s="614">
        <f>D27-D28</f>
        <v>0</v>
      </c>
    </row>
    <row r="30" spans="1:4" ht="13.95" customHeight="1">
      <c r="A30" s="199" t="str">
        <f>报表格式!B28</f>
        <v>应收分保账款原值*</v>
      </c>
      <c r="B30" s="621">
        <f>报表格式!C28</f>
        <v>24</v>
      </c>
      <c r="C30" s="371"/>
      <c r="D30" s="371"/>
    </row>
    <row r="31" spans="1:4" s="613" customFormat="1" ht="13.95" customHeight="1">
      <c r="A31" s="199" t="str">
        <f>报表格式!B29</f>
        <v>应收分保账款坏账准备*</v>
      </c>
      <c r="B31" s="621">
        <f>报表格式!C29</f>
        <v>25</v>
      </c>
      <c r="C31" s="371"/>
      <c r="D31" s="371"/>
    </row>
    <row r="32" spans="1:4" ht="13.95" customHeight="1">
      <c r="A32" s="199" t="str">
        <f>报表格式!B30</f>
        <v>应收分保账款*</v>
      </c>
      <c r="B32" s="621">
        <f>报表格式!C30</f>
        <v>26</v>
      </c>
      <c r="C32" s="614">
        <f>C30-C31</f>
        <v>0</v>
      </c>
      <c r="D32" s="614">
        <f>D30-D31</f>
        <v>0</v>
      </c>
    </row>
    <row r="33" spans="1:4" s="613" customFormat="1" ht="13.95" customHeight="1">
      <c r="A33" s="199" t="str">
        <f>报表格式!B31</f>
        <v>应收分保合同准备金*</v>
      </c>
      <c r="B33" s="621">
        <f>报表格式!C31</f>
        <v>27</v>
      </c>
      <c r="C33" s="371"/>
      <c r="D33" s="371"/>
    </row>
    <row r="34" spans="1:4" ht="13.95" customHeight="1">
      <c r="A34" s="199" t="str">
        <f>报表格式!B32</f>
        <v>应收利息原值</v>
      </c>
      <c r="B34" s="621">
        <f>报表格式!C32</f>
        <v>28</v>
      </c>
      <c r="C34" s="371"/>
      <c r="D34" s="371"/>
    </row>
    <row r="35" spans="1:4" s="613" customFormat="1" ht="13.95" customHeight="1">
      <c r="A35" s="199" t="str">
        <f>报表格式!B33</f>
        <v>应收利息坏账准备</v>
      </c>
      <c r="B35" s="621">
        <f>报表格式!C33</f>
        <v>29</v>
      </c>
      <c r="C35" s="322"/>
      <c r="D35" s="322"/>
    </row>
    <row r="36" spans="1:4" ht="13.95" customHeight="1">
      <c r="A36" s="199" t="str">
        <f>报表格式!B34</f>
        <v>应收利息</v>
      </c>
      <c r="B36" s="621">
        <f>报表格式!C34</f>
        <v>30</v>
      </c>
      <c r="C36" s="614">
        <f>C34-C35</f>
        <v>0</v>
      </c>
      <c r="D36" s="614">
        <f>D34-D35</f>
        <v>0</v>
      </c>
    </row>
    <row r="37" spans="1:4" ht="13.95" customHeight="1">
      <c r="A37" s="199" t="str">
        <f>报表格式!B35</f>
        <v>应收股利原值</v>
      </c>
      <c r="B37" s="621">
        <f>报表格式!C35</f>
        <v>31</v>
      </c>
      <c r="C37" s="371">
        <v>32823183.23</v>
      </c>
      <c r="D37" s="371">
        <v>10512385.210000001</v>
      </c>
    </row>
    <row r="38" spans="1:4" s="613" customFormat="1" ht="13.95" customHeight="1">
      <c r="A38" s="199" t="str">
        <f>报表格式!B36</f>
        <v>应收股利坏账准备</v>
      </c>
      <c r="B38" s="621">
        <f>报表格式!C36</f>
        <v>32</v>
      </c>
      <c r="C38" s="371"/>
      <c r="D38" s="371"/>
    </row>
    <row r="39" spans="1:4" ht="13.95" customHeight="1">
      <c r="A39" s="199" t="str">
        <f>报表格式!B37</f>
        <v>应收股利</v>
      </c>
      <c r="B39" s="621">
        <f>报表格式!C37</f>
        <v>33</v>
      </c>
      <c r="C39" s="614">
        <f>C37-C38</f>
        <v>32823183.23</v>
      </c>
      <c r="D39" s="614">
        <f>D37-D38</f>
        <v>10512385.210000001</v>
      </c>
    </row>
    <row r="40" spans="1:4" ht="13.95" customHeight="1">
      <c r="A40" s="199" t="str">
        <f>报表格式!B38</f>
        <v>其他应收款原值</v>
      </c>
      <c r="B40" s="621">
        <f>报表格式!C38</f>
        <v>34</v>
      </c>
      <c r="C40" s="371">
        <v>8096269.3899999997</v>
      </c>
      <c r="D40" s="371">
        <v>12543397.1</v>
      </c>
    </row>
    <row r="41" spans="1:4" s="613" customFormat="1" ht="13.95" customHeight="1">
      <c r="A41" s="199" t="str">
        <f>报表格式!B39</f>
        <v>其他应收款坏账准备</v>
      </c>
      <c r="B41" s="621">
        <f>报表格式!C39</f>
        <v>35</v>
      </c>
      <c r="C41" s="371">
        <v>13310.74</v>
      </c>
      <c r="D41" s="371"/>
    </row>
    <row r="42" spans="1:4" ht="13.95" customHeight="1">
      <c r="A42" s="199" t="str">
        <f>报表格式!B40</f>
        <v>其他应收款</v>
      </c>
      <c r="B42" s="621">
        <f>报表格式!C40</f>
        <v>36</v>
      </c>
      <c r="C42" s="614">
        <f>C40-C41</f>
        <v>8082958.6499999994</v>
      </c>
      <c r="D42" s="614">
        <f>D40-D41</f>
        <v>12543397.1</v>
      </c>
    </row>
    <row r="43" spans="1:4" ht="13.95" customHeight="1">
      <c r="A43" s="199" t="str">
        <f>报表格式!B41</f>
        <v>买入返售金融资产原值*</v>
      </c>
      <c r="B43" s="621">
        <f>报表格式!C41</f>
        <v>37</v>
      </c>
      <c r="C43" s="371"/>
      <c r="D43" s="371"/>
    </row>
    <row r="44" spans="1:4" s="613" customFormat="1" ht="13.95" customHeight="1">
      <c r="A44" s="199" t="str">
        <f>报表格式!B42</f>
        <v>买入返售金融资产减值准备*</v>
      </c>
      <c r="B44" s="621">
        <f>报表格式!C42</f>
        <v>38</v>
      </c>
      <c r="C44" s="371"/>
      <c r="D44" s="371"/>
    </row>
    <row r="45" spans="1:4" ht="13.95" customHeight="1">
      <c r="A45" s="199" t="str">
        <f>报表格式!B43</f>
        <v>买入返售金融资产*</v>
      </c>
      <c r="B45" s="621">
        <f>报表格式!C43</f>
        <v>39</v>
      </c>
      <c r="C45" s="614">
        <f>C43-C44</f>
        <v>0</v>
      </c>
      <c r="D45" s="614">
        <f>D43-D44</f>
        <v>0</v>
      </c>
    </row>
    <row r="46" spans="1:4" ht="13.95" customHeight="1">
      <c r="A46" s="199" t="str">
        <f>报表格式!B44</f>
        <v>存货原值</v>
      </c>
      <c r="B46" s="621">
        <f>报表格式!C44</f>
        <v>40</v>
      </c>
      <c r="C46" s="371">
        <v>8526796.3200000003</v>
      </c>
      <c r="D46" s="371"/>
    </row>
    <row r="47" spans="1:4" s="613" customFormat="1" ht="13.95" customHeight="1">
      <c r="A47" s="199" t="str">
        <f>报表格式!B45</f>
        <v>存货跌价准备</v>
      </c>
      <c r="B47" s="621">
        <f>报表格式!C45</f>
        <v>41</v>
      </c>
      <c r="C47" s="371"/>
      <c r="D47" s="371"/>
    </row>
    <row r="48" spans="1:4" ht="13.95" customHeight="1">
      <c r="A48" s="199" t="str">
        <f>报表格式!B46</f>
        <v>存货</v>
      </c>
      <c r="B48" s="621">
        <f>报表格式!C46</f>
        <v>42</v>
      </c>
      <c r="C48" s="614">
        <f>C46-C47</f>
        <v>8526796.3200000003</v>
      </c>
      <c r="D48" s="614">
        <f>D46-D47</f>
        <v>0</v>
      </c>
    </row>
    <row r="49" spans="1:4" ht="13.95" customHeight="1">
      <c r="A49" s="199" t="str">
        <f>报表格式!B47</f>
        <v xml:space="preserve"> 其中：原材料</v>
      </c>
      <c r="B49" s="621">
        <f>报表格式!C47</f>
        <v>43</v>
      </c>
      <c r="C49" s="371">
        <v>698003</v>
      </c>
      <c r="D49" s="371"/>
    </row>
    <row r="50" spans="1:4" ht="13.95" customHeight="1">
      <c r="A50" s="199" t="str">
        <f>报表格式!B48</f>
        <v xml:space="preserve">    库存商品（产成品）</v>
      </c>
      <c r="B50" s="621">
        <f>报表格式!C48</f>
        <v>44</v>
      </c>
      <c r="C50" s="371">
        <v>7000000</v>
      </c>
      <c r="D50" s="371"/>
    </row>
    <row r="51" spans="1:4" ht="13.95" customHeight="1">
      <c r="A51" s="199" t="str">
        <f>报表格式!B49</f>
        <v>合同资产原值</v>
      </c>
      <c r="B51" s="621">
        <f>报表格式!C49</f>
        <v>45</v>
      </c>
      <c r="C51" s="371"/>
      <c r="D51" s="371"/>
    </row>
    <row r="52" spans="1:4" s="613" customFormat="1" ht="13.95" customHeight="1">
      <c r="A52" s="199" t="str">
        <f>报表格式!B50</f>
        <v>合同资产减值准备</v>
      </c>
      <c r="B52" s="621">
        <f>报表格式!C50</f>
        <v>46</v>
      </c>
      <c r="C52" s="371"/>
      <c r="D52" s="371"/>
    </row>
    <row r="53" spans="1:4" ht="13.95" customHeight="1">
      <c r="A53" s="199" t="str">
        <f>报表格式!B51</f>
        <v>合同资产</v>
      </c>
      <c r="B53" s="621">
        <f>报表格式!C51</f>
        <v>47</v>
      </c>
      <c r="C53" s="614">
        <f>C51-C52</f>
        <v>0</v>
      </c>
      <c r="D53" s="614">
        <f>D51-D52</f>
        <v>0</v>
      </c>
    </row>
    <row r="54" spans="1:4" ht="13.95" customHeight="1">
      <c r="A54" s="199" t="str">
        <f>报表格式!B52</f>
        <v>持有待售资产原值</v>
      </c>
      <c r="B54" s="621">
        <f>报表格式!C52</f>
        <v>48</v>
      </c>
      <c r="C54" s="371"/>
      <c r="D54" s="371"/>
    </row>
    <row r="55" spans="1:4" s="613" customFormat="1" ht="13.95" customHeight="1">
      <c r="A55" s="199" t="str">
        <f>报表格式!B53</f>
        <v>持有待售资产减值准备</v>
      </c>
      <c r="B55" s="621">
        <f>报表格式!C53</f>
        <v>49</v>
      </c>
      <c r="C55" s="371"/>
      <c r="D55" s="371"/>
    </row>
    <row r="56" spans="1:4" ht="13.95" customHeight="1">
      <c r="A56" s="199" t="str">
        <f>报表格式!B54</f>
        <v>持有待售资产</v>
      </c>
      <c r="B56" s="621">
        <f>报表格式!C54</f>
        <v>50</v>
      </c>
      <c r="C56" s="614">
        <f>C54-C55</f>
        <v>0</v>
      </c>
      <c r="D56" s="614">
        <f>D54-D55</f>
        <v>0</v>
      </c>
    </row>
    <row r="57" spans="1:4" ht="13.95" customHeight="1">
      <c r="A57" s="199" t="str">
        <f>报表格式!B55</f>
        <v>一年内到期的非流动资产</v>
      </c>
      <c r="B57" s="621">
        <f>报表格式!C55</f>
        <v>51</v>
      </c>
      <c r="C57" s="371"/>
      <c r="D57" s="371"/>
    </row>
    <row r="58" spans="1:4" ht="13.95" customHeight="1">
      <c r="A58" s="199" t="str">
        <f>报表格式!B56</f>
        <v>其他流动资产</v>
      </c>
      <c r="B58" s="621">
        <f>报表格式!C56</f>
        <v>52</v>
      </c>
      <c r="C58" s="371"/>
      <c r="D58" s="371">
        <v>19000000</v>
      </c>
    </row>
    <row r="59" spans="1:4" s="635" customFormat="1" ht="13.95" customHeight="1">
      <c r="A59" s="632" t="str">
        <f>报表格式!B57</f>
        <v>流动资产合计</v>
      </c>
      <c r="B59" s="633">
        <f>报表格式!C57</f>
        <v>53</v>
      </c>
      <c r="C59" s="634">
        <f>SUM(C8:C9,C12,C13:C14,C17,C20,C23,C26,C29,C32,C33,C36,C39,C42,C45,C48,C53,C56,C57:C58)</f>
        <v>81087051.770000011</v>
      </c>
      <c r="D59" s="634">
        <f>SUM(D8:D9,D12,D13:D14,D17,D20,D23,D26,D29,D32,D33,D36,D39,D42,D45,D48,D53,D56,D57:D58)</f>
        <v>59421429.140000001</v>
      </c>
    </row>
    <row r="60" spans="1:4" ht="13.95" customHeight="1">
      <c r="A60" s="199" t="str">
        <f>报表格式!B58</f>
        <v>非流动资产:</v>
      </c>
      <c r="B60" s="621">
        <f>报表格式!C58</f>
        <v>54</v>
      </c>
      <c r="C60" s="371"/>
      <c r="D60" s="371"/>
    </row>
    <row r="61" spans="1:4" ht="13.95" customHeight="1">
      <c r="A61" s="199" t="str">
        <f>报表格式!B59</f>
        <v>发放贷款和垫款原值*</v>
      </c>
      <c r="B61" s="621">
        <f>报表格式!C59</f>
        <v>55</v>
      </c>
      <c r="C61" s="371"/>
      <c r="D61" s="371"/>
    </row>
    <row r="62" spans="1:4" s="613" customFormat="1" ht="13.95" customHeight="1">
      <c r="A62" s="199" t="str">
        <f>报表格式!B60</f>
        <v>发放贷款和垫款减值准备*</v>
      </c>
      <c r="B62" s="621">
        <f>报表格式!C60</f>
        <v>56</v>
      </c>
      <c r="C62" s="371"/>
      <c r="D62" s="371"/>
    </row>
    <row r="63" spans="1:4" ht="13.95" customHeight="1">
      <c r="A63" s="199" t="str">
        <f>报表格式!B61</f>
        <v>发放贷款和垫款*</v>
      </c>
      <c r="B63" s="621">
        <f>报表格式!C61</f>
        <v>57</v>
      </c>
      <c r="C63" s="614">
        <f>C61-C62</f>
        <v>0</v>
      </c>
      <c r="D63" s="614">
        <f>D61-D62</f>
        <v>0</v>
      </c>
    </row>
    <row r="64" spans="1:4" ht="13.95" customHeight="1">
      <c r="A64" s="199" t="str">
        <f>报表格式!B62</f>
        <v>债权投资原值</v>
      </c>
      <c r="B64" s="621">
        <f>报表格式!C62</f>
        <v>58</v>
      </c>
      <c r="C64" s="371"/>
      <c r="D64" s="371"/>
    </row>
    <row r="65" spans="1:4" s="613" customFormat="1" ht="13.95" customHeight="1">
      <c r="A65" s="199" t="str">
        <f>报表格式!B63</f>
        <v>债权投资减值准备</v>
      </c>
      <c r="B65" s="621">
        <f>报表格式!C63</f>
        <v>59</v>
      </c>
      <c r="C65" s="371"/>
      <c r="D65" s="371"/>
    </row>
    <row r="66" spans="1:4" ht="13.95" customHeight="1">
      <c r="A66" s="199" t="str">
        <f>报表格式!B64</f>
        <v>债权投资</v>
      </c>
      <c r="B66" s="621">
        <f>报表格式!C64</f>
        <v>60</v>
      </c>
      <c r="C66" s="614">
        <f>C64-C65</f>
        <v>0</v>
      </c>
      <c r="D66" s="614">
        <f>D64-D65</f>
        <v>0</v>
      </c>
    </row>
    <row r="67" spans="1:4" ht="13.95" customHeight="1">
      <c r="A67" s="199" t="str">
        <f>报表格式!B65</f>
        <v>其他债权投资原值</v>
      </c>
      <c r="B67" s="621">
        <f>报表格式!C65</f>
        <v>61</v>
      </c>
      <c r="C67" s="371"/>
      <c r="D67" s="371"/>
    </row>
    <row r="68" spans="1:4" s="613" customFormat="1" ht="13.95" customHeight="1">
      <c r="A68" s="199" t="str">
        <f>报表格式!B66</f>
        <v>其他债权投资减值准备</v>
      </c>
      <c r="B68" s="621">
        <f>报表格式!C66</f>
        <v>62</v>
      </c>
      <c r="C68" s="371"/>
      <c r="D68" s="371"/>
    </row>
    <row r="69" spans="1:4" ht="13.95" customHeight="1">
      <c r="A69" s="199" t="str">
        <f>报表格式!B67</f>
        <v>其他债权投资</v>
      </c>
      <c r="B69" s="621">
        <f>报表格式!C67</f>
        <v>63</v>
      </c>
      <c r="C69" s="614">
        <f>C67-C68</f>
        <v>0</v>
      </c>
      <c r="D69" s="614">
        <f>D67-D68</f>
        <v>0</v>
      </c>
    </row>
    <row r="70" spans="1:4" ht="13.95" customHeight="1">
      <c r="A70" s="199" t="str">
        <f>报表格式!B68</f>
        <v>长期应收款原值</v>
      </c>
      <c r="B70" s="621">
        <f>报表格式!C68</f>
        <v>64</v>
      </c>
      <c r="C70" s="371"/>
      <c r="D70" s="371"/>
    </row>
    <row r="71" spans="1:4" s="613" customFormat="1" ht="13.95" customHeight="1">
      <c r="A71" s="199" t="str">
        <f>报表格式!B69</f>
        <v>长期应收款坏账准备</v>
      </c>
      <c r="B71" s="621">
        <f>报表格式!C69</f>
        <v>65</v>
      </c>
      <c r="C71" s="371"/>
      <c r="D71" s="371"/>
    </row>
    <row r="72" spans="1:4" ht="13.95" customHeight="1">
      <c r="A72" s="199" t="str">
        <f>报表格式!B70</f>
        <v>长期应收款</v>
      </c>
      <c r="B72" s="621">
        <f>报表格式!C70</f>
        <v>66</v>
      </c>
      <c r="C72" s="614">
        <f>C70-C71</f>
        <v>0</v>
      </c>
      <c r="D72" s="614">
        <f>D70-D71</f>
        <v>0</v>
      </c>
    </row>
    <row r="73" spans="1:4" ht="13.95" customHeight="1">
      <c r="A73" s="199" t="str">
        <f>报表格式!B71</f>
        <v>设定受益计划净资产</v>
      </c>
      <c r="B73" s="621">
        <f>报表格式!C71</f>
        <v>67</v>
      </c>
      <c r="C73" s="371"/>
      <c r="D73" s="371"/>
    </row>
    <row r="74" spans="1:4" ht="13.95" customHeight="1">
      <c r="A74" s="199" t="str">
        <f>报表格式!B72</f>
        <v>长期股权投资原值</v>
      </c>
      <c r="B74" s="621">
        <f>报表格式!C72</f>
        <v>68</v>
      </c>
      <c r="C74" s="371">
        <v>23870037.73</v>
      </c>
      <c r="D74" s="371">
        <v>11290037.73</v>
      </c>
    </row>
    <row r="75" spans="1:4" s="613" customFormat="1" ht="13.95" customHeight="1">
      <c r="A75" s="199" t="str">
        <f>报表格式!B73</f>
        <v>长期股权投资减值准备</v>
      </c>
      <c r="B75" s="621">
        <f>报表格式!C73</f>
        <v>69</v>
      </c>
      <c r="C75" s="371"/>
      <c r="D75" s="371"/>
    </row>
    <row r="76" spans="1:4" ht="13.95" customHeight="1">
      <c r="A76" s="199" t="str">
        <f>报表格式!B74</f>
        <v>长期股权投资</v>
      </c>
      <c r="B76" s="621">
        <f>报表格式!C74</f>
        <v>70</v>
      </c>
      <c r="C76" s="614">
        <f>C74-C75</f>
        <v>23870037.73</v>
      </c>
      <c r="D76" s="614">
        <f>D74-D75</f>
        <v>11290037.73</v>
      </c>
    </row>
    <row r="77" spans="1:4" ht="13.95" customHeight="1">
      <c r="A77" s="199" t="str">
        <f>报表格式!B75</f>
        <v>其他权益工具投资</v>
      </c>
      <c r="B77" s="621">
        <f>报表格式!C75</f>
        <v>71</v>
      </c>
      <c r="C77" s="371"/>
      <c r="D77" s="371"/>
    </row>
    <row r="78" spans="1:4" ht="13.95" customHeight="1">
      <c r="A78" s="199" t="str">
        <f>报表格式!B76</f>
        <v>其他非流动金融资产</v>
      </c>
      <c r="B78" s="621">
        <f>报表格式!C76</f>
        <v>72</v>
      </c>
      <c r="C78" s="371"/>
      <c r="D78" s="371"/>
    </row>
    <row r="79" spans="1:4" ht="13.95" customHeight="1">
      <c r="A79" s="199" t="str">
        <f>报表格式!B77</f>
        <v>投资性房地产原值</v>
      </c>
      <c r="B79" s="621">
        <f>报表格式!C77</f>
        <v>73</v>
      </c>
      <c r="C79" s="371"/>
      <c r="D79" s="371"/>
    </row>
    <row r="80" spans="1:4" ht="13.95" customHeight="1">
      <c r="A80" s="199" t="str">
        <f>报表格式!B78</f>
        <v>投资性房地产累计折旧</v>
      </c>
      <c r="B80" s="621">
        <f>报表格式!C78</f>
        <v>74</v>
      </c>
      <c r="C80" s="371"/>
      <c r="D80" s="371"/>
    </row>
    <row r="81" spans="1:4" ht="13.95" customHeight="1">
      <c r="A81" s="199" t="str">
        <f>报表格式!B79</f>
        <v>投资性房地产净值</v>
      </c>
      <c r="B81" s="621">
        <f>报表格式!C79</f>
        <v>75</v>
      </c>
      <c r="C81" s="614">
        <f>C79-C80</f>
        <v>0</v>
      </c>
      <c r="D81" s="614">
        <f>D79-D80</f>
        <v>0</v>
      </c>
    </row>
    <row r="82" spans="1:4" s="613" customFormat="1" ht="13.95" customHeight="1">
      <c r="A82" s="199" t="str">
        <f>报表格式!B80</f>
        <v>投资性房地产减值准备</v>
      </c>
      <c r="B82" s="621">
        <f>报表格式!C80</f>
        <v>76</v>
      </c>
      <c r="C82" s="371"/>
      <c r="D82" s="371"/>
    </row>
    <row r="83" spans="1:4" ht="13.95" customHeight="1">
      <c r="A83" s="199" t="str">
        <f>报表格式!B81</f>
        <v>投资性房地产</v>
      </c>
      <c r="B83" s="621">
        <f>报表格式!C81</f>
        <v>77</v>
      </c>
      <c r="C83" s="614">
        <f>C81-C82</f>
        <v>0</v>
      </c>
      <c r="D83" s="614">
        <f>D81-D82</f>
        <v>0</v>
      </c>
    </row>
    <row r="84" spans="1:4" ht="13.95" customHeight="1">
      <c r="A84" s="199" t="str">
        <f>报表格式!B82</f>
        <v>固定资产原值</v>
      </c>
      <c r="B84" s="621">
        <f>报表格式!C82</f>
        <v>78</v>
      </c>
      <c r="C84" s="371">
        <v>114529.92</v>
      </c>
      <c r="D84" s="371"/>
    </row>
    <row r="85" spans="1:4" ht="13.95" customHeight="1">
      <c r="A85" s="199" t="str">
        <f>报表格式!B83</f>
        <v>固定资产累计折旧</v>
      </c>
      <c r="B85" s="621">
        <f>报表格式!C83</f>
        <v>79</v>
      </c>
      <c r="C85" s="371">
        <v>15907.1</v>
      </c>
      <c r="D85" s="371"/>
    </row>
    <row r="86" spans="1:4" ht="13.95" customHeight="1">
      <c r="A86" s="199" t="str">
        <f>报表格式!B84</f>
        <v>固定资产净值</v>
      </c>
      <c r="B86" s="621">
        <f>报表格式!C84</f>
        <v>80</v>
      </c>
      <c r="C86" s="614">
        <f>C84-C85</f>
        <v>98622.819999999992</v>
      </c>
      <c r="D86" s="614">
        <f>D84-D85</f>
        <v>0</v>
      </c>
    </row>
    <row r="87" spans="1:4" s="613" customFormat="1" ht="13.95" customHeight="1">
      <c r="A87" s="199" t="str">
        <f>报表格式!B85</f>
        <v>固定资产减值准备</v>
      </c>
      <c r="B87" s="621">
        <f>报表格式!C85</f>
        <v>81</v>
      </c>
      <c r="C87" s="371"/>
      <c r="D87" s="371"/>
    </row>
    <row r="88" spans="1:4" ht="13.95" customHeight="1">
      <c r="A88" s="199" t="str">
        <f>报表格式!B86</f>
        <v>固定资产</v>
      </c>
      <c r="B88" s="621">
        <f>报表格式!C86</f>
        <v>82</v>
      </c>
      <c r="C88" s="614">
        <f>C86-C87</f>
        <v>98622.819999999992</v>
      </c>
      <c r="D88" s="614">
        <f>D86-D87</f>
        <v>0</v>
      </c>
    </row>
    <row r="89" spans="1:4" ht="13.95" customHeight="1">
      <c r="A89" s="199" t="str">
        <f>报表格式!B87</f>
        <v>固定资产清理</v>
      </c>
      <c r="B89" s="621">
        <f>报表格式!C87</f>
        <v>83</v>
      </c>
      <c r="C89" s="371"/>
      <c r="D89" s="371"/>
    </row>
    <row r="90" spans="1:4" ht="13.95" customHeight="1">
      <c r="A90" s="199" t="str">
        <f>报表格式!B88</f>
        <v>在建工程原值</v>
      </c>
      <c r="B90" s="621">
        <f>报表格式!C88</f>
        <v>84</v>
      </c>
      <c r="C90" s="371"/>
      <c r="D90" s="371"/>
    </row>
    <row r="91" spans="1:4" s="613" customFormat="1" ht="13.95" customHeight="1">
      <c r="A91" s="199" t="str">
        <f>报表格式!B89</f>
        <v>在建工程减值准备</v>
      </c>
      <c r="B91" s="621">
        <f>报表格式!C89</f>
        <v>85</v>
      </c>
      <c r="C91" s="371"/>
      <c r="D91" s="371"/>
    </row>
    <row r="92" spans="1:4" ht="13.95" customHeight="1">
      <c r="A92" s="199" t="str">
        <f>报表格式!B90</f>
        <v>在建工程</v>
      </c>
      <c r="B92" s="621">
        <f>报表格式!C90</f>
        <v>86</v>
      </c>
      <c r="C92" s="614">
        <f>C90-C91</f>
        <v>0</v>
      </c>
      <c r="D92" s="614">
        <f>D90-D91</f>
        <v>0</v>
      </c>
    </row>
    <row r="93" spans="1:4" ht="13.95" customHeight="1">
      <c r="A93" s="199" t="str">
        <f>报表格式!B91</f>
        <v>工程物资原值</v>
      </c>
      <c r="B93" s="621">
        <f>报表格式!C91</f>
        <v>87</v>
      </c>
      <c r="C93" s="371"/>
      <c r="D93" s="371"/>
    </row>
    <row r="94" spans="1:4" s="613" customFormat="1" ht="13.95" customHeight="1">
      <c r="A94" s="199" t="str">
        <f>报表格式!B92</f>
        <v>工程物资减值准备</v>
      </c>
      <c r="B94" s="621">
        <f>报表格式!C92</f>
        <v>88</v>
      </c>
      <c r="C94" s="371"/>
      <c r="D94" s="371"/>
    </row>
    <row r="95" spans="1:4" ht="13.95" customHeight="1">
      <c r="A95" s="199" t="str">
        <f>报表格式!B93</f>
        <v>工程物资</v>
      </c>
      <c r="B95" s="621">
        <f>报表格式!C93</f>
        <v>89</v>
      </c>
      <c r="C95" s="614">
        <f>C93-C94</f>
        <v>0</v>
      </c>
      <c r="D95" s="614">
        <f>D93-D94</f>
        <v>0</v>
      </c>
    </row>
    <row r="96" spans="1:4" ht="13.95" customHeight="1">
      <c r="A96" s="199" t="str">
        <f>报表格式!B94</f>
        <v>生产性生物资产原值</v>
      </c>
      <c r="B96" s="621">
        <f>报表格式!C94</f>
        <v>90</v>
      </c>
      <c r="C96" s="371"/>
      <c r="D96" s="371"/>
    </row>
    <row r="97" spans="1:4" ht="13.95" customHeight="1">
      <c r="A97" s="199" t="str">
        <f>报表格式!B95</f>
        <v>生产性生物资产累计折旧</v>
      </c>
      <c r="B97" s="621">
        <f>报表格式!C95</f>
        <v>91</v>
      </c>
      <c r="C97" s="371"/>
      <c r="D97" s="371"/>
    </row>
    <row r="98" spans="1:4" ht="13.95" customHeight="1">
      <c r="A98" s="199" t="str">
        <f>报表格式!B96</f>
        <v>生产性生物资产净值</v>
      </c>
      <c r="B98" s="621">
        <f>报表格式!C96</f>
        <v>92</v>
      </c>
      <c r="C98" s="614">
        <f>C96-C97</f>
        <v>0</v>
      </c>
      <c r="D98" s="614">
        <f>D96-D97</f>
        <v>0</v>
      </c>
    </row>
    <row r="99" spans="1:4" s="613" customFormat="1" ht="13.95" customHeight="1">
      <c r="A99" s="199" t="str">
        <f>报表格式!B97</f>
        <v>生产性生物资产减值准备</v>
      </c>
      <c r="B99" s="621">
        <f>报表格式!C97</f>
        <v>93</v>
      </c>
      <c r="C99" s="371"/>
      <c r="D99" s="371"/>
    </row>
    <row r="100" spans="1:4" ht="13.95" customHeight="1">
      <c r="A100" s="199" t="str">
        <f>报表格式!B98</f>
        <v>生产性生物资产</v>
      </c>
      <c r="B100" s="621">
        <f>报表格式!C98</f>
        <v>94</v>
      </c>
      <c r="C100" s="614">
        <f>C98-C99</f>
        <v>0</v>
      </c>
      <c r="D100" s="614">
        <f>D98-D99</f>
        <v>0</v>
      </c>
    </row>
    <row r="101" spans="1:4" ht="13.95" customHeight="1">
      <c r="A101" s="199" t="str">
        <f>报表格式!B99</f>
        <v>油气资产原值</v>
      </c>
      <c r="B101" s="621">
        <f>报表格式!C99</f>
        <v>95</v>
      </c>
      <c r="C101" s="371"/>
      <c r="D101" s="371"/>
    </row>
    <row r="102" spans="1:4" ht="13.95" customHeight="1">
      <c r="A102" s="199" t="str">
        <f>报表格式!B100</f>
        <v>油气资产累计折旧</v>
      </c>
      <c r="B102" s="621">
        <f>报表格式!C100</f>
        <v>96</v>
      </c>
      <c r="C102" s="371"/>
      <c r="D102" s="371"/>
    </row>
    <row r="103" spans="1:4" ht="13.95" customHeight="1">
      <c r="A103" s="199" t="str">
        <f>报表格式!B101</f>
        <v>油气资产净值</v>
      </c>
      <c r="B103" s="621">
        <f>报表格式!C101</f>
        <v>97</v>
      </c>
      <c r="C103" s="614">
        <f>C101-C102</f>
        <v>0</v>
      </c>
      <c r="D103" s="614">
        <f>D101-D102</f>
        <v>0</v>
      </c>
    </row>
    <row r="104" spans="1:4" s="613" customFormat="1" ht="13.95" customHeight="1">
      <c r="A104" s="199" t="str">
        <f>报表格式!B102</f>
        <v>油气资产减值准备</v>
      </c>
      <c r="B104" s="621">
        <f>报表格式!C102</f>
        <v>98</v>
      </c>
      <c r="C104" s="371"/>
      <c r="D104" s="371"/>
    </row>
    <row r="105" spans="1:4" ht="13.95" customHeight="1">
      <c r="A105" s="199" t="str">
        <f>报表格式!B103</f>
        <v>油气资产</v>
      </c>
      <c r="B105" s="621">
        <f>报表格式!C103</f>
        <v>99</v>
      </c>
      <c r="C105" s="614">
        <f>C103-C104</f>
        <v>0</v>
      </c>
      <c r="D105" s="614">
        <f>D103-D104</f>
        <v>0</v>
      </c>
    </row>
    <row r="106" spans="1:4" ht="13.95" customHeight="1">
      <c r="A106" s="199" t="str">
        <f>报表格式!B104</f>
        <v>使用权资产原值</v>
      </c>
      <c r="B106" s="621">
        <f>报表格式!C104</f>
        <v>100</v>
      </c>
      <c r="C106" s="371"/>
      <c r="D106" s="371"/>
    </row>
    <row r="107" spans="1:4" ht="13.95" customHeight="1">
      <c r="A107" s="199" t="str">
        <f>报表格式!B105</f>
        <v>使用权资产累计折旧</v>
      </c>
      <c r="B107" s="621">
        <f>报表格式!C105</f>
        <v>101</v>
      </c>
      <c r="C107" s="371"/>
      <c r="D107" s="371"/>
    </row>
    <row r="108" spans="1:4" ht="13.95" customHeight="1">
      <c r="A108" s="199" t="str">
        <f>报表格式!B106</f>
        <v>使用权资产净值</v>
      </c>
      <c r="B108" s="621">
        <f>报表格式!C106</f>
        <v>102</v>
      </c>
      <c r="C108" s="614">
        <f>C106-C107</f>
        <v>0</v>
      </c>
      <c r="D108" s="614">
        <f>D106-D107</f>
        <v>0</v>
      </c>
    </row>
    <row r="109" spans="1:4" s="613" customFormat="1" ht="13.95" customHeight="1">
      <c r="A109" s="199" t="str">
        <f>报表格式!B107</f>
        <v>使用权资产减值准备</v>
      </c>
      <c r="B109" s="621">
        <f>报表格式!C107</f>
        <v>103</v>
      </c>
      <c r="C109" s="371"/>
      <c r="D109" s="371"/>
    </row>
    <row r="110" spans="1:4" ht="13.95" customHeight="1">
      <c r="A110" s="199" t="str">
        <f>报表格式!B108</f>
        <v>使用权资产</v>
      </c>
      <c r="B110" s="621">
        <f>报表格式!C108</f>
        <v>104</v>
      </c>
      <c r="C110" s="614">
        <f>C108-C109</f>
        <v>0</v>
      </c>
      <c r="D110" s="614">
        <f>D108-D109</f>
        <v>0</v>
      </c>
    </row>
    <row r="111" spans="1:4" ht="13.95" customHeight="1">
      <c r="A111" s="199" t="str">
        <f>报表格式!B109</f>
        <v>无形资产原值</v>
      </c>
      <c r="B111" s="621">
        <f>报表格式!C109</f>
        <v>105</v>
      </c>
      <c r="C111" s="371">
        <v>3204513.89</v>
      </c>
      <c r="D111" s="371">
        <v>454415.95</v>
      </c>
    </row>
    <row r="112" spans="1:4" ht="13.95" customHeight="1">
      <c r="A112" s="199" t="str">
        <f>报表格式!B110</f>
        <v>无形资产累计摊销</v>
      </c>
      <c r="B112" s="621">
        <f>报表格式!C110</f>
        <v>106</v>
      </c>
      <c r="C112" s="371"/>
      <c r="D112" s="371"/>
    </row>
    <row r="113" spans="1:7" ht="13.95" customHeight="1">
      <c r="A113" s="199" t="str">
        <f>报表格式!B111</f>
        <v>无形资产净值</v>
      </c>
      <c r="B113" s="621">
        <f>报表格式!C111</f>
        <v>107</v>
      </c>
      <c r="C113" s="614">
        <f>C111-C112</f>
        <v>3204513.89</v>
      </c>
      <c r="D113" s="614">
        <f>D111-D112</f>
        <v>454415.95</v>
      </c>
    </row>
    <row r="114" spans="1:7" s="613" customFormat="1" ht="13.95" customHeight="1">
      <c r="A114" s="199" t="str">
        <f>报表格式!B112</f>
        <v>无形资产减值准备</v>
      </c>
      <c r="B114" s="621">
        <f>报表格式!C112</f>
        <v>108</v>
      </c>
      <c r="C114" s="371"/>
      <c r="D114" s="371"/>
    </row>
    <row r="115" spans="1:7" ht="13.95" customHeight="1">
      <c r="A115" s="199" t="str">
        <f>报表格式!B113</f>
        <v>无形资产</v>
      </c>
      <c r="B115" s="621">
        <f>报表格式!C113</f>
        <v>109</v>
      </c>
      <c r="C115" s="614">
        <f>C113-C114</f>
        <v>3204513.89</v>
      </c>
      <c r="D115" s="614">
        <f>D113-D114</f>
        <v>454415.95</v>
      </c>
    </row>
    <row r="116" spans="1:7" ht="13.95" customHeight="1">
      <c r="A116" s="199" t="str">
        <f>报表格式!B114</f>
        <v>开发支出原值</v>
      </c>
      <c r="B116" s="621">
        <f>报表格式!C114</f>
        <v>110</v>
      </c>
      <c r="C116" s="371"/>
      <c r="D116" s="371"/>
    </row>
    <row r="117" spans="1:7" s="613" customFormat="1" ht="13.95" customHeight="1">
      <c r="A117" s="199" t="str">
        <f>报表格式!B115</f>
        <v>开发支出减值准备</v>
      </c>
      <c r="B117" s="621">
        <f>报表格式!C115</f>
        <v>111</v>
      </c>
      <c r="C117" s="371"/>
      <c r="D117" s="371"/>
    </row>
    <row r="118" spans="1:7" ht="13.95" customHeight="1">
      <c r="A118" s="199" t="str">
        <f>报表格式!B116</f>
        <v>开发支出</v>
      </c>
      <c r="B118" s="621">
        <f>报表格式!C116</f>
        <v>112</v>
      </c>
      <c r="C118" s="614">
        <f>C116-C117</f>
        <v>0</v>
      </c>
      <c r="D118" s="614">
        <f>D116-D117</f>
        <v>0</v>
      </c>
    </row>
    <row r="119" spans="1:7" ht="13.95" customHeight="1">
      <c r="A119" s="199" t="str">
        <f>报表格式!B117</f>
        <v>商誉原值</v>
      </c>
      <c r="B119" s="621">
        <f>报表格式!C117</f>
        <v>113</v>
      </c>
      <c r="C119" s="371"/>
      <c r="D119" s="371"/>
    </row>
    <row r="120" spans="1:7" s="613" customFormat="1" ht="13.95" customHeight="1">
      <c r="A120" s="199" t="str">
        <f>报表格式!B118</f>
        <v>商誉减值准备</v>
      </c>
      <c r="B120" s="621">
        <f>报表格式!C118</f>
        <v>114</v>
      </c>
      <c r="C120" s="371"/>
      <c r="D120" s="371"/>
    </row>
    <row r="121" spans="1:7" ht="13.95" customHeight="1">
      <c r="A121" s="199" t="str">
        <f>报表格式!B119</f>
        <v>商誉</v>
      </c>
      <c r="B121" s="621">
        <f>报表格式!C119</f>
        <v>115</v>
      </c>
      <c r="C121" s="614">
        <f>C119-C120</f>
        <v>0</v>
      </c>
      <c r="D121" s="614">
        <f>D119-D120</f>
        <v>0</v>
      </c>
    </row>
    <row r="122" spans="1:7" ht="13.95" customHeight="1">
      <c r="A122" s="199" t="str">
        <f>报表格式!B120</f>
        <v>长期待摊费用</v>
      </c>
      <c r="B122" s="621">
        <f>报表格式!C120</f>
        <v>116</v>
      </c>
      <c r="C122" s="371"/>
      <c r="D122" s="371"/>
    </row>
    <row r="123" spans="1:7" ht="13.95" customHeight="1">
      <c r="A123" s="199" t="str">
        <f>报表格式!B121</f>
        <v>递延所得税资产</v>
      </c>
      <c r="B123" s="621">
        <f>报表格式!C121</f>
        <v>117</v>
      </c>
      <c r="C123" s="371">
        <v>359133.84</v>
      </c>
      <c r="D123" s="371">
        <v>354277.86</v>
      </c>
    </row>
    <row r="124" spans="1:7" ht="13.95" customHeight="1">
      <c r="A124" s="199" t="str">
        <f>报表格式!B122</f>
        <v>其他非流动资产</v>
      </c>
      <c r="B124" s="621">
        <f>报表格式!C122</f>
        <v>118</v>
      </c>
      <c r="C124" s="371"/>
      <c r="D124" s="371"/>
    </row>
    <row r="125" spans="1:7" ht="13.95" customHeight="1">
      <c r="A125" s="199" t="str">
        <f>报表格式!B123</f>
        <v xml:space="preserve"> 其中：特准储备物资</v>
      </c>
      <c r="B125" s="621">
        <f>报表格式!C123</f>
        <v>119</v>
      </c>
      <c r="C125" s="371"/>
      <c r="D125" s="371"/>
    </row>
    <row r="126" spans="1:7" ht="13.95" customHeight="1">
      <c r="A126" s="199" t="str">
        <f>报表格式!B124</f>
        <v>非流动资产合计</v>
      </c>
      <c r="B126" s="621">
        <f>报表格式!C124</f>
        <v>120</v>
      </c>
      <c r="C126" s="194">
        <f>SUM(C63,C66,C69,C72,C73,C76,C77:C78,C83,C88,C92,C95,C100,C105,C110,C115,C118,C121,C122:C124)</f>
        <v>27532308.280000001</v>
      </c>
      <c r="D126" s="194">
        <f>SUM(D63,D66,D69,D72,D73,D76,D77:D78,D83,D88,D92,D95,D100,D105,D110,D115,D118,D121,D122:D124)</f>
        <v>12098731.539999999</v>
      </c>
    </row>
    <row r="127" spans="1:7" ht="13.95" customHeight="1">
      <c r="A127" s="734" t="str">
        <f>报表格式!B125</f>
        <v>资 产 总 计</v>
      </c>
      <c r="B127" s="732">
        <f>报表格式!C125</f>
        <v>121</v>
      </c>
      <c r="C127" s="656">
        <f>SUM(C59,C126)</f>
        <v>108619360.05000001</v>
      </c>
      <c r="D127" s="656">
        <f>SUM(D59,D126)</f>
        <v>71520160.680000007</v>
      </c>
    </row>
    <row r="128" spans="1:7" ht="13.95" customHeight="1">
      <c r="A128" s="1015" t="str">
        <f>IF(参数!$D$8="一般企业（执行统一会计制度）","负债及所有者权益","负债及股东权益")</f>
        <v>负债及股东权益</v>
      </c>
      <c r="B128" s="629" t="s">
        <v>159</v>
      </c>
      <c r="C128" s="631">
        <f>参数!D12</f>
        <v>44926</v>
      </c>
      <c r="D128" s="196">
        <f>参数!D11</f>
        <v>44561</v>
      </c>
      <c r="G128" s="630"/>
    </row>
    <row r="129" spans="1:4" ht="13.95" customHeight="1">
      <c r="A129" s="615" t="str">
        <f>报表格式!E5</f>
        <v>流动负债：</v>
      </c>
      <c r="B129" s="621">
        <f>报表格式!F5</f>
        <v>122</v>
      </c>
      <c r="C129" s="369"/>
      <c r="D129" s="370"/>
    </row>
    <row r="130" spans="1:4" ht="13.95" customHeight="1">
      <c r="A130" s="615" t="str">
        <f>报表格式!E6</f>
        <v>短期借款</v>
      </c>
      <c r="B130" s="621">
        <f>报表格式!F6</f>
        <v>123</v>
      </c>
      <c r="C130" s="371"/>
      <c r="D130" s="371"/>
    </row>
    <row r="131" spans="1:4" ht="13.95" customHeight="1">
      <c r="A131" s="615" t="str">
        <f>报表格式!E7</f>
        <v>向中央银行借款*</v>
      </c>
      <c r="B131" s="621">
        <f>报表格式!F7</f>
        <v>124</v>
      </c>
      <c r="C131" s="371"/>
      <c r="D131" s="371"/>
    </row>
    <row r="132" spans="1:4" ht="13.95" customHeight="1">
      <c r="A132" s="615" t="str">
        <f>报表格式!E8</f>
        <v>拆入资金*</v>
      </c>
      <c r="B132" s="621">
        <f>报表格式!F8</f>
        <v>125</v>
      </c>
      <c r="C132" s="371"/>
      <c r="D132" s="371"/>
    </row>
    <row r="133" spans="1:4" ht="13.95" customHeight="1">
      <c r="A133" s="615" t="str">
        <f>报表格式!E9</f>
        <v>交易性金融负债</v>
      </c>
      <c r="B133" s="621">
        <f>报表格式!F9</f>
        <v>126</v>
      </c>
      <c r="C133" s="371"/>
      <c r="D133" s="371"/>
    </row>
    <row r="134" spans="1:4" ht="13.95" customHeight="1">
      <c r="A134" s="615" t="str">
        <f>报表格式!E10</f>
        <v>衍生金融负债</v>
      </c>
      <c r="B134" s="621">
        <f>报表格式!F10</f>
        <v>127</v>
      </c>
      <c r="C134" s="371"/>
      <c r="D134" s="371"/>
    </row>
    <row r="135" spans="1:4" ht="13.95" customHeight="1">
      <c r="A135" s="615" t="str">
        <f>报表格式!E11</f>
        <v>应付票据</v>
      </c>
      <c r="B135" s="621">
        <f>报表格式!F11</f>
        <v>128</v>
      </c>
      <c r="C135" s="371"/>
      <c r="D135" s="371"/>
    </row>
    <row r="136" spans="1:4" ht="13.95" customHeight="1">
      <c r="A136" s="615" t="str">
        <f>报表格式!E12</f>
        <v>应付账款</v>
      </c>
      <c r="B136" s="621">
        <f>报表格式!F12</f>
        <v>129</v>
      </c>
      <c r="C136" s="371">
        <v>9144644.7200000007</v>
      </c>
      <c r="D136" s="371">
        <v>2255558.0699999998</v>
      </c>
    </row>
    <row r="137" spans="1:4" ht="13.95" customHeight="1">
      <c r="A137" s="615" t="str">
        <f>报表格式!E13</f>
        <v>预收款项</v>
      </c>
      <c r="B137" s="621">
        <f>报表格式!F13</f>
        <v>130</v>
      </c>
      <c r="C137" s="371"/>
      <c r="D137" s="371">
        <v>1282269.1599999999</v>
      </c>
    </row>
    <row r="138" spans="1:4" ht="13.95" customHeight="1">
      <c r="A138" s="615" t="str">
        <f>报表格式!E14</f>
        <v>合同负债</v>
      </c>
      <c r="B138" s="621">
        <f>报表格式!F14</f>
        <v>131</v>
      </c>
      <c r="C138" s="371"/>
      <c r="D138" s="371"/>
    </row>
    <row r="139" spans="1:4" ht="13.95" customHeight="1">
      <c r="A139" s="615" t="str">
        <f>报表格式!E15</f>
        <v>卖出回购金融资产款*</v>
      </c>
      <c r="B139" s="621">
        <f>报表格式!F15</f>
        <v>132</v>
      </c>
      <c r="C139" s="371"/>
      <c r="D139" s="371"/>
    </row>
    <row r="140" spans="1:4" ht="13.95" customHeight="1">
      <c r="A140" s="615" t="str">
        <f>报表格式!E16</f>
        <v>吸收存款及同业存放*</v>
      </c>
      <c r="B140" s="621">
        <f>报表格式!F16</f>
        <v>133</v>
      </c>
      <c r="C140" s="371"/>
      <c r="D140" s="371"/>
    </row>
    <row r="141" spans="1:4" ht="13.95" customHeight="1">
      <c r="A141" s="615" t="str">
        <f>报表格式!E17</f>
        <v>代理买卖证券款*</v>
      </c>
      <c r="B141" s="621">
        <f>报表格式!F17</f>
        <v>134</v>
      </c>
      <c r="C141" s="371"/>
      <c r="D141" s="371"/>
    </row>
    <row r="142" spans="1:4" ht="13.95" customHeight="1">
      <c r="A142" s="615" t="str">
        <f>报表格式!E18</f>
        <v>代理承销证券款*</v>
      </c>
      <c r="B142" s="621">
        <f>报表格式!F18</f>
        <v>135</v>
      </c>
      <c r="C142" s="371"/>
      <c r="D142" s="371"/>
    </row>
    <row r="143" spans="1:4" ht="13.95" customHeight="1">
      <c r="A143" s="615" t="str">
        <f>报表格式!E19</f>
        <v>应付职工薪酬</v>
      </c>
      <c r="B143" s="621">
        <f>报表格式!F19</f>
        <v>136</v>
      </c>
      <c r="C143" s="371">
        <v>7036440.0999999996</v>
      </c>
      <c r="D143" s="371"/>
    </row>
    <row r="144" spans="1:4" ht="13.95" customHeight="1">
      <c r="A144" s="615" t="str">
        <f>报表格式!E20</f>
        <v xml:space="preserve">  其中：应付工资</v>
      </c>
      <c r="B144" s="621">
        <f>报表格式!F20</f>
        <v>137</v>
      </c>
      <c r="C144" s="371">
        <v>6978454</v>
      </c>
      <c r="D144" s="371"/>
    </row>
    <row r="145" spans="1:4" ht="13.95" customHeight="1">
      <c r="A145" s="615" t="str">
        <f>报表格式!E21</f>
        <v xml:space="preserve">      应付福利费</v>
      </c>
      <c r="B145" s="621">
        <f>报表格式!F21</f>
        <v>138</v>
      </c>
      <c r="C145" s="322">
        <v>3000</v>
      </c>
      <c r="D145" s="322"/>
    </row>
    <row r="146" spans="1:4" ht="13.95" customHeight="1">
      <c r="A146" s="615" t="str">
        <f>报表格式!E22</f>
        <v xml:space="preserve">     #其中：职工奖励及福利基金</v>
      </c>
      <c r="B146" s="621">
        <f>报表格式!F22</f>
        <v>139</v>
      </c>
      <c r="C146" s="322">
        <v>10000</v>
      </c>
      <c r="D146" s="322"/>
    </row>
    <row r="147" spans="1:4" ht="13.95" customHeight="1">
      <c r="A147" s="615" t="str">
        <f>报表格式!E23</f>
        <v>应交税费</v>
      </c>
      <c r="B147" s="621">
        <f>报表格式!F23</f>
        <v>140</v>
      </c>
      <c r="C147" s="371">
        <v>2971505.38</v>
      </c>
      <c r="D147" s="373">
        <v>4493249.99</v>
      </c>
    </row>
    <row r="148" spans="1:4" ht="13.95" customHeight="1">
      <c r="A148" s="615" t="str">
        <f>报表格式!E24</f>
        <v xml:space="preserve"> 其中：应交税金</v>
      </c>
      <c r="B148" s="621">
        <f>报表格式!F24</f>
        <v>141</v>
      </c>
      <c r="C148" s="371">
        <v>2900000</v>
      </c>
      <c r="D148" s="371"/>
    </row>
    <row r="149" spans="1:4" ht="13.95" customHeight="1">
      <c r="A149" s="615" t="str">
        <f>报表格式!E25</f>
        <v>其他应付款</v>
      </c>
      <c r="B149" s="621">
        <f>报表格式!F25</f>
        <v>142</v>
      </c>
      <c r="C149" s="371">
        <v>1361520.14</v>
      </c>
      <c r="D149" s="371">
        <v>1164224.7800000005</v>
      </c>
    </row>
    <row r="150" spans="1:4" ht="13.95" customHeight="1">
      <c r="A150" s="615" t="str">
        <f>报表格式!E26</f>
        <v xml:space="preserve">  其中：应付利息</v>
      </c>
      <c r="B150" s="621">
        <f>报表格式!F26</f>
        <v>143</v>
      </c>
      <c r="C150" s="371">
        <v>612345</v>
      </c>
      <c r="D150" s="371"/>
    </row>
    <row r="151" spans="1:4" ht="13.95" customHeight="1">
      <c r="A151" s="615" t="str">
        <f>报表格式!E27</f>
        <v xml:space="preserve">        应付股利</v>
      </c>
      <c r="B151" s="621">
        <f>报表格式!F27</f>
        <v>144</v>
      </c>
      <c r="C151" s="371">
        <v>1432</v>
      </c>
      <c r="D151" s="371"/>
    </row>
    <row r="152" spans="1:4" ht="13.95" customHeight="1">
      <c r="A152" s="615" t="str">
        <f>报表格式!E28</f>
        <v>应付手续费及佣金*</v>
      </c>
      <c r="B152" s="621">
        <f>报表格式!F28</f>
        <v>145</v>
      </c>
      <c r="C152" s="371"/>
      <c r="D152" s="371"/>
    </row>
    <row r="153" spans="1:4" ht="13.95" customHeight="1">
      <c r="A153" s="615" t="str">
        <f>报表格式!E29</f>
        <v>应付分保账款*</v>
      </c>
      <c r="B153" s="621">
        <f>报表格式!F29</f>
        <v>146</v>
      </c>
      <c r="C153" s="371"/>
      <c r="D153" s="371"/>
    </row>
    <row r="154" spans="1:4" ht="13.95" customHeight="1">
      <c r="A154" s="615" t="str">
        <f>报表格式!E30</f>
        <v>持有待售负债</v>
      </c>
      <c r="B154" s="621">
        <f>报表格式!F30</f>
        <v>147</v>
      </c>
      <c r="C154" s="371"/>
      <c r="D154" s="371"/>
    </row>
    <row r="155" spans="1:4" ht="13.95" customHeight="1">
      <c r="A155" s="615" t="str">
        <f>报表格式!E31</f>
        <v>一年内到期的非流动负债</v>
      </c>
      <c r="B155" s="621">
        <f>报表格式!F31</f>
        <v>148</v>
      </c>
      <c r="C155" s="371"/>
      <c r="D155" s="371"/>
    </row>
    <row r="156" spans="1:4" ht="13.95" customHeight="1">
      <c r="A156" s="615" t="str">
        <f>报表格式!E32</f>
        <v>其他流动负债</v>
      </c>
      <c r="B156" s="621">
        <f>报表格式!F32</f>
        <v>149</v>
      </c>
      <c r="C156" s="371"/>
      <c r="D156" s="371"/>
    </row>
    <row r="157" spans="1:4" s="613" customFormat="1" ht="13.95" customHeight="1">
      <c r="A157" s="615" t="str">
        <f>报表格式!E33</f>
        <v>保险合同准备金*</v>
      </c>
      <c r="B157" s="621">
        <f>报表格式!F33</f>
        <v>150</v>
      </c>
      <c r="C157" s="322"/>
      <c r="D157" s="322"/>
    </row>
    <row r="158" spans="1:4" s="635" customFormat="1" ht="13.95" customHeight="1">
      <c r="A158" s="636" t="str">
        <f>报表格式!E34</f>
        <v>流动负债合计</v>
      </c>
      <c r="B158" s="633">
        <f>报表格式!F34</f>
        <v>151</v>
      </c>
      <c r="C158" s="634">
        <f>SUM(C130:C143,C147,C149,C152:C157)</f>
        <v>20514110.34</v>
      </c>
      <c r="D158" s="634">
        <f>SUM(D130:D143,D147,D149,D152:D157)</f>
        <v>9195302</v>
      </c>
    </row>
    <row r="159" spans="1:4" ht="13.95" customHeight="1">
      <c r="A159" s="615" t="str">
        <f>报表格式!E35</f>
        <v>非流动负债:</v>
      </c>
      <c r="B159" s="621">
        <f>报表格式!F35</f>
        <v>152</v>
      </c>
      <c r="C159" s="322"/>
      <c r="D159" s="589"/>
    </row>
    <row r="160" spans="1:4" ht="13.95" customHeight="1">
      <c r="A160" s="615" t="str">
        <f>报表格式!E36</f>
        <v>长期借款</v>
      </c>
      <c r="B160" s="621">
        <f>报表格式!F36</f>
        <v>153</v>
      </c>
      <c r="C160" s="322"/>
      <c r="D160" s="589"/>
    </row>
    <row r="161" spans="1:4" ht="13.95" customHeight="1">
      <c r="A161" s="615" t="str">
        <f>报表格式!E37</f>
        <v>应付债券</v>
      </c>
      <c r="B161" s="621">
        <f>报表格式!F37</f>
        <v>154</v>
      </c>
      <c r="C161" s="374"/>
      <c r="D161" s="375"/>
    </row>
    <row r="162" spans="1:4" ht="13.95" customHeight="1">
      <c r="A162" s="615" t="str">
        <f>报表格式!E38</f>
        <v xml:space="preserve">  其中：优先股</v>
      </c>
      <c r="B162" s="621">
        <f>报表格式!F38</f>
        <v>155</v>
      </c>
      <c r="C162" s="374"/>
      <c r="D162" s="374"/>
    </row>
    <row r="163" spans="1:4" ht="13.95" customHeight="1">
      <c r="A163" s="615" t="str">
        <f>报表格式!E39</f>
        <v xml:space="preserve">        永续债</v>
      </c>
      <c r="B163" s="621">
        <f>报表格式!F39</f>
        <v>156</v>
      </c>
      <c r="C163" s="374"/>
      <c r="D163" s="374"/>
    </row>
    <row r="164" spans="1:4" ht="13.95" customHeight="1">
      <c r="A164" s="615" t="str">
        <f>报表格式!E40</f>
        <v>租赁负债</v>
      </c>
      <c r="B164" s="621">
        <f>报表格式!F40</f>
        <v>157</v>
      </c>
      <c r="C164" s="374"/>
      <c r="D164" s="374"/>
    </row>
    <row r="165" spans="1:4" ht="13.95" customHeight="1">
      <c r="A165" s="615" t="str">
        <f>报表格式!E41</f>
        <v>长期应付款</v>
      </c>
      <c r="B165" s="621">
        <f>报表格式!F41</f>
        <v>158</v>
      </c>
      <c r="C165" s="374"/>
      <c r="D165" s="374"/>
    </row>
    <row r="166" spans="1:4" ht="13.95" customHeight="1">
      <c r="A166" s="615" t="str">
        <f>报表格式!E42</f>
        <v>专项应付款</v>
      </c>
      <c r="B166" s="621">
        <f>报表格式!F42</f>
        <v>159</v>
      </c>
      <c r="C166" s="374"/>
      <c r="D166" s="374"/>
    </row>
    <row r="167" spans="1:4" ht="13.95" customHeight="1">
      <c r="A167" s="615" t="str">
        <f>报表格式!E43</f>
        <v>长期应付职工薪酬</v>
      </c>
      <c r="B167" s="621">
        <f>报表格式!F43</f>
        <v>160</v>
      </c>
      <c r="C167" s="374"/>
      <c r="D167" s="374"/>
    </row>
    <row r="168" spans="1:4" ht="13.95" customHeight="1">
      <c r="A168" s="615" t="str">
        <f>报表格式!E44</f>
        <v>预计负债</v>
      </c>
      <c r="B168" s="621">
        <f>报表格式!F44</f>
        <v>161</v>
      </c>
      <c r="C168" s="374"/>
      <c r="D168" s="374"/>
    </row>
    <row r="169" spans="1:4" ht="13.95" customHeight="1">
      <c r="A169" s="615" t="str">
        <f>报表格式!E45</f>
        <v>递延收益</v>
      </c>
      <c r="B169" s="621">
        <f>报表格式!F45</f>
        <v>162</v>
      </c>
      <c r="C169" s="374"/>
      <c r="D169" s="374"/>
    </row>
    <row r="170" spans="1:4" ht="13.95" customHeight="1">
      <c r="A170" s="615" t="str">
        <f>报表格式!E46</f>
        <v>递延所得税负债</v>
      </c>
      <c r="B170" s="621">
        <f>报表格式!F46</f>
        <v>163</v>
      </c>
      <c r="C170" s="322"/>
      <c r="D170" s="322"/>
    </row>
    <row r="171" spans="1:4" ht="13.95" customHeight="1">
      <c r="A171" s="615" t="str">
        <f>报表格式!E47</f>
        <v>其他非流动负债</v>
      </c>
      <c r="B171" s="621">
        <f>报表格式!F47</f>
        <v>164</v>
      </c>
      <c r="C171" s="371"/>
      <c r="D171" s="371"/>
    </row>
    <row r="172" spans="1:4" ht="13.95" customHeight="1">
      <c r="A172" s="615" t="str">
        <f>报表格式!E48</f>
        <v xml:space="preserve"> 其中：特准储备基金</v>
      </c>
      <c r="B172" s="621">
        <f>报表格式!F48</f>
        <v>165</v>
      </c>
      <c r="C172" s="322"/>
      <c r="D172" s="589"/>
    </row>
    <row r="173" spans="1:4" s="635" customFormat="1" ht="13.95" customHeight="1">
      <c r="A173" s="636" t="str">
        <f>报表格式!E49</f>
        <v>非流动负债合计</v>
      </c>
      <c r="B173" s="633">
        <f>报表格式!F49</f>
        <v>166</v>
      </c>
      <c r="C173" s="637">
        <f>SUM(C159:C161,C164:C171)</f>
        <v>0</v>
      </c>
      <c r="D173" s="637">
        <f>SUM(D159:D161,D164:D171)</f>
        <v>0</v>
      </c>
    </row>
    <row r="174" spans="1:4" s="635" customFormat="1" ht="13.95" customHeight="1">
      <c r="A174" s="636" t="str">
        <f>报表格式!E50</f>
        <v>负 债 合 计</v>
      </c>
      <c r="B174" s="633">
        <f>报表格式!F50</f>
        <v>167</v>
      </c>
      <c r="C174" s="637">
        <f>SUM(C158,C173)</f>
        <v>20514110.34</v>
      </c>
      <c r="D174" s="637">
        <f>SUM(D158,D173)</f>
        <v>9195302</v>
      </c>
    </row>
    <row r="175" spans="1:4" ht="13.95" customHeight="1">
      <c r="A175" s="615" t="str">
        <f>报表格式!E51</f>
        <v>股东权益：</v>
      </c>
      <c r="B175" s="621">
        <f>报表格式!F51</f>
        <v>168</v>
      </c>
      <c r="C175" s="371"/>
      <c r="D175" s="373"/>
    </row>
    <row r="176" spans="1:4" ht="13.95" customHeight="1">
      <c r="A176" s="615" t="str">
        <f>报表格式!E52</f>
        <v>实收资本（或股本）</v>
      </c>
      <c r="B176" s="621">
        <f>报表格式!F52</f>
        <v>169</v>
      </c>
      <c r="C176" s="371">
        <v>51350000</v>
      </c>
      <c r="D176" s="373">
        <v>51000000</v>
      </c>
    </row>
    <row r="177" spans="1:4" ht="13.95" customHeight="1">
      <c r="A177" s="615" t="str">
        <f>报表格式!E53</f>
        <v>其他权益工具</v>
      </c>
      <c r="B177" s="621">
        <f>报表格式!F53</f>
        <v>170</v>
      </c>
      <c r="C177" s="371"/>
      <c r="D177" s="373"/>
    </row>
    <row r="178" spans="1:4" ht="13.95" customHeight="1">
      <c r="A178" s="615" t="str">
        <f>报表格式!E54</f>
        <v xml:space="preserve">  其中：优先股</v>
      </c>
      <c r="B178" s="621">
        <f>报表格式!F54</f>
        <v>171</v>
      </c>
      <c r="C178" s="371"/>
      <c r="D178" s="373"/>
    </row>
    <row r="179" spans="1:4" ht="13.95" customHeight="1">
      <c r="A179" s="615" t="str">
        <f>报表格式!E55</f>
        <v xml:space="preserve">        永续债</v>
      </c>
      <c r="B179" s="621">
        <f>报表格式!F55</f>
        <v>172</v>
      </c>
      <c r="C179" s="371"/>
      <c r="D179" s="373"/>
    </row>
    <row r="180" spans="1:4" ht="13.95" customHeight="1">
      <c r="A180" s="615" t="str">
        <f>报表格式!E56</f>
        <v>资本公积</v>
      </c>
      <c r="B180" s="621">
        <f>报表格式!F56</f>
        <v>173</v>
      </c>
      <c r="C180" s="371">
        <v>2953786.8</v>
      </c>
      <c r="D180" s="373">
        <v>2253786.7999999998</v>
      </c>
    </row>
    <row r="181" spans="1:4" ht="13.95" customHeight="1">
      <c r="A181" s="615" t="str">
        <f>报表格式!E57</f>
        <v>减：库存股</v>
      </c>
      <c r="B181" s="621">
        <f>报表格式!F57</f>
        <v>174</v>
      </c>
      <c r="C181" s="371"/>
      <c r="D181" s="373"/>
    </row>
    <row r="182" spans="1:4" ht="13.95" customHeight="1">
      <c r="A182" s="615" t="str">
        <f>报表格式!E58</f>
        <v>其他综合收益</v>
      </c>
      <c r="B182" s="621">
        <f>报表格式!F58</f>
        <v>175</v>
      </c>
      <c r="C182" s="371"/>
      <c r="D182" s="373"/>
    </row>
    <row r="183" spans="1:4" ht="13.95" customHeight="1">
      <c r="A183" s="615" t="str">
        <f>报表格式!E59</f>
        <v>专项储备</v>
      </c>
      <c r="B183" s="621">
        <f>报表格式!F59</f>
        <v>176</v>
      </c>
      <c r="C183" s="371"/>
      <c r="D183" s="373"/>
    </row>
    <row r="184" spans="1:4" ht="13.95" customHeight="1">
      <c r="A184" s="615" t="str">
        <f>报表格式!E60</f>
        <v>盈余公积</v>
      </c>
      <c r="B184" s="621">
        <f>报表格式!F60</f>
        <v>177</v>
      </c>
      <c r="C184" s="371">
        <v>907107.19</v>
      </c>
      <c r="D184" s="373">
        <v>907107.19</v>
      </c>
    </row>
    <row r="185" spans="1:4" s="613" customFormat="1" ht="13.95" customHeight="1">
      <c r="A185" s="615" t="str">
        <f>报表格式!E61</f>
        <v>一般风险准备*</v>
      </c>
      <c r="B185" s="621">
        <f>报表格式!F61</f>
        <v>178</v>
      </c>
      <c r="C185" s="371"/>
      <c r="D185" s="373"/>
    </row>
    <row r="186" spans="1:4" ht="13.95" customHeight="1">
      <c r="A186" s="615" t="str">
        <f>报表格式!E62</f>
        <v>未分配利润</v>
      </c>
      <c r="B186" s="621">
        <f>报表格式!F62</f>
        <v>179</v>
      </c>
      <c r="C186" s="371">
        <v>32894355.719999999</v>
      </c>
      <c r="D186" s="373">
        <v>8163964.6899999995</v>
      </c>
    </row>
    <row r="187" spans="1:4" ht="13.95" customHeight="1">
      <c r="A187" s="615" t="str">
        <f>报表格式!E63</f>
        <v>归属于母公司所有者权益（或股东权益）合计</v>
      </c>
      <c r="B187" s="621">
        <f>报表格式!F63</f>
        <v>180</v>
      </c>
      <c r="C187" s="614">
        <f>SUM(C176:C177,C180,-C181,C182:C186)</f>
        <v>88105249.709999993</v>
      </c>
      <c r="D187" s="614">
        <f>SUM(D176:D177,D180,-D181,D182:D186)</f>
        <v>62324858.679999992</v>
      </c>
    </row>
    <row r="188" spans="1:4" ht="13.95" customHeight="1">
      <c r="A188" s="615" t="str">
        <f>报表格式!E64</f>
        <v>少数股东权益</v>
      </c>
      <c r="B188" s="621">
        <f>报表格式!F64</f>
        <v>181</v>
      </c>
      <c r="C188" s="371"/>
      <c r="D188" s="373"/>
    </row>
    <row r="189" spans="1:4" ht="13.95" customHeight="1">
      <c r="A189" s="636" t="str">
        <f>报表格式!E65</f>
        <v>所有者权益（或股东权益）合计</v>
      </c>
      <c r="B189" s="633">
        <f>报表格式!F65</f>
        <v>182</v>
      </c>
      <c r="C189" s="637">
        <f>SUM(C187:C188)</f>
        <v>88105249.709999993</v>
      </c>
      <c r="D189" s="730">
        <f>SUM(D187:D188)</f>
        <v>62324858.679999992</v>
      </c>
    </row>
    <row r="190" spans="1:4" ht="15.75" customHeight="1">
      <c r="A190" s="731" t="str">
        <f>报表格式!E66</f>
        <v>负债和所有者权益（或股东权益）总计</v>
      </c>
      <c r="B190" s="732">
        <f>报表格式!F66</f>
        <v>183</v>
      </c>
      <c r="C190" s="656">
        <f>SUM(C174,C189)</f>
        <v>108619360.05</v>
      </c>
      <c r="D190" s="656">
        <f>SUM(D174,D189)</f>
        <v>71520160.679999992</v>
      </c>
    </row>
    <row r="191" spans="1:4" ht="13.95" customHeight="1">
      <c r="A191" s="1015" t="str">
        <f>报表格式!H3</f>
        <v>损   益   类</v>
      </c>
      <c r="B191" s="629" t="s">
        <v>4</v>
      </c>
      <c r="C191" s="195" t="str">
        <f>参数!D10</f>
        <v>2022年度</v>
      </c>
      <c r="D191" s="200" t="str">
        <f>参数!D9</f>
        <v>2021年度</v>
      </c>
    </row>
    <row r="192" spans="1:4" ht="13.95" customHeight="1">
      <c r="A192" s="615" t="str">
        <f>报表格式!H5</f>
        <v>一、营业总收入</v>
      </c>
      <c r="B192" s="621">
        <f>报表格式!I5</f>
        <v>1</v>
      </c>
      <c r="C192" s="614">
        <f>SUM(C193:C197)</f>
        <v>34154787.82</v>
      </c>
      <c r="D192" s="614">
        <f>SUM(D193:D197)</f>
        <v>22980342.579999998</v>
      </c>
    </row>
    <row r="193" spans="1:4" ht="13.95" customHeight="1">
      <c r="A193" s="615" t="str">
        <f>报表格式!H6</f>
        <v xml:space="preserve">        其中：主营业务收入</v>
      </c>
      <c r="B193" s="621">
        <f>报表格式!I6</f>
        <v>2</v>
      </c>
      <c r="C193" s="371">
        <v>34154787.82</v>
      </c>
      <c r="D193" s="371">
        <v>22980342.579999998</v>
      </c>
    </row>
    <row r="194" spans="1:4" ht="13.95" customHeight="1">
      <c r="A194" s="615" t="str">
        <f>报表格式!H7</f>
        <v xml:space="preserve">              其他业务收入</v>
      </c>
      <c r="B194" s="621">
        <f>报表格式!I7</f>
        <v>3</v>
      </c>
      <c r="C194" s="371"/>
      <c r="D194" s="371"/>
    </row>
    <row r="195" spans="1:4" ht="13.95" customHeight="1">
      <c r="A195" s="615" t="str">
        <f>报表格式!H8</f>
        <v xml:space="preserve">           利息收入*</v>
      </c>
      <c r="B195" s="621">
        <f>报表格式!I8</f>
        <v>4</v>
      </c>
      <c r="C195" s="371"/>
      <c r="D195" s="371"/>
    </row>
    <row r="196" spans="1:4" ht="13.95" customHeight="1">
      <c r="A196" s="615" t="str">
        <f>报表格式!H9</f>
        <v xml:space="preserve">           已赚保费*</v>
      </c>
      <c r="B196" s="621">
        <f>报表格式!I9</f>
        <v>5</v>
      </c>
      <c r="C196" s="371"/>
      <c r="D196" s="371"/>
    </row>
    <row r="197" spans="1:4" ht="13.95" customHeight="1">
      <c r="A197" s="615" t="str">
        <f>报表格式!H10</f>
        <v xml:space="preserve">           手续费及佣金收入*</v>
      </c>
      <c r="B197" s="621">
        <f>报表格式!I10</f>
        <v>6</v>
      </c>
      <c r="C197" s="371"/>
      <c r="D197" s="371"/>
    </row>
    <row r="198" spans="1:4" ht="13.95" customHeight="1">
      <c r="A198" s="615" t="str">
        <f>报表格式!H11</f>
        <v xml:space="preserve">    减：营业总成本</v>
      </c>
      <c r="B198" s="621">
        <f>报表格式!I11</f>
        <v>7</v>
      </c>
      <c r="C198" s="614">
        <f>SUM(C199:C212,C216)</f>
        <v>29586941.59</v>
      </c>
      <c r="D198" s="614">
        <f>SUM(D199:D212,D216)</f>
        <v>10426499.75</v>
      </c>
    </row>
    <row r="199" spans="1:4" ht="13.95" customHeight="1">
      <c r="A199" s="615" t="str">
        <f>报表格式!H12</f>
        <v xml:space="preserve">        其中：主营业务成本</v>
      </c>
      <c r="B199" s="621">
        <f>报表格式!I12</f>
        <v>8</v>
      </c>
      <c r="C199" s="371">
        <v>18745916.609999999</v>
      </c>
      <c r="D199" s="371">
        <v>9866189.1400000006</v>
      </c>
    </row>
    <row r="200" spans="1:4" ht="13.95" customHeight="1">
      <c r="A200" s="615" t="str">
        <f>报表格式!H13</f>
        <v xml:space="preserve">              其他业务成本</v>
      </c>
      <c r="B200" s="621">
        <f>报表格式!I13</f>
        <v>9</v>
      </c>
      <c r="C200" s="371"/>
      <c r="D200" s="371"/>
    </row>
    <row r="201" spans="1:4" ht="13.95" customHeight="1">
      <c r="A201" s="615" t="str">
        <f>报表格式!H14</f>
        <v xml:space="preserve">        利息支出*</v>
      </c>
      <c r="B201" s="621">
        <f>报表格式!I14</f>
        <v>10</v>
      </c>
      <c r="C201" s="371"/>
      <c r="D201" s="371"/>
    </row>
    <row r="202" spans="1:4" ht="13.95" customHeight="1">
      <c r="A202" s="615" t="str">
        <f>报表格式!H15</f>
        <v xml:space="preserve">        手续费及佣金支出*</v>
      </c>
      <c r="B202" s="621">
        <f>报表格式!I15</f>
        <v>11</v>
      </c>
      <c r="C202" s="371"/>
      <c r="D202" s="371"/>
    </row>
    <row r="203" spans="1:4" ht="13.95" customHeight="1">
      <c r="A203" s="615" t="str">
        <f>报表格式!H16</f>
        <v xml:space="preserve">        退保金*</v>
      </c>
      <c r="B203" s="621">
        <f>报表格式!I16</f>
        <v>12</v>
      </c>
      <c r="C203" s="371"/>
      <c r="D203" s="371"/>
    </row>
    <row r="204" spans="1:4" ht="13.95" customHeight="1">
      <c r="A204" s="615" t="str">
        <f>报表格式!H17</f>
        <v xml:space="preserve">        赔付支出净额*</v>
      </c>
      <c r="B204" s="621">
        <f>报表格式!I17</f>
        <v>13</v>
      </c>
      <c r="C204" s="371"/>
      <c r="D204" s="371"/>
    </row>
    <row r="205" spans="1:4" s="613" customFormat="1" ht="13.95" customHeight="1">
      <c r="A205" s="615" t="str">
        <f>报表格式!H18</f>
        <v xml:space="preserve">        提取保险责任准备金净额*</v>
      </c>
      <c r="B205" s="621">
        <f>报表格式!I18</f>
        <v>14</v>
      </c>
      <c r="C205" s="371"/>
      <c r="D205" s="371"/>
    </row>
    <row r="206" spans="1:4" ht="13.95" customHeight="1">
      <c r="A206" s="615" t="str">
        <f>报表格式!H19</f>
        <v xml:space="preserve">        保单红利支出*</v>
      </c>
      <c r="B206" s="621">
        <f>报表格式!I19</f>
        <v>15</v>
      </c>
      <c r="C206" s="371"/>
      <c r="D206" s="371"/>
    </row>
    <row r="207" spans="1:4" ht="13.95" customHeight="1">
      <c r="A207" s="615" t="str">
        <f>报表格式!H20</f>
        <v xml:space="preserve">        分保费用*</v>
      </c>
      <c r="B207" s="621">
        <f>报表格式!I20</f>
        <v>16</v>
      </c>
      <c r="C207" s="371"/>
      <c r="D207" s="371"/>
    </row>
    <row r="208" spans="1:4" ht="13.95" customHeight="1">
      <c r="A208" s="615" t="str">
        <f>报表格式!H21</f>
        <v xml:space="preserve">        税金及附加</v>
      </c>
      <c r="B208" s="621">
        <f>报表格式!I21</f>
        <v>17</v>
      </c>
      <c r="C208" s="371">
        <v>139506.91</v>
      </c>
      <c r="D208" s="371">
        <v>112613.94</v>
      </c>
    </row>
    <row r="209" spans="1:4" ht="13.95" customHeight="1">
      <c r="A209" s="615" t="str">
        <f>报表格式!H22</f>
        <v xml:space="preserve">        销售费用</v>
      </c>
      <c r="B209" s="621">
        <f>报表格式!I22</f>
        <v>18</v>
      </c>
      <c r="C209" s="371"/>
      <c r="D209" s="371"/>
    </row>
    <row r="210" spans="1:4" ht="13.95" customHeight="1">
      <c r="A210" s="615" t="str">
        <f>报表格式!H23</f>
        <v xml:space="preserve">        管理费用</v>
      </c>
      <c r="B210" s="621">
        <f>报表格式!I23</f>
        <v>19</v>
      </c>
      <c r="C210" s="371">
        <v>10711569.51</v>
      </c>
      <c r="D210" s="371">
        <v>479456.63</v>
      </c>
    </row>
    <row r="211" spans="1:4" ht="13.95" customHeight="1">
      <c r="A211" s="615" t="str">
        <f>报表格式!H24</f>
        <v xml:space="preserve">        研发费用</v>
      </c>
      <c r="B211" s="621">
        <f>报表格式!I24</f>
        <v>20</v>
      </c>
      <c r="C211" s="371"/>
      <c r="D211" s="371"/>
    </row>
    <row r="212" spans="1:4" ht="13.95" customHeight="1">
      <c r="A212" s="615" t="str">
        <f>报表格式!H25</f>
        <v xml:space="preserve">        财务费用</v>
      </c>
      <c r="B212" s="621">
        <f>报表格式!I25</f>
        <v>21</v>
      </c>
      <c r="C212" s="371">
        <v>-10051.44</v>
      </c>
      <c r="D212" s="371">
        <v>-31759.960000000003</v>
      </c>
    </row>
    <row r="213" spans="1:4" ht="13.95" customHeight="1">
      <c r="A213" s="615" t="str">
        <f>报表格式!H26</f>
        <v xml:space="preserve">        其中：利息费用</v>
      </c>
      <c r="B213" s="621">
        <f>报表格式!I26</f>
        <v>22</v>
      </c>
      <c r="C213" s="371"/>
      <c r="D213" s="371"/>
    </row>
    <row r="214" spans="1:4" ht="13.95" customHeight="1">
      <c r="A214" s="615" t="str">
        <f>报表格式!H27</f>
        <v xml:space="preserve">              利息收入</v>
      </c>
      <c r="B214" s="621">
        <f>报表格式!I27</f>
        <v>23</v>
      </c>
      <c r="C214" s="371">
        <v>10000</v>
      </c>
      <c r="D214" s="371"/>
    </row>
    <row r="215" spans="1:4" ht="13.95" customHeight="1">
      <c r="A215" s="615" t="str">
        <f>报表格式!H28</f>
        <v xml:space="preserve">              汇兑净损失（净收益以“－”号填列）</v>
      </c>
      <c r="B215" s="621">
        <f>报表格式!I28</f>
        <v>24</v>
      </c>
      <c r="C215" s="371">
        <v>-234</v>
      </c>
      <c r="D215" s="371"/>
    </row>
    <row r="216" spans="1:4" ht="13.95" customHeight="1">
      <c r="A216" s="615" t="str">
        <f>报表格式!H29</f>
        <v xml:space="preserve">      其他</v>
      </c>
      <c r="B216" s="621">
        <f>报表格式!I29</f>
        <v>25</v>
      </c>
      <c r="C216" s="371"/>
      <c r="D216" s="371"/>
    </row>
    <row r="217" spans="1:4" ht="13.95" customHeight="1">
      <c r="A217" s="615" t="str">
        <f>报表格式!H30</f>
        <v xml:space="preserve">    加：其他收益</v>
      </c>
      <c r="B217" s="621">
        <f>报表格式!I30</f>
        <v>26</v>
      </c>
      <c r="C217" s="371"/>
      <c r="D217" s="371"/>
    </row>
    <row r="218" spans="1:4" ht="13.95" customHeight="1">
      <c r="A218" s="615" t="str">
        <f>报表格式!H31</f>
        <v xml:space="preserve">        投资收益（损失以“－”号填列）</v>
      </c>
      <c r="B218" s="621">
        <f>报表格式!I31</f>
        <v>27</v>
      </c>
      <c r="C218" s="371">
        <v>22947224.460000001</v>
      </c>
      <c r="D218" s="371">
        <v>10512385.210000001</v>
      </c>
    </row>
    <row r="219" spans="1:4" ht="13.95" customHeight="1">
      <c r="A219" s="615" t="str">
        <f>报表格式!H32</f>
        <v xml:space="preserve">        其中：对联营企业和合营企业的投资收益</v>
      </c>
      <c r="B219" s="621">
        <f>报表格式!I32</f>
        <v>28</v>
      </c>
      <c r="C219" s="371">
        <v>22947224.460000001</v>
      </c>
      <c r="D219" s="371"/>
    </row>
    <row r="220" spans="1:4" ht="13.95" customHeight="1">
      <c r="A220" s="615" t="str">
        <f>报表格式!H33</f>
        <v xml:space="preserve">              以摊余成本计量的金融资产终止确认收益（损失以“-”号填列）</v>
      </c>
      <c r="B220" s="621">
        <f>报表格式!I33</f>
        <v>29</v>
      </c>
      <c r="C220" s="371"/>
      <c r="D220" s="371"/>
    </row>
    <row r="221" spans="1:4" ht="13.95" customHeight="1">
      <c r="A221" s="615" t="str">
        <f>报表格式!H34</f>
        <v xml:space="preserve">        汇兑收益（损失以“-”号填列）*</v>
      </c>
      <c r="B221" s="621">
        <f>报表格式!I34</f>
        <v>30</v>
      </c>
      <c r="C221" s="371"/>
      <c r="D221" s="371"/>
    </row>
    <row r="222" spans="1:4" ht="13.95" customHeight="1">
      <c r="A222" s="615" t="str">
        <f>报表格式!H35</f>
        <v xml:space="preserve">        净敞口套期收益（损失以“-”号填列）</v>
      </c>
      <c r="B222" s="621">
        <f>报表格式!I35</f>
        <v>31</v>
      </c>
      <c r="C222" s="371"/>
      <c r="D222" s="371"/>
    </row>
    <row r="223" spans="1:4" ht="13.95" customHeight="1">
      <c r="A223" s="615" t="str">
        <f>报表格式!H36</f>
        <v xml:space="preserve">        公允价值变动收益（损失以“－”号填列）</v>
      </c>
      <c r="B223" s="621">
        <f>报表格式!I36</f>
        <v>32</v>
      </c>
      <c r="C223" s="371"/>
      <c r="D223" s="371"/>
    </row>
    <row r="224" spans="1:4" ht="13.95" customHeight="1">
      <c r="A224" s="615" t="str">
        <f>报表格式!H37</f>
        <v xml:space="preserve">        信用减值损失（损失以“-”号填列）</v>
      </c>
      <c r="B224" s="621">
        <f>报表格式!I37</f>
        <v>33</v>
      </c>
      <c r="C224" s="371">
        <v>-19423.93</v>
      </c>
      <c r="D224" s="371">
        <v>1724647.26</v>
      </c>
    </row>
    <row r="225" spans="1:4" ht="13.95" customHeight="1">
      <c r="A225" s="615" t="str">
        <f>报表格式!H38</f>
        <v xml:space="preserve">        资产减值损失（损失以“-”号填列）</v>
      </c>
      <c r="B225" s="621">
        <f>报表格式!I38</f>
        <v>34</v>
      </c>
      <c r="C225" s="371"/>
      <c r="D225" s="371"/>
    </row>
    <row r="226" spans="1:4" ht="13.95" customHeight="1">
      <c r="A226" s="615" t="str">
        <f>报表格式!H39</f>
        <v xml:space="preserve">        资产处置收益（损失以“-”号填列）</v>
      </c>
      <c r="B226" s="621">
        <f>报表格式!I39</f>
        <v>35</v>
      </c>
      <c r="C226" s="371"/>
      <c r="D226" s="371"/>
    </row>
    <row r="227" spans="1:4" ht="13.95" customHeight="1">
      <c r="A227" s="615" t="str">
        <f>报表格式!H40</f>
        <v>二、营业利润（亏损以“－”号填列）</v>
      </c>
      <c r="B227" s="621">
        <f>报表格式!I40</f>
        <v>36</v>
      </c>
      <c r="C227" s="614">
        <f>C192-C198+SUM(C217:C218,C221:C226)</f>
        <v>27495646.760000002</v>
      </c>
      <c r="D227" s="614">
        <f>D192-D198+SUM(D217:D218,D221:D226)</f>
        <v>24790875.299999997</v>
      </c>
    </row>
    <row r="228" spans="1:4" ht="13.95" customHeight="1">
      <c r="A228" s="615" t="str">
        <f>报表格式!H41</f>
        <v xml:space="preserve">    加：营业外收入</v>
      </c>
      <c r="B228" s="621">
        <f>报表格式!I41</f>
        <v>37</v>
      </c>
      <c r="C228" s="371">
        <v>3000</v>
      </c>
      <c r="D228" s="371"/>
    </row>
    <row r="229" spans="1:4" ht="13.95" customHeight="1">
      <c r="A229" s="615" t="str">
        <f>报表格式!H42</f>
        <v xml:space="preserve">                 其中：政府补助</v>
      </c>
      <c r="B229" s="621">
        <f>报表格式!I42</f>
        <v>38</v>
      </c>
      <c r="C229" s="371">
        <v>1000</v>
      </c>
      <c r="D229" s="371"/>
    </row>
    <row r="230" spans="1:4" ht="13.95" customHeight="1">
      <c r="A230" s="615" t="str">
        <f>报表格式!H43</f>
        <v xml:space="preserve">    减：营业外支出</v>
      </c>
      <c r="B230" s="621">
        <f>报表格式!I43</f>
        <v>39</v>
      </c>
      <c r="C230" s="371"/>
      <c r="D230" s="371"/>
    </row>
    <row r="231" spans="1:4" ht="13.95" customHeight="1">
      <c r="A231" s="615" t="str">
        <f>报表格式!H44</f>
        <v>三、利润总额（亏损总额以“－”号填列）</v>
      </c>
      <c r="B231" s="621">
        <f>报表格式!I44</f>
        <v>40</v>
      </c>
      <c r="C231" s="614">
        <f>C227+C228-C230</f>
        <v>27498646.760000002</v>
      </c>
      <c r="D231" s="614">
        <f>D227+D228-D230</f>
        <v>24790875.299999997</v>
      </c>
    </row>
    <row r="232" spans="1:4" ht="13.95" customHeight="1">
      <c r="A232" s="615" t="str">
        <f>报表格式!H45</f>
        <v xml:space="preserve">    减：所得税费用</v>
      </c>
      <c r="B232" s="621">
        <f>报表格式!I45</f>
        <v>41</v>
      </c>
      <c r="C232" s="371">
        <v>2768255.73</v>
      </c>
      <c r="D232" s="371">
        <v>3569622.5200000005</v>
      </c>
    </row>
    <row r="233" spans="1:4" ht="13.95" customHeight="1">
      <c r="A233" s="615" t="str">
        <f>报表格式!H46</f>
        <v>四、净利润（净亏损以“－”号填列）</v>
      </c>
      <c r="B233" s="621">
        <f>报表格式!I46</f>
        <v>42</v>
      </c>
      <c r="C233" s="614">
        <f>C231-C232</f>
        <v>24730391.030000001</v>
      </c>
      <c r="D233" s="614">
        <f>D231-D232</f>
        <v>21221252.779999997</v>
      </c>
    </row>
    <row r="234" spans="1:4" ht="13.95" customHeight="1">
      <c r="A234" s="615" t="str">
        <f>报表格式!H47</f>
        <v>同一控制下企业合并的被合并方在合并前实现的净利润</v>
      </c>
      <c r="B234" s="621">
        <f>报表格式!I47</f>
        <v>43</v>
      </c>
      <c r="C234" s="371"/>
      <c r="D234" s="371"/>
    </row>
    <row r="235" spans="1:4" ht="13.95" customHeight="1">
      <c r="A235" s="615" t="str">
        <f>报表格式!H48</f>
        <v xml:space="preserve"> （一）按经营持续性分类</v>
      </c>
      <c r="B235" s="621">
        <f>报表格式!I48</f>
        <v>44</v>
      </c>
      <c r="C235" s="371"/>
      <c r="D235" s="371"/>
    </row>
    <row r="236" spans="1:4" ht="13.95" customHeight="1">
      <c r="A236" s="615" t="str">
        <f>报表格式!H49</f>
        <v xml:space="preserve">     其中：持续经营净利润（净亏损以“-”号填列）</v>
      </c>
      <c r="B236" s="621">
        <f>报表格式!I49</f>
        <v>45</v>
      </c>
      <c r="C236" s="371">
        <v>24730391.030000001</v>
      </c>
      <c r="D236" s="371"/>
    </row>
    <row r="237" spans="1:4" ht="13.95" customHeight="1">
      <c r="A237" s="615" t="str">
        <f>报表格式!H50</f>
        <v xml:space="preserve">                 终止经营净利润（净亏损以“-”号填列）</v>
      </c>
      <c r="B237" s="621">
        <f>报表格式!I50</f>
        <v>46</v>
      </c>
      <c r="C237" s="371"/>
      <c r="D237" s="371"/>
    </row>
    <row r="238" spans="1:4" ht="13.95" customHeight="1">
      <c r="A238" s="615" t="str">
        <f>报表格式!H51</f>
        <v xml:space="preserve"> （二）按所有权归属分类</v>
      </c>
      <c r="B238" s="621">
        <f>报表格式!I51</f>
        <v>47</v>
      </c>
      <c r="C238" s="371"/>
      <c r="D238" s="371"/>
    </row>
    <row r="239" spans="1:4" ht="13.95" customHeight="1">
      <c r="A239" s="615" t="str">
        <f>报表格式!H52</f>
        <v xml:space="preserve">     其中：归属于母公司所有者（或股东）的净利润（净亏损以“-”号填列）</v>
      </c>
      <c r="B239" s="621">
        <f>报表格式!I52</f>
        <v>48</v>
      </c>
      <c r="C239" s="614">
        <f>C233-C240</f>
        <v>24730391.030000001</v>
      </c>
      <c r="D239" s="614">
        <f>D233-D240</f>
        <v>21221252.779999997</v>
      </c>
    </row>
    <row r="240" spans="1:4" ht="13.95" customHeight="1">
      <c r="A240" s="615" t="str">
        <f>报表格式!H53</f>
        <v xml:space="preserve">                 少数股东损益（净亏损以“-”号填列）</v>
      </c>
      <c r="B240" s="621">
        <f>报表格式!I53</f>
        <v>49</v>
      </c>
      <c r="C240" s="371"/>
      <c r="D240" s="371"/>
    </row>
    <row r="241" spans="1:4" ht="13.95" customHeight="1">
      <c r="A241" s="615" t="str">
        <f>报表格式!H54</f>
        <v>五、其他综合收益的税后净额</v>
      </c>
      <c r="B241" s="621">
        <f>报表格式!I54</f>
        <v>50</v>
      </c>
      <c r="C241" s="614">
        <f>SUM(C242,C259)</f>
        <v>0</v>
      </c>
      <c r="D241" s="614">
        <f>SUM(D242,D259)</f>
        <v>0</v>
      </c>
    </row>
    <row r="242" spans="1:4" ht="13.95" customHeight="1">
      <c r="A242" s="615" t="str">
        <f>报表格式!H55</f>
        <v>归属于母公司所有者（或股东）的其他综合收益的税后净额</v>
      </c>
      <c r="B242" s="621">
        <f>报表格式!I55</f>
        <v>51</v>
      </c>
      <c r="C242" s="614">
        <f>SUM(C243,C249)</f>
        <v>0</v>
      </c>
      <c r="D242" s="614">
        <f>SUM(D243,D249)</f>
        <v>0</v>
      </c>
    </row>
    <row r="243" spans="1:4" ht="13.95" customHeight="1">
      <c r="A243" s="615" t="str">
        <f>报表格式!H56</f>
        <v xml:space="preserve">  （一）不能重分类进损益的其他综合收益</v>
      </c>
      <c r="B243" s="621">
        <f>报表格式!I56</f>
        <v>52</v>
      </c>
      <c r="C243" s="614">
        <f>SUM(C244:C248)</f>
        <v>0</v>
      </c>
      <c r="D243" s="614">
        <f>SUM(D244:D248)</f>
        <v>0</v>
      </c>
    </row>
    <row r="244" spans="1:4" ht="13.95" customHeight="1">
      <c r="A244" s="615" t="str">
        <f>报表格式!H57</f>
        <v>1.重新计量设定受益计划变动额</v>
      </c>
      <c r="B244" s="621">
        <f>报表格式!I57</f>
        <v>53</v>
      </c>
      <c r="C244" s="371"/>
      <c r="D244" s="371"/>
    </row>
    <row r="245" spans="1:4" ht="13.95" customHeight="1">
      <c r="A245" s="615" t="str">
        <f>报表格式!H58</f>
        <v>2.权益法下不能转损益的其他综合收益</v>
      </c>
      <c r="B245" s="621">
        <f>报表格式!I58</f>
        <v>54</v>
      </c>
      <c r="C245" s="371"/>
      <c r="D245" s="371"/>
    </row>
    <row r="246" spans="1:4" ht="13.95" customHeight="1">
      <c r="A246" s="615" t="str">
        <f>报表格式!H59</f>
        <v xml:space="preserve">3.其他权益工具投资公允价值变动 </v>
      </c>
      <c r="B246" s="621">
        <f>报表格式!I59</f>
        <v>55</v>
      </c>
      <c r="C246" s="371"/>
      <c r="D246" s="371"/>
    </row>
    <row r="247" spans="1:4" ht="13.95" customHeight="1">
      <c r="A247" s="615" t="str">
        <f>报表格式!H60</f>
        <v xml:space="preserve">4.企业自身信用风险公允价值变动 </v>
      </c>
      <c r="B247" s="621">
        <f>报表格式!I60</f>
        <v>56</v>
      </c>
      <c r="C247" s="371"/>
      <c r="D247" s="371"/>
    </row>
    <row r="248" spans="1:4" ht="13.95" customHeight="1">
      <c r="A248" s="615" t="str">
        <f>报表格式!H61</f>
        <v>5.其他</v>
      </c>
      <c r="B248" s="621">
        <f>报表格式!I61</f>
        <v>57</v>
      </c>
      <c r="C248" s="371"/>
      <c r="D248" s="371"/>
    </row>
    <row r="249" spans="1:4" ht="13.95" customHeight="1">
      <c r="A249" s="615" t="str">
        <f>报表格式!H62</f>
        <v xml:space="preserve">  （二）将重分类进损益的其他综合收益</v>
      </c>
      <c r="B249" s="621">
        <f>报表格式!I62</f>
        <v>58</v>
      </c>
      <c r="C249" s="614">
        <f>SUM(C250:C258)</f>
        <v>0</v>
      </c>
      <c r="D249" s="614">
        <f>SUM(D250:D258)</f>
        <v>0</v>
      </c>
    </row>
    <row r="250" spans="1:4" ht="13.95" customHeight="1">
      <c r="A250" s="615" t="str">
        <f>报表格式!H63</f>
        <v>1.权益法下可转损益的其他综合收益</v>
      </c>
      <c r="B250" s="621">
        <f>报表格式!I63</f>
        <v>59</v>
      </c>
      <c r="C250" s="371"/>
      <c r="D250" s="371"/>
    </row>
    <row r="251" spans="1:4" ht="13.95" customHeight="1">
      <c r="A251" s="615" t="str">
        <f>报表格式!H64</f>
        <v xml:space="preserve">2.其他债权投资公允价值变动 </v>
      </c>
      <c r="B251" s="621">
        <f>报表格式!I64</f>
        <v>60</v>
      </c>
      <c r="C251" s="371"/>
      <c r="D251" s="371"/>
    </row>
    <row r="252" spans="1:4" ht="13.95" customHeight="1">
      <c r="A252" s="615" t="str">
        <f>报表格式!H65</f>
        <v xml:space="preserve">3.金融资产重分类计入其他综合收益的金额 </v>
      </c>
      <c r="B252" s="621">
        <f>报表格式!I65</f>
        <v>61</v>
      </c>
      <c r="C252" s="371"/>
      <c r="D252" s="371"/>
    </row>
    <row r="253" spans="1:4" s="613" customFormat="1" ht="13.95" customHeight="1">
      <c r="A253" s="615" t="str">
        <f>报表格式!H66</f>
        <v>4.其他债权投资信用减值准备</v>
      </c>
      <c r="B253" s="621">
        <f>报表格式!I66</f>
        <v>62</v>
      </c>
      <c r="C253" s="371"/>
      <c r="D253" s="371"/>
    </row>
    <row r="254" spans="1:4" ht="13.95" customHeight="1">
      <c r="A254" s="615" t="str">
        <f>报表格式!H67</f>
        <v>5.现金流量套期储备</v>
      </c>
      <c r="B254" s="621">
        <f>报表格式!I67</f>
        <v>63</v>
      </c>
      <c r="C254" s="371"/>
      <c r="D254" s="371"/>
    </row>
    <row r="255" spans="1:4" ht="13.95" customHeight="1">
      <c r="A255" s="615" t="str">
        <f>报表格式!H68</f>
        <v>6.外币财务报表折算差额</v>
      </c>
      <c r="B255" s="621">
        <f>报表格式!I68</f>
        <v>64</v>
      </c>
      <c r="C255" s="371"/>
      <c r="D255" s="371"/>
    </row>
    <row r="256" spans="1:4" ht="13.95" customHeight="1">
      <c r="A256" s="615" t="str">
        <f>报表格式!H69</f>
        <v>7.自用房地产或作为存货的房地产转换为以公允价值计量的投资性房地产在转换日公允价值大于账面价值部分</v>
      </c>
      <c r="B256" s="621">
        <f>报表格式!I69</f>
        <v>65</v>
      </c>
      <c r="C256" s="371"/>
      <c r="D256" s="371"/>
    </row>
    <row r="257" spans="1:4" ht="13.95" customHeight="1">
      <c r="A257" s="615" t="str">
        <f>报表格式!H70</f>
        <v>8.多次交易分步处置子公司股权构成一揽子交易的，丧失控制权之前各次交易处置价款与对应净资产账面价值份额的差额</v>
      </c>
      <c r="B257" s="621">
        <f>报表格式!I70</f>
        <v>66</v>
      </c>
      <c r="C257" s="371"/>
      <c r="D257" s="371"/>
    </row>
    <row r="258" spans="1:4" ht="13.95" customHeight="1">
      <c r="A258" s="615" t="str">
        <f>报表格式!H71</f>
        <v>9.其他</v>
      </c>
      <c r="B258" s="621">
        <f>报表格式!I71</f>
        <v>67</v>
      </c>
      <c r="C258" s="371"/>
      <c r="D258" s="371"/>
    </row>
    <row r="259" spans="1:4" ht="13.95" customHeight="1">
      <c r="A259" s="615" t="str">
        <f>报表格式!H72</f>
        <v>归属于少数股东的其他综合收益的税后净额</v>
      </c>
      <c r="B259" s="621">
        <f>报表格式!I72</f>
        <v>68</v>
      </c>
      <c r="C259" s="371"/>
      <c r="D259" s="371"/>
    </row>
    <row r="260" spans="1:4" ht="13.95" customHeight="1">
      <c r="A260" s="615" t="str">
        <f>报表格式!H73</f>
        <v>六、综合收益总额</v>
      </c>
      <c r="B260" s="621">
        <f>报表格式!I73</f>
        <v>69</v>
      </c>
      <c r="C260" s="614">
        <f>C233+C241</f>
        <v>24730391.030000001</v>
      </c>
      <c r="D260" s="614">
        <f>D233+D241</f>
        <v>21221252.779999997</v>
      </c>
    </row>
    <row r="261" spans="1:4" ht="13.95" customHeight="1">
      <c r="A261" s="615" t="str">
        <f>报表格式!H74</f>
        <v xml:space="preserve">     归属于母公司所有者（或股东）的综合收益总额</v>
      </c>
      <c r="B261" s="621">
        <f>报表格式!I74</f>
        <v>70</v>
      </c>
      <c r="C261" s="685">
        <f>C242+C239</f>
        <v>24730391.030000001</v>
      </c>
      <c r="D261" s="685">
        <f>D242+D239</f>
        <v>21221252.779999997</v>
      </c>
    </row>
    <row r="262" spans="1:4" ht="13.95" customHeight="1">
      <c r="A262" s="615" t="str">
        <f>报表格式!H75</f>
        <v xml:space="preserve">     归属于少数股东的综合收益总额</v>
      </c>
      <c r="B262" s="621">
        <f>报表格式!I75</f>
        <v>71</v>
      </c>
      <c r="C262" s="685">
        <f>C259+C240</f>
        <v>0</v>
      </c>
      <c r="D262" s="685">
        <f>D259+D240</f>
        <v>0</v>
      </c>
    </row>
    <row r="263" spans="1:4" ht="13.95" customHeight="1">
      <c r="A263" s="615" t="str">
        <f>报表格式!H76</f>
        <v>七、每股收益</v>
      </c>
      <c r="B263" s="621">
        <f>报表格式!I76</f>
        <v>72</v>
      </c>
      <c r="C263" s="371"/>
      <c r="D263" s="371"/>
    </row>
    <row r="264" spans="1:4" ht="13.95" customHeight="1">
      <c r="A264" s="615" t="str">
        <f>报表格式!H77</f>
        <v xml:space="preserve">   （一）基本每股收益</v>
      </c>
      <c r="B264" s="621">
        <f>报表格式!I77</f>
        <v>73</v>
      </c>
      <c r="C264" s="323"/>
      <c r="D264" s="323"/>
    </row>
    <row r="265" spans="1:4" ht="13.95" customHeight="1">
      <c r="A265" s="615" t="str">
        <f>报表格式!H78</f>
        <v xml:space="preserve">   （二）稀释每股收益</v>
      </c>
      <c r="B265" s="621">
        <f>报表格式!I78</f>
        <v>74</v>
      </c>
      <c r="C265" s="588"/>
      <c r="D265" s="588"/>
    </row>
    <row r="266" spans="1:4" ht="13.95" customHeight="1">
      <c r="A266" s="615" t="str">
        <f>报表格式!H79</f>
        <v>加：年初未分配利润</v>
      </c>
      <c r="B266" s="621">
        <f>报表格式!I79</f>
        <v>75</v>
      </c>
      <c r="C266" s="638">
        <f>D277</f>
        <v>8163964.6899999976</v>
      </c>
      <c r="D266" s="588">
        <v>2588996.5500000003</v>
      </c>
    </row>
    <row r="267" spans="1:4" ht="13.95" customHeight="1">
      <c r="A267" s="615" t="str">
        <f>报表格式!H80</f>
        <v>八、可供分配利润</v>
      </c>
      <c r="B267" s="621">
        <f>报表格式!I80</f>
        <v>76</v>
      </c>
      <c r="C267" s="638">
        <f>C266+C239</f>
        <v>32894355.719999999</v>
      </c>
      <c r="D267" s="638">
        <f>D266+D239</f>
        <v>23810249.329999998</v>
      </c>
    </row>
    <row r="268" spans="1:4" ht="13.95" customHeight="1">
      <c r="A268" s="615" t="str">
        <f>报表格式!H81</f>
        <v xml:space="preserve">    1、提取法定盈余公积</v>
      </c>
      <c r="B268" s="621">
        <f>报表格式!I81</f>
        <v>77</v>
      </c>
      <c r="C268" s="709"/>
      <c r="D268" s="709">
        <v>907107.19</v>
      </c>
    </row>
    <row r="269" spans="1:4" ht="13.95" customHeight="1">
      <c r="A269" s="615" t="str">
        <f>报表格式!H82</f>
        <v xml:space="preserve">    2、提取一般风险准备</v>
      </c>
      <c r="B269" s="621">
        <f>报表格式!I82</f>
        <v>78</v>
      </c>
      <c r="C269" s="588"/>
      <c r="D269" s="588"/>
    </row>
    <row r="270" spans="1:4" ht="13.95" customHeight="1">
      <c r="A270" s="615" t="str">
        <f>报表格式!H83</f>
        <v xml:space="preserve">    3、提取其他</v>
      </c>
      <c r="B270" s="621">
        <f>报表格式!I83</f>
        <v>79</v>
      </c>
      <c r="C270" s="588"/>
      <c r="D270" s="588"/>
    </row>
    <row r="271" spans="1:4" ht="13.95" customHeight="1">
      <c r="A271" s="615" t="str">
        <f>报表格式!H84</f>
        <v>九、可供投资者分配的利润</v>
      </c>
      <c r="B271" s="621">
        <f>报表格式!I84</f>
        <v>80</v>
      </c>
      <c r="C271" s="638">
        <f>C267-C268-C269-C270</f>
        <v>32894355.719999999</v>
      </c>
      <c r="D271" s="638">
        <f>D267-D268-D269-D270</f>
        <v>22903142.139999997</v>
      </c>
    </row>
    <row r="272" spans="1:4" ht="13.95" customHeight="1">
      <c r="A272" s="615" t="str">
        <f>报表格式!H85</f>
        <v xml:space="preserve">    1、应付优先股股利</v>
      </c>
      <c r="B272" s="621">
        <f>报表格式!I85</f>
        <v>81</v>
      </c>
      <c r="C272" s="588"/>
      <c r="D272" s="588"/>
    </row>
    <row r="273" spans="1:4" ht="13.95" customHeight="1">
      <c r="A273" s="615" t="str">
        <f>报表格式!H86</f>
        <v xml:space="preserve">    2、提取任意盈余公积</v>
      </c>
      <c r="B273" s="621">
        <f>报表格式!I86</f>
        <v>82</v>
      </c>
      <c r="C273" s="588"/>
      <c r="D273" s="588"/>
    </row>
    <row r="274" spans="1:4" ht="13.95" customHeight="1">
      <c r="A274" s="615" t="str">
        <f>报表格式!H87</f>
        <v xml:space="preserve">    3、应付普通股股利（应付利润）</v>
      </c>
      <c r="B274" s="621">
        <f>报表格式!I87</f>
        <v>83</v>
      </c>
      <c r="C274" s="588"/>
      <c r="D274" s="588">
        <v>13971670.6</v>
      </c>
    </row>
    <row r="275" spans="1:4" ht="13.95" customHeight="1">
      <c r="A275" s="615" t="str">
        <f>报表格式!H88</f>
        <v xml:space="preserve">    4、转作资本（或股本）的普通股股利</v>
      </c>
      <c r="B275" s="621">
        <f>报表格式!I88</f>
        <v>84</v>
      </c>
      <c r="C275" s="588"/>
      <c r="D275" s="588">
        <v>767506.85</v>
      </c>
    </row>
    <row r="276" spans="1:4" ht="13.95" customHeight="1">
      <c r="A276" s="615" t="str">
        <f>报表格式!H89</f>
        <v xml:space="preserve">    5、其他</v>
      </c>
      <c r="B276" s="621">
        <f>报表格式!I89</f>
        <v>85</v>
      </c>
      <c r="C276" s="588"/>
      <c r="D276" s="588"/>
    </row>
    <row r="277" spans="1:4" ht="13.95" customHeight="1">
      <c r="A277" s="615" t="str">
        <f>报表格式!H90</f>
        <v>十、未分配利润</v>
      </c>
      <c r="B277" s="621">
        <f>报表格式!I90</f>
        <v>86</v>
      </c>
      <c r="C277" s="325">
        <f>C271-SUM(C272:C276)</f>
        <v>32894355.719999999</v>
      </c>
      <c r="D277" s="325">
        <f>D271-SUM(D272:D276)</f>
        <v>8163964.6899999976</v>
      </c>
    </row>
    <row r="278" spans="1:4" ht="13.95" customHeight="1">
      <c r="A278" s="616" t="s">
        <v>628</v>
      </c>
      <c r="B278" s="622" t="s">
        <v>4</v>
      </c>
      <c r="C278" s="195" t="str">
        <f>参数!D10</f>
        <v>2022年度</v>
      </c>
      <c r="D278" s="378" t="str">
        <f>参数!D9</f>
        <v>2021年度</v>
      </c>
    </row>
    <row r="279" spans="1:4" ht="13.95" customHeight="1">
      <c r="A279" s="617" t="str">
        <f>报表格式!K5</f>
        <v>一、经营活动产生的现金流量</v>
      </c>
      <c r="B279" s="623">
        <f>报表格式!L5</f>
        <v>1</v>
      </c>
      <c r="C279" s="207" t="s">
        <v>23</v>
      </c>
      <c r="D279" s="207" t="s">
        <v>23</v>
      </c>
    </row>
    <row r="280" spans="1:4" ht="13.95" customHeight="1">
      <c r="A280" s="618" t="str">
        <f>报表格式!K6</f>
        <v xml:space="preserve">     销售商品、提供劳务收到的现金</v>
      </c>
      <c r="B280" s="623">
        <f>报表格式!L6</f>
        <v>2</v>
      </c>
      <c r="C280" s="208"/>
      <c r="D280" s="208"/>
    </row>
    <row r="281" spans="1:4" ht="13.95" customHeight="1">
      <c r="A281" s="618" t="str">
        <f>报表格式!K7</f>
        <v xml:space="preserve">    客户存款和同业存放款项净增加额*</v>
      </c>
      <c r="B281" s="623">
        <f>报表格式!L7</f>
        <v>3</v>
      </c>
      <c r="C281" s="208"/>
      <c r="D281" s="208"/>
    </row>
    <row r="282" spans="1:4" ht="13.95" customHeight="1">
      <c r="A282" s="618" t="str">
        <f>报表格式!K8</f>
        <v xml:space="preserve">     向中央银行借款净增加额*</v>
      </c>
      <c r="B282" s="623">
        <f>报表格式!L8</f>
        <v>4</v>
      </c>
      <c r="C282" s="208"/>
      <c r="D282" s="208"/>
    </row>
    <row r="283" spans="1:4" ht="13.95" customHeight="1">
      <c r="A283" s="618" t="str">
        <f>报表格式!K9</f>
        <v xml:space="preserve">     向其他金融机构拆入资金净增加额*</v>
      </c>
      <c r="B283" s="623">
        <f>报表格式!L9</f>
        <v>5</v>
      </c>
      <c r="C283" s="208"/>
      <c r="D283" s="208"/>
    </row>
    <row r="284" spans="1:4" ht="13.95" customHeight="1">
      <c r="A284" s="618" t="str">
        <f>报表格式!K10</f>
        <v xml:space="preserve">     收到原保险合同保费取得的现金*</v>
      </c>
      <c r="B284" s="623">
        <f>报表格式!L10</f>
        <v>6</v>
      </c>
      <c r="C284" s="322"/>
      <c r="D284" s="322"/>
    </row>
    <row r="285" spans="1:4" ht="13.95" customHeight="1">
      <c r="A285" s="618" t="str">
        <f>报表格式!K11</f>
        <v xml:space="preserve">     收到再保业务现金净额*</v>
      </c>
      <c r="B285" s="623">
        <f>报表格式!L11</f>
        <v>7</v>
      </c>
      <c r="C285" s="208"/>
      <c r="D285" s="208"/>
    </row>
    <row r="286" spans="1:4" ht="13.95" customHeight="1">
      <c r="A286" s="618" t="str">
        <f>报表格式!K12</f>
        <v xml:space="preserve">     保户储金及投资款净增加额*</v>
      </c>
      <c r="B286" s="623">
        <f>报表格式!L12</f>
        <v>8</v>
      </c>
      <c r="C286" s="208"/>
      <c r="D286" s="208"/>
    </row>
    <row r="287" spans="1:4" ht="13.95" customHeight="1">
      <c r="A287" s="618" t="str">
        <f>报表格式!K13</f>
        <v xml:space="preserve">     收取利息、手续费及佣金的现金*</v>
      </c>
      <c r="B287" s="623">
        <f>报表格式!L13</f>
        <v>9</v>
      </c>
      <c r="C287" s="208"/>
      <c r="D287" s="208"/>
    </row>
    <row r="288" spans="1:4" ht="13.95" customHeight="1">
      <c r="A288" s="618" t="str">
        <f>报表格式!K14</f>
        <v xml:space="preserve">     拆入资金净增加额*</v>
      </c>
      <c r="B288" s="623">
        <f>报表格式!L14</f>
        <v>10</v>
      </c>
      <c r="C288" s="208"/>
      <c r="D288" s="208"/>
    </row>
    <row r="289" spans="1:4" ht="13.95" customHeight="1">
      <c r="A289" s="618" t="str">
        <f>报表格式!K15</f>
        <v xml:space="preserve">     回购业务资金净增加额*</v>
      </c>
      <c r="B289" s="623">
        <f>报表格式!L15</f>
        <v>11</v>
      </c>
      <c r="C289" s="208"/>
      <c r="D289" s="208"/>
    </row>
    <row r="290" spans="1:4" ht="13.95" customHeight="1">
      <c r="A290" s="618" t="str">
        <f>报表格式!K16</f>
        <v xml:space="preserve">     代理买卖证券收到的现金净额*</v>
      </c>
      <c r="B290" s="623">
        <f>报表格式!L16</f>
        <v>12</v>
      </c>
      <c r="C290" s="322"/>
      <c r="D290" s="322"/>
    </row>
    <row r="291" spans="1:4" ht="13.95" customHeight="1">
      <c r="A291" s="618" t="str">
        <f>报表格式!K17</f>
        <v xml:space="preserve">     收到的税费返还</v>
      </c>
      <c r="B291" s="623">
        <f>报表格式!L17</f>
        <v>13</v>
      </c>
      <c r="C291" s="322"/>
      <c r="D291" s="322"/>
    </row>
    <row r="292" spans="1:4" ht="13.95" customHeight="1">
      <c r="A292" s="618" t="str">
        <f>报表格式!K18</f>
        <v xml:space="preserve">     收到的其他与经营活动有关的现金</v>
      </c>
      <c r="B292" s="623">
        <f>报表格式!L18</f>
        <v>14</v>
      </c>
      <c r="C292" s="210"/>
      <c r="D292" s="210"/>
    </row>
    <row r="293" spans="1:4" ht="13.95" customHeight="1">
      <c r="A293" s="618">
        <f>报表格式!K19</f>
        <v>0</v>
      </c>
      <c r="B293" s="623">
        <f>报表格式!L19</f>
        <v>15</v>
      </c>
      <c r="C293" s="208"/>
      <c r="D293" s="208"/>
    </row>
    <row r="294" spans="1:4" ht="13.95" customHeight="1">
      <c r="A294" s="617" t="str">
        <f>报表格式!K20</f>
        <v xml:space="preserve">     经营活动现金流入小计</v>
      </c>
      <c r="B294" s="722">
        <f>报表格式!L20</f>
        <v>16</v>
      </c>
      <c r="C294" s="646">
        <f>SUM(C280:C293)</f>
        <v>0</v>
      </c>
      <c r="D294" s="646">
        <f>SUM(D280:D293)</f>
        <v>0</v>
      </c>
    </row>
    <row r="295" spans="1:4" ht="13.95" customHeight="1">
      <c r="A295" s="618" t="str">
        <f>报表格式!K21</f>
        <v xml:space="preserve">     购买商品、接受劳务支付的现金</v>
      </c>
      <c r="B295" s="623">
        <f>报表格式!L21</f>
        <v>17</v>
      </c>
      <c r="C295" s="607"/>
      <c r="D295" s="208"/>
    </row>
    <row r="296" spans="1:4" ht="13.95" customHeight="1">
      <c r="A296" s="618" t="str">
        <f>报表格式!K22</f>
        <v xml:space="preserve">     客户贷款及垫款净增加额*</v>
      </c>
      <c r="B296" s="623">
        <f>报表格式!L22</f>
        <v>18</v>
      </c>
      <c r="C296" s="208"/>
      <c r="D296" s="208"/>
    </row>
    <row r="297" spans="1:4" ht="13.95" customHeight="1">
      <c r="A297" s="618" t="str">
        <f>报表格式!K23</f>
        <v xml:space="preserve">     存放中央银行和同业款项净增加额*</v>
      </c>
      <c r="B297" s="623">
        <f>报表格式!L23</f>
        <v>19</v>
      </c>
      <c r="C297" s="208"/>
      <c r="D297" s="208"/>
    </row>
    <row r="298" spans="1:4" ht="13.95" customHeight="1">
      <c r="A298" s="618" t="str">
        <f>报表格式!K24</f>
        <v xml:space="preserve">     支付原保险合同赔付款项的现金*</v>
      </c>
      <c r="B298" s="623">
        <f>报表格式!L24</f>
        <v>20</v>
      </c>
      <c r="C298" s="208"/>
      <c r="D298" s="208"/>
    </row>
    <row r="299" spans="1:4" ht="13.95" customHeight="1">
      <c r="A299" s="618" t="str">
        <f>报表格式!K25</f>
        <v xml:space="preserve">     拆出资金净增加额*</v>
      </c>
      <c r="B299" s="623">
        <f>报表格式!L25</f>
        <v>21</v>
      </c>
      <c r="C299" s="322"/>
      <c r="D299" s="322"/>
    </row>
    <row r="300" spans="1:4" ht="13.95" customHeight="1">
      <c r="A300" s="618" t="str">
        <f>报表格式!K26</f>
        <v xml:space="preserve">     支付利息、手续费及佣金的现金*</v>
      </c>
      <c r="B300" s="623">
        <f>报表格式!L26</f>
        <v>22</v>
      </c>
      <c r="C300" s="208"/>
      <c r="D300" s="208"/>
    </row>
    <row r="301" spans="1:4" ht="13.95" customHeight="1">
      <c r="A301" s="618" t="str">
        <f>报表格式!K27</f>
        <v xml:space="preserve">     支付保单红利的现金*</v>
      </c>
      <c r="B301" s="623">
        <f>报表格式!L27</f>
        <v>23</v>
      </c>
      <c r="C301" s="208"/>
      <c r="D301" s="208"/>
    </row>
    <row r="302" spans="1:4" ht="13.95" customHeight="1">
      <c r="A302" s="618" t="str">
        <f>报表格式!K28</f>
        <v xml:space="preserve">     支付给职工以及为职工支付的现金</v>
      </c>
      <c r="B302" s="623">
        <f>报表格式!L28</f>
        <v>24</v>
      </c>
      <c r="C302" s="208"/>
      <c r="D302" s="208"/>
    </row>
    <row r="303" spans="1:4" ht="13.95" customHeight="1">
      <c r="A303" s="618" t="str">
        <f>报表格式!K29</f>
        <v xml:space="preserve">     支付各项税费</v>
      </c>
      <c r="B303" s="623">
        <f>报表格式!L29</f>
        <v>25</v>
      </c>
      <c r="C303" s="208"/>
      <c r="D303" s="208"/>
    </row>
    <row r="304" spans="1:4" ht="13.95" customHeight="1">
      <c r="A304" s="618" t="str">
        <f>报表格式!K30</f>
        <v xml:space="preserve">     支付的其他与经营活动有关的现金</v>
      </c>
      <c r="B304" s="623">
        <f>报表格式!L30</f>
        <v>26</v>
      </c>
      <c r="C304" s="208"/>
      <c r="D304" s="208"/>
    </row>
    <row r="305" spans="1:4" ht="13.95" customHeight="1">
      <c r="A305" s="618">
        <f>报表格式!K31</f>
        <v>0</v>
      </c>
      <c r="B305" s="623">
        <f>报表格式!L31</f>
        <v>27</v>
      </c>
      <c r="C305" s="322"/>
      <c r="D305" s="322"/>
    </row>
    <row r="306" spans="1:4" ht="13.95" customHeight="1">
      <c r="A306" s="617" t="str">
        <f>报表格式!K32</f>
        <v xml:space="preserve">     经营活动现金流出小计</v>
      </c>
      <c r="B306" s="722">
        <f>报表格式!L32</f>
        <v>28</v>
      </c>
      <c r="C306" s="646">
        <f>SUM(C295:C305)</f>
        <v>0</v>
      </c>
      <c r="D306" s="646">
        <f>SUM(D295:D305)</f>
        <v>0</v>
      </c>
    </row>
    <row r="307" spans="1:4" ht="13.95" customHeight="1">
      <c r="A307" s="617" t="str">
        <f>报表格式!K33</f>
        <v xml:space="preserve">     经营活动产生的现金流量净额</v>
      </c>
      <c r="B307" s="623">
        <f>报表格式!L33</f>
        <v>29</v>
      </c>
      <c r="C307" s="325">
        <f>C294-C306</f>
        <v>0</v>
      </c>
      <c r="D307" s="325">
        <f>D294-D306</f>
        <v>0</v>
      </c>
    </row>
    <row r="308" spans="1:4" ht="13.95" customHeight="1">
      <c r="A308" s="617" t="str">
        <f>报表格式!K34</f>
        <v>二、投资活动产生的现金流量</v>
      </c>
      <c r="B308" s="623">
        <f>报表格式!L34</f>
        <v>30</v>
      </c>
      <c r="C308" s="208"/>
      <c r="D308" s="208"/>
    </row>
    <row r="309" spans="1:4" ht="13.95" customHeight="1">
      <c r="A309" s="618" t="str">
        <f>报表格式!K35</f>
        <v xml:space="preserve">     收回投资所收到的现金</v>
      </c>
      <c r="B309" s="623">
        <f>报表格式!L35</f>
        <v>31</v>
      </c>
      <c r="C309" s="208"/>
      <c r="D309" s="208"/>
    </row>
    <row r="310" spans="1:4" ht="13.95" customHeight="1">
      <c r="A310" s="618" t="str">
        <f>报表格式!K36</f>
        <v xml:space="preserve">     取得投资收益所收到的现金</v>
      </c>
      <c r="B310" s="623">
        <f>报表格式!L36</f>
        <v>32</v>
      </c>
      <c r="C310" s="208"/>
      <c r="D310" s="208"/>
    </row>
    <row r="311" spans="1:4" ht="13.95" customHeight="1">
      <c r="A311" s="618" t="str">
        <f>报表格式!K37</f>
        <v xml:space="preserve">     处置固定资产、无形资产和其他长期资产而收到的现金净额</v>
      </c>
      <c r="B311" s="623">
        <f>报表格式!L37</f>
        <v>33</v>
      </c>
      <c r="C311" s="208"/>
      <c r="D311" s="208"/>
    </row>
    <row r="312" spans="1:4" ht="13.95" customHeight="1">
      <c r="A312" s="618" t="str">
        <f>报表格式!K38</f>
        <v xml:space="preserve">     处置子公司及其他营业单位收到的现金净额</v>
      </c>
      <c r="B312" s="623">
        <f>报表格式!L38</f>
        <v>34</v>
      </c>
      <c r="C312" s="208"/>
      <c r="D312" s="208"/>
    </row>
    <row r="313" spans="1:4" ht="13.95" customHeight="1">
      <c r="A313" s="618" t="str">
        <f>报表格式!K39</f>
        <v xml:space="preserve">     收到其他与投资活动有关的现金</v>
      </c>
      <c r="B313" s="623">
        <f>报表格式!L39</f>
        <v>35</v>
      </c>
      <c r="C313" s="322"/>
      <c r="D313" s="322"/>
    </row>
    <row r="314" spans="1:4" ht="13.95" customHeight="1">
      <c r="A314" s="618">
        <f>报表格式!K40</f>
        <v>0</v>
      </c>
      <c r="B314" s="623">
        <f>报表格式!L40</f>
        <v>36</v>
      </c>
      <c r="C314" s="208"/>
      <c r="D314" s="208"/>
    </row>
    <row r="315" spans="1:4" ht="13.95" customHeight="1">
      <c r="A315" s="617" t="str">
        <f>报表格式!K41</f>
        <v xml:space="preserve">     投资活动现金流入小计</v>
      </c>
      <c r="B315" s="722">
        <f>报表格式!L41</f>
        <v>37</v>
      </c>
      <c r="C315" s="634">
        <f>SUM(C309:C314)</f>
        <v>0</v>
      </c>
      <c r="D315" s="634">
        <f>SUM(D309:D314)</f>
        <v>0</v>
      </c>
    </row>
    <row r="316" spans="1:4" ht="13.95" customHeight="1">
      <c r="A316" s="618" t="str">
        <f>报表格式!K42</f>
        <v xml:space="preserve">     购置固定资产、无形资产和其他长期资产所支付现金 </v>
      </c>
      <c r="B316" s="623">
        <f>报表格式!L42</f>
        <v>38</v>
      </c>
      <c r="C316" s="208"/>
      <c r="D316" s="208"/>
    </row>
    <row r="317" spans="1:4" ht="13.95" customHeight="1">
      <c r="A317" s="211" t="str">
        <f>报表格式!K43</f>
        <v xml:space="preserve">     投资所支付的现金</v>
      </c>
      <c r="B317" s="623">
        <f>报表格式!L43</f>
        <v>39</v>
      </c>
      <c r="C317" s="208"/>
      <c r="D317" s="208"/>
    </row>
    <row r="318" spans="1:4" ht="13.95" customHeight="1">
      <c r="A318" s="211" t="str">
        <f>报表格式!K44</f>
        <v xml:space="preserve">    质押贷款净增加额*</v>
      </c>
      <c r="B318" s="623">
        <f>报表格式!L44</f>
        <v>40</v>
      </c>
      <c r="C318" s="208"/>
      <c r="D318" s="208"/>
    </row>
    <row r="319" spans="1:4" ht="13.95" customHeight="1">
      <c r="A319" s="211" t="str">
        <f>报表格式!K45</f>
        <v xml:space="preserve">     取得子公司及其他营业单位支付的现金净额</v>
      </c>
      <c r="B319" s="623">
        <f>报表格式!L45</f>
        <v>41</v>
      </c>
      <c r="C319" s="208"/>
      <c r="D319" s="208"/>
    </row>
    <row r="320" spans="1:4" ht="13.95" customHeight="1">
      <c r="A320" s="211" t="str">
        <f>报表格式!K46</f>
        <v xml:space="preserve">     支付其他与投资活动有关的现金</v>
      </c>
      <c r="B320" s="623">
        <f>报表格式!L46</f>
        <v>42</v>
      </c>
      <c r="C320" s="208"/>
      <c r="D320" s="208"/>
    </row>
    <row r="321" spans="1:4" ht="13.95" customHeight="1">
      <c r="A321" s="211">
        <f>报表格式!K47</f>
        <v>0</v>
      </c>
      <c r="B321" s="623">
        <f>报表格式!L47</f>
        <v>43</v>
      </c>
      <c r="C321" s="208"/>
      <c r="D321" s="208"/>
    </row>
    <row r="322" spans="1:4" ht="13.95" customHeight="1">
      <c r="A322" s="206" t="str">
        <f>报表格式!K48</f>
        <v xml:space="preserve">      投资活动现金流出小计</v>
      </c>
      <c r="B322" s="722">
        <f>报表格式!L48</f>
        <v>44</v>
      </c>
      <c r="C322" s="634">
        <f>SUM(C316:C321)</f>
        <v>0</v>
      </c>
      <c r="D322" s="634">
        <f>SUM(D316:D321)</f>
        <v>0</v>
      </c>
    </row>
    <row r="323" spans="1:4" ht="13.95" customHeight="1">
      <c r="A323" s="206" t="str">
        <f>报表格式!K49</f>
        <v xml:space="preserve">     投资活动产生的现金流量净额</v>
      </c>
      <c r="B323" s="722">
        <f>报表格式!L49</f>
        <v>45</v>
      </c>
      <c r="C323" s="634">
        <f>C315-C322</f>
        <v>0</v>
      </c>
      <c r="D323" s="634">
        <f>D315-D322</f>
        <v>0</v>
      </c>
    </row>
    <row r="324" spans="1:4" ht="13.95" customHeight="1">
      <c r="A324" s="211" t="str">
        <f>报表格式!K50</f>
        <v>三、筹资活动产生的现金流量</v>
      </c>
      <c r="B324" s="623">
        <f>报表格式!L50</f>
        <v>46</v>
      </c>
      <c r="C324" s="322"/>
      <c r="D324" s="322"/>
    </row>
    <row r="325" spans="1:4" ht="13.95" customHeight="1">
      <c r="A325" s="211" t="str">
        <f>报表格式!K51</f>
        <v xml:space="preserve">     吸收投资所收到的现金</v>
      </c>
      <c r="B325" s="623">
        <f>报表格式!L51</f>
        <v>47</v>
      </c>
      <c r="C325" s="322"/>
      <c r="D325" s="322"/>
    </row>
    <row r="326" spans="1:4" ht="13.95" customHeight="1">
      <c r="A326" s="211" t="str">
        <f>报表格式!K52</f>
        <v xml:space="preserve">     其中：子公司吸收少数股东投资收到的现金</v>
      </c>
      <c r="B326" s="623">
        <f>报表格式!L52</f>
        <v>48</v>
      </c>
      <c r="C326" s="322"/>
      <c r="D326" s="322"/>
    </row>
    <row r="327" spans="1:4" ht="13.95" customHeight="1">
      <c r="A327" s="211" t="str">
        <f>报表格式!K53</f>
        <v xml:space="preserve">     取得借款收到的现金</v>
      </c>
      <c r="B327" s="623">
        <f>报表格式!L53</f>
        <v>49</v>
      </c>
      <c r="C327" s="322"/>
      <c r="D327" s="322"/>
    </row>
    <row r="328" spans="1:4" ht="13.95" customHeight="1">
      <c r="A328" s="211" t="str">
        <f>报表格式!K54</f>
        <v xml:space="preserve">     发行债券收到的现金</v>
      </c>
      <c r="B328" s="623">
        <f>报表格式!L54</f>
        <v>50</v>
      </c>
      <c r="C328" s="322"/>
      <c r="D328" s="322"/>
    </row>
    <row r="329" spans="1:4" ht="13.95" customHeight="1">
      <c r="A329" s="211" t="str">
        <f>报表格式!K55</f>
        <v xml:space="preserve">     收到的其他与筹资活动有关的现金</v>
      </c>
      <c r="B329" s="623">
        <f>报表格式!L55</f>
        <v>51</v>
      </c>
      <c r="C329" s="322"/>
      <c r="D329" s="322"/>
    </row>
    <row r="330" spans="1:4" ht="13.95" customHeight="1">
      <c r="A330" s="211">
        <f>报表格式!K56</f>
        <v>0</v>
      </c>
      <c r="B330" s="623">
        <f>报表格式!L56</f>
        <v>52</v>
      </c>
      <c r="C330" s="322"/>
      <c r="D330" s="322"/>
    </row>
    <row r="331" spans="1:4" ht="13.95" customHeight="1">
      <c r="A331" s="206" t="str">
        <f>报表格式!K57</f>
        <v xml:space="preserve">     筹资活动现金流入小计</v>
      </c>
      <c r="B331" s="722">
        <f>报表格式!L57</f>
        <v>53</v>
      </c>
      <c r="C331" s="634">
        <f>SUM(C325:C330)</f>
        <v>0</v>
      </c>
      <c r="D331" s="634">
        <f>SUM(D325:D330)</f>
        <v>0</v>
      </c>
    </row>
    <row r="332" spans="1:4" ht="13.95" customHeight="1">
      <c r="A332" s="211" t="str">
        <f>报表格式!K58</f>
        <v xml:space="preserve">     偿还债务支付的现金</v>
      </c>
      <c r="B332" s="623">
        <f>报表格式!L58</f>
        <v>54</v>
      </c>
      <c r="C332" s="322"/>
      <c r="D332" s="322"/>
    </row>
    <row r="333" spans="1:4" ht="13.95" customHeight="1">
      <c r="A333" s="211" t="str">
        <f>报表格式!K59</f>
        <v xml:space="preserve">     分配股利、利润或偿付利息支付的现金</v>
      </c>
      <c r="B333" s="623">
        <f>报表格式!L59</f>
        <v>55</v>
      </c>
      <c r="C333" s="322"/>
      <c r="D333" s="322"/>
    </row>
    <row r="334" spans="1:4" ht="13.95" customHeight="1">
      <c r="A334" s="211" t="str">
        <f>报表格式!K60</f>
        <v xml:space="preserve">      其中：子公司支付给少数股东的股利、利润</v>
      </c>
      <c r="B334" s="623">
        <f>报表格式!L60</f>
        <v>56</v>
      </c>
      <c r="C334" s="322"/>
      <c r="D334" s="322"/>
    </row>
    <row r="335" spans="1:4" ht="13.95" customHeight="1">
      <c r="A335" s="211" t="str">
        <f>报表格式!K61</f>
        <v xml:space="preserve">     支付其他与筹资活动有关的现金</v>
      </c>
      <c r="B335" s="623">
        <f>报表格式!L61</f>
        <v>57</v>
      </c>
      <c r="C335" s="322"/>
      <c r="D335" s="322"/>
    </row>
    <row r="336" spans="1:4" ht="13.95" customHeight="1">
      <c r="A336" s="211" t="str">
        <f>报表格式!K62</f>
        <v xml:space="preserve">      其中：子公司减资支付给少数股东的现金</v>
      </c>
      <c r="B336" s="623">
        <f>报表格式!L62</f>
        <v>58</v>
      </c>
      <c r="C336" s="322"/>
      <c r="D336" s="322"/>
    </row>
    <row r="337" spans="1:4" ht="13.95" customHeight="1">
      <c r="A337" s="206" t="str">
        <f>报表格式!K63</f>
        <v xml:space="preserve">     筹资活动现金流出小计</v>
      </c>
      <c r="B337" s="722">
        <f>报表格式!L63</f>
        <v>59</v>
      </c>
      <c r="C337" s="634">
        <f>SUM(C331:C336)</f>
        <v>0</v>
      </c>
      <c r="D337" s="634">
        <f>SUM(D331:D336)</f>
        <v>0</v>
      </c>
    </row>
    <row r="338" spans="1:4" ht="13.95" customHeight="1">
      <c r="A338" s="206" t="str">
        <f>报表格式!K64</f>
        <v xml:space="preserve">     筹资活动产生的现金流量净额</v>
      </c>
      <c r="B338" s="722">
        <f>报表格式!L64</f>
        <v>60</v>
      </c>
      <c r="C338" s="634">
        <f>C331-C337</f>
        <v>0</v>
      </c>
      <c r="D338" s="634">
        <f>D331-D337</f>
        <v>0</v>
      </c>
    </row>
    <row r="339" spans="1:4" ht="13.95" customHeight="1">
      <c r="A339" s="206" t="str">
        <f>报表格式!K65</f>
        <v>四、汇率变动对现金及现金等价物的影响</v>
      </c>
      <c r="B339" s="623">
        <f>报表格式!L65</f>
        <v>61</v>
      </c>
      <c r="C339" s="208"/>
      <c r="D339" s="208"/>
    </row>
    <row r="340" spans="1:4" ht="13.95" customHeight="1">
      <c r="A340" s="206" t="str">
        <f>报表格式!K66</f>
        <v>五、现金及现金等价物净增加额</v>
      </c>
      <c r="B340" s="623">
        <f>报表格式!L66</f>
        <v>62</v>
      </c>
      <c r="C340" s="194">
        <f>C339+C338+C307+C323</f>
        <v>0</v>
      </c>
      <c r="D340" s="194">
        <f>D339+D338+D306+D323</f>
        <v>0</v>
      </c>
    </row>
    <row r="341" spans="1:4" ht="13.95" customHeight="1">
      <c r="A341" s="211" t="str">
        <f>报表格式!K67</f>
        <v xml:space="preserve">    加：期初现金及现金等价物余额</v>
      </c>
      <c r="B341" s="623">
        <f>报表格式!L67</f>
        <v>63</v>
      </c>
      <c r="C341" s="647">
        <f>D342</f>
        <v>0</v>
      </c>
      <c r="D341" s="208"/>
    </row>
    <row r="342" spans="1:4" ht="13.95" customHeight="1">
      <c r="A342" s="212" t="str">
        <f>报表格式!K68</f>
        <v>六、期末现金及现金等价物余额</v>
      </c>
      <c r="B342" s="623">
        <f>报表格式!L68</f>
        <v>64</v>
      </c>
      <c r="C342" s="197">
        <f>C340+C341</f>
        <v>0</v>
      </c>
      <c r="D342" s="197">
        <f>D340+D341</f>
        <v>0</v>
      </c>
    </row>
    <row r="343" spans="1:4" ht="13.95" customHeight="1">
      <c r="A343" s="205" t="s">
        <v>161</v>
      </c>
      <c r="B343" s="624" t="s">
        <v>160</v>
      </c>
      <c r="C343" s="379" t="str">
        <f>参数!D10</f>
        <v>2022年度</v>
      </c>
      <c r="D343" s="379" t="str">
        <f>参数!D9</f>
        <v>2021年度</v>
      </c>
    </row>
    <row r="344" spans="1:4" ht="13.95" customHeight="1">
      <c r="A344" s="209" t="str">
        <f>报表格式!N5</f>
        <v>1、将净利润调节为经营活动现金流量：</v>
      </c>
      <c r="B344" s="625">
        <f>报表格式!O5</f>
        <v>65</v>
      </c>
      <c r="C344" s="208"/>
      <c r="D344" s="208"/>
    </row>
    <row r="345" spans="1:4" ht="13.95" customHeight="1">
      <c r="A345" s="209" t="str">
        <f>报表格式!N6</f>
        <v xml:space="preserve">     净利润</v>
      </c>
      <c r="B345" s="625">
        <f>报表格式!O6</f>
        <v>66</v>
      </c>
      <c r="C345" s="647">
        <f>C233</f>
        <v>24730391.030000001</v>
      </c>
      <c r="D345" s="647">
        <f>D233</f>
        <v>21221252.779999997</v>
      </c>
    </row>
    <row r="346" spans="1:4" ht="13.95" customHeight="1">
      <c r="A346" s="209">
        <f>报表格式!N7</f>
        <v>0</v>
      </c>
      <c r="B346" s="625">
        <f>报表格式!O7</f>
        <v>67</v>
      </c>
      <c r="C346" s="208"/>
      <c r="D346" s="208"/>
    </row>
    <row r="347" spans="1:4" ht="13.95" customHeight="1">
      <c r="A347" s="209">
        <f>报表格式!N8</f>
        <v>0</v>
      </c>
      <c r="B347" s="625">
        <f>报表格式!O8</f>
        <v>68</v>
      </c>
      <c r="C347" s="208"/>
      <c r="D347" s="208"/>
    </row>
    <row r="348" spans="1:4" ht="13.95" customHeight="1">
      <c r="A348" s="209" t="str">
        <f>报表格式!N9</f>
        <v>加：资产减值损失</v>
      </c>
      <c r="B348" s="625">
        <f>报表格式!O9</f>
        <v>69</v>
      </c>
      <c r="C348" s="208"/>
      <c r="D348" s="208"/>
    </row>
    <row r="349" spans="1:4" ht="13.95" customHeight="1">
      <c r="A349" s="209" t="str">
        <f>报表格式!N10</f>
        <v xml:space="preserve">        信用减值损失</v>
      </c>
      <c r="B349" s="625">
        <f>报表格式!O10</f>
        <v>70</v>
      </c>
      <c r="C349" s="208">
        <v>19423.93</v>
      </c>
      <c r="D349" s="208"/>
    </row>
    <row r="350" spans="1:4" ht="13.95" customHeight="1">
      <c r="A350" s="209" t="str">
        <f>报表格式!N11</f>
        <v xml:space="preserve">     固定资产折旧、投资性房地产折旧、油气资产折耗、生产性生物资产折旧</v>
      </c>
      <c r="B350" s="625">
        <f>报表格式!O11</f>
        <v>71</v>
      </c>
      <c r="C350" s="208"/>
      <c r="D350" s="208"/>
    </row>
    <row r="351" spans="1:4" ht="13.95" customHeight="1">
      <c r="A351" s="209" t="str">
        <f>报表格式!N12</f>
        <v xml:space="preserve">    使用权资产折旧</v>
      </c>
      <c r="B351" s="625">
        <f>报表格式!O12</f>
        <v>72</v>
      </c>
      <c r="C351" s="208"/>
      <c r="D351" s="208"/>
    </row>
    <row r="352" spans="1:4" ht="13.95" customHeight="1">
      <c r="A352" s="209" t="str">
        <f>报表格式!N13</f>
        <v xml:space="preserve">     无形资产摊销</v>
      </c>
      <c r="B352" s="625">
        <f>报表格式!O13</f>
        <v>73</v>
      </c>
      <c r="C352" s="208"/>
      <c r="D352" s="208"/>
    </row>
    <row r="353" spans="1:4" ht="13.95" customHeight="1">
      <c r="A353" s="209" t="str">
        <f>报表格式!N14</f>
        <v xml:space="preserve">     长期待摊费用摊销</v>
      </c>
      <c r="B353" s="625">
        <f>报表格式!O14</f>
        <v>74</v>
      </c>
      <c r="C353" s="208"/>
      <c r="D353" s="208"/>
    </row>
    <row r="354" spans="1:4" ht="13.95" customHeight="1">
      <c r="A354" s="209" t="str">
        <f>报表格式!N15</f>
        <v xml:space="preserve">     处置固定资产、无形资产和其他长期资产的损失（收益以“－”号填列）</v>
      </c>
      <c r="B354" s="625">
        <f>报表格式!O15</f>
        <v>75</v>
      </c>
      <c r="C354" s="208"/>
      <c r="D354" s="208"/>
    </row>
    <row r="355" spans="1:4" ht="13.95" customHeight="1">
      <c r="A355" s="209" t="str">
        <f>报表格式!N16</f>
        <v xml:space="preserve">     固定资产报废损失（收益以“－”号填列）</v>
      </c>
      <c r="B355" s="625">
        <f>报表格式!O16</f>
        <v>76</v>
      </c>
      <c r="C355" s="208"/>
      <c r="D355" s="208"/>
    </row>
    <row r="356" spans="1:4" ht="13.95" customHeight="1">
      <c r="A356" s="209" t="str">
        <f>报表格式!N17</f>
        <v xml:space="preserve">     公允价值变动损失（收益以“－”号填列）</v>
      </c>
      <c r="B356" s="625">
        <f>报表格式!O17</f>
        <v>77</v>
      </c>
      <c r="C356" s="208"/>
      <c r="D356" s="208"/>
    </row>
    <row r="357" spans="1:4" ht="13.95" customHeight="1">
      <c r="A357" s="209" t="str">
        <f>报表格式!N18</f>
        <v xml:space="preserve">     财务费用（收益以“－”号填列）</v>
      </c>
      <c r="B357" s="625">
        <f>报表格式!O18</f>
        <v>78</v>
      </c>
      <c r="C357" s="208"/>
      <c r="D357" s="208"/>
    </row>
    <row r="358" spans="1:4" ht="13.95" customHeight="1">
      <c r="A358" s="209" t="str">
        <f>报表格式!N19</f>
        <v xml:space="preserve">     投资损失（收益以“－”号填列）</v>
      </c>
      <c r="B358" s="625">
        <f>报表格式!O19</f>
        <v>79</v>
      </c>
      <c r="C358" s="208"/>
      <c r="D358" s="208"/>
    </row>
    <row r="359" spans="1:4" ht="13.95" customHeight="1">
      <c r="A359" s="209" t="str">
        <f>报表格式!N20</f>
        <v xml:space="preserve">     递延所得税资产减少（增加以“－”号填列）</v>
      </c>
      <c r="B359" s="625">
        <f>报表格式!O20</f>
        <v>80</v>
      </c>
      <c r="C359" s="208"/>
      <c r="D359" s="208"/>
    </row>
    <row r="360" spans="1:4" ht="13.95" customHeight="1">
      <c r="A360" s="209" t="str">
        <f>报表格式!N21</f>
        <v xml:space="preserve">     递延所得税负债增加（减少以“－”号填列）</v>
      </c>
      <c r="B360" s="625">
        <f>报表格式!O21</f>
        <v>81</v>
      </c>
      <c r="C360" s="208"/>
      <c r="D360" s="208"/>
    </row>
    <row r="361" spans="1:4" ht="13.95" customHeight="1">
      <c r="A361" s="209" t="str">
        <f>报表格式!N22</f>
        <v xml:space="preserve">     存货的减少（增加以“－”号填列）</v>
      </c>
      <c r="B361" s="625">
        <f>报表格式!O22</f>
        <v>82</v>
      </c>
      <c r="C361" s="208"/>
      <c r="D361" s="208"/>
    </row>
    <row r="362" spans="1:4" ht="13.95" customHeight="1">
      <c r="A362" s="209" t="str">
        <f>报表格式!N23</f>
        <v xml:space="preserve">     经营性应收项目的减少（增加以“－”号填列）</v>
      </c>
      <c r="B362" s="625">
        <f>报表格式!O23</f>
        <v>83</v>
      </c>
      <c r="C362" s="208"/>
      <c r="D362" s="208"/>
    </row>
    <row r="363" spans="1:4" ht="13.95" customHeight="1">
      <c r="A363" s="209" t="str">
        <f>报表格式!N24</f>
        <v xml:space="preserve">     经营性应付项目的增加（减少以“－”号填列）</v>
      </c>
      <c r="B363" s="625">
        <f>报表格式!O24</f>
        <v>84</v>
      </c>
      <c r="C363" s="208"/>
      <c r="D363" s="208"/>
    </row>
    <row r="364" spans="1:4" ht="13.95" customHeight="1">
      <c r="A364" s="209" t="str">
        <f>报表格式!N25</f>
        <v xml:space="preserve">     其他</v>
      </c>
      <c r="B364" s="625">
        <f>报表格式!O25</f>
        <v>85</v>
      </c>
      <c r="C364" s="208"/>
      <c r="D364" s="208"/>
    </row>
    <row r="365" spans="1:4" ht="13.95" customHeight="1">
      <c r="A365" s="209">
        <f>报表格式!N26</f>
        <v>0</v>
      </c>
      <c r="B365" s="625">
        <f>报表格式!O26</f>
        <v>86</v>
      </c>
      <c r="C365" s="322"/>
      <c r="D365" s="322"/>
    </row>
    <row r="366" spans="1:4" ht="13.95" customHeight="1">
      <c r="A366" s="723" t="str">
        <f>报表格式!N27</f>
        <v xml:space="preserve">     经营活动产生的现金流量净额</v>
      </c>
      <c r="B366" s="724">
        <f>报表格式!O27</f>
        <v>87</v>
      </c>
      <c r="C366" s="634">
        <f>SUM(C345,C348:C365)</f>
        <v>24749814.960000001</v>
      </c>
      <c r="D366" s="634">
        <f>SUM(D345,D348:D365)</f>
        <v>21221252.779999997</v>
      </c>
    </row>
    <row r="367" spans="1:4" ht="13.95" customHeight="1">
      <c r="A367" s="209">
        <f>报表格式!N28</f>
        <v>0</v>
      </c>
      <c r="B367" s="625">
        <f>报表格式!O28</f>
        <v>88</v>
      </c>
      <c r="C367" s="208"/>
      <c r="D367" s="208"/>
    </row>
    <row r="368" spans="1:4" ht="13.95" customHeight="1">
      <c r="A368" s="209" t="str">
        <f>报表格式!N29</f>
        <v>2、不涉及现金收支的投资和筹资活动：</v>
      </c>
      <c r="B368" s="625">
        <f>报表格式!O29</f>
        <v>89</v>
      </c>
      <c r="C368" s="208"/>
      <c r="D368" s="208"/>
    </row>
    <row r="369" spans="1:4" ht="13.95" customHeight="1">
      <c r="A369" s="209" t="str">
        <f>报表格式!N30</f>
        <v xml:space="preserve">     债务转为资本</v>
      </c>
      <c r="B369" s="625">
        <f>报表格式!O30</f>
        <v>90</v>
      </c>
      <c r="C369" s="208"/>
      <c r="D369" s="208"/>
    </row>
    <row r="370" spans="1:4" ht="13.95" customHeight="1">
      <c r="A370" s="209" t="str">
        <f>报表格式!N31</f>
        <v xml:space="preserve">     一年内到期的可转换公司债券</v>
      </c>
      <c r="B370" s="625">
        <f>报表格式!O31</f>
        <v>91</v>
      </c>
      <c r="C370" s="208"/>
      <c r="D370" s="208"/>
    </row>
    <row r="371" spans="1:4" ht="13.95" customHeight="1">
      <c r="A371" s="209" t="str">
        <f>报表格式!N32</f>
        <v xml:space="preserve">     融资租入固定资产</v>
      </c>
      <c r="B371" s="625">
        <f>报表格式!O32</f>
        <v>92</v>
      </c>
      <c r="C371" s="208"/>
      <c r="D371" s="208"/>
    </row>
    <row r="372" spans="1:4" ht="13.95" customHeight="1">
      <c r="A372" s="209" t="str">
        <f>报表格式!N33</f>
        <v xml:space="preserve">    当期新增的使用权资产</v>
      </c>
      <c r="B372" s="625">
        <f>报表格式!O33</f>
        <v>93</v>
      </c>
      <c r="C372" s="208"/>
      <c r="D372" s="208"/>
    </row>
    <row r="373" spans="1:4" ht="13.95" customHeight="1">
      <c r="A373" s="209">
        <f>报表格式!N34</f>
        <v>0</v>
      </c>
      <c r="B373" s="625">
        <f>报表格式!O34</f>
        <v>94</v>
      </c>
      <c r="C373" s="208"/>
      <c r="D373" s="208"/>
    </row>
    <row r="374" spans="1:4" ht="13.95" customHeight="1">
      <c r="A374" s="209">
        <f>报表格式!N35</f>
        <v>0</v>
      </c>
      <c r="B374" s="625">
        <f>报表格式!O35</f>
        <v>95</v>
      </c>
      <c r="C374" s="208"/>
      <c r="D374" s="208"/>
    </row>
    <row r="375" spans="1:4" ht="13.95" customHeight="1">
      <c r="A375" s="209" t="str">
        <f>报表格式!N36</f>
        <v>3、现金及现金等价物净变动情况：</v>
      </c>
      <c r="B375" s="625">
        <f>报表格式!O36</f>
        <v>96</v>
      </c>
      <c r="C375" s="322"/>
      <c r="D375" s="322"/>
    </row>
    <row r="376" spans="1:4" ht="13.95" customHeight="1">
      <c r="A376" s="209" t="str">
        <f>报表格式!N37</f>
        <v xml:space="preserve">     现金的期末余额</v>
      </c>
      <c r="B376" s="625">
        <f>报表格式!O37</f>
        <v>97</v>
      </c>
      <c r="C376" s="322"/>
      <c r="D376" s="208"/>
    </row>
    <row r="377" spans="1:4" ht="13.95" customHeight="1">
      <c r="A377" s="209" t="str">
        <f>报表格式!N38</f>
        <v xml:space="preserve">     减：现金的期初余额</v>
      </c>
      <c r="B377" s="625">
        <f>报表格式!O38</f>
        <v>98</v>
      </c>
      <c r="C377" s="208"/>
      <c r="D377" s="208"/>
    </row>
    <row r="378" spans="1:4" ht="13.95" customHeight="1">
      <c r="A378" s="209" t="str">
        <f>报表格式!N39</f>
        <v xml:space="preserve">     加：现金等价物的期末余额</v>
      </c>
      <c r="B378" s="625">
        <f>报表格式!O39</f>
        <v>99</v>
      </c>
      <c r="C378" s="208"/>
      <c r="D378" s="208"/>
    </row>
    <row r="379" spans="1:4" ht="13.95" customHeight="1">
      <c r="A379" s="209" t="str">
        <f>报表格式!N40</f>
        <v xml:space="preserve">     减：现金等价物的期初余额</v>
      </c>
      <c r="B379" s="625">
        <f>报表格式!O40</f>
        <v>100</v>
      </c>
      <c r="C379" s="208"/>
      <c r="D379" s="208"/>
    </row>
    <row r="380" spans="1:4" ht="13.95" customHeight="1">
      <c r="A380" s="209">
        <f>报表格式!N41</f>
        <v>0</v>
      </c>
      <c r="B380" s="625">
        <f>报表格式!O41</f>
        <v>101</v>
      </c>
      <c r="C380" s="208"/>
      <c r="D380" s="208"/>
    </row>
    <row r="381" spans="1:4" ht="13.95" customHeight="1">
      <c r="A381" s="209">
        <f>报表格式!N42</f>
        <v>0</v>
      </c>
      <c r="B381" s="625">
        <f>报表格式!O42</f>
        <v>102</v>
      </c>
      <c r="C381" s="208"/>
      <c r="D381" s="208"/>
    </row>
    <row r="382" spans="1:4" ht="13.95" customHeight="1">
      <c r="A382" s="209" t="str">
        <f>报表格式!N43</f>
        <v xml:space="preserve">     现金及现金等价物净增加额</v>
      </c>
      <c r="B382" s="625">
        <f>报表格式!O43</f>
        <v>103</v>
      </c>
      <c r="C382" s="208"/>
      <c r="D382" s="208"/>
    </row>
    <row r="383" spans="1:4" ht="13.95" customHeight="1">
      <c r="A383" s="380">
        <f>报表格式!N42</f>
        <v>0</v>
      </c>
      <c r="B383" s="626">
        <v>38</v>
      </c>
      <c r="C383" s="663"/>
      <c r="D383" s="663"/>
    </row>
    <row r="384" spans="1:4" ht="13.95" customHeight="1"/>
  </sheetData>
  <sheetProtection formatCells="0" insertRows="0" autoFilter="0" pivotTables="0"/>
  <autoFilter ref="A6:F383"/>
  <customSheetViews>
    <customSheetView guid="{9A8CA204-20A8-11D5-8CC7-F77182B33125}" showPageBreaks="1" zeroValues="0" hiddenRows="1" view="pageBreakPreview" showRuler="0">
      <pane ySplit="6" topLeftCell="A7" activePane="bottomLeft" state="frozenSplit"/>
      <selection pane="bottomLeft" activeCell="I28" sqref="I28"/>
      <pageMargins left="0.98425196850393704" right="0.23622047244094491" top="0.59055118110236227" bottom="0.61" header="0.39370078740157483" footer="0.55118110236220474"/>
      <printOptions horizontalCentered="1"/>
      <pageSetup paperSize="9" orientation="portrait" r:id="rId1"/>
      <headerFooter alignWithMargins="0">
        <oddHeader>&amp;L&amp;"Times New Roman,常规"         &amp;"宋体,常规"未审表：</oddHeader>
      </headerFooter>
    </customSheetView>
  </customSheetViews>
  <mergeCells count="4">
    <mergeCell ref="A2:D2"/>
    <mergeCell ref="A4:B4"/>
    <mergeCell ref="C4:D4"/>
    <mergeCell ref="B1:C1"/>
  </mergeCells>
  <phoneticPr fontId="4" type="noConversion"/>
  <conditionalFormatting sqref="A1">
    <cfRule type="cellIs" dxfId="66" priority="9" stopIfTrue="1" operator="equal">
      <formula>"年初未分配利润勾稽有误！"</formula>
    </cfRule>
  </conditionalFormatting>
  <printOptions horizontalCentered="1"/>
  <pageMargins left="0.9055118110236221" right="0.23622047244094491" top="0.39370078740157483" bottom="0.27559055118110237" header="0.23622047244094491" footer="0.19685039370078741"/>
  <pageSetup paperSize="9" scale="16" orientation="portrait" blackAndWhite="1" r:id="rId2"/>
  <headerFooter alignWithMargins="0">
    <oddHeader>&amp;L&amp;"Times New Roman,常规"&amp;8         &amp;"宋体,常规"未审会计报表：</oddHeader>
  </headerFooter>
  <drawing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92D050"/>
    <pageSetUpPr fitToPage="1"/>
  </sheetPr>
  <dimension ref="A1:G398"/>
  <sheetViews>
    <sheetView showZeros="0" view="pageBreakPreview" zoomScale="90" zoomScaleSheetLayoutView="90" workbookViewId="0">
      <pane xSplit="2" ySplit="6" topLeftCell="C7" activePane="bottomRight" state="frozen"/>
      <selection activeCell="B57" sqref="B57"/>
      <selection pane="topRight" activeCell="B57" sqref="B57"/>
      <selection pane="bottomLeft" activeCell="B57" sqref="B57"/>
      <selection pane="bottomRight" activeCell="C268" sqref="C268"/>
    </sheetView>
  </sheetViews>
  <sheetFormatPr defaultColWidth="9" defaultRowHeight="10.8"/>
  <cols>
    <col min="1" max="1" width="40.69921875" style="204" customWidth="1"/>
    <col min="2" max="2" width="8.19921875" style="204" customWidth="1"/>
    <col min="3" max="4" width="18.69921875" style="204" customWidth="1"/>
    <col min="5" max="5" width="6.8984375" style="204" customWidth="1"/>
    <col min="6" max="6" width="7.69921875" style="204" customWidth="1"/>
    <col min="7" max="7" width="15" style="204" bestFit="1" customWidth="1"/>
    <col min="8" max="16384" width="9" style="204"/>
  </cols>
  <sheetData>
    <row r="1" spans="1:6" ht="12" customHeight="1">
      <c r="A1" s="381"/>
      <c r="B1" s="382"/>
      <c r="C1" s="382"/>
      <c r="D1" s="382"/>
      <c r="E1" s="382"/>
      <c r="F1" s="382"/>
    </row>
    <row r="2" spans="1:6">
      <c r="A2" s="1062" t="s">
        <v>1406</v>
      </c>
      <c r="B2" s="1063"/>
      <c r="C2" s="1063"/>
      <c r="D2" s="1063"/>
      <c r="E2" s="1063"/>
      <c r="F2" s="1063"/>
    </row>
    <row r="3" spans="1:6">
      <c r="A3" s="403"/>
      <c r="B3" s="403"/>
      <c r="C3" s="403"/>
      <c r="D3" s="403"/>
      <c r="E3" s="403"/>
      <c r="F3" s="403"/>
    </row>
    <row r="4" spans="1:6">
      <c r="A4" s="381"/>
      <c r="B4" s="383"/>
      <c r="C4" s="384"/>
      <c r="D4" s="385"/>
      <c r="E4" s="385"/>
      <c r="F4" s="385"/>
    </row>
    <row r="5" spans="1:6" ht="15.75" customHeight="1" thickBot="1">
      <c r="A5" s="386" t="str">
        <f>IF(报表格式!E55="","            对不起，请到参数表中确定报表类型！",CONCATENATE(" 客户名称：",参数!D3))</f>
        <v xml:space="preserve"> 客户名称：二锅头</v>
      </c>
      <c r="B5" s="386"/>
      <c r="C5" s="1013">
        <f>参数!D11</f>
        <v>44561</v>
      </c>
      <c r="D5" s="387"/>
      <c r="E5" s="1061" t="str">
        <f>CONCATENATE("金额单位：",参数!$D$13)</f>
        <v>金额单位：人民币元</v>
      </c>
      <c r="F5" s="1061"/>
    </row>
    <row r="6" spans="1:6" ht="21">
      <c r="A6" s="388" t="str">
        <f>IF(E61&lt;=0.005,"资     产","资产明细核对不符！")</f>
        <v>资     产</v>
      </c>
      <c r="B6" s="389" t="s">
        <v>160</v>
      </c>
      <c r="C6" s="390" t="s">
        <v>629</v>
      </c>
      <c r="D6" s="390" t="s">
        <v>630</v>
      </c>
      <c r="E6" s="390" t="s">
        <v>631</v>
      </c>
      <c r="F6" s="390" t="s">
        <v>632</v>
      </c>
    </row>
    <row r="7" spans="1:6" ht="13.95" customHeight="1">
      <c r="A7" s="395" t="str">
        <f>未审报表!A7</f>
        <v>流动资产：</v>
      </c>
      <c r="B7" s="391">
        <f>未审报表!B7</f>
        <v>1</v>
      </c>
      <c r="C7" s="198"/>
      <c r="D7" s="392"/>
      <c r="E7" s="393"/>
      <c r="F7" s="394"/>
    </row>
    <row r="8" spans="1:6" ht="13.95" customHeight="1">
      <c r="A8" s="395" t="str">
        <f>未审报表!A8</f>
        <v>货币资金</v>
      </c>
      <c r="B8" s="391">
        <f>未审报表!B8</f>
        <v>2</v>
      </c>
      <c r="C8" s="371">
        <v>645471.34999999928</v>
      </c>
      <c r="D8" s="210">
        <f>未审报表!D8</f>
        <v>645471.34999999928</v>
      </c>
      <c r="E8" s="208">
        <f>ABS(F8)</f>
        <v>0</v>
      </c>
      <c r="F8" s="210">
        <f>C8-D8</f>
        <v>0</v>
      </c>
    </row>
    <row r="9" spans="1:6" ht="13.95" customHeight="1">
      <c r="A9" s="395" t="str">
        <f>未审报表!A9</f>
        <v>结算备付金*</v>
      </c>
      <c r="B9" s="391">
        <f>未审报表!B9</f>
        <v>3</v>
      </c>
      <c r="C9" s="371"/>
      <c r="D9" s="210">
        <f>未审报表!D9</f>
        <v>0</v>
      </c>
      <c r="E9" s="208">
        <f t="shared" ref="E9:E19" si="0">ABS(F9)</f>
        <v>0</v>
      </c>
      <c r="F9" s="210">
        <f t="shared" ref="F9:F19" si="1">C9-D9</f>
        <v>0</v>
      </c>
    </row>
    <row r="10" spans="1:6" ht="13.95" customHeight="1">
      <c r="A10" s="395" t="str">
        <f>未审报表!A10</f>
        <v>拆出资金原值*</v>
      </c>
      <c r="B10" s="391">
        <f>未审报表!B10</f>
        <v>4</v>
      </c>
      <c r="C10" s="371"/>
      <c r="D10" s="210">
        <f>未审报表!D10</f>
        <v>0</v>
      </c>
      <c r="E10" s="208">
        <f t="shared" si="0"/>
        <v>0</v>
      </c>
      <c r="F10" s="210">
        <f t="shared" si="1"/>
        <v>0</v>
      </c>
    </row>
    <row r="11" spans="1:6" ht="13.95" customHeight="1">
      <c r="A11" s="395" t="str">
        <f>未审报表!A11</f>
        <v>拆出资金减值准备*</v>
      </c>
      <c r="B11" s="391">
        <f>未审报表!B11</f>
        <v>5</v>
      </c>
      <c r="C11" s="371"/>
      <c r="D11" s="210">
        <f>未审报表!D11</f>
        <v>0</v>
      </c>
      <c r="E11" s="208">
        <f t="shared" si="0"/>
        <v>0</v>
      </c>
      <c r="F11" s="210">
        <f t="shared" si="1"/>
        <v>0</v>
      </c>
    </row>
    <row r="12" spans="1:6" ht="13.95" customHeight="1">
      <c r="A12" s="395" t="str">
        <f>未审报表!A12</f>
        <v>拆出资金*</v>
      </c>
      <c r="B12" s="391">
        <f>未审报表!B12</f>
        <v>6</v>
      </c>
      <c r="C12" s="614">
        <f>C10-C11</f>
        <v>0</v>
      </c>
      <c r="D12" s="614">
        <f>D10-D11</f>
        <v>0</v>
      </c>
      <c r="E12" s="208">
        <f t="shared" si="0"/>
        <v>0</v>
      </c>
      <c r="F12" s="210">
        <f t="shared" si="1"/>
        <v>0</v>
      </c>
    </row>
    <row r="13" spans="1:6" ht="13.95" customHeight="1">
      <c r="A13" s="395" t="str">
        <f>未审报表!A13</f>
        <v>交易性金融资产</v>
      </c>
      <c r="B13" s="391">
        <f>未审报表!B13</f>
        <v>7</v>
      </c>
      <c r="C13" s="371"/>
      <c r="D13" s="210">
        <f>未审报表!D13</f>
        <v>0</v>
      </c>
      <c r="E13" s="208">
        <f t="shared" si="0"/>
        <v>0</v>
      </c>
      <c r="F13" s="210">
        <f t="shared" si="1"/>
        <v>0</v>
      </c>
    </row>
    <row r="14" spans="1:6" ht="13.95" customHeight="1">
      <c r="A14" s="395" t="str">
        <f>未审报表!A14</f>
        <v>衍生金融资产</v>
      </c>
      <c r="B14" s="391">
        <f>未审报表!B14</f>
        <v>8</v>
      </c>
      <c r="C14" s="371"/>
      <c r="D14" s="210">
        <f>未审报表!D14</f>
        <v>0</v>
      </c>
      <c r="E14" s="208">
        <f t="shared" si="0"/>
        <v>0</v>
      </c>
      <c r="F14" s="210">
        <f t="shared" si="1"/>
        <v>0</v>
      </c>
    </row>
    <row r="15" spans="1:6" ht="13.95" customHeight="1">
      <c r="A15" s="395" t="str">
        <f>未审报表!A15</f>
        <v>应收票据原值</v>
      </c>
      <c r="B15" s="391">
        <f>未审报表!B15</f>
        <v>9</v>
      </c>
      <c r="C15" s="371"/>
      <c r="D15" s="210">
        <f>未审报表!D15</f>
        <v>0</v>
      </c>
      <c r="E15" s="208">
        <f t="shared" si="0"/>
        <v>0</v>
      </c>
      <c r="F15" s="210">
        <f t="shared" si="1"/>
        <v>0</v>
      </c>
    </row>
    <row r="16" spans="1:6" ht="13.95" customHeight="1">
      <c r="A16" s="395" t="str">
        <f>未审报表!A16</f>
        <v>应收票据坏账准备</v>
      </c>
      <c r="B16" s="391">
        <f>未审报表!B16</f>
        <v>10</v>
      </c>
      <c r="C16" s="371"/>
      <c r="D16" s="210">
        <f>未审报表!D16</f>
        <v>0</v>
      </c>
      <c r="E16" s="208">
        <f t="shared" si="0"/>
        <v>0</v>
      </c>
      <c r="F16" s="210">
        <f t="shared" si="1"/>
        <v>0</v>
      </c>
    </row>
    <row r="17" spans="1:6" ht="13.95" customHeight="1">
      <c r="A17" s="395" t="str">
        <f>未审报表!A17</f>
        <v>应收票据</v>
      </c>
      <c r="B17" s="391">
        <f>未审报表!B17</f>
        <v>11</v>
      </c>
      <c r="C17" s="614">
        <f>C15-C16</f>
        <v>0</v>
      </c>
      <c r="D17" s="614">
        <f>D15-D16</f>
        <v>0</v>
      </c>
      <c r="E17" s="208">
        <f t="shared" si="0"/>
        <v>0</v>
      </c>
      <c r="F17" s="210">
        <f t="shared" si="1"/>
        <v>0</v>
      </c>
    </row>
    <row r="18" spans="1:6" ht="13.95" customHeight="1">
      <c r="A18" s="395" t="str">
        <f>未审报表!A18</f>
        <v>应收账款原值</v>
      </c>
      <c r="B18" s="391">
        <f>未审报表!B18</f>
        <v>12</v>
      </c>
      <c r="C18" s="371">
        <v>16718591.219999999</v>
      </c>
      <c r="D18" s="210">
        <f>未审报表!D18</f>
        <v>16718591.219999999</v>
      </c>
      <c r="E18" s="208">
        <f t="shared" si="0"/>
        <v>0</v>
      </c>
      <c r="F18" s="210">
        <f t="shared" si="1"/>
        <v>0</v>
      </c>
    </row>
    <row r="19" spans="1:6" ht="13.95" customHeight="1">
      <c r="A19" s="395" t="str">
        <f>未审报表!A19</f>
        <v>应收账款坏账准备</v>
      </c>
      <c r="B19" s="391">
        <f>未审报表!B19</f>
        <v>13</v>
      </c>
      <c r="C19" s="371"/>
      <c r="D19" s="210">
        <f>未审报表!D19</f>
        <v>0</v>
      </c>
      <c r="E19" s="208">
        <f t="shared" si="0"/>
        <v>0</v>
      </c>
      <c r="F19" s="210">
        <f t="shared" si="1"/>
        <v>0</v>
      </c>
    </row>
    <row r="20" spans="1:6" ht="13.95" customHeight="1">
      <c r="A20" s="395" t="str">
        <f>未审报表!A20</f>
        <v>应收账款</v>
      </c>
      <c r="B20" s="391">
        <f>未审报表!B20</f>
        <v>14</v>
      </c>
      <c r="C20" s="614">
        <f>C18-C19</f>
        <v>16718591.219999999</v>
      </c>
      <c r="D20" s="614">
        <f>D18-D19</f>
        <v>16718591.219999999</v>
      </c>
      <c r="E20" s="208">
        <f t="shared" ref="E20:E85" si="2">ABS(F20)</f>
        <v>0</v>
      </c>
      <c r="F20" s="210">
        <f t="shared" ref="F20:F82" si="3">C20-D20</f>
        <v>0</v>
      </c>
    </row>
    <row r="21" spans="1:6" ht="13.95" customHeight="1">
      <c r="A21" s="395" t="str">
        <f>未审报表!A21</f>
        <v>应收款项融资原值</v>
      </c>
      <c r="B21" s="391">
        <f>未审报表!B21</f>
        <v>15</v>
      </c>
      <c r="C21" s="372"/>
      <c r="D21" s="210">
        <f>未审报表!D21</f>
        <v>0</v>
      </c>
      <c r="E21" s="208">
        <f t="shared" si="2"/>
        <v>0</v>
      </c>
      <c r="F21" s="210">
        <f t="shared" si="3"/>
        <v>0</v>
      </c>
    </row>
    <row r="22" spans="1:6" ht="13.95" customHeight="1">
      <c r="A22" s="395" t="str">
        <f>未审报表!A22</f>
        <v>应收款项融资坏账准备</v>
      </c>
      <c r="B22" s="391">
        <f>未审报表!B22</f>
        <v>16</v>
      </c>
      <c r="C22" s="372"/>
      <c r="D22" s="210">
        <f>未审报表!D22</f>
        <v>0</v>
      </c>
      <c r="E22" s="208">
        <f t="shared" si="2"/>
        <v>0</v>
      </c>
      <c r="F22" s="210">
        <f t="shared" si="3"/>
        <v>0</v>
      </c>
    </row>
    <row r="23" spans="1:6" ht="13.95" customHeight="1">
      <c r="A23" s="395" t="str">
        <f>未审报表!A23</f>
        <v>应收款项融资</v>
      </c>
      <c r="B23" s="391">
        <f>未审报表!B23</f>
        <v>17</v>
      </c>
      <c r="C23" s="614">
        <f>C21-C22</f>
        <v>0</v>
      </c>
      <c r="D23" s="614">
        <f>D21-D22</f>
        <v>0</v>
      </c>
      <c r="E23" s="208">
        <f t="shared" si="2"/>
        <v>0</v>
      </c>
      <c r="F23" s="210">
        <f t="shared" si="3"/>
        <v>0</v>
      </c>
    </row>
    <row r="24" spans="1:6" ht="13.95" customHeight="1">
      <c r="A24" s="395" t="str">
        <f>未审报表!A24</f>
        <v>预付款项原值</v>
      </c>
      <c r="B24" s="391">
        <f>未审报表!B24</f>
        <v>18</v>
      </c>
      <c r="C24" s="210">
        <v>1584.26</v>
      </c>
      <c r="D24" s="210">
        <f>未审报表!D24</f>
        <v>1584.26</v>
      </c>
      <c r="E24" s="208">
        <f t="shared" si="2"/>
        <v>0</v>
      </c>
      <c r="F24" s="210">
        <f t="shared" si="3"/>
        <v>0</v>
      </c>
    </row>
    <row r="25" spans="1:6" ht="13.95" customHeight="1">
      <c r="A25" s="395" t="str">
        <f>未审报表!A25</f>
        <v>预付款项坏账准备</v>
      </c>
      <c r="B25" s="391">
        <f>未审报表!B25</f>
        <v>19</v>
      </c>
      <c r="C25" s="371"/>
      <c r="D25" s="210">
        <f>未审报表!D25</f>
        <v>0</v>
      </c>
      <c r="E25" s="208">
        <f t="shared" si="2"/>
        <v>0</v>
      </c>
      <c r="F25" s="210">
        <f t="shared" si="3"/>
        <v>0</v>
      </c>
    </row>
    <row r="26" spans="1:6" ht="13.95" customHeight="1">
      <c r="A26" s="395" t="str">
        <f>未审报表!A26</f>
        <v>预付款项</v>
      </c>
      <c r="B26" s="391">
        <f>未审报表!B26</f>
        <v>20</v>
      </c>
      <c r="C26" s="614">
        <f>C24-C25</f>
        <v>1584.26</v>
      </c>
      <c r="D26" s="614">
        <f>D24-D25</f>
        <v>1584.26</v>
      </c>
      <c r="E26" s="208">
        <f t="shared" si="2"/>
        <v>0</v>
      </c>
      <c r="F26" s="210">
        <f t="shared" si="3"/>
        <v>0</v>
      </c>
    </row>
    <row r="27" spans="1:6" ht="13.95" customHeight="1">
      <c r="A27" s="395" t="str">
        <f>未审报表!A27</f>
        <v>应收保费原值*</v>
      </c>
      <c r="B27" s="391">
        <f>未审报表!B27</f>
        <v>21</v>
      </c>
      <c r="C27" s="371"/>
      <c r="D27" s="210">
        <f>未审报表!D27</f>
        <v>0</v>
      </c>
      <c r="E27" s="208">
        <f t="shared" si="2"/>
        <v>0</v>
      </c>
      <c r="F27" s="210">
        <f t="shared" si="3"/>
        <v>0</v>
      </c>
    </row>
    <row r="28" spans="1:6" ht="13.95" customHeight="1">
      <c r="A28" s="395" t="str">
        <f>未审报表!A28</f>
        <v>应收保费坏账准备*</v>
      </c>
      <c r="B28" s="391">
        <f>未审报表!B28</f>
        <v>22</v>
      </c>
      <c r="C28" s="371"/>
      <c r="D28" s="210">
        <f>未审报表!D28</f>
        <v>0</v>
      </c>
      <c r="E28" s="208">
        <f t="shared" si="2"/>
        <v>0</v>
      </c>
      <c r="F28" s="210">
        <f t="shared" si="3"/>
        <v>0</v>
      </c>
    </row>
    <row r="29" spans="1:6" ht="13.95" customHeight="1">
      <c r="A29" s="395" t="str">
        <f>未审报表!A29</f>
        <v>应收保费*</v>
      </c>
      <c r="B29" s="391">
        <f>未审报表!B29</f>
        <v>23</v>
      </c>
      <c r="C29" s="614">
        <f>C27-C28</f>
        <v>0</v>
      </c>
      <c r="D29" s="614">
        <f>D27-D28</f>
        <v>0</v>
      </c>
      <c r="E29" s="208">
        <f t="shared" si="2"/>
        <v>0</v>
      </c>
      <c r="F29" s="210">
        <f t="shared" si="3"/>
        <v>0</v>
      </c>
    </row>
    <row r="30" spans="1:6" ht="13.95" customHeight="1">
      <c r="A30" s="395" t="str">
        <f>未审报表!A30</f>
        <v>应收分保账款原值*</v>
      </c>
      <c r="B30" s="391">
        <f>未审报表!B30</f>
        <v>24</v>
      </c>
      <c r="C30" s="371"/>
      <c r="D30" s="210">
        <f>未审报表!D30</f>
        <v>0</v>
      </c>
      <c r="E30" s="208">
        <f t="shared" si="2"/>
        <v>0</v>
      </c>
      <c r="F30" s="210">
        <f t="shared" si="3"/>
        <v>0</v>
      </c>
    </row>
    <row r="31" spans="1:6" ht="13.95" customHeight="1">
      <c r="A31" s="395" t="str">
        <f>未审报表!A31</f>
        <v>应收分保账款坏账准备*</v>
      </c>
      <c r="B31" s="391">
        <f>未审报表!B31</f>
        <v>25</v>
      </c>
      <c r="C31" s="371"/>
      <c r="D31" s="210">
        <f>未审报表!D31</f>
        <v>0</v>
      </c>
      <c r="E31" s="208">
        <f t="shared" si="2"/>
        <v>0</v>
      </c>
      <c r="F31" s="210">
        <f t="shared" si="3"/>
        <v>0</v>
      </c>
    </row>
    <row r="32" spans="1:6" ht="13.95" customHeight="1">
      <c r="A32" s="395" t="str">
        <f>未审报表!A32</f>
        <v>应收分保账款*</v>
      </c>
      <c r="B32" s="391">
        <f>未审报表!B32</f>
        <v>26</v>
      </c>
      <c r="C32" s="614">
        <f>C30-C31</f>
        <v>0</v>
      </c>
      <c r="D32" s="614">
        <f>D30-D31</f>
        <v>0</v>
      </c>
      <c r="E32" s="208">
        <f t="shared" si="2"/>
        <v>0</v>
      </c>
      <c r="F32" s="210">
        <f t="shared" si="3"/>
        <v>0</v>
      </c>
    </row>
    <row r="33" spans="1:6" ht="13.95" customHeight="1">
      <c r="A33" s="395" t="str">
        <f>未审报表!A33</f>
        <v>应收分保合同准备金*</v>
      </c>
      <c r="B33" s="391">
        <f>未审报表!B33</f>
        <v>27</v>
      </c>
      <c r="C33" s="371"/>
      <c r="D33" s="210">
        <f>未审报表!D33</f>
        <v>0</v>
      </c>
      <c r="E33" s="208">
        <f t="shared" si="2"/>
        <v>0</v>
      </c>
      <c r="F33" s="210">
        <f t="shared" si="3"/>
        <v>0</v>
      </c>
    </row>
    <row r="34" spans="1:6" ht="13.95" customHeight="1">
      <c r="A34" s="395" t="str">
        <f>未审报表!A34</f>
        <v>应收利息原值</v>
      </c>
      <c r="B34" s="391">
        <f>未审报表!B34</f>
        <v>28</v>
      </c>
      <c r="C34" s="371"/>
      <c r="D34" s="210">
        <f>未审报表!D34</f>
        <v>0</v>
      </c>
      <c r="E34" s="208">
        <f t="shared" si="2"/>
        <v>0</v>
      </c>
      <c r="F34" s="210">
        <f t="shared" si="3"/>
        <v>0</v>
      </c>
    </row>
    <row r="35" spans="1:6" ht="13.95" customHeight="1">
      <c r="A35" s="395" t="str">
        <f>未审报表!A35</f>
        <v>应收利息坏账准备</v>
      </c>
      <c r="B35" s="391">
        <f>未审报表!B35</f>
        <v>29</v>
      </c>
      <c r="C35" s="322"/>
      <c r="D35" s="210">
        <f>未审报表!D35</f>
        <v>0</v>
      </c>
      <c r="E35" s="208">
        <f t="shared" si="2"/>
        <v>0</v>
      </c>
      <c r="F35" s="210">
        <f t="shared" si="3"/>
        <v>0</v>
      </c>
    </row>
    <row r="36" spans="1:6" ht="13.95" customHeight="1">
      <c r="A36" s="395" t="str">
        <f>未审报表!A36</f>
        <v>应收利息</v>
      </c>
      <c r="B36" s="391">
        <f>未审报表!B36</f>
        <v>30</v>
      </c>
      <c r="C36" s="614">
        <f>C34-C35</f>
        <v>0</v>
      </c>
      <c r="D36" s="614">
        <f>D34-D35</f>
        <v>0</v>
      </c>
      <c r="E36" s="208">
        <f t="shared" si="2"/>
        <v>0</v>
      </c>
      <c r="F36" s="210">
        <f t="shared" si="3"/>
        <v>0</v>
      </c>
    </row>
    <row r="37" spans="1:6" ht="13.95" customHeight="1">
      <c r="A37" s="395" t="str">
        <f>未审报表!A37</f>
        <v>应收股利原值</v>
      </c>
      <c r="B37" s="391">
        <f>未审报表!B37</f>
        <v>31</v>
      </c>
      <c r="C37" s="371">
        <v>10512385.210000001</v>
      </c>
      <c r="D37" s="210">
        <f>未审报表!D37</f>
        <v>10512385.210000001</v>
      </c>
      <c r="E37" s="208">
        <f t="shared" si="2"/>
        <v>0</v>
      </c>
      <c r="F37" s="210">
        <f t="shared" si="3"/>
        <v>0</v>
      </c>
    </row>
    <row r="38" spans="1:6" ht="13.95" customHeight="1">
      <c r="A38" s="395" t="str">
        <f>未审报表!A38</f>
        <v>应收股利坏账准备</v>
      </c>
      <c r="B38" s="391">
        <f>未审报表!B38</f>
        <v>32</v>
      </c>
      <c r="C38" s="371"/>
      <c r="D38" s="210">
        <f>未审报表!D38</f>
        <v>0</v>
      </c>
      <c r="E38" s="208">
        <f t="shared" si="2"/>
        <v>0</v>
      </c>
      <c r="F38" s="210">
        <f t="shared" si="3"/>
        <v>0</v>
      </c>
    </row>
    <row r="39" spans="1:6" ht="13.95" customHeight="1">
      <c r="A39" s="395" t="str">
        <f>未审报表!A39</f>
        <v>应收股利</v>
      </c>
      <c r="B39" s="391">
        <f>未审报表!B39</f>
        <v>33</v>
      </c>
      <c r="C39" s="614">
        <f>C37-C38</f>
        <v>10512385.210000001</v>
      </c>
      <c r="D39" s="614">
        <f>D37-D38</f>
        <v>10512385.210000001</v>
      </c>
      <c r="E39" s="208">
        <f t="shared" si="2"/>
        <v>0</v>
      </c>
      <c r="F39" s="210">
        <f t="shared" si="3"/>
        <v>0</v>
      </c>
    </row>
    <row r="40" spans="1:6" ht="13.95" customHeight="1">
      <c r="A40" s="395" t="str">
        <f>未审报表!A40</f>
        <v>其他应收款原值</v>
      </c>
      <c r="B40" s="391">
        <f>未审报表!B40</f>
        <v>34</v>
      </c>
      <c r="C40" s="371">
        <v>12543397.1</v>
      </c>
      <c r="D40" s="210">
        <f>未审报表!D40</f>
        <v>12543397.1</v>
      </c>
      <c r="E40" s="208">
        <f t="shared" si="2"/>
        <v>0</v>
      </c>
      <c r="F40" s="210">
        <f t="shared" si="3"/>
        <v>0</v>
      </c>
    </row>
    <row r="41" spans="1:6" ht="13.95" customHeight="1">
      <c r="A41" s="395" t="str">
        <f>未审报表!A41</f>
        <v>其他应收款坏账准备</v>
      </c>
      <c r="B41" s="391">
        <f>未审报表!B41</f>
        <v>35</v>
      </c>
      <c r="C41" s="371"/>
      <c r="D41" s="210">
        <f>未审报表!D41</f>
        <v>0</v>
      </c>
      <c r="E41" s="208">
        <f t="shared" si="2"/>
        <v>0</v>
      </c>
      <c r="F41" s="210">
        <f t="shared" si="3"/>
        <v>0</v>
      </c>
    </row>
    <row r="42" spans="1:6" ht="13.95" customHeight="1">
      <c r="A42" s="395" t="str">
        <f>未审报表!A42</f>
        <v>其他应收款</v>
      </c>
      <c r="B42" s="391">
        <f>未审报表!B42</f>
        <v>36</v>
      </c>
      <c r="C42" s="614">
        <f>C40-C41</f>
        <v>12543397.1</v>
      </c>
      <c r="D42" s="614">
        <f>D40-D41</f>
        <v>12543397.1</v>
      </c>
      <c r="E42" s="208">
        <f t="shared" si="2"/>
        <v>0</v>
      </c>
      <c r="F42" s="210">
        <f t="shared" si="3"/>
        <v>0</v>
      </c>
    </row>
    <row r="43" spans="1:6" ht="13.95" customHeight="1">
      <c r="A43" s="395" t="str">
        <f>未审报表!A43</f>
        <v>买入返售金融资产原值*</v>
      </c>
      <c r="B43" s="391">
        <f>未审报表!B43</f>
        <v>37</v>
      </c>
      <c r="C43" s="371"/>
      <c r="D43" s="210">
        <f>未审报表!D43</f>
        <v>0</v>
      </c>
      <c r="E43" s="208">
        <f t="shared" si="2"/>
        <v>0</v>
      </c>
      <c r="F43" s="210">
        <f t="shared" si="3"/>
        <v>0</v>
      </c>
    </row>
    <row r="44" spans="1:6" ht="13.95" customHeight="1">
      <c r="A44" s="395" t="str">
        <f>未审报表!A44</f>
        <v>买入返售金融资产减值准备*</v>
      </c>
      <c r="B44" s="391">
        <f>未审报表!B44</f>
        <v>38</v>
      </c>
      <c r="C44" s="371"/>
      <c r="D44" s="210">
        <f>未审报表!D44</f>
        <v>0</v>
      </c>
      <c r="E44" s="208">
        <f t="shared" si="2"/>
        <v>0</v>
      </c>
      <c r="F44" s="210">
        <f t="shared" si="3"/>
        <v>0</v>
      </c>
    </row>
    <row r="45" spans="1:6" ht="13.95" customHeight="1">
      <c r="A45" s="395" t="str">
        <f>未审报表!A45</f>
        <v>买入返售金融资产*</v>
      </c>
      <c r="B45" s="391">
        <f>未审报表!B45</f>
        <v>39</v>
      </c>
      <c r="C45" s="614">
        <f>C43-C44</f>
        <v>0</v>
      </c>
      <c r="D45" s="614">
        <f>D43-D44</f>
        <v>0</v>
      </c>
      <c r="E45" s="208">
        <f t="shared" si="2"/>
        <v>0</v>
      </c>
      <c r="F45" s="210">
        <f t="shared" si="3"/>
        <v>0</v>
      </c>
    </row>
    <row r="46" spans="1:6" ht="13.95" customHeight="1">
      <c r="A46" s="395" t="str">
        <f>未审报表!A46</f>
        <v>存货原值</v>
      </c>
      <c r="B46" s="391">
        <f>未审报表!B46</f>
        <v>40</v>
      </c>
      <c r="C46" s="371"/>
      <c r="D46" s="210">
        <f>未审报表!D46</f>
        <v>0</v>
      </c>
      <c r="E46" s="208">
        <f t="shared" si="2"/>
        <v>0</v>
      </c>
      <c r="F46" s="210">
        <f t="shared" si="3"/>
        <v>0</v>
      </c>
    </row>
    <row r="47" spans="1:6" ht="13.95" customHeight="1">
      <c r="A47" s="395" t="str">
        <f>未审报表!A47</f>
        <v>存货跌价准备</v>
      </c>
      <c r="B47" s="391">
        <f>未审报表!B47</f>
        <v>41</v>
      </c>
      <c r="C47" s="371"/>
      <c r="D47" s="210">
        <f>未审报表!D47</f>
        <v>0</v>
      </c>
      <c r="E47" s="208">
        <f t="shared" si="2"/>
        <v>0</v>
      </c>
      <c r="F47" s="210">
        <f t="shared" si="3"/>
        <v>0</v>
      </c>
    </row>
    <row r="48" spans="1:6" ht="13.95" customHeight="1">
      <c r="A48" s="395" t="str">
        <f>未审报表!A48</f>
        <v>存货</v>
      </c>
      <c r="B48" s="391">
        <f>未审报表!B48</f>
        <v>42</v>
      </c>
      <c r="C48" s="614">
        <f>C46-C47</f>
        <v>0</v>
      </c>
      <c r="D48" s="614">
        <f>D46-D47</f>
        <v>0</v>
      </c>
      <c r="E48" s="208">
        <f t="shared" si="2"/>
        <v>0</v>
      </c>
      <c r="F48" s="210">
        <f t="shared" si="3"/>
        <v>0</v>
      </c>
    </row>
    <row r="49" spans="1:6" ht="13.95" customHeight="1">
      <c r="A49" s="395" t="str">
        <f>未审报表!A49</f>
        <v xml:space="preserve"> 其中：原材料</v>
      </c>
      <c r="B49" s="391">
        <f>未审报表!B49</f>
        <v>43</v>
      </c>
      <c r="C49" s="371"/>
      <c r="D49" s="210">
        <f>未审报表!D49</f>
        <v>0</v>
      </c>
      <c r="E49" s="208">
        <f t="shared" si="2"/>
        <v>0</v>
      </c>
      <c r="F49" s="210">
        <f t="shared" si="3"/>
        <v>0</v>
      </c>
    </row>
    <row r="50" spans="1:6" ht="13.95" customHeight="1">
      <c r="A50" s="395" t="str">
        <f>未审报表!A50</f>
        <v xml:space="preserve">    库存商品（产成品）</v>
      </c>
      <c r="B50" s="391">
        <f>未审报表!B50</f>
        <v>44</v>
      </c>
      <c r="C50" s="371"/>
      <c r="D50" s="210">
        <f>未审报表!D50</f>
        <v>0</v>
      </c>
      <c r="E50" s="208">
        <f t="shared" si="2"/>
        <v>0</v>
      </c>
      <c r="F50" s="210">
        <f t="shared" si="3"/>
        <v>0</v>
      </c>
    </row>
    <row r="51" spans="1:6" ht="13.95" customHeight="1">
      <c r="A51" s="395" t="str">
        <f>未审报表!A51</f>
        <v>合同资产原值</v>
      </c>
      <c r="B51" s="391">
        <f>未审报表!B51</f>
        <v>45</v>
      </c>
      <c r="C51" s="371"/>
      <c r="D51" s="210">
        <f>未审报表!D51</f>
        <v>0</v>
      </c>
      <c r="E51" s="208">
        <f t="shared" si="2"/>
        <v>0</v>
      </c>
      <c r="F51" s="210">
        <f t="shared" si="3"/>
        <v>0</v>
      </c>
    </row>
    <row r="52" spans="1:6" ht="13.95" customHeight="1">
      <c r="A52" s="395" t="str">
        <f>未审报表!A52</f>
        <v>合同资产减值准备</v>
      </c>
      <c r="B52" s="391">
        <f>未审报表!B52</f>
        <v>46</v>
      </c>
      <c r="C52" s="371"/>
      <c r="D52" s="210">
        <f>未审报表!D52</f>
        <v>0</v>
      </c>
      <c r="E52" s="208">
        <f t="shared" si="2"/>
        <v>0</v>
      </c>
      <c r="F52" s="210">
        <f t="shared" si="3"/>
        <v>0</v>
      </c>
    </row>
    <row r="53" spans="1:6" ht="13.95" customHeight="1">
      <c r="A53" s="395" t="str">
        <f>未审报表!A53</f>
        <v>合同资产</v>
      </c>
      <c r="B53" s="391">
        <f>未审报表!B53</f>
        <v>47</v>
      </c>
      <c r="C53" s="614">
        <f>C51-C52</f>
        <v>0</v>
      </c>
      <c r="D53" s="614">
        <f>D51-D52</f>
        <v>0</v>
      </c>
      <c r="E53" s="208">
        <f t="shared" si="2"/>
        <v>0</v>
      </c>
      <c r="F53" s="210">
        <f t="shared" si="3"/>
        <v>0</v>
      </c>
    </row>
    <row r="54" spans="1:6" ht="13.95" customHeight="1">
      <c r="A54" s="395" t="str">
        <f>未审报表!A54</f>
        <v>持有待售资产原值</v>
      </c>
      <c r="B54" s="391">
        <f>未审报表!B54</f>
        <v>48</v>
      </c>
      <c r="C54" s="371"/>
      <c r="D54" s="210">
        <f>未审报表!D54</f>
        <v>0</v>
      </c>
      <c r="E54" s="208">
        <f t="shared" si="2"/>
        <v>0</v>
      </c>
      <c r="F54" s="210">
        <f t="shared" si="3"/>
        <v>0</v>
      </c>
    </row>
    <row r="55" spans="1:6" ht="13.95" customHeight="1">
      <c r="A55" s="395" t="str">
        <f>未审报表!A55</f>
        <v>持有待售资产减值准备</v>
      </c>
      <c r="B55" s="391">
        <f>未审报表!B55</f>
        <v>49</v>
      </c>
      <c r="C55" s="371"/>
      <c r="D55" s="210">
        <f>未审报表!D55</f>
        <v>0</v>
      </c>
      <c r="E55" s="208">
        <f t="shared" si="2"/>
        <v>0</v>
      </c>
      <c r="F55" s="210">
        <f t="shared" si="3"/>
        <v>0</v>
      </c>
    </row>
    <row r="56" spans="1:6" ht="13.95" customHeight="1">
      <c r="A56" s="395" t="str">
        <f>未审报表!A56</f>
        <v>持有待售资产</v>
      </c>
      <c r="B56" s="391">
        <f>未审报表!B56</f>
        <v>50</v>
      </c>
      <c r="C56" s="614">
        <f>C54-C55</f>
        <v>0</v>
      </c>
      <c r="D56" s="614">
        <f>D54-D55</f>
        <v>0</v>
      </c>
      <c r="E56" s="208">
        <f t="shared" si="2"/>
        <v>0</v>
      </c>
      <c r="F56" s="210">
        <f t="shared" si="3"/>
        <v>0</v>
      </c>
    </row>
    <row r="57" spans="1:6" ht="13.95" customHeight="1">
      <c r="A57" s="395" t="str">
        <f>未审报表!A57</f>
        <v>一年内到期的非流动资产</v>
      </c>
      <c r="B57" s="391">
        <f>未审报表!B57</f>
        <v>51</v>
      </c>
      <c r="C57" s="371"/>
      <c r="D57" s="210">
        <f>未审报表!D57</f>
        <v>0</v>
      </c>
      <c r="E57" s="208">
        <f t="shared" si="2"/>
        <v>0</v>
      </c>
      <c r="F57" s="210">
        <f t="shared" si="3"/>
        <v>0</v>
      </c>
    </row>
    <row r="58" spans="1:6" ht="13.95" customHeight="1">
      <c r="A58" s="395" t="str">
        <f>未审报表!A58</f>
        <v>其他流动资产</v>
      </c>
      <c r="B58" s="391">
        <f>未审报表!B58</f>
        <v>52</v>
      </c>
      <c r="C58" s="371">
        <v>19000000</v>
      </c>
      <c r="D58" s="210">
        <f>未审报表!D58</f>
        <v>19000000</v>
      </c>
      <c r="E58" s="208"/>
      <c r="F58" s="210"/>
    </row>
    <row r="59" spans="1:6" s="612" customFormat="1" ht="13.95" customHeight="1">
      <c r="A59" s="608" t="str">
        <f>未审报表!A59</f>
        <v>流动资产合计</v>
      </c>
      <c r="B59" s="609">
        <f>未审报表!B59</f>
        <v>53</v>
      </c>
      <c r="C59" s="634">
        <f>SUM(C8:C9,C12,C13:C14,C17,C20,C23,C26,C29,C32,C33,C36,C39,C42,C45,C48,C53,C56,C57:C58)</f>
        <v>59421429.140000001</v>
      </c>
      <c r="D59" s="634">
        <f>SUM(D8:D9,D12,D13:D14,D17,D20,D23,D26,D29,D32,D33,D36,D39,D42,D45,D48,D53,D56,D57:D58)</f>
        <v>59421429.140000001</v>
      </c>
      <c r="E59" s="610">
        <f t="shared" si="2"/>
        <v>0</v>
      </c>
      <c r="F59" s="611">
        <f t="shared" si="3"/>
        <v>0</v>
      </c>
    </row>
    <row r="60" spans="1:6" ht="13.95" customHeight="1">
      <c r="A60" s="395" t="str">
        <f>未审报表!A60</f>
        <v>非流动资产:</v>
      </c>
      <c r="B60" s="391">
        <f>未审报表!B60</f>
        <v>54</v>
      </c>
      <c r="C60" s="371"/>
      <c r="D60" s="210">
        <f>未审报表!D60</f>
        <v>0</v>
      </c>
      <c r="E60" s="208">
        <f t="shared" si="2"/>
        <v>0</v>
      </c>
      <c r="F60" s="210">
        <f t="shared" si="3"/>
        <v>0</v>
      </c>
    </row>
    <row r="61" spans="1:6" ht="13.95" customHeight="1">
      <c r="A61" s="395" t="str">
        <f>未审报表!A61</f>
        <v>发放贷款和垫款原值*</v>
      </c>
      <c r="B61" s="391">
        <f>未审报表!B61</f>
        <v>55</v>
      </c>
      <c r="C61" s="371"/>
      <c r="D61" s="210">
        <f>未审报表!D61</f>
        <v>0</v>
      </c>
      <c r="E61" s="208">
        <f t="shared" si="2"/>
        <v>0</v>
      </c>
      <c r="F61" s="210">
        <f t="shared" si="3"/>
        <v>0</v>
      </c>
    </row>
    <row r="62" spans="1:6" ht="13.95" customHeight="1">
      <c r="A62" s="395" t="str">
        <f>未审报表!A62</f>
        <v>发放贷款和垫款减值准备*</v>
      </c>
      <c r="B62" s="391">
        <f>未审报表!B62</f>
        <v>56</v>
      </c>
      <c r="C62" s="371"/>
      <c r="D62" s="210"/>
      <c r="E62" s="208"/>
      <c r="F62" s="210"/>
    </row>
    <row r="63" spans="1:6" ht="13.95" customHeight="1">
      <c r="A63" s="395" t="str">
        <f>未审报表!A63</f>
        <v>发放贷款和垫款*</v>
      </c>
      <c r="B63" s="391">
        <f>未审报表!B63</f>
        <v>57</v>
      </c>
      <c r="C63" s="614">
        <f>C61-C62</f>
        <v>0</v>
      </c>
      <c r="D63" s="614">
        <f>D61-D62</f>
        <v>0</v>
      </c>
      <c r="E63" s="208"/>
      <c r="F63" s="210"/>
    </row>
    <row r="64" spans="1:6" ht="13.95" customHeight="1">
      <c r="A64" s="395" t="str">
        <f>未审报表!A64</f>
        <v>债权投资原值</v>
      </c>
      <c r="B64" s="391">
        <f>未审报表!B64</f>
        <v>58</v>
      </c>
      <c r="C64" s="371"/>
      <c r="D64" s="210">
        <f>未审报表!D64</f>
        <v>0</v>
      </c>
      <c r="E64" s="208">
        <f t="shared" si="2"/>
        <v>0</v>
      </c>
      <c r="F64" s="210">
        <f t="shared" si="3"/>
        <v>0</v>
      </c>
    </row>
    <row r="65" spans="1:6" ht="13.95" customHeight="1">
      <c r="A65" s="395" t="str">
        <f>未审报表!A65</f>
        <v>债权投资减值准备</v>
      </c>
      <c r="B65" s="391">
        <f>未审报表!B65</f>
        <v>59</v>
      </c>
      <c r="C65" s="371"/>
      <c r="D65" s="210">
        <f>未审报表!D65</f>
        <v>0</v>
      </c>
      <c r="E65" s="208">
        <f t="shared" si="2"/>
        <v>0</v>
      </c>
      <c r="F65" s="210">
        <f t="shared" si="3"/>
        <v>0</v>
      </c>
    </row>
    <row r="66" spans="1:6" ht="13.95" customHeight="1">
      <c r="A66" s="395" t="str">
        <f>未审报表!A66</f>
        <v>债权投资</v>
      </c>
      <c r="B66" s="391">
        <f>未审报表!B66</f>
        <v>60</v>
      </c>
      <c r="C66" s="614">
        <f>C64-C65</f>
        <v>0</v>
      </c>
      <c r="D66" s="614">
        <f>D64-D65</f>
        <v>0</v>
      </c>
      <c r="E66" s="208">
        <f t="shared" si="2"/>
        <v>0</v>
      </c>
      <c r="F66" s="210">
        <f t="shared" si="3"/>
        <v>0</v>
      </c>
    </row>
    <row r="67" spans="1:6" ht="13.95" customHeight="1">
      <c r="A67" s="395" t="str">
        <f>未审报表!A67</f>
        <v>其他债权投资原值</v>
      </c>
      <c r="B67" s="391">
        <f>未审报表!B67</f>
        <v>61</v>
      </c>
      <c r="C67" s="371"/>
      <c r="D67" s="210">
        <f>未审报表!D67</f>
        <v>0</v>
      </c>
      <c r="E67" s="208">
        <f t="shared" si="2"/>
        <v>0</v>
      </c>
      <c r="F67" s="210">
        <f t="shared" si="3"/>
        <v>0</v>
      </c>
    </row>
    <row r="68" spans="1:6" ht="13.95" customHeight="1">
      <c r="A68" s="395" t="str">
        <f>未审报表!A68</f>
        <v>其他债权投资减值准备</v>
      </c>
      <c r="B68" s="391">
        <f>未审报表!B68</f>
        <v>62</v>
      </c>
      <c r="C68" s="371"/>
      <c r="D68" s="210">
        <f>未审报表!D68</f>
        <v>0</v>
      </c>
      <c r="E68" s="208">
        <f t="shared" si="2"/>
        <v>0</v>
      </c>
      <c r="F68" s="210">
        <f t="shared" si="3"/>
        <v>0</v>
      </c>
    </row>
    <row r="69" spans="1:6" ht="13.95" customHeight="1">
      <c r="A69" s="395" t="str">
        <f>未审报表!A69</f>
        <v>其他债权投资</v>
      </c>
      <c r="B69" s="391">
        <f>未审报表!B69</f>
        <v>63</v>
      </c>
      <c r="C69" s="614">
        <f>C67-C68</f>
        <v>0</v>
      </c>
      <c r="D69" s="614">
        <f>D67-D68</f>
        <v>0</v>
      </c>
      <c r="E69" s="208">
        <f t="shared" si="2"/>
        <v>0</v>
      </c>
      <c r="F69" s="210">
        <f t="shared" si="3"/>
        <v>0</v>
      </c>
    </row>
    <row r="70" spans="1:6" ht="13.95" customHeight="1">
      <c r="A70" s="395" t="str">
        <f>未审报表!A70</f>
        <v>长期应收款原值</v>
      </c>
      <c r="B70" s="391">
        <f>未审报表!B70</f>
        <v>64</v>
      </c>
      <c r="C70" s="371"/>
      <c r="D70" s="210">
        <f>未审报表!D70</f>
        <v>0</v>
      </c>
      <c r="E70" s="208">
        <f t="shared" si="2"/>
        <v>0</v>
      </c>
      <c r="F70" s="210">
        <f t="shared" si="3"/>
        <v>0</v>
      </c>
    </row>
    <row r="71" spans="1:6" ht="13.95" customHeight="1">
      <c r="A71" s="395" t="str">
        <f>未审报表!A71</f>
        <v>长期应收款坏账准备</v>
      </c>
      <c r="B71" s="391">
        <f>未审报表!B71</f>
        <v>65</v>
      </c>
      <c r="C71" s="371"/>
      <c r="D71" s="210">
        <f>未审报表!D71</f>
        <v>0</v>
      </c>
      <c r="E71" s="208">
        <f t="shared" si="2"/>
        <v>0</v>
      </c>
      <c r="F71" s="210">
        <f t="shared" si="3"/>
        <v>0</v>
      </c>
    </row>
    <row r="72" spans="1:6" ht="13.95" customHeight="1">
      <c r="A72" s="395" t="str">
        <f>未审报表!A72</f>
        <v>长期应收款</v>
      </c>
      <c r="B72" s="391">
        <f>未审报表!B72</f>
        <v>66</v>
      </c>
      <c r="C72" s="614">
        <f>C70-C71</f>
        <v>0</v>
      </c>
      <c r="D72" s="614">
        <f>D70-D71</f>
        <v>0</v>
      </c>
      <c r="E72" s="208">
        <f t="shared" si="2"/>
        <v>0</v>
      </c>
      <c r="F72" s="210">
        <f t="shared" si="3"/>
        <v>0</v>
      </c>
    </row>
    <row r="73" spans="1:6" ht="13.95" customHeight="1">
      <c r="A73" s="395" t="str">
        <f>未审报表!A73</f>
        <v>设定受益计划净资产</v>
      </c>
      <c r="B73" s="391">
        <f>未审报表!B73</f>
        <v>67</v>
      </c>
      <c r="C73" s="371"/>
      <c r="D73" s="210">
        <f>未审报表!D73</f>
        <v>0</v>
      </c>
      <c r="E73" s="208">
        <f t="shared" si="2"/>
        <v>0</v>
      </c>
      <c r="F73" s="210">
        <f t="shared" si="3"/>
        <v>0</v>
      </c>
    </row>
    <row r="74" spans="1:6" ht="13.95" customHeight="1">
      <c r="A74" s="395" t="str">
        <f>未审报表!A74</f>
        <v>长期股权投资原值</v>
      </c>
      <c r="B74" s="391">
        <f>未审报表!B74</f>
        <v>68</v>
      </c>
      <c r="C74" s="371">
        <v>11290037.73</v>
      </c>
      <c r="D74" s="210">
        <f>未审报表!D74</f>
        <v>11290037.73</v>
      </c>
      <c r="E74" s="208">
        <f t="shared" si="2"/>
        <v>0</v>
      </c>
      <c r="F74" s="210">
        <f t="shared" si="3"/>
        <v>0</v>
      </c>
    </row>
    <row r="75" spans="1:6" ht="13.95" customHeight="1">
      <c r="A75" s="395" t="str">
        <f>未审报表!A75</f>
        <v>长期股权投资减值准备</v>
      </c>
      <c r="B75" s="391">
        <f>未审报表!B75</f>
        <v>69</v>
      </c>
      <c r="C75" s="371"/>
      <c r="D75" s="210">
        <f>未审报表!D75</f>
        <v>0</v>
      </c>
      <c r="E75" s="208">
        <f t="shared" si="2"/>
        <v>0</v>
      </c>
      <c r="F75" s="210">
        <f t="shared" si="3"/>
        <v>0</v>
      </c>
    </row>
    <row r="76" spans="1:6" ht="13.95" customHeight="1">
      <c r="A76" s="395" t="str">
        <f>未审报表!A76</f>
        <v>长期股权投资</v>
      </c>
      <c r="B76" s="391">
        <f>未审报表!B76</f>
        <v>70</v>
      </c>
      <c r="C76" s="614">
        <f>C74-C75</f>
        <v>11290037.73</v>
      </c>
      <c r="D76" s="614">
        <f>D74-D75</f>
        <v>11290037.73</v>
      </c>
      <c r="E76" s="208">
        <f t="shared" si="2"/>
        <v>0</v>
      </c>
      <c r="F76" s="210">
        <f t="shared" si="3"/>
        <v>0</v>
      </c>
    </row>
    <row r="77" spans="1:6" ht="13.95" customHeight="1">
      <c r="A77" s="395" t="str">
        <f>未审报表!A77</f>
        <v>其他权益工具投资</v>
      </c>
      <c r="B77" s="391">
        <f>未审报表!B77</f>
        <v>71</v>
      </c>
      <c r="C77" s="371"/>
      <c r="D77" s="210">
        <f>未审报表!D77</f>
        <v>0</v>
      </c>
      <c r="E77" s="208">
        <f t="shared" si="2"/>
        <v>0</v>
      </c>
      <c r="F77" s="210">
        <f t="shared" si="3"/>
        <v>0</v>
      </c>
    </row>
    <row r="78" spans="1:6" ht="13.95" customHeight="1">
      <c r="A78" s="395" t="str">
        <f>未审报表!A78</f>
        <v>其他非流动金融资产</v>
      </c>
      <c r="B78" s="391">
        <f>未审报表!B78</f>
        <v>72</v>
      </c>
      <c r="C78" s="371"/>
      <c r="D78" s="210">
        <f>未审报表!D78</f>
        <v>0</v>
      </c>
      <c r="E78" s="208">
        <f t="shared" si="2"/>
        <v>0</v>
      </c>
      <c r="F78" s="210">
        <f t="shared" si="3"/>
        <v>0</v>
      </c>
    </row>
    <row r="79" spans="1:6" ht="13.95" customHeight="1">
      <c r="A79" s="395" t="str">
        <f>未审报表!A79</f>
        <v>投资性房地产原值</v>
      </c>
      <c r="B79" s="391">
        <f>未审报表!B79</f>
        <v>73</v>
      </c>
      <c r="C79" s="371"/>
      <c r="D79" s="210">
        <f>未审报表!D79</f>
        <v>0</v>
      </c>
      <c r="E79" s="208">
        <f t="shared" si="2"/>
        <v>0</v>
      </c>
      <c r="F79" s="210">
        <f t="shared" si="3"/>
        <v>0</v>
      </c>
    </row>
    <row r="80" spans="1:6" ht="13.95" customHeight="1">
      <c r="A80" s="395" t="str">
        <f>未审报表!A80</f>
        <v>投资性房地产累计折旧</v>
      </c>
      <c r="B80" s="391">
        <f>未审报表!B80</f>
        <v>74</v>
      </c>
      <c r="C80" s="371"/>
      <c r="D80" s="210">
        <f>未审报表!D80</f>
        <v>0</v>
      </c>
      <c r="E80" s="208">
        <f t="shared" si="2"/>
        <v>0</v>
      </c>
      <c r="F80" s="210">
        <f t="shared" si="3"/>
        <v>0</v>
      </c>
    </row>
    <row r="81" spans="1:6" ht="13.95" customHeight="1">
      <c r="A81" s="395" t="str">
        <f>未审报表!A81</f>
        <v>投资性房地产净值</v>
      </c>
      <c r="B81" s="391">
        <f>未审报表!B81</f>
        <v>75</v>
      </c>
      <c r="C81" s="614">
        <f>C79-C80</f>
        <v>0</v>
      </c>
      <c r="D81" s="614">
        <f>D79-D80</f>
        <v>0</v>
      </c>
      <c r="E81" s="208">
        <f t="shared" si="2"/>
        <v>0</v>
      </c>
      <c r="F81" s="210">
        <f t="shared" si="3"/>
        <v>0</v>
      </c>
    </row>
    <row r="82" spans="1:6" ht="13.95" customHeight="1">
      <c r="A82" s="395" t="str">
        <f>未审报表!A82</f>
        <v>投资性房地产减值准备</v>
      </c>
      <c r="B82" s="391">
        <f>未审报表!B82</f>
        <v>76</v>
      </c>
      <c r="C82" s="371"/>
      <c r="D82" s="210">
        <f>未审报表!D82</f>
        <v>0</v>
      </c>
      <c r="E82" s="208">
        <f t="shared" si="2"/>
        <v>0</v>
      </c>
      <c r="F82" s="210">
        <f t="shared" si="3"/>
        <v>0</v>
      </c>
    </row>
    <row r="83" spans="1:6" ht="13.95" customHeight="1">
      <c r="A83" s="395" t="str">
        <f>未审报表!A83</f>
        <v>投资性房地产</v>
      </c>
      <c r="B83" s="391">
        <f>未审报表!B83</f>
        <v>77</v>
      </c>
      <c r="C83" s="614">
        <f>C81-C82</f>
        <v>0</v>
      </c>
      <c r="D83" s="614">
        <f>D81-D82</f>
        <v>0</v>
      </c>
      <c r="E83" s="208">
        <f t="shared" si="2"/>
        <v>0</v>
      </c>
      <c r="F83" s="210">
        <f t="shared" ref="F83:F146" si="4">C83-D83</f>
        <v>0</v>
      </c>
    </row>
    <row r="84" spans="1:6" ht="13.95" customHeight="1">
      <c r="A84" s="395" t="str">
        <f>未审报表!A84</f>
        <v>固定资产原值</v>
      </c>
      <c r="B84" s="391">
        <f>未审报表!B84</f>
        <v>78</v>
      </c>
      <c r="C84" s="371"/>
      <c r="D84" s="210">
        <f>未审报表!D84</f>
        <v>0</v>
      </c>
      <c r="E84" s="208">
        <f t="shared" si="2"/>
        <v>0</v>
      </c>
      <c r="F84" s="210">
        <f t="shared" si="4"/>
        <v>0</v>
      </c>
    </row>
    <row r="85" spans="1:6" ht="13.95" customHeight="1">
      <c r="A85" s="395" t="str">
        <f>未审报表!A85</f>
        <v>固定资产累计折旧</v>
      </c>
      <c r="B85" s="391">
        <f>未审报表!B85</f>
        <v>79</v>
      </c>
      <c r="C85" s="371"/>
      <c r="D85" s="210">
        <f>未审报表!D85</f>
        <v>0</v>
      </c>
      <c r="E85" s="208">
        <f t="shared" si="2"/>
        <v>0</v>
      </c>
      <c r="F85" s="210">
        <f t="shared" si="4"/>
        <v>0</v>
      </c>
    </row>
    <row r="86" spans="1:6" ht="13.95" customHeight="1">
      <c r="A86" s="395" t="str">
        <f>未审报表!A86</f>
        <v>固定资产净值</v>
      </c>
      <c r="B86" s="391">
        <f>未审报表!B86</f>
        <v>80</v>
      </c>
      <c r="C86" s="614">
        <f>C84-C85</f>
        <v>0</v>
      </c>
      <c r="D86" s="614">
        <f>D84-D85</f>
        <v>0</v>
      </c>
      <c r="E86" s="208">
        <f t="shared" ref="E86:E149" si="5">ABS(F86)</f>
        <v>0</v>
      </c>
      <c r="F86" s="210">
        <f t="shared" si="4"/>
        <v>0</v>
      </c>
    </row>
    <row r="87" spans="1:6" ht="13.95" customHeight="1">
      <c r="A87" s="395" t="str">
        <f>未审报表!A87</f>
        <v>固定资产减值准备</v>
      </c>
      <c r="B87" s="391">
        <f>未审报表!B87</f>
        <v>81</v>
      </c>
      <c r="C87" s="371"/>
      <c r="D87" s="210">
        <f>未审报表!D87</f>
        <v>0</v>
      </c>
      <c r="E87" s="208">
        <f t="shared" si="5"/>
        <v>0</v>
      </c>
      <c r="F87" s="210">
        <f t="shared" si="4"/>
        <v>0</v>
      </c>
    </row>
    <row r="88" spans="1:6" ht="13.95" customHeight="1">
      <c r="A88" s="395" t="str">
        <f>未审报表!A88</f>
        <v>固定资产</v>
      </c>
      <c r="B88" s="391">
        <f>未审报表!B88</f>
        <v>82</v>
      </c>
      <c r="C88" s="614">
        <f>C86-C87</f>
        <v>0</v>
      </c>
      <c r="D88" s="614">
        <f>D86-D87</f>
        <v>0</v>
      </c>
      <c r="E88" s="208">
        <f t="shared" si="5"/>
        <v>0</v>
      </c>
      <c r="F88" s="210">
        <f t="shared" si="4"/>
        <v>0</v>
      </c>
    </row>
    <row r="89" spans="1:6" ht="13.95" customHeight="1">
      <c r="A89" s="395" t="str">
        <f>未审报表!A89</f>
        <v>固定资产清理</v>
      </c>
      <c r="B89" s="391">
        <f>未审报表!B89</f>
        <v>83</v>
      </c>
      <c r="C89" s="371"/>
      <c r="D89" s="210">
        <f>未审报表!D89</f>
        <v>0</v>
      </c>
      <c r="E89" s="208">
        <f t="shared" si="5"/>
        <v>0</v>
      </c>
      <c r="F89" s="210">
        <f t="shared" si="4"/>
        <v>0</v>
      </c>
    </row>
    <row r="90" spans="1:6" ht="13.95" customHeight="1">
      <c r="A90" s="395" t="str">
        <f>未审报表!A90</f>
        <v>在建工程原值</v>
      </c>
      <c r="B90" s="391">
        <f>未审报表!B90</f>
        <v>84</v>
      </c>
      <c r="C90" s="371"/>
      <c r="D90" s="210">
        <f>未审报表!D90</f>
        <v>0</v>
      </c>
      <c r="E90" s="208">
        <f t="shared" si="5"/>
        <v>0</v>
      </c>
      <c r="F90" s="210">
        <f t="shared" si="4"/>
        <v>0</v>
      </c>
    </row>
    <row r="91" spans="1:6" ht="13.95" customHeight="1">
      <c r="A91" s="395" t="str">
        <f>未审报表!A91</f>
        <v>在建工程减值准备</v>
      </c>
      <c r="B91" s="391">
        <f>未审报表!B91</f>
        <v>85</v>
      </c>
      <c r="C91" s="371"/>
      <c r="D91" s="210">
        <f>未审报表!D91</f>
        <v>0</v>
      </c>
      <c r="E91" s="208">
        <f t="shared" si="5"/>
        <v>0</v>
      </c>
      <c r="F91" s="210">
        <f t="shared" si="4"/>
        <v>0</v>
      </c>
    </row>
    <row r="92" spans="1:6" ht="13.95" customHeight="1">
      <c r="A92" s="395" t="str">
        <f>未审报表!A92</f>
        <v>在建工程</v>
      </c>
      <c r="B92" s="391">
        <f>未审报表!B92</f>
        <v>86</v>
      </c>
      <c r="C92" s="614">
        <f>C90-C91</f>
        <v>0</v>
      </c>
      <c r="D92" s="614">
        <f>D90-D91</f>
        <v>0</v>
      </c>
      <c r="E92" s="208">
        <f t="shared" si="5"/>
        <v>0</v>
      </c>
      <c r="F92" s="210">
        <f t="shared" si="4"/>
        <v>0</v>
      </c>
    </row>
    <row r="93" spans="1:6" ht="13.95" customHeight="1">
      <c r="A93" s="395" t="str">
        <f>未审报表!A93</f>
        <v>工程物资原值</v>
      </c>
      <c r="B93" s="391">
        <f>未审报表!B93</f>
        <v>87</v>
      </c>
      <c r="C93" s="371"/>
      <c r="D93" s="210">
        <f>未审报表!D93</f>
        <v>0</v>
      </c>
      <c r="E93" s="208">
        <f t="shared" si="5"/>
        <v>0</v>
      </c>
      <c r="F93" s="210">
        <f t="shared" si="4"/>
        <v>0</v>
      </c>
    </row>
    <row r="94" spans="1:6" ht="13.95" customHeight="1">
      <c r="A94" s="395" t="str">
        <f>未审报表!A94</f>
        <v>工程物资减值准备</v>
      </c>
      <c r="B94" s="391">
        <f>未审报表!B94</f>
        <v>88</v>
      </c>
      <c r="C94" s="371"/>
      <c r="D94" s="210">
        <f>未审报表!D94</f>
        <v>0</v>
      </c>
      <c r="E94" s="208">
        <f t="shared" si="5"/>
        <v>0</v>
      </c>
      <c r="F94" s="210">
        <f t="shared" si="4"/>
        <v>0</v>
      </c>
    </row>
    <row r="95" spans="1:6" ht="13.95" customHeight="1">
      <c r="A95" s="395" t="str">
        <f>未审报表!A95</f>
        <v>工程物资</v>
      </c>
      <c r="B95" s="391">
        <f>未审报表!B95</f>
        <v>89</v>
      </c>
      <c r="C95" s="614">
        <f>C93-C94</f>
        <v>0</v>
      </c>
      <c r="D95" s="614">
        <f>D93-D94</f>
        <v>0</v>
      </c>
      <c r="E95" s="208">
        <f t="shared" si="5"/>
        <v>0</v>
      </c>
      <c r="F95" s="210">
        <f t="shared" si="4"/>
        <v>0</v>
      </c>
    </row>
    <row r="96" spans="1:6" ht="13.95" customHeight="1">
      <c r="A96" s="395" t="str">
        <f>未审报表!A96</f>
        <v>生产性生物资产原值</v>
      </c>
      <c r="B96" s="391">
        <f>未审报表!B96</f>
        <v>90</v>
      </c>
      <c r="C96" s="371"/>
      <c r="D96" s="210">
        <f>未审报表!D96</f>
        <v>0</v>
      </c>
      <c r="E96" s="208">
        <f t="shared" si="5"/>
        <v>0</v>
      </c>
      <c r="F96" s="210">
        <f t="shared" si="4"/>
        <v>0</v>
      </c>
    </row>
    <row r="97" spans="1:6" ht="13.95" customHeight="1">
      <c r="A97" s="395" t="str">
        <f>未审报表!A97</f>
        <v>生产性生物资产累计折旧</v>
      </c>
      <c r="B97" s="391">
        <f>未审报表!B97</f>
        <v>91</v>
      </c>
      <c r="C97" s="371"/>
      <c r="D97" s="210">
        <f>未审报表!D97</f>
        <v>0</v>
      </c>
      <c r="E97" s="208">
        <f t="shared" si="5"/>
        <v>0</v>
      </c>
      <c r="F97" s="210">
        <f t="shared" si="4"/>
        <v>0</v>
      </c>
    </row>
    <row r="98" spans="1:6" ht="13.95" customHeight="1">
      <c r="A98" s="395" t="str">
        <f>未审报表!A98</f>
        <v>生产性生物资产净值</v>
      </c>
      <c r="B98" s="391">
        <f>未审报表!B98</f>
        <v>92</v>
      </c>
      <c r="C98" s="614">
        <f>C96-C97</f>
        <v>0</v>
      </c>
      <c r="D98" s="614">
        <f>D96-D97</f>
        <v>0</v>
      </c>
      <c r="E98" s="208">
        <f t="shared" si="5"/>
        <v>0</v>
      </c>
      <c r="F98" s="210">
        <f t="shared" si="4"/>
        <v>0</v>
      </c>
    </row>
    <row r="99" spans="1:6" ht="13.95" customHeight="1">
      <c r="A99" s="395" t="str">
        <f>未审报表!A99</f>
        <v>生产性生物资产减值准备</v>
      </c>
      <c r="B99" s="391">
        <f>未审报表!B99</f>
        <v>93</v>
      </c>
      <c r="C99" s="371"/>
      <c r="D99" s="210">
        <f>未审报表!D99</f>
        <v>0</v>
      </c>
      <c r="E99" s="208">
        <f t="shared" si="5"/>
        <v>0</v>
      </c>
      <c r="F99" s="210">
        <f t="shared" si="4"/>
        <v>0</v>
      </c>
    </row>
    <row r="100" spans="1:6" ht="13.95" customHeight="1">
      <c r="A100" s="395" t="str">
        <f>未审报表!A100</f>
        <v>生产性生物资产</v>
      </c>
      <c r="B100" s="391">
        <f>未审报表!B100</f>
        <v>94</v>
      </c>
      <c r="C100" s="614">
        <f>C98-C99</f>
        <v>0</v>
      </c>
      <c r="D100" s="614">
        <f>D98-D99</f>
        <v>0</v>
      </c>
      <c r="E100" s="208">
        <f t="shared" si="5"/>
        <v>0</v>
      </c>
      <c r="F100" s="210">
        <f t="shared" si="4"/>
        <v>0</v>
      </c>
    </row>
    <row r="101" spans="1:6" ht="13.95" customHeight="1">
      <c r="A101" s="395" t="str">
        <f>未审报表!A101</f>
        <v>油气资产原值</v>
      </c>
      <c r="B101" s="391">
        <f>未审报表!B101</f>
        <v>95</v>
      </c>
      <c r="C101" s="371"/>
      <c r="D101" s="210">
        <f>未审报表!D101</f>
        <v>0</v>
      </c>
      <c r="E101" s="208">
        <f t="shared" si="5"/>
        <v>0</v>
      </c>
      <c r="F101" s="210">
        <f t="shared" si="4"/>
        <v>0</v>
      </c>
    </row>
    <row r="102" spans="1:6" ht="13.95" customHeight="1">
      <c r="A102" s="395" t="str">
        <f>未审报表!A102</f>
        <v>油气资产累计折旧</v>
      </c>
      <c r="B102" s="391">
        <f>未审报表!B102</f>
        <v>96</v>
      </c>
      <c r="C102" s="371"/>
      <c r="D102" s="210">
        <f>未审报表!D102</f>
        <v>0</v>
      </c>
      <c r="E102" s="208">
        <f t="shared" si="5"/>
        <v>0</v>
      </c>
      <c r="F102" s="210">
        <f t="shared" si="4"/>
        <v>0</v>
      </c>
    </row>
    <row r="103" spans="1:6" ht="13.95" customHeight="1">
      <c r="A103" s="395" t="str">
        <f>未审报表!A103</f>
        <v>油气资产净值</v>
      </c>
      <c r="B103" s="391">
        <f>未审报表!B103</f>
        <v>97</v>
      </c>
      <c r="C103" s="614">
        <f>C101-C102</f>
        <v>0</v>
      </c>
      <c r="D103" s="614">
        <f>D101-D102</f>
        <v>0</v>
      </c>
      <c r="E103" s="208">
        <f t="shared" si="5"/>
        <v>0</v>
      </c>
      <c r="F103" s="210">
        <f t="shared" si="4"/>
        <v>0</v>
      </c>
    </row>
    <row r="104" spans="1:6" ht="13.95" customHeight="1">
      <c r="A104" s="395" t="str">
        <f>未审报表!A104</f>
        <v>油气资产减值准备</v>
      </c>
      <c r="B104" s="391">
        <f>未审报表!B104</f>
        <v>98</v>
      </c>
      <c r="C104" s="371"/>
      <c r="D104" s="210">
        <f>未审报表!D104</f>
        <v>0</v>
      </c>
      <c r="E104" s="208">
        <f t="shared" si="5"/>
        <v>0</v>
      </c>
      <c r="F104" s="210">
        <f t="shared" si="4"/>
        <v>0</v>
      </c>
    </row>
    <row r="105" spans="1:6" ht="13.95" customHeight="1">
      <c r="A105" s="395" t="str">
        <f>未审报表!A105</f>
        <v>油气资产</v>
      </c>
      <c r="B105" s="391">
        <f>未审报表!B105</f>
        <v>99</v>
      </c>
      <c r="C105" s="614">
        <f>C103-C104</f>
        <v>0</v>
      </c>
      <c r="D105" s="614">
        <f>D103-D104</f>
        <v>0</v>
      </c>
      <c r="E105" s="208">
        <f t="shared" si="5"/>
        <v>0</v>
      </c>
      <c r="F105" s="210">
        <f t="shared" si="4"/>
        <v>0</v>
      </c>
    </row>
    <row r="106" spans="1:6" ht="13.95" customHeight="1">
      <c r="A106" s="395" t="str">
        <f>未审报表!A106</f>
        <v>使用权资产原值</v>
      </c>
      <c r="B106" s="391">
        <f>未审报表!B106</f>
        <v>100</v>
      </c>
      <c r="C106" s="371"/>
      <c r="D106" s="210">
        <f>未审报表!D106</f>
        <v>0</v>
      </c>
      <c r="E106" s="208">
        <f t="shared" si="5"/>
        <v>0</v>
      </c>
      <c r="F106" s="210">
        <f t="shared" si="4"/>
        <v>0</v>
      </c>
    </row>
    <row r="107" spans="1:6" ht="13.95" customHeight="1">
      <c r="A107" s="395" t="str">
        <f>未审报表!A107</f>
        <v>使用权资产累计折旧</v>
      </c>
      <c r="B107" s="391">
        <f>未审报表!B107</f>
        <v>101</v>
      </c>
      <c r="C107" s="371"/>
      <c r="D107" s="210">
        <f>未审报表!D107</f>
        <v>0</v>
      </c>
      <c r="E107" s="208">
        <f t="shared" si="5"/>
        <v>0</v>
      </c>
      <c r="F107" s="210">
        <f t="shared" si="4"/>
        <v>0</v>
      </c>
    </row>
    <row r="108" spans="1:6" ht="13.95" customHeight="1">
      <c r="A108" s="395" t="str">
        <f>未审报表!A108</f>
        <v>使用权资产净值</v>
      </c>
      <c r="B108" s="391">
        <f>未审报表!B108</f>
        <v>102</v>
      </c>
      <c r="C108" s="614">
        <f>C106-C107</f>
        <v>0</v>
      </c>
      <c r="D108" s="614">
        <f>D106-D107</f>
        <v>0</v>
      </c>
      <c r="E108" s="208">
        <f t="shared" si="5"/>
        <v>0</v>
      </c>
      <c r="F108" s="210">
        <f t="shared" si="4"/>
        <v>0</v>
      </c>
    </row>
    <row r="109" spans="1:6" ht="13.95" customHeight="1">
      <c r="A109" s="395" t="str">
        <f>未审报表!A109</f>
        <v>使用权资产减值准备</v>
      </c>
      <c r="B109" s="391">
        <f>未审报表!B109</f>
        <v>103</v>
      </c>
      <c r="C109" s="371"/>
      <c r="D109" s="210">
        <f>未审报表!D109</f>
        <v>0</v>
      </c>
      <c r="E109" s="208">
        <f t="shared" si="5"/>
        <v>0</v>
      </c>
      <c r="F109" s="210">
        <f t="shared" si="4"/>
        <v>0</v>
      </c>
    </row>
    <row r="110" spans="1:6" ht="13.95" customHeight="1">
      <c r="A110" s="395" t="str">
        <f>未审报表!A110</f>
        <v>使用权资产</v>
      </c>
      <c r="B110" s="391">
        <f>未审报表!B110</f>
        <v>104</v>
      </c>
      <c r="C110" s="614">
        <f>C108-C109</f>
        <v>0</v>
      </c>
      <c r="D110" s="614">
        <f>D108-D109</f>
        <v>0</v>
      </c>
      <c r="E110" s="208">
        <f t="shared" si="5"/>
        <v>0</v>
      </c>
      <c r="F110" s="210">
        <f t="shared" si="4"/>
        <v>0</v>
      </c>
    </row>
    <row r="111" spans="1:6" ht="13.95" customHeight="1">
      <c r="A111" s="395" t="str">
        <f>未审报表!A111</f>
        <v>无形资产原值</v>
      </c>
      <c r="B111" s="391">
        <f>未审报表!B111</f>
        <v>105</v>
      </c>
      <c r="C111" s="371">
        <v>454415.95</v>
      </c>
      <c r="D111" s="210">
        <f>未审报表!D111</f>
        <v>454415.95</v>
      </c>
      <c r="E111" s="208">
        <f t="shared" si="5"/>
        <v>0</v>
      </c>
      <c r="F111" s="210">
        <f t="shared" si="4"/>
        <v>0</v>
      </c>
    </row>
    <row r="112" spans="1:6" ht="13.95" customHeight="1">
      <c r="A112" s="395" t="str">
        <f>未审报表!A112</f>
        <v>无形资产累计摊销</v>
      </c>
      <c r="B112" s="391">
        <f>未审报表!B112</f>
        <v>106</v>
      </c>
      <c r="C112" s="371"/>
      <c r="D112" s="210">
        <f>未审报表!D112</f>
        <v>0</v>
      </c>
      <c r="E112" s="208">
        <f t="shared" si="5"/>
        <v>0</v>
      </c>
      <c r="F112" s="210">
        <f t="shared" si="4"/>
        <v>0</v>
      </c>
    </row>
    <row r="113" spans="1:6" ht="13.95" customHeight="1">
      <c r="A113" s="395" t="str">
        <f>未审报表!A113</f>
        <v>无形资产净值</v>
      </c>
      <c r="B113" s="391">
        <f>未审报表!B113</f>
        <v>107</v>
      </c>
      <c r="C113" s="614">
        <f>C111-C112</f>
        <v>454415.95</v>
      </c>
      <c r="D113" s="614">
        <f>D111-D112</f>
        <v>454415.95</v>
      </c>
      <c r="E113" s="208">
        <f t="shared" si="5"/>
        <v>0</v>
      </c>
      <c r="F113" s="210">
        <f t="shared" si="4"/>
        <v>0</v>
      </c>
    </row>
    <row r="114" spans="1:6" ht="13.95" customHeight="1">
      <c r="A114" s="395" t="str">
        <f>未审报表!A114</f>
        <v>无形资产减值准备</v>
      </c>
      <c r="B114" s="391">
        <f>未审报表!B114</f>
        <v>108</v>
      </c>
      <c r="C114" s="371"/>
      <c r="D114" s="210">
        <f>未审报表!D114</f>
        <v>0</v>
      </c>
      <c r="E114" s="208">
        <f t="shared" si="5"/>
        <v>0</v>
      </c>
      <c r="F114" s="210">
        <f t="shared" si="4"/>
        <v>0</v>
      </c>
    </row>
    <row r="115" spans="1:6" ht="13.95" customHeight="1">
      <c r="A115" s="395" t="str">
        <f>未审报表!A115</f>
        <v>无形资产</v>
      </c>
      <c r="B115" s="391">
        <f>未审报表!B115</f>
        <v>109</v>
      </c>
      <c r="C115" s="614">
        <f>C113-C114</f>
        <v>454415.95</v>
      </c>
      <c r="D115" s="614">
        <f>D113-D114</f>
        <v>454415.95</v>
      </c>
      <c r="E115" s="208">
        <f t="shared" si="5"/>
        <v>0</v>
      </c>
      <c r="F115" s="210">
        <f t="shared" si="4"/>
        <v>0</v>
      </c>
    </row>
    <row r="116" spans="1:6" ht="13.95" customHeight="1">
      <c r="A116" s="395" t="str">
        <f>未审报表!A116</f>
        <v>开发支出原值</v>
      </c>
      <c r="B116" s="391">
        <f>未审报表!B116</f>
        <v>110</v>
      </c>
      <c r="C116" s="371"/>
      <c r="D116" s="210">
        <f>未审报表!D116</f>
        <v>0</v>
      </c>
      <c r="E116" s="208">
        <f t="shared" si="5"/>
        <v>0</v>
      </c>
      <c r="F116" s="210">
        <f t="shared" si="4"/>
        <v>0</v>
      </c>
    </row>
    <row r="117" spans="1:6" ht="13.95" customHeight="1">
      <c r="A117" s="395" t="str">
        <f>未审报表!A117</f>
        <v>开发支出减值准备</v>
      </c>
      <c r="B117" s="391">
        <f>未审报表!B117</f>
        <v>111</v>
      </c>
      <c r="C117" s="371"/>
      <c r="D117" s="210">
        <f>未审报表!D117</f>
        <v>0</v>
      </c>
      <c r="E117" s="208">
        <f t="shared" si="5"/>
        <v>0</v>
      </c>
      <c r="F117" s="210">
        <f t="shared" si="4"/>
        <v>0</v>
      </c>
    </row>
    <row r="118" spans="1:6" ht="13.95" customHeight="1">
      <c r="A118" s="395" t="str">
        <f>未审报表!A118</f>
        <v>开发支出</v>
      </c>
      <c r="B118" s="391">
        <f>未审报表!B118</f>
        <v>112</v>
      </c>
      <c r="C118" s="614">
        <f>C116-C117</f>
        <v>0</v>
      </c>
      <c r="D118" s="614">
        <f>D116-D117</f>
        <v>0</v>
      </c>
      <c r="E118" s="208">
        <f t="shared" si="5"/>
        <v>0</v>
      </c>
      <c r="F118" s="210">
        <f t="shared" si="4"/>
        <v>0</v>
      </c>
    </row>
    <row r="119" spans="1:6" ht="13.95" customHeight="1">
      <c r="A119" s="395" t="str">
        <f>未审报表!A119</f>
        <v>商誉原值</v>
      </c>
      <c r="B119" s="391">
        <f>未审报表!B119</f>
        <v>113</v>
      </c>
      <c r="C119" s="371"/>
      <c r="D119" s="210">
        <f>未审报表!D119</f>
        <v>0</v>
      </c>
      <c r="E119" s="208">
        <f t="shared" si="5"/>
        <v>0</v>
      </c>
      <c r="F119" s="210">
        <f t="shared" si="4"/>
        <v>0</v>
      </c>
    </row>
    <row r="120" spans="1:6" ht="13.95" customHeight="1">
      <c r="A120" s="395" t="str">
        <f>未审报表!A120</f>
        <v>商誉减值准备</v>
      </c>
      <c r="B120" s="391">
        <f>未审报表!B120</f>
        <v>114</v>
      </c>
      <c r="C120" s="371"/>
      <c r="D120" s="210">
        <f>未审报表!D120</f>
        <v>0</v>
      </c>
      <c r="E120" s="208">
        <f t="shared" si="5"/>
        <v>0</v>
      </c>
      <c r="F120" s="210">
        <f t="shared" si="4"/>
        <v>0</v>
      </c>
    </row>
    <row r="121" spans="1:6" ht="13.95" customHeight="1">
      <c r="A121" s="395" t="str">
        <f>未审报表!A121</f>
        <v>商誉</v>
      </c>
      <c r="B121" s="391">
        <f>未审报表!B121</f>
        <v>115</v>
      </c>
      <c r="C121" s="614">
        <f>C119-C120</f>
        <v>0</v>
      </c>
      <c r="D121" s="614">
        <f>D119-D120</f>
        <v>0</v>
      </c>
      <c r="E121" s="208">
        <f t="shared" si="5"/>
        <v>0</v>
      </c>
      <c r="F121" s="210">
        <f t="shared" si="4"/>
        <v>0</v>
      </c>
    </row>
    <row r="122" spans="1:6" ht="13.95" customHeight="1">
      <c r="A122" s="395" t="str">
        <f>未审报表!A122</f>
        <v>长期待摊费用</v>
      </c>
      <c r="B122" s="391">
        <f>未审报表!B122</f>
        <v>116</v>
      </c>
      <c r="C122" s="371"/>
      <c r="D122" s="210">
        <f>未审报表!D122</f>
        <v>0</v>
      </c>
      <c r="E122" s="208">
        <f t="shared" si="5"/>
        <v>0</v>
      </c>
      <c r="F122" s="210">
        <f t="shared" si="4"/>
        <v>0</v>
      </c>
    </row>
    <row r="123" spans="1:6" ht="13.95" customHeight="1">
      <c r="A123" s="395" t="str">
        <f>未审报表!A123</f>
        <v>递延所得税资产</v>
      </c>
      <c r="B123" s="391">
        <f>未审报表!B123</f>
        <v>117</v>
      </c>
      <c r="C123" s="371">
        <v>354277.86</v>
      </c>
      <c r="D123" s="210">
        <f>未审报表!D123</f>
        <v>354277.86</v>
      </c>
      <c r="E123" s="208">
        <f t="shared" si="5"/>
        <v>0</v>
      </c>
      <c r="F123" s="210">
        <f t="shared" si="4"/>
        <v>0</v>
      </c>
    </row>
    <row r="124" spans="1:6" ht="13.95" customHeight="1">
      <c r="A124" s="395" t="str">
        <f>未审报表!A124</f>
        <v>其他非流动资产</v>
      </c>
      <c r="B124" s="391">
        <f>未审报表!B124</f>
        <v>118</v>
      </c>
      <c r="C124" s="371"/>
      <c r="D124" s="210">
        <f>未审报表!D124</f>
        <v>0</v>
      </c>
      <c r="E124" s="208">
        <f t="shared" si="5"/>
        <v>0</v>
      </c>
      <c r="F124" s="210">
        <f t="shared" si="4"/>
        <v>0</v>
      </c>
    </row>
    <row r="125" spans="1:6" ht="13.95" customHeight="1">
      <c r="A125" s="395" t="str">
        <f>未审报表!A125</f>
        <v xml:space="preserve"> 其中：特准储备物资</v>
      </c>
      <c r="B125" s="391">
        <f>未审报表!B125</f>
        <v>119</v>
      </c>
      <c r="C125" s="371"/>
      <c r="D125" s="210">
        <f>未审报表!D125</f>
        <v>0</v>
      </c>
      <c r="E125" s="208">
        <f t="shared" si="5"/>
        <v>0</v>
      </c>
      <c r="F125" s="210">
        <f t="shared" si="4"/>
        <v>0</v>
      </c>
    </row>
    <row r="126" spans="1:6" s="612" customFormat="1" ht="13.95" customHeight="1">
      <c r="A126" s="608" t="str">
        <f>未审报表!A126</f>
        <v>非流动资产合计</v>
      </c>
      <c r="B126" s="609">
        <f>未审报表!B126</f>
        <v>120</v>
      </c>
      <c r="C126" s="194">
        <f>SUM(C63,C66,C69,C72,C73,C76,C77:C78,C83,C88,C92,C95,C100,C105,C110,C115,C118,C121,C122:C124)</f>
        <v>12098731.539999999</v>
      </c>
      <c r="D126" s="194">
        <f>SUM(D63,D66,D69,D72,D73,D76,D77:D78,D83,D88,D92,D95,D100,D105,D110,D115,D118,D121,D122:D124)</f>
        <v>12098731.539999999</v>
      </c>
      <c r="E126" s="610">
        <f t="shared" si="5"/>
        <v>0</v>
      </c>
      <c r="F126" s="611">
        <f t="shared" si="4"/>
        <v>0</v>
      </c>
    </row>
    <row r="127" spans="1:6" s="612" customFormat="1" ht="13.95" customHeight="1" thickBot="1">
      <c r="A127" s="687" t="str">
        <f>未审报表!A127</f>
        <v>资 产 总 计</v>
      </c>
      <c r="B127" s="688">
        <f>未审报表!B127</f>
        <v>121</v>
      </c>
      <c r="C127" s="697">
        <f>SUM(C59,C126)</f>
        <v>71520160.680000007</v>
      </c>
      <c r="D127" s="697">
        <f>SUM(D59,D126)</f>
        <v>71520160.680000007</v>
      </c>
      <c r="E127" s="690">
        <f t="shared" si="5"/>
        <v>0</v>
      </c>
      <c r="F127" s="692">
        <f t="shared" si="4"/>
        <v>0</v>
      </c>
    </row>
    <row r="128" spans="1:6" ht="13.95" customHeight="1">
      <c r="A128" s="608" t="str">
        <f>未审报表!A128</f>
        <v>负债及股东权益</v>
      </c>
      <c r="B128" s="609"/>
      <c r="C128" s="609" t="s">
        <v>1401</v>
      </c>
      <c r="D128" s="609" t="s">
        <v>1402</v>
      </c>
      <c r="E128" s="593"/>
      <c r="F128" s="691"/>
    </row>
    <row r="129" spans="1:6" ht="13.95" customHeight="1">
      <c r="A129" s="395" t="str">
        <f>未审报表!A129</f>
        <v>流动负债：</v>
      </c>
      <c r="B129" s="391">
        <f>未审报表!B129</f>
        <v>122</v>
      </c>
      <c r="C129" s="369"/>
      <c r="D129" s="210">
        <f>未审报表!D129</f>
        <v>0</v>
      </c>
      <c r="E129" s="208">
        <f t="shared" si="5"/>
        <v>0</v>
      </c>
      <c r="F129" s="210">
        <f t="shared" si="4"/>
        <v>0</v>
      </c>
    </row>
    <row r="130" spans="1:6" ht="13.95" customHeight="1">
      <c r="A130" s="395" t="str">
        <f>未审报表!A130</f>
        <v>短期借款</v>
      </c>
      <c r="B130" s="391">
        <f>未审报表!B130</f>
        <v>123</v>
      </c>
      <c r="C130" s="371"/>
      <c r="D130" s="210">
        <f>未审报表!D130</f>
        <v>0</v>
      </c>
      <c r="E130" s="208">
        <f t="shared" si="5"/>
        <v>0</v>
      </c>
      <c r="F130" s="210">
        <f t="shared" si="4"/>
        <v>0</v>
      </c>
    </row>
    <row r="131" spans="1:6" ht="13.95" customHeight="1">
      <c r="A131" s="395" t="str">
        <f>未审报表!A131</f>
        <v>向中央银行借款*</v>
      </c>
      <c r="B131" s="391">
        <f>未审报表!B131</f>
        <v>124</v>
      </c>
      <c r="C131" s="371"/>
      <c r="D131" s="210">
        <f>未审报表!D131</f>
        <v>0</v>
      </c>
      <c r="E131" s="208">
        <f t="shared" si="5"/>
        <v>0</v>
      </c>
      <c r="F131" s="210">
        <f t="shared" si="4"/>
        <v>0</v>
      </c>
    </row>
    <row r="132" spans="1:6" ht="13.95" customHeight="1">
      <c r="A132" s="395" t="str">
        <f>未审报表!A132</f>
        <v>拆入资金*</v>
      </c>
      <c r="B132" s="391">
        <f>未审报表!B132</f>
        <v>125</v>
      </c>
      <c r="C132" s="371"/>
      <c r="D132" s="210">
        <f>未审报表!D132</f>
        <v>0</v>
      </c>
      <c r="E132" s="208">
        <f t="shared" si="5"/>
        <v>0</v>
      </c>
      <c r="F132" s="210">
        <f t="shared" si="4"/>
        <v>0</v>
      </c>
    </row>
    <row r="133" spans="1:6" ht="13.95" customHeight="1">
      <c r="A133" s="395" t="str">
        <f>未审报表!A133</f>
        <v>交易性金融负债</v>
      </c>
      <c r="B133" s="391">
        <f>未审报表!B133</f>
        <v>126</v>
      </c>
      <c r="C133" s="371"/>
      <c r="D133" s="210">
        <f>未审报表!D133</f>
        <v>0</v>
      </c>
      <c r="E133" s="208">
        <f t="shared" si="5"/>
        <v>0</v>
      </c>
      <c r="F133" s="210">
        <f t="shared" si="4"/>
        <v>0</v>
      </c>
    </row>
    <row r="134" spans="1:6" ht="13.95" customHeight="1">
      <c r="A134" s="395" t="str">
        <f>未审报表!A134</f>
        <v>衍生金融负债</v>
      </c>
      <c r="B134" s="391">
        <f>未审报表!B134</f>
        <v>127</v>
      </c>
      <c r="C134" s="371"/>
      <c r="D134" s="210">
        <f>未审报表!D134</f>
        <v>0</v>
      </c>
      <c r="E134" s="208">
        <f t="shared" si="5"/>
        <v>0</v>
      </c>
      <c r="F134" s="210">
        <f t="shared" si="4"/>
        <v>0</v>
      </c>
    </row>
    <row r="135" spans="1:6" ht="13.95" customHeight="1">
      <c r="A135" s="395" t="str">
        <f>未审报表!A135</f>
        <v>应付票据</v>
      </c>
      <c r="B135" s="391">
        <f>未审报表!B135</f>
        <v>128</v>
      </c>
      <c r="C135" s="371"/>
      <c r="D135" s="210">
        <f>未审报表!D135</f>
        <v>0</v>
      </c>
      <c r="E135" s="208">
        <f t="shared" si="5"/>
        <v>0</v>
      </c>
      <c r="F135" s="210">
        <f t="shared" si="4"/>
        <v>0</v>
      </c>
    </row>
    <row r="136" spans="1:6" ht="13.95" customHeight="1">
      <c r="A136" s="395" t="str">
        <f>未审报表!A136</f>
        <v>应付账款</v>
      </c>
      <c r="B136" s="391">
        <f>未审报表!B136</f>
        <v>129</v>
      </c>
      <c r="C136" s="371">
        <v>2255558.0699999998</v>
      </c>
      <c r="D136" s="210">
        <f>未审报表!D136</f>
        <v>2255558.0699999998</v>
      </c>
      <c r="E136" s="208">
        <f t="shared" si="5"/>
        <v>0</v>
      </c>
      <c r="F136" s="210">
        <f t="shared" si="4"/>
        <v>0</v>
      </c>
    </row>
    <row r="137" spans="1:6" ht="13.95" customHeight="1">
      <c r="A137" s="395" t="str">
        <f>未审报表!A137</f>
        <v>预收款项</v>
      </c>
      <c r="B137" s="391">
        <f>未审报表!B137</f>
        <v>130</v>
      </c>
      <c r="C137" s="371">
        <v>1282269.1599999999</v>
      </c>
      <c r="D137" s="210">
        <f>未审报表!D137</f>
        <v>1282269.1599999999</v>
      </c>
      <c r="E137" s="208">
        <f t="shared" si="5"/>
        <v>0</v>
      </c>
      <c r="F137" s="210">
        <f t="shared" si="4"/>
        <v>0</v>
      </c>
    </row>
    <row r="138" spans="1:6" ht="13.95" customHeight="1">
      <c r="A138" s="395" t="str">
        <f>未审报表!A138</f>
        <v>合同负债</v>
      </c>
      <c r="B138" s="391">
        <f>未审报表!B138</f>
        <v>131</v>
      </c>
      <c r="C138" s="371"/>
      <c r="D138" s="210">
        <f>未审报表!D138</f>
        <v>0</v>
      </c>
      <c r="E138" s="208">
        <f t="shared" si="5"/>
        <v>0</v>
      </c>
      <c r="F138" s="210">
        <f t="shared" si="4"/>
        <v>0</v>
      </c>
    </row>
    <row r="139" spans="1:6" ht="13.95" customHeight="1">
      <c r="A139" s="395" t="str">
        <f>未审报表!A139</f>
        <v>卖出回购金融资产款*</v>
      </c>
      <c r="B139" s="391">
        <f>未审报表!B139</f>
        <v>132</v>
      </c>
      <c r="C139" s="371"/>
      <c r="D139" s="210">
        <f>未审报表!D139</f>
        <v>0</v>
      </c>
      <c r="E139" s="208">
        <f t="shared" si="5"/>
        <v>0</v>
      </c>
      <c r="F139" s="210">
        <f t="shared" si="4"/>
        <v>0</v>
      </c>
    </row>
    <row r="140" spans="1:6" ht="13.95" customHeight="1">
      <c r="A140" s="395" t="str">
        <f>未审报表!A140</f>
        <v>吸收存款及同业存放*</v>
      </c>
      <c r="B140" s="391">
        <f>未审报表!B140</f>
        <v>133</v>
      </c>
      <c r="C140" s="371"/>
      <c r="D140" s="210">
        <f>未审报表!D140</f>
        <v>0</v>
      </c>
      <c r="E140" s="208">
        <f t="shared" si="5"/>
        <v>0</v>
      </c>
      <c r="F140" s="210">
        <f t="shared" si="4"/>
        <v>0</v>
      </c>
    </row>
    <row r="141" spans="1:6" ht="13.95" customHeight="1">
      <c r="A141" s="395" t="str">
        <f>未审报表!A141</f>
        <v>代理买卖证券款*</v>
      </c>
      <c r="B141" s="391">
        <f>未审报表!B141</f>
        <v>134</v>
      </c>
      <c r="C141" s="371"/>
      <c r="D141" s="210">
        <f>未审报表!D141</f>
        <v>0</v>
      </c>
      <c r="E141" s="208">
        <f t="shared" si="5"/>
        <v>0</v>
      </c>
      <c r="F141" s="210">
        <f t="shared" si="4"/>
        <v>0</v>
      </c>
    </row>
    <row r="142" spans="1:6" ht="13.95" customHeight="1">
      <c r="A142" s="395" t="str">
        <f>未审报表!A142</f>
        <v>代理承销证券款*</v>
      </c>
      <c r="B142" s="391">
        <f>未审报表!B142</f>
        <v>135</v>
      </c>
      <c r="C142" s="371"/>
      <c r="D142" s="210">
        <f>未审报表!D142</f>
        <v>0</v>
      </c>
      <c r="E142" s="208">
        <f t="shared" si="5"/>
        <v>0</v>
      </c>
      <c r="F142" s="210">
        <f t="shared" si="4"/>
        <v>0</v>
      </c>
    </row>
    <row r="143" spans="1:6" ht="13.95" customHeight="1">
      <c r="A143" s="395" t="str">
        <f>未审报表!A143</f>
        <v>应付职工薪酬</v>
      </c>
      <c r="B143" s="391">
        <f>未审报表!B143</f>
        <v>136</v>
      </c>
      <c r="C143" s="371"/>
      <c r="D143" s="210">
        <f>未审报表!D143</f>
        <v>0</v>
      </c>
      <c r="E143" s="208">
        <f t="shared" si="5"/>
        <v>0</v>
      </c>
      <c r="F143" s="210">
        <f t="shared" si="4"/>
        <v>0</v>
      </c>
    </row>
    <row r="144" spans="1:6" ht="13.95" customHeight="1">
      <c r="A144" s="395" t="str">
        <f>未审报表!A144</f>
        <v xml:space="preserve">  其中：应付工资</v>
      </c>
      <c r="B144" s="391">
        <f>未审报表!B144</f>
        <v>137</v>
      </c>
      <c r="C144" s="371"/>
      <c r="D144" s="210">
        <f>未审报表!D144</f>
        <v>0</v>
      </c>
      <c r="E144" s="208">
        <f t="shared" si="5"/>
        <v>0</v>
      </c>
      <c r="F144" s="210">
        <f t="shared" si="4"/>
        <v>0</v>
      </c>
    </row>
    <row r="145" spans="1:6" ht="13.95" customHeight="1">
      <c r="A145" s="395" t="str">
        <f>未审报表!A145</f>
        <v xml:space="preserve">      应付福利费</v>
      </c>
      <c r="B145" s="391">
        <f>未审报表!B145</f>
        <v>138</v>
      </c>
      <c r="C145" s="322"/>
      <c r="D145" s="210">
        <f>未审报表!D145</f>
        <v>0</v>
      </c>
      <c r="E145" s="208">
        <f t="shared" si="5"/>
        <v>0</v>
      </c>
      <c r="F145" s="210">
        <f t="shared" si="4"/>
        <v>0</v>
      </c>
    </row>
    <row r="146" spans="1:6" ht="13.95" customHeight="1">
      <c r="A146" s="395" t="str">
        <f>未审报表!A146</f>
        <v xml:space="preserve">     #其中：职工奖励及福利基金</v>
      </c>
      <c r="B146" s="391">
        <f>未审报表!B146</f>
        <v>139</v>
      </c>
      <c r="C146" s="322"/>
      <c r="D146" s="210">
        <f>未审报表!D146</f>
        <v>0</v>
      </c>
      <c r="E146" s="208">
        <f t="shared" si="5"/>
        <v>0</v>
      </c>
      <c r="F146" s="210">
        <f t="shared" si="4"/>
        <v>0</v>
      </c>
    </row>
    <row r="147" spans="1:6" ht="13.95" customHeight="1">
      <c r="A147" s="395" t="str">
        <f>未审报表!A147</f>
        <v>应交税费</v>
      </c>
      <c r="B147" s="391">
        <f>未审报表!B147</f>
        <v>140</v>
      </c>
      <c r="C147" s="371">
        <v>4493249.99</v>
      </c>
      <c r="D147" s="210">
        <f>未审报表!D147</f>
        <v>4493249.99</v>
      </c>
      <c r="E147" s="208">
        <f t="shared" si="5"/>
        <v>0</v>
      </c>
      <c r="F147" s="210">
        <f t="shared" ref="F147:F210" si="6">C147-D147</f>
        <v>0</v>
      </c>
    </row>
    <row r="148" spans="1:6" ht="13.95" customHeight="1">
      <c r="A148" s="395" t="str">
        <f>未审报表!A148</f>
        <v xml:space="preserve"> 其中：应交税金</v>
      </c>
      <c r="B148" s="391">
        <f>未审报表!B148</f>
        <v>141</v>
      </c>
      <c r="C148" s="371"/>
      <c r="D148" s="210">
        <f>未审报表!D148</f>
        <v>0</v>
      </c>
      <c r="E148" s="208">
        <f t="shared" si="5"/>
        <v>0</v>
      </c>
      <c r="F148" s="210">
        <f t="shared" si="6"/>
        <v>0</v>
      </c>
    </row>
    <row r="149" spans="1:6" ht="13.95" customHeight="1">
      <c r="A149" s="395" t="str">
        <f>未审报表!A149</f>
        <v>其他应付款</v>
      </c>
      <c r="B149" s="391">
        <f>未审报表!B149</f>
        <v>142</v>
      </c>
      <c r="C149" s="371">
        <v>1164224.7800000005</v>
      </c>
      <c r="D149" s="210">
        <f>未审报表!D149</f>
        <v>1164224.7800000005</v>
      </c>
      <c r="E149" s="208">
        <f t="shared" si="5"/>
        <v>0</v>
      </c>
      <c r="F149" s="210">
        <f t="shared" si="6"/>
        <v>0</v>
      </c>
    </row>
    <row r="150" spans="1:6" ht="13.95" customHeight="1">
      <c r="A150" s="395" t="str">
        <f>未审报表!A150</f>
        <v xml:space="preserve">  其中：应付利息</v>
      </c>
      <c r="B150" s="391">
        <f>未审报表!B150</f>
        <v>143</v>
      </c>
      <c r="C150" s="371"/>
      <c r="D150" s="210">
        <f>未审报表!D150</f>
        <v>0</v>
      </c>
      <c r="E150" s="208">
        <f t="shared" ref="E150:E156" si="7">ABS(F150)</f>
        <v>0</v>
      </c>
      <c r="F150" s="210">
        <f t="shared" si="6"/>
        <v>0</v>
      </c>
    </row>
    <row r="151" spans="1:6" ht="13.95" customHeight="1">
      <c r="A151" s="395" t="str">
        <f>未审报表!A151</f>
        <v xml:space="preserve">        应付股利</v>
      </c>
      <c r="B151" s="391">
        <f>未审报表!B151</f>
        <v>144</v>
      </c>
      <c r="C151" s="371"/>
      <c r="D151" s="210">
        <f>未审报表!D151</f>
        <v>0</v>
      </c>
      <c r="E151" s="208">
        <f t="shared" si="7"/>
        <v>0</v>
      </c>
      <c r="F151" s="210">
        <f t="shared" si="6"/>
        <v>0</v>
      </c>
    </row>
    <row r="152" spans="1:6" ht="13.95" customHeight="1">
      <c r="A152" s="395" t="str">
        <f>未审报表!A152</f>
        <v>应付手续费及佣金*</v>
      </c>
      <c r="B152" s="391">
        <f>未审报表!B152</f>
        <v>145</v>
      </c>
      <c r="C152" s="371"/>
      <c r="D152" s="210">
        <f>未审报表!D152</f>
        <v>0</v>
      </c>
      <c r="E152" s="208">
        <f t="shared" si="7"/>
        <v>0</v>
      </c>
      <c r="F152" s="210">
        <f t="shared" si="6"/>
        <v>0</v>
      </c>
    </row>
    <row r="153" spans="1:6" ht="13.95" customHeight="1">
      <c r="A153" s="395" t="str">
        <f>未审报表!A153</f>
        <v>应付分保账款*</v>
      </c>
      <c r="B153" s="391">
        <f>未审报表!B153</f>
        <v>146</v>
      </c>
      <c r="C153" s="371"/>
      <c r="D153" s="210">
        <f>未审报表!D153</f>
        <v>0</v>
      </c>
      <c r="E153" s="208">
        <f t="shared" si="7"/>
        <v>0</v>
      </c>
      <c r="F153" s="210">
        <f t="shared" si="6"/>
        <v>0</v>
      </c>
    </row>
    <row r="154" spans="1:6" ht="13.95" customHeight="1">
      <c r="A154" s="395" t="str">
        <f>未审报表!A154</f>
        <v>持有待售负债</v>
      </c>
      <c r="B154" s="391">
        <f>未审报表!B154</f>
        <v>147</v>
      </c>
      <c r="C154" s="371"/>
      <c r="D154" s="210">
        <f>未审报表!D154</f>
        <v>0</v>
      </c>
      <c r="E154" s="208">
        <f t="shared" si="7"/>
        <v>0</v>
      </c>
      <c r="F154" s="210">
        <f t="shared" si="6"/>
        <v>0</v>
      </c>
    </row>
    <row r="155" spans="1:6" ht="13.95" customHeight="1">
      <c r="A155" s="395" t="str">
        <f>未审报表!A155</f>
        <v>一年内到期的非流动负债</v>
      </c>
      <c r="B155" s="391">
        <f>未审报表!B155</f>
        <v>148</v>
      </c>
      <c r="C155" s="371"/>
      <c r="D155" s="210">
        <f>未审报表!D155</f>
        <v>0</v>
      </c>
      <c r="E155" s="208">
        <f t="shared" si="7"/>
        <v>0</v>
      </c>
      <c r="F155" s="210">
        <f t="shared" si="6"/>
        <v>0</v>
      </c>
    </row>
    <row r="156" spans="1:6" ht="13.95" customHeight="1">
      <c r="A156" s="395" t="str">
        <f>未审报表!A156</f>
        <v>其他流动负债</v>
      </c>
      <c r="B156" s="391">
        <f>未审报表!B156</f>
        <v>149</v>
      </c>
      <c r="C156" s="371"/>
      <c r="D156" s="210">
        <f>未审报表!D156</f>
        <v>0</v>
      </c>
      <c r="E156" s="208">
        <f t="shared" si="7"/>
        <v>0</v>
      </c>
      <c r="F156" s="210">
        <f t="shared" si="6"/>
        <v>0</v>
      </c>
    </row>
    <row r="157" spans="1:6" ht="13.95" customHeight="1">
      <c r="A157" s="395" t="str">
        <f>未审报表!A157</f>
        <v>保险合同准备金*</v>
      </c>
      <c r="B157" s="391">
        <f>未审报表!B157</f>
        <v>150</v>
      </c>
      <c r="C157" s="322"/>
      <c r="D157" s="210">
        <f>未审报表!D157</f>
        <v>0</v>
      </c>
      <c r="E157" s="208">
        <f t="shared" ref="E157:E168" si="8">ABS(F157)</f>
        <v>0</v>
      </c>
      <c r="F157" s="210">
        <f t="shared" si="6"/>
        <v>0</v>
      </c>
    </row>
    <row r="158" spans="1:6" s="612" customFormat="1" ht="13.95" customHeight="1">
      <c r="A158" s="608" t="str">
        <f>未审报表!A158</f>
        <v>流动负债合计</v>
      </c>
      <c r="B158" s="609">
        <f>未审报表!B158</f>
        <v>151</v>
      </c>
      <c r="C158" s="634">
        <f>SUM(C130:C143,C147,C149,C152:C157)</f>
        <v>9195302</v>
      </c>
      <c r="D158" s="634">
        <f>SUM(D130:D143,D147,D149,D152:D157)</f>
        <v>9195302</v>
      </c>
      <c r="E158" s="610">
        <f t="shared" si="8"/>
        <v>0</v>
      </c>
      <c r="F158" s="611">
        <f t="shared" si="6"/>
        <v>0</v>
      </c>
    </row>
    <row r="159" spans="1:6" ht="13.95" customHeight="1">
      <c r="A159" s="395" t="str">
        <f>未审报表!A159</f>
        <v>非流动负债:</v>
      </c>
      <c r="B159" s="391">
        <f>未审报表!B159</f>
        <v>152</v>
      </c>
      <c r="C159" s="322"/>
      <c r="D159" s="210">
        <f>未审报表!D159</f>
        <v>0</v>
      </c>
      <c r="E159" s="208">
        <f t="shared" si="8"/>
        <v>0</v>
      </c>
      <c r="F159" s="210">
        <f t="shared" si="6"/>
        <v>0</v>
      </c>
    </row>
    <row r="160" spans="1:6" ht="13.95" customHeight="1">
      <c r="A160" s="395" t="str">
        <f>未审报表!A160</f>
        <v>长期借款</v>
      </c>
      <c r="B160" s="391">
        <f>未审报表!B160</f>
        <v>153</v>
      </c>
      <c r="C160" s="322"/>
      <c r="D160" s="210">
        <f>未审报表!D160</f>
        <v>0</v>
      </c>
      <c r="E160" s="208">
        <f t="shared" si="8"/>
        <v>0</v>
      </c>
      <c r="F160" s="210">
        <f t="shared" si="6"/>
        <v>0</v>
      </c>
    </row>
    <row r="161" spans="1:6" ht="13.95" customHeight="1">
      <c r="A161" s="395" t="str">
        <f>未审报表!A161</f>
        <v>应付债券</v>
      </c>
      <c r="B161" s="391">
        <f>未审报表!B161</f>
        <v>154</v>
      </c>
      <c r="C161" s="374"/>
      <c r="D161" s="210">
        <f>未审报表!D161</f>
        <v>0</v>
      </c>
      <c r="E161" s="208">
        <f t="shared" si="8"/>
        <v>0</v>
      </c>
      <c r="F161" s="210">
        <f t="shared" si="6"/>
        <v>0</v>
      </c>
    </row>
    <row r="162" spans="1:6" ht="13.95" customHeight="1">
      <c r="A162" s="395" t="str">
        <f>未审报表!A162</f>
        <v xml:space="preserve">  其中：优先股</v>
      </c>
      <c r="B162" s="391">
        <f>未审报表!B162</f>
        <v>155</v>
      </c>
      <c r="C162" s="374"/>
      <c r="D162" s="210">
        <f>未审报表!D162</f>
        <v>0</v>
      </c>
      <c r="E162" s="208">
        <f t="shared" si="8"/>
        <v>0</v>
      </c>
      <c r="F162" s="210">
        <f t="shared" si="6"/>
        <v>0</v>
      </c>
    </row>
    <row r="163" spans="1:6" ht="13.95" customHeight="1">
      <c r="A163" s="395" t="str">
        <f>未审报表!A163</f>
        <v xml:space="preserve">        永续债</v>
      </c>
      <c r="B163" s="391">
        <f>未审报表!B163</f>
        <v>156</v>
      </c>
      <c r="C163" s="374"/>
      <c r="D163" s="210">
        <f>未审报表!D163</f>
        <v>0</v>
      </c>
      <c r="E163" s="208">
        <f t="shared" si="8"/>
        <v>0</v>
      </c>
      <c r="F163" s="210">
        <f t="shared" si="6"/>
        <v>0</v>
      </c>
    </row>
    <row r="164" spans="1:6" ht="13.95" customHeight="1">
      <c r="A164" s="395" t="str">
        <f>未审报表!A164</f>
        <v>租赁负债</v>
      </c>
      <c r="B164" s="391">
        <f>未审报表!B164</f>
        <v>157</v>
      </c>
      <c r="C164" s="374"/>
      <c r="D164" s="210">
        <f>未审报表!D164</f>
        <v>0</v>
      </c>
      <c r="E164" s="208">
        <f t="shared" si="8"/>
        <v>0</v>
      </c>
      <c r="F164" s="210">
        <f t="shared" si="6"/>
        <v>0</v>
      </c>
    </row>
    <row r="165" spans="1:6" ht="13.95" customHeight="1">
      <c r="A165" s="395" t="str">
        <f>未审报表!A165</f>
        <v>长期应付款</v>
      </c>
      <c r="B165" s="391">
        <f>未审报表!B165</f>
        <v>158</v>
      </c>
      <c r="C165" s="374"/>
      <c r="D165" s="210">
        <f>未审报表!D165</f>
        <v>0</v>
      </c>
      <c r="E165" s="208">
        <f t="shared" si="8"/>
        <v>0</v>
      </c>
      <c r="F165" s="210">
        <f t="shared" si="6"/>
        <v>0</v>
      </c>
    </row>
    <row r="166" spans="1:6" ht="13.95" customHeight="1">
      <c r="A166" s="395" t="str">
        <f>未审报表!A166</f>
        <v>专项应付款</v>
      </c>
      <c r="B166" s="391">
        <f>未审报表!B166</f>
        <v>159</v>
      </c>
      <c r="C166" s="374"/>
      <c r="D166" s="210">
        <f>未审报表!D166</f>
        <v>0</v>
      </c>
      <c r="E166" s="208">
        <f t="shared" si="8"/>
        <v>0</v>
      </c>
      <c r="F166" s="210">
        <f t="shared" si="6"/>
        <v>0</v>
      </c>
    </row>
    <row r="167" spans="1:6" ht="13.95" customHeight="1">
      <c r="A167" s="395" t="str">
        <f>未审报表!A167</f>
        <v>长期应付职工薪酬</v>
      </c>
      <c r="B167" s="391">
        <f>未审报表!B167</f>
        <v>160</v>
      </c>
      <c r="C167" s="374"/>
      <c r="D167" s="210">
        <f>未审报表!D167</f>
        <v>0</v>
      </c>
      <c r="E167" s="208">
        <f t="shared" si="8"/>
        <v>0</v>
      </c>
      <c r="F167" s="210">
        <f t="shared" si="6"/>
        <v>0</v>
      </c>
    </row>
    <row r="168" spans="1:6" ht="13.95" customHeight="1">
      <c r="A168" s="395" t="str">
        <f>未审报表!A168</f>
        <v>预计负债</v>
      </c>
      <c r="B168" s="391">
        <f>未审报表!B168</f>
        <v>161</v>
      </c>
      <c r="C168" s="374"/>
      <c r="D168" s="210">
        <f>未审报表!D168</f>
        <v>0</v>
      </c>
      <c r="E168" s="208">
        <f t="shared" si="8"/>
        <v>0</v>
      </c>
      <c r="F168" s="210">
        <f t="shared" si="6"/>
        <v>0</v>
      </c>
    </row>
    <row r="169" spans="1:6" ht="13.95" customHeight="1">
      <c r="A169" s="395" t="str">
        <f>未审报表!A169</f>
        <v>递延收益</v>
      </c>
      <c r="B169" s="391">
        <f>未审报表!B169</f>
        <v>162</v>
      </c>
      <c r="C169" s="374"/>
      <c r="D169" s="210">
        <f>未审报表!D169</f>
        <v>0</v>
      </c>
      <c r="E169" s="208">
        <f t="shared" ref="E169:E185" si="9">ABS(F169)</f>
        <v>0</v>
      </c>
      <c r="F169" s="210">
        <f t="shared" si="6"/>
        <v>0</v>
      </c>
    </row>
    <row r="170" spans="1:6" ht="13.95" customHeight="1">
      <c r="A170" s="395" t="str">
        <f>未审报表!A170</f>
        <v>递延所得税负债</v>
      </c>
      <c r="B170" s="391">
        <f>未审报表!B170</f>
        <v>163</v>
      </c>
      <c r="C170" s="322"/>
      <c r="D170" s="210">
        <f>未审报表!D170</f>
        <v>0</v>
      </c>
      <c r="E170" s="208">
        <f t="shared" si="9"/>
        <v>0</v>
      </c>
      <c r="F170" s="210">
        <f t="shared" si="6"/>
        <v>0</v>
      </c>
    </row>
    <row r="171" spans="1:6" ht="13.95" customHeight="1">
      <c r="A171" s="395" t="str">
        <f>未审报表!A171</f>
        <v>其他非流动负债</v>
      </c>
      <c r="B171" s="391">
        <f>未审报表!B171</f>
        <v>164</v>
      </c>
      <c r="C171" s="371"/>
      <c r="D171" s="210">
        <f>未审报表!D171</f>
        <v>0</v>
      </c>
      <c r="E171" s="208">
        <f t="shared" si="9"/>
        <v>0</v>
      </c>
      <c r="F171" s="210">
        <f t="shared" si="6"/>
        <v>0</v>
      </c>
    </row>
    <row r="172" spans="1:6" ht="13.95" customHeight="1">
      <c r="A172" s="395" t="str">
        <f>未审报表!A172</f>
        <v xml:space="preserve"> 其中：特准储备基金</v>
      </c>
      <c r="B172" s="391">
        <f>未审报表!B172</f>
        <v>165</v>
      </c>
      <c r="C172" s="322"/>
      <c r="D172" s="210">
        <f>未审报表!D172</f>
        <v>0</v>
      </c>
      <c r="E172" s="208">
        <f t="shared" si="9"/>
        <v>0</v>
      </c>
      <c r="F172" s="210">
        <f t="shared" si="6"/>
        <v>0</v>
      </c>
    </row>
    <row r="173" spans="1:6" s="612" customFormat="1" ht="13.95" customHeight="1">
      <c r="A173" s="608" t="str">
        <f>未审报表!A173</f>
        <v>非流动负债合计</v>
      </c>
      <c r="B173" s="609">
        <f>未审报表!B173</f>
        <v>166</v>
      </c>
      <c r="C173" s="637">
        <f>SUM(C159:C161,C164:C171)</f>
        <v>0</v>
      </c>
      <c r="D173" s="637">
        <f>SUM(D159:D161,D164:D171)</f>
        <v>0</v>
      </c>
      <c r="E173" s="610">
        <f t="shared" si="9"/>
        <v>0</v>
      </c>
      <c r="F173" s="611">
        <f t="shared" si="6"/>
        <v>0</v>
      </c>
    </row>
    <row r="174" spans="1:6" s="612" customFormat="1" ht="13.95" customHeight="1">
      <c r="A174" s="608" t="str">
        <f>未审报表!A174</f>
        <v>负 债 合 计</v>
      </c>
      <c r="B174" s="609">
        <f>未审报表!B174</f>
        <v>167</v>
      </c>
      <c r="C174" s="637">
        <f>SUM(C158,C173)</f>
        <v>9195302</v>
      </c>
      <c r="D174" s="637">
        <f>SUM(D158,D173)</f>
        <v>9195302</v>
      </c>
      <c r="E174" s="610">
        <f t="shared" si="9"/>
        <v>0</v>
      </c>
      <c r="F174" s="611">
        <f t="shared" si="6"/>
        <v>0</v>
      </c>
    </row>
    <row r="175" spans="1:6" ht="13.95" customHeight="1">
      <c r="A175" s="395" t="str">
        <f>未审报表!A175</f>
        <v>股东权益：</v>
      </c>
      <c r="B175" s="391">
        <f>未审报表!B175</f>
        <v>168</v>
      </c>
      <c r="C175" s="371"/>
      <c r="D175" s="210">
        <f>未审报表!D175</f>
        <v>0</v>
      </c>
      <c r="E175" s="208">
        <f t="shared" si="9"/>
        <v>0</v>
      </c>
      <c r="F175" s="210">
        <f t="shared" si="6"/>
        <v>0</v>
      </c>
    </row>
    <row r="176" spans="1:6" ht="13.95" customHeight="1">
      <c r="A176" s="395" t="str">
        <f>未审报表!A176</f>
        <v>实收资本（或股本）</v>
      </c>
      <c r="B176" s="391">
        <f>未审报表!B176</f>
        <v>169</v>
      </c>
      <c r="C176" s="371">
        <v>51000000</v>
      </c>
      <c r="D176" s="210">
        <f>未审报表!D176</f>
        <v>51000000</v>
      </c>
      <c r="E176" s="208">
        <f t="shared" si="9"/>
        <v>0</v>
      </c>
      <c r="F176" s="210">
        <f t="shared" si="6"/>
        <v>0</v>
      </c>
    </row>
    <row r="177" spans="1:6" ht="13.95" customHeight="1">
      <c r="A177" s="395" t="str">
        <f>未审报表!A177</f>
        <v>其他权益工具</v>
      </c>
      <c r="B177" s="391">
        <f>未审报表!B177</f>
        <v>170</v>
      </c>
      <c r="C177" s="371"/>
      <c r="D177" s="210">
        <f>未审报表!D177</f>
        <v>0</v>
      </c>
      <c r="E177" s="208">
        <f t="shared" si="9"/>
        <v>0</v>
      </c>
      <c r="F177" s="210">
        <f t="shared" si="6"/>
        <v>0</v>
      </c>
    </row>
    <row r="178" spans="1:6" ht="13.95" customHeight="1">
      <c r="A178" s="395" t="str">
        <f>未审报表!A178</f>
        <v xml:space="preserve">  其中：优先股</v>
      </c>
      <c r="B178" s="391">
        <f>未审报表!B178</f>
        <v>171</v>
      </c>
      <c r="C178" s="371"/>
      <c r="D178" s="210">
        <f>未审报表!D178</f>
        <v>0</v>
      </c>
      <c r="E178" s="208">
        <f t="shared" si="9"/>
        <v>0</v>
      </c>
      <c r="F178" s="210">
        <f t="shared" si="6"/>
        <v>0</v>
      </c>
    </row>
    <row r="179" spans="1:6" ht="13.95" customHeight="1">
      <c r="A179" s="395" t="str">
        <f>未审报表!A179</f>
        <v xml:space="preserve">        永续债</v>
      </c>
      <c r="B179" s="391">
        <f>未审报表!B179</f>
        <v>172</v>
      </c>
      <c r="C179" s="371"/>
      <c r="D179" s="210">
        <f>未审报表!D179</f>
        <v>0</v>
      </c>
      <c r="E179" s="208">
        <f t="shared" si="9"/>
        <v>0</v>
      </c>
      <c r="F179" s="210">
        <f t="shared" si="6"/>
        <v>0</v>
      </c>
    </row>
    <row r="180" spans="1:6" ht="13.95" customHeight="1">
      <c r="A180" s="395" t="str">
        <f>未审报表!A180</f>
        <v>资本公积</v>
      </c>
      <c r="B180" s="391">
        <f>未审报表!B180</f>
        <v>173</v>
      </c>
      <c r="C180" s="371">
        <v>2253786.7999999998</v>
      </c>
      <c r="D180" s="210">
        <f>未审报表!D180</f>
        <v>2253786.7999999998</v>
      </c>
      <c r="E180" s="208">
        <f t="shared" si="9"/>
        <v>0</v>
      </c>
      <c r="F180" s="210">
        <f t="shared" si="6"/>
        <v>0</v>
      </c>
    </row>
    <row r="181" spans="1:6" ht="13.95" customHeight="1">
      <c r="A181" s="395" t="str">
        <f>未审报表!A181</f>
        <v>减：库存股</v>
      </c>
      <c r="B181" s="391">
        <f>未审报表!B181</f>
        <v>174</v>
      </c>
      <c r="C181" s="371"/>
      <c r="D181" s="210">
        <f>未审报表!D181</f>
        <v>0</v>
      </c>
      <c r="E181" s="208">
        <f t="shared" si="9"/>
        <v>0</v>
      </c>
      <c r="F181" s="210">
        <f t="shared" si="6"/>
        <v>0</v>
      </c>
    </row>
    <row r="182" spans="1:6" ht="13.95" customHeight="1">
      <c r="A182" s="395" t="str">
        <f>未审报表!A182</f>
        <v>其他综合收益</v>
      </c>
      <c r="B182" s="391">
        <f>未审报表!B182</f>
        <v>175</v>
      </c>
      <c r="C182" s="371"/>
      <c r="D182" s="210">
        <f>未审报表!D182</f>
        <v>0</v>
      </c>
      <c r="E182" s="208">
        <f t="shared" si="9"/>
        <v>0</v>
      </c>
      <c r="F182" s="210">
        <f t="shared" si="6"/>
        <v>0</v>
      </c>
    </row>
    <row r="183" spans="1:6" ht="13.95" customHeight="1">
      <c r="A183" s="395" t="str">
        <f>未审报表!A183</f>
        <v>专项储备</v>
      </c>
      <c r="B183" s="391">
        <f>未审报表!B183</f>
        <v>176</v>
      </c>
      <c r="C183" s="371"/>
      <c r="D183" s="210">
        <f>未审报表!D183</f>
        <v>0</v>
      </c>
      <c r="E183" s="208">
        <f t="shared" si="9"/>
        <v>0</v>
      </c>
      <c r="F183" s="210">
        <f t="shared" si="6"/>
        <v>0</v>
      </c>
    </row>
    <row r="184" spans="1:6" ht="13.95" customHeight="1">
      <c r="A184" s="395" t="str">
        <f>未审报表!A184</f>
        <v>盈余公积</v>
      </c>
      <c r="B184" s="391">
        <f>未审报表!B184</f>
        <v>177</v>
      </c>
      <c r="C184" s="371">
        <v>907107.19</v>
      </c>
      <c r="D184" s="210">
        <f>未审报表!D184</f>
        <v>907107.19</v>
      </c>
      <c r="E184" s="208">
        <f t="shared" si="9"/>
        <v>0</v>
      </c>
      <c r="F184" s="210">
        <f t="shared" si="6"/>
        <v>0</v>
      </c>
    </row>
    <row r="185" spans="1:6" ht="13.95" customHeight="1">
      <c r="A185" s="395" t="str">
        <f>未审报表!A185</f>
        <v>一般风险准备*</v>
      </c>
      <c r="B185" s="391">
        <f>未审报表!B185</f>
        <v>178</v>
      </c>
      <c r="C185" s="371"/>
      <c r="D185" s="210">
        <f>未审报表!D185</f>
        <v>0</v>
      </c>
      <c r="E185" s="208">
        <f t="shared" si="9"/>
        <v>0</v>
      </c>
      <c r="F185" s="210">
        <f t="shared" si="6"/>
        <v>0</v>
      </c>
    </row>
    <row r="186" spans="1:6" ht="13.95" customHeight="1">
      <c r="A186" s="395" t="str">
        <f>未审报表!A186</f>
        <v>未分配利润</v>
      </c>
      <c r="B186" s="391">
        <f>未审报表!B186</f>
        <v>179</v>
      </c>
      <c r="C186" s="371">
        <v>8163964.6899999995</v>
      </c>
      <c r="D186" s="210">
        <f>未审报表!D186</f>
        <v>8163964.6899999995</v>
      </c>
      <c r="E186" s="208">
        <f t="shared" ref="E186:E199" si="10">ABS(F186)</f>
        <v>0</v>
      </c>
      <c r="F186" s="210">
        <f t="shared" si="6"/>
        <v>0</v>
      </c>
    </row>
    <row r="187" spans="1:6" ht="13.95" customHeight="1">
      <c r="A187" s="395" t="str">
        <f>未审报表!A187</f>
        <v>归属于母公司所有者权益（或股东权益）合计</v>
      </c>
      <c r="B187" s="391">
        <f>未审报表!B187</f>
        <v>180</v>
      </c>
      <c r="C187" s="614">
        <f>SUM(C176:C177,C180,-C181,C182:C186)</f>
        <v>62324858.679999992</v>
      </c>
      <c r="D187" s="614">
        <f>SUM(D176:D177,D180,-D181,D182:D186)</f>
        <v>62324858.679999992</v>
      </c>
      <c r="E187" s="208">
        <f t="shared" si="10"/>
        <v>0</v>
      </c>
      <c r="F187" s="210">
        <f t="shared" si="6"/>
        <v>0</v>
      </c>
    </row>
    <row r="188" spans="1:6" ht="13.95" customHeight="1">
      <c r="A188" s="395" t="str">
        <f>未审报表!A188</f>
        <v>少数股东权益</v>
      </c>
      <c r="B188" s="391">
        <f>未审报表!B188</f>
        <v>181</v>
      </c>
      <c r="C188" s="371"/>
      <c r="D188" s="210">
        <f>未审报表!D188</f>
        <v>0</v>
      </c>
      <c r="E188" s="208">
        <f t="shared" si="10"/>
        <v>0</v>
      </c>
      <c r="F188" s="210">
        <f t="shared" si="6"/>
        <v>0</v>
      </c>
    </row>
    <row r="189" spans="1:6" s="612" customFormat="1" ht="13.95" customHeight="1">
      <c r="A189" s="693" t="str">
        <f>未审报表!A189</f>
        <v>所有者权益（或股东权益）合计</v>
      </c>
      <c r="B189" s="694">
        <f>未审报表!B189</f>
        <v>182</v>
      </c>
      <c r="C189" s="614">
        <f>SUM(C187:C188)</f>
        <v>62324858.679999992</v>
      </c>
      <c r="D189" s="614">
        <f>SUM(D187:D188)</f>
        <v>62324858.679999992</v>
      </c>
      <c r="E189" s="610">
        <f t="shared" si="10"/>
        <v>0</v>
      </c>
      <c r="F189" s="611">
        <f t="shared" si="6"/>
        <v>0</v>
      </c>
    </row>
    <row r="190" spans="1:6" s="612" customFormat="1" ht="13.95" customHeight="1" thickBot="1">
      <c r="A190" s="695" t="str">
        <f>未审报表!A190</f>
        <v>负债和所有者权益（或股东权益）总计</v>
      </c>
      <c r="B190" s="696">
        <f>未审报表!B190</f>
        <v>183</v>
      </c>
      <c r="C190" s="697">
        <f>SUM(C174,C189)</f>
        <v>71520160.679999992</v>
      </c>
      <c r="D190" s="697">
        <f>SUM(D174,D189)</f>
        <v>71520160.679999992</v>
      </c>
      <c r="E190" s="690">
        <f t="shared" si="10"/>
        <v>0</v>
      </c>
      <c r="F190" s="692">
        <f t="shared" si="6"/>
        <v>0</v>
      </c>
    </row>
    <row r="191" spans="1:6" s="612" customFormat="1" ht="13.95" customHeight="1">
      <c r="A191" s="608" t="str">
        <f>未审报表!A191</f>
        <v>损   益   类</v>
      </c>
      <c r="B191" s="609" t="str">
        <f>未审报表!B191</f>
        <v>行次</v>
      </c>
      <c r="C191" s="698" t="s">
        <v>1403</v>
      </c>
      <c r="D191" s="698" t="s">
        <v>1404</v>
      </c>
      <c r="E191" s="699"/>
      <c r="F191" s="700"/>
    </row>
    <row r="192" spans="1:6" ht="13.95" customHeight="1">
      <c r="A192" s="395" t="str">
        <f>未审报表!A192</f>
        <v>一、营业总收入</v>
      </c>
      <c r="B192" s="391">
        <f>未审报表!B192</f>
        <v>1</v>
      </c>
      <c r="C192" s="614">
        <f>SUM(C193:C197)</f>
        <v>22980342.579999998</v>
      </c>
      <c r="D192" s="614">
        <f>SUM(D193:D197)</f>
        <v>22980342.579999998</v>
      </c>
      <c r="E192" s="208">
        <f t="shared" si="10"/>
        <v>0</v>
      </c>
      <c r="F192" s="210">
        <f t="shared" si="6"/>
        <v>0</v>
      </c>
    </row>
    <row r="193" spans="1:6" ht="13.95" customHeight="1">
      <c r="A193" s="395" t="str">
        <f>未审报表!A193</f>
        <v xml:space="preserve">        其中：主营业务收入</v>
      </c>
      <c r="B193" s="391">
        <f>未审报表!B193</f>
        <v>2</v>
      </c>
      <c r="C193" s="371">
        <v>22980342.579999998</v>
      </c>
      <c r="D193" s="210">
        <f>未审报表!D193</f>
        <v>22980342.579999998</v>
      </c>
      <c r="E193" s="208">
        <f t="shared" si="10"/>
        <v>0</v>
      </c>
      <c r="F193" s="210">
        <f t="shared" si="6"/>
        <v>0</v>
      </c>
    </row>
    <row r="194" spans="1:6" ht="13.95" customHeight="1">
      <c r="A194" s="395" t="str">
        <f>未审报表!A194</f>
        <v xml:space="preserve">              其他业务收入</v>
      </c>
      <c r="B194" s="391">
        <f>未审报表!B194</f>
        <v>3</v>
      </c>
      <c r="C194" s="371"/>
      <c r="D194" s="210">
        <f>未审报表!D194</f>
        <v>0</v>
      </c>
      <c r="E194" s="208">
        <f t="shared" si="10"/>
        <v>0</v>
      </c>
      <c r="F194" s="210">
        <f t="shared" si="6"/>
        <v>0</v>
      </c>
    </row>
    <row r="195" spans="1:6" ht="13.95" customHeight="1">
      <c r="A195" s="395" t="str">
        <f>未审报表!A195</f>
        <v xml:space="preserve">           利息收入*</v>
      </c>
      <c r="B195" s="391">
        <f>未审报表!B195</f>
        <v>4</v>
      </c>
      <c r="C195" s="371"/>
      <c r="D195" s="210">
        <f>未审报表!D195</f>
        <v>0</v>
      </c>
      <c r="E195" s="208">
        <f t="shared" si="10"/>
        <v>0</v>
      </c>
      <c r="F195" s="210">
        <f t="shared" si="6"/>
        <v>0</v>
      </c>
    </row>
    <row r="196" spans="1:6" ht="13.95" customHeight="1">
      <c r="A196" s="395" t="str">
        <f>未审报表!A196</f>
        <v xml:space="preserve">           已赚保费*</v>
      </c>
      <c r="B196" s="391">
        <f>未审报表!B196</f>
        <v>5</v>
      </c>
      <c r="C196" s="371"/>
      <c r="D196" s="210">
        <f>未审报表!D196</f>
        <v>0</v>
      </c>
      <c r="E196" s="208">
        <f t="shared" si="10"/>
        <v>0</v>
      </c>
      <c r="F196" s="210">
        <f t="shared" si="6"/>
        <v>0</v>
      </c>
    </row>
    <row r="197" spans="1:6" ht="13.95" customHeight="1">
      <c r="A197" s="395" t="str">
        <f>未审报表!A197</f>
        <v xml:space="preserve">           手续费及佣金收入*</v>
      </c>
      <c r="B197" s="391">
        <f>未审报表!B197</f>
        <v>6</v>
      </c>
      <c r="C197" s="371"/>
      <c r="D197" s="210">
        <f>未审报表!D197</f>
        <v>0</v>
      </c>
      <c r="E197" s="208">
        <f t="shared" si="10"/>
        <v>0</v>
      </c>
      <c r="F197" s="210">
        <f t="shared" si="6"/>
        <v>0</v>
      </c>
    </row>
    <row r="198" spans="1:6" ht="13.95" customHeight="1">
      <c r="A198" s="395" t="str">
        <f>未审报表!A198</f>
        <v xml:space="preserve">    减：营业总成本</v>
      </c>
      <c r="B198" s="391">
        <f>未审报表!B198</f>
        <v>7</v>
      </c>
      <c r="C198" s="614">
        <f>SUM(C199:C212,C216)</f>
        <v>10426499.75</v>
      </c>
      <c r="D198" s="614">
        <f>SUM(D199:D212,D216)</f>
        <v>10426499.75</v>
      </c>
      <c r="E198" s="208">
        <f t="shared" si="10"/>
        <v>0</v>
      </c>
      <c r="F198" s="210">
        <f t="shared" si="6"/>
        <v>0</v>
      </c>
    </row>
    <row r="199" spans="1:6" ht="13.95" customHeight="1">
      <c r="A199" s="395" t="str">
        <f>未审报表!A199</f>
        <v xml:space="preserve">        其中：主营业务成本</v>
      </c>
      <c r="B199" s="391">
        <f>未审报表!B199</f>
        <v>8</v>
      </c>
      <c r="C199" s="371">
        <v>9866189.1400000006</v>
      </c>
      <c r="D199" s="210">
        <f>未审报表!D199</f>
        <v>9866189.1400000006</v>
      </c>
      <c r="E199" s="208">
        <f t="shared" si="10"/>
        <v>0</v>
      </c>
      <c r="F199" s="210">
        <f t="shared" si="6"/>
        <v>0</v>
      </c>
    </row>
    <row r="200" spans="1:6" ht="13.95" customHeight="1">
      <c r="A200" s="395" t="str">
        <f>未审报表!A200</f>
        <v xml:space="preserve">              其他业务成本</v>
      </c>
      <c r="B200" s="391">
        <f>未审报表!B200</f>
        <v>9</v>
      </c>
      <c r="C200" s="371"/>
      <c r="D200" s="210">
        <f>未审报表!D200</f>
        <v>0</v>
      </c>
      <c r="E200" s="208">
        <f>ABS(F200)</f>
        <v>0</v>
      </c>
      <c r="F200" s="210">
        <f t="shared" si="6"/>
        <v>0</v>
      </c>
    </row>
    <row r="201" spans="1:6" ht="13.95" customHeight="1">
      <c r="A201" s="395" t="str">
        <f>未审报表!A201</f>
        <v xml:space="preserve">        利息支出*</v>
      </c>
      <c r="B201" s="391">
        <f>未审报表!B201</f>
        <v>10</v>
      </c>
      <c r="C201" s="371"/>
      <c r="D201" s="210">
        <f>未审报表!D201</f>
        <v>0</v>
      </c>
      <c r="E201" s="208">
        <f>ABS(F201)</f>
        <v>0</v>
      </c>
      <c r="F201" s="210">
        <f t="shared" si="6"/>
        <v>0</v>
      </c>
    </row>
    <row r="202" spans="1:6" ht="13.95" customHeight="1">
      <c r="A202" s="395" t="str">
        <f>未审报表!A202</f>
        <v xml:space="preserve">        手续费及佣金支出*</v>
      </c>
      <c r="B202" s="391">
        <f>未审报表!B202</f>
        <v>11</v>
      </c>
      <c r="C202" s="371"/>
      <c r="D202" s="210">
        <f>未审报表!D202</f>
        <v>0</v>
      </c>
      <c r="E202" s="208">
        <f>ABS(F202)</f>
        <v>0</v>
      </c>
      <c r="F202" s="210">
        <f t="shared" si="6"/>
        <v>0</v>
      </c>
    </row>
    <row r="203" spans="1:6" ht="13.95" customHeight="1">
      <c r="A203" s="395" t="str">
        <f>未审报表!A203</f>
        <v xml:space="preserve">        退保金*</v>
      </c>
      <c r="B203" s="391">
        <f>未审报表!B203</f>
        <v>12</v>
      </c>
      <c r="C203" s="371"/>
      <c r="D203" s="210">
        <f>未审报表!D203</f>
        <v>0</v>
      </c>
      <c r="E203" s="208">
        <f>ABS(F203)</f>
        <v>0</v>
      </c>
      <c r="F203" s="210">
        <f t="shared" si="6"/>
        <v>0</v>
      </c>
    </row>
    <row r="204" spans="1:6" ht="13.95" customHeight="1">
      <c r="A204" s="395" t="str">
        <f>未审报表!A204</f>
        <v xml:space="preserve">        赔付支出净额*</v>
      </c>
      <c r="B204" s="391">
        <f>未审报表!B204</f>
        <v>13</v>
      </c>
      <c r="C204" s="371"/>
      <c r="D204" s="210">
        <f>未审报表!D204</f>
        <v>0</v>
      </c>
      <c r="E204" s="208">
        <f>ABS(F204)</f>
        <v>0</v>
      </c>
      <c r="F204" s="210">
        <f t="shared" si="6"/>
        <v>0</v>
      </c>
    </row>
    <row r="205" spans="1:6" ht="13.95" customHeight="1">
      <c r="A205" s="395" t="str">
        <f>未审报表!A205</f>
        <v xml:space="preserve">        提取保险责任准备金净额*</v>
      </c>
      <c r="B205" s="391">
        <f>未审报表!B205</f>
        <v>14</v>
      </c>
      <c r="C205" s="371"/>
      <c r="D205" s="210">
        <f>未审报表!D205</f>
        <v>0</v>
      </c>
      <c r="E205" s="208">
        <f t="shared" ref="E205:E268" si="11">ABS(F205)</f>
        <v>0</v>
      </c>
      <c r="F205" s="210">
        <f t="shared" si="6"/>
        <v>0</v>
      </c>
    </row>
    <row r="206" spans="1:6" ht="13.95" customHeight="1">
      <c r="A206" s="395" t="str">
        <f>未审报表!A206</f>
        <v xml:space="preserve">        保单红利支出*</v>
      </c>
      <c r="B206" s="391">
        <f>未审报表!B206</f>
        <v>15</v>
      </c>
      <c r="C206" s="371"/>
      <c r="D206" s="210">
        <f>未审报表!D206</f>
        <v>0</v>
      </c>
      <c r="E206" s="208">
        <f t="shared" si="11"/>
        <v>0</v>
      </c>
      <c r="F206" s="210">
        <f t="shared" si="6"/>
        <v>0</v>
      </c>
    </row>
    <row r="207" spans="1:6" ht="13.95" customHeight="1">
      <c r="A207" s="395" t="str">
        <f>未审报表!A207</f>
        <v xml:space="preserve">        分保费用*</v>
      </c>
      <c r="B207" s="391">
        <f>未审报表!B207</f>
        <v>16</v>
      </c>
      <c r="C207" s="371"/>
      <c r="D207" s="210">
        <f>未审报表!D207</f>
        <v>0</v>
      </c>
      <c r="E207" s="208">
        <f t="shared" si="11"/>
        <v>0</v>
      </c>
      <c r="F207" s="210">
        <f t="shared" si="6"/>
        <v>0</v>
      </c>
    </row>
    <row r="208" spans="1:6" ht="13.95" customHeight="1">
      <c r="A208" s="395" t="str">
        <f>未审报表!A208</f>
        <v xml:space="preserve">        税金及附加</v>
      </c>
      <c r="B208" s="391">
        <f>未审报表!B208</f>
        <v>17</v>
      </c>
      <c r="C208" s="371">
        <v>112613.94</v>
      </c>
      <c r="D208" s="210">
        <f>未审报表!D208</f>
        <v>112613.94</v>
      </c>
      <c r="E208" s="208">
        <f t="shared" si="11"/>
        <v>0</v>
      </c>
      <c r="F208" s="210">
        <f t="shared" si="6"/>
        <v>0</v>
      </c>
    </row>
    <row r="209" spans="1:6" ht="13.95" customHeight="1">
      <c r="A209" s="395" t="str">
        <f>未审报表!A209</f>
        <v xml:space="preserve">        销售费用</v>
      </c>
      <c r="B209" s="391">
        <f>未审报表!B209</f>
        <v>18</v>
      </c>
      <c r="C209" s="371"/>
      <c r="D209" s="210">
        <f>未审报表!D209</f>
        <v>0</v>
      </c>
      <c r="E209" s="208">
        <f t="shared" si="11"/>
        <v>0</v>
      </c>
      <c r="F209" s="210">
        <f t="shared" si="6"/>
        <v>0</v>
      </c>
    </row>
    <row r="210" spans="1:6" ht="13.95" customHeight="1">
      <c r="A210" s="395" t="str">
        <f>未审报表!A210</f>
        <v xml:space="preserve">        管理费用</v>
      </c>
      <c r="B210" s="391">
        <f>未审报表!B210</f>
        <v>19</v>
      </c>
      <c r="C210" s="371">
        <v>479456.63</v>
      </c>
      <c r="D210" s="210">
        <f>未审报表!D210</f>
        <v>479456.63</v>
      </c>
      <c r="E210" s="208">
        <f t="shared" si="11"/>
        <v>0</v>
      </c>
      <c r="F210" s="210">
        <f t="shared" si="6"/>
        <v>0</v>
      </c>
    </row>
    <row r="211" spans="1:6" ht="13.95" customHeight="1">
      <c r="A211" s="395" t="str">
        <f>未审报表!A211</f>
        <v xml:space="preserve">        研发费用</v>
      </c>
      <c r="B211" s="391">
        <f>未审报表!B211</f>
        <v>20</v>
      </c>
      <c r="C211" s="371"/>
      <c r="D211" s="210">
        <f>未审报表!D211</f>
        <v>0</v>
      </c>
      <c r="E211" s="208">
        <f t="shared" si="11"/>
        <v>0</v>
      </c>
      <c r="F211" s="210">
        <f t="shared" ref="F211:F274" si="12">C211-D211</f>
        <v>0</v>
      </c>
    </row>
    <row r="212" spans="1:6" ht="13.95" customHeight="1">
      <c r="A212" s="395" t="str">
        <f>未审报表!A212</f>
        <v xml:space="preserve">        财务费用</v>
      </c>
      <c r="B212" s="391">
        <f>未审报表!B212</f>
        <v>21</v>
      </c>
      <c r="C212" s="371">
        <v>-31759.960000000003</v>
      </c>
      <c r="D212" s="210">
        <f>未审报表!D212</f>
        <v>-31759.960000000003</v>
      </c>
      <c r="E212" s="208">
        <f t="shared" si="11"/>
        <v>0</v>
      </c>
      <c r="F212" s="210">
        <f t="shared" si="12"/>
        <v>0</v>
      </c>
    </row>
    <row r="213" spans="1:6" ht="13.95" customHeight="1">
      <c r="A213" s="395" t="str">
        <f>未审报表!A213</f>
        <v xml:space="preserve">        其中：利息费用</v>
      </c>
      <c r="B213" s="391">
        <f>未审报表!B213</f>
        <v>22</v>
      </c>
      <c r="C213" s="371"/>
      <c r="D213" s="210">
        <f>未审报表!D213</f>
        <v>0</v>
      </c>
      <c r="E213" s="208">
        <f t="shared" si="11"/>
        <v>0</v>
      </c>
      <c r="F213" s="210">
        <f t="shared" si="12"/>
        <v>0</v>
      </c>
    </row>
    <row r="214" spans="1:6" ht="13.95" customHeight="1">
      <c r="A214" s="395" t="str">
        <f>未审报表!A214</f>
        <v xml:space="preserve">              利息收入</v>
      </c>
      <c r="B214" s="391">
        <f>未审报表!B214</f>
        <v>23</v>
      </c>
      <c r="C214" s="371"/>
      <c r="D214" s="210">
        <f>未审报表!D214</f>
        <v>0</v>
      </c>
      <c r="E214" s="208">
        <f t="shared" si="11"/>
        <v>0</v>
      </c>
      <c r="F214" s="210">
        <f t="shared" si="12"/>
        <v>0</v>
      </c>
    </row>
    <row r="215" spans="1:6" ht="13.95" customHeight="1">
      <c r="A215" s="395" t="str">
        <f>未审报表!A215</f>
        <v xml:space="preserve">              汇兑净损失（净收益以“－”号填列）</v>
      </c>
      <c r="B215" s="391">
        <f>未审报表!B215</f>
        <v>24</v>
      </c>
      <c r="C215" s="371"/>
      <c r="D215" s="210">
        <f>未审报表!D215</f>
        <v>0</v>
      </c>
      <c r="E215" s="208">
        <f t="shared" si="11"/>
        <v>0</v>
      </c>
      <c r="F215" s="210">
        <f t="shared" si="12"/>
        <v>0</v>
      </c>
    </row>
    <row r="216" spans="1:6" ht="13.95" customHeight="1">
      <c r="A216" s="395" t="str">
        <f>未审报表!A216</f>
        <v xml:space="preserve">      其他</v>
      </c>
      <c r="B216" s="391">
        <f>未审报表!B216</f>
        <v>25</v>
      </c>
      <c r="C216" s="371"/>
      <c r="D216" s="210">
        <f>未审报表!D216</f>
        <v>0</v>
      </c>
      <c r="E216" s="208">
        <f t="shared" si="11"/>
        <v>0</v>
      </c>
      <c r="F216" s="210">
        <f t="shared" si="12"/>
        <v>0</v>
      </c>
    </row>
    <row r="217" spans="1:6" ht="13.95" customHeight="1">
      <c r="A217" s="395" t="str">
        <f>未审报表!A217</f>
        <v xml:space="preserve">    加：其他收益</v>
      </c>
      <c r="B217" s="391">
        <f>未审报表!B217</f>
        <v>26</v>
      </c>
      <c r="C217" s="371"/>
      <c r="D217" s="210">
        <f>未审报表!D217</f>
        <v>0</v>
      </c>
      <c r="E217" s="208">
        <f t="shared" si="11"/>
        <v>0</v>
      </c>
      <c r="F217" s="210">
        <f t="shared" si="12"/>
        <v>0</v>
      </c>
    </row>
    <row r="218" spans="1:6" ht="13.95" customHeight="1">
      <c r="A218" s="395" t="str">
        <f>未审报表!A218</f>
        <v xml:space="preserve">        投资收益（损失以“－”号填列）</v>
      </c>
      <c r="B218" s="391">
        <f>未审报表!B218</f>
        <v>27</v>
      </c>
      <c r="C218" s="371">
        <v>10512385.210000001</v>
      </c>
      <c r="D218" s="210">
        <f>未审报表!D218</f>
        <v>10512385.210000001</v>
      </c>
      <c r="E218" s="208">
        <f t="shared" si="11"/>
        <v>0</v>
      </c>
      <c r="F218" s="210">
        <f t="shared" si="12"/>
        <v>0</v>
      </c>
    </row>
    <row r="219" spans="1:6" ht="13.95" customHeight="1">
      <c r="A219" s="395" t="str">
        <f>未审报表!A219</f>
        <v xml:space="preserve">        其中：对联营企业和合营企业的投资收益</v>
      </c>
      <c r="B219" s="391">
        <f>未审报表!B219</f>
        <v>28</v>
      </c>
      <c r="C219" s="371"/>
      <c r="D219" s="210">
        <f>未审报表!D219</f>
        <v>0</v>
      </c>
      <c r="E219" s="208">
        <f t="shared" si="11"/>
        <v>0</v>
      </c>
      <c r="F219" s="210">
        <f t="shared" si="12"/>
        <v>0</v>
      </c>
    </row>
    <row r="220" spans="1:6" ht="13.95" customHeight="1">
      <c r="A220" s="395" t="str">
        <f>未审报表!A220</f>
        <v xml:space="preserve">              以摊余成本计量的金融资产终止确认收益（损失以“-”号填列）</v>
      </c>
      <c r="B220" s="391">
        <f>未审报表!B220</f>
        <v>29</v>
      </c>
      <c r="C220" s="371"/>
      <c r="D220" s="210">
        <f>未审报表!D220</f>
        <v>0</v>
      </c>
      <c r="E220" s="208">
        <f t="shared" si="11"/>
        <v>0</v>
      </c>
      <c r="F220" s="210">
        <f t="shared" si="12"/>
        <v>0</v>
      </c>
    </row>
    <row r="221" spans="1:6" ht="13.95" customHeight="1">
      <c r="A221" s="395" t="str">
        <f>未审报表!A221</f>
        <v xml:space="preserve">        汇兑收益（损失以“-”号填列）*</v>
      </c>
      <c r="B221" s="391">
        <f>未审报表!B221</f>
        <v>30</v>
      </c>
      <c r="C221" s="371"/>
      <c r="D221" s="210">
        <f>未审报表!D221</f>
        <v>0</v>
      </c>
      <c r="E221" s="208">
        <f t="shared" si="11"/>
        <v>0</v>
      </c>
      <c r="F221" s="210">
        <f t="shared" si="12"/>
        <v>0</v>
      </c>
    </row>
    <row r="222" spans="1:6" ht="13.95" customHeight="1">
      <c r="A222" s="395" t="str">
        <f>未审报表!A222</f>
        <v xml:space="preserve">        净敞口套期收益（损失以“-”号填列）</v>
      </c>
      <c r="B222" s="391">
        <f>未审报表!B222</f>
        <v>31</v>
      </c>
      <c r="C222" s="371"/>
      <c r="D222" s="210">
        <f>未审报表!D222</f>
        <v>0</v>
      </c>
      <c r="E222" s="208">
        <f t="shared" si="11"/>
        <v>0</v>
      </c>
      <c r="F222" s="210">
        <f t="shared" si="12"/>
        <v>0</v>
      </c>
    </row>
    <row r="223" spans="1:6" ht="13.95" customHeight="1">
      <c r="A223" s="395" t="str">
        <f>未审报表!A223</f>
        <v xml:space="preserve">        公允价值变动收益（损失以“－”号填列）</v>
      </c>
      <c r="B223" s="391">
        <f>未审报表!B223</f>
        <v>32</v>
      </c>
      <c r="C223" s="371"/>
      <c r="D223" s="210">
        <f>未审报表!D223</f>
        <v>0</v>
      </c>
      <c r="E223" s="208">
        <f t="shared" si="11"/>
        <v>0</v>
      </c>
      <c r="F223" s="210">
        <f t="shared" si="12"/>
        <v>0</v>
      </c>
    </row>
    <row r="224" spans="1:6" ht="13.95" customHeight="1">
      <c r="A224" s="395" t="str">
        <f>未审报表!A224</f>
        <v xml:space="preserve">        信用减值损失（损失以“-”号填列）</v>
      </c>
      <c r="B224" s="391">
        <f>未审报表!B224</f>
        <v>33</v>
      </c>
      <c r="C224" s="371">
        <v>1724647.26</v>
      </c>
      <c r="D224" s="210">
        <f>未审报表!D224</f>
        <v>1724647.26</v>
      </c>
      <c r="E224" s="208">
        <f t="shared" si="11"/>
        <v>0</v>
      </c>
      <c r="F224" s="210">
        <f t="shared" si="12"/>
        <v>0</v>
      </c>
    </row>
    <row r="225" spans="1:7" ht="13.95" customHeight="1">
      <c r="A225" s="395" t="str">
        <f>未审报表!A225</f>
        <v xml:space="preserve">        资产减值损失（损失以“-”号填列）</v>
      </c>
      <c r="B225" s="391">
        <f>未审报表!B225</f>
        <v>34</v>
      </c>
      <c r="C225" s="371"/>
      <c r="D225" s="210">
        <f>未审报表!D225</f>
        <v>0</v>
      </c>
      <c r="E225" s="208">
        <f t="shared" si="11"/>
        <v>0</v>
      </c>
      <c r="F225" s="210">
        <f t="shared" si="12"/>
        <v>0</v>
      </c>
    </row>
    <row r="226" spans="1:7" ht="13.95" customHeight="1">
      <c r="A226" s="395" t="str">
        <f>未审报表!A226</f>
        <v xml:space="preserve">        资产处置收益（损失以“-”号填列）</v>
      </c>
      <c r="B226" s="391">
        <f>未审报表!B226</f>
        <v>35</v>
      </c>
      <c r="C226" s="371"/>
      <c r="D226" s="210">
        <f>未审报表!D226</f>
        <v>0</v>
      </c>
      <c r="E226" s="208">
        <f t="shared" si="11"/>
        <v>0</v>
      </c>
      <c r="F226" s="210">
        <f t="shared" si="12"/>
        <v>0</v>
      </c>
    </row>
    <row r="227" spans="1:7" ht="13.95" customHeight="1">
      <c r="A227" s="395" t="str">
        <f>未审报表!A227</f>
        <v>二、营业利润（亏损以“－”号填列）</v>
      </c>
      <c r="B227" s="391">
        <f>未审报表!B227</f>
        <v>36</v>
      </c>
      <c r="C227" s="614">
        <f>C192-C198+SUM(C217:C218,C221:C226)</f>
        <v>24790875.299999997</v>
      </c>
      <c r="D227" s="614">
        <f>D192-D198+SUM(D217:D218,D221:D226)</f>
        <v>24790875.299999997</v>
      </c>
      <c r="E227" s="208">
        <f t="shared" si="11"/>
        <v>0</v>
      </c>
      <c r="F227" s="210">
        <f t="shared" si="12"/>
        <v>0</v>
      </c>
    </row>
    <row r="228" spans="1:7" ht="13.95" customHeight="1">
      <c r="A228" s="395" t="str">
        <f>未审报表!A228</f>
        <v xml:space="preserve">    加：营业外收入</v>
      </c>
      <c r="B228" s="391">
        <f>未审报表!B228</f>
        <v>37</v>
      </c>
      <c r="C228" s="371"/>
      <c r="D228" s="210">
        <f>未审报表!D228</f>
        <v>0</v>
      </c>
      <c r="E228" s="208">
        <f t="shared" si="11"/>
        <v>0</v>
      </c>
      <c r="F228" s="210">
        <f t="shared" si="12"/>
        <v>0</v>
      </c>
    </row>
    <row r="229" spans="1:7" ht="13.95" customHeight="1">
      <c r="A229" s="395" t="str">
        <f>未审报表!A229</f>
        <v xml:space="preserve">                 其中：政府补助</v>
      </c>
      <c r="B229" s="391">
        <f>未审报表!B229</f>
        <v>38</v>
      </c>
      <c r="C229" s="371"/>
      <c r="D229" s="210">
        <f>未审报表!D229</f>
        <v>0</v>
      </c>
      <c r="E229" s="208">
        <f t="shared" si="11"/>
        <v>0</v>
      </c>
      <c r="F229" s="210">
        <f t="shared" si="12"/>
        <v>0</v>
      </c>
    </row>
    <row r="230" spans="1:7" ht="13.95" customHeight="1">
      <c r="A230" s="395" t="str">
        <f>未审报表!A230</f>
        <v xml:space="preserve">    减：营业外支出</v>
      </c>
      <c r="B230" s="391">
        <f>未审报表!B230</f>
        <v>39</v>
      </c>
      <c r="C230" s="371"/>
      <c r="D230" s="210">
        <f>未审报表!D230</f>
        <v>0</v>
      </c>
      <c r="E230" s="592">
        <f t="shared" si="11"/>
        <v>0</v>
      </c>
      <c r="F230" s="210">
        <f t="shared" si="12"/>
        <v>0</v>
      </c>
    </row>
    <row r="231" spans="1:7" ht="13.95" customHeight="1">
      <c r="A231" s="591" t="str">
        <f>未审报表!A231</f>
        <v>三、利润总额（亏损总额以“－”号填列）</v>
      </c>
      <c r="B231" s="391">
        <f>未审报表!B231</f>
        <v>40</v>
      </c>
      <c r="C231" s="614">
        <f>C227+C228-C230</f>
        <v>24790875.299999997</v>
      </c>
      <c r="D231" s="614">
        <f>D227+D228-D230</f>
        <v>24790875.299999997</v>
      </c>
      <c r="E231" s="590">
        <f t="shared" si="11"/>
        <v>0</v>
      </c>
      <c r="F231" s="210">
        <f t="shared" si="12"/>
        <v>0</v>
      </c>
      <c r="G231" s="594"/>
    </row>
    <row r="232" spans="1:7" ht="13.95" customHeight="1">
      <c r="A232" s="591" t="str">
        <f>未审报表!A232</f>
        <v xml:space="preserve">    减：所得税费用</v>
      </c>
      <c r="B232" s="391">
        <f>未审报表!B232</f>
        <v>41</v>
      </c>
      <c r="C232" s="371">
        <v>3569622.5200000005</v>
      </c>
      <c r="D232" s="210">
        <f>未审报表!D232</f>
        <v>3569622.5200000005</v>
      </c>
      <c r="E232" s="590">
        <f t="shared" si="11"/>
        <v>0</v>
      </c>
      <c r="F232" s="210">
        <f t="shared" si="12"/>
        <v>0</v>
      </c>
      <c r="G232" s="594"/>
    </row>
    <row r="233" spans="1:7" ht="13.95" customHeight="1">
      <c r="A233" s="591" t="str">
        <f>未审报表!A233</f>
        <v>四、净利润（净亏损以“－”号填列）</v>
      </c>
      <c r="B233" s="391">
        <f>未审报表!B233</f>
        <v>42</v>
      </c>
      <c r="C233" s="614">
        <f>C231-C232</f>
        <v>21221252.779999997</v>
      </c>
      <c r="D233" s="614">
        <f>D231-D232</f>
        <v>21221252.779999997</v>
      </c>
      <c r="E233" s="590">
        <f t="shared" si="11"/>
        <v>0</v>
      </c>
      <c r="F233" s="210">
        <f t="shared" si="12"/>
        <v>0</v>
      </c>
      <c r="G233" s="594"/>
    </row>
    <row r="234" spans="1:7" ht="13.95" customHeight="1">
      <c r="A234" s="591" t="str">
        <f>未审报表!A234</f>
        <v>同一控制下企业合并的被合并方在合并前实现的净利润</v>
      </c>
      <c r="B234" s="391">
        <f>未审报表!B234</f>
        <v>43</v>
      </c>
      <c r="C234" s="371"/>
      <c r="D234" s="210">
        <f>未审报表!D234</f>
        <v>0</v>
      </c>
      <c r="E234" s="590">
        <f t="shared" si="11"/>
        <v>0</v>
      </c>
      <c r="F234" s="210">
        <f t="shared" si="12"/>
        <v>0</v>
      </c>
      <c r="G234" s="594"/>
    </row>
    <row r="235" spans="1:7" ht="13.95" customHeight="1">
      <c r="A235" s="591" t="str">
        <f>未审报表!A235</f>
        <v xml:space="preserve"> （一）按经营持续性分类</v>
      </c>
      <c r="B235" s="391">
        <f>未审报表!B235</f>
        <v>44</v>
      </c>
      <c r="C235" s="371"/>
      <c r="D235" s="210">
        <f>未审报表!D235</f>
        <v>0</v>
      </c>
      <c r="E235" s="590">
        <f t="shared" si="11"/>
        <v>0</v>
      </c>
      <c r="F235" s="210">
        <f t="shared" si="12"/>
        <v>0</v>
      </c>
      <c r="G235" s="594"/>
    </row>
    <row r="236" spans="1:7" ht="13.95" customHeight="1">
      <c r="A236" s="591" t="str">
        <f>未审报表!A236</f>
        <v xml:space="preserve">     其中：持续经营净利润（净亏损以“-”号填列）</v>
      </c>
      <c r="B236" s="391">
        <f>未审报表!B236</f>
        <v>45</v>
      </c>
      <c r="C236" s="371"/>
      <c r="D236" s="210">
        <f>未审报表!D236</f>
        <v>0</v>
      </c>
      <c r="E236" s="590">
        <f t="shared" si="11"/>
        <v>0</v>
      </c>
      <c r="F236" s="210">
        <f t="shared" si="12"/>
        <v>0</v>
      </c>
      <c r="G236" s="594"/>
    </row>
    <row r="237" spans="1:7" ht="13.95" customHeight="1">
      <c r="A237" s="395" t="str">
        <f>未审报表!A237</f>
        <v xml:space="preserve">                 终止经营净利润（净亏损以“-”号填列）</v>
      </c>
      <c r="B237" s="391">
        <f>未审报表!B237</f>
        <v>46</v>
      </c>
      <c r="C237" s="371"/>
      <c r="D237" s="210">
        <f>未审报表!D237</f>
        <v>0</v>
      </c>
      <c r="E237" s="593">
        <f t="shared" si="11"/>
        <v>0</v>
      </c>
      <c r="F237" s="210">
        <f t="shared" si="12"/>
        <v>0</v>
      </c>
    </row>
    <row r="238" spans="1:7" ht="13.95" customHeight="1">
      <c r="A238" s="395" t="str">
        <f>未审报表!A238</f>
        <v xml:space="preserve"> （二）按所有权归属分类</v>
      </c>
      <c r="B238" s="391">
        <f>未审报表!B238</f>
        <v>47</v>
      </c>
      <c r="C238" s="371"/>
      <c r="D238" s="210">
        <f>未审报表!D238</f>
        <v>0</v>
      </c>
      <c r="E238" s="208">
        <f t="shared" si="11"/>
        <v>0</v>
      </c>
      <c r="F238" s="210">
        <f t="shared" si="12"/>
        <v>0</v>
      </c>
    </row>
    <row r="239" spans="1:7" ht="13.95" customHeight="1">
      <c r="A239" s="395" t="str">
        <f>未审报表!A239</f>
        <v xml:space="preserve">     其中：归属于母公司所有者（或股东）的净利润（净亏损以“-”号填列）</v>
      </c>
      <c r="B239" s="391">
        <f>未审报表!B239</f>
        <v>48</v>
      </c>
      <c r="C239" s="614">
        <f>C233-C240</f>
        <v>21221252.779999997</v>
      </c>
      <c r="D239" s="614">
        <f>D233-D240</f>
        <v>21221252.779999997</v>
      </c>
      <c r="E239" s="208">
        <f t="shared" si="11"/>
        <v>0</v>
      </c>
      <c r="F239" s="210">
        <f t="shared" si="12"/>
        <v>0</v>
      </c>
    </row>
    <row r="240" spans="1:7" ht="13.95" customHeight="1">
      <c r="A240" s="395" t="str">
        <f>未审报表!A240</f>
        <v xml:space="preserve">                 少数股东损益（净亏损以“-”号填列）</v>
      </c>
      <c r="B240" s="391">
        <f>未审报表!B240</f>
        <v>49</v>
      </c>
      <c r="C240" s="371"/>
      <c r="D240" s="371"/>
      <c r="E240" s="208">
        <f t="shared" si="11"/>
        <v>0</v>
      </c>
      <c r="F240" s="210">
        <f t="shared" si="12"/>
        <v>0</v>
      </c>
    </row>
    <row r="241" spans="1:6" ht="13.95" customHeight="1">
      <c r="A241" s="395" t="str">
        <f>未审报表!A241</f>
        <v>五、其他综合收益的税后净额</v>
      </c>
      <c r="B241" s="391">
        <f>未审报表!B241</f>
        <v>50</v>
      </c>
      <c r="C241" s="614">
        <f>C242+C259</f>
        <v>0</v>
      </c>
      <c r="D241" s="614">
        <f>D242+D259</f>
        <v>0</v>
      </c>
      <c r="E241" s="208">
        <f t="shared" si="11"/>
        <v>0</v>
      </c>
      <c r="F241" s="210">
        <f t="shared" si="12"/>
        <v>0</v>
      </c>
    </row>
    <row r="242" spans="1:6" ht="13.95" customHeight="1">
      <c r="A242" s="395" t="str">
        <f>未审报表!A242</f>
        <v>归属于母公司所有者（或股东）的其他综合收益的税后净额</v>
      </c>
      <c r="B242" s="391">
        <f>未审报表!B242</f>
        <v>51</v>
      </c>
      <c r="C242" s="614">
        <f>C243+C249</f>
        <v>0</v>
      </c>
      <c r="D242" s="614">
        <f>D243+D249</f>
        <v>0</v>
      </c>
      <c r="E242" s="208">
        <f t="shared" si="11"/>
        <v>0</v>
      </c>
      <c r="F242" s="210">
        <f t="shared" si="12"/>
        <v>0</v>
      </c>
    </row>
    <row r="243" spans="1:6" ht="13.95" customHeight="1">
      <c r="A243" s="395" t="str">
        <f>未审报表!A243</f>
        <v xml:space="preserve">  （一）不能重分类进损益的其他综合收益</v>
      </c>
      <c r="B243" s="391">
        <f>未审报表!B243</f>
        <v>52</v>
      </c>
      <c r="C243" s="371"/>
      <c r="D243" s="210">
        <f>未审报表!D243</f>
        <v>0</v>
      </c>
      <c r="E243" s="208">
        <f t="shared" si="11"/>
        <v>0</v>
      </c>
      <c r="F243" s="210">
        <f t="shared" si="12"/>
        <v>0</v>
      </c>
    </row>
    <row r="244" spans="1:6" ht="13.95" customHeight="1">
      <c r="A244" s="395" t="str">
        <f>未审报表!A244</f>
        <v>1.重新计量设定受益计划变动额</v>
      </c>
      <c r="B244" s="391">
        <f>未审报表!B244</f>
        <v>53</v>
      </c>
      <c r="C244" s="371"/>
      <c r="D244" s="210">
        <f>未审报表!D244</f>
        <v>0</v>
      </c>
      <c r="E244" s="208">
        <f t="shared" si="11"/>
        <v>0</v>
      </c>
      <c r="F244" s="210">
        <f t="shared" si="12"/>
        <v>0</v>
      </c>
    </row>
    <row r="245" spans="1:6" ht="13.95" customHeight="1">
      <c r="A245" s="395" t="str">
        <f>未审报表!A245</f>
        <v>2.权益法下不能转损益的其他综合收益</v>
      </c>
      <c r="B245" s="391">
        <f>未审报表!B245</f>
        <v>54</v>
      </c>
      <c r="C245" s="371"/>
      <c r="D245" s="210">
        <f>未审报表!D245</f>
        <v>0</v>
      </c>
      <c r="E245" s="208">
        <f t="shared" si="11"/>
        <v>0</v>
      </c>
      <c r="F245" s="210">
        <f t="shared" si="12"/>
        <v>0</v>
      </c>
    </row>
    <row r="246" spans="1:6" ht="13.95" customHeight="1">
      <c r="A246" s="395" t="str">
        <f>未审报表!A246</f>
        <v xml:space="preserve">3.其他权益工具投资公允价值变动 </v>
      </c>
      <c r="B246" s="391">
        <f>未审报表!B246</f>
        <v>55</v>
      </c>
      <c r="C246" s="371"/>
      <c r="D246" s="210">
        <f>未审报表!D246</f>
        <v>0</v>
      </c>
      <c r="E246" s="208">
        <f t="shared" si="11"/>
        <v>0</v>
      </c>
      <c r="F246" s="210">
        <f t="shared" si="12"/>
        <v>0</v>
      </c>
    </row>
    <row r="247" spans="1:6" ht="13.95" customHeight="1">
      <c r="A247" s="395" t="str">
        <f>未审报表!A247</f>
        <v xml:space="preserve">4.企业自身信用风险公允价值变动 </v>
      </c>
      <c r="B247" s="391">
        <f>未审报表!B247</f>
        <v>56</v>
      </c>
      <c r="C247" s="371"/>
      <c r="D247" s="210">
        <f>未审报表!D247</f>
        <v>0</v>
      </c>
      <c r="E247" s="208">
        <f t="shared" si="11"/>
        <v>0</v>
      </c>
      <c r="F247" s="210">
        <f t="shared" si="12"/>
        <v>0</v>
      </c>
    </row>
    <row r="248" spans="1:6" ht="13.95" customHeight="1">
      <c r="A248" s="395" t="str">
        <f>未审报表!A248</f>
        <v>5.其他</v>
      </c>
      <c r="B248" s="391">
        <f>未审报表!B248</f>
        <v>57</v>
      </c>
      <c r="C248" s="371"/>
      <c r="D248" s="210">
        <f>未审报表!D248</f>
        <v>0</v>
      </c>
      <c r="E248" s="208">
        <f t="shared" si="11"/>
        <v>0</v>
      </c>
      <c r="F248" s="210">
        <f t="shared" si="12"/>
        <v>0</v>
      </c>
    </row>
    <row r="249" spans="1:6" ht="13.95" customHeight="1">
      <c r="A249" s="395" t="str">
        <f>未审报表!A249</f>
        <v xml:space="preserve">  （二）将重分类进损益的其他综合收益</v>
      </c>
      <c r="B249" s="391">
        <f>未审报表!B249</f>
        <v>58</v>
      </c>
      <c r="C249" s="371"/>
      <c r="D249" s="210">
        <f>未审报表!D249</f>
        <v>0</v>
      </c>
      <c r="E249" s="208">
        <f t="shared" si="11"/>
        <v>0</v>
      </c>
      <c r="F249" s="210">
        <f t="shared" si="12"/>
        <v>0</v>
      </c>
    </row>
    <row r="250" spans="1:6" ht="13.95" customHeight="1">
      <c r="A250" s="395" t="str">
        <f>未审报表!A250</f>
        <v>1.权益法下可转损益的其他综合收益</v>
      </c>
      <c r="B250" s="391">
        <f>未审报表!B250</f>
        <v>59</v>
      </c>
      <c r="C250" s="371"/>
      <c r="D250" s="210">
        <f>未审报表!D250</f>
        <v>0</v>
      </c>
      <c r="E250" s="208">
        <f t="shared" si="11"/>
        <v>0</v>
      </c>
      <c r="F250" s="210">
        <f t="shared" si="12"/>
        <v>0</v>
      </c>
    </row>
    <row r="251" spans="1:6" ht="13.95" customHeight="1">
      <c r="A251" s="395" t="str">
        <f>未审报表!A251</f>
        <v xml:space="preserve">2.其他债权投资公允价值变动 </v>
      </c>
      <c r="B251" s="391">
        <f>未审报表!B251</f>
        <v>60</v>
      </c>
      <c r="C251" s="371"/>
      <c r="D251" s="210">
        <f>未审报表!D251</f>
        <v>0</v>
      </c>
      <c r="E251" s="208">
        <f t="shared" si="11"/>
        <v>0</v>
      </c>
      <c r="F251" s="210">
        <f t="shared" si="12"/>
        <v>0</v>
      </c>
    </row>
    <row r="252" spans="1:6" ht="13.95" customHeight="1">
      <c r="A252" s="395" t="str">
        <f>未审报表!A252</f>
        <v xml:space="preserve">3.金融资产重分类计入其他综合收益的金额 </v>
      </c>
      <c r="B252" s="391">
        <f>未审报表!B252</f>
        <v>61</v>
      </c>
      <c r="C252" s="371"/>
      <c r="D252" s="210">
        <f>未审报表!D252</f>
        <v>0</v>
      </c>
      <c r="E252" s="208">
        <f t="shared" si="11"/>
        <v>0</v>
      </c>
      <c r="F252" s="210">
        <f t="shared" si="12"/>
        <v>0</v>
      </c>
    </row>
    <row r="253" spans="1:6" ht="13.95" customHeight="1">
      <c r="A253" s="395" t="str">
        <f>未审报表!A253</f>
        <v>4.其他债权投资信用减值准备</v>
      </c>
      <c r="B253" s="391">
        <f>未审报表!B253</f>
        <v>62</v>
      </c>
      <c r="C253" s="371"/>
      <c r="D253" s="210">
        <f>未审报表!D253</f>
        <v>0</v>
      </c>
      <c r="E253" s="208">
        <f t="shared" si="11"/>
        <v>0</v>
      </c>
      <c r="F253" s="210">
        <f t="shared" si="12"/>
        <v>0</v>
      </c>
    </row>
    <row r="254" spans="1:6" ht="13.95" customHeight="1">
      <c r="A254" s="395" t="str">
        <f>未审报表!A254</f>
        <v>5.现金流量套期储备</v>
      </c>
      <c r="B254" s="391">
        <f>未审报表!B254</f>
        <v>63</v>
      </c>
      <c r="C254" s="371"/>
      <c r="D254" s="210">
        <f>未审报表!D254</f>
        <v>0</v>
      </c>
      <c r="E254" s="208">
        <f t="shared" si="11"/>
        <v>0</v>
      </c>
      <c r="F254" s="210">
        <f t="shared" si="12"/>
        <v>0</v>
      </c>
    </row>
    <row r="255" spans="1:6" ht="13.95" customHeight="1">
      <c r="A255" s="395" t="str">
        <f>未审报表!A255</f>
        <v>6.外币财务报表折算差额</v>
      </c>
      <c r="B255" s="391">
        <f>未审报表!B255</f>
        <v>64</v>
      </c>
      <c r="C255" s="371"/>
      <c r="D255" s="210">
        <f>未审报表!D255</f>
        <v>0</v>
      </c>
      <c r="E255" s="208">
        <f t="shared" si="11"/>
        <v>0</v>
      </c>
      <c r="F255" s="210">
        <f t="shared" si="12"/>
        <v>0</v>
      </c>
    </row>
    <row r="256" spans="1:6" ht="13.95" customHeight="1">
      <c r="A256" s="395" t="str">
        <f>未审报表!A256</f>
        <v>7.自用房地产或作为存货的房地产转换为以公允价值计量的投资性房地产在转换日公允价值大于账面价值部分</v>
      </c>
      <c r="B256" s="391">
        <f>未审报表!B256</f>
        <v>65</v>
      </c>
      <c r="C256" s="371"/>
      <c r="D256" s="210">
        <f>未审报表!D256</f>
        <v>0</v>
      </c>
      <c r="E256" s="208">
        <f t="shared" si="11"/>
        <v>0</v>
      </c>
      <c r="F256" s="210">
        <f t="shared" si="12"/>
        <v>0</v>
      </c>
    </row>
    <row r="257" spans="1:6" ht="13.95" customHeight="1">
      <c r="A257" s="395" t="str">
        <f>未审报表!A257</f>
        <v>8.多次交易分步处置子公司股权构成一揽子交易的，丧失控制权之前各次交易处置价款与对应净资产账面价值份额的差额</v>
      </c>
      <c r="B257" s="391">
        <f>未审报表!B257</f>
        <v>66</v>
      </c>
      <c r="C257" s="371"/>
      <c r="D257" s="210">
        <f>未审报表!D257</f>
        <v>0</v>
      </c>
      <c r="E257" s="208">
        <f t="shared" si="11"/>
        <v>0</v>
      </c>
      <c r="F257" s="210">
        <f t="shared" si="12"/>
        <v>0</v>
      </c>
    </row>
    <row r="258" spans="1:6" ht="13.95" customHeight="1">
      <c r="A258" s="395" t="str">
        <f>未审报表!A258</f>
        <v>9.其他</v>
      </c>
      <c r="B258" s="391">
        <f>未审报表!B258</f>
        <v>67</v>
      </c>
      <c r="C258" s="371"/>
      <c r="D258" s="210">
        <f>未审报表!D258</f>
        <v>0</v>
      </c>
      <c r="E258" s="208">
        <f t="shared" si="11"/>
        <v>0</v>
      </c>
      <c r="F258" s="210">
        <f t="shared" si="12"/>
        <v>0</v>
      </c>
    </row>
    <row r="259" spans="1:6" ht="13.95" customHeight="1">
      <c r="A259" s="395" t="str">
        <f>未审报表!A259</f>
        <v>归属于少数股东的其他综合收益的税后净额</v>
      </c>
      <c r="B259" s="391">
        <f>未审报表!B259</f>
        <v>68</v>
      </c>
      <c r="C259" s="371"/>
      <c r="D259" s="210">
        <f>未审报表!D259</f>
        <v>0</v>
      </c>
      <c r="E259" s="208">
        <f t="shared" si="11"/>
        <v>0</v>
      </c>
      <c r="F259" s="210">
        <f t="shared" si="12"/>
        <v>0</v>
      </c>
    </row>
    <row r="260" spans="1:6" ht="13.95" customHeight="1">
      <c r="A260" s="395" t="str">
        <f>未审报表!A260</f>
        <v>六、综合收益总额</v>
      </c>
      <c r="B260" s="391">
        <f>未审报表!B260</f>
        <v>69</v>
      </c>
      <c r="C260" s="614">
        <f>C233+C241</f>
        <v>21221252.779999997</v>
      </c>
      <c r="D260" s="614">
        <f>D233+D241</f>
        <v>21221252.779999997</v>
      </c>
      <c r="E260" s="208">
        <f t="shared" si="11"/>
        <v>0</v>
      </c>
      <c r="F260" s="210">
        <f t="shared" si="12"/>
        <v>0</v>
      </c>
    </row>
    <row r="261" spans="1:6" ht="13.95" customHeight="1">
      <c r="A261" s="395" t="str">
        <f>未审报表!A261</f>
        <v xml:space="preserve">     归属于母公司所有者（或股东）的综合收益总额</v>
      </c>
      <c r="B261" s="391">
        <f>未审报表!B261</f>
        <v>70</v>
      </c>
      <c r="C261" s="614">
        <f>C242+C239</f>
        <v>21221252.779999997</v>
      </c>
      <c r="D261" s="614">
        <f>D242+D239</f>
        <v>21221252.779999997</v>
      </c>
      <c r="E261" s="208">
        <f t="shared" si="11"/>
        <v>0</v>
      </c>
      <c r="F261" s="210">
        <f t="shared" si="12"/>
        <v>0</v>
      </c>
    </row>
    <row r="262" spans="1:6" ht="13.95" customHeight="1">
      <c r="A262" s="395" t="str">
        <f>未审报表!A262</f>
        <v xml:space="preserve">     归属于少数股东的综合收益总额</v>
      </c>
      <c r="B262" s="391">
        <f>未审报表!B262</f>
        <v>71</v>
      </c>
      <c r="C262" s="614">
        <f>C259+C240</f>
        <v>0</v>
      </c>
      <c r="D262" s="614">
        <f>D259+D240</f>
        <v>0</v>
      </c>
      <c r="E262" s="208">
        <f t="shared" si="11"/>
        <v>0</v>
      </c>
      <c r="F262" s="210">
        <f t="shared" si="12"/>
        <v>0</v>
      </c>
    </row>
    <row r="263" spans="1:6" ht="13.95" customHeight="1">
      <c r="A263" s="395" t="str">
        <f>未审报表!A263</f>
        <v>七、每股收益</v>
      </c>
      <c r="B263" s="391">
        <f>未审报表!B263</f>
        <v>72</v>
      </c>
      <c r="C263" s="371"/>
      <c r="D263" s="210">
        <f>未审报表!D263</f>
        <v>0</v>
      </c>
      <c r="E263" s="208">
        <f t="shared" si="11"/>
        <v>0</v>
      </c>
      <c r="F263" s="210">
        <f t="shared" si="12"/>
        <v>0</v>
      </c>
    </row>
    <row r="264" spans="1:6" ht="13.95" customHeight="1">
      <c r="A264" s="395" t="str">
        <f>未审报表!A264</f>
        <v xml:space="preserve">   （一）基本每股收益</v>
      </c>
      <c r="B264" s="391">
        <f>未审报表!B264</f>
        <v>73</v>
      </c>
      <c r="C264" s="323"/>
      <c r="D264" s="210">
        <f>未审报表!D264</f>
        <v>0</v>
      </c>
      <c r="E264" s="208">
        <f t="shared" si="11"/>
        <v>0</v>
      </c>
      <c r="F264" s="210">
        <f t="shared" si="12"/>
        <v>0</v>
      </c>
    </row>
    <row r="265" spans="1:6" ht="13.95" customHeight="1">
      <c r="A265" s="395" t="str">
        <f>未审报表!A265</f>
        <v xml:space="preserve">   （二）稀释每股收益</v>
      </c>
      <c r="B265" s="391">
        <f>未审报表!B265</f>
        <v>74</v>
      </c>
      <c r="C265" s="588"/>
      <c r="D265" s="210">
        <f>未审报表!D265</f>
        <v>0</v>
      </c>
      <c r="E265" s="208">
        <f t="shared" si="11"/>
        <v>0</v>
      </c>
      <c r="F265" s="210">
        <f t="shared" si="12"/>
        <v>0</v>
      </c>
    </row>
    <row r="266" spans="1:6" ht="13.95" customHeight="1">
      <c r="A266" s="395" t="str">
        <f>未审报表!A266</f>
        <v>加：年初未分配利润</v>
      </c>
      <c r="B266" s="391">
        <f>未审报表!B266</f>
        <v>75</v>
      </c>
      <c r="C266" s="588">
        <v>2588996.5500000003</v>
      </c>
      <c r="D266" s="210">
        <f>未审报表!D266</f>
        <v>2588996.5500000003</v>
      </c>
      <c r="E266" s="208">
        <f t="shared" si="11"/>
        <v>0</v>
      </c>
      <c r="F266" s="210">
        <f t="shared" si="12"/>
        <v>0</v>
      </c>
    </row>
    <row r="267" spans="1:6" ht="13.95" customHeight="1">
      <c r="A267" s="395" t="str">
        <f>未审报表!A267</f>
        <v>八、可供分配利润</v>
      </c>
      <c r="B267" s="391">
        <f>未审报表!B267</f>
        <v>76</v>
      </c>
      <c r="C267" s="638">
        <f>C266+C239</f>
        <v>23810249.329999998</v>
      </c>
      <c r="D267" s="638">
        <f>D266+D239</f>
        <v>23810249.329999998</v>
      </c>
      <c r="E267" s="208">
        <f t="shared" si="11"/>
        <v>0</v>
      </c>
      <c r="F267" s="210">
        <f t="shared" si="12"/>
        <v>0</v>
      </c>
    </row>
    <row r="268" spans="1:6" ht="13.95" customHeight="1">
      <c r="A268" s="395" t="str">
        <f>未审报表!A268</f>
        <v xml:space="preserve">    1、提取法定盈余公积</v>
      </c>
      <c r="B268" s="391">
        <f>未审报表!B268</f>
        <v>77</v>
      </c>
      <c r="C268" s="709">
        <v>907107.19</v>
      </c>
      <c r="D268" s="709">
        <f>未审报表!D268</f>
        <v>907107.19</v>
      </c>
      <c r="E268" s="208">
        <f t="shared" si="11"/>
        <v>0</v>
      </c>
      <c r="F268" s="210">
        <f t="shared" si="12"/>
        <v>0</v>
      </c>
    </row>
    <row r="269" spans="1:6" ht="13.95" customHeight="1">
      <c r="A269" s="395" t="str">
        <f>未审报表!A269</f>
        <v xml:space="preserve">    2、提取一般风险准备</v>
      </c>
      <c r="B269" s="391">
        <f>未审报表!B269</f>
        <v>78</v>
      </c>
      <c r="C269" s="588"/>
      <c r="D269" s="709">
        <f>未审报表!D269</f>
        <v>0</v>
      </c>
      <c r="E269" s="208">
        <f t="shared" ref="E269:E281" si="13">ABS(F269)</f>
        <v>0</v>
      </c>
      <c r="F269" s="210">
        <f t="shared" si="12"/>
        <v>0</v>
      </c>
    </row>
    <row r="270" spans="1:6" ht="13.95" customHeight="1">
      <c r="A270" s="395" t="str">
        <f>未审报表!A270</f>
        <v xml:space="preserve">    3、提取其他</v>
      </c>
      <c r="B270" s="391">
        <f>未审报表!B270</f>
        <v>79</v>
      </c>
      <c r="C270" s="588"/>
      <c r="D270" s="210">
        <f>未审报表!D270</f>
        <v>0</v>
      </c>
      <c r="E270" s="208">
        <f t="shared" si="13"/>
        <v>0</v>
      </c>
      <c r="F270" s="210">
        <f t="shared" si="12"/>
        <v>0</v>
      </c>
    </row>
    <row r="271" spans="1:6" ht="13.95" customHeight="1">
      <c r="A271" s="395" t="str">
        <f>未审报表!A271</f>
        <v>九、可供投资者分配的利润</v>
      </c>
      <c r="B271" s="391">
        <f>未审报表!B271</f>
        <v>80</v>
      </c>
      <c r="C271" s="638">
        <f>C267-C268-C269-C270</f>
        <v>22903142.139999997</v>
      </c>
      <c r="D271" s="638">
        <f>D267-D268-D269-D270</f>
        <v>22903142.139999997</v>
      </c>
      <c r="E271" s="208">
        <f t="shared" si="13"/>
        <v>0</v>
      </c>
      <c r="F271" s="210">
        <f t="shared" si="12"/>
        <v>0</v>
      </c>
    </row>
    <row r="272" spans="1:6" ht="13.95" customHeight="1">
      <c r="A272" s="395" t="str">
        <f>未审报表!A272</f>
        <v xml:space="preserve">    1、应付优先股股利</v>
      </c>
      <c r="B272" s="391">
        <f>未审报表!B272</f>
        <v>81</v>
      </c>
      <c r="C272" s="588"/>
      <c r="D272" s="210">
        <f>未审报表!D272</f>
        <v>0</v>
      </c>
      <c r="E272" s="208">
        <f t="shared" si="13"/>
        <v>0</v>
      </c>
      <c r="F272" s="210">
        <f t="shared" si="12"/>
        <v>0</v>
      </c>
    </row>
    <row r="273" spans="1:6" ht="13.95" customHeight="1">
      <c r="A273" s="395" t="str">
        <f>未审报表!A273</f>
        <v xml:space="preserve">    2、提取任意盈余公积</v>
      </c>
      <c r="B273" s="391">
        <f>未审报表!B273</f>
        <v>82</v>
      </c>
      <c r="C273" s="588"/>
      <c r="D273" s="210">
        <f>未审报表!D273</f>
        <v>0</v>
      </c>
      <c r="E273" s="208">
        <f t="shared" si="13"/>
        <v>0</v>
      </c>
      <c r="F273" s="210">
        <f t="shared" si="12"/>
        <v>0</v>
      </c>
    </row>
    <row r="274" spans="1:6" ht="13.95" customHeight="1">
      <c r="A274" s="395" t="str">
        <f>未审报表!A274</f>
        <v xml:space="preserve">    3、应付普通股股利（应付利润）</v>
      </c>
      <c r="B274" s="391">
        <f>未审报表!B274</f>
        <v>83</v>
      </c>
      <c r="C274" s="588">
        <v>13971670.6</v>
      </c>
      <c r="D274" s="210">
        <f>未审报表!D274</f>
        <v>13971670.6</v>
      </c>
      <c r="E274" s="208">
        <f t="shared" si="13"/>
        <v>0</v>
      </c>
      <c r="F274" s="210">
        <f t="shared" si="12"/>
        <v>0</v>
      </c>
    </row>
    <row r="275" spans="1:6" ht="13.95" customHeight="1">
      <c r="A275" s="395" t="str">
        <f>未审报表!A275</f>
        <v xml:space="preserve">    4、转作资本（或股本）的普通股股利</v>
      </c>
      <c r="B275" s="391">
        <f>未审报表!B275</f>
        <v>84</v>
      </c>
      <c r="C275" s="588">
        <v>767506.85</v>
      </c>
      <c r="D275" s="210">
        <f>未审报表!D275</f>
        <v>767506.85</v>
      </c>
      <c r="E275" s="208">
        <f t="shared" si="13"/>
        <v>0</v>
      </c>
      <c r="F275" s="210">
        <f t="shared" ref="F275:F281" si="14">C275-D275</f>
        <v>0</v>
      </c>
    </row>
    <row r="276" spans="1:6" ht="13.95" customHeight="1">
      <c r="A276" s="701" t="str">
        <f>未审报表!A276</f>
        <v xml:space="preserve">    5、其他</v>
      </c>
      <c r="B276" s="702">
        <f>未审报表!B276</f>
        <v>85</v>
      </c>
      <c r="C276" s="588"/>
      <c r="D276" s="210">
        <f>未审报表!D276</f>
        <v>0</v>
      </c>
      <c r="E276" s="208">
        <f t="shared" si="13"/>
        <v>0</v>
      </c>
      <c r="F276" s="210">
        <f t="shared" si="14"/>
        <v>0</v>
      </c>
    </row>
    <row r="277" spans="1:6" ht="13.95" customHeight="1" thickBot="1">
      <c r="A277" s="703" t="str">
        <f>未审报表!A277</f>
        <v>十、未分配利润</v>
      </c>
      <c r="B277" s="704">
        <f>未审报表!B277</f>
        <v>86</v>
      </c>
      <c r="C277" s="710">
        <f>C271-SUM(C272:C276)</f>
        <v>8163964.6899999976</v>
      </c>
      <c r="D277" s="697">
        <f>D271-SUM(D272:D276)</f>
        <v>8163964.6899999976</v>
      </c>
      <c r="E277" s="705">
        <f t="shared" si="13"/>
        <v>0</v>
      </c>
      <c r="F277" s="706">
        <f t="shared" si="14"/>
        <v>0</v>
      </c>
    </row>
    <row r="278" spans="1:6" ht="13.95" customHeight="1">
      <c r="A278" s="608" t="str">
        <f>未审报表!A278</f>
        <v>现  金  流  量  表</v>
      </c>
      <c r="B278" s="391" t="str">
        <f>未审报表!B278</f>
        <v>行次</v>
      </c>
      <c r="C278" s="698" t="s">
        <v>1403</v>
      </c>
      <c r="D278" s="698" t="s">
        <v>1404</v>
      </c>
      <c r="E278" s="593"/>
      <c r="F278" s="691"/>
    </row>
    <row r="279" spans="1:6" ht="13.95" customHeight="1">
      <c r="A279" s="608" t="str">
        <f>未审报表!A279</f>
        <v>一、经营活动产生的现金流量</v>
      </c>
      <c r="B279" s="609">
        <f>未审报表!B279</f>
        <v>1</v>
      </c>
      <c r="C279" s="610"/>
      <c r="D279" s="611" t="str">
        <f>未审报表!D279</f>
        <v xml:space="preserve"> </v>
      </c>
      <c r="E279" s="610"/>
      <c r="F279" s="611"/>
    </row>
    <row r="280" spans="1:6" ht="13.95" customHeight="1">
      <c r="A280" s="395" t="str">
        <f>未审报表!A280</f>
        <v xml:space="preserve">     销售商品、提供劳务收到的现金</v>
      </c>
      <c r="B280" s="391">
        <f>未审报表!B280</f>
        <v>2</v>
      </c>
      <c r="C280" s="208"/>
      <c r="D280" s="210">
        <f>未审报表!D280</f>
        <v>0</v>
      </c>
      <c r="E280" s="208">
        <f t="shared" si="13"/>
        <v>0</v>
      </c>
      <c r="F280" s="210">
        <f t="shared" si="14"/>
        <v>0</v>
      </c>
    </row>
    <row r="281" spans="1:6" ht="13.95" customHeight="1">
      <c r="A281" s="395" t="str">
        <f>未审报表!A281</f>
        <v xml:space="preserve">    客户存款和同业存放款项净增加额*</v>
      </c>
      <c r="B281" s="391">
        <f>未审报表!B281</f>
        <v>3</v>
      </c>
      <c r="C281" s="208"/>
      <c r="D281" s="210">
        <f>未审报表!D281</f>
        <v>0</v>
      </c>
      <c r="E281" s="208">
        <f t="shared" si="13"/>
        <v>0</v>
      </c>
      <c r="F281" s="210">
        <f t="shared" si="14"/>
        <v>0</v>
      </c>
    </row>
    <row r="282" spans="1:6" ht="13.95" customHeight="1">
      <c r="A282" s="395" t="str">
        <f>未审报表!A282</f>
        <v xml:space="preserve">     向中央银行借款净增加额*</v>
      </c>
      <c r="B282" s="391">
        <f>未审报表!B282</f>
        <v>4</v>
      </c>
      <c r="C282" s="208"/>
      <c r="D282" s="210">
        <f>未审报表!D282</f>
        <v>0</v>
      </c>
      <c r="E282" s="208">
        <f t="shared" ref="E282:E345" si="15">ABS(F282)</f>
        <v>0</v>
      </c>
      <c r="F282" s="210">
        <f t="shared" ref="F282:F345" si="16">C282-D282</f>
        <v>0</v>
      </c>
    </row>
    <row r="283" spans="1:6" ht="13.95" customHeight="1">
      <c r="A283" s="395" t="str">
        <f>未审报表!A283</f>
        <v xml:space="preserve">     向其他金融机构拆入资金净增加额*</v>
      </c>
      <c r="B283" s="391">
        <f>未审报表!B283</f>
        <v>5</v>
      </c>
      <c r="C283" s="208"/>
      <c r="D283" s="210">
        <f>未审报表!D283</f>
        <v>0</v>
      </c>
      <c r="E283" s="208">
        <f t="shared" si="15"/>
        <v>0</v>
      </c>
      <c r="F283" s="210">
        <f t="shared" si="16"/>
        <v>0</v>
      </c>
    </row>
    <row r="284" spans="1:6" ht="13.95" customHeight="1">
      <c r="A284" s="395" t="str">
        <f>未审报表!A284</f>
        <v xml:space="preserve">     收到原保险合同保费取得的现金*</v>
      </c>
      <c r="B284" s="391">
        <f>未审报表!B284</f>
        <v>6</v>
      </c>
      <c r="C284" s="208"/>
      <c r="D284" s="210">
        <f>未审报表!D284</f>
        <v>0</v>
      </c>
      <c r="E284" s="208">
        <f t="shared" si="15"/>
        <v>0</v>
      </c>
      <c r="F284" s="210">
        <f t="shared" si="16"/>
        <v>0</v>
      </c>
    </row>
    <row r="285" spans="1:6" ht="13.95" customHeight="1">
      <c r="A285" s="395" t="str">
        <f>未审报表!A285</f>
        <v xml:space="preserve">     收到再保业务现金净额*</v>
      </c>
      <c r="B285" s="391">
        <f>未审报表!B285</f>
        <v>7</v>
      </c>
      <c r="C285" s="208"/>
      <c r="D285" s="210">
        <f>未审报表!D285</f>
        <v>0</v>
      </c>
      <c r="E285" s="208">
        <f t="shared" si="15"/>
        <v>0</v>
      </c>
      <c r="F285" s="210">
        <f t="shared" si="16"/>
        <v>0</v>
      </c>
    </row>
    <row r="286" spans="1:6" ht="13.95" customHeight="1">
      <c r="A286" s="395" t="str">
        <f>未审报表!A286</f>
        <v xml:space="preserve">     保户储金及投资款净增加额*</v>
      </c>
      <c r="B286" s="391">
        <f>未审报表!B286</f>
        <v>8</v>
      </c>
      <c r="C286" s="208"/>
      <c r="D286" s="210">
        <f>未审报表!D286</f>
        <v>0</v>
      </c>
      <c r="E286" s="208">
        <f t="shared" si="15"/>
        <v>0</v>
      </c>
      <c r="F286" s="210">
        <f t="shared" si="16"/>
        <v>0</v>
      </c>
    </row>
    <row r="287" spans="1:6" ht="13.95" customHeight="1">
      <c r="A287" s="395" t="str">
        <f>未审报表!A287</f>
        <v xml:space="preserve">     收取利息、手续费及佣金的现金*</v>
      </c>
      <c r="B287" s="391">
        <f>未审报表!B287</f>
        <v>9</v>
      </c>
      <c r="C287" s="208"/>
      <c r="D287" s="210">
        <f>未审报表!D287</f>
        <v>0</v>
      </c>
      <c r="E287" s="208">
        <f t="shared" si="15"/>
        <v>0</v>
      </c>
      <c r="F287" s="210">
        <f t="shared" si="16"/>
        <v>0</v>
      </c>
    </row>
    <row r="288" spans="1:6" ht="13.95" customHeight="1">
      <c r="A288" s="395" t="str">
        <f>未审报表!A288</f>
        <v xml:space="preserve">     拆入资金净增加额*</v>
      </c>
      <c r="B288" s="391">
        <f>未审报表!B288</f>
        <v>10</v>
      </c>
      <c r="C288" s="208"/>
      <c r="D288" s="210">
        <f>未审报表!D288</f>
        <v>0</v>
      </c>
      <c r="E288" s="208">
        <f t="shared" si="15"/>
        <v>0</v>
      </c>
      <c r="F288" s="210">
        <f t="shared" si="16"/>
        <v>0</v>
      </c>
    </row>
    <row r="289" spans="1:6" ht="13.95" customHeight="1">
      <c r="A289" s="395" t="str">
        <f>未审报表!A289</f>
        <v xml:space="preserve">     回购业务资金净增加额*</v>
      </c>
      <c r="B289" s="391">
        <f>未审报表!B289</f>
        <v>11</v>
      </c>
      <c r="C289" s="208"/>
      <c r="D289" s="210">
        <f>未审报表!D289</f>
        <v>0</v>
      </c>
      <c r="E289" s="208">
        <f t="shared" si="15"/>
        <v>0</v>
      </c>
      <c r="F289" s="210">
        <f t="shared" si="16"/>
        <v>0</v>
      </c>
    </row>
    <row r="290" spans="1:6" ht="13.95" customHeight="1">
      <c r="A290" s="395" t="str">
        <f>未审报表!A290</f>
        <v xml:space="preserve">     代理买卖证券收到的现金净额*</v>
      </c>
      <c r="B290" s="391">
        <f>未审报表!B290</f>
        <v>12</v>
      </c>
      <c r="C290" s="208"/>
      <c r="D290" s="210">
        <f>未审报表!D290</f>
        <v>0</v>
      </c>
      <c r="E290" s="208">
        <f t="shared" si="15"/>
        <v>0</v>
      </c>
      <c r="F290" s="210">
        <f t="shared" si="16"/>
        <v>0</v>
      </c>
    </row>
    <row r="291" spans="1:6" ht="13.95" customHeight="1">
      <c r="A291" s="395" t="str">
        <f>未审报表!A291</f>
        <v xml:space="preserve">     收到的税费返还</v>
      </c>
      <c r="B291" s="391">
        <f>未审报表!B291</f>
        <v>13</v>
      </c>
      <c r="C291" s="208"/>
      <c r="D291" s="210">
        <f>未审报表!D291</f>
        <v>0</v>
      </c>
      <c r="E291" s="208">
        <f t="shared" si="15"/>
        <v>0</v>
      </c>
      <c r="F291" s="210">
        <f t="shared" si="16"/>
        <v>0</v>
      </c>
    </row>
    <row r="292" spans="1:6" ht="13.95" customHeight="1">
      <c r="A292" s="395" t="str">
        <f>未审报表!A292</f>
        <v xml:space="preserve">     收到的其他与经营活动有关的现金</v>
      </c>
      <c r="B292" s="391">
        <f>未审报表!B292</f>
        <v>14</v>
      </c>
      <c r="C292" s="208"/>
      <c r="D292" s="210">
        <f>未审报表!D292</f>
        <v>0</v>
      </c>
      <c r="E292" s="208">
        <f t="shared" si="15"/>
        <v>0</v>
      </c>
      <c r="F292" s="210">
        <f t="shared" si="16"/>
        <v>0</v>
      </c>
    </row>
    <row r="293" spans="1:6" ht="13.95" customHeight="1">
      <c r="A293" s="395">
        <f>未审报表!A293</f>
        <v>0</v>
      </c>
      <c r="B293" s="391">
        <f>未审报表!B293</f>
        <v>15</v>
      </c>
      <c r="C293" s="208"/>
      <c r="D293" s="210">
        <f>未审报表!D293</f>
        <v>0</v>
      </c>
      <c r="E293" s="208">
        <f t="shared" si="15"/>
        <v>0</v>
      </c>
      <c r="F293" s="210">
        <f t="shared" si="16"/>
        <v>0</v>
      </c>
    </row>
    <row r="294" spans="1:6" ht="13.95" customHeight="1">
      <c r="A294" s="608" t="str">
        <f>未审报表!A294</f>
        <v xml:space="preserve">     经营活动现金流入小计</v>
      </c>
      <c r="B294" s="609">
        <f>未审报表!B294</f>
        <v>16</v>
      </c>
      <c r="C294" s="686">
        <f>SUM(C280:C293)</f>
        <v>0</v>
      </c>
      <c r="D294" s="686">
        <f>SUM(D280:D293)</f>
        <v>0</v>
      </c>
      <c r="E294" s="610">
        <f t="shared" si="15"/>
        <v>0</v>
      </c>
      <c r="F294" s="611">
        <f t="shared" si="16"/>
        <v>0</v>
      </c>
    </row>
    <row r="295" spans="1:6" ht="13.95" customHeight="1">
      <c r="A295" s="395" t="str">
        <f>未审报表!A295</f>
        <v xml:space="preserve">     购买商品、接受劳务支付的现金</v>
      </c>
      <c r="B295" s="391">
        <f>未审报表!B295</f>
        <v>17</v>
      </c>
      <c r="C295" s="208"/>
      <c r="D295" s="210">
        <f>未审报表!D295</f>
        <v>0</v>
      </c>
      <c r="E295" s="208">
        <f t="shared" si="15"/>
        <v>0</v>
      </c>
      <c r="F295" s="210">
        <f t="shared" si="16"/>
        <v>0</v>
      </c>
    </row>
    <row r="296" spans="1:6" ht="13.95" customHeight="1">
      <c r="A296" s="395" t="str">
        <f>未审报表!A296</f>
        <v xml:space="preserve">     客户贷款及垫款净增加额*</v>
      </c>
      <c r="B296" s="391">
        <f>未审报表!B296</f>
        <v>18</v>
      </c>
      <c r="C296" s="208"/>
      <c r="D296" s="210">
        <f>未审报表!D296</f>
        <v>0</v>
      </c>
      <c r="E296" s="208">
        <f t="shared" si="15"/>
        <v>0</v>
      </c>
      <c r="F296" s="210">
        <f t="shared" si="16"/>
        <v>0</v>
      </c>
    </row>
    <row r="297" spans="1:6" ht="13.95" customHeight="1">
      <c r="A297" s="395" t="str">
        <f>未审报表!A297</f>
        <v xml:space="preserve">     存放中央银行和同业款项净增加额*</v>
      </c>
      <c r="B297" s="391">
        <f>未审报表!B297</f>
        <v>19</v>
      </c>
      <c r="C297" s="208"/>
      <c r="D297" s="210">
        <f>未审报表!D297</f>
        <v>0</v>
      </c>
      <c r="E297" s="208">
        <f t="shared" si="15"/>
        <v>0</v>
      </c>
      <c r="F297" s="210">
        <f t="shared" si="16"/>
        <v>0</v>
      </c>
    </row>
    <row r="298" spans="1:6" ht="13.95" customHeight="1">
      <c r="A298" s="395" t="str">
        <f>未审报表!A298</f>
        <v xml:space="preserve">     支付原保险合同赔付款项的现金*</v>
      </c>
      <c r="B298" s="391">
        <f>未审报表!B298</f>
        <v>20</v>
      </c>
      <c r="C298" s="208"/>
      <c r="D298" s="210">
        <f>未审报表!D298</f>
        <v>0</v>
      </c>
      <c r="E298" s="208">
        <f t="shared" si="15"/>
        <v>0</v>
      </c>
      <c r="F298" s="210">
        <f t="shared" si="16"/>
        <v>0</v>
      </c>
    </row>
    <row r="299" spans="1:6" ht="13.95" customHeight="1">
      <c r="A299" s="395" t="str">
        <f>未审报表!A299</f>
        <v xml:space="preserve">     拆出资金净增加额*</v>
      </c>
      <c r="B299" s="391">
        <f>未审报表!B299</f>
        <v>21</v>
      </c>
      <c r="C299" s="208"/>
      <c r="D299" s="210">
        <f>未审报表!D299</f>
        <v>0</v>
      </c>
      <c r="E299" s="208">
        <f t="shared" si="15"/>
        <v>0</v>
      </c>
      <c r="F299" s="210">
        <f t="shared" si="16"/>
        <v>0</v>
      </c>
    </row>
    <row r="300" spans="1:6" ht="13.95" customHeight="1">
      <c r="A300" s="395" t="str">
        <f>未审报表!A300</f>
        <v xml:space="preserve">     支付利息、手续费及佣金的现金*</v>
      </c>
      <c r="B300" s="391">
        <f>未审报表!B300</f>
        <v>22</v>
      </c>
      <c r="C300" s="208"/>
      <c r="D300" s="210">
        <f>未审报表!D300</f>
        <v>0</v>
      </c>
      <c r="E300" s="208">
        <f t="shared" si="15"/>
        <v>0</v>
      </c>
      <c r="F300" s="210">
        <f t="shared" si="16"/>
        <v>0</v>
      </c>
    </row>
    <row r="301" spans="1:6" ht="13.95" customHeight="1">
      <c r="A301" s="395" t="str">
        <f>未审报表!A301</f>
        <v xml:space="preserve">     支付保单红利的现金*</v>
      </c>
      <c r="B301" s="391">
        <f>未审报表!B301</f>
        <v>23</v>
      </c>
      <c r="C301" s="208"/>
      <c r="D301" s="210">
        <f>未审报表!D301</f>
        <v>0</v>
      </c>
      <c r="E301" s="208">
        <f t="shared" si="15"/>
        <v>0</v>
      </c>
      <c r="F301" s="210">
        <f t="shared" si="16"/>
        <v>0</v>
      </c>
    </row>
    <row r="302" spans="1:6" ht="13.95" customHeight="1">
      <c r="A302" s="395" t="str">
        <f>未审报表!A302</f>
        <v xml:space="preserve">     支付给职工以及为职工支付的现金</v>
      </c>
      <c r="B302" s="391">
        <f>未审报表!B302</f>
        <v>24</v>
      </c>
      <c r="C302" s="208"/>
      <c r="D302" s="210">
        <f>未审报表!D302</f>
        <v>0</v>
      </c>
      <c r="E302" s="208">
        <f t="shared" si="15"/>
        <v>0</v>
      </c>
      <c r="F302" s="210">
        <f t="shared" si="16"/>
        <v>0</v>
      </c>
    </row>
    <row r="303" spans="1:6" ht="13.95" customHeight="1">
      <c r="A303" s="395" t="str">
        <f>未审报表!A303</f>
        <v xml:space="preserve">     支付各项税费</v>
      </c>
      <c r="B303" s="391">
        <f>未审报表!B303</f>
        <v>25</v>
      </c>
      <c r="C303" s="208"/>
      <c r="D303" s="210">
        <f>未审报表!D303</f>
        <v>0</v>
      </c>
      <c r="E303" s="208">
        <f t="shared" si="15"/>
        <v>0</v>
      </c>
      <c r="F303" s="210">
        <f t="shared" si="16"/>
        <v>0</v>
      </c>
    </row>
    <row r="304" spans="1:6" ht="13.95" customHeight="1">
      <c r="A304" s="395" t="str">
        <f>未审报表!A304</f>
        <v xml:space="preserve">     支付的其他与经营活动有关的现金</v>
      </c>
      <c r="B304" s="391">
        <f>未审报表!B304</f>
        <v>26</v>
      </c>
      <c r="C304" s="208"/>
      <c r="D304" s="210">
        <f>未审报表!D304</f>
        <v>0</v>
      </c>
      <c r="E304" s="208">
        <f t="shared" si="15"/>
        <v>0</v>
      </c>
      <c r="F304" s="210">
        <f t="shared" si="16"/>
        <v>0</v>
      </c>
    </row>
    <row r="305" spans="1:6" ht="13.95" customHeight="1">
      <c r="A305" s="395">
        <f>未审报表!A305</f>
        <v>0</v>
      </c>
      <c r="B305" s="391">
        <f>未审报表!B305</f>
        <v>27</v>
      </c>
      <c r="C305" s="208"/>
      <c r="D305" s="210">
        <f>未审报表!D305</f>
        <v>0</v>
      </c>
      <c r="E305" s="208">
        <f t="shared" si="15"/>
        <v>0</v>
      </c>
      <c r="F305" s="210">
        <f t="shared" si="16"/>
        <v>0</v>
      </c>
    </row>
    <row r="306" spans="1:6" ht="13.95" customHeight="1">
      <c r="A306" s="608" t="str">
        <f>未审报表!A306</f>
        <v xml:space="preserve">     经营活动现金流出小计</v>
      </c>
      <c r="B306" s="609">
        <f>未审报表!B306</f>
        <v>28</v>
      </c>
      <c r="C306" s="686">
        <f>SUM(C295:C305)</f>
        <v>0</v>
      </c>
      <c r="D306" s="686">
        <f>SUM(D295:D305)</f>
        <v>0</v>
      </c>
      <c r="E306" s="610">
        <f t="shared" si="15"/>
        <v>0</v>
      </c>
      <c r="F306" s="611">
        <f t="shared" si="16"/>
        <v>0</v>
      </c>
    </row>
    <row r="307" spans="1:6" ht="13.95" customHeight="1">
      <c r="A307" s="608" t="str">
        <f>未审报表!A307</f>
        <v xml:space="preserve">     经营活动产生的现金流量净额</v>
      </c>
      <c r="B307" s="609">
        <f>未审报表!B307</f>
        <v>29</v>
      </c>
      <c r="C307" s="686">
        <f>C294-C306</f>
        <v>0</v>
      </c>
      <c r="D307" s="686">
        <f>D294-D306</f>
        <v>0</v>
      </c>
      <c r="E307" s="610">
        <f t="shared" si="15"/>
        <v>0</v>
      </c>
      <c r="F307" s="611">
        <f t="shared" si="16"/>
        <v>0</v>
      </c>
    </row>
    <row r="308" spans="1:6" ht="13.95" customHeight="1">
      <c r="A308" s="608" t="str">
        <f>未审报表!A308</f>
        <v>二、投资活动产生的现金流量</v>
      </c>
      <c r="B308" s="391">
        <f>未审报表!B308</f>
        <v>30</v>
      </c>
      <c r="C308" s="208"/>
      <c r="D308" s="210">
        <f>未审报表!D308</f>
        <v>0</v>
      </c>
      <c r="E308" s="208">
        <f t="shared" si="15"/>
        <v>0</v>
      </c>
      <c r="F308" s="210">
        <f t="shared" si="16"/>
        <v>0</v>
      </c>
    </row>
    <row r="309" spans="1:6" ht="13.95" customHeight="1">
      <c r="A309" s="395" t="str">
        <f>未审报表!A309</f>
        <v xml:space="preserve">     收回投资所收到的现金</v>
      </c>
      <c r="B309" s="391">
        <f>未审报表!B309</f>
        <v>31</v>
      </c>
      <c r="C309" s="208"/>
      <c r="D309" s="210">
        <f>未审报表!D309</f>
        <v>0</v>
      </c>
      <c r="E309" s="208">
        <f t="shared" si="15"/>
        <v>0</v>
      </c>
      <c r="F309" s="210">
        <f t="shared" si="16"/>
        <v>0</v>
      </c>
    </row>
    <row r="310" spans="1:6" ht="13.95" customHeight="1">
      <c r="A310" s="395" t="str">
        <f>未审报表!A310</f>
        <v xml:space="preserve">     取得投资收益所收到的现金</v>
      </c>
      <c r="B310" s="391">
        <f>未审报表!B310</f>
        <v>32</v>
      </c>
      <c r="C310" s="208"/>
      <c r="D310" s="210">
        <f>未审报表!D310</f>
        <v>0</v>
      </c>
      <c r="E310" s="208">
        <f t="shared" si="15"/>
        <v>0</v>
      </c>
      <c r="F310" s="210">
        <f t="shared" si="16"/>
        <v>0</v>
      </c>
    </row>
    <row r="311" spans="1:6" ht="13.95" customHeight="1">
      <c r="A311" s="395" t="str">
        <f>未审报表!A311</f>
        <v xml:space="preserve">     处置固定资产、无形资产和其他长期资产而收到的现金净额</v>
      </c>
      <c r="B311" s="391">
        <f>未审报表!B311</f>
        <v>33</v>
      </c>
      <c r="C311" s="208"/>
      <c r="D311" s="210">
        <f>未审报表!D311</f>
        <v>0</v>
      </c>
      <c r="E311" s="208">
        <f t="shared" si="15"/>
        <v>0</v>
      </c>
      <c r="F311" s="210">
        <f t="shared" si="16"/>
        <v>0</v>
      </c>
    </row>
    <row r="312" spans="1:6" ht="13.95" customHeight="1">
      <c r="A312" s="395" t="str">
        <f>未审报表!A312</f>
        <v xml:space="preserve">     处置子公司及其他营业单位收到的现金净额</v>
      </c>
      <c r="B312" s="391">
        <f>未审报表!B312</f>
        <v>34</v>
      </c>
      <c r="C312" s="208"/>
      <c r="D312" s="210">
        <f>未审报表!D312</f>
        <v>0</v>
      </c>
      <c r="E312" s="208">
        <f t="shared" si="15"/>
        <v>0</v>
      </c>
      <c r="F312" s="210">
        <f t="shared" si="16"/>
        <v>0</v>
      </c>
    </row>
    <row r="313" spans="1:6" ht="13.95" customHeight="1">
      <c r="A313" s="395" t="str">
        <f>未审报表!A313</f>
        <v xml:space="preserve">     收到其他与投资活动有关的现金</v>
      </c>
      <c r="B313" s="391">
        <f>未审报表!B313</f>
        <v>35</v>
      </c>
      <c r="C313" s="208"/>
      <c r="D313" s="210">
        <f>未审报表!D313</f>
        <v>0</v>
      </c>
      <c r="E313" s="208">
        <f t="shared" si="15"/>
        <v>0</v>
      </c>
      <c r="F313" s="210">
        <f t="shared" si="16"/>
        <v>0</v>
      </c>
    </row>
    <row r="314" spans="1:6" ht="13.95" customHeight="1">
      <c r="A314" s="395">
        <f>未审报表!A314</f>
        <v>0</v>
      </c>
      <c r="B314" s="391">
        <f>未审报表!B314</f>
        <v>36</v>
      </c>
      <c r="C314" s="208"/>
      <c r="D314" s="210">
        <f>未审报表!D314</f>
        <v>0</v>
      </c>
      <c r="E314" s="208">
        <f t="shared" si="15"/>
        <v>0</v>
      </c>
      <c r="F314" s="210">
        <f t="shared" si="16"/>
        <v>0</v>
      </c>
    </row>
    <row r="315" spans="1:6" ht="13.95" customHeight="1">
      <c r="A315" s="608" t="str">
        <f>未审报表!A315</f>
        <v xml:space="preserve">     投资活动现金流入小计</v>
      </c>
      <c r="B315" s="609">
        <f>未审报表!B315</f>
        <v>37</v>
      </c>
      <c r="C315" s="686">
        <f>SUM(C309:C314)</f>
        <v>0</v>
      </c>
      <c r="D315" s="686">
        <f>SUM(D309:D314)</f>
        <v>0</v>
      </c>
      <c r="E315" s="610">
        <f t="shared" si="15"/>
        <v>0</v>
      </c>
      <c r="F315" s="611">
        <f t="shared" si="16"/>
        <v>0</v>
      </c>
    </row>
    <row r="316" spans="1:6" ht="13.95" customHeight="1">
      <c r="A316" s="395" t="str">
        <f>未审报表!A316</f>
        <v xml:space="preserve">     购置固定资产、无形资产和其他长期资产所支付现金 </v>
      </c>
      <c r="B316" s="391">
        <f>未审报表!B316</f>
        <v>38</v>
      </c>
      <c r="C316" s="208"/>
      <c r="D316" s="210">
        <f>未审报表!D316</f>
        <v>0</v>
      </c>
      <c r="E316" s="208">
        <f t="shared" si="15"/>
        <v>0</v>
      </c>
      <c r="F316" s="210">
        <f t="shared" si="16"/>
        <v>0</v>
      </c>
    </row>
    <row r="317" spans="1:6" ht="13.95" customHeight="1">
      <c r="A317" s="395" t="str">
        <f>未审报表!A317</f>
        <v xml:space="preserve">     投资所支付的现金</v>
      </c>
      <c r="B317" s="391">
        <f>未审报表!B317</f>
        <v>39</v>
      </c>
      <c r="C317" s="208"/>
      <c r="D317" s="210">
        <f>未审报表!D317</f>
        <v>0</v>
      </c>
      <c r="E317" s="208">
        <f t="shared" si="15"/>
        <v>0</v>
      </c>
      <c r="F317" s="210">
        <f t="shared" si="16"/>
        <v>0</v>
      </c>
    </row>
    <row r="318" spans="1:6" ht="13.95" customHeight="1">
      <c r="A318" s="395" t="str">
        <f>未审报表!A318</f>
        <v xml:space="preserve">    质押贷款净增加额*</v>
      </c>
      <c r="B318" s="391">
        <f>未审报表!B318</f>
        <v>40</v>
      </c>
      <c r="C318" s="208"/>
      <c r="D318" s="210">
        <f>未审报表!D318</f>
        <v>0</v>
      </c>
      <c r="E318" s="208">
        <f t="shared" si="15"/>
        <v>0</v>
      </c>
      <c r="F318" s="210">
        <f t="shared" si="16"/>
        <v>0</v>
      </c>
    </row>
    <row r="319" spans="1:6" ht="13.95" customHeight="1">
      <c r="A319" s="395" t="str">
        <f>未审报表!A319</f>
        <v xml:space="preserve">     取得子公司及其他营业单位支付的现金净额</v>
      </c>
      <c r="B319" s="391">
        <f>未审报表!B319</f>
        <v>41</v>
      </c>
      <c r="C319" s="208"/>
      <c r="D319" s="210">
        <f>未审报表!D319</f>
        <v>0</v>
      </c>
      <c r="E319" s="208">
        <f t="shared" si="15"/>
        <v>0</v>
      </c>
      <c r="F319" s="210">
        <f t="shared" si="16"/>
        <v>0</v>
      </c>
    </row>
    <row r="320" spans="1:6" ht="13.95" customHeight="1">
      <c r="A320" s="395" t="str">
        <f>未审报表!A320</f>
        <v xml:space="preserve">     支付其他与投资活动有关的现金</v>
      </c>
      <c r="B320" s="391">
        <f>未审报表!B320</f>
        <v>42</v>
      </c>
      <c r="C320" s="208"/>
      <c r="D320" s="210">
        <f>未审报表!D320</f>
        <v>0</v>
      </c>
      <c r="E320" s="208">
        <f t="shared" si="15"/>
        <v>0</v>
      </c>
      <c r="F320" s="210">
        <f t="shared" si="16"/>
        <v>0</v>
      </c>
    </row>
    <row r="321" spans="1:6" ht="13.95" customHeight="1">
      <c r="A321" s="395">
        <f>未审报表!A321</f>
        <v>0</v>
      </c>
      <c r="B321" s="391">
        <f>未审报表!B321</f>
        <v>43</v>
      </c>
      <c r="C321" s="208"/>
      <c r="D321" s="210">
        <f>未审报表!D321</f>
        <v>0</v>
      </c>
      <c r="E321" s="208">
        <f t="shared" si="15"/>
        <v>0</v>
      </c>
      <c r="F321" s="210">
        <f t="shared" si="16"/>
        <v>0</v>
      </c>
    </row>
    <row r="322" spans="1:6" ht="13.95" customHeight="1">
      <c r="A322" s="608" t="str">
        <f>未审报表!A322</f>
        <v xml:space="preserve">      投资活动现金流出小计</v>
      </c>
      <c r="B322" s="609">
        <f>未审报表!B322</f>
        <v>44</v>
      </c>
      <c r="C322" s="686">
        <f>SUM(C316:C321)</f>
        <v>0</v>
      </c>
      <c r="D322" s="686">
        <f>SUM(D316:D321)</f>
        <v>0</v>
      </c>
      <c r="E322" s="610">
        <f t="shared" si="15"/>
        <v>0</v>
      </c>
      <c r="F322" s="611">
        <f t="shared" si="16"/>
        <v>0</v>
      </c>
    </row>
    <row r="323" spans="1:6" ht="13.95" customHeight="1">
      <c r="A323" s="608" t="str">
        <f>未审报表!A323</f>
        <v xml:space="preserve">     投资活动产生的现金流量净额</v>
      </c>
      <c r="B323" s="609">
        <f>未审报表!B323</f>
        <v>45</v>
      </c>
      <c r="C323" s="686">
        <f>C315-C322</f>
        <v>0</v>
      </c>
      <c r="D323" s="686">
        <f>D315-D322</f>
        <v>0</v>
      </c>
      <c r="E323" s="610">
        <f t="shared" si="15"/>
        <v>0</v>
      </c>
      <c r="F323" s="611">
        <f t="shared" si="16"/>
        <v>0</v>
      </c>
    </row>
    <row r="324" spans="1:6" ht="13.95" customHeight="1">
      <c r="A324" s="608" t="str">
        <f>未审报表!A324</f>
        <v>三、筹资活动产生的现金流量</v>
      </c>
      <c r="B324" s="391">
        <f>未审报表!B324</f>
        <v>46</v>
      </c>
      <c r="C324" s="208"/>
      <c r="D324" s="210">
        <f>未审报表!D324</f>
        <v>0</v>
      </c>
      <c r="E324" s="208">
        <f t="shared" si="15"/>
        <v>0</v>
      </c>
      <c r="F324" s="210">
        <f t="shared" si="16"/>
        <v>0</v>
      </c>
    </row>
    <row r="325" spans="1:6" ht="13.95" customHeight="1">
      <c r="A325" s="395" t="str">
        <f>未审报表!A325</f>
        <v xml:space="preserve">     吸收投资所收到的现金</v>
      </c>
      <c r="B325" s="391">
        <f>未审报表!B325</f>
        <v>47</v>
      </c>
      <c r="C325" s="208"/>
      <c r="D325" s="210">
        <f>未审报表!D325</f>
        <v>0</v>
      </c>
      <c r="E325" s="208">
        <f t="shared" si="15"/>
        <v>0</v>
      </c>
      <c r="F325" s="210">
        <f t="shared" si="16"/>
        <v>0</v>
      </c>
    </row>
    <row r="326" spans="1:6" ht="13.95" customHeight="1">
      <c r="A326" s="395" t="str">
        <f>未审报表!A326</f>
        <v xml:space="preserve">     其中：子公司吸收少数股东投资收到的现金</v>
      </c>
      <c r="B326" s="391">
        <f>未审报表!B326</f>
        <v>48</v>
      </c>
      <c r="C326" s="208"/>
      <c r="D326" s="210">
        <f>未审报表!D326</f>
        <v>0</v>
      </c>
      <c r="E326" s="208">
        <f t="shared" si="15"/>
        <v>0</v>
      </c>
      <c r="F326" s="210">
        <f t="shared" si="16"/>
        <v>0</v>
      </c>
    </row>
    <row r="327" spans="1:6" ht="13.95" customHeight="1">
      <c r="A327" s="395" t="str">
        <f>未审报表!A327</f>
        <v xml:space="preserve">     取得借款收到的现金</v>
      </c>
      <c r="B327" s="391">
        <f>未审报表!B327</f>
        <v>49</v>
      </c>
      <c r="C327" s="208"/>
      <c r="D327" s="210">
        <f>未审报表!D327</f>
        <v>0</v>
      </c>
      <c r="E327" s="208">
        <f t="shared" si="15"/>
        <v>0</v>
      </c>
      <c r="F327" s="210">
        <f t="shared" si="16"/>
        <v>0</v>
      </c>
    </row>
    <row r="328" spans="1:6" ht="13.95" customHeight="1">
      <c r="A328" s="395" t="str">
        <f>未审报表!A328</f>
        <v xml:space="preserve">     发行债券收到的现金</v>
      </c>
      <c r="B328" s="391">
        <f>未审报表!B328</f>
        <v>50</v>
      </c>
      <c r="C328" s="208"/>
      <c r="D328" s="210">
        <f>未审报表!D328</f>
        <v>0</v>
      </c>
      <c r="E328" s="208">
        <f t="shared" si="15"/>
        <v>0</v>
      </c>
      <c r="F328" s="210">
        <f t="shared" si="16"/>
        <v>0</v>
      </c>
    </row>
    <row r="329" spans="1:6" ht="13.95" customHeight="1">
      <c r="A329" s="395" t="str">
        <f>未审报表!A329</f>
        <v xml:space="preserve">     收到的其他与筹资活动有关的现金</v>
      </c>
      <c r="B329" s="391">
        <f>未审报表!B329</f>
        <v>51</v>
      </c>
      <c r="C329" s="208"/>
      <c r="D329" s="210">
        <f>未审报表!D329</f>
        <v>0</v>
      </c>
      <c r="E329" s="208">
        <f t="shared" si="15"/>
        <v>0</v>
      </c>
      <c r="F329" s="210">
        <f t="shared" si="16"/>
        <v>0</v>
      </c>
    </row>
    <row r="330" spans="1:6" ht="13.95" customHeight="1">
      <c r="A330" s="395">
        <f>未审报表!A330</f>
        <v>0</v>
      </c>
      <c r="B330" s="391">
        <f>未审报表!B330</f>
        <v>52</v>
      </c>
      <c r="C330" s="208"/>
      <c r="D330" s="210">
        <f>未审报表!D330</f>
        <v>0</v>
      </c>
      <c r="E330" s="208">
        <f t="shared" si="15"/>
        <v>0</v>
      </c>
      <c r="F330" s="210">
        <f t="shared" si="16"/>
        <v>0</v>
      </c>
    </row>
    <row r="331" spans="1:6" ht="13.95" customHeight="1">
      <c r="A331" s="608" t="str">
        <f>未审报表!A331</f>
        <v xml:space="preserve">     筹资活动现金流入小计</v>
      </c>
      <c r="B331" s="609">
        <f>未审报表!B331</f>
        <v>53</v>
      </c>
      <c r="C331" s="686">
        <f>SUM(C325:C330)</f>
        <v>0</v>
      </c>
      <c r="D331" s="686">
        <f>SUM(D325:D330)</f>
        <v>0</v>
      </c>
      <c r="E331" s="610">
        <f t="shared" si="15"/>
        <v>0</v>
      </c>
      <c r="F331" s="611">
        <f t="shared" si="16"/>
        <v>0</v>
      </c>
    </row>
    <row r="332" spans="1:6" ht="13.95" customHeight="1">
      <c r="A332" s="395" t="str">
        <f>未审报表!A332</f>
        <v xml:space="preserve">     偿还债务支付的现金</v>
      </c>
      <c r="B332" s="391">
        <f>未审报表!B332</f>
        <v>54</v>
      </c>
      <c r="C332" s="208"/>
      <c r="D332" s="210">
        <f>未审报表!D332</f>
        <v>0</v>
      </c>
      <c r="E332" s="208">
        <f t="shared" si="15"/>
        <v>0</v>
      </c>
      <c r="F332" s="210">
        <f t="shared" si="16"/>
        <v>0</v>
      </c>
    </row>
    <row r="333" spans="1:6" ht="13.95" customHeight="1">
      <c r="A333" s="395" t="str">
        <f>未审报表!A333</f>
        <v xml:space="preserve">     分配股利、利润或偿付利息支付的现金</v>
      </c>
      <c r="B333" s="391">
        <f>未审报表!B333</f>
        <v>55</v>
      </c>
      <c r="C333" s="208"/>
      <c r="D333" s="210">
        <f>未审报表!D333</f>
        <v>0</v>
      </c>
      <c r="E333" s="208">
        <f t="shared" si="15"/>
        <v>0</v>
      </c>
      <c r="F333" s="210">
        <f t="shared" si="16"/>
        <v>0</v>
      </c>
    </row>
    <row r="334" spans="1:6" ht="13.95" customHeight="1">
      <c r="A334" s="395" t="str">
        <f>未审报表!A334</f>
        <v xml:space="preserve">      其中：子公司支付给少数股东的股利、利润</v>
      </c>
      <c r="B334" s="391">
        <f>未审报表!B334</f>
        <v>56</v>
      </c>
      <c r="C334" s="208"/>
      <c r="D334" s="210">
        <f>未审报表!D334</f>
        <v>0</v>
      </c>
      <c r="E334" s="208">
        <f t="shared" si="15"/>
        <v>0</v>
      </c>
      <c r="F334" s="210">
        <f t="shared" si="16"/>
        <v>0</v>
      </c>
    </row>
    <row r="335" spans="1:6" ht="13.95" customHeight="1">
      <c r="A335" s="395" t="str">
        <f>未审报表!A335</f>
        <v xml:space="preserve">     支付其他与筹资活动有关的现金</v>
      </c>
      <c r="B335" s="391">
        <f>未审报表!B335</f>
        <v>57</v>
      </c>
      <c r="C335" s="208"/>
      <c r="D335" s="210">
        <f>未审报表!D335</f>
        <v>0</v>
      </c>
      <c r="E335" s="208">
        <f t="shared" si="15"/>
        <v>0</v>
      </c>
      <c r="F335" s="210">
        <f t="shared" si="16"/>
        <v>0</v>
      </c>
    </row>
    <row r="336" spans="1:6" ht="13.95" customHeight="1">
      <c r="A336" s="395" t="str">
        <f>未审报表!A336</f>
        <v xml:space="preserve">      其中：子公司减资支付给少数股东的现金</v>
      </c>
      <c r="B336" s="391">
        <f>未审报表!B336</f>
        <v>58</v>
      </c>
      <c r="C336" s="208"/>
      <c r="D336" s="210">
        <f>未审报表!D336</f>
        <v>0</v>
      </c>
      <c r="E336" s="208">
        <f t="shared" si="15"/>
        <v>0</v>
      </c>
      <c r="F336" s="210">
        <f t="shared" si="16"/>
        <v>0</v>
      </c>
    </row>
    <row r="337" spans="1:6" ht="13.95" customHeight="1">
      <c r="A337" s="608" t="str">
        <f>未审报表!A337</f>
        <v xml:space="preserve">     筹资活动现金流出小计</v>
      </c>
      <c r="B337" s="609">
        <f>未审报表!B337</f>
        <v>59</v>
      </c>
      <c r="C337" s="686">
        <f>SUM(C332:C336)</f>
        <v>0</v>
      </c>
      <c r="D337" s="686">
        <f>SUM(D332:D336)</f>
        <v>0</v>
      </c>
      <c r="E337" s="610">
        <f t="shared" si="15"/>
        <v>0</v>
      </c>
      <c r="F337" s="611">
        <f t="shared" si="16"/>
        <v>0</v>
      </c>
    </row>
    <row r="338" spans="1:6" ht="13.95" customHeight="1">
      <c r="A338" s="608" t="str">
        <f>未审报表!A338</f>
        <v xml:space="preserve">     筹资活动产生的现金流量净额</v>
      </c>
      <c r="B338" s="609">
        <f>未审报表!B338</f>
        <v>60</v>
      </c>
      <c r="C338" s="686">
        <f>C331-C337</f>
        <v>0</v>
      </c>
      <c r="D338" s="686">
        <f>D331-D337</f>
        <v>0</v>
      </c>
      <c r="E338" s="610">
        <f t="shared" si="15"/>
        <v>0</v>
      </c>
      <c r="F338" s="611">
        <f t="shared" si="16"/>
        <v>0</v>
      </c>
    </row>
    <row r="339" spans="1:6" ht="13.95" customHeight="1">
      <c r="A339" s="608" t="str">
        <f>未审报表!A339</f>
        <v>四、汇率变动对现金及现金等价物的影响</v>
      </c>
      <c r="B339" s="609">
        <f>未审报表!B339</f>
        <v>61</v>
      </c>
      <c r="C339" s="610"/>
      <c r="D339" s="611">
        <f>未审报表!D339</f>
        <v>0</v>
      </c>
      <c r="E339" s="610">
        <f t="shared" si="15"/>
        <v>0</v>
      </c>
      <c r="F339" s="611">
        <f t="shared" si="16"/>
        <v>0</v>
      </c>
    </row>
    <row r="340" spans="1:6" ht="13.95" customHeight="1">
      <c r="A340" s="608" t="str">
        <f>未审报表!A340</f>
        <v>五、现金及现金等价物净增加额</v>
      </c>
      <c r="B340" s="609">
        <f>未审报表!B340</f>
        <v>62</v>
      </c>
      <c r="C340" s="686">
        <f>C307+C323+C338+C339</f>
        <v>0</v>
      </c>
      <c r="D340" s="686">
        <f>D307+D323+D338+D339</f>
        <v>0</v>
      </c>
      <c r="E340" s="610">
        <f t="shared" si="15"/>
        <v>0</v>
      </c>
      <c r="F340" s="611">
        <f t="shared" si="16"/>
        <v>0</v>
      </c>
    </row>
    <row r="341" spans="1:6" ht="13.95" customHeight="1">
      <c r="A341" s="693" t="str">
        <f>未审报表!A341</f>
        <v xml:space="preserve">    加：期初现金及现金等价物余额</v>
      </c>
      <c r="B341" s="694">
        <f>未审报表!B341</f>
        <v>63</v>
      </c>
      <c r="C341" s="610"/>
      <c r="D341" s="611">
        <f>未审报表!D341</f>
        <v>0</v>
      </c>
      <c r="E341" s="610">
        <f t="shared" si="15"/>
        <v>0</v>
      </c>
      <c r="F341" s="611">
        <f t="shared" si="16"/>
        <v>0</v>
      </c>
    </row>
    <row r="342" spans="1:6" ht="13.95" customHeight="1" thickBot="1">
      <c r="A342" s="695" t="str">
        <f>未审报表!A342</f>
        <v>六、期末现金及现金等价物余额</v>
      </c>
      <c r="B342" s="696">
        <f>未审报表!B342</f>
        <v>64</v>
      </c>
      <c r="C342" s="689">
        <f>C340+C341</f>
        <v>0</v>
      </c>
      <c r="D342" s="689">
        <f>D340+D341</f>
        <v>0</v>
      </c>
      <c r="E342" s="690">
        <f t="shared" si="15"/>
        <v>0</v>
      </c>
      <c r="F342" s="692">
        <f t="shared" si="16"/>
        <v>0</v>
      </c>
    </row>
    <row r="343" spans="1:6" s="612" customFormat="1" ht="13.95" customHeight="1">
      <c r="A343" s="608" t="str">
        <f>未审报表!A343</f>
        <v>补    充    资    料</v>
      </c>
      <c r="B343" s="609" t="str">
        <f>未审报表!B343</f>
        <v>行次</v>
      </c>
      <c r="C343" s="707" t="s">
        <v>1403</v>
      </c>
      <c r="D343" s="708" t="s">
        <v>1404</v>
      </c>
      <c r="E343" s="699"/>
      <c r="F343" s="700"/>
    </row>
    <row r="344" spans="1:6" ht="13.95" customHeight="1">
      <c r="A344" s="608" t="str">
        <f>未审报表!A344</f>
        <v>1、将净利润调节为经营活动现金流量：</v>
      </c>
      <c r="B344" s="609">
        <f>未审报表!B344</f>
        <v>65</v>
      </c>
      <c r="C344" s="610"/>
      <c r="D344" s="611"/>
      <c r="E344" s="610">
        <f t="shared" si="15"/>
        <v>0</v>
      </c>
      <c r="F344" s="611">
        <f t="shared" si="16"/>
        <v>0</v>
      </c>
    </row>
    <row r="345" spans="1:6" ht="13.95" customHeight="1">
      <c r="A345" s="395" t="str">
        <f>未审报表!A345</f>
        <v xml:space="preserve">     净利润</v>
      </c>
      <c r="B345" s="391">
        <f>未审报表!B345</f>
        <v>66</v>
      </c>
      <c r="C345" s="208">
        <v>21221252.779999997</v>
      </c>
      <c r="D345" s="210">
        <f>未审报表!D345</f>
        <v>21221252.779999997</v>
      </c>
      <c r="E345" s="208">
        <f t="shared" si="15"/>
        <v>0</v>
      </c>
      <c r="F345" s="210">
        <f t="shared" si="16"/>
        <v>0</v>
      </c>
    </row>
    <row r="346" spans="1:6" ht="13.95" customHeight="1">
      <c r="A346" s="395">
        <f>未审报表!A346</f>
        <v>0</v>
      </c>
      <c r="B346" s="391">
        <f>未审报表!B346</f>
        <v>67</v>
      </c>
      <c r="C346" s="208"/>
      <c r="D346" s="210">
        <f>未审报表!D346</f>
        <v>0</v>
      </c>
      <c r="E346" s="208">
        <f t="shared" ref="E346:E381" si="17">ABS(F346)</f>
        <v>0</v>
      </c>
      <c r="F346" s="210">
        <f t="shared" ref="F346:F381" si="18">C346-D346</f>
        <v>0</v>
      </c>
    </row>
    <row r="347" spans="1:6" ht="13.95" customHeight="1">
      <c r="A347" s="395">
        <f>未审报表!A347</f>
        <v>0</v>
      </c>
      <c r="B347" s="391">
        <f>未审报表!B347</f>
        <v>68</v>
      </c>
      <c r="C347" s="208"/>
      <c r="D347" s="210">
        <f>未审报表!D347</f>
        <v>0</v>
      </c>
      <c r="E347" s="208">
        <f t="shared" si="17"/>
        <v>0</v>
      </c>
      <c r="F347" s="210">
        <f t="shared" si="18"/>
        <v>0</v>
      </c>
    </row>
    <row r="348" spans="1:6" ht="13.95" customHeight="1">
      <c r="A348" s="395" t="str">
        <f>未审报表!A348</f>
        <v>加：资产减值损失</v>
      </c>
      <c r="B348" s="391">
        <f>未审报表!B348</f>
        <v>69</v>
      </c>
      <c r="C348" s="208"/>
      <c r="D348" s="210">
        <f>未审报表!D348</f>
        <v>0</v>
      </c>
      <c r="E348" s="208">
        <f t="shared" si="17"/>
        <v>0</v>
      </c>
      <c r="F348" s="210">
        <f t="shared" si="18"/>
        <v>0</v>
      </c>
    </row>
    <row r="349" spans="1:6" ht="13.95" customHeight="1">
      <c r="A349" s="395" t="str">
        <f>未审报表!A349</f>
        <v xml:space="preserve">        信用减值损失</v>
      </c>
      <c r="B349" s="391">
        <f>未审报表!B349</f>
        <v>70</v>
      </c>
      <c r="C349" s="208"/>
      <c r="D349" s="210">
        <f>未审报表!D349</f>
        <v>0</v>
      </c>
      <c r="E349" s="208">
        <f t="shared" si="17"/>
        <v>0</v>
      </c>
      <c r="F349" s="210">
        <f t="shared" si="18"/>
        <v>0</v>
      </c>
    </row>
    <row r="350" spans="1:6" ht="13.95" customHeight="1">
      <c r="A350" s="395" t="str">
        <f>未审报表!A350</f>
        <v xml:space="preserve">     固定资产折旧、投资性房地产折旧、油气资产折耗、生产性生物资产折旧</v>
      </c>
      <c r="B350" s="391">
        <f>未审报表!B350</f>
        <v>71</v>
      </c>
      <c r="C350" s="208"/>
      <c r="D350" s="210">
        <f>未审报表!D350</f>
        <v>0</v>
      </c>
      <c r="E350" s="208">
        <f t="shared" si="17"/>
        <v>0</v>
      </c>
      <c r="F350" s="210">
        <f t="shared" si="18"/>
        <v>0</v>
      </c>
    </row>
    <row r="351" spans="1:6" ht="13.95" customHeight="1">
      <c r="A351" s="395" t="str">
        <f>未审报表!A351</f>
        <v xml:space="preserve">    使用权资产折旧</v>
      </c>
      <c r="B351" s="391">
        <f>未审报表!B351</f>
        <v>72</v>
      </c>
      <c r="C351" s="208"/>
      <c r="D351" s="210">
        <f>未审报表!D351</f>
        <v>0</v>
      </c>
      <c r="E351" s="208">
        <f t="shared" si="17"/>
        <v>0</v>
      </c>
      <c r="F351" s="210">
        <f t="shared" si="18"/>
        <v>0</v>
      </c>
    </row>
    <row r="352" spans="1:6" ht="13.95" customHeight="1">
      <c r="A352" s="395" t="str">
        <f>未审报表!A352</f>
        <v xml:space="preserve">     无形资产摊销</v>
      </c>
      <c r="B352" s="391">
        <f>未审报表!B352</f>
        <v>73</v>
      </c>
      <c r="C352" s="208"/>
      <c r="D352" s="210">
        <f>未审报表!D352</f>
        <v>0</v>
      </c>
      <c r="E352" s="208">
        <f t="shared" si="17"/>
        <v>0</v>
      </c>
      <c r="F352" s="210">
        <f t="shared" si="18"/>
        <v>0</v>
      </c>
    </row>
    <row r="353" spans="1:6" ht="13.95" customHeight="1">
      <c r="A353" s="395" t="str">
        <f>未审报表!A353</f>
        <v xml:space="preserve">     长期待摊费用摊销</v>
      </c>
      <c r="B353" s="391">
        <f>未审报表!B353</f>
        <v>74</v>
      </c>
      <c r="C353" s="208"/>
      <c r="D353" s="210">
        <f>未审报表!D353</f>
        <v>0</v>
      </c>
      <c r="E353" s="208">
        <f t="shared" si="17"/>
        <v>0</v>
      </c>
      <c r="F353" s="210">
        <f t="shared" si="18"/>
        <v>0</v>
      </c>
    </row>
    <row r="354" spans="1:6" ht="13.95" customHeight="1">
      <c r="A354" s="395" t="str">
        <f>未审报表!A354</f>
        <v xml:space="preserve">     处置固定资产、无形资产和其他长期资产的损失（收益以“－”号填列）</v>
      </c>
      <c r="B354" s="391">
        <f>未审报表!B354</f>
        <v>75</v>
      </c>
      <c r="C354" s="208"/>
      <c r="D354" s="210">
        <f>未审报表!D354</f>
        <v>0</v>
      </c>
      <c r="E354" s="208">
        <f t="shared" si="17"/>
        <v>0</v>
      </c>
      <c r="F354" s="210">
        <f t="shared" si="18"/>
        <v>0</v>
      </c>
    </row>
    <row r="355" spans="1:6" ht="13.95" customHeight="1">
      <c r="A355" s="395" t="str">
        <f>未审报表!A355</f>
        <v xml:space="preserve">     固定资产报废损失（收益以“－”号填列）</v>
      </c>
      <c r="B355" s="391">
        <f>未审报表!B355</f>
        <v>76</v>
      </c>
      <c r="C355" s="208"/>
      <c r="D355" s="210">
        <f>未审报表!D355</f>
        <v>0</v>
      </c>
      <c r="E355" s="208">
        <f t="shared" si="17"/>
        <v>0</v>
      </c>
      <c r="F355" s="210">
        <f t="shared" si="18"/>
        <v>0</v>
      </c>
    </row>
    <row r="356" spans="1:6" ht="13.95" customHeight="1">
      <c r="A356" s="395" t="str">
        <f>未审报表!A356</f>
        <v xml:space="preserve">     公允价值变动损失（收益以“－”号填列）</v>
      </c>
      <c r="B356" s="391">
        <f>未审报表!B356</f>
        <v>77</v>
      </c>
      <c r="C356" s="208"/>
      <c r="D356" s="210">
        <f>未审报表!D356</f>
        <v>0</v>
      </c>
      <c r="E356" s="208">
        <f t="shared" si="17"/>
        <v>0</v>
      </c>
      <c r="F356" s="210">
        <f t="shared" si="18"/>
        <v>0</v>
      </c>
    </row>
    <row r="357" spans="1:6" ht="13.95" customHeight="1">
      <c r="A357" s="395" t="str">
        <f>未审报表!A357</f>
        <v xml:space="preserve">     财务费用（收益以“－”号填列）</v>
      </c>
      <c r="B357" s="391">
        <f>未审报表!B357</f>
        <v>78</v>
      </c>
      <c r="C357" s="208"/>
      <c r="D357" s="210">
        <f>未审报表!D357</f>
        <v>0</v>
      </c>
      <c r="E357" s="208">
        <f t="shared" si="17"/>
        <v>0</v>
      </c>
      <c r="F357" s="210">
        <f t="shared" si="18"/>
        <v>0</v>
      </c>
    </row>
    <row r="358" spans="1:6" ht="13.95" customHeight="1">
      <c r="A358" s="395" t="str">
        <f>未审报表!A358</f>
        <v xml:space="preserve">     投资损失（收益以“－”号填列）</v>
      </c>
      <c r="B358" s="391">
        <f>未审报表!B358</f>
        <v>79</v>
      </c>
      <c r="C358" s="208"/>
      <c r="D358" s="210">
        <f>未审报表!D358</f>
        <v>0</v>
      </c>
      <c r="E358" s="208">
        <f t="shared" si="17"/>
        <v>0</v>
      </c>
      <c r="F358" s="210">
        <f t="shared" si="18"/>
        <v>0</v>
      </c>
    </row>
    <row r="359" spans="1:6" ht="13.95" customHeight="1">
      <c r="A359" s="395" t="str">
        <f>未审报表!A359</f>
        <v xml:space="preserve">     递延所得税资产减少（增加以“－”号填列）</v>
      </c>
      <c r="B359" s="391">
        <f>未审报表!B359</f>
        <v>80</v>
      </c>
      <c r="C359" s="208"/>
      <c r="D359" s="210">
        <f>未审报表!D359</f>
        <v>0</v>
      </c>
      <c r="E359" s="208">
        <f t="shared" si="17"/>
        <v>0</v>
      </c>
      <c r="F359" s="210">
        <f t="shared" si="18"/>
        <v>0</v>
      </c>
    </row>
    <row r="360" spans="1:6" ht="13.95" customHeight="1">
      <c r="A360" s="395" t="str">
        <f>未审报表!A360</f>
        <v xml:space="preserve">     递延所得税负债增加（减少以“－”号填列）</v>
      </c>
      <c r="B360" s="391">
        <f>未审报表!B360</f>
        <v>81</v>
      </c>
      <c r="C360" s="208"/>
      <c r="D360" s="210">
        <f>未审报表!D360</f>
        <v>0</v>
      </c>
      <c r="E360" s="208">
        <f t="shared" si="17"/>
        <v>0</v>
      </c>
      <c r="F360" s="210">
        <f t="shared" si="18"/>
        <v>0</v>
      </c>
    </row>
    <row r="361" spans="1:6" ht="13.95" customHeight="1">
      <c r="A361" s="395" t="str">
        <f>未审报表!A361</f>
        <v xml:space="preserve">     存货的减少（增加以“－”号填列）</v>
      </c>
      <c r="B361" s="391">
        <f>未审报表!B361</f>
        <v>82</v>
      </c>
      <c r="C361" s="208"/>
      <c r="D361" s="210">
        <f>未审报表!D361</f>
        <v>0</v>
      </c>
      <c r="E361" s="208">
        <f t="shared" si="17"/>
        <v>0</v>
      </c>
      <c r="F361" s="210">
        <f t="shared" si="18"/>
        <v>0</v>
      </c>
    </row>
    <row r="362" spans="1:6" ht="13.95" customHeight="1">
      <c r="A362" s="395" t="str">
        <f>未审报表!A362</f>
        <v xml:space="preserve">     经营性应收项目的减少（增加以“－”号填列）</v>
      </c>
      <c r="B362" s="391">
        <f>未审报表!B362</f>
        <v>83</v>
      </c>
      <c r="C362" s="208"/>
      <c r="D362" s="210">
        <f>未审报表!D362</f>
        <v>0</v>
      </c>
      <c r="E362" s="208">
        <f t="shared" si="17"/>
        <v>0</v>
      </c>
      <c r="F362" s="210">
        <f t="shared" si="18"/>
        <v>0</v>
      </c>
    </row>
    <row r="363" spans="1:6" ht="13.95" customHeight="1">
      <c r="A363" s="395" t="str">
        <f>未审报表!A363</f>
        <v xml:space="preserve">     经营性应付项目的增加（减少以“－”号填列）</v>
      </c>
      <c r="B363" s="391">
        <f>未审报表!B363</f>
        <v>84</v>
      </c>
      <c r="C363" s="208"/>
      <c r="D363" s="210">
        <f>未审报表!D363</f>
        <v>0</v>
      </c>
      <c r="E363" s="208">
        <f t="shared" si="17"/>
        <v>0</v>
      </c>
      <c r="F363" s="210">
        <f t="shared" si="18"/>
        <v>0</v>
      </c>
    </row>
    <row r="364" spans="1:6" ht="13.95" customHeight="1">
      <c r="A364" s="395" t="str">
        <f>未审报表!A364</f>
        <v xml:space="preserve">     其他</v>
      </c>
      <c r="B364" s="391">
        <f>未审报表!B364</f>
        <v>85</v>
      </c>
      <c r="C364" s="208"/>
      <c r="D364" s="210">
        <f>未审报表!D364</f>
        <v>0</v>
      </c>
      <c r="E364" s="208">
        <f t="shared" si="17"/>
        <v>0</v>
      </c>
      <c r="F364" s="210">
        <f t="shared" si="18"/>
        <v>0</v>
      </c>
    </row>
    <row r="365" spans="1:6" ht="13.95" customHeight="1">
      <c r="A365" s="395">
        <f>未审报表!A365</f>
        <v>0</v>
      </c>
      <c r="B365" s="391">
        <f>未审报表!B365</f>
        <v>86</v>
      </c>
      <c r="C365" s="208"/>
      <c r="D365" s="210">
        <f>未审报表!D365</f>
        <v>0</v>
      </c>
      <c r="E365" s="208">
        <f t="shared" si="17"/>
        <v>0</v>
      </c>
      <c r="F365" s="210">
        <f t="shared" si="18"/>
        <v>0</v>
      </c>
    </row>
    <row r="366" spans="1:6" ht="13.95" customHeight="1">
      <c r="A366" s="608" t="str">
        <f>未审报表!A366</f>
        <v xml:space="preserve">     经营活动产生的现金流量净额</v>
      </c>
      <c r="B366" s="391">
        <f>未审报表!B366</f>
        <v>87</v>
      </c>
      <c r="C366" s="194">
        <f>SUM(C345,C348:C365)</f>
        <v>21221252.779999997</v>
      </c>
      <c r="D366" s="194">
        <f>SUM(D345,D348:D365)</f>
        <v>21221252.779999997</v>
      </c>
      <c r="E366" s="208">
        <f t="shared" si="17"/>
        <v>0</v>
      </c>
      <c r="F366" s="210">
        <f t="shared" si="18"/>
        <v>0</v>
      </c>
    </row>
    <row r="367" spans="1:6" ht="13.95" customHeight="1">
      <c r="A367" s="395">
        <f>未审报表!A367</f>
        <v>0</v>
      </c>
      <c r="B367" s="391">
        <f>未审报表!B367</f>
        <v>88</v>
      </c>
      <c r="C367" s="208"/>
      <c r="D367" s="210">
        <f>未审报表!D367</f>
        <v>0</v>
      </c>
      <c r="E367" s="208">
        <f t="shared" si="17"/>
        <v>0</v>
      </c>
      <c r="F367" s="210">
        <f t="shared" si="18"/>
        <v>0</v>
      </c>
    </row>
    <row r="368" spans="1:6" ht="13.95" customHeight="1">
      <c r="A368" s="395" t="str">
        <f>未审报表!A368</f>
        <v>2、不涉及现金收支的投资和筹资活动：</v>
      </c>
      <c r="B368" s="391">
        <f>未审报表!B368</f>
        <v>89</v>
      </c>
      <c r="C368" s="208"/>
      <c r="D368" s="210">
        <f>未审报表!D368</f>
        <v>0</v>
      </c>
      <c r="E368" s="208">
        <f t="shared" si="17"/>
        <v>0</v>
      </c>
      <c r="F368" s="210">
        <f t="shared" si="18"/>
        <v>0</v>
      </c>
    </row>
    <row r="369" spans="1:6" ht="13.95" customHeight="1">
      <c r="A369" s="395" t="str">
        <f>未审报表!A369</f>
        <v xml:space="preserve">     债务转为资本</v>
      </c>
      <c r="B369" s="391">
        <f>未审报表!B369</f>
        <v>90</v>
      </c>
      <c r="C369" s="208"/>
      <c r="D369" s="210">
        <f>未审报表!D369</f>
        <v>0</v>
      </c>
      <c r="E369" s="208">
        <f t="shared" si="17"/>
        <v>0</v>
      </c>
      <c r="F369" s="210">
        <f t="shared" si="18"/>
        <v>0</v>
      </c>
    </row>
    <row r="370" spans="1:6" ht="13.95" customHeight="1">
      <c r="A370" s="395" t="str">
        <f>未审报表!A370</f>
        <v xml:space="preserve">     一年内到期的可转换公司债券</v>
      </c>
      <c r="B370" s="391">
        <f>未审报表!B370</f>
        <v>91</v>
      </c>
      <c r="C370" s="208"/>
      <c r="D370" s="210">
        <f>未审报表!D370</f>
        <v>0</v>
      </c>
      <c r="E370" s="208">
        <f t="shared" si="17"/>
        <v>0</v>
      </c>
      <c r="F370" s="210">
        <f t="shared" si="18"/>
        <v>0</v>
      </c>
    </row>
    <row r="371" spans="1:6" ht="13.95" customHeight="1">
      <c r="A371" s="395" t="str">
        <f>未审报表!A371</f>
        <v xml:space="preserve">     融资租入固定资产</v>
      </c>
      <c r="B371" s="391">
        <f>未审报表!B371</f>
        <v>92</v>
      </c>
      <c r="C371" s="208"/>
      <c r="D371" s="210">
        <f>未审报表!D371</f>
        <v>0</v>
      </c>
      <c r="E371" s="208">
        <f t="shared" si="17"/>
        <v>0</v>
      </c>
      <c r="F371" s="210">
        <f t="shared" si="18"/>
        <v>0</v>
      </c>
    </row>
    <row r="372" spans="1:6" ht="13.95" customHeight="1">
      <c r="A372" s="395" t="str">
        <f>未审报表!A372</f>
        <v xml:space="preserve">    当期新增的使用权资产</v>
      </c>
      <c r="B372" s="391">
        <f>未审报表!B372</f>
        <v>93</v>
      </c>
      <c r="C372" s="208"/>
      <c r="D372" s="210">
        <f>未审报表!D372</f>
        <v>0</v>
      </c>
      <c r="E372" s="208">
        <f t="shared" si="17"/>
        <v>0</v>
      </c>
      <c r="F372" s="210">
        <f t="shared" si="18"/>
        <v>0</v>
      </c>
    </row>
    <row r="373" spans="1:6" ht="13.95" customHeight="1">
      <c r="A373" s="395">
        <f>未审报表!A373</f>
        <v>0</v>
      </c>
      <c r="B373" s="391">
        <f>未审报表!B373</f>
        <v>94</v>
      </c>
      <c r="C373" s="208"/>
      <c r="D373" s="210">
        <f>未审报表!D373</f>
        <v>0</v>
      </c>
      <c r="E373" s="208">
        <f t="shared" si="17"/>
        <v>0</v>
      </c>
      <c r="F373" s="210">
        <f t="shared" si="18"/>
        <v>0</v>
      </c>
    </row>
    <row r="374" spans="1:6" ht="13.95" customHeight="1">
      <c r="A374" s="395">
        <f>未审报表!A374</f>
        <v>0</v>
      </c>
      <c r="B374" s="391">
        <f>未审报表!B374</f>
        <v>95</v>
      </c>
      <c r="C374" s="208"/>
      <c r="D374" s="210">
        <f>未审报表!D374</f>
        <v>0</v>
      </c>
      <c r="E374" s="208">
        <f t="shared" si="17"/>
        <v>0</v>
      </c>
      <c r="F374" s="210">
        <f t="shared" si="18"/>
        <v>0</v>
      </c>
    </row>
    <row r="375" spans="1:6" ht="13.95" customHeight="1">
      <c r="A375" s="395" t="str">
        <f>未审报表!A375</f>
        <v>3、现金及现金等价物净变动情况：</v>
      </c>
      <c r="B375" s="391">
        <f>未审报表!B375</f>
        <v>96</v>
      </c>
      <c r="C375" s="208"/>
      <c r="D375" s="210">
        <f>未审报表!D375</f>
        <v>0</v>
      </c>
      <c r="E375" s="208">
        <f t="shared" si="17"/>
        <v>0</v>
      </c>
      <c r="F375" s="210">
        <f t="shared" si="18"/>
        <v>0</v>
      </c>
    </row>
    <row r="376" spans="1:6" ht="13.95" customHeight="1">
      <c r="A376" s="395" t="str">
        <f>未审报表!A376</f>
        <v xml:space="preserve">     现金的期末余额</v>
      </c>
      <c r="B376" s="391">
        <f>未审报表!B376</f>
        <v>97</v>
      </c>
      <c r="C376" s="208"/>
      <c r="D376" s="210">
        <f>未审报表!D376</f>
        <v>0</v>
      </c>
      <c r="E376" s="208">
        <f t="shared" si="17"/>
        <v>0</v>
      </c>
      <c r="F376" s="210">
        <f t="shared" si="18"/>
        <v>0</v>
      </c>
    </row>
    <row r="377" spans="1:6" ht="13.95" customHeight="1">
      <c r="A377" s="395" t="str">
        <f>未审报表!A377</f>
        <v xml:space="preserve">     减：现金的期初余额</v>
      </c>
      <c r="B377" s="391">
        <f>未审报表!B377</f>
        <v>98</v>
      </c>
      <c r="C377" s="208"/>
      <c r="D377" s="210">
        <f>未审报表!D377</f>
        <v>0</v>
      </c>
      <c r="E377" s="208">
        <f t="shared" si="17"/>
        <v>0</v>
      </c>
      <c r="F377" s="210">
        <f t="shared" si="18"/>
        <v>0</v>
      </c>
    </row>
    <row r="378" spans="1:6" ht="13.95" customHeight="1">
      <c r="A378" s="395" t="str">
        <f>未审报表!A378</f>
        <v xml:space="preserve">     加：现金等价物的期末余额</v>
      </c>
      <c r="B378" s="391">
        <f>未审报表!B378</f>
        <v>99</v>
      </c>
      <c r="C378" s="208"/>
      <c r="D378" s="210">
        <f>未审报表!D378</f>
        <v>0</v>
      </c>
      <c r="E378" s="208">
        <f t="shared" si="17"/>
        <v>0</v>
      </c>
      <c r="F378" s="210">
        <f t="shared" si="18"/>
        <v>0</v>
      </c>
    </row>
    <row r="379" spans="1:6" ht="13.95" customHeight="1">
      <c r="A379" s="395" t="str">
        <f>未审报表!A379</f>
        <v xml:space="preserve">     减：现金等价物的期初余额</v>
      </c>
      <c r="B379" s="391">
        <f>未审报表!B379</f>
        <v>100</v>
      </c>
      <c r="C379" s="208"/>
      <c r="D379" s="210">
        <f>未审报表!D379</f>
        <v>0</v>
      </c>
      <c r="E379" s="208">
        <f t="shared" si="17"/>
        <v>0</v>
      </c>
      <c r="F379" s="210">
        <f t="shared" si="18"/>
        <v>0</v>
      </c>
    </row>
    <row r="380" spans="1:6" ht="13.95" customHeight="1">
      <c r="A380" s="395">
        <f>未审报表!A380</f>
        <v>0</v>
      </c>
      <c r="B380" s="391">
        <f>未审报表!B380</f>
        <v>101</v>
      </c>
      <c r="C380" s="208"/>
      <c r="D380" s="210">
        <f>未审报表!D380</f>
        <v>0</v>
      </c>
      <c r="E380" s="208">
        <f t="shared" si="17"/>
        <v>0</v>
      </c>
      <c r="F380" s="210">
        <f t="shared" si="18"/>
        <v>0</v>
      </c>
    </row>
    <row r="381" spans="1:6" ht="13.95" customHeight="1">
      <c r="A381" s="395">
        <f>未审报表!A381</f>
        <v>0</v>
      </c>
      <c r="B381" s="391">
        <f>未审报表!B381</f>
        <v>102</v>
      </c>
      <c r="C381" s="208"/>
      <c r="D381" s="210">
        <f>未审报表!D381</f>
        <v>0</v>
      </c>
      <c r="E381" s="208">
        <f t="shared" si="17"/>
        <v>0</v>
      </c>
      <c r="F381" s="210">
        <f t="shared" si="18"/>
        <v>0</v>
      </c>
    </row>
    <row r="382" spans="1:6" ht="13.95" customHeight="1">
      <c r="A382" s="396"/>
      <c r="B382" s="397"/>
      <c r="C382" s="398"/>
      <c r="D382" s="396"/>
      <c r="E382" s="396"/>
      <c r="F382" s="396"/>
    </row>
    <row r="383" spans="1:6" ht="13.95" customHeight="1">
      <c r="A383" s="396"/>
      <c r="B383" s="397"/>
      <c r="C383" s="398"/>
      <c r="D383" s="396"/>
      <c r="E383" s="396"/>
      <c r="F383" s="396"/>
    </row>
    <row r="384" spans="1:6" ht="13.95" customHeight="1">
      <c r="A384" s="396"/>
      <c r="B384" s="397"/>
      <c r="C384" s="398"/>
      <c r="D384" s="396"/>
      <c r="E384" s="396"/>
      <c r="F384" s="396"/>
    </row>
    <row r="385" spans="1:3" ht="13.95" customHeight="1">
      <c r="A385" s="204" t="s">
        <v>633</v>
      </c>
      <c r="C385" s="399"/>
    </row>
    <row r="386" spans="1:3" ht="13.95" customHeight="1">
      <c r="A386" s="204" t="s">
        <v>634</v>
      </c>
      <c r="C386" s="399"/>
    </row>
    <row r="387" spans="1:3" ht="13.95" customHeight="1"/>
    <row r="388" spans="1:3" ht="13.95" customHeight="1"/>
    <row r="389" spans="1:3" ht="13.95" customHeight="1"/>
    <row r="390" spans="1:3" ht="13.95" customHeight="1"/>
    <row r="391" spans="1:3" ht="13.95" customHeight="1"/>
    <row r="392" spans="1:3" ht="13.95" customHeight="1"/>
    <row r="393" spans="1:3" ht="13.95" customHeight="1"/>
    <row r="394" spans="1:3" ht="13.95" customHeight="1"/>
    <row r="395" spans="1:3" ht="13.95" customHeight="1"/>
    <row r="396" spans="1:3" ht="13.95" customHeight="1"/>
    <row r="397" spans="1:3" ht="13.95" customHeight="1"/>
    <row r="398" spans="1:3" ht="13.95" customHeight="1"/>
  </sheetData>
  <sheetProtection formatCells="0" insertRows="0" autoFilter="0" pivotTables="0"/>
  <mergeCells count="2">
    <mergeCell ref="E5:F5"/>
    <mergeCell ref="A2:F2"/>
  </mergeCells>
  <phoneticPr fontId="4" type="noConversion"/>
  <conditionalFormatting sqref="A4">
    <cfRule type="cellIs" dxfId="65" priority="5" stopIfTrue="1" operator="equal">
      <formula>"期初核对不符！"</formula>
    </cfRule>
    <cfRule type="cellIs" dxfId="64" priority="6" stopIfTrue="1" operator="equal">
      <formula>"期初核对一致"</formula>
    </cfRule>
  </conditionalFormatting>
  <conditionalFormatting sqref="A1">
    <cfRule type="cellIs" dxfId="63" priority="7" stopIfTrue="1" operator="equal">
      <formula>"期初金额核对不符！"</formula>
    </cfRule>
    <cfRule type="cellIs" dxfId="62" priority="8" stopIfTrue="1" operator="equal">
      <formula>"期初金额核对一致"</formula>
    </cfRule>
  </conditionalFormatting>
  <conditionalFormatting sqref="A6">
    <cfRule type="cellIs" dxfId="61" priority="9" stopIfTrue="1" operator="equal">
      <formula>"资产明细核对不符！"</formula>
    </cfRule>
  </conditionalFormatting>
  <printOptions horizontalCentered="1"/>
  <pageMargins left="0.38" right="0.23" top="0.47" bottom="0.43" header="0.23" footer="0.2"/>
  <pageSetup paperSize="9" scale="15" orientation="portrait" blackAndWhite="1"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92D050"/>
    <pageSetUpPr fitToPage="1"/>
  </sheetPr>
  <dimension ref="A1:O383"/>
  <sheetViews>
    <sheetView showZeros="0" view="pageBreakPreview" zoomScaleSheetLayoutView="100" workbookViewId="0">
      <pane xSplit="9" ySplit="6" topLeftCell="J370" activePane="bottomRight" state="frozen"/>
      <selection activeCell="B57" sqref="B57"/>
      <selection pane="topRight" activeCell="B57" sqref="B57"/>
      <selection pane="bottomLeft" activeCell="B57" sqref="B57"/>
      <selection pane="bottomRight" activeCell="A191" sqref="A191"/>
    </sheetView>
  </sheetViews>
  <sheetFormatPr defaultColWidth="7" defaultRowHeight="13.2" outlineLevelCol="1"/>
  <cols>
    <col min="1" max="1" width="44.69921875" style="838" customWidth="1"/>
    <col min="2" max="2" width="13" style="38" bestFit="1" customWidth="1"/>
    <col min="3" max="4" width="11" style="38" customWidth="1"/>
    <col min="5" max="5" width="10.3984375" style="38" customWidth="1"/>
    <col min="6" max="6" width="10" style="38" customWidth="1"/>
    <col min="7" max="7" width="13" style="38" bestFit="1" customWidth="1" outlineLevel="1"/>
    <col min="8" max="8" width="11.59765625" style="38" customWidth="1" outlineLevel="1"/>
    <col min="9" max="9" width="13" style="839" bestFit="1" customWidth="1"/>
    <col min="10" max="10" width="9.09765625" style="38" bestFit="1" customWidth="1"/>
    <col min="11" max="11" width="9.69921875" style="38" customWidth="1"/>
    <col min="12" max="12" width="6.69921875" style="38" bestFit="1" customWidth="1"/>
    <col min="13" max="13" width="10.8984375" style="38" bestFit="1" customWidth="1"/>
    <col min="14" max="16384" width="7" style="38"/>
  </cols>
  <sheetData>
    <row r="1" spans="1:12" ht="19.5" customHeight="1">
      <c r="A1" s="796"/>
      <c r="B1" s="797"/>
      <c r="C1" s="797"/>
      <c r="D1" s="798" t="s">
        <v>1407</v>
      </c>
      <c r="E1" s="798"/>
      <c r="F1" s="797"/>
      <c r="G1" s="799"/>
      <c r="H1" s="797"/>
      <c r="I1" s="800"/>
      <c r="K1" s="75"/>
      <c r="L1" s="32"/>
    </row>
    <row r="2" spans="1:12" ht="15" customHeight="1">
      <c r="A2" s="801" t="str">
        <f>CONCATENATE("客户名称：",参数!D3)</f>
        <v>客户名称：二锅头</v>
      </c>
      <c r="C2" s="440" t="str">
        <f>CONCATENATE("编制：",参数!D17)</f>
        <v>编制：张</v>
      </c>
      <c r="D2" s="451"/>
      <c r="E2" s="135" t="str">
        <f ca="1">CONCATENATE("日期：",TEXT(NOW(),"yyyy.mm.dd"))</f>
        <v>日期：2025.11.06</v>
      </c>
      <c r="G2" s="135"/>
      <c r="H2" s="442"/>
      <c r="I2" s="802" t="s">
        <v>1524</v>
      </c>
      <c r="K2" s="75"/>
      <c r="L2" s="32"/>
    </row>
    <row r="3" spans="1:12" ht="17.25" customHeight="1">
      <c r="A3" s="801" t="str">
        <f>CONCATENATE("会计时点：",TEXT(参数!D12,"yyyy.mm.dd"))</f>
        <v>会计时点：2022.12.31</v>
      </c>
      <c r="C3" s="440" t="str">
        <f>CONCATENATE("复核：",参数!D18)</f>
        <v>复核：刘</v>
      </c>
      <c r="D3" s="135"/>
      <c r="E3" s="440" t="s">
        <v>1525</v>
      </c>
      <c r="G3" s="135"/>
      <c r="H3" s="135"/>
      <c r="I3" s="802" t="s">
        <v>1526</v>
      </c>
      <c r="K3" s="75"/>
      <c r="L3" s="32"/>
    </row>
    <row r="4" spans="1:12" ht="17.25" customHeight="1">
      <c r="A4" s="801" t="str">
        <f>CONCATENATE("会计年度：",TEXT(参数!D10,"yyyy.mm.dd"))</f>
        <v>会计年度：2022年度</v>
      </c>
      <c r="C4" s="440"/>
      <c r="D4" s="135"/>
      <c r="E4" s="440"/>
      <c r="G4" s="135"/>
      <c r="H4" s="135"/>
      <c r="I4" s="802"/>
      <c r="K4" s="75"/>
      <c r="L4" s="32"/>
    </row>
    <row r="5" spans="1:12">
      <c r="A5" s="1066" t="str">
        <f>IF((ROUND(I127,2))=(ROUND(I190,2)),"资       产","报表未调平!")</f>
        <v>资       产</v>
      </c>
      <c r="B5" s="1068" t="s">
        <v>1527</v>
      </c>
      <c r="C5" s="1068" t="s">
        <v>1528</v>
      </c>
      <c r="D5" s="1068"/>
      <c r="E5" s="1068" t="s">
        <v>1529</v>
      </c>
      <c r="F5" s="1068"/>
      <c r="G5" s="1070" t="s">
        <v>1210</v>
      </c>
      <c r="H5" s="1071"/>
      <c r="I5" s="1064" t="s">
        <v>1530</v>
      </c>
      <c r="K5" s="75"/>
      <c r="L5" s="32"/>
    </row>
    <row r="6" spans="1:12">
      <c r="A6" s="1067"/>
      <c r="B6" s="1069"/>
      <c r="C6" s="803" t="s">
        <v>1531</v>
      </c>
      <c r="D6" s="803" t="s">
        <v>1532</v>
      </c>
      <c r="E6" s="803" t="s">
        <v>1533</v>
      </c>
      <c r="F6" s="803" t="s">
        <v>1532</v>
      </c>
      <c r="G6" s="804" t="s">
        <v>1211</v>
      </c>
      <c r="H6" s="804" t="s">
        <v>1212</v>
      </c>
      <c r="I6" s="1065"/>
      <c r="K6" s="75"/>
      <c r="L6" s="32"/>
    </row>
    <row r="7" spans="1:12" ht="14.4" customHeight="1">
      <c r="A7" s="805" t="str">
        <f>未审报表!A7</f>
        <v>流动资产：</v>
      </c>
      <c r="B7" s="806"/>
      <c r="C7" s="807"/>
      <c r="D7" s="807"/>
      <c r="E7" s="807"/>
      <c r="F7" s="807"/>
      <c r="G7" s="807"/>
      <c r="H7" s="807"/>
      <c r="I7" s="808">
        <f>B7</f>
        <v>0</v>
      </c>
      <c r="J7" s="38" t="b">
        <f>A7=未审报表!A7</f>
        <v>1</v>
      </c>
      <c r="K7" s="75" t="b">
        <f>审定报表!A7=TB!A7</f>
        <v>1</v>
      </c>
      <c r="L7" s="32"/>
    </row>
    <row r="8" spans="1:12" ht="14.4" customHeight="1">
      <c r="A8" s="809" t="str">
        <f>未审报表!A8</f>
        <v>货币资金</v>
      </c>
      <c r="B8" s="810">
        <f>未审报表!C8</f>
        <v>17053592.640000001</v>
      </c>
      <c r="C8" s="810">
        <f>SUMIFS(调整事项汇总表!$I$7:$I$10020,调整事项汇总表!$D$7:$D$10020,"账项调整",调整事项汇总表!$E$7:$E$10020,IF(OR(MID(TRIM($A8),2,1)="：",MID(TRIM($A8),2,1)="、"),REPLACEB(TRIM($A8),1,4,""),TRIM($A8)))</f>
        <v>0</v>
      </c>
      <c r="D8" s="810">
        <f>SUMIFS(调整事项汇总表!$J$7:$J$10020,调整事项汇总表!$D$7:$D$10020,"账项调整",调整事项汇总表!$E$7:$E$10020,IF(OR(MID(TRIM($A8),2,1)="：",MID(TRIM($A8),2,1)="、"),REPLACEB(TRIM($A8),1,4,""),TRIM($A8)))</f>
        <v>0</v>
      </c>
      <c r="E8" s="810">
        <f>SUMIFS(调整事项汇总表!$I$7:$I$10020,调整事项汇总表!$D$7:$D$10020,"报表调整",调整事项汇总表!$E$7:$E$10020,IF(OR(MID(TRIM($A8),2,1)="：",MID(TRIM($A8),2,1)="、"),REPLACEB(TRIM($A8),1,4,""),TRIM($A8)))</f>
        <v>0</v>
      </c>
      <c r="F8" s="810">
        <f>SUMIFS(调整事项汇总表!$J$7:$J$10020,调整事项汇总表!$D$7:$D$10020,"报表调整",调整事项汇总表!$E$7:$E$10020,IF(OR(MID(TRIM($A8),2,1)="：",MID(TRIM($A8),2,1)="、"),REPLACEB(TRIM($A8),1,4,""),TRIM($A8)))</f>
        <v>0</v>
      </c>
      <c r="G8" s="810">
        <f>SUMIFS(调整事项汇总表!$I$7:$I$10020,调整事项汇总表!$D$7:$D$10020,"其他",调整事项汇总表!$E$7:$E$10020,IF(OR(MID(TRIM($A8),2,1)="：",MID(TRIM($A8),2,1)="、"),REPLACEB(TRIM($A8),1,4,""),TRIM($A8)))</f>
        <v>0</v>
      </c>
      <c r="H8" s="810">
        <f>SUMIFS(调整事项汇总表!$J$7:$J$10020,调整事项汇总表!$D$7:$D$10020,"其他",调整事项汇总表!$E$7:$E$10020,IF(OR(MID(TRIM($A8),2,1)="：",MID(TRIM($A8),2,1)="、"),REPLACEB(TRIM($A8),1,4,""),TRIM($A8)))</f>
        <v>0</v>
      </c>
      <c r="I8" s="811">
        <f>B8+C8+E8+G8-H8-F8-D8</f>
        <v>17053592.640000001</v>
      </c>
      <c r="J8" s="38" t="b">
        <f>A8=未审报表!A8</f>
        <v>1</v>
      </c>
      <c r="K8" s="75" t="b">
        <f>审定报表!A8=TB!A8</f>
        <v>1</v>
      </c>
      <c r="L8" s="32"/>
    </row>
    <row r="9" spans="1:12" ht="14.4" customHeight="1">
      <c r="A9" s="809" t="str">
        <f>未审报表!A9</f>
        <v>结算备付金*</v>
      </c>
      <c r="B9" s="810">
        <f>未审报表!C9</f>
        <v>0</v>
      </c>
      <c r="C9" s="810">
        <f>SUMIFS(调整事项汇总表!$I$7:$I$10020,调整事项汇总表!$D$7:$D$10020,"账项调整",调整事项汇总表!$E$7:$E$10020,IF(OR(MID(TRIM($A9),2,1)="：",MID(TRIM($A9),2,1)="、"),REPLACEB(TRIM($A9),1,4,""),TRIM($A9)))</f>
        <v>0</v>
      </c>
      <c r="D9" s="810">
        <f>SUMIFS(调整事项汇总表!$J$7:$J$10020,调整事项汇总表!$D$7:$D$10020,"账项调整",调整事项汇总表!$E$7:$E$10020,IF(OR(MID(TRIM($A9),2,1)="：",MID(TRIM($A9),2,1)="、"),REPLACEB(TRIM($A9),1,4,""),TRIM($A9)))</f>
        <v>0</v>
      </c>
      <c r="E9" s="810">
        <f>SUMIFS(调整事项汇总表!$I$7:$I$10020,调整事项汇总表!$D$7:$D$10020,"报表调整",调整事项汇总表!$E$7:$E$10020,IF(OR(MID(TRIM($A9),2,1)="：",MID(TRIM($A9),2,1)="、"),REPLACEB(TRIM($A9),1,4,""),TRIM($A9)))</f>
        <v>0</v>
      </c>
      <c r="F9" s="810">
        <f>SUMIFS(调整事项汇总表!$J$7:$J$10020,调整事项汇总表!$D$7:$D$10020,"报表调整",调整事项汇总表!$E$7:$E$10020,IF(OR(MID(TRIM($A9),2,1)="：",MID(TRIM($A9),2,1)="、"),REPLACEB(TRIM($A9),1,4,""),TRIM($A9)))</f>
        <v>0</v>
      </c>
      <c r="G9" s="810">
        <f>SUMIFS(调整事项汇总表!$I$7:$I$10020,调整事项汇总表!$D$7:$D$10020,"其他",调整事项汇总表!$E$7:$E$10020,IF(OR(MID(TRIM($A9),2,1)="：",MID(TRIM($A9),2,1)="、"),REPLACEB(TRIM($A9),1,4,""),TRIM($A9)))</f>
        <v>0</v>
      </c>
      <c r="H9" s="810">
        <f>SUMIFS(调整事项汇总表!$J$7:$J$10020,调整事项汇总表!$D$7:$D$10020,"其他",调整事项汇总表!$E$7:$E$10020,IF(OR(MID(TRIM($A9),2,1)="：",MID(TRIM($A9),2,1)="、"),REPLACEB(TRIM($A9),1,4,""),TRIM($A9)))</f>
        <v>0</v>
      </c>
      <c r="I9" s="811">
        <f>B9+C9+E9+G9-H9-F9-D9</f>
        <v>0</v>
      </c>
      <c r="J9" s="38" t="b">
        <f>A9=未审报表!A9</f>
        <v>1</v>
      </c>
      <c r="K9" s="75" t="b">
        <f>审定报表!A9=TB!A9</f>
        <v>1</v>
      </c>
      <c r="L9" s="32"/>
    </row>
    <row r="10" spans="1:12" ht="14.4" customHeight="1">
      <c r="A10" s="809" t="str">
        <f>未审报表!A10</f>
        <v>拆出资金原值*</v>
      </c>
      <c r="B10" s="810">
        <f>未审报表!C10</f>
        <v>0</v>
      </c>
      <c r="C10" s="810">
        <f>SUMIFS(调整事项汇总表!$I$7:$I$10020,调整事项汇总表!$D$7:$D$10020,"账项调整",调整事项汇总表!$E$7:$E$10020,IF(OR(MID(TRIM($A10),2,1)="：",MID(TRIM($A10),2,1)="、"),REPLACEB(TRIM($A10),1,4,""),TRIM($A10)))</f>
        <v>0</v>
      </c>
      <c r="D10" s="810">
        <f>SUMIFS(调整事项汇总表!$J$7:$J$10020,调整事项汇总表!$D$7:$D$10020,"账项调整",调整事项汇总表!$E$7:$E$10020,IF(OR(MID(TRIM($A10),2,1)="：",MID(TRIM($A10),2,1)="、"),REPLACEB(TRIM($A10),1,4,""),TRIM($A10)))</f>
        <v>0</v>
      </c>
      <c r="E10" s="810">
        <f>SUMIFS(调整事项汇总表!$I$7:$I$10020,调整事项汇总表!$D$7:$D$10020,"报表调整",调整事项汇总表!$E$7:$E$10020,IF(OR(MID(TRIM($A10),2,1)="：",MID(TRIM($A10),2,1)="、"),REPLACEB(TRIM($A10),1,4,""),TRIM($A10)))</f>
        <v>0</v>
      </c>
      <c r="F10" s="810">
        <f>SUMIFS(调整事项汇总表!$J$7:$J$10020,调整事项汇总表!$D$7:$D$10020,"报表调整",调整事项汇总表!$E$7:$E$10020,IF(OR(MID(TRIM($A10),2,1)="：",MID(TRIM($A10),2,1)="、"),REPLACEB(TRIM($A10),1,4,""),TRIM($A10)))</f>
        <v>0</v>
      </c>
      <c r="G10" s="810">
        <f>SUMIFS(调整事项汇总表!$I$7:$I$10020,调整事项汇总表!$D$7:$D$10020,"其他",调整事项汇总表!$E$7:$E$10020,IF(OR(MID(TRIM($A10),2,1)="：",MID(TRIM($A10),2,1)="、"),REPLACEB(TRIM($A10),1,4,""),TRIM($A10)))</f>
        <v>0</v>
      </c>
      <c r="H10" s="810">
        <f>SUMIFS(调整事项汇总表!$J$7:$J$10020,调整事项汇总表!$D$7:$D$10020,"其他",调整事项汇总表!$E$7:$E$10020,IF(OR(MID(TRIM($A10),2,1)="：",MID(TRIM($A10),2,1)="、"),REPLACEB(TRIM($A10),1,4,""),TRIM($A10)))</f>
        <v>0</v>
      </c>
      <c r="I10" s="811">
        <f>B10+C10+E10+G10-H10-F10-D10</f>
        <v>0</v>
      </c>
      <c r="J10" s="38" t="b">
        <f>A10=未审报表!A10</f>
        <v>1</v>
      </c>
      <c r="K10" s="75" t="b">
        <f>审定报表!A10=TB!A10</f>
        <v>1</v>
      </c>
      <c r="L10" s="32"/>
    </row>
    <row r="11" spans="1:12" ht="14.4" customHeight="1">
      <c r="A11" s="809" t="str">
        <f>未审报表!A11</f>
        <v>拆出资金减值准备*</v>
      </c>
      <c r="B11" s="810">
        <f>未审报表!C11</f>
        <v>0</v>
      </c>
      <c r="C11" s="810">
        <f>SUMIFS(调整事项汇总表!$I$7:$I$10020,调整事项汇总表!$D$7:$D$10020,"账项调整",调整事项汇总表!$E$7:$E$10020,IF(OR(MID(TRIM($A11),2,1)="：",MID(TRIM($A11),2,1)="、"),REPLACEB(TRIM($A11),1,4,""),TRIM($A11)))</f>
        <v>0</v>
      </c>
      <c r="D11" s="810">
        <f>SUMIFS(调整事项汇总表!$J$7:$J$10020,调整事项汇总表!$D$7:$D$10020,"账项调整",调整事项汇总表!$E$7:$E$10020,IF(OR(MID(TRIM($A11),2,1)="：",MID(TRIM($A11),2,1)="、"),REPLACEB(TRIM($A11),1,4,""),TRIM($A11)))</f>
        <v>0</v>
      </c>
      <c r="E11" s="810">
        <f>SUMIFS(调整事项汇总表!$I$7:$I$10020,调整事项汇总表!$D$7:$D$10020,"报表调整",调整事项汇总表!$E$7:$E$10020,IF(OR(MID(TRIM($A11),2,1)="：",MID(TRIM($A11),2,1)="、"),REPLACEB(TRIM($A11),1,4,""),TRIM($A11)))</f>
        <v>0</v>
      </c>
      <c r="F11" s="810">
        <f>SUMIFS(调整事项汇总表!$J$7:$J$10020,调整事项汇总表!$D$7:$D$10020,"报表调整",调整事项汇总表!$E$7:$E$10020,IF(OR(MID(TRIM($A11),2,1)="：",MID(TRIM($A11),2,1)="、"),REPLACEB(TRIM($A11),1,4,""),TRIM($A11)))</f>
        <v>0</v>
      </c>
      <c r="G11" s="810">
        <f>SUMIFS(调整事项汇总表!$I$7:$I$10020,调整事项汇总表!$D$7:$D$10020,"其他",调整事项汇总表!$E$7:$E$10020,IF(OR(MID(TRIM($A11),2,1)="：",MID(TRIM($A11),2,1)="、"),REPLACEB(TRIM($A11),1,4,""),TRIM($A11)))</f>
        <v>0</v>
      </c>
      <c r="H11" s="810">
        <f>SUMIFS(调整事项汇总表!$J$7:$J$10020,调整事项汇总表!$D$7:$D$10020,"其他",调整事项汇总表!$E$7:$E$10020,IF(OR(MID(TRIM($A11),2,1)="：",MID(TRIM($A11),2,1)="、"),REPLACEB(TRIM($A11),1,4,""),TRIM($A11)))</f>
        <v>0</v>
      </c>
      <c r="I11" s="811">
        <f>B11+D11+F11+H11-G11-E11-C11</f>
        <v>0</v>
      </c>
      <c r="J11" s="38" t="b">
        <f>A11=未审报表!A11</f>
        <v>1</v>
      </c>
      <c r="K11" s="75" t="b">
        <f>审定报表!A11=TB!A11</f>
        <v>1</v>
      </c>
      <c r="L11" s="32"/>
    </row>
    <row r="12" spans="1:12" ht="14.4" customHeight="1">
      <c r="A12" s="809" t="str">
        <f>未审报表!A12</f>
        <v>拆出资金*</v>
      </c>
      <c r="B12" s="810">
        <f>未审报表!C12</f>
        <v>0</v>
      </c>
      <c r="C12" s="810">
        <f>C10+C11</f>
        <v>0</v>
      </c>
      <c r="D12" s="810">
        <f t="shared" ref="D12:H12" si="0">D10+D11</f>
        <v>0</v>
      </c>
      <c r="E12" s="810">
        <f t="shared" si="0"/>
        <v>0</v>
      </c>
      <c r="F12" s="810">
        <f t="shared" si="0"/>
        <v>0</v>
      </c>
      <c r="G12" s="810">
        <f t="shared" si="0"/>
        <v>0</v>
      </c>
      <c r="H12" s="810">
        <f t="shared" si="0"/>
        <v>0</v>
      </c>
      <c r="I12" s="811">
        <f>B12+C12+E12+G12-H12-F12-D12</f>
        <v>0</v>
      </c>
      <c r="J12" s="38" t="b">
        <f>A12=未审报表!A12</f>
        <v>1</v>
      </c>
      <c r="K12" s="75" t="b">
        <f>审定报表!A12=TB!A12</f>
        <v>1</v>
      </c>
      <c r="L12" s="32"/>
    </row>
    <row r="13" spans="1:12" ht="14.4" customHeight="1">
      <c r="A13" s="809" t="str">
        <f>未审报表!A13</f>
        <v>交易性金融资产</v>
      </c>
      <c r="B13" s="810">
        <f>未审报表!C13</f>
        <v>0</v>
      </c>
      <c r="C13" s="810">
        <f>SUMIFS(调整事项汇总表!$I$7:$I$10020,调整事项汇总表!$D$7:$D$10020,"账项调整",调整事项汇总表!$E$7:$E$10020,IF(OR(MID(TRIM($A13),2,1)="：",MID(TRIM($A13),2,1)="、"),REPLACEB(TRIM($A13),1,4,""),TRIM($A13)))</f>
        <v>0</v>
      </c>
      <c r="D13" s="810">
        <f>SUMIFS(调整事项汇总表!$J$7:$J$10020,调整事项汇总表!$D$7:$D$10020,"账项调整",调整事项汇总表!$E$7:$E$10020,IF(OR(MID(TRIM($A13),2,1)="：",MID(TRIM($A13),2,1)="、"),REPLACEB(TRIM($A13),1,4,""),TRIM($A13)))</f>
        <v>0</v>
      </c>
      <c r="E13" s="810">
        <f>SUMIFS(调整事项汇总表!$I$7:$I$10020,调整事项汇总表!$D$7:$D$10020,"报表调整",调整事项汇总表!$E$7:$E$10020,IF(OR(MID(TRIM($A13),2,1)="：",MID(TRIM($A13),2,1)="、"),REPLACEB(TRIM($A13),1,4,""),TRIM($A13)))</f>
        <v>0</v>
      </c>
      <c r="F13" s="810">
        <f>SUMIFS(调整事项汇总表!$J$7:$J$10020,调整事项汇总表!$D$7:$D$10020,"报表调整",调整事项汇总表!$E$7:$E$10020,IF(OR(MID(TRIM($A13),2,1)="：",MID(TRIM($A13),2,1)="、"),REPLACEB(TRIM($A13),1,4,""),TRIM($A13)))</f>
        <v>0</v>
      </c>
      <c r="G13" s="810">
        <f>SUMIFS(调整事项汇总表!$I$7:$I$10020,调整事项汇总表!$D$7:$D$10020,"其他",调整事项汇总表!$E$7:$E$10020,IF(OR(MID(TRIM($A13),2,1)="：",MID(TRIM($A13),2,1)="、"),REPLACEB(TRIM($A13),1,4,""),TRIM($A13)))</f>
        <v>0</v>
      </c>
      <c r="H13" s="810">
        <f>SUMIFS(调整事项汇总表!$J$7:$J$10020,调整事项汇总表!$D$7:$D$10020,"其他",调整事项汇总表!$E$7:$E$10020,IF(OR(MID(TRIM($A13),2,1)="：",MID(TRIM($A13),2,1)="、"),REPLACEB(TRIM($A13),1,4,""),TRIM($A13)))</f>
        <v>0</v>
      </c>
      <c r="I13" s="811">
        <f t="shared" ref="I13:I14" si="1">B13+C13+E13+G13-H13-F13-D13</f>
        <v>0</v>
      </c>
      <c r="J13" s="38" t="b">
        <f>A13=未审报表!A13</f>
        <v>1</v>
      </c>
      <c r="K13" s="75" t="b">
        <f>审定报表!A13=TB!A13</f>
        <v>1</v>
      </c>
      <c r="L13" s="32"/>
    </row>
    <row r="14" spans="1:12" ht="14.4" customHeight="1">
      <c r="A14" s="809" t="str">
        <f>未审报表!A14</f>
        <v>衍生金融资产</v>
      </c>
      <c r="B14" s="810">
        <f>未审报表!C14</f>
        <v>0</v>
      </c>
      <c r="C14" s="810">
        <f>SUMIFS(调整事项汇总表!$I$7:$I$10020,调整事项汇总表!$D$7:$D$10020,"账项调整",调整事项汇总表!$E$7:$E$10020,IF(OR(MID(TRIM($A14),2,1)="：",MID(TRIM($A14),2,1)="、"),REPLACEB(TRIM($A14),1,4,""),TRIM($A14)))</f>
        <v>0</v>
      </c>
      <c r="D14" s="810">
        <f>SUMIFS(调整事项汇总表!$J$7:$J$10020,调整事项汇总表!$D$7:$D$10020,"账项调整",调整事项汇总表!$E$7:$E$10020,IF(OR(MID(TRIM($A14),2,1)="：",MID(TRIM($A14),2,1)="、"),REPLACEB(TRIM($A14),1,4,""),TRIM($A14)))</f>
        <v>0</v>
      </c>
      <c r="E14" s="810">
        <f>SUMIFS(调整事项汇总表!$I$7:$I$10020,调整事项汇总表!$D$7:$D$10020,"报表调整",调整事项汇总表!$E$7:$E$10020,IF(OR(MID(TRIM($A14),2,1)="：",MID(TRIM($A14),2,1)="、"),REPLACEB(TRIM($A14),1,4,""),TRIM($A14)))</f>
        <v>0</v>
      </c>
      <c r="F14" s="810">
        <f>SUMIFS(调整事项汇总表!$J$7:$J$10020,调整事项汇总表!$D$7:$D$10020,"报表调整",调整事项汇总表!$E$7:$E$10020,IF(OR(MID(TRIM($A14),2,1)="：",MID(TRIM($A14),2,1)="、"),REPLACEB(TRIM($A14),1,4,""),TRIM($A14)))</f>
        <v>0</v>
      </c>
      <c r="G14" s="810">
        <f>SUMIFS(调整事项汇总表!$I$7:$I$10020,调整事项汇总表!$D$7:$D$10020,"其他",调整事项汇总表!$E$7:$E$10020,IF(OR(MID(TRIM($A14),2,1)="：",MID(TRIM($A14),2,1)="、"),REPLACEB(TRIM($A14),1,4,""),TRIM($A14)))</f>
        <v>0</v>
      </c>
      <c r="H14" s="810">
        <f>SUMIFS(调整事项汇总表!$J$7:$J$10020,调整事项汇总表!$D$7:$D$10020,"其他",调整事项汇总表!$E$7:$E$10020,IF(OR(MID(TRIM($A14),2,1)="：",MID(TRIM($A14),2,1)="、"),REPLACEB(TRIM($A14),1,4,""),TRIM($A14)))</f>
        <v>0</v>
      </c>
      <c r="I14" s="811">
        <f t="shared" si="1"/>
        <v>0</v>
      </c>
      <c r="J14" s="38" t="b">
        <f>A14=未审报表!A14</f>
        <v>1</v>
      </c>
      <c r="K14" s="75" t="b">
        <f>审定报表!A14=TB!A14</f>
        <v>1</v>
      </c>
      <c r="L14" s="32"/>
    </row>
    <row r="15" spans="1:12" ht="14.4" customHeight="1">
      <c r="A15" s="809" t="str">
        <f>未审报表!A15</f>
        <v>应收票据原值</v>
      </c>
      <c r="B15" s="810">
        <f>未审报表!C15</f>
        <v>0</v>
      </c>
      <c r="C15" s="810">
        <f>SUMIFS(调整事项汇总表!$I$7:$I$10020,调整事项汇总表!$D$7:$D$10020,"账项调整",调整事项汇总表!$E$7:$E$10020,IF(OR(MID(TRIM($A15),2,1)="：",MID(TRIM($A15),2,1)="、"),REPLACEB(TRIM($A15),1,4,""),TRIM($A15)))</f>
        <v>0</v>
      </c>
      <c r="D15" s="810">
        <f>SUMIFS(调整事项汇总表!$J$7:$J$10020,调整事项汇总表!$D$7:$D$10020,"账项调整",调整事项汇总表!$E$7:$E$10020,IF(OR(MID(TRIM($A15),2,1)="：",MID(TRIM($A15),2,1)="、"),REPLACEB(TRIM($A15),1,4,""),TRIM($A15)))</f>
        <v>0</v>
      </c>
      <c r="E15" s="810">
        <f>SUMIFS(调整事项汇总表!$I$7:$I$10020,调整事项汇总表!$D$7:$D$10020,"报表调整",调整事项汇总表!$E$7:$E$10020,IF(OR(MID(TRIM($A15),2,1)="：",MID(TRIM($A15),2,1)="、"),REPLACEB(TRIM($A15),1,4,""),TRIM($A15)))</f>
        <v>0</v>
      </c>
      <c r="F15" s="810">
        <f>SUMIFS(调整事项汇总表!$J$7:$J$10020,调整事项汇总表!$D$7:$D$10020,"报表调整",调整事项汇总表!$E$7:$E$10020,IF(OR(MID(TRIM($A15),2,1)="：",MID(TRIM($A15),2,1)="、"),REPLACEB(TRIM($A15),1,4,""),TRIM($A15)))</f>
        <v>0</v>
      </c>
      <c r="G15" s="810">
        <f>SUMIFS(调整事项汇总表!$I$7:$I$10020,调整事项汇总表!$D$7:$D$10020,"其他",调整事项汇总表!$E$7:$E$10020,IF(OR(MID(TRIM($A15),2,1)="：",MID(TRIM($A15),2,1)="、"),REPLACEB(TRIM($A15),1,4,""),TRIM($A15)))</f>
        <v>0</v>
      </c>
      <c r="H15" s="810">
        <f>SUMIFS(调整事项汇总表!$J$7:$J$10020,调整事项汇总表!$D$7:$D$10020,"其他",调整事项汇总表!$E$7:$E$10020,IF(OR(MID(TRIM($A15),2,1)="：",MID(TRIM($A15),2,1)="、"),REPLACEB(TRIM($A15),1,4,""),TRIM($A15)))</f>
        <v>0</v>
      </c>
      <c r="I15" s="811">
        <f>B15+C15+E15+G15-H15-F15-D15</f>
        <v>0</v>
      </c>
      <c r="J15" s="38" t="b">
        <f>A15=未审报表!A15</f>
        <v>1</v>
      </c>
      <c r="K15" s="75" t="b">
        <f>审定报表!A15=TB!A15</f>
        <v>1</v>
      </c>
      <c r="L15" s="32"/>
    </row>
    <row r="16" spans="1:12" ht="14.4" customHeight="1">
      <c r="A16" s="809" t="str">
        <f>未审报表!A16</f>
        <v>应收票据坏账准备</v>
      </c>
      <c r="B16" s="810">
        <f>未审报表!C16</f>
        <v>0</v>
      </c>
      <c r="C16" s="810">
        <f>SUMIFS(调整事项汇总表!$I$7:$I$10020,调整事项汇总表!$D$7:$D$10020,"账项调整",调整事项汇总表!$E$7:$E$10020,IF(OR(MID(TRIM($A16),2,1)="：",MID(TRIM($A16),2,1)="、"),REPLACEB(TRIM($A16),1,4,""),TRIM($A16)))</f>
        <v>0</v>
      </c>
      <c r="D16" s="810">
        <f>SUMIFS(调整事项汇总表!$J$7:$J$10020,调整事项汇总表!$D$7:$D$10020,"账项调整",调整事项汇总表!$E$7:$E$10020,IF(OR(MID(TRIM($A16),2,1)="：",MID(TRIM($A16),2,1)="、"),REPLACEB(TRIM($A16),1,4,""),TRIM($A16)))</f>
        <v>0</v>
      </c>
      <c r="E16" s="810">
        <f>SUMIFS(调整事项汇总表!$I$7:$I$10020,调整事项汇总表!$D$7:$D$10020,"报表调整",调整事项汇总表!$E$7:$E$10020,IF(OR(MID(TRIM($A16),2,1)="：",MID(TRIM($A16),2,1)="、"),REPLACEB(TRIM($A16),1,4,""),TRIM($A16)))</f>
        <v>0</v>
      </c>
      <c r="F16" s="810">
        <f>SUMIFS(调整事项汇总表!$J$7:$J$10020,调整事项汇总表!$D$7:$D$10020,"报表调整",调整事项汇总表!$E$7:$E$10020,IF(OR(MID(TRIM($A16),2,1)="：",MID(TRIM($A16),2,1)="、"),REPLACEB(TRIM($A16),1,4,""),TRIM($A16)))</f>
        <v>0</v>
      </c>
      <c r="G16" s="810">
        <f>SUMIFS(调整事项汇总表!$I$7:$I$10020,调整事项汇总表!$D$7:$D$10020,"其他",调整事项汇总表!$E$7:$E$10020,IF(OR(MID(TRIM($A16),2,1)="：",MID(TRIM($A16),2,1)="、"),REPLACEB(TRIM($A16),1,4,""),TRIM($A16)))</f>
        <v>0</v>
      </c>
      <c r="H16" s="810">
        <f>SUMIFS(调整事项汇总表!$J$7:$J$10020,调整事项汇总表!$D$7:$D$10020,"其他",调整事项汇总表!$E$7:$E$10020,IF(OR(MID(TRIM($A16),2,1)="：",MID(TRIM($A16),2,1)="、"),REPLACEB(TRIM($A16),1,4,""),TRIM($A16)))</f>
        <v>0</v>
      </c>
      <c r="I16" s="811">
        <f>B16+D16+F16+H16-G16-E16-C16</f>
        <v>0</v>
      </c>
      <c r="J16" s="38" t="b">
        <f>A16=未审报表!A16</f>
        <v>1</v>
      </c>
      <c r="K16" s="75" t="b">
        <f>审定报表!A16=TB!A16</f>
        <v>1</v>
      </c>
      <c r="L16" s="32"/>
    </row>
    <row r="17" spans="1:12" ht="14.4" customHeight="1">
      <c r="A17" s="809" t="str">
        <f>未审报表!A17</f>
        <v>应收票据</v>
      </c>
      <c r="B17" s="810">
        <f>未审报表!C17</f>
        <v>0</v>
      </c>
      <c r="C17" s="810">
        <f>C15+C16</f>
        <v>0</v>
      </c>
      <c r="D17" s="810">
        <f t="shared" ref="D17:H17" si="2">D15+D16</f>
        <v>0</v>
      </c>
      <c r="E17" s="810">
        <f t="shared" si="2"/>
        <v>0</v>
      </c>
      <c r="F17" s="810">
        <f t="shared" si="2"/>
        <v>0</v>
      </c>
      <c r="G17" s="810">
        <f t="shared" si="2"/>
        <v>0</v>
      </c>
      <c r="H17" s="810">
        <f t="shared" si="2"/>
        <v>0</v>
      </c>
      <c r="I17" s="811">
        <f>B17+C17+E17+G17-H17-F17-D17</f>
        <v>0</v>
      </c>
      <c r="J17" s="38" t="b">
        <f>A17=未审报表!A17</f>
        <v>1</v>
      </c>
      <c r="K17" s="75" t="b">
        <f>审定报表!A17=TB!A17</f>
        <v>1</v>
      </c>
      <c r="L17" s="32"/>
    </row>
    <row r="18" spans="1:12" ht="14.4" customHeight="1">
      <c r="A18" s="809" t="str">
        <f>未审报表!A18</f>
        <v>应收账款原值</v>
      </c>
      <c r="B18" s="810">
        <f>未审报表!C18</f>
        <v>15449122.130000001</v>
      </c>
      <c r="C18" s="810">
        <f>SUMIFS(调整事项汇总表!$I$7:$I$10020,调整事项汇总表!$D$7:$D$10020,"账项调整",调整事项汇总表!$E$7:$E$10020,IF(OR(MID(TRIM($A18),2,1)="：",MID(TRIM($A18),2,1)="、"),REPLACEB(TRIM($A18),1,4,""),TRIM($A18)))</f>
        <v>3862755.87</v>
      </c>
      <c r="D18" s="810">
        <f>SUMIFS(调整事项汇总表!$J$7:$J$10020,调整事项汇总表!$D$7:$D$10020,"账项调整",调整事项汇总表!$E$7:$E$10020,IF(OR(MID(TRIM($A18),2,1)="：",MID(TRIM($A18),2,1)="、"),REPLACEB(TRIM($A18),1,4,""),TRIM($A18)))</f>
        <v>0</v>
      </c>
      <c r="E18" s="810">
        <f>SUMIFS(调整事项汇总表!$I$7:$I$10020,调整事项汇总表!$D$7:$D$10020,"报表调整",调整事项汇总表!$E$7:$E$10020,IF(OR(MID(TRIM($A18),2,1)="：",MID(TRIM($A18),2,1)="、"),REPLACEB(TRIM($A18),1,4,""),TRIM($A18)))</f>
        <v>0</v>
      </c>
      <c r="F18" s="810">
        <f>SUMIFS(调整事项汇总表!$J$7:$J$10020,调整事项汇总表!$D$7:$D$10020,"报表调整",调整事项汇总表!$E$7:$E$10020,IF(OR(MID(TRIM($A18),2,1)="：",MID(TRIM($A18),2,1)="、"),REPLACEB(TRIM($A18),1,4,""),TRIM($A18)))</f>
        <v>0</v>
      </c>
      <c r="G18" s="810">
        <f>SUMIFS(调整事项汇总表!$I$7:$I$10020,调整事项汇总表!$D$7:$D$10020,"其他",调整事项汇总表!$E$7:$E$10020,IF(OR(MID(TRIM($A18),2,1)="：",MID(TRIM($A18),2,1)="、"),REPLACEB(TRIM($A18),1,4,""),TRIM($A18)))</f>
        <v>0</v>
      </c>
      <c r="H18" s="810">
        <f>SUMIFS(调整事项汇总表!$J$7:$J$10020,调整事项汇总表!$D$7:$D$10020,"其他",调整事项汇总表!$E$7:$E$10020,IF(OR(MID(TRIM($A18),2,1)="：",MID(TRIM($A18),2,1)="、"),REPLACEB(TRIM($A18),1,4,""),TRIM($A18)))</f>
        <v>0</v>
      </c>
      <c r="I18" s="811">
        <f>B18+C18+E18+G18-H18-F18-D18</f>
        <v>19311878</v>
      </c>
      <c r="J18" s="38" t="b">
        <f>A18=未审报表!A18</f>
        <v>1</v>
      </c>
      <c r="K18" s="75" t="b">
        <f>审定报表!A18=TB!A18</f>
        <v>1</v>
      </c>
      <c r="L18" s="32"/>
    </row>
    <row r="19" spans="1:12" ht="14.4" customHeight="1">
      <c r="A19" s="809" t="str">
        <f>未审报表!A19</f>
        <v>应收账款坏账准备</v>
      </c>
      <c r="B19" s="810">
        <f>未审报表!C19</f>
        <v>1423224.6</v>
      </c>
      <c r="C19" s="810">
        <f>SUMIFS(调整事项汇总表!$I$7:$I$10020,调整事项汇总表!$D$7:$D$10020,"账项调整",调整事项汇总表!$E$7:$E$10020,IF(OR(MID(TRIM($A19),2,1)="：",MID(TRIM($A19),2,1)="、"),REPLACEB(TRIM($A19),1,4,""),TRIM($A19)))</f>
        <v>0</v>
      </c>
      <c r="D19" s="810">
        <f>SUMIFS(调整事项汇总表!$J$7:$J$10020,调整事项汇总表!$D$7:$D$10020,"账项调整",调整事项汇总表!$E$7:$E$10020,IF(OR(MID(TRIM($A19),2,1)="：",MID(TRIM($A19),2,1)="、"),REPLACEB(TRIM($A19),1,4,""),TRIM($A19)))</f>
        <v>207942.73999999993</v>
      </c>
      <c r="E19" s="810">
        <f>SUMIFS(调整事项汇总表!$I$7:$I$10020,调整事项汇总表!$D$7:$D$10020,"报表调整",调整事项汇总表!$E$7:$E$10020,IF(OR(MID(TRIM($A19),2,1)="：",MID(TRIM($A19),2,1)="、"),REPLACEB(TRIM($A19),1,4,""),TRIM($A19)))</f>
        <v>0</v>
      </c>
      <c r="F19" s="810">
        <f>SUMIFS(调整事项汇总表!$J$7:$J$10020,调整事项汇总表!$D$7:$D$10020,"报表调整",调整事项汇总表!$E$7:$E$10020,IF(OR(MID(TRIM($A19),2,1)="：",MID(TRIM($A19),2,1)="、"),REPLACEB(TRIM($A19),1,4,""),TRIM($A19)))</f>
        <v>0</v>
      </c>
      <c r="G19" s="810">
        <f>SUMIFS(调整事项汇总表!$I$7:$I$10020,调整事项汇总表!$D$7:$D$10020,"其他",调整事项汇总表!$E$7:$E$10020,IF(OR(MID(TRIM($A19),2,1)="：",MID(TRIM($A19),2,1)="、"),REPLACEB(TRIM($A19),1,4,""),TRIM($A19)))</f>
        <v>0</v>
      </c>
      <c r="H19" s="810">
        <f>SUMIFS(调整事项汇总表!$J$7:$J$10020,调整事项汇总表!$D$7:$D$10020,"其他",调整事项汇总表!$E$7:$E$10020,IF(OR(MID(TRIM($A19),2,1)="：",MID(TRIM($A19),2,1)="、"),REPLACEB(TRIM($A19),1,4,""),TRIM($A19)))</f>
        <v>0</v>
      </c>
      <c r="I19" s="811">
        <f>B19+D19+F19+H19-G19-E19-C19</f>
        <v>1631167.34</v>
      </c>
      <c r="J19" s="38" t="b">
        <f>A19=未审报表!A19</f>
        <v>1</v>
      </c>
      <c r="K19" s="75" t="b">
        <f>审定报表!A19=TB!A19</f>
        <v>1</v>
      </c>
      <c r="L19" s="32"/>
    </row>
    <row r="20" spans="1:12" ht="14.4" customHeight="1">
      <c r="A20" s="809" t="str">
        <f>未审报表!A20</f>
        <v>应收账款</v>
      </c>
      <c r="B20" s="810">
        <f>未审报表!C20</f>
        <v>14025897.530000001</v>
      </c>
      <c r="C20" s="810">
        <f>C18+C19</f>
        <v>3862755.87</v>
      </c>
      <c r="D20" s="810">
        <f t="shared" ref="D20:H20" si="3">D18+D19</f>
        <v>207942.73999999993</v>
      </c>
      <c r="E20" s="810">
        <f t="shared" si="3"/>
        <v>0</v>
      </c>
      <c r="F20" s="810">
        <f t="shared" si="3"/>
        <v>0</v>
      </c>
      <c r="G20" s="810">
        <f t="shared" si="3"/>
        <v>0</v>
      </c>
      <c r="H20" s="810">
        <f t="shared" si="3"/>
        <v>0</v>
      </c>
      <c r="I20" s="811">
        <f>B20+C20+E20+G20-H20-F20-D20</f>
        <v>17680710.660000004</v>
      </c>
      <c r="J20" s="38" t="b">
        <f>A20=未审报表!A20</f>
        <v>1</v>
      </c>
      <c r="K20" s="75" t="b">
        <f>审定报表!A20=TB!A20</f>
        <v>1</v>
      </c>
    </row>
    <row r="21" spans="1:12" ht="14.4" customHeight="1">
      <c r="A21" s="809" t="str">
        <f>未审报表!A21</f>
        <v>应收款项融资原值</v>
      </c>
      <c r="B21" s="810">
        <f>未审报表!C21</f>
        <v>0</v>
      </c>
      <c r="C21" s="810">
        <f>SUMIFS(调整事项汇总表!$I$7:$I$10020,调整事项汇总表!$D$7:$D$10020,"账项调整",调整事项汇总表!$E$7:$E$10020,IF(OR(MID(TRIM($A21),2,1)="：",MID(TRIM($A21),2,1)="、"),REPLACEB(TRIM($A21),1,4,""),TRIM($A21)))</f>
        <v>0</v>
      </c>
      <c r="D21" s="810">
        <f>SUMIFS(调整事项汇总表!$J$7:$J$10020,调整事项汇总表!$D$7:$D$10020,"账项调整",调整事项汇总表!$E$7:$E$10020,IF(OR(MID(TRIM($A21),2,1)="：",MID(TRIM($A21),2,1)="、"),REPLACEB(TRIM($A21),1,4,""),TRIM($A21)))</f>
        <v>0</v>
      </c>
      <c r="E21" s="810">
        <f>SUMIFS(调整事项汇总表!$I$7:$I$10020,调整事项汇总表!$D$7:$D$10020,"报表调整",调整事项汇总表!$E$7:$E$10020,IF(OR(MID(TRIM($A21),2,1)="：",MID(TRIM($A21),2,1)="、"),REPLACEB(TRIM($A21),1,4,""),TRIM($A21)))</f>
        <v>0</v>
      </c>
      <c r="F21" s="810">
        <f>SUMIFS(调整事项汇总表!$J$7:$J$10020,调整事项汇总表!$D$7:$D$10020,"报表调整",调整事项汇总表!$E$7:$E$10020,IF(OR(MID(TRIM($A21),2,1)="：",MID(TRIM($A21),2,1)="、"),REPLACEB(TRIM($A21),1,4,""),TRIM($A21)))</f>
        <v>0</v>
      </c>
      <c r="G21" s="810">
        <f>SUMIFS(调整事项汇总表!$I$7:$I$10020,调整事项汇总表!$D$7:$D$10020,"其他",调整事项汇总表!$E$7:$E$10020,IF(OR(MID(TRIM($A21),2,1)="：",MID(TRIM($A21),2,1)="、"),REPLACEB(TRIM($A21),1,4,""),TRIM($A21)))</f>
        <v>0</v>
      </c>
      <c r="H21" s="810">
        <f>SUMIFS(调整事项汇总表!$J$7:$J$10020,调整事项汇总表!$D$7:$D$10020,"其他",调整事项汇总表!$E$7:$E$10020,IF(OR(MID(TRIM($A21),2,1)="：",MID(TRIM($A21),2,1)="、"),REPLACEB(TRIM($A21),1,4,""),TRIM($A21)))</f>
        <v>0</v>
      </c>
      <c r="I21" s="811">
        <f>B21+C21+E21+G21-H21-F21-D21</f>
        <v>0</v>
      </c>
      <c r="J21" s="38" t="b">
        <f>A21=未审报表!A21</f>
        <v>1</v>
      </c>
      <c r="K21" s="75" t="b">
        <f>审定报表!A21=TB!A21</f>
        <v>1</v>
      </c>
    </row>
    <row r="22" spans="1:12" ht="14.4" customHeight="1">
      <c r="A22" s="809" t="str">
        <f>未审报表!A22</f>
        <v>应收款项融资坏账准备</v>
      </c>
      <c r="B22" s="810">
        <f>未审报表!C22</f>
        <v>0</v>
      </c>
      <c r="C22" s="810">
        <f>SUMIFS(调整事项汇总表!$I$7:$I$10020,调整事项汇总表!$D$7:$D$10020,"账项调整",调整事项汇总表!$E$7:$E$10020,IF(OR(MID(TRIM($A22),2,1)="：",MID(TRIM($A22),2,1)="、"),REPLACEB(TRIM($A22),1,4,""),TRIM($A22)))</f>
        <v>0</v>
      </c>
      <c r="D22" s="810">
        <f>SUMIFS(调整事项汇总表!$J$7:$J$10020,调整事项汇总表!$D$7:$D$10020,"账项调整",调整事项汇总表!$E$7:$E$10020,IF(OR(MID(TRIM($A22),2,1)="：",MID(TRIM($A22),2,1)="、"),REPLACEB(TRIM($A22),1,4,""),TRIM($A22)))</f>
        <v>0</v>
      </c>
      <c r="E22" s="810">
        <f>SUMIFS(调整事项汇总表!$I$7:$I$10020,调整事项汇总表!$D$7:$D$10020,"报表调整",调整事项汇总表!$E$7:$E$10020,IF(OR(MID(TRIM($A22),2,1)="：",MID(TRIM($A22),2,1)="、"),REPLACEB(TRIM($A22),1,4,""),TRIM($A22)))</f>
        <v>0</v>
      </c>
      <c r="F22" s="810">
        <f>SUMIFS(调整事项汇总表!$J$7:$J$10020,调整事项汇总表!$D$7:$D$10020,"报表调整",调整事项汇总表!$E$7:$E$10020,IF(OR(MID(TRIM($A22),2,1)="：",MID(TRIM($A22),2,1)="、"),REPLACEB(TRIM($A22),1,4,""),TRIM($A22)))</f>
        <v>0</v>
      </c>
      <c r="G22" s="810">
        <f>SUMIFS(调整事项汇总表!$I$7:$I$10020,调整事项汇总表!$D$7:$D$10020,"其他",调整事项汇总表!$E$7:$E$10020,IF(OR(MID(TRIM($A22),2,1)="：",MID(TRIM($A22),2,1)="、"),REPLACEB(TRIM($A22),1,4,""),TRIM($A22)))</f>
        <v>0</v>
      </c>
      <c r="H22" s="810">
        <f>SUMIFS(调整事项汇总表!$J$7:$J$10020,调整事项汇总表!$D$7:$D$10020,"其他",调整事项汇总表!$E$7:$E$10020,IF(OR(MID(TRIM($A22),2,1)="：",MID(TRIM($A22),2,1)="、"),REPLACEB(TRIM($A22),1,4,""),TRIM($A22)))</f>
        <v>0</v>
      </c>
      <c r="I22" s="811">
        <f>B22+D22+F22+H22-G22-E22-C22</f>
        <v>0</v>
      </c>
      <c r="J22" s="38" t="b">
        <f>A22=未审报表!A22</f>
        <v>1</v>
      </c>
      <c r="K22" s="75" t="b">
        <f>审定报表!A22=TB!A22</f>
        <v>1</v>
      </c>
    </row>
    <row r="23" spans="1:12" ht="14.4" customHeight="1">
      <c r="A23" s="809" t="str">
        <f>未审报表!A23</f>
        <v>应收款项融资</v>
      </c>
      <c r="B23" s="810">
        <f>未审报表!C23</f>
        <v>0</v>
      </c>
      <c r="C23" s="810">
        <f>C21+C22</f>
        <v>0</v>
      </c>
      <c r="D23" s="810">
        <f t="shared" ref="D23:H23" si="4">D21+D22</f>
        <v>0</v>
      </c>
      <c r="E23" s="810">
        <f t="shared" si="4"/>
        <v>0</v>
      </c>
      <c r="F23" s="810">
        <f t="shared" si="4"/>
        <v>0</v>
      </c>
      <c r="G23" s="810">
        <f t="shared" si="4"/>
        <v>0</v>
      </c>
      <c r="H23" s="810">
        <f t="shared" si="4"/>
        <v>0</v>
      </c>
      <c r="I23" s="811">
        <f>B23+C23+E23+G23-H23-F23-D23</f>
        <v>0</v>
      </c>
      <c r="J23" s="38" t="b">
        <f>A23=未审报表!A23</f>
        <v>1</v>
      </c>
      <c r="K23" s="75" t="b">
        <f>审定报表!A23=TB!A23</f>
        <v>1</v>
      </c>
    </row>
    <row r="24" spans="1:12" ht="14.4" customHeight="1">
      <c r="A24" s="809" t="str">
        <f>未审报表!A24</f>
        <v>预付款项原值</v>
      </c>
      <c r="B24" s="810">
        <f>未审报表!C24</f>
        <v>574623.4</v>
      </c>
      <c r="C24" s="810">
        <f>SUMIFS(调整事项汇总表!$I$7:$I$10020,调整事项汇总表!$D$7:$D$10020,"账项调整",调整事项汇总表!$E$7:$E$10020,IF(OR(MID(TRIM($A24),2,1)="：",MID(TRIM($A24),2,1)="、"),REPLACEB(TRIM($A24),1,4,""),TRIM($A24)))</f>
        <v>0</v>
      </c>
      <c r="D24" s="810">
        <f>SUMIFS(调整事项汇总表!$J$7:$J$10020,调整事项汇总表!$D$7:$D$10020,"账项调整",调整事项汇总表!$E$7:$E$10020,IF(OR(MID(TRIM($A24),2,1)="：",MID(TRIM($A24),2,1)="、"),REPLACEB(TRIM($A24),1,4,""),TRIM($A24)))</f>
        <v>0</v>
      </c>
      <c r="E24" s="810">
        <f>SUMIFS(调整事项汇总表!$I$7:$I$10020,调整事项汇总表!$D$7:$D$10020,"报表调整",调整事项汇总表!$E$7:$E$10020,IF(OR(MID(TRIM($A24),2,1)="：",MID(TRIM($A24),2,1)="、"),REPLACEB(TRIM($A24),1,4,""),TRIM($A24)))</f>
        <v>0</v>
      </c>
      <c r="F24" s="810">
        <f>SUMIFS(调整事项汇总表!$J$7:$J$10020,调整事项汇总表!$D$7:$D$10020,"报表调整",调整事项汇总表!$E$7:$E$10020,IF(OR(MID(TRIM($A24),2,1)="：",MID(TRIM($A24),2,1)="、"),REPLACEB(TRIM($A24),1,4,""),TRIM($A24)))</f>
        <v>0</v>
      </c>
      <c r="G24" s="810">
        <f>SUMIFS(调整事项汇总表!$I$7:$I$10020,调整事项汇总表!$D$7:$D$10020,"其他",调整事项汇总表!$E$7:$E$10020,IF(OR(MID(TRIM($A24),2,1)="：",MID(TRIM($A24),2,1)="、"),REPLACEB(TRIM($A24),1,4,""),TRIM($A24)))</f>
        <v>0</v>
      </c>
      <c r="H24" s="810">
        <f>SUMIFS(调整事项汇总表!$J$7:$J$10020,调整事项汇总表!$D$7:$D$10020,"其他",调整事项汇总表!$E$7:$E$10020,IF(OR(MID(TRIM($A24),2,1)="：",MID(TRIM($A24),2,1)="、"),REPLACEB(TRIM($A24),1,4,""),TRIM($A24)))</f>
        <v>0</v>
      </c>
      <c r="I24" s="811">
        <f>B24+C24+E24+G24-H24-F24-D24</f>
        <v>574623.4</v>
      </c>
      <c r="J24" s="38" t="b">
        <f>A24=未审报表!A24</f>
        <v>1</v>
      </c>
      <c r="K24" s="75" t="b">
        <f>审定报表!A24=TB!A24</f>
        <v>1</v>
      </c>
    </row>
    <row r="25" spans="1:12" ht="14.4" customHeight="1">
      <c r="A25" s="809" t="str">
        <f>未审报表!A25</f>
        <v>预付款项坏账准备</v>
      </c>
      <c r="B25" s="810">
        <f>未审报表!C25</f>
        <v>0</v>
      </c>
      <c r="C25" s="810">
        <f>SUMIFS(调整事项汇总表!$I$7:$I$10020,调整事项汇总表!$D$7:$D$10020,"账项调整",调整事项汇总表!$E$7:$E$10020,IF(OR(MID(TRIM($A25),2,1)="：",MID(TRIM($A25),2,1)="、"),REPLACEB(TRIM($A25),1,4,""),TRIM($A25)))</f>
        <v>0</v>
      </c>
      <c r="D25" s="810">
        <f>SUMIFS(调整事项汇总表!$J$7:$J$10020,调整事项汇总表!$D$7:$D$10020,"账项调整",调整事项汇总表!$E$7:$E$10020,IF(OR(MID(TRIM($A25),2,1)="：",MID(TRIM($A25),2,1)="、"),REPLACEB(TRIM($A25),1,4,""),TRIM($A25)))</f>
        <v>0</v>
      </c>
      <c r="E25" s="810">
        <f>SUMIFS(调整事项汇总表!$I$7:$I$10020,调整事项汇总表!$D$7:$D$10020,"报表调整",调整事项汇总表!$E$7:$E$10020,IF(OR(MID(TRIM($A25),2,1)="：",MID(TRIM($A25),2,1)="、"),REPLACEB(TRIM($A25),1,4,""),TRIM($A25)))</f>
        <v>0</v>
      </c>
      <c r="F25" s="810">
        <f>SUMIFS(调整事项汇总表!$J$7:$J$10020,调整事项汇总表!$D$7:$D$10020,"报表调整",调整事项汇总表!$E$7:$E$10020,IF(OR(MID(TRIM($A25),2,1)="：",MID(TRIM($A25),2,1)="、"),REPLACEB(TRIM($A25),1,4,""),TRIM($A25)))</f>
        <v>0</v>
      </c>
      <c r="G25" s="810">
        <f>SUMIFS(调整事项汇总表!$I$7:$I$10020,调整事项汇总表!$D$7:$D$10020,"其他",调整事项汇总表!$E$7:$E$10020,IF(OR(MID(TRIM($A25),2,1)="：",MID(TRIM($A25),2,1)="、"),REPLACEB(TRIM($A25),1,4,""),TRIM($A25)))</f>
        <v>0</v>
      </c>
      <c r="H25" s="810">
        <f>SUMIFS(调整事项汇总表!$J$7:$J$10020,调整事项汇总表!$D$7:$D$10020,"其他",调整事项汇总表!$E$7:$E$10020,IF(OR(MID(TRIM($A25),2,1)="：",MID(TRIM($A25),2,1)="、"),REPLACEB(TRIM($A25),1,4,""),TRIM($A25)))</f>
        <v>0</v>
      </c>
      <c r="I25" s="811">
        <f>B25+D25+F25+H25-G25-E25-C25</f>
        <v>0</v>
      </c>
      <c r="J25" s="38" t="b">
        <f>A25=未审报表!A25</f>
        <v>1</v>
      </c>
      <c r="K25" s="75" t="b">
        <f>审定报表!A25=TB!A25</f>
        <v>1</v>
      </c>
    </row>
    <row r="26" spans="1:12" ht="14.4" customHeight="1">
      <c r="A26" s="809" t="str">
        <f>未审报表!A26</f>
        <v>预付款项</v>
      </c>
      <c r="B26" s="810">
        <f>未审报表!C26</f>
        <v>574623.4</v>
      </c>
      <c r="C26" s="810">
        <f>C24+C25</f>
        <v>0</v>
      </c>
      <c r="D26" s="810">
        <f t="shared" ref="D26:H26" si="5">D24+D25</f>
        <v>0</v>
      </c>
      <c r="E26" s="810">
        <f t="shared" si="5"/>
        <v>0</v>
      </c>
      <c r="F26" s="810">
        <f t="shared" si="5"/>
        <v>0</v>
      </c>
      <c r="G26" s="810">
        <f t="shared" si="5"/>
        <v>0</v>
      </c>
      <c r="H26" s="810">
        <f t="shared" si="5"/>
        <v>0</v>
      </c>
      <c r="I26" s="811">
        <f>B26+C26+E26+G26-H26-F26-D26</f>
        <v>574623.4</v>
      </c>
      <c r="J26" s="38" t="b">
        <f>A26=未审报表!A26</f>
        <v>1</v>
      </c>
      <c r="K26" s="75" t="b">
        <f>审定报表!A26=TB!A26</f>
        <v>1</v>
      </c>
    </row>
    <row r="27" spans="1:12" ht="14.4" customHeight="1">
      <c r="A27" s="809" t="str">
        <f>未审报表!A27</f>
        <v>应收保费原值*</v>
      </c>
      <c r="B27" s="810">
        <f>未审报表!C27</f>
        <v>0</v>
      </c>
      <c r="C27" s="810">
        <f>SUMIFS(调整事项汇总表!$I$7:$I$10020,调整事项汇总表!$D$7:$D$10020,"账项调整",调整事项汇总表!$E$7:$E$10020,IF(OR(MID(TRIM($A27),2,1)="：",MID(TRIM($A27),2,1)="、"),REPLACEB(TRIM($A27),1,4,""),TRIM($A27)))</f>
        <v>0</v>
      </c>
      <c r="D27" s="810">
        <f>SUMIFS(调整事项汇总表!$J$7:$J$10020,调整事项汇总表!$D$7:$D$10020,"账项调整",调整事项汇总表!$E$7:$E$10020,IF(OR(MID(TRIM($A27),2,1)="：",MID(TRIM($A27),2,1)="、"),REPLACEB(TRIM($A27),1,4,""),TRIM($A27)))</f>
        <v>0</v>
      </c>
      <c r="E27" s="810">
        <f>SUMIFS(调整事项汇总表!$I$7:$I$10020,调整事项汇总表!$D$7:$D$10020,"报表调整",调整事项汇总表!$E$7:$E$10020,IF(OR(MID(TRIM($A27),2,1)="：",MID(TRIM($A27),2,1)="、"),REPLACEB(TRIM($A27),1,4,""),TRIM($A27)))</f>
        <v>0</v>
      </c>
      <c r="F27" s="810">
        <f>SUMIFS(调整事项汇总表!$J$7:$J$10020,调整事项汇总表!$D$7:$D$10020,"报表调整",调整事项汇总表!$E$7:$E$10020,IF(OR(MID(TRIM($A27),2,1)="：",MID(TRIM($A27),2,1)="、"),REPLACEB(TRIM($A27),1,4,""),TRIM($A27)))</f>
        <v>0</v>
      </c>
      <c r="G27" s="810">
        <f>SUMIFS(调整事项汇总表!$I$7:$I$10020,调整事项汇总表!$D$7:$D$10020,"其他",调整事项汇总表!$E$7:$E$10020,IF(OR(MID(TRIM($A27),2,1)="：",MID(TRIM($A27),2,1)="、"),REPLACEB(TRIM($A27),1,4,""),TRIM($A27)))</f>
        <v>0</v>
      </c>
      <c r="H27" s="810">
        <f>SUMIFS(调整事项汇总表!$J$7:$J$10020,调整事项汇总表!$D$7:$D$10020,"其他",调整事项汇总表!$E$7:$E$10020,IF(OR(MID(TRIM($A27),2,1)="：",MID(TRIM($A27),2,1)="、"),REPLACEB(TRIM($A27),1,4,""),TRIM($A27)))</f>
        <v>0</v>
      </c>
      <c r="I27" s="811">
        <f>B27+C27+E27+G27-H27-F27-D27</f>
        <v>0</v>
      </c>
      <c r="J27" s="38" t="b">
        <f>A27=未审报表!A27</f>
        <v>1</v>
      </c>
      <c r="K27" s="75" t="b">
        <f>审定报表!A27=TB!A27</f>
        <v>1</v>
      </c>
    </row>
    <row r="28" spans="1:12" ht="14.4" customHeight="1">
      <c r="A28" s="809" t="str">
        <f>未审报表!A28</f>
        <v>应收保费坏账准备*</v>
      </c>
      <c r="B28" s="810">
        <f>未审报表!C28</f>
        <v>0</v>
      </c>
      <c r="C28" s="810">
        <f>SUMIFS(调整事项汇总表!$I$7:$I$10020,调整事项汇总表!$D$7:$D$10020,"账项调整",调整事项汇总表!$E$7:$E$10020,IF(OR(MID(TRIM($A28),2,1)="：",MID(TRIM($A28),2,1)="、"),REPLACEB(TRIM($A28),1,4,""),TRIM($A28)))</f>
        <v>0</v>
      </c>
      <c r="D28" s="810">
        <f>SUMIFS(调整事项汇总表!$J$7:$J$10020,调整事项汇总表!$D$7:$D$10020,"账项调整",调整事项汇总表!$E$7:$E$10020,IF(OR(MID(TRIM($A28),2,1)="：",MID(TRIM($A28),2,1)="、"),REPLACEB(TRIM($A28),1,4,""),TRIM($A28)))</f>
        <v>0</v>
      </c>
      <c r="E28" s="810">
        <f>SUMIFS(调整事项汇总表!$I$7:$I$10020,调整事项汇总表!$D$7:$D$10020,"报表调整",调整事项汇总表!$E$7:$E$10020,IF(OR(MID(TRIM($A28),2,1)="：",MID(TRIM($A28),2,1)="、"),REPLACEB(TRIM($A28),1,4,""),TRIM($A28)))</f>
        <v>0</v>
      </c>
      <c r="F28" s="810">
        <f>SUMIFS(调整事项汇总表!$J$7:$J$10020,调整事项汇总表!$D$7:$D$10020,"报表调整",调整事项汇总表!$E$7:$E$10020,IF(OR(MID(TRIM($A28),2,1)="：",MID(TRIM($A28),2,1)="、"),REPLACEB(TRIM($A28),1,4,""),TRIM($A28)))</f>
        <v>0</v>
      </c>
      <c r="G28" s="810">
        <f>SUMIFS(调整事项汇总表!$I$7:$I$10020,调整事项汇总表!$D$7:$D$10020,"其他",调整事项汇总表!$E$7:$E$10020,IF(OR(MID(TRIM($A28),2,1)="：",MID(TRIM($A28),2,1)="、"),REPLACEB(TRIM($A28),1,4,""),TRIM($A28)))</f>
        <v>0</v>
      </c>
      <c r="H28" s="810">
        <f>SUMIFS(调整事项汇总表!$J$7:$J$10020,调整事项汇总表!$D$7:$D$10020,"其他",调整事项汇总表!$E$7:$E$10020,IF(OR(MID(TRIM($A28),2,1)="：",MID(TRIM($A28),2,1)="、"),REPLACEB(TRIM($A28),1,4,""),TRIM($A28)))</f>
        <v>0</v>
      </c>
      <c r="I28" s="811">
        <f>B28+D28+F28+H28-G28-E28-C28</f>
        <v>0</v>
      </c>
      <c r="J28" s="38" t="b">
        <f>A28=未审报表!A28</f>
        <v>1</v>
      </c>
      <c r="K28" s="75" t="b">
        <f>审定报表!A28=TB!A28</f>
        <v>1</v>
      </c>
    </row>
    <row r="29" spans="1:12" ht="14.4" customHeight="1">
      <c r="A29" s="809" t="str">
        <f>未审报表!A29</f>
        <v>应收保费*</v>
      </c>
      <c r="B29" s="810">
        <f>未审报表!C29</f>
        <v>0</v>
      </c>
      <c r="C29" s="810">
        <f>C27+C28</f>
        <v>0</v>
      </c>
      <c r="D29" s="810">
        <f t="shared" ref="D29:H29" si="6">D27+D28</f>
        <v>0</v>
      </c>
      <c r="E29" s="810">
        <f t="shared" si="6"/>
        <v>0</v>
      </c>
      <c r="F29" s="810">
        <f t="shared" si="6"/>
        <v>0</v>
      </c>
      <c r="G29" s="810">
        <f t="shared" si="6"/>
        <v>0</v>
      </c>
      <c r="H29" s="810">
        <f t="shared" si="6"/>
        <v>0</v>
      </c>
      <c r="I29" s="811">
        <f>B29+C29+E29+G29-H29-F29-D29</f>
        <v>0</v>
      </c>
      <c r="J29" s="38" t="b">
        <f>A29=未审报表!A29</f>
        <v>1</v>
      </c>
      <c r="K29" s="75" t="b">
        <f>审定报表!A29=TB!A29</f>
        <v>1</v>
      </c>
    </row>
    <row r="30" spans="1:12" ht="14.4" customHeight="1">
      <c r="A30" s="809" t="str">
        <f>未审报表!A30</f>
        <v>应收分保账款原值*</v>
      </c>
      <c r="B30" s="810">
        <f>未审报表!C30</f>
        <v>0</v>
      </c>
      <c r="C30" s="810">
        <f>SUMIFS(调整事项汇总表!$I$7:$I$10020,调整事项汇总表!$D$7:$D$10020,"账项调整",调整事项汇总表!$E$7:$E$10020,IF(OR(MID(TRIM($A30),2,1)="：",MID(TRIM($A30),2,1)="、"),REPLACEB(TRIM($A30),1,4,""),TRIM($A30)))</f>
        <v>0</v>
      </c>
      <c r="D30" s="810">
        <f>SUMIFS(调整事项汇总表!$J$7:$J$10020,调整事项汇总表!$D$7:$D$10020,"账项调整",调整事项汇总表!$E$7:$E$10020,IF(OR(MID(TRIM($A30),2,1)="：",MID(TRIM($A30),2,1)="、"),REPLACEB(TRIM($A30),1,4,""),TRIM($A30)))</f>
        <v>0</v>
      </c>
      <c r="E30" s="810">
        <f>SUMIFS(调整事项汇总表!$I$7:$I$10020,调整事项汇总表!$D$7:$D$10020,"报表调整",调整事项汇总表!$E$7:$E$10020,IF(OR(MID(TRIM($A30),2,1)="：",MID(TRIM($A30),2,1)="、"),REPLACEB(TRIM($A30),1,4,""),TRIM($A30)))</f>
        <v>0</v>
      </c>
      <c r="F30" s="810">
        <f>SUMIFS(调整事项汇总表!$J$7:$J$10020,调整事项汇总表!$D$7:$D$10020,"报表调整",调整事项汇总表!$E$7:$E$10020,IF(OR(MID(TRIM($A30),2,1)="：",MID(TRIM($A30),2,1)="、"),REPLACEB(TRIM($A30),1,4,""),TRIM($A30)))</f>
        <v>0</v>
      </c>
      <c r="G30" s="810">
        <f>SUMIFS(调整事项汇总表!$I$7:$I$10020,调整事项汇总表!$D$7:$D$10020,"其他",调整事项汇总表!$E$7:$E$10020,IF(OR(MID(TRIM($A30),2,1)="：",MID(TRIM($A30),2,1)="、"),REPLACEB(TRIM($A30),1,4,""),TRIM($A30)))</f>
        <v>0</v>
      </c>
      <c r="H30" s="810">
        <f>SUMIFS(调整事项汇总表!$J$7:$J$10020,调整事项汇总表!$D$7:$D$10020,"其他",调整事项汇总表!$E$7:$E$10020,IF(OR(MID(TRIM($A30),2,1)="：",MID(TRIM($A30),2,1)="、"),REPLACEB(TRIM($A30),1,4,""),TRIM($A30)))</f>
        <v>0</v>
      </c>
      <c r="I30" s="811">
        <f>B30+C30+E30+G30-H30-F30-D30</f>
        <v>0</v>
      </c>
      <c r="J30" s="38" t="b">
        <f>A30=未审报表!A30</f>
        <v>1</v>
      </c>
      <c r="K30" s="75" t="b">
        <f>审定报表!A30=TB!A30</f>
        <v>1</v>
      </c>
    </row>
    <row r="31" spans="1:12" ht="14.4" customHeight="1">
      <c r="A31" s="809" t="str">
        <f>未审报表!A31</f>
        <v>应收分保账款坏账准备*</v>
      </c>
      <c r="B31" s="810">
        <f>未审报表!C31</f>
        <v>0</v>
      </c>
      <c r="C31" s="810">
        <f>SUMIFS(调整事项汇总表!$I$7:$I$10020,调整事项汇总表!$D$7:$D$10020,"账项调整",调整事项汇总表!$E$7:$E$10020,IF(OR(MID(TRIM($A31),2,1)="：",MID(TRIM($A31),2,1)="、"),REPLACEB(TRIM($A31),1,4,""),TRIM($A31)))</f>
        <v>0</v>
      </c>
      <c r="D31" s="810">
        <f>SUMIFS(调整事项汇总表!$J$7:$J$10020,调整事项汇总表!$D$7:$D$10020,"账项调整",调整事项汇总表!$E$7:$E$10020,IF(OR(MID(TRIM($A31),2,1)="：",MID(TRIM($A31),2,1)="、"),REPLACEB(TRIM($A31),1,4,""),TRIM($A31)))</f>
        <v>0</v>
      </c>
      <c r="E31" s="810">
        <f>SUMIFS(调整事项汇总表!$I$7:$I$10020,调整事项汇总表!$D$7:$D$10020,"报表调整",调整事项汇总表!$E$7:$E$10020,IF(OR(MID(TRIM($A31),2,1)="：",MID(TRIM($A31),2,1)="、"),REPLACEB(TRIM($A31),1,4,""),TRIM($A31)))</f>
        <v>0</v>
      </c>
      <c r="F31" s="810">
        <f>SUMIFS(调整事项汇总表!$J$7:$J$10020,调整事项汇总表!$D$7:$D$10020,"报表调整",调整事项汇总表!$E$7:$E$10020,IF(OR(MID(TRIM($A31),2,1)="：",MID(TRIM($A31),2,1)="、"),REPLACEB(TRIM($A31),1,4,""),TRIM($A31)))</f>
        <v>0</v>
      </c>
      <c r="G31" s="810">
        <f>SUMIFS(调整事项汇总表!$I$7:$I$10020,调整事项汇总表!$D$7:$D$10020,"其他",调整事项汇总表!$E$7:$E$10020,IF(OR(MID(TRIM($A31),2,1)="：",MID(TRIM($A31),2,1)="、"),REPLACEB(TRIM($A31),1,4,""),TRIM($A31)))</f>
        <v>0</v>
      </c>
      <c r="H31" s="810">
        <f>SUMIFS(调整事项汇总表!$J$7:$J$10020,调整事项汇总表!$D$7:$D$10020,"其他",调整事项汇总表!$E$7:$E$10020,IF(OR(MID(TRIM($A31),2,1)="：",MID(TRIM($A31),2,1)="、"),REPLACEB(TRIM($A31),1,4,""),TRIM($A31)))</f>
        <v>0</v>
      </c>
      <c r="I31" s="811">
        <f>B31+D31+F31+H31-G31-E31-C31</f>
        <v>0</v>
      </c>
      <c r="J31" s="38" t="b">
        <f>A31=未审报表!A31</f>
        <v>1</v>
      </c>
      <c r="K31" s="75" t="b">
        <f>审定报表!A31=TB!A31</f>
        <v>1</v>
      </c>
    </row>
    <row r="32" spans="1:12" ht="14.4" customHeight="1">
      <c r="A32" s="809" t="str">
        <f>未审报表!A32</f>
        <v>应收分保账款*</v>
      </c>
      <c r="B32" s="810">
        <f>未审报表!C32</f>
        <v>0</v>
      </c>
      <c r="C32" s="810">
        <f>C30+C31</f>
        <v>0</v>
      </c>
      <c r="D32" s="810">
        <f t="shared" ref="D32:H32" si="7">D30+D31</f>
        <v>0</v>
      </c>
      <c r="E32" s="810">
        <f t="shared" si="7"/>
        <v>0</v>
      </c>
      <c r="F32" s="810">
        <f t="shared" si="7"/>
        <v>0</v>
      </c>
      <c r="G32" s="810">
        <f t="shared" si="7"/>
        <v>0</v>
      </c>
      <c r="H32" s="810">
        <f t="shared" si="7"/>
        <v>0</v>
      </c>
      <c r="I32" s="811">
        <f>B32+C32+E32+G32-H32-F32-D32</f>
        <v>0</v>
      </c>
      <c r="J32" s="38" t="b">
        <f>A32=未审报表!A32</f>
        <v>1</v>
      </c>
      <c r="K32" s="75" t="b">
        <f>审定报表!A32=TB!A32</f>
        <v>1</v>
      </c>
    </row>
    <row r="33" spans="1:11" ht="14.4" customHeight="1">
      <c r="A33" s="809" t="str">
        <f>未审报表!A33</f>
        <v>应收分保合同准备金*</v>
      </c>
      <c r="B33" s="810">
        <f>未审报表!C33</f>
        <v>0</v>
      </c>
      <c r="C33" s="810">
        <f>SUMIFS(调整事项汇总表!$I$7:$I$10020,调整事项汇总表!$D$7:$D$10020,"账项调整",调整事项汇总表!$E$7:$E$10020,IF(OR(MID(TRIM($A33),2,1)="：",MID(TRIM($A33),2,1)="、"),REPLACEB(TRIM($A33),1,4,""),TRIM($A33)))</f>
        <v>0</v>
      </c>
      <c r="D33" s="810">
        <f>SUMIFS(调整事项汇总表!$J$7:$J$10020,调整事项汇总表!$D$7:$D$10020,"账项调整",调整事项汇总表!$E$7:$E$10020,IF(OR(MID(TRIM($A33),2,1)="：",MID(TRIM($A33),2,1)="、"),REPLACEB(TRIM($A33),1,4,""),TRIM($A33)))</f>
        <v>0</v>
      </c>
      <c r="E33" s="810">
        <f>SUMIFS(调整事项汇总表!$I$7:$I$10020,调整事项汇总表!$D$7:$D$10020,"报表调整",调整事项汇总表!$E$7:$E$10020,IF(OR(MID(TRIM($A33),2,1)="：",MID(TRIM($A33),2,1)="、"),REPLACEB(TRIM($A33),1,4,""),TRIM($A33)))</f>
        <v>0</v>
      </c>
      <c r="F33" s="810">
        <f>SUMIFS(调整事项汇总表!$J$7:$J$10020,调整事项汇总表!$D$7:$D$10020,"报表调整",调整事项汇总表!$E$7:$E$10020,IF(OR(MID(TRIM($A33),2,1)="：",MID(TRIM($A33),2,1)="、"),REPLACEB(TRIM($A33),1,4,""),TRIM($A33)))</f>
        <v>0</v>
      </c>
      <c r="G33" s="810">
        <f>SUMIFS(调整事项汇总表!$I$7:$I$10020,调整事项汇总表!$D$7:$D$10020,"其他",调整事项汇总表!$E$7:$E$10020,IF(OR(MID(TRIM($A33),2,1)="：",MID(TRIM($A33),2,1)="、"),REPLACEB(TRIM($A33),1,4,""),TRIM($A33)))</f>
        <v>0</v>
      </c>
      <c r="H33" s="810">
        <f>SUMIFS(调整事项汇总表!$J$7:$J$10020,调整事项汇总表!$D$7:$D$10020,"其他",调整事项汇总表!$E$7:$E$10020,IF(OR(MID(TRIM($A33),2,1)="：",MID(TRIM($A33),2,1)="、"),REPLACEB(TRIM($A33),1,4,""),TRIM($A33)))</f>
        <v>0</v>
      </c>
      <c r="I33" s="811">
        <f>B33+C33+E33+G33-H33-F33-D33</f>
        <v>0</v>
      </c>
      <c r="J33" s="38" t="b">
        <f>A33=未审报表!A33</f>
        <v>1</v>
      </c>
      <c r="K33" s="75" t="b">
        <f>审定报表!A33=TB!A33</f>
        <v>1</v>
      </c>
    </row>
    <row r="34" spans="1:11" ht="14.4" customHeight="1">
      <c r="A34" s="809" t="str">
        <f>未审报表!A34</f>
        <v>应收利息原值</v>
      </c>
      <c r="B34" s="810">
        <f>未审报表!C34</f>
        <v>0</v>
      </c>
      <c r="C34" s="810">
        <f>SUMIFS(调整事项汇总表!$I$7:$I$10020,调整事项汇总表!$D$7:$D$10020,"账项调整",调整事项汇总表!$E$7:$E$10020,IF(OR(MID(TRIM($A34),2,1)="：",MID(TRIM($A34),2,1)="、"),REPLACEB(TRIM($A34),1,4,""),TRIM($A34)))</f>
        <v>0</v>
      </c>
      <c r="D34" s="810">
        <f>SUMIFS(调整事项汇总表!$J$7:$J$10020,调整事项汇总表!$D$7:$D$10020,"账项调整",调整事项汇总表!$E$7:$E$10020,IF(OR(MID(TRIM($A34),2,1)="：",MID(TRIM($A34),2,1)="、"),REPLACEB(TRIM($A34),1,4,""),TRIM($A34)))</f>
        <v>0</v>
      </c>
      <c r="E34" s="810">
        <f>SUMIFS(调整事项汇总表!$I$7:$I$10020,调整事项汇总表!$D$7:$D$10020,"报表调整",调整事项汇总表!$E$7:$E$10020,IF(OR(MID(TRIM($A34),2,1)="：",MID(TRIM($A34),2,1)="、"),REPLACEB(TRIM($A34),1,4,""),TRIM($A34)))</f>
        <v>0</v>
      </c>
      <c r="F34" s="810">
        <f>SUMIFS(调整事项汇总表!$J$7:$J$10020,调整事项汇总表!$D$7:$D$10020,"报表调整",调整事项汇总表!$E$7:$E$10020,IF(OR(MID(TRIM($A34),2,1)="：",MID(TRIM($A34),2,1)="、"),REPLACEB(TRIM($A34),1,4,""),TRIM($A34)))</f>
        <v>0</v>
      </c>
      <c r="G34" s="810">
        <f>SUMIFS(调整事项汇总表!$I$7:$I$10020,调整事项汇总表!$D$7:$D$10020,"其他",调整事项汇总表!$E$7:$E$10020,IF(OR(MID(TRIM($A34),2,1)="：",MID(TRIM($A34),2,1)="、"),REPLACEB(TRIM($A34),1,4,""),TRIM($A34)))</f>
        <v>0</v>
      </c>
      <c r="H34" s="810">
        <f>SUMIFS(调整事项汇总表!$J$7:$J$10020,调整事项汇总表!$D$7:$D$10020,"其他",调整事项汇总表!$E$7:$E$10020,IF(OR(MID(TRIM($A34),2,1)="：",MID(TRIM($A34),2,1)="、"),REPLACEB(TRIM($A34),1,4,""),TRIM($A34)))</f>
        <v>0</v>
      </c>
      <c r="I34" s="811">
        <f>B34+C34+E34+G34-H34-F34-D34</f>
        <v>0</v>
      </c>
      <c r="J34" s="38" t="b">
        <f>A34=未审报表!A34</f>
        <v>1</v>
      </c>
      <c r="K34" s="75" t="b">
        <f>审定报表!A34=TB!A34</f>
        <v>1</v>
      </c>
    </row>
    <row r="35" spans="1:11" ht="14.4" customHeight="1">
      <c r="A35" s="809" t="str">
        <f>未审报表!A35</f>
        <v>应收利息坏账准备</v>
      </c>
      <c r="B35" s="810">
        <f>未审报表!C35</f>
        <v>0</v>
      </c>
      <c r="C35" s="810">
        <f>SUMIFS(调整事项汇总表!$I$7:$I$10020,调整事项汇总表!$D$7:$D$10020,"账项调整",调整事项汇总表!$E$7:$E$10020,IF(OR(MID(TRIM($A35),2,1)="：",MID(TRIM($A35),2,1)="、"),REPLACEB(TRIM($A35),1,4,""),TRIM($A35)))</f>
        <v>0</v>
      </c>
      <c r="D35" s="810">
        <f>SUMIFS(调整事项汇总表!$J$7:$J$10020,调整事项汇总表!$D$7:$D$10020,"账项调整",调整事项汇总表!$E$7:$E$10020,IF(OR(MID(TRIM($A35),2,1)="：",MID(TRIM($A35),2,1)="、"),REPLACEB(TRIM($A35),1,4,""),TRIM($A35)))</f>
        <v>0</v>
      </c>
      <c r="E35" s="810">
        <f>SUMIFS(调整事项汇总表!$I$7:$I$10020,调整事项汇总表!$D$7:$D$10020,"报表调整",调整事项汇总表!$E$7:$E$10020,IF(OR(MID(TRIM($A35),2,1)="：",MID(TRIM($A35),2,1)="、"),REPLACEB(TRIM($A35),1,4,""),TRIM($A35)))</f>
        <v>0</v>
      </c>
      <c r="F35" s="810">
        <f>SUMIFS(调整事项汇总表!$J$7:$J$10020,调整事项汇总表!$D$7:$D$10020,"报表调整",调整事项汇总表!$E$7:$E$10020,IF(OR(MID(TRIM($A35),2,1)="：",MID(TRIM($A35),2,1)="、"),REPLACEB(TRIM($A35),1,4,""),TRIM($A35)))</f>
        <v>0</v>
      </c>
      <c r="G35" s="810">
        <f>SUMIFS(调整事项汇总表!$I$7:$I$10020,调整事项汇总表!$D$7:$D$10020,"其他",调整事项汇总表!$E$7:$E$10020,IF(OR(MID(TRIM($A35),2,1)="：",MID(TRIM($A35),2,1)="、"),REPLACEB(TRIM($A35),1,4,""),TRIM($A35)))</f>
        <v>0</v>
      </c>
      <c r="H35" s="810">
        <f>SUMIFS(调整事项汇总表!$J$7:$J$10020,调整事项汇总表!$D$7:$D$10020,"其他",调整事项汇总表!$E$7:$E$10020,IF(OR(MID(TRIM($A35),2,1)="：",MID(TRIM($A35),2,1)="、"),REPLACEB(TRIM($A35),1,4,""),TRIM($A35)))</f>
        <v>0</v>
      </c>
      <c r="I35" s="811">
        <f>B35+D35+F35+H35-G35-E35-C35</f>
        <v>0</v>
      </c>
      <c r="J35" s="38" t="b">
        <f>A35=未审报表!A35</f>
        <v>1</v>
      </c>
      <c r="K35" s="75" t="b">
        <f>审定报表!A35=TB!A35</f>
        <v>1</v>
      </c>
    </row>
    <row r="36" spans="1:11" ht="14.4" customHeight="1">
      <c r="A36" s="809" t="str">
        <f>未审报表!A36</f>
        <v>应收利息</v>
      </c>
      <c r="B36" s="810">
        <f>未审报表!C36</f>
        <v>0</v>
      </c>
      <c r="C36" s="810"/>
      <c r="D36" s="810"/>
      <c r="E36" s="810"/>
      <c r="F36" s="810"/>
      <c r="G36" s="810"/>
      <c r="H36" s="810"/>
      <c r="I36" s="811">
        <f>B36+C36+E36+G36-H36-F36-D36</f>
        <v>0</v>
      </c>
      <c r="J36" s="38" t="b">
        <f>A36=未审报表!A36</f>
        <v>1</v>
      </c>
      <c r="K36" s="75" t="b">
        <f>审定报表!A36=TB!A36</f>
        <v>1</v>
      </c>
    </row>
    <row r="37" spans="1:11" ht="14.4" customHeight="1">
      <c r="A37" s="809" t="str">
        <f>未审报表!A37</f>
        <v>应收股利原值</v>
      </c>
      <c r="B37" s="810">
        <f>未审报表!C37</f>
        <v>32823183.23</v>
      </c>
      <c r="C37" s="810">
        <f>SUMIFS(调整事项汇总表!$I$7:$I$10020,调整事项汇总表!$D$7:$D$10020,"账项调整",调整事项汇总表!$E$7:$E$10020,IF(OR(MID(TRIM($A37),2,1)="：",MID(TRIM($A37),2,1)="、"),REPLACEB(TRIM($A37),1,4,""),TRIM($A37)))</f>
        <v>0</v>
      </c>
      <c r="D37" s="810">
        <f>SUMIFS(调整事项汇总表!$J$7:$J$10020,调整事项汇总表!$D$7:$D$10020,"账项调整",调整事项汇总表!$E$7:$E$10020,IF(OR(MID(TRIM($A37),2,1)="：",MID(TRIM($A37),2,1)="、"),REPLACEB(TRIM($A37),1,4,""),TRIM($A37)))</f>
        <v>0</v>
      </c>
      <c r="E37" s="810">
        <f>SUMIFS(调整事项汇总表!$I$7:$I$10020,调整事项汇总表!$D$7:$D$10020,"报表调整",调整事项汇总表!$E$7:$E$10020,IF(OR(MID(TRIM($A37),2,1)="：",MID(TRIM($A37),2,1)="、"),REPLACEB(TRIM($A37),1,4,""),TRIM($A37)))</f>
        <v>0</v>
      </c>
      <c r="F37" s="810">
        <f>SUMIFS(调整事项汇总表!$J$7:$J$10020,调整事项汇总表!$D$7:$D$10020,"报表调整",调整事项汇总表!$E$7:$E$10020,IF(OR(MID(TRIM($A37),2,1)="：",MID(TRIM($A37),2,1)="、"),REPLACEB(TRIM($A37),1,4,""),TRIM($A37)))</f>
        <v>0</v>
      </c>
      <c r="G37" s="810">
        <f>SUMIFS(调整事项汇总表!$I$7:$I$10020,调整事项汇总表!$D$7:$D$10020,"其他",调整事项汇总表!$E$7:$E$10020,IF(OR(MID(TRIM($A37),2,1)="：",MID(TRIM($A37),2,1)="、"),REPLACEB(TRIM($A37),1,4,""),TRIM($A37)))</f>
        <v>0</v>
      </c>
      <c r="H37" s="810">
        <f>SUMIFS(调整事项汇总表!$J$7:$J$10020,调整事项汇总表!$D$7:$D$10020,"其他",调整事项汇总表!$E$7:$E$10020,IF(OR(MID(TRIM($A37),2,1)="：",MID(TRIM($A37),2,1)="、"),REPLACEB(TRIM($A37),1,4,""),TRIM($A37)))</f>
        <v>0</v>
      </c>
      <c r="I37" s="811">
        <f>B37+C37+E37+G37-H37-F37-D37</f>
        <v>32823183.23</v>
      </c>
      <c r="J37" s="38" t="b">
        <f>A37=未审报表!A37</f>
        <v>1</v>
      </c>
      <c r="K37" s="75" t="b">
        <f>审定报表!A37=TB!A37</f>
        <v>1</v>
      </c>
    </row>
    <row r="38" spans="1:11" ht="14.4" customHeight="1">
      <c r="A38" s="809" t="str">
        <f>未审报表!A38</f>
        <v>应收股利坏账准备</v>
      </c>
      <c r="B38" s="810">
        <f>未审报表!C38</f>
        <v>0</v>
      </c>
      <c r="C38" s="810">
        <f>SUMIFS(调整事项汇总表!$I$7:$I$10020,调整事项汇总表!$D$7:$D$10020,"账项调整",调整事项汇总表!$E$7:$E$10020,IF(OR(MID(TRIM($A38),2,1)="：",MID(TRIM($A38),2,1)="、"),REPLACEB(TRIM($A38),1,4,""),TRIM($A38)))</f>
        <v>0</v>
      </c>
      <c r="D38" s="810">
        <f>SUMIFS(调整事项汇总表!$J$7:$J$10020,调整事项汇总表!$D$7:$D$10020,"账项调整",调整事项汇总表!$E$7:$E$10020,IF(OR(MID(TRIM($A38),2,1)="：",MID(TRIM($A38),2,1)="、"),REPLACEB(TRIM($A38),1,4,""),TRIM($A38)))</f>
        <v>0</v>
      </c>
      <c r="E38" s="810">
        <f>SUMIFS(调整事项汇总表!$I$7:$I$10020,调整事项汇总表!$D$7:$D$10020,"报表调整",调整事项汇总表!$E$7:$E$10020,IF(OR(MID(TRIM($A38),2,1)="：",MID(TRIM($A38),2,1)="、"),REPLACEB(TRIM($A38),1,4,""),TRIM($A38)))</f>
        <v>0</v>
      </c>
      <c r="F38" s="810">
        <f>SUMIFS(调整事项汇总表!$J$7:$J$10020,调整事项汇总表!$D$7:$D$10020,"报表调整",调整事项汇总表!$E$7:$E$10020,IF(OR(MID(TRIM($A38),2,1)="：",MID(TRIM($A38),2,1)="、"),REPLACEB(TRIM($A38),1,4,""),TRIM($A38)))</f>
        <v>0</v>
      </c>
      <c r="G38" s="810">
        <f>SUMIFS(调整事项汇总表!$I$7:$I$10020,调整事项汇总表!$D$7:$D$10020,"其他",调整事项汇总表!$E$7:$E$10020,IF(OR(MID(TRIM($A38),2,1)="：",MID(TRIM($A38),2,1)="、"),REPLACEB(TRIM($A38),1,4,""),TRIM($A38)))</f>
        <v>0</v>
      </c>
      <c r="H38" s="810">
        <f>SUMIFS(调整事项汇总表!$J$7:$J$10020,调整事项汇总表!$D$7:$D$10020,"其他",调整事项汇总表!$E$7:$E$10020,IF(OR(MID(TRIM($A38),2,1)="：",MID(TRIM($A38),2,1)="、"),REPLACEB(TRIM($A38),1,4,""),TRIM($A38)))</f>
        <v>0</v>
      </c>
      <c r="I38" s="811">
        <f>B38+D38+F38+H38-G38-E38-C38</f>
        <v>0</v>
      </c>
      <c r="J38" s="38" t="b">
        <f>A38=未审报表!A38</f>
        <v>1</v>
      </c>
      <c r="K38" s="75" t="b">
        <f>审定报表!A38=TB!A38</f>
        <v>1</v>
      </c>
    </row>
    <row r="39" spans="1:11" ht="14.4" customHeight="1">
      <c r="A39" s="809" t="str">
        <f>未审报表!A39</f>
        <v>应收股利</v>
      </c>
      <c r="B39" s="810">
        <f>未审报表!C39</f>
        <v>32823183.23</v>
      </c>
      <c r="C39" s="810">
        <f>C37+C38</f>
        <v>0</v>
      </c>
      <c r="D39" s="810">
        <f t="shared" ref="D39:H39" si="8">D37+D38</f>
        <v>0</v>
      </c>
      <c r="E39" s="810">
        <f t="shared" si="8"/>
        <v>0</v>
      </c>
      <c r="F39" s="810">
        <f t="shared" si="8"/>
        <v>0</v>
      </c>
      <c r="G39" s="810">
        <f t="shared" si="8"/>
        <v>0</v>
      </c>
      <c r="H39" s="810">
        <f t="shared" si="8"/>
        <v>0</v>
      </c>
      <c r="I39" s="811">
        <f>B39+C39+E39+G39-H39-F39-D39</f>
        <v>32823183.23</v>
      </c>
      <c r="J39" s="38" t="b">
        <f>A39=未审报表!A39</f>
        <v>1</v>
      </c>
      <c r="K39" s="75" t="b">
        <f>审定报表!A39=TB!A39</f>
        <v>1</v>
      </c>
    </row>
    <row r="40" spans="1:11" ht="14.4" customHeight="1">
      <c r="A40" s="809" t="str">
        <f>未审报表!A40</f>
        <v>其他应收款原值</v>
      </c>
      <c r="B40" s="810">
        <f>未审报表!C40</f>
        <v>8096269.3899999997</v>
      </c>
      <c r="C40" s="810">
        <f>SUMIFS(调整事项汇总表!$I$7:$I$10020,调整事项汇总表!$D$7:$D$10020,"账项调整",调整事项汇总表!$E$7:$E$10020,IF(OR(MID(TRIM($A40),2,1)="：",MID(TRIM($A40),2,1)="、"),REPLACEB(TRIM($A40),1,4,""),TRIM($A40)))</f>
        <v>9923747.7300000004</v>
      </c>
      <c r="D40" s="810">
        <f>SUMIFS(调整事项汇总表!$J$7:$J$10020,调整事项汇总表!$D$7:$D$10020,"账项调整",调整事项汇总表!$E$7:$E$10020,IF(OR(MID(TRIM($A40),2,1)="：",MID(TRIM($A40),2,1)="、"),REPLACEB(TRIM($A40),1,4,""),TRIM($A40)))</f>
        <v>0</v>
      </c>
      <c r="E40" s="810">
        <f>SUMIFS(调整事项汇总表!$I$7:$I$10020,调整事项汇总表!$D$7:$D$10020,"报表调整",调整事项汇总表!$E$7:$E$10020,IF(OR(MID(TRIM($A40),2,1)="：",MID(TRIM($A40),2,1)="、"),REPLACEB(TRIM($A40),1,4,""),TRIM($A40)))</f>
        <v>0</v>
      </c>
      <c r="F40" s="810">
        <f>SUMIFS(调整事项汇总表!$J$7:$J$10020,调整事项汇总表!$D$7:$D$10020,"报表调整",调整事项汇总表!$E$7:$E$10020,IF(OR(MID(TRIM($A40),2,1)="：",MID(TRIM($A40),2,1)="、"),REPLACEB(TRIM($A40),1,4,""),TRIM($A40)))</f>
        <v>0</v>
      </c>
      <c r="G40" s="810">
        <f>SUMIFS(调整事项汇总表!$I$7:$I$10020,调整事项汇总表!$D$7:$D$10020,"其他",调整事项汇总表!$E$7:$E$10020,IF(OR(MID(TRIM($A40),2,1)="：",MID(TRIM($A40),2,1)="、"),REPLACEB(TRIM($A40),1,4,""),TRIM($A40)))</f>
        <v>0</v>
      </c>
      <c r="H40" s="810">
        <f>SUMIFS(调整事项汇总表!$J$7:$J$10020,调整事项汇总表!$D$7:$D$10020,"其他",调整事项汇总表!$E$7:$E$10020,IF(OR(MID(TRIM($A40),2,1)="：",MID(TRIM($A40),2,1)="、"),REPLACEB(TRIM($A40),1,4,""),TRIM($A40)))</f>
        <v>0</v>
      </c>
      <c r="I40" s="811">
        <f>B40+C40+E40+G40-H40-F40-D40</f>
        <v>18020017.120000001</v>
      </c>
      <c r="J40" s="38" t="b">
        <f>A40=未审报表!A40</f>
        <v>1</v>
      </c>
      <c r="K40" s="75" t="b">
        <f>审定报表!A40=TB!A40</f>
        <v>1</v>
      </c>
    </row>
    <row r="41" spans="1:11" ht="14.4" customHeight="1">
      <c r="A41" s="809" t="str">
        <f>未审报表!A41</f>
        <v>其他应收款坏账准备</v>
      </c>
      <c r="B41" s="810">
        <f>未审报表!C41</f>
        <v>13310.74</v>
      </c>
      <c r="C41" s="810">
        <f>SUMIFS(调整事项汇总表!$I$7:$I$10020,调整事项汇总表!$D$7:$D$10020,"账项调整",调整事项汇总表!$E$7:$E$10020,IF(OR(MID(TRIM($A41),2,1)="：",MID(TRIM($A41),2,1)="、"),REPLACEB(TRIM($A41),1,4,""),TRIM($A41)))</f>
        <v>0</v>
      </c>
      <c r="D41" s="810">
        <f>SUMIFS(调整事项汇总表!$J$7:$J$10020,调整事项汇总表!$D$7:$D$10020,"账项调整",调整事项汇总表!$E$7:$E$10020,IF(OR(MID(TRIM($A41),2,1)="：",MID(TRIM($A41),2,1)="、"),REPLACEB(TRIM($A41),1,4,""),TRIM($A41)))</f>
        <v>73148.34</v>
      </c>
      <c r="E41" s="810">
        <f>SUMIFS(调整事项汇总表!$I$7:$I$10020,调整事项汇总表!$D$7:$D$10020,"报表调整",调整事项汇总表!$E$7:$E$10020,IF(OR(MID(TRIM($A41),2,1)="：",MID(TRIM($A41),2,1)="、"),REPLACEB(TRIM($A41),1,4,""),TRIM($A41)))</f>
        <v>0</v>
      </c>
      <c r="F41" s="810">
        <f>SUMIFS(调整事项汇总表!$J$7:$J$10020,调整事项汇总表!$D$7:$D$10020,"报表调整",调整事项汇总表!$E$7:$E$10020,IF(OR(MID(TRIM($A41),2,1)="：",MID(TRIM($A41),2,1)="、"),REPLACEB(TRIM($A41),1,4,""),TRIM($A41)))</f>
        <v>0</v>
      </c>
      <c r="G41" s="810">
        <f>SUMIFS(调整事项汇总表!$I$7:$I$10020,调整事项汇总表!$D$7:$D$10020,"其他",调整事项汇总表!$E$7:$E$10020,IF(OR(MID(TRIM($A41),2,1)="：",MID(TRIM($A41),2,1)="、"),REPLACEB(TRIM($A41),1,4,""),TRIM($A41)))</f>
        <v>0</v>
      </c>
      <c r="H41" s="810">
        <f>SUMIFS(调整事项汇总表!$J$7:$J$10020,调整事项汇总表!$D$7:$D$10020,"其他",调整事项汇总表!$E$7:$E$10020,IF(OR(MID(TRIM($A41),2,1)="：",MID(TRIM($A41),2,1)="、"),REPLACEB(TRIM($A41),1,4,""),TRIM($A41)))</f>
        <v>0</v>
      </c>
      <c r="I41" s="811">
        <f>B41+D41+F41+H41-G41-E41-C41</f>
        <v>86459.08</v>
      </c>
      <c r="J41" s="38" t="b">
        <f>A41=未审报表!A41</f>
        <v>1</v>
      </c>
      <c r="K41" s="75" t="b">
        <f>审定报表!A41=TB!A41</f>
        <v>1</v>
      </c>
    </row>
    <row r="42" spans="1:11" ht="14.4" customHeight="1">
      <c r="A42" s="809" t="str">
        <f>未审报表!A42</f>
        <v>其他应收款</v>
      </c>
      <c r="B42" s="810">
        <f>未审报表!C42</f>
        <v>8082958.6499999994</v>
      </c>
      <c r="C42" s="810">
        <f>C40+C41</f>
        <v>9923747.7300000004</v>
      </c>
      <c r="D42" s="810">
        <f t="shared" ref="D42:H42" si="9">D40+D41</f>
        <v>73148.34</v>
      </c>
      <c r="E42" s="810">
        <f t="shared" si="9"/>
        <v>0</v>
      </c>
      <c r="F42" s="810">
        <f t="shared" si="9"/>
        <v>0</v>
      </c>
      <c r="G42" s="810">
        <f t="shared" si="9"/>
        <v>0</v>
      </c>
      <c r="H42" s="810">
        <f t="shared" si="9"/>
        <v>0</v>
      </c>
      <c r="I42" s="811">
        <f>B42+C42+E42+G42-H42-F42-D42</f>
        <v>17933558.039999999</v>
      </c>
      <c r="J42" s="38" t="b">
        <f>A42=未审报表!A42</f>
        <v>1</v>
      </c>
      <c r="K42" s="75" t="b">
        <f>审定报表!A42=TB!A42</f>
        <v>1</v>
      </c>
    </row>
    <row r="43" spans="1:11" ht="14.4" customHeight="1">
      <c r="A43" s="809" t="str">
        <f>未审报表!A43</f>
        <v>买入返售金融资产原值*</v>
      </c>
      <c r="B43" s="810">
        <f>未审报表!C43</f>
        <v>0</v>
      </c>
      <c r="C43" s="810">
        <f>SUMIFS(调整事项汇总表!$I$7:$I$10020,调整事项汇总表!$D$7:$D$10020,"账项调整",调整事项汇总表!$E$7:$E$10020,IF(OR(MID(TRIM($A43),2,1)="：",MID(TRIM($A43),2,1)="、"),REPLACEB(TRIM($A43),1,4,""),TRIM($A43)))</f>
        <v>0</v>
      </c>
      <c r="D43" s="810">
        <f>SUMIFS(调整事项汇总表!$J$7:$J$10020,调整事项汇总表!$D$7:$D$10020,"账项调整",调整事项汇总表!$E$7:$E$10020,IF(OR(MID(TRIM($A43),2,1)="：",MID(TRIM($A43),2,1)="、"),REPLACEB(TRIM($A43),1,4,""),TRIM($A43)))</f>
        <v>0</v>
      </c>
      <c r="E43" s="810">
        <f>SUMIFS(调整事项汇总表!$I$7:$I$10020,调整事项汇总表!$D$7:$D$10020,"报表调整",调整事项汇总表!$E$7:$E$10020,IF(OR(MID(TRIM($A43),2,1)="：",MID(TRIM($A43),2,1)="、"),REPLACEB(TRIM($A43),1,4,""),TRIM($A43)))</f>
        <v>0</v>
      </c>
      <c r="F43" s="810">
        <f>SUMIFS(调整事项汇总表!$J$7:$J$10020,调整事项汇总表!$D$7:$D$10020,"报表调整",调整事项汇总表!$E$7:$E$10020,IF(OR(MID(TRIM($A43),2,1)="：",MID(TRIM($A43),2,1)="、"),REPLACEB(TRIM($A43),1,4,""),TRIM($A43)))</f>
        <v>0</v>
      </c>
      <c r="G43" s="810">
        <f>SUMIFS(调整事项汇总表!$I$7:$I$10020,调整事项汇总表!$D$7:$D$10020,"其他",调整事项汇总表!$E$7:$E$10020,IF(OR(MID(TRIM($A43),2,1)="：",MID(TRIM($A43),2,1)="、"),REPLACEB(TRIM($A43),1,4,""),TRIM($A43)))</f>
        <v>0</v>
      </c>
      <c r="H43" s="810">
        <f>SUMIFS(调整事项汇总表!$J$7:$J$10020,调整事项汇总表!$D$7:$D$10020,"其他",调整事项汇总表!$E$7:$E$10020,IF(OR(MID(TRIM($A43),2,1)="：",MID(TRIM($A43),2,1)="、"),REPLACEB(TRIM($A43),1,4,""),TRIM($A43)))</f>
        <v>0</v>
      </c>
      <c r="I43" s="811">
        <f>B43+C43+E43+G43-H43-F43-D43</f>
        <v>0</v>
      </c>
      <c r="J43" s="38" t="b">
        <f>A43=未审报表!A43</f>
        <v>1</v>
      </c>
      <c r="K43" s="75" t="b">
        <f>审定报表!A43=TB!A43</f>
        <v>1</v>
      </c>
    </row>
    <row r="44" spans="1:11" ht="14.4" customHeight="1">
      <c r="A44" s="809" t="str">
        <f>未审报表!A44</f>
        <v>买入返售金融资产减值准备*</v>
      </c>
      <c r="B44" s="810">
        <f>未审报表!C44</f>
        <v>0</v>
      </c>
      <c r="C44" s="810">
        <f>SUMIFS(调整事项汇总表!$I$7:$I$10020,调整事项汇总表!$D$7:$D$10020,"账项调整",调整事项汇总表!$E$7:$E$10020,IF(OR(MID(TRIM($A44),2,1)="：",MID(TRIM($A44),2,1)="、"),REPLACEB(TRIM($A44),1,4,""),TRIM($A44)))</f>
        <v>0</v>
      </c>
      <c r="D44" s="810">
        <f>SUMIFS(调整事项汇总表!$J$7:$J$10020,调整事项汇总表!$D$7:$D$10020,"账项调整",调整事项汇总表!$E$7:$E$10020,IF(OR(MID(TRIM($A44),2,1)="：",MID(TRIM($A44),2,1)="、"),REPLACEB(TRIM($A44),1,4,""),TRIM($A44)))</f>
        <v>0</v>
      </c>
      <c r="E44" s="810">
        <f>SUMIFS(调整事项汇总表!$I$7:$I$10020,调整事项汇总表!$D$7:$D$10020,"报表调整",调整事项汇总表!$E$7:$E$10020,IF(OR(MID(TRIM($A44),2,1)="：",MID(TRIM($A44),2,1)="、"),REPLACEB(TRIM($A44),1,4,""),TRIM($A44)))</f>
        <v>0</v>
      </c>
      <c r="F44" s="810">
        <f>SUMIFS(调整事项汇总表!$J$7:$J$10020,调整事项汇总表!$D$7:$D$10020,"报表调整",调整事项汇总表!$E$7:$E$10020,IF(OR(MID(TRIM($A44),2,1)="：",MID(TRIM($A44),2,1)="、"),REPLACEB(TRIM($A44),1,4,""),TRIM($A44)))</f>
        <v>0</v>
      </c>
      <c r="G44" s="810">
        <f>SUMIFS(调整事项汇总表!$I$7:$I$10020,调整事项汇总表!$D$7:$D$10020,"其他",调整事项汇总表!$E$7:$E$10020,IF(OR(MID(TRIM($A44),2,1)="：",MID(TRIM($A44),2,1)="、"),REPLACEB(TRIM($A44),1,4,""),TRIM($A44)))</f>
        <v>0</v>
      </c>
      <c r="H44" s="810">
        <f>SUMIFS(调整事项汇总表!$J$7:$J$10020,调整事项汇总表!$D$7:$D$10020,"其他",调整事项汇总表!$E$7:$E$10020,IF(OR(MID(TRIM($A44),2,1)="：",MID(TRIM($A44),2,1)="、"),REPLACEB(TRIM($A44),1,4,""),TRIM($A44)))</f>
        <v>0</v>
      </c>
      <c r="I44" s="811">
        <f>B44+D44+F44+H44-G44-E44-C44</f>
        <v>0</v>
      </c>
      <c r="J44" s="38" t="b">
        <f>A44=未审报表!A44</f>
        <v>1</v>
      </c>
      <c r="K44" s="75" t="b">
        <f>审定报表!A44=TB!A44</f>
        <v>1</v>
      </c>
    </row>
    <row r="45" spans="1:11" ht="14.4" customHeight="1">
      <c r="A45" s="809" t="str">
        <f>未审报表!A45</f>
        <v>买入返售金融资产*</v>
      </c>
      <c r="B45" s="810">
        <f>未审报表!C45</f>
        <v>0</v>
      </c>
      <c r="C45" s="810">
        <f>C43+C44</f>
        <v>0</v>
      </c>
      <c r="D45" s="810">
        <f t="shared" ref="D45:H45" si="10">D43+D44</f>
        <v>0</v>
      </c>
      <c r="E45" s="810">
        <f t="shared" si="10"/>
        <v>0</v>
      </c>
      <c r="F45" s="810">
        <f t="shared" si="10"/>
        <v>0</v>
      </c>
      <c r="G45" s="810">
        <f t="shared" si="10"/>
        <v>0</v>
      </c>
      <c r="H45" s="810">
        <f t="shared" si="10"/>
        <v>0</v>
      </c>
      <c r="I45" s="811">
        <f>B45+C45+E45+G45-H45-F45-D45</f>
        <v>0</v>
      </c>
      <c r="J45" s="38" t="b">
        <f>A45=未审报表!A45</f>
        <v>1</v>
      </c>
      <c r="K45" s="75" t="b">
        <f>审定报表!A45=TB!A45</f>
        <v>1</v>
      </c>
    </row>
    <row r="46" spans="1:11" ht="14.4" customHeight="1">
      <c r="A46" s="809" t="str">
        <f>未审报表!A46</f>
        <v>存货原值</v>
      </c>
      <c r="B46" s="810">
        <f>未审报表!C46</f>
        <v>8526796.3200000003</v>
      </c>
      <c r="C46" s="810">
        <f>SUMIFS(调整事项汇总表!$I$7:$I$10020,调整事项汇总表!$D$7:$D$10020,"账项调整",调整事项汇总表!$E$7:$E$10020,IF(OR(MID(TRIM($A46),2,1)="：",MID(TRIM($A46),2,1)="、"),REPLACEB(TRIM($A46),1,4,""),TRIM($A46)))</f>
        <v>10000</v>
      </c>
      <c r="D46" s="810">
        <f>SUMIFS(调整事项汇总表!$J$7:$J$10020,调整事项汇总表!$D$7:$D$10020,"账项调整",调整事项汇总表!$E$7:$E$10020,IF(OR(MID(TRIM($A46),2,1)="：",MID(TRIM($A46),2,1)="、"),REPLACEB(TRIM($A46),1,4,""),TRIM($A46)))</f>
        <v>10000</v>
      </c>
      <c r="E46" s="810">
        <f>SUMIFS(调整事项汇总表!$I$7:$I$10020,调整事项汇总表!$D$7:$D$10020,"报表调整",调整事项汇总表!$E$7:$E$10020,IF(OR(MID(TRIM($A46),2,1)="：",MID(TRIM($A46),2,1)="、"),REPLACEB(TRIM($A46),1,4,""),TRIM($A46)))</f>
        <v>0</v>
      </c>
      <c r="F46" s="810">
        <f>SUMIFS(调整事项汇总表!$J$7:$J$10020,调整事项汇总表!$D$7:$D$10020,"报表调整",调整事项汇总表!$E$7:$E$10020,IF(OR(MID(TRIM($A46),2,1)="：",MID(TRIM($A46),2,1)="、"),REPLACEB(TRIM($A46),1,4,""),TRIM($A46)))</f>
        <v>0</v>
      </c>
      <c r="G46" s="810">
        <f>SUMIFS(调整事项汇总表!$I$7:$I$10020,调整事项汇总表!$D$7:$D$10020,"其他",调整事项汇总表!$E$7:$E$10020,IF(OR(MID(TRIM($A46),2,1)="：",MID(TRIM($A46),2,1)="、"),REPLACEB(TRIM($A46),1,4,""),TRIM($A46)))</f>
        <v>0</v>
      </c>
      <c r="H46" s="810">
        <f>SUMIFS(调整事项汇总表!$J$7:$J$10020,调整事项汇总表!$D$7:$D$10020,"其他",调整事项汇总表!$E$7:$E$10020,IF(OR(MID(TRIM($A46),2,1)="：",MID(TRIM($A46),2,1)="、"),REPLACEB(TRIM($A46),1,4,""),TRIM($A46)))</f>
        <v>0</v>
      </c>
      <c r="I46" s="811">
        <f>B46+C46+E46+G46-H46-F46-D46</f>
        <v>8526796.3200000003</v>
      </c>
      <c r="J46" s="38" t="b">
        <f>A46=未审报表!A46</f>
        <v>1</v>
      </c>
      <c r="K46" s="75" t="b">
        <f>审定报表!A46=TB!A46</f>
        <v>1</v>
      </c>
    </row>
    <row r="47" spans="1:11" ht="14.4" customHeight="1">
      <c r="A47" s="809" t="str">
        <f>未审报表!A47</f>
        <v>存货跌价准备</v>
      </c>
      <c r="B47" s="810">
        <f>未审报表!C47</f>
        <v>0</v>
      </c>
      <c r="C47" s="810">
        <f>SUMIFS(调整事项汇总表!$I$7:$I$10020,调整事项汇总表!$D$7:$D$10020,"账项调整",调整事项汇总表!$E$7:$E$10020,IF(OR(MID(TRIM($A47),2,1)="：",MID(TRIM($A47),2,1)="、"),REPLACEB(TRIM($A47),1,4,""),TRIM($A47)))</f>
        <v>0</v>
      </c>
      <c r="D47" s="810">
        <f>SUMIFS(调整事项汇总表!$J$7:$J$10020,调整事项汇总表!$D$7:$D$10020,"账项调整",调整事项汇总表!$E$7:$E$10020,IF(OR(MID(TRIM($A47),2,1)="：",MID(TRIM($A47),2,1)="、"),REPLACEB(TRIM($A47),1,4,""),TRIM($A47)))</f>
        <v>0</v>
      </c>
      <c r="E47" s="810">
        <f>SUMIFS(调整事项汇总表!$I$7:$I$10020,调整事项汇总表!$D$7:$D$10020,"报表调整",调整事项汇总表!$E$7:$E$10020,IF(OR(MID(TRIM($A47),2,1)="：",MID(TRIM($A47),2,1)="、"),REPLACEB(TRIM($A47),1,4,""),TRIM($A47)))</f>
        <v>0</v>
      </c>
      <c r="F47" s="810">
        <f>SUMIFS(调整事项汇总表!$J$7:$J$10020,调整事项汇总表!$D$7:$D$10020,"报表调整",调整事项汇总表!$E$7:$E$10020,IF(OR(MID(TRIM($A47),2,1)="：",MID(TRIM($A47),2,1)="、"),REPLACEB(TRIM($A47),1,4,""),TRIM($A47)))</f>
        <v>0</v>
      </c>
      <c r="G47" s="810">
        <f>SUMIFS(调整事项汇总表!$I$7:$I$10020,调整事项汇总表!$D$7:$D$10020,"其他",调整事项汇总表!$E$7:$E$10020,IF(OR(MID(TRIM($A47),2,1)="：",MID(TRIM($A47),2,1)="、"),REPLACEB(TRIM($A47),1,4,""),TRIM($A47)))</f>
        <v>0</v>
      </c>
      <c r="H47" s="810">
        <f>SUMIFS(调整事项汇总表!$J$7:$J$10020,调整事项汇总表!$D$7:$D$10020,"其他",调整事项汇总表!$E$7:$E$10020,IF(OR(MID(TRIM($A47),2,1)="：",MID(TRIM($A47),2,1)="、"),REPLACEB(TRIM($A47),1,4,""),TRIM($A47)))</f>
        <v>0</v>
      </c>
      <c r="I47" s="811">
        <f>B47+D47+F47+H47-G47-E47-C47</f>
        <v>0</v>
      </c>
      <c r="J47" s="38" t="b">
        <f>A47=未审报表!A47</f>
        <v>1</v>
      </c>
      <c r="K47" s="75" t="b">
        <f>审定报表!A47=TB!A47</f>
        <v>1</v>
      </c>
    </row>
    <row r="48" spans="1:11" ht="14.4" customHeight="1">
      <c r="A48" s="809" t="str">
        <f>未审报表!A48</f>
        <v>存货</v>
      </c>
      <c r="B48" s="810">
        <f>未审报表!C48</f>
        <v>8526796.3200000003</v>
      </c>
      <c r="C48" s="810">
        <f>C46+C47</f>
        <v>10000</v>
      </c>
      <c r="D48" s="810">
        <f t="shared" ref="D48:H48" si="11">D46+D47</f>
        <v>10000</v>
      </c>
      <c r="E48" s="810">
        <f t="shared" si="11"/>
        <v>0</v>
      </c>
      <c r="F48" s="810">
        <f t="shared" si="11"/>
        <v>0</v>
      </c>
      <c r="G48" s="810">
        <f t="shared" si="11"/>
        <v>0</v>
      </c>
      <c r="H48" s="810">
        <f t="shared" si="11"/>
        <v>0</v>
      </c>
      <c r="I48" s="811">
        <f>B48+C48+E48+G48-H48-F48-D48</f>
        <v>8526796.3200000003</v>
      </c>
      <c r="J48" s="38" t="b">
        <f>A48=未审报表!A48</f>
        <v>1</v>
      </c>
      <c r="K48" s="75" t="b">
        <f>审定报表!A48=TB!A48</f>
        <v>1</v>
      </c>
    </row>
    <row r="49" spans="1:11" ht="14.4" customHeight="1">
      <c r="A49" s="809" t="str">
        <f>未审报表!A49</f>
        <v xml:space="preserve"> 其中：原材料</v>
      </c>
      <c r="B49" s="810">
        <f>未审报表!C49</f>
        <v>698003</v>
      </c>
      <c r="C49" s="810">
        <f>SUMIFS(调整事项汇总表!$I$7:$I$10020,调整事项汇总表!$D$7:$D$10020,"账项调整",调整事项汇总表!$E$7:$E$10020,"存货原值",调整事项汇总表!$F$7:$F$10020,IF(OR(MID(TRIM($A49),3,1)="：",MID(TRIM($A49),2,1)="、"),REPLACEB(TRIM($A49),1,6,""),TRIM($A49)))-SUMIFS(调整事项汇总表!$I$7:$I$10020,调整事项汇总表!$D$7:$D$10020,"账项调整",调整事项汇总表!$E$7:$E$10020,"存货跌价准备",调整事项汇总表!$F$7:$F$10020,IF(OR(MID(TRIM($A49),3,1)="：",MID(TRIM($A49),2,1)="、"),REPLACEB(TRIM($A49),1,6,""),TRIM($A49)))</f>
        <v>10000</v>
      </c>
      <c r="D49" s="810">
        <f>SUMIFS(调整事项汇总表!$J$7:$J$10020,调整事项汇总表!$D$7:$D$10020,"账项调整",调整事项汇总表!$E$7:$E$10020,"存货原值",调整事项汇总表!$F$7:$F$10020,IF(OR(MID(TRIM($A49),3,1)="：",MID(TRIM($A49),2,1)="、"),REPLACEB(TRIM($A49),1,6,""),TRIM($A49)))-SUMIFS(调整事项汇总表!$J$7:$J$10020,调整事项汇总表!$D$7:$D$10020,"账项调整",调整事项汇总表!$E$7:$E$10020,"存货跌价准备",调整事项汇总表!$F$7:$F$10020,IF(OR(MID(TRIM($A49),3,1)="：",MID(TRIM($A49),2,1)="、"),REPLACEB(TRIM($A49),1,6,""),TRIM($A49)))</f>
        <v>0</v>
      </c>
      <c r="E49" s="810">
        <f>SUMIFS(调整事项汇总表!$I$7:$I$10020,调整事项汇总表!$D$7:$D$10020,"报表调整",调整事项汇总表!$E$7:$E$10020,"存货原值",调整事项汇总表!$F$7:$F$10020,IF(OR(MID(TRIM($A49),3,1)="：",MID(TRIM($A49),2,1)="、"),REPLACEB(TRIM($A49),1,6,""),TRIM($A49)))-SUMIFS(调整事项汇总表!$I$7:$I$10020,调整事项汇总表!$D$7:$D$10020,"报表调整",调整事项汇总表!$E$7:$E$10020,"存货跌价准备",调整事项汇总表!$F$7:$F$10020,IF(OR(MID(TRIM($A49),3,1)="：",MID(TRIM($A49),2,1)="、"),REPLACEB(TRIM($A49),1,6,""),TRIM($A49)))</f>
        <v>0</v>
      </c>
      <c r="F49" s="810">
        <f>SUMIFS(调整事项汇总表!$J$7:$J$10020,调整事项汇总表!$D$7:$D$10020,"报表调整",调整事项汇总表!$E$7:$E$10020,"存货原值",调整事项汇总表!$F$7:$F$10020,IF(OR(MID(TRIM($A49),3,1)="：",MID(TRIM($A49),2,1)="、"),REPLACEB(TRIM($A49),1,6,""),TRIM($A49)))-SUMIFS(调整事项汇总表!$J$7:$J$10020,调整事项汇总表!$D$7:$D$10020,"报表调整",调整事项汇总表!$E$7:$E$10020,"存货跌价准备",调整事项汇总表!$F$7:$F$10020,IF(OR(MID(TRIM($A49),3,1)="：",MID(TRIM($A49),2,1)="、"),REPLACEB(TRIM($A49),1,6,""),TRIM($A49)))</f>
        <v>0</v>
      </c>
      <c r="G49" s="810">
        <f>SUMIFS(调整事项汇总表!$I$7:$I$10020,调整事项汇总表!$D$7:$D$10020,"其他",调整事项汇总表!$E$7:$E$10020,"存货原值",调整事项汇总表!$F$7:$F$10020,IF(OR(MID(TRIM($A49),3,1)="：",MID(TRIM($A49),2,1)="、"),REPLACEB(TRIM($A49),1,6,""),TRIM($A49)))-SUMIFS(调整事项汇总表!$I$7:$I$10020,调整事项汇总表!$D$7:$D$10020,"其他",调整事项汇总表!$E$7:$E$10020,"存货跌价准备",调整事项汇总表!$F$7:$F$10020,IF(OR(MID(TRIM($A49),3,1)="：",MID(TRIM($A49),2,1)="、"),REPLACEB(TRIM($A49),1,6,""),TRIM($A49)))</f>
        <v>0</v>
      </c>
      <c r="H49" s="810">
        <f>SUMIFS(调整事项汇总表!$J$7:$J$10020,调整事项汇总表!$D$7:$D$10020,"其他",调整事项汇总表!$E$7:$E$10020,"存货原值",调整事项汇总表!$F$7:$F$10020,IF(OR(MID(TRIM($A49),3,1)="：",MID(TRIM($A49),2,1)="、"),REPLACEB(TRIM($A49),1,6,""),TRIM($A49)))-SUMIFS(调整事项汇总表!$J$7:$J$10020,调整事项汇总表!$D$7:$D$10020,"其他",调整事项汇总表!$E$7:$E$10020,"存货跌价准备",调整事项汇总表!$F$7:$F$10020,IF(OR(MID(TRIM($A49),3,1)="：",MID(TRIM($A49),2,1)="、"),REPLACEB(TRIM($A49),1,6,""),TRIM($A49)))</f>
        <v>0</v>
      </c>
      <c r="I49" s="811">
        <f>B49+C49+E49+G49-H49-F49-D49</f>
        <v>708003</v>
      </c>
      <c r="J49" s="38" t="b">
        <f>A49=未审报表!A49</f>
        <v>1</v>
      </c>
      <c r="K49" s="75" t="b">
        <f>审定报表!A49=TB!A49</f>
        <v>1</v>
      </c>
    </row>
    <row r="50" spans="1:11" ht="14.4" customHeight="1">
      <c r="A50" s="809" t="str">
        <f>未审报表!A50</f>
        <v xml:space="preserve">    库存商品（产成品）</v>
      </c>
      <c r="B50" s="810">
        <f>未审报表!C50</f>
        <v>7000000</v>
      </c>
      <c r="C50" s="810">
        <f>SUMIFS(调整事项汇总表!$I$7:$I$10020,调整事项汇总表!$D$7:$D$10020,"账项调整",调整事项汇总表!$E$7:$E$10020,"存货原值",调整事项汇总表!$F$7:$F$10020,IF(OR(MID(TRIM($A50),3,1)="：",MID(TRIM($A50),2,1)="、"),REPLACEB(TRIM($A50),1,6,""),TRIM($A50)))-SUMIFS(调整事项汇总表!$I$7:$I$10020,调整事项汇总表!$D$7:$D$10020,"账项调整",调整事项汇总表!$E$7:$E$10020,"存货跌价准备",调整事项汇总表!$F$7:$F$10020,IF(OR(MID(TRIM($A50),3,1)="：",MID(TRIM($A50),2,1)="、"),REPLACEB(TRIM($A50),1,6,""),TRIM($A50)))</f>
        <v>0</v>
      </c>
      <c r="D50" s="810">
        <f>SUMIFS(调整事项汇总表!$J$7:$J$10020,调整事项汇总表!$D$7:$D$10020,"账项调整",调整事项汇总表!$E$7:$E$10020,"存货原值",调整事项汇总表!$F$7:$F$10020,IF(OR(MID(TRIM($A50),3,1)="：",MID(TRIM($A50),2,1)="、"),REPLACEB(TRIM($A50),1,6,""),TRIM($A50)))-SUMIFS(调整事项汇总表!$J$7:$J$10020,调整事项汇总表!$D$7:$D$10020,"账项调整",调整事项汇总表!$E$7:$E$10020,"存货跌价准备",调整事项汇总表!$F$7:$F$10020,IF(OR(MID(TRIM($A50),3,1)="：",MID(TRIM($A50),2,1)="、"),REPLACEB(TRIM($A50),1,6,""),TRIM($A50)))</f>
        <v>10000</v>
      </c>
      <c r="E50" s="810">
        <f>SUMIFS(调整事项汇总表!$I$7:$I$10020,调整事项汇总表!$D$7:$D$10020,"报表调整",调整事项汇总表!$E$7:$E$10020,"存货原值",调整事项汇总表!$F$7:$F$10020,IF(OR(MID(TRIM($A50),3,1)="：",MID(TRIM($A50),2,1)="、"),REPLACEB(TRIM($A50),1,6,""),TRIM($A50)))-SUMIFS(调整事项汇总表!$I$7:$I$10020,调整事项汇总表!$D$7:$D$10020,"报表调整",调整事项汇总表!$E$7:$E$10020,"存货跌价准备",调整事项汇总表!$F$7:$F$10020,IF(OR(MID(TRIM($A50),3,1)="：",MID(TRIM($A50),2,1)="、"),REPLACEB(TRIM($A50),1,6,""),TRIM($A50)))</f>
        <v>0</v>
      </c>
      <c r="F50" s="810">
        <f>SUMIFS(调整事项汇总表!$J$7:$J$10020,调整事项汇总表!$D$7:$D$10020,"报表调整",调整事项汇总表!$E$7:$E$10020,"存货原值",调整事项汇总表!$F$7:$F$10020,IF(OR(MID(TRIM($A50),3,1)="：",MID(TRIM($A50),2,1)="、"),REPLACEB(TRIM($A50),1,6,""),TRIM($A50)))-SUMIFS(调整事项汇总表!$J$7:$J$10020,调整事项汇总表!$D$7:$D$10020,"报表调整",调整事项汇总表!$E$7:$E$10020,"存货跌价准备",调整事项汇总表!$F$7:$F$10020,IF(OR(MID(TRIM($A50),3,1)="：",MID(TRIM($A50),2,1)="、"),REPLACEB(TRIM($A50),1,6,""),TRIM($A50)))</f>
        <v>0</v>
      </c>
      <c r="G50" s="810">
        <f>SUMIFS(调整事项汇总表!$I$7:$I$10020,调整事项汇总表!$D$7:$D$10020,"其他",调整事项汇总表!$E$7:$E$10020,"存货原值",调整事项汇总表!$F$7:$F$10020,IF(OR(MID(TRIM($A50),3,1)="：",MID(TRIM($A50),2,1)="、"),REPLACEB(TRIM($A50),1,6,""),TRIM($A50)))-SUMIFS(调整事项汇总表!$I$7:$I$10020,调整事项汇总表!$D$7:$D$10020,"其他",调整事项汇总表!$E$7:$E$10020,"存货跌价准备",调整事项汇总表!$F$7:$F$10020,IF(OR(MID(TRIM($A50),3,1)="：",MID(TRIM($A50),2,1)="、"),REPLACEB(TRIM($A50),1,6,""),TRIM($A50)))</f>
        <v>0</v>
      </c>
      <c r="H50" s="810">
        <f>SUMIFS(调整事项汇总表!$J$7:$J$10020,调整事项汇总表!$D$7:$D$10020,"其他",调整事项汇总表!$E$7:$E$10020,"存货原值",调整事项汇总表!$F$7:$F$10020,IF(OR(MID(TRIM($A50),3,1)="：",MID(TRIM($A50),2,1)="、"),REPLACEB(TRIM($A50),1,6,""),TRIM($A50)))-SUMIFS(调整事项汇总表!$J$7:$J$10020,调整事项汇总表!$D$7:$D$10020,"其他",调整事项汇总表!$E$7:$E$10020,"存货跌价准备",调整事项汇总表!$F$7:$F$10020,IF(OR(MID(TRIM($A50),3,1)="：",MID(TRIM($A50),2,1)="、"),REPLACEB(TRIM($A50),1,6,""),TRIM($A50)))</f>
        <v>0</v>
      </c>
      <c r="I50" s="811">
        <f>B50+C50+E50+G50-H50-F50-D50</f>
        <v>6990000</v>
      </c>
      <c r="J50" s="38" t="b">
        <f>A50=未审报表!A50</f>
        <v>1</v>
      </c>
      <c r="K50" s="75" t="b">
        <f>审定报表!A50=TB!A50</f>
        <v>1</v>
      </c>
    </row>
    <row r="51" spans="1:11" ht="14.4" customHeight="1">
      <c r="A51" s="809" t="str">
        <f>未审报表!A51</f>
        <v>合同资产原值</v>
      </c>
      <c r="B51" s="810">
        <f>未审报表!C51</f>
        <v>0</v>
      </c>
      <c r="C51" s="810">
        <f>SUMIFS(调整事项汇总表!$I$7:$I$10020,调整事项汇总表!$D$7:$D$10020,"账项调整",调整事项汇总表!$E$7:$E$10020,IF(OR(MID(TRIM($A51),2,1)="：",MID(TRIM($A51),2,1)="、"),REPLACEB(TRIM($A51),1,4,""),TRIM($A51)))</f>
        <v>0</v>
      </c>
      <c r="D51" s="810">
        <f>SUMIFS(调整事项汇总表!$J$7:$J$10020,调整事项汇总表!$D$7:$D$10020,"账项调整",调整事项汇总表!$E$7:$E$10020,IF(OR(MID(TRIM($A51),2,1)="：",MID(TRIM($A51),2,1)="、"),REPLACEB(TRIM($A51),1,4,""),TRIM($A51)))</f>
        <v>0</v>
      </c>
      <c r="E51" s="810">
        <f>SUMIFS(调整事项汇总表!$I$7:$I$10020,调整事项汇总表!$D$7:$D$10020,"报表调整",调整事项汇总表!$E$7:$E$10020,IF(OR(MID(TRIM($A51),2,1)="：",MID(TRIM($A51),2,1)="、"),REPLACEB(TRIM($A51),1,4,""),TRIM($A51)))</f>
        <v>0</v>
      </c>
      <c r="F51" s="810">
        <f>SUMIFS(调整事项汇总表!$J$7:$J$10020,调整事项汇总表!$D$7:$D$10020,"报表调整",调整事项汇总表!$E$7:$E$10020,IF(OR(MID(TRIM($A51),2,1)="：",MID(TRIM($A51),2,1)="、"),REPLACEB(TRIM($A51),1,4,""),TRIM($A51)))</f>
        <v>0</v>
      </c>
      <c r="G51" s="810">
        <f>SUMIFS(调整事项汇总表!$I$7:$I$10020,调整事项汇总表!$D$7:$D$10020,"其他",调整事项汇总表!$E$7:$E$10020,IF(OR(MID(TRIM($A51),2,1)="：",MID(TRIM($A51),2,1)="、"),REPLACEB(TRIM($A51),1,4,""),TRIM($A51)))</f>
        <v>0</v>
      </c>
      <c r="H51" s="810">
        <f>SUMIFS(调整事项汇总表!$J$7:$J$10020,调整事项汇总表!$D$7:$D$10020,"其他",调整事项汇总表!$E$7:$E$10020,IF(OR(MID(TRIM($A51),2,1)="：",MID(TRIM($A51),2,1)="、"),REPLACEB(TRIM($A51),1,4,""),TRIM($A51)))</f>
        <v>0</v>
      </c>
      <c r="I51" s="811">
        <f>B51+C51+E51+G51-H51-F51-D51</f>
        <v>0</v>
      </c>
      <c r="J51" s="38" t="b">
        <f>A51=未审报表!A51</f>
        <v>1</v>
      </c>
      <c r="K51" s="75" t="b">
        <f>审定报表!A51=TB!A51</f>
        <v>1</v>
      </c>
    </row>
    <row r="52" spans="1:11" ht="14.4" customHeight="1">
      <c r="A52" s="809" t="str">
        <f>未审报表!A52</f>
        <v>合同资产减值准备</v>
      </c>
      <c r="B52" s="810">
        <f>未审报表!C52</f>
        <v>0</v>
      </c>
      <c r="C52" s="810">
        <f>SUMIFS(调整事项汇总表!$I$7:$I$10020,调整事项汇总表!$D$7:$D$10020,"账项调整",调整事项汇总表!$E$7:$E$10020,IF(OR(MID(TRIM($A52),2,1)="：",MID(TRIM($A52),2,1)="、"),REPLACEB(TRIM($A52),1,4,""),TRIM($A52)))</f>
        <v>0</v>
      </c>
      <c r="D52" s="810">
        <f>SUMIFS(调整事项汇总表!$J$7:$J$10020,调整事项汇总表!$D$7:$D$10020,"账项调整",调整事项汇总表!$E$7:$E$10020,IF(OR(MID(TRIM($A52),2,1)="：",MID(TRIM($A52),2,1)="、"),REPLACEB(TRIM($A52),1,4,""),TRIM($A52)))</f>
        <v>0</v>
      </c>
      <c r="E52" s="810">
        <f>SUMIFS(调整事项汇总表!$I$7:$I$10020,调整事项汇总表!$D$7:$D$10020,"报表调整",调整事项汇总表!$E$7:$E$10020,IF(OR(MID(TRIM($A52),2,1)="：",MID(TRIM($A52),2,1)="、"),REPLACEB(TRIM($A52),1,4,""),TRIM($A52)))</f>
        <v>0</v>
      </c>
      <c r="F52" s="810">
        <f>SUMIFS(调整事项汇总表!$J$7:$J$10020,调整事项汇总表!$D$7:$D$10020,"报表调整",调整事项汇总表!$E$7:$E$10020,IF(OR(MID(TRIM($A52),2,1)="：",MID(TRIM($A52),2,1)="、"),REPLACEB(TRIM($A52),1,4,""),TRIM($A52)))</f>
        <v>0</v>
      </c>
      <c r="G52" s="810">
        <f>SUMIFS(调整事项汇总表!$I$7:$I$10020,调整事项汇总表!$D$7:$D$10020,"其他",调整事项汇总表!$E$7:$E$10020,IF(OR(MID(TRIM($A52),2,1)="：",MID(TRIM($A52),2,1)="、"),REPLACEB(TRIM($A52),1,4,""),TRIM($A52)))</f>
        <v>0</v>
      </c>
      <c r="H52" s="810">
        <f>SUMIFS(调整事项汇总表!$J$7:$J$10020,调整事项汇总表!$D$7:$D$10020,"其他",调整事项汇总表!$E$7:$E$10020,IF(OR(MID(TRIM($A52),2,1)="：",MID(TRIM($A52),2,1)="、"),REPLACEB(TRIM($A52),1,4,""),TRIM($A52)))</f>
        <v>0</v>
      </c>
      <c r="I52" s="811">
        <f>B52+D52+F52+H52-G52-E52-C52</f>
        <v>0</v>
      </c>
      <c r="J52" s="38" t="b">
        <f>A52=未审报表!A52</f>
        <v>1</v>
      </c>
      <c r="K52" s="75" t="b">
        <f>审定报表!A52=TB!A52</f>
        <v>1</v>
      </c>
    </row>
    <row r="53" spans="1:11" ht="14.4" customHeight="1">
      <c r="A53" s="809" t="str">
        <f>未审报表!A53</f>
        <v>合同资产</v>
      </c>
      <c r="B53" s="810">
        <f>未审报表!C53</f>
        <v>0</v>
      </c>
      <c r="C53" s="810">
        <f>C51+C52</f>
        <v>0</v>
      </c>
      <c r="D53" s="810">
        <f t="shared" ref="D53:H53" si="12">D51+D52</f>
        <v>0</v>
      </c>
      <c r="E53" s="810">
        <f t="shared" si="12"/>
        <v>0</v>
      </c>
      <c r="F53" s="810">
        <f t="shared" si="12"/>
        <v>0</v>
      </c>
      <c r="G53" s="810">
        <f t="shared" si="12"/>
        <v>0</v>
      </c>
      <c r="H53" s="810">
        <f t="shared" si="12"/>
        <v>0</v>
      </c>
      <c r="I53" s="811">
        <f>B53+C53+E53+G53-H53-F53-D53</f>
        <v>0</v>
      </c>
      <c r="J53" s="38" t="b">
        <f>A53=未审报表!A53</f>
        <v>1</v>
      </c>
      <c r="K53" s="75" t="b">
        <f>审定报表!A53=TB!A53</f>
        <v>1</v>
      </c>
    </row>
    <row r="54" spans="1:11" ht="14.4" customHeight="1">
      <c r="A54" s="809" t="str">
        <f>未审报表!A54</f>
        <v>持有待售资产原值</v>
      </c>
      <c r="B54" s="810">
        <f>未审报表!C54</f>
        <v>0</v>
      </c>
      <c r="C54" s="810">
        <f>SUMIFS(调整事项汇总表!$I$7:$I$10020,调整事项汇总表!$D$7:$D$10020,"账项调整",调整事项汇总表!$E$7:$E$10020,IF(OR(MID(TRIM($A54),2,1)="：",MID(TRIM($A54),2,1)="、"),REPLACEB(TRIM($A54),1,4,""),TRIM($A54)))</f>
        <v>0</v>
      </c>
      <c r="D54" s="810">
        <f>SUMIFS(调整事项汇总表!$J$7:$J$10020,调整事项汇总表!$D$7:$D$10020,"账项调整",调整事项汇总表!$E$7:$E$10020,IF(OR(MID(TRIM($A54),2,1)="：",MID(TRIM($A54),2,1)="、"),REPLACEB(TRIM($A54),1,4,""),TRIM($A54)))</f>
        <v>0</v>
      </c>
      <c r="E54" s="810">
        <f>SUMIFS(调整事项汇总表!$I$7:$I$10020,调整事项汇总表!$D$7:$D$10020,"报表调整",调整事项汇总表!$E$7:$E$10020,IF(OR(MID(TRIM($A54),2,1)="：",MID(TRIM($A54),2,1)="、"),REPLACEB(TRIM($A54),1,4,""),TRIM($A54)))</f>
        <v>0</v>
      </c>
      <c r="F54" s="810">
        <f>SUMIFS(调整事项汇总表!$J$7:$J$10020,调整事项汇总表!$D$7:$D$10020,"报表调整",调整事项汇总表!$E$7:$E$10020,IF(OR(MID(TRIM($A54),2,1)="：",MID(TRIM($A54),2,1)="、"),REPLACEB(TRIM($A54),1,4,""),TRIM($A54)))</f>
        <v>0</v>
      </c>
      <c r="G54" s="810">
        <f>SUMIFS(调整事项汇总表!$I$7:$I$10020,调整事项汇总表!$D$7:$D$10020,"其他",调整事项汇总表!$E$7:$E$10020,IF(OR(MID(TRIM($A54),2,1)="：",MID(TRIM($A54),2,1)="、"),REPLACEB(TRIM($A54),1,4,""),TRIM($A54)))</f>
        <v>0</v>
      </c>
      <c r="H54" s="810">
        <f>SUMIFS(调整事项汇总表!$J$7:$J$10020,调整事项汇总表!$D$7:$D$10020,"其他",调整事项汇总表!$E$7:$E$10020,IF(OR(MID(TRIM($A54),2,1)="：",MID(TRIM($A54),2,1)="、"),REPLACEB(TRIM($A54),1,4,""),TRIM($A54)))</f>
        <v>0</v>
      </c>
      <c r="I54" s="811">
        <f>B54+C54+E54+G54-H54-F54-D54</f>
        <v>0</v>
      </c>
      <c r="J54" s="38" t="b">
        <f>A54=未审报表!A54</f>
        <v>1</v>
      </c>
      <c r="K54" s="75" t="b">
        <f>审定报表!A54=TB!A54</f>
        <v>1</v>
      </c>
    </row>
    <row r="55" spans="1:11" ht="14.4" customHeight="1">
      <c r="A55" s="809" t="str">
        <f>未审报表!A55</f>
        <v>持有待售资产减值准备</v>
      </c>
      <c r="B55" s="810">
        <f>未审报表!C55</f>
        <v>0</v>
      </c>
      <c r="C55" s="810">
        <f>SUMIFS(调整事项汇总表!$I$7:$I$10020,调整事项汇总表!$D$7:$D$10020,"账项调整",调整事项汇总表!$E$7:$E$10020,IF(OR(MID(TRIM($A55),2,1)="：",MID(TRIM($A55),2,1)="、"),REPLACEB(TRIM($A55),1,4,""),TRIM($A55)))</f>
        <v>0</v>
      </c>
      <c r="D55" s="810">
        <f>SUMIFS(调整事项汇总表!$J$7:$J$10020,调整事项汇总表!$D$7:$D$10020,"账项调整",调整事项汇总表!$E$7:$E$10020,IF(OR(MID(TRIM($A55),2,1)="：",MID(TRIM($A55),2,1)="、"),REPLACEB(TRIM($A55),1,4,""),TRIM($A55)))</f>
        <v>0</v>
      </c>
      <c r="E55" s="810">
        <f>SUMIFS(调整事项汇总表!$I$7:$I$10020,调整事项汇总表!$D$7:$D$10020,"报表调整",调整事项汇总表!$E$7:$E$10020,IF(OR(MID(TRIM($A55),2,1)="：",MID(TRIM($A55),2,1)="、"),REPLACEB(TRIM($A55),1,4,""),TRIM($A55)))</f>
        <v>0</v>
      </c>
      <c r="F55" s="810">
        <f>SUMIFS(调整事项汇总表!$J$7:$J$10020,调整事项汇总表!$D$7:$D$10020,"报表调整",调整事项汇总表!$E$7:$E$10020,IF(OR(MID(TRIM($A55),2,1)="：",MID(TRIM($A55),2,1)="、"),REPLACEB(TRIM($A55),1,4,""),TRIM($A55)))</f>
        <v>0</v>
      </c>
      <c r="G55" s="810">
        <f>SUMIFS(调整事项汇总表!$I$7:$I$10020,调整事项汇总表!$D$7:$D$10020,"其他",调整事项汇总表!$E$7:$E$10020,IF(OR(MID(TRIM($A55),2,1)="：",MID(TRIM($A55),2,1)="、"),REPLACEB(TRIM($A55),1,4,""),TRIM($A55)))</f>
        <v>0</v>
      </c>
      <c r="H55" s="810">
        <f>SUMIFS(调整事项汇总表!$J$7:$J$10020,调整事项汇总表!$D$7:$D$10020,"其他",调整事项汇总表!$E$7:$E$10020,IF(OR(MID(TRIM($A55),2,1)="：",MID(TRIM($A55),2,1)="、"),REPLACEB(TRIM($A55),1,4,""),TRIM($A55)))</f>
        <v>0</v>
      </c>
      <c r="I55" s="811">
        <f>B55+D55+F55+H55-G55-E55-C55</f>
        <v>0</v>
      </c>
      <c r="J55" s="38" t="b">
        <f>A55=未审报表!A55</f>
        <v>1</v>
      </c>
      <c r="K55" s="75" t="b">
        <f>审定报表!A55=TB!A55</f>
        <v>1</v>
      </c>
    </row>
    <row r="56" spans="1:11" ht="14.4" customHeight="1">
      <c r="A56" s="809" t="str">
        <f>未审报表!A56</f>
        <v>持有待售资产</v>
      </c>
      <c r="B56" s="810">
        <f>未审报表!C56</f>
        <v>0</v>
      </c>
      <c r="C56" s="810">
        <f>C54+C55</f>
        <v>0</v>
      </c>
      <c r="D56" s="810">
        <f t="shared" ref="D56:H56" si="13">D54+D55</f>
        <v>0</v>
      </c>
      <c r="E56" s="810">
        <f t="shared" si="13"/>
        <v>0</v>
      </c>
      <c r="F56" s="810">
        <f t="shared" si="13"/>
        <v>0</v>
      </c>
      <c r="G56" s="810">
        <f t="shared" si="13"/>
        <v>0</v>
      </c>
      <c r="H56" s="810">
        <f t="shared" si="13"/>
        <v>0</v>
      </c>
      <c r="I56" s="811">
        <f>B56+C56+E56+G56-H56-F56-D56</f>
        <v>0</v>
      </c>
      <c r="J56" s="38" t="b">
        <f>A56=未审报表!A56</f>
        <v>1</v>
      </c>
      <c r="K56" s="75" t="b">
        <f>审定报表!A56=TB!A56</f>
        <v>1</v>
      </c>
    </row>
    <row r="57" spans="1:11" ht="14.4" customHeight="1">
      <c r="A57" s="809" t="str">
        <f>未审报表!A57</f>
        <v>一年内到期的非流动资产</v>
      </c>
      <c r="B57" s="810">
        <f>未审报表!C57</f>
        <v>0</v>
      </c>
      <c r="C57" s="810">
        <f>SUMIFS(调整事项汇总表!$I$7:$I$10020,调整事项汇总表!$D$7:$D$10020,"账项调整",调整事项汇总表!$E$7:$E$10020,IF(OR(MID(TRIM($A57),2,1)="：",MID(TRIM($A57),2,1)="、"),REPLACEB(TRIM($A57),1,4,""),TRIM($A57)))</f>
        <v>0</v>
      </c>
      <c r="D57" s="810">
        <f>SUMIFS(调整事项汇总表!$J$7:$J$10020,调整事项汇总表!$D$7:$D$10020,"账项调整",调整事项汇总表!$E$7:$E$10020,IF(OR(MID(TRIM($A57),2,1)="：",MID(TRIM($A57),2,1)="、"),REPLACEB(TRIM($A57),1,4,""),TRIM($A57)))</f>
        <v>0</v>
      </c>
      <c r="E57" s="810">
        <f>SUMIFS(调整事项汇总表!$I$7:$I$10020,调整事项汇总表!$D$7:$D$10020,"报表调整",调整事项汇总表!$E$7:$E$10020,IF(OR(MID(TRIM($A57),2,1)="：",MID(TRIM($A57),2,1)="、"),REPLACEB(TRIM($A57),1,4,""),TRIM($A57)))</f>
        <v>0</v>
      </c>
      <c r="F57" s="810">
        <f>SUMIFS(调整事项汇总表!$J$7:$J$10020,调整事项汇总表!$D$7:$D$10020,"报表调整",调整事项汇总表!$E$7:$E$10020,IF(OR(MID(TRIM($A57),2,1)="：",MID(TRIM($A57),2,1)="、"),REPLACEB(TRIM($A57),1,4,""),TRIM($A57)))</f>
        <v>0</v>
      </c>
      <c r="G57" s="810">
        <f>SUMIFS(调整事项汇总表!$I$7:$I$10020,调整事项汇总表!$D$7:$D$10020,"其他",调整事项汇总表!$E$7:$E$10020,IF(OR(MID(TRIM($A57),2,1)="：",MID(TRIM($A57),2,1)="、"),REPLACEB(TRIM($A57),1,4,""),TRIM($A57)))</f>
        <v>0</v>
      </c>
      <c r="H57" s="810">
        <f>SUMIFS(调整事项汇总表!$J$7:$J$10020,调整事项汇总表!$D$7:$D$10020,"其他",调整事项汇总表!$E$7:$E$10020,IF(OR(MID(TRIM($A57),2,1)="：",MID(TRIM($A57),2,1)="、"),REPLACEB(TRIM($A57),1,4,""),TRIM($A57)))</f>
        <v>0</v>
      </c>
      <c r="I57" s="811">
        <f t="shared" ref="I57:I59" si="14">B57+C57+E57+G57-H57-F57-D57</f>
        <v>0</v>
      </c>
      <c r="J57" s="38" t="b">
        <f>A57=未审报表!A57</f>
        <v>1</v>
      </c>
      <c r="K57" s="75" t="b">
        <f>审定报表!A57=TB!A57</f>
        <v>1</v>
      </c>
    </row>
    <row r="58" spans="1:11" ht="14.4" customHeight="1">
      <c r="A58" s="809" t="str">
        <f>未审报表!A58</f>
        <v>其他流动资产</v>
      </c>
      <c r="B58" s="810">
        <f>未审报表!C58</f>
        <v>0</v>
      </c>
      <c r="C58" s="810">
        <f>SUMIFS(调整事项汇总表!$I$7:$I$10020,调整事项汇总表!$D$7:$D$10020,"账项调整",调整事项汇总表!$E$7:$E$10020,IF(OR(MID(TRIM($A58),2,1)="：",MID(TRIM($A58),2,1)="、"),REPLACEB(TRIM($A58),1,4,""),TRIM($A58)))</f>
        <v>0</v>
      </c>
      <c r="D58" s="810">
        <f>SUMIFS(调整事项汇总表!$J$7:$J$10020,调整事项汇总表!$D$7:$D$10020,"账项调整",调整事项汇总表!$E$7:$E$10020,IF(OR(MID(TRIM($A58),2,1)="：",MID(TRIM($A58),2,1)="、"),REPLACEB(TRIM($A58),1,4,""),TRIM($A58)))</f>
        <v>0</v>
      </c>
      <c r="E58" s="810">
        <f>SUMIFS(调整事项汇总表!$I$7:$I$10020,调整事项汇总表!$D$7:$D$10020,"报表调整",调整事项汇总表!$E$7:$E$10020,IF(OR(MID(TRIM($A58),2,1)="：",MID(TRIM($A58),2,1)="、"),REPLACEB(TRIM($A58),1,4,""),TRIM($A58)))</f>
        <v>0</v>
      </c>
      <c r="F58" s="810">
        <f>SUMIFS(调整事项汇总表!$J$7:$J$10020,调整事项汇总表!$D$7:$D$10020,"报表调整",调整事项汇总表!$E$7:$E$10020,IF(OR(MID(TRIM($A58),2,1)="：",MID(TRIM($A58),2,1)="、"),REPLACEB(TRIM($A58),1,4,""),TRIM($A58)))</f>
        <v>0</v>
      </c>
      <c r="G58" s="810">
        <f>SUMIFS(调整事项汇总表!$I$7:$I$10020,调整事项汇总表!$D$7:$D$10020,"其他",调整事项汇总表!$E$7:$E$10020,IF(OR(MID(TRIM($A58),2,1)="：",MID(TRIM($A58),2,1)="、"),REPLACEB(TRIM($A58),1,4,""),TRIM($A58)))</f>
        <v>0</v>
      </c>
      <c r="H58" s="810">
        <f>SUMIFS(调整事项汇总表!$J$7:$J$10020,调整事项汇总表!$D$7:$D$10020,"其他",调整事项汇总表!$E$7:$E$10020,IF(OR(MID(TRIM($A58),2,1)="：",MID(TRIM($A58),2,1)="、"),REPLACEB(TRIM($A58),1,4,""),TRIM($A58)))</f>
        <v>0</v>
      </c>
      <c r="I58" s="811">
        <f t="shared" si="14"/>
        <v>0</v>
      </c>
      <c r="J58" s="38" t="b">
        <f>A58=未审报表!A58</f>
        <v>1</v>
      </c>
      <c r="K58" s="75" t="b">
        <f>审定报表!A58=TB!A58</f>
        <v>1</v>
      </c>
    </row>
    <row r="59" spans="1:11" s="815" customFormat="1" ht="14.4" customHeight="1">
      <c r="A59" s="805" t="str">
        <f>未审报表!A59</f>
        <v>流动资产合计</v>
      </c>
      <c r="B59" s="812">
        <f>未审报表!C59</f>
        <v>81087051.770000011</v>
      </c>
      <c r="C59" s="813">
        <f>SUM(C8:C9,C12,C13:C14,C17,C20,C23,C26,C29,C32,C33,C36,C39,C42,C45,C48,C53,C56,C57:C58)</f>
        <v>13796503.600000001</v>
      </c>
      <c r="D59" s="813">
        <f t="shared" ref="D59:H59" si="15">SUM(D8:D9,D12,D13:D14,D17,D20,D23,D26,D29,D32,D33,D36,D39,D42,D45,D48,D53,D56,D57:D58)</f>
        <v>291091.07999999996</v>
      </c>
      <c r="E59" s="813">
        <f t="shared" si="15"/>
        <v>0</v>
      </c>
      <c r="F59" s="813">
        <f t="shared" si="15"/>
        <v>0</v>
      </c>
      <c r="G59" s="813">
        <f t="shared" si="15"/>
        <v>0</v>
      </c>
      <c r="H59" s="813">
        <f t="shared" si="15"/>
        <v>0</v>
      </c>
      <c r="I59" s="814">
        <f t="shared" si="14"/>
        <v>94592464.290000007</v>
      </c>
      <c r="J59" s="38" t="b">
        <f>A59=未审报表!A59</f>
        <v>1</v>
      </c>
      <c r="K59" s="75" t="b">
        <f>审定报表!A59=TB!A59</f>
        <v>1</v>
      </c>
    </row>
    <row r="60" spans="1:11" ht="14.4" customHeight="1">
      <c r="A60" s="809" t="str">
        <f>未审报表!A60</f>
        <v>非流动资产:</v>
      </c>
      <c r="B60" s="816"/>
      <c r="C60" s="816"/>
      <c r="D60" s="816"/>
      <c r="E60" s="816"/>
      <c r="F60" s="816"/>
      <c r="G60" s="816"/>
      <c r="H60" s="816"/>
      <c r="I60" s="817"/>
      <c r="J60" s="38" t="b">
        <f>A60=未审报表!A60</f>
        <v>1</v>
      </c>
      <c r="K60" s="75" t="b">
        <f>审定报表!A60=TB!A60</f>
        <v>1</v>
      </c>
    </row>
    <row r="61" spans="1:11" ht="14.4" customHeight="1">
      <c r="A61" s="809" t="str">
        <f>未审报表!A61</f>
        <v>发放贷款和垫款原值*</v>
      </c>
      <c r="B61" s="810">
        <f>未审报表!C61</f>
        <v>0</v>
      </c>
      <c r="C61" s="810">
        <f>SUMIFS(调整事项汇总表!$I$7:$I$10020,调整事项汇总表!$D$7:$D$10020,"账项调整",调整事项汇总表!$E$7:$E$10020,IF(OR(MID(TRIM($A61),2,1)="：",MID(TRIM($A61),2,1)="、"),REPLACEB(TRIM($A61),1,4,""),TRIM($A61)))</f>
        <v>0</v>
      </c>
      <c r="D61" s="810">
        <f>SUMIFS(调整事项汇总表!$J$7:$J$10020,调整事项汇总表!$D$7:$D$10020,"账项调整",调整事项汇总表!$E$7:$E$10020,IF(OR(MID(TRIM($A61),2,1)="：",MID(TRIM($A61),2,1)="、"),REPLACEB(TRIM($A61),1,4,""),TRIM($A61)))</f>
        <v>0</v>
      </c>
      <c r="E61" s="810">
        <f>SUMIFS(调整事项汇总表!$I$7:$I$10020,调整事项汇总表!$D$7:$D$10020,"报表调整",调整事项汇总表!$E$7:$E$10020,IF(OR(MID(TRIM($A61),2,1)="：",MID(TRIM($A61),2,1)="、"),REPLACEB(TRIM($A61),1,4,""),TRIM($A61)))</f>
        <v>0</v>
      </c>
      <c r="F61" s="810">
        <f>SUMIFS(调整事项汇总表!$J$7:$J$10020,调整事项汇总表!$D$7:$D$10020,"报表调整",调整事项汇总表!$E$7:$E$10020,IF(OR(MID(TRIM($A61),2,1)="：",MID(TRIM($A61),2,1)="、"),REPLACEB(TRIM($A61),1,4,""),TRIM($A61)))</f>
        <v>0</v>
      </c>
      <c r="G61" s="810">
        <f>SUMIFS(调整事项汇总表!$I$7:$I$10020,调整事项汇总表!$D$7:$D$10020,"其他",调整事项汇总表!$E$7:$E$10020,IF(OR(MID(TRIM($A61),2,1)="：",MID(TRIM($A61),2,1)="、"),REPLACEB(TRIM($A61),1,4,""),TRIM($A61)))</f>
        <v>0</v>
      </c>
      <c r="H61" s="810">
        <f>SUMIFS(调整事项汇总表!$J$7:$J$10020,调整事项汇总表!$D$7:$D$10020,"其他",调整事项汇总表!$E$7:$E$10020,IF(OR(MID(TRIM($A61),2,1)="：",MID(TRIM($A61),2,1)="、"),REPLACEB(TRIM($A61),1,4,""),TRIM($A61)))</f>
        <v>0</v>
      </c>
      <c r="I61" s="811">
        <f>B61+C61+E61+G61-H61-F61-D61</f>
        <v>0</v>
      </c>
      <c r="J61" s="38" t="b">
        <f>A61=未审报表!A61</f>
        <v>1</v>
      </c>
      <c r="K61" s="75" t="b">
        <f>审定报表!A61=TB!A61</f>
        <v>1</v>
      </c>
    </row>
    <row r="62" spans="1:11" ht="14.4" customHeight="1">
      <c r="A62" s="809" t="str">
        <f>未审报表!A62</f>
        <v>发放贷款和垫款减值准备*</v>
      </c>
      <c r="B62" s="810">
        <f>未审报表!C62</f>
        <v>0</v>
      </c>
      <c r="C62" s="810">
        <f>SUMIFS(调整事项汇总表!$I$7:$I$10020,调整事项汇总表!$D$7:$D$10020,"账项调整",调整事项汇总表!$E$7:$E$10020,IF(OR(MID(TRIM($A62),2,1)="：",MID(TRIM($A62),2,1)="、"),REPLACEB(TRIM($A62),1,4,""),TRIM($A62)))</f>
        <v>0</v>
      </c>
      <c r="D62" s="810">
        <f>SUMIFS(调整事项汇总表!$J$7:$J$10020,调整事项汇总表!$D$7:$D$10020,"账项调整",调整事项汇总表!$E$7:$E$10020,IF(OR(MID(TRIM($A62),2,1)="：",MID(TRIM($A62),2,1)="、"),REPLACEB(TRIM($A62),1,4,""),TRIM($A62)))</f>
        <v>0</v>
      </c>
      <c r="E62" s="810">
        <f>SUMIFS(调整事项汇总表!$I$7:$I$10020,调整事项汇总表!$D$7:$D$10020,"报表调整",调整事项汇总表!$E$7:$E$10020,IF(OR(MID(TRIM($A62),2,1)="：",MID(TRIM($A62),2,1)="、"),REPLACEB(TRIM($A62),1,4,""),TRIM($A62)))</f>
        <v>0</v>
      </c>
      <c r="F62" s="810">
        <f>SUMIFS(调整事项汇总表!$J$7:$J$10020,调整事项汇总表!$D$7:$D$10020,"报表调整",调整事项汇总表!$E$7:$E$10020,IF(OR(MID(TRIM($A62),2,1)="：",MID(TRIM($A62),2,1)="、"),REPLACEB(TRIM($A62),1,4,""),TRIM($A62)))</f>
        <v>0</v>
      </c>
      <c r="G62" s="810">
        <f>SUMIFS(调整事项汇总表!$I$7:$I$10020,调整事项汇总表!$D$7:$D$10020,"其他",调整事项汇总表!$E$7:$E$10020,IF(OR(MID(TRIM($A62),2,1)="：",MID(TRIM($A62),2,1)="、"),REPLACEB(TRIM($A62),1,4,""),TRIM($A62)))</f>
        <v>0</v>
      </c>
      <c r="H62" s="810">
        <f>SUMIFS(调整事项汇总表!$J$7:$J$10020,调整事项汇总表!$D$7:$D$10020,"其他",调整事项汇总表!$E$7:$E$10020,IF(OR(MID(TRIM($A62),2,1)="：",MID(TRIM($A62),2,1)="、"),REPLACEB(TRIM($A62),1,4,""),TRIM($A62)))</f>
        <v>0</v>
      </c>
      <c r="I62" s="811">
        <f>B62+D62+F62+H62-G62-E62-C62</f>
        <v>0</v>
      </c>
      <c r="J62" s="38" t="b">
        <f>A62=未审报表!A62</f>
        <v>1</v>
      </c>
      <c r="K62" s="75" t="b">
        <f>审定报表!A62=TB!A62</f>
        <v>1</v>
      </c>
    </row>
    <row r="63" spans="1:11" ht="14.4" customHeight="1">
      <c r="A63" s="809" t="str">
        <f>未审报表!A63</f>
        <v>发放贷款和垫款*</v>
      </c>
      <c r="B63" s="810">
        <f>未审报表!C63</f>
        <v>0</v>
      </c>
      <c r="C63" s="810">
        <f>C61+C62</f>
        <v>0</v>
      </c>
      <c r="D63" s="810">
        <f t="shared" ref="D63:H63" si="16">D61+D62</f>
        <v>0</v>
      </c>
      <c r="E63" s="810">
        <f t="shared" si="16"/>
        <v>0</v>
      </c>
      <c r="F63" s="810">
        <f t="shared" si="16"/>
        <v>0</v>
      </c>
      <c r="G63" s="810">
        <f t="shared" si="16"/>
        <v>0</v>
      </c>
      <c r="H63" s="810">
        <f t="shared" si="16"/>
        <v>0</v>
      </c>
      <c r="I63" s="811">
        <f>B63+C63+E63+G63-H63-F63-D63</f>
        <v>0</v>
      </c>
      <c r="J63" s="38" t="b">
        <f>A63=未审报表!A63</f>
        <v>1</v>
      </c>
      <c r="K63" s="75" t="b">
        <f>审定报表!A63=TB!A63</f>
        <v>1</v>
      </c>
    </row>
    <row r="64" spans="1:11">
      <c r="A64" s="809" t="str">
        <f>未审报表!A64</f>
        <v>债权投资原值</v>
      </c>
      <c r="B64" s="810">
        <f>未审报表!C64</f>
        <v>0</v>
      </c>
      <c r="C64" s="810">
        <f>SUMIFS(调整事项汇总表!$I$7:$I$10020,调整事项汇总表!$D$7:$D$10020,"账项调整",调整事项汇总表!$E$7:$E$10020,IF(OR(MID(TRIM($A64),2,1)="：",MID(TRIM($A64),2,1)="、"),REPLACEB(TRIM($A64),1,4,""),TRIM($A64)))</f>
        <v>0</v>
      </c>
      <c r="D64" s="810">
        <f>SUMIFS(调整事项汇总表!$J$7:$J$10020,调整事项汇总表!$D$7:$D$10020,"账项调整",调整事项汇总表!$E$7:$E$10020,IF(OR(MID(TRIM($A64),2,1)="：",MID(TRIM($A64),2,1)="、"),REPLACEB(TRIM($A64),1,4,""),TRIM($A64)))</f>
        <v>0</v>
      </c>
      <c r="E64" s="810">
        <f>SUMIFS(调整事项汇总表!$I$7:$I$10020,调整事项汇总表!$D$7:$D$10020,"报表调整",调整事项汇总表!$E$7:$E$10020,IF(OR(MID(TRIM($A64),2,1)="：",MID(TRIM($A64),2,1)="、"),REPLACEB(TRIM($A64),1,4,""),TRIM($A64)))</f>
        <v>0</v>
      </c>
      <c r="F64" s="810">
        <f>SUMIFS(调整事项汇总表!$J$7:$J$10020,调整事项汇总表!$D$7:$D$10020,"报表调整",调整事项汇总表!$E$7:$E$10020,IF(OR(MID(TRIM($A64),2,1)="：",MID(TRIM($A64),2,1)="、"),REPLACEB(TRIM($A64),1,4,""),TRIM($A64)))</f>
        <v>0</v>
      </c>
      <c r="G64" s="810">
        <f>SUMIFS(调整事项汇总表!$I$7:$I$10020,调整事项汇总表!$D$7:$D$10020,"其他",调整事项汇总表!$E$7:$E$10020,IF(OR(MID(TRIM($A64),2,1)="：",MID(TRIM($A64),2,1)="、"),REPLACEB(TRIM($A64),1,4,""),TRIM($A64)))</f>
        <v>0</v>
      </c>
      <c r="H64" s="810">
        <f>SUMIFS(调整事项汇总表!$J$7:$J$10020,调整事项汇总表!$D$7:$D$10020,"其他",调整事项汇总表!$E$7:$E$10020,IF(OR(MID(TRIM($A64),2,1)="：",MID(TRIM($A64),2,1)="、"),REPLACEB(TRIM($A64),1,4,""),TRIM($A64)))</f>
        <v>0</v>
      </c>
      <c r="I64" s="811">
        <f>B64+C64+E64+G64-H64-F64-D64</f>
        <v>0</v>
      </c>
      <c r="J64" s="38" t="b">
        <f>A64=未审报表!A64</f>
        <v>1</v>
      </c>
      <c r="K64" s="75" t="b">
        <f>审定报表!A64=TB!A64</f>
        <v>1</v>
      </c>
    </row>
    <row r="65" spans="1:11">
      <c r="A65" s="809" t="str">
        <f>未审报表!A65</f>
        <v>债权投资减值准备</v>
      </c>
      <c r="B65" s="810">
        <f>未审报表!C65</f>
        <v>0</v>
      </c>
      <c r="C65" s="810">
        <f>SUMIFS(调整事项汇总表!$I$7:$I$10020,调整事项汇总表!$D$7:$D$10020,"账项调整",调整事项汇总表!$E$7:$E$10020,IF(OR(MID(TRIM($A65),2,1)="：",MID(TRIM($A65),2,1)="、"),REPLACEB(TRIM($A65),1,4,""),TRIM($A65)))</f>
        <v>0</v>
      </c>
      <c r="D65" s="810">
        <f>SUMIFS(调整事项汇总表!$J$7:$J$10020,调整事项汇总表!$D$7:$D$10020,"账项调整",调整事项汇总表!$E$7:$E$10020,IF(OR(MID(TRIM($A65),2,1)="：",MID(TRIM($A65),2,1)="、"),REPLACEB(TRIM($A65),1,4,""),TRIM($A65)))</f>
        <v>0</v>
      </c>
      <c r="E65" s="810">
        <f>SUMIFS(调整事项汇总表!$I$7:$I$10020,调整事项汇总表!$D$7:$D$10020,"报表调整",调整事项汇总表!$E$7:$E$10020,IF(OR(MID(TRIM($A65),2,1)="：",MID(TRIM($A65),2,1)="、"),REPLACEB(TRIM($A65),1,4,""),TRIM($A65)))</f>
        <v>0</v>
      </c>
      <c r="F65" s="810">
        <f>SUMIFS(调整事项汇总表!$J$7:$J$10020,调整事项汇总表!$D$7:$D$10020,"报表调整",调整事项汇总表!$E$7:$E$10020,IF(OR(MID(TRIM($A65),2,1)="：",MID(TRIM($A65),2,1)="、"),REPLACEB(TRIM($A65),1,4,""),TRIM($A65)))</f>
        <v>0</v>
      </c>
      <c r="G65" s="810">
        <f>SUMIFS(调整事项汇总表!$I$7:$I$10020,调整事项汇总表!$D$7:$D$10020,"其他",调整事项汇总表!$E$7:$E$10020,IF(OR(MID(TRIM($A65),2,1)="：",MID(TRIM($A65),2,1)="、"),REPLACEB(TRIM($A65),1,4,""),TRIM($A65)))</f>
        <v>0</v>
      </c>
      <c r="H65" s="810">
        <f>SUMIFS(调整事项汇总表!$J$7:$J$10020,调整事项汇总表!$D$7:$D$10020,"其他",调整事项汇总表!$E$7:$E$10020,IF(OR(MID(TRIM($A65),2,1)="：",MID(TRIM($A65),2,1)="、"),REPLACEB(TRIM($A65),1,4,""),TRIM($A65)))</f>
        <v>0</v>
      </c>
      <c r="I65" s="811">
        <f>B65+D65+F65+H65-G65-E65-C65</f>
        <v>0</v>
      </c>
      <c r="J65" s="38" t="b">
        <f>A65=未审报表!A65</f>
        <v>1</v>
      </c>
      <c r="K65" s="75" t="b">
        <f>审定报表!A65=TB!A65</f>
        <v>1</v>
      </c>
    </row>
    <row r="66" spans="1:11">
      <c r="A66" s="809" t="str">
        <f>未审报表!A66</f>
        <v>债权投资</v>
      </c>
      <c r="B66" s="810">
        <f>未审报表!C66</f>
        <v>0</v>
      </c>
      <c r="C66" s="810">
        <f>C64+C65</f>
        <v>0</v>
      </c>
      <c r="D66" s="810">
        <f t="shared" ref="D66:H66" si="17">D64+D65</f>
        <v>0</v>
      </c>
      <c r="E66" s="810">
        <f t="shared" si="17"/>
        <v>0</v>
      </c>
      <c r="F66" s="810">
        <f t="shared" si="17"/>
        <v>0</v>
      </c>
      <c r="G66" s="810">
        <f t="shared" si="17"/>
        <v>0</v>
      </c>
      <c r="H66" s="810">
        <f t="shared" si="17"/>
        <v>0</v>
      </c>
      <c r="I66" s="811">
        <f>B66+C66+E66+G66-H66-F66-D66</f>
        <v>0</v>
      </c>
      <c r="J66" s="38" t="b">
        <f>A66=未审报表!A66</f>
        <v>1</v>
      </c>
      <c r="K66" s="75" t="b">
        <f>审定报表!A66=TB!A66</f>
        <v>1</v>
      </c>
    </row>
    <row r="67" spans="1:11">
      <c r="A67" s="809" t="str">
        <f>未审报表!A67</f>
        <v>其他债权投资原值</v>
      </c>
      <c r="B67" s="810">
        <f>未审报表!C67</f>
        <v>0</v>
      </c>
      <c r="C67" s="810">
        <f>SUMIFS(调整事项汇总表!$I$7:$I$10020,调整事项汇总表!$D$7:$D$10020,"账项调整",调整事项汇总表!$E$7:$E$10020,IF(OR(MID(TRIM($A67),2,1)="：",MID(TRIM($A67),2,1)="、"),REPLACEB(TRIM($A67),1,4,""),TRIM($A67)))</f>
        <v>0</v>
      </c>
      <c r="D67" s="810">
        <f>SUMIFS(调整事项汇总表!$J$7:$J$10020,调整事项汇总表!$D$7:$D$10020,"账项调整",调整事项汇总表!$E$7:$E$10020,IF(OR(MID(TRIM($A67),2,1)="：",MID(TRIM($A67),2,1)="、"),REPLACEB(TRIM($A67),1,4,""),TRIM($A67)))</f>
        <v>0</v>
      </c>
      <c r="E67" s="810">
        <f>SUMIFS(调整事项汇总表!$I$7:$I$10020,调整事项汇总表!$D$7:$D$10020,"报表调整",调整事项汇总表!$E$7:$E$10020,IF(OR(MID(TRIM($A67),2,1)="：",MID(TRIM($A67),2,1)="、"),REPLACEB(TRIM($A67),1,4,""),TRIM($A67)))</f>
        <v>0</v>
      </c>
      <c r="F67" s="810">
        <f>SUMIFS(调整事项汇总表!$J$7:$J$10020,调整事项汇总表!$D$7:$D$10020,"报表调整",调整事项汇总表!$E$7:$E$10020,IF(OR(MID(TRIM($A67),2,1)="：",MID(TRIM($A67),2,1)="、"),REPLACEB(TRIM($A67),1,4,""),TRIM($A67)))</f>
        <v>0</v>
      </c>
      <c r="G67" s="810">
        <f>SUMIFS(调整事项汇总表!$I$7:$I$10020,调整事项汇总表!$D$7:$D$10020,"其他",调整事项汇总表!$E$7:$E$10020,IF(OR(MID(TRIM($A67),2,1)="：",MID(TRIM($A67),2,1)="、"),REPLACEB(TRIM($A67),1,4,""),TRIM($A67)))</f>
        <v>0</v>
      </c>
      <c r="H67" s="810">
        <f>SUMIFS(调整事项汇总表!$J$7:$J$10020,调整事项汇总表!$D$7:$D$10020,"其他",调整事项汇总表!$E$7:$E$10020,IF(OR(MID(TRIM($A67),2,1)="：",MID(TRIM($A67),2,1)="、"),REPLACEB(TRIM($A67),1,4,""),TRIM($A67)))</f>
        <v>0</v>
      </c>
      <c r="I67" s="811">
        <f>B67+C67+E67+G67-H67-F67-D67</f>
        <v>0</v>
      </c>
      <c r="J67" s="38" t="b">
        <f>A67=未审报表!A67</f>
        <v>1</v>
      </c>
      <c r="K67" s="75" t="b">
        <f>审定报表!A67=TB!A67</f>
        <v>1</v>
      </c>
    </row>
    <row r="68" spans="1:11">
      <c r="A68" s="809" t="str">
        <f>未审报表!A68</f>
        <v>其他债权投资减值准备</v>
      </c>
      <c r="B68" s="810">
        <f>未审报表!C68</f>
        <v>0</v>
      </c>
      <c r="C68" s="810">
        <f>SUMIFS(调整事项汇总表!$I$7:$I$10020,调整事项汇总表!$D$7:$D$10020,"账项调整",调整事项汇总表!$E$7:$E$10020,IF(OR(MID(TRIM($A68),2,1)="：",MID(TRIM($A68),2,1)="、"),REPLACEB(TRIM($A68),1,4,""),TRIM($A68)))</f>
        <v>0</v>
      </c>
      <c r="D68" s="810">
        <f>SUMIFS(调整事项汇总表!$J$7:$J$10020,调整事项汇总表!$D$7:$D$10020,"账项调整",调整事项汇总表!$E$7:$E$10020,IF(OR(MID(TRIM($A68),2,1)="：",MID(TRIM($A68),2,1)="、"),REPLACEB(TRIM($A68),1,4,""),TRIM($A68)))</f>
        <v>0</v>
      </c>
      <c r="E68" s="810">
        <f>SUMIFS(调整事项汇总表!$I$7:$I$10020,调整事项汇总表!$D$7:$D$10020,"报表调整",调整事项汇总表!$E$7:$E$10020,IF(OR(MID(TRIM($A68),2,1)="：",MID(TRIM($A68),2,1)="、"),REPLACEB(TRIM($A68),1,4,""),TRIM($A68)))</f>
        <v>0</v>
      </c>
      <c r="F68" s="810">
        <f>SUMIFS(调整事项汇总表!$J$7:$J$10020,调整事项汇总表!$D$7:$D$10020,"报表调整",调整事项汇总表!$E$7:$E$10020,IF(OR(MID(TRIM($A68),2,1)="：",MID(TRIM($A68),2,1)="、"),REPLACEB(TRIM($A68),1,4,""),TRIM($A68)))</f>
        <v>0</v>
      </c>
      <c r="G68" s="810">
        <f>SUMIFS(调整事项汇总表!$I$7:$I$10020,调整事项汇总表!$D$7:$D$10020,"其他",调整事项汇总表!$E$7:$E$10020,IF(OR(MID(TRIM($A68),2,1)="：",MID(TRIM($A68),2,1)="、"),REPLACEB(TRIM($A68),1,4,""),TRIM($A68)))</f>
        <v>0</v>
      </c>
      <c r="H68" s="810">
        <f>SUMIFS(调整事项汇总表!$J$7:$J$10020,调整事项汇总表!$D$7:$D$10020,"其他",调整事项汇总表!$E$7:$E$10020,IF(OR(MID(TRIM($A68),2,1)="：",MID(TRIM($A68),2,1)="、"),REPLACEB(TRIM($A68),1,4,""),TRIM($A68)))</f>
        <v>0</v>
      </c>
      <c r="I68" s="811">
        <f>B68+D68+F68+H68-G68-E68-C68</f>
        <v>0</v>
      </c>
      <c r="J68" s="38" t="b">
        <f>A68=未审报表!A68</f>
        <v>1</v>
      </c>
      <c r="K68" s="75" t="b">
        <f>审定报表!A68=TB!A68</f>
        <v>1</v>
      </c>
    </row>
    <row r="69" spans="1:11">
      <c r="A69" s="809" t="str">
        <f>未审报表!A69</f>
        <v>其他债权投资</v>
      </c>
      <c r="B69" s="810">
        <f>未审报表!C69</f>
        <v>0</v>
      </c>
      <c r="C69" s="810">
        <f>C67+C68</f>
        <v>0</v>
      </c>
      <c r="D69" s="810">
        <f t="shared" ref="D69:H69" si="18">D67+D68</f>
        <v>0</v>
      </c>
      <c r="E69" s="810">
        <f t="shared" si="18"/>
        <v>0</v>
      </c>
      <c r="F69" s="810">
        <f t="shared" si="18"/>
        <v>0</v>
      </c>
      <c r="G69" s="810">
        <f t="shared" si="18"/>
        <v>0</v>
      </c>
      <c r="H69" s="810">
        <f t="shared" si="18"/>
        <v>0</v>
      </c>
      <c r="I69" s="811">
        <f>B69+C69+E69+G69-H69-F69-D69</f>
        <v>0</v>
      </c>
      <c r="J69" s="38" t="b">
        <f>A69=未审报表!A69</f>
        <v>1</v>
      </c>
      <c r="K69" s="75" t="b">
        <f>审定报表!A69=TB!A69</f>
        <v>1</v>
      </c>
    </row>
    <row r="70" spans="1:11">
      <c r="A70" s="809" t="str">
        <f>未审报表!A70</f>
        <v>长期应收款原值</v>
      </c>
      <c r="B70" s="810">
        <f>未审报表!C70</f>
        <v>0</v>
      </c>
      <c r="C70" s="810">
        <f>SUMIFS(调整事项汇总表!$I$7:$I$10020,调整事项汇总表!$D$7:$D$10020,"账项调整",调整事项汇总表!$E$7:$E$10020,IF(OR(MID(TRIM($A70),2,1)="：",MID(TRIM($A70),2,1)="、"),REPLACEB(TRIM($A70),1,4,""),TRIM($A70)))</f>
        <v>0</v>
      </c>
      <c r="D70" s="810">
        <f>SUMIFS(调整事项汇总表!$J$7:$J$10020,调整事项汇总表!$D$7:$D$10020,"账项调整",调整事项汇总表!$E$7:$E$10020,IF(OR(MID(TRIM($A70),2,1)="：",MID(TRIM($A70),2,1)="、"),REPLACEB(TRIM($A70),1,4,""),TRIM($A70)))</f>
        <v>0</v>
      </c>
      <c r="E70" s="810">
        <f>SUMIFS(调整事项汇总表!$I$7:$I$10020,调整事项汇总表!$D$7:$D$10020,"报表调整",调整事项汇总表!$E$7:$E$10020,IF(OR(MID(TRIM($A70),2,1)="：",MID(TRIM($A70),2,1)="、"),REPLACEB(TRIM($A70),1,4,""),TRIM($A70)))</f>
        <v>0</v>
      </c>
      <c r="F70" s="810">
        <f>SUMIFS(调整事项汇总表!$J$7:$J$10020,调整事项汇总表!$D$7:$D$10020,"报表调整",调整事项汇总表!$E$7:$E$10020,IF(OR(MID(TRIM($A70),2,1)="：",MID(TRIM($A70),2,1)="、"),REPLACEB(TRIM($A70),1,4,""),TRIM($A70)))</f>
        <v>0</v>
      </c>
      <c r="G70" s="810">
        <f>SUMIFS(调整事项汇总表!$I$7:$I$10020,调整事项汇总表!$D$7:$D$10020,"其他",调整事项汇总表!$E$7:$E$10020,IF(OR(MID(TRIM($A70),2,1)="：",MID(TRIM($A70),2,1)="、"),REPLACEB(TRIM($A70),1,4,""),TRIM($A70)))</f>
        <v>0</v>
      </c>
      <c r="H70" s="810">
        <f>SUMIFS(调整事项汇总表!$J$7:$J$10020,调整事项汇总表!$D$7:$D$10020,"其他",调整事项汇总表!$E$7:$E$10020,IF(OR(MID(TRIM($A70),2,1)="：",MID(TRIM($A70),2,1)="、"),REPLACEB(TRIM($A70),1,4,""),TRIM($A70)))</f>
        <v>0</v>
      </c>
      <c r="I70" s="811">
        <f>B70+C70+E70+G70-H70-F70-D70</f>
        <v>0</v>
      </c>
      <c r="J70" s="38" t="b">
        <f>A70=未审报表!A70</f>
        <v>1</v>
      </c>
      <c r="K70" s="75" t="b">
        <f>审定报表!A70=TB!A70</f>
        <v>1</v>
      </c>
    </row>
    <row r="71" spans="1:11">
      <c r="A71" s="809" t="str">
        <f>未审报表!A71</f>
        <v>长期应收款坏账准备</v>
      </c>
      <c r="B71" s="810">
        <f>未审报表!C71</f>
        <v>0</v>
      </c>
      <c r="C71" s="810">
        <f>SUMIFS(调整事项汇总表!$I$7:$I$10020,调整事项汇总表!$D$7:$D$10020,"账项调整",调整事项汇总表!$E$7:$E$10020,IF(OR(MID(TRIM($A71),2,1)="：",MID(TRIM($A71),2,1)="、"),REPLACEB(TRIM($A71),1,4,""),TRIM($A71)))</f>
        <v>0</v>
      </c>
      <c r="D71" s="810">
        <f>SUMIFS(调整事项汇总表!$J$7:$J$10020,调整事项汇总表!$D$7:$D$10020,"账项调整",调整事项汇总表!$E$7:$E$10020,IF(OR(MID(TRIM($A71),2,1)="：",MID(TRIM($A71),2,1)="、"),REPLACEB(TRIM($A71),1,4,""),TRIM($A71)))</f>
        <v>0</v>
      </c>
      <c r="E71" s="810">
        <f>SUMIFS(调整事项汇总表!$I$7:$I$10020,调整事项汇总表!$D$7:$D$10020,"报表调整",调整事项汇总表!$E$7:$E$10020,IF(OR(MID(TRIM($A71),2,1)="：",MID(TRIM($A71),2,1)="、"),REPLACEB(TRIM($A71),1,4,""),TRIM($A71)))</f>
        <v>0</v>
      </c>
      <c r="F71" s="810">
        <f>SUMIFS(调整事项汇总表!$J$7:$J$10020,调整事项汇总表!$D$7:$D$10020,"报表调整",调整事项汇总表!$E$7:$E$10020,IF(OR(MID(TRIM($A71),2,1)="：",MID(TRIM($A71),2,1)="、"),REPLACEB(TRIM($A71),1,4,""),TRIM($A71)))</f>
        <v>0</v>
      </c>
      <c r="G71" s="810">
        <f>SUMIFS(调整事项汇总表!$I$7:$I$10020,调整事项汇总表!$D$7:$D$10020,"其他",调整事项汇总表!$E$7:$E$10020,IF(OR(MID(TRIM($A71),2,1)="：",MID(TRIM($A71),2,1)="、"),REPLACEB(TRIM($A71),1,4,""),TRIM($A71)))</f>
        <v>0</v>
      </c>
      <c r="H71" s="810">
        <f>SUMIFS(调整事项汇总表!$J$7:$J$10020,调整事项汇总表!$D$7:$D$10020,"其他",调整事项汇总表!$E$7:$E$10020,IF(OR(MID(TRIM($A71),2,1)="：",MID(TRIM($A71),2,1)="、"),REPLACEB(TRIM($A71),1,4,""),TRIM($A71)))</f>
        <v>0</v>
      </c>
      <c r="I71" s="811">
        <f>B71+D71+F71+H71-G71-E71-C71</f>
        <v>0</v>
      </c>
      <c r="J71" s="38" t="b">
        <f>A71=未审报表!A71</f>
        <v>1</v>
      </c>
      <c r="K71" s="75" t="b">
        <f>审定报表!A71=TB!A71</f>
        <v>1</v>
      </c>
    </row>
    <row r="72" spans="1:11">
      <c r="A72" s="809" t="str">
        <f>未审报表!A72</f>
        <v>长期应收款</v>
      </c>
      <c r="B72" s="810">
        <f>未审报表!C72</f>
        <v>0</v>
      </c>
      <c r="C72" s="810">
        <f>C70+C71</f>
        <v>0</v>
      </c>
      <c r="D72" s="810">
        <f t="shared" ref="D72:H72" si="19">D70+D71</f>
        <v>0</v>
      </c>
      <c r="E72" s="810">
        <f t="shared" si="19"/>
        <v>0</v>
      </c>
      <c r="F72" s="810">
        <f t="shared" si="19"/>
        <v>0</v>
      </c>
      <c r="G72" s="810">
        <f t="shared" si="19"/>
        <v>0</v>
      </c>
      <c r="H72" s="810">
        <f t="shared" si="19"/>
        <v>0</v>
      </c>
      <c r="I72" s="811">
        <f>B72+C72+E72+G72-H72-F72-D72</f>
        <v>0</v>
      </c>
      <c r="J72" s="38" t="b">
        <f>A72=未审报表!A72</f>
        <v>1</v>
      </c>
      <c r="K72" s="75" t="b">
        <f>审定报表!A72=TB!A72</f>
        <v>1</v>
      </c>
    </row>
    <row r="73" spans="1:11">
      <c r="A73" s="809" t="str">
        <f>未审报表!A73</f>
        <v>设定受益计划净资产</v>
      </c>
      <c r="B73" s="810">
        <f>未审报表!C73</f>
        <v>0</v>
      </c>
      <c r="C73" s="810">
        <f>SUMIFS(调整事项汇总表!$I$7:$I$10020,调整事项汇总表!$D$7:$D$10020,"账项调整",调整事项汇总表!$E$7:$E$10020,IF(OR(MID(TRIM($A73),2,1)="：",MID(TRIM($A73),2,1)="、"),REPLACEB(TRIM($A73),1,4,""),TRIM($A73)))</f>
        <v>0</v>
      </c>
      <c r="D73" s="810">
        <f>SUMIFS(调整事项汇总表!$J$7:$J$10020,调整事项汇总表!$D$7:$D$10020,"账项调整",调整事项汇总表!$E$7:$E$10020,IF(OR(MID(TRIM($A73),2,1)="：",MID(TRIM($A73),2,1)="、"),REPLACEB(TRIM($A73),1,4,""),TRIM($A73)))</f>
        <v>0</v>
      </c>
      <c r="E73" s="810">
        <f>SUMIFS(调整事项汇总表!$I$7:$I$10020,调整事项汇总表!$D$7:$D$10020,"报表调整",调整事项汇总表!$E$7:$E$10020,IF(OR(MID(TRIM($A73),2,1)="：",MID(TRIM($A73),2,1)="、"),REPLACEB(TRIM($A73),1,4,""),TRIM($A73)))</f>
        <v>0</v>
      </c>
      <c r="F73" s="810">
        <f>SUMIFS(调整事项汇总表!$J$7:$J$10020,调整事项汇总表!$D$7:$D$10020,"报表调整",调整事项汇总表!$E$7:$E$10020,IF(OR(MID(TRIM($A73),2,1)="：",MID(TRIM($A73),2,1)="、"),REPLACEB(TRIM($A73),1,4,""),TRIM($A73)))</f>
        <v>0</v>
      </c>
      <c r="G73" s="810">
        <f>SUMIFS(调整事项汇总表!$I$7:$I$10020,调整事项汇总表!$D$7:$D$10020,"其他",调整事项汇总表!$E$7:$E$10020,IF(OR(MID(TRIM($A73),2,1)="：",MID(TRIM($A73),2,1)="、"),REPLACEB(TRIM($A73),1,4,""),TRIM($A73)))</f>
        <v>0</v>
      </c>
      <c r="H73" s="810">
        <f>SUMIFS(调整事项汇总表!$J$7:$J$10020,调整事项汇总表!$D$7:$D$10020,"其他",调整事项汇总表!$E$7:$E$10020,IF(OR(MID(TRIM($A73),2,1)="：",MID(TRIM($A73),2,1)="、"),REPLACEB(TRIM($A73),1,4,""),TRIM($A73)))</f>
        <v>0</v>
      </c>
      <c r="I73" s="811">
        <f t="shared" ref="I73" si="20">B73+C73+E73+G73-H73-F73-D73</f>
        <v>0</v>
      </c>
      <c r="J73" s="38" t="b">
        <f>A73=未审报表!A73</f>
        <v>1</v>
      </c>
      <c r="K73" s="75" t="b">
        <f>审定报表!A73=TB!A73</f>
        <v>1</v>
      </c>
    </row>
    <row r="74" spans="1:11">
      <c r="A74" s="809" t="str">
        <f>未审报表!A74</f>
        <v>长期股权投资原值</v>
      </c>
      <c r="B74" s="810">
        <f>未审报表!C74</f>
        <v>23870037.73</v>
      </c>
      <c r="C74" s="810">
        <f>SUMIFS(调整事项汇总表!$I$7:$I$10020,调整事项汇总表!$D$7:$D$10020,"账项调整",调整事项汇总表!$E$7:$E$10020,IF(OR(MID(TRIM($A74),2,1)="：",MID(TRIM($A74),2,1)="、"),REPLACEB(TRIM($A74),1,4,""),TRIM($A74)))</f>
        <v>9120002.1600000001</v>
      </c>
      <c r="D74" s="810">
        <f>SUMIFS(调整事项汇总表!$J$7:$J$10020,调整事项汇总表!$D$7:$D$10020,"账项调整",调整事项汇总表!$E$7:$E$10020,IF(OR(MID(TRIM($A74),2,1)="：",MID(TRIM($A74),2,1)="、"),REPLACEB(TRIM($A74),1,4,""),TRIM($A74)))</f>
        <v>0</v>
      </c>
      <c r="E74" s="810">
        <f>SUMIFS(调整事项汇总表!$I$7:$I$10020,调整事项汇总表!$D$7:$D$10020,"报表调整",调整事项汇总表!$E$7:$E$10020,IF(OR(MID(TRIM($A74),2,1)="：",MID(TRIM($A74),2,1)="、"),REPLACEB(TRIM($A74),1,4,""),TRIM($A74)))</f>
        <v>0</v>
      </c>
      <c r="F74" s="810">
        <f>SUMIFS(调整事项汇总表!$J$7:$J$10020,调整事项汇总表!$D$7:$D$10020,"报表调整",调整事项汇总表!$E$7:$E$10020,IF(OR(MID(TRIM($A74),2,1)="：",MID(TRIM($A74),2,1)="、"),REPLACEB(TRIM($A74),1,4,""),TRIM($A74)))</f>
        <v>0</v>
      </c>
      <c r="G74" s="810">
        <f>SUMIFS(调整事项汇总表!$I$7:$I$10020,调整事项汇总表!$D$7:$D$10020,"其他",调整事项汇总表!$E$7:$E$10020,IF(OR(MID(TRIM($A74),2,1)="：",MID(TRIM($A74),2,1)="、"),REPLACEB(TRIM($A74),1,4,""),TRIM($A74)))</f>
        <v>0</v>
      </c>
      <c r="H74" s="810">
        <f>SUMIFS(调整事项汇总表!$J$7:$J$10020,调整事项汇总表!$D$7:$D$10020,"其他",调整事项汇总表!$E$7:$E$10020,IF(OR(MID(TRIM($A74),2,1)="：",MID(TRIM($A74),2,1)="、"),REPLACEB(TRIM($A74),1,4,""),TRIM($A74)))</f>
        <v>0</v>
      </c>
      <c r="I74" s="811">
        <f>B74+C74+E74+G74-H74-F74-D74</f>
        <v>32990039.890000001</v>
      </c>
      <c r="J74" s="38" t="b">
        <f>A74=未审报表!A74</f>
        <v>1</v>
      </c>
      <c r="K74" s="75" t="b">
        <f>审定报表!A74=TB!A74</f>
        <v>1</v>
      </c>
    </row>
    <row r="75" spans="1:11">
      <c r="A75" s="809" t="str">
        <f>未审报表!A75</f>
        <v>长期股权投资减值准备</v>
      </c>
      <c r="B75" s="810">
        <f>未审报表!C75</f>
        <v>0</v>
      </c>
      <c r="C75" s="810">
        <f>SUMIFS(调整事项汇总表!$I$7:$I$10020,调整事项汇总表!$D$7:$D$10020,"账项调整",调整事项汇总表!$E$7:$E$10020,IF(OR(MID(TRIM($A75),2,1)="：",MID(TRIM($A75),2,1)="、"),REPLACEB(TRIM($A75),1,4,""),TRIM($A75)))</f>
        <v>0</v>
      </c>
      <c r="D75" s="810">
        <f>SUMIFS(调整事项汇总表!$J$7:$J$10020,调整事项汇总表!$D$7:$D$10020,"账项调整",调整事项汇总表!$E$7:$E$10020,IF(OR(MID(TRIM($A75),2,1)="：",MID(TRIM($A75),2,1)="、"),REPLACEB(TRIM($A75),1,4,""),TRIM($A75)))</f>
        <v>0</v>
      </c>
      <c r="E75" s="810">
        <f>SUMIFS(调整事项汇总表!$I$7:$I$10020,调整事项汇总表!$D$7:$D$10020,"报表调整",调整事项汇总表!$E$7:$E$10020,IF(OR(MID(TRIM($A75),2,1)="：",MID(TRIM($A75),2,1)="、"),REPLACEB(TRIM($A75),1,4,""),TRIM($A75)))</f>
        <v>0</v>
      </c>
      <c r="F75" s="810">
        <f>SUMIFS(调整事项汇总表!$J$7:$J$10020,调整事项汇总表!$D$7:$D$10020,"报表调整",调整事项汇总表!$E$7:$E$10020,IF(OR(MID(TRIM($A75),2,1)="：",MID(TRIM($A75),2,1)="、"),REPLACEB(TRIM($A75),1,4,""),TRIM($A75)))</f>
        <v>0</v>
      </c>
      <c r="G75" s="810">
        <f>SUMIFS(调整事项汇总表!$I$7:$I$10020,调整事项汇总表!$D$7:$D$10020,"其他",调整事项汇总表!$E$7:$E$10020,IF(OR(MID(TRIM($A75),2,1)="：",MID(TRIM($A75),2,1)="、"),REPLACEB(TRIM($A75),1,4,""),TRIM($A75)))</f>
        <v>0</v>
      </c>
      <c r="H75" s="810">
        <f>SUMIFS(调整事项汇总表!$J$7:$J$10020,调整事项汇总表!$D$7:$D$10020,"其他",调整事项汇总表!$E$7:$E$10020,IF(OR(MID(TRIM($A75),2,1)="：",MID(TRIM($A75),2,1)="、"),REPLACEB(TRIM($A75),1,4,""),TRIM($A75)))</f>
        <v>0</v>
      </c>
      <c r="I75" s="811">
        <f>B75+D75+F75+H75-G75-E75-C75</f>
        <v>0</v>
      </c>
      <c r="J75" s="38" t="b">
        <f>A75=未审报表!A75</f>
        <v>1</v>
      </c>
      <c r="K75" s="75" t="b">
        <f>审定报表!A75=TB!A75</f>
        <v>1</v>
      </c>
    </row>
    <row r="76" spans="1:11">
      <c r="A76" s="809" t="str">
        <f>未审报表!A76</f>
        <v>长期股权投资</v>
      </c>
      <c r="B76" s="810">
        <f>未审报表!C76</f>
        <v>23870037.73</v>
      </c>
      <c r="C76" s="810">
        <f>C74+C75</f>
        <v>9120002.1600000001</v>
      </c>
      <c r="D76" s="810">
        <f t="shared" ref="D76:H76" si="21">D74+D75</f>
        <v>0</v>
      </c>
      <c r="E76" s="810">
        <f t="shared" si="21"/>
        <v>0</v>
      </c>
      <c r="F76" s="810">
        <f t="shared" si="21"/>
        <v>0</v>
      </c>
      <c r="G76" s="810">
        <f t="shared" si="21"/>
        <v>0</v>
      </c>
      <c r="H76" s="810">
        <f t="shared" si="21"/>
        <v>0</v>
      </c>
      <c r="I76" s="811">
        <f>B76+C76+E76+G76-H76-F76-D76</f>
        <v>32990039.890000001</v>
      </c>
      <c r="J76" s="38" t="b">
        <f>A76=未审报表!A76</f>
        <v>1</v>
      </c>
      <c r="K76" s="75" t="b">
        <f>审定报表!A76=TB!A76</f>
        <v>1</v>
      </c>
    </row>
    <row r="77" spans="1:11">
      <c r="A77" s="809" t="str">
        <f>未审报表!A77</f>
        <v>其他权益工具投资</v>
      </c>
      <c r="B77" s="810">
        <f>未审报表!C77</f>
        <v>0</v>
      </c>
      <c r="C77" s="810">
        <f>SUMIFS(调整事项汇总表!$I$7:$I$10020,调整事项汇总表!$D$7:$D$10020,"账项调整",调整事项汇总表!$E$7:$E$10020,IF(OR(MID(TRIM($A77),2,1)="：",MID(TRIM($A77),2,1)="、"),REPLACEB(TRIM($A77),1,4,""),TRIM($A77)))</f>
        <v>0</v>
      </c>
      <c r="D77" s="810">
        <f>SUMIFS(调整事项汇总表!$J$7:$J$10020,调整事项汇总表!$D$7:$D$10020,"账项调整",调整事项汇总表!$E$7:$E$10020,IF(OR(MID(TRIM($A77),2,1)="：",MID(TRIM($A77),2,1)="、"),REPLACEB(TRIM($A77),1,4,""),TRIM($A77)))</f>
        <v>0</v>
      </c>
      <c r="E77" s="810">
        <f>SUMIFS(调整事项汇总表!$I$7:$I$10020,调整事项汇总表!$D$7:$D$10020,"报表调整",调整事项汇总表!$E$7:$E$10020,IF(OR(MID(TRIM($A77),2,1)="：",MID(TRIM($A77),2,1)="、"),REPLACEB(TRIM($A77),1,4,""),TRIM($A77)))</f>
        <v>0</v>
      </c>
      <c r="F77" s="810">
        <f>SUMIFS(调整事项汇总表!$J$7:$J$10020,调整事项汇总表!$D$7:$D$10020,"报表调整",调整事项汇总表!$E$7:$E$10020,IF(OR(MID(TRIM($A77),2,1)="：",MID(TRIM($A77),2,1)="、"),REPLACEB(TRIM($A77),1,4,""),TRIM($A77)))</f>
        <v>0</v>
      </c>
      <c r="G77" s="810">
        <f>SUMIFS(调整事项汇总表!$I$7:$I$10020,调整事项汇总表!$D$7:$D$10020,"其他",调整事项汇总表!$E$7:$E$10020,IF(OR(MID(TRIM($A77),2,1)="：",MID(TRIM($A77),2,1)="、"),REPLACEB(TRIM($A77),1,4,""),TRIM($A77)))</f>
        <v>0</v>
      </c>
      <c r="H77" s="810">
        <f>SUMIFS(调整事项汇总表!$J$7:$J$10020,调整事项汇总表!$D$7:$D$10020,"其他",调整事项汇总表!$E$7:$E$10020,IF(OR(MID(TRIM($A77),2,1)="：",MID(TRIM($A77),2,1)="、"),REPLACEB(TRIM($A77),1,4,""),TRIM($A77)))</f>
        <v>0</v>
      </c>
      <c r="I77" s="811">
        <f t="shared" ref="I77:I78" si="22">B77+C77+E77+G77-H77-F77-D77</f>
        <v>0</v>
      </c>
      <c r="J77" s="38" t="b">
        <f>A77=未审报表!A77</f>
        <v>1</v>
      </c>
      <c r="K77" s="75" t="b">
        <f>审定报表!A77=TB!A77</f>
        <v>1</v>
      </c>
    </row>
    <row r="78" spans="1:11">
      <c r="A78" s="809" t="str">
        <f>未审报表!A78</f>
        <v>其他非流动金融资产</v>
      </c>
      <c r="B78" s="810">
        <f>未审报表!C78</f>
        <v>0</v>
      </c>
      <c r="C78" s="810">
        <f>SUMIFS(调整事项汇总表!$I$7:$I$10020,调整事项汇总表!$D$7:$D$10020,"账项调整",调整事项汇总表!$E$7:$E$10020,IF(OR(MID(TRIM($A78),2,1)="：",MID(TRIM($A78),2,1)="、"),REPLACEB(TRIM($A78),1,4,""),TRIM($A78)))</f>
        <v>0</v>
      </c>
      <c r="D78" s="810">
        <f>SUMIFS(调整事项汇总表!$J$7:$J$10020,调整事项汇总表!$D$7:$D$10020,"账项调整",调整事项汇总表!$E$7:$E$10020,IF(OR(MID(TRIM($A78),2,1)="：",MID(TRIM($A78),2,1)="、"),REPLACEB(TRIM($A78),1,4,""),TRIM($A78)))</f>
        <v>0</v>
      </c>
      <c r="E78" s="810">
        <f>SUMIFS(调整事项汇总表!$I$7:$I$10020,调整事项汇总表!$D$7:$D$10020,"报表调整",调整事项汇总表!$E$7:$E$10020,IF(OR(MID(TRIM($A78),2,1)="：",MID(TRIM($A78),2,1)="、"),REPLACEB(TRIM($A78),1,4,""),TRIM($A78)))</f>
        <v>0</v>
      </c>
      <c r="F78" s="810">
        <f>SUMIFS(调整事项汇总表!$J$7:$J$10020,调整事项汇总表!$D$7:$D$10020,"报表调整",调整事项汇总表!$E$7:$E$10020,IF(OR(MID(TRIM($A78),2,1)="：",MID(TRIM($A78),2,1)="、"),REPLACEB(TRIM($A78),1,4,""),TRIM($A78)))</f>
        <v>0</v>
      </c>
      <c r="G78" s="810">
        <f>SUMIFS(调整事项汇总表!$I$7:$I$10020,调整事项汇总表!$D$7:$D$10020,"其他",调整事项汇总表!$E$7:$E$10020,IF(OR(MID(TRIM($A78),2,1)="：",MID(TRIM($A78),2,1)="、"),REPLACEB(TRIM($A78),1,4,""),TRIM($A78)))</f>
        <v>0</v>
      </c>
      <c r="H78" s="810">
        <f>SUMIFS(调整事项汇总表!$J$7:$J$10020,调整事项汇总表!$D$7:$D$10020,"其他",调整事项汇总表!$E$7:$E$10020,IF(OR(MID(TRIM($A78),2,1)="：",MID(TRIM($A78),2,1)="、"),REPLACEB(TRIM($A78),1,4,""),TRIM($A78)))</f>
        <v>0</v>
      </c>
      <c r="I78" s="811">
        <f t="shared" si="22"/>
        <v>0</v>
      </c>
      <c r="J78" s="38" t="b">
        <f>A78=未审报表!A78</f>
        <v>1</v>
      </c>
      <c r="K78" s="75" t="b">
        <f>审定报表!A78=TB!A78</f>
        <v>1</v>
      </c>
    </row>
    <row r="79" spans="1:11">
      <c r="A79" s="809" t="str">
        <f>未审报表!A79</f>
        <v>投资性房地产原值</v>
      </c>
      <c r="B79" s="810">
        <f>未审报表!C79</f>
        <v>0</v>
      </c>
      <c r="C79" s="810">
        <f>SUMIFS(调整事项汇总表!$I$7:$I$10020,调整事项汇总表!$D$7:$D$10020,"账项调整",调整事项汇总表!$E$7:$E$10020,IF(OR(MID(TRIM($A79),2,1)="：",MID(TRIM($A79),2,1)="、"),REPLACEB(TRIM($A79),1,4,""),TRIM($A79)))</f>
        <v>0</v>
      </c>
      <c r="D79" s="810">
        <f>SUMIFS(调整事项汇总表!$J$7:$J$10020,调整事项汇总表!$D$7:$D$10020,"账项调整",调整事项汇总表!$E$7:$E$10020,IF(OR(MID(TRIM($A79),2,1)="：",MID(TRIM($A79),2,1)="、"),REPLACEB(TRIM($A79),1,4,""),TRIM($A79)))</f>
        <v>0</v>
      </c>
      <c r="E79" s="810">
        <f>SUMIFS(调整事项汇总表!$I$7:$I$10020,调整事项汇总表!$D$7:$D$10020,"报表调整",调整事项汇总表!$E$7:$E$10020,IF(OR(MID(TRIM($A79),2,1)="：",MID(TRIM($A79),2,1)="、"),REPLACEB(TRIM($A79),1,4,""),TRIM($A79)))</f>
        <v>0</v>
      </c>
      <c r="F79" s="810">
        <f>SUMIFS(调整事项汇总表!$J$7:$J$10020,调整事项汇总表!$D$7:$D$10020,"报表调整",调整事项汇总表!$E$7:$E$10020,IF(OR(MID(TRIM($A79),2,1)="：",MID(TRIM($A79),2,1)="、"),REPLACEB(TRIM($A79),1,4,""),TRIM($A79)))</f>
        <v>0</v>
      </c>
      <c r="G79" s="810">
        <f>SUMIFS(调整事项汇总表!$I$7:$I$10020,调整事项汇总表!$D$7:$D$10020,"其他",调整事项汇总表!$E$7:$E$10020,IF(OR(MID(TRIM($A79),2,1)="：",MID(TRIM($A79),2,1)="、"),REPLACEB(TRIM($A79),1,4,""),TRIM($A79)))</f>
        <v>0</v>
      </c>
      <c r="H79" s="810">
        <f>SUMIFS(调整事项汇总表!$J$7:$J$10020,调整事项汇总表!$D$7:$D$10020,"其他",调整事项汇总表!$E$7:$E$10020,IF(OR(MID(TRIM($A79),2,1)="：",MID(TRIM($A79),2,1)="、"),REPLACEB(TRIM($A79),1,4,""),TRIM($A79)))</f>
        <v>0</v>
      </c>
      <c r="I79" s="811">
        <f>B79+C79+E79+G79-H79-F79-D79</f>
        <v>0</v>
      </c>
      <c r="J79" s="38" t="b">
        <f>A79=未审报表!A79</f>
        <v>1</v>
      </c>
      <c r="K79" s="75" t="b">
        <f>审定报表!A79=TB!A79</f>
        <v>1</v>
      </c>
    </row>
    <row r="80" spans="1:11">
      <c r="A80" s="809" t="str">
        <f>未审报表!A80</f>
        <v>投资性房地产累计折旧</v>
      </c>
      <c r="B80" s="810">
        <f>未审报表!C80</f>
        <v>0</v>
      </c>
      <c r="C80" s="810">
        <f>SUMIFS(调整事项汇总表!$I$7:$I$10020,调整事项汇总表!$D$7:$D$10020,"账项调整",调整事项汇总表!$E$7:$E$10020,IF(OR(MID(TRIM($A80),2,1)="：",MID(TRIM($A80),2,1)="、"),REPLACEB(TRIM($A80),1,4,""),TRIM($A80)))</f>
        <v>0</v>
      </c>
      <c r="D80" s="810">
        <f>SUMIFS(调整事项汇总表!$J$7:$J$10020,调整事项汇总表!$D$7:$D$10020,"账项调整",调整事项汇总表!$E$7:$E$10020,IF(OR(MID(TRIM($A80),2,1)="：",MID(TRIM($A80),2,1)="、"),REPLACEB(TRIM($A80),1,4,""),TRIM($A80)))</f>
        <v>0</v>
      </c>
      <c r="E80" s="810">
        <f>SUMIFS(调整事项汇总表!$I$7:$I$10020,调整事项汇总表!$D$7:$D$10020,"报表调整",调整事项汇总表!$E$7:$E$10020,IF(OR(MID(TRIM($A80),2,1)="：",MID(TRIM($A80),2,1)="、"),REPLACEB(TRIM($A80),1,4,""),TRIM($A80)))</f>
        <v>0</v>
      </c>
      <c r="F80" s="810">
        <f>SUMIFS(调整事项汇总表!$J$7:$J$10020,调整事项汇总表!$D$7:$D$10020,"报表调整",调整事项汇总表!$E$7:$E$10020,IF(OR(MID(TRIM($A80),2,1)="：",MID(TRIM($A80),2,1)="、"),REPLACEB(TRIM($A80),1,4,""),TRIM($A80)))</f>
        <v>0</v>
      </c>
      <c r="G80" s="810">
        <f>SUMIFS(调整事项汇总表!$I$7:$I$10020,调整事项汇总表!$D$7:$D$10020,"其他",调整事项汇总表!$E$7:$E$10020,IF(OR(MID(TRIM($A80),2,1)="：",MID(TRIM($A80),2,1)="、"),REPLACEB(TRIM($A80),1,4,""),TRIM($A80)))</f>
        <v>0</v>
      </c>
      <c r="H80" s="810">
        <f>SUMIFS(调整事项汇总表!$J$7:$J$10020,调整事项汇总表!$D$7:$D$10020,"其他",调整事项汇总表!$E$7:$E$10020,IF(OR(MID(TRIM($A80),2,1)="：",MID(TRIM($A80),2,1)="、"),REPLACEB(TRIM($A80),1,4,""),TRIM($A80)))</f>
        <v>0</v>
      </c>
      <c r="I80" s="811">
        <f>B80+D80+F80+H80-G80-E80-C80</f>
        <v>0</v>
      </c>
      <c r="J80" s="38" t="b">
        <f>A80=未审报表!A80</f>
        <v>1</v>
      </c>
      <c r="K80" s="75" t="b">
        <f>审定报表!A80=TB!A80</f>
        <v>1</v>
      </c>
    </row>
    <row r="81" spans="1:11">
      <c r="A81" s="809" t="str">
        <f>未审报表!A81</f>
        <v>投资性房地产净值</v>
      </c>
      <c r="B81" s="810">
        <f>未审报表!C81</f>
        <v>0</v>
      </c>
      <c r="C81" s="810">
        <f>C79+C80</f>
        <v>0</v>
      </c>
      <c r="D81" s="810">
        <f t="shared" ref="D81:H81" si="23">D79+D80</f>
        <v>0</v>
      </c>
      <c r="E81" s="810">
        <f t="shared" si="23"/>
        <v>0</v>
      </c>
      <c r="F81" s="810">
        <f t="shared" si="23"/>
        <v>0</v>
      </c>
      <c r="G81" s="810">
        <f t="shared" si="23"/>
        <v>0</v>
      </c>
      <c r="H81" s="810">
        <f t="shared" si="23"/>
        <v>0</v>
      </c>
      <c r="I81" s="811">
        <f>B81+C81+E81+G81-H81-F81-D81</f>
        <v>0</v>
      </c>
      <c r="J81" s="38" t="b">
        <f>A81=未审报表!A81</f>
        <v>1</v>
      </c>
      <c r="K81" s="75" t="b">
        <f>审定报表!A81=TB!A81</f>
        <v>1</v>
      </c>
    </row>
    <row r="82" spans="1:11">
      <c r="A82" s="809" t="str">
        <f>未审报表!A82</f>
        <v>投资性房地产减值准备</v>
      </c>
      <c r="B82" s="810">
        <f>未审报表!C82</f>
        <v>0</v>
      </c>
      <c r="C82" s="810">
        <f>SUMIFS(调整事项汇总表!$I$7:$I$10020,调整事项汇总表!$D$7:$D$10020,"账项调整",调整事项汇总表!$E$7:$E$10020,IF(OR(MID(TRIM($A82),2,1)="：",MID(TRIM($A82),2,1)="、"),REPLACEB(TRIM($A82),1,4,""),TRIM($A82)))</f>
        <v>0</v>
      </c>
      <c r="D82" s="810">
        <f>SUMIFS(调整事项汇总表!$J$7:$J$10020,调整事项汇总表!$D$7:$D$10020,"账项调整",调整事项汇总表!$E$7:$E$10020,IF(OR(MID(TRIM($A82),2,1)="：",MID(TRIM($A82),2,1)="、"),REPLACEB(TRIM($A82),1,4,""),TRIM($A82)))</f>
        <v>0</v>
      </c>
      <c r="E82" s="810">
        <f>SUMIFS(调整事项汇总表!$I$7:$I$10020,调整事项汇总表!$D$7:$D$10020,"报表调整",调整事项汇总表!$E$7:$E$10020,IF(OR(MID(TRIM($A82),2,1)="：",MID(TRIM($A82),2,1)="、"),REPLACEB(TRIM($A82),1,4,""),TRIM($A82)))</f>
        <v>0</v>
      </c>
      <c r="F82" s="810">
        <f>SUMIFS(调整事项汇总表!$J$7:$J$10020,调整事项汇总表!$D$7:$D$10020,"报表调整",调整事项汇总表!$E$7:$E$10020,IF(OR(MID(TRIM($A82),2,1)="：",MID(TRIM($A82),2,1)="、"),REPLACEB(TRIM($A82),1,4,""),TRIM($A82)))</f>
        <v>0</v>
      </c>
      <c r="G82" s="810">
        <f>SUMIFS(调整事项汇总表!$I$7:$I$10020,调整事项汇总表!$D$7:$D$10020,"其他",调整事项汇总表!$E$7:$E$10020,IF(OR(MID(TRIM($A82),2,1)="：",MID(TRIM($A82),2,1)="、"),REPLACEB(TRIM($A82),1,4,""),TRIM($A82)))</f>
        <v>0</v>
      </c>
      <c r="H82" s="810">
        <f>SUMIFS(调整事项汇总表!$J$7:$J$10020,调整事项汇总表!$D$7:$D$10020,"其他",调整事项汇总表!$E$7:$E$10020,IF(OR(MID(TRIM($A82),2,1)="：",MID(TRIM($A82),2,1)="、"),REPLACEB(TRIM($A82),1,4,""),TRIM($A82)))</f>
        <v>0</v>
      </c>
      <c r="I82" s="811">
        <f>B82+D82+F82+H82-G82-E82-C82</f>
        <v>0</v>
      </c>
      <c r="J82" s="38" t="b">
        <f>A82=未审报表!A82</f>
        <v>1</v>
      </c>
      <c r="K82" s="75" t="b">
        <f>审定报表!A82=TB!A82</f>
        <v>1</v>
      </c>
    </row>
    <row r="83" spans="1:11">
      <c r="A83" s="809" t="str">
        <f>未审报表!A83</f>
        <v>投资性房地产</v>
      </c>
      <c r="B83" s="810">
        <f>未审报表!C83</f>
        <v>0</v>
      </c>
      <c r="C83" s="810">
        <f>C81+C82</f>
        <v>0</v>
      </c>
      <c r="D83" s="810">
        <f t="shared" ref="D83:H83" si="24">D81+D82</f>
        <v>0</v>
      </c>
      <c r="E83" s="810">
        <f t="shared" si="24"/>
        <v>0</v>
      </c>
      <c r="F83" s="810">
        <f t="shared" si="24"/>
        <v>0</v>
      </c>
      <c r="G83" s="810">
        <f t="shared" si="24"/>
        <v>0</v>
      </c>
      <c r="H83" s="810">
        <f t="shared" si="24"/>
        <v>0</v>
      </c>
      <c r="I83" s="811">
        <f>B83+C83+E83+G83-H83-F83-D83</f>
        <v>0</v>
      </c>
      <c r="J83" s="38" t="b">
        <f>A83=未审报表!A83</f>
        <v>1</v>
      </c>
      <c r="K83" s="75" t="b">
        <f>审定报表!A83=TB!A83</f>
        <v>1</v>
      </c>
    </row>
    <row r="84" spans="1:11">
      <c r="A84" s="809" t="str">
        <f>未审报表!A84</f>
        <v>固定资产原值</v>
      </c>
      <c r="B84" s="810">
        <f>未审报表!C84</f>
        <v>114529.92</v>
      </c>
      <c r="C84" s="810">
        <f>SUMIFS(调整事项汇总表!$I$7:$I$10020,调整事项汇总表!$D$7:$D$10020,"账项调整",调整事项汇总表!$E$7:$E$10020,IF(OR(MID(TRIM($A84),2,1)="：",MID(TRIM($A84),2,1)="、"),REPLACEB(TRIM($A84),1,4,""),TRIM($A84)))</f>
        <v>0</v>
      </c>
      <c r="D84" s="810">
        <f>SUMIFS(调整事项汇总表!$J$7:$J$10020,调整事项汇总表!$D$7:$D$10020,"账项调整",调整事项汇总表!$E$7:$E$10020,IF(OR(MID(TRIM($A84),2,1)="：",MID(TRIM($A84),2,1)="、"),REPLACEB(TRIM($A84),1,4,""),TRIM($A84)))</f>
        <v>0</v>
      </c>
      <c r="E84" s="810">
        <f>SUMIFS(调整事项汇总表!$I$7:$I$10020,调整事项汇总表!$D$7:$D$10020,"报表调整",调整事项汇总表!$E$7:$E$10020,IF(OR(MID(TRIM($A84),2,1)="：",MID(TRIM($A84),2,1)="、"),REPLACEB(TRIM($A84),1,4,""),TRIM($A84)))</f>
        <v>0</v>
      </c>
      <c r="F84" s="810">
        <f>SUMIFS(调整事项汇总表!$J$7:$J$10020,调整事项汇总表!$D$7:$D$10020,"报表调整",调整事项汇总表!$E$7:$E$10020,IF(OR(MID(TRIM($A84),2,1)="：",MID(TRIM($A84),2,1)="、"),REPLACEB(TRIM($A84),1,4,""),TRIM($A84)))</f>
        <v>0</v>
      </c>
      <c r="G84" s="810">
        <f>SUMIFS(调整事项汇总表!$I$7:$I$10020,调整事项汇总表!$D$7:$D$10020,"其他",调整事项汇总表!$E$7:$E$10020,IF(OR(MID(TRIM($A84),2,1)="：",MID(TRIM($A84),2,1)="、"),REPLACEB(TRIM($A84),1,4,""),TRIM($A84)))</f>
        <v>0</v>
      </c>
      <c r="H84" s="810">
        <f>SUMIFS(调整事项汇总表!$J$7:$J$10020,调整事项汇总表!$D$7:$D$10020,"其他",调整事项汇总表!$E$7:$E$10020,IF(OR(MID(TRIM($A84),2,1)="：",MID(TRIM($A84),2,1)="、"),REPLACEB(TRIM($A84),1,4,""),TRIM($A84)))</f>
        <v>0</v>
      </c>
      <c r="I84" s="811">
        <f>B84+C84+E84+G84-H84-F84-D84</f>
        <v>114529.92</v>
      </c>
      <c r="J84" s="38" t="b">
        <f>A84=未审报表!A84</f>
        <v>1</v>
      </c>
      <c r="K84" s="75" t="b">
        <f>审定报表!A84=TB!A84</f>
        <v>1</v>
      </c>
    </row>
    <row r="85" spans="1:11">
      <c r="A85" s="809" t="str">
        <f>未审报表!A85</f>
        <v>固定资产累计折旧</v>
      </c>
      <c r="B85" s="810">
        <f>未审报表!C85</f>
        <v>15907.1</v>
      </c>
      <c r="C85" s="810">
        <f>SUMIFS(调整事项汇总表!$I$7:$I$10020,调整事项汇总表!$D$7:$D$10020,"账项调整",调整事项汇总表!$E$7:$E$10020,IF(OR(MID(TRIM($A85),2,1)="：",MID(TRIM($A85),2,1)="、"),REPLACEB(TRIM($A85),1,4,""),TRIM($A85)))</f>
        <v>0</v>
      </c>
      <c r="D85" s="810">
        <f>SUMIFS(调整事项汇总表!$J$7:$J$10020,调整事项汇总表!$D$7:$D$10020,"账项调整",调整事项汇总表!$E$7:$E$10020,IF(OR(MID(TRIM($A85),2,1)="：",MID(TRIM($A85),2,1)="、"),REPLACEB(TRIM($A85),1,4,""),TRIM($A85)))</f>
        <v>0</v>
      </c>
      <c r="E85" s="810">
        <f>SUMIFS(调整事项汇总表!$I$7:$I$10020,调整事项汇总表!$D$7:$D$10020,"报表调整",调整事项汇总表!$E$7:$E$10020,IF(OR(MID(TRIM($A85),2,1)="：",MID(TRIM($A85),2,1)="、"),REPLACEB(TRIM($A85),1,4,""),TRIM($A85)))</f>
        <v>0</v>
      </c>
      <c r="F85" s="810">
        <f>SUMIFS(调整事项汇总表!$J$7:$J$10020,调整事项汇总表!$D$7:$D$10020,"报表调整",调整事项汇总表!$E$7:$E$10020,IF(OR(MID(TRIM($A85),2,1)="：",MID(TRIM($A85),2,1)="、"),REPLACEB(TRIM($A85),1,4,""),TRIM($A85)))</f>
        <v>0</v>
      </c>
      <c r="G85" s="810">
        <f>SUMIFS(调整事项汇总表!$I$7:$I$10020,调整事项汇总表!$D$7:$D$10020,"其他",调整事项汇总表!$E$7:$E$10020,IF(OR(MID(TRIM($A85),2,1)="：",MID(TRIM($A85),2,1)="、"),REPLACEB(TRIM($A85),1,4,""),TRIM($A85)))</f>
        <v>0</v>
      </c>
      <c r="H85" s="810">
        <f>SUMIFS(调整事项汇总表!$J$7:$J$10020,调整事项汇总表!$D$7:$D$10020,"其他",调整事项汇总表!$E$7:$E$10020,IF(OR(MID(TRIM($A85),2,1)="：",MID(TRIM($A85),2,1)="、"),REPLACEB(TRIM($A85),1,4,""),TRIM($A85)))</f>
        <v>0</v>
      </c>
      <c r="I85" s="811">
        <f>B85+D85+F85+H85-G85-E85-C85</f>
        <v>15907.1</v>
      </c>
      <c r="J85" s="38" t="b">
        <f>A85=未审报表!A85</f>
        <v>1</v>
      </c>
      <c r="K85" s="75" t="b">
        <f>审定报表!A85=TB!A85</f>
        <v>1</v>
      </c>
    </row>
    <row r="86" spans="1:11">
      <c r="A86" s="809" t="str">
        <f>未审报表!A86</f>
        <v>固定资产净值</v>
      </c>
      <c r="B86" s="810">
        <f>未审报表!C86</f>
        <v>98622.819999999992</v>
      </c>
      <c r="C86" s="810">
        <f>C84+C85</f>
        <v>0</v>
      </c>
      <c r="D86" s="810">
        <f t="shared" ref="D86:H86" si="25">D84+D85</f>
        <v>0</v>
      </c>
      <c r="E86" s="810">
        <f t="shared" si="25"/>
        <v>0</v>
      </c>
      <c r="F86" s="810">
        <f t="shared" si="25"/>
        <v>0</v>
      </c>
      <c r="G86" s="810">
        <f t="shared" si="25"/>
        <v>0</v>
      </c>
      <c r="H86" s="810">
        <f t="shared" si="25"/>
        <v>0</v>
      </c>
      <c r="I86" s="811">
        <f>B86+C86+E86+G86-H86-F86-D86</f>
        <v>98622.819999999992</v>
      </c>
      <c r="J86" s="38" t="b">
        <f>A86=未审报表!A86</f>
        <v>1</v>
      </c>
      <c r="K86" s="75" t="b">
        <f>审定报表!A86=TB!A86</f>
        <v>1</v>
      </c>
    </row>
    <row r="87" spans="1:11">
      <c r="A87" s="809" t="str">
        <f>未审报表!A87</f>
        <v>固定资产减值准备</v>
      </c>
      <c r="B87" s="810">
        <f>未审报表!C87</f>
        <v>0</v>
      </c>
      <c r="C87" s="810">
        <f>SUMIFS(调整事项汇总表!$I$7:$I$10020,调整事项汇总表!$D$7:$D$10020,"账项调整",调整事项汇总表!$E$7:$E$10020,IF(OR(MID(TRIM($A87),2,1)="：",MID(TRIM($A87),2,1)="、"),REPLACEB(TRIM($A87),1,4,""),TRIM($A87)))</f>
        <v>0</v>
      </c>
      <c r="D87" s="810">
        <f>SUMIFS(调整事项汇总表!$J$7:$J$10020,调整事项汇总表!$D$7:$D$10020,"账项调整",调整事项汇总表!$E$7:$E$10020,IF(OR(MID(TRIM($A87),2,1)="：",MID(TRIM($A87),2,1)="、"),REPLACEB(TRIM($A87),1,4,""),TRIM($A87)))</f>
        <v>0</v>
      </c>
      <c r="E87" s="810">
        <f>SUMIFS(调整事项汇总表!$I$7:$I$10020,调整事项汇总表!$D$7:$D$10020,"报表调整",调整事项汇总表!$E$7:$E$10020,IF(OR(MID(TRIM($A87),2,1)="：",MID(TRIM($A87),2,1)="、"),REPLACEB(TRIM($A87),1,4,""),TRIM($A87)))</f>
        <v>0</v>
      </c>
      <c r="F87" s="810">
        <f>SUMIFS(调整事项汇总表!$J$7:$J$10020,调整事项汇总表!$D$7:$D$10020,"报表调整",调整事项汇总表!$E$7:$E$10020,IF(OR(MID(TRIM($A87),2,1)="：",MID(TRIM($A87),2,1)="、"),REPLACEB(TRIM($A87),1,4,""),TRIM($A87)))</f>
        <v>0</v>
      </c>
      <c r="G87" s="810">
        <f>SUMIFS(调整事项汇总表!$I$7:$I$10020,调整事项汇总表!$D$7:$D$10020,"其他",调整事项汇总表!$E$7:$E$10020,IF(OR(MID(TRIM($A87),2,1)="：",MID(TRIM($A87),2,1)="、"),REPLACEB(TRIM($A87),1,4,""),TRIM($A87)))</f>
        <v>0</v>
      </c>
      <c r="H87" s="810">
        <f>SUMIFS(调整事项汇总表!$J$7:$J$10020,调整事项汇总表!$D$7:$D$10020,"其他",调整事项汇总表!$E$7:$E$10020,IF(OR(MID(TRIM($A87),2,1)="：",MID(TRIM($A87),2,1)="、"),REPLACEB(TRIM($A87),1,4,""),TRIM($A87)))</f>
        <v>0</v>
      </c>
      <c r="I87" s="811">
        <f>B87+D87+F87+H87-G87-E87-C87</f>
        <v>0</v>
      </c>
      <c r="J87" s="38" t="b">
        <f>A87=未审报表!A87</f>
        <v>1</v>
      </c>
      <c r="K87" s="75" t="b">
        <f>审定报表!A87=TB!A87</f>
        <v>1</v>
      </c>
    </row>
    <row r="88" spans="1:11">
      <c r="A88" s="809" t="str">
        <f>未审报表!A88</f>
        <v>固定资产</v>
      </c>
      <c r="B88" s="810">
        <f>未审报表!C88</f>
        <v>98622.819999999992</v>
      </c>
      <c r="C88" s="810">
        <f>C86+C87</f>
        <v>0</v>
      </c>
      <c r="D88" s="810">
        <f t="shared" ref="D88:H88" si="26">D86+D87</f>
        <v>0</v>
      </c>
      <c r="E88" s="810">
        <f t="shared" si="26"/>
        <v>0</v>
      </c>
      <c r="F88" s="810">
        <f t="shared" si="26"/>
        <v>0</v>
      </c>
      <c r="G88" s="810">
        <f t="shared" si="26"/>
        <v>0</v>
      </c>
      <c r="H88" s="810">
        <f t="shared" si="26"/>
        <v>0</v>
      </c>
      <c r="I88" s="811">
        <f>B88+C88+E88+G88-H88-F88-D88</f>
        <v>98622.819999999992</v>
      </c>
      <c r="J88" s="38" t="b">
        <f>A88=未审报表!A88</f>
        <v>1</v>
      </c>
      <c r="K88" s="75" t="b">
        <f>审定报表!A88=TB!A88</f>
        <v>1</v>
      </c>
    </row>
    <row r="89" spans="1:11">
      <c r="A89" s="809" t="str">
        <f>未审报表!A89</f>
        <v>固定资产清理</v>
      </c>
      <c r="B89" s="810">
        <f>未审报表!C89</f>
        <v>0</v>
      </c>
      <c r="C89" s="810">
        <f>SUMIFS(调整事项汇总表!$I$7:$I$10020,调整事项汇总表!$D$7:$D$10020,"账项调整",调整事项汇总表!$E$7:$E$10020,IF(OR(MID(TRIM($A89),2,1)="：",MID(TRIM($A89),2,1)="、"),REPLACEB(TRIM($A89),1,4,""),TRIM($A89)))</f>
        <v>0</v>
      </c>
      <c r="D89" s="810">
        <f>SUMIFS(调整事项汇总表!$J$7:$J$10020,调整事项汇总表!$D$7:$D$10020,"账项调整",调整事项汇总表!$E$7:$E$10020,IF(OR(MID(TRIM($A89),2,1)="：",MID(TRIM($A89),2,1)="、"),REPLACEB(TRIM($A89),1,4,""),TRIM($A89)))</f>
        <v>0</v>
      </c>
      <c r="E89" s="810">
        <f>SUMIFS(调整事项汇总表!$I$7:$I$10020,调整事项汇总表!$D$7:$D$10020,"报表调整",调整事项汇总表!$E$7:$E$10020,IF(OR(MID(TRIM($A89),2,1)="：",MID(TRIM($A89),2,1)="、"),REPLACEB(TRIM($A89),1,4,""),TRIM($A89)))</f>
        <v>0</v>
      </c>
      <c r="F89" s="810">
        <f>SUMIFS(调整事项汇总表!$J$7:$J$10020,调整事项汇总表!$D$7:$D$10020,"报表调整",调整事项汇总表!$E$7:$E$10020,IF(OR(MID(TRIM($A89),2,1)="：",MID(TRIM($A89),2,1)="、"),REPLACEB(TRIM($A89),1,4,""),TRIM($A89)))</f>
        <v>0</v>
      </c>
      <c r="G89" s="810">
        <f>SUMIFS(调整事项汇总表!$I$7:$I$10020,调整事项汇总表!$D$7:$D$10020,"其他",调整事项汇总表!$E$7:$E$10020,IF(OR(MID(TRIM($A89),2,1)="：",MID(TRIM($A89),2,1)="、"),REPLACEB(TRIM($A89),1,4,""),TRIM($A89)))</f>
        <v>0</v>
      </c>
      <c r="H89" s="810">
        <f>SUMIFS(调整事项汇总表!$J$7:$J$10020,调整事项汇总表!$D$7:$D$10020,"其他",调整事项汇总表!$E$7:$E$10020,IF(OR(MID(TRIM($A89),2,1)="：",MID(TRIM($A89),2,1)="、"),REPLACEB(TRIM($A89),1,4,""),TRIM($A89)))</f>
        <v>0</v>
      </c>
      <c r="I89" s="811">
        <f>B89+C89+E89+G89-H89-F89-D89</f>
        <v>0</v>
      </c>
      <c r="J89" s="38" t="b">
        <f>A89=未审报表!A89</f>
        <v>1</v>
      </c>
      <c r="K89" s="75" t="b">
        <f>审定报表!A89=TB!A89</f>
        <v>1</v>
      </c>
    </row>
    <row r="90" spans="1:11">
      <c r="A90" s="809" t="str">
        <f>未审报表!A90</f>
        <v>在建工程原值</v>
      </c>
      <c r="B90" s="810">
        <f>未审报表!C90</f>
        <v>0</v>
      </c>
      <c r="C90" s="810">
        <f>SUMIFS(调整事项汇总表!$I$7:$I$10020,调整事项汇总表!$D$7:$D$10020,"账项调整",调整事项汇总表!$E$7:$E$10020,IF(OR(MID(TRIM($A90),2,1)="：",MID(TRIM($A90),2,1)="、"),REPLACEB(TRIM($A90),1,4,""),TRIM($A90)))</f>
        <v>0</v>
      </c>
      <c r="D90" s="810">
        <f>SUMIFS(调整事项汇总表!$J$7:$J$10020,调整事项汇总表!$D$7:$D$10020,"账项调整",调整事项汇总表!$E$7:$E$10020,IF(OR(MID(TRIM($A90),2,1)="：",MID(TRIM($A90),2,1)="、"),REPLACEB(TRIM($A90),1,4,""),TRIM($A90)))</f>
        <v>0</v>
      </c>
      <c r="E90" s="810">
        <f>SUMIFS(调整事项汇总表!$I$7:$I$10020,调整事项汇总表!$D$7:$D$10020,"报表调整",调整事项汇总表!$E$7:$E$10020,IF(OR(MID(TRIM($A90),2,1)="：",MID(TRIM($A90),2,1)="、"),REPLACEB(TRIM($A90),1,4,""),TRIM($A90)))</f>
        <v>0</v>
      </c>
      <c r="F90" s="810">
        <f>SUMIFS(调整事项汇总表!$J$7:$J$10020,调整事项汇总表!$D$7:$D$10020,"报表调整",调整事项汇总表!$E$7:$E$10020,IF(OR(MID(TRIM($A90),2,1)="：",MID(TRIM($A90),2,1)="、"),REPLACEB(TRIM($A90),1,4,""),TRIM($A90)))</f>
        <v>0</v>
      </c>
      <c r="G90" s="810">
        <f>SUMIFS(调整事项汇总表!$I$7:$I$10020,调整事项汇总表!$D$7:$D$10020,"其他",调整事项汇总表!$E$7:$E$10020,IF(OR(MID(TRIM($A90),2,1)="：",MID(TRIM($A90),2,1)="、"),REPLACEB(TRIM($A90),1,4,""),TRIM($A90)))</f>
        <v>0</v>
      </c>
      <c r="H90" s="810">
        <f>SUMIFS(调整事项汇总表!$J$7:$J$10020,调整事项汇总表!$D$7:$D$10020,"其他",调整事项汇总表!$E$7:$E$10020,IF(OR(MID(TRIM($A90),2,1)="：",MID(TRIM($A90),2,1)="、"),REPLACEB(TRIM($A90),1,4,""),TRIM($A90)))</f>
        <v>0</v>
      </c>
      <c r="I90" s="811">
        <f>B90+C90+E90+G90-H90-F90-D90</f>
        <v>0</v>
      </c>
      <c r="J90" s="38" t="b">
        <f>A90=未审报表!A90</f>
        <v>1</v>
      </c>
      <c r="K90" s="75" t="b">
        <f>审定报表!A90=TB!A90</f>
        <v>1</v>
      </c>
    </row>
    <row r="91" spans="1:11">
      <c r="A91" s="809" t="str">
        <f>未审报表!A91</f>
        <v>在建工程减值准备</v>
      </c>
      <c r="B91" s="810">
        <f>未审报表!C91</f>
        <v>0</v>
      </c>
      <c r="C91" s="810">
        <f>SUMIFS(调整事项汇总表!$I$7:$I$10020,调整事项汇总表!$D$7:$D$10020,"账项调整",调整事项汇总表!$E$7:$E$10020,IF(OR(MID(TRIM($A91),2,1)="：",MID(TRIM($A91),2,1)="、"),REPLACEB(TRIM($A91),1,4,""),TRIM($A91)))</f>
        <v>0</v>
      </c>
      <c r="D91" s="810">
        <f>SUMIFS(调整事项汇总表!$J$7:$J$10020,调整事项汇总表!$D$7:$D$10020,"账项调整",调整事项汇总表!$E$7:$E$10020,IF(OR(MID(TRIM($A91),2,1)="：",MID(TRIM($A91),2,1)="、"),REPLACEB(TRIM($A91),1,4,""),TRIM($A91)))</f>
        <v>0</v>
      </c>
      <c r="E91" s="810">
        <f>SUMIFS(调整事项汇总表!$I$7:$I$10020,调整事项汇总表!$D$7:$D$10020,"报表调整",调整事项汇总表!$E$7:$E$10020,IF(OR(MID(TRIM($A91),2,1)="：",MID(TRIM($A91),2,1)="、"),REPLACEB(TRIM($A91),1,4,""),TRIM($A91)))</f>
        <v>0</v>
      </c>
      <c r="F91" s="810">
        <f>SUMIFS(调整事项汇总表!$J$7:$J$10020,调整事项汇总表!$D$7:$D$10020,"报表调整",调整事项汇总表!$E$7:$E$10020,IF(OR(MID(TRIM($A91),2,1)="：",MID(TRIM($A91),2,1)="、"),REPLACEB(TRIM($A91),1,4,""),TRIM($A91)))</f>
        <v>0</v>
      </c>
      <c r="G91" s="810">
        <f>SUMIFS(调整事项汇总表!$I$7:$I$10020,调整事项汇总表!$D$7:$D$10020,"其他",调整事项汇总表!$E$7:$E$10020,IF(OR(MID(TRIM($A91),2,1)="：",MID(TRIM($A91),2,1)="、"),REPLACEB(TRIM($A91),1,4,""),TRIM($A91)))</f>
        <v>0</v>
      </c>
      <c r="H91" s="810">
        <f>SUMIFS(调整事项汇总表!$J$7:$J$10020,调整事项汇总表!$D$7:$D$10020,"其他",调整事项汇总表!$E$7:$E$10020,IF(OR(MID(TRIM($A91),2,1)="：",MID(TRIM($A91),2,1)="、"),REPLACEB(TRIM($A91),1,4,""),TRIM($A91)))</f>
        <v>0</v>
      </c>
      <c r="I91" s="811">
        <f>B91+D91+F91+H91-G91-E91-C91</f>
        <v>0</v>
      </c>
      <c r="J91" s="38" t="b">
        <f>A91=未审报表!A91</f>
        <v>1</v>
      </c>
      <c r="K91" s="75" t="b">
        <f>审定报表!A91=TB!A91</f>
        <v>1</v>
      </c>
    </row>
    <row r="92" spans="1:11">
      <c r="A92" s="809" t="str">
        <f>未审报表!A92</f>
        <v>在建工程</v>
      </c>
      <c r="B92" s="810">
        <f>未审报表!C92</f>
        <v>0</v>
      </c>
      <c r="C92" s="810">
        <f>C90+C91</f>
        <v>0</v>
      </c>
      <c r="D92" s="810">
        <f t="shared" ref="D92:H92" si="27">D90+D91</f>
        <v>0</v>
      </c>
      <c r="E92" s="810">
        <f t="shared" si="27"/>
        <v>0</v>
      </c>
      <c r="F92" s="810">
        <f t="shared" si="27"/>
        <v>0</v>
      </c>
      <c r="G92" s="810">
        <f t="shared" si="27"/>
        <v>0</v>
      </c>
      <c r="H92" s="810">
        <f t="shared" si="27"/>
        <v>0</v>
      </c>
      <c r="I92" s="811">
        <f>B92+C92+E92+G92-H92-F92-D92</f>
        <v>0</v>
      </c>
      <c r="J92" s="38" t="b">
        <f>A92=未审报表!A92</f>
        <v>1</v>
      </c>
      <c r="K92" s="75" t="b">
        <f>审定报表!A92=TB!A92</f>
        <v>1</v>
      </c>
    </row>
    <row r="93" spans="1:11">
      <c r="A93" s="809" t="str">
        <f>未审报表!A93</f>
        <v>工程物资原值</v>
      </c>
      <c r="B93" s="810">
        <f>未审报表!C93</f>
        <v>0</v>
      </c>
      <c r="C93" s="810">
        <f>SUMIFS(调整事项汇总表!$I$7:$I$10020,调整事项汇总表!$D$7:$D$10020,"账项调整",调整事项汇总表!$E$7:$E$10020,IF(OR(MID(TRIM($A93),2,1)="：",MID(TRIM($A93),2,1)="、"),REPLACEB(TRIM($A93),1,4,""),TRIM($A93)))</f>
        <v>0</v>
      </c>
      <c r="D93" s="810">
        <f>SUMIFS(调整事项汇总表!$J$7:$J$10020,调整事项汇总表!$D$7:$D$10020,"账项调整",调整事项汇总表!$E$7:$E$10020,IF(OR(MID(TRIM($A93),2,1)="：",MID(TRIM($A93),2,1)="、"),REPLACEB(TRIM($A93),1,4,""),TRIM($A93)))</f>
        <v>0</v>
      </c>
      <c r="E93" s="810">
        <f>SUMIFS(调整事项汇总表!$I$7:$I$10020,调整事项汇总表!$D$7:$D$10020,"报表调整",调整事项汇总表!$E$7:$E$10020,IF(OR(MID(TRIM($A93),2,1)="：",MID(TRIM($A93),2,1)="、"),REPLACEB(TRIM($A93),1,4,""),TRIM($A93)))</f>
        <v>0</v>
      </c>
      <c r="F93" s="810">
        <f>SUMIFS(调整事项汇总表!$J$7:$J$10020,调整事项汇总表!$D$7:$D$10020,"报表调整",调整事项汇总表!$E$7:$E$10020,IF(OR(MID(TRIM($A93),2,1)="：",MID(TRIM($A93),2,1)="、"),REPLACEB(TRIM($A93),1,4,""),TRIM($A93)))</f>
        <v>0</v>
      </c>
      <c r="G93" s="810">
        <f>SUMIFS(调整事项汇总表!$I$7:$I$10020,调整事项汇总表!$D$7:$D$10020,"其他",调整事项汇总表!$E$7:$E$10020,IF(OR(MID(TRIM($A93),2,1)="：",MID(TRIM($A93),2,1)="、"),REPLACEB(TRIM($A93),1,4,""),TRIM($A93)))</f>
        <v>0</v>
      </c>
      <c r="H93" s="810">
        <f>SUMIFS(调整事项汇总表!$J$7:$J$10020,调整事项汇总表!$D$7:$D$10020,"其他",调整事项汇总表!$E$7:$E$10020,IF(OR(MID(TRIM($A93),2,1)="：",MID(TRIM($A93),2,1)="、"),REPLACEB(TRIM($A93),1,4,""),TRIM($A93)))</f>
        <v>0</v>
      </c>
      <c r="I93" s="811">
        <f>B93+C93+E93+G93-H93-F93-D93</f>
        <v>0</v>
      </c>
      <c r="J93" s="38" t="b">
        <f>A93=未审报表!A93</f>
        <v>1</v>
      </c>
      <c r="K93" s="75" t="b">
        <f>审定报表!A93=TB!A93</f>
        <v>1</v>
      </c>
    </row>
    <row r="94" spans="1:11">
      <c r="A94" s="809" t="str">
        <f>未审报表!A94</f>
        <v>工程物资减值准备</v>
      </c>
      <c r="B94" s="810">
        <f>未审报表!C94</f>
        <v>0</v>
      </c>
      <c r="C94" s="810">
        <f>SUMIFS(调整事项汇总表!$I$7:$I$10020,调整事项汇总表!$D$7:$D$10020,"账项调整",调整事项汇总表!$E$7:$E$10020,IF(OR(MID(TRIM($A94),2,1)="：",MID(TRIM($A94),2,1)="、"),REPLACEB(TRIM($A94),1,4,""),TRIM($A94)))</f>
        <v>0</v>
      </c>
      <c r="D94" s="810">
        <f>SUMIFS(调整事项汇总表!$J$7:$J$10020,调整事项汇总表!$D$7:$D$10020,"账项调整",调整事项汇总表!$E$7:$E$10020,IF(OR(MID(TRIM($A94),2,1)="：",MID(TRIM($A94),2,1)="、"),REPLACEB(TRIM($A94),1,4,""),TRIM($A94)))</f>
        <v>0</v>
      </c>
      <c r="E94" s="810">
        <f>SUMIFS(调整事项汇总表!$I$7:$I$10020,调整事项汇总表!$D$7:$D$10020,"报表调整",调整事项汇总表!$E$7:$E$10020,IF(OR(MID(TRIM($A94),2,1)="：",MID(TRIM($A94),2,1)="、"),REPLACEB(TRIM($A94),1,4,""),TRIM($A94)))</f>
        <v>0</v>
      </c>
      <c r="F94" s="810">
        <f>SUMIFS(调整事项汇总表!$J$7:$J$10020,调整事项汇总表!$D$7:$D$10020,"报表调整",调整事项汇总表!$E$7:$E$10020,IF(OR(MID(TRIM($A94),2,1)="：",MID(TRIM($A94),2,1)="、"),REPLACEB(TRIM($A94),1,4,""),TRIM($A94)))</f>
        <v>0</v>
      </c>
      <c r="G94" s="810">
        <f>SUMIFS(调整事项汇总表!$I$7:$I$10020,调整事项汇总表!$D$7:$D$10020,"其他",调整事项汇总表!$E$7:$E$10020,IF(OR(MID(TRIM($A94),2,1)="：",MID(TRIM($A94),2,1)="、"),REPLACEB(TRIM($A94),1,4,""),TRIM($A94)))</f>
        <v>0</v>
      </c>
      <c r="H94" s="810">
        <f>SUMIFS(调整事项汇总表!$J$7:$J$10020,调整事项汇总表!$D$7:$D$10020,"其他",调整事项汇总表!$E$7:$E$10020,IF(OR(MID(TRIM($A94),2,1)="：",MID(TRIM($A94),2,1)="、"),REPLACEB(TRIM($A94),1,4,""),TRIM($A94)))</f>
        <v>0</v>
      </c>
      <c r="I94" s="811">
        <f>B94+D94+F94+H94-G94-E94-C94</f>
        <v>0</v>
      </c>
      <c r="J94" s="38" t="b">
        <f>A94=未审报表!A94</f>
        <v>1</v>
      </c>
      <c r="K94" s="75" t="b">
        <f>审定报表!A94=TB!A94</f>
        <v>1</v>
      </c>
    </row>
    <row r="95" spans="1:11">
      <c r="A95" s="809" t="str">
        <f>未审报表!A95</f>
        <v>工程物资</v>
      </c>
      <c r="B95" s="810">
        <f>未审报表!C95</f>
        <v>0</v>
      </c>
      <c r="C95" s="810">
        <f>C93+C94</f>
        <v>0</v>
      </c>
      <c r="D95" s="810">
        <f t="shared" ref="D95:H95" si="28">D93+D94</f>
        <v>0</v>
      </c>
      <c r="E95" s="810">
        <f t="shared" si="28"/>
        <v>0</v>
      </c>
      <c r="F95" s="810">
        <f t="shared" si="28"/>
        <v>0</v>
      </c>
      <c r="G95" s="810">
        <f t="shared" si="28"/>
        <v>0</v>
      </c>
      <c r="H95" s="810">
        <f t="shared" si="28"/>
        <v>0</v>
      </c>
      <c r="I95" s="811">
        <f>B95+C95+E95+G95-H95-F95-D95</f>
        <v>0</v>
      </c>
      <c r="J95" s="38" t="b">
        <f>A95=未审报表!A95</f>
        <v>1</v>
      </c>
      <c r="K95" s="75" t="b">
        <f>审定报表!A95=TB!A95</f>
        <v>1</v>
      </c>
    </row>
    <row r="96" spans="1:11">
      <c r="A96" s="809" t="str">
        <f>未审报表!A96</f>
        <v>生产性生物资产原值</v>
      </c>
      <c r="B96" s="810">
        <f>未审报表!C96</f>
        <v>0</v>
      </c>
      <c r="C96" s="810">
        <f>SUMIFS(调整事项汇总表!$I$7:$I$10020,调整事项汇总表!$D$7:$D$10020,"账项调整",调整事项汇总表!$E$7:$E$10020,IF(OR(MID(TRIM($A96),2,1)="：",MID(TRIM($A96),2,1)="、"),REPLACEB(TRIM($A96),1,4,""),TRIM($A96)))</f>
        <v>0</v>
      </c>
      <c r="D96" s="810">
        <f>SUMIFS(调整事项汇总表!$J$7:$J$10020,调整事项汇总表!$D$7:$D$10020,"账项调整",调整事项汇总表!$E$7:$E$10020,IF(OR(MID(TRIM($A96),2,1)="：",MID(TRIM($A96),2,1)="、"),REPLACEB(TRIM($A96),1,4,""),TRIM($A96)))</f>
        <v>0</v>
      </c>
      <c r="E96" s="810">
        <f>SUMIFS(调整事项汇总表!$I$7:$I$10020,调整事项汇总表!$D$7:$D$10020,"报表调整",调整事项汇总表!$E$7:$E$10020,IF(OR(MID(TRIM($A96),2,1)="：",MID(TRIM($A96),2,1)="、"),REPLACEB(TRIM($A96),1,4,""),TRIM($A96)))</f>
        <v>0</v>
      </c>
      <c r="F96" s="810">
        <f>SUMIFS(调整事项汇总表!$J$7:$J$10020,调整事项汇总表!$D$7:$D$10020,"报表调整",调整事项汇总表!$E$7:$E$10020,IF(OR(MID(TRIM($A96),2,1)="：",MID(TRIM($A96),2,1)="、"),REPLACEB(TRIM($A96),1,4,""),TRIM($A96)))</f>
        <v>0</v>
      </c>
      <c r="G96" s="810">
        <f>SUMIFS(调整事项汇总表!$I$7:$I$10020,调整事项汇总表!$D$7:$D$10020,"其他",调整事项汇总表!$E$7:$E$10020,IF(OR(MID(TRIM($A96),2,1)="：",MID(TRIM($A96),2,1)="、"),REPLACEB(TRIM($A96),1,4,""),TRIM($A96)))</f>
        <v>0</v>
      </c>
      <c r="H96" s="810">
        <f>SUMIFS(调整事项汇总表!$J$7:$J$10020,调整事项汇总表!$D$7:$D$10020,"其他",调整事项汇总表!$E$7:$E$10020,IF(OR(MID(TRIM($A96),2,1)="：",MID(TRIM($A96),2,1)="、"),REPLACEB(TRIM($A96),1,4,""),TRIM($A96)))</f>
        <v>0</v>
      </c>
      <c r="I96" s="811">
        <f>B96+C96+E96+G96-H96-F96-D96</f>
        <v>0</v>
      </c>
      <c r="J96" s="38" t="b">
        <f>A96=未审报表!A96</f>
        <v>1</v>
      </c>
      <c r="K96" s="75" t="b">
        <f>审定报表!A96=TB!A96</f>
        <v>1</v>
      </c>
    </row>
    <row r="97" spans="1:11">
      <c r="A97" s="809" t="str">
        <f>未审报表!A97</f>
        <v>生产性生物资产累计折旧</v>
      </c>
      <c r="B97" s="810">
        <f>未审报表!C97</f>
        <v>0</v>
      </c>
      <c r="C97" s="810">
        <f>SUMIFS(调整事项汇总表!$I$7:$I$10020,调整事项汇总表!$D$7:$D$10020,"账项调整",调整事项汇总表!$E$7:$E$10020,IF(OR(MID(TRIM($A97),2,1)="：",MID(TRIM($A97),2,1)="、"),REPLACEB(TRIM($A97),1,4,""),TRIM($A97)))</f>
        <v>0</v>
      </c>
      <c r="D97" s="810">
        <f>SUMIFS(调整事项汇总表!$J$7:$J$10020,调整事项汇总表!$D$7:$D$10020,"账项调整",调整事项汇总表!$E$7:$E$10020,IF(OR(MID(TRIM($A97),2,1)="：",MID(TRIM($A97),2,1)="、"),REPLACEB(TRIM($A97),1,4,""),TRIM($A97)))</f>
        <v>0</v>
      </c>
      <c r="E97" s="810">
        <f>SUMIFS(调整事项汇总表!$I$7:$I$10020,调整事项汇总表!$D$7:$D$10020,"报表调整",调整事项汇总表!$E$7:$E$10020,IF(OR(MID(TRIM($A97),2,1)="：",MID(TRIM($A97),2,1)="、"),REPLACEB(TRIM($A97),1,4,""),TRIM($A97)))</f>
        <v>0</v>
      </c>
      <c r="F97" s="810">
        <f>SUMIFS(调整事项汇总表!$J$7:$J$10020,调整事项汇总表!$D$7:$D$10020,"报表调整",调整事项汇总表!$E$7:$E$10020,IF(OR(MID(TRIM($A97),2,1)="：",MID(TRIM($A97),2,1)="、"),REPLACEB(TRIM($A97),1,4,""),TRIM($A97)))</f>
        <v>0</v>
      </c>
      <c r="G97" s="810">
        <f>SUMIFS(调整事项汇总表!$I$7:$I$10020,调整事项汇总表!$D$7:$D$10020,"其他",调整事项汇总表!$E$7:$E$10020,IF(OR(MID(TRIM($A97),2,1)="：",MID(TRIM($A97),2,1)="、"),REPLACEB(TRIM($A97),1,4,""),TRIM($A97)))</f>
        <v>0</v>
      </c>
      <c r="H97" s="810">
        <f>SUMIFS(调整事项汇总表!$J$7:$J$10020,调整事项汇总表!$D$7:$D$10020,"其他",调整事项汇总表!$E$7:$E$10020,IF(OR(MID(TRIM($A97),2,1)="：",MID(TRIM($A97),2,1)="、"),REPLACEB(TRIM($A97),1,4,""),TRIM($A97)))</f>
        <v>0</v>
      </c>
      <c r="I97" s="811">
        <f>B97+D97+F97+H97-G97-E97-C97</f>
        <v>0</v>
      </c>
      <c r="J97" s="38" t="b">
        <f>A97=未审报表!A97</f>
        <v>1</v>
      </c>
      <c r="K97" s="75" t="b">
        <f>审定报表!A97=TB!A97</f>
        <v>1</v>
      </c>
    </row>
    <row r="98" spans="1:11">
      <c r="A98" s="809" t="str">
        <f>未审报表!A98</f>
        <v>生产性生物资产净值</v>
      </c>
      <c r="B98" s="810">
        <f>未审报表!C98</f>
        <v>0</v>
      </c>
      <c r="C98" s="810">
        <f>C96+C97</f>
        <v>0</v>
      </c>
      <c r="D98" s="810">
        <f t="shared" ref="D98:H98" si="29">D96+D97</f>
        <v>0</v>
      </c>
      <c r="E98" s="810">
        <f t="shared" si="29"/>
        <v>0</v>
      </c>
      <c r="F98" s="810">
        <f t="shared" si="29"/>
        <v>0</v>
      </c>
      <c r="G98" s="810">
        <f t="shared" si="29"/>
        <v>0</v>
      </c>
      <c r="H98" s="810">
        <f t="shared" si="29"/>
        <v>0</v>
      </c>
      <c r="I98" s="811">
        <f>B98+C98+E98+G98-H98-F98-D98</f>
        <v>0</v>
      </c>
      <c r="J98" s="38" t="b">
        <f>A98=未审报表!A98</f>
        <v>1</v>
      </c>
      <c r="K98" s="75" t="b">
        <f>审定报表!A98=TB!A98</f>
        <v>1</v>
      </c>
    </row>
    <row r="99" spans="1:11">
      <c r="A99" s="809" t="str">
        <f>未审报表!A99</f>
        <v>生产性生物资产减值准备</v>
      </c>
      <c r="B99" s="810">
        <f>未审报表!C99</f>
        <v>0</v>
      </c>
      <c r="C99" s="810">
        <f>SUMIFS(调整事项汇总表!$I$7:$I$10020,调整事项汇总表!$D$7:$D$10020,"账项调整",调整事项汇总表!$E$7:$E$10020,IF(OR(MID(TRIM($A99),2,1)="：",MID(TRIM($A99),2,1)="、"),REPLACEB(TRIM($A99),1,4,""),TRIM($A99)))</f>
        <v>0</v>
      </c>
      <c r="D99" s="810">
        <f>SUMIFS(调整事项汇总表!$J$7:$J$10020,调整事项汇总表!$D$7:$D$10020,"账项调整",调整事项汇总表!$E$7:$E$10020,IF(OR(MID(TRIM($A99),2,1)="：",MID(TRIM($A99),2,1)="、"),REPLACEB(TRIM($A99),1,4,""),TRIM($A99)))</f>
        <v>0</v>
      </c>
      <c r="E99" s="810">
        <f>SUMIFS(调整事项汇总表!$I$7:$I$10020,调整事项汇总表!$D$7:$D$10020,"报表调整",调整事项汇总表!$E$7:$E$10020,IF(OR(MID(TRIM($A99),2,1)="：",MID(TRIM($A99),2,1)="、"),REPLACEB(TRIM($A99),1,4,""),TRIM($A99)))</f>
        <v>0</v>
      </c>
      <c r="F99" s="810">
        <f>SUMIFS(调整事项汇总表!$J$7:$J$10020,调整事项汇总表!$D$7:$D$10020,"报表调整",调整事项汇总表!$E$7:$E$10020,IF(OR(MID(TRIM($A99),2,1)="：",MID(TRIM($A99),2,1)="、"),REPLACEB(TRIM($A99),1,4,""),TRIM($A99)))</f>
        <v>0</v>
      </c>
      <c r="G99" s="810">
        <f>SUMIFS(调整事项汇总表!$I$7:$I$10020,调整事项汇总表!$D$7:$D$10020,"其他",调整事项汇总表!$E$7:$E$10020,IF(OR(MID(TRIM($A99),2,1)="：",MID(TRIM($A99),2,1)="、"),REPLACEB(TRIM($A99),1,4,""),TRIM($A99)))</f>
        <v>0</v>
      </c>
      <c r="H99" s="810">
        <f>SUMIFS(调整事项汇总表!$J$7:$J$10020,调整事项汇总表!$D$7:$D$10020,"其他",调整事项汇总表!$E$7:$E$10020,IF(OR(MID(TRIM($A99),2,1)="：",MID(TRIM($A99),2,1)="、"),REPLACEB(TRIM($A99),1,4,""),TRIM($A99)))</f>
        <v>0</v>
      </c>
      <c r="I99" s="811">
        <f>B99+D99+F99+H99-G99-E99-C99</f>
        <v>0</v>
      </c>
      <c r="J99" s="38" t="b">
        <f>A99=未审报表!A99</f>
        <v>1</v>
      </c>
      <c r="K99" s="75" t="b">
        <f>审定报表!A99=TB!A99</f>
        <v>1</v>
      </c>
    </row>
    <row r="100" spans="1:11">
      <c r="A100" s="809" t="str">
        <f>未审报表!A100</f>
        <v>生产性生物资产</v>
      </c>
      <c r="B100" s="810">
        <f>未审报表!C100</f>
        <v>0</v>
      </c>
      <c r="C100" s="810">
        <f>C98+C99</f>
        <v>0</v>
      </c>
      <c r="D100" s="810">
        <f t="shared" ref="D100:H100" si="30">D98+D99</f>
        <v>0</v>
      </c>
      <c r="E100" s="810">
        <f t="shared" si="30"/>
        <v>0</v>
      </c>
      <c r="F100" s="810">
        <f t="shared" si="30"/>
        <v>0</v>
      </c>
      <c r="G100" s="810">
        <f t="shared" si="30"/>
        <v>0</v>
      </c>
      <c r="H100" s="810">
        <f t="shared" si="30"/>
        <v>0</v>
      </c>
      <c r="I100" s="811">
        <f>B100+C100+E100+G100-H100-F100-D100</f>
        <v>0</v>
      </c>
      <c r="J100" s="38" t="b">
        <f>A100=未审报表!A100</f>
        <v>1</v>
      </c>
      <c r="K100" s="75" t="b">
        <f>审定报表!A100=TB!A100</f>
        <v>1</v>
      </c>
    </row>
    <row r="101" spans="1:11">
      <c r="A101" s="809" t="str">
        <f>未审报表!A101</f>
        <v>油气资产原值</v>
      </c>
      <c r="B101" s="810">
        <f>未审报表!C101</f>
        <v>0</v>
      </c>
      <c r="C101" s="810">
        <f>SUMIFS(调整事项汇总表!$I$7:$I$10020,调整事项汇总表!$D$7:$D$10020,"账项调整",调整事项汇总表!$E$7:$E$10020,IF(OR(MID(TRIM($A101),2,1)="：",MID(TRIM($A101),2,1)="、"),REPLACEB(TRIM($A101),1,4,""),TRIM($A101)))</f>
        <v>0</v>
      </c>
      <c r="D101" s="810">
        <f>SUMIFS(调整事项汇总表!$J$7:$J$10020,调整事项汇总表!$D$7:$D$10020,"账项调整",调整事项汇总表!$E$7:$E$10020,IF(OR(MID(TRIM($A101),2,1)="：",MID(TRIM($A101),2,1)="、"),REPLACEB(TRIM($A101),1,4,""),TRIM($A101)))</f>
        <v>0</v>
      </c>
      <c r="E101" s="810">
        <f>SUMIFS(调整事项汇总表!$I$7:$I$10020,调整事项汇总表!$D$7:$D$10020,"报表调整",调整事项汇总表!$E$7:$E$10020,IF(OR(MID(TRIM($A101),2,1)="：",MID(TRIM($A101),2,1)="、"),REPLACEB(TRIM($A101),1,4,""),TRIM($A101)))</f>
        <v>0</v>
      </c>
      <c r="F101" s="810">
        <f>SUMIFS(调整事项汇总表!$J$7:$J$10020,调整事项汇总表!$D$7:$D$10020,"报表调整",调整事项汇总表!$E$7:$E$10020,IF(OR(MID(TRIM($A101),2,1)="：",MID(TRIM($A101),2,1)="、"),REPLACEB(TRIM($A101),1,4,""),TRIM($A101)))</f>
        <v>0</v>
      </c>
      <c r="G101" s="810">
        <f>SUMIFS(调整事项汇总表!$I$7:$I$10020,调整事项汇总表!$D$7:$D$10020,"其他",调整事项汇总表!$E$7:$E$10020,IF(OR(MID(TRIM($A101),2,1)="：",MID(TRIM($A101),2,1)="、"),REPLACEB(TRIM($A101),1,4,""),TRIM($A101)))</f>
        <v>0</v>
      </c>
      <c r="H101" s="810">
        <f>SUMIFS(调整事项汇总表!$J$7:$J$10020,调整事项汇总表!$D$7:$D$10020,"其他",调整事项汇总表!$E$7:$E$10020,IF(OR(MID(TRIM($A101),2,1)="：",MID(TRIM($A101),2,1)="、"),REPLACEB(TRIM($A101),1,4,""),TRIM($A101)))</f>
        <v>0</v>
      </c>
      <c r="I101" s="811">
        <f>B101+C101+E101+G101-H101-F101-D101</f>
        <v>0</v>
      </c>
      <c r="J101" s="38" t="b">
        <f>A101=未审报表!A101</f>
        <v>1</v>
      </c>
      <c r="K101" s="75" t="b">
        <f>审定报表!A101=TB!A101</f>
        <v>1</v>
      </c>
    </row>
    <row r="102" spans="1:11">
      <c r="A102" s="809" t="str">
        <f>未审报表!A102</f>
        <v>油气资产累计折旧</v>
      </c>
      <c r="B102" s="810">
        <f>未审报表!C102</f>
        <v>0</v>
      </c>
      <c r="C102" s="810">
        <f>SUMIFS(调整事项汇总表!$I$7:$I$10020,调整事项汇总表!$D$7:$D$10020,"账项调整",调整事项汇总表!$E$7:$E$10020,IF(OR(MID(TRIM($A102),2,1)="：",MID(TRIM($A102),2,1)="、"),REPLACEB(TRIM($A102),1,4,""),TRIM($A102)))</f>
        <v>0</v>
      </c>
      <c r="D102" s="810">
        <f>SUMIFS(调整事项汇总表!$J$7:$J$10020,调整事项汇总表!$D$7:$D$10020,"账项调整",调整事项汇总表!$E$7:$E$10020,IF(OR(MID(TRIM($A102),2,1)="：",MID(TRIM($A102),2,1)="、"),REPLACEB(TRIM($A102),1,4,""),TRIM($A102)))</f>
        <v>0</v>
      </c>
      <c r="E102" s="810">
        <f>SUMIFS(调整事项汇总表!$I$7:$I$10020,调整事项汇总表!$D$7:$D$10020,"报表调整",调整事项汇总表!$E$7:$E$10020,IF(OR(MID(TRIM($A102),2,1)="：",MID(TRIM($A102),2,1)="、"),REPLACEB(TRIM($A102),1,4,""),TRIM($A102)))</f>
        <v>0</v>
      </c>
      <c r="F102" s="810">
        <f>SUMIFS(调整事项汇总表!$J$7:$J$10020,调整事项汇总表!$D$7:$D$10020,"报表调整",调整事项汇总表!$E$7:$E$10020,IF(OR(MID(TRIM($A102),2,1)="：",MID(TRIM($A102),2,1)="、"),REPLACEB(TRIM($A102),1,4,""),TRIM($A102)))</f>
        <v>0</v>
      </c>
      <c r="G102" s="810">
        <f>SUMIFS(调整事项汇总表!$I$7:$I$10020,调整事项汇总表!$D$7:$D$10020,"其他",调整事项汇总表!$E$7:$E$10020,IF(OR(MID(TRIM($A102),2,1)="：",MID(TRIM($A102),2,1)="、"),REPLACEB(TRIM($A102),1,4,""),TRIM($A102)))</f>
        <v>0</v>
      </c>
      <c r="H102" s="810">
        <f>SUMIFS(调整事项汇总表!$J$7:$J$10020,调整事项汇总表!$D$7:$D$10020,"其他",调整事项汇总表!$E$7:$E$10020,IF(OR(MID(TRIM($A102),2,1)="：",MID(TRIM($A102),2,1)="、"),REPLACEB(TRIM($A102),1,4,""),TRIM($A102)))</f>
        <v>0</v>
      </c>
      <c r="I102" s="811">
        <f>B102+D102+F102+H102-G102-E102-C102</f>
        <v>0</v>
      </c>
      <c r="J102" s="38" t="b">
        <f>A102=未审报表!A102</f>
        <v>1</v>
      </c>
      <c r="K102" s="75" t="b">
        <f>审定报表!A102=TB!A102</f>
        <v>1</v>
      </c>
    </row>
    <row r="103" spans="1:11">
      <c r="A103" s="809" t="str">
        <f>未审报表!A103</f>
        <v>油气资产净值</v>
      </c>
      <c r="B103" s="810">
        <f>未审报表!C103</f>
        <v>0</v>
      </c>
      <c r="C103" s="810">
        <f>C101+C102</f>
        <v>0</v>
      </c>
      <c r="D103" s="810">
        <f t="shared" ref="D103:H103" si="31">D101+D102</f>
        <v>0</v>
      </c>
      <c r="E103" s="810">
        <f t="shared" si="31"/>
        <v>0</v>
      </c>
      <c r="F103" s="810">
        <f t="shared" si="31"/>
        <v>0</v>
      </c>
      <c r="G103" s="810">
        <f t="shared" si="31"/>
        <v>0</v>
      </c>
      <c r="H103" s="810">
        <f t="shared" si="31"/>
        <v>0</v>
      </c>
      <c r="I103" s="811">
        <f>B103+C103+E103+G103-H103-F103-D103</f>
        <v>0</v>
      </c>
      <c r="J103" s="38" t="b">
        <f>A103=未审报表!A103</f>
        <v>1</v>
      </c>
      <c r="K103" s="75" t="b">
        <f>审定报表!A103=TB!A103</f>
        <v>1</v>
      </c>
    </row>
    <row r="104" spans="1:11">
      <c r="A104" s="809" t="str">
        <f>未审报表!A104</f>
        <v>油气资产减值准备</v>
      </c>
      <c r="B104" s="810">
        <f>未审报表!C104</f>
        <v>0</v>
      </c>
      <c r="C104" s="810">
        <f>SUMIFS(调整事项汇总表!$I$7:$I$10020,调整事项汇总表!$D$7:$D$10020,"账项调整",调整事项汇总表!$E$7:$E$10020,IF(OR(MID(TRIM($A104),2,1)="：",MID(TRIM($A104),2,1)="、"),REPLACEB(TRIM($A104),1,4,""),TRIM($A104)))</f>
        <v>0</v>
      </c>
      <c r="D104" s="810">
        <f>SUMIFS(调整事项汇总表!$J$7:$J$10020,调整事项汇总表!$D$7:$D$10020,"账项调整",调整事项汇总表!$E$7:$E$10020,IF(OR(MID(TRIM($A104),2,1)="：",MID(TRIM($A104),2,1)="、"),REPLACEB(TRIM($A104),1,4,""),TRIM($A104)))</f>
        <v>0</v>
      </c>
      <c r="E104" s="810">
        <f>SUMIFS(调整事项汇总表!$I$7:$I$10020,调整事项汇总表!$D$7:$D$10020,"报表调整",调整事项汇总表!$E$7:$E$10020,IF(OR(MID(TRIM($A104),2,1)="：",MID(TRIM($A104),2,1)="、"),REPLACEB(TRIM($A104),1,4,""),TRIM($A104)))</f>
        <v>0</v>
      </c>
      <c r="F104" s="810">
        <f>SUMIFS(调整事项汇总表!$J$7:$J$10020,调整事项汇总表!$D$7:$D$10020,"报表调整",调整事项汇总表!$E$7:$E$10020,IF(OR(MID(TRIM($A104),2,1)="：",MID(TRIM($A104),2,1)="、"),REPLACEB(TRIM($A104),1,4,""),TRIM($A104)))</f>
        <v>0</v>
      </c>
      <c r="G104" s="810">
        <f>SUMIFS(调整事项汇总表!$I$7:$I$10020,调整事项汇总表!$D$7:$D$10020,"其他",调整事项汇总表!$E$7:$E$10020,IF(OR(MID(TRIM($A104),2,1)="：",MID(TRIM($A104),2,1)="、"),REPLACEB(TRIM($A104),1,4,""),TRIM($A104)))</f>
        <v>0</v>
      </c>
      <c r="H104" s="810">
        <f>SUMIFS(调整事项汇总表!$J$7:$J$10020,调整事项汇总表!$D$7:$D$10020,"其他",调整事项汇总表!$E$7:$E$10020,IF(OR(MID(TRIM($A104),2,1)="：",MID(TRIM($A104),2,1)="、"),REPLACEB(TRIM($A104),1,4,""),TRIM($A104)))</f>
        <v>0</v>
      </c>
      <c r="I104" s="811">
        <f>B104+D104+F104+H104-G104-E104-C104</f>
        <v>0</v>
      </c>
      <c r="J104" s="38" t="b">
        <f>A104=未审报表!A104</f>
        <v>1</v>
      </c>
      <c r="K104" s="75" t="b">
        <f>审定报表!A104=TB!A104</f>
        <v>1</v>
      </c>
    </row>
    <row r="105" spans="1:11">
      <c r="A105" s="809" t="str">
        <f>未审报表!A105</f>
        <v>油气资产</v>
      </c>
      <c r="B105" s="810">
        <f>未审报表!C105</f>
        <v>0</v>
      </c>
      <c r="C105" s="810">
        <f>C103+C104</f>
        <v>0</v>
      </c>
      <c r="D105" s="810">
        <f t="shared" ref="D105:H105" si="32">D103+D104</f>
        <v>0</v>
      </c>
      <c r="E105" s="810">
        <f t="shared" si="32"/>
        <v>0</v>
      </c>
      <c r="F105" s="810">
        <f t="shared" si="32"/>
        <v>0</v>
      </c>
      <c r="G105" s="810">
        <f t="shared" si="32"/>
        <v>0</v>
      </c>
      <c r="H105" s="810">
        <f t="shared" si="32"/>
        <v>0</v>
      </c>
      <c r="I105" s="811">
        <f>B105+C105+E105+G105-H105-F105-D105</f>
        <v>0</v>
      </c>
      <c r="J105" s="38" t="b">
        <f>A105=未审报表!A105</f>
        <v>1</v>
      </c>
      <c r="K105" s="75" t="b">
        <f>审定报表!A105=TB!A105</f>
        <v>1</v>
      </c>
    </row>
    <row r="106" spans="1:11">
      <c r="A106" s="809" t="str">
        <f>未审报表!A106</f>
        <v>使用权资产原值</v>
      </c>
      <c r="B106" s="810">
        <f>未审报表!C106</f>
        <v>0</v>
      </c>
      <c r="C106" s="810">
        <f>SUMIFS(调整事项汇总表!$I$7:$I$10020,调整事项汇总表!$D$7:$D$10020,"账项调整",调整事项汇总表!$E$7:$E$10020,IF(OR(MID(TRIM($A106),2,1)="：",MID(TRIM($A106),2,1)="、"),REPLACEB(TRIM($A106),1,4,""),TRIM($A106)))</f>
        <v>0</v>
      </c>
      <c r="D106" s="810">
        <f>SUMIFS(调整事项汇总表!$J$7:$J$10020,调整事项汇总表!$D$7:$D$10020,"账项调整",调整事项汇总表!$E$7:$E$10020,IF(OR(MID(TRIM($A106),2,1)="：",MID(TRIM($A106),2,1)="、"),REPLACEB(TRIM($A106),1,4,""),TRIM($A106)))</f>
        <v>0</v>
      </c>
      <c r="E106" s="810">
        <f>SUMIFS(调整事项汇总表!$I$7:$I$10020,调整事项汇总表!$D$7:$D$10020,"报表调整",调整事项汇总表!$E$7:$E$10020,IF(OR(MID(TRIM($A106),2,1)="：",MID(TRIM($A106),2,1)="、"),REPLACEB(TRIM($A106),1,4,""),TRIM($A106)))</f>
        <v>0</v>
      </c>
      <c r="F106" s="810">
        <f>SUMIFS(调整事项汇总表!$J$7:$J$10020,调整事项汇总表!$D$7:$D$10020,"报表调整",调整事项汇总表!$E$7:$E$10020,IF(OR(MID(TRIM($A106),2,1)="：",MID(TRIM($A106),2,1)="、"),REPLACEB(TRIM($A106),1,4,""),TRIM($A106)))</f>
        <v>0</v>
      </c>
      <c r="G106" s="810">
        <f>SUMIFS(调整事项汇总表!$I$7:$I$10020,调整事项汇总表!$D$7:$D$10020,"其他",调整事项汇总表!$E$7:$E$10020,IF(OR(MID(TRIM($A106),2,1)="：",MID(TRIM($A106),2,1)="、"),REPLACEB(TRIM($A106),1,4,""),TRIM($A106)))</f>
        <v>0</v>
      </c>
      <c r="H106" s="810">
        <f>SUMIFS(调整事项汇总表!$J$7:$J$10020,调整事项汇总表!$D$7:$D$10020,"其他",调整事项汇总表!$E$7:$E$10020,IF(OR(MID(TRIM($A106),2,1)="：",MID(TRIM($A106),2,1)="、"),REPLACEB(TRIM($A106),1,4,""),TRIM($A106)))</f>
        <v>0</v>
      </c>
      <c r="I106" s="811">
        <f>B106+C106+E106+G106-H106-F106-D106</f>
        <v>0</v>
      </c>
      <c r="J106" s="38" t="b">
        <f>A106=未审报表!A106</f>
        <v>1</v>
      </c>
      <c r="K106" s="75" t="b">
        <f>审定报表!A106=TB!A106</f>
        <v>1</v>
      </c>
    </row>
    <row r="107" spans="1:11">
      <c r="A107" s="809" t="str">
        <f>未审报表!A107</f>
        <v>使用权资产累计折旧</v>
      </c>
      <c r="B107" s="810">
        <f>未审报表!C107</f>
        <v>0</v>
      </c>
      <c r="C107" s="810">
        <f>SUMIFS(调整事项汇总表!$I$7:$I$10020,调整事项汇总表!$D$7:$D$10020,"账项调整",调整事项汇总表!$E$7:$E$10020,IF(OR(MID(TRIM($A107),2,1)="：",MID(TRIM($A107),2,1)="、"),REPLACEB(TRIM($A107),1,4,""),TRIM($A107)))</f>
        <v>0</v>
      </c>
      <c r="D107" s="810">
        <f>SUMIFS(调整事项汇总表!$J$7:$J$10020,调整事项汇总表!$D$7:$D$10020,"账项调整",调整事项汇总表!$E$7:$E$10020,IF(OR(MID(TRIM($A107),2,1)="：",MID(TRIM($A107),2,1)="、"),REPLACEB(TRIM($A107),1,4,""),TRIM($A107)))</f>
        <v>0</v>
      </c>
      <c r="E107" s="810">
        <f>SUMIFS(调整事项汇总表!$I$7:$I$10020,调整事项汇总表!$D$7:$D$10020,"报表调整",调整事项汇总表!$E$7:$E$10020,IF(OR(MID(TRIM($A107),2,1)="：",MID(TRIM($A107),2,1)="、"),REPLACEB(TRIM($A107),1,4,""),TRIM($A107)))</f>
        <v>0</v>
      </c>
      <c r="F107" s="810">
        <f>SUMIFS(调整事项汇总表!$J$7:$J$10020,调整事项汇总表!$D$7:$D$10020,"报表调整",调整事项汇总表!$E$7:$E$10020,IF(OR(MID(TRIM($A107),2,1)="：",MID(TRIM($A107),2,1)="、"),REPLACEB(TRIM($A107),1,4,""),TRIM($A107)))</f>
        <v>0</v>
      </c>
      <c r="G107" s="810">
        <f>SUMIFS(调整事项汇总表!$I$7:$I$10020,调整事项汇总表!$D$7:$D$10020,"其他",调整事项汇总表!$E$7:$E$10020,IF(OR(MID(TRIM($A107),2,1)="：",MID(TRIM($A107),2,1)="、"),REPLACEB(TRIM($A107),1,4,""),TRIM($A107)))</f>
        <v>0</v>
      </c>
      <c r="H107" s="810">
        <f>SUMIFS(调整事项汇总表!$J$7:$J$10020,调整事项汇总表!$D$7:$D$10020,"其他",调整事项汇总表!$E$7:$E$10020,IF(OR(MID(TRIM($A107),2,1)="：",MID(TRIM($A107),2,1)="、"),REPLACEB(TRIM($A107),1,4,""),TRIM($A107)))</f>
        <v>0</v>
      </c>
      <c r="I107" s="811">
        <f>B107+D107+F107+H107-G107-E107-C107</f>
        <v>0</v>
      </c>
      <c r="J107" s="38" t="b">
        <f>A107=未审报表!A107</f>
        <v>1</v>
      </c>
      <c r="K107" s="75" t="b">
        <f>审定报表!A107=TB!A107</f>
        <v>1</v>
      </c>
    </row>
    <row r="108" spans="1:11">
      <c r="A108" s="809" t="str">
        <f>未审报表!A108</f>
        <v>使用权资产净值</v>
      </c>
      <c r="B108" s="810">
        <f>未审报表!C108</f>
        <v>0</v>
      </c>
      <c r="C108" s="810">
        <f>C106+C107</f>
        <v>0</v>
      </c>
      <c r="D108" s="810">
        <f t="shared" ref="D108:H108" si="33">D106+D107</f>
        <v>0</v>
      </c>
      <c r="E108" s="810">
        <f t="shared" si="33"/>
        <v>0</v>
      </c>
      <c r="F108" s="810">
        <f t="shared" si="33"/>
        <v>0</v>
      </c>
      <c r="G108" s="810">
        <f t="shared" si="33"/>
        <v>0</v>
      </c>
      <c r="H108" s="810">
        <f t="shared" si="33"/>
        <v>0</v>
      </c>
      <c r="I108" s="811">
        <f>B108+C108+E108+G108-H108-F108-D108</f>
        <v>0</v>
      </c>
      <c r="J108" s="38" t="b">
        <f>A108=未审报表!A108</f>
        <v>1</v>
      </c>
      <c r="K108" s="75" t="b">
        <f>审定报表!A108=TB!A108</f>
        <v>1</v>
      </c>
    </row>
    <row r="109" spans="1:11">
      <c r="A109" s="809" t="str">
        <f>未审报表!A109</f>
        <v>使用权资产减值准备</v>
      </c>
      <c r="B109" s="810">
        <f>未审报表!C109</f>
        <v>0</v>
      </c>
      <c r="C109" s="810">
        <f>SUMIFS(调整事项汇总表!$I$7:$I$10020,调整事项汇总表!$D$7:$D$10020,"账项调整",调整事项汇总表!$E$7:$E$10020,IF(OR(MID(TRIM($A109),2,1)="：",MID(TRIM($A109),2,1)="、"),REPLACEB(TRIM($A109),1,4,""),TRIM($A109)))</f>
        <v>0</v>
      </c>
      <c r="D109" s="810">
        <f>SUMIFS(调整事项汇总表!$J$7:$J$10020,调整事项汇总表!$D$7:$D$10020,"账项调整",调整事项汇总表!$E$7:$E$10020,IF(OR(MID(TRIM($A109),2,1)="：",MID(TRIM($A109),2,1)="、"),REPLACEB(TRIM($A109),1,4,""),TRIM($A109)))</f>
        <v>0</v>
      </c>
      <c r="E109" s="810">
        <f>SUMIFS(调整事项汇总表!$I$7:$I$10020,调整事项汇总表!$D$7:$D$10020,"报表调整",调整事项汇总表!$E$7:$E$10020,IF(OR(MID(TRIM($A109),2,1)="：",MID(TRIM($A109),2,1)="、"),REPLACEB(TRIM($A109),1,4,""),TRIM($A109)))</f>
        <v>0</v>
      </c>
      <c r="F109" s="810">
        <f>SUMIFS(调整事项汇总表!$J$7:$J$10020,调整事项汇总表!$D$7:$D$10020,"报表调整",调整事项汇总表!$E$7:$E$10020,IF(OR(MID(TRIM($A109),2,1)="：",MID(TRIM($A109),2,1)="、"),REPLACEB(TRIM($A109),1,4,""),TRIM($A109)))</f>
        <v>0</v>
      </c>
      <c r="G109" s="810">
        <f>SUMIFS(调整事项汇总表!$I$7:$I$10020,调整事项汇总表!$D$7:$D$10020,"其他",调整事项汇总表!$E$7:$E$10020,IF(OR(MID(TRIM($A109),2,1)="：",MID(TRIM($A109),2,1)="、"),REPLACEB(TRIM($A109),1,4,""),TRIM($A109)))</f>
        <v>0</v>
      </c>
      <c r="H109" s="810">
        <f>SUMIFS(调整事项汇总表!$J$7:$J$10020,调整事项汇总表!$D$7:$D$10020,"其他",调整事项汇总表!$E$7:$E$10020,IF(OR(MID(TRIM($A109),2,1)="：",MID(TRIM($A109),2,1)="、"),REPLACEB(TRIM($A109),1,4,""),TRIM($A109)))</f>
        <v>0</v>
      </c>
      <c r="I109" s="811">
        <f>B109+D109+F109+H109-G109-E109-C109</f>
        <v>0</v>
      </c>
      <c r="J109" s="38" t="b">
        <f>A109=未审报表!A109</f>
        <v>1</v>
      </c>
      <c r="K109" s="75" t="b">
        <f>审定报表!A109=TB!A109</f>
        <v>1</v>
      </c>
    </row>
    <row r="110" spans="1:11">
      <c r="A110" s="809" t="str">
        <f>未审报表!A110</f>
        <v>使用权资产</v>
      </c>
      <c r="B110" s="810">
        <f>未审报表!C110</f>
        <v>0</v>
      </c>
      <c r="C110" s="810">
        <f>C108+C109</f>
        <v>0</v>
      </c>
      <c r="D110" s="810">
        <f t="shared" ref="D110:H110" si="34">D108+D109</f>
        <v>0</v>
      </c>
      <c r="E110" s="810">
        <f t="shared" si="34"/>
        <v>0</v>
      </c>
      <c r="F110" s="810">
        <f t="shared" si="34"/>
        <v>0</v>
      </c>
      <c r="G110" s="810">
        <f t="shared" si="34"/>
        <v>0</v>
      </c>
      <c r="H110" s="810">
        <f t="shared" si="34"/>
        <v>0</v>
      </c>
      <c r="I110" s="811">
        <f>B110+C110+E110+G110-H110-F110-D110</f>
        <v>0</v>
      </c>
      <c r="J110" s="38" t="b">
        <f>A110=未审报表!A110</f>
        <v>1</v>
      </c>
      <c r="K110" s="75" t="b">
        <f>审定报表!A110=TB!A110</f>
        <v>1</v>
      </c>
    </row>
    <row r="111" spans="1:11">
      <c r="A111" s="809" t="str">
        <f>未审报表!A111</f>
        <v>无形资产原值</v>
      </c>
      <c r="B111" s="810">
        <f>未审报表!C111</f>
        <v>3204513.89</v>
      </c>
      <c r="C111" s="810">
        <f>SUMIFS(调整事项汇总表!$I$7:$I$10020,调整事项汇总表!$D$7:$D$10020,"账项调整",调整事项汇总表!$E$7:$E$10020,IF(OR(MID(TRIM($A111),2,1)="：",MID(TRIM($A111),2,1)="、"),REPLACEB(TRIM($A111),1,4,""),TRIM($A111)))</f>
        <v>0</v>
      </c>
      <c r="D111" s="810">
        <f>SUMIFS(调整事项汇总表!$J$7:$J$10020,调整事项汇总表!$D$7:$D$10020,"账项调整",调整事项汇总表!$E$7:$E$10020,IF(OR(MID(TRIM($A111),2,1)="：",MID(TRIM($A111),2,1)="、"),REPLACEB(TRIM($A111),1,4,""),TRIM($A111)))</f>
        <v>1514368.76</v>
      </c>
      <c r="E111" s="810">
        <f>SUMIFS(调整事项汇总表!$I$7:$I$10020,调整事项汇总表!$D$7:$D$10020,"报表调整",调整事项汇总表!$E$7:$E$10020,IF(OR(MID(TRIM($A111),2,1)="：",MID(TRIM($A111),2,1)="、"),REPLACEB(TRIM($A111),1,4,""),TRIM($A111)))</f>
        <v>0</v>
      </c>
      <c r="F111" s="810">
        <f>SUMIFS(调整事项汇总表!$J$7:$J$10020,调整事项汇总表!$D$7:$D$10020,"报表调整",调整事项汇总表!$E$7:$E$10020,IF(OR(MID(TRIM($A111),2,1)="：",MID(TRIM($A111),2,1)="、"),REPLACEB(TRIM($A111),1,4,""),TRIM($A111)))</f>
        <v>0</v>
      </c>
      <c r="G111" s="810">
        <f>SUMIFS(调整事项汇总表!$I$7:$I$10020,调整事项汇总表!$D$7:$D$10020,"其他",调整事项汇总表!$E$7:$E$10020,IF(OR(MID(TRIM($A111),2,1)="：",MID(TRIM($A111),2,1)="、"),REPLACEB(TRIM($A111),1,4,""),TRIM($A111)))</f>
        <v>0</v>
      </c>
      <c r="H111" s="810">
        <f>SUMIFS(调整事项汇总表!$J$7:$J$10020,调整事项汇总表!$D$7:$D$10020,"其他",调整事项汇总表!$E$7:$E$10020,IF(OR(MID(TRIM($A111),2,1)="：",MID(TRIM($A111),2,1)="、"),REPLACEB(TRIM($A111),1,4,""),TRIM($A111)))</f>
        <v>0</v>
      </c>
      <c r="I111" s="811">
        <f>B111+C111+E111+G111-H111-F111-D111</f>
        <v>1690145.1300000001</v>
      </c>
      <c r="J111" s="38" t="b">
        <f>A111=未审报表!A111</f>
        <v>1</v>
      </c>
      <c r="K111" s="75" t="b">
        <f>审定报表!A111=TB!A111</f>
        <v>1</v>
      </c>
    </row>
    <row r="112" spans="1:11">
      <c r="A112" s="809" t="str">
        <f>未审报表!A112</f>
        <v>无形资产累计摊销</v>
      </c>
      <c r="B112" s="810">
        <f>未审报表!C112</f>
        <v>0</v>
      </c>
      <c r="C112" s="810">
        <f>SUMIFS(调整事项汇总表!$I$7:$I$10020,调整事项汇总表!$D$7:$D$10020,"账项调整",调整事项汇总表!$E$7:$E$10020,IF(OR(MID(TRIM($A112),2,1)="：",MID(TRIM($A112),2,1)="、"),REPLACEB(TRIM($A112),1,4,""),TRIM($A112)))</f>
        <v>25239.48</v>
      </c>
      <c r="D112" s="810">
        <f>SUMIFS(调整事项汇总表!$J$7:$J$10020,调整事项汇总表!$D$7:$D$10020,"账项调整",调整事项汇总表!$E$7:$E$10020,IF(OR(MID(TRIM($A112),2,1)="：",MID(TRIM($A112),2,1)="、"),REPLACEB(TRIM($A112),1,4,""),TRIM($A112)))</f>
        <v>0</v>
      </c>
      <c r="E112" s="810">
        <f>SUMIFS(调整事项汇总表!$I$7:$I$10020,调整事项汇总表!$D$7:$D$10020,"报表调整",调整事项汇总表!$E$7:$E$10020,IF(OR(MID(TRIM($A112),2,1)="：",MID(TRIM($A112),2,1)="、"),REPLACEB(TRIM($A112),1,4,""),TRIM($A112)))</f>
        <v>0</v>
      </c>
      <c r="F112" s="810">
        <f>SUMIFS(调整事项汇总表!$J$7:$J$10020,调整事项汇总表!$D$7:$D$10020,"报表调整",调整事项汇总表!$E$7:$E$10020,IF(OR(MID(TRIM($A112),2,1)="：",MID(TRIM($A112),2,1)="、"),REPLACEB(TRIM($A112),1,4,""),TRIM($A112)))</f>
        <v>0</v>
      </c>
      <c r="G112" s="810">
        <f>SUMIFS(调整事项汇总表!$I$7:$I$10020,调整事项汇总表!$D$7:$D$10020,"其他",调整事项汇总表!$E$7:$E$10020,IF(OR(MID(TRIM($A112),2,1)="：",MID(TRIM($A112),2,1)="、"),REPLACEB(TRIM($A112),1,4,""),TRIM($A112)))</f>
        <v>0</v>
      </c>
      <c r="H112" s="810">
        <f>SUMIFS(调整事项汇总表!$J$7:$J$10020,调整事项汇总表!$D$7:$D$10020,"其他",调整事项汇总表!$E$7:$E$10020,IF(OR(MID(TRIM($A112),2,1)="：",MID(TRIM($A112),2,1)="、"),REPLACEB(TRIM($A112),1,4,""),TRIM($A112)))</f>
        <v>0</v>
      </c>
      <c r="I112" s="811">
        <f>B112+D112+F112+H112-G112-E112-C112</f>
        <v>-25239.48</v>
      </c>
      <c r="J112" s="38" t="b">
        <f>A112=未审报表!A112</f>
        <v>1</v>
      </c>
      <c r="K112" s="75" t="b">
        <f>审定报表!A112=TB!A112</f>
        <v>1</v>
      </c>
    </row>
    <row r="113" spans="1:15">
      <c r="A113" s="809" t="str">
        <f>未审报表!A113</f>
        <v>无形资产净值</v>
      </c>
      <c r="B113" s="810">
        <f>未审报表!C113</f>
        <v>3204513.89</v>
      </c>
      <c r="C113" s="810">
        <f>C111+C112</f>
        <v>25239.48</v>
      </c>
      <c r="D113" s="810">
        <f t="shared" ref="D113:H113" si="35">D111+D112</f>
        <v>1514368.76</v>
      </c>
      <c r="E113" s="810">
        <f t="shared" si="35"/>
        <v>0</v>
      </c>
      <c r="F113" s="810">
        <f t="shared" si="35"/>
        <v>0</v>
      </c>
      <c r="G113" s="810">
        <f t="shared" si="35"/>
        <v>0</v>
      </c>
      <c r="H113" s="810">
        <f t="shared" si="35"/>
        <v>0</v>
      </c>
      <c r="I113" s="811">
        <f>B113+C113+E113+G113-H113-F113-D113</f>
        <v>1715384.61</v>
      </c>
      <c r="J113" s="38" t="b">
        <f>A113=未审报表!A113</f>
        <v>1</v>
      </c>
      <c r="K113" s="75" t="b">
        <f>审定报表!A113=TB!A113</f>
        <v>1</v>
      </c>
    </row>
    <row r="114" spans="1:15">
      <c r="A114" s="809" t="str">
        <f>未审报表!A114</f>
        <v>无形资产减值准备</v>
      </c>
      <c r="B114" s="810">
        <f>未审报表!C114</f>
        <v>0</v>
      </c>
      <c r="C114" s="810">
        <f>SUMIFS(调整事项汇总表!$I$7:$I$10020,调整事项汇总表!$D$7:$D$10020,"账项调整",调整事项汇总表!$E$7:$E$10020,IF(OR(MID(TRIM($A114),2,1)="：",MID(TRIM($A114),2,1)="、"),REPLACEB(TRIM($A114),1,4,""),TRIM($A114)))</f>
        <v>0</v>
      </c>
      <c r="D114" s="810">
        <f>SUMIFS(调整事项汇总表!$J$7:$J$10020,调整事项汇总表!$D$7:$D$10020,"账项调整",调整事项汇总表!$E$7:$E$10020,IF(OR(MID(TRIM($A114),2,1)="：",MID(TRIM($A114),2,1)="、"),REPLACEB(TRIM($A114),1,4,""),TRIM($A114)))</f>
        <v>0</v>
      </c>
      <c r="E114" s="810">
        <f>SUMIFS(调整事项汇总表!$I$7:$I$10020,调整事项汇总表!$D$7:$D$10020,"报表调整",调整事项汇总表!$E$7:$E$10020,IF(OR(MID(TRIM($A114),2,1)="：",MID(TRIM($A114),2,1)="、"),REPLACEB(TRIM($A114),1,4,""),TRIM($A114)))</f>
        <v>0</v>
      </c>
      <c r="F114" s="810">
        <f>SUMIFS(调整事项汇总表!$J$7:$J$10020,调整事项汇总表!$D$7:$D$10020,"报表调整",调整事项汇总表!$E$7:$E$10020,IF(OR(MID(TRIM($A114),2,1)="：",MID(TRIM($A114),2,1)="、"),REPLACEB(TRIM($A114),1,4,""),TRIM($A114)))</f>
        <v>0</v>
      </c>
      <c r="G114" s="810">
        <f>SUMIFS(调整事项汇总表!$I$7:$I$10020,调整事项汇总表!$D$7:$D$10020,"其他",调整事项汇总表!$E$7:$E$10020,IF(OR(MID(TRIM($A114),2,1)="：",MID(TRIM($A114),2,1)="、"),REPLACEB(TRIM($A114),1,4,""),TRIM($A114)))</f>
        <v>0</v>
      </c>
      <c r="H114" s="810">
        <f>SUMIFS(调整事项汇总表!$J$7:$J$10020,调整事项汇总表!$D$7:$D$10020,"其他",调整事项汇总表!$E$7:$E$10020,IF(OR(MID(TRIM($A114),2,1)="：",MID(TRIM($A114),2,1)="、"),REPLACEB(TRIM($A114),1,4,""),TRIM($A114)))</f>
        <v>0</v>
      </c>
      <c r="I114" s="811">
        <f>B114+D114+F114+H114-G114-E114-C114</f>
        <v>0</v>
      </c>
      <c r="J114" s="38" t="b">
        <f>A114=未审报表!A114</f>
        <v>1</v>
      </c>
      <c r="K114" s="75" t="b">
        <f>审定报表!A114=TB!A114</f>
        <v>1</v>
      </c>
    </row>
    <row r="115" spans="1:15">
      <c r="A115" s="809" t="str">
        <f>未审报表!A115</f>
        <v>无形资产</v>
      </c>
      <c r="B115" s="810">
        <f>未审报表!C115</f>
        <v>3204513.89</v>
      </c>
      <c r="C115" s="810">
        <f>C113+C114</f>
        <v>25239.48</v>
      </c>
      <c r="D115" s="810">
        <f t="shared" ref="D115:H115" si="36">D113+D114</f>
        <v>1514368.76</v>
      </c>
      <c r="E115" s="810">
        <f t="shared" si="36"/>
        <v>0</v>
      </c>
      <c r="F115" s="810">
        <f t="shared" si="36"/>
        <v>0</v>
      </c>
      <c r="G115" s="810">
        <f t="shared" si="36"/>
        <v>0</v>
      </c>
      <c r="H115" s="810">
        <f t="shared" si="36"/>
        <v>0</v>
      </c>
      <c r="I115" s="811">
        <f>B115+C115+E115+G115-H115-F115-D115</f>
        <v>1715384.61</v>
      </c>
      <c r="J115" s="38" t="b">
        <f>A115=未审报表!A115</f>
        <v>1</v>
      </c>
      <c r="K115" s="75" t="b">
        <f>审定报表!A115=TB!A115</f>
        <v>1</v>
      </c>
    </row>
    <row r="116" spans="1:15">
      <c r="A116" s="809" t="str">
        <f>未审报表!A116</f>
        <v>开发支出原值</v>
      </c>
      <c r="B116" s="810">
        <f>未审报表!C116</f>
        <v>0</v>
      </c>
      <c r="C116" s="810">
        <f>SUMIFS(调整事项汇总表!$I$7:$I$10020,调整事项汇总表!$D$7:$D$10020,"账项调整",调整事项汇总表!$E$7:$E$10020,IF(OR(MID(TRIM($A116),2,1)="：",MID(TRIM($A116),2,1)="、"),REPLACEB(TRIM($A116),1,4,""),TRIM($A116)))</f>
        <v>0</v>
      </c>
      <c r="D116" s="810">
        <f>SUMIFS(调整事项汇总表!$J$7:$J$10020,调整事项汇总表!$D$7:$D$10020,"账项调整",调整事项汇总表!$E$7:$E$10020,IF(OR(MID(TRIM($A116),2,1)="：",MID(TRIM($A116),2,1)="、"),REPLACEB(TRIM($A116),1,4,""),TRIM($A116)))</f>
        <v>0</v>
      </c>
      <c r="E116" s="810">
        <f>SUMIFS(调整事项汇总表!$I$7:$I$10020,调整事项汇总表!$D$7:$D$10020,"报表调整",调整事项汇总表!$E$7:$E$10020,IF(OR(MID(TRIM($A116),2,1)="：",MID(TRIM($A116),2,1)="、"),REPLACEB(TRIM($A116),1,4,""),TRIM($A116)))</f>
        <v>0</v>
      </c>
      <c r="F116" s="810">
        <f>SUMIFS(调整事项汇总表!$J$7:$J$10020,调整事项汇总表!$D$7:$D$10020,"报表调整",调整事项汇总表!$E$7:$E$10020,IF(OR(MID(TRIM($A116),2,1)="：",MID(TRIM($A116),2,1)="、"),REPLACEB(TRIM($A116),1,4,""),TRIM($A116)))</f>
        <v>0</v>
      </c>
      <c r="G116" s="810">
        <f>SUMIFS(调整事项汇总表!$I$7:$I$10020,调整事项汇总表!$D$7:$D$10020,"其他",调整事项汇总表!$E$7:$E$10020,IF(OR(MID(TRIM($A116),2,1)="：",MID(TRIM($A116),2,1)="、"),REPLACEB(TRIM($A116),1,4,""),TRIM($A116)))</f>
        <v>0</v>
      </c>
      <c r="H116" s="810">
        <f>SUMIFS(调整事项汇总表!$J$7:$J$10020,调整事项汇总表!$D$7:$D$10020,"其他",调整事项汇总表!$E$7:$E$10020,IF(OR(MID(TRIM($A116),2,1)="：",MID(TRIM($A116),2,1)="、"),REPLACEB(TRIM($A116),1,4,""),TRIM($A116)))</f>
        <v>0</v>
      </c>
      <c r="I116" s="811">
        <f>B116+C116+E116+G116-H116-F116-D116</f>
        <v>0</v>
      </c>
      <c r="J116" s="38" t="b">
        <f>A116=未审报表!A116</f>
        <v>1</v>
      </c>
      <c r="K116" s="75" t="b">
        <f>审定报表!A116=TB!A116</f>
        <v>1</v>
      </c>
    </row>
    <row r="117" spans="1:15">
      <c r="A117" s="809" t="str">
        <f>未审报表!A117</f>
        <v>开发支出减值准备</v>
      </c>
      <c r="B117" s="810">
        <f>未审报表!C117</f>
        <v>0</v>
      </c>
      <c r="C117" s="810">
        <f>SUMIFS(调整事项汇总表!$I$7:$I$10020,调整事项汇总表!$D$7:$D$10020,"账项调整",调整事项汇总表!$E$7:$E$10020,IF(OR(MID(TRIM($A117),2,1)="：",MID(TRIM($A117),2,1)="、"),REPLACEB(TRIM($A117),1,4,""),TRIM($A117)))</f>
        <v>0</v>
      </c>
      <c r="D117" s="810">
        <f>SUMIFS(调整事项汇总表!$J$7:$J$10020,调整事项汇总表!$D$7:$D$10020,"账项调整",调整事项汇总表!$E$7:$E$10020,IF(OR(MID(TRIM($A117),2,1)="：",MID(TRIM($A117),2,1)="、"),REPLACEB(TRIM($A117),1,4,""),TRIM($A117)))</f>
        <v>0</v>
      </c>
      <c r="E117" s="810">
        <f>SUMIFS(调整事项汇总表!$I$7:$I$10020,调整事项汇总表!$D$7:$D$10020,"报表调整",调整事项汇总表!$E$7:$E$10020,IF(OR(MID(TRIM($A117),2,1)="：",MID(TRIM($A117),2,1)="、"),REPLACEB(TRIM($A117),1,4,""),TRIM($A117)))</f>
        <v>0</v>
      </c>
      <c r="F117" s="810">
        <f>SUMIFS(调整事项汇总表!$J$7:$J$10020,调整事项汇总表!$D$7:$D$10020,"报表调整",调整事项汇总表!$E$7:$E$10020,IF(OR(MID(TRIM($A117),2,1)="：",MID(TRIM($A117),2,1)="、"),REPLACEB(TRIM($A117),1,4,""),TRIM($A117)))</f>
        <v>0</v>
      </c>
      <c r="G117" s="810">
        <f>SUMIFS(调整事项汇总表!$I$7:$I$10020,调整事项汇总表!$D$7:$D$10020,"其他",调整事项汇总表!$E$7:$E$10020,IF(OR(MID(TRIM($A117),2,1)="：",MID(TRIM($A117),2,1)="、"),REPLACEB(TRIM($A117),1,4,""),TRIM($A117)))</f>
        <v>0</v>
      </c>
      <c r="H117" s="810">
        <f>SUMIFS(调整事项汇总表!$J$7:$J$10020,调整事项汇总表!$D$7:$D$10020,"其他",调整事项汇总表!$E$7:$E$10020,IF(OR(MID(TRIM($A117),2,1)="：",MID(TRIM($A117),2,1)="、"),REPLACEB(TRIM($A117),1,4,""),TRIM($A117)))</f>
        <v>0</v>
      </c>
      <c r="I117" s="811">
        <f>B117+D117+F117+H117-G117-E117-C117</f>
        <v>0</v>
      </c>
      <c r="J117" s="38" t="b">
        <f>A117=未审报表!A117</f>
        <v>1</v>
      </c>
      <c r="K117" s="75" t="b">
        <f>审定报表!A117=TB!A117</f>
        <v>1</v>
      </c>
    </row>
    <row r="118" spans="1:15">
      <c r="A118" s="809" t="str">
        <f>未审报表!A118</f>
        <v>开发支出</v>
      </c>
      <c r="B118" s="810">
        <f>未审报表!C118</f>
        <v>0</v>
      </c>
      <c r="C118" s="810">
        <f>C116+C117</f>
        <v>0</v>
      </c>
      <c r="D118" s="810">
        <f t="shared" ref="D118:H118" si="37">D116+D117</f>
        <v>0</v>
      </c>
      <c r="E118" s="810">
        <f t="shared" si="37"/>
        <v>0</v>
      </c>
      <c r="F118" s="810">
        <f t="shared" si="37"/>
        <v>0</v>
      </c>
      <c r="G118" s="810">
        <f t="shared" si="37"/>
        <v>0</v>
      </c>
      <c r="H118" s="810">
        <f t="shared" si="37"/>
        <v>0</v>
      </c>
      <c r="I118" s="811">
        <f>B118+C118+E118+G118-H118-F118-D118</f>
        <v>0</v>
      </c>
      <c r="J118" s="38" t="b">
        <f>A118=未审报表!A118</f>
        <v>1</v>
      </c>
      <c r="K118" s="75" t="b">
        <f>审定报表!A118=TB!A118</f>
        <v>1</v>
      </c>
    </row>
    <row r="119" spans="1:15">
      <c r="A119" s="809" t="str">
        <f>未审报表!A119</f>
        <v>商誉原值</v>
      </c>
      <c r="B119" s="810">
        <f>未审报表!C119</f>
        <v>0</v>
      </c>
      <c r="C119" s="810">
        <f>SUMIFS(调整事项汇总表!$I$7:$I$10020,调整事项汇总表!$D$7:$D$10020,"账项调整",调整事项汇总表!$E$7:$E$10020,IF(OR(MID(TRIM($A119),2,1)="：",MID(TRIM($A119),2,1)="、"),REPLACEB(TRIM($A119),1,4,""),TRIM($A119)))</f>
        <v>0</v>
      </c>
      <c r="D119" s="810">
        <f>SUMIFS(调整事项汇总表!$J$7:$J$10020,调整事项汇总表!$D$7:$D$10020,"账项调整",调整事项汇总表!$E$7:$E$10020,IF(OR(MID(TRIM($A119),2,1)="：",MID(TRIM($A119),2,1)="、"),REPLACEB(TRIM($A119),1,4,""),TRIM($A119)))</f>
        <v>0</v>
      </c>
      <c r="E119" s="810">
        <f>SUMIFS(调整事项汇总表!$I$7:$I$10020,调整事项汇总表!$D$7:$D$10020,"报表调整",调整事项汇总表!$E$7:$E$10020,IF(OR(MID(TRIM($A119),2,1)="：",MID(TRIM($A119),2,1)="、"),REPLACEB(TRIM($A119),1,4,""),TRIM($A119)))</f>
        <v>0</v>
      </c>
      <c r="F119" s="810">
        <f>SUMIFS(调整事项汇总表!$J$7:$J$10020,调整事项汇总表!$D$7:$D$10020,"报表调整",调整事项汇总表!$E$7:$E$10020,IF(OR(MID(TRIM($A119),2,1)="：",MID(TRIM($A119),2,1)="、"),REPLACEB(TRIM($A119),1,4,""),TRIM($A119)))</f>
        <v>0</v>
      </c>
      <c r="G119" s="810">
        <f>SUMIFS(调整事项汇总表!$I$7:$I$10020,调整事项汇总表!$D$7:$D$10020,"其他",调整事项汇总表!$E$7:$E$10020,IF(OR(MID(TRIM($A119),2,1)="：",MID(TRIM($A119),2,1)="、"),REPLACEB(TRIM($A119),1,4,""),TRIM($A119)))</f>
        <v>0</v>
      </c>
      <c r="H119" s="810">
        <f>SUMIFS(调整事项汇总表!$J$7:$J$10020,调整事项汇总表!$D$7:$D$10020,"其他",调整事项汇总表!$E$7:$E$10020,IF(OR(MID(TRIM($A119),2,1)="：",MID(TRIM($A119),2,1)="、"),REPLACEB(TRIM($A119),1,4,""),TRIM($A119)))</f>
        <v>0</v>
      </c>
      <c r="I119" s="811">
        <f>B119+C119+E119+G119-H119-F119-D119</f>
        <v>0</v>
      </c>
      <c r="J119" s="38" t="b">
        <f>A119=未审报表!A119</f>
        <v>1</v>
      </c>
      <c r="K119" s="75" t="b">
        <f>审定报表!A119=TB!A119</f>
        <v>1</v>
      </c>
    </row>
    <row r="120" spans="1:15">
      <c r="A120" s="809" t="str">
        <f>未审报表!A120</f>
        <v>商誉减值准备</v>
      </c>
      <c r="B120" s="810">
        <f>未审报表!C120</f>
        <v>0</v>
      </c>
      <c r="C120" s="810">
        <f>SUMIFS(调整事项汇总表!$I$7:$I$10020,调整事项汇总表!$D$7:$D$10020,"账项调整",调整事项汇总表!$E$7:$E$10020,IF(OR(MID(TRIM($A120),2,1)="：",MID(TRIM($A120),2,1)="、"),REPLACEB(TRIM($A120),1,4,""),TRIM($A120)))</f>
        <v>0</v>
      </c>
      <c r="D120" s="810">
        <f>SUMIFS(调整事项汇总表!$J$7:$J$10020,调整事项汇总表!$D$7:$D$10020,"账项调整",调整事项汇总表!$E$7:$E$10020,IF(OR(MID(TRIM($A120),2,1)="：",MID(TRIM($A120),2,1)="、"),REPLACEB(TRIM($A120),1,4,""),TRIM($A120)))</f>
        <v>0</v>
      </c>
      <c r="E120" s="810">
        <f>SUMIFS(调整事项汇总表!$I$7:$I$10020,调整事项汇总表!$D$7:$D$10020,"报表调整",调整事项汇总表!$E$7:$E$10020,IF(OR(MID(TRIM($A120),2,1)="：",MID(TRIM($A120),2,1)="、"),REPLACEB(TRIM($A120),1,4,""),TRIM($A120)))</f>
        <v>0</v>
      </c>
      <c r="F120" s="810">
        <f>SUMIFS(调整事项汇总表!$J$7:$J$10020,调整事项汇总表!$D$7:$D$10020,"报表调整",调整事项汇总表!$E$7:$E$10020,IF(OR(MID(TRIM($A120),2,1)="：",MID(TRIM($A120),2,1)="、"),REPLACEB(TRIM($A120),1,4,""),TRIM($A120)))</f>
        <v>0</v>
      </c>
      <c r="G120" s="810">
        <f>SUMIFS(调整事项汇总表!$I$7:$I$10020,调整事项汇总表!$D$7:$D$10020,"其他",调整事项汇总表!$E$7:$E$10020,IF(OR(MID(TRIM($A120),2,1)="：",MID(TRIM($A120),2,1)="、"),REPLACEB(TRIM($A120),1,4,""),TRIM($A120)))</f>
        <v>0</v>
      </c>
      <c r="H120" s="810">
        <f>SUMIFS(调整事项汇总表!$J$7:$J$10020,调整事项汇总表!$D$7:$D$10020,"其他",调整事项汇总表!$E$7:$E$10020,IF(OR(MID(TRIM($A120),2,1)="：",MID(TRIM($A120),2,1)="、"),REPLACEB(TRIM($A120),1,4,""),TRIM($A120)))</f>
        <v>0</v>
      </c>
      <c r="I120" s="811">
        <f>B120+D120+F120+H120-G120-E120-C120</f>
        <v>0</v>
      </c>
      <c r="J120" s="38" t="b">
        <f>A120=未审报表!A120</f>
        <v>1</v>
      </c>
      <c r="K120" s="75" t="b">
        <f>审定报表!A120=TB!A120</f>
        <v>1</v>
      </c>
    </row>
    <row r="121" spans="1:15">
      <c r="A121" s="809" t="str">
        <f>未审报表!A121</f>
        <v>商誉</v>
      </c>
      <c r="B121" s="810">
        <f>未审报表!C121</f>
        <v>0</v>
      </c>
      <c r="C121" s="810">
        <f>C119+C120</f>
        <v>0</v>
      </c>
      <c r="D121" s="810">
        <f t="shared" ref="D121:H121" si="38">D119+D120</f>
        <v>0</v>
      </c>
      <c r="E121" s="810">
        <f t="shared" si="38"/>
        <v>0</v>
      </c>
      <c r="F121" s="810">
        <f t="shared" si="38"/>
        <v>0</v>
      </c>
      <c r="G121" s="810">
        <f t="shared" si="38"/>
        <v>0</v>
      </c>
      <c r="H121" s="810">
        <f t="shared" si="38"/>
        <v>0</v>
      </c>
      <c r="I121" s="811">
        <f t="shared" ref="I121:I127" si="39">B121+C121+E121+G121-H121-F121-D121</f>
        <v>0</v>
      </c>
      <c r="J121" s="38" t="b">
        <f>A121=未审报表!A121</f>
        <v>1</v>
      </c>
      <c r="K121" s="75" t="b">
        <f>审定报表!A121=TB!A121</f>
        <v>1</v>
      </c>
    </row>
    <row r="122" spans="1:15">
      <c r="A122" s="809" t="str">
        <f>未审报表!A122</f>
        <v>长期待摊费用</v>
      </c>
      <c r="B122" s="810">
        <f>未审报表!C122</f>
        <v>0</v>
      </c>
      <c r="C122" s="810">
        <f>SUMIFS(调整事项汇总表!$I$7:$I$10020,调整事项汇总表!$D$7:$D$10020,"账项调整",调整事项汇总表!$E$7:$E$10020,IF(OR(MID(TRIM($A122),2,1)="：",MID(TRIM($A122),2,1)="、"),REPLACEB(TRIM($A122),1,4,""),TRIM($A122)))</f>
        <v>0</v>
      </c>
      <c r="D122" s="810">
        <f>SUMIFS(调整事项汇总表!$J$7:$J$10020,调整事项汇总表!$D$7:$D$10020,"账项调整",调整事项汇总表!$E$7:$E$10020,IF(OR(MID(TRIM($A122),2,1)="：",MID(TRIM($A122),2,1)="、"),REPLACEB(TRIM($A122),1,4,""),TRIM($A122)))</f>
        <v>0</v>
      </c>
      <c r="E122" s="810">
        <f>SUMIFS(调整事项汇总表!$I$7:$I$10020,调整事项汇总表!$D$7:$D$10020,"报表调整",调整事项汇总表!$E$7:$E$10020,IF(OR(MID(TRIM($A122),2,1)="：",MID(TRIM($A122),2,1)="、"),REPLACEB(TRIM($A122),1,4,""),TRIM($A122)))</f>
        <v>0</v>
      </c>
      <c r="F122" s="810">
        <f>SUMIFS(调整事项汇总表!$J$7:$J$10020,调整事项汇总表!$D$7:$D$10020,"报表调整",调整事项汇总表!$E$7:$E$10020,IF(OR(MID(TRIM($A122),2,1)="：",MID(TRIM($A122),2,1)="、"),REPLACEB(TRIM($A122),1,4,""),TRIM($A122)))</f>
        <v>0</v>
      </c>
      <c r="G122" s="810">
        <f>SUMIFS(调整事项汇总表!$I$7:$I$10020,调整事项汇总表!$D$7:$D$10020,"其他",调整事项汇总表!$E$7:$E$10020,IF(OR(MID(TRIM($A122),2,1)="：",MID(TRIM($A122),2,1)="、"),REPLACEB(TRIM($A122),1,4,""),TRIM($A122)))</f>
        <v>0</v>
      </c>
      <c r="H122" s="810">
        <f>SUMIFS(调整事项汇总表!$J$7:$J$10020,调整事项汇总表!$D$7:$D$10020,"其他",调整事项汇总表!$E$7:$E$10020,IF(OR(MID(TRIM($A122),2,1)="：",MID(TRIM($A122),2,1)="、"),REPLACEB(TRIM($A122),1,4,""),TRIM($A122)))</f>
        <v>0</v>
      </c>
      <c r="I122" s="811">
        <f t="shared" si="39"/>
        <v>0</v>
      </c>
      <c r="J122" s="38" t="b">
        <f>A122=未审报表!A122</f>
        <v>1</v>
      </c>
      <c r="K122" s="75" t="b">
        <f>审定报表!A122=TB!A122</f>
        <v>1</v>
      </c>
    </row>
    <row r="123" spans="1:15">
      <c r="A123" s="809" t="str">
        <f>未审报表!A123</f>
        <v>递延所得税资产</v>
      </c>
      <c r="B123" s="810">
        <f>未审报表!C123</f>
        <v>359133.84</v>
      </c>
      <c r="C123" s="810">
        <f>SUMIFS(调整事项汇总表!$I$7:$I$10020,调整事项汇总表!$D$7:$D$10020,"账项调整",调整事项汇总表!$E$7:$E$10020,IF(OR(MID(TRIM($A123),2,1)="：",MID(TRIM($A123),2,1)="、"),REPLACEB(TRIM($A123),1,4,""),TRIM($A123)))</f>
        <v>-101489.88000000003</v>
      </c>
      <c r="D123" s="810">
        <f>SUMIFS(调整事项汇总表!$J$7:$J$10020,调整事项汇总表!$D$7:$D$10020,"账项调整",调整事项汇总表!$E$7:$E$10020,IF(OR(MID(TRIM($A123),2,1)="：",MID(TRIM($A123),2,1)="、"),REPLACEB(TRIM($A123),1,4,""),TRIM($A123)))</f>
        <v>0</v>
      </c>
      <c r="E123" s="810">
        <f>SUMIFS(调整事项汇总表!$I$7:$I$10020,调整事项汇总表!$D$7:$D$10020,"报表调整",调整事项汇总表!$E$7:$E$10020,IF(OR(MID(TRIM($A123),2,1)="：",MID(TRIM($A123),2,1)="、"),REPLACEB(TRIM($A123),1,4,""),TRIM($A123)))</f>
        <v>0</v>
      </c>
      <c r="F123" s="810">
        <f>SUMIFS(调整事项汇总表!$J$7:$J$10020,调整事项汇总表!$D$7:$D$10020,"报表调整",调整事项汇总表!$E$7:$E$10020,IF(OR(MID(TRIM($A123),2,1)="：",MID(TRIM($A123),2,1)="、"),REPLACEB(TRIM($A123),1,4,""),TRIM($A123)))</f>
        <v>0</v>
      </c>
      <c r="G123" s="810">
        <f>SUMIFS(调整事项汇总表!$I$7:$I$10020,调整事项汇总表!$D$7:$D$10020,"其他",调整事项汇总表!$E$7:$E$10020,IF(OR(MID(TRIM($A123),2,1)="：",MID(TRIM($A123),2,1)="、"),REPLACEB(TRIM($A123),1,4,""),TRIM($A123)))</f>
        <v>0</v>
      </c>
      <c r="H123" s="810">
        <f>SUMIFS(调整事项汇总表!$J$7:$J$10020,调整事项汇总表!$D$7:$D$10020,"其他",调整事项汇总表!$E$7:$E$10020,IF(OR(MID(TRIM($A123),2,1)="：",MID(TRIM($A123),2,1)="、"),REPLACEB(TRIM($A123),1,4,""),TRIM($A123)))</f>
        <v>0</v>
      </c>
      <c r="I123" s="811">
        <f t="shared" si="39"/>
        <v>257643.96</v>
      </c>
      <c r="J123" s="38" t="b">
        <f>A123=未审报表!A123</f>
        <v>1</v>
      </c>
      <c r="K123" s="75" t="b">
        <f>审定报表!A123=TB!A123</f>
        <v>1</v>
      </c>
    </row>
    <row r="124" spans="1:15">
      <c r="A124" s="809" t="str">
        <f>未审报表!A124</f>
        <v>其他非流动资产</v>
      </c>
      <c r="B124" s="810">
        <f>未审报表!C124</f>
        <v>0</v>
      </c>
      <c r="C124" s="810">
        <f>SUMIFS(调整事项汇总表!$I$7:$I$10020,调整事项汇总表!$D$7:$D$10020,"账项调整",调整事项汇总表!$E$7:$E$10020,IF(OR(MID(TRIM($A124),2,1)="：",MID(TRIM($A124),2,1)="、"),REPLACEB(TRIM($A124),1,4,""),TRIM($A124)))</f>
        <v>0</v>
      </c>
      <c r="D124" s="810">
        <f>SUMIFS(调整事项汇总表!$J$7:$J$10020,调整事项汇总表!$D$7:$D$10020,"账项调整",调整事项汇总表!$E$7:$E$10020,IF(OR(MID(TRIM($A124),2,1)="：",MID(TRIM($A124),2,1)="、"),REPLACEB(TRIM($A124),1,4,""),TRIM($A124)))</f>
        <v>0</v>
      </c>
      <c r="E124" s="810">
        <f>SUMIFS(调整事项汇总表!$I$7:$I$10020,调整事项汇总表!$D$7:$D$10020,"报表调整",调整事项汇总表!$E$7:$E$10020,IF(OR(MID(TRIM($A124),2,1)="：",MID(TRIM($A124),2,1)="、"),REPLACEB(TRIM($A124),1,4,""),TRIM($A124)))</f>
        <v>0</v>
      </c>
      <c r="F124" s="810">
        <f>SUMIFS(调整事项汇总表!$J$7:$J$10020,调整事项汇总表!$D$7:$D$10020,"报表调整",调整事项汇总表!$E$7:$E$10020,IF(OR(MID(TRIM($A124),2,1)="：",MID(TRIM($A124),2,1)="、"),REPLACEB(TRIM($A124),1,4,""),TRIM($A124)))</f>
        <v>0</v>
      </c>
      <c r="G124" s="810">
        <f>SUMIFS(调整事项汇总表!$I$7:$I$10020,调整事项汇总表!$D$7:$D$10020,"其他",调整事项汇总表!$E$7:$E$10020,IF(OR(MID(TRIM($A124),2,1)="：",MID(TRIM($A124),2,1)="、"),REPLACEB(TRIM($A124),1,4,""),TRIM($A124)))</f>
        <v>0</v>
      </c>
      <c r="H124" s="810">
        <f>SUMIFS(调整事项汇总表!$J$7:$J$10020,调整事项汇总表!$D$7:$D$10020,"其他",调整事项汇总表!$E$7:$E$10020,IF(OR(MID(TRIM($A124),2,1)="：",MID(TRIM($A124),2,1)="、"),REPLACEB(TRIM($A124),1,4,""),TRIM($A124)))</f>
        <v>0</v>
      </c>
      <c r="I124" s="811">
        <f t="shared" si="39"/>
        <v>0</v>
      </c>
      <c r="J124" s="38" t="b">
        <f>A124=未审报表!A124</f>
        <v>1</v>
      </c>
      <c r="K124" s="75" t="b">
        <f>审定报表!A124=TB!A124</f>
        <v>1</v>
      </c>
    </row>
    <row r="125" spans="1:15">
      <c r="A125" s="809" t="str">
        <f>未审报表!A125</f>
        <v xml:space="preserve"> 其中：特准储备物资</v>
      </c>
      <c r="B125" s="810">
        <f>未审报表!C125</f>
        <v>0</v>
      </c>
      <c r="C125" s="810">
        <f>SUMIFS(调整事项汇总表!$I$7:$I$10020,调整事项汇总表!$D$7:$D$10020,"账项调整",调整事项汇总表!$E$7:$E$10020,"其他非流动资产",调整事项汇总表!$F$7:$F$10020,IF(OR(MID(TRIM($A125),3,1)="：",MID(TRIM($A125),2,1)="、"),REPLACEB(TRIM($A125),1,6,""),TRIM($A125)))</f>
        <v>0</v>
      </c>
      <c r="D125" s="810">
        <f>SUMIFS(调整事项汇总表!$J$7:$J$10020,调整事项汇总表!$D$7:$D$10020,"账项调整",调整事项汇总表!$E$7:$E$10020,"其他非流动资产",调整事项汇总表!$F$7:$F$10020,IF(OR(MID(TRIM($A125),3,1)="：",MID(TRIM($A125),2,1)="、"),REPLACEB(TRIM($A125),1,6,""),TRIM($A125)))</f>
        <v>0</v>
      </c>
      <c r="E125" s="810">
        <f>SUMIFS(调整事项汇总表!$I$7:$I$10020,调整事项汇总表!$D$7:$D$10020,"报表调整",调整事项汇总表!$E$7:$E$10020,"其他非流动资产",调整事项汇总表!$F$7:$F$10020,IF(OR(MID(TRIM($A125),3,1)="：",MID(TRIM($A125),2,1)="、"),REPLACEB(TRIM($A125),1,6,""),TRIM($A125)))</f>
        <v>0</v>
      </c>
      <c r="F125" s="810">
        <f>SUMIFS(调整事项汇总表!$J$7:$J$10020,调整事项汇总表!$D$7:$D$10020,"报表调整",调整事项汇总表!$E$7:$E$10020,"其他非流动资产",调整事项汇总表!$F$7:$F$10020,IF(OR(MID(TRIM($A125),3,1)="：",MID(TRIM($A125),2,1)="、"),REPLACEB(TRIM($A125),1,6,""),TRIM($A125)))</f>
        <v>0</v>
      </c>
      <c r="G125" s="810">
        <f>SUMIFS(调整事项汇总表!$I$7:$I$10020,调整事项汇总表!$D$7:$D$10020,"其他",调整事项汇总表!$E$7:$E$10020,"其他非流动资产",调整事项汇总表!$F$7:$F$10020,IF(OR(MID(TRIM($A125),3,1)="：",MID(TRIM($A125),2,1)="、"),REPLACEB(TRIM($A125),1,6,""),TRIM($A125)))</f>
        <v>0</v>
      </c>
      <c r="H125" s="810">
        <f>SUMIFS(调整事项汇总表!$J$7:$J$10020,调整事项汇总表!$D$7:$D$10020,"其他",调整事项汇总表!$E$7:$E$10020,"其他非流动资产",调整事项汇总表!$F$7:$F$10020,IF(OR(MID(TRIM($A125),3,1)="：",MID(TRIM($A125),2,1)="、"),REPLACEB(TRIM($A125),1,6,""),TRIM($A125)))</f>
        <v>0</v>
      </c>
      <c r="I125" s="811">
        <f t="shared" si="39"/>
        <v>0</v>
      </c>
      <c r="J125" s="38" t="b">
        <f>A125=未审报表!A125</f>
        <v>1</v>
      </c>
      <c r="K125" s="75" t="b">
        <f>审定报表!A125=TB!A125</f>
        <v>1</v>
      </c>
    </row>
    <row r="126" spans="1:15" s="815" customFormat="1">
      <c r="A126" s="805" t="str">
        <f>未审报表!A126</f>
        <v>非流动资产合计</v>
      </c>
      <c r="B126" s="812">
        <f>未审报表!C126</f>
        <v>27532308.280000001</v>
      </c>
      <c r="C126" s="813">
        <f>SUM(C63,C66,C69,C72,C73,C76,C77:C78,C83,C88,C92,C95,C100,C105,C110,C115,C118,C121,C122:C124)</f>
        <v>9043751.7599999998</v>
      </c>
      <c r="D126" s="813">
        <f t="shared" ref="D126:H126" si="40">SUM(D63,D66,D69,D72,D73,D76,D77:D78,D83,D88,D92,D95,D100,D105,D110,D115,D118,D121,D122:D124)</f>
        <v>1514368.76</v>
      </c>
      <c r="E126" s="813">
        <f t="shared" si="40"/>
        <v>0</v>
      </c>
      <c r="F126" s="813">
        <f t="shared" si="40"/>
        <v>0</v>
      </c>
      <c r="G126" s="813">
        <f t="shared" si="40"/>
        <v>0</v>
      </c>
      <c r="H126" s="813">
        <f t="shared" si="40"/>
        <v>0</v>
      </c>
      <c r="I126" s="814">
        <f t="shared" si="39"/>
        <v>35061691.280000001</v>
      </c>
      <c r="J126" s="815" t="b">
        <f>A126=未审报表!A126</f>
        <v>1</v>
      </c>
      <c r="K126" s="75" t="b">
        <f>审定报表!A126=TB!A126</f>
        <v>1</v>
      </c>
      <c r="O126" s="38"/>
    </row>
    <row r="127" spans="1:15" s="815" customFormat="1">
      <c r="A127" s="818" t="str">
        <f>未审报表!A127</f>
        <v>资 产 总 计</v>
      </c>
      <c r="B127" s="819">
        <f>未审报表!C127</f>
        <v>108619360.05000001</v>
      </c>
      <c r="C127" s="820">
        <f>SUM(C59,C126)</f>
        <v>22840255.359999999</v>
      </c>
      <c r="D127" s="820">
        <f t="shared" ref="D127:H127" si="41">SUM(D59,D126)</f>
        <v>1805459.8399999999</v>
      </c>
      <c r="E127" s="820">
        <f t="shared" si="41"/>
        <v>0</v>
      </c>
      <c r="F127" s="820">
        <f t="shared" si="41"/>
        <v>0</v>
      </c>
      <c r="G127" s="820">
        <f t="shared" si="41"/>
        <v>0</v>
      </c>
      <c r="H127" s="820">
        <f t="shared" si="41"/>
        <v>0</v>
      </c>
      <c r="I127" s="821">
        <f t="shared" si="39"/>
        <v>129654155.57000001</v>
      </c>
      <c r="J127" s="815" t="b">
        <f>A127=未审报表!A127</f>
        <v>1</v>
      </c>
      <c r="K127" s="75" t="b">
        <f>审定报表!A127=TB!A127</f>
        <v>1</v>
      </c>
      <c r="O127" s="38"/>
    </row>
    <row r="128" spans="1:15" ht="13.2" customHeight="1">
      <c r="A128" s="822" t="str">
        <f>IF((ROUND(I190,2))=(ROUND(I127,2)),IF(参数!D$8="股份有限公司","  负债和股东权益",IF(参数!D$8="非股份有限公司","负债和所有权益","")),"报表未调平!")</f>
        <v xml:space="preserve">  负债和股东权益</v>
      </c>
      <c r="B128" s="823" t="s">
        <v>1493</v>
      </c>
      <c r="C128" s="824" t="s">
        <v>1494</v>
      </c>
      <c r="D128" s="824" t="s">
        <v>1495</v>
      </c>
      <c r="E128" s="824" t="s">
        <v>1496</v>
      </c>
      <c r="F128" s="824" t="s">
        <v>1497</v>
      </c>
      <c r="G128" s="824" t="s">
        <v>1498</v>
      </c>
      <c r="H128" s="824" t="s">
        <v>1499</v>
      </c>
      <c r="I128" s="825" t="s">
        <v>1502</v>
      </c>
      <c r="K128" s="75"/>
    </row>
    <row r="129" spans="1:11" ht="13.2" customHeight="1">
      <c r="A129" s="809" t="str">
        <f>未审报表!A129</f>
        <v>流动负债：</v>
      </c>
      <c r="B129" s="816"/>
      <c r="C129" s="816"/>
      <c r="D129" s="816"/>
      <c r="E129" s="816"/>
      <c r="F129" s="816"/>
      <c r="G129" s="816"/>
      <c r="H129" s="816"/>
      <c r="I129" s="817"/>
      <c r="J129" s="38" t="b">
        <f>A129=未审报表!A129</f>
        <v>1</v>
      </c>
      <c r="K129" s="75" t="b">
        <f>审定报表!A129=TB!A129</f>
        <v>1</v>
      </c>
    </row>
    <row r="130" spans="1:11">
      <c r="A130" s="809" t="str">
        <f>未审报表!A130</f>
        <v>短期借款</v>
      </c>
      <c r="B130" s="810">
        <f>未审报表!C130</f>
        <v>0</v>
      </c>
      <c r="C130" s="810">
        <f>SUMIFS(调整事项汇总表!$I$7:$I$10020,调整事项汇总表!$D$7:$D$10020,"账项调整",调整事项汇总表!$E$7:$E$10020,IF(OR(MID(TRIM($A130),2,1)="：",MID(TRIM($A130),2,1)="、"),REPLACEB(TRIM($A130),1,4,""),TRIM($A130)))</f>
        <v>0</v>
      </c>
      <c r="D130" s="810">
        <f>SUMIFS(调整事项汇总表!$J$7:$J$10020,调整事项汇总表!$D$7:$D$10020,"账项调整",调整事项汇总表!$E$7:$E$10020,IF(OR(MID(TRIM($A130),2,1)="：",MID(TRIM($A130),2,1)="、"),REPLACEB(TRIM($A130),1,4,""),TRIM($A130)))</f>
        <v>0</v>
      </c>
      <c r="E130" s="810">
        <f>SUMIFS(调整事项汇总表!$I$7:$I$10020,调整事项汇总表!$D$7:$D$10020,"报表调整",调整事项汇总表!$E$7:$E$10020,IF(OR(MID(TRIM($A130),2,1)="：",MID(TRIM($A130),2,1)="、"),REPLACEB(TRIM($A130),1,4,""),TRIM($A130)))</f>
        <v>0</v>
      </c>
      <c r="F130" s="810">
        <f>SUMIFS(调整事项汇总表!$J$7:$J$10020,调整事项汇总表!$D$7:$D$10020,"报表调整",调整事项汇总表!$E$7:$E$10020,IF(OR(MID(TRIM($A130),2,1)="：",MID(TRIM($A130),2,1)="、"),REPLACEB(TRIM($A130),1,4,""),TRIM($A130)))</f>
        <v>0</v>
      </c>
      <c r="G130" s="810">
        <f>SUMIFS(调整事项汇总表!$I$7:$I$10020,调整事项汇总表!$D$7:$D$10020,"其他",调整事项汇总表!$E$7:$E$10020,IF(OR(MID(TRIM($A130),2,1)="：",MID(TRIM($A130),2,1)="、"),REPLACEB(TRIM($A130),1,4,""),TRIM($A130)))</f>
        <v>0</v>
      </c>
      <c r="H130" s="810">
        <f>SUMIFS(调整事项汇总表!$J$7:$J$10020,调整事项汇总表!$D$7:$D$10020,"其他",调整事项汇总表!$E$7:$E$10020,IF(OR(MID(TRIM($A130),2,1)="：",MID(TRIM($A130),2,1)="、"),REPLACEB(TRIM($A130),1,4,""),TRIM($A130)))</f>
        <v>0</v>
      </c>
      <c r="I130" s="811">
        <f>B130+D130+F130+H130-G130-E130-C130</f>
        <v>0</v>
      </c>
      <c r="J130" s="38" t="b">
        <f>A130=未审报表!A130</f>
        <v>1</v>
      </c>
      <c r="K130" s="75" t="b">
        <f>审定报表!A130=TB!A130</f>
        <v>1</v>
      </c>
    </row>
    <row r="131" spans="1:11">
      <c r="A131" s="809" t="str">
        <f>未审报表!A131</f>
        <v>向中央银行借款*</v>
      </c>
      <c r="B131" s="810">
        <f>未审报表!C131</f>
        <v>0</v>
      </c>
      <c r="C131" s="810">
        <f>SUMIFS(调整事项汇总表!$I$7:$I$10020,调整事项汇总表!$D$7:$D$10020,"账项调整",调整事项汇总表!$E$7:$E$10020,IF(OR(MID(TRIM($A131),2,1)="：",MID(TRIM($A131),2,1)="、"),REPLACEB(TRIM($A131),1,4,""),TRIM($A131)))</f>
        <v>0</v>
      </c>
      <c r="D131" s="810">
        <f>SUMIFS(调整事项汇总表!$J$7:$J$10020,调整事项汇总表!$D$7:$D$10020,"账项调整",调整事项汇总表!$E$7:$E$10020,IF(OR(MID(TRIM($A131),2,1)="：",MID(TRIM($A131),2,1)="、"),REPLACEB(TRIM($A131),1,4,""),TRIM($A131)))</f>
        <v>0</v>
      </c>
      <c r="E131" s="810">
        <f>SUMIFS(调整事项汇总表!$I$7:$I$10020,调整事项汇总表!$D$7:$D$10020,"报表调整",调整事项汇总表!$E$7:$E$10020,IF(OR(MID(TRIM($A131),2,1)="：",MID(TRIM($A131),2,1)="、"),REPLACEB(TRIM($A131),1,4,""),TRIM($A131)))</f>
        <v>0</v>
      </c>
      <c r="F131" s="810">
        <f>SUMIFS(调整事项汇总表!$J$7:$J$10020,调整事项汇总表!$D$7:$D$10020,"报表调整",调整事项汇总表!$E$7:$E$10020,IF(OR(MID(TRIM($A131),2,1)="：",MID(TRIM($A131),2,1)="、"),REPLACEB(TRIM($A131),1,4,""),TRIM($A131)))</f>
        <v>0</v>
      </c>
      <c r="G131" s="810">
        <f>SUMIFS(调整事项汇总表!$I$7:$I$10020,调整事项汇总表!$D$7:$D$10020,"其他",调整事项汇总表!$E$7:$E$10020,IF(OR(MID(TRIM($A131),2,1)="：",MID(TRIM($A131),2,1)="、"),REPLACEB(TRIM($A131),1,4,""),TRIM($A131)))</f>
        <v>0</v>
      </c>
      <c r="H131" s="810">
        <f>SUMIFS(调整事项汇总表!$J$7:$J$10020,调整事项汇总表!$D$7:$D$10020,"其他",调整事项汇总表!$E$7:$E$10020,IF(OR(MID(TRIM($A131),2,1)="：",MID(TRIM($A131),2,1)="、"),REPLACEB(TRIM($A131),1,4,""),TRIM($A131)))</f>
        <v>0</v>
      </c>
      <c r="I131" s="811">
        <f t="shared" ref="I131:I158" si="42">B131+D131+F131+H131-G131-E131-C131</f>
        <v>0</v>
      </c>
      <c r="J131" s="38" t="b">
        <f>A131=未审报表!A131</f>
        <v>1</v>
      </c>
      <c r="K131" s="75" t="b">
        <f>审定报表!A131=TB!A131</f>
        <v>1</v>
      </c>
    </row>
    <row r="132" spans="1:11">
      <c r="A132" s="809" t="str">
        <f>未审报表!A132</f>
        <v>拆入资金*</v>
      </c>
      <c r="B132" s="810">
        <f>未审报表!C132</f>
        <v>0</v>
      </c>
      <c r="C132" s="810">
        <f>SUMIFS(调整事项汇总表!$I$7:$I$10020,调整事项汇总表!$D$7:$D$10020,"账项调整",调整事项汇总表!$E$7:$E$10020,IF(OR(MID(TRIM($A132),2,1)="：",MID(TRIM($A132),2,1)="、"),REPLACEB(TRIM($A132),1,4,""),TRIM($A132)))</f>
        <v>0</v>
      </c>
      <c r="D132" s="810">
        <f>SUMIFS(调整事项汇总表!$J$7:$J$10020,调整事项汇总表!$D$7:$D$10020,"账项调整",调整事项汇总表!$E$7:$E$10020,IF(OR(MID(TRIM($A132),2,1)="：",MID(TRIM($A132),2,1)="、"),REPLACEB(TRIM($A132),1,4,""),TRIM($A132)))</f>
        <v>0</v>
      </c>
      <c r="E132" s="810">
        <f>SUMIFS(调整事项汇总表!$I$7:$I$10020,调整事项汇总表!$D$7:$D$10020,"报表调整",调整事项汇总表!$E$7:$E$10020,IF(OR(MID(TRIM($A132),2,1)="：",MID(TRIM($A132),2,1)="、"),REPLACEB(TRIM($A132),1,4,""),TRIM($A132)))</f>
        <v>0</v>
      </c>
      <c r="F132" s="810">
        <f>SUMIFS(调整事项汇总表!$J$7:$J$10020,调整事项汇总表!$D$7:$D$10020,"报表调整",调整事项汇总表!$E$7:$E$10020,IF(OR(MID(TRIM($A132),2,1)="：",MID(TRIM($A132),2,1)="、"),REPLACEB(TRIM($A132),1,4,""),TRIM($A132)))</f>
        <v>0</v>
      </c>
      <c r="G132" s="810">
        <f>SUMIFS(调整事项汇总表!$I$7:$I$10020,调整事项汇总表!$D$7:$D$10020,"其他",调整事项汇总表!$E$7:$E$10020,IF(OR(MID(TRIM($A132),2,1)="：",MID(TRIM($A132),2,1)="、"),REPLACEB(TRIM($A132),1,4,""),TRIM($A132)))</f>
        <v>0</v>
      </c>
      <c r="H132" s="810">
        <f>SUMIFS(调整事项汇总表!$J$7:$J$10020,调整事项汇总表!$D$7:$D$10020,"其他",调整事项汇总表!$E$7:$E$10020,IF(OR(MID(TRIM($A132),2,1)="：",MID(TRIM($A132),2,1)="、"),REPLACEB(TRIM($A132),1,4,""),TRIM($A132)))</f>
        <v>0</v>
      </c>
      <c r="I132" s="811">
        <f t="shared" si="42"/>
        <v>0</v>
      </c>
      <c r="J132" s="38" t="b">
        <f>A132=未审报表!A132</f>
        <v>1</v>
      </c>
      <c r="K132" s="75" t="b">
        <f>审定报表!A132=TB!A132</f>
        <v>1</v>
      </c>
    </row>
    <row r="133" spans="1:11">
      <c r="A133" s="809" t="str">
        <f>未审报表!A133</f>
        <v>交易性金融负债</v>
      </c>
      <c r="B133" s="810">
        <f>未审报表!C133</f>
        <v>0</v>
      </c>
      <c r="C133" s="810">
        <f>SUMIFS(调整事项汇总表!$I$7:$I$10020,调整事项汇总表!$D$7:$D$10020,"账项调整",调整事项汇总表!$E$7:$E$10020,IF(OR(MID(TRIM($A133),2,1)="：",MID(TRIM($A133),2,1)="、"),REPLACEB(TRIM($A133),1,4,""),TRIM($A133)))</f>
        <v>0</v>
      </c>
      <c r="D133" s="810">
        <f>SUMIFS(调整事项汇总表!$J$7:$J$10020,调整事项汇总表!$D$7:$D$10020,"账项调整",调整事项汇总表!$E$7:$E$10020,IF(OR(MID(TRIM($A133),2,1)="：",MID(TRIM($A133),2,1)="、"),REPLACEB(TRIM($A133),1,4,""),TRIM($A133)))</f>
        <v>0</v>
      </c>
      <c r="E133" s="810">
        <f>SUMIFS(调整事项汇总表!$I$7:$I$10020,调整事项汇总表!$D$7:$D$10020,"报表调整",调整事项汇总表!$E$7:$E$10020,IF(OR(MID(TRIM($A133),2,1)="：",MID(TRIM($A133),2,1)="、"),REPLACEB(TRIM($A133),1,4,""),TRIM($A133)))</f>
        <v>0</v>
      </c>
      <c r="F133" s="810">
        <f>SUMIFS(调整事项汇总表!$J$7:$J$10020,调整事项汇总表!$D$7:$D$10020,"报表调整",调整事项汇总表!$E$7:$E$10020,IF(OR(MID(TRIM($A133),2,1)="：",MID(TRIM($A133),2,1)="、"),REPLACEB(TRIM($A133),1,4,""),TRIM($A133)))</f>
        <v>0</v>
      </c>
      <c r="G133" s="810">
        <f>SUMIFS(调整事项汇总表!$I$7:$I$10020,调整事项汇总表!$D$7:$D$10020,"其他",调整事项汇总表!$E$7:$E$10020,IF(OR(MID(TRIM($A133),2,1)="：",MID(TRIM($A133),2,1)="、"),REPLACEB(TRIM($A133),1,4,""),TRIM($A133)))</f>
        <v>0</v>
      </c>
      <c r="H133" s="810">
        <f>SUMIFS(调整事项汇总表!$J$7:$J$10020,调整事项汇总表!$D$7:$D$10020,"其他",调整事项汇总表!$E$7:$E$10020,IF(OR(MID(TRIM($A133),2,1)="：",MID(TRIM($A133),2,1)="、"),REPLACEB(TRIM($A133),1,4,""),TRIM($A133)))</f>
        <v>0</v>
      </c>
      <c r="I133" s="811">
        <f t="shared" si="42"/>
        <v>0</v>
      </c>
      <c r="J133" s="38" t="b">
        <f>A133=未审报表!A133</f>
        <v>1</v>
      </c>
      <c r="K133" s="75" t="b">
        <f>审定报表!A133=TB!A133</f>
        <v>1</v>
      </c>
    </row>
    <row r="134" spans="1:11">
      <c r="A134" s="809" t="str">
        <f>未审报表!A134</f>
        <v>衍生金融负债</v>
      </c>
      <c r="B134" s="810">
        <f>未审报表!C134</f>
        <v>0</v>
      </c>
      <c r="C134" s="810">
        <f>SUMIFS(调整事项汇总表!$I$7:$I$10020,调整事项汇总表!$D$7:$D$10020,"账项调整",调整事项汇总表!$E$7:$E$10020,IF(OR(MID(TRIM($A134),2,1)="：",MID(TRIM($A134),2,1)="、"),REPLACEB(TRIM($A134),1,4,""),TRIM($A134)))</f>
        <v>0</v>
      </c>
      <c r="D134" s="810">
        <f>SUMIFS(调整事项汇总表!$J$7:$J$10020,调整事项汇总表!$D$7:$D$10020,"账项调整",调整事项汇总表!$E$7:$E$10020,IF(OR(MID(TRIM($A134),2,1)="：",MID(TRIM($A134),2,1)="、"),REPLACEB(TRIM($A134),1,4,""),TRIM($A134)))</f>
        <v>0</v>
      </c>
      <c r="E134" s="810">
        <f>SUMIFS(调整事项汇总表!$I$7:$I$10020,调整事项汇总表!$D$7:$D$10020,"报表调整",调整事项汇总表!$E$7:$E$10020,IF(OR(MID(TRIM($A134),2,1)="：",MID(TRIM($A134),2,1)="、"),REPLACEB(TRIM($A134),1,4,""),TRIM($A134)))</f>
        <v>0</v>
      </c>
      <c r="F134" s="810">
        <f>SUMIFS(调整事项汇总表!$J$7:$J$10020,调整事项汇总表!$D$7:$D$10020,"报表调整",调整事项汇总表!$E$7:$E$10020,IF(OR(MID(TRIM($A134),2,1)="：",MID(TRIM($A134),2,1)="、"),REPLACEB(TRIM($A134),1,4,""),TRIM($A134)))</f>
        <v>0</v>
      </c>
      <c r="G134" s="810">
        <f>SUMIFS(调整事项汇总表!$I$7:$I$10020,调整事项汇总表!$D$7:$D$10020,"其他",调整事项汇总表!$E$7:$E$10020,IF(OR(MID(TRIM($A134),2,1)="：",MID(TRIM($A134),2,1)="、"),REPLACEB(TRIM($A134),1,4,""),TRIM($A134)))</f>
        <v>0</v>
      </c>
      <c r="H134" s="810">
        <f>SUMIFS(调整事项汇总表!$J$7:$J$10020,调整事项汇总表!$D$7:$D$10020,"其他",调整事项汇总表!$E$7:$E$10020,IF(OR(MID(TRIM($A134),2,1)="：",MID(TRIM($A134),2,1)="、"),REPLACEB(TRIM($A134),1,4,""),TRIM($A134)))</f>
        <v>0</v>
      </c>
      <c r="I134" s="811">
        <f t="shared" si="42"/>
        <v>0</v>
      </c>
      <c r="J134" s="38" t="b">
        <f>A134=未审报表!A134</f>
        <v>1</v>
      </c>
      <c r="K134" s="75" t="b">
        <f>审定报表!A134=TB!A134</f>
        <v>1</v>
      </c>
    </row>
    <row r="135" spans="1:11">
      <c r="A135" s="809" t="str">
        <f>未审报表!A135</f>
        <v>应付票据</v>
      </c>
      <c r="B135" s="810">
        <f>未审报表!C135</f>
        <v>0</v>
      </c>
      <c r="C135" s="810">
        <f>SUMIFS(调整事项汇总表!$I$7:$I$10020,调整事项汇总表!$D$7:$D$10020,"账项调整",调整事项汇总表!$E$7:$E$10020,IF(OR(MID(TRIM($A135),2,1)="：",MID(TRIM($A135),2,1)="、"),REPLACEB(TRIM($A135),1,4,""),TRIM($A135)))</f>
        <v>0</v>
      </c>
      <c r="D135" s="810">
        <f>SUMIFS(调整事项汇总表!$J$7:$J$10020,调整事项汇总表!$D$7:$D$10020,"账项调整",调整事项汇总表!$E$7:$E$10020,IF(OR(MID(TRIM($A135),2,1)="：",MID(TRIM($A135),2,1)="、"),REPLACEB(TRIM($A135),1,4,""),TRIM($A135)))</f>
        <v>0</v>
      </c>
      <c r="E135" s="810">
        <f>SUMIFS(调整事项汇总表!$I$7:$I$10020,调整事项汇总表!$D$7:$D$10020,"报表调整",调整事项汇总表!$E$7:$E$10020,IF(OR(MID(TRIM($A135),2,1)="：",MID(TRIM($A135),2,1)="、"),REPLACEB(TRIM($A135),1,4,""),TRIM($A135)))</f>
        <v>0</v>
      </c>
      <c r="F135" s="810">
        <f>SUMIFS(调整事项汇总表!$J$7:$J$10020,调整事项汇总表!$D$7:$D$10020,"报表调整",调整事项汇总表!$E$7:$E$10020,IF(OR(MID(TRIM($A135),2,1)="：",MID(TRIM($A135),2,1)="、"),REPLACEB(TRIM($A135),1,4,""),TRIM($A135)))</f>
        <v>0</v>
      </c>
      <c r="G135" s="810">
        <f>SUMIFS(调整事项汇总表!$I$7:$I$10020,调整事项汇总表!$D$7:$D$10020,"其他",调整事项汇总表!$E$7:$E$10020,IF(OR(MID(TRIM($A135),2,1)="：",MID(TRIM($A135),2,1)="、"),REPLACEB(TRIM($A135),1,4,""),TRIM($A135)))</f>
        <v>0</v>
      </c>
      <c r="H135" s="810">
        <f>SUMIFS(调整事项汇总表!$J$7:$J$10020,调整事项汇总表!$D$7:$D$10020,"其他",调整事项汇总表!$E$7:$E$10020,IF(OR(MID(TRIM($A135),2,1)="：",MID(TRIM($A135),2,1)="、"),REPLACEB(TRIM($A135),1,4,""),TRIM($A135)))</f>
        <v>0</v>
      </c>
      <c r="I135" s="811">
        <f t="shared" si="42"/>
        <v>0</v>
      </c>
      <c r="J135" s="38" t="b">
        <f>A135=未审报表!A135</f>
        <v>1</v>
      </c>
      <c r="K135" s="75" t="b">
        <f>审定报表!A135=TB!A135</f>
        <v>1</v>
      </c>
    </row>
    <row r="136" spans="1:11">
      <c r="A136" s="809" t="str">
        <f>未审报表!A136</f>
        <v>应付账款</v>
      </c>
      <c r="B136" s="810">
        <f>未审报表!C136</f>
        <v>9144644.7200000007</v>
      </c>
      <c r="C136" s="810">
        <f>SUMIFS(调整事项汇总表!$I$7:$I$10020,调整事项汇总表!$D$7:$D$10020,"账项调整",调整事项汇总表!$E$7:$E$10020,IF(OR(MID(TRIM($A136),2,1)="：",MID(TRIM($A136),2,1)="、"),REPLACEB(TRIM($A136),1,4,""),TRIM($A136)))</f>
        <v>0</v>
      </c>
      <c r="D136" s="810">
        <f>SUMIFS(调整事项汇总表!$J$7:$J$10020,调整事项汇总表!$D$7:$D$10020,"账项调整",调整事项汇总表!$E$7:$E$10020,IF(OR(MID(TRIM($A136),2,1)="：",MID(TRIM($A136),2,1)="、"),REPLACEB(TRIM($A136),1,4,""),TRIM($A136)))</f>
        <v>2345529.4599999995</v>
      </c>
      <c r="E136" s="810">
        <f>SUMIFS(调整事项汇总表!$I$7:$I$10020,调整事项汇总表!$D$7:$D$10020,"报表调整",调整事项汇总表!$E$7:$E$10020,IF(OR(MID(TRIM($A136),2,1)="：",MID(TRIM($A136),2,1)="、"),REPLACEB(TRIM($A136),1,4,""),TRIM($A136)))</f>
        <v>0</v>
      </c>
      <c r="F136" s="810">
        <f>SUMIFS(调整事项汇总表!$J$7:$J$10020,调整事项汇总表!$D$7:$D$10020,"报表调整",调整事项汇总表!$E$7:$E$10020,IF(OR(MID(TRIM($A136),2,1)="：",MID(TRIM($A136),2,1)="、"),REPLACEB(TRIM($A136),1,4,""),TRIM($A136)))</f>
        <v>0</v>
      </c>
      <c r="G136" s="810">
        <f>SUMIFS(调整事项汇总表!$I$7:$I$10020,调整事项汇总表!$D$7:$D$10020,"其他",调整事项汇总表!$E$7:$E$10020,IF(OR(MID(TRIM($A136),2,1)="：",MID(TRIM($A136),2,1)="、"),REPLACEB(TRIM($A136),1,4,""),TRIM($A136)))</f>
        <v>0</v>
      </c>
      <c r="H136" s="810">
        <f>SUMIFS(调整事项汇总表!$J$7:$J$10020,调整事项汇总表!$D$7:$D$10020,"其他",调整事项汇总表!$E$7:$E$10020,IF(OR(MID(TRIM($A136),2,1)="：",MID(TRIM($A136),2,1)="、"),REPLACEB(TRIM($A136),1,4,""),TRIM($A136)))</f>
        <v>0</v>
      </c>
      <c r="I136" s="811">
        <f t="shared" si="42"/>
        <v>11490174.18</v>
      </c>
      <c r="J136" s="38" t="b">
        <f>A136=未审报表!A136</f>
        <v>1</v>
      </c>
      <c r="K136" s="75" t="b">
        <f>审定报表!A136=TB!A136</f>
        <v>1</v>
      </c>
    </row>
    <row r="137" spans="1:11">
      <c r="A137" s="809" t="str">
        <f>未审报表!A137</f>
        <v>预收款项</v>
      </c>
      <c r="B137" s="810">
        <f>未审报表!C137</f>
        <v>0</v>
      </c>
      <c r="C137" s="810">
        <f>SUMIFS(调整事项汇总表!$I$7:$I$10020,调整事项汇总表!$D$7:$D$10020,"账项调整",调整事项汇总表!$E$7:$E$10020,IF(OR(MID(TRIM($A137),2,1)="：",MID(TRIM($A137),2,1)="、"),REPLACEB(TRIM($A137),1,4,""),TRIM($A137)))</f>
        <v>0</v>
      </c>
      <c r="D137" s="810">
        <f>SUMIFS(调整事项汇总表!$J$7:$J$10020,调整事项汇总表!$D$7:$D$10020,"账项调整",调整事项汇总表!$E$7:$E$10020,IF(OR(MID(TRIM($A137),2,1)="：",MID(TRIM($A137),2,1)="、"),REPLACEB(TRIM($A137),1,4,""),TRIM($A137)))</f>
        <v>2271229.16</v>
      </c>
      <c r="E137" s="810">
        <f>SUMIFS(调整事项汇总表!$I$7:$I$10020,调整事项汇总表!$D$7:$D$10020,"报表调整",调整事项汇总表!$E$7:$E$10020,IF(OR(MID(TRIM($A137),2,1)="：",MID(TRIM($A137),2,1)="、"),REPLACEB(TRIM($A137),1,4,""),TRIM($A137)))</f>
        <v>0</v>
      </c>
      <c r="F137" s="810">
        <f>SUMIFS(调整事项汇总表!$J$7:$J$10020,调整事项汇总表!$D$7:$D$10020,"报表调整",调整事项汇总表!$E$7:$E$10020,IF(OR(MID(TRIM($A137),2,1)="：",MID(TRIM($A137),2,1)="、"),REPLACEB(TRIM($A137),1,4,""),TRIM($A137)))</f>
        <v>0</v>
      </c>
      <c r="G137" s="810">
        <f>SUMIFS(调整事项汇总表!$I$7:$I$10020,调整事项汇总表!$D$7:$D$10020,"其他",调整事项汇总表!$E$7:$E$10020,IF(OR(MID(TRIM($A137),2,1)="：",MID(TRIM($A137),2,1)="、"),REPLACEB(TRIM($A137),1,4,""),TRIM($A137)))</f>
        <v>0</v>
      </c>
      <c r="H137" s="810">
        <f>SUMIFS(调整事项汇总表!$J$7:$J$10020,调整事项汇总表!$D$7:$D$10020,"其他",调整事项汇总表!$E$7:$E$10020,IF(OR(MID(TRIM($A137),2,1)="：",MID(TRIM($A137),2,1)="、"),REPLACEB(TRIM($A137),1,4,""),TRIM($A137)))</f>
        <v>0</v>
      </c>
      <c r="I137" s="811">
        <f t="shared" si="42"/>
        <v>2271229.16</v>
      </c>
      <c r="J137" s="38" t="b">
        <f>A137=未审报表!A137</f>
        <v>1</v>
      </c>
      <c r="K137" s="75" t="b">
        <f>审定报表!A137=TB!A137</f>
        <v>1</v>
      </c>
    </row>
    <row r="138" spans="1:11">
      <c r="A138" s="809" t="str">
        <f>未审报表!A138</f>
        <v>合同负债</v>
      </c>
      <c r="B138" s="810">
        <f>未审报表!C138</f>
        <v>0</v>
      </c>
      <c r="C138" s="810">
        <f>SUMIFS(调整事项汇总表!$I$7:$I$10020,调整事项汇总表!$D$7:$D$10020,"账项调整",调整事项汇总表!$E$7:$E$10020,IF(OR(MID(TRIM($A138),2,1)="：",MID(TRIM($A138),2,1)="、"),REPLACEB(TRIM($A138),1,4,""),TRIM($A138)))</f>
        <v>0</v>
      </c>
      <c r="D138" s="810">
        <f>SUMIFS(调整事项汇总表!$J$7:$J$10020,调整事项汇总表!$D$7:$D$10020,"账项调整",调整事项汇总表!$E$7:$E$10020,IF(OR(MID(TRIM($A138),2,1)="：",MID(TRIM($A138),2,1)="、"),REPLACEB(TRIM($A138),1,4,""),TRIM($A138)))</f>
        <v>0</v>
      </c>
      <c r="E138" s="810">
        <f>SUMIFS(调整事项汇总表!$I$7:$I$10020,调整事项汇总表!$D$7:$D$10020,"报表调整",调整事项汇总表!$E$7:$E$10020,IF(OR(MID(TRIM($A138),2,1)="：",MID(TRIM($A138),2,1)="、"),REPLACEB(TRIM($A138),1,4,""),TRIM($A138)))</f>
        <v>0</v>
      </c>
      <c r="F138" s="810">
        <f>SUMIFS(调整事项汇总表!$J$7:$J$10020,调整事项汇总表!$D$7:$D$10020,"报表调整",调整事项汇总表!$E$7:$E$10020,IF(OR(MID(TRIM($A138),2,1)="：",MID(TRIM($A138),2,1)="、"),REPLACEB(TRIM($A138),1,4,""),TRIM($A138)))</f>
        <v>0</v>
      </c>
      <c r="G138" s="810">
        <f>SUMIFS(调整事项汇总表!$I$7:$I$10020,调整事项汇总表!$D$7:$D$10020,"其他",调整事项汇总表!$E$7:$E$10020,IF(OR(MID(TRIM($A138),2,1)="：",MID(TRIM($A138),2,1)="、"),REPLACEB(TRIM($A138),1,4,""),TRIM($A138)))</f>
        <v>0</v>
      </c>
      <c r="H138" s="810">
        <f>SUMIFS(调整事项汇总表!$J$7:$J$10020,调整事项汇总表!$D$7:$D$10020,"其他",调整事项汇总表!$E$7:$E$10020,IF(OR(MID(TRIM($A138),2,1)="：",MID(TRIM($A138),2,1)="、"),REPLACEB(TRIM($A138),1,4,""),TRIM($A138)))</f>
        <v>0</v>
      </c>
      <c r="I138" s="811">
        <f t="shared" si="42"/>
        <v>0</v>
      </c>
      <c r="J138" s="38" t="b">
        <f>A138=未审报表!A138</f>
        <v>1</v>
      </c>
      <c r="K138" s="75" t="b">
        <f>审定报表!A138=TB!A138</f>
        <v>1</v>
      </c>
    </row>
    <row r="139" spans="1:11">
      <c r="A139" s="809" t="str">
        <f>未审报表!A139</f>
        <v>卖出回购金融资产款*</v>
      </c>
      <c r="B139" s="810">
        <f>未审报表!C139</f>
        <v>0</v>
      </c>
      <c r="C139" s="810">
        <f>SUMIFS(调整事项汇总表!$I$7:$I$10020,调整事项汇总表!$D$7:$D$10020,"账项调整",调整事项汇总表!$E$7:$E$10020,IF(OR(MID(TRIM($A139),2,1)="：",MID(TRIM($A139),2,1)="、"),REPLACEB(TRIM($A139),1,4,""),TRIM($A139)))</f>
        <v>0</v>
      </c>
      <c r="D139" s="810">
        <f>SUMIFS(调整事项汇总表!$J$7:$J$10020,调整事项汇总表!$D$7:$D$10020,"账项调整",调整事项汇总表!$E$7:$E$10020,IF(OR(MID(TRIM($A139),2,1)="：",MID(TRIM($A139),2,1)="、"),REPLACEB(TRIM($A139),1,4,""),TRIM($A139)))</f>
        <v>0</v>
      </c>
      <c r="E139" s="810">
        <f>SUMIFS(调整事项汇总表!$I$7:$I$10020,调整事项汇总表!$D$7:$D$10020,"报表调整",调整事项汇总表!$E$7:$E$10020,IF(OR(MID(TRIM($A139),2,1)="：",MID(TRIM($A139),2,1)="、"),REPLACEB(TRIM($A139),1,4,""),TRIM($A139)))</f>
        <v>0</v>
      </c>
      <c r="F139" s="810">
        <f>SUMIFS(调整事项汇总表!$J$7:$J$10020,调整事项汇总表!$D$7:$D$10020,"报表调整",调整事项汇总表!$E$7:$E$10020,IF(OR(MID(TRIM($A139),2,1)="：",MID(TRIM($A139),2,1)="、"),REPLACEB(TRIM($A139),1,4,""),TRIM($A139)))</f>
        <v>0</v>
      </c>
      <c r="G139" s="810">
        <f>SUMIFS(调整事项汇总表!$I$7:$I$10020,调整事项汇总表!$D$7:$D$10020,"其他",调整事项汇总表!$E$7:$E$10020,IF(OR(MID(TRIM($A139),2,1)="：",MID(TRIM($A139),2,1)="、"),REPLACEB(TRIM($A139),1,4,""),TRIM($A139)))</f>
        <v>0</v>
      </c>
      <c r="H139" s="810">
        <f>SUMIFS(调整事项汇总表!$J$7:$J$10020,调整事项汇总表!$D$7:$D$10020,"其他",调整事项汇总表!$E$7:$E$10020,IF(OR(MID(TRIM($A139),2,1)="：",MID(TRIM($A139),2,1)="、"),REPLACEB(TRIM($A139),1,4,""),TRIM($A139)))</f>
        <v>0</v>
      </c>
      <c r="I139" s="811">
        <f t="shared" si="42"/>
        <v>0</v>
      </c>
      <c r="J139" s="38" t="b">
        <f>A139=未审报表!A139</f>
        <v>1</v>
      </c>
      <c r="K139" s="75" t="b">
        <f>审定报表!A139=TB!A139</f>
        <v>1</v>
      </c>
    </row>
    <row r="140" spans="1:11">
      <c r="A140" s="809" t="str">
        <f>未审报表!A140</f>
        <v>吸收存款及同业存放*</v>
      </c>
      <c r="B140" s="810">
        <f>未审报表!C140</f>
        <v>0</v>
      </c>
      <c r="C140" s="810">
        <f>SUMIFS(调整事项汇总表!$I$7:$I$10020,调整事项汇总表!$D$7:$D$10020,"账项调整",调整事项汇总表!$E$7:$E$10020,IF(OR(MID(TRIM($A140),2,1)="：",MID(TRIM($A140),2,1)="、"),REPLACEB(TRIM($A140),1,4,""),TRIM($A140)))</f>
        <v>0</v>
      </c>
      <c r="D140" s="810">
        <f>SUMIFS(调整事项汇总表!$J$7:$J$10020,调整事项汇总表!$D$7:$D$10020,"账项调整",调整事项汇总表!$E$7:$E$10020,IF(OR(MID(TRIM($A140),2,1)="：",MID(TRIM($A140),2,1)="、"),REPLACEB(TRIM($A140),1,4,""),TRIM($A140)))</f>
        <v>0</v>
      </c>
      <c r="E140" s="810">
        <f>SUMIFS(调整事项汇总表!$I$7:$I$10020,调整事项汇总表!$D$7:$D$10020,"报表调整",调整事项汇总表!$E$7:$E$10020,IF(OR(MID(TRIM($A140),2,1)="：",MID(TRIM($A140),2,1)="、"),REPLACEB(TRIM($A140),1,4,""),TRIM($A140)))</f>
        <v>0</v>
      </c>
      <c r="F140" s="810">
        <f>SUMIFS(调整事项汇总表!$J$7:$J$10020,调整事项汇总表!$D$7:$D$10020,"报表调整",调整事项汇总表!$E$7:$E$10020,IF(OR(MID(TRIM($A140),2,1)="：",MID(TRIM($A140),2,1)="、"),REPLACEB(TRIM($A140),1,4,""),TRIM($A140)))</f>
        <v>0</v>
      </c>
      <c r="G140" s="810">
        <f>SUMIFS(调整事项汇总表!$I$7:$I$10020,调整事项汇总表!$D$7:$D$10020,"其他",调整事项汇总表!$E$7:$E$10020,IF(OR(MID(TRIM($A140),2,1)="：",MID(TRIM($A140),2,1)="、"),REPLACEB(TRIM($A140),1,4,""),TRIM($A140)))</f>
        <v>0</v>
      </c>
      <c r="H140" s="810">
        <f>SUMIFS(调整事项汇总表!$J$7:$J$10020,调整事项汇总表!$D$7:$D$10020,"其他",调整事项汇总表!$E$7:$E$10020,IF(OR(MID(TRIM($A140),2,1)="：",MID(TRIM($A140),2,1)="、"),REPLACEB(TRIM($A140),1,4,""),TRIM($A140)))</f>
        <v>0</v>
      </c>
      <c r="I140" s="811">
        <f t="shared" si="42"/>
        <v>0</v>
      </c>
      <c r="J140" s="38" t="b">
        <f>A140=未审报表!A140</f>
        <v>1</v>
      </c>
      <c r="K140" s="75" t="b">
        <f>审定报表!A140=TB!A140</f>
        <v>1</v>
      </c>
    </row>
    <row r="141" spans="1:11">
      <c r="A141" s="809" t="str">
        <f>未审报表!A141</f>
        <v>代理买卖证券款*</v>
      </c>
      <c r="B141" s="810">
        <f>未审报表!C141</f>
        <v>0</v>
      </c>
      <c r="C141" s="810">
        <f>SUMIFS(调整事项汇总表!$I$7:$I$10020,调整事项汇总表!$D$7:$D$10020,"账项调整",调整事项汇总表!$E$7:$E$10020,IF(OR(MID(TRIM($A141),2,1)="：",MID(TRIM($A141),2,1)="、"),REPLACEB(TRIM($A141),1,4,""),TRIM($A141)))</f>
        <v>0</v>
      </c>
      <c r="D141" s="810">
        <f>SUMIFS(调整事项汇总表!$J$7:$J$10020,调整事项汇总表!$D$7:$D$10020,"账项调整",调整事项汇总表!$E$7:$E$10020,IF(OR(MID(TRIM($A141),2,1)="：",MID(TRIM($A141),2,1)="、"),REPLACEB(TRIM($A141),1,4,""),TRIM($A141)))</f>
        <v>0</v>
      </c>
      <c r="E141" s="810">
        <f>SUMIFS(调整事项汇总表!$I$7:$I$10020,调整事项汇总表!$D$7:$D$10020,"报表调整",调整事项汇总表!$E$7:$E$10020,IF(OR(MID(TRIM($A141),2,1)="：",MID(TRIM($A141),2,1)="、"),REPLACEB(TRIM($A141),1,4,""),TRIM($A141)))</f>
        <v>0</v>
      </c>
      <c r="F141" s="810">
        <f>SUMIFS(调整事项汇总表!$J$7:$J$10020,调整事项汇总表!$D$7:$D$10020,"报表调整",调整事项汇总表!$E$7:$E$10020,IF(OR(MID(TRIM($A141),2,1)="：",MID(TRIM($A141),2,1)="、"),REPLACEB(TRIM($A141),1,4,""),TRIM($A141)))</f>
        <v>0</v>
      </c>
      <c r="G141" s="810">
        <f>SUMIFS(调整事项汇总表!$I$7:$I$10020,调整事项汇总表!$D$7:$D$10020,"其他",调整事项汇总表!$E$7:$E$10020,IF(OR(MID(TRIM($A141),2,1)="：",MID(TRIM($A141),2,1)="、"),REPLACEB(TRIM($A141),1,4,""),TRIM($A141)))</f>
        <v>0</v>
      </c>
      <c r="H141" s="810">
        <f>SUMIFS(调整事项汇总表!$J$7:$J$10020,调整事项汇总表!$D$7:$D$10020,"其他",调整事项汇总表!$E$7:$E$10020,IF(OR(MID(TRIM($A141),2,1)="：",MID(TRIM($A141),2,1)="、"),REPLACEB(TRIM($A141),1,4,""),TRIM($A141)))</f>
        <v>0</v>
      </c>
      <c r="I141" s="811">
        <f t="shared" si="42"/>
        <v>0</v>
      </c>
      <c r="J141" s="38" t="b">
        <f>A141=未审报表!A141</f>
        <v>1</v>
      </c>
      <c r="K141" s="75" t="b">
        <f>审定报表!A141=TB!A141</f>
        <v>1</v>
      </c>
    </row>
    <row r="142" spans="1:11">
      <c r="A142" s="809" t="str">
        <f>未审报表!A142</f>
        <v>代理承销证券款*</v>
      </c>
      <c r="B142" s="810">
        <f>未审报表!C142</f>
        <v>0</v>
      </c>
      <c r="C142" s="810">
        <f>SUMIFS(调整事项汇总表!$I$7:$I$10020,调整事项汇总表!$D$7:$D$10020,"账项调整",调整事项汇总表!$E$7:$E$10020,IF(OR(MID(TRIM($A142),2,1)="：",MID(TRIM($A142),2,1)="、"),REPLACEB(TRIM($A142),1,4,""),TRIM($A142)))</f>
        <v>0</v>
      </c>
      <c r="D142" s="810">
        <f>SUMIFS(调整事项汇总表!$J$7:$J$10020,调整事项汇总表!$D$7:$D$10020,"账项调整",调整事项汇总表!$E$7:$E$10020,IF(OR(MID(TRIM($A142),2,1)="：",MID(TRIM($A142),2,1)="、"),REPLACEB(TRIM($A142),1,4,""),TRIM($A142)))</f>
        <v>0</v>
      </c>
      <c r="E142" s="810">
        <f>SUMIFS(调整事项汇总表!$I$7:$I$10020,调整事项汇总表!$D$7:$D$10020,"报表调整",调整事项汇总表!$E$7:$E$10020,IF(OR(MID(TRIM($A142),2,1)="：",MID(TRIM($A142),2,1)="、"),REPLACEB(TRIM($A142),1,4,""),TRIM($A142)))</f>
        <v>0</v>
      </c>
      <c r="F142" s="810">
        <f>SUMIFS(调整事项汇总表!$J$7:$J$10020,调整事项汇总表!$D$7:$D$10020,"报表调整",调整事项汇总表!$E$7:$E$10020,IF(OR(MID(TRIM($A142),2,1)="：",MID(TRIM($A142),2,1)="、"),REPLACEB(TRIM($A142),1,4,""),TRIM($A142)))</f>
        <v>0</v>
      </c>
      <c r="G142" s="810">
        <f>SUMIFS(调整事项汇总表!$I$7:$I$10020,调整事项汇总表!$D$7:$D$10020,"其他",调整事项汇总表!$E$7:$E$10020,IF(OR(MID(TRIM($A142),2,1)="：",MID(TRIM($A142),2,1)="、"),REPLACEB(TRIM($A142),1,4,""),TRIM($A142)))</f>
        <v>0</v>
      </c>
      <c r="H142" s="810">
        <f>SUMIFS(调整事项汇总表!$J$7:$J$10020,调整事项汇总表!$D$7:$D$10020,"其他",调整事项汇总表!$E$7:$E$10020,IF(OR(MID(TRIM($A142),2,1)="：",MID(TRIM($A142),2,1)="、"),REPLACEB(TRIM($A142),1,4,""),TRIM($A142)))</f>
        <v>0</v>
      </c>
      <c r="I142" s="811">
        <f t="shared" si="42"/>
        <v>0</v>
      </c>
      <c r="J142" s="38" t="b">
        <f>A142=未审报表!A142</f>
        <v>1</v>
      </c>
      <c r="K142" s="75" t="b">
        <f>审定报表!A142=TB!A142</f>
        <v>1</v>
      </c>
    </row>
    <row r="143" spans="1:11">
      <c r="A143" s="809" t="str">
        <f>未审报表!A143</f>
        <v>应付职工薪酬</v>
      </c>
      <c r="B143" s="810">
        <f>未审报表!C143</f>
        <v>7036440.0999999996</v>
      </c>
      <c r="C143" s="810">
        <f>SUMIFS(调整事项汇总表!$I$7:$I$10020,调整事项汇总表!$D$7:$D$10020,"账项调整",调整事项汇总表!$E$7:$E$10020,IF(OR(MID(TRIM($A143),2,1)="：",MID(TRIM($A143),2,1)="、"),REPLACEB(TRIM($A143),1,4,""),TRIM($A143)))</f>
        <v>5000</v>
      </c>
      <c r="D143" s="810">
        <f>SUMIFS(调整事项汇总表!$J$7:$J$10020,调整事项汇总表!$D$7:$D$10020,"账项调整",调整事项汇总表!$E$7:$E$10020,IF(OR(MID(TRIM($A143),2,1)="：",MID(TRIM($A143),2,1)="、"),REPLACEB(TRIM($A143),1,4,""),TRIM($A143)))</f>
        <v>5000</v>
      </c>
      <c r="E143" s="810">
        <f>SUMIFS(调整事项汇总表!$I$7:$I$10020,调整事项汇总表!$D$7:$D$10020,"报表调整",调整事项汇总表!$E$7:$E$10020,IF(OR(MID(TRIM($A143),2,1)="：",MID(TRIM($A143),2,1)="、"),REPLACEB(TRIM($A143),1,4,""),TRIM($A143)))</f>
        <v>0</v>
      </c>
      <c r="F143" s="810">
        <f>SUMIFS(调整事项汇总表!$J$7:$J$10020,调整事项汇总表!$D$7:$D$10020,"报表调整",调整事项汇总表!$E$7:$E$10020,IF(OR(MID(TRIM($A143),2,1)="：",MID(TRIM($A143),2,1)="、"),REPLACEB(TRIM($A143),1,4,""),TRIM($A143)))</f>
        <v>0</v>
      </c>
      <c r="G143" s="810">
        <f>SUMIFS(调整事项汇总表!$I$7:$I$10020,调整事项汇总表!$D$7:$D$10020,"其他",调整事项汇总表!$E$7:$E$10020,IF(OR(MID(TRIM($A143),2,1)="：",MID(TRIM($A143),2,1)="、"),REPLACEB(TRIM($A143),1,4,""),TRIM($A143)))</f>
        <v>0</v>
      </c>
      <c r="H143" s="810">
        <f>SUMIFS(调整事项汇总表!$J$7:$J$10020,调整事项汇总表!$D$7:$D$10020,"其他",调整事项汇总表!$E$7:$E$10020,IF(OR(MID(TRIM($A143),2,1)="：",MID(TRIM($A143),2,1)="、"),REPLACEB(TRIM($A143),1,4,""),TRIM($A143)))</f>
        <v>0</v>
      </c>
      <c r="I143" s="811">
        <f t="shared" si="42"/>
        <v>7036440.0999999996</v>
      </c>
      <c r="J143" s="38" t="b">
        <f>A143=未审报表!A143</f>
        <v>1</v>
      </c>
      <c r="K143" s="75" t="b">
        <f>审定报表!A143=TB!A143</f>
        <v>1</v>
      </c>
    </row>
    <row r="144" spans="1:11">
      <c r="A144" s="809" t="str">
        <f>未审报表!A144</f>
        <v xml:space="preserve">  其中：应付工资</v>
      </c>
      <c r="B144" s="810">
        <f>未审报表!C144</f>
        <v>6978454</v>
      </c>
      <c r="C144" s="810">
        <f>SUMIFS(调整事项汇总表!$I$7:$I$10020,调整事项汇总表!$D$7:$D$10020,"账项调整",调整事项汇总表!$E$7:$E$10020,"应付职工薪酬",调整事项汇总表!$F$7:$F$10020,IF(OR(MID(TRIM($A144),3,1)="：",MID(TRIM($A144),2,1)="、"),REPLACEB(TRIM($A144),1,6,""),TRIM($A144)))</f>
        <v>5000</v>
      </c>
      <c r="D144" s="810">
        <f>SUMIFS(调整事项汇总表!$J$7:$J$10020,调整事项汇总表!$D$7:$D$10020,"账项调整",调整事项汇总表!$E$7:$E$10020,"应付职工薪酬",调整事项汇总表!$F$7:$F$10020,IF(OR(MID(TRIM($A144),3,1)="：",MID(TRIM($A144),2,1)="、"),REPLACEB(TRIM($A144),1,6,""),TRIM($A144)))</f>
        <v>0</v>
      </c>
      <c r="E144" s="810">
        <f>SUMIFS(调整事项汇总表!$I$7:$I$10020,调整事项汇总表!$D$7:$D$10020,"报表调整",调整事项汇总表!$E$7:$E$10020,"应付职工薪酬",调整事项汇总表!$F$7:$F$10020,IF(OR(MID(TRIM($A144),3,1)="：",MID(TRIM($A144),2,1)="、"),REPLACEB(TRIM($A144),1,6,""),TRIM($A144)))</f>
        <v>0</v>
      </c>
      <c r="F144" s="810">
        <f>SUMIFS(调整事项汇总表!$J$7:$J$10020,调整事项汇总表!$D$7:$D$10020,"报表调整",调整事项汇总表!$E$7:$E$10020,"应付职工薪酬",调整事项汇总表!$F$7:$F$10020,IF(OR(MID(TRIM($A144),3,1)="：",MID(TRIM($A144),2,1)="、"),REPLACEB(TRIM($A144),1,6,""),TRIM($A144)))</f>
        <v>0</v>
      </c>
      <c r="G144" s="810">
        <f>SUMIFS(调整事项汇总表!$I$7:$I$10020,调整事项汇总表!$D$7:$D$10020,"其他",调整事项汇总表!$E$7:$E$10020,"应付职工薪酬",调整事项汇总表!$F$7:$F$10020,IF(OR(MID(TRIM($A144),3,1)="：",MID(TRIM($A144),2,1)="、"),REPLACEB(TRIM($A144),1,6,""),TRIM($A144)))</f>
        <v>0</v>
      </c>
      <c r="H144" s="810">
        <f>SUMIFS(调整事项汇总表!$J$7:$J$10020,调整事项汇总表!$D$7:$D$10020,"其他",调整事项汇总表!$E$7:$E$10020,"应付职工薪酬",调整事项汇总表!$F$7:$F$10020,IF(OR(MID(TRIM($A144),3,1)="：",MID(TRIM($A144),2,1)="、"),REPLACEB(TRIM($A144),1,6,""),TRIM($A144)))</f>
        <v>0</v>
      </c>
      <c r="I144" s="811">
        <f t="shared" si="42"/>
        <v>6973454</v>
      </c>
      <c r="J144" s="38" t="b">
        <f>A144=未审报表!A144</f>
        <v>1</v>
      </c>
      <c r="K144" s="75" t="b">
        <f>审定报表!A144=TB!A144</f>
        <v>1</v>
      </c>
    </row>
    <row r="145" spans="1:12">
      <c r="A145" s="809" t="str">
        <f>未审报表!A145</f>
        <v xml:space="preserve">      应付福利费</v>
      </c>
      <c r="B145" s="810">
        <f>未审报表!C145</f>
        <v>3000</v>
      </c>
      <c r="C145" s="810">
        <f>SUMIFS(调整事项汇总表!$I$7:$I$10020,调整事项汇总表!$D$7:$D$10020,"账项调整",调整事项汇总表!$E$7:$E$10020,"应付职工薪酬",调整事项汇总表!$F$7:$F$10020,IF(OR(MID(TRIM($A145),3,1)="：",MID(TRIM($A145),2,1)="、"),REPLACEB(TRIM($A145),1,6,""),TRIM($A145)))</f>
        <v>0</v>
      </c>
      <c r="D145" s="810">
        <f>SUMIFS(调整事项汇总表!$J$7:$J$10020,调整事项汇总表!$D$7:$D$10020,"账项调整",调整事项汇总表!$E$7:$E$10020,"应付职工薪酬",调整事项汇总表!$F$7:$F$10020,IF(OR(MID(TRIM($A145),3,1)="：",MID(TRIM($A145),2,1)="、"),REPLACEB(TRIM($A145),1,6,""),TRIM($A145)))</f>
        <v>5000</v>
      </c>
      <c r="E145" s="810">
        <f>SUMIFS(调整事项汇总表!$I$7:$I$10020,调整事项汇总表!$D$7:$D$10020,"报表调整",调整事项汇总表!$E$7:$E$10020,"应付职工薪酬",调整事项汇总表!$F$7:$F$10020,IF(OR(MID(TRIM($A145),3,1)="：",MID(TRIM($A145),2,1)="、"),REPLACEB(TRIM($A145),1,6,""),TRIM($A145)))</f>
        <v>0</v>
      </c>
      <c r="F145" s="810">
        <f>SUMIFS(调整事项汇总表!$J$7:$J$10020,调整事项汇总表!$D$7:$D$10020,"报表调整",调整事项汇总表!$E$7:$E$10020,"应付职工薪酬",调整事项汇总表!$F$7:$F$10020,IF(OR(MID(TRIM($A145),3,1)="：",MID(TRIM($A145),2,1)="、"),REPLACEB(TRIM($A145),1,6,""),TRIM($A145)))</f>
        <v>0</v>
      </c>
      <c r="G145" s="810">
        <f>SUMIFS(调整事项汇总表!$I$7:$I$10020,调整事项汇总表!$D$7:$D$10020,"其他",调整事项汇总表!$E$7:$E$10020,"应付职工薪酬",调整事项汇总表!$F$7:$F$10020,IF(OR(MID(TRIM($A145),3,1)="：",MID(TRIM($A145),2,1)="、"),REPLACEB(TRIM($A145),1,6,""),TRIM($A145)))</f>
        <v>0</v>
      </c>
      <c r="H145" s="810">
        <f>SUMIFS(调整事项汇总表!$J$7:$J$10020,调整事项汇总表!$D$7:$D$10020,"其他",调整事项汇总表!$E$7:$E$10020,"应付职工薪酬",调整事项汇总表!$F$7:$F$10020,IF(OR(MID(TRIM($A145),3,1)="：",MID(TRIM($A145),2,1)="、"),REPLACEB(TRIM($A145),1,6,""),TRIM($A145)))</f>
        <v>0</v>
      </c>
      <c r="I145" s="811">
        <f t="shared" si="42"/>
        <v>8000</v>
      </c>
      <c r="J145" s="38" t="b">
        <f>A145=未审报表!A145</f>
        <v>1</v>
      </c>
      <c r="K145" s="75" t="b">
        <f>审定报表!A145=TB!A145</f>
        <v>1</v>
      </c>
    </row>
    <row r="146" spans="1:12">
      <c r="A146" s="809" t="str">
        <f>未审报表!A146</f>
        <v xml:space="preserve">     #其中：职工奖励及福利基金</v>
      </c>
      <c r="B146" s="810">
        <f>未审报表!C146</f>
        <v>10000</v>
      </c>
      <c r="C146" s="810"/>
      <c r="D146" s="810"/>
      <c r="E146" s="810"/>
      <c r="F146" s="810"/>
      <c r="G146" s="810"/>
      <c r="H146" s="810"/>
      <c r="I146" s="811">
        <f t="shared" si="42"/>
        <v>10000</v>
      </c>
      <c r="J146" s="38" t="b">
        <f>A146=未审报表!A146</f>
        <v>1</v>
      </c>
      <c r="K146" s="75" t="b">
        <f>审定报表!A146=TB!A146</f>
        <v>1</v>
      </c>
      <c r="L146" s="38" t="str">
        <f>MID(TRIM($A146),4,1)</f>
        <v>：</v>
      </c>
    </row>
    <row r="147" spans="1:12">
      <c r="A147" s="809" t="str">
        <f>未审报表!A147</f>
        <v>应交税费</v>
      </c>
      <c r="B147" s="810">
        <f>未审报表!C147</f>
        <v>2971505.38</v>
      </c>
      <c r="C147" s="810">
        <f>SUMIFS(调整事项汇总表!$I$7:$I$10020,调整事项汇总表!$D$7:$D$10020,"账项调整",调整事项汇总表!$E$7:$E$10020,IF(OR(MID(TRIM($A147),2,1)="：",MID(TRIM($A147),2,1)="、"),REPLACEB(TRIM($A147),1,4,""),TRIM($A147)))</f>
        <v>0</v>
      </c>
      <c r="D147" s="810">
        <f>SUMIFS(调整事项汇总表!$J$7:$J$10020,调整事项汇总表!$D$7:$D$10020,"账项调整",调整事项汇总表!$E$7:$E$10020,IF(OR(MID(TRIM($A147),2,1)="：",MID(TRIM($A147),2,1)="、"),REPLACEB(TRIM($A147),1,4,""),TRIM($A147)))</f>
        <v>-1348331.26</v>
      </c>
      <c r="E147" s="810">
        <f>SUMIFS(调整事项汇总表!$I$7:$I$10020,调整事项汇总表!$D$7:$D$10020,"报表调整",调整事项汇总表!$E$7:$E$10020,IF(OR(MID(TRIM($A147),2,1)="：",MID(TRIM($A147),2,1)="、"),REPLACEB(TRIM($A147),1,4,""),TRIM($A147)))</f>
        <v>0</v>
      </c>
      <c r="F147" s="810">
        <f>SUMIFS(调整事项汇总表!$J$7:$J$10020,调整事项汇总表!$D$7:$D$10020,"报表调整",调整事项汇总表!$E$7:$E$10020,IF(OR(MID(TRIM($A147),2,1)="：",MID(TRIM($A147),2,1)="、"),REPLACEB(TRIM($A147),1,4,""),TRIM($A147)))</f>
        <v>0</v>
      </c>
      <c r="G147" s="810">
        <f>SUMIFS(调整事项汇总表!$I$7:$I$10020,调整事项汇总表!$D$7:$D$10020,"其他",调整事项汇总表!$E$7:$E$10020,IF(OR(MID(TRIM($A147),2,1)="：",MID(TRIM($A147),2,1)="、"),REPLACEB(TRIM($A147),1,4,""),TRIM($A147)))</f>
        <v>0</v>
      </c>
      <c r="H147" s="810">
        <f>SUMIFS(调整事项汇总表!$J$7:$J$10020,调整事项汇总表!$D$7:$D$10020,"其他",调整事项汇总表!$E$7:$E$10020,IF(OR(MID(TRIM($A147),2,1)="：",MID(TRIM($A147),2,1)="、"),REPLACEB(TRIM($A147),1,4,""),TRIM($A147)))</f>
        <v>0</v>
      </c>
      <c r="I147" s="811">
        <f t="shared" si="42"/>
        <v>1623174.1199999999</v>
      </c>
      <c r="J147" s="38" t="b">
        <f>A147=未审报表!A147</f>
        <v>1</v>
      </c>
      <c r="K147" s="75" t="b">
        <f>审定报表!A147=TB!A147</f>
        <v>1</v>
      </c>
    </row>
    <row r="148" spans="1:12">
      <c r="A148" s="809" t="str">
        <f>未审报表!A148</f>
        <v xml:space="preserve"> 其中：应交税金</v>
      </c>
      <c r="B148" s="810">
        <f>未审报表!C148</f>
        <v>2900000</v>
      </c>
      <c r="C148" s="810">
        <f>SUMIFS(调整事项汇总表!$I$7:$I$10020,调整事项汇总表!$D$7:$D$10020,"账项调整",调整事项汇总表!$E$7:$E$10020,"应交税费",调整事项汇总表!$F$7:$F$10020,IF(OR(MID(TRIM($A148),3,1)="：",MID(TRIM($A148),2,1)="、"),REPLACEB(TRIM($A148),1,6,""),TRIM($A148)))</f>
        <v>0</v>
      </c>
      <c r="D148" s="810">
        <f>SUMIFS(调整事项汇总表!$J$7:$J$10020,调整事项汇总表!$D$7:$D$10020,"账项调整",调整事项汇总表!$E$7:$E$10020,"应交税费",调整事项汇总表!$F$7:$F$10020,IF(OR(MID(TRIM($A148),3,1)="：",MID(TRIM($A148),2,1)="、"),REPLACEB(TRIM($A148),1,6,""),TRIM($A148)))</f>
        <v>-1348331.26</v>
      </c>
      <c r="E148" s="810">
        <f>SUMIFS(调整事项汇总表!$I$7:$I$10020,调整事项汇总表!$D$7:$D$10020,"报表调整",调整事项汇总表!$E$7:$E$10020,"应交税费",调整事项汇总表!$F$7:$F$10020,IF(OR(MID(TRIM($A148),3,1)="：",MID(TRIM($A148),2,1)="、"),REPLACEB(TRIM($A148),1,6,""),TRIM($A148)))</f>
        <v>0</v>
      </c>
      <c r="F148" s="810">
        <f>SUMIFS(调整事项汇总表!$J$7:$J$10020,调整事项汇总表!$D$7:$D$10020,"报表调整",调整事项汇总表!$E$7:$E$10020,"应交税费",调整事项汇总表!$F$7:$F$10020,IF(OR(MID(TRIM($A148),3,1)="：",MID(TRIM($A148),2,1)="、"),REPLACEB(TRIM($A148),1,6,""),TRIM($A148)))</f>
        <v>0</v>
      </c>
      <c r="G148" s="810">
        <f>SUMIFS(调整事项汇总表!$I$7:$I$10020,调整事项汇总表!$D$7:$D$10020,"其他",调整事项汇总表!$E$7:$E$10020,"应交税费",调整事项汇总表!$F$7:$F$10020,IF(OR(MID(TRIM($A148),3,1)="：",MID(TRIM($A148),2,1)="、"),REPLACEB(TRIM($A148),1,6,""),TRIM($A148)))</f>
        <v>0</v>
      </c>
      <c r="H148" s="810">
        <f>SUMIFS(调整事项汇总表!$J$7:$J$10020,调整事项汇总表!$D$7:$D$10020,"其他",调整事项汇总表!$E$7:$E$10020,"应交税费",调整事项汇总表!$F$7:$F$10020,IF(OR(MID(TRIM($A148),3,1)="：",MID(TRIM($A148),2,1)="、"),REPLACEB(TRIM($A148),1,6,""),TRIM($A148)))</f>
        <v>0</v>
      </c>
      <c r="I148" s="811">
        <f t="shared" si="42"/>
        <v>1551668.74</v>
      </c>
      <c r="J148" s="38" t="b">
        <f>A148=未审报表!A148</f>
        <v>1</v>
      </c>
      <c r="K148" s="75" t="b">
        <f>审定报表!A148=TB!A148</f>
        <v>1</v>
      </c>
    </row>
    <row r="149" spans="1:12">
      <c r="A149" s="809" t="str">
        <f>未审报表!A149</f>
        <v>其他应付款</v>
      </c>
      <c r="B149" s="810">
        <f>未审报表!C149</f>
        <v>1361520.14</v>
      </c>
      <c r="C149" s="810">
        <f>SUMIFS(调整事项汇总表!$I$7:$I$10020,调整事项汇总表!$D$7:$D$10020,"账项调整",调整事项汇总表!$E$7:$E$10020,IF(OR(MID(TRIM($A149),2,1)="：",MID(TRIM($A149),2,1)="、"),REPLACEB(TRIM($A149),1,4,""),TRIM($A149)))</f>
        <v>0</v>
      </c>
      <c r="D149" s="810">
        <f>SUMIFS(调整事项汇总表!$J$7:$J$10020,调整事项汇总表!$D$7:$D$10020,"账项调整",调整事项汇总表!$E$7:$E$10020,IF(OR(MID(TRIM($A149),2,1)="：",MID(TRIM($A149),2,1)="、"),REPLACEB(TRIM($A149),1,4,""),TRIM($A149)))</f>
        <v>1319400.0799999998</v>
      </c>
      <c r="E149" s="810">
        <f>SUMIFS(调整事项汇总表!$I$7:$I$10020,调整事项汇总表!$D$7:$D$10020,"报表调整",调整事项汇总表!$E$7:$E$10020,IF(OR(MID(TRIM($A149),2,1)="：",MID(TRIM($A149),2,1)="、"),REPLACEB(TRIM($A149),1,4,""),TRIM($A149)))</f>
        <v>0</v>
      </c>
      <c r="F149" s="810">
        <f>SUMIFS(调整事项汇总表!$J$7:$J$10020,调整事项汇总表!$D$7:$D$10020,"报表调整",调整事项汇总表!$E$7:$E$10020,IF(OR(MID(TRIM($A149),2,1)="：",MID(TRIM($A149),2,1)="、"),REPLACEB(TRIM($A149),1,4,""),TRIM($A149)))</f>
        <v>0</v>
      </c>
      <c r="G149" s="810">
        <f>SUMIFS(调整事项汇总表!$I$7:$I$10020,调整事项汇总表!$D$7:$D$10020,"其他",调整事项汇总表!$E$7:$E$10020,IF(OR(MID(TRIM($A149),2,1)="：",MID(TRIM($A149),2,1)="、"),REPLACEB(TRIM($A149),1,4,""),TRIM($A149)))</f>
        <v>0</v>
      </c>
      <c r="H149" s="810">
        <f>SUMIFS(调整事项汇总表!$J$7:$J$10020,调整事项汇总表!$D$7:$D$10020,"其他",调整事项汇总表!$E$7:$E$10020,IF(OR(MID(TRIM($A149),2,1)="：",MID(TRIM($A149),2,1)="、"),REPLACEB(TRIM($A149),1,4,""),TRIM($A149)))</f>
        <v>0</v>
      </c>
      <c r="I149" s="811">
        <f t="shared" si="42"/>
        <v>2680920.2199999997</v>
      </c>
      <c r="J149" s="38" t="b">
        <f>A149=未审报表!A149</f>
        <v>1</v>
      </c>
      <c r="K149" s="75" t="b">
        <f>审定报表!A149=TB!A149</f>
        <v>1</v>
      </c>
    </row>
    <row r="150" spans="1:12">
      <c r="A150" s="809" t="str">
        <f>未审报表!A150</f>
        <v xml:space="preserve">  其中：应付利息</v>
      </c>
      <c r="B150" s="810">
        <f>未审报表!C150</f>
        <v>612345</v>
      </c>
      <c r="C150" s="810">
        <f>SUMIFS(调整事项汇总表!$I$7:$I$10020,调整事项汇总表!$D$7:$D$10020,"账项调整",调整事项汇总表!$E$7:$E$10020,"其他应付款",调整事项汇总表!$F$7:$F$10020,IF(OR(MID(TRIM($A150),3,1)="：",MID(TRIM($A150),2,1)="、"),REPLACEB(TRIM($A150),1,6,""),TRIM($A150)))</f>
        <v>0</v>
      </c>
      <c r="D150" s="810">
        <f>SUMIFS(调整事项汇总表!$J$7:$J$10020,调整事项汇总表!$D$7:$D$10020,"账项调整",调整事项汇总表!$E$7:$E$10020,"其他应付款",调整事项汇总表!$F$7:$F$10020,IF(OR(MID(TRIM($A150),3,1)="：",MID(TRIM($A150),2,1)="、"),REPLACEB(TRIM($A150),1,6,""),TRIM($A150)))</f>
        <v>0</v>
      </c>
      <c r="E150" s="810">
        <f>SUMIFS(调整事项汇总表!$I$7:$I$10020,调整事项汇总表!$D$7:$D$10020,"报表调整",调整事项汇总表!$E$7:$E$10020,"其他应付款",调整事项汇总表!$F$7:$F$10020,IF(OR(MID(TRIM($A150),3,1)="：",MID(TRIM($A150),2,1)="、"),REPLACEB(TRIM($A150),1,6,""),TRIM($A150)))</f>
        <v>0</v>
      </c>
      <c r="F150" s="810">
        <f>SUMIFS(调整事项汇总表!$J$7:$J$10020,调整事项汇总表!$D$7:$D$10020,"报表调整",调整事项汇总表!$E$7:$E$10020,"其他应付款",调整事项汇总表!$F$7:$F$10020,IF(OR(MID(TRIM($A150),3,1)="：",MID(TRIM($A150),2,1)="、"),REPLACEB(TRIM($A150),1,6,""),TRIM($A150)))</f>
        <v>0</v>
      </c>
      <c r="G150" s="810">
        <f>SUMIFS(调整事项汇总表!$I$7:$I$10020,调整事项汇总表!$D$7:$D$10020,"其他",调整事项汇总表!$E$7:$E$10020,"其他应付款",调整事项汇总表!$F$7:$F$10020,IF(OR(MID(TRIM($A150),3,1)="：",MID(TRIM($A150),2,1)="、"),REPLACEB(TRIM($A150),1,6,""),TRIM($A150)))</f>
        <v>0</v>
      </c>
      <c r="H150" s="810">
        <f>SUMIFS(调整事项汇总表!$J$7:$J$10020,调整事项汇总表!$D$7:$D$10020,"其他",调整事项汇总表!$E$7:$E$10020,"其他应付款",调整事项汇总表!$F$7:$F$10020,IF(OR(MID(TRIM($A150),3,1)="：",MID(TRIM($A150),2,1)="、"),REPLACEB(TRIM($A150),1,6,""),TRIM($A150)))</f>
        <v>0</v>
      </c>
      <c r="I150" s="811">
        <f t="shared" si="42"/>
        <v>612345</v>
      </c>
      <c r="J150" s="38" t="b">
        <f>A150=未审报表!A150</f>
        <v>1</v>
      </c>
      <c r="K150" s="75" t="b">
        <f>审定报表!A150=TB!A150</f>
        <v>1</v>
      </c>
    </row>
    <row r="151" spans="1:12">
      <c r="A151" s="809" t="str">
        <f>未审报表!A151</f>
        <v xml:space="preserve">        应付股利</v>
      </c>
      <c r="B151" s="810">
        <f>未审报表!C151</f>
        <v>1432</v>
      </c>
      <c r="C151" s="810">
        <f>SUMIFS(调整事项汇总表!$I$7:$I$10020,调整事项汇总表!$D$7:$D$10020,"账项调整",调整事项汇总表!$E$7:$E$10020,"其他应付款",调整事项汇总表!$F$7:$F$10020,IF(OR(MID(TRIM($A151),3,1)="：",MID(TRIM($A151),2,1)="、"),REPLACEB(TRIM($A151),1,6,""),TRIM($A151)))</f>
        <v>0</v>
      </c>
      <c r="D151" s="810">
        <f>SUMIFS(调整事项汇总表!$J$7:$J$10020,调整事项汇总表!$D$7:$D$10020,"账项调整",调整事项汇总表!$E$7:$E$10020,"其他应付款",调整事项汇总表!$F$7:$F$10020,IF(OR(MID(TRIM($A151),3,1)="：",MID(TRIM($A151),2,1)="、"),REPLACEB(TRIM($A151),1,6,""),TRIM($A151)))</f>
        <v>0</v>
      </c>
      <c r="E151" s="810">
        <f>SUMIFS(调整事项汇总表!$I$7:$I$10020,调整事项汇总表!$D$7:$D$10020,"报表调整",调整事项汇总表!$E$7:$E$10020,"其他应付款",调整事项汇总表!$F$7:$F$10020,IF(OR(MID(TRIM($A151),3,1)="：",MID(TRIM($A151),2,1)="、"),REPLACEB(TRIM($A151),1,6,""),TRIM($A151)))</f>
        <v>0</v>
      </c>
      <c r="F151" s="810">
        <f>SUMIFS(调整事项汇总表!$J$7:$J$10020,调整事项汇总表!$D$7:$D$10020,"报表调整",调整事项汇总表!$E$7:$E$10020,"其他应付款",调整事项汇总表!$F$7:$F$10020,IF(OR(MID(TRIM($A151),3,1)="：",MID(TRIM($A151),2,1)="、"),REPLACEB(TRIM($A151),1,6,""),TRIM($A151)))</f>
        <v>0</v>
      </c>
      <c r="G151" s="810">
        <f>SUMIFS(调整事项汇总表!$I$7:$I$10020,调整事项汇总表!$D$7:$D$10020,"其他",调整事项汇总表!$E$7:$E$10020,"其他应付款",调整事项汇总表!$F$7:$F$10020,IF(OR(MID(TRIM($A151),3,1)="：",MID(TRIM($A151),2,1)="、"),REPLACEB(TRIM($A151),1,6,""),TRIM($A151)))</f>
        <v>0</v>
      </c>
      <c r="H151" s="810">
        <f>SUMIFS(调整事项汇总表!$J$7:$J$10020,调整事项汇总表!$D$7:$D$10020,"其他",调整事项汇总表!$E$7:$E$10020,"其他应付款",调整事项汇总表!$F$7:$F$10020,IF(OR(MID(TRIM($A151),3,1)="：",MID(TRIM($A151),2,1)="、"),REPLACEB(TRIM($A151),1,6,""),TRIM($A151)))</f>
        <v>0</v>
      </c>
      <c r="I151" s="811">
        <f t="shared" si="42"/>
        <v>1432</v>
      </c>
      <c r="J151" s="38" t="b">
        <f>A151=未审报表!A151</f>
        <v>1</v>
      </c>
      <c r="K151" s="75" t="b">
        <f>审定报表!A151=TB!A151</f>
        <v>1</v>
      </c>
    </row>
    <row r="152" spans="1:12">
      <c r="A152" s="809" t="str">
        <f>未审报表!A152</f>
        <v>应付手续费及佣金*</v>
      </c>
      <c r="B152" s="810">
        <f>未审报表!C152</f>
        <v>0</v>
      </c>
      <c r="C152" s="810">
        <f>SUMIFS(调整事项汇总表!$I$7:$I$10020,调整事项汇总表!$D$7:$D$10020,"账项调整",调整事项汇总表!$E$7:$E$10020,IF(OR(MID(TRIM($A152),2,1)="：",MID(TRIM($A152),2,1)="、"),REPLACEB(TRIM($A152),1,4,""),TRIM($A152)))</f>
        <v>0</v>
      </c>
      <c r="D152" s="810">
        <f>SUMIFS(调整事项汇总表!$J$7:$J$10020,调整事项汇总表!$D$7:$D$10020,"账项调整",调整事项汇总表!$E$7:$E$10020,IF(OR(MID(TRIM($A152),2,1)="：",MID(TRIM($A152),2,1)="、"),REPLACEB(TRIM($A152),1,4,""),TRIM($A152)))</f>
        <v>0</v>
      </c>
      <c r="E152" s="810">
        <f>SUMIFS(调整事项汇总表!$I$7:$I$10020,调整事项汇总表!$D$7:$D$10020,"报表调整",调整事项汇总表!$E$7:$E$10020,IF(OR(MID(TRIM($A152),2,1)="：",MID(TRIM($A152),2,1)="、"),REPLACEB(TRIM($A152),1,4,""),TRIM($A152)))</f>
        <v>0</v>
      </c>
      <c r="F152" s="810">
        <f>SUMIFS(调整事项汇总表!$J$7:$J$10020,调整事项汇总表!$D$7:$D$10020,"报表调整",调整事项汇总表!$E$7:$E$10020,IF(OR(MID(TRIM($A152),2,1)="：",MID(TRIM($A152),2,1)="、"),REPLACEB(TRIM($A152),1,4,""),TRIM($A152)))</f>
        <v>0</v>
      </c>
      <c r="G152" s="810">
        <f>SUMIFS(调整事项汇总表!$I$7:$I$10020,调整事项汇总表!$D$7:$D$10020,"其他",调整事项汇总表!$E$7:$E$10020,IF(OR(MID(TRIM($A152),2,1)="：",MID(TRIM($A152),2,1)="、"),REPLACEB(TRIM($A152),1,4,""),TRIM($A152)))</f>
        <v>0</v>
      </c>
      <c r="H152" s="810">
        <f>SUMIFS(调整事项汇总表!$J$7:$J$10020,调整事项汇总表!$D$7:$D$10020,"其他",调整事项汇总表!$E$7:$E$10020,IF(OR(MID(TRIM($A152),2,1)="：",MID(TRIM($A152),2,1)="、"),REPLACEB(TRIM($A152),1,4,""),TRIM($A152)))</f>
        <v>0</v>
      </c>
      <c r="I152" s="811">
        <f t="shared" si="42"/>
        <v>0</v>
      </c>
      <c r="J152" s="38" t="b">
        <f>A152=未审报表!A152</f>
        <v>1</v>
      </c>
      <c r="K152" s="75" t="b">
        <f>审定报表!A152=TB!A152</f>
        <v>1</v>
      </c>
    </row>
    <row r="153" spans="1:12">
      <c r="A153" s="809" t="str">
        <f>未审报表!A153</f>
        <v>应付分保账款*</v>
      </c>
      <c r="B153" s="810">
        <f>未审报表!C153</f>
        <v>0</v>
      </c>
      <c r="C153" s="810">
        <f>SUMIFS(调整事项汇总表!$I$7:$I$10020,调整事项汇总表!$D$7:$D$10020,"账项调整",调整事项汇总表!$E$7:$E$10020,IF(OR(MID(TRIM($A153),2,1)="：",MID(TRIM($A153),2,1)="、"),REPLACEB(TRIM($A153),1,4,""),TRIM($A153)))</f>
        <v>0</v>
      </c>
      <c r="D153" s="810">
        <f>SUMIFS(调整事项汇总表!$J$7:$J$10020,调整事项汇总表!$D$7:$D$10020,"账项调整",调整事项汇总表!$E$7:$E$10020,IF(OR(MID(TRIM($A153),2,1)="：",MID(TRIM($A153),2,1)="、"),REPLACEB(TRIM($A153),1,4,""),TRIM($A153)))</f>
        <v>0</v>
      </c>
      <c r="E153" s="810">
        <f>SUMIFS(调整事项汇总表!$I$7:$I$10020,调整事项汇总表!$D$7:$D$10020,"报表调整",调整事项汇总表!$E$7:$E$10020,IF(OR(MID(TRIM($A153),2,1)="：",MID(TRIM($A153),2,1)="、"),REPLACEB(TRIM($A153),1,4,""),TRIM($A153)))</f>
        <v>0</v>
      </c>
      <c r="F153" s="810">
        <f>SUMIFS(调整事项汇总表!$J$7:$J$10020,调整事项汇总表!$D$7:$D$10020,"报表调整",调整事项汇总表!$E$7:$E$10020,IF(OR(MID(TRIM($A153),2,1)="：",MID(TRIM($A153),2,1)="、"),REPLACEB(TRIM($A153),1,4,""),TRIM($A153)))</f>
        <v>0</v>
      </c>
      <c r="G153" s="810">
        <f>SUMIFS(调整事项汇总表!$I$7:$I$10020,调整事项汇总表!$D$7:$D$10020,"其他",调整事项汇总表!$E$7:$E$10020,IF(OR(MID(TRIM($A153),2,1)="：",MID(TRIM($A153),2,1)="、"),REPLACEB(TRIM($A153),1,4,""),TRIM($A153)))</f>
        <v>0</v>
      </c>
      <c r="H153" s="810">
        <f>SUMIFS(调整事项汇总表!$J$7:$J$10020,调整事项汇总表!$D$7:$D$10020,"其他",调整事项汇总表!$E$7:$E$10020,IF(OR(MID(TRIM($A153),2,1)="：",MID(TRIM($A153),2,1)="、"),REPLACEB(TRIM($A153),1,4,""),TRIM($A153)))</f>
        <v>0</v>
      </c>
      <c r="I153" s="811">
        <f t="shared" si="42"/>
        <v>0</v>
      </c>
      <c r="J153" s="38" t="b">
        <f>A153=未审报表!A153</f>
        <v>1</v>
      </c>
      <c r="K153" s="75" t="b">
        <f>审定报表!A153=TB!A153</f>
        <v>1</v>
      </c>
    </row>
    <row r="154" spans="1:12">
      <c r="A154" s="809" t="str">
        <f>未审报表!A154</f>
        <v>持有待售负债</v>
      </c>
      <c r="B154" s="810">
        <f>未审报表!C154</f>
        <v>0</v>
      </c>
      <c r="C154" s="810">
        <f>SUMIFS(调整事项汇总表!$I$7:$I$10020,调整事项汇总表!$D$7:$D$10020,"账项调整",调整事项汇总表!$E$7:$E$10020,IF(OR(MID(TRIM($A154),2,1)="：",MID(TRIM($A154),2,1)="、"),REPLACEB(TRIM($A154),1,4,""),TRIM($A154)))</f>
        <v>0</v>
      </c>
      <c r="D154" s="810">
        <f>SUMIFS(调整事项汇总表!$J$7:$J$10020,调整事项汇总表!$D$7:$D$10020,"账项调整",调整事项汇总表!$E$7:$E$10020,IF(OR(MID(TRIM($A154),2,1)="：",MID(TRIM($A154),2,1)="、"),REPLACEB(TRIM($A154),1,4,""),TRIM($A154)))</f>
        <v>0</v>
      </c>
      <c r="E154" s="810">
        <f>SUMIFS(调整事项汇总表!$I$7:$I$10020,调整事项汇总表!$D$7:$D$10020,"报表调整",调整事项汇总表!$E$7:$E$10020,IF(OR(MID(TRIM($A154),2,1)="：",MID(TRIM($A154),2,1)="、"),REPLACEB(TRIM($A154),1,4,""),TRIM($A154)))</f>
        <v>0</v>
      </c>
      <c r="F154" s="810">
        <f>SUMIFS(调整事项汇总表!$J$7:$J$10020,调整事项汇总表!$D$7:$D$10020,"报表调整",调整事项汇总表!$E$7:$E$10020,IF(OR(MID(TRIM($A154),2,1)="：",MID(TRIM($A154),2,1)="、"),REPLACEB(TRIM($A154),1,4,""),TRIM($A154)))</f>
        <v>0</v>
      </c>
      <c r="G154" s="810">
        <f>SUMIFS(调整事项汇总表!$I$7:$I$10020,调整事项汇总表!$D$7:$D$10020,"其他",调整事项汇总表!$E$7:$E$10020,IF(OR(MID(TRIM($A154),2,1)="：",MID(TRIM($A154),2,1)="、"),REPLACEB(TRIM($A154),1,4,""),TRIM($A154)))</f>
        <v>0</v>
      </c>
      <c r="H154" s="810">
        <f>SUMIFS(调整事项汇总表!$J$7:$J$10020,调整事项汇总表!$D$7:$D$10020,"其他",调整事项汇总表!$E$7:$E$10020,IF(OR(MID(TRIM($A154),2,1)="：",MID(TRIM($A154),2,1)="、"),REPLACEB(TRIM($A154),1,4,""),TRIM($A154)))</f>
        <v>0</v>
      </c>
      <c r="I154" s="811">
        <f t="shared" si="42"/>
        <v>0</v>
      </c>
      <c r="J154" s="38" t="b">
        <f>A154=未审报表!A154</f>
        <v>1</v>
      </c>
      <c r="K154" s="75" t="b">
        <f>审定报表!A154=TB!A154</f>
        <v>1</v>
      </c>
    </row>
    <row r="155" spans="1:12">
      <c r="A155" s="809" t="str">
        <f>未审报表!A155</f>
        <v>一年内到期的非流动负债</v>
      </c>
      <c r="B155" s="810">
        <f>未审报表!C155</f>
        <v>0</v>
      </c>
      <c r="C155" s="810">
        <f>SUMIFS(调整事项汇总表!$I$7:$I$10020,调整事项汇总表!$D$7:$D$10020,"账项调整",调整事项汇总表!$E$7:$E$10020,IF(OR(MID(TRIM($A155),2,1)="：",MID(TRIM($A155),2,1)="、"),REPLACEB(TRIM($A155),1,4,""),TRIM($A155)))</f>
        <v>0</v>
      </c>
      <c r="D155" s="810">
        <f>SUMIFS(调整事项汇总表!$J$7:$J$10020,调整事项汇总表!$D$7:$D$10020,"账项调整",调整事项汇总表!$E$7:$E$10020,IF(OR(MID(TRIM($A155),2,1)="：",MID(TRIM($A155),2,1)="、"),REPLACEB(TRIM($A155),1,4,""),TRIM($A155)))</f>
        <v>0</v>
      </c>
      <c r="E155" s="810">
        <f>SUMIFS(调整事项汇总表!$I$7:$I$10020,调整事项汇总表!$D$7:$D$10020,"报表调整",调整事项汇总表!$E$7:$E$10020,IF(OR(MID(TRIM($A155),2,1)="：",MID(TRIM($A155),2,1)="、"),REPLACEB(TRIM($A155),1,4,""),TRIM($A155)))</f>
        <v>0</v>
      </c>
      <c r="F155" s="810">
        <f>SUMIFS(调整事项汇总表!$J$7:$J$10020,调整事项汇总表!$D$7:$D$10020,"报表调整",调整事项汇总表!$E$7:$E$10020,IF(OR(MID(TRIM($A155),2,1)="：",MID(TRIM($A155),2,1)="、"),REPLACEB(TRIM($A155),1,4,""),TRIM($A155)))</f>
        <v>0</v>
      </c>
      <c r="G155" s="810">
        <f>SUMIFS(调整事项汇总表!$I$7:$I$10020,调整事项汇总表!$D$7:$D$10020,"其他",调整事项汇总表!$E$7:$E$10020,IF(OR(MID(TRIM($A155),2,1)="：",MID(TRIM($A155),2,1)="、"),REPLACEB(TRIM($A155),1,4,""),TRIM($A155)))</f>
        <v>0</v>
      </c>
      <c r="H155" s="810">
        <f>SUMIFS(调整事项汇总表!$J$7:$J$10020,调整事项汇总表!$D$7:$D$10020,"其他",调整事项汇总表!$E$7:$E$10020,IF(OR(MID(TRIM($A155),2,1)="：",MID(TRIM($A155),2,1)="、"),REPLACEB(TRIM($A155),1,4,""),TRIM($A155)))</f>
        <v>0</v>
      </c>
      <c r="I155" s="811">
        <f t="shared" si="42"/>
        <v>0</v>
      </c>
      <c r="J155" s="38" t="b">
        <f>A155=未审报表!A155</f>
        <v>1</v>
      </c>
      <c r="K155" s="75" t="b">
        <f>审定报表!A155=TB!A155</f>
        <v>1</v>
      </c>
    </row>
    <row r="156" spans="1:12">
      <c r="A156" s="809" t="str">
        <f>未审报表!A156</f>
        <v>其他流动负债</v>
      </c>
      <c r="B156" s="810">
        <f>未审报表!C156</f>
        <v>0</v>
      </c>
      <c r="C156" s="810">
        <f>SUMIFS(调整事项汇总表!$I$7:$I$10020,调整事项汇总表!$D$7:$D$10020,"账项调整",调整事项汇总表!$E$7:$E$10020,IF(OR(MID(TRIM($A156),2,1)="：",MID(TRIM($A156),2,1)="、"),REPLACEB(TRIM($A156),1,4,""),TRIM($A156)))</f>
        <v>0</v>
      </c>
      <c r="D156" s="810">
        <f>SUMIFS(调整事项汇总表!$J$7:$J$10020,调整事项汇总表!$D$7:$D$10020,"账项调整",调整事项汇总表!$E$7:$E$10020,IF(OR(MID(TRIM($A156),2,1)="：",MID(TRIM($A156),2,1)="、"),REPLACEB(TRIM($A156),1,4,""),TRIM($A156)))</f>
        <v>0</v>
      </c>
      <c r="E156" s="810">
        <f>SUMIFS(调整事项汇总表!$I$7:$I$10020,调整事项汇总表!$D$7:$D$10020,"报表调整",调整事项汇总表!$E$7:$E$10020,IF(OR(MID(TRIM($A156),2,1)="：",MID(TRIM($A156),2,1)="、"),REPLACEB(TRIM($A156),1,4,""),TRIM($A156)))</f>
        <v>0</v>
      </c>
      <c r="F156" s="810">
        <f>SUMIFS(调整事项汇总表!$J$7:$J$10020,调整事项汇总表!$D$7:$D$10020,"报表调整",调整事项汇总表!$E$7:$E$10020,IF(OR(MID(TRIM($A156),2,1)="：",MID(TRIM($A156),2,1)="、"),REPLACEB(TRIM($A156),1,4,""),TRIM($A156)))</f>
        <v>0</v>
      </c>
      <c r="G156" s="810">
        <f>SUMIFS(调整事项汇总表!$I$7:$I$10020,调整事项汇总表!$D$7:$D$10020,"其他",调整事项汇总表!$E$7:$E$10020,IF(OR(MID(TRIM($A156),2,1)="：",MID(TRIM($A156),2,1)="、"),REPLACEB(TRIM($A156),1,4,""),TRIM($A156)))</f>
        <v>0</v>
      </c>
      <c r="H156" s="810">
        <f>SUMIFS(调整事项汇总表!$J$7:$J$10020,调整事项汇总表!$D$7:$D$10020,"其他",调整事项汇总表!$E$7:$E$10020,IF(OR(MID(TRIM($A156),2,1)="：",MID(TRIM($A156),2,1)="、"),REPLACEB(TRIM($A156),1,4,""),TRIM($A156)))</f>
        <v>0</v>
      </c>
      <c r="I156" s="811">
        <f t="shared" si="42"/>
        <v>0</v>
      </c>
      <c r="J156" s="38" t="b">
        <f>A156=未审报表!A156</f>
        <v>1</v>
      </c>
      <c r="K156" s="75" t="b">
        <f>审定报表!A156=TB!A156</f>
        <v>1</v>
      </c>
    </row>
    <row r="157" spans="1:12">
      <c r="A157" s="809" t="str">
        <f>未审报表!A157</f>
        <v>保险合同准备金*</v>
      </c>
      <c r="B157" s="810">
        <f>未审报表!C157</f>
        <v>0</v>
      </c>
      <c r="C157" s="810">
        <f>SUMIFS(调整事项汇总表!$I$7:$I$10020,调整事项汇总表!$D$7:$D$10020,"账项调整",调整事项汇总表!$E$7:$E$10020,IF(OR(MID(TRIM($A157),2,1)="：",MID(TRIM($A157),2,1)="、"),REPLACEB(TRIM($A157),1,4,""),TRIM($A157)))</f>
        <v>0</v>
      </c>
      <c r="D157" s="810">
        <f>SUMIFS(调整事项汇总表!$J$7:$J$10020,调整事项汇总表!$D$7:$D$10020,"账项调整",调整事项汇总表!$E$7:$E$10020,IF(OR(MID(TRIM($A157),2,1)="：",MID(TRIM($A157),2,1)="、"),REPLACEB(TRIM($A157),1,4,""),TRIM($A157)))</f>
        <v>0</v>
      </c>
      <c r="E157" s="810">
        <f>SUMIFS(调整事项汇总表!$I$7:$I$10020,调整事项汇总表!$D$7:$D$10020,"报表调整",调整事项汇总表!$E$7:$E$10020,IF(OR(MID(TRIM($A157),2,1)="：",MID(TRIM($A157),2,1)="、"),REPLACEB(TRIM($A157),1,4,""),TRIM($A157)))</f>
        <v>0</v>
      </c>
      <c r="F157" s="810">
        <f>SUMIFS(调整事项汇总表!$J$7:$J$10020,调整事项汇总表!$D$7:$D$10020,"报表调整",调整事项汇总表!$E$7:$E$10020,IF(OR(MID(TRIM($A157),2,1)="：",MID(TRIM($A157),2,1)="、"),REPLACEB(TRIM($A157),1,4,""),TRIM($A157)))</f>
        <v>0</v>
      </c>
      <c r="G157" s="810">
        <f>SUMIFS(调整事项汇总表!$I$7:$I$10020,调整事项汇总表!$D$7:$D$10020,"其他",调整事项汇总表!$E$7:$E$10020,IF(OR(MID(TRIM($A157),2,1)="：",MID(TRIM($A157),2,1)="、"),REPLACEB(TRIM($A157),1,4,""),TRIM($A157)))</f>
        <v>0</v>
      </c>
      <c r="H157" s="810">
        <f>SUMIFS(调整事项汇总表!$J$7:$J$10020,调整事项汇总表!$D$7:$D$10020,"其他",调整事项汇总表!$E$7:$E$10020,IF(OR(MID(TRIM($A157),2,1)="：",MID(TRIM($A157),2,1)="、"),REPLACEB(TRIM($A157),1,4,""),TRIM($A157)))</f>
        <v>0</v>
      </c>
      <c r="I157" s="811">
        <f t="shared" si="42"/>
        <v>0</v>
      </c>
      <c r="J157" s="38" t="b">
        <f>A157=未审报表!A157</f>
        <v>1</v>
      </c>
      <c r="K157" s="75" t="b">
        <f>审定报表!A157=TB!A157</f>
        <v>1</v>
      </c>
    </row>
    <row r="158" spans="1:12">
      <c r="A158" s="805" t="str">
        <f>未审报表!A158</f>
        <v>流动负债合计</v>
      </c>
      <c r="B158" s="812">
        <f>未审报表!C158</f>
        <v>20514110.34</v>
      </c>
      <c r="C158" s="813">
        <f>SUM(C130:C143,C147,C149,C152:C157)</f>
        <v>5000</v>
      </c>
      <c r="D158" s="813">
        <f t="shared" ref="D158:H158" si="43">SUM(D130:D143,D147,D149,D152:D157)</f>
        <v>4592827.4399999995</v>
      </c>
      <c r="E158" s="813">
        <f t="shared" si="43"/>
        <v>0</v>
      </c>
      <c r="F158" s="813">
        <f t="shared" si="43"/>
        <v>0</v>
      </c>
      <c r="G158" s="813">
        <f t="shared" si="43"/>
        <v>0</v>
      </c>
      <c r="H158" s="813">
        <f t="shared" si="43"/>
        <v>0</v>
      </c>
      <c r="I158" s="811">
        <f t="shared" si="42"/>
        <v>25101937.780000001</v>
      </c>
      <c r="J158" s="38" t="b">
        <f>A158=未审报表!A158</f>
        <v>1</v>
      </c>
      <c r="K158" s="75" t="b">
        <f>审定报表!A158=TB!A158</f>
        <v>1</v>
      </c>
    </row>
    <row r="159" spans="1:12">
      <c r="A159" s="809" t="str">
        <f>未审报表!A159</f>
        <v>非流动负债:</v>
      </c>
      <c r="B159" s="816"/>
      <c r="C159" s="816"/>
      <c r="D159" s="816"/>
      <c r="E159" s="816"/>
      <c r="F159" s="816"/>
      <c r="G159" s="816"/>
      <c r="H159" s="816"/>
      <c r="I159" s="817"/>
      <c r="J159" s="38" t="b">
        <f>A159=未审报表!A159</f>
        <v>1</v>
      </c>
      <c r="K159" s="75" t="b">
        <f>审定报表!A159=TB!A159</f>
        <v>1</v>
      </c>
    </row>
    <row r="160" spans="1:12">
      <c r="A160" s="809" t="str">
        <f>未审报表!A160</f>
        <v>长期借款</v>
      </c>
      <c r="B160" s="810">
        <f>未审报表!C160</f>
        <v>0</v>
      </c>
      <c r="C160" s="810">
        <f>SUMIFS(调整事项汇总表!$I$7:$I$10020,调整事项汇总表!$D$7:$D$10020,"账项调整",调整事项汇总表!$E$7:$E$10020,IF(OR(MID(TRIM($A160),2,1)="：",MID(TRIM($A160),2,1)="、"),REPLACEB(TRIM($A160),1,4,""),TRIM($A160)))</f>
        <v>0</v>
      </c>
      <c r="D160" s="810">
        <f>SUMIFS(调整事项汇总表!$J$7:$J$10020,调整事项汇总表!$D$7:$D$10020,"账项调整",调整事项汇总表!$E$7:$E$10020,IF(OR(MID(TRIM($A160),2,1)="：",MID(TRIM($A160),2,1)="、"),REPLACEB(TRIM($A160),1,4,""),TRIM($A160)))</f>
        <v>0</v>
      </c>
      <c r="E160" s="810">
        <f>SUMIFS(调整事项汇总表!$I$7:$I$10020,调整事项汇总表!$D$7:$D$10020,"报表调整",调整事项汇总表!$E$7:$E$10020,IF(OR(MID(TRIM($A160),2,1)="：",MID(TRIM($A160),2,1)="、"),REPLACEB(TRIM($A160),1,4,""),TRIM($A160)))</f>
        <v>0</v>
      </c>
      <c r="F160" s="810">
        <f>SUMIFS(调整事项汇总表!$J$7:$J$10020,调整事项汇总表!$D$7:$D$10020,"报表调整",调整事项汇总表!$E$7:$E$10020,IF(OR(MID(TRIM($A160),2,1)="：",MID(TRIM($A160),2,1)="、"),REPLACEB(TRIM($A160),1,4,""),TRIM($A160)))</f>
        <v>0</v>
      </c>
      <c r="G160" s="810">
        <f>SUMIFS(调整事项汇总表!$I$7:$I$10020,调整事项汇总表!$D$7:$D$10020,"其他",调整事项汇总表!$E$7:$E$10020,IF(OR(MID(TRIM($A160),2,1)="：",MID(TRIM($A160),2,1)="、"),REPLACEB(TRIM($A160),1,4,""),TRIM($A160)))</f>
        <v>0</v>
      </c>
      <c r="H160" s="810">
        <f>SUMIFS(调整事项汇总表!$J$7:$J$10020,调整事项汇总表!$D$7:$D$10020,"其他",调整事项汇总表!$E$7:$E$10020,IF(OR(MID(TRIM($A160),2,1)="：",MID(TRIM($A160),2,1)="、"),REPLACEB(TRIM($A160),1,4,""),TRIM($A160)))</f>
        <v>0</v>
      </c>
      <c r="I160" s="811">
        <f>B160+D160+F160+H160-G160-E160-C160</f>
        <v>0</v>
      </c>
      <c r="J160" s="38" t="b">
        <f>A160=未审报表!A160</f>
        <v>1</v>
      </c>
      <c r="K160" s="75" t="b">
        <f>审定报表!A160=TB!A160</f>
        <v>1</v>
      </c>
    </row>
    <row r="161" spans="1:11">
      <c r="A161" s="809" t="str">
        <f>未审报表!A161</f>
        <v>应付债券</v>
      </c>
      <c r="B161" s="810">
        <f>未审报表!C161</f>
        <v>0</v>
      </c>
      <c r="C161" s="810">
        <f>SUMIFS(调整事项汇总表!$I$7:$I$10020,调整事项汇总表!$D$7:$D$10020,"账项调整",调整事项汇总表!$E$7:$E$10020,IF(OR(MID(TRIM($A161),2,1)="：",MID(TRIM($A161),2,1)="、"),REPLACEB(TRIM($A161),1,4,""),TRIM($A161)))</f>
        <v>0</v>
      </c>
      <c r="D161" s="810">
        <f>SUMIFS(调整事项汇总表!$J$7:$J$10020,调整事项汇总表!$D$7:$D$10020,"账项调整",调整事项汇总表!$E$7:$E$10020,IF(OR(MID(TRIM($A161),2,1)="：",MID(TRIM($A161),2,1)="、"),REPLACEB(TRIM($A161),1,4,""),TRIM($A161)))</f>
        <v>0</v>
      </c>
      <c r="E161" s="810">
        <f>SUMIFS(调整事项汇总表!$I$7:$I$10020,调整事项汇总表!$D$7:$D$10020,"报表调整",调整事项汇总表!$E$7:$E$10020,IF(OR(MID(TRIM($A161),2,1)="：",MID(TRIM($A161),2,1)="、"),REPLACEB(TRIM($A161),1,4,""),TRIM($A161)))</f>
        <v>0</v>
      </c>
      <c r="F161" s="810">
        <f>SUMIFS(调整事项汇总表!$J$7:$J$10020,调整事项汇总表!$D$7:$D$10020,"报表调整",调整事项汇总表!$E$7:$E$10020,IF(OR(MID(TRIM($A161),2,1)="：",MID(TRIM($A161),2,1)="、"),REPLACEB(TRIM($A161),1,4,""),TRIM($A161)))</f>
        <v>0</v>
      </c>
      <c r="G161" s="810">
        <f>SUMIFS(调整事项汇总表!$I$7:$I$10020,调整事项汇总表!$D$7:$D$10020,"其他",调整事项汇总表!$E$7:$E$10020,IF(OR(MID(TRIM($A161),2,1)="：",MID(TRIM($A161),2,1)="、"),REPLACEB(TRIM($A161),1,4,""),TRIM($A161)))</f>
        <v>0</v>
      </c>
      <c r="H161" s="810">
        <f>SUMIFS(调整事项汇总表!$J$7:$J$10020,调整事项汇总表!$D$7:$D$10020,"其他",调整事项汇总表!$E$7:$E$10020,IF(OR(MID(TRIM($A161),2,1)="：",MID(TRIM($A161),2,1)="、"),REPLACEB(TRIM($A161),1,4,""),TRIM($A161)))</f>
        <v>0</v>
      </c>
      <c r="I161" s="811">
        <f t="shared" ref="I161:I174" si="44">B161+D161+F161+H161-G161-E161-C161</f>
        <v>0</v>
      </c>
      <c r="J161" s="38" t="b">
        <f>A161=未审报表!A161</f>
        <v>1</v>
      </c>
      <c r="K161" s="75" t="b">
        <f>审定报表!A161=TB!A161</f>
        <v>1</v>
      </c>
    </row>
    <row r="162" spans="1:11">
      <c r="A162" s="809" t="str">
        <f>未审报表!A162</f>
        <v xml:space="preserve">  其中：优先股</v>
      </c>
      <c r="B162" s="810">
        <f>未审报表!C162</f>
        <v>0</v>
      </c>
      <c r="C162" s="810">
        <f>SUMIFS(调整事项汇总表!$I$7:$I$10020,调整事项汇总表!$D$7:$D$10020,"账项调整",调整事项汇总表!$E$7:$E$10020,"应付债券",调整事项汇总表!$F$7:$F$10020,IF(OR(MID(TRIM($A162),3,1)="：",MID(TRIM($A162),2,1)="、"),REPLACEB(TRIM($A162),1,6,""),TRIM($A162)))</f>
        <v>0</v>
      </c>
      <c r="D162" s="810">
        <f>SUMIFS(调整事项汇总表!$J$7:$J$10020,调整事项汇总表!$D$7:$D$10020,"账项调整",调整事项汇总表!$E$7:$E$10020,"应付债券",调整事项汇总表!$F$7:$F$10020,IF(OR(MID(TRIM($A162),3,1)="：",MID(TRIM($A162),2,1)="、"),REPLACEB(TRIM($A162),1,6,""),TRIM($A162)))</f>
        <v>0</v>
      </c>
      <c r="E162" s="810">
        <f>SUMIFS(调整事项汇总表!$I$7:$I$10020,调整事项汇总表!$D$7:$D$10020,"报表调整",调整事项汇总表!$E$7:$E$10020,"应付债券",调整事项汇总表!$F$7:$F$10020,IF(OR(MID(TRIM($A162),3,1)="：",MID(TRIM($A162),2,1)="、"),REPLACEB(TRIM($A162),1,6,""),TRIM($A162)))</f>
        <v>0</v>
      </c>
      <c r="F162" s="810">
        <f>SUMIFS(调整事项汇总表!$J$7:$J$10020,调整事项汇总表!$D$7:$D$10020,"报表调整",调整事项汇总表!$E$7:$E$10020,"应付债券",调整事项汇总表!$F$7:$F$10020,IF(OR(MID(TRIM($A162),3,1)="：",MID(TRIM($A162),2,1)="、"),REPLACEB(TRIM($A162),1,6,""),TRIM($A162)))</f>
        <v>0</v>
      </c>
      <c r="G162" s="810">
        <f>SUMIFS(调整事项汇总表!$I$7:$I$10020,调整事项汇总表!$D$7:$D$10020,"其他",调整事项汇总表!$E$7:$E$10020,"应付债券",调整事项汇总表!$F$7:$F$10020,IF(OR(MID(TRIM($A162),3,1)="：",MID(TRIM($A162),2,1)="、"),REPLACEB(TRIM($A162),1,6,""),TRIM($A162)))</f>
        <v>0</v>
      </c>
      <c r="H162" s="810">
        <f>SUMIFS(调整事项汇总表!$J$7:$J$10020,调整事项汇总表!$D$7:$D$10020,"其他",调整事项汇总表!$E$7:$E$10020,"应付债券",调整事项汇总表!$F$7:$F$10020,IF(OR(MID(TRIM($A162),3,1)="：",MID(TRIM($A162),2,1)="、"),REPLACEB(TRIM($A162),1,6,""),TRIM($A162)))</f>
        <v>0</v>
      </c>
      <c r="I162" s="811">
        <f t="shared" si="44"/>
        <v>0</v>
      </c>
      <c r="J162" s="38" t="b">
        <f>A162=未审报表!A162</f>
        <v>1</v>
      </c>
      <c r="K162" s="75" t="b">
        <f>审定报表!A162=TB!A162</f>
        <v>1</v>
      </c>
    </row>
    <row r="163" spans="1:11">
      <c r="A163" s="809" t="str">
        <f>未审报表!A163</f>
        <v xml:space="preserve">        永续债</v>
      </c>
      <c r="B163" s="810">
        <f>未审报表!C163</f>
        <v>0</v>
      </c>
      <c r="C163" s="810">
        <f>SUMIFS(调整事项汇总表!$I$7:$I$10020,调整事项汇总表!$D$7:$D$10020,"账项调整",调整事项汇总表!$E$7:$E$10020,"应付债券",调整事项汇总表!$F$7:$F$10020,IF(OR(MID(TRIM($A163),3,1)="：",MID(TRIM($A163),2,1)="、"),REPLACEB(TRIM($A163),1,6,""),TRIM($A163)))</f>
        <v>0</v>
      </c>
      <c r="D163" s="810">
        <f>SUMIFS(调整事项汇总表!$J$7:$J$10020,调整事项汇总表!$D$7:$D$10020,"账项调整",调整事项汇总表!$E$7:$E$10020,"应付债券",调整事项汇总表!$F$7:$F$10020,IF(OR(MID(TRIM($A163),3,1)="：",MID(TRIM($A163),2,1)="、"),REPLACEB(TRIM($A163),1,6,""),TRIM($A163)))</f>
        <v>0</v>
      </c>
      <c r="E163" s="810">
        <f>SUMIFS(调整事项汇总表!$I$7:$I$10020,调整事项汇总表!$D$7:$D$10020,"报表调整",调整事项汇总表!$E$7:$E$10020,"应付债券",调整事项汇总表!$F$7:$F$10020,IF(OR(MID(TRIM($A163),3,1)="：",MID(TRIM($A163),2,1)="、"),REPLACEB(TRIM($A163),1,6,""),TRIM($A163)))</f>
        <v>0</v>
      </c>
      <c r="F163" s="810">
        <f>SUMIFS(调整事项汇总表!$J$7:$J$10020,调整事项汇总表!$D$7:$D$10020,"报表调整",调整事项汇总表!$E$7:$E$10020,"应付债券",调整事项汇总表!$F$7:$F$10020,IF(OR(MID(TRIM($A163),3,1)="：",MID(TRIM($A163),2,1)="、"),REPLACEB(TRIM($A163),1,6,""),TRIM($A163)))</f>
        <v>0</v>
      </c>
      <c r="G163" s="810">
        <f>SUMIFS(调整事项汇总表!$I$7:$I$10020,调整事项汇总表!$D$7:$D$10020,"其他",调整事项汇总表!$E$7:$E$10020,"应付债券",调整事项汇总表!$F$7:$F$10020,IF(OR(MID(TRIM($A163),3,1)="：",MID(TRIM($A163),2,1)="、"),REPLACEB(TRIM($A163),1,6,""),TRIM($A163)))</f>
        <v>0</v>
      </c>
      <c r="H163" s="810">
        <f>SUMIFS(调整事项汇总表!$J$7:$J$10020,调整事项汇总表!$D$7:$D$10020,"其他",调整事项汇总表!$E$7:$E$10020,"应付债券",调整事项汇总表!$F$7:$F$10020,IF(OR(MID(TRIM($A163),3,1)="：",MID(TRIM($A163),2,1)="、"),REPLACEB(TRIM($A163),1,6,""),TRIM($A163)))</f>
        <v>0</v>
      </c>
      <c r="I163" s="811">
        <f t="shared" si="44"/>
        <v>0</v>
      </c>
      <c r="J163" s="38" t="b">
        <f>A163=未审报表!A163</f>
        <v>1</v>
      </c>
      <c r="K163" s="75" t="b">
        <f>审定报表!A163=TB!A163</f>
        <v>1</v>
      </c>
    </row>
    <row r="164" spans="1:11">
      <c r="A164" s="809" t="str">
        <f>未审报表!A164</f>
        <v>租赁负债</v>
      </c>
      <c r="B164" s="810">
        <f>未审报表!C164</f>
        <v>0</v>
      </c>
      <c r="C164" s="810">
        <f>SUMIFS(调整事项汇总表!$I$7:$I$10020,调整事项汇总表!$D$7:$D$10020,"账项调整",调整事项汇总表!$E$7:$E$10020,IF(OR(MID(TRIM($A164),2,1)="：",MID(TRIM($A164),2,1)="、"),REPLACEB(TRIM($A164),1,4,""),TRIM($A164)))</f>
        <v>0</v>
      </c>
      <c r="D164" s="810">
        <f>SUMIFS(调整事项汇总表!$J$7:$J$10020,调整事项汇总表!$D$7:$D$10020,"账项调整",调整事项汇总表!$E$7:$E$10020,IF(OR(MID(TRIM($A164),2,1)="：",MID(TRIM($A164),2,1)="、"),REPLACEB(TRIM($A164),1,4,""),TRIM($A164)))</f>
        <v>0</v>
      </c>
      <c r="E164" s="810">
        <f>SUMIFS(调整事项汇总表!$I$7:$I$10020,调整事项汇总表!$D$7:$D$10020,"报表调整",调整事项汇总表!$E$7:$E$10020,IF(OR(MID(TRIM($A164),2,1)="：",MID(TRIM($A164),2,1)="、"),REPLACEB(TRIM($A164),1,4,""),TRIM($A164)))</f>
        <v>0</v>
      </c>
      <c r="F164" s="810">
        <f>SUMIFS(调整事项汇总表!$J$7:$J$10020,调整事项汇总表!$D$7:$D$10020,"报表调整",调整事项汇总表!$E$7:$E$10020,IF(OR(MID(TRIM($A164),2,1)="：",MID(TRIM($A164),2,1)="、"),REPLACEB(TRIM($A164),1,4,""),TRIM($A164)))</f>
        <v>0</v>
      </c>
      <c r="G164" s="810">
        <f>SUMIFS(调整事项汇总表!$I$7:$I$10020,调整事项汇总表!$D$7:$D$10020,"其他",调整事项汇总表!$E$7:$E$10020,IF(OR(MID(TRIM($A164),2,1)="：",MID(TRIM($A164),2,1)="、"),REPLACEB(TRIM($A164),1,4,""),TRIM($A164)))</f>
        <v>0</v>
      </c>
      <c r="H164" s="810">
        <f>SUMIFS(调整事项汇总表!$J$7:$J$10020,调整事项汇总表!$D$7:$D$10020,"其他",调整事项汇总表!$E$7:$E$10020,IF(OR(MID(TRIM($A164),2,1)="：",MID(TRIM($A164),2,1)="、"),REPLACEB(TRIM($A164),1,4,""),TRIM($A164)))</f>
        <v>0</v>
      </c>
      <c r="I164" s="811">
        <f t="shared" si="44"/>
        <v>0</v>
      </c>
      <c r="J164" s="38" t="b">
        <f>A164=未审报表!A164</f>
        <v>1</v>
      </c>
      <c r="K164" s="75" t="b">
        <f>审定报表!A164=TB!A164</f>
        <v>1</v>
      </c>
    </row>
    <row r="165" spans="1:11">
      <c r="A165" s="809" t="str">
        <f>未审报表!A165</f>
        <v>长期应付款</v>
      </c>
      <c r="B165" s="810">
        <f>未审报表!C165</f>
        <v>0</v>
      </c>
      <c r="C165" s="810">
        <f>SUMIFS(调整事项汇总表!$I$7:$I$10020,调整事项汇总表!$D$7:$D$10020,"账项调整",调整事项汇总表!$E$7:$E$10020,IF(OR(MID(TRIM($A165),2,1)="：",MID(TRIM($A165),2,1)="、"),REPLACEB(TRIM($A165),1,4,""),TRIM($A165)))</f>
        <v>0</v>
      </c>
      <c r="D165" s="810">
        <f>SUMIFS(调整事项汇总表!$J$7:$J$10020,调整事项汇总表!$D$7:$D$10020,"账项调整",调整事项汇总表!$E$7:$E$10020,IF(OR(MID(TRIM($A165),2,1)="：",MID(TRIM($A165),2,1)="、"),REPLACEB(TRIM($A165),1,4,""),TRIM($A165)))</f>
        <v>0</v>
      </c>
      <c r="E165" s="810">
        <f>SUMIFS(调整事项汇总表!$I$7:$I$10020,调整事项汇总表!$D$7:$D$10020,"报表调整",调整事项汇总表!$E$7:$E$10020,IF(OR(MID(TRIM($A165),2,1)="：",MID(TRIM($A165),2,1)="、"),REPLACEB(TRIM($A165),1,4,""),TRIM($A165)))</f>
        <v>0</v>
      </c>
      <c r="F165" s="810">
        <f>SUMIFS(调整事项汇总表!$J$7:$J$10020,调整事项汇总表!$D$7:$D$10020,"报表调整",调整事项汇总表!$E$7:$E$10020,IF(OR(MID(TRIM($A165),2,1)="：",MID(TRIM($A165),2,1)="、"),REPLACEB(TRIM($A165),1,4,""),TRIM($A165)))</f>
        <v>0</v>
      </c>
      <c r="G165" s="810">
        <f>SUMIFS(调整事项汇总表!$I$7:$I$10020,调整事项汇总表!$D$7:$D$10020,"其他",调整事项汇总表!$E$7:$E$10020,IF(OR(MID(TRIM($A165),2,1)="：",MID(TRIM($A165),2,1)="、"),REPLACEB(TRIM($A165),1,4,""),TRIM($A165)))</f>
        <v>0</v>
      </c>
      <c r="H165" s="810">
        <f>SUMIFS(调整事项汇总表!$J$7:$J$10020,调整事项汇总表!$D$7:$D$10020,"其他",调整事项汇总表!$E$7:$E$10020,IF(OR(MID(TRIM($A165),2,1)="：",MID(TRIM($A165),2,1)="、"),REPLACEB(TRIM($A165),1,4,""),TRIM($A165)))</f>
        <v>0</v>
      </c>
      <c r="I165" s="811">
        <f t="shared" si="44"/>
        <v>0</v>
      </c>
      <c r="J165" s="38" t="b">
        <f>A165=未审报表!A165</f>
        <v>1</v>
      </c>
      <c r="K165" s="75" t="b">
        <f>审定报表!A165=TB!A165</f>
        <v>1</v>
      </c>
    </row>
    <row r="166" spans="1:11">
      <c r="A166" s="809" t="str">
        <f>未审报表!A166</f>
        <v>专项应付款</v>
      </c>
      <c r="B166" s="810">
        <f>未审报表!C166</f>
        <v>0</v>
      </c>
      <c r="C166" s="810">
        <f>SUMIFS(调整事项汇总表!$I$7:$I$10020,调整事项汇总表!$D$7:$D$10020,"账项调整",调整事项汇总表!$E$7:$E$10020,IF(OR(MID(TRIM($A166),2,1)="：",MID(TRIM($A166),2,1)="、"),REPLACEB(TRIM($A166),1,4,""),TRIM($A166)))</f>
        <v>0</v>
      </c>
      <c r="D166" s="810">
        <f>SUMIFS(调整事项汇总表!$J$7:$J$10020,调整事项汇总表!$D$7:$D$10020,"账项调整",调整事项汇总表!$E$7:$E$10020,IF(OR(MID(TRIM($A166),2,1)="：",MID(TRIM($A166),2,1)="、"),REPLACEB(TRIM($A166),1,4,""),TRIM($A166)))</f>
        <v>0</v>
      </c>
      <c r="E166" s="810">
        <f>SUMIFS(调整事项汇总表!$I$7:$I$10020,调整事项汇总表!$D$7:$D$10020,"报表调整",调整事项汇总表!$E$7:$E$10020,IF(OR(MID(TRIM($A166),2,1)="：",MID(TRIM($A166),2,1)="、"),REPLACEB(TRIM($A166),1,4,""),TRIM($A166)))</f>
        <v>0</v>
      </c>
      <c r="F166" s="810">
        <f>SUMIFS(调整事项汇总表!$J$7:$J$10020,调整事项汇总表!$D$7:$D$10020,"报表调整",调整事项汇总表!$E$7:$E$10020,IF(OR(MID(TRIM($A166),2,1)="：",MID(TRIM($A166),2,1)="、"),REPLACEB(TRIM($A166),1,4,""),TRIM($A166)))</f>
        <v>0</v>
      </c>
      <c r="G166" s="810">
        <f>SUMIFS(调整事项汇总表!$I$7:$I$10020,调整事项汇总表!$D$7:$D$10020,"其他",调整事项汇总表!$E$7:$E$10020,IF(OR(MID(TRIM($A166),2,1)="：",MID(TRIM($A166),2,1)="、"),REPLACEB(TRIM($A166),1,4,""),TRIM($A166)))</f>
        <v>0</v>
      </c>
      <c r="H166" s="810">
        <f>SUMIFS(调整事项汇总表!$J$7:$J$10020,调整事项汇总表!$D$7:$D$10020,"其他",调整事项汇总表!$E$7:$E$10020,IF(OR(MID(TRIM($A166),2,1)="：",MID(TRIM($A166),2,1)="、"),REPLACEB(TRIM($A166),1,4,""),TRIM($A166)))</f>
        <v>0</v>
      </c>
      <c r="I166" s="811">
        <f t="shared" si="44"/>
        <v>0</v>
      </c>
      <c r="J166" s="38" t="b">
        <f>A166=未审报表!A166</f>
        <v>1</v>
      </c>
      <c r="K166" s="75" t="b">
        <f>审定报表!A166=TB!A166</f>
        <v>1</v>
      </c>
    </row>
    <row r="167" spans="1:11">
      <c r="A167" s="809" t="str">
        <f>未审报表!A167</f>
        <v>长期应付职工薪酬</v>
      </c>
      <c r="B167" s="810">
        <f>未审报表!C167</f>
        <v>0</v>
      </c>
      <c r="C167" s="810">
        <f>SUMIFS(调整事项汇总表!$I$7:$I$10020,调整事项汇总表!$D$7:$D$10020,"账项调整",调整事项汇总表!$E$7:$E$10020,IF(OR(MID(TRIM($A167),2,1)="：",MID(TRIM($A167),2,1)="、"),REPLACEB(TRIM($A167),1,4,""),TRIM($A167)))</f>
        <v>0</v>
      </c>
      <c r="D167" s="810">
        <f>SUMIFS(调整事项汇总表!$J$7:$J$10020,调整事项汇总表!$D$7:$D$10020,"账项调整",调整事项汇总表!$E$7:$E$10020,IF(OR(MID(TRIM($A167),2,1)="：",MID(TRIM($A167),2,1)="、"),REPLACEB(TRIM($A167),1,4,""),TRIM($A167)))</f>
        <v>0</v>
      </c>
      <c r="E167" s="810">
        <f>SUMIFS(调整事项汇总表!$I$7:$I$10020,调整事项汇总表!$D$7:$D$10020,"报表调整",调整事项汇总表!$E$7:$E$10020,IF(OR(MID(TRIM($A167),2,1)="：",MID(TRIM($A167),2,1)="、"),REPLACEB(TRIM($A167),1,4,""),TRIM($A167)))</f>
        <v>0</v>
      </c>
      <c r="F167" s="810">
        <f>SUMIFS(调整事项汇总表!$J$7:$J$10020,调整事项汇总表!$D$7:$D$10020,"报表调整",调整事项汇总表!$E$7:$E$10020,IF(OR(MID(TRIM($A167),2,1)="：",MID(TRIM($A167),2,1)="、"),REPLACEB(TRIM($A167),1,4,""),TRIM($A167)))</f>
        <v>0</v>
      </c>
      <c r="G167" s="810">
        <f>SUMIFS(调整事项汇总表!$I$7:$I$10020,调整事项汇总表!$D$7:$D$10020,"其他",调整事项汇总表!$E$7:$E$10020,IF(OR(MID(TRIM($A167),2,1)="：",MID(TRIM($A167),2,1)="、"),REPLACEB(TRIM($A167),1,4,""),TRIM($A167)))</f>
        <v>0</v>
      </c>
      <c r="H167" s="810">
        <f>SUMIFS(调整事项汇总表!$J$7:$J$10020,调整事项汇总表!$D$7:$D$10020,"其他",调整事项汇总表!$E$7:$E$10020,IF(OR(MID(TRIM($A167),2,1)="：",MID(TRIM($A167),2,1)="、"),REPLACEB(TRIM($A167),1,4,""),TRIM($A167)))</f>
        <v>0</v>
      </c>
      <c r="I167" s="811">
        <f t="shared" si="44"/>
        <v>0</v>
      </c>
      <c r="J167" s="38" t="b">
        <f>A167=未审报表!A167</f>
        <v>1</v>
      </c>
      <c r="K167" s="75" t="b">
        <f>审定报表!A167=TB!A167</f>
        <v>1</v>
      </c>
    </row>
    <row r="168" spans="1:11">
      <c r="A168" s="809" t="str">
        <f>未审报表!A168</f>
        <v>预计负债</v>
      </c>
      <c r="B168" s="810">
        <f>未审报表!C168</f>
        <v>0</v>
      </c>
      <c r="C168" s="810">
        <f>SUMIFS(调整事项汇总表!$I$7:$I$10020,调整事项汇总表!$D$7:$D$10020,"账项调整",调整事项汇总表!$E$7:$E$10020,IF(OR(MID(TRIM($A168),2,1)="：",MID(TRIM($A168),2,1)="、"),REPLACEB(TRIM($A168),1,4,""),TRIM($A168)))</f>
        <v>0</v>
      </c>
      <c r="D168" s="810">
        <f>SUMIFS(调整事项汇总表!$J$7:$J$10020,调整事项汇总表!$D$7:$D$10020,"账项调整",调整事项汇总表!$E$7:$E$10020,IF(OR(MID(TRIM($A168),2,1)="：",MID(TRIM($A168),2,1)="、"),REPLACEB(TRIM($A168),1,4,""),TRIM($A168)))</f>
        <v>0</v>
      </c>
      <c r="E168" s="810">
        <f>SUMIFS(调整事项汇总表!$I$7:$I$10020,调整事项汇总表!$D$7:$D$10020,"报表调整",调整事项汇总表!$E$7:$E$10020,IF(OR(MID(TRIM($A168),2,1)="：",MID(TRIM($A168),2,1)="、"),REPLACEB(TRIM($A168),1,4,""),TRIM($A168)))</f>
        <v>0</v>
      </c>
      <c r="F168" s="810">
        <f>SUMIFS(调整事项汇总表!$J$7:$J$10020,调整事项汇总表!$D$7:$D$10020,"报表调整",调整事项汇总表!$E$7:$E$10020,IF(OR(MID(TRIM($A168),2,1)="：",MID(TRIM($A168),2,1)="、"),REPLACEB(TRIM($A168),1,4,""),TRIM($A168)))</f>
        <v>0</v>
      </c>
      <c r="G168" s="810">
        <f>SUMIFS(调整事项汇总表!$I$7:$I$10020,调整事项汇总表!$D$7:$D$10020,"其他",调整事项汇总表!$E$7:$E$10020,IF(OR(MID(TRIM($A168),2,1)="：",MID(TRIM($A168),2,1)="、"),REPLACEB(TRIM($A168),1,4,""),TRIM($A168)))</f>
        <v>0</v>
      </c>
      <c r="H168" s="810">
        <f>SUMIFS(调整事项汇总表!$J$7:$J$10020,调整事项汇总表!$D$7:$D$10020,"其他",调整事项汇总表!$E$7:$E$10020,IF(OR(MID(TRIM($A168),2,1)="：",MID(TRIM($A168),2,1)="、"),REPLACEB(TRIM($A168),1,4,""),TRIM($A168)))</f>
        <v>0</v>
      </c>
      <c r="I168" s="811">
        <f t="shared" si="44"/>
        <v>0</v>
      </c>
      <c r="J168" s="38" t="b">
        <f>A168=未审报表!A168</f>
        <v>1</v>
      </c>
      <c r="K168" s="75" t="b">
        <f>审定报表!A168=TB!A168</f>
        <v>1</v>
      </c>
    </row>
    <row r="169" spans="1:11">
      <c r="A169" s="809" t="str">
        <f>未审报表!A169</f>
        <v>递延收益</v>
      </c>
      <c r="B169" s="810">
        <f>未审报表!C169</f>
        <v>0</v>
      </c>
      <c r="C169" s="810">
        <f>SUMIFS(调整事项汇总表!$I$7:$I$10020,调整事项汇总表!$D$7:$D$10020,"账项调整",调整事项汇总表!$E$7:$E$10020,IF(OR(MID(TRIM($A169),2,1)="：",MID(TRIM($A169),2,1)="、"),REPLACEB(TRIM($A169),1,4,""),TRIM($A169)))</f>
        <v>0</v>
      </c>
      <c r="D169" s="810">
        <f>SUMIFS(调整事项汇总表!$J$7:$J$10020,调整事项汇总表!$D$7:$D$10020,"账项调整",调整事项汇总表!$E$7:$E$10020,IF(OR(MID(TRIM($A169),2,1)="：",MID(TRIM($A169),2,1)="、"),REPLACEB(TRIM($A169),1,4,""),TRIM($A169)))</f>
        <v>0</v>
      </c>
      <c r="E169" s="810">
        <f>SUMIFS(调整事项汇总表!$I$7:$I$10020,调整事项汇总表!$D$7:$D$10020,"报表调整",调整事项汇总表!$E$7:$E$10020,IF(OR(MID(TRIM($A169),2,1)="：",MID(TRIM($A169),2,1)="、"),REPLACEB(TRIM($A169),1,4,""),TRIM($A169)))</f>
        <v>0</v>
      </c>
      <c r="F169" s="810">
        <f>SUMIFS(调整事项汇总表!$J$7:$J$10020,调整事项汇总表!$D$7:$D$10020,"报表调整",调整事项汇总表!$E$7:$E$10020,IF(OR(MID(TRIM($A169),2,1)="：",MID(TRIM($A169),2,1)="、"),REPLACEB(TRIM($A169),1,4,""),TRIM($A169)))</f>
        <v>0</v>
      </c>
      <c r="G169" s="810">
        <f>SUMIFS(调整事项汇总表!$I$7:$I$10020,调整事项汇总表!$D$7:$D$10020,"其他",调整事项汇总表!$E$7:$E$10020,IF(OR(MID(TRIM($A169),2,1)="：",MID(TRIM($A169),2,1)="、"),REPLACEB(TRIM($A169),1,4,""),TRIM($A169)))</f>
        <v>0</v>
      </c>
      <c r="H169" s="810">
        <f>SUMIFS(调整事项汇总表!$J$7:$J$10020,调整事项汇总表!$D$7:$D$10020,"其他",调整事项汇总表!$E$7:$E$10020,IF(OR(MID(TRIM($A169),2,1)="：",MID(TRIM($A169),2,1)="、"),REPLACEB(TRIM($A169),1,4,""),TRIM($A169)))</f>
        <v>0</v>
      </c>
      <c r="I169" s="811">
        <f t="shared" si="44"/>
        <v>0</v>
      </c>
      <c r="J169" s="38" t="b">
        <f>A169=未审报表!A169</f>
        <v>1</v>
      </c>
      <c r="K169" s="75" t="b">
        <f>审定报表!A169=TB!A169</f>
        <v>1</v>
      </c>
    </row>
    <row r="170" spans="1:11">
      <c r="A170" s="809" t="str">
        <f>未审报表!A170</f>
        <v>递延所得税负债</v>
      </c>
      <c r="B170" s="810">
        <f>未审报表!C170</f>
        <v>0</v>
      </c>
      <c r="C170" s="810">
        <f>SUMIFS(调整事项汇总表!$I$7:$I$10020,调整事项汇总表!$D$7:$D$10020,"账项调整",调整事项汇总表!$E$7:$E$10020,IF(OR(MID(TRIM($A170),2,1)="：",MID(TRIM($A170),2,1)="、"),REPLACEB(TRIM($A170),1,4,""),TRIM($A170)))</f>
        <v>0</v>
      </c>
      <c r="D170" s="810">
        <f>SUMIFS(调整事项汇总表!$J$7:$J$10020,调整事项汇总表!$D$7:$D$10020,"账项调整",调整事项汇总表!$E$7:$E$10020,IF(OR(MID(TRIM($A170),2,1)="：",MID(TRIM($A170),2,1)="、"),REPLACEB(TRIM($A170),1,4,""),TRIM($A170)))</f>
        <v>0</v>
      </c>
      <c r="E170" s="810">
        <f>SUMIFS(调整事项汇总表!$I$7:$I$10020,调整事项汇总表!$D$7:$D$10020,"报表调整",调整事项汇总表!$E$7:$E$10020,IF(OR(MID(TRIM($A170),2,1)="：",MID(TRIM($A170),2,1)="、"),REPLACEB(TRIM($A170),1,4,""),TRIM($A170)))</f>
        <v>0</v>
      </c>
      <c r="F170" s="810">
        <f>SUMIFS(调整事项汇总表!$J$7:$J$10020,调整事项汇总表!$D$7:$D$10020,"报表调整",调整事项汇总表!$E$7:$E$10020,IF(OR(MID(TRIM($A170),2,1)="：",MID(TRIM($A170),2,1)="、"),REPLACEB(TRIM($A170),1,4,""),TRIM($A170)))</f>
        <v>0</v>
      </c>
      <c r="G170" s="810">
        <f>SUMIFS(调整事项汇总表!$I$7:$I$10020,调整事项汇总表!$D$7:$D$10020,"其他",调整事项汇总表!$E$7:$E$10020,IF(OR(MID(TRIM($A170),2,1)="：",MID(TRIM($A170),2,1)="、"),REPLACEB(TRIM($A170),1,4,""),TRIM($A170)))</f>
        <v>0</v>
      </c>
      <c r="H170" s="810">
        <f>SUMIFS(调整事项汇总表!$J$7:$J$10020,调整事项汇总表!$D$7:$D$10020,"其他",调整事项汇总表!$E$7:$E$10020,IF(OR(MID(TRIM($A170),2,1)="：",MID(TRIM($A170),2,1)="、"),REPLACEB(TRIM($A170),1,4,""),TRIM($A170)))</f>
        <v>0</v>
      </c>
      <c r="I170" s="811">
        <f t="shared" si="44"/>
        <v>0</v>
      </c>
      <c r="J170" s="38" t="b">
        <f>A170=未审报表!A170</f>
        <v>1</v>
      </c>
      <c r="K170" s="75" t="b">
        <f>审定报表!A170=TB!A170</f>
        <v>1</v>
      </c>
    </row>
    <row r="171" spans="1:11">
      <c r="A171" s="809" t="str">
        <f>未审报表!A171</f>
        <v>其他非流动负债</v>
      </c>
      <c r="B171" s="810">
        <f>未审报表!C171</f>
        <v>0</v>
      </c>
      <c r="C171" s="810">
        <f>SUMIFS(调整事项汇总表!$I$7:$I$10020,调整事项汇总表!$D$7:$D$10020,"账项调整",调整事项汇总表!$E$7:$E$10020,IF(OR(MID(TRIM($A171),2,1)="：",MID(TRIM($A171),2,1)="、"),REPLACEB(TRIM($A171),1,4,""),TRIM($A171)))</f>
        <v>0</v>
      </c>
      <c r="D171" s="810">
        <f>SUMIFS(调整事项汇总表!$J$7:$J$10020,调整事项汇总表!$D$7:$D$10020,"账项调整",调整事项汇总表!$E$7:$E$10020,IF(OR(MID(TRIM($A171),2,1)="：",MID(TRIM($A171),2,1)="、"),REPLACEB(TRIM($A171),1,4,""),TRIM($A171)))</f>
        <v>0</v>
      </c>
      <c r="E171" s="810">
        <f>SUMIFS(调整事项汇总表!$I$7:$I$10020,调整事项汇总表!$D$7:$D$10020,"报表调整",调整事项汇总表!$E$7:$E$10020,IF(OR(MID(TRIM($A171),2,1)="：",MID(TRIM($A171),2,1)="、"),REPLACEB(TRIM($A171),1,4,""),TRIM($A171)))</f>
        <v>0</v>
      </c>
      <c r="F171" s="810">
        <f>SUMIFS(调整事项汇总表!$J$7:$J$10020,调整事项汇总表!$D$7:$D$10020,"报表调整",调整事项汇总表!$E$7:$E$10020,IF(OR(MID(TRIM($A171),2,1)="：",MID(TRIM($A171),2,1)="、"),REPLACEB(TRIM($A171),1,4,""),TRIM($A171)))</f>
        <v>0</v>
      </c>
      <c r="G171" s="810">
        <f>SUMIFS(调整事项汇总表!$I$7:$I$10020,调整事项汇总表!$D$7:$D$10020,"其他",调整事项汇总表!$E$7:$E$10020,IF(OR(MID(TRIM($A171),2,1)="：",MID(TRIM($A171),2,1)="、"),REPLACEB(TRIM($A171),1,4,""),TRIM($A171)))</f>
        <v>0</v>
      </c>
      <c r="H171" s="810">
        <f>SUMIFS(调整事项汇总表!$J$7:$J$10020,调整事项汇总表!$D$7:$D$10020,"其他",调整事项汇总表!$E$7:$E$10020,IF(OR(MID(TRIM($A171),2,1)="：",MID(TRIM($A171),2,1)="、"),REPLACEB(TRIM($A171),1,4,""),TRIM($A171)))</f>
        <v>0</v>
      </c>
      <c r="I171" s="811">
        <f t="shared" si="44"/>
        <v>0</v>
      </c>
      <c r="J171" s="38" t="b">
        <f>A171=未审报表!A171</f>
        <v>1</v>
      </c>
      <c r="K171" s="75" t="b">
        <f>审定报表!A171=TB!A171</f>
        <v>1</v>
      </c>
    </row>
    <row r="172" spans="1:11">
      <c r="A172" s="809" t="str">
        <f>未审报表!A172</f>
        <v xml:space="preserve"> 其中：特准储备基金</v>
      </c>
      <c r="B172" s="810">
        <f>未审报表!C172</f>
        <v>0</v>
      </c>
      <c r="C172" s="810"/>
      <c r="D172" s="810"/>
      <c r="E172" s="810"/>
      <c r="F172" s="810"/>
      <c r="G172" s="810"/>
      <c r="H172" s="810"/>
      <c r="I172" s="811">
        <f t="shared" si="44"/>
        <v>0</v>
      </c>
      <c r="J172" s="38" t="b">
        <f>A172=未审报表!A172</f>
        <v>1</v>
      </c>
      <c r="K172" s="75" t="b">
        <f>审定报表!A172=TB!A172</f>
        <v>1</v>
      </c>
    </row>
    <row r="173" spans="1:11">
      <c r="A173" s="805" t="str">
        <f>未审报表!A173</f>
        <v>非流动负债合计</v>
      </c>
      <c r="B173" s="812">
        <f>未审报表!C173</f>
        <v>0</v>
      </c>
      <c r="C173" s="826">
        <f>SUM(C159:C161,C164:C171)</f>
        <v>0</v>
      </c>
      <c r="D173" s="826">
        <f t="shared" ref="D173:H173" si="45">SUM(D159:D161,D164:D171)</f>
        <v>0</v>
      </c>
      <c r="E173" s="826">
        <f t="shared" si="45"/>
        <v>0</v>
      </c>
      <c r="F173" s="826">
        <f t="shared" si="45"/>
        <v>0</v>
      </c>
      <c r="G173" s="826">
        <f t="shared" si="45"/>
        <v>0</v>
      </c>
      <c r="H173" s="826">
        <f t="shared" si="45"/>
        <v>0</v>
      </c>
      <c r="I173" s="814">
        <f t="shared" si="44"/>
        <v>0</v>
      </c>
      <c r="J173" s="38" t="b">
        <f>A173=未审报表!A173</f>
        <v>1</v>
      </c>
      <c r="K173" s="75" t="b">
        <f>审定报表!A173=TB!A173</f>
        <v>1</v>
      </c>
    </row>
    <row r="174" spans="1:11">
      <c r="A174" s="805" t="str">
        <f>未审报表!A174</f>
        <v>负 债 合 计</v>
      </c>
      <c r="B174" s="812">
        <f>未审报表!C174</f>
        <v>20514110.34</v>
      </c>
      <c r="C174" s="826">
        <f>SUM(C158,C173)</f>
        <v>5000</v>
      </c>
      <c r="D174" s="826">
        <f t="shared" ref="D174:H174" si="46">SUM(D158,D173)</f>
        <v>4592827.4399999995</v>
      </c>
      <c r="E174" s="826">
        <f t="shared" si="46"/>
        <v>0</v>
      </c>
      <c r="F174" s="826">
        <f t="shared" si="46"/>
        <v>0</v>
      </c>
      <c r="G174" s="826">
        <f t="shared" si="46"/>
        <v>0</v>
      </c>
      <c r="H174" s="826">
        <f t="shared" si="46"/>
        <v>0</v>
      </c>
      <c r="I174" s="814">
        <f t="shared" si="44"/>
        <v>25101937.780000001</v>
      </c>
      <c r="J174" s="38" t="b">
        <f>A174=未审报表!A174</f>
        <v>1</v>
      </c>
      <c r="K174" s="75" t="b">
        <f>审定报表!A174=TB!A174</f>
        <v>1</v>
      </c>
    </row>
    <row r="175" spans="1:11">
      <c r="A175" s="809" t="str">
        <f>未审报表!A175</f>
        <v>股东权益：</v>
      </c>
      <c r="B175" s="816"/>
      <c r="C175" s="816"/>
      <c r="D175" s="816"/>
      <c r="E175" s="816"/>
      <c r="F175" s="816"/>
      <c r="G175" s="816"/>
      <c r="H175" s="816"/>
      <c r="I175" s="817"/>
      <c r="J175" s="38" t="b">
        <f>A175=未审报表!A175</f>
        <v>1</v>
      </c>
      <c r="K175" s="75" t="b">
        <f>审定报表!A175=TB!A175</f>
        <v>1</v>
      </c>
    </row>
    <row r="176" spans="1:11">
      <c r="A176" s="809" t="str">
        <f>未审报表!A176</f>
        <v>实收资本（或股本）</v>
      </c>
      <c r="B176" s="810">
        <f>未审报表!C176</f>
        <v>51350000</v>
      </c>
      <c r="C176" s="810">
        <f>SUMIFS(调整事项汇总表!$I$7:$I$10020,调整事项汇总表!$D$7:$D$10020,"账项调整",调整事项汇总表!$E$7:$E$10020,IF(OR(MID(TRIM($A176),2,1)="：",MID(TRIM($A176),2,1)="、"),REPLACEB(TRIM($A176),1,4,""),TRIM($A176)))</f>
        <v>0</v>
      </c>
      <c r="D176" s="810">
        <f>SUMIFS(调整事项汇总表!$J$7:$J$10020,调整事项汇总表!$D$7:$D$10020,"账项调整",调整事项汇总表!$E$7:$E$10020,IF(OR(MID(TRIM($A176),2,1)="：",MID(TRIM($A176),2,1)="、"),REPLACEB(TRIM($A176),1,4,""),TRIM($A176)))</f>
        <v>3000000</v>
      </c>
      <c r="E176" s="810">
        <f>SUMIFS(调整事项汇总表!$I$7:$I$10020,调整事项汇总表!$D$7:$D$10020,"报表调整",调整事项汇总表!$E$7:$E$10020,IF(OR(MID(TRIM($A176),2,1)="：",MID(TRIM($A176),2,1)="、"),REPLACEB(TRIM($A176),1,4,""),TRIM($A176)))</f>
        <v>0</v>
      </c>
      <c r="F176" s="810">
        <f>SUMIFS(调整事项汇总表!$J$7:$J$10020,调整事项汇总表!$D$7:$D$10020,"报表调整",调整事项汇总表!$E$7:$E$10020,IF(OR(MID(TRIM($A176),2,1)="：",MID(TRIM($A176),2,1)="、"),REPLACEB(TRIM($A176),1,4,""),TRIM($A176)))</f>
        <v>0</v>
      </c>
      <c r="G176" s="810">
        <f>SUMIFS(调整事项汇总表!$I$7:$I$10020,调整事项汇总表!$D$7:$D$10020,"其他",调整事项汇总表!$E$7:$E$10020,IF(OR(MID(TRIM($A176),2,1)="：",MID(TRIM($A176),2,1)="、"),REPLACEB(TRIM($A176),1,4,""),TRIM($A176)))</f>
        <v>0</v>
      </c>
      <c r="H176" s="810">
        <f>SUMIFS(调整事项汇总表!$J$7:$J$10020,调整事项汇总表!$D$7:$D$10020,"其他",调整事项汇总表!$E$7:$E$10020,IF(OR(MID(TRIM($A176),2,1)="：",MID(TRIM($A176),2,1)="、"),REPLACEB(TRIM($A176),1,4,""),TRIM($A176)))</f>
        <v>0</v>
      </c>
      <c r="I176" s="811">
        <f>B176+D176+F176+H176-G176-E176-C176</f>
        <v>54350000</v>
      </c>
      <c r="J176" s="38" t="b">
        <f>A176=未审报表!A176</f>
        <v>1</v>
      </c>
      <c r="K176" s="75" t="b">
        <f>审定报表!A176=TB!A176</f>
        <v>1</v>
      </c>
    </row>
    <row r="177" spans="1:15">
      <c r="A177" s="809" t="str">
        <f>未审报表!A177</f>
        <v>其他权益工具</v>
      </c>
      <c r="B177" s="810">
        <f>未审报表!C177</f>
        <v>0</v>
      </c>
      <c r="C177" s="810">
        <f>SUMIFS(调整事项汇总表!$I$7:$I$10020,调整事项汇总表!$D$7:$D$10020,"账项调整",调整事项汇总表!$E$7:$E$10020,IF(OR(MID(TRIM($A177),2,1)="：",MID(TRIM($A177),2,1)="、"),REPLACEB(TRIM($A177),1,4,""),TRIM($A177)))</f>
        <v>0</v>
      </c>
      <c r="D177" s="810">
        <f>SUMIFS(调整事项汇总表!$J$7:$J$10020,调整事项汇总表!$D$7:$D$10020,"账项调整",调整事项汇总表!$E$7:$E$10020,IF(OR(MID(TRIM($A177),2,1)="：",MID(TRIM($A177),2,1)="、"),REPLACEB(TRIM($A177),1,4,""),TRIM($A177)))</f>
        <v>0</v>
      </c>
      <c r="E177" s="810">
        <f>SUMIFS(调整事项汇总表!$I$7:$I$10020,调整事项汇总表!$D$7:$D$10020,"报表调整",调整事项汇总表!$E$7:$E$10020,IF(OR(MID(TRIM($A177),2,1)="：",MID(TRIM($A177),2,1)="、"),REPLACEB(TRIM($A177),1,4,""),TRIM($A177)))</f>
        <v>0</v>
      </c>
      <c r="F177" s="810">
        <f>SUMIFS(调整事项汇总表!$J$7:$J$10020,调整事项汇总表!$D$7:$D$10020,"报表调整",调整事项汇总表!$E$7:$E$10020,IF(OR(MID(TRIM($A177),2,1)="：",MID(TRIM($A177),2,1)="、"),REPLACEB(TRIM($A177),1,4,""),TRIM($A177)))</f>
        <v>0</v>
      </c>
      <c r="G177" s="810">
        <f>SUMIFS(调整事项汇总表!$I$7:$I$10020,调整事项汇总表!$D$7:$D$10020,"其他",调整事项汇总表!$E$7:$E$10020,IF(OR(MID(TRIM($A177),2,1)="：",MID(TRIM($A177),2,1)="、"),REPLACEB(TRIM($A177),1,4,""),TRIM($A177)))</f>
        <v>0</v>
      </c>
      <c r="H177" s="810">
        <f>SUMIFS(调整事项汇总表!$J$7:$J$10020,调整事项汇总表!$D$7:$D$10020,"其他",调整事项汇总表!$E$7:$E$10020,IF(OR(MID(TRIM($A177),2,1)="：",MID(TRIM($A177),2,1)="、"),REPLACEB(TRIM($A177),1,4,""),TRIM($A177)))</f>
        <v>0</v>
      </c>
      <c r="I177" s="811">
        <f t="shared" ref="I177:I190" si="47">B177+D177+F177+H177-G177-E177-C177</f>
        <v>0</v>
      </c>
      <c r="J177" s="38" t="b">
        <f>A177=未审报表!A177</f>
        <v>1</v>
      </c>
      <c r="K177" s="75" t="b">
        <f>审定报表!A177=TB!A177</f>
        <v>1</v>
      </c>
    </row>
    <row r="178" spans="1:15">
      <c r="A178" s="809" t="str">
        <f>未审报表!A178</f>
        <v xml:space="preserve">  其中：优先股</v>
      </c>
      <c r="B178" s="810">
        <f>未审报表!C178</f>
        <v>0</v>
      </c>
      <c r="C178" s="810">
        <f>SUMIFS(调整事项汇总表!$I$7:$I$10020,调整事项汇总表!$D$7:$D$10020,"账项调整",调整事项汇总表!$E$7:$E$10020,"其他权益工具",调整事项汇总表!$F$7:$F$10020,IF(OR(MID(TRIM($A178),3,1)="：",MID(TRIM($A178),2,1)="、"),REPLACEB(TRIM($A178),1,6,""),TRIM($A178)))</f>
        <v>0</v>
      </c>
      <c r="D178" s="810">
        <f>SUMIFS(调整事项汇总表!$J$7:$J$10020,调整事项汇总表!$D$7:$D$10020,"账项调整",调整事项汇总表!$E$7:$E$10020,"其他权益工具",调整事项汇总表!$F$7:$F$10020,IF(OR(MID(TRIM($A178),3,1)="：",MID(TRIM($A178),2,1)="、"),REPLACEB(TRIM($A178),1,6,""),TRIM($A178)))</f>
        <v>0</v>
      </c>
      <c r="E178" s="810">
        <f>SUMIFS(调整事项汇总表!$I$7:$I$10020,调整事项汇总表!$D$7:$D$10020,"报表调整",调整事项汇总表!$E$7:$E$10020,"其他权益工具",调整事项汇总表!$F$7:$F$10020,IF(OR(MID(TRIM($A178),3,1)="：",MID(TRIM($A178),2,1)="、"),REPLACEB(TRIM($A178),1,6,""),TRIM($A178)))</f>
        <v>0</v>
      </c>
      <c r="F178" s="810">
        <f>SUMIFS(调整事项汇总表!$J$7:$J$10020,调整事项汇总表!$D$7:$D$10020,"报表调整",调整事项汇总表!$E$7:$E$10020,"其他权益工具",调整事项汇总表!$F$7:$F$10020,IF(OR(MID(TRIM($A178),3,1)="：",MID(TRIM($A178),2,1)="、"),REPLACEB(TRIM($A178),1,6,""),TRIM($A178)))</f>
        <v>0</v>
      </c>
      <c r="G178" s="810">
        <f>SUMIFS(调整事项汇总表!$I$7:$I$10020,调整事项汇总表!$D$7:$D$10020,"其他",调整事项汇总表!$E$7:$E$10020,"其他权益工具",调整事项汇总表!$F$7:$F$10020,IF(OR(MID(TRIM($A178),3,1)="：",MID(TRIM($A178),2,1)="、"),REPLACEB(TRIM($A178),1,6,""),TRIM($A178)))</f>
        <v>0</v>
      </c>
      <c r="H178" s="810">
        <f>SUMIFS(调整事项汇总表!$J$7:$J$10020,调整事项汇总表!$D$7:$D$10020,"其他",调整事项汇总表!$E$7:$E$10020,"其他权益工具",调整事项汇总表!$F$7:$F$10020,IF(OR(MID(TRIM($A178),3,1)="：",MID(TRIM($A178),2,1)="、"),REPLACEB(TRIM($A178),1,6,""),TRIM($A178)))</f>
        <v>0</v>
      </c>
      <c r="I178" s="811">
        <f t="shared" si="47"/>
        <v>0</v>
      </c>
      <c r="J178" s="38" t="b">
        <f>A178=未审报表!A178</f>
        <v>1</v>
      </c>
      <c r="K178" s="75" t="b">
        <f>审定报表!A178=TB!A178</f>
        <v>1</v>
      </c>
    </row>
    <row r="179" spans="1:15">
      <c r="A179" s="809" t="str">
        <f>未审报表!A179</f>
        <v xml:space="preserve">        永续债</v>
      </c>
      <c r="B179" s="810">
        <f>未审报表!C179</f>
        <v>0</v>
      </c>
      <c r="C179" s="810">
        <f>SUMIFS(调整事项汇总表!$I$7:$I$10020,调整事项汇总表!$D$7:$D$10020,"账项调整",调整事项汇总表!$E$7:$E$10020,"其他权益工具",调整事项汇总表!$F$7:$F$10020,IF(OR(MID(TRIM($A179),3,1)="：",MID(TRIM($A179),2,1)="、"),REPLACEB(TRIM($A179),1,6,""),TRIM($A179)))</f>
        <v>0</v>
      </c>
      <c r="D179" s="810">
        <f>SUMIFS(调整事项汇总表!$J$7:$J$10020,调整事项汇总表!$D$7:$D$10020,"账项调整",调整事项汇总表!$E$7:$E$10020,"其他权益工具",调整事项汇总表!$F$7:$F$10020,IF(OR(MID(TRIM($A179),3,1)="：",MID(TRIM($A179),2,1)="、"),REPLACEB(TRIM($A179),1,6,""),TRIM($A179)))</f>
        <v>0</v>
      </c>
      <c r="E179" s="810">
        <f>SUMIFS(调整事项汇总表!$I$7:$I$10020,调整事项汇总表!$D$7:$D$10020,"报表调整",调整事项汇总表!$E$7:$E$10020,"其他权益工具",调整事项汇总表!$F$7:$F$10020,IF(OR(MID(TRIM($A179),3,1)="：",MID(TRIM($A179),2,1)="、"),REPLACEB(TRIM($A179),1,6,""),TRIM($A179)))</f>
        <v>0</v>
      </c>
      <c r="F179" s="810">
        <f>SUMIFS(调整事项汇总表!$J$7:$J$10020,调整事项汇总表!$D$7:$D$10020,"报表调整",调整事项汇总表!$E$7:$E$10020,"其他权益工具",调整事项汇总表!$F$7:$F$10020,IF(OR(MID(TRIM($A179),3,1)="：",MID(TRIM($A179),2,1)="、"),REPLACEB(TRIM($A179),1,6,""),TRIM($A179)))</f>
        <v>0</v>
      </c>
      <c r="G179" s="810">
        <f>SUMIFS(调整事项汇总表!$I$7:$I$10020,调整事项汇总表!$D$7:$D$10020,"其他",调整事项汇总表!$E$7:$E$10020,"其他权益工具",调整事项汇总表!$F$7:$F$10020,IF(OR(MID(TRIM($A179),3,1)="：",MID(TRIM($A179),2,1)="、"),REPLACEB(TRIM($A179),1,6,""),TRIM($A179)))</f>
        <v>0</v>
      </c>
      <c r="H179" s="810">
        <f>SUMIFS(调整事项汇总表!$J$7:$J$10020,调整事项汇总表!$D$7:$D$10020,"其他",调整事项汇总表!$E$7:$E$10020,"其他权益工具",调整事项汇总表!$F$7:$F$10020,IF(OR(MID(TRIM($A179),3,1)="：",MID(TRIM($A179),2,1)="、"),REPLACEB(TRIM($A179),1,6,""),TRIM($A179)))</f>
        <v>0</v>
      </c>
      <c r="I179" s="811">
        <f t="shared" si="47"/>
        <v>0</v>
      </c>
      <c r="J179" s="38" t="b">
        <f>A179=未审报表!A179</f>
        <v>1</v>
      </c>
      <c r="K179" s="75" t="b">
        <f>审定报表!A179=TB!A179</f>
        <v>1</v>
      </c>
    </row>
    <row r="180" spans="1:15">
      <c r="A180" s="809" t="str">
        <f>未审报表!A180</f>
        <v>资本公积</v>
      </c>
      <c r="B180" s="810">
        <f>未审报表!C180</f>
        <v>2953786.8</v>
      </c>
      <c r="C180" s="810">
        <f>SUMIFS(调整事项汇总表!$I$7:$I$10020,调整事项汇总表!$D$7:$D$10020,"账项调整",调整事项汇总表!$E$7:$E$10020,IF(OR(MID(TRIM($A180),2,1)="：",MID(TRIM($A180),2,1)="、"),REPLACEB(TRIM($A180),1,4,""),TRIM($A180)))</f>
        <v>0</v>
      </c>
      <c r="D180" s="810">
        <f>SUMIFS(调整事项汇总表!$J$7:$J$10020,调整事项汇总表!$D$7:$D$10020,"账项调整",调整事项汇总表!$E$7:$E$10020,IF(OR(MID(TRIM($A180),2,1)="：",MID(TRIM($A180),2,1)="、"),REPLACEB(TRIM($A180),1,4,""),TRIM($A180)))</f>
        <v>6000000</v>
      </c>
      <c r="E180" s="810">
        <f>SUMIFS(调整事项汇总表!$I$7:$I$10020,调整事项汇总表!$D$7:$D$10020,"报表调整",调整事项汇总表!$E$7:$E$10020,IF(OR(MID(TRIM($A180),2,1)="：",MID(TRIM($A180),2,1)="、"),REPLACEB(TRIM($A180),1,4,""),TRIM($A180)))</f>
        <v>0</v>
      </c>
      <c r="F180" s="810">
        <f>SUMIFS(调整事项汇总表!$J$7:$J$10020,调整事项汇总表!$D$7:$D$10020,"报表调整",调整事项汇总表!$E$7:$E$10020,IF(OR(MID(TRIM($A180),2,1)="：",MID(TRIM($A180),2,1)="、"),REPLACEB(TRIM($A180),1,4,""),TRIM($A180)))</f>
        <v>0</v>
      </c>
      <c r="G180" s="810">
        <f>SUMIFS(调整事项汇总表!$I$7:$I$10020,调整事项汇总表!$D$7:$D$10020,"其他",调整事项汇总表!$E$7:$E$10020,IF(OR(MID(TRIM($A180),2,1)="：",MID(TRIM($A180),2,1)="、"),REPLACEB(TRIM($A180),1,4,""),TRIM($A180)))</f>
        <v>0</v>
      </c>
      <c r="H180" s="810">
        <f>SUMIFS(调整事项汇总表!$J$7:$J$10020,调整事项汇总表!$D$7:$D$10020,"其他",调整事项汇总表!$E$7:$E$10020,IF(OR(MID(TRIM($A180),2,1)="：",MID(TRIM($A180),2,1)="、"),REPLACEB(TRIM($A180),1,4,""),TRIM($A180)))</f>
        <v>0</v>
      </c>
      <c r="I180" s="811">
        <f t="shared" si="47"/>
        <v>8953786.8000000007</v>
      </c>
      <c r="J180" s="38" t="b">
        <f>A180=未审报表!A180</f>
        <v>1</v>
      </c>
      <c r="K180" s="75" t="b">
        <f>审定报表!A180=TB!A180</f>
        <v>1</v>
      </c>
    </row>
    <row r="181" spans="1:15">
      <c r="A181" s="809" t="str">
        <f>未审报表!A181</f>
        <v>减：库存股</v>
      </c>
      <c r="B181" s="810">
        <f>未审报表!C181</f>
        <v>0</v>
      </c>
      <c r="C181" s="810">
        <f>SUMIFS(调整事项汇总表!$I$7:$I$10020,调整事项汇总表!$D$7:$D$10020,"账项调整",调整事项汇总表!$E$7:$E$10020,IF(OR(MID(TRIM($A181),2,1)="：",MID(TRIM($A181),2,1)="、"),REPLACEB(TRIM($A181),1,4,""),TRIM($A181)))</f>
        <v>0</v>
      </c>
      <c r="D181" s="810">
        <f>SUMIFS(调整事项汇总表!$J$7:$J$10020,调整事项汇总表!$D$7:$D$10020,"账项调整",调整事项汇总表!$E$7:$E$10020,IF(OR(MID(TRIM($A181),2,1)="：",MID(TRIM($A181),2,1)="、"),REPLACEB(TRIM($A181),1,4,""),TRIM($A181)))</f>
        <v>0</v>
      </c>
      <c r="E181" s="810">
        <f>SUMIFS(调整事项汇总表!$I$7:$I$10020,调整事项汇总表!$D$7:$D$10020,"报表调整",调整事项汇总表!$E$7:$E$10020,IF(OR(MID(TRIM($A181),2,1)="：",MID(TRIM($A181),2,1)="、"),REPLACEB(TRIM($A181),1,4,""),TRIM($A181)))</f>
        <v>0</v>
      </c>
      <c r="F181" s="810">
        <f>SUMIFS(调整事项汇总表!$J$7:$J$10020,调整事项汇总表!$D$7:$D$10020,"报表调整",调整事项汇总表!$E$7:$E$10020,IF(OR(MID(TRIM($A181),2,1)="：",MID(TRIM($A181),2,1)="、"),REPLACEB(TRIM($A181),1,4,""),TRIM($A181)))</f>
        <v>0</v>
      </c>
      <c r="G181" s="810">
        <f>SUMIFS(调整事项汇总表!$I$7:$I$10020,调整事项汇总表!$D$7:$D$10020,"其他",调整事项汇总表!$E$7:$E$10020,IF(OR(MID(TRIM($A181),2,1)="：",MID(TRIM($A181),2,1)="、"),REPLACEB(TRIM($A181),1,4,""),TRIM($A181)))</f>
        <v>0</v>
      </c>
      <c r="H181" s="810">
        <f>SUMIFS(调整事项汇总表!$J$7:$J$10020,调整事项汇总表!$D$7:$D$10020,"其他",调整事项汇总表!$E$7:$E$10020,IF(OR(MID(TRIM($A181),2,1)="：",MID(TRIM($A181),2,1)="、"),REPLACEB(TRIM($A181),1,4,""),TRIM($A181)))</f>
        <v>0</v>
      </c>
      <c r="I181" s="811">
        <f t="shared" si="47"/>
        <v>0</v>
      </c>
      <c r="J181" s="38" t="b">
        <f>A181=未审报表!A181</f>
        <v>1</v>
      </c>
      <c r="K181" s="75" t="b">
        <f>审定报表!A181=TB!A181</f>
        <v>1</v>
      </c>
    </row>
    <row r="182" spans="1:15">
      <c r="A182" s="809" t="str">
        <f>未审报表!A182</f>
        <v>其他综合收益</v>
      </c>
      <c r="B182" s="810">
        <f>未审报表!C182</f>
        <v>0</v>
      </c>
      <c r="C182" s="810">
        <f>SUMIFS(调整事项汇总表!$I$7:$I$10020,调整事项汇总表!$D$7:$D$10020,"账项调整",调整事项汇总表!$E$7:$E$10020,IF(OR(MID(TRIM($A182),2,1)="：",MID(TRIM($A182),2,1)="、"),REPLACEB(TRIM($A182),1,4,""),TRIM($A182)))</f>
        <v>0</v>
      </c>
      <c r="D182" s="810">
        <f>SUMIFS(调整事项汇总表!$J$7:$J$10020,调整事项汇总表!$D$7:$D$10020,"账项调整",调整事项汇总表!$E$7:$E$10020,IF(OR(MID(TRIM($A182),2,1)="：",MID(TRIM($A182),2,1)="、"),REPLACEB(TRIM($A182),1,4,""),TRIM($A182)))</f>
        <v>0</v>
      </c>
      <c r="E182" s="810">
        <f>SUMIFS(调整事项汇总表!$I$7:$I$10020,调整事项汇总表!$D$7:$D$10020,"报表调整",调整事项汇总表!$E$7:$E$10020,IF(OR(MID(TRIM($A182),2,1)="：",MID(TRIM($A182),2,1)="、"),REPLACEB(TRIM($A182),1,4,""),TRIM($A182)))</f>
        <v>0</v>
      </c>
      <c r="F182" s="810">
        <f>SUMIFS(调整事项汇总表!$J$7:$J$10020,调整事项汇总表!$D$7:$D$10020,"报表调整",调整事项汇总表!$E$7:$E$10020,IF(OR(MID(TRIM($A182),2,1)="：",MID(TRIM($A182),2,1)="、"),REPLACEB(TRIM($A182),1,4,""),TRIM($A182)))</f>
        <v>0</v>
      </c>
      <c r="G182" s="810">
        <f>SUMIFS(调整事项汇总表!$I$7:$I$10020,调整事项汇总表!$D$7:$D$10020,"其他",调整事项汇总表!$E$7:$E$10020,IF(OR(MID(TRIM($A182),2,1)="：",MID(TRIM($A182),2,1)="、"),REPLACEB(TRIM($A182),1,4,""),TRIM($A182)))</f>
        <v>0</v>
      </c>
      <c r="H182" s="810">
        <f>SUMIFS(调整事项汇总表!$J$7:$J$10020,调整事项汇总表!$D$7:$D$10020,"其他",调整事项汇总表!$E$7:$E$10020,IF(OR(MID(TRIM($A182),2,1)="：",MID(TRIM($A182),2,1)="、"),REPLACEB(TRIM($A182),1,4,""),TRIM($A182)))</f>
        <v>0</v>
      </c>
      <c r="I182" s="811">
        <f t="shared" si="47"/>
        <v>0</v>
      </c>
      <c r="J182" s="38" t="b">
        <f>A182=未审报表!A182</f>
        <v>1</v>
      </c>
      <c r="K182" s="75" t="b">
        <f>审定报表!A182=TB!A182</f>
        <v>1</v>
      </c>
    </row>
    <row r="183" spans="1:15">
      <c r="A183" s="809" t="str">
        <f>未审报表!A183</f>
        <v>专项储备</v>
      </c>
      <c r="B183" s="810">
        <f>未审报表!C183</f>
        <v>0</v>
      </c>
      <c r="C183" s="810">
        <f>SUMIFS(调整事项汇总表!$I$7:$I$10020,调整事项汇总表!$D$7:$D$10020,"账项调整",调整事项汇总表!$E$7:$E$10020,IF(OR(MID(TRIM($A183),2,1)="：",MID(TRIM($A183),2,1)="、"),REPLACEB(TRIM($A183),1,4,""),TRIM($A183)))</f>
        <v>0</v>
      </c>
      <c r="D183" s="810">
        <f>SUMIFS(调整事项汇总表!$J$7:$J$10020,调整事项汇总表!$D$7:$D$10020,"账项调整",调整事项汇总表!$E$7:$E$10020,IF(OR(MID(TRIM($A183),2,1)="：",MID(TRIM($A183),2,1)="、"),REPLACEB(TRIM($A183),1,4,""),TRIM($A183)))</f>
        <v>0</v>
      </c>
      <c r="E183" s="810">
        <f>SUMIFS(调整事项汇总表!$I$7:$I$10020,调整事项汇总表!$D$7:$D$10020,"报表调整",调整事项汇总表!$E$7:$E$10020,IF(OR(MID(TRIM($A183),2,1)="：",MID(TRIM($A183),2,1)="、"),REPLACEB(TRIM($A183),1,4,""),TRIM($A183)))</f>
        <v>0</v>
      </c>
      <c r="F183" s="810">
        <f>SUMIFS(调整事项汇总表!$J$7:$J$10020,调整事项汇总表!$D$7:$D$10020,"报表调整",调整事项汇总表!$E$7:$E$10020,IF(OR(MID(TRIM($A183),2,1)="：",MID(TRIM($A183),2,1)="、"),REPLACEB(TRIM($A183),1,4,""),TRIM($A183)))</f>
        <v>0</v>
      </c>
      <c r="G183" s="810">
        <f>SUMIFS(调整事项汇总表!$I$7:$I$10020,调整事项汇总表!$D$7:$D$10020,"其他",调整事项汇总表!$E$7:$E$10020,IF(OR(MID(TRIM($A183),2,1)="：",MID(TRIM($A183),2,1)="、"),REPLACEB(TRIM($A183),1,4,""),TRIM($A183)))</f>
        <v>0</v>
      </c>
      <c r="H183" s="810">
        <f>SUMIFS(调整事项汇总表!$J$7:$J$10020,调整事项汇总表!$D$7:$D$10020,"其他",调整事项汇总表!$E$7:$E$10020,IF(OR(MID(TRIM($A183),2,1)="：",MID(TRIM($A183),2,1)="、"),REPLACEB(TRIM($A183),1,4,""),TRIM($A183)))</f>
        <v>0</v>
      </c>
      <c r="I183" s="811">
        <f t="shared" si="47"/>
        <v>0</v>
      </c>
      <c r="J183" s="38" t="b">
        <f>A183=未审报表!A183</f>
        <v>1</v>
      </c>
      <c r="K183" s="75" t="b">
        <f>审定报表!A183=TB!A183</f>
        <v>1</v>
      </c>
    </row>
    <row r="184" spans="1:15">
      <c r="A184" s="809" t="str">
        <f>未审报表!A184</f>
        <v>盈余公积</v>
      </c>
      <c r="B184" s="810">
        <f>未审报表!C184</f>
        <v>907107.19</v>
      </c>
      <c r="C184" s="810">
        <f>SUMIFS(调整事项汇总表!$I$7:$I$10020,调整事项汇总表!$D$7:$D$10020,"账项调整",调整事项汇总表!$E$7:$E$10020,IF(OR(MID(TRIM($A184),2,1)="：",MID(TRIM($A184),2,1)="、"),REPLACEB(TRIM($A184),1,4,""),TRIM($A184)))</f>
        <v>0</v>
      </c>
      <c r="D184" s="810">
        <f>SUMIFS(调整事项汇总表!$J$7:$J$10020,调整事项汇总表!$D$7:$D$10020,"账项调整",调整事项汇总表!$E$7:$E$10020,IF(OR(MID(TRIM($A184),2,1)="：",MID(TRIM($A184),2,1)="、"),REPLACEB(TRIM($A184),1,4,""),TRIM($A184)))</f>
        <v>3217735.91</v>
      </c>
      <c r="E184" s="810">
        <f>SUMIFS(调整事项汇总表!$I$7:$I$10020,调整事项汇总表!$D$7:$D$10020,"报表调整",调整事项汇总表!$E$7:$E$10020,IF(OR(MID(TRIM($A184),2,1)="：",MID(TRIM($A184),2,1)="、"),REPLACEB(TRIM($A184),1,4,""),TRIM($A184)))</f>
        <v>0</v>
      </c>
      <c r="F184" s="810">
        <f>SUMIFS(调整事项汇总表!$J$7:$J$10020,调整事项汇总表!$D$7:$D$10020,"报表调整",调整事项汇总表!$E$7:$E$10020,IF(OR(MID(TRIM($A184),2,1)="：",MID(TRIM($A184),2,1)="、"),REPLACEB(TRIM($A184),1,4,""),TRIM($A184)))</f>
        <v>0</v>
      </c>
      <c r="G184" s="810">
        <f>SUMIFS(调整事项汇总表!$I$7:$I$10020,调整事项汇总表!$D$7:$D$10020,"其他",调整事项汇总表!$E$7:$E$10020,IF(OR(MID(TRIM($A184),2,1)="：",MID(TRIM($A184),2,1)="、"),REPLACEB(TRIM($A184),1,4,""),TRIM($A184)))</f>
        <v>0</v>
      </c>
      <c r="H184" s="810">
        <f>SUMIFS(调整事项汇总表!$J$7:$J$10020,调整事项汇总表!$D$7:$D$10020,"其他",调整事项汇总表!$E$7:$E$10020,IF(OR(MID(TRIM($A184),2,1)="：",MID(TRIM($A184),2,1)="、"),REPLACEB(TRIM($A184),1,4,""),TRIM($A184)))</f>
        <v>0</v>
      </c>
      <c r="I184" s="811">
        <f t="shared" si="47"/>
        <v>4124843.1</v>
      </c>
      <c r="J184" s="38" t="b">
        <f>A184=未审报表!A184</f>
        <v>1</v>
      </c>
      <c r="K184" s="75" t="b">
        <f>审定报表!A184=TB!A184</f>
        <v>1</v>
      </c>
    </row>
    <row r="185" spans="1:15">
      <c r="A185" s="809" t="str">
        <f>未审报表!A185</f>
        <v>一般风险准备*</v>
      </c>
      <c r="B185" s="810">
        <f>未审报表!C185</f>
        <v>0</v>
      </c>
      <c r="C185" s="810">
        <f>SUMIFS(调整事项汇总表!$I$7:$I$10020,调整事项汇总表!$D$7:$D$10020,"账项调整",调整事项汇总表!$E$7:$E$10020,IF(OR(MID(TRIM($A185),2,1)="：",MID(TRIM($A185),2,1)="、"),REPLACEB(TRIM($A185),1,4,""),TRIM($A185)))</f>
        <v>0</v>
      </c>
      <c r="D185" s="810">
        <f>SUMIFS(调整事项汇总表!$J$7:$J$10020,调整事项汇总表!$D$7:$D$10020,"账项调整",调整事项汇总表!$E$7:$E$10020,IF(OR(MID(TRIM($A185),2,1)="：",MID(TRIM($A185),2,1)="、"),REPLACEB(TRIM($A185),1,4,""),TRIM($A185)))</f>
        <v>0</v>
      </c>
      <c r="E185" s="810">
        <f>SUMIFS(调整事项汇总表!$I$7:$I$10020,调整事项汇总表!$D$7:$D$10020,"报表调整",调整事项汇总表!$E$7:$E$10020,IF(OR(MID(TRIM($A185),2,1)="：",MID(TRIM($A185),2,1)="、"),REPLACEB(TRIM($A185),1,4,""),TRIM($A185)))</f>
        <v>0</v>
      </c>
      <c r="F185" s="810">
        <f>SUMIFS(调整事项汇总表!$J$7:$J$10020,调整事项汇总表!$D$7:$D$10020,"报表调整",调整事项汇总表!$E$7:$E$10020,IF(OR(MID(TRIM($A185),2,1)="：",MID(TRIM($A185),2,1)="、"),REPLACEB(TRIM($A185),1,4,""),TRIM($A185)))</f>
        <v>0</v>
      </c>
      <c r="G185" s="810">
        <f>SUMIFS(调整事项汇总表!$I$7:$I$10020,调整事项汇总表!$D$7:$D$10020,"其他",调整事项汇总表!$E$7:$E$10020,IF(OR(MID(TRIM($A185),2,1)="：",MID(TRIM($A185),2,1)="、"),REPLACEB(TRIM($A185),1,4,""),TRIM($A185)))</f>
        <v>0</v>
      </c>
      <c r="H185" s="810">
        <f>SUMIFS(调整事项汇总表!$J$7:$J$10020,调整事项汇总表!$D$7:$D$10020,"其他",调整事项汇总表!$E$7:$E$10020,IF(OR(MID(TRIM($A185),2,1)="：",MID(TRIM($A185),2,1)="、"),REPLACEB(TRIM($A185),1,4,""),TRIM($A185)))</f>
        <v>0</v>
      </c>
      <c r="I185" s="811">
        <f t="shared" si="47"/>
        <v>0</v>
      </c>
      <c r="J185" s="38" t="b">
        <f>A185=未审报表!A185</f>
        <v>1</v>
      </c>
      <c r="K185" s="75" t="b">
        <f>审定报表!A185=TB!A185</f>
        <v>1</v>
      </c>
    </row>
    <row r="186" spans="1:15">
      <c r="A186" s="809" t="str">
        <f>未审报表!A186</f>
        <v>未分配利润</v>
      </c>
      <c r="B186" s="810">
        <f>未审报表!C186</f>
        <v>32894355.719999999</v>
      </c>
      <c r="C186" s="810">
        <f>C277</f>
        <v>7379197.5700000003</v>
      </c>
      <c r="D186" s="810">
        <f t="shared" ref="D186:H186" si="48">D277</f>
        <v>11608429.74</v>
      </c>
      <c r="E186" s="810">
        <f t="shared" si="48"/>
        <v>9</v>
      </c>
      <c r="F186" s="810">
        <f t="shared" si="48"/>
        <v>9</v>
      </c>
      <c r="G186" s="810">
        <f t="shared" si="48"/>
        <v>9</v>
      </c>
      <c r="H186" s="810">
        <f t="shared" si="48"/>
        <v>9</v>
      </c>
      <c r="I186" s="811">
        <f>B186+D186+F186+H186-G186-E186-C186</f>
        <v>37123587.890000001</v>
      </c>
      <c r="J186" s="38" t="b">
        <f>A186=未审报表!A186</f>
        <v>1</v>
      </c>
      <c r="K186" s="75" t="b">
        <f>审定报表!A186=TB!A186</f>
        <v>1</v>
      </c>
      <c r="M186" s="38">
        <f>B186-D186+C186</f>
        <v>28665123.549999997</v>
      </c>
    </row>
    <row r="187" spans="1:15">
      <c r="A187" s="805" t="str">
        <f>未审报表!A187</f>
        <v>归属于母公司所有者权益（或股东权益）合计</v>
      </c>
      <c r="B187" s="812">
        <f>未审报表!C187</f>
        <v>88105249.709999993</v>
      </c>
      <c r="C187" s="827">
        <f>SUM(C176:C177,C180,-C181,C182:C186)</f>
        <v>7379197.5700000003</v>
      </c>
      <c r="D187" s="827">
        <f t="shared" ref="D187:H187" si="49">SUM(D176:D177,D180,-D181,D182:D186)</f>
        <v>23826165.649999999</v>
      </c>
      <c r="E187" s="827">
        <f t="shared" si="49"/>
        <v>9</v>
      </c>
      <c r="F187" s="827">
        <f t="shared" si="49"/>
        <v>9</v>
      </c>
      <c r="G187" s="827">
        <f t="shared" si="49"/>
        <v>9</v>
      </c>
      <c r="H187" s="827">
        <f t="shared" si="49"/>
        <v>9</v>
      </c>
      <c r="I187" s="814">
        <f t="shared" si="47"/>
        <v>104552217.78999999</v>
      </c>
      <c r="J187" s="38" t="b">
        <f>A187=未审报表!A187</f>
        <v>1</v>
      </c>
      <c r="K187" s="75" t="b">
        <f>审定报表!A187=TB!A187</f>
        <v>1</v>
      </c>
    </row>
    <row r="188" spans="1:15">
      <c r="A188" s="809" t="str">
        <f>未审报表!A188</f>
        <v>少数股东权益</v>
      </c>
      <c r="B188" s="810">
        <f>未审报表!C188</f>
        <v>0</v>
      </c>
      <c r="C188" s="810">
        <f>SUMIFS(调整事项汇总表!$I$7:$I$10020,调整事项汇总表!$D$7:$D$10020,"账项调整",调整事项汇总表!$E$7:$E$10020,IF(OR(MID(TRIM($A188),2,1)="：",MID(TRIM($A188),2,1)="、"),REPLACEB(TRIM($A188),1,4,""),TRIM($A188)))</f>
        <v>0</v>
      </c>
      <c r="D188" s="810">
        <f>SUMIFS(调整事项汇总表!$J$7:$J$10020,调整事项汇总表!$D$7:$D$10020,"账项调整",调整事项汇总表!$E$7:$E$10020,IF(OR(MID(TRIM($A188),2,1)="：",MID(TRIM($A188),2,1)="、"),REPLACEB(TRIM($A188),1,4,""),TRIM($A188)))</f>
        <v>0</v>
      </c>
      <c r="E188" s="810">
        <f>SUMIFS(调整事项汇总表!$I$7:$I$10020,调整事项汇总表!$D$7:$D$10020,"报表调整",调整事项汇总表!$E$7:$E$10020,IF(OR(MID(TRIM($A188),2,1)="：",MID(TRIM($A188),2,1)="、"),REPLACEB(TRIM($A188),1,4,""),TRIM($A188)))</f>
        <v>0</v>
      </c>
      <c r="F188" s="810">
        <f>SUMIFS(调整事项汇总表!$J$7:$J$10020,调整事项汇总表!$D$7:$D$10020,"报表调整",调整事项汇总表!$E$7:$E$10020,IF(OR(MID(TRIM($A188),2,1)="：",MID(TRIM($A188),2,1)="、"),REPLACEB(TRIM($A188),1,4,""),TRIM($A188)))</f>
        <v>0</v>
      </c>
      <c r="G188" s="810">
        <f>SUMIFS(调整事项汇总表!$I$7:$I$10020,调整事项汇总表!$D$7:$D$10020,"其他",调整事项汇总表!$E$7:$E$10020,IF(OR(MID(TRIM($A188),2,1)="：",MID(TRIM($A188),2,1)="、"),REPLACEB(TRIM($A188),1,4,""),TRIM($A188)))</f>
        <v>0</v>
      </c>
      <c r="H188" s="810">
        <f>SUMIFS(调整事项汇总表!$J$7:$J$10020,调整事项汇总表!$D$7:$D$10020,"其他",调整事项汇总表!$E$7:$E$10020,IF(OR(MID(TRIM($A188),2,1)="：",MID(TRIM($A188),2,1)="、"),REPLACEB(TRIM($A188),1,4,""),TRIM($A188)))</f>
        <v>0</v>
      </c>
      <c r="I188" s="811">
        <f t="shared" si="47"/>
        <v>0</v>
      </c>
      <c r="J188" s="38" t="b">
        <f>A188=未审报表!A188</f>
        <v>1</v>
      </c>
      <c r="K188" s="75" t="b">
        <f>审定报表!A188=TB!A188</f>
        <v>1</v>
      </c>
    </row>
    <row r="189" spans="1:15" s="815" customFormat="1">
      <c r="A189" s="805" t="str">
        <f>未审报表!A189</f>
        <v>所有者权益（或股东权益）合计</v>
      </c>
      <c r="B189" s="812">
        <f>未审报表!C189</f>
        <v>88105249.709999993</v>
      </c>
      <c r="C189" s="827">
        <f>SUM(C187:C188)</f>
        <v>7379197.5700000003</v>
      </c>
      <c r="D189" s="827">
        <f t="shared" ref="D189:H189" si="50">SUM(D187:D188)</f>
        <v>23826165.649999999</v>
      </c>
      <c r="E189" s="827">
        <f t="shared" si="50"/>
        <v>9</v>
      </c>
      <c r="F189" s="827">
        <f t="shared" si="50"/>
        <v>9</v>
      </c>
      <c r="G189" s="827">
        <f t="shared" si="50"/>
        <v>9</v>
      </c>
      <c r="H189" s="827">
        <f t="shared" si="50"/>
        <v>9</v>
      </c>
      <c r="I189" s="814">
        <f t="shared" si="47"/>
        <v>104552217.78999999</v>
      </c>
      <c r="J189" s="815" t="b">
        <f>A189=未审报表!A189</f>
        <v>1</v>
      </c>
      <c r="K189" s="75" t="b">
        <f>审定报表!A189=TB!A189</f>
        <v>1</v>
      </c>
      <c r="O189" s="38"/>
    </row>
    <row r="190" spans="1:15" s="815" customFormat="1">
      <c r="A190" s="818" t="str">
        <f>未审报表!A190</f>
        <v>负债和所有者权益（或股东权益）总计</v>
      </c>
      <c r="B190" s="819">
        <f>未审报表!C190</f>
        <v>108619360.05</v>
      </c>
      <c r="C190" s="820">
        <f>SUM(C174,C189)</f>
        <v>7384197.5700000003</v>
      </c>
      <c r="D190" s="820">
        <f t="shared" ref="D190:H190" si="51">SUM(D174,D189)</f>
        <v>28418993.089999996</v>
      </c>
      <c r="E190" s="820">
        <f t="shared" si="51"/>
        <v>9</v>
      </c>
      <c r="F190" s="820">
        <f t="shared" si="51"/>
        <v>9</v>
      </c>
      <c r="G190" s="820">
        <f t="shared" si="51"/>
        <v>9</v>
      </c>
      <c r="H190" s="820">
        <f t="shared" si="51"/>
        <v>9</v>
      </c>
      <c r="I190" s="821">
        <f t="shared" si="47"/>
        <v>129654155.56999999</v>
      </c>
      <c r="J190" s="815" t="b">
        <f>A190=未审报表!A190</f>
        <v>1</v>
      </c>
      <c r="K190" s="75" t="b">
        <f>审定报表!A190=TB!A190</f>
        <v>1</v>
      </c>
      <c r="O190" s="38"/>
    </row>
    <row r="191" spans="1:15" ht="24" customHeight="1">
      <c r="A191" s="835" t="str">
        <f>IF((ROUND(I277,2))=(ROUND(I186,2)),"损    益    类","报表未调平!")</f>
        <v>损    益    类</v>
      </c>
      <c r="B191" s="829" t="s">
        <v>1500</v>
      </c>
      <c r="C191" s="824" t="s">
        <v>1494</v>
      </c>
      <c r="D191" s="824" t="s">
        <v>1495</v>
      </c>
      <c r="E191" s="824" t="s">
        <v>1496</v>
      </c>
      <c r="F191" s="824" t="s">
        <v>1497</v>
      </c>
      <c r="G191" s="824" t="s">
        <v>1498</v>
      </c>
      <c r="H191" s="824" t="s">
        <v>1499</v>
      </c>
      <c r="I191" s="829" t="s">
        <v>1501</v>
      </c>
      <c r="K191" s="75"/>
    </row>
    <row r="192" spans="1:15">
      <c r="A192" s="828" t="str">
        <f>未审报表!A192</f>
        <v>一、营业总收入</v>
      </c>
      <c r="B192" s="812">
        <f>未审报表!C192</f>
        <v>34154787.82</v>
      </c>
      <c r="C192" s="826">
        <f>SUM(C193:C197)</f>
        <v>0</v>
      </c>
      <c r="D192" s="826">
        <f t="shared" ref="D192:H192" si="52">SUM(D193:D197)</f>
        <v>1501440.29</v>
      </c>
      <c r="E192" s="826">
        <f t="shared" si="52"/>
        <v>0</v>
      </c>
      <c r="F192" s="826">
        <f t="shared" si="52"/>
        <v>0</v>
      </c>
      <c r="G192" s="826">
        <f t="shared" si="52"/>
        <v>0</v>
      </c>
      <c r="H192" s="826">
        <f t="shared" si="52"/>
        <v>0</v>
      </c>
      <c r="I192" s="812">
        <f>B192+D192+F192+H192-G192-E192-C192</f>
        <v>35656228.109999999</v>
      </c>
      <c r="J192" s="38" t="b">
        <f>A192=未审报表!A192</f>
        <v>1</v>
      </c>
      <c r="K192" s="75" t="b">
        <f>审定报表!A192=TB!A192</f>
        <v>1</v>
      </c>
    </row>
    <row r="193" spans="1:13">
      <c r="A193" s="830" t="str">
        <f>未审报表!A193</f>
        <v xml:space="preserve">        其中：主营业务收入</v>
      </c>
      <c r="B193" s="810">
        <f>未审报表!C193</f>
        <v>34154787.82</v>
      </c>
      <c r="C193" s="810">
        <f>SUMIFS(调整事项汇总表!$I$7:$I$10020,调整事项汇总表!$D$7:$D$10020,"账项调整",调整事项汇总表!$E$7:$E$10020,IF(OR(MID(TRIM($A193),3,1)="：",MID(TRIM($A193),2,1)="、"),REPLACEB(TRIM($A193),1,6,""),TRIM($A193)))</f>
        <v>0</v>
      </c>
      <c r="D193" s="810">
        <f>SUMIFS(调整事项汇总表!$J$7:$J$10020,调整事项汇总表!$D$7:$D$10020,"账项调整",调整事项汇总表!$E$7:$E$10020,IF(OR(MID(TRIM($A193),3,1)="：",MID(TRIM($A193),2,1)="、"),REPLACEB(TRIM($A193),1,6,""),TRIM($A193)))</f>
        <v>1501440.29</v>
      </c>
      <c r="E193" s="810">
        <f>SUMIFS(调整事项汇总表!$I$7:$I$10020,调整事项汇总表!$D$7:$D$10020,"报表调整",调整事项汇总表!$E$7:$E$10020,IF(OR(MID(TRIM($A193),3,1)="：",MID(TRIM($A193),2,1)="、"),REPLACEB(TRIM($A193),1,6,""),TRIM($A193)))</f>
        <v>0</v>
      </c>
      <c r="F193" s="810">
        <f>SUMIFS(调整事项汇总表!$J$7:$J$10020,调整事项汇总表!$D$7:$D$10020,"报表调整",调整事项汇总表!$E$7:$E$10020,IF(OR(MID(TRIM($A193),3,1)="：",MID(TRIM($A193),2,1)="、"),REPLACEB(TRIM($A193),1,6,""),TRIM($A193)))</f>
        <v>0</v>
      </c>
      <c r="G193" s="810">
        <f>SUMIFS(调整事项汇总表!$I$7:$I$10020,调整事项汇总表!$D$7:$D$10020,"其他",调整事项汇总表!$E$7:$E$10020,IF(OR(MID(TRIM($A193),3,1)="：",MID(TRIM($A193),2,1)="、"),REPLACEB(TRIM($A193),1,6,""),TRIM($A193)))</f>
        <v>0</v>
      </c>
      <c r="H193" s="810">
        <f>SUMIFS(调整事项汇总表!$J$7:$J$10020,调整事项汇总表!$D$7:$D$10020,"其他",调整事项汇总表!$E$7:$E$10020,IF(OR(MID(TRIM($A193),3,1)="：",MID(TRIM($A193),2,1)="、"),REPLACEB(TRIM($A193),1,6,""),TRIM($A193)))</f>
        <v>0</v>
      </c>
      <c r="I193" s="810">
        <f t="shared" ref="I193:I197" si="53">B193+D193+F193+H193-G193-E193-C193</f>
        <v>35656228.109999999</v>
      </c>
      <c r="J193" s="38" t="b">
        <f>A193=未审报表!A193</f>
        <v>1</v>
      </c>
      <c r="K193" s="75" t="b">
        <f>审定报表!A193=TB!A193</f>
        <v>1</v>
      </c>
    </row>
    <row r="194" spans="1:13">
      <c r="A194" s="830" t="str">
        <f>未审报表!A194</f>
        <v xml:space="preserve">              其他业务收入</v>
      </c>
      <c r="B194" s="810">
        <f>未审报表!C194</f>
        <v>0</v>
      </c>
      <c r="C194" s="810">
        <f>SUMIFS(调整事项汇总表!$I$7:$I$10020,调整事项汇总表!$D$7:$D$10020,"账项调整",调整事项汇总表!$E$7:$E$10020,IF(OR(MID(TRIM($A194),2,1)="：",MID(TRIM($A194),2,1)="、"),REPLACEB(TRIM($A194),1,4,""),TRIM($A194)))</f>
        <v>0</v>
      </c>
      <c r="D194" s="810">
        <f>SUMIFS(调整事项汇总表!$J$7:$J$10020,调整事项汇总表!$D$7:$D$10020,"账项调整",调整事项汇总表!$E$7:$E$10020,IF(OR(MID(TRIM($A194),2,1)="：",MID(TRIM($A194),2,1)="、"),REPLACEB(TRIM($A194),1,4,""),TRIM($A194)))</f>
        <v>0</v>
      </c>
      <c r="E194" s="810">
        <f>SUMIFS(调整事项汇总表!$I$7:$I$10020,调整事项汇总表!$D$7:$D$10020,"报表调整",调整事项汇总表!$E$7:$E$10020,IF(OR(MID(TRIM($A194),2,1)="：",MID(TRIM($A194),2,1)="、"),REPLACEB(TRIM($A194),1,4,""),TRIM($A194)))</f>
        <v>0</v>
      </c>
      <c r="F194" s="810">
        <f>SUMIFS(调整事项汇总表!$J$7:$J$10020,调整事项汇总表!$D$7:$D$10020,"报表调整",调整事项汇总表!$E$7:$E$10020,IF(OR(MID(TRIM($A194),2,1)="：",MID(TRIM($A194),2,1)="、"),REPLACEB(TRIM($A194),1,4,""),TRIM($A194)))</f>
        <v>0</v>
      </c>
      <c r="G194" s="810">
        <f>SUMIFS(调整事项汇总表!$I$7:$I$10020,调整事项汇总表!$D$7:$D$10020,"其他",调整事项汇总表!$E$7:$E$10020,IF(OR(MID(TRIM($A194),2,1)="：",MID(TRIM($A194),2,1)="、"),REPLACEB(TRIM($A194),1,4,""),TRIM($A194)))</f>
        <v>0</v>
      </c>
      <c r="H194" s="810">
        <f>SUMIFS(调整事项汇总表!$J$7:$J$10020,调整事项汇总表!$D$7:$D$10020,"其他",调整事项汇总表!$E$7:$E$10020,IF(OR(MID(TRIM($A194),2,1)="：",MID(TRIM($A194),2,1)="、"),REPLACEB(TRIM($A194),1,4,""),TRIM($A194)))</f>
        <v>0</v>
      </c>
      <c r="I194" s="810">
        <f t="shared" si="53"/>
        <v>0</v>
      </c>
      <c r="J194" s="38" t="b">
        <f>A194=未审报表!A194</f>
        <v>1</v>
      </c>
      <c r="K194" s="75" t="b">
        <f>审定报表!A194=TB!A194</f>
        <v>1</v>
      </c>
    </row>
    <row r="195" spans="1:13">
      <c r="A195" s="830" t="str">
        <f>未审报表!A195</f>
        <v xml:space="preserve">           利息收入*</v>
      </c>
      <c r="B195" s="810">
        <f>未审报表!C195</f>
        <v>0</v>
      </c>
      <c r="C195" s="810">
        <f>SUMIFS(调整事项汇总表!$I$7:$I$10020,调整事项汇总表!$D$7:$D$10020,"账项调整",调整事项汇总表!$E$7:$E$10020,IF(OR(MID(TRIM($A195),2,1)="：",MID(TRIM($A195),2,1)="、"),REPLACEB(TRIM($A195),1,4,""),TRIM($A195)))</f>
        <v>0</v>
      </c>
      <c r="D195" s="810">
        <f>SUMIFS(调整事项汇总表!$J$7:$J$10020,调整事项汇总表!$D$7:$D$10020,"账项调整",调整事项汇总表!$E$7:$E$10020,IF(OR(MID(TRIM($A195),2,1)="：",MID(TRIM($A195),2,1)="、"),REPLACEB(TRIM($A195),1,4,""),TRIM($A195)))</f>
        <v>0</v>
      </c>
      <c r="E195" s="810">
        <f>SUMIFS(调整事项汇总表!$I$7:$I$10020,调整事项汇总表!$D$7:$D$10020,"报表调整",调整事项汇总表!$E$7:$E$10020,IF(OR(MID(TRIM($A195),2,1)="：",MID(TRIM($A195),2,1)="、"),REPLACEB(TRIM($A195),1,4,""),TRIM($A195)))</f>
        <v>0</v>
      </c>
      <c r="F195" s="810">
        <f>SUMIFS(调整事项汇总表!$J$7:$J$10020,调整事项汇总表!$D$7:$D$10020,"报表调整",调整事项汇总表!$E$7:$E$10020,IF(OR(MID(TRIM($A195),2,1)="：",MID(TRIM($A195),2,1)="、"),REPLACEB(TRIM($A195),1,4,""),TRIM($A195)))</f>
        <v>0</v>
      </c>
      <c r="G195" s="810">
        <f>SUMIFS(调整事项汇总表!$I$7:$I$10020,调整事项汇总表!$D$7:$D$10020,"其他",调整事项汇总表!$E$7:$E$10020,IF(OR(MID(TRIM($A195),2,1)="：",MID(TRIM($A195),2,1)="、"),REPLACEB(TRIM($A195),1,4,""),TRIM($A195)))</f>
        <v>0</v>
      </c>
      <c r="H195" s="810">
        <f>SUMIFS(调整事项汇总表!$J$7:$J$10020,调整事项汇总表!$D$7:$D$10020,"其他",调整事项汇总表!$E$7:$E$10020,IF(OR(MID(TRIM($A195),2,1)="：",MID(TRIM($A195),2,1)="、"),REPLACEB(TRIM($A195),1,4,""),TRIM($A195)))</f>
        <v>0</v>
      </c>
      <c r="I195" s="810">
        <f t="shared" si="53"/>
        <v>0</v>
      </c>
      <c r="J195" s="38" t="b">
        <f>A195=未审报表!A195</f>
        <v>1</v>
      </c>
      <c r="K195" s="75" t="b">
        <f>审定报表!A195=TB!A195</f>
        <v>1</v>
      </c>
    </row>
    <row r="196" spans="1:13">
      <c r="A196" s="830" t="str">
        <f>未审报表!A196</f>
        <v xml:space="preserve">           已赚保费*</v>
      </c>
      <c r="B196" s="810">
        <f>未审报表!C196</f>
        <v>0</v>
      </c>
      <c r="C196" s="810">
        <f>SUMIFS(调整事项汇总表!$I$7:$I$10020,调整事项汇总表!$D$7:$D$10020,"账项调整",调整事项汇总表!$E$7:$E$10020,IF(OR(MID(TRIM($A196),2,1)="：",MID(TRIM($A196),2,1)="、"),REPLACEB(TRIM($A196),1,4,""),TRIM($A196)))</f>
        <v>0</v>
      </c>
      <c r="D196" s="810">
        <f>SUMIFS(调整事项汇总表!$J$7:$J$10020,调整事项汇总表!$D$7:$D$10020,"账项调整",调整事项汇总表!$E$7:$E$10020,IF(OR(MID(TRIM($A196),2,1)="：",MID(TRIM($A196),2,1)="、"),REPLACEB(TRIM($A196),1,4,""),TRIM($A196)))</f>
        <v>0</v>
      </c>
      <c r="E196" s="810">
        <f>SUMIFS(调整事项汇总表!$I$7:$I$10020,调整事项汇总表!$D$7:$D$10020,"报表调整",调整事项汇总表!$E$7:$E$10020,IF(OR(MID(TRIM($A196),2,1)="：",MID(TRIM($A196),2,1)="、"),REPLACEB(TRIM($A196),1,4,""),TRIM($A196)))</f>
        <v>0</v>
      </c>
      <c r="F196" s="810">
        <f>SUMIFS(调整事项汇总表!$J$7:$J$10020,调整事项汇总表!$D$7:$D$10020,"报表调整",调整事项汇总表!$E$7:$E$10020,IF(OR(MID(TRIM($A196),2,1)="：",MID(TRIM($A196),2,1)="、"),REPLACEB(TRIM($A196),1,4,""),TRIM($A196)))</f>
        <v>0</v>
      </c>
      <c r="G196" s="810">
        <f>SUMIFS(调整事项汇总表!$I$7:$I$10020,调整事项汇总表!$D$7:$D$10020,"其他",调整事项汇总表!$E$7:$E$10020,IF(OR(MID(TRIM($A196),2,1)="：",MID(TRIM($A196),2,1)="、"),REPLACEB(TRIM($A196),1,4,""),TRIM($A196)))</f>
        <v>0</v>
      </c>
      <c r="H196" s="810">
        <f>SUMIFS(调整事项汇总表!$J$7:$J$10020,调整事项汇总表!$D$7:$D$10020,"其他",调整事项汇总表!$E$7:$E$10020,IF(OR(MID(TRIM($A196),2,1)="：",MID(TRIM($A196),2,1)="、"),REPLACEB(TRIM($A196),1,4,""),TRIM($A196)))</f>
        <v>0</v>
      </c>
      <c r="I196" s="810">
        <f t="shared" si="53"/>
        <v>0</v>
      </c>
      <c r="J196" s="38" t="b">
        <f>A196=未审报表!A196</f>
        <v>1</v>
      </c>
      <c r="K196" s="75" t="b">
        <f>审定报表!A196=TB!A196</f>
        <v>1</v>
      </c>
    </row>
    <row r="197" spans="1:13">
      <c r="A197" s="830" t="str">
        <f>未审报表!A197</f>
        <v xml:space="preserve">           手续费及佣金收入*</v>
      </c>
      <c r="B197" s="810">
        <f>未审报表!C197</f>
        <v>0</v>
      </c>
      <c r="C197" s="810">
        <f>SUMIFS(调整事项汇总表!$I$7:$I$10020,调整事项汇总表!$D$7:$D$10020,"账项调整",调整事项汇总表!$E$7:$E$10020,IF(OR(MID(TRIM($A197),2,1)="：",MID(TRIM($A197),2,1)="、"),REPLACEB(TRIM($A197),1,4,""),TRIM($A197)))</f>
        <v>0</v>
      </c>
      <c r="D197" s="810">
        <f>SUMIFS(调整事项汇总表!$J$7:$J$10020,调整事项汇总表!$D$7:$D$10020,"账项调整",调整事项汇总表!$E$7:$E$10020,IF(OR(MID(TRIM($A197),2,1)="：",MID(TRIM($A197),2,1)="、"),REPLACEB(TRIM($A197),1,4,""),TRIM($A197)))</f>
        <v>0</v>
      </c>
      <c r="E197" s="810">
        <f>SUMIFS(调整事项汇总表!$I$7:$I$10020,调整事项汇总表!$D$7:$D$10020,"报表调整",调整事项汇总表!$E$7:$E$10020,IF(OR(MID(TRIM($A197),2,1)="：",MID(TRIM($A197),2,1)="、"),REPLACEB(TRIM($A197),1,4,""),TRIM($A197)))</f>
        <v>0</v>
      </c>
      <c r="F197" s="810">
        <f>SUMIFS(调整事项汇总表!$J$7:$J$10020,调整事项汇总表!$D$7:$D$10020,"报表调整",调整事项汇总表!$E$7:$E$10020,IF(OR(MID(TRIM($A197),2,1)="：",MID(TRIM($A197),2,1)="、"),REPLACEB(TRIM($A197),1,4,""),TRIM($A197)))</f>
        <v>0</v>
      </c>
      <c r="G197" s="810">
        <f>SUMIFS(调整事项汇总表!$I$7:$I$10020,调整事项汇总表!$D$7:$D$10020,"其他",调整事项汇总表!$E$7:$E$10020,IF(OR(MID(TRIM($A197),2,1)="：",MID(TRIM($A197),2,1)="、"),REPLACEB(TRIM($A197),1,4,""),TRIM($A197)))</f>
        <v>0</v>
      </c>
      <c r="H197" s="810">
        <f>SUMIFS(调整事项汇总表!$J$7:$J$10020,调整事项汇总表!$D$7:$D$10020,"其他",调整事项汇总表!$E$7:$E$10020,IF(OR(MID(TRIM($A197),2,1)="：",MID(TRIM($A197),2,1)="、"),REPLACEB(TRIM($A197),1,4,""),TRIM($A197)))</f>
        <v>0</v>
      </c>
      <c r="I197" s="810">
        <f t="shared" si="53"/>
        <v>0</v>
      </c>
      <c r="J197" s="38" t="b">
        <f>A197=未审报表!A197</f>
        <v>1</v>
      </c>
      <c r="K197" s="75" t="b">
        <f>审定报表!A197=TB!A197</f>
        <v>1</v>
      </c>
    </row>
    <row r="198" spans="1:13">
      <c r="A198" s="830" t="str">
        <f>未审报表!A198</f>
        <v xml:space="preserve">    减：营业总成本</v>
      </c>
      <c r="B198" s="812">
        <f>未审报表!C198</f>
        <v>29586941.59</v>
      </c>
      <c r="C198" s="826">
        <f>SUM(C199:C212,C216)</f>
        <v>5318781.26</v>
      </c>
      <c r="D198" s="826">
        <f>SUM(D199:D212,D216)</f>
        <v>10088470.17</v>
      </c>
      <c r="E198" s="826">
        <f t="shared" ref="E198:H198" si="54">SUM(E199:E212,E216)</f>
        <v>0</v>
      </c>
      <c r="F198" s="826">
        <f t="shared" si="54"/>
        <v>0</v>
      </c>
      <c r="G198" s="826">
        <f t="shared" si="54"/>
        <v>0</v>
      </c>
      <c r="H198" s="826">
        <f t="shared" si="54"/>
        <v>0</v>
      </c>
      <c r="I198" s="812">
        <f>B198+C198+E198+G198-D198-F198-H198</f>
        <v>24817252.68</v>
      </c>
      <c r="J198" s="38" t="b">
        <f>A198=未审报表!A198</f>
        <v>1</v>
      </c>
      <c r="K198" s="75" t="b">
        <f>审定报表!A198=TB!A198</f>
        <v>1</v>
      </c>
    </row>
    <row r="199" spans="1:13">
      <c r="A199" s="830" t="str">
        <f>未审报表!A199</f>
        <v xml:space="preserve">        其中：主营业务成本</v>
      </c>
      <c r="B199" s="810">
        <f>未审报表!C199</f>
        <v>18745916.609999999</v>
      </c>
      <c r="C199" s="810">
        <f>SUMIFS(调整事项汇总表!$I$7:$I$10020,调整事项汇总表!$D$7:$D$10020,"账项调整",调整事项汇总表!$E$7:$E$10020,IF(OR(MID(TRIM($A199),3,1)="：",MID(TRIM($A199),2,1)="、"),REPLACEB(TRIM($A199),1,6,""),TRIM($A199)))</f>
        <v>-791566.49999999953</v>
      </c>
      <c r="D199" s="810">
        <f>SUMIFS(调整事项汇总表!$J$7:$J$10020,调整事项汇总表!$D$7:$D$10020,"账项调整",调整事项汇总表!$E$7:$E$10020,IF(OR(MID(TRIM($A199),3,1)="：",MID(TRIM($A199),2,1)="、"),REPLACEB(TRIM($A199),1,6,""),TRIM($A199)))</f>
        <v>6420600.6299999999</v>
      </c>
      <c r="E199" s="810">
        <f>SUMIFS(调整事项汇总表!$I$7:$I$10020,调整事项汇总表!$D$7:$D$10020,"报表调整",调整事项汇总表!$E$7:$E$10020,IF(OR(MID(TRIM($A199),3,1)="：",MID(TRIM($A199),2,1)="、"),REPLACEB(TRIM($A199),1,6,""),TRIM($A199)))</f>
        <v>0</v>
      </c>
      <c r="F199" s="810">
        <f>SUMIFS(调整事项汇总表!$J$7:$J$10020,调整事项汇总表!$D$7:$D$10020,"报表调整",调整事项汇总表!$E$7:$E$10020,IF(OR(MID(TRIM($A199),3,1)="：",MID(TRIM($A199),2,1)="、"),REPLACEB(TRIM($A199),1,6,""),TRIM($A199)))</f>
        <v>0</v>
      </c>
      <c r="G199" s="810">
        <f>SUMIFS(调整事项汇总表!$I$7:$I$10020,调整事项汇总表!$D$7:$D$10020,"其他",调整事项汇总表!$E$7:$E$10020,IF(OR(MID(TRIM($A199),3,1)="：",MID(TRIM($A199),2,1)="、"),REPLACEB(TRIM($A199),1,6,""),TRIM($A199)))</f>
        <v>0</v>
      </c>
      <c r="H199" s="810">
        <f>SUMIFS(调整事项汇总表!$J$7:$J$10020,调整事项汇总表!$D$7:$D$10020,"其他",调整事项汇总表!$E$7:$E$10020,IF(OR(MID(TRIM($A199),3,1)="：",MID(TRIM($A199),2,1)="、"),REPLACEB(TRIM($A199),1,6,""),TRIM($A199)))</f>
        <v>0</v>
      </c>
      <c r="I199" s="812">
        <f t="shared" ref="I199:I211" si="55">B199+C199+E199+G199-D199-F199-H199</f>
        <v>11533749.48</v>
      </c>
      <c r="J199" s="38" t="b">
        <f>A199=未审报表!A199</f>
        <v>1</v>
      </c>
      <c r="K199" s="75" t="b">
        <f>审定报表!A199=TB!A199</f>
        <v>1</v>
      </c>
    </row>
    <row r="200" spans="1:13">
      <c r="A200" s="830" t="str">
        <f>未审报表!A200</f>
        <v xml:space="preserve">              其他业务成本</v>
      </c>
      <c r="B200" s="810">
        <f>未审报表!C200</f>
        <v>0</v>
      </c>
      <c r="C200" s="810">
        <f>SUMIFS(调整事项汇总表!$I$7:$I$10020,调整事项汇总表!$D$7:$D$10020,"账项调整",调整事项汇总表!$E$7:$E$10020,IF(OR(MID(TRIM($A200),2,1)="：",MID(TRIM($A200),2,1)="、"),REPLACEB(TRIM($A200),1,4,""),TRIM($A200)))</f>
        <v>0</v>
      </c>
      <c r="D200" s="810">
        <f>SUMIFS(调整事项汇总表!$J$7:$J$10020,调整事项汇总表!$D$7:$D$10020,"账项调整",调整事项汇总表!$E$7:$E$10020,IF(OR(MID(TRIM($A200),2,1)="：",MID(TRIM($A200),2,1)="、"),REPLACEB(TRIM($A200),1,4,""),TRIM($A200)))</f>
        <v>0</v>
      </c>
      <c r="E200" s="810">
        <f>SUMIFS(调整事项汇总表!$I$7:$I$10020,调整事项汇总表!$D$7:$D$10020,"报表调整",调整事项汇总表!$E$7:$E$10020,IF(OR(MID(TRIM($A200),2,1)="：",MID(TRIM($A200),2,1)="、"),REPLACEB(TRIM($A200),1,4,""),TRIM($A200)))</f>
        <v>0</v>
      </c>
      <c r="F200" s="810">
        <f>SUMIFS(调整事项汇总表!$J$7:$J$10020,调整事项汇总表!$D$7:$D$10020,"报表调整",调整事项汇总表!$E$7:$E$10020,IF(OR(MID(TRIM($A200),2,1)="：",MID(TRIM($A200),2,1)="、"),REPLACEB(TRIM($A200),1,4,""),TRIM($A200)))</f>
        <v>0</v>
      </c>
      <c r="G200" s="810">
        <f>SUMIFS(调整事项汇总表!$I$7:$I$10020,调整事项汇总表!$D$7:$D$10020,"其他",调整事项汇总表!$E$7:$E$10020,IF(OR(MID(TRIM($A200),2,1)="：",MID(TRIM($A200),2,1)="、"),REPLACEB(TRIM($A200),1,4,""),TRIM($A200)))</f>
        <v>0</v>
      </c>
      <c r="H200" s="810">
        <f>SUMIFS(调整事项汇总表!$J$7:$J$10020,调整事项汇总表!$D$7:$D$10020,"其他",调整事项汇总表!$E$7:$E$10020,IF(OR(MID(TRIM($A200),2,1)="：",MID(TRIM($A200),2,1)="、"),REPLACEB(TRIM($A200),1,4,""),TRIM($A200)))</f>
        <v>0</v>
      </c>
      <c r="I200" s="812">
        <f t="shared" si="55"/>
        <v>0</v>
      </c>
      <c r="J200" s="38" t="b">
        <f>A200=未审报表!A200</f>
        <v>1</v>
      </c>
      <c r="K200" s="75" t="b">
        <f>审定报表!A200=TB!A200</f>
        <v>1</v>
      </c>
    </row>
    <row r="201" spans="1:13">
      <c r="A201" s="830" t="str">
        <f>未审报表!A201</f>
        <v xml:space="preserve">        利息支出*</v>
      </c>
      <c r="B201" s="810">
        <f>未审报表!C201</f>
        <v>0</v>
      </c>
      <c r="C201" s="810">
        <f>SUMIFS(调整事项汇总表!$I$7:$I$10020,调整事项汇总表!$D$7:$D$10020,"账项调整",调整事项汇总表!$E$7:$E$10020,IF(OR(MID(TRIM($A201),2,1)="：",MID(TRIM($A201),2,1)="、"),REPLACEB(TRIM($A201),1,4,""),TRIM($A201)))</f>
        <v>0</v>
      </c>
      <c r="D201" s="810">
        <f>SUMIFS(调整事项汇总表!$J$7:$J$10020,调整事项汇总表!$D$7:$D$10020,"账项调整",调整事项汇总表!$E$7:$E$10020,IF(OR(MID(TRIM($A201),2,1)="：",MID(TRIM($A201),2,1)="、"),REPLACEB(TRIM($A201),1,4,""),TRIM($A201)))</f>
        <v>0</v>
      </c>
      <c r="E201" s="810">
        <f>SUMIFS(调整事项汇总表!$I$7:$I$10020,调整事项汇总表!$D$7:$D$10020,"报表调整",调整事项汇总表!$E$7:$E$10020,IF(OR(MID(TRIM($A201),2,1)="：",MID(TRIM($A201),2,1)="、"),REPLACEB(TRIM($A201),1,4,""),TRIM($A201)))</f>
        <v>0</v>
      </c>
      <c r="F201" s="810">
        <f>SUMIFS(调整事项汇总表!$J$7:$J$10020,调整事项汇总表!$D$7:$D$10020,"报表调整",调整事项汇总表!$E$7:$E$10020,IF(OR(MID(TRIM($A201),2,1)="：",MID(TRIM($A201),2,1)="、"),REPLACEB(TRIM($A201),1,4,""),TRIM($A201)))</f>
        <v>0</v>
      </c>
      <c r="G201" s="810">
        <f>SUMIFS(调整事项汇总表!$I$7:$I$10020,调整事项汇总表!$D$7:$D$10020,"其他",调整事项汇总表!$E$7:$E$10020,IF(OR(MID(TRIM($A201),2,1)="：",MID(TRIM($A201),2,1)="、"),REPLACEB(TRIM($A201),1,4,""),TRIM($A201)))</f>
        <v>0</v>
      </c>
      <c r="H201" s="810">
        <f>SUMIFS(调整事项汇总表!$J$7:$J$10020,调整事项汇总表!$D$7:$D$10020,"其他",调整事项汇总表!$E$7:$E$10020,IF(OR(MID(TRIM($A201),2,1)="：",MID(TRIM($A201),2,1)="、"),REPLACEB(TRIM($A201),1,4,""),TRIM($A201)))</f>
        <v>0</v>
      </c>
      <c r="I201" s="812">
        <f t="shared" si="55"/>
        <v>0</v>
      </c>
      <c r="J201" s="38" t="b">
        <f>A201=未审报表!A201</f>
        <v>1</v>
      </c>
      <c r="K201" s="75" t="b">
        <f>审定报表!A201=TB!A201</f>
        <v>1</v>
      </c>
    </row>
    <row r="202" spans="1:13">
      <c r="A202" s="830" t="str">
        <f>未审报表!A202</f>
        <v xml:space="preserve">        手续费及佣金支出*</v>
      </c>
      <c r="B202" s="810">
        <f>未审报表!C202</f>
        <v>0</v>
      </c>
      <c r="C202" s="810">
        <f>SUMIFS(调整事项汇总表!$I$7:$I$10020,调整事项汇总表!$D$7:$D$10020,"账项调整",调整事项汇总表!$E$7:$E$10020,IF(OR(MID(TRIM($A202),2,1)="：",MID(TRIM($A202),2,1)="、"),REPLACEB(TRIM($A202),1,4,""),TRIM($A202)))</f>
        <v>0</v>
      </c>
      <c r="D202" s="810">
        <f>SUMIFS(调整事项汇总表!$J$7:$J$10020,调整事项汇总表!$D$7:$D$10020,"账项调整",调整事项汇总表!$E$7:$E$10020,IF(OR(MID(TRIM($A202),2,1)="：",MID(TRIM($A202),2,1)="、"),REPLACEB(TRIM($A202),1,4,""),TRIM($A202)))</f>
        <v>0</v>
      </c>
      <c r="E202" s="810">
        <f>SUMIFS(调整事项汇总表!$I$7:$I$10020,调整事项汇总表!$D$7:$D$10020,"报表调整",调整事项汇总表!$E$7:$E$10020,IF(OR(MID(TRIM($A202),2,1)="：",MID(TRIM($A202),2,1)="、"),REPLACEB(TRIM($A202),1,4,""),TRIM($A202)))</f>
        <v>0</v>
      </c>
      <c r="F202" s="810">
        <f>SUMIFS(调整事项汇总表!$J$7:$J$10020,调整事项汇总表!$D$7:$D$10020,"报表调整",调整事项汇总表!$E$7:$E$10020,IF(OR(MID(TRIM($A202),2,1)="：",MID(TRIM($A202),2,1)="、"),REPLACEB(TRIM($A202),1,4,""),TRIM($A202)))</f>
        <v>0</v>
      </c>
      <c r="G202" s="810">
        <f>SUMIFS(调整事项汇总表!$I$7:$I$10020,调整事项汇总表!$D$7:$D$10020,"其他",调整事项汇总表!$E$7:$E$10020,IF(OR(MID(TRIM($A202),2,1)="：",MID(TRIM($A202),2,1)="、"),REPLACEB(TRIM($A202),1,4,""),TRIM($A202)))</f>
        <v>0</v>
      </c>
      <c r="H202" s="810">
        <f>SUMIFS(调整事项汇总表!$J$7:$J$10020,调整事项汇总表!$D$7:$D$10020,"其他",调整事项汇总表!$E$7:$E$10020,IF(OR(MID(TRIM($A202),2,1)="：",MID(TRIM($A202),2,1)="、"),REPLACEB(TRIM($A202),1,4,""),TRIM($A202)))</f>
        <v>0</v>
      </c>
      <c r="I202" s="812">
        <f t="shared" si="55"/>
        <v>0</v>
      </c>
      <c r="J202" s="38" t="b">
        <f>A202=未审报表!A202</f>
        <v>1</v>
      </c>
      <c r="K202" s="75" t="b">
        <f>审定报表!A202=TB!A202</f>
        <v>1</v>
      </c>
    </row>
    <row r="203" spans="1:13">
      <c r="A203" s="830" t="str">
        <f>未审报表!A203</f>
        <v xml:space="preserve">        退保金*</v>
      </c>
      <c r="B203" s="810">
        <f>未审报表!C203</f>
        <v>0</v>
      </c>
      <c r="C203" s="810">
        <f>SUMIFS(调整事项汇总表!$I$7:$I$10020,调整事项汇总表!$D$7:$D$10020,"账项调整",调整事项汇总表!$E$7:$E$10020,IF(OR(MID(TRIM($A203),2,1)="：",MID(TRIM($A203),2,1)="、"),REPLACEB(TRIM($A203),1,4,""),TRIM($A203)))</f>
        <v>0</v>
      </c>
      <c r="D203" s="810">
        <f>SUMIFS(调整事项汇总表!$J$7:$J$10020,调整事项汇总表!$D$7:$D$10020,"账项调整",调整事项汇总表!$E$7:$E$10020,IF(OR(MID(TRIM($A203),2,1)="：",MID(TRIM($A203),2,1)="、"),REPLACEB(TRIM($A203),1,4,""),TRIM($A203)))</f>
        <v>0</v>
      </c>
      <c r="E203" s="810">
        <f>SUMIFS(调整事项汇总表!$I$7:$I$10020,调整事项汇总表!$D$7:$D$10020,"报表调整",调整事项汇总表!$E$7:$E$10020,IF(OR(MID(TRIM($A203),2,1)="：",MID(TRIM($A203),2,1)="、"),REPLACEB(TRIM($A203),1,4,""),TRIM($A203)))</f>
        <v>0</v>
      </c>
      <c r="F203" s="810">
        <f>SUMIFS(调整事项汇总表!$J$7:$J$10020,调整事项汇总表!$D$7:$D$10020,"报表调整",调整事项汇总表!$E$7:$E$10020,IF(OR(MID(TRIM($A203),2,1)="：",MID(TRIM($A203),2,1)="、"),REPLACEB(TRIM($A203),1,4,""),TRIM($A203)))</f>
        <v>0</v>
      </c>
      <c r="G203" s="810">
        <f>SUMIFS(调整事项汇总表!$I$7:$I$10020,调整事项汇总表!$D$7:$D$10020,"其他",调整事项汇总表!$E$7:$E$10020,IF(OR(MID(TRIM($A203),2,1)="：",MID(TRIM($A203),2,1)="、"),REPLACEB(TRIM($A203),1,4,""),TRIM($A203)))</f>
        <v>0</v>
      </c>
      <c r="H203" s="810">
        <f>SUMIFS(调整事项汇总表!$J$7:$J$10020,调整事项汇总表!$D$7:$D$10020,"其他",调整事项汇总表!$E$7:$E$10020,IF(OR(MID(TRIM($A203),2,1)="：",MID(TRIM($A203),2,1)="、"),REPLACEB(TRIM($A203),1,4,""),TRIM($A203)))</f>
        <v>0</v>
      </c>
      <c r="I203" s="812">
        <f t="shared" si="55"/>
        <v>0</v>
      </c>
      <c r="J203" s="38" t="b">
        <f>A203=未审报表!A203</f>
        <v>1</v>
      </c>
      <c r="K203" s="75" t="b">
        <f>审定报表!A203=TB!A203</f>
        <v>1</v>
      </c>
    </row>
    <row r="204" spans="1:13">
      <c r="A204" s="830" t="str">
        <f>未审报表!A204</f>
        <v xml:space="preserve">        赔付支出净额*</v>
      </c>
      <c r="B204" s="810">
        <f>未审报表!C204</f>
        <v>0</v>
      </c>
      <c r="C204" s="810">
        <f>SUMIFS(调整事项汇总表!$I$7:$I$10020,调整事项汇总表!$D$7:$D$10020,"账项调整",调整事项汇总表!$E$7:$E$10020,IF(OR(MID(TRIM($A204),2,1)="：",MID(TRIM($A204),2,1)="、"),REPLACEB(TRIM($A204),1,4,""),TRIM($A204)))</f>
        <v>0</v>
      </c>
      <c r="D204" s="810">
        <f>SUMIFS(调整事项汇总表!$J$7:$J$10020,调整事项汇总表!$D$7:$D$10020,"账项调整",调整事项汇总表!$E$7:$E$10020,IF(OR(MID(TRIM($A204),2,1)="：",MID(TRIM($A204),2,1)="、"),REPLACEB(TRIM($A204),1,4,""),TRIM($A204)))</f>
        <v>0</v>
      </c>
      <c r="E204" s="810">
        <f>SUMIFS(调整事项汇总表!$I$7:$I$10020,调整事项汇总表!$D$7:$D$10020,"报表调整",调整事项汇总表!$E$7:$E$10020,IF(OR(MID(TRIM($A204),2,1)="：",MID(TRIM($A204),2,1)="、"),REPLACEB(TRIM($A204),1,4,""),TRIM($A204)))</f>
        <v>0</v>
      </c>
      <c r="F204" s="810">
        <f>SUMIFS(调整事项汇总表!$J$7:$J$10020,调整事项汇总表!$D$7:$D$10020,"报表调整",调整事项汇总表!$E$7:$E$10020,IF(OR(MID(TRIM($A204),2,1)="：",MID(TRIM($A204),2,1)="、"),REPLACEB(TRIM($A204),1,4,""),TRIM($A204)))</f>
        <v>0</v>
      </c>
      <c r="G204" s="810">
        <f>SUMIFS(调整事项汇总表!$I$7:$I$10020,调整事项汇总表!$D$7:$D$10020,"其他",调整事项汇总表!$E$7:$E$10020,IF(OR(MID(TRIM($A204),2,1)="：",MID(TRIM($A204),2,1)="、"),REPLACEB(TRIM($A204),1,4,""),TRIM($A204)))</f>
        <v>0</v>
      </c>
      <c r="H204" s="810">
        <f>SUMIFS(调整事项汇总表!$J$7:$J$10020,调整事项汇总表!$D$7:$D$10020,"其他",调整事项汇总表!$E$7:$E$10020,IF(OR(MID(TRIM($A204),2,1)="：",MID(TRIM($A204),2,1)="、"),REPLACEB(TRIM($A204),1,4,""),TRIM($A204)))</f>
        <v>0</v>
      </c>
      <c r="I204" s="812">
        <f t="shared" si="55"/>
        <v>0</v>
      </c>
      <c r="J204" s="38" t="b">
        <f>A204=未审报表!A204</f>
        <v>1</v>
      </c>
      <c r="K204" s="75" t="b">
        <f>审定报表!A204=TB!A204</f>
        <v>1</v>
      </c>
    </row>
    <row r="205" spans="1:13">
      <c r="A205" s="830" t="str">
        <f>未审报表!A205</f>
        <v xml:space="preserve">        提取保险责任准备金净额*</v>
      </c>
      <c r="B205" s="810">
        <f>未审报表!C205</f>
        <v>0</v>
      </c>
      <c r="C205" s="810">
        <f>SUMIFS(调整事项汇总表!$I$7:$I$10020,调整事项汇总表!$D$7:$D$10020,"账项调整",调整事项汇总表!$E$7:$E$10020,IF(OR(MID(TRIM($A205),2,1)="：",MID(TRIM($A205),2,1)="、"),REPLACEB(TRIM($A205),1,4,""),TRIM($A205)))</f>
        <v>0</v>
      </c>
      <c r="D205" s="810">
        <f>SUMIFS(调整事项汇总表!$J$7:$J$10020,调整事项汇总表!$D$7:$D$10020,"账项调整",调整事项汇总表!$E$7:$E$10020,IF(OR(MID(TRIM($A205),2,1)="：",MID(TRIM($A205),2,1)="、"),REPLACEB(TRIM($A205),1,4,""),TRIM($A205)))</f>
        <v>0</v>
      </c>
      <c r="E205" s="810">
        <f>SUMIFS(调整事项汇总表!$I$7:$I$10020,调整事项汇总表!$D$7:$D$10020,"报表调整",调整事项汇总表!$E$7:$E$10020,IF(OR(MID(TRIM($A205),2,1)="：",MID(TRIM($A205),2,1)="、"),REPLACEB(TRIM($A205),1,4,""),TRIM($A205)))</f>
        <v>0</v>
      </c>
      <c r="F205" s="810">
        <f>SUMIFS(调整事项汇总表!$J$7:$J$10020,调整事项汇总表!$D$7:$D$10020,"报表调整",调整事项汇总表!$E$7:$E$10020,IF(OR(MID(TRIM($A205),2,1)="：",MID(TRIM($A205),2,1)="、"),REPLACEB(TRIM($A205),1,4,""),TRIM($A205)))</f>
        <v>0</v>
      </c>
      <c r="G205" s="810">
        <f>SUMIFS(调整事项汇总表!$I$7:$I$10020,调整事项汇总表!$D$7:$D$10020,"其他",调整事项汇总表!$E$7:$E$10020,IF(OR(MID(TRIM($A205),2,1)="：",MID(TRIM($A205),2,1)="、"),REPLACEB(TRIM($A205),1,4,""),TRIM($A205)))</f>
        <v>0</v>
      </c>
      <c r="H205" s="810">
        <f>SUMIFS(调整事项汇总表!$J$7:$J$10020,调整事项汇总表!$D$7:$D$10020,"其他",调整事项汇总表!$E$7:$E$10020,IF(OR(MID(TRIM($A205),2,1)="：",MID(TRIM($A205),2,1)="、"),REPLACEB(TRIM($A205),1,4,""),TRIM($A205)))</f>
        <v>0</v>
      </c>
      <c r="I205" s="812">
        <f t="shared" si="55"/>
        <v>0</v>
      </c>
      <c r="J205" s="38" t="b">
        <f>A205=未审报表!A205</f>
        <v>1</v>
      </c>
      <c r="K205" s="75" t="b">
        <f>审定报表!A205=TB!A205</f>
        <v>1</v>
      </c>
    </row>
    <row r="206" spans="1:13">
      <c r="A206" s="830" t="str">
        <f>未审报表!A206</f>
        <v xml:space="preserve">        保单红利支出*</v>
      </c>
      <c r="B206" s="810">
        <f>未审报表!C206</f>
        <v>0</v>
      </c>
      <c r="C206" s="810">
        <f>SUMIFS(调整事项汇总表!$I$7:$I$10020,调整事项汇总表!$D$7:$D$10020,"账项调整",调整事项汇总表!$E$7:$E$10020,IF(OR(MID(TRIM($A206),2,1)="：",MID(TRIM($A206),2,1)="、"),REPLACEB(TRIM($A206),1,4,""),TRIM($A206)))</f>
        <v>0</v>
      </c>
      <c r="D206" s="810">
        <f>SUMIFS(调整事项汇总表!$J$7:$J$10020,调整事项汇总表!$D$7:$D$10020,"账项调整",调整事项汇总表!$E$7:$E$10020,IF(OR(MID(TRIM($A206),2,1)="：",MID(TRIM($A206),2,1)="、"),REPLACEB(TRIM($A206),1,4,""),TRIM($A206)))</f>
        <v>0</v>
      </c>
      <c r="E206" s="810">
        <f>SUMIFS(调整事项汇总表!$I$7:$I$10020,调整事项汇总表!$D$7:$D$10020,"报表调整",调整事项汇总表!$E$7:$E$10020,IF(OR(MID(TRIM($A206),2,1)="：",MID(TRIM($A206),2,1)="、"),REPLACEB(TRIM($A206),1,4,""),TRIM($A206)))</f>
        <v>0</v>
      </c>
      <c r="F206" s="810">
        <f>SUMIFS(调整事项汇总表!$J$7:$J$10020,调整事项汇总表!$D$7:$D$10020,"报表调整",调整事项汇总表!$E$7:$E$10020,IF(OR(MID(TRIM($A206),2,1)="：",MID(TRIM($A206),2,1)="、"),REPLACEB(TRIM($A206),1,4,""),TRIM($A206)))</f>
        <v>0</v>
      </c>
      <c r="G206" s="810">
        <f>SUMIFS(调整事项汇总表!$I$7:$I$10020,调整事项汇总表!$D$7:$D$10020,"其他",调整事项汇总表!$E$7:$E$10020,IF(OR(MID(TRIM($A206),2,1)="：",MID(TRIM($A206),2,1)="、"),REPLACEB(TRIM($A206),1,4,""),TRIM($A206)))</f>
        <v>0</v>
      </c>
      <c r="H206" s="810">
        <f>SUMIFS(调整事项汇总表!$J$7:$J$10020,调整事项汇总表!$D$7:$D$10020,"其他",调整事项汇总表!$E$7:$E$10020,IF(OR(MID(TRIM($A206),2,1)="：",MID(TRIM($A206),2,1)="、"),REPLACEB(TRIM($A206),1,4,""),TRIM($A206)))</f>
        <v>0</v>
      </c>
      <c r="I206" s="812">
        <f t="shared" si="55"/>
        <v>0</v>
      </c>
      <c r="J206" s="38" t="b">
        <f>A206=未审报表!A206</f>
        <v>1</v>
      </c>
      <c r="K206" s="75" t="b">
        <f>审定报表!A206=TB!A206</f>
        <v>1</v>
      </c>
    </row>
    <row r="207" spans="1:13">
      <c r="A207" s="830" t="str">
        <f>未审报表!A207</f>
        <v xml:space="preserve">        分保费用*</v>
      </c>
      <c r="B207" s="810">
        <f>未审报表!C207</f>
        <v>0</v>
      </c>
      <c r="C207" s="810">
        <f>SUMIFS(调整事项汇总表!$I$7:$I$10020,调整事项汇总表!$D$7:$D$10020,"账项调整",调整事项汇总表!$E$7:$E$10020,IF(OR(MID(TRIM($A207),2,1)="：",MID(TRIM($A207),2,1)="、"),REPLACEB(TRIM($A207),1,4,""),TRIM($A207)))</f>
        <v>0</v>
      </c>
      <c r="D207" s="810">
        <f>SUMIFS(调整事项汇总表!$J$7:$J$10020,调整事项汇总表!$D$7:$D$10020,"账项调整",调整事项汇总表!$E$7:$E$10020,IF(OR(MID(TRIM($A207),2,1)="：",MID(TRIM($A207),2,1)="、"),REPLACEB(TRIM($A207),1,4,""),TRIM($A207)))</f>
        <v>0</v>
      </c>
      <c r="E207" s="810">
        <f>SUMIFS(调整事项汇总表!$I$7:$I$10020,调整事项汇总表!$D$7:$D$10020,"报表调整",调整事项汇总表!$E$7:$E$10020,IF(OR(MID(TRIM($A207),2,1)="：",MID(TRIM($A207),2,1)="、"),REPLACEB(TRIM($A207),1,4,""),TRIM($A207)))</f>
        <v>0</v>
      </c>
      <c r="F207" s="810">
        <f>SUMIFS(调整事项汇总表!$J$7:$J$10020,调整事项汇总表!$D$7:$D$10020,"报表调整",调整事项汇总表!$E$7:$E$10020,IF(OR(MID(TRIM($A207),2,1)="：",MID(TRIM($A207),2,1)="、"),REPLACEB(TRIM($A207),1,4,""),TRIM($A207)))</f>
        <v>0</v>
      </c>
      <c r="G207" s="810">
        <f>SUMIFS(调整事项汇总表!$I$7:$I$10020,调整事项汇总表!$D$7:$D$10020,"其他",调整事项汇总表!$E$7:$E$10020,IF(OR(MID(TRIM($A207),2,1)="：",MID(TRIM($A207),2,1)="、"),REPLACEB(TRIM($A207),1,4,""),TRIM($A207)))</f>
        <v>0</v>
      </c>
      <c r="H207" s="810">
        <f>SUMIFS(调整事项汇总表!$J$7:$J$10020,调整事项汇总表!$D$7:$D$10020,"其他",调整事项汇总表!$E$7:$E$10020,IF(OR(MID(TRIM($A207),2,1)="：",MID(TRIM($A207),2,1)="、"),REPLACEB(TRIM($A207),1,4,""),TRIM($A207)))</f>
        <v>0</v>
      </c>
      <c r="I207" s="812">
        <f t="shared" si="55"/>
        <v>0</v>
      </c>
      <c r="J207" s="38" t="b">
        <f>A207=未审报表!A207</f>
        <v>1</v>
      </c>
      <c r="K207" s="75" t="b">
        <f>审定报表!A207=TB!A207</f>
        <v>1</v>
      </c>
    </row>
    <row r="208" spans="1:13">
      <c r="A208" s="830" t="str">
        <f>未审报表!A208</f>
        <v xml:space="preserve">        税金及附加</v>
      </c>
      <c r="B208" s="810">
        <f>未审报表!C208</f>
        <v>139506.91</v>
      </c>
      <c r="C208" s="810">
        <f>SUMIFS(调整事项汇总表!$I$7:$I$10020,调整事项汇总表!$D$7:$D$10020,"账项调整",调整事项汇总表!$E$7:$E$10020,IF(OR(MID(TRIM($A208),2,1)="：",MID(TRIM($A208),2,1)="、"),REPLACEB(TRIM($A208),1,4,""),TRIM($A208)))</f>
        <v>0</v>
      </c>
      <c r="D208" s="810">
        <f>SUMIFS(调整事项汇总表!$J$7:$J$10020,调整事项汇总表!$D$7:$D$10020,"账项调整",调整事项汇总表!$E$7:$E$10020,IF(OR(MID(TRIM($A208),2,1)="：",MID(TRIM($A208),2,1)="、"),REPLACEB(TRIM($A208),1,4,""),TRIM($A208)))</f>
        <v>0</v>
      </c>
      <c r="E208" s="810">
        <f>SUMIFS(调整事项汇总表!$I$7:$I$10020,调整事项汇总表!$D$7:$D$10020,"报表调整",调整事项汇总表!$E$7:$E$10020,IF(OR(MID(TRIM($A208),2,1)="：",MID(TRIM($A208),2,1)="、"),REPLACEB(TRIM($A208),1,4,""),TRIM($A208)))</f>
        <v>0</v>
      </c>
      <c r="F208" s="810">
        <f>SUMIFS(调整事项汇总表!$J$7:$J$10020,调整事项汇总表!$D$7:$D$10020,"报表调整",调整事项汇总表!$E$7:$E$10020,IF(OR(MID(TRIM($A208),2,1)="：",MID(TRIM($A208),2,1)="、"),REPLACEB(TRIM($A208),1,4,""),TRIM($A208)))</f>
        <v>0</v>
      </c>
      <c r="G208" s="810">
        <f>SUMIFS(调整事项汇总表!$I$7:$I$10020,调整事项汇总表!$D$7:$D$10020,"其他",调整事项汇总表!$E$7:$E$10020,IF(OR(MID(TRIM($A208),2,1)="：",MID(TRIM($A208),2,1)="、"),REPLACEB(TRIM($A208),1,4,""),TRIM($A208)))</f>
        <v>0</v>
      </c>
      <c r="H208" s="810">
        <f>SUMIFS(调整事项汇总表!$J$7:$J$10020,调整事项汇总表!$D$7:$D$10020,"其他",调整事项汇总表!$E$7:$E$10020,IF(OR(MID(TRIM($A208),2,1)="：",MID(TRIM($A208),2,1)="、"),REPLACEB(TRIM($A208),1,4,""),TRIM($A208)))</f>
        <v>0</v>
      </c>
      <c r="I208" s="812">
        <f t="shared" si="55"/>
        <v>139506.91</v>
      </c>
      <c r="J208" s="38" t="b">
        <f>A208=未审报表!A208</f>
        <v>1</v>
      </c>
      <c r="K208" s="75" t="b">
        <f>审定报表!A208=TB!A208</f>
        <v>1</v>
      </c>
      <c r="M208" s="38">
        <v>6110040.2799999993</v>
      </c>
    </row>
    <row r="209" spans="1:11">
      <c r="A209" s="830" t="str">
        <f>未审报表!A209</f>
        <v xml:space="preserve">        销售费用</v>
      </c>
      <c r="B209" s="810">
        <f>未审报表!C209</f>
        <v>0</v>
      </c>
      <c r="C209" s="810">
        <f>SUMIFS(调整事项汇总表!$I$7:$I$10020,调整事项汇总表!$D$7:$D$10020,"账项调整",调整事项汇总表!$E$7:$E$10020,IF(OR(MID(TRIM($A209),2,1)="：",MID(TRIM($A209),2,1)="、"),REPLACEB(TRIM($A209),1,4,""),TRIM($A209)))</f>
        <v>0</v>
      </c>
      <c r="D209" s="810">
        <f>SUMIFS(调整事项汇总表!$J$7:$J$10020,调整事项汇总表!$D$7:$D$10020,"账项调整",调整事项汇总表!$E$7:$E$10020,IF(OR(MID(TRIM($A209),2,1)="：",MID(TRIM($A209),2,1)="、"),REPLACEB(TRIM($A209),1,4,""),TRIM($A209)))</f>
        <v>0</v>
      </c>
      <c r="E209" s="810">
        <f>SUMIFS(调整事项汇总表!$I$7:$I$10020,调整事项汇总表!$D$7:$D$10020,"报表调整",调整事项汇总表!$E$7:$E$10020,IF(OR(MID(TRIM($A209),2,1)="：",MID(TRIM($A209),2,1)="、"),REPLACEB(TRIM($A209),1,4,""),TRIM($A209)))</f>
        <v>0</v>
      </c>
      <c r="F209" s="810">
        <f>SUMIFS(调整事项汇总表!$J$7:$J$10020,调整事项汇总表!$D$7:$D$10020,"报表调整",调整事项汇总表!$E$7:$E$10020,IF(OR(MID(TRIM($A209),2,1)="：",MID(TRIM($A209),2,1)="、"),REPLACEB(TRIM($A209),1,4,""),TRIM($A209)))</f>
        <v>0</v>
      </c>
      <c r="G209" s="810">
        <f>SUMIFS(调整事项汇总表!$I$7:$I$10020,调整事项汇总表!$D$7:$D$10020,"其他",调整事项汇总表!$E$7:$E$10020,IF(OR(MID(TRIM($A209),2,1)="：",MID(TRIM($A209),2,1)="、"),REPLACEB(TRIM($A209),1,4,""),TRIM($A209)))</f>
        <v>0</v>
      </c>
      <c r="H209" s="810">
        <f>SUMIFS(调整事项汇总表!$J$7:$J$10020,调整事项汇总表!$D$7:$D$10020,"其他",调整事项汇总表!$E$7:$E$10020,IF(OR(MID(TRIM($A209),2,1)="：",MID(TRIM($A209),2,1)="、"),REPLACEB(TRIM($A209),1,4,""),TRIM($A209)))</f>
        <v>0</v>
      </c>
      <c r="I209" s="812">
        <f t="shared" si="55"/>
        <v>0</v>
      </c>
      <c r="J209" s="38" t="b">
        <f>A209=未审报表!A209</f>
        <v>1</v>
      </c>
      <c r="K209" s="75" t="b">
        <f>审定报表!A209=TB!A209</f>
        <v>1</v>
      </c>
    </row>
    <row r="210" spans="1:11">
      <c r="A210" s="830" t="str">
        <f>未审报表!A210</f>
        <v xml:space="preserve">        管理费用</v>
      </c>
      <c r="B210" s="810">
        <f>未审报表!C210</f>
        <v>10711569.51</v>
      </c>
      <c r="C210" s="810">
        <f>SUMIFS(调整事项汇总表!$I$7:$I$10020,调整事项汇总表!$D$7:$D$10020,"账项调整",调整事项汇总表!$E$7:$E$10020,IF(OR(MID(TRIM($A210),2,1)="：",MID(TRIM($A210),2,1)="、"),REPLACEB(TRIM($A210),1,4,""),TRIM($A210)))</f>
        <v>6100347.7599999998</v>
      </c>
      <c r="D210" s="810">
        <f>SUMIFS(调整事项汇总表!$J$7:$J$10020,调整事项汇总表!$D$7:$D$10020,"账项调整",调整事项汇总表!$E$7:$E$10020,IF(OR(MID(TRIM($A210),2,1)="：",MID(TRIM($A210),2,1)="、"),REPLACEB(TRIM($A210),1,4,""),TRIM($A210)))</f>
        <v>3657869.5399999996</v>
      </c>
      <c r="E210" s="810">
        <f>SUMIFS(调整事项汇总表!$I$7:$I$10020,调整事项汇总表!$D$7:$D$10020,"报表调整",调整事项汇总表!$E$7:$E$10020,IF(OR(MID(TRIM($A210),2,1)="：",MID(TRIM($A210),2,1)="、"),REPLACEB(TRIM($A210),1,4,""),TRIM($A210)))</f>
        <v>0</v>
      </c>
      <c r="F210" s="810">
        <f>SUMIFS(调整事项汇总表!$J$7:$J$10020,调整事项汇总表!$D$7:$D$10020,"报表调整",调整事项汇总表!$E$7:$E$10020,IF(OR(MID(TRIM($A210),2,1)="：",MID(TRIM($A210),2,1)="、"),REPLACEB(TRIM($A210),1,4,""),TRIM($A210)))</f>
        <v>0</v>
      </c>
      <c r="G210" s="810">
        <f>SUMIFS(调整事项汇总表!$I$7:$I$10020,调整事项汇总表!$D$7:$D$10020,"其他",调整事项汇总表!$E$7:$E$10020,IF(OR(MID(TRIM($A210),2,1)="：",MID(TRIM($A210),2,1)="、"),REPLACEB(TRIM($A210),1,4,""),TRIM($A210)))</f>
        <v>0</v>
      </c>
      <c r="H210" s="810">
        <f>SUMIFS(调整事项汇总表!$J$7:$J$10020,调整事项汇总表!$D$7:$D$10020,"其他",调整事项汇总表!$E$7:$E$10020,IF(OR(MID(TRIM($A210),2,1)="：",MID(TRIM($A210),2,1)="、"),REPLACEB(TRIM($A210),1,4,""),TRIM($A210)))</f>
        <v>0</v>
      </c>
      <c r="I210" s="812">
        <f t="shared" si="55"/>
        <v>13154047.73</v>
      </c>
      <c r="J210" s="38" t="b">
        <f>A210=未审报表!A210</f>
        <v>1</v>
      </c>
      <c r="K210" s="75" t="b">
        <f>审定报表!A210=TB!A210</f>
        <v>1</v>
      </c>
    </row>
    <row r="211" spans="1:11">
      <c r="A211" s="830" t="str">
        <f>未审报表!A211</f>
        <v xml:space="preserve">        研发费用</v>
      </c>
      <c r="B211" s="810">
        <f>未审报表!C211</f>
        <v>0</v>
      </c>
      <c r="C211" s="810">
        <f>SUMIFS(调整事项汇总表!$I$7:$I$10020,调整事项汇总表!$D$7:$D$10020,"账项调整",调整事项汇总表!$E$7:$E$10020,IF(OR(MID(TRIM($A211),2,1)="：",MID(TRIM($A211),2,1)="、"),REPLACEB(TRIM($A211),1,4,""),TRIM($A211)))</f>
        <v>0</v>
      </c>
      <c r="D211" s="810">
        <f>SUMIFS(调整事项汇总表!$J$7:$J$10020,调整事项汇总表!$D$7:$D$10020,"账项调整",调整事项汇总表!$E$7:$E$10020,IF(OR(MID(TRIM($A211),2,1)="：",MID(TRIM($A211),2,1)="、"),REPLACEB(TRIM($A211),1,4,""),TRIM($A211)))</f>
        <v>0</v>
      </c>
      <c r="E211" s="810">
        <f>SUMIFS(调整事项汇总表!$I$7:$I$10020,调整事项汇总表!$D$7:$D$10020,"报表调整",调整事项汇总表!$E$7:$E$10020,IF(OR(MID(TRIM($A211),2,1)="：",MID(TRIM($A211),2,1)="、"),REPLACEB(TRIM($A211),1,4,""),TRIM($A211)))</f>
        <v>0</v>
      </c>
      <c r="F211" s="810">
        <f>SUMIFS(调整事项汇总表!$J$7:$J$10020,调整事项汇总表!$D$7:$D$10020,"报表调整",调整事项汇总表!$E$7:$E$10020,IF(OR(MID(TRIM($A211),2,1)="：",MID(TRIM($A211),2,1)="、"),REPLACEB(TRIM($A211),1,4,""),TRIM($A211)))</f>
        <v>0</v>
      </c>
      <c r="G211" s="810">
        <f>SUMIFS(调整事项汇总表!$I$7:$I$10020,调整事项汇总表!$D$7:$D$10020,"其他",调整事项汇总表!$E$7:$E$10020,IF(OR(MID(TRIM($A211),2,1)="：",MID(TRIM($A211),2,1)="、"),REPLACEB(TRIM($A211),1,4,""),TRIM($A211)))</f>
        <v>0</v>
      </c>
      <c r="H211" s="810">
        <f>SUMIFS(调整事项汇总表!$J$7:$J$10020,调整事项汇总表!$D$7:$D$10020,"其他",调整事项汇总表!$E$7:$E$10020,IF(OR(MID(TRIM($A211),2,1)="：",MID(TRIM($A211),2,1)="、"),REPLACEB(TRIM($A211),1,4,""),TRIM($A211)))</f>
        <v>0</v>
      </c>
      <c r="I211" s="812">
        <f t="shared" si="55"/>
        <v>0</v>
      </c>
      <c r="J211" s="38" t="b">
        <f>A211=未审报表!A211</f>
        <v>1</v>
      </c>
      <c r="K211" s="75" t="b">
        <f>审定报表!A211=TB!A211</f>
        <v>1</v>
      </c>
    </row>
    <row r="212" spans="1:11">
      <c r="A212" s="830" t="str">
        <f>未审报表!A212</f>
        <v xml:space="preserve">        财务费用</v>
      </c>
      <c r="B212" s="810">
        <f>未审报表!C212</f>
        <v>-10051.44</v>
      </c>
      <c r="C212" s="810">
        <f>SUMIFS(调整事项汇总表!$I$7:$I$10020,调整事项汇总表!$D$7:$D$10020,"账项调整",调整事项汇总表!$E$7:$E$10020,IF(OR(MID(TRIM($A212),2,1)="：",MID(TRIM($A212),2,1)="、"),REPLACEB(TRIM($A212),1,4,""),TRIM($A212)))</f>
        <v>10000</v>
      </c>
      <c r="D212" s="810">
        <f>SUMIFS(调整事项汇总表!$J$7:$J$10020,调整事项汇总表!$D$7:$D$10020,"账项调整",调整事项汇总表!$E$7:$E$10020,IF(OR(MID(TRIM($A212),2,1)="：",MID(TRIM($A212),2,1)="、"),REPLACEB(TRIM($A212),1,4,""),TRIM($A212)))</f>
        <v>10000</v>
      </c>
      <c r="E212" s="810">
        <f>SUMIFS(调整事项汇总表!$I$7:$I$10020,调整事项汇总表!$D$7:$D$10020,"报表调整",调整事项汇总表!$E$7:$E$10020,IF(OR(MID(TRIM($A212),2,1)="：",MID(TRIM($A212),2,1)="、"),REPLACEB(TRIM($A212),1,4,""),TRIM($A212)))</f>
        <v>0</v>
      </c>
      <c r="F212" s="810">
        <f>SUMIFS(调整事项汇总表!$J$7:$J$10020,调整事项汇总表!$D$7:$D$10020,"报表调整",调整事项汇总表!$E$7:$E$10020,IF(OR(MID(TRIM($A212),2,1)="：",MID(TRIM($A212),2,1)="、"),REPLACEB(TRIM($A212),1,4,""),TRIM($A212)))</f>
        <v>0</v>
      </c>
      <c r="G212" s="810">
        <f>SUMIFS(调整事项汇总表!$I$7:$I$10020,调整事项汇总表!$D$7:$D$10020,"其他",调整事项汇总表!$E$7:$E$10020,IF(OR(MID(TRIM($A212),2,1)="：",MID(TRIM($A212),2,1)="、"),REPLACEB(TRIM($A212),1,4,""),TRIM($A212)))</f>
        <v>0</v>
      </c>
      <c r="H212" s="810">
        <f>SUMIFS(调整事项汇总表!$J$7:$J$10020,调整事项汇总表!$D$7:$D$10020,"其他",调整事项汇总表!$E$7:$E$10020,IF(OR(MID(TRIM($A212),2,1)="：",MID(TRIM($A212),2,1)="、"),REPLACEB(TRIM($A212),1,4,""),TRIM($A212)))</f>
        <v>0</v>
      </c>
      <c r="I212" s="812">
        <f>B212+C212+E212+G212-D212-F212-H212</f>
        <v>-10051.44</v>
      </c>
      <c r="J212" s="38" t="b">
        <f>A212=未审报表!A212</f>
        <v>1</v>
      </c>
      <c r="K212" s="75" t="b">
        <f>审定报表!A212=TB!A212</f>
        <v>1</v>
      </c>
    </row>
    <row r="213" spans="1:11">
      <c r="A213" s="830" t="str">
        <f>未审报表!A213</f>
        <v xml:space="preserve">        其中：利息费用</v>
      </c>
      <c r="B213" s="810">
        <f>未审报表!C213</f>
        <v>0</v>
      </c>
      <c r="C213" s="810">
        <f>SUMIFS(调整事项汇总表!$I$7:$I$10020,调整事项汇总表!$D$7:$D$10020,"账项调整",调整事项汇总表!$E$7:$E$10020,"财务费用",调整事项汇总表!$F$7:$F$10020,IF(OR(MID(TRIM($A213),3,1)="：",MID(TRIM($A213),2,1)="、"),REPLACEB(TRIM($A213),1,6,""),TRIM($A213)))</f>
        <v>0</v>
      </c>
      <c r="D213" s="810">
        <f>SUMIFS(调整事项汇总表!$J$7:$J$10020,调整事项汇总表!$D$7:$D$10020,"账项调整",调整事项汇总表!$E$7:$E$10020,"财务费用",调整事项汇总表!$F$7:$F$10020,IF(OR(MID(TRIM($A213),3,1)="：",MID(TRIM($A213),2,1)="、"),REPLACEB(TRIM($A213),1,6,""),TRIM($A213)))</f>
        <v>0</v>
      </c>
      <c r="E213" s="810">
        <f>SUMIFS(调整事项汇总表!$I$7:$I$10020,调整事项汇总表!$D$7:$D$10020,"报表调整",调整事项汇总表!$E$7:$E$10020,"财务费用",调整事项汇总表!$F$7:$F$10020,IF(OR(MID(TRIM($A213),3,1)="：",MID(TRIM($A213),2,1)="、"),REPLACEB(TRIM($A213),1,6,""),TRIM($A213)))</f>
        <v>0</v>
      </c>
      <c r="F213" s="810">
        <f>SUMIFS(调整事项汇总表!$J$7:$J$10020,调整事项汇总表!$D$7:$D$10020,"报表调整",调整事项汇总表!$E$7:$E$10020,"财务费用",调整事项汇总表!$F$7:$F$10020,IF(OR(MID(TRIM($A213),3,1)="：",MID(TRIM($A213),2,1)="、"),REPLACEB(TRIM($A213),1,6,""),TRIM($A213)))</f>
        <v>0</v>
      </c>
      <c r="G213" s="810">
        <f>SUMIFS(调整事项汇总表!$I$7:$I$10020,调整事项汇总表!$D$7:$D$10020,"其他",调整事项汇总表!$E$7:$E$10020,"财务费用",调整事项汇总表!$F$7:$F$10020,IF(OR(MID(TRIM($A213),3,1)="：",MID(TRIM($A213),2,1)="、"),REPLACEB(TRIM($A213),1,6,""),TRIM($A213)))</f>
        <v>0</v>
      </c>
      <c r="H213" s="810">
        <f>SUMIFS(调整事项汇总表!$J$7:$J$10020,调整事项汇总表!$D$7:$D$10020,"其他",调整事项汇总表!$E$7:$E$10020,"财务费用",调整事项汇总表!$F$7:$F$10020,IF(OR(MID(TRIM($A213),3,1)="：",MID(TRIM($A213),2,1)="、"),REPLACEB(TRIM($A213),1,6,""),TRIM($A213)))</f>
        <v>0</v>
      </c>
      <c r="I213" s="810">
        <f>B213+C213+E213+G213-H213-F213-D213</f>
        <v>0</v>
      </c>
      <c r="J213" s="38" t="b">
        <f>A213=未审报表!A213</f>
        <v>1</v>
      </c>
      <c r="K213" s="75" t="b">
        <f>审定报表!A213=TB!A213</f>
        <v>1</v>
      </c>
    </row>
    <row r="214" spans="1:11">
      <c r="A214" s="830" t="str">
        <f>未审报表!A214</f>
        <v xml:space="preserve">              利息收入</v>
      </c>
      <c r="B214" s="810">
        <f>未审报表!C214</f>
        <v>10000</v>
      </c>
      <c r="C214" s="810">
        <f>SUMIFS(调整事项汇总表!$I$7:$I$10020,调整事项汇总表!$D$7:$D$10020,"账项调整",调整事项汇总表!$E$7:$E$10020,"财务费用",调整事项汇总表!$F$7:$F$10020,IF(OR(MID(TRIM($A214),3,1)="：",MID(TRIM($A214),2,1)="、"),REPLACEB(TRIM($A214),1,6,""),TRIM($A214)))</f>
        <v>10000</v>
      </c>
      <c r="D214" s="810">
        <f>SUMIFS(调整事项汇总表!$J$7:$J$10020,调整事项汇总表!$D$7:$D$10020,"账项调整",调整事项汇总表!$E$7:$E$10020,"财务费用",调整事项汇总表!$F$7:$F$10020,IF(OR(MID(TRIM($A214),3,1)="：",MID(TRIM($A214),2,1)="、"),REPLACEB(TRIM($A214),1,6,""),TRIM($A214)))</f>
        <v>0</v>
      </c>
      <c r="E214" s="810">
        <f>SUMIFS(调整事项汇总表!$I$7:$I$10020,调整事项汇总表!$D$7:$D$10020,"报表调整",调整事项汇总表!$E$7:$E$10020,"财务费用",调整事项汇总表!$F$7:$F$10020,IF(OR(MID(TRIM($A214),3,1)="：",MID(TRIM($A214),2,1)="、"),REPLACEB(TRIM($A214),1,6,""),TRIM($A214)))</f>
        <v>0</v>
      </c>
      <c r="F214" s="810">
        <f>SUMIFS(调整事项汇总表!$J$7:$J$10020,调整事项汇总表!$D$7:$D$10020,"报表调整",调整事项汇总表!$E$7:$E$10020,"财务费用",调整事项汇总表!$F$7:$F$10020,IF(OR(MID(TRIM($A214),3,1)="：",MID(TRIM($A214),2,1)="、"),REPLACEB(TRIM($A214),1,6,""),TRIM($A214)))</f>
        <v>0</v>
      </c>
      <c r="G214" s="810">
        <f>SUMIFS(调整事项汇总表!$I$7:$I$10020,调整事项汇总表!$D$7:$D$10020,"其他",调整事项汇总表!$E$7:$E$10020,"财务费用",调整事项汇总表!$F$7:$F$10020,IF(OR(MID(TRIM($A214),3,1)="：",MID(TRIM($A214),2,1)="、"),REPLACEB(TRIM($A214),1,6,""),TRIM($A214)))</f>
        <v>0</v>
      </c>
      <c r="H214" s="810">
        <f>SUMIFS(调整事项汇总表!$J$7:$J$10020,调整事项汇总表!$D$7:$D$10020,"其他",调整事项汇总表!$E$7:$E$10020,"财务费用",调整事项汇总表!$F$7:$F$10020,IF(OR(MID(TRIM($A214),3,1)="：",MID(TRIM($A214),2,1)="、"),REPLACEB(TRIM($A214),1,6,""),TRIM($A214)))</f>
        <v>0</v>
      </c>
      <c r="I214" s="810">
        <f>B214+D214+F214+H214-G214-E214-C214</f>
        <v>0</v>
      </c>
      <c r="J214" s="38" t="b">
        <f>A214=未审报表!A214</f>
        <v>1</v>
      </c>
      <c r="K214" s="75" t="b">
        <f>审定报表!A214=TB!A214</f>
        <v>1</v>
      </c>
    </row>
    <row r="215" spans="1:11">
      <c r="A215" s="830" t="str">
        <f>未审报表!A215</f>
        <v xml:space="preserve">              汇兑净损失（净收益以“－”号填列）</v>
      </c>
      <c r="B215" s="810">
        <f>未审报表!C215</f>
        <v>-234</v>
      </c>
      <c r="C215" s="810">
        <f>SUMIFS(调整事项汇总表!$I$7:$I$10020,调整事项汇总表!$D$7:$D$10020,"账项调整",调整事项汇总表!$E$7:$E$10020,"财务费用",调整事项汇总表!$F$7:$F$10020,LEFT(IF(OR(MID(TRIM($A215),3,1)="：",MID(TRIM($A215),2,1)="、"),REPLACEB(TRIM($A215),1,6,""),TRIM($A215)),FIND("（",TRIM(A215))-1))</f>
        <v>0</v>
      </c>
      <c r="D215" s="810">
        <f>SUMIFS(调整事项汇总表!$J$7:$J$10020,调整事项汇总表!$D$7:$D$10020,"账项调整",调整事项汇总表!$E$7:$E$10020,"财务费用",调整事项汇总表!$F$7:$F$10020,LEFT(IF(OR(MID(TRIM($A215),3,1)="：",MID(TRIM($A215),2,1)="、"),REPLACEB(TRIM($A215),1,6,""),TRIM($A215)),FIND("（",TRIM(A215))-1))</f>
        <v>10000</v>
      </c>
      <c r="E215" s="810">
        <f>SUMIFS(调整事项汇总表!$I$7:$I$10020,调整事项汇总表!$D$7:$D$10020,"报表调整",调整事项汇总表!$E$7:$E$10020,"财务费用",调整事项汇总表!$F$7:$F$10020,LEFT(IF(OR(MID(TRIM($A215),3,1)="：",MID(TRIM($A215),2,1)="、"),REPLACEB(TRIM($A215),1,6,""),TRIM($A215)),FIND("（",TRIM(A215))-1))</f>
        <v>0</v>
      </c>
      <c r="F215" s="810">
        <f>SUMIFS(调整事项汇总表!$J$7:$J$10020,调整事项汇总表!$D$7:$D$10020,"报表调整",调整事项汇总表!$E$7:$E$10020,"财务费用",调整事项汇总表!$F$7:$F$10020,LEFT(IF(OR(MID(TRIM($A215),3,1)="：",MID(TRIM($A215),2,1)="、"),REPLACEB(TRIM($A215),1,6,""),TRIM($A215)),FIND("（",TRIM(A215))-1))</f>
        <v>0</v>
      </c>
      <c r="G215" s="810">
        <f>SUMIFS(调整事项汇总表!$I$7:$I$10020,调整事项汇总表!$D$7:$D$10020,"其他",调整事项汇总表!$E$7:$E$10020,"财务费用",调整事项汇总表!$F$7:$F$10020,LEFT(IF(OR(MID(TRIM($A215),3,1)="：",MID(TRIM($A215),2,1)="、"),REPLACEB(TRIM($A215),1,6,""),TRIM($A215)),FIND("（",TRIM(A215))-1))</f>
        <v>0</v>
      </c>
      <c r="H215" s="810">
        <f>SUMIFS(调整事项汇总表!$J$7:$J$10020,调整事项汇总表!$D$7:$D$10020,"其他",调整事项汇总表!$E$7:$E$10020,"财务费用",调整事项汇总表!$F$7:$F$10020,LEFT(IF(OR(MID(TRIM($A215),3,1)="：",MID(TRIM($A215),2,1)="、"),REPLACEB(TRIM($A215),1,6,""),TRIM($A215)),FIND("（",TRIM(A215))-1))</f>
        <v>0</v>
      </c>
      <c r="I215" s="810">
        <f>B215+C215+E215+G215-H215-F215-D215</f>
        <v>-10234</v>
      </c>
      <c r="J215" s="38" t="b">
        <f>A215=未审报表!A215</f>
        <v>1</v>
      </c>
      <c r="K215" s="75" t="b">
        <f>审定报表!A215=TB!A215</f>
        <v>1</v>
      </c>
    </row>
    <row r="216" spans="1:11">
      <c r="A216" s="830" t="str">
        <f>未审报表!A216</f>
        <v xml:space="preserve">      其他</v>
      </c>
      <c r="B216" s="810">
        <f>未审报表!C216</f>
        <v>0</v>
      </c>
      <c r="C216" s="810">
        <f>SUMIFS(调整事项汇总表!$I$7:$I$10020,调整事项汇总表!$D$7:$D$10020,"账项调整",调整事项汇总表!$E$7:$E$10020,IF(OR(MID(TRIM($A216),2,1)="：",MID(TRIM($A216),2,1)="、"),REPLACEB(TRIM($A216),1,4,""),TRIM($A216)))</f>
        <v>0</v>
      </c>
      <c r="D216" s="810">
        <f>SUMIFS(调整事项汇总表!$J$7:$J$10020,调整事项汇总表!$D$7:$D$10020,"账项调整",调整事项汇总表!$E$7:$E$10020,IF(OR(MID(TRIM($A216),2,1)="：",MID(TRIM($A216),2,1)="、"),REPLACEB(TRIM($A216),1,4,""),TRIM($A216)))</f>
        <v>0</v>
      </c>
      <c r="E216" s="810">
        <f>SUMIFS(调整事项汇总表!$I$7:$I$10020,调整事项汇总表!$D$7:$D$10020,"报表调整",调整事项汇总表!$E$7:$E$10020,IF(OR(MID(TRIM($A216),2,1)="：",MID(TRIM($A216),2,1)="、"),REPLACEB(TRIM($A216),1,4,""),TRIM($A216)))</f>
        <v>0</v>
      </c>
      <c r="F216" s="810">
        <f>SUMIFS(调整事项汇总表!$J$7:$J$10020,调整事项汇总表!$D$7:$D$10020,"报表调整",调整事项汇总表!$E$7:$E$10020,IF(OR(MID(TRIM($A216),2,1)="：",MID(TRIM($A216),2,1)="、"),REPLACEB(TRIM($A216),1,4,""),TRIM($A216)))</f>
        <v>0</v>
      </c>
      <c r="G216" s="810">
        <f>SUMIFS(调整事项汇总表!$I$7:$I$10020,调整事项汇总表!$D$7:$D$10020,"其他",调整事项汇总表!$E$7:$E$10020,IF(OR(MID(TRIM($A216),2,1)="：",MID(TRIM($A216),2,1)="、"),REPLACEB(TRIM($A216),1,4,""),TRIM($A216)))</f>
        <v>0</v>
      </c>
      <c r="H216" s="810">
        <f>SUMIFS(调整事项汇总表!$J$7:$J$10020,调整事项汇总表!$D$7:$D$10020,"其他",调整事项汇总表!$E$7:$E$10020,IF(OR(MID(TRIM($A216),2,1)="：",MID(TRIM($A216),2,1)="、"),REPLACEB(TRIM($A216),1,4,""),TRIM($A216)))</f>
        <v>0</v>
      </c>
      <c r="I216" s="810">
        <f>B216+C216+E216+G216-H216-F216-D216</f>
        <v>0</v>
      </c>
      <c r="J216" s="38" t="b">
        <f>A216=未审报表!A216</f>
        <v>1</v>
      </c>
      <c r="K216" s="75" t="b">
        <f>审定报表!A216=TB!A216</f>
        <v>1</v>
      </c>
    </row>
    <row r="217" spans="1:11">
      <c r="A217" s="830" t="str">
        <f>未审报表!A217</f>
        <v xml:space="preserve">    加：其他收益</v>
      </c>
      <c r="B217" s="810">
        <f>未审报表!C217</f>
        <v>0</v>
      </c>
      <c r="C217" s="810">
        <f>SUMIFS(调整事项汇总表!$I$7:$I$10020,调整事项汇总表!$D$7:$D$10020,"账项调整",调整事项汇总表!$E$7:$E$10020,IF(OR(MID(TRIM($A217),2,1)="：",MID(TRIM($A217),2,1)="、"),REPLACEB(TRIM($A217),1,4,""),TRIM($A217)))</f>
        <v>0</v>
      </c>
      <c r="D217" s="810">
        <f>SUMIFS(调整事项汇总表!$J$7:$J$10020,调整事项汇总表!$D$7:$D$10020,"账项调整",调整事项汇总表!$E$7:$E$10020,IF(OR(MID(TRIM($A217),2,1)="：",MID(TRIM($A217),2,1)="、"),REPLACEB(TRIM($A217),1,4,""),TRIM($A217)))</f>
        <v>0</v>
      </c>
      <c r="E217" s="810">
        <f>SUMIFS(调整事项汇总表!$I$7:$I$10020,调整事项汇总表!$D$7:$D$10020,"报表调整",调整事项汇总表!$E$7:$E$10020,IF(OR(MID(TRIM($A217),2,1)="：",MID(TRIM($A217),2,1)="、"),REPLACEB(TRIM($A217),1,4,""),TRIM($A217)))</f>
        <v>0</v>
      </c>
      <c r="F217" s="810">
        <f>SUMIFS(调整事项汇总表!$J$7:$J$10020,调整事项汇总表!$D$7:$D$10020,"报表调整",调整事项汇总表!$E$7:$E$10020,IF(OR(MID(TRIM($A217),2,1)="：",MID(TRIM($A217),2,1)="、"),REPLACEB(TRIM($A217),1,4,""),TRIM($A217)))</f>
        <v>0</v>
      </c>
      <c r="G217" s="810">
        <f>SUMIFS(调整事项汇总表!$I$7:$I$10020,调整事项汇总表!$D$7:$D$10020,"其他",调整事项汇总表!$E$7:$E$10020,IF(OR(MID(TRIM($A217),2,1)="：",MID(TRIM($A217),2,1)="、"),REPLACEB(TRIM($A217),1,4,""),TRIM($A217)))</f>
        <v>0</v>
      </c>
      <c r="H217" s="810">
        <f>SUMIFS(调整事项汇总表!$J$7:$J$10020,调整事项汇总表!$D$7:$D$10020,"其他",调整事项汇总表!$E$7:$E$10020,IF(OR(MID(TRIM($A217),2,1)="：",MID(TRIM($A217),2,1)="、"),REPLACEB(TRIM($A217),1,4,""),TRIM($A217)))</f>
        <v>0</v>
      </c>
      <c r="I217" s="810">
        <f>B217+D217+F217+H217-G217-E217-C217</f>
        <v>0</v>
      </c>
      <c r="J217" s="38" t="b">
        <f>A217=未审报表!A217</f>
        <v>1</v>
      </c>
      <c r="K217" s="75" t="b">
        <f>审定报表!A217=TB!A217</f>
        <v>1</v>
      </c>
    </row>
    <row r="218" spans="1:11">
      <c r="A218" s="830" t="str">
        <f>未审报表!A218</f>
        <v xml:space="preserve">        投资收益（损失以“－”号填列）</v>
      </c>
      <c r="B218" s="810">
        <f>未审报表!C218</f>
        <v>22947224.460000001</v>
      </c>
      <c r="C218" s="810">
        <f>SUMIFS(调整事项汇总表!$I$7:$I$10020,调整事项汇总表!$D$7:$D$10020,"账项调整",调整事项汇总表!$E$7:$E$10020,LEFT(IF(OR(MID(TRIM($A218),2,1)="：",MID(TRIM($A218),2,1)="、"),REPLACEB(TRIM($A218),1,4,""),TRIM($A218)),FIND("（",TRIM(A218))-1))</f>
        <v>0</v>
      </c>
      <c r="D218" s="810">
        <f>SUMIFS(调整事项汇总表!$J$7:$J$10020,调整事项汇总表!$D$7:$D$10020,"账项调整",调整事项汇总表!$E$7:$E$10020,LEFT(IF(OR(MID(TRIM($A218),2,1)="：",MID(TRIM($A218),2,1)="、"),REPLACEB(TRIM($A218),1,4,""),TRIM($A218)),FIND("（",TRIM(A218))-1))</f>
        <v>120002.16</v>
      </c>
      <c r="E218" s="810">
        <f>SUMIFS(调整事项汇总表!$I$7:$I$10020,调整事项汇总表!$D$7:$D$10020,"报表调整",调整事项汇总表!$E$7:$E$10020,LEFT(IF(OR(MID(TRIM($A218),2,1)="：",MID(TRIM($A218),2,1)="、"),REPLACEB(TRIM($A218),1,4,""),TRIM($A218)),FIND("（",TRIM(A218))-1))</f>
        <v>0</v>
      </c>
      <c r="F218" s="810">
        <f>SUMIFS(调整事项汇总表!$J$7:$J$10020,调整事项汇总表!$D$7:$D$10020,"报表调整",调整事项汇总表!$E$7:$E$10020,LEFT(IF(OR(MID(TRIM($A218),2,1)="：",MID(TRIM($A218),2,1)="、"),REPLACEB(TRIM($A218),1,4,""),TRIM($A218)),FIND("（",TRIM(A218))-1))</f>
        <v>0</v>
      </c>
      <c r="G218" s="810">
        <f>SUMIFS(调整事项汇总表!$I$7:$I$10020,调整事项汇总表!$D$7:$D$10020,"其他",调整事项汇总表!$E$7:$E$10020,LEFT(IF(OR(MID(TRIM($A218),2,1)="：",MID(TRIM($A218),2,1)="、"),REPLACEB(TRIM($A218),1,4,""),TRIM($A218)),FIND("（",TRIM(A218))-1))</f>
        <v>0</v>
      </c>
      <c r="H218" s="810">
        <f>SUMIFS(调整事项汇总表!$J$7:$J$10020,调整事项汇总表!$D$7:$D$10020,"其他",调整事项汇总表!$E$7:$E$10020,LEFT(IF(OR(MID(TRIM($A218),2,1)="：",MID(TRIM($A218),2,1)="、"),REPLACEB(TRIM($A218),1,4,""),TRIM($A218)),FIND("（",TRIM(A218))-1))</f>
        <v>0</v>
      </c>
      <c r="I218" s="810">
        <f>B218+D218+F218+H218-G218-E218-C218</f>
        <v>23067226.620000001</v>
      </c>
      <c r="J218" s="38" t="b">
        <f>A218=未审报表!A218</f>
        <v>1</v>
      </c>
      <c r="K218" s="75" t="b">
        <f>审定报表!A218=TB!A218</f>
        <v>1</v>
      </c>
    </row>
    <row r="219" spans="1:11">
      <c r="A219" s="830" t="str">
        <f>未审报表!A219</f>
        <v xml:space="preserve">        其中：对联营企业和合营企业的投资收益</v>
      </c>
      <c r="B219" s="810">
        <f>未审报表!C219</f>
        <v>22947224.460000001</v>
      </c>
      <c r="C219" s="810">
        <f>SUMIFS(调整事项汇总表!$I$7:$I$10020,调整事项汇总表!$D$7:$D$10020,"账项调整",调整事项汇总表!$E$7:$E$10020,"投资收益",调整事项汇总表!$F$7:$F$10020,IF(OR(MID(TRIM($A219),3,1)="：",MID(TRIM($A219),2,1)="、"),REPLACEB(TRIM($A219),1,6,""),TRIM($A219)))</f>
        <v>0</v>
      </c>
      <c r="D219" s="810">
        <f>SUMIFS(调整事项汇总表!$J$7:$J$10020,调整事项汇总表!$D$7:$D$10020,"账项调整",调整事项汇总表!$E$7:$E$10020,"投资收益",调整事项汇总表!$F$7:$F$10020,IF(OR(MID(TRIM($A219),3,1)="：",MID(TRIM($A219),2,1)="、"),REPLACEB(TRIM($A219),1,6,""),TRIM($A219)))</f>
        <v>120002.16</v>
      </c>
      <c r="E219" s="810">
        <f>SUMIFS(调整事项汇总表!$I$7:$I$10020,调整事项汇总表!$D$7:$D$10020,"报表调整",调整事项汇总表!$E$7:$E$10020,"投资收益",调整事项汇总表!$F$7:$F$10020,IF(OR(MID(TRIM($A219),3,1)="：",MID(TRIM($A219),2,1)="、"),REPLACEB(TRIM($A219),1,6,""),TRIM($A219)))</f>
        <v>0</v>
      </c>
      <c r="F219" s="810">
        <f>SUMIFS(调整事项汇总表!$J$7:$J$10020,调整事项汇总表!$D$7:$D$10020,"报表调整",调整事项汇总表!$E$7:$E$10020,"投资收益",调整事项汇总表!$F$7:$F$10020,IF(OR(MID(TRIM($A219),3,1)="：",MID(TRIM($A219),2,1)="、"),REPLACEB(TRIM($A219),1,6,""),TRIM($A219)))</f>
        <v>0</v>
      </c>
      <c r="G219" s="810">
        <f>SUMIFS(调整事项汇总表!$I$7:$I$10020,调整事项汇总表!$D$7:$D$10020,"其他",调整事项汇总表!$E$7:$E$10020,"投资收益",调整事项汇总表!$F$7:$F$10020,IF(OR(MID(TRIM($A219),3,1)="：",MID(TRIM($A219),2,1)="、"),REPLACEB(TRIM($A219),1,6,""),TRIM($A219)))</f>
        <v>0</v>
      </c>
      <c r="H219" s="810">
        <f>SUMIFS(调整事项汇总表!$J$7:$J$10020,调整事项汇总表!$D$7:$D$10020,"其他",调整事项汇总表!$E$7:$E$10020,"投资收益",调整事项汇总表!$F$7:$F$10020,IF(OR(MID(TRIM($A219),3,1)="：",MID(TRIM($A219),2,1)="、"),REPLACEB(TRIM($A219),1,6,""),TRIM($A219)))</f>
        <v>0</v>
      </c>
      <c r="I219" s="810">
        <f t="shared" ref="I219" si="56">B219+D219+F219+H219-G219-E219-C219</f>
        <v>23067226.620000001</v>
      </c>
      <c r="J219" s="38" t="b">
        <f>A219=未审报表!A219</f>
        <v>1</v>
      </c>
      <c r="K219" s="75" t="b">
        <f>审定报表!A219=TB!A219</f>
        <v>1</v>
      </c>
    </row>
    <row r="220" spans="1:11">
      <c r="A220" s="830" t="str">
        <f>未审报表!A220</f>
        <v xml:space="preserve">              以摊余成本计量的金融资产终止确认收益（损失以“-”号填列）</v>
      </c>
      <c r="B220" s="810">
        <f>未审报表!C220</f>
        <v>0</v>
      </c>
      <c r="C220" s="810">
        <f>SUMIFS(调整事项汇总表!$I$7:$I$10020,调整事项汇总表!$D$7:$D$10020,"账项调整",调整事项汇总表!$E$7:$E$10020,"投资收益",调整事项汇总表!$F$7:$F$10020,LEFT(IF(OR(MID(TRIM($A220),3,1)="：",MID(TRIM($A220),2,1)="、"),REPLACEB(TRIM($A220),1,6,""),TRIM($A220)),FIND("（",TRIM(A220))-1))</f>
        <v>0</v>
      </c>
      <c r="D220" s="810">
        <f>SUMIFS(调整事项汇总表!$J$7:$J$10020,调整事项汇总表!$D$7:$D$10020,"账项调整",调整事项汇总表!$E$7:$E$10020,"投资收益",调整事项汇总表!$F$7:$F$10020,LEFT(IF(OR(MID(TRIM($A220),3,1)="：",MID(TRIM($A220),2,1)="、"),REPLACEB(TRIM($A220),1,6,""),TRIM($A220)),FIND("（",TRIM(A220))-1))</f>
        <v>0</v>
      </c>
      <c r="E220" s="810">
        <f>SUMIFS(调整事项汇总表!$I$7:$I$10020,调整事项汇总表!$D$7:$D$10020,"报表调整",调整事项汇总表!$E$7:$E$10020,"投资收益",调整事项汇总表!$F$7:$F$10020,LEFT(IF(OR(MID(TRIM($A220),3,1)="：",MID(TRIM($A220),2,1)="、"),REPLACEB(TRIM($A220),1,6,""),TRIM($A220)),FIND("（",TRIM(A220))-1))</f>
        <v>0</v>
      </c>
      <c r="F220" s="810">
        <f>SUMIFS(调整事项汇总表!$J$7:$J$10020,调整事项汇总表!$D$7:$D$10020,"报表调整",调整事项汇总表!$E$7:$E$10020,"投资收益",调整事项汇总表!$F$7:$F$10020,LEFT(IF(OR(MID(TRIM($A220),3,1)="：",MID(TRIM($A220),2,1)="、"),REPLACEB(TRIM($A220),1,6,""),TRIM($A220)),FIND("（",TRIM(A220))-1))</f>
        <v>0</v>
      </c>
      <c r="G220" s="810">
        <f>SUMIFS(调整事项汇总表!$I$7:$I$10020,调整事项汇总表!$D$7:$D$10020,"其他",调整事项汇总表!$E$7:$E$10020,"投资收益",调整事项汇总表!$F$7:$F$10020,LEFT(IF(OR(MID(TRIM($A220),3,1)="：",MID(TRIM($A220),2,1)="、"),REPLACEB(TRIM($A220),1,6,""),TRIM($A220)),FIND("（",TRIM(A220))-1))</f>
        <v>0</v>
      </c>
      <c r="H220" s="810">
        <f>SUMIFS(调整事项汇总表!$J$7:$J$10020,调整事项汇总表!$D$7:$D$10020,"其他",调整事项汇总表!$E$7:$E$10020,"投资收益",调整事项汇总表!$F$7:$F$10020,LEFT(IF(OR(MID(TRIM($A220),3,1)="：",MID(TRIM($A220),2,1)="、"),REPLACEB(TRIM($A220),1,6,""),TRIM($A220)),FIND("（",TRIM(A220))-18))</f>
        <v>0</v>
      </c>
      <c r="I220" s="810">
        <f>B220+D220+F220+H220-G220-E220-C220</f>
        <v>0</v>
      </c>
      <c r="J220" s="38" t="b">
        <f>A220=未审报表!A220</f>
        <v>1</v>
      </c>
      <c r="K220" s="75" t="b">
        <f>审定报表!A220=TB!A220</f>
        <v>1</v>
      </c>
    </row>
    <row r="221" spans="1:11">
      <c r="A221" s="830" t="str">
        <f>未审报表!A221</f>
        <v xml:space="preserve">        汇兑收益（损失以“-”号填列）*</v>
      </c>
      <c r="B221" s="810">
        <f>未审报表!C221</f>
        <v>0</v>
      </c>
      <c r="C221" s="810">
        <f>SUMIFS(调整事项汇总表!$I$7:$I$10020,调整事项汇总表!$D$7:$D$10020,"账项调整",调整事项汇总表!$E$7:$E$10020,LEFT(IF(OR(MID(TRIM($A221),2,1)="：",MID(TRIM($A221),2,1)="、"),REPLACEB(TRIM($A221),1,4,""),TRIM($A221)),FIND("（",TRIM(A221))-1))</f>
        <v>0</v>
      </c>
      <c r="D221" s="810">
        <f>SUMIFS(调整事项汇总表!$J$7:$J$10020,调整事项汇总表!$D$7:$D$10020,"账项调整",调整事项汇总表!$E$7:$E$10020,LEFT(IF(OR(MID(TRIM($A221),2,1)="：",MID(TRIM($A221),2,1)="、"),REPLACEB(TRIM($A221),1,4,""),TRIM($A221)),FIND("（",TRIM(A221))-1))</f>
        <v>0</v>
      </c>
      <c r="E221" s="810">
        <f>SUMIFS(调整事项汇总表!$I$7:$I$10020,调整事项汇总表!$D$7:$D$10020,"报表调整",调整事项汇总表!$E$7:$E$10020,LEFT(IF(OR(MID(TRIM($A221),2,1)="：",MID(TRIM($A221),2,1)="、"),REPLACEB(TRIM($A221),1,4,""),TRIM($A221)),FIND("（",TRIM(A221))-1))</f>
        <v>0</v>
      </c>
      <c r="F221" s="810">
        <f>SUMIFS(调整事项汇总表!$J$7:$J$10020,调整事项汇总表!$D$7:$D$10020,"报表调整",调整事项汇总表!$E$7:$E$10020,LEFT(IF(OR(MID(TRIM($A221),2,1)="：",MID(TRIM($A221),2,1)="、"),REPLACEB(TRIM($A221),1,4,""),TRIM($A221)),FIND("（",TRIM(A221))-1))</f>
        <v>0</v>
      </c>
      <c r="G221" s="810">
        <f>SUMIFS(调整事项汇总表!$I$7:$I$10020,调整事项汇总表!$D$7:$D$10020,"其他",调整事项汇总表!$E$7:$E$10020,LEFT(IF(OR(MID(TRIM($A221),2,1)="：",MID(TRIM($A221),2,1)="、"),REPLACEB(TRIM($A221),1,4,""),TRIM($A221)),FIND("（",TRIM(A221))-1))</f>
        <v>0</v>
      </c>
      <c r="H221" s="810">
        <f>SUMIFS(调整事项汇总表!$J$7:$J$10020,调整事项汇总表!$D$7:$D$10020,"其他",调整事项汇总表!$E$7:$E$10020,LEFT(IF(OR(MID(TRIM($A221),2,1)="：",MID(TRIM($A221),2,1)="、"),REPLACEB(TRIM($A221),1,4,""),TRIM($A221)),FIND("（",TRIM(A221))-1))</f>
        <v>0</v>
      </c>
      <c r="I221" s="810">
        <f>B221+D221+F221+H221-G221-E221-C221</f>
        <v>0</v>
      </c>
      <c r="J221" s="38" t="b">
        <f>A221=未审报表!A221</f>
        <v>1</v>
      </c>
      <c r="K221" s="75" t="b">
        <f>审定报表!A221=TB!A221</f>
        <v>1</v>
      </c>
    </row>
    <row r="222" spans="1:11">
      <c r="A222" s="830" t="str">
        <f>未审报表!A222</f>
        <v xml:space="preserve">        净敞口套期收益（损失以“-”号填列）</v>
      </c>
      <c r="B222" s="810">
        <f>未审报表!C222</f>
        <v>0</v>
      </c>
      <c r="C222" s="810">
        <f>SUMIFS(调整事项汇总表!$I$7:$I$10020,调整事项汇总表!$D$7:$D$10020,"账项调整",调整事项汇总表!$E$7:$E$10020,LEFT(IF(OR(MID(TRIM($A222),2,1)="：",MID(TRIM($A222),2,1)="、"),REPLACEB(TRIM($A222),1,4,""),TRIM($A222)),FIND("（",TRIM(A222))-1))</f>
        <v>0</v>
      </c>
      <c r="D222" s="810">
        <f>SUMIFS(调整事项汇总表!$J$7:$J$10020,调整事项汇总表!$D$7:$D$10020,"账项调整",调整事项汇总表!$E$7:$E$10020,LEFT(IF(OR(MID(TRIM($A222),2,1)="：",MID(TRIM($A222),2,1)="、"),REPLACEB(TRIM($A222),1,4,""),TRIM($A222)),FIND("（",TRIM(A222))-1))</f>
        <v>0</v>
      </c>
      <c r="E222" s="810">
        <f>SUMIFS(调整事项汇总表!$I$7:$I$10020,调整事项汇总表!$D$7:$D$10020,"报表调整",调整事项汇总表!$E$7:$E$10020,LEFT(IF(OR(MID(TRIM($A222),2,1)="：",MID(TRIM($A222),2,1)="、"),REPLACEB(TRIM($A222),1,4,""),TRIM($A222)),FIND("（",TRIM(A222))-1))</f>
        <v>0</v>
      </c>
      <c r="F222" s="810">
        <f>SUMIFS(调整事项汇总表!$J$7:$J$10020,调整事项汇总表!$D$7:$D$10020,"报表调整",调整事项汇总表!$E$7:$E$10020,LEFT(IF(OR(MID(TRIM($A222),2,1)="：",MID(TRIM($A222),2,1)="、"),REPLACEB(TRIM($A222),1,4,""),TRIM($A222)),FIND("（",TRIM(A222))-1))</f>
        <v>0</v>
      </c>
      <c r="G222" s="810">
        <f>SUMIFS(调整事项汇总表!$I$7:$I$10020,调整事项汇总表!$D$7:$D$10020,"其他",调整事项汇总表!$E$7:$E$10020,LEFT(IF(OR(MID(TRIM($A222),2,1)="：",MID(TRIM($A222),2,1)="、"),REPLACEB(TRIM($A222),1,4,""),TRIM($A222)),FIND("（",TRIM(A222))-1))</f>
        <v>0</v>
      </c>
      <c r="H222" s="810">
        <f>SUMIFS(调整事项汇总表!$J$7:$J$10020,调整事项汇总表!$D$7:$D$10020,"其他",调整事项汇总表!$E$7:$E$10020,LEFT(IF(OR(MID(TRIM($A222),2,1)="：",MID(TRIM($A222),2,1)="、"),REPLACEB(TRIM($A222),1,4,""),TRIM($A222)),FIND("（",TRIM(A222))-1))</f>
        <v>0</v>
      </c>
      <c r="I222" s="810">
        <f t="shared" ref="I222:I226" si="57">B222+D222+F222+H222-G222-E222-C222</f>
        <v>0</v>
      </c>
      <c r="J222" s="38" t="b">
        <f>A222=未审报表!A222</f>
        <v>1</v>
      </c>
      <c r="K222" s="75" t="b">
        <f>审定报表!A222=TB!A222</f>
        <v>1</v>
      </c>
    </row>
    <row r="223" spans="1:11">
      <c r="A223" s="830" t="str">
        <f>未审报表!A223</f>
        <v xml:space="preserve">        公允价值变动收益（损失以“－”号填列）</v>
      </c>
      <c r="B223" s="810">
        <f>未审报表!C223</f>
        <v>0</v>
      </c>
      <c r="C223" s="810">
        <f>SUMIFS(调整事项汇总表!$I$7:$I$10020,调整事项汇总表!$D$7:$D$10020,"账项调整",调整事项汇总表!$E$7:$E$10020,LEFT(IF(OR(MID(TRIM($A223),2,1)="：",MID(TRIM($A223),2,1)="、"),REPLACEB(TRIM($A223),1,4,""),TRIM($A223)),FIND("（",TRIM(A223))-1))</f>
        <v>0</v>
      </c>
      <c r="D223" s="810">
        <f>SUMIFS(调整事项汇总表!$J$7:$J$10020,调整事项汇总表!$D$7:$D$10020,"账项调整",调整事项汇总表!$E$7:$E$10020,LEFT(IF(OR(MID(TRIM($A223),2,1)="：",MID(TRIM($A223),2,1)="、"),REPLACEB(TRIM($A223),1,4,""),TRIM($A223)),FIND("（",TRIM(A223))-1))</f>
        <v>0</v>
      </c>
      <c r="E223" s="810">
        <f>SUMIFS(调整事项汇总表!$I$7:$I$10020,调整事项汇总表!$D$7:$D$10020,"报表调整",调整事项汇总表!$E$7:$E$10020,LEFT(IF(OR(MID(TRIM($A223),2,1)="：",MID(TRIM($A223),2,1)="、"),REPLACEB(TRIM($A223),1,4,""),TRIM($A223)),FIND("（",TRIM(A223))-1))</f>
        <v>0</v>
      </c>
      <c r="F223" s="810">
        <f>SUMIFS(调整事项汇总表!$J$7:$J$10020,调整事项汇总表!$D$7:$D$10020,"报表调整",调整事项汇总表!$E$7:$E$10020,LEFT(IF(OR(MID(TRIM($A223),2,1)="：",MID(TRIM($A223),2,1)="、"),REPLACEB(TRIM($A223),1,4,""),TRIM($A223)),FIND("（",TRIM(A223))-1))</f>
        <v>0</v>
      </c>
      <c r="G223" s="810">
        <f>SUMIFS(调整事项汇总表!$I$7:$I$10020,调整事项汇总表!$D$7:$D$10020,"其他",调整事项汇总表!$E$7:$E$10020,LEFT(IF(OR(MID(TRIM($A223),2,1)="：",MID(TRIM($A223),2,1)="、"),REPLACEB(TRIM($A223),1,4,""),TRIM($A223)),FIND("（",TRIM(A223))-1))</f>
        <v>0</v>
      </c>
      <c r="H223" s="810">
        <f>SUMIFS(调整事项汇总表!$J$7:$J$10020,调整事项汇总表!$D$7:$D$10020,"其他",调整事项汇总表!$E$7:$E$10020,LEFT(IF(OR(MID(TRIM($A223),2,1)="：",MID(TRIM($A223),2,1)="、"),REPLACEB(TRIM($A223),1,4,""),TRIM($A223)),FIND("（",TRIM(A223))-1))</f>
        <v>0</v>
      </c>
      <c r="I223" s="810">
        <f t="shared" si="57"/>
        <v>0</v>
      </c>
      <c r="J223" s="38" t="b">
        <f>A223=未审报表!A223</f>
        <v>1</v>
      </c>
      <c r="K223" s="75" t="b">
        <f>审定报表!A223=TB!A223</f>
        <v>1</v>
      </c>
    </row>
    <row r="224" spans="1:11">
      <c r="A224" s="830" t="str">
        <f>未审报表!A224</f>
        <v xml:space="preserve">        信用减值损失（损失以“-”号填列）</v>
      </c>
      <c r="B224" s="810">
        <f>未审报表!C224</f>
        <v>-19423.93</v>
      </c>
      <c r="C224" s="810">
        <f>SUMIFS(调整事项汇总表!$I$7:$I$10020,调整事项汇总表!$D$7:$D$10020,"账项调整",调整事项汇总表!$E$7:$E$10020,LEFT(IF(OR(MID(TRIM($A224),2,1)="：",MID(TRIM($A224),2,1)="、"),REPLACEB(TRIM($A224),1,4,""),TRIM($A224)),FIND("（",TRIM(A224))-1))</f>
        <v>281091.07999999996</v>
      </c>
      <c r="D224" s="810">
        <f>SUMIFS(调整事项汇总表!$J$7:$J$10020,调整事项汇总表!$D$7:$D$10020,"账项调整",调整事项汇总表!$E$7:$E$10020,LEFT(IF(OR(MID(TRIM($A224),2,1)="：",MID(TRIM($A224),2,1)="、"),REPLACEB(TRIM($A224),1,4,""),TRIM($A224)),FIND("（",TRIM(A224))-1))</f>
        <v>0</v>
      </c>
      <c r="E224" s="810">
        <f>SUMIFS(调整事项汇总表!$I$7:$I$10020,调整事项汇总表!$D$7:$D$10020,"报表调整",调整事项汇总表!$E$7:$E$10020,LEFT(IF(OR(MID(TRIM($A224),2,1)="：",MID(TRIM($A224),2,1)="、"),REPLACEB(TRIM($A224),1,4,""),TRIM($A224)),FIND("（",TRIM(A224))-1))</f>
        <v>0</v>
      </c>
      <c r="F224" s="810">
        <f>SUMIFS(调整事项汇总表!$J$7:$J$10020,调整事项汇总表!$D$7:$D$10020,"报表调整",调整事项汇总表!$E$7:$E$10020,LEFT(IF(OR(MID(TRIM($A224),2,1)="：",MID(TRIM($A224),2,1)="、"),REPLACEB(TRIM($A224),1,4,""),TRIM($A224)),FIND("（",TRIM(A224))-1))</f>
        <v>0</v>
      </c>
      <c r="G224" s="810">
        <f>SUMIFS(调整事项汇总表!$I$7:$I$10020,调整事项汇总表!$D$7:$D$10020,"其他",调整事项汇总表!$E$7:$E$10020,LEFT(IF(OR(MID(TRIM($A224),2,1)="：",MID(TRIM($A224),2,1)="、"),REPLACEB(TRIM($A224),1,4,""),TRIM($A224)),FIND("（",TRIM(A224))-1))</f>
        <v>0</v>
      </c>
      <c r="H224" s="810">
        <f>SUMIFS(调整事项汇总表!$J$7:$J$10020,调整事项汇总表!$D$7:$D$10020,"其他",调整事项汇总表!$E$7:$E$10020,LEFT(IF(OR(MID(TRIM($A224),2,1)="：",MID(TRIM($A224),2,1)="、"),REPLACEB(TRIM($A224),1,4,""),TRIM($A224)),FIND("（",TRIM(A224))-1))</f>
        <v>0</v>
      </c>
      <c r="I224" s="810">
        <f t="shared" si="57"/>
        <v>-300515.00999999995</v>
      </c>
      <c r="J224" s="38" t="b">
        <f>A224=未审报表!A224</f>
        <v>1</v>
      </c>
      <c r="K224" s="75" t="b">
        <f>审定报表!A224=TB!A224</f>
        <v>1</v>
      </c>
    </row>
    <row r="225" spans="1:13">
      <c r="A225" s="830" t="str">
        <f>未审报表!A225</f>
        <v xml:space="preserve">        资产减值损失（损失以“-”号填列）</v>
      </c>
      <c r="B225" s="810">
        <f>未审报表!C225</f>
        <v>0</v>
      </c>
      <c r="C225" s="810">
        <f>SUMIFS(调整事项汇总表!$I$7:$I$10020,调整事项汇总表!$D$7:$D$10020,"账项调整",调整事项汇总表!$E$7:$E$10020,LEFT(IF(OR(MID(TRIM($A225),2,1)="：",MID(TRIM($A225),2,1)="、"),REPLACEB(TRIM($A225),1,4,""),TRIM($A225)),FIND("（",TRIM(A225))-1))</f>
        <v>0</v>
      </c>
      <c r="D225" s="810">
        <f>SUMIFS(调整事项汇总表!$J$7:$J$10020,调整事项汇总表!$D$7:$D$10020,"账项调整",调整事项汇总表!$E$7:$E$10020,LEFT(IF(OR(MID(TRIM($A225),2,1)="：",MID(TRIM($A225),2,1)="、"),REPLACEB(TRIM($A225),1,4,""),TRIM($A225)),FIND("（",TRIM(A225))-1))</f>
        <v>0</v>
      </c>
      <c r="E225" s="810">
        <f>SUMIFS(调整事项汇总表!$I$7:$I$10020,调整事项汇总表!$D$7:$D$10020,"报表调整",调整事项汇总表!$E$7:$E$10020,LEFT(IF(OR(MID(TRIM($A225),2,1)="：",MID(TRIM($A225),2,1)="、"),REPLACEB(TRIM($A225),1,4,""),TRIM($A225)),FIND("（",TRIM(A225))-1))</f>
        <v>0</v>
      </c>
      <c r="F225" s="810">
        <f>SUMIFS(调整事项汇总表!$J$7:$J$10020,调整事项汇总表!$D$7:$D$10020,"报表调整",调整事项汇总表!$E$7:$E$10020,LEFT(IF(OR(MID(TRIM($A225),2,1)="：",MID(TRIM($A225),2,1)="、"),REPLACEB(TRIM($A225),1,4,""),TRIM($A225)),FIND("（",TRIM(A225))-1))</f>
        <v>0</v>
      </c>
      <c r="G225" s="810">
        <f>SUMIFS(调整事项汇总表!$I$7:$I$10020,调整事项汇总表!$D$7:$D$10020,"其他",调整事项汇总表!$E$7:$E$10020,LEFT(IF(OR(MID(TRIM($A225),2,1)="：",MID(TRIM($A225),2,1)="、"),REPLACEB(TRIM($A225),1,4,""),TRIM($A225)),FIND("（",TRIM(A225))-1))</f>
        <v>0</v>
      </c>
      <c r="H225" s="810">
        <f>SUMIFS(调整事项汇总表!$J$7:$J$10020,调整事项汇总表!$D$7:$D$10020,"其他",调整事项汇总表!$E$7:$E$10020,LEFT(IF(OR(MID(TRIM($A225),2,1)="：",MID(TRIM($A225),2,1)="、"),REPLACEB(TRIM($A225),1,4,""),TRIM($A225)),FIND("（",TRIM(A225))-1))</f>
        <v>0</v>
      </c>
      <c r="I225" s="810">
        <f t="shared" si="57"/>
        <v>0</v>
      </c>
      <c r="J225" s="38" t="b">
        <f>A225=未审报表!A225</f>
        <v>1</v>
      </c>
      <c r="K225" s="75" t="b">
        <f>审定报表!A225=TB!A225</f>
        <v>1</v>
      </c>
    </row>
    <row r="226" spans="1:13">
      <c r="A226" s="830" t="str">
        <f>未审报表!A226</f>
        <v xml:space="preserve">        资产处置收益（损失以“-”号填列）</v>
      </c>
      <c r="B226" s="810">
        <f>未审报表!C226</f>
        <v>0</v>
      </c>
      <c r="C226" s="810">
        <f>SUMIFS(调整事项汇总表!$I$7:$I$10020,调整事项汇总表!$D$7:$D$10020,"账项调整",调整事项汇总表!$E$7:$E$10020,LEFT(IF(OR(MID(TRIM($A226),2,1)="：",MID(TRIM($A226),2,1)="、"),REPLACEB(TRIM($A226),1,4,""),TRIM($A226)),FIND("（",TRIM(A226))-1))</f>
        <v>0</v>
      </c>
      <c r="D226" s="810">
        <f>SUMIFS(调整事项汇总表!$J$7:$J$10020,调整事项汇总表!$D$7:$D$10020,"账项调整",调整事项汇总表!$E$7:$E$10020,LEFT(IF(OR(MID(TRIM($A226),2,1)="：",MID(TRIM($A226),2,1)="、"),REPLACEB(TRIM($A226),1,4,""),TRIM($A226)),FIND("（",TRIM(A226))-1))</f>
        <v>0</v>
      </c>
      <c r="E226" s="810">
        <f>SUMIFS(调整事项汇总表!$I$7:$I$10020,调整事项汇总表!$D$7:$D$10020,"报表调整",调整事项汇总表!$E$7:$E$10020,LEFT(IF(OR(MID(TRIM($A226),2,1)="：",MID(TRIM($A226),2,1)="、"),REPLACEB(TRIM($A226),1,4,""),TRIM($A226)),FIND("（",TRIM(A226))-1))</f>
        <v>0</v>
      </c>
      <c r="F226" s="810">
        <f>SUMIFS(调整事项汇总表!$J$7:$J$10020,调整事项汇总表!$D$7:$D$10020,"报表调整",调整事项汇总表!$E$7:$E$10020,LEFT(IF(OR(MID(TRIM($A226),2,1)="：",MID(TRIM($A226),2,1)="、"),REPLACEB(TRIM($A226),1,4,""),TRIM($A226)),FIND("（",TRIM(A226))-1))</f>
        <v>0</v>
      </c>
      <c r="G226" s="810">
        <f>SUMIFS(调整事项汇总表!$I$7:$I$10020,调整事项汇总表!$D$7:$D$10020,"其他",调整事项汇总表!$E$7:$E$10020,LEFT(IF(OR(MID(TRIM($A226),2,1)="：",MID(TRIM($A226),2,1)="、"),REPLACEB(TRIM($A226),1,4,""),TRIM($A226)),FIND("（",TRIM(A226))-1))</f>
        <v>0</v>
      </c>
      <c r="H226" s="810">
        <f>SUMIFS(调整事项汇总表!$J$7:$J$10020,调整事项汇总表!$D$7:$D$10020,"其他",调整事项汇总表!$E$7:$E$10020,LEFT(IF(OR(MID(TRIM($A226),2,1)="：",MID(TRIM($A226),2,1)="、"),REPLACEB(TRIM($A226),1,4,""),TRIM($A226)),FIND("（",TRIM(A226))-1))</f>
        <v>0</v>
      </c>
      <c r="I226" s="810">
        <f t="shared" si="57"/>
        <v>0</v>
      </c>
      <c r="J226" s="38" t="b">
        <f>A226=未审报表!A226</f>
        <v>1</v>
      </c>
      <c r="K226" s="75" t="b">
        <f>审定报表!A226=TB!A226</f>
        <v>1</v>
      </c>
    </row>
    <row r="227" spans="1:13">
      <c r="A227" s="830" t="str">
        <f>未审报表!A227</f>
        <v>二、营业利润（亏损以“－”号填列）</v>
      </c>
      <c r="B227" s="810">
        <f>未审报表!C227</f>
        <v>27495646.760000002</v>
      </c>
      <c r="C227" s="827">
        <f>C192+C198+SUM(C217:C218,C221:C226)</f>
        <v>5599872.3399999999</v>
      </c>
      <c r="D227" s="827">
        <f>D192+D198+SUM(D217:D218,D221:D226)</f>
        <v>11709912.620000001</v>
      </c>
      <c r="E227" s="827">
        <f t="shared" ref="E227:H227" si="58">E192+E198+SUM(E217:E218,E221:E226)</f>
        <v>0</v>
      </c>
      <c r="F227" s="827">
        <f t="shared" si="58"/>
        <v>0</v>
      </c>
      <c r="G227" s="827">
        <f t="shared" si="58"/>
        <v>0</v>
      </c>
      <c r="H227" s="827">
        <f t="shared" si="58"/>
        <v>0</v>
      </c>
      <c r="I227" s="827">
        <f>I192-I198+SUM(I217:I218,I221:I226)</f>
        <v>33605687.039999999</v>
      </c>
      <c r="J227" s="38" t="b">
        <f>A227=未审报表!A227</f>
        <v>1</v>
      </c>
      <c r="K227" s="75" t="b">
        <f>审定报表!A227=TB!A227</f>
        <v>1</v>
      </c>
      <c r="M227" s="38">
        <v>6110040.2799999993</v>
      </c>
    </row>
    <row r="228" spans="1:13">
      <c r="A228" s="830" t="str">
        <f>未审报表!A228</f>
        <v xml:space="preserve">    加：营业外收入</v>
      </c>
      <c r="B228" s="810">
        <f>未审报表!C228</f>
        <v>3000</v>
      </c>
      <c r="C228" s="810">
        <f>SUMIFS(调整事项汇总表!$I$7:$I$10020,调整事项汇总表!$D$7:$D$10020,"账项调整",调整事项汇总表!$E$7:$E$10020,IF(OR(MID(TRIM($A228),2,1)="：",MID(TRIM($A228),2,1)="、"),REPLACEB(TRIM($A228),1,4,""),TRIM($A228)))</f>
        <v>0</v>
      </c>
      <c r="D228" s="810">
        <f>SUMIFS(调整事项汇总表!$J$7:$J$10020,调整事项汇总表!$D$7:$D$10020,"账项调整",调整事项汇总表!$E$7:$E$10020,IF(OR(MID(TRIM($A228),2,1)="：",MID(TRIM($A228),2,1)="、"),REPLACEB(TRIM($A228),1,4,""),TRIM($A228)))</f>
        <v>0</v>
      </c>
      <c r="E228" s="810">
        <f>SUMIFS(调整事项汇总表!$I$7:$I$10020,调整事项汇总表!$D$7:$D$10020,"报表调整",调整事项汇总表!$E$7:$E$10020,IF(OR(MID(TRIM($A228),2,1)="：",MID(TRIM($A228),2,1)="、"),REPLACEB(TRIM($A228),1,4,""),TRIM($A228)))</f>
        <v>0</v>
      </c>
      <c r="F228" s="810">
        <f>SUMIFS(调整事项汇总表!$J$7:$J$10020,调整事项汇总表!$D$7:$D$10020,"报表调整",调整事项汇总表!$E$7:$E$10020,IF(OR(MID(TRIM($A228),2,1)="：",MID(TRIM($A228),2,1)="、"),REPLACEB(TRIM($A228),1,4,""),TRIM($A228)))</f>
        <v>0</v>
      </c>
      <c r="G228" s="810">
        <f>SUMIFS(调整事项汇总表!$I$7:$I$10020,调整事项汇总表!$D$7:$D$10020,"其他",调整事项汇总表!$E$7:$E$10020,IF(OR(MID(TRIM($A228),2,1)="：",MID(TRIM($A228),2,1)="、"),REPLACEB(TRIM($A228),1,4,""),TRIM($A228)))</f>
        <v>0</v>
      </c>
      <c r="H228" s="810">
        <f>SUMIFS(调整事项汇总表!$J$7:$J$10020,调整事项汇总表!$D$7:$D$10020,"其他",调整事项汇总表!$E$7:$E$10020,IF(OR(MID(TRIM($A228),2,1)="：",MID(TRIM($A228),2,1)="、"),REPLACEB(TRIM($A228),1,4,""),TRIM($A228)))</f>
        <v>0</v>
      </c>
      <c r="I228" s="810">
        <f>B228+D228+F228+H228-G228-E228-C228</f>
        <v>3000</v>
      </c>
      <c r="J228" s="38" t="b">
        <f>A228=未审报表!A228</f>
        <v>1</v>
      </c>
      <c r="K228" s="75" t="b">
        <f>审定报表!A228=TB!A228</f>
        <v>1</v>
      </c>
      <c r="M228" s="38">
        <f>D227-C227</f>
        <v>6110040.2800000012</v>
      </c>
    </row>
    <row r="229" spans="1:13">
      <c r="A229" s="830" t="str">
        <f>未审报表!A229</f>
        <v xml:space="preserve">                 其中：政府补助</v>
      </c>
      <c r="B229" s="810">
        <f>未审报表!C229</f>
        <v>1000</v>
      </c>
      <c r="C229" s="810">
        <f>SUMIFS(调整事项汇总表!$I$7:$I$10020,调整事项汇总表!$D$7:$D$10020,"账项调整",调整事项汇总表!$E$7:$E$10020,"营业外收入",调整事项汇总表!$F$7:$F$10020,IF(OR(MID(TRIM($A229),3,1)="：",MID(TRIM($A229),2,1)="、"),REPLACEB(TRIM($A229),1,6,""),TRIM($A229)))</f>
        <v>0</v>
      </c>
      <c r="D229" s="810">
        <f>SUMIFS(调整事项汇总表!$J$7:$J$10020,调整事项汇总表!$D$7:$D$10020,"账项调整",调整事项汇总表!$E$7:$E$10020,"营业外收入",调整事项汇总表!$F$7:$F$10020,IF(OR(MID(TRIM($A229),3,1)="：",MID(TRIM($A229),2,1)="、"),REPLACEB(TRIM($A229),1,6,""),TRIM($A229)))</f>
        <v>0</v>
      </c>
      <c r="E229" s="810">
        <f>SUMIFS(调整事项汇总表!$I$7:$I$10020,调整事项汇总表!$D$7:$D$10020,"报表调整",调整事项汇总表!$E$7:$E$10020,"营业外收入",调整事项汇总表!$F$7:$F$10020,IF(OR(MID(TRIM($A229),3,1)="：",MID(TRIM($A229),2,1)="、"),REPLACEB(TRIM($A229),1,6,""),TRIM($A229)))</f>
        <v>0</v>
      </c>
      <c r="F229" s="810">
        <f>SUMIFS(调整事项汇总表!$J$7:$J$10020,调整事项汇总表!$D$7:$D$10020,"报表调整",调整事项汇总表!$E$7:$E$10020,"营业外收入",调整事项汇总表!$F$7:$F$10020,IF(OR(MID(TRIM($A229),3,1)="：",MID(TRIM($A229),2,1)="、"),REPLACEB(TRIM($A229),1,6,""),TRIM($A229)))</f>
        <v>0</v>
      </c>
      <c r="G229" s="810">
        <f>SUMIFS(调整事项汇总表!$I$7:$I$10020,调整事项汇总表!$D$7:$D$10020,"其他",调整事项汇总表!$E$7:$E$10020,"营业外收入",调整事项汇总表!$F$7:$F$10020,IF(OR(MID(TRIM($A229),3,1)="：",MID(TRIM($A229),2,1)="、"),REPLACEB(TRIM($A229),1,6,""),TRIM($A229)))</f>
        <v>0</v>
      </c>
      <c r="H229" s="810">
        <f>SUMIFS(调整事项汇总表!$J$7:$J$10020,调整事项汇总表!$D$7:$D$10020,"其他",调整事项汇总表!$E$7:$E$10020,"营业外收入",调整事项汇总表!$F$7:$F$10020,IF(OR(MID(TRIM($A229),3,1)="：",MID(TRIM($A229),2,1)="、"),REPLACEB(TRIM($A229),1,6,""),TRIM($A229)))</f>
        <v>0</v>
      </c>
      <c r="I229" s="810">
        <f>B229+D229+F229+H229-G229-E229-C229</f>
        <v>1000</v>
      </c>
      <c r="J229" s="38" t="b">
        <f>A229=未审报表!A229</f>
        <v>1</v>
      </c>
      <c r="K229" s="75" t="b">
        <f>审定报表!A229=TB!A229</f>
        <v>1</v>
      </c>
      <c r="M229" s="38">
        <f>M227-M228</f>
        <v>0</v>
      </c>
    </row>
    <row r="230" spans="1:13">
      <c r="A230" s="830" t="str">
        <f>未审报表!A230</f>
        <v xml:space="preserve">    减：营业外支出</v>
      </c>
      <c r="B230" s="810">
        <f>未审报表!C230</f>
        <v>0</v>
      </c>
      <c r="C230" s="810">
        <f>SUMIFS(调整事项汇总表!$I$7:$I$10020,调整事项汇总表!$D$7:$D$10020,"账项调整",调整事项汇总表!$E$7:$E$10020,IF(OR(MID(TRIM($A230),2,1)="：",MID(TRIM($A230),2,1)="、"),REPLACEB(TRIM($A230),1,4,""),TRIM($A230)))</f>
        <v>0</v>
      </c>
      <c r="D230" s="810">
        <f>SUMIFS(调整事项汇总表!$J$7:$J$10020,调整事项汇总表!$D$7:$D$10020,"账项调整",调整事项汇总表!$E$7:$E$10020,IF(OR(MID(TRIM($A230),2,1)="：",MID(TRIM($A230),2,1)="、"),REPLACEB(TRIM($A230),1,4,""),TRIM($A230)))</f>
        <v>0</v>
      </c>
      <c r="E230" s="810">
        <f>SUMIFS(调整事项汇总表!$I$7:$I$10020,调整事项汇总表!$D$7:$D$10020,"报表调整",调整事项汇总表!$E$7:$E$10020,IF(OR(MID(TRIM($A230),2,1)="：",MID(TRIM($A230),2,1)="、"),REPLACEB(TRIM($A230),1,4,""),TRIM($A230)))</f>
        <v>0</v>
      </c>
      <c r="F230" s="810">
        <f>SUMIFS(调整事项汇总表!$J$7:$J$10020,调整事项汇总表!$D$7:$D$10020,"报表调整",调整事项汇总表!$E$7:$E$10020,IF(OR(MID(TRIM($A230),2,1)="：",MID(TRIM($A230),2,1)="、"),REPLACEB(TRIM($A230),1,4,""),TRIM($A230)))</f>
        <v>0</v>
      </c>
      <c r="G230" s="810">
        <f>SUMIFS(调整事项汇总表!$I$7:$I$10020,调整事项汇总表!$D$7:$D$10020,"其他",调整事项汇总表!$E$7:$E$10020,IF(OR(MID(TRIM($A230),2,1)="：",MID(TRIM($A230),2,1)="、"),REPLACEB(TRIM($A230),1,4,""),TRIM($A230)))</f>
        <v>0</v>
      </c>
      <c r="H230" s="810">
        <f>SUMIFS(调整事项汇总表!$J$7:$J$10020,调整事项汇总表!$D$7:$D$10020,"其他",调整事项汇总表!$E$7:$E$10020,IF(OR(MID(TRIM($A230),2,1)="：",MID(TRIM($A230),2,1)="、"),REPLACEB(TRIM($A230),1,4,""),TRIM($A230)))</f>
        <v>0</v>
      </c>
      <c r="I230" s="810">
        <f>B230+C230+E230+G230-H230-F230-D230</f>
        <v>0</v>
      </c>
      <c r="J230" s="38" t="b">
        <f>A230=未审报表!A230</f>
        <v>1</v>
      </c>
      <c r="K230" s="75" t="b">
        <f>审定报表!A230=TB!A230</f>
        <v>1</v>
      </c>
    </row>
    <row r="231" spans="1:13">
      <c r="A231" s="830" t="str">
        <f>未审报表!A231</f>
        <v>三、利润总额（亏损总额以“－”号填列）</v>
      </c>
      <c r="B231" s="810">
        <f>未审报表!C231</f>
        <v>27498646.760000002</v>
      </c>
      <c r="C231" s="810">
        <f>C227+C228-C230</f>
        <v>5599872.3399999999</v>
      </c>
      <c r="D231" s="810">
        <f t="shared" ref="D231:H231" si="59">D227+D228-D230</f>
        <v>11709912.620000001</v>
      </c>
      <c r="E231" s="810">
        <f t="shared" si="59"/>
        <v>0</v>
      </c>
      <c r="F231" s="810">
        <f t="shared" si="59"/>
        <v>0</v>
      </c>
      <c r="G231" s="810">
        <f t="shared" si="59"/>
        <v>0</v>
      </c>
      <c r="H231" s="810">
        <f t="shared" si="59"/>
        <v>0</v>
      </c>
      <c r="I231" s="810">
        <f>I227+I228-I230</f>
        <v>33608687.039999999</v>
      </c>
      <c r="J231" s="38" t="b">
        <f>A231=未审报表!A231</f>
        <v>1</v>
      </c>
      <c r="K231" s="75" t="b">
        <f>审定报表!A231=TB!A231</f>
        <v>1</v>
      </c>
    </row>
    <row r="232" spans="1:13">
      <c r="A232" s="830" t="str">
        <f>未审报表!A232</f>
        <v xml:space="preserve">    减：所得税费用</v>
      </c>
      <c r="B232" s="810">
        <f>未审报表!C232</f>
        <v>2768255.73</v>
      </c>
      <c r="C232" s="810">
        <f>SUMIFS(调整事项汇总表!$I$7:$I$10020,调整事项汇总表!$D$7:$D$10020,"账项调整",调整事项汇总表!$E$7:$E$10020,IF(OR(MID(TRIM($A232),2,1)="：",MID(TRIM($A232),2,1)="、"),REPLACEB(TRIM($A232),1,4,""),TRIM($A232)))</f>
        <v>-1438417.68</v>
      </c>
      <c r="D232" s="810">
        <f>SUMIFS(调整事项汇总表!$J$7:$J$10020,调整事项汇总表!$D$7:$D$10020,"账项调整",调整事项汇总表!$E$7:$E$10020,IF(OR(MID(TRIM($A232),2,1)="：",MID(TRIM($A232),2,1)="、"),REPLACEB(TRIM($A232),1,4,""),TRIM($A232)))</f>
        <v>-101489.88000000003</v>
      </c>
      <c r="E232" s="810">
        <f>SUMIFS(调整事项汇总表!$I$7:$I$10020,调整事项汇总表!$D$7:$D$10020,"报表调整",调整事项汇总表!$E$7:$E$10020,IF(OR(MID(TRIM($A232),2,1)="：",MID(TRIM($A232),2,1)="、"),REPLACEB(TRIM($A232),1,4,""),TRIM($A232)))</f>
        <v>0</v>
      </c>
      <c r="F232" s="810">
        <f>SUMIFS(调整事项汇总表!$J$7:$J$10020,调整事项汇总表!$D$7:$D$10020,"报表调整",调整事项汇总表!$E$7:$E$10020,IF(OR(MID(TRIM($A232),2,1)="：",MID(TRIM($A232),2,1)="、"),REPLACEB(TRIM($A232),1,4,""),TRIM($A232)))</f>
        <v>0</v>
      </c>
      <c r="G232" s="810">
        <f>SUMIFS(调整事项汇总表!$I$7:$I$10020,调整事项汇总表!$D$7:$D$10020,"其他",调整事项汇总表!$E$7:$E$10020,IF(OR(MID(TRIM($A232),2,1)="：",MID(TRIM($A232),2,1)="、"),REPLACEB(TRIM($A232),1,4,""),TRIM($A232)))</f>
        <v>0</v>
      </c>
      <c r="H232" s="810">
        <f>SUMIFS(调整事项汇总表!$J$7:$J$10020,调整事项汇总表!$D$7:$D$10020,"其他",调整事项汇总表!$E$7:$E$10020,IF(OR(MID(TRIM($A232),2,1)="：",MID(TRIM($A232),2,1)="、"),REPLACEB(TRIM($A232),1,4,""),TRIM($A232)))</f>
        <v>0</v>
      </c>
      <c r="I232" s="810">
        <f>B232+C232+E232+G232-H232-F232-D232</f>
        <v>1431327.9300000002</v>
      </c>
      <c r="J232" s="38" t="b">
        <f>A232=未审报表!A232</f>
        <v>1</v>
      </c>
      <c r="K232" s="75" t="b">
        <f>审定报表!A232=TB!A232</f>
        <v>1</v>
      </c>
    </row>
    <row r="233" spans="1:13">
      <c r="A233" s="830" t="str">
        <f>未审报表!A233</f>
        <v>四、净利润（净亏损以“－”号填列）</v>
      </c>
      <c r="B233" s="810">
        <f>未审报表!C233</f>
        <v>24730391.030000001</v>
      </c>
      <c r="C233" s="810">
        <f>C231+C232</f>
        <v>4161454.66</v>
      </c>
      <c r="D233" s="810">
        <f t="shared" ref="D233:H233" si="60">D231+D232</f>
        <v>11608422.74</v>
      </c>
      <c r="E233" s="810">
        <f t="shared" si="60"/>
        <v>0</v>
      </c>
      <c r="F233" s="810">
        <f t="shared" si="60"/>
        <v>0</v>
      </c>
      <c r="G233" s="810">
        <f t="shared" si="60"/>
        <v>0</v>
      </c>
      <c r="H233" s="810">
        <f t="shared" si="60"/>
        <v>0</v>
      </c>
      <c r="I233" s="810">
        <f>I231-I232</f>
        <v>32177359.109999999</v>
      </c>
      <c r="J233" s="38" t="b">
        <f>A233=未审报表!A233</f>
        <v>1</v>
      </c>
      <c r="K233" s="75" t="b">
        <f>审定报表!A233=TB!A233</f>
        <v>1</v>
      </c>
    </row>
    <row r="234" spans="1:13">
      <c r="A234" s="830" t="str">
        <f>未审报表!A234</f>
        <v>同一控制下企业合并的被合并方在合并前实现的净利润</v>
      </c>
      <c r="B234" s="816">
        <f>未审报表!C234</f>
        <v>0</v>
      </c>
      <c r="C234" s="816"/>
      <c r="D234" s="816"/>
      <c r="E234" s="816"/>
      <c r="F234" s="816"/>
      <c r="G234" s="816"/>
      <c r="H234" s="816"/>
      <c r="I234" s="831"/>
      <c r="J234" s="38" t="b">
        <f>A234=未审报表!A234</f>
        <v>1</v>
      </c>
      <c r="K234" s="75" t="b">
        <f>审定报表!A234=TB!A234</f>
        <v>1</v>
      </c>
    </row>
    <row r="235" spans="1:13">
      <c r="A235" s="830" t="str">
        <f>未审报表!A235</f>
        <v xml:space="preserve"> （一）按经营持续性分类</v>
      </c>
      <c r="B235" s="816"/>
      <c r="C235" s="816"/>
      <c r="D235" s="816"/>
      <c r="E235" s="816"/>
      <c r="F235" s="816"/>
      <c r="G235" s="816"/>
      <c r="H235" s="816"/>
      <c r="I235" s="831"/>
      <c r="J235" s="38" t="b">
        <f>A235=未审报表!A235</f>
        <v>1</v>
      </c>
      <c r="K235" s="75" t="b">
        <f>审定报表!A235=TB!A235</f>
        <v>1</v>
      </c>
    </row>
    <row r="236" spans="1:13">
      <c r="A236" s="830" t="str">
        <f>未审报表!A236</f>
        <v xml:space="preserve">     其中：持续经营净利润（净亏损以“-”号填列）</v>
      </c>
      <c r="B236" s="810">
        <f>未审报表!C236</f>
        <v>24730391.030000001</v>
      </c>
      <c r="C236" s="810">
        <f>C233-C237</f>
        <v>4161454.66</v>
      </c>
      <c r="D236" s="810">
        <f t="shared" ref="D236:H236" si="61">D233-D237</f>
        <v>11608422.74</v>
      </c>
      <c r="E236" s="810">
        <f t="shared" si="61"/>
        <v>0</v>
      </c>
      <c r="F236" s="810">
        <f t="shared" si="61"/>
        <v>0</v>
      </c>
      <c r="G236" s="810">
        <f t="shared" si="61"/>
        <v>0</v>
      </c>
      <c r="H236" s="810">
        <f t="shared" si="61"/>
        <v>-10000</v>
      </c>
      <c r="I236" s="810">
        <f>I233-I237</f>
        <v>32167359.109999999</v>
      </c>
      <c r="J236" s="38" t="b">
        <f>A236=未审报表!A236</f>
        <v>1</v>
      </c>
      <c r="K236" s="75" t="b">
        <f>审定报表!A236=TB!A236</f>
        <v>1</v>
      </c>
    </row>
    <row r="237" spans="1:13">
      <c r="A237" s="830" t="str">
        <f>未审报表!A237</f>
        <v xml:space="preserve">                 终止经营净利润（净亏损以“-”号填列）</v>
      </c>
      <c r="B237" s="810">
        <f>未审报表!C237</f>
        <v>0</v>
      </c>
      <c r="C237" s="810">
        <f>SUMIFS(调整事项汇总表!$I$7:$I$10020,调整事项汇总表!$D$7:$D$10020,"账项调整",调整事项汇总表!$E$7:$E$10020,LEFT(IF(OR(MID(TRIM(报表格式!S234),3,1)="：",MID(TRIM(报表格式!S234),2,1)="、"),REPLACEB(TRIM(报表格式!S234),1,6,""),TRIM(报表格式!S234)),7))</f>
        <v>0</v>
      </c>
      <c r="D237" s="810">
        <f>SUMIFS(调整事项汇总表!$J$7:$J$10020,调整事项汇总表!$D$7:$D$10020,"账项调整",调整事项汇总表!$E$7:$E$10020,LEFT(IF(OR(MID(TRIM(报表格式!S234),3,1)="：",MID(TRIM(报表格式!S234),2,1)="、"),REPLACEB(TRIM(报表格式!S234),1,6,""),TRIM(报表格式!S234)),7))</f>
        <v>0</v>
      </c>
      <c r="E237" s="810">
        <f>SUMIFS(调整事项汇总表!$I$7:$I$10020,调整事项汇总表!$D$7:$D$10020,"报表调整",调整事项汇总表!$E$7:$E$10020,LEFT(IF(OR(MID(TRIM(报表格式!S234),3,1)="：",MID(TRIM(报表格式!S234),2,1)="、"),REPLACEB(TRIM(报表格式!S234),1,6,""),TRIM(报表格式!S234)),7))</f>
        <v>0</v>
      </c>
      <c r="F237" s="810">
        <f>SUMIFS(调整事项汇总表!$J$7:$J$10020,调整事项汇总表!$D$7:$D$10020,"报表调整",调整事项汇总表!$E$7:$E$10020,LEFT(IF(OR(MID(TRIM(报表格式!S234),3,1)="：",MID(TRIM(报表格式!S234),2,1)="、"),REPLACEB(TRIM(报表格式!S234),1,6,""),TRIM(报表格式!S234)),7))</f>
        <v>0</v>
      </c>
      <c r="G237" s="810">
        <f>SUMIFS(调整事项汇总表!$I$7:$I$10020,调整事项汇总表!$D$7:$D$10020,"其他",调整事项汇总表!$E$7:$E$10020,LEFT(IF(OR(MID(TRIM(报表格式!S234),3,1)="：",MID(TRIM(报表格式!S234),2,1)="、"),REPLACEB(TRIM(报表格式!S234),1,6,""),TRIM(报表格式!S234)),7))</f>
        <v>0</v>
      </c>
      <c r="H237" s="810">
        <f>SUMIFS(调整事项汇总表!$J$7:$J$10020,调整事项汇总表!$D$7:$D$10020,"其他",调整事项汇总表!$E$7:$E$10020,LEFT(IF(OR(MID(TRIM(报表格式!S234),3,1)="：",MID(TRIM(报表格式!S234),2,1)="、"),REPLACEB(TRIM(报表格式!S234),1,6,""),TRIM(报表格式!S234)),7))</f>
        <v>10000</v>
      </c>
      <c r="I237" s="810">
        <f>B237+D237+F237+H237-G237-E237-C237</f>
        <v>10000</v>
      </c>
      <c r="J237" s="38" t="b">
        <f>A237=未审报表!A237</f>
        <v>1</v>
      </c>
      <c r="K237" s="75" t="b">
        <f>审定报表!A237=TB!A237</f>
        <v>1</v>
      </c>
    </row>
    <row r="238" spans="1:13">
      <c r="A238" s="830" t="str">
        <f>未审报表!A238</f>
        <v xml:space="preserve"> （二）按所有权归属分类</v>
      </c>
      <c r="B238" s="816"/>
      <c r="C238" s="816"/>
      <c r="D238" s="816"/>
      <c r="E238" s="816"/>
      <c r="F238" s="816"/>
      <c r="G238" s="816"/>
      <c r="H238" s="816"/>
      <c r="I238" s="831"/>
      <c r="J238" s="38" t="b">
        <f>A238=未审报表!A238</f>
        <v>1</v>
      </c>
      <c r="K238" s="75" t="b">
        <f>审定报表!A238=TB!A238</f>
        <v>1</v>
      </c>
    </row>
    <row r="239" spans="1:13">
      <c r="A239" s="830" t="str">
        <f>未审报表!A239</f>
        <v xml:space="preserve">     其中：归属于母公司所有者（或股东）的净利润（净亏损以“-”号填列）</v>
      </c>
      <c r="B239" s="810">
        <f>未审报表!C239</f>
        <v>24730391.030000001</v>
      </c>
      <c r="C239" s="810">
        <f>C233-C240</f>
        <v>4161454.66</v>
      </c>
      <c r="D239" s="810">
        <f t="shared" ref="D239:H239" si="62">D233-D240</f>
        <v>11608422.74</v>
      </c>
      <c r="E239" s="810">
        <f t="shared" si="62"/>
        <v>0</v>
      </c>
      <c r="F239" s="810">
        <f t="shared" si="62"/>
        <v>0</v>
      </c>
      <c r="G239" s="810">
        <f t="shared" si="62"/>
        <v>0</v>
      </c>
      <c r="H239" s="810">
        <f t="shared" si="62"/>
        <v>0</v>
      </c>
      <c r="I239" s="810">
        <f>I233-I240</f>
        <v>32177359.109999999</v>
      </c>
      <c r="J239" s="38" t="b">
        <f>A239=未审报表!A239</f>
        <v>1</v>
      </c>
      <c r="K239" s="75" t="b">
        <f>审定报表!A239=TB!A239</f>
        <v>1</v>
      </c>
    </row>
    <row r="240" spans="1:13">
      <c r="A240" s="830" t="str">
        <f>未审报表!A240</f>
        <v xml:space="preserve">                 少数股东损益（净亏损以“-”号填列）</v>
      </c>
      <c r="B240" s="810">
        <f>未审报表!C240</f>
        <v>0</v>
      </c>
      <c r="C240" s="810">
        <f>SUMIFS(调整事项汇总表!$I$7:$I$10020,调整事项汇总表!$D$7:$D$10020,"账项调整",调整事项汇总表!$E$7:$E$10020,LEFT(IF(OR(MID(TRIM($A240),2,1)="：",MID(TRIM($A240),2,1)="、"),REPLACEB(TRIM($A240),1,4,""),TRIM($A240)),FIND("（",TRIM(A240))-1))</f>
        <v>0</v>
      </c>
      <c r="D240" s="810">
        <f>SUMIFS(调整事项汇总表!$J$7:$J$10020,调整事项汇总表!$D$7:$D$10020,"账项调整",调整事项汇总表!$E$7:$E$10020,LEFT(IF(OR(MID(TRIM($A240),2,1)="：",MID(TRIM($A240),2,1)="、"),REPLACEB(TRIM($A240),1,4,""),TRIM($A240)),FIND("（",TRIM(A240))-1))</f>
        <v>0</v>
      </c>
      <c r="E240" s="810">
        <f>SUMIFS(调整事项汇总表!$I$7:$I$10020,调整事项汇总表!$D$7:$D$10020,"报表调整",调整事项汇总表!$E$7:$E$10020,LEFT(IF(OR(MID(TRIM($A240),2,1)="：",MID(TRIM($A240),2,1)="、"),REPLACEB(TRIM($A240),1,4,""),TRIM($A240)),FIND("（",TRIM(A240))-1))</f>
        <v>0</v>
      </c>
      <c r="F240" s="810">
        <f>SUMIFS(调整事项汇总表!$J$7:$J$10020,调整事项汇总表!$D$7:$D$10020,"报表调整",调整事项汇总表!$E$7:$E$10020,LEFT(IF(OR(MID(TRIM($A240),2,1)="：",MID(TRIM($A240),2,1)="、"),REPLACEB(TRIM($A240),1,4,""),TRIM($A240)),FIND("（",TRIM(A240))-1))</f>
        <v>0</v>
      </c>
      <c r="G240" s="810">
        <f>SUMIFS(调整事项汇总表!$I$7:$I$10020,调整事项汇总表!$D$7:$D$10020,"其他",调整事项汇总表!$E$7:$E$10020,LEFT(IF(OR(MID(TRIM($A240),2,1)="：",MID(TRIM($A240),2,1)="、"),REPLACEB(TRIM($A240),1,4,""),TRIM($A240)),FIND("（",TRIM(A240))-1))</f>
        <v>0</v>
      </c>
      <c r="H240" s="810">
        <f>SUMIFS(调整事项汇总表!$J$7:$J$10020,调整事项汇总表!$D$7:$D$10020,"其他",调整事项汇总表!$E$7:$E$10020,LEFT(IF(OR(MID(TRIM($A240),2,1)="：",MID(TRIM($A240),2,1)="、"),REPLACEB(TRIM($A240),1,4,""),TRIM($A240)),FIND("（",TRIM(A240))-1))</f>
        <v>0</v>
      </c>
      <c r="I240" s="810">
        <f>B240+D240+F240+H240-G240-E240-C240</f>
        <v>0</v>
      </c>
      <c r="J240" s="38" t="b">
        <f>A240=未审报表!A240</f>
        <v>1</v>
      </c>
      <c r="K240" s="75" t="b">
        <f>审定报表!A240=TB!A240</f>
        <v>1</v>
      </c>
    </row>
    <row r="241" spans="1:11">
      <c r="A241" s="830" t="str">
        <f>未审报表!A241</f>
        <v>五、其他综合收益的税后净额</v>
      </c>
      <c r="B241" s="810">
        <f>未审报表!C241</f>
        <v>0</v>
      </c>
      <c r="C241" s="827">
        <f>SUM(C242,C259)</f>
        <v>15</v>
      </c>
      <c r="D241" s="827">
        <f t="shared" ref="D241:H241" si="63">SUM(D242,D259)</f>
        <v>15</v>
      </c>
      <c r="E241" s="827">
        <f t="shared" si="63"/>
        <v>19</v>
      </c>
      <c r="F241" s="827">
        <f t="shared" si="63"/>
        <v>19</v>
      </c>
      <c r="G241" s="827">
        <f t="shared" si="63"/>
        <v>17</v>
      </c>
      <c r="H241" s="827">
        <f t="shared" si="63"/>
        <v>17</v>
      </c>
      <c r="I241" s="827">
        <f>SUM(I242,I259)</f>
        <v>0</v>
      </c>
      <c r="J241" s="38" t="b">
        <f>A241=未审报表!A241</f>
        <v>1</v>
      </c>
      <c r="K241" s="75" t="b">
        <f>审定报表!A241=TB!A241</f>
        <v>1</v>
      </c>
    </row>
    <row r="242" spans="1:11">
      <c r="A242" s="830" t="str">
        <f>未审报表!A242</f>
        <v>归属于母公司所有者（或股东）的其他综合收益的税后净额</v>
      </c>
      <c r="B242" s="810">
        <f>未审报表!C242</f>
        <v>0</v>
      </c>
      <c r="C242" s="827">
        <f>SUM(C243,C249)</f>
        <v>15</v>
      </c>
      <c r="D242" s="827">
        <f t="shared" ref="D242:H242" si="64">SUM(D243,D249)</f>
        <v>15</v>
      </c>
      <c r="E242" s="827">
        <f t="shared" si="64"/>
        <v>19</v>
      </c>
      <c r="F242" s="827">
        <f t="shared" si="64"/>
        <v>19</v>
      </c>
      <c r="G242" s="827">
        <f t="shared" si="64"/>
        <v>17</v>
      </c>
      <c r="H242" s="827">
        <f t="shared" si="64"/>
        <v>17</v>
      </c>
      <c r="I242" s="827">
        <f>SUM(I243,I249)</f>
        <v>0</v>
      </c>
      <c r="J242" s="38" t="b">
        <f>A242=未审报表!A242</f>
        <v>1</v>
      </c>
      <c r="K242" s="75" t="b">
        <f>审定报表!A242=TB!A242</f>
        <v>1</v>
      </c>
    </row>
    <row r="243" spans="1:11">
      <c r="A243" s="830" t="str">
        <f>未审报表!A243</f>
        <v xml:space="preserve">  （一）不能重分类进损益的其他综合收益</v>
      </c>
      <c r="B243" s="810">
        <f>未审报表!C243</f>
        <v>0</v>
      </c>
      <c r="C243" s="827">
        <f>SUM(C244:C248)</f>
        <v>4</v>
      </c>
      <c r="D243" s="827">
        <f t="shared" ref="D243:H243" si="65">SUM(D244:D248)</f>
        <v>4</v>
      </c>
      <c r="E243" s="827">
        <f t="shared" si="65"/>
        <v>6</v>
      </c>
      <c r="F243" s="827">
        <f t="shared" si="65"/>
        <v>6</v>
      </c>
      <c r="G243" s="827">
        <f t="shared" si="65"/>
        <v>5</v>
      </c>
      <c r="H243" s="827">
        <f t="shared" si="65"/>
        <v>5</v>
      </c>
      <c r="I243" s="827">
        <f>SUM(I244:I248)</f>
        <v>0</v>
      </c>
      <c r="J243" s="38" t="b">
        <f>A243=未审报表!A243</f>
        <v>1</v>
      </c>
      <c r="K243" s="75" t="b">
        <f>审定报表!A243=TB!A243</f>
        <v>1</v>
      </c>
    </row>
    <row r="244" spans="1:11">
      <c r="A244" s="830" t="str">
        <f>未审报表!A244</f>
        <v>1.重新计量设定受益计划变动额</v>
      </c>
      <c r="B244" s="810">
        <f>未审报表!C244</f>
        <v>0</v>
      </c>
      <c r="C244" s="810">
        <f>SUMIFS(调整事项汇总表!$I$7:$I$10020,调整事项汇总表!$D$7:$D$10020,"账项调整",调整事项汇总表!$E$7:$E$10020,IF(OR(MID(TRIM($A244),2,1)="：",MID(TRIM($A244),2,1)="."),REPLACEB(TRIM($A244),1,2,""),TRIM($A244)))</f>
        <v>0</v>
      </c>
      <c r="D244" s="810">
        <f>SUMIFS(调整事项汇总表!$J$7:$J$10020,调整事项汇总表!$D$7:$D$10020,"账项调整",调整事项汇总表!$E$7:$E$10020,IF(OR(MID(TRIM($A244),2,1)="：",MID(TRIM($A244),2,1)="."),REPLACEB(TRIM($A244),1,2,""),TRIM($A244)))</f>
        <v>0</v>
      </c>
      <c r="E244" s="810">
        <f>SUMIFS(调整事项汇总表!$I$7:$I$10020,调整事项汇总表!$D$7:$D$10020,"报表调整",调整事项汇总表!$E$7:$E$10020,IF(OR(MID(TRIM($A244),2,1)="：",MID(TRIM($A244),2,1)="."),REPLACEB(TRIM($A244),1,2,""),TRIM($A244)))</f>
        <v>0</v>
      </c>
      <c r="F244" s="810">
        <f>SUMIFS(调整事项汇总表!$J$7:$J$10020,调整事项汇总表!$D$7:$D$10020,"报表调整",调整事项汇总表!$E$7:$E$10020,IF(OR(MID(TRIM($A244),2,1)="：",MID(TRIM($A244),2,1)="."),REPLACEB(TRIM($A244),1,2,""),TRIM($A244)))</f>
        <v>0</v>
      </c>
      <c r="G244" s="810">
        <f>SUMIFS(调整事项汇总表!$I$7:$I$10020,调整事项汇总表!$D$7:$D$10020,"其他",调整事项汇总表!$E$7:$E$10020,IF(OR(MID(TRIM($A244),2,1)="：",MID(TRIM($A244),2,1)="."),REPLACEB(TRIM($A244),1,2,""),TRIM($A244)))</f>
        <v>0</v>
      </c>
      <c r="H244" s="810">
        <f>SUMIFS(调整事项汇总表!$J$7:$J$10020,调整事项汇总表!$D$7:$D$10020,"其他",调整事项汇总表!$E$7:$E$10020,IF(OR(MID(TRIM($A244),2,1)="：",MID(TRIM($A244),2,1)="."),REPLACEB(TRIM($A244),1,2,""),TRIM($A244)))</f>
        <v>0</v>
      </c>
      <c r="I244" s="810">
        <f>B244+D244+F244+H244-G244-E244-C244</f>
        <v>0</v>
      </c>
      <c r="J244" s="38" t="b">
        <f>A244=未审报表!A244</f>
        <v>1</v>
      </c>
      <c r="K244" s="75" t="b">
        <f>审定报表!A244=TB!A244</f>
        <v>1</v>
      </c>
    </row>
    <row r="245" spans="1:11">
      <c r="A245" s="830" t="str">
        <f>未审报表!A245</f>
        <v>2.权益法下不能转损益的其他综合收益</v>
      </c>
      <c r="B245" s="810">
        <f>未审报表!C245</f>
        <v>0</v>
      </c>
      <c r="C245" s="810">
        <f>SUMIFS(调整事项汇总表!$I$7:$I$10020,调整事项汇总表!$D$7:$D$10020,"账项调整",调整事项汇总表!$E$7:$E$10020,IF(OR(MID(TRIM($A245),2,1)="：",MID(TRIM($A245),2,1)="."),REPLACEB(TRIM($A245),1,2,""),TRIM($A245)))</f>
        <v>0</v>
      </c>
      <c r="D245" s="810">
        <f>SUMIFS(调整事项汇总表!$J$7:$J$10020,调整事项汇总表!$D$7:$D$10020,"账项调整",调整事项汇总表!$E$7:$E$10020,IF(OR(MID(TRIM($A245),2,1)="：",MID(TRIM($A245),2,1)="."),REPLACEB(TRIM($A245),1,2,""),TRIM($A245)))</f>
        <v>0</v>
      </c>
      <c r="E245" s="810">
        <f>SUMIFS(调整事项汇总表!$I$7:$I$10020,调整事项汇总表!$D$7:$D$10020,"报表调整",调整事项汇总表!$E$7:$E$10020,IF(OR(MID(TRIM($A245),2,1)="：",MID(TRIM($A245),2,1)="."),REPLACEB(TRIM($A245),1,2,""),TRIM($A245)))</f>
        <v>0</v>
      </c>
      <c r="F245" s="810">
        <f>SUMIFS(调整事项汇总表!$J$7:$J$10020,调整事项汇总表!$D$7:$D$10020,"报表调整",调整事项汇总表!$E$7:$E$10020,IF(OR(MID(TRIM($A245),2,1)="：",MID(TRIM($A245),2,1)="."),REPLACEB(TRIM($A245),1,2,""),TRIM($A245)))</f>
        <v>0</v>
      </c>
      <c r="G245" s="810">
        <f>SUMIFS(调整事项汇总表!$I$7:$I$10020,调整事项汇总表!$D$7:$D$10020,"其他",调整事项汇总表!$E$7:$E$10020,IF(OR(MID(TRIM($A245),2,1)="：",MID(TRIM($A245),2,1)="."),REPLACEB(TRIM($A245),1,2,""),TRIM($A245)))</f>
        <v>0</v>
      </c>
      <c r="H245" s="810">
        <f>SUMIFS(调整事项汇总表!$J$7:$J$10020,调整事项汇总表!$D$7:$D$10020,"其他",调整事项汇总表!$E$7:$E$10020,IF(OR(MID(TRIM($A245),2,1)="：",MID(TRIM($A245),2,1)="."),REPLACEB(TRIM($A245),1,2,""),TRIM($A245)))</f>
        <v>0</v>
      </c>
      <c r="I245" s="810">
        <f t="shared" ref="I245:I248" si="66">B245+D245+F245+H245-G245-E245-C245</f>
        <v>0</v>
      </c>
      <c r="J245" s="38" t="b">
        <f>A245=未审报表!A245</f>
        <v>1</v>
      </c>
      <c r="K245" s="75" t="b">
        <f>审定报表!A245=TB!A245</f>
        <v>1</v>
      </c>
    </row>
    <row r="246" spans="1:11">
      <c r="A246" s="830" t="str">
        <f>未审报表!A246</f>
        <v xml:space="preserve">3.其他权益工具投资公允价值变动 </v>
      </c>
      <c r="B246" s="810">
        <f>未审报表!C246</f>
        <v>0</v>
      </c>
      <c r="C246" s="810">
        <f>SUMIFS(调整事项汇总表!$I$7:$I$10020,调整事项汇总表!$D$7:$D$10020,"账项调整",调整事项汇总表!$E$7:$E$10020,IF(OR(MID(TRIM($A246),2,1)="：",MID(TRIM($A246),2,1)="."),REPLACEB(TRIM($A246),1,2,""),TRIM($A246)))</f>
        <v>0</v>
      </c>
      <c r="D246" s="810">
        <f>SUMIFS(调整事项汇总表!$J$7:$J$10020,调整事项汇总表!$D$7:$D$10020,"账项调整",调整事项汇总表!$E$7:$E$10020,IF(OR(MID(TRIM($A246),2,1)="：",MID(TRIM($A246),2,1)="."),REPLACEB(TRIM($A246),1,2,""),TRIM($A246)))</f>
        <v>0</v>
      </c>
      <c r="E246" s="810">
        <f>SUMIFS(调整事项汇总表!$I$7:$I$10020,调整事项汇总表!$D$7:$D$10020,"报表调整",调整事项汇总表!$E$7:$E$10020,IF(OR(MID(TRIM($A246),2,1)="：",MID(TRIM($A246),2,1)="."),REPLACEB(TRIM($A246),1,2,""),TRIM($A246)))</f>
        <v>0</v>
      </c>
      <c r="F246" s="810">
        <f>SUMIFS(调整事项汇总表!$J$7:$J$10020,调整事项汇总表!$D$7:$D$10020,"报表调整",调整事项汇总表!$E$7:$E$10020,IF(OR(MID(TRIM($A246),2,1)="：",MID(TRIM($A246),2,1)="."),REPLACEB(TRIM($A246),1,2,""),TRIM($A246)))</f>
        <v>0</v>
      </c>
      <c r="G246" s="810">
        <f>SUMIFS(调整事项汇总表!$I$7:$I$10020,调整事项汇总表!$D$7:$D$10020,"其他",调整事项汇总表!$E$7:$E$10020,IF(OR(MID(TRIM($A246),2,1)="：",MID(TRIM($A246),2,1)="."),REPLACEB(TRIM($A246),1,2,""),TRIM($A246)))</f>
        <v>0</v>
      </c>
      <c r="H246" s="810">
        <f>SUMIFS(调整事项汇总表!$J$7:$J$10020,调整事项汇总表!$D$7:$D$10020,"其他",调整事项汇总表!$E$7:$E$10020,IF(OR(MID(TRIM($A246),2,1)="：",MID(TRIM($A246),2,1)="."),REPLACEB(TRIM($A246),1,2,""),TRIM($A246)))</f>
        <v>0</v>
      </c>
      <c r="I246" s="810">
        <f t="shared" si="66"/>
        <v>0</v>
      </c>
      <c r="J246" s="38" t="b">
        <f>A246=未审报表!A246</f>
        <v>1</v>
      </c>
      <c r="K246" s="75" t="b">
        <f>审定报表!A246=TB!A246</f>
        <v>1</v>
      </c>
    </row>
    <row r="247" spans="1:11">
      <c r="A247" s="830" t="str">
        <f>未审报表!A247</f>
        <v xml:space="preserve">4.企业自身信用风险公允价值变动 </v>
      </c>
      <c r="B247" s="810">
        <f>未审报表!C247</f>
        <v>0</v>
      </c>
      <c r="C247" s="810">
        <f>SUMIFS(调整事项汇总表!$I$7:$I$10020,调整事项汇总表!$D$7:$D$10020,"账项调整",调整事项汇总表!$E$7:$E$10020,IF(OR(MID(TRIM($A247),2,1)="：",MID(TRIM($A247),2,1)="."),REPLACEB(TRIM($A247),1,2,""),TRIM($A247)))</f>
        <v>0</v>
      </c>
      <c r="D247" s="810">
        <f>SUMIFS(调整事项汇总表!$J$7:$J$10020,调整事项汇总表!$D$7:$D$10020,"账项调整",调整事项汇总表!$E$7:$E$10020,IF(OR(MID(TRIM($A247),2,1)="：",MID(TRIM($A247),2,1)="."),REPLACEB(TRIM($A247),1,2,""),TRIM($A247)))</f>
        <v>0</v>
      </c>
      <c r="E247" s="810">
        <f>SUMIFS(调整事项汇总表!$I$7:$I$10020,调整事项汇总表!$D$7:$D$10020,"报表调整",调整事项汇总表!$E$7:$E$10020,IF(OR(MID(TRIM($A247),2,1)="：",MID(TRIM($A247),2,1)="."),REPLACEB(TRIM($A247),1,2,""),TRIM($A247)))</f>
        <v>0</v>
      </c>
      <c r="F247" s="810">
        <f>SUMIFS(调整事项汇总表!$J$7:$J$10020,调整事项汇总表!$D$7:$D$10020,"报表调整",调整事项汇总表!$E$7:$E$10020,IF(OR(MID(TRIM($A247),2,1)="：",MID(TRIM($A247),2,1)="."),REPLACEB(TRIM($A247),1,2,""),TRIM($A247)))</f>
        <v>0</v>
      </c>
      <c r="G247" s="810">
        <f>SUMIFS(调整事项汇总表!$I$7:$I$10020,调整事项汇总表!$D$7:$D$10020,"其他",调整事项汇总表!$E$7:$E$10020,IF(OR(MID(TRIM($A247),2,1)="：",MID(TRIM($A247),2,1)="."),REPLACEB(TRIM($A247),1,2,""),TRIM($A247)))</f>
        <v>0</v>
      </c>
      <c r="H247" s="810">
        <f>SUMIFS(调整事项汇总表!$J$7:$J$10020,调整事项汇总表!$D$7:$D$10020,"其他",调整事项汇总表!$E$7:$E$10020,IF(OR(MID(TRIM($A247),2,1)="：",MID(TRIM($A247),2,1)="."),REPLACEB(TRIM($A247),1,2,""),TRIM($A247)))</f>
        <v>0</v>
      </c>
      <c r="I247" s="810">
        <f t="shared" si="66"/>
        <v>0</v>
      </c>
      <c r="J247" s="38" t="b">
        <f>A247=未审报表!A247</f>
        <v>1</v>
      </c>
      <c r="K247" s="75" t="b">
        <f>审定报表!A247=TB!A247</f>
        <v>1</v>
      </c>
    </row>
    <row r="248" spans="1:11">
      <c r="A248" s="830" t="str">
        <f>未审报表!A248</f>
        <v>5.其他</v>
      </c>
      <c r="B248" s="810">
        <f>未审报表!C248</f>
        <v>0</v>
      </c>
      <c r="C248" s="810">
        <f>SUMIFS(调整事项汇总表!$I$7:$I$10020,调整事项汇总表!$D$7:$D$10020,"账项调整",调整事项汇总表!$E$7:$E$10020,"其他（不能重分类）")</f>
        <v>4</v>
      </c>
      <c r="D248" s="810">
        <f>SUMIFS(调整事项汇总表!$J$7:$J$10020,调整事项汇总表!$D$7:$D$10020,"账项调整",调整事项汇总表!$E$7:$E$10020,"其他（不能重分类）")</f>
        <v>4</v>
      </c>
      <c r="E248" s="810">
        <f>SUMIFS(调整事项汇总表!$I$7:$I$10020,调整事项汇总表!$D$7:$D$10020,"报表调整",调整事项汇总表!$E$7:$E$10020,"其他（不能重分类）")</f>
        <v>6</v>
      </c>
      <c r="F248" s="810">
        <f>SUMIFS(调整事项汇总表!$J$7:$J$10020,调整事项汇总表!$D$7:$D$10020,"报表调整",调整事项汇总表!$E$7:$E$10020,"其他（不能重分类）")</f>
        <v>6</v>
      </c>
      <c r="G248" s="810">
        <f>SUMIFS(调整事项汇总表!$I$7:$I$10020,调整事项汇总表!$D$7:$D$10020,"其他",调整事项汇总表!$E$7:$E$10020,"其他（不能重分类）")</f>
        <v>5</v>
      </c>
      <c r="H248" s="810">
        <f>SUMIFS(调整事项汇总表!$J$7:$J$10020,调整事项汇总表!$D$7:$D$10020,"其他",调整事项汇总表!$E$7:$E$10020,"其他（不能重分类）")</f>
        <v>5</v>
      </c>
      <c r="I248" s="810">
        <f t="shared" si="66"/>
        <v>0</v>
      </c>
      <c r="J248" s="38" t="b">
        <f>A248=未审报表!A248</f>
        <v>1</v>
      </c>
      <c r="K248" s="75" t="b">
        <f>审定报表!A248=TB!A248</f>
        <v>1</v>
      </c>
    </row>
    <row r="249" spans="1:11">
      <c r="A249" s="830" t="str">
        <f>未审报表!A249</f>
        <v xml:space="preserve">  （二）将重分类进损益的其他综合收益</v>
      </c>
      <c r="B249" s="810">
        <f>未审报表!C249</f>
        <v>0</v>
      </c>
      <c r="C249" s="827">
        <f>SUM(C250:C258)</f>
        <v>11</v>
      </c>
      <c r="D249" s="827">
        <f t="shared" ref="D249:I249" si="67">SUM(D250:D258)</f>
        <v>11</v>
      </c>
      <c r="E249" s="827">
        <f t="shared" si="67"/>
        <v>13</v>
      </c>
      <c r="F249" s="827">
        <f t="shared" si="67"/>
        <v>13</v>
      </c>
      <c r="G249" s="827">
        <f t="shared" si="67"/>
        <v>12</v>
      </c>
      <c r="H249" s="827">
        <f t="shared" si="67"/>
        <v>12</v>
      </c>
      <c r="I249" s="827">
        <f t="shared" si="67"/>
        <v>0</v>
      </c>
      <c r="J249" s="38" t="b">
        <f>A249=未审报表!A249</f>
        <v>1</v>
      </c>
      <c r="K249" s="75" t="b">
        <f>审定报表!A249=TB!A249</f>
        <v>1</v>
      </c>
    </row>
    <row r="250" spans="1:11">
      <c r="A250" s="830" t="str">
        <f>未审报表!A250</f>
        <v>1.权益法下可转损益的其他综合收益</v>
      </c>
      <c r="B250" s="810">
        <f>未审报表!C250</f>
        <v>0</v>
      </c>
      <c r="C250" s="810">
        <f>SUMIFS(调整事项汇总表!$I$7:$I$10020,调整事项汇总表!$D$7:$D$10020,"账项调整",调整事项汇总表!$E$7:$E$10020,IF(OR(MID(TRIM($A250),2,1)="：",MID(TRIM($A250),2,1)="."),REPLACEB(TRIM($A250),1,2,""),TRIM($A250)))</f>
        <v>0</v>
      </c>
      <c r="D250" s="810">
        <f>SUMIFS(调整事项汇总表!$J$7:$J$10020,调整事项汇总表!$D$7:$D$10020,"账项调整",调整事项汇总表!$E$7:$E$10020,IF(OR(MID(TRIM($A250),2,1)="：",MID(TRIM($A250),2,1)="."),REPLACEB(TRIM($A250),1,2,""),TRIM($A250)))</f>
        <v>0</v>
      </c>
      <c r="E250" s="810">
        <f>SUMIFS(调整事项汇总表!$I$7:$I$10020,调整事项汇总表!$D$7:$D$10020,"报表调整",调整事项汇总表!$E$7:$E$10020,IF(OR(MID(TRIM($A250),2,1)="：",MID(TRIM($A250),2,1)="."),REPLACEB(TRIM($A250),1,2,""),TRIM($A250)))</f>
        <v>0</v>
      </c>
      <c r="F250" s="810">
        <f>SUMIFS(调整事项汇总表!$J$7:$J$10020,调整事项汇总表!$D$7:$D$10020,"报表调整",调整事项汇总表!$E$7:$E$10020,IF(OR(MID(TRIM($A250),2,1)="：",MID(TRIM($A250),2,1)="."),REPLACEB(TRIM($A250),1,2,""),TRIM($A250)))</f>
        <v>0</v>
      </c>
      <c r="G250" s="810">
        <f>SUMIFS(调整事项汇总表!$I$7:$I$10020,调整事项汇总表!$D$7:$D$10020,"其他",调整事项汇总表!$E$7:$E$10020,IF(OR(MID(TRIM($A250),2,1)="：",MID(TRIM($A250),2,1)="."),REPLACEB(TRIM($A250),1,2,""),TRIM($A250)))</f>
        <v>0</v>
      </c>
      <c r="H250" s="810">
        <f>SUMIFS(调整事项汇总表!$J$7:$J$10020,调整事项汇总表!$D$7:$D$10020,"其他",调整事项汇总表!$E$7:$E$10020,IF(OR(MID(TRIM($A250),2,1)="：",MID(TRIM($A250),2,1)="."),REPLACEB(TRIM($A250),1,2,""),TRIM($A250)))</f>
        <v>0</v>
      </c>
      <c r="I250" s="810">
        <f>B250+D250+F250+H250-G250-E250-C250</f>
        <v>0</v>
      </c>
      <c r="J250" s="38" t="b">
        <f>A250=未审报表!A250</f>
        <v>1</v>
      </c>
      <c r="K250" s="75" t="b">
        <f>审定报表!A250=TB!A250</f>
        <v>1</v>
      </c>
    </row>
    <row r="251" spans="1:11">
      <c r="A251" s="830" t="str">
        <f>未审报表!A251</f>
        <v xml:space="preserve">2.其他债权投资公允价值变动 </v>
      </c>
      <c r="B251" s="810">
        <f>未审报表!C251</f>
        <v>0</v>
      </c>
      <c r="C251" s="810">
        <f>SUMIFS(调整事项汇总表!$I$7:$I$10020,调整事项汇总表!$D$7:$D$10020,"账项调整",调整事项汇总表!$E$7:$E$10020,IF(OR(MID(TRIM($A251),2,1)="：",MID(TRIM($A251),2,1)="."),REPLACEB(TRIM($A251),1,2,""),TRIM($A251)))</f>
        <v>0</v>
      </c>
      <c r="D251" s="810">
        <f>SUMIFS(调整事项汇总表!$J$7:$J$10020,调整事项汇总表!$D$7:$D$10020,"账项调整",调整事项汇总表!$E$7:$E$10020,IF(OR(MID(TRIM($A251),2,1)="：",MID(TRIM($A251),2,1)="."),REPLACEB(TRIM($A251),1,2,""),TRIM($A251)))</f>
        <v>0</v>
      </c>
      <c r="E251" s="810">
        <f>SUMIFS(调整事项汇总表!$I$7:$I$10020,调整事项汇总表!$D$7:$D$10020,"报表调整",调整事项汇总表!$E$7:$E$10020,IF(OR(MID(TRIM($A251),2,1)="：",MID(TRIM($A251),2,1)="."),REPLACEB(TRIM($A251),1,2,""),TRIM($A251)))</f>
        <v>0</v>
      </c>
      <c r="F251" s="810">
        <f>SUMIFS(调整事项汇总表!$J$7:$J$10020,调整事项汇总表!$D$7:$D$10020,"报表调整",调整事项汇总表!$E$7:$E$10020,IF(OR(MID(TRIM($A251),2,1)="：",MID(TRIM($A251),2,1)="."),REPLACEB(TRIM($A251),1,2,""),TRIM($A251)))</f>
        <v>0</v>
      </c>
      <c r="G251" s="810">
        <f>SUMIFS(调整事项汇总表!$I$7:$I$10020,调整事项汇总表!$D$7:$D$10020,"其他",调整事项汇总表!$E$7:$E$10020,IF(OR(MID(TRIM($A251),2,1)="：",MID(TRIM($A251),2,1)="."),REPLACEB(TRIM($A251),1,2,""),TRIM($A251)))</f>
        <v>0</v>
      </c>
      <c r="H251" s="810">
        <f>SUMIFS(调整事项汇总表!$J$7:$J$10020,调整事项汇总表!$D$7:$D$10020,"其他",调整事项汇总表!$E$7:$E$10020,IF(OR(MID(TRIM($A251),2,1)="：",MID(TRIM($A251),2,1)="."),REPLACEB(TRIM($A251),1,2,""),TRIM($A251)))</f>
        <v>0</v>
      </c>
      <c r="I251" s="810">
        <f t="shared" ref="I251:I258" si="68">B251+D251+F251+H251-G251-E251-C251</f>
        <v>0</v>
      </c>
      <c r="J251" s="38" t="b">
        <f>A251=未审报表!A251</f>
        <v>1</v>
      </c>
      <c r="K251" s="75" t="b">
        <f>审定报表!A251=TB!A251</f>
        <v>1</v>
      </c>
    </row>
    <row r="252" spans="1:11">
      <c r="A252" s="830" t="str">
        <f>未审报表!A252</f>
        <v xml:space="preserve">3.金融资产重分类计入其他综合收益的金额 </v>
      </c>
      <c r="B252" s="810">
        <f>未审报表!C252</f>
        <v>0</v>
      </c>
      <c r="C252" s="810">
        <f>SUMIFS(调整事项汇总表!$I$7:$I$10020,调整事项汇总表!$D$7:$D$10020,"账项调整",调整事项汇总表!$E$7:$E$10020,IF(OR(MID(TRIM($A252),2,1)="：",MID(TRIM($A252),2,1)="."),REPLACEB(TRIM($A252),1,2,""),TRIM($A252)))</f>
        <v>0</v>
      </c>
      <c r="D252" s="810">
        <f>SUMIFS(调整事项汇总表!$J$7:$J$10020,调整事项汇总表!$D$7:$D$10020,"账项调整",调整事项汇总表!$E$7:$E$10020,IF(OR(MID(TRIM($A252),2,1)="：",MID(TRIM($A252),2,1)="."),REPLACEB(TRIM($A252),1,2,""),TRIM($A252)))</f>
        <v>0</v>
      </c>
      <c r="E252" s="810">
        <f>SUMIFS(调整事项汇总表!$I$7:$I$10020,调整事项汇总表!$D$7:$D$10020,"报表调整",调整事项汇总表!$E$7:$E$10020,IF(OR(MID(TRIM($A252),2,1)="：",MID(TRIM($A252),2,1)="."),REPLACEB(TRIM($A252),1,2,""),TRIM($A252)))</f>
        <v>0</v>
      </c>
      <c r="F252" s="810">
        <f>SUMIFS(调整事项汇总表!$J$7:$J$10020,调整事项汇总表!$D$7:$D$10020,"报表调整",调整事项汇总表!$E$7:$E$10020,IF(OR(MID(TRIM($A252),2,1)="：",MID(TRIM($A252),2,1)="."),REPLACEB(TRIM($A252),1,2,""),TRIM($A252)))</f>
        <v>0</v>
      </c>
      <c r="G252" s="810">
        <f>SUMIFS(调整事项汇总表!$I$7:$I$10020,调整事项汇总表!$D$7:$D$10020,"其他",调整事项汇总表!$E$7:$E$10020,IF(OR(MID(TRIM($A252),2,1)="：",MID(TRIM($A252),2,1)="."),REPLACEB(TRIM($A252),1,2,""),TRIM($A252)))</f>
        <v>0</v>
      </c>
      <c r="H252" s="810">
        <f>SUMIFS(调整事项汇总表!$J$7:$J$10020,调整事项汇总表!$D$7:$D$10020,"其他",调整事项汇总表!$E$7:$E$10020,IF(OR(MID(TRIM($A252),2,1)="：",MID(TRIM($A252),2,1)="."),REPLACEB(TRIM($A252),1,2,""),TRIM($A252)))</f>
        <v>0</v>
      </c>
      <c r="I252" s="810">
        <f t="shared" si="68"/>
        <v>0</v>
      </c>
      <c r="J252" s="38" t="b">
        <f>A252=未审报表!A252</f>
        <v>1</v>
      </c>
      <c r="K252" s="75" t="b">
        <f>审定报表!A252=TB!A252</f>
        <v>1</v>
      </c>
    </row>
    <row r="253" spans="1:11">
      <c r="A253" s="830" t="str">
        <f>未审报表!A253</f>
        <v>4.其他债权投资信用减值准备</v>
      </c>
      <c r="B253" s="810">
        <f>未审报表!C253</f>
        <v>0</v>
      </c>
      <c r="C253" s="810">
        <f>SUMIFS(调整事项汇总表!$I$7:$I$10020,调整事项汇总表!$D$7:$D$10020,"账项调整",调整事项汇总表!$E$7:$E$10020,IF(OR(MID(TRIM($A253),2,1)="：",MID(TRIM($A253),2,1)="."),REPLACEB(TRIM($A253),1,2,""),TRIM($A253)))</f>
        <v>0</v>
      </c>
      <c r="D253" s="810">
        <f>SUMIFS(调整事项汇总表!$J$7:$J$10020,调整事项汇总表!$D$7:$D$10020,"账项调整",调整事项汇总表!$E$7:$E$10020,IF(OR(MID(TRIM($A253),2,1)="：",MID(TRIM($A253),2,1)="."),REPLACEB(TRIM($A253),1,2,""),TRIM($A253)))</f>
        <v>0</v>
      </c>
      <c r="E253" s="810">
        <f>SUMIFS(调整事项汇总表!$I$7:$I$10020,调整事项汇总表!$D$7:$D$10020,"报表调整",调整事项汇总表!$E$7:$E$10020,IF(OR(MID(TRIM($A253),2,1)="：",MID(TRIM($A253),2,1)="."),REPLACEB(TRIM($A253),1,2,""),TRIM($A253)))</f>
        <v>0</v>
      </c>
      <c r="F253" s="810">
        <f>SUMIFS(调整事项汇总表!$J$7:$J$10020,调整事项汇总表!$D$7:$D$10020,"报表调整",调整事项汇总表!$E$7:$E$10020,IF(OR(MID(TRIM($A253),2,1)="：",MID(TRIM($A253),2,1)="."),REPLACEB(TRIM($A253),1,2,""),TRIM($A253)))</f>
        <v>0</v>
      </c>
      <c r="G253" s="810">
        <f>SUMIFS(调整事项汇总表!$I$7:$I$10020,调整事项汇总表!$D$7:$D$10020,"其他",调整事项汇总表!$E$7:$E$10020,IF(OR(MID(TRIM($A253),2,1)="：",MID(TRIM($A253),2,1)="."),REPLACEB(TRIM($A253),1,2,""),TRIM($A253)))</f>
        <v>0</v>
      </c>
      <c r="H253" s="810">
        <f>SUMIFS(调整事项汇总表!$J$7:$J$10020,调整事项汇总表!$D$7:$D$10020,"其他",调整事项汇总表!$E$7:$E$10020,IF(OR(MID(TRIM($A253),2,1)="：",MID(TRIM($A253),2,1)="."),REPLACEB(TRIM($A253),1,2,""),TRIM($A253)))</f>
        <v>0</v>
      </c>
      <c r="I253" s="810">
        <f t="shared" si="68"/>
        <v>0</v>
      </c>
      <c r="J253" s="38" t="b">
        <f>A253=未审报表!A253</f>
        <v>1</v>
      </c>
      <c r="K253" s="75" t="b">
        <f>审定报表!A253=TB!A253</f>
        <v>1</v>
      </c>
    </row>
    <row r="254" spans="1:11">
      <c r="A254" s="830" t="str">
        <f>未审报表!A254</f>
        <v>5.现金流量套期储备</v>
      </c>
      <c r="B254" s="810">
        <f>未审报表!C254</f>
        <v>0</v>
      </c>
      <c r="C254" s="810">
        <f>SUMIFS(调整事项汇总表!$I$7:$I$10020,调整事项汇总表!$D$7:$D$10020,"账项调整",调整事项汇总表!$E$7:$E$10020,IF(OR(MID(TRIM($A254),2,1)="：",MID(TRIM($A254),2,1)="."),REPLACEB(TRIM($A254),1,2,""),TRIM($A254)))</f>
        <v>0</v>
      </c>
      <c r="D254" s="810">
        <f>SUMIFS(调整事项汇总表!$J$7:$J$10020,调整事项汇总表!$D$7:$D$10020,"账项调整",调整事项汇总表!$E$7:$E$10020,IF(OR(MID(TRIM($A254),2,1)="：",MID(TRIM($A254),2,1)="."),REPLACEB(TRIM($A254),1,2,""),TRIM($A254)))</f>
        <v>0</v>
      </c>
      <c r="E254" s="810">
        <f>SUMIFS(调整事项汇总表!$I$7:$I$10020,调整事项汇总表!$D$7:$D$10020,"报表调整",调整事项汇总表!$E$7:$E$10020,IF(OR(MID(TRIM($A254),2,1)="：",MID(TRIM($A254),2,1)="."),REPLACEB(TRIM($A254),1,2,""),TRIM($A254)))</f>
        <v>0</v>
      </c>
      <c r="F254" s="810">
        <f>SUMIFS(调整事项汇总表!$J$7:$J$10020,调整事项汇总表!$D$7:$D$10020,"报表调整",调整事项汇总表!$E$7:$E$10020,IF(OR(MID(TRIM($A254),2,1)="：",MID(TRIM($A254),2,1)="."),REPLACEB(TRIM($A254),1,2,""),TRIM($A254)))</f>
        <v>0</v>
      </c>
      <c r="G254" s="810">
        <f>SUMIFS(调整事项汇总表!$I$7:$I$10020,调整事项汇总表!$D$7:$D$10020,"其他",调整事项汇总表!$E$7:$E$10020,IF(OR(MID(TRIM($A254),2,1)="：",MID(TRIM($A254),2,1)="."),REPLACEB(TRIM($A254),1,2,""),TRIM($A254)))</f>
        <v>0</v>
      </c>
      <c r="H254" s="810">
        <f>SUMIFS(调整事项汇总表!$J$7:$J$10020,调整事项汇总表!$D$7:$D$10020,"其他",调整事项汇总表!$E$7:$E$10020,IF(OR(MID(TRIM($A254),2,1)="：",MID(TRIM($A254),2,1)="."),REPLACEB(TRIM($A254),1,2,""),TRIM($A254)))</f>
        <v>0</v>
      </c>
      <c r="I254" s="810">
        <f t="shared" si="68"/>
        <v>0</v>
      </c>
      <c r="J254" s="38" t="b">
        <f>A254=未审报表!A254</f>
        <v>1</v>
      </c>
      <c r="K254" s="75" t="b">
        <f>审定报表!A254=TB!A254</f>
        <v>1</v>
      </c>
    </row>
    <row r="255" spans="1:11">
      <c r="A255" s="830" t="str">
        <f>未审报表!A255</f>
        <v>6.外币财务报表折算差额</v>
      </c>
      <c r="B255" s="810">
        <f>未审报表!C255</f>
        <v>0</v>
      </c>
      <c r="C255" s="810">
        <f>SUMIFS(调整事项汇总表!$I$7:$I$10020,调整事项汇总表!$D$7:$D$10020,"账项调整",调整事项汇总表!$E$7:$E$10020,IF(OR(MID(TRIM($A255),2,1)="：",MID(TRIM($A255),2,1)="."),REPLACEB(TRIM($A255),1,2,""),TRIM($A255)))</f>
        <v>0</v>
      </c>
      <c r="D255" s="810">
        <f>SUMIFS(调整事项汇总表!$J$7:$J$10020,调整事项汇总表!$D$7:$D$10020,"账项调整",调整事项汇总表!$E$7:$E$10020,IF(OR(MID(TRIM($A255),2,1)="：",MID(TRIM($A255),2,1)="."),REPLACEB(TRIM($A255),1,2,""),TRIM($A255)))</f>
        <v>0</v>
      </c>
      <c r="E255" s="810">
        <f>SUMIFS(调整事项汇总表!$I$7:$I$10020,调整事项汇总表!$D$7:$D$10020,"报表调整",调整事项汇总表!$E$7:$E$10020,IF(OR(MID(TRIM($A255),2,1)="：",MID(TRIM($A255),2,1)="."),REPLACEB(TRIM($A255),1,2,""),TRIM($A255)))</f>
        <v>0</v>
      </c>
      <c r="F255" s="810">
        <f>SUMIFS(调整事项汇总表!$J$7:$J$10020,调整事项汇总表!$D$7:$D$10020,"报表调整",调整事项汇总表!$E$7:$E$10020,IF(OR(MID(TRIM($A255),2,1)="：",MID(TRIM($A255),2,1)="."),REPLACEB(TRIM($A255),1,2,""),TRIM($A255)))</f>
        <v>0</v>
      </c>
      <c r="G255" s="810">
        <f>SUMIFS(调整事项汇总表!$I$7:$I$10020,调整事项汇总表!$D$7:$D$10020,"其他",调整事项汇总表!$E$7:$E$10020,IF(OR(MID(TRIM($A255),2,1)="：",MID(TRIM($A255),2,1)="."),REPLACEB(TRIM($A255),1,2,""),TRIM($A255)))</f>
        <v>0</v>
      </c>
      <c r="H255" s="810">
        <f>SUMIFS(调整事项汇总表!$J$7:$J$10020,调整事项汇总表!$D$7:$D$10020,"其他",调整事项汇总表!$E$7:$E$10020,IF(OR(MID(TRIM($A255),2,1)="：",MID(TRIM($A255),2,1)="."),REPLACEB(TRIM($A255),1,2,""),TRIM($A255)))</f>
        <v>0</v>
      </c>
      <c r="I255" s="810">
        <f t="shared" si="68"/>
        <v>0</v>
      </c>
      <c r="J255" s="38" t="b">
        <f>A255=未审报表!A255</f>
        <v>1</v>
      </c>
      <c r="K255" s="75" t="b">
        <f>审定报表!A255=TB!A255</f>
        <v>1</v>
      </c>
    </row>
    <row r="256" spans="1:11">
      <c r="A256" s="830" t="str">
        <f>未审报表!A256</f>
        <v>7.自用房地产或作为存货的房地产转换为以公允价值计量的投资性房地产在转换日公允价值大于账面价值部分</v>
      </c>
      <c r="B256" s="810">
        <f>未审报表!C256</f>
        <v>0</v>
      </c>
      <c r="C256" s="810">
        <f>SUMIFS(调整事项汇总表!$I$7:$I$10020,调整事项汇总表!$D$7:$D$10020,"账项调整",调整事项汇总表!$E$7:$E$10020,IF(OR(MID(TRIM($A256),2,1)="：",MID(TRIM($A256),2,1)="."),REPLACEB(TRIM($A256),1,2,""),TRIM($A256)))</f>
        <v>0</v>
      </c>
      <c r="D256" s="810">
        <f>SUMIFS(调整事项汇总表!$J$7:$J$10020,调整事项汇总表!$D$7:$D$10020,"账项调整",调整事项汇总表!$E$7:$E$10020,IF(OR(MID(TRIM($A256),2,1)="：",MID(TRIM($A256),2,1)="."),REPLACEB(TRIM($A256),1,2,""),TRIM($A256)))</f>
        <v>0</v>
      </c>
      <c r="E256" s="810">
        <f>SUMIFS(调整事项汇总表!$I$7:$I$10020,调整事项汇总表!$D$7:$D$10020,"报表调整",调整事项汇总表!$E$7:$E$10020,IF(OR(MID(TRIM($A256),2,1)="：",MID(TRIM($A256),2,1)="."),REPLACEB(TRIM($A256),1,2,""),TRIM($A256)))</f>
        <v>0</v>
      </c>
      <c r="F256" s="810">
        <f>SUMIFS(调整事项汇总表!$J$7:$J$10020,调整事项汇总表!$D$7:$D$10020,"报表调整",调整事项汇总表!$E$7:$E$10020,IF(OR(MID(TRIM($A256),2,1)="：",MID(TRIM($A256),2,1)="."),REPLACEB(TRIM($A256),1,2,""),TRIM($A256)))</f>
        <v>0</v>
      </c>
      <c r="G256" s="810">
        <f>SUMIFS(调整事项汇总表!$I$7:$I$10020,调整事项汇总表!$D$7:$D$10020,"其他",调整事项汇总表!$E$7:$E$10020,IF(OR(MID(TRIM($A256),2,1)="：",MID(TRIM($A256),2,1)="."),REPLACEB(TRIM($A256),1,2,""),TRIM($A256)))</f>
        <v>0</v>
      </c>
      <c r="H256" s="810">
        <f>SUMIFS(调整事项汇总表!$J$7:$J$10020,调整事项汇总表!$D$7:$D$10020,"其他",调整事项汇总表!$E$7:$E$10020,IF(OR(MID(TRIM($A256),2,1)="：",MID(TRIM($A256),2,1)="."),REPLACEB(TRIM($A256),1,2,""),TRIM($A256)))</f>
        <v>0</v>
      </c>
      <c r="I256" s="810">
        <f t="shared" si="68"/>
        <v>0</v>
      </c>
      <c r="J256" s="38" t="b">
        <f>A256=未审报表!A256</f>
        <v>1</v>
      </c>
      <c r="K256" s="75" t="b">
        <f>审定报表!A256=TB!A256</f>
        <v>1</v>
      </c>
    </row>
    <row r="257" spans="1:11">
      <c r="A257" s="830" t="str">
        <f>未审报表!A257</f>
        <v>8.多次交易分步处置子公司股权构成一揽子交易的，丧失控制权之前各次交易处置价款与对应净资产账面价值份额的差额</v>
      </c>
      <c r="B257" s="810">
        <f>未审报表!C257</f>
        <v>0</v>
      </c>
      <c r="C257" s="810">
        <f>SUMIFS(调整事项汇总表!$I$7:$I$10020,调整事项汇总表!$D$7:$D$10020,"账项调整",调整事项汇总表!$E$7:$E$10020,IF(OR(MID(TRIM($A257),2,1)="：",MID(TRIM($A257),2,1)="."),REPLACEB(TRIM($A257),1,2,""),TRIM($A257)))</f>
        <v>0</v>
      </c>
      <c r="D257" s="810">
        <f>SUMIFS(调整事项汇总表!$J$7:$J$10020,调整事项汇总表!$D$7:$D$10020,"账项调整",调整事项汇总表!$E$7:$E$10020,IF(OR(MID(TRIM($A257),2,1)="：",MID(TRIM($A257),2,1)="."),REPLACEB(TRIM($A257),1,2,""),TRIM($A257)))</f>
        <v>0</v>
      </c>
      <c r="E257" s="810">
        <f>SUMIFS(调整事项汇总表!$I$7:$I$10020,调整事项汇总表!$D$7:$D$10020,"报表调整",调整事项汇总表!$E$7:$E$10020,IF(OR(MID(TRIM($A257),2,1)="：",MID(TRIM($A257),2,1)="."),REPLACEB(TRIM($A257),1,2,""),TRIM($A257)))</f>
        <v>0</v>
      </c>
      <c r="F257" s="810">
        <f>SUMIFS(调整事项汇总表!$J$7:$J$10020,调整事项汇总表!$D$7:$D$10020,"报表调整",调整事项汇总表!$E$7:$E$10020,IF(OR(MID(TRIM($A257),2,1)="：",MID(TRIM($A257),2,1)="."),REPLACEB(TRIM($A257),1,2,""),TRIM($A257)))</f>
        <v>0</v>
      </c>
      <c r="G257" s="810">
        <f>SUMIFS(调整事项汇总表!$I$7:$I$10020,调整事项汇总表!$D$7:$D$10020,"其他",调整事项汇总表!$E$7:$E$10020,IF(OR(MID(TRIM($A257),2,1)="：",MID(TRIM($A257),2,1)="."),REPLACEB(TRIM($A257),1,2,""),TRIM($A257)))</f>
        <v>0</v>
      </c>
      <c r="H257" s="810">
        <f>SUMIFS(调整事项汇总表!$J$7:$J$10020,调整事项汇总表!$D$7:$D$10020,"其他",调整事项汇总表!$E$7:$E$10020,IF(OR(MID(TRIM($A257),2,1)="：",MID(TRIM($A257),2,1)="."),REPLACEB(TRIM($A257),1,2,""),TRIM($A257)))</f>
        <v>0</v>
      </c>
      <c r="I257" s="810">
        <f t="shared" si="68"/>
        <v>0</v>
      </c>
      <c r="J257" s="38" t="b">
        <f>A257=未审报表!A257</f>
        <v>1</v>
      </c>
      <c r="K257" s="75" t="b">
        <f>审定报表!A257=TB!A257</f>
        <v>1</v>
      </c>
    </row>
    <row r="258" spans="1:11">
      <c r="A258" s="830" t="str">
        <f>未审报表!A258</f>
        <v>9.其他</v>
      </c>
      <c r="B258" s="810">
        <f>未审报表!C258</f>
        <v>0</v>
      </c>
      <c r="C258" s="810">
        <f>SUMIFS(调整事项汇总表!$I$7:$I$10020,调整事项汇总表!$D$7:$D$10020,"账项调整",调整事项汇总表!$E$7:$E$10020,"其他（可以重分类）")</f>
        <v>11</v>
      </c>
      <c r="D258" s="810">
        <f>SUMIFS(调整事项汇总表!$J$7:$J$10020,调整事项汇总表!$D$7:$D$10020,"账项调整",调整事项汇总表!$E$7:$E$10020,"其他（可以重分类）")</f>
        <v>11</v>
      </c>
      <c r="E258" s="810">
        <f>SUMIFS(调整事项汇总表!$I$7:$I$10020,调整事项汇总表!$D$7:$D$10020,"报表调整",调整事项汇总表!$E$7:$E$10020,"其他（可以重分类）")</f>
        <v>13</v>
      </c>
      <c r="F258" s="810">
        <f>SUMIFS(调整事项汇总表!$J$7:$J$10020,调整事项汇总表!$D$7:$D$10020,"报表调整",调整事项汇总表!$E$7:$E$10020,"其他（可以重分类）")</f>
        <v>13</v>
      </c>
      <c r="G258" s="810">
        <f>SUMIFS(调整事项汇总表!$I$7:$I$10020,调整事项汇总表!$D$7:$D$10020,"其他",调整事项汇总表!$E$7:$E$10020,"其他（可以重分类）")</f>
        <v>12</v>
      </c>
      <c r="H258" s="810">
        <f>SUMIFS(调整事项汇总表!$J$7:$J$10020,调整事项汇总表!$D$7:$D$10020,"其他",调整事项汇总表!$E$7:$E$10020,"其他（可以重分类）")</f>
        <v>12</v>
      </c>
      <c r="I258" s="810">
        <f t="shared" si="68"/>
        <v>0</v>
      </c>
      <c r="J258" s="38" t="b">
        <f>A258=未审报表!A258</f>
        <v>1</v>
      </c>
      <c r="K258" s="75" t="b">
        <f>审定报表!A258=TB!A258</f>
        <v>1</v>
      </c>
    </row>
    <row r="259" spans="1:11">
      <c r="A259" s="830" t="str">
        <f>未审报表!A259</f>
        <v>归属于少数股东的其他综合收益的税后净额</v>
      </c>
      <c r="B259" s="810">
        <f>未审报表!C259</f>
        <v>0</v>
      </c>
      <c r="C259" s="810">
        <f>SUMIFS(调整事项汇总表!$I$7:$I$10020,调整事项汇总表!$D$7:$D$10020,"账项调整",调整事项汇总表!$E$7:$E$10020,IF(OR(MID(TRIM($A259),2,1)="：",MID(TRIM($A259),2,1)="."),REPLACEB(TRIM($A259),1,2,""),TRIM($A259)))</f>
        <v>0</v>
      </c>
      <c r="D259" s="810">
        <f>SUMIFS(调整事项汇总表!$J$7:$J$10020,调整事项汇总表!$D$7:$D$10020,"账项调整",调整事项汇总表!$E$7:$E$10020,IF(OR(MID(TRIM($A259),2,1)="：",MID(TRIM($A259),2,1)="."),REPLACEB(TRIM($A259),1,2,""),TRIM($A259)))</f>
        <v>0</v>
      </c>
      <c r="E259" s="810">
        <f>SUMIFS(调整事项汇总表!$I$7:$I$10020,调整事项汇总表!$D$7:$D$10020,"报表调整",调整事项汇总表!$E$7:$E$10020,IF(OR(MID(TRIM($A259),2,1)="：",MID(TRIM($A259),2,1)="."),REPLACEB(TRIM($A259),1,2,""),TRIM($A259)))</f>
        <v>0</v>
      </c>
      <c r="F259" s="810">
        <f>SUMIFS(调整事项汇总表!$J$7:$J$10020,调整事项汇总表!$D$7:$D$10020,"报表调整",调整事项汇总表!$E$7:$E$10020,IF(OR(MID(TRIM($A259),2,1)="：",MID(TRIM($A259),2,1)="."),REPLACEB(TRIM($A259),1,2,""),TRIM($A259)))</f>
        <v>0</v>
      </c>
      <c r="G259" s="810">
        <f>SUMIFS(调整事项汇总表!$I$7:$I$10020,调整事项汇总表!$D$7:$D$10020,"其他",调整事项汇总表!$E$7:$E$10020,IF(OR(MID(TRIM($A259),2,1)="：",MID(TRIM($A259),2,1)="."),REPLACEB(TRIM($A259),1,2,""),TRIM($A259)))</f>
        <v>0</v>
      </c>
      <c r="H259" s="810">
        <f>SUMIFS(调整事项汇总表!$J$7:$J$10020,调整事项汇总表!$D$7:$D$10020,"其他",调整事项汇总表!$E$7:$E$10020,IF(OR(MID(TRIM($A259),2,1)="：",MID(TRIM($A259),2,1)="."),REPLACEB(TRIM($A259),1,2,""),TRIM($A259)))</f>
        <v>0</v>
      </c>
      <c r="I259" s="810">
        <f>B259+D259+F259+H259-G259-E259-C259</f>
        <v>0</v>
      </c>
      <c r="J259" s="38" t="b">
        <f>A259=未审报表!A259</f>
        <v>1</v>
      </c>
      <c r="K259" s="75" t="b">
        <f>审定报表!A259=TB!A259</f>
        <v>1</v>
      </c>
    </row>
    <row r="260" spans="1:11">
      <c r="A260" s="830" t="str">
        <f>未审报表!A260</f>
        <v>六、综合收益总额</v>
      </c>
      <c r="B260" s="810">
        <f>未审报表!C260</f>
        <v>24730391.030000001</v>
      </c>
      <c r="C260" s="827">
        <f>C233+C241</f>
        <v>4161469.66</v>
      </c>
      <c r="D260" s="827">
        <f t="shared" ref="D260:G260" si="69">D233+D241</f>
        <v>11608437.74</v>
      </c>
      <c r="E260" s="827">
        <f t="shared" si="69"/>
        <v>19</v>
      </c>
      <c r="F260" s="827">
        <f t="shared" si="69"/>
        <v>19</v>
      </c>
      <c r="G260" s="827">
        <f t="shared" si="69"/>
        <v>17</v>
      </c>
      <c r="H260" s="827">
        <f>H233+H241</f>
        <v>17</v>
      </c>
      <c r="I260" s="827">
        <f>I233+I241</f>
        <v>32177359.109999999</v>
      </c>
      <c r="J260" s="38" t="b">
        <f>A260=未审报表!A260</f>
        <v>1</v>
      </c>
      <c r="K260" s="75" t="b">
        <f>审定报表!A260=TB!A260</f>
        <v>1</v>
      </c>
    </row>
    <row r="261" spans="1:11">
      <c r="A261" s="830" t="str">
        <f>未审报表!A261</f>
        <v xml:space="preserve">     归属于母公司所有者（或股东）的综合收益总额</v>
      </c>
      <c r="B261" s="810">
        <f>未审报表!C261</f>
        <v>24730391.030000001</v>
      </c>
      <c r="C261" s="810">
        <f>C242+C239</f>
        <v>4161469.66</v>
      </c>
      <c r="D261" s="810">
        <f t="shared" ref="D261:G261" si="70">D242+D239</f>
        <v>11608437.74</v>
      </c>
      <c r="E261" s="810">
        <f t="shared" si="70"/>
        <v>19</v>
      </c>
      <c r="F261" s="810">
        <f t="shared" si="70"/>
        <v>19</v>
      </c>
      <c r="G261" s="810">
        <f t="shared" si="70"/>
        <v>17</v>
      </c>
      <c r="H261" s="810">
        <f>H242+H239</f>
        <v>17</v>
      </c>
      <c r="I261" s="810">
        <f>I242+I239</f>
        <v>32177359.109999999</v>
      </c>
      <c r="J261" s="38" t="b">
        <f>A261=未审报表!A261</f>
        <v>1</v>
      </c>
      <c r="K261" s="75" t="b">
        <f>审定报表!A261=TB!A261</f>
        <v>1</v>
      </c>
    </row>
    <row r="262" spans="1:11">
      <c r="A262" s="830" t="str">
        <f>未审报表!A262</f>
        <v xml:space="preserve">     归属于少数股东的综合收益总额</v>
      </c>
      <c r="B262" s="810">
        <f>未审报表!C262</f>
        <v>0</v>
      </c>
      <c r="C262" s="810">
        <f>C259+C240</f>
        <v>0</v>
      </c>
      <c r="D262" s="810">
        <f t="shared" ref="D262:H262" si="71">D259+D240</f>
        <v>0</v>
      </c>
      <c r="E262" s="810">
        <f t="shared" si="71"/>
        <v>0</v>
      </c>
      <c r="F262" s="810">
        <f t="shared" si="71"/>
        <v>0</v>
      </c>
      <c r="G262" s="810">
        <f t="shared" si="71"/>
        <v>0</v>
      </c>
      <c r="H262" s="810">
        <f t="shared" si="71"/>
        <v>0</v>
      </c>
      <c r="I262" s="810">
        <f t="shared" ref="I262" si="72">I259+I240</f>
        <v>0</v>
      </c>
      <c r="J262" s="38" t="b">
        <f>A262=未审报表!A262</f>
        <v>1</v>
      </c>
      <c r="K262" s="75" t="b">
        <f>审定报表!A262=TB!A262</f>
        <v>1</v>
      </c>
    </row>
    <row r="263" spans="1:11">
      <c r="A263" s="830" t="str">
        <f>未审报表!A263</f>
        <v>七、每股收益</v>
      </c>
      <c r="B263" s="816"/>
      <c r="C263" s="816"/>
      <c r="D263" s="816"/>
      <c r="E263" s="816"/>
      <c r="F263" s="816"/>
      <c r="G263" s="816"/>
      <c r="H263" s="816"/>
      <c r="I263" s="831"/>
      <c r="J263" s="38" t="b">
        <f>A263=未审报表!A263</f>
        <v>1</v>
      </c>
      <c r="K263" s="75" t="b">
        <f>审定报表!A263=TB!A263</f>
        <v>1</v>
      </c>
    </row>
    <row r="264" spans="1:11">
      <c r="A264" s="830" t="str">
        <f>未审报表!A264</f>
        <v xml:space="preserve">   （一）基本每股收益</v>
      </c>
      <c r="B264" s="816"/>
      <c r="C264" s="816"/>
      <c r="D264" s="816"/>
      <c r="E264" s="816"/>
      <c r="F264" s="816"/>
      <c r="G264" s="816"/>
      <c r="H264" s="816"/>
      <c r="I264" s="831"/>
      <c r="J264" s="38" t="b">
        <f>A264=未审报表!A264</f>
        <v>1</v>
      </c>
      <c r="K264" s="75" t="b">
        <f>审定报表!A264=TB!A264</f>
        <v>1</v>
      </c>
    </row>
    <row r="265" spans="1:11">
      <c r="A265" s="830" t="str">
        <f>未审报表!A265</f>
        <v xml:space="preserve">   （二）稀释每股收益</v>
      </c>
      <c r="B265" s="816"/>
      <c r="C265" s="816"/>
      <c r="D265" s="816"/>
      <c r="E265" s="816"/>
      <c r="F265" s="816"/>
      <c r="G265" s="816"/>
      <c r="H265" s="816"/>
      <c r="I265" s="831"/>
      <c r="J265" s="38" t="b">
        <f>A265=未审报表!A265</f>
        <v>1</v>
      </c>
      <c r="K265" s="75" t="b">
        <f>审定报表!A265=TB!A265</f>
        <v>1</v>
      </c>
    </row>
    <row r="266" spans="1:11">
      <c r="A266" s="828" t="str">
        <f>未审报表!A266</f>
        <v>加：年初未分配利润</v>
      </c>
      <c r="B266" s="812">
        <f>未审报表!C266</f>
        <v>8163964.6899999976</v>
      </c>
      <c r="C266" s="810">
        <f>SUMIFS(调整事项汇总表!$I$7:$I$10020,调整事项汇总表!$D$7:$D$10020,"账项调整",调整事项汇总表!$E$7:$E$10020,IF(OR(MID(TRIM($A266),2,1)="：",MID(TRIM($A266),2,1)="、"),REPLACEB(TRIM($A266),1,4,""),TRIM($A266)))</f>
        <v>0</v>
      </c>
      <c r="D266" s="810">
        <f>SUMIFS(调整事项汇总表!$J$7:$J$10020,调整事项汇总表!$D$7:$D$10020,"账项调整",调整事项汇总表!$E$7:$E$10020,IF(OR(MID(TRIM($A266),2,1)="：",MID(TRIM($A266),2,1)="、"),REPLACEB(TRIM($A266),1,4,""),TRIM($A266)))</f>
        <v>0</v>
      </c>
      <c r="E266" s="810">
        <f>SUMIFS(调整事项汇总表!$I$7:$I$10020,调整事项汇总表!$D$7:$D$10020,"报表调整",调整事项汇总表!$E$7:$E$10020,IF(OR(MID(TRIM($A266),2,1)="：",MID(TRIM($A266),2,1)="、"),REPLACEB(TRIM($A266),1,4,""),TRIM($A266)))</f>
        <v>0</v>
      </c>
      <c r="F266" s="810">
        <f>SUMIFS(调整事项汇总表!$J$7:$J$10020,调整事项汇总表!$D$7:$D$10020,"报表调整",调整事项汇总表!$E$7:$E$10020,IF(OR(MID(TRIM($A266),2,1)="：",MID(TRIM($A266),2,1)="、"),REPLACEB(TRIM($A266),1,4,""),TRIM($A266)))</f>
        <v>0</v>
      </c>
      <c r="G266" s="810">
        <f>SUMIFS(调整事项汇总表!$I$7:$I$10020,调整事项汇总表!$D$7:$D$10020,"其他",调整事项汇总表!$E$7:$E$10020,IF(OR(MID(TRIM($A266),2,1)="：",MID(TRIM($A266),2,1)="、"),REPLACEB(TRIM($A266),1,4,""),TRIM($A266)))</f>
        <v>1</v>
      </c>
      <c r="H266" s="810">
        <f>SUMIFS(调整事项汇总表!$J$7:$J$10020,调整事项汇总表!$D$7:$D$10020,"其他",调整事项汇总表!$E$7:$E$10020,IF(OR(MID(TRIM($A266),2,1)="：",MID(TRIM($A266),2,1)="、"),REPLACEB(TRIM($A266),1,4,""),TRIM($A266)))</f>
        <v>1</v>
      </c>
      <c r="I266" s="812">
        <f>B266+D266+F266+H266-G266-E266-C266</f>
        <v>8163964.6899999976</v>
      </c>
      <c r="J266" s="38" t="b">
        <f>A266=未审报表!A266</f>
        <v>1</v>
      </c>
      <c r="K266" s="75" t="b">
        <f>审定报表!A266=TB!A266</f>
        <v>1</v>
      </c>
    </row>
    <row r="267" spans="1:11">
      <c r="A267" s="828" t="str">
        <f>未审报表!A267</f>
        <v>八、可供分配利润</v>
      </c>
      <c r="B267" s="812">
        <f>未审报表!C267</f>
        <v>32894355.719999999</v>
      </c>
      <c r="C267" s="812">
        <f>C266+C239</f>
        <v>4161454.66</v>
      </c>
      <c r="D267" s="812">
        <f t="shared" ref="D267:H267" si="73">D266+D239</f>
        <v>11608422.74</v>
      </c>
      <c r="E267" s="812">
        <f t="shared" si="73"/>
        <v>0</v>
      </c>
      <c r="F267" s="812">
        <f t="shared" si="73"/>
        <v>0</v>
      </c>
      <c r="G267" s="812">
        <f t="shared" si="73"/>
        <v>1</v>
      </c>
      <c r="H267" s="812">
        <f t="shared" si="73"/>
        <v>1</v>
      </c>
      <c r="I267" s="812">
        <f>B267+D267+F267+H267-G267-E267-C267</f>
        <v>40341323.799999997</v>
      </c>
      <c r="J267" s="38" t="b">
        <f>A267=未审报表!A267</f>
        <v>1</v>
      </c>
      <c r="K267" s="75" t="b">
        <f>审定报表!A267=TB!A267</f>
        <v>1</v>
      </c>
    </row>
    <row r="268" spans="1:11">
      <c r="A268" s="830" t="str">
        <f>未审报表!A268</f>
        <v xml:space="preserve">    1、提取法定盈余公积</v>
      </c>
      <c r="B268" s="810">
        <f>未审报表!C268</f>
        <v>0</v>
      </c>
      <c r="C268" s="810">
        <f>SUMIFS(调整事项汇总表!$I$7:$I$10020,调整事项汇总表!$D$7:$D$10020,"账项调整",调整事项汇总表!$E$7:$E$10020,IF(OR(MID(TRIM($A268),2,1)="：",MID(TRIM($A268),2,1)="、"),REPLACEB(TRIM($A268),1,3,""),TRIM($A268)))</f>
        <v>3217735.91</v>
      </c>
      <c r="D268" s="810">
        <f>SUMIFS(调整事项汇总表!$J$7:$J$10020,调整事项汇总表!$D$7:$D$10020,"账项调整",调整事项汇总表!$E$7:$E$10020,IF(OR(MID(TRIM($A268),2,1)="：",MID(TRIM($A268),2,1)="、"),REPLACEB(TRIM($A268),1,3,""),TRIM($A268)))</f>
        <v>0</v>
      </c>
      <c r="E268" s="810">
        <f>SUMIFS(调整事项汇总表!$I$7:$I$10020,调整事项汇总表!$D$7:$D$10020,"报表调整",调整事项汇总表!$E$7:$E$10020,IF(OR(MID(TRIM($A268),2,1)="：",MID(TRIM($A268),2,1)="、"),REPLACEB(TRIM($A268),1,3,""),TRIM($A268)))</f>
        <v>0</v>
      </c>
      <c r="F268" s="810">
        <f>SUMIFS(调整事项汇总表!$J$7:$J$10020,调整事项汇总表!$D$7:$D$10020,"报表调整",调整事项汇总表!$E$7:$E$10020,IF(OR(MID(TRIM($A268),2,1)="：",MID(TRIM($A268),2,1)="、"),REPLACEB(TRIM($A268),1,3,""),TRIM($A268)))</f>
        <v>0</v>
      </c>
      <c r="G268" s="810">
        <f>SUMIFS(调整事项汇总表!$I$7:$I$10020,调整事项汇总表!$D$7:$D$10020,"其他",调整事项汇总表!$E$7:$E$10020,IF(OR(MID(TRIM($A268),2,1)="：",MID(TRIM($A268),2,1)="、"),REPLACEB(TRIM($A268),1,3,""),TRIM($A268)))</f>
        <v>0</v>
      </c>
      <c r="H268" s="810">
        <f>SUMIFS(调整事项汇总表!$J$7:$J$10020,调整事项汇总表!$D$7:$D$10020,"其他",调整事项汇总表!$E$7:$E$10020,IF(OR(MID(TRIM($A268),2,1)="：",MID(TRIM($A268),2,1)="、"),REPLACEB(TRIM($A268),1,3,""),TRIM($A268)))</f>
        <v>0</v>
      </c>
      <c r="I268" s="810">
        <f>B268+C268+E268+G268-H268-F268-D268</f>
        <v>3217735.91</v>
      </c>
      <c r="J268" s="38" t="b">
        <f>A268=未审报表!A268</f>
        <v>1</v>
      </c>
      <c r="K268" s="75" t="b">
        <f>审定报表!A268=TB!A268</f>
        <v>1</v>
      </c>
    </row>
    <row r="269" spans="1:11">
      <c r="A269" s="830" t="str">
        <f>未审报表!A269</f>
        <v xml:space="preserve">    2、提取一般风险准备</v>
      </c>
      <c r="B269" s="810">
        <f>未审报表!C269</f>
        <v>0</v>
      </c>
      <c r="C269" s="810">
        <f>SUMIFS(调整事项汇总表!$I$7:$I$10020,调整事项汇总表!$D$7:$D$10020,"账项调整",调整事项汇总表!$E$7:$E$10020,IF(OR(MID(TRIM($A269),2,1)="：",MID(TRIM($A269),2,1)="、"),REPLACEB(TRIM($A269),1,3,""),TRIM($A269)))</f>
        <v>0</v>
      </c>
      <c r="D269" s="810">
        <f>SUMIFS(调整事项汇总表!$J$7:$J$10020,调整事项汇总表!$D$7:$D$10020,"账项调整",调整事项汇总表!$E$7:$E$10020,IF(OR(MID(TRIM($A269),2,1)="：",MID(TRIM($A269),2,1)="、"),REPLACEB(TRIM($A269),1,3,""),TRIM($A269)))</f>
        <v>0</v>
      </c>
      <c r="E269" s="810">
        <f>SUMIFS(调整事项汇总表!$I$7:$I$10020,调整事项汇总表!$D$7:$D$10020,"报表调整",调整事项汇总表!$E$7:$E$10020,IF(OR(MID(TRIM($A269),2,1)="：",MID(TRIM($A269),2,1)="、"),REPLACEB(TRIM($A269),1,3,""),TRIM($A269)))</f>
        <v>0</v>
      </c>
      <c r="F269" s="810">
        <f>SUMIFS(调整事项汇总表!$J$7:$J$10020,调整事项汇总表!$D$7:$D$10020,"报表调整",调整事项汇总表!$E$7:$E$10020,IF(OR(MID(TRIM($A269),2,1)="：",MID(TRIM($A269),2,1)="、"),REPLACEB(TRIM($A269),1,3,""),TRIM($A269)))</f>
        <v>0</v>
      </c>
      <c r="G269" s="810">
        <f>SUMIFS(调整事项汇总表!$I$7:$I$10020,调整事项汇总表!$D$7:$D$10020,"其他",调整事项汇总表!$E$7:$E$10020,IF(OR(MID(TRIM($A269),2,1)="：",MID(TRIM($A269),2,1)="、"),REPLACEB(TRIM($A269),1,3,""),TRIM($A269)))</f>
        <v>0</v>
      </c>
      <c r="H269" s="810">
        <f>SUMIFS(调整事项汇总表!$J$7:$J$10020,调整事项汇总表!$D$7:$D$10020,"其他",调整事项汇总表!$E$7:$E$10020,IF(OR(MID(TRIM($A269),2,1)="：",MID(TRIM($A269),2,1)="、"),REPLACEB(TRIM($A269),1,3,""),TRIM($A269)))</f>
        <v>0</v>
      </c>
      <c r="I269" s="810">
        <f t="shared" ref="I269:I270" si="74">B269+C269+E269+G269-H269-F269-D269</f>
        <v>0</v>
      </c>
      <c r="J269" s="38" t="b">
        <f>A269=未审报表!A269</f>
        <v>1</v>
      </c>
      <c r="K269" s="75" t="b">
        <f>审定报表!A269=TB!A269</f>
        <v>1</v>
      </c>
    </row>
    <row r="270" spans="1:11">
      <c r="A270" s="830" t="str">
        <f>未审报表!A270</f>
        <v xml:space="preserve">    3、提取其他</v>
      </c>
      <c r="B270" s="810">
        <f>未审报表!C270</f>
        <v>0</v>
      </c>
      <c r="C270" s="810">
        <f>SUMIFS(调整事项汇总表!$I$7:$I$10020,调整事项汇总表!$D$7:$D$10020,"账项调整",调整事项汇总表!$E$7:$E$10020,IF(OR(MID(TRIM($A270),2,1)="：",MID(TRIM($A270),2,1)="、"),REPLACEB(TRIM($A270),1,3,""),TRIM($A270)))</f>
        <v>0</v>
      </c>
      <c r="D270" s="810">
        <f>SUMIFS(调整事项汇总表!$J$7:$J$10020,调整事项汇总表!$D$7:$D$10020,"账项调整",调整事项汇总表!$E$7:$E$10020,IF(OR(MID(TRIM($A270),2,1)="：",MID(TRIM($A270),2,1)="、"),REPLACEB(TRIM($A270),1,3,""),TRIM($A270)))</f>
        <v>0</v>
      </c>
      <c r="E270" s="810">
        <f>SUMIFS(调整事项汇总表!$I$7:$I$10020,调整事项汇总表!$D$7:$D$10020,"报表调整",调整事项汇总表!$E$7:$E$10020,IF(OR(MID(TRIM($A270),2,1)="：",MID(TRIM($A270),2,1)="、"),REPLACEB(TRIM($A270),1,3,""),TRIM($A270)))</f>
        <v>0</v>
      </c>
      <c r="F270" s="810">
        <f>SUMIFS(调整事项汇总表!$J$7:$J$10020,调整事项汇总表!$D$7:$D$10020,"报表调整",调整事项汇总表!$E$7:$E$10020,IF(OR(MID(TRIM($A270),2,1)="：",MID(TRIM($A270),2,1)="、"),REPLACEB(TRIM($A270),1,3,""),TRIM($A270)))</f>
        <v>0</v>
      </c>
      <c r="G270" s="810">
        <f>SUMIFS(调整事项汇总表!$I$7:$I$10020,调整事项汇总表!$D$7:$D$10020,"其他",调整事项汇总表!$E$7:$E$10020,IF(OR(MID(TRIM($A270),2,1)="：",MID(TRIM($A270),2,1)="、"),REPLACEB(TRIM($A270),1,3,""),TRIM($A270)))</f>
        <v>0</v>
      </c>
      <c r="H270" s="810">
        <f>SUMIFS(调整事项汇总表!$J$7:$J$10020,调整事项汇总表!$D$7:$D$10020,"其他",调整事项汇总表!$E$7:$E$10020,IF(OR(MID(TRIM($A270),2,1)="：",MID(TRIM($A270),2,1)="、"),REPLACEB(TRIM($A270),1,3,""),TRIM($A270)))</f>
        <v>0</v>
      </c>
      <c r="I270" s="810">
        <f t="shared" si="74"/>
        <v>0</v>
      </c>
      <c r="J270" s="38" t="b">
        <f>A270=未审报表!A270</f>
        <v>1</v>
      </c>
      <c r="K270" s="75" t="b">
        <f>审定报表!A270=TB!A270</f>
        <v>1</v>
      </c>
    </row>
    <row r="271" spans="1:11">
      <c r="A271" s="828" t="str">
        <f>未审报表!A271</f>
        <v>九、可供投资者分配的利润</v>
      </c>
      <c r="B271" s="812">
        <f>未审报表!C271</f>
        <v>32894355.719999999</v>
      </c>
      <c r="C271" s="812">
        <f>C267+C268+C269+C270</f>
        <v>7379190.5700000003</v>
      </c>
      <c r="D271" s="812">
        <f t="shared" ref="D271:H271" si="75">D267+D268+D269+D270</f>
        <v>11608422.74</v>
      </c>
      <c r="E271" s="812">
        <f t="shared" si="75"/>
        <v>0</v>
      </c>
      <c r="F271" s="812">
        <f t="shared" si="75"/>
        <v>0</v>
      </c>
      <c r="G271" s="812">
        <f t="shared" si="75"/>
        <v>1</v>
      </c>
      <c r="H271" s="812">
        <f t="shared" si="75"/>
        <v>1</v>
      </c>
      <c r="I271" s="812">
        <f>B271+D271+F271+H271-G271-E271-C271</f>
        <v>37123587.890000001</v>
      </c>
      <c r="J271" s="38" t="b">
        <f>A271=未审报表!A271</f>
        <v>1</v>
      </c>
      <c r="K271" s="75" t="b">
        <f>审定报表!A271=TB!A271</f>
        <v>1</v>
      </c>
    </row>
    <row r="272" spans="1:11">
      <c r="A272" s="830" t="str">
        <f>未审报表!A272</f>
        <v xml:space="preserve">    1、应付优先股股利</v>
      </c>
      <c r="B272" s="810">
        <f>未审报表!C272</f>
        <v>0</v>
      </c>
      <c r="C272" s="810">
        <f>SUMIFS(调整事项汇总表!$I$7:$I$10020,调整事项汇总表!$D$7:$D$10020,"账项调整",调整事项汇总表!$E$7:$E$10020,IF(OR(MID(TRIM($A272),2,1)="：",MID(TRIM($A272),2,1)="."),REPLACEB(TRIM($A272),1,2,""),TRIM($A272)))</f>
        <v>0</v>
      </c>
      <c r="D272" s="810">
        <f>SUMIFS(调整事项汇总表!$J$7:$J$10020,调整事项汇总表!$D$7:$D$10020,"账项调整",调整事项汇总表!$E$7:$E$10020,IF(OR(MID(TRIM($A272),2,1)="：",MID(TRIM($A272),2,1)="."),REPLACEB(TRIM($A272),1,2,""),TRIM($A272)))</f>
        <v>0</v>
      </c>
      <c r="E272" s="810">
        <f>SUMIFS(调整事项汇总表!$I$7:$I$10020,调整事项汇总表!$D$7:$D$10020,"报表调整",调整事项汇总表!$E$7:$E$10020,IF(OR(MID(TRIM($A272),2,1)="：",MID(TRIM($A272),2,1)="."),REPLACEB(TRIM($A272),1,2,""),TRIM($A272)))</f>
        <v>0</v>
      </c>
      <c r="F272" s="810">
        <f>SUMIFS(调整事项汇总表!$J$7:$J$10020,调整事项汇总表!$D$7:$D$10020,"报表调整",调整事项汇总表!$E$7:$E$10020,IF(OR(MID(TRIM($A272),2,1)="：",MID(TRIM($A272),2,1)="."),REPLACEB(TRIM($A272),1,2,""),TRIM($A272)))</f>
        <v>0</v>
      </c>
      <c r="G272" s="810">
        <f>SUMIFS(调整事项汇总表!$I$7:$I$10020,调整事项汇总表!$D$7:$D$10020,"其他",调整事项汇总表!$E$7:$E$10020,IF(OR(MID(TRIM($A272),2,1)="：",MID(TRIM($A272),2,1)="."),REPLACEB(TRIM($A272),1,2,""),TRIM($A272)))</f>
        <v>0</v>
      </c>
      <c r="H272" s="810">
        <f>SUMIFS(调整事项汇总表!$J$7:$J$10020,调整事项汇总表!$D$7:$D$10020,"其他",调整事项汇总表!$E$7:$E$10020,IF(OR(MID(TRIM($A272),2,1)="：",MID(TRIM($A272),2,1)="."),REPLACEB(TRIM($A272),1,2,""),TRIM($A272)))</f>
        <v>0</v>
      </c>
      <c r="I272" s="810">
        <f>B272+C272+E272+G272-H272-F272-D272</f>
        <v>0</v>
      </c>
      <c r="J272" s="38" t="b">
        <f>A272=未审报表!A272</f>
        <v>1</v>
      </c>
      <c r="K272" s="75" t="b">
        <f>审定报表!A272=TB!A272</f>
        <v>1</v>
      </c>
    </row>
    <row r="273" spans="1:11">
      <c r="A273" s="830" t="str">
        <f>未审报表!A273</f>
        <v xml:space="preserve">    2、提取任意盈余公积</v>
      </c>
      <c r="B273" s="810">
        <f>未审报表!C273</f>
        <v>0</v>
      </c>
      <c r="C273" s="810">
        <f>SUMIFS(调整事项汇总表!$I$7:$I$10020,调整事项汇总表!$D$7:$D$10020,"账项调整",调整事项汇总表!$E$7:$E$10020,IF(OR(MID(TRIM($A273),2,1)="：",MID(TRIM($A273),2,1)="."),REPLACEB(TRIM($A273),1,2,""),TRIM($A273)))</f>
        <v>0</v>
      </c>
      <c r="D273" s="810">
        <f>SUMIFS(调整事项汇总表!$J$7:$J$10020,调整事项汇总表!$D$7:$D$10020,"账项调整",调整事项汇总表!$E$7:$E$10020,IF(OR(MID(TRIM($A273),2,1)="：",MID(TRIM($A273),2,1)="."),REPLACEB(TRIM($A273),1,2,""),TRIM($A273)))</f>
        <v>0</v>
      </c>
      <c r="E273" s="810">
        <f>SUMIFS(调整事项汇总表!$I$7:$I$10020,调整事项汇总表!$D$7:$D$10020,"报表调整",调整事项汇总表!$E$7:$E$10020,IF(OR(MID(TRIM($A273),2,1)="：",MID(TRIM($A273),2,1)="."),REPLACEB(TRIM($A273),1,2,""),TRIM($A273)))</f>
        <v>0</v>
      </c>
      <c r="F273" s="810">
        <f>SUMIFS(调整事项汇总表!$J$7:$J$10020,调整事项汇总表!$D$7:$D$10020,"报表调整",调整事项汇总表!$E$7:$E$10020,IF(OR(MID(TRIM($A273),2,1)="：",MID(TRIM($A273),2,1)="."),REPLACEB(TRIM($A273),1,2,""),TRIM($A273)))</f>
        <v>0</v>
      </c>
      <c r="G273" s="810">
        <f>SUMIFS(调整事项汇总表!$I$7:$I$10020,调整事项汇总表!$D$7:$D$10020,"其他",调整事项汇总表!$E$7:$E$10020,IF(OR(MID(TRIM($A273),2,1)="：",MID(TRIM($A273),2,1)="."),REPLACEB(TRIM($A273),1,2,""),TRIM($A273)))</f>
        <v>0</v>
      </c>
      <c r="H273" s="810">
        <f>SUMIFS(调整事项汇总表!$J$7:$J$10020,调整事项汇总表!$D$7:$D$10020,"其他",调整事项汇总表!$E$7:$E$10020,IF(OR(MID(TRIM($A273),2,1)="：",MID(TRIM($A273),2,1)="."),REPLACEB(TRIM($A273),1,2,""),TRIM($A273)))</f>
        <v>0</v>
      </c>
      <c r="I273" s="810">
        <f t="shared" ref="I273:I276" si="76">B273+C273+E273+G273-H273-F273-D273</f>
        <v>0</v>
      </c>
      <c r="J273" s="38" t="b">
        <f>A273=未审报表!A273</f>
        <v>1</v>
      </c>
      <c r="K273" s="75" t="b">
        <f>审定报表!A273=TB!A273</f>
        <v>1</v>
      </c>
    </row>
    <row r="274" spans="1:11">
      <c r="A274" s="830" t="str">
        <f>未审报表!A274</f>
        <v xml:space="preserve">    3、应付普通股股利（应付利润）</v>
      </c>
      <c r="B274" s="810">
        <f>未审报表!C274</f>
        <v>0</v>
      </c>
      <c r="C274" s="810">
        <f>SUMIFS(调整事项汇总表!$I$7:$I$10020,调整事项汇总表!$D$7:$D$10020,"账项调整",调整事项汇总表!$E$7:$E$10020,IF(OR(MID(TRIM($A274),2,1)="：",MID(TRIM($A274),2,1)="."),REPLACEB(TRIM($A274),1,2,""),TRIM($A274)))</f>
        <v>0</v>
      </c>
      <c r="D274" s="810">
        <f>SUMIFS(调整事项汇总表!$J$7:$J$10020,调整事项汇总表!$D$7:$D$10020,"账项调整",调整事项汇总表!$E$7:$E$10020,IF(OR(MID(TRIM($A274),2,1)="：",MID(TRIM($A274),2,1)="."),REPLACEB(TRIM($A274),1,2,""),TRIM($A274)))</f>
        <v>0</v>
      </c>
      <c r="E274" s="810">
        <f>SUMIFS(调整事项汇总表!$I$7:$I$10020,调整事项汇总表!$D$7:$D$10020,"报表调整",调整事项汇总表!$E$7:$E$10020,IF(OR(MID(TRIM($A274),2,1)="：",MID(TRIM($A274),2,1)="."),REPLACEB(TRIM($A274),1,2,""),TRIM($A274)))</f>
        <v>0</v>
      </c>
      <c r="F274" s="810">
        <f>SUMIFS(调整事项汇总表!$J$7:$J$10020,调整事项汇总表!$D$7:$D$10020,"报表调整",调整事项汇总表!$E$7:$E$10020,IF(OR(MID(TRIM($A274),2,1)="：",MID(TRIM($A274),2,1)="."),REPLACEB(TRIM($A274),1,2,""),TRIM($A274)))</f>
        <v>0</v>
      </c>
      <c r="G274" s="810">
        <f>SUMIFS(调整事项汇总表!$I$7:$I$10020,调整事项汇总表!$D$7:$D$10020,"其他",调整事项汇总表!$E$7:$E$10020,IF(OR(MID(TRIM($A274),2,1)="：",MID(TRIM($A274),2,1)="."),REPLACEB(TRIM($A274),1,2,""),TRIM($A274)))</f>
        <v>0</v>
      </c>
      <c r="H274" s="810">
        <f>SUMIFS(调整事项汇总表!$J$7:$J$10020,调整事项汇总表!$D$7:$D$10020,"其他",调整事项汇总表!$E$7:$E$10020,IF(OR(MID(TRIM($A274),2,1)="：",MID(TRIM($A274),2,1)="."),REPLACEB(TRIM($A274),1,2,""),TRIM($A274)))</f>
        <v>0</v>
      </c>
      <c r="I274" s="810">
        <f t="shared" si="76"/>
        <v>0</v>
      </c>
      <c r="J274" s="38" t="b">
        <f>A274=未审报表!A274</f>
        <v>1</v>
      </c>
      <c r="K274" s="75" t="b">
        <f>审定报表!A274=TB!A274</f>
        <v>1</v>
      </c>
    </row>
    <row r="275" spans="1:11">
      <c r="A275" s="830" t="str">
        <f>未审报表!A275</f>
        <v xml:space="preserve">    4、转作资本（或股本）的普通股股利</v>
      </c>
      <c r="B275" s="810">
        <f>未审报表!C275</f>
        <v>0</v>
      </c>
      <c r="C275" s="810">
        <f>SUMIFS(调整事项汇总表!$I$7:$I$10020,调整事项汇总表!$D$7:$D$10020,"账项调整",调整事项汇总表!$E$7:$E$10020,IF(OR(MID(TRIM($A275),2,1)="：",MID(TRIM($A275),2,1)="."),REPLACEB(TRIM($A275),1,2,""),TRIM($A275)))</f>
        <v>0</v>
      </c>
      <c r="D275" s="810">
        <f>SUMIFS(调整事项汇总表!$J$7:$J$10020,调整事项汇总表!$D$7:$D$10020,"账项调整",调整事项汇总表!$E$7:$E$10020,IF(OR(MID(TRIM($A275),2,1)="：",MID(TRIM($A275),2,1)="."),REPLACEB(TRIM($A275),1,2,""),TRIM($A275)))</f>
        <v>0</v>
      </c>
      <c r="E275" s="810">
        <f>SUMIFS(调整事项汇总表!$I$7:$I$10020,调整事项汇总表!$D$7:$D$10020,"报表调整",调整事项汇总表!$E$7:$E$10020,IF(OR(MID(TRIM($A275),2,1)="：",MID(TRIM($A275),2,1)="."),REPLACEB(TRIM($A275),1,2,""),TRIM($A275)))</f>
        <v>0</v>
      </c>
      <c r="F275" s="810">
        <f>SUMIFS(调整事项汇总表!$J$7:$J$10020,调整事项汇总表!$D$7:$D$10020,"报表调整",调整事项汇总表!$E$7:$E$10020,IF(OR(MID(TRIM($A275),2,1)="：",MID(TRIM($A275),2,1)="."),REPLACEB(TRIM($A275),1,2,""),TRIM($A275)))</f>
        <v>0</v>
      </c>
      <c r="G275" s="810">
        <f>SUMIFS(调整事项汇总表!$I$7:$I$10020,调整事项汇总表!$D$7:$D$10020,"其他",调整事项汇总表!$E$7:$E$10020,IF(OR(MID(TRIM($A275),2,1)="：",MID(TRIM($A275),2,1)="."),REPLACEB(TRIM($A275),1,2,""),TRIM($A275)))</f>
        <v>0</v>
      </c>
      <c r="H275" s="810">
        <f>SUMIFS(调整事项汇总表!$J$7:$J$10020,调整事项汇总表!$D$7:$D$10020,"其他",调整事项汇总表!$E$7:$E$10020,IF(OR(MID(TRIM($A275),2,1)="：",MID(TRIM($A275),2,1)="."),REPLACEB(TRIM($A275),1,2,""),TRIM($A275)))</f>
        <v>0</v>
      </c>
      <c r="I275" s="810">
        <f t="shared" si="76"/>
        <v>0</v>
      </c>
      <c r="J275" s="38" t="b">
        <f>A275=未审报表!A275</f>
        <v>1</v>
      </c>
      <c r="K275" s="75" t="b">
        <f>审定报表!A275=TB!A275</f>
        <v>1</v>
      </c>
    </row>
    <row r="276" spans="1:11">
      <c r="A276" s="830" t="str">
        <f>未审报表!A276</f>
        <v xml:space="preserve">    5、其他</v>
      </c>
      <c r="B276" s="810">
        <f>未审报表!C276</f>
        <v>0</v>
      </c>
      <c r="C276" s="810">
        <f>SUMIFS(调整事项汇总表!$I$7:$I$10020,调整事项汇总表!$D$7:$D$10020,"账项调整",调整事项汇总表!$E$7:$E$10020,"其他（分配）")</f>
        <v>7</v>
      </c>
      <c r="D276" s="810">
        <f>SUMIFS(调整事项汇总表!$J$7:$J$10020,调整事项汇总表!$D$7:$D$10020,"账项调整",调整事项汇总表!$E$7:$E$10020,"其他（分配）")</f>
        <v>7</v>
      </c>
      <c r="E276" s="810">
        <f>SUMIFS(调整事项汇总表!$I$7:$I$10020,调整事项汇总表!$D$7:$D$10020,"报表调整",调整事项汇总表!$E$7:$E$10020,"其他（分配）")</f>
        <v>9</v>
      </c>
      <c r="F276" s="810">
        <f>SUMIFS(调整事项汇总表!$J$7:$J$10020,调整事项汇总表!$D$7:$D$10020,"报表调整",调整事项汇总表!$E$7:$E$10020,"其他（分配）")</f>
        <v>9</v>
      </c>
      <c r="G276" s="810">
        <f>SUMIFS(调整事项汇总表!$I$7:$I$10020,调整事项汇总表!$D$7:$D$10020,"其他",调整事项汇总表!$E$7:$E$10020,"其他（分配）")</f>
        <v>8</v>
      </c>
      <c r="H276" s="810">
        <f>SUMIFS(调整事项汇总表!$J$7:$J$10020,调整事项汇总表!$D$7:$D$10020,"其他",调整事项汇总表!$E$7:$E$10020,"其他（分配）")</f>
        <v>8</v>
      </c>
      <c r="I276" s="810">
        <f t="shared" si="76"/>
        <v>0</v>
      </c>
      <c r="J276" s="38" t="b">
        <f>A276=未审报表!A276</f>
        <v>1</v>
      </c>
      <c r="K276" s="75" t="b">
        <f>审定报表!A276=TB!A276</f>
        <v>1</v>
      </c>
    </row>
    <row r="277" spans="1:11">
      <c r="A277" s="828" t="str">
        <f>未审报表!A277</f>
        <v>十、未分配利润</v>
      </c>
      <c r="B277" s="812">
        <f>未审报表!C277</f>
        <v>32894355.719999999</v>
      </c>
      <c r="C277" s="812">
        <f>C271+C272+C273+C274+C275+C276</f>
        <v>7379197.5700000003</v>
      </c>
      <c r="D277" s="812">
        <f t="shared" ref="D277:H277" si="77">D271+D272+D273+D274+D275+D276</f>
        <v>11608429.74</v>
      </c>
      <c r="E277" s="812">
        <f t="shared" si="77"/>
        <v>9</v>
      </c>
      <c r="F277" s="812">
        <f t="shared" si="77"/>
        <v>9</v>
      </c>
      <c r="G277" s="812">
        <f t="shared" si="77"/>
        <v>9</v>
      </c>
      <c r="H277" s="812">
        <f t="shared" si="77"/>
        <v>9</v>
      </c>
      <c r="I277" s="812">
        <f>B277+D277+F277+H277-G277-E277-C277</f>
        <v>37123587.890000001</v>
      </c>
      <c r="J277" s="38" t="b">
        <f>A277=未审报表!A277</f>
        <v>1</v>
      </c>
      <c r="K277" s="75" t="b">
        <f>审定报表!A277=TB!A277</f>
        <v>1</v>
      </c>
    </row>
    <row r="278" spans="1:11">
      <c r="A278" s="828" t="str">
        <f>未审报表!A278</f>
        <v>现  金  流  量  表</v>
      </c>
      <c r="B278" s="832" t="s">
        <v>1503</v>
      </c>
      <c r="C278" s="833" t="s">
        <v>1504</v>
      </c>
      <c r="D278" s="833" t="s">
        <v>1505</v>
      </c>
      <c r="E278" s="833" t="s">
        <v>1506</v>
      </c>
      <c r="F278" s="833" t="s">
        <v>1507</v>
      </c>
      <c r="G278" s="833" t="s">
        <v>1508</v>
      </c>
      <c r="H278" s="833" t="s">
        <v>1509</v>
      </c>
      <c r="I278" s="834" t="s">
        <v>1510</v>
      </c>
      <c r="J278" s="38" t="b">
        <f>A278=未审报表!A278</f>
        <v>1</v>
      </c>
      <c r="K278" s="75" t="b">
        <f>审定报表!A278=TB!A278</f>
        <v>1</v>
      </c>
    </row>
    <row r="279" spans="1:11">
      <c r="A279" s="830" t="str">
        <f>未审报表!A279</f>
        <v>一、经营活动产生的现金流量</v>
      </c>
      <c r="B279" s="816" t="str">
        <f>未审报表!C279</f>
        <v xml:space="preserve"> </v>
      </c>
      <c r="C279" s="816"/>
      <c r="D279" s="816"/>
      <c r="E279" s="816"/>
      <c r="F279" s="816"/>
      <c r="G279" s="816"/>
      <c r="H279" s="816"/>
      <c r="I279" s="831"/>
      <c r="J279" s="38" t="b">
        <f>A279=未审报表!A279</f>
        <v>1</v>
      </c>
      <c r="K279" s="75" t="b">
        <f>审定报表!A279=TB!A279</f>
        <v>1</v>
      </c>
    </row>
    <row r="280" spans="1:11">
      <c r="A280" s="830" t="str">
        <f>未审报表!A280</f>
        <v xml:space="preserve">     销售商品、提供劳务收到的现金</v>
      </c>
      <c r="B280" s="810">
        <f>未审报表!C280</f>
        <v>0</v>
      </c>
      <c r="C280" s="810">
        <f>SUMIFS(调整事项汇总表!$I$7:$I$10020,调整事项汇总表!$D$7:$D$10020,"账项调整",调整事项汇总表!$E$7:$E$10020,IF(OR(MID(TRIM($A280),2,1)="：",MID(TRIM($A280),2,1)="."),REPLACEB(TRIM($A280),1,2,""),TRIM($A280)))</f>
        <v>0</v>
      </c>
      <c r="D280" s="810">
        <f>SUMIFS(调整事项汇总表!$J$7:$J$10020,调整事项汇总表!$D$7:$D$10020,"账项调整",调整事项汇总表!$E$7:$E$10020,IF(OR(MID(TRIM($A280),2,1)="：",MID(TRIM($A280),2,1)="."),REPLACEB(TRIM($A280),1,2,""),TRIM($A280)))</f>
        <v>0</v>
      </c>
      <c r="E280" s="810">
        <f>SUMIFS(调整事项汇总表!$I$7:$I$10020,调整事项汇总表!$D$7:$D$10020,"报表调整",调整事项汇总表!$E$7:$E$10020,IF(OR(MID(TRIM($A280),2,1)="：",MID(TRIM($A280),2,1)="."),REPLACEB(TRIM($A280),1,2,""),TRIM($A280)))</f>
        <v>0</v>
      </c>
      <c r="F280" s="810">
        <f>SUMIFS(调整事项汇总表!$J$7:$J$10020,调整事项汇总表!$D$7:$D$10020,"报表调整",调整事项汇总表!$E$7:$E$10020,IF(OR(MID(TRIM($A280),2,1)="：",MID(TRIM($A280),2,1)="."),REPLACEB(TRIM($A280),1,2,""),TRIM($A280)))</f>
        <v>0</v>
      </c>
      <c r="G280" s="810">
        <f>SUMIFS(调整事项汇总表!$I$7:$I$10020,调整事项汇总表!$D$7:$D$10020,"其他",调整事项汇总表!$E$7:$E$10020,IF(OR(MID(TRIM($A280),2,1)="：",MID(TRIM($A280),2,1)="."),REPLACEB(TRIM($A280),1,2,""),TRIM($A280)))</f>
        <v>0</v>
      </c>
      <c r="H280" s="810">
        <f>SUMIFS(调整事项汇总表!$I$7:$I$10020,调整事项汇总表!$D$7:$D$10020,"其他",调整事项汇总表!$E$7:$E$10020,IF(OR(MID(TRIM($A280),2,1)="：",MID(TRIM($A280),2,1)="."),REPLACEB(TRIM($A280),1,2,""),TRIM($A280)))</f>
        <v>0</v>
      </c>
      <c r="I280" s="810">
        <f>B280+C280+E280+G280-H280-F280-D280</f>
        <v>0</v>
      </c>
      <c r="J280" s="38" t="b">
        <f>A280=未审报表!A280</f>
        <v>1</v>
      </c>
      <c r="K280" s="75" t="b">
        <f>审定报表!A280=TB!A280</f>
        <v>1</v>
      </c>
    </row>
    <row r="281" spans="1:11">
      <c r="A281" s="830" t="str">
        <f>未审报表!A281</f>
        <v xml:space="preserve">    客户存款和同业存放款项净增加额*</v>
      </c>
      <c r="B281" s="810">
        <f>未审报表!C281</f>
        <v>0</v>
      </c>
      <c r="C281" s="810">
        <f>SUMIFS(调整事项汇总表!$I$7:$I$10020,调整事项汇总表!$D$7:$D$10020,"账项调整",调整事项汇总表!$E$7:$E$10020,IF(OR(MID(TRIM($A281),2,1)="：",MID(TRIM($A281),2,1)="."),REPLACEB(TRIM($A281),1,2,""),TRIM($A281)))</f>
        <v>0</v>
      </c>
      <c r="D281" s="810">
        <f>SUMIFS(调整事项汇总表!$J$7:$J$10020,调整事项汇总表!$D$7:$D$10020,"账项调整",调整事项汇总表!$E$7:$E$10020,IF(OR(MID(TRIM($A281),2,1)="：",MID(TRIM($A281),2,1)="."),REPLACEB(TRIM($A281),1,2,""),TRIM($A281)))</f>
        <v>0</v>
      </c>
      <c r="E281" s="810">
        <f>SUMIFS(调整事项汇总表!$I$7:$I$10020,调整事项汇总表!$D$7:$D$10020,"报表调整",调整事项汇总表!$E$7:$E$10020,IF(OR(MID(TRIM($A281),2,1)="：",MID(TRIM($A281),2,1)="."),REPLACEB(TRIM($A281),1,2,""),TRIM($A281)))</f>
        <v>0</v>
      </c>
      <c r="F281" s="810">
        <f>SUMIFS(调整事项汇总表!$J$7:$J$10020,调整事项汇总表!$D$7:$D$10020,"报表调整",调整事项汇总表!$E$7:$E$10020,IF(OR(MID(TRIM($A281),2,1)="：",MID(TRIM($A281),2,1)="."),REPLACEB(TRIM($A281),1,2,""),TRIM($A281)))</f>
        <v>0</v>
      </c>
      <c r="G281" s="810">
        <f>SUMIFS(调整事项汇总表!$I$7:$I$10020,调整事项汇总表!$D$7:$D$10020,"其他",调整事项汇总表!$E$7:$E$10020,IF(OR(MID(TRIM($A281),2,1)="：",MID(TRIM($A281),2,1)="."),REPLACEB(TRIM($A281),1,2,""),TRIM($A281)))</f>
        <v>0</v>
      </c>
      <c r="H281" s="810">
        <f>SUMIFS(调整事项汇总表!$I$7:$I$10020,调整事项汇总表!$D$7:$D$10020,"其他",调整事项汇总表!$E$7:$E$10020,IF(OR(MID(TRIM($A281),2,1)="：",MID(TRIM($A281),2,1)="."),REPLACEB(TRIM($A281),1,2,""),TRIM($A281)))</f>
        <v>0</v>
      </c>
      <c r="I281" s="810">
        <f t="shared" ref="I281:I294" si="78">B281+C281+E281+G281-H281-F281-D281</f>
        <v>0</v>
      </c>
      <c r="J281" s="38" t="b">
        <f>A281=未审报表!A281</f>
        <v>1</v>
      </c>
      <c r="K281" s="75" t="b">
        <f>审定报表!A281=TB!A281</f>
        <v>1</v>
      </c>
    </row>
    <row r="282" spans="1:11">
      <c r="A282" s="830" t="str">
        <f>未审报表!A282</f>
        <v xml:space="preserve">     向中央银行借款净增加额*</v>
      </c>
      <c r="B282" s="810">
        <f>未审报表!C282</f>
        <v>0</v>
      </c>
      <c r="C282" s="810">
        <f>SUMIFS(调整事项汇总表!$I$7:$I$10020,调整事项汇总表!$D$7:$D$10020,"账项调整",调整事项汇总表!$E$7:$E$10020,IF(OR(MID(TRIM($A282),2,1)="：",MID(TRIM($A282),2,1)="."),REPLACEB(TRIM($A282),1,2,""),TRIM($A282)))</f>
        <v>0</v>
      </c>
      <c r="D282" s="810">
        <f>SUMIFS(调整事项汇总表!$J$7:$J$10020,调整事项汇总表!$D$7:$D$10020,"账项调整",调整事项汇总表!$E$7:$E$10020,IF(OR(MID(TRIM($A282),2,1)="：",MID(TRIM($A282),2,1)="."),REPLACEB(TRIM($A282),1,2,""),TRIM($A282)))</f>
        <v>0</v>
      </c>
      <c r="E282" s="810">
        <f>SUMIFS(调整事项汇总表!$I$7:$I$10020,调整事项汇总表!$D$7:$D$10020,"报表调整",调整事项汇总表!$E$7:$E$10020,IF(OR(MID(TRIM($A282),2,1)="：",MID(TRIM($A282),2,1)="."),REPLACEB(TRIM($A282),1,2,""),TRIM($A282)))</f>
        <v>0</v>
      </c>
      <c r="F282" s="810">
        <f>SUMIFS(调整事项汇总表!$J$7:$J$10020,调整事项汇总表!$D$7:$D$10020,"报表调整",调整事项汇总表!$E$7:$E$10020,IF(OR(MID(TRIM($A282),2,1)="：",MID(TRIM($A282),2,1)="."),REPLACEB(TRIM($A282),1,2,""),TRIM($A282)))</f>
        <v>0</v>
      </c>
      <c r="G282" s="810">
        <f>SUMIFS(调整事项汇总表!$I$7:$I$10020,调整事项汇总表!$D$7:$D$10020,"其他",调整事项汇总表!$E$7:$E$10020,IF(OR(MID(TRIM($A282),2,1)="：",MID(TRIM($A282),2,1)="."),REPLACEB(TRIM($A282),1,2,""),TRIM($A282)))</f>
        <v>0</v>
      </c>
      <c r="H282" s="810">
        <f>SUMIFS(调整事项汇总表!$I$7:$I$10020,调整事项汇总表!$D$7:$D$10020,"其他",调整事项汇总表!$E$7:$E$10020,IF(OR(MID(TRIM($A282),2,1)="：",MID(TRIM($A282),2,1)="."),REPLACEB(TRIM($A282),1,2,""),TRIM($A282)))</f>
        <v>0</v>
      </c>
      <c r="I282" s="810">
        <f t="shared" si="78"/>
        <v>0</v>
      </c>
      <c r="J282" s="38" t="b">
        <f>A282=未审报表!A282</f>
        <v>1</v>
      </c>
      <c r="K282" s="75" t="b">
        <f>审定报表!A282=TB!A282</f>
        <v>1</v>
      </c>
    </row>
    <row r="283" spans="1:11">
      <c r="A283" s="830" t="str">
        <f>未审报表!A283</f>
        <v xml:space="preserve">     向其他金融机构拆入资金净增加额*</v>
      </c>
      <c r="B283" s="810">
        <f>未审报表!C283</f>
        <v>0</v>
      </c>
      <c r="C283" s="810">
        <f>SUMIFS(调整事项汇总表!$I$7:$I$10020,调整事项汇总表!$D$7:$D$10020,"账项调整",调整事项汇总表!$E$7:$E$10020,IF(OR(MID(TRIM($A283),2,1)="：",MID(TRIM($A283),2,1)="."),REPLACEB(TRIM($A283),1,2,""),TRIM($A283)))</f>
        <v>0</v>
      </c>
      <c r="D283" s="810">
        <f>SUMIFS(调整事项汇总表!$J$7:$J$10020,调整事项汇总表!$D$7:$D$10020,"账项调整",调整事项汇总表!$E$7:$E$10020,IF(OR(MID(TRIM($A283),2,1)="：",MID(TRIM($A283),2,1)="."),REPLACEB(TRIM($A283),1,2,""),TRIM($A283)))</f>
        <v>0</v>
      </c>
      <c r="E283" s="810">
        <f>SUMIFS(调整事项汇总表!$I$7:$I$10020,调整事项汇总表!$D$7:$D$10020,"报表调整",调整事项汇总表!$E$7:$E$10020,IF(OR(MID(TRIM($A283),2,1)="：",MID(TRIM($A283),2,1)="."),REPLACEB(TRIM($A283),1,2,""),TRIM($A283)))</f>
        <v>0</v>
      </c>
      <c r="F283" s="810">
        <f>SUMIFS(调整事项汇总表!$J$7:$J$10020,调整事项汇总表!$D$7:$D$10020,"报表调整",调整事项汇总表!$E$7:$E$10020,IF(OR(MID(TRIM($A283),2,1)="：",MID(TRIM($A283),2,1)="."),REPLACEB(TRIM($A283),1,2,""),TRIM($A283)))</f>
        <v>0</v>
      </c>
      <c r="G283" s="810">
        <f>SUMIFS(调整事项汇总表!$I$7:$I$10020,调整事项汇总表!$D$7:$D$10020,"其他",调整事项汇总表!$E$7:$E$10020,IF(OR(MID(TRIM($A283),2,1)="：",MID(TRIM($A283),2,1)="."),REPLACEB(TRIM($A283),1,2,""),TRIM($A283)))</f>
        <v>0</v>
      </c>
      <c r="H283" s="810">
        <f>SUMIFS(调整事项汇总表!$I$7:$I$10020,调整事项汇总表!$D$7:$D$10020,"其他",调整事项汇总表!$E$7:$E$10020,IF(OR(MID(TRIM($A283),2,1)="：",MID(TRIM($A283),2,1)="."),REPLACEB(TRIM($A283),1,2,""),TRIM($A283)))</f>
        <v>0</v>
      </c>
      <c r="I283" s="810">
        <f t="shared" si="78"/>
        <v>0</v>
      </c>
      <c r="J283" s="38" t="b">
        <f>A283=未审报表!A283</f>
        <v>1</v>
      </c>
      <c r="K283" s="75" t="b">
        <f>审定报表!A283=TB!A283</f>
        <v>1</v>
      </c>
    </row>
    <row r="284" spans="1:11">
      <c r="A284" s="830" t="str">
        <f>未审报表!A284</f>
        <v xml:space="preserve">     收到原保险合同保费取得的现金*</v>
      </c>
      <c r="B284" s="810">
        <f>未审报表!C284</f>
        <v>0</v>
      </c>
      <c r="C284" s="810">
        <f>SUMIFS(调整事项汇总表!$I$7:$I$10020,调整事项汇总表!$D$7:$D$10020,"账项调整",调整事项汇总表!$E$7:$E$10020,IF(OR(MID(TRIM($A284),2,1)="：",MID(TRIM($A284),2,1)="."),REPLACEB(TRIM($A284),1,2,""),TRIM($A284)))</f>
        <v>0</v>
      </c>
      <c r="D284" s="810">
        <f>SUMIFS(调整事项汇总表!$J$7:$J$10020,调整事项汇总表!$D$7:$D$10020,"账项调整",调整事项汇总表!$E$7:$E$10020,IF(OR(MID(TRIM($A284),2,1)="：",MID(TRIM($A284),2,1)="."),REPLACEB(TRIM($A284),1,2,""),TRIM($A284)))</f>
        <v>0</v>
      </c>
      <c r="E284" s="810">
        <f>SUMIFS(调整事项汇总表!$I$7:$I$10020,调整事项汇总表!$D$7:$D$10020,"报表调整",调整事项汇总表!$E$7:$E$10020,IF(OR(MID(TRIM($A284),2,1)="：",MID(TRIM($A284),2,1)="."),REPLACEB(TRIM($A284),1,2,""),TRIM($A284)))</f>
        <v>0</v>
      </c>
      <c r="F284" s="810">
        <f>SUMIFS(调整事项汇总表!$J$7:$J$10020,调整事项汇总表!$D$7:$D$10020,"报表调整",调整事项汇总表!$E$7:$E$10020,IF(OR(MID(TRIM($A284),2,1)="：",MID(TRIM($A284),2,1)="."),REPLACEB(TRIM($A284),1,2,""),TRIM($A284)))</f>
        <v>0</v>
      </c>
      <c r="G284" s="810">
        <f>SUMIFS(调整事项汇总表!$I$7:$I$10020,调整事项汇总表!$D$7:$D$10020,"其他",调整事项汇总表!$E$7:$E$10020,IF(OR(MID(TRIM($A284),2,1)="：",MID(TRIM($A284),2,1)="."),REPLACEB(TRIM($A284),1,2,""),TRIM($A284)))</f>
        <v>0</v>
      </c>
      <c r="H284" s="810">
        <f>SUMIFS(调整事项汇总表!$I$7:$I$10020,调整事项汇总表!$D$7:$D$10020,"其他",调整事项汇总表!$E$7:$E$10020,IF(OR(MID(TRIM($A284),2,1)="：",MID(TRIM($A284),2,1)="."),REPLACEB(TRIM($A284),1,2,""),TRIM($A284)))</f>
        <v>0</v>
      </c>
      <c r="I284" s="810">
        <f t="shared" si="78"/>
        <v>0</v>
      </c>
      <c r="J284" s="38" t="b">
        <f>A284=未审报表!A284</f>
        <v>1</v>
      </c>
      <c r="K284" s="75" t="b">
        <f>审定报表!A284=TB!A284</f>
        <v>1</v>
      </c>
    </row>
    <row r="285" spans="1:11">
      <c r="A285" s="830" t="str">
        <f>未审报表!A285</f>
        <v xml:space="preserve">     收到再保业务现金净额*</v>
      </c>
      <c r="B285" s="810">
        <f>未审报表!C285</f>
        <v>0</v>
      </c>
      <c r="C285" s="810">
        <f>SUMIFS(调整事项汇总表!$I$7:$I$10020,调整事项汇总表!$D$7:$D$10020,"账项调整",调整事项汇总表!$E$7:$E$10020,IF(OR(MID(TRIM($A285),2,1)="：",MID(TRIM($A285),2,1)="."),REPLACEB(TRIM($A285),1,2,""),TRIM($A285)))</f>
        <v>0</v>
      </c>
      <c r="D285" s="810">
        <f>SUMIFS(调整事项汇总表!$J$7:$J$10020,调整事项汇总表!$D$7:$D$10020,"账项调整",调整事项汇总表!$E$7:$E$10020,IF(OR(MID(TRIM($A285),2,1)="：",MID(TRIM($A285),2,1)="."),REPLACEB(TRIM($A285),1,2,""),TRIM($A285)))</f>
        <v>0</v>
      </c>
      <c r="E285" s="810">
        <f>SUMIFS(调整事项汇总表!$I$7:$I$10020,调整事项汇总表!$D$7:$D$10020,"报表调整",调整事项汇总表!$E$7:$E$10020,IF(OR(MID(TRIM($A285),2,1)="：",MID(TRIM($A285),2,1)="."),REPLACEB(TRIM($A285),1,2,""),TRIM($A285)))</f>
        <v>0</v>
      </c>
      <c r="F285" s="810">
        <f>SUMIFS(调整事项汇总表!$J$7:$J$10020,调整事项汇总表!$D$7:$D$10020,"报表调整",调整事项汇总表!$E$7:$E$10020,IF(OR(MID(TRIM($A285),2,1)="：",MID(TRIM($A285),2,1)="."),REPLACEB(TRIM($A285),1,2,""),TRIM($A285)))</f>
        <v>0</v>
      </c>
      <c r="G285" s="810">
        <f>SUMIFS(调整事项汇总表!$I$7:$I$10020,调整事项汇总表!$D$7:$D$10020,"其他",调整事项汇总表!$E$7:$E$10020,IF(OR(MID(TRIM($A285),2,1)="：",MID(TRIM($A285),2,1)="."),REPLACEB(TRIM($A285),1,2,""),TRIM($A285)))</f>
        <v>0</v>
      </c>
      <c r="H285" s="810">
        <f>SUMIFS(调整事项汇总表!$I$7:$I$10020,调整事项汇总表!$D$7:$D$10020,"其他",调整事项汇总表!$E$7:$E$10020,IF(OR(MID(TRIM($A285),2,1)="：",MID(TRIM($A285),2,1)="."),REPLACEB(TRIM($A285),1,2,""),TRIM($A285)))</f>
        <v>0</v>
      </c>
      <c r="I285" s="810">
        <f t="shared" si="78"/>
        <v>0</v>
      </c>
      <c r="J285" s="38" t="b">
        <f>A285=未审报表!A285</f>
        <v>1</v>
      </c>
      <c r="K285" s="75" t="b">
        <f>审定报表!A285=TB!A285</f>
        <v>1</v>
      </c>
    </row>
    <row r="286" spans="1:11">
      <c r="A286" s="830" t="str">
        <f>未审报表!A286</f>
        <v xml:space="preserve">     保户储金及投资款净增加额*</v>
      </c>
      <c r="B286" s="810">
        <f>未审报表!C286</f>
        <v>0</v>
      </c>
      <c r="C286" s="810">
        <f>SUMIFS(调整事项汇总表!$I$7:$I$10020,调整事项汇总表!$D$7:$D$10020,"账项调整",调整事项汇总表!$E$7:$E$10020,IF(OR(MID(TRIM($A286),2,1)="：",MID(TRIM($A286),2,1)="."),REPLACEB(TRIM($A286),1,2,""),TRIM($A286)))</f>
        <v>0</v>
      </c>
      <c r="D286" s="810">
        <f>SUMIFS(调整事项汇总表!$J$7:$J$10020,调整事项汇总表!$D$7:$D$10020,"账项调整",调整事项汇总表!$E$7:$E$10020,IF(OR(MID(TRIM($A286),2,1)="：",MID(TRIM($A286),2,1)="."),REPLACEB(TRIM($A286),1,2,""),TRIM($A286)))</f>
        <v>0</v>
      </c>
      <c r="E286" s="810">
        <f>SUMIFS(调整事项汇总表!$I$7:$I$10020,调整事项汇总表!$D$7:$D$10020,"报表调整",调整事项汇总表!$E$7:$E$10020,IF(OR(MID(TRIM($A286),2,1)="：",MID(TRIM($A286),2,1)="."),REPLACEB(TRIM($A286),1,2,""),TRIM($A286)))</f>
        <v>0</v>
      </c>
      <c r="F286" s="810">
        <f>SUMIFS(调整事项汇总表!$J$7:$J$10020,调整事项汇总表!$D$7:$D$10020,"报表调整",调整事项汇总表!$E$7:$E$10020,IF(OR(MID(TRIM($A286),2,1)="：",MID(TRIM($A286),2,1)="."),REPLACEB(TRIM($A286),1,2,""),TRIM($A286)))</f>
        <v>0</v>
      </c>
      <c r="G286" s="810">
        <f>SUMIFS(调整事项汇总表!$I$7:$I$10020,调整事项汇总表!$D$7:$D$10020,"其他",调整事项汇总表!$E$7:$E$10020,IF(OR(MID(TRIM($A286),2,1)="：",MID(TRIM($A286),2,1)="."),REPLACEB(TRIM($A286),1,2,""),TRIM($A286)))</f>
        <v>0</v>
      </c>
      <c r="H286" s="810">
        <f>SUMIFS(调整事项汇总表!$I$7:$I$10020,调整事项汇总表!$D$7:$D$10020,"其他",调整事项汇总表!$E$7:$E$10020,IF(OR(MID(TRIM($A286),2,1)="：",MID(TRIM($A286),2,1)="."),REPLACEB(TRIM($A286),1,2,""),TRIM($A286)))</f>
        <v>0</v>
      </c>
      <c r="I286" s="810">
        <f t="shared" si="78"/>
        <v>0</v>
      </c>
      <c r="J286" s="38" t="b">
        <f>A286=未审报表!A286</f>
        <v>1</v>
      </c>
      <c r="K286" s="75" t="b">
        <f>审定报表!A286=TB!A286</f>
        <v>1</v>
      </c>
    </row>
    <row r="287" spans="1:11">
      <c r="A287" s="830" t="str">
        <f>未审报表!A287</f>
        <v xml:space="preserve">     收取利息、手续费及佣金的现金*</v>
      </c>
      <c r="B287" s="810">
        <f>未审报表!C287</f>
        <v>0</v>
      </c>
      <c r="C287" s="810">
        <f>SUMIFS(调整事项汇总表!$I$7:$I$10020,调整事项汇总表!$D$7:$D$10020,"账项调整",调整事项汇总表!$E$7:$E$10020,IF(OR(MID(TRIM($A287),2,1)="：",MID(TRIM($A287),2,1)="."),REPLACEB(TRIM($A287),1,2,""),TRIM($A287)))</f>
        <v>0</v>
      </c>
      <c r="D287" s="810">
        <f>SUMIFS(调整事项汇总表!$J$7:$J$10020,调整事项汇总表!$D$7:$D$10020,"账项调整",调整事项汇总表!$E$7:$E$10020,IF(OR(MID(TRIM($A287),2,1)="：",MID(TRIM($A287),2,1)="."),REPLACEB(TRIM($A287),1,2,""),TRIM($A287)))</f>
        <v>0</v>
      </c>
      <c r="E287" s="810">
        <f>SUMIFS(调整事项汇总表!$I$7:$I$10020,调整事项汇总表!$D$7:$D$10020,"报表调整",调整事项汇总表!$E$7:$E$10020,IF(OR(MID(TRIM($A287),2,1)="：",MID(TRIM($A287),2,1)="."),REPLACEB(TRIM($A287),1,2,""),TRIM($A287)))</f>
        <v>0</v>
      </c>
      <c r="F287" s="810">
        <f>SUMIFS(调整事项汇总表!$J$7:$J$10020,调整事项汇总表!$D$7:$D$10020,"报表调整",调整事项汇总表!$E$7:$E$10020,IF(OR(MID(TRIM($A287),2,1)="：",MID(TRIM($A287),2,1)="."),REPLACEB(TRIM($A287),1,2,""),TRIM($A287)))</f>
        <v>0</v>
      </c>
      <c r="G287" s="810">
        <f>SUMIFS(调整事项汇总表!$I$7:$I$10020,调整事项汇总表!$D$7:$D$10020,"其他",调整事项汇总表!$E$7:$E$10020,IF(OR(MID(TRIM($A287),2,1)="：",MID(TRIM($A287),2,1)="."),REPLACEB(TRIM($A287),1,2,""),TRIM($A287)))</f>
        <v>0</v>
      </c>
      <c r="H287" s="810">
        <f>SUMIFS(调整事项汇总表!$I$7:$I$10020,调整事项汇总表!$D$7:$D$10020,"其他",调整事项汇总表!$E$7:$E$10020,IF(OR(MID(TRIM($A287),2,1)="：",MID(TRIM($A287),2,1)="."),REPLACEB(TRIM($A287),1,2,""),TRIM($A287)))</f>
        <v>0</v>
      </c>
      <c r="I287" s="810">
        <f t="shared" si="78"/>
        <v>0</v>
      </c>
      <c r="J287" s="38" t="b">
        <f>A287=未审报表!A287</f>
        <v>1</v>
      </c>
      <c r="K287" s="75" t="b">
        <f>审定报表!A287=TB!A287</f>
        <v>1</v>
      </c>
    </row>
    <row r="288" spans="1:11">
      <c r="A288" s="830" t="str">
        <f>未审报表!A288</f>
        <v xml:space="preserve">     拆入资金净增加额*</v>
      </c>
      <c r="B288" s="810">
        <f>未审报表!C288</f>
        <v>0</v>
      </c>
      <c r="C288" s="810">
        <f>SUMIFS(调整事项汇总表!$I$7:$I$10020,调整事项汇总表!$D$7:$D$10020,"账项调整",调整事项汇总表!$E$7:$E$10020,IF(OR(MID(TRIM($A288),2,1)="：",MID(TRIM($A288),2,1)="."),REPLACEB(TRIM($A288),1,2,""),TRIM($A288)))</f>
        <v>0</v>
      </c>
      <c r="D288" s="810">
        <f>SUMIFS(调整事项汇总表!$J$7:$J$10020,调整事项汇总表!$D$7:$D$10020,"账项调整",调整事项汇总表!$E$7:$E$10020,IF(OR(MID(TRIM($A288),2,1)="：",MID(TRIM($A288),2,1)="."),REPLACEB(TRIM($A288),1,2,""),TRIM($A288)))</f>
        <v>0</v>
      </c>
      <c r="E288" s="810">
        <f>SUMIFS(调整事项汇总表!$I$7:$I$10020,调整事项汇总表!$D$7:$D$10020,"报表调整",调整事项汇总表!$E$7:$E$10020,IF(OR(MID(TRIM($A288),2,1)="：",MID(TRIM($A288),2,1)="."),REPLACEB(TRIM($A288),1,2,""),TRIM($A288)))</f>
        <v>0</v>
      </c>
      <c r="F288" s="810">
        <f>SUMIFS(调整事项汇总表!$J$7:$J$10020,调整事项汇总表!$D$7:$D$10020,"报表调整",调整事项汇总表!$E$7:$E$10020,IF(OR(MID(TRIM($A288),2,1)="：",MID(TRIM($A288),2,1)="."),REPLACEB(TRIM($A288),1,2,""),TRIM($A288)))</f>
        <v>0</v>
      </c>
      <c r="G288" s="810">
        <f>SUMIFS(调整事项汇总表!$I$7:$I$10020,调整事项汇总表!$D$7:$D$10020,"其他",调整事项汇总表!$E$7:$E$10020,IF(OR(MID(TRIM($A288),2,1)="：",MID(TRIM($A288),2,1)="."),REPLACEB(TRIM($A288),1,2,""),TRIM($A288)))</f>
        <v>0</v>
      </c>
      <c r="H288" s="810">
        <f>SUMIFS(调整事项汇总表!$I$7:$I$10020,调整事项汇总表!$D$7:$D$10020,"其他",调整事项汇总表!$E$7:$E$10020,IF(OR(MID(TRIM($A288),2,1)="：",MID(TRIM($A288),2,1)="."),REPLACEB(TRIM($A288),1,2,""),TRIM($A288)))</f>
        <v>0</v>
      </c>
      <c r="I288" s="810">
        <f t="shared" si="78"/>
        <v>0</v>
      </c>
      <c r="J288" s="38" t="b">
        <f>A288=未审报表!A288</f>
        <v>1</v>
      </c>
      <c r="K288" s="75" t="b">
        <f>审定报表!A288=TB!A288</f>
        <v>1</v>
      </c>
    </row>
    <row r="289" spans="1:11">
      <c r="A289" s="830" t="str">
        <f>未审报表!A289</f>
        <v xml:space="preserve">     回购业务资金净增加额*</v>
      </c>
      <c r="B289" s="810">
        <f>未审报表!C289</f>
        <v>0</v>
      </c>
      <c r="C289" s="810">
        <f>SUMIFS(调整事项汇总表!$I$7:$I$10020,调整事项汇总表!$D$7:$D$10020,"账项调整",调整事项汇总表!$E$7:$E$10020,IF(OR(MID(TRIM($A289),2,1)="：",MID(TRIM($A289),2,1)="."),REPLACEB(TRIM($A289),1,2,""),TRIM($A289)))</f>
        <v>0</v>
      </c>
      <c r="D289" s="810">
        <f>SUMIFS(调整事项汇总表!$J$7:$J$10020,调整事项汇总表!$D$7:$D$10020,"账项调整",调整事项汇总表!$E$7:$E$10020,IF(OR(MID(TRIM($A289),2,1)="：",MID(TRIM($A289),2,1)="."),REPLACEB(TRIM($A289),1,2,""),TRIM($A289)))</f>
        <v>0</v>
      </c>
      <c r="E289" s="810">
        <f>SUMIFS(调整事项汇总表!$I$7:$I$10020,调整事项汇总表!$D$7:$D$10020,"报表调整",调整事项汇总表!$E$7:$E$10020,IF(OR(MID(TRIM($A289),2,1)="：",MID(TRIM($A289),2,1)="."),REPLACEB(TRIM($A289),1,2,""),TRIM($A289)))</f>
        <v>0</v>
      </c>
      <c r="F289" s="810">
        <f>SUMIFS(调整事项汇总表!$J$7:$J$10020,调整事项汇总表!$D$7:$D$10020,"报表调整",调整事项汇总表!$E$7:$E$10020,IF(OR(MID(TRIM($A289),2,1)="：",MID(TRIM($A289),2,1)="."),REPLACEB(TRIM($A289),1,2,""),TRIM($A289)))</f>
        <v>0</v>
      </c>
      <c r="G289" s="810">
        <f>SUMIFS(调整事项汇总表!$I$7:$I$10020,调整事项汇总表!$D$7:$D$10020,"其他",调整事项汇总表!$E$7:$E$10020,IF(OR(MID(TRIM($A289),2,1)="：",MID(TRIM($A289),2,1)="."),REPLACEB(TRIM($A289),1,2,""),TRIM($A289)))</f>
        <v>0</v>
      </c>
      <c r="H289" s="810">
        <f>SUMIFS(调整事项汇总表!$I$7:$I$10020,调整事项汇总表!$D$7:$D$10020,"其他",调整事项汇总表!$E$7:$E$10020,IF(OR(MID(TRIM($A289),2,1)="：",MID(TRIM($A289),2,1)="."),REPLACEB(TRIM($A289),1,2,""),TRIM($A289)))</f>
        <v>0</v>
      </c>
      <c r="I289" s="810">
        <f t="shared" si="78"/>
        <v>0</v>
      </c>
      <c r="J289" s="38" t="b">
        <f>A289=未审报表!A289</f>
        <v>1</v>
      </c>
      <c r="K289" s="75" t="b">
        <f>审定报表!A289=TB!A289</f>
        <v>1</v>
      </c>
    </row>
    <row r="290" spans="1:11">
      <c r="A290" s="830" t="str">
        <f>未审报表!A290</f>
        <v xml:space="preserve">     代理买卖证券收到的现金净额*</v>
      </c>
      <c r="B290" s="810">
        <f>未审报表!C290</f>
        <v>0</v>
      </c>
      <c r="C290" s="810">
        <f>SUMIFS(调整事项汇总表!$I$7:$I$10020,调整事项汇总表!$D$7:$D$10020,"账项调整",调整事项汇总表!$E$7:$E$10020,IF(OR(MID(TRIM($A290),2,1)="：",MID(TRIM($A290),2,1)="."),REPLACEB(TRIM($A290),1,2,""),TRIM($A290)))</f>
        <v>0</v>
      </c>
      <c r="D290" s="810">
        <f>SUMIFS(调整事项汇总表!$J$7:$J$10020,调整事项汇总表!$D$7:$D$10020,"账项调整",调整事项汇总表!$E$7:$E$10020,IF(OR(MID(TRIM($A290),2,1)="：",MID(TRIM($A290),2,1)="."),REPLACEB(TRIM($A290),1,2,""),TRIM($A290)))</f>
        <v>0</v>
      </c>
      <c r="E290" s="810">
        <f>SUMIFS(调整事项汇总表!$I$7:$I$10020,调整事项汇总表!$D$7:$D$10020,"报表调整",调整事项汇总表!$E$7:$E$10020,IF(OR(MID(TRIM($A290),2,1)="：",MID(TRIM($A290),2,1)="."),REPLACEB(TRIM($A290),1,2,""),TRIM($A290)))</f>
        <v>0</v>
      </c>
      <c r="F290" s="810">
        <f>SUMIFS(调整事项汇总表!$J$7:$J$10020,调整事项汇总表!$D$7:$D$10020,"报表调整",调整事项汇总表!$E$7:$E$10020,IF(OR(MID(TRIM($A290),2,1)="：",MID(TRIM($A290),2,1)="."),REPLACEB(TRIM($A290),1,2,""),TRIM($A290)))</f>
        <v>0</v>
      </c>
      <c r="G290" s="810">
        <f>SUMIFS(调整事项汇总表!$I$7:$I$10020,调整事项汇总表!$D$7:$D$10020,"其他",调整事项汇总表!$E$7:$E$10020,IF(OR(MID(TRIM($A290),2,1)="：",MID(TRIM($A290),2,1)="."),REPLACEB(TRIM($A290),1,2,""),TRIM($A290)))</f>
        <v>0</v>
      </c>
      <c r="H290" s="810">
        <f>SUMIFS(调整事项汇总表!$I$7:$I$10020,调整事项汇总表!$D$7:$D$10020,"其他",调整事项汇总表!$E$7:$E$10020,IF(OR(MID(TRIM($A290),2,1)="：",MID(TRIM($A290),2,1)="."),REPLACEB(TRIM($A290),1,2,""),TRIM($A290)))</f>
        <v>0</v>
      </c>
      <c r="I290" s="810">
        <f t="shared" si="78"/>
        <v>0</v>
      </c>
      <c r="J290" s="38" t="b">
        <f>A290=未审报表!A290</f>
        <v>1</v>
      </c>
      <c r="K290" s="75" t="b">
        <f>审定报表!A290=TB!A290</f>
        <v>1</v>
      </c>
    </row>
    <row r="291" spans="1:11">
      <c r="A291" s="830" t="str">
        <f>未审报表!A291</f>
        <v xml:space="preserve">     收到的税费返还</v>
      </c>
      <c r="B291" s="810">
        <f>未审报表!C291</f>
        <v>0</v>
      </c>
      <c r="C291" s="810">
        <f>SUMIFS(调整事项汇总表!$I$7:$I$10020,调整事项汇总表!$D$7:$D$10020,"账项调整",调整事项汇总表!$E$7:$E$10020,IF(OR(MID(TRIM($A291),2,1)="：",MID(TRIM($A291),2,1)="."),REPLACEB(TRIM($A291),1,2,""),TRIM($A291)))</f>
        <v>0</v>
      </c>
      <c r="D291" s="810">
        <f>SUMIFS(调整事项汇总表!$J$7:$J$10020,调整事项汇总表!$D$7:$D$10020,"账项调整",调整事项汇总表!$E$7:$E$10020,IF(OR(MID(TRIM($A291),2,1)="：",MID(TRIM($A291),2,1)="."),REPLACEB(TRIM($A291),1,2,""),TRIM($A291)))</f>
        <v>0</v>
      </c>
      <c r="E291" s="810">
        <f>SUMIFS(调整事项汇总表!$I$7:$I$10020,调整事项汇总表!$D$7:$D$10020,"报表调整",调整事项汇总表!$E$7:$E$10020,IF(OR(MID(TRIM($A291),2,1)="：",MID(TRIM($A291),2,1)="."),REPLACEB(TRIM($A291),1,2,""),TRIM($A291)))</f>
        <v>0</v>
      </c>
      <c r="F291" s="810">
        <f>SUMIFS(调整事项汇总表!$J$7:$J$10020,调整事项汇总表!$D$7:$D$10020,"报表调整",调整事项汇总表!$E$7:$E$10020,IF(OR(MID(TRIM($A291),2,1)="：",MID(TRIM($A291),2,1)="."),REPLACEB(TRIM($A291),1,2,""),TRIM($A291)))</f>
        <v>0</v>
      </c>
      <c r="G291" s="810">
        <f>SUMIFS(调整事项汇总表!$I$7:$I$10020,调整事项汇总表!$D$7:$D$10020,"其他",调整事项汇总表!$E$7:$E$10020,IF(OR(MID(TRIM($A291),2,1)="：",MID(TRIM($A291),2,1)="."),REPLACEB(TRIM($A291),1,2,""),TRIM($A291)))</f>
        <v>0</v>
      </c>
      <c r="H291" s="810">
        <f>SUMIFS(调整事项汇总表!$I$7:$I$10020,调整事项汇总表!$D$7:$D$10020,"其他",调整事项汇总表!$E$7:$E$10020,IF(OR(MID(TRIM($A291),2,1)="：",MID(TRIM($A291),2,1)="."),REPLACEB(TRIM($A291),1,2,""),TRIM($A291)))</f>
        <v>0</v>
      </c>
      <c r="I291" s="810">
        <f t="shared" si="78"/>
        <v>0</v>
      </c>
      <c r="J291" s="38" t="b">
        <f>A291=未审报表!A291</f>
        <v>1</v>
      </c>
      <c r="K291" s="75" t="b">
        <f>审定报表!A291=TB!A291</f>
        <v>1</v>
      </c>
    </row>
    <row r="292" spans="1:11">
      <c r="A292" s="830" t="str">
        <f>未审报表!A292</f>
        <v xml:space="preserve">     收到的其他与经营活动有关的现金</v>
      </c>
      <c r="B292" s="810">
        <f>未审报表!C292</f>
        <v>0</v>
      </c>
      <c r="C292" s="810">
        <f>SUMIFS(调整事项汇总表!$I$7:$I$10020,调整事项汇总表!$D$7:$D$10020,"账项调整",调整事项汇总表!$E$7:$E$10020,IF(OR(MID(TRIM($A292),2,1)="：",MID(TRIM($A292),2,1)="."),REPLACEB(TRIM($A292),1,2,""),TRIM($A292)))</f>
        <v>0</v>
      </c>
      <c r="D292" s="810">
        <f>SUMIFS(调整事项汇总表!$J$7:$J$10020,调整事项汇总表!$D$7:$D$10020,"账项调整",调整事项汇总表!$E$7:$E$10020,IF(OR(MID(TRIM($A292),2,1)="：",MID(TRIM($A292),2,1)="."),REPLACEB(TRIM($A292),1,2,""),TRIM($A292)))</f>
        <v>0</v>
      </c>
      <c r="E292" s="810">
        <f>SUMIFS(调整事项汇总表!$I$7:$I$10020,调整事项汇总表!$D$7:$D$10020,"报表调整",调整事项汇总表!$E$7:$E$10020,IF(OR(MID(TRIM($A292),2,1)="：",MID(TRIM($A292),2,1)="."),REPLACEB(TRIM($A292),1,2,""),TRIM($A292)))</f>
        <v>0</v>
      </c>
      <c r="F292" s="810">
        <f>SUMIFS(调整事项汇总表!$J$7:$J$10020,调整事项汇总表!$D$7:$D$10020,"报表调整",调整事项汇总表!$E$7:$E$10020,IF(OR(MID(TRIM($A292),2,1)="：",MID(TRIM($A292),2,1)="."),REPLACEB(TRIM($A292),1,2,""),TRIM($A292)))</f>
        <v>0</v>
      </c>
      <c r="G292" s="810">
        <f>SUMIFS(调整事项汇总表!$I$7:$I$10020,调整事项汇总表!$D$7:$D$10020,"其他",调整事项汇总表!$E$7:$E$10020,IF(OR(MID(TRIM($A292),2,1)="：",MID(TRIM($A292),2,1)="."),REPLACEB(TRIM($A292),1,2,""),TRIM($A292)))</f>
        <v>0</v>
      </c>
      <c r="H292" s="810">
        <f>SUMIFS(调整事项汇总表!$I$7:$I$10020,调整事项汇总表!$D$7:$D$10020,"其他",调整事项汇总表!$E$7:$E$10020,IF(OR(MID(TRIM($A292),2,1)="：",MID(TRIM($A292),2,1)="."),REPLACEB(TRIM($A292),1,2,""),TRIM($A292)))</f>
        <v>0</v>
      </c>
      <c r="I292" s="810">
        <f t="shared" si="78"/>
        <v>0</v>
      </c>
      <c r="J292" s="38" t="b">
        <f>A292=未审报表!A292</f>
        <v>1</v>
      </c>
      <c r="K292" s="75" t="b">
        <f>审定报表!A292=TB!A292</f>
        <v>1</v>
      </c>
    </row>
    <row r="293" spans="1:11">
      <c r="A293" s="830">
        <f>未审报表!A293</f>
        <v>0</v>
      </c>
      <c r="B293" s="816"/>
      <c r="C293" s="816"/>
      <c r="D293" s="816"/>
      <c r="E293" s="816"/>
      <c r="F293" s="816"/>
      <c r="G293" s="816"/>
      <c r="H293" s="816"/>
      <c r="I293" s="831"/>
      <c r="J293" s="38" t="b">
        <f>A293=未审报表!A293</f>
        <v>1</v>
      </c>
      <c r="K293" s="75" t="b">
        <f>审定报表!A293=TB!A293</f>
        <v>1</v>
      </c>
    </row>
    <row r="294" spans="1:11">
      <c r="A294" s="828" t="str">
        <f>未审报表!A294</f>
        <v xml:space="preserve">     经营活动现金流入小计</v>
      </c>
      <c r="B294" s="812">
        <f>未审报表!C294</f>
        <v>0</v>
      </c>
      <c r="C294" s="812">
        <f>SUM(C280:C293)</f>
        <v>0</v>
      </c>
      <c r="D294" s="812">
        <f t="shared" ref="D294:H294" si="79">SUM(D280:D293)</f>
        <v>0</v>
      </c>
      <c r="E294" s="812">
        <f t="shared" si="79"/>
        <v>0</v>
      </c>
      <c r="F294" s="812">
        <f t="shared" si="79"/>
        <v>0</v>
      </c>
      <c r="G294" s="812">
        <f t="shared" si="79"/>
        <v>0</v>
      </c>
      <c r="H294" s="812">
        <f t="shared" si="79"/>
        <v>0</v>
      </c>
      <c r="I294" s="810">
        <f t="shared" si="78"/>
        <v>0</v>
      </c>
      <c r="J294" s="38" t="b">
        <f>A294=未审报表!A294</f>
        <v>1</v>
      </c>
      <c r="K294" s="75" t="b">
        <f>审定报表!A294=TB!A294</f>
        <v>1</v>
      </c>
    </row>
    <row r="295" spans="1:11">
      <c r="A295" s="830" t="str">
        <f>未审报表!A295</f>
        <v xml:space="preserve">     购买商品、接受劳务支付的现金</v>
      </c>
      <c r="B295" s="810">
        <f>未审报表!C295</f>
        <v>0</v>
      </c>
      <c r="C295" s="810">
        <f>SUMIFS(调整事项汇总表!$I$7:$I$10020,调整事项汇总表!$D$7:$D$10020,"账项调整",调整事项汇总表!$E$7:$E$10020,IF(OR(MID(TRIM($A295),2,1)="：",MID(TRIM($A295),2,1)="."),REPLACEB(TRIM($A295),1,2,""),TRIM($A295)))</f>
        <v>0</v>
      </c>
      <c r="D295" s="810">
        <f>SUMIFS(调整事项汇总表!$J$7:$J$10020,调整事项汇总表!$D$7:$D$10020,"账项调整",调整事项汇总表!$E$7:$E$10020,IF(OR(MID(TRIM($A295),2,1)="：",MID(TRIM($A295),2,1)="."),REPLACEB(TRIM($A295),1,2,""),TRIM($A295)))</f>
        <v>0</v>
      </c>
      <c r="E295" s="810">
        <f>SUMIFS(调整事项汇总表!$I$7:$I$10020,调整事项汇总表!$D$7:$D$10020,"报表调整",调整事项汇总表!$E$7:$E$10020,IF(OR(MID(TRIM($A295),2,1)="：",MID(TRIM($A295),2,1)="."),REPLACEB(TRIM($A295),1,2,""),TRIM($A295)))</f>
        <v>0</v>
      </c>
      <c r="F295" s="810">
        <f>SUMIFS(调整事项汇总表!$J$7:$J$10020,调整事项汇总表!$D$7:$D$10020,"报表调整",调整事项汇总表!$E$7:$E$10020,IF(OR(MID(TRIM($A295),2,1)="：",MID(TRIM($A295),2,1)="."),REPLACEB(TRIM($A295),1,2,""),TRIM($A295)))</f>
        <v>0</v>
      </c>
      <c r="G295" s="810">
        <f>SUMIFS(调整事项汇总表!$I$7:$I$10020,调整事项汇总表!$D$7:$D$10020,"其他",调整事项汇总表!$E$7:$E$10020,IF(OR(MID(TRIM($A295),2,1)="：",MID(TRIM($A295),2,1)="."),REPLACEB(TRIM($A295),1,2,""),TRIM($A295)))</f>
        <v>0</v>
      </c>
      <c r="H295" s="810">
        <f>SUMIFS(调整事项汇总表!$I$7:$I$10020,调整事项汇总表!$D$7:$D$10020,"其他",调整事项汇总表!$E$7:$E$10020,IF(OR(MID(TRIM($A295),2,1)="：",MID(TRIM($A295),2,1)="."),REPLACEB(TRIM($A295),1,2,""),TRIM($A295)))</f>
        <v>0</v>
      </c>
      <c r="I295" s="810">
        <f>B295+D295+F295+H295-G295-E295-C295</f>
        <v>0</v>
      </c>
      <c r="J295" s="38" t="b">
        <f>A295=未审报表!A295</f>
        <v>1</v>
      </c>
      <c r="K295" s="75" t="b">
        <f>审定报表!A295=TB!A295</f>
        <v>1</v>
      </c>
    </row>
    <row r="296" spans="1:11">
      <c r="A296" s="830" t="str">
        <f>未审报表!A296</f>
        <v xml:space="preserve">     客户贷款及垫款净增加额*</v>
      </c>
      <c r="B296" s="810">
        <f>未审报表!C296</f>
        <v>0</v>
      </c>
      <c r="C296" s="810">
        <f>SUMIFS(调整事项汇总表!$I$7:$I$10020,调整事项汇总表!$D$7:$D$10020,"账项调整",调整事项汇总表!$E$7:$E$10020,IF(OR(MID(TRIM($A296),2,1)="：",MID(TRIM($A296),2,1)="."),REPLACEB(TRIM($A296),1,2,""),TRIM($A296)))</f>
        <v>0</v>
      </c>
      <c r="D296" s="810">
        <f>SUMIFS(调整事项汇总表!$J$7:$J$10020,调整事项汇总表!$D$7:$D$10020,"账项调整",调整事项汇总表!$E$7:$E$10020,IF(OR(MID(TRIM($A296),2,1)="：",MID(TRIM($A296),2,1)="."),REPLACEB(TRIM($A296),1,2,""),TRIM($A296)))</f>
        <v>0</v>
      </c>
      <c r="E296" s="810">
        <f>SUMIFS(调整事项汇总表!$I$7:$I$10020,调整事项汇总表!$D$7:$D$10020,"报表调整",调整事项汇总表!$E$7:$E$10020,IF(OR(MID(TRIM($A296),2,1)="：",MID(TRIM($A296),2,1)="."),REPLACEB(TRIM($A296),1,2,""),TRIM($A296)))</f>
        <v>0</v>
      </c>
      <c r="F296" s="810">
        <f>SUMIFS(调整事项汇总表!$J$7:$J$10020,调整事项汇总表!$D$7:$D$10020,"报表调整",调整事项汇总表!$E$7:$E$10020,IF(OR(MID(TRIM($A296),2,1)="：",MID(TRIM($A296),2,1)="."),REPLACEB(TRIM($A296),1,2,""),TRIM($A296)))</f>
        <v>0</v>
      </c>
      <c r="G296" s="810">
        <f>SUMIFS(调整事项汇总表!$I$7:$I$10020,调整事项汇总表!$D$7:$D$10020,"其他",调整事项汇总表!$E$7:$E$10020,IF(OR(MID(TRIM($A296),2,1)="：",MID(TRIM($A296),2,1)="."),REPLACEB(TRIM($A296),1,2,""),TRIM($A296)))</f>
        <v>0</v>
      </c>
      <c r="H296" s="810">
        <f>SUMIFS(调整事项汇总表!$I$7:$I$10020,调整事项汇总表!$D$7:$D$10020,"其他",调整事项汇总表!$E$7:$E$10020,IF(OR(MID(TRIM($A296),2,1)="：",MID(TRIM($A296),2,1)="."),REPLACEB(TRIM($A296),1,2,""),TRIM($A296)))</f>
        <v>0</v>
      </c>
      <c r="I296" s="810">
        <f t="shared" ref="I296:I304" si="80">B296+D296+F296+H296-G296-E296-C296</f>
        <v>0</v>
      </c>
      <c r="J296" s="38" t="b">
        <f>A296=未审报表!A296</f>
        <v>1</v>
      </c>
      <c r="K296" s="75" t="b">
        <f>审定报表!A296=TB!A296</f>
        <v>1</v>
      </c>
    </row>
    <row r="297" spans="1:11">
      <c r="A297" s="830" t="str">
        <f>未审报表!A297</f>
        <v xml:space="preserve">     存放中央银行和同业款项净增加额*</v>
      </c>
      <c r="B297" s="810">
        <f>未审报表!C297</f>
        <v>0</v>
      </c>
      <c r="C297" s="810">
        <f>SUMIFS(调整事项汇总表!$I$7:$I$10020,调整事项汇总表!$D$7:$D$10020,"账项调整",调整事项汇总表!$E$7:$E$10020,IF(OR(MID(TRIM($A297),2,1)="：",MID(TRIM($A297),2,1)="."),REPLACEB(TRIM($A297),1,2,""),TRIM($A297)))</f>
        <v>0</v>
      </c>
      <c r="D297" s="810">
        <f>SUMIFS(调整事项汇总表!$J$7:$J$10020,调整事项汇总表!$D$7:$D$10020,"账项调整",调整事项汇总表!$E$7:$E$10020,IF(OR(MID(TRIM($A297),2,1)="：",MID(TRIM($A297),2,1)="."),REPLACEB(TRIM($A297),1,2,""),TRIM($A297)))</f>
        <v>0</v>
      </c>
      <c r="E297" s="810">
        <f>SUMIFS(调整事项汇总表!$I$7:$I$10020,调整事项汇总表!$D$7:$D$10020,"报表调整",调整事项汇总表!$E$7:$E$10020,IF(OR(MID(TRIM($A297),2,1)="：",MID(TRIM($A297),2,1)="."),REPLACEB(TRIM($A297),1,2,""),TRIM($A297)))</f>
        <v>0</v>
      </c>
      <c r="F297" s="810">
        <f>SUMIFS(调整事项汇总表!$J$7:$J$10020,调整事项汇总表!$D$7:$D$10020,"报表调整",调整事项汇总表!$E$7:$E$10020,IF(OR(MID(TRIM($A297),2,1)="：",MID(TRIM($A297),2,1)="."),REPLACEB(TRIM($A297),1,2,""),TRIM($A297)))</f>
        <v>0</v>
      </c>
      <c r="G297" s="810">
        <f>SUMIFS(调整事项汇总表!$I$7:$I$10020,调整事项汇总表!$D$7:$D$10020,"其他",调整事项汇总表!$E$7:$E$10020,IF(OR(MID(TRIM($A297),2,1)="：",MID(TRIM($A297),2,1)="."),REPLACEB(TRIM($A297),1,2,""),TRIM($A297)))</f>
        <v>0</v>
      </c>
      <c r="H297" s="810">
        <f>SUMIFS(调整事项汇总表!$I$7:$I$10020,调整事项汇总表!$D$7:$D$10020,"其他",调整事项汇总表!$E$7:$E$10020,IF(OR(MID(TRIM($A297),2,1)="：",MID(TRIM($A297),2,1)="."),REPLACEB(TRIM($A297),1,2,""),TRIM($A297)))</f>
        <v>0</v>
      </c>
      <c r="I297" s="810">
        <f t="shared" si="80"/>
        <v>0</v>
      </c>
      <c r="J297" s="38" t="b">
        <f>A297=未审报表!A297</f>
        <v>1</v>
      </c>
      <c r="K297" s="75" t="b">
        <f>审定报表!A297=TB!A297</f>
        <v>1</v>
      </c>
    </row>
    <row r="298" spans="1:11">
      <c r="A298" s="830" t="str">
        <f>未审报表!A298</f>
        <v xml:space="preserve">     支付原保险合同赔付款项的现金*</v>
      </c>
      <c r="B298" s="810">
        <f>未审报表!C298</f>
        <v>0</v>
      </c>
      <c r="C298" s="810">
        <f>SUMIFS(调整事项汇总表!$I$7:$I$10020,调整事项汇总表!$D$7:$D$10020,"账项调整",调整事项汇总表!$E$7:$E$10020,IF(OR(MID(TRIM($A298),2,1)="：",MID(TRIM($A298),2,1)="."),REPLACEB(TRIM($A298),1,2,""),TRIM($A298)))</f>
        <v>0</v>
      </c>
      <c r="D298" s="810">
        <f>SUMIFS(调整事项汇总表!$J$7:$J$10020,调整事项汇总表!$D$7:$D$10020,"账项调整",调整事项汇总表!$E$7:$E$10020,IF(OR(MID(TRIM($A298),2,1)="：",MID(TRIM($A298),2,1)="."),REPLACEB(TRIM($A298),1,2,""),TRIM($A298)))</f>
        <v>0</v>
      </c>
      <c r="E298" s="810">
        <f>SUMIFS(调整事项汇总表!$I$7:$I$10020,调整事项汇总表!$D$7:$D$10020,"报表调整",调整事项汇总表!$E$7:$E$10020,IF(OR(MID(TRIM($A298),2,1)="：",MID(TRIM($A298),2,1)="."),REPLACEB(TRIM($A298),1,2,""),TRIM($A298)))</f>
        <v>0</v>
      </c>
      <c r="F298" s="810">
        <f>SUMIFS(调整事项汇总表!$J$7:$J$10020,调整事项汇总表!$D$7:$D$10020,"报表调整",调整事项汇总表!$E$7:$E$10020,IF(OR(MID(TRIM($A298),2,1)="：",MID(TRIM($A298),2,1)="."),REPLACEB(TRIM($A298),1,2,""),TRIM($A298)))</f>
        <v>0</v>
      </c>
      <c r="G298" s="810">
        <f>SUMIFS(调整事项汇总表!$I$7:$I$10020,调整事项汇总表!$D$7:$D$10020,"其他",调整事项汇总表!$E$7:$E$10020,IF(OR(MID(TRIM($A298),2,1)="：",MID(TRIM($A298),2,1)="."),REPLACEB(TRIM($A298),1,2,""),TRIM($A298)))</f>
        <v>0</v>
      </c>
      <c r="H298" s="810">
        <f>SUMIFS(调整事项汇总表!$I$7:$I$10020,调整事项汇总表!$D$7:$D$10020,"其他",调整事项汇总表!$E$7:$E$10020,IF(OR(MID(TRIM($A298),2,1)="：",MID(TRIM($A298),2,1)="."),REPLACEB(TRIM($A298),1,2,""),TRIM($A298)))</f>
        <v>0</v>
      </c>
      <c r="I298" s="810">
        <f t="shared" si="80"/>
        <v>0</v>
      </c>
      <c r="J298" s="38" t="b">
        <f>A298=未审报表!A298</f>
        <v>1</v>
      </c>
      <c r="K298" s="75" t="b">
        <f>审定报表!A298=TB!A298</f>
        <v>1</v>
      </c>
    </row>
    <row r="299" spans="1:11">
      <c r="A299" s="830" t="str">
        <f>未审报表!A299</f>
        <v xml:space="preserve">     拆出资金净增加额*</v>
      </c>
      <c r="B299" s="810">
        <f>未审报表!C299</f>
        <v>0</v>
      </c>
      <c r="C299" s="810">
        <f>SUMIFS(调整事项汇总表!$I$7:$I$10020,调整事项汇总表!$D$7:$D$10020,"账项调整",调整事项汇总表!$E$7:$E$10020,IF(OR(MID(TRIM($A299),2,1)="：",MID(TRIM($A299),2,1)="."),REPLACEB(TRIM($A299),1,2,""),TRIM($A299)))</f>
        <v>0</v>
      </c>
      <c r="D299" s="810">
        <f>SUMIFS(调整事项汇总表!$J$7:$J$10020,调整事项汇总表!$D$7:$D$10020,"账项调整",调整事项汇总表!$E$7:$E$10020,IF(OR(MID(TRIM($A299),2,1)="：",MID(TRIM($A299),2,1)="."),REPLACEB(TRIM($A299),1,2,""),TRIM($A299)))</f>
        <v>0</v>
      </c>
      <c r="E299" s="810">
        <f>SUMIFS(调整事项汇总表!$I$7:$I$10020,调整事项汇总表!$D$7:$D$10020,"报表调整",调整事项汇总表!$E$7:$E$10020,IF(OR(MID(TRIM($A299),2,1)="：",MID(TRIM($A299),2,1)="."),REPLACEB(TRIM($A299),1,2,""),TRIM($A299)))</f>
        <v>0</v>
      </c>
      <c r="F299" s="810">
        <f>SUMIFS(调整事项汇总表!$J$7:$J$10020,调整事项汇总表!$D$7:$D$10020,"报表调整",调整事项汇总表!$E$7:$E$10020,IF(OR(MID(TRIM($A299),2,1)="：",MID(TRIM($A299),2,1)="."),REPLACEB(TRIM($A299),1,2,""),TRIM($A299)))</f>
        <v>0</v>
      </c>
      <c r="G299" s="810">
        <f>SUMIFS(调整事项汇总表!$I$7:$I$10020,调整事项汇总表!$D$7:$D$10020,"其他",调整事项汇总表!$E$7:$E$10020,IF(OR(MID(TRIM($A299),2,1)="：",MID(TRIM($A299),2,1)="."),REPLACEB(TRIM($A299),1,2,""),TRIM($A299)))</f>
        <v>0</v>
      </c>
      <c r="H299" s="810">
        <f>SUMIFS(调整事项汇总表!$I$7:$I$10020,调整事项汇总表!$D$7:$D$10020,"其他",调整事项汇总表!$E$7:$E$10020,IF(OR(MID(TRIM($A299),2,1)="：",MID(TRIM($A299),2,1)="."),REPLACEB(TRIM($A299),1,2,""),TRIM($A299)))</f>
        <v>0</v>
      </c>
      <c r="I299" s="810">
        <f t="shared" si="80"/>
        <v>0</v>
      </c>
      <c r="J299" s="38" t="b">
        <f>A299=未审报表!A299</f>
        <v>1</v>
      </c>
      <c r="K299" s="75" t="b">
        <f>审定报表!A299=TB!A299</f>
        <v>1</v>
      </c>
    </row>
    <row r="300" spans="1:11">
      <c r="A300" s="830" t="str">
        <f>未审报表!A300</f>
        <v xml:space="preserve">     支付利息、手续费及佣金的现金*</v>
      </c>
      <c r="B300" s="810">
        <f>未审报表!C300</f>
        <v>0</v>
      </c>
      <c r="C300" s="810">
        <f>SUMIFS(调整事项汇总表!$I$7:$I$10020,调整事项汇总表!$D$7:$D$10020,"账项调整",调整事项汇总表!$E$7:$E$10020,IF(OR(MID(TRIM($A300),2,1)="：",MID(TRIM($A300),2,1)="."),REPLACEB(TRIM($A300),1,2,""),TRIM($A300)))</f>
        <v>0</v>
      </c>
      <c r="D300" s="810">
        <f>SUMIFS(调整事项汇总表!$J$7:$J$10020,调整事项汇总表!$D$7:$D$10020,"账项调整",调整事项汇总表!$E$7:$E$10020,IF(OR(MID(TRIM($A300),2,1)="：",MID(TRIM($A300),2,1)="."),REPLACEB(TRIM($A300),1,2,""),TRIM($A300)))</f>
        <v>0</v>
      </c>
      <c r="E300" s="810">
        <f>SUMIFS(调整事项汇总表!$I$7:$I$10020,调整事项汇总表!$D$7:$D$10020,"报表调整",调整事项汇总表!$E$7:$E$10020,IF(OR(MID(TRIM($A300),2,1)="：",MID(TRIM($A300),2,1)="."),REPLACEB(TRIM($A300),1,2,""),TRIM($A300)))</f>
        <v>0</v>
      </c>
      <c r="F300" s="810">
        <f>SUMIFS(调整事项汇总表!$J$7:$J$10020,调整事项汇总表!$D$7:$D$10020,"报表调整",调整事项汇总表!$E$7:$E$10020,IF(OR(MID(TRIM($A300),2,1)="：",MID(TRIM($A300),2,1)="."),REPLACEB(TRIM($A300),1,2,""),TRIM($A300)))</f>
        <v>0</v>
      </c>
      <c r="G300" s="810">
        <f>SUMIFS(调整事项汇总表!$I$7:$I$10020,调整事项汇总表!$D$7:$D$10020,"其他",调整事项汇总表!$E$7:$E$10020,IF(OR(MID(TRIM($A300),2,1)="：",MID(TRIM($A300),2,1)="."),REPLACEB(TRIM($A300),1,2,""),TRIM($A300)))</f>
        <v>0</v>
      </c>
      <c r="H300" s="810">
        <f>SUMIFS(调整事项汇总表!$I$7:$I$10020,调整事项汇总表!$D$7:$D$10020,"其他",调整事项汇总表!$E$7:$E$10020,IF(OR(MID(TRIM($A300),2,1)="：",MID(TRIM($A300),2,1)="."),REPLACEB(TRIM($A300),1,2,""),TRIM($A300)))</f>
        <v>0</v>
      </c>
      <c r="I300" s="810">
        <f t="shared" si="80"/>
        <v>0</v>
      </c>
      <c r="J300" s="38" t="b">
        <f>A300=未审报表!A300</f>
        <v>1</v>
      </c>
      <c r="K300" s="75" t="b">
        <f>审定报表!A300=TB!A300</f>
        <v>1</v>
      </c>
    </row>
    <row r="301" spans="1:11">
      <c r="A301" s="830" t="str">
        <f>未审报表!A301</f>
        <v xml:space="preserve">     支付保单红利的现金*</v>
      </c>
      <c r="B301" s="810">
        <f>未审报表!C301</f>
        <v>0</v>
      </c>
      <c r="C301" s="810">
        <f>SUMIFS(调整事项汇总表!$I$7:$I$10020,调整事项汇总表!$D$7:$D$10020,"账项调整",调整事项汇总表!$E$7:$E$10020,IF(OR(MID(TRIM($A301),2,1)="：",MID(TRIM($A301),2,1)="."),REPLACEB(TRIM($A301),1,2,""),TRIM($A301)))</f>
        <v>0</v>
      </c>
      <c r="D301" s="810">
        <f>SUMIFS(调整事项汇总表!$J$7:$J$10020,调整事项汇总表!$D$7:$D$10020,"账项调整",调整事项汇总表!$E$7:$E$10020,IF(OR(MID(TRIM($A301),2,1)="：",MID(TRIM($A301),2,1)="."),REPLACEB(TRIM($A301),1,2,""),TRIM($A301)))</f>
        <v>0</v>
      </c>
      <c r="E301" s="810">
        <f>SUMIFS(调整事项汇总表!$I$7:$I$10020,调整事项汇总表!$D$7:$D$10020,"报表调整",调整事项汇总表!$E$7:$E$10020,IF(OR(MID(TRIM($A301),2,1)="：",MID(TRIM($A301),2,1)="."),REPLACEB(TRIM($A301),1,2,""),TRIM($A301)))</f>
        <v>0</v>
      </c>
      <c r="F301" s="810">
        <f>SUMIFS(调整事项汇总表!$J$7:$J$10020,调整事项汇总表!$D$7:$D$10020,"报表调整",调整事项汇总表!$E$7:$E$10020,IF(OR(MID(TRIM($A301),2,1)="：",MID(TRIM($A301),2,1)="."),REPLACEB(TRIM($A301),1,2,""),TRIM($A301)))</f>
        <v>0</v>
      </c>
      <c r="G301" s="810">
        <f>SUMIFS(调整事项汇总表!$I$7:$I$10020,调整事项汇总表!$D$7:$D$10020,"其他",调整事项汇总表!$E$7:$E$10020,IF(OR(MID(TRIM($A301),2,1)="：",MID(TRIM($A301),2,1)="."),REPLACEB(TRIM($A301),1,2,""),TRIM($A301)))</f>
        <v>0</v>
      </c>
      <c r="H301" s="810">
        <f>SUMIFS(调整事项汇总表!$I$7:$I$10020,调整事项汇总表!$D$7:$D$10020,"其他",调整事项汇总表!$E$7:$E$10020,IF(OR(MID(TRIM($A301),2,1)="：",MID(TRIM($A301),2,1)="."),REPLACEB(TRIM($A301),1,2,""),TRIM($A301)))</f>
        <v>0</v>
      </c>
      <c r="I301" s="810">
        <f t="shared" si="80"/>
        <v>0</v>
      </c>
      <c r="J301" s="38" t="b">
        <f>A301=未审报表!A301</f>
        <v>1</v>
      </c>
      <c r="K301" s="75" t="b">
        <f>审定报表!A301=TB!A301</f>
        <v>1</v>
      </c>
    </row>
    <row r="302" spans="1:11">
      <c r="A302" s="830" t="str">
        <f>未审报表!A302</f>
        <v xml:space="preserve">     支付给职工以及为职工支付的现金</v>
      </c>
      <c r="B302" s="810">
        <f>未审报表!C302</f>
        <v>0</v>
      </c>
      <c r="C302" s="810">
        <f>SUMIFS(调整事项汇总表!$I$7:$I$10020,调整事项汇总表!$D$7:$D$10020,"账项调整",调整事项汇总表!$E$7:$E$10020,IF(OR(MID(TRIM($A302),2,1)="：",MID(TRIM($A302),2,1)="."),REPLACEB(TRIM($A302),1,2,""),TRIM($A302)))</f>
        <v>0</v>
      </c>
      <c r="D302" s="810">
        <f>SUMIFS(调整事项汇总表!$J$7:$J$10020,调整事项汇总表!$D$7:$D$10020,"账项调整",调整事项汇总表!$E$7:$E$10020,IF(OR(MID(TRIM($A302),2,1)="：",MID(TRIM($A302),2,1)="."),REPLACEB(TRIM($A302),1,2,""),TRIM($A302)))</f>
        <v>0</v>
      </c>
      <c r="E302" s="810">
        <f>SUMIFS(调整事项汇总表!$I$7:$I$10020,调整事项汇总表!$D$7:$D$10020,"报表调整",调整事项汇总表!$E$7:$E$10020,IF(OR(MID(TRIM($A302),2,1)="：",MID(TRIM($A302),2,1)="."),REPLACEB(TRIM($A302),1,2,""),TRIM($A302)))</f>
        <v>0</v>
      </c>
      <c r="F302" s="810">
        <f>SUMIFS(调整事项汇总表!$J$7:$J$10020,调整事项汇总表!$D$7:$D$10020,"报表调整",调整事项汇总表!$E$7:$E$10020,IF(OR(MID(TRIM($A302),2,1)="：",MID(TRIM($A302),2,1)="."),REPLACEB(TRIM($A302),1,2,""),TRIM($A302)))</f>
        <v>0</v>
      </c>
      <c r="G302" s="810">
        <f>SUMIFS(调整事项汇总表!$I$7:$I$10020,调整事项汇总表!$D$7:$D$10020,"其他",调整事项汇总表!$E$7:$E$10020,IF(OR(MID(TRIM($A302),2,1)="：",MID(TRIM($A302),2,1)="."),REPLACEB(TRIM($A302),1,2,""),TRIM($A302)))</f>
        <v>0</v>
      </c>
      <c r="H302" s="810">
        <f>SUMIFS(调整事项汇总表!$I$7:$I$10020,调整事项汇总表!$D$7:$D$10020,"其他",调整事项汇总表!$E$7:$E$10020,IF(OR(MID(TRIM($A302),2,1)="：",MID(TRIM($A302),2,1)="."),REPLACEB(TRIM($A302),1,2,""),TRIM($A302)))</f>
        <v>0</v>
      </c>
      <c r="I302" s="810">
        <f t="shared" si="80"/>
        <v>0</v>
      </c>
      <c r="J302" s="38" t="b">
        <f>A302=未审报表!A302</f>
        <v>1</v>
      </c>
      <c r="K302" s="75" t="b">
        <f>审定报表!A302=TB!A302</f>
        <v>1</v>
      </c>
    </row>
    <row r="303" spans="1:11">
      <c r="A303" s="830" t="str">
        <f>未审报表!A303</f>
        <v xml:space="preserve">     支付各项税费</v>
      </c>
      <c r="B303" s="810">
        <f>未审报表!C303</f>
        <v>0</v>
      </c>
      <c r="C303" s="810">
        <f>SUMIFS(调整事项汇总表!$I$7:$I$10020,调整事项汇总表!$D$7:$D$10020,"账项调整",调整事项汇总表!$E$7:$E$10020,IF(OR(MID(TRIM($A303),2,1)="：",MID(TRIM($A303),2,1)="."),REPLACEB(TRIM($A303),1,2,""),TRIM($A303)))</f>
        <v>0</v>
      </c>
      <c r="D303" s="810">
        <f>SUMIFS(调整事项汇总表!$J$7:$J$10020,调整事项汇总表!$D$7:$D$10020,"账项调整",调整事项汇总表!$E$7:$E$10020,IF(OR(MID(TRIM($A303),2,1)="：",MID(TRIM($A303),2,1)="."),REPLACEB(TRIM($A303),1,2,""),TRIM($A303)))</f>
        <v>0</v>
      </c>
      <c r="E303" s="810">
        <f>SUMIFS(调整事项汇总表!$I$7:$I$10020,调整事项汇总表!$D$7:$D$10020,"报表调整",调整事项汇总表!$E$7:$E$10020,IF(OR(MID(TRIM($A303),2,1)="：",MID(TRIM($A303),2,1)="."),REPLACEB(TRIM($A303),1,2,""),TRIM($A303)))</f>
        <v>0</v>
      </c>
      <c r="F303" s="810">
        <f>SUMIFS(调整事项汇总表!$J$7:$J$10020,调整事项汇总表!$D$7:$D$10020,"报表调整",调整事项汇总表!$E$7:$E$10020,IF(OR(MID(TRIM($A303),2,1)="：",MID(TRIM($A303),2,1)="."),REPLACEB(TRIM($A303),1,2,""),TRIM($A303)))</f>
        <v>0</v>
      </c>
      <c r="G303" s="810">
        <f>SUMIFS(调整事项汇总表!$I$7:$I$10020,调整事项汇总表!$D$7:$D$10020,"其他",调整事项汇总表!$E$7:$E$10020,IF(OR(MID(TRIM($A303),2,1)="：",MID(TRIM($A303),2,1)="."),REPLACEB(TRIM($A303),1,2,""),TRIM($A303)))</f>
        <v>0</v>
      </c>
      <c r="H303" s="810">
        <f>SUMIFS(调整事项汇总表!$I$7:$I$10020,调整事项汇总表!$D$7:$D$10020,"其他",调整事项汇总表!$E$7:$E$10020,IF(OR(MID(TRIM($A303),2,1)="：",MID(TRIM($A303),2,1)="."),REPLACEB(TRIM($A303),1,2,""),TRIM($A303)))</f>
        <v>0</v>
      </c>
      <c r="I303" s="810">
        <f t="shared" si="80"/>
        <v>0</v>
      </c>
      <c r="J303" s="38" t="b">
        <f>A303=未审报表!A303</f>
        <v>1</v>
      </c>
      <c r="K303" s="75" t="b">
        <f>审定报表!A303=TB!A303</f>
        <v>1</v>
      </c>
    </row>
    <row r="304" spans="1:11">
      <c r="A304" s="830" t="str">
        <f>未审报表!A304</f>
        <v xml:space="preserve">     支付的其他与经营活动有关的现金</v>
      </c>
      <c r="B304" s="810">
        <f>未审报表!C304</f>
        <v>0</v>
      </c>
      <c r="C304" s="810">
        <f>SUMIFS(调整事项汇总表!$I$7:$I$10020,调整事项汇总表!$D$7:$D$10020,"账项调整",调整事项汇总表!$E$7:$E$10020,IF(OR(MID(TRIM($A304),2,1)="：",MID(TRIM($A304),2,1)="."),REPLACEB(TRIM($A304),1,2,""),TRIM($A304)))</f>
        <v>0</v>
      </c>
      <c r="D304" s="810">
        <f>SUMIFS(调整事项汇总表!$J$7:$J$10020,调整事项汇总表!$D$7:$D$10020,"账项调整",调整事项汇总表!$E$7:$E$10020,IF(OR(MID(TRIM($A304),2,1)="：",MID(TRIM($A304),2,1)="."),REPLACEB(TRIM($A304),1,2,""),TRIM($A304)))</f>
        <v>0</v>
      </c>
      <c r="E304" s="810">
        <f>SUMIFS(调整事项汇总表!$I$7:$I$10020,调整事项汇总表!$D$7:$D$10020,"报表调整",调整事项汇总表!$E$7:$E$10020,IF(OR(MID(TRIM($A304),2,1)="：",MID(TRIM($A304),2,1)="."),REPLACEB(TRIM($A304),1,2,""),TRIM($A304)))</f>
        <v>0</v>
      </c>
      <c r="F304" s="810">
        <f>SUMIFS(调整事项汇总表!$J$7:$J$10020,调整事项汇总表!$D$7:$D$10020,"报表调整",调整事项汇总表!$E$7:$E$10020,IF(OR(MID(TRIM($A304),2,1)="：",MID(TRIM($A304),2,1)="."),REPLACEB(TRIM($A304),1,2,""),TRIM($A304)))</f>
        <v>0</v>
      </c>
      <c r="G304" s="810">
        <f>SUMIFS(调整事项汇总表!$I$7:$I$10020,调整事项汇总表!$D$7:$D$10020,"其他",调整事项汇总表!$E$7:$E$10020,IF(OR(MID(TRIM($A304),2,1)="：",MID(TRIM($A304),2,1)="."),REPLACEB(TRIM($A304),1,2,""),TRIM($A304)))</f>
        <v>0</v>
      </c>
      <c r="H304" s="810">
        <f>SUMIFS(调整事项汇总表!$I$7:$I$10020,调整事项汇总表!$D$7:$D$10020,"其他",调整事项汇总表!$E$7:$E$10020,IF(OR(MID(TRIM($A304),2,1)="：",MID(TRIM($A304),2,1)="."),REPLACEB(TRIM($A304),1,2,""),TRIM($A304)))</f>
        <v>0</v>
      </c>
      <c r="I304" s="810">
        <f t="shared" si="80"/>
        <v>0</v>
      </c>
      <c r="J304" s="38" t="b">
        <f>A304=未审报表!A304</f>
        <v>1</v>
      </c>
      <c r="K304" s="75" t="b">
        <f>审定报表!A304=TB!A304</f>
        <v>1</v>
      </c>
    </row>
    <row r="305" spans="1:11">
      <c r="A305" s="830">
        <f>未审报表!A305</f>
        <v>0</v>
      </c>
      <c r="B305" s="816"/>
      <c r="C305" s="816"/>
      <c r="D305" s="816"/>
      <c r="E305" s="816"/>
      <c r="F305" s="816"/>
      <c r="G305" s="816"/>
      <c r="H305" s="816"/>
      <c r="I305" s="831"/>
      <c r="J305" s="38" t="b">
        <f>A305=未审报表!A305</f>
        <v>1</v>
      </c>
      <c r="K305" s="75" t="b">
        <f>审定报表!A305=TB!A305</f>
        <v>1</v>
      </c>
    </row>
    <row r="306" spans="1:11">
      <c r="A306" s="828" t="str">
        <f>未审报表!A306</f>
        <v xml:space="preserve">     经营活动现金流出小计</v>
      </c>
      <c r="B306" s="812">
        <f>未审报表!C306</f>
        <v>0</v>
      </c>
      <c r="C306" s="812">
        <f>SUM(C295:C305)</f>
        <v>0</v>
      </c>
      <c r="D306" s="812">
        <f t="shared" ref="D306:H306" si="81">SUM(D295:D305)</f>
        <v>0</v>
      </c>
      <c r="E306" s="812">
        <f t="shared" si="81"/>
        <v>0</v>
      </c>
      <c r="F306" s="812">
        <f t="shared" si="81"/>
        <v>0</v>
      </c>
      <c r="G306" s="812">
        <f t="shared" si="81"/>
        <v>0</v>
      </c>
      <c r="H306" s="812">
        <f t="shared" si="81"/>
        <v>0</v>
      </c>
      <c r="I306" s="812">
        <f>B306+D306+F306+H306-G306-E306-C306</f>
        <v>0</v>
      </c>
      <c r="J306" s="38" t="b">
        <f>A306=未审报表!A306</f>
        <v>1</v>
      </c>
      <c r="K306" s="75" t="b">
        <f>审定报表!A306=TB!A306</f>
        <v>1</v>
      </c>
    </row>
    <row r="307" spans="1:11">
      <c r="A307" s="828" t="str">
        <f>未审报表!A307</f>
        <v xml:space="preserve">     经营活动产生的现金流量净额</v>
      </c>
      <c r="B307" s="812">
        <f>未审报表!C307</f>
        <v>0</v>
      </c>
      <c r="C307" s="812">
        <f>C294-C306</f>
        <v>0</v>
      </c>
      <c r="D307" s="812">
        <f t="shared" ref="D307:H307" si="82">D294-D306</f>
        <v>0</v>
      </c>
      <c r="E307" s="812">
        <f t="shared" si="82"/>
        <v>0</v>
      </c>
      <c r="F307" s="812">
        <f t="shared" si="82"/>
        <v>0</v>
      </c>
      <c r="G307" s="812">
        <f t="shared" si="82"/>
        <v>0</v>
      </c>
      <c r="H307" s="812">
        <f t="shared" si="82"/>
        <v>0</v>
      </c>
      <c r="I307" s="812">
        <f>B307+C307+E307+G307-H307-F307-D307</f>
        <v>0</v>
      </c>
      <c r="J307" s="38" t="b">
        <f>A307=未审报表!A307</f>
        <v>1</v>
      </c>
      <c r="K307" s="75" t="b">
        <f>审定报表!A307=TB!A307</f>
        <v>1</v>
      </c>
    </row>
    <row r="308" spans="1:11">
      <c r="A308" s="830" t="str">
        <f>未审报表!A308</f>
        <v>二、投资活动产生的现金流量</v>
      </c>
      <c r="B308" s="816"/>
      <c r="C308" s="816"/>
      <c r="D308" s="816"/>
      <c r="E308" s="816"/>
      <c r="F308" s="816"/>
      <c r="G308" s="816"/>
      <c r="H308" s="816"/>
      <c r="I308" s="831"/>
      <c r="J308" s="38" t="b">
        <f>A308=未审报表!A308</f>
        <v>1</v>
      </c>
      <c r="K308" s="75" t="b">
        <f>审定报表!A308=TB!A308</f>
        <v>1</v>
      </c>
    </row>
    <row r="309" spans="1:11">
      <c r="A309" s="830" t="str">
        <f>未审报表!A309</f>
        <v xml:space="preserve">     收回投资所收到的现金</v>
      </c>
      <c r="B309" s="810">
        <f>未审报表!C309</f>
        <v>0</v>
      </c>
      <c r="C309" s="810">
        <f>SUMIFS(调整事项汇总表!$I$7:$I$10020,调整事项汇总表!$D$7:$D$10020,"账项调整",调整事项汇总表!$E$7:$E$10020,IF(OR(MID(TRIM($A309),2,1)="：",MID(TRIM($A309),2,1)="."),REPLACEB(TRIM($A309),1,2,""),TRIM($A309)))</f>
        <v>0</v>
      </c>
      <c r="D309" s="810">
        <f>SUMIFS(调整事项汇总表!$J$7:$J$10020,调整事项汇总表!$D$7:$D$10020,"账项调整",调整事项汇总表!$E$7:$E$10020,IF(OR(MID(TRIM($A309),2,1)="：",MID(TRIM($A309),2,1)="."),REPLACEB(TRIM($A309),1,2,""),TRIM($A309)))</f>
        <v>0</v>
      </c>
      <c r="E309" s="810">
        <f>SUMIFS(调整事项汇总表!$I$7:$I$10020,调整事项汇总表!$D$7:$D$10020,"报表调整",调整事项汇总表!$E$7:$E$10020,IF(OR(MID(TRIM($A309),2,1)="：",MID(TRIM($A309),2,1)="."),REPLACEB(TRIM($A309),1,2,""),TRIM($A309)))</f>
        <v>0</v>
      </c>
      <c r="F309" s="810">
        <f>SUMIFS(调整事项汇总表!$J$7:$J$10020,调整事项汇总表!$D$7:$D$10020,"报表调整",调整事项汇总表!$E$7:$E$10020,IF(OR(MID(TRIM($A309),2,1)="：",MID(TRIM($A309),2,1)="."),REPLACEB(TRIM($A309),1,2,""),TRIM($A309)))</f>
        <v>0</v>
      </c>
      <c r="G309" s="810">
        <f>SUMIFS(调整事项汇总表!$I$7:$I$10020,调整事项汇总表!$D$7:$D$10020,"其他",调整事项汇总表!$E$7:$E$10020,IF(OR(MID(TRIM($A309),2,1)="：",MID(TRIM($A309),2,1)="."),REPLACEB(TRIM($A309),1,2,""),TRIM($A309)))</f>
        <v>0</v>
      </c>
      <c r="H309" s="810">
        <f>SUMIFS(调整事项汇总表!$I$7:$I$10020,调整事项汇总表!$D$7:$D$10020,"其他",调整事项汇总表!$E$7:$E$10020,IF(OR(MID(TRIM($A309),2,1)="：",MID(TRIM($A309),2,1)="."),REPLACEB(TRIM($A309),1,2,""),TRIM($A309)))</f>
        <v>0</v>
      </c>
      <c r="I309" s="810">
        <f>B309+C309+E309+G309-H309-F309-D309</f>
        <v>0</v>
      </c>
      <c r="J309" s="38" t="b">
        <f>A309=未审报表!A309</f>
        <v>1</v>
      </c>
      <c r="K309" s="75" t="b">
        <f>审定报表!A309=TB!A309</f>
        <v>1</v>
      </c>
    </row>
    <row r="310" spans="1:11">
      <c r="A310" s="830" t="str">
        <f>未审报表!A310</f>
        <v xml:space="preserve">     取得投资收益所收到的现金</v>
      </c>
      <c r="B310" s="810">
        <f>未审报表!C310</f>
        <v>0</v>
      </c>
      <c r="C310" s="810">
        <f>SUMIFS(调整事项汇总表!$I$7:$I$10020,调整事项汇总表!$D$7:$D$10020,"账项调整",调整事项汇总表!$E$7:$E$10020,IF(OR(MID(TRIM($A310),2,1)="：",MID(TRIM($A310),2,1)="."),REPLACEB(TRIM($A310),1,2,""),TRIM($A310)))</f>
        <v>0</v>
      </c>
      <c r="D310" s="810">
        <f>SUMIFS(调整事项汇总表!$J$7:$J$10020,调整事项汇总表!$D$7:$D$10020,"账项调整",调整事项汇总表!$E$7:$E$10020,IF(OR(MID(TRIM($A310),2,1)="：",MID(TRIM($A310),2,1)="."),REPLACEB(TRIM($A310),1,2,""),TRIM($A310)))</f>
        <v>0</v>
      </c>
      <c r="E310" s="810">
        <f>SUMIFS(调整事项汇总表!$I$7:$I$10020,调整事项汇总表!$D$7:$D$10020,"报表调整",调整事项汇总表!$E$7:$E$10020,IF(OR(MID(TRIM($A310),2,1)="：",MID(TRIM($A310),2,1)="."),REPLACEB(TRIM($A310),1,2,""),TRIM($A310)))</f>
        <v>0</v>
      </c>
      <c r="F310" s="810">
        <f>SUMIFS(调整事项汇总表!$J$7:$J$10020,调整事项汇总表!$D$7:$D$10020,"报表调整",调整事项汇总表!$E$7:$E$10020,IF(OR(MID(TRIM($A310),2,1)="：",MID(TRIM($A310),2,1)="."),REPLACEB(TRIM($A310),1,2,""),TRIM($A310)))</f>
        <v>0</v>
      </c>
      <c r="G310" s="810">
        <f>SUMIFS(调整事项汇总表!$I$7:$I$10020,调整事项汇总表!$D$7:$D$10020,"其他",调整事项汇总表!$E$7:$E$10020,IF(OR(MID(TRIM($A310),2,1)="：",MID(TRIM($A310),2,1)="."),REPLACEB(TRIM($A310),1,2,""),TRIM($A310)))</f>
        <v>0</v>
      </c>
      <c r="H310" s="810">
        <f>SUMIFS(调整事项汇总表!$I$7:$I$10020,调整事项汇总表!$D$7:$D$10020,"其他",调整事项汇总表!$E$7:$E$10020,IF(OR(MID(TRIM($A310),2,1)="：",MID(TRIM($A310),2,1)="."),REPLACEB(TRIM($A310),1,2,""),TRIM($A310)))</f>
        <v>0</v>
      </c>
      <c r="I310" s="810">
        <f t="shared" ref="I310:I315" si="83">B310+C310+E310+G310-H310-F310-D310</f>
        <v>0</v>
      </c>
      <c r="J310" s="38" t="b">
        <f>A310=未审报表!A310</f>
        <v>1</v>
      </c>
      <c r="K310" s="75" t="b">
        <f>审定报表!A310=TB!A310</f>
        <v>1</v>
      </c>
    </row>
    <row r="311" spans="1:11">
      <c r="A311" s="830" t="str">
        <f>未审报表!A311</f>
        <v xml:space="preserve">     处置固定资产、无形资产和其他长期资产而收到的现金净额</v>
      </c>
      <c r="B311" s="810">
        <f>未审报表!C311</f>
        <v>0</v>
      </c>
      <c r="C311" s="810">
        <f>SUMIFS(调整事项汇总表!$I$7:$I$10020,调整事项汇总表!$D$7:$D$10020,"账项调整",调整事项汇总表!$E$7:$E$10020,IF(OR(MID(TRIM($A311),2,1)="：",MID(TRIM($A311),2,1)="."),REPLACEB(TRIM($A311),1,2,""),TRIM($A311)))</f>
        <v>0</v>
      </c>
      <c r="D311" s="810">
        <f>SUMIFS(调整事项汇总表!$J$7:$J$10020,调整事项汇总表!$D$7:$D$10020,"账项调整",调整事项汇总表!$E$7:$E$10020,IF(OR(MID(TRIM($A311),2,1)="：",MID(TRIM($A311),2,1)="."),REPLACEB(TRIM($A311),1,2,""),TRIM($A311)))</f>
        <v>0</v>
      </c>
      <c r="E311" s="810">
        <f>SUMIFS(调整事项汇总表!$I$7:$I$10020,调整事项汇总表!$D$7:$D$10020,"报表调整",调整事项汇总表!$E$7:$E$10020,IF(OR(MID(TRIM($A311),2,1)="：",MID(TRIM($A311),2,1)="."),REPLACEB(TRIM($A311),1,2,""),TRIM($A311)))</f>
        <v>0</v>
      </c>
      <c r="F311" s="810">
        <f>SUMIFS(调整事项汇总表!$J$7:$J$10020,调整事项汇总表!$D$7:$D$10020,"报表调整",调整事项汇总表!$E$7:$E$10020,IF(OR(MID(TRIM($A311),2,1)="：",MID(TRIM($A311),2,1)="."),REPLACEB(TRIM($A311),1,2,""),TRIM($A311)))</f>
        <v>0</v>
      </c>
      <c r="G311" s="810">
        <f>SUMIFS(调整事项汇总表!$I$7:$I$10020,调整事项汇总表!$D$7:$D$10020,"其他",调整事项汇总表!$E$7:$E$10020,IF(OR(MID(TRIM($A311),2,1)="：",MID(TRIM($A311),2,1)="."),REPLACEB(TRIM($A311),1,2,""),TRIM($A311)))</f>
        <v>0</v>
      </c>
      <c r="H311" s="810">
        <f>SUMIFS(调整事项汇总表!$I$7:$I$10020,调整事项汇总表!$D$7:$D$10020,"其他",调整事项汇总表!$E$7:$E$10020,IF(OR(MID(TRIM($A311),2,1)="：",MID(TRIM($A311),2,1)="."),REPLACEB(TRIM($A311),1,2,""),TRIM($A311)))</f>
        <v>0</v>
      </c>
      <c r="I311" s="810">
        <f t="shared" si="83"/>
        <v>0</v>
      </c>
      <c r="J311" s="38" t="b">
        <f>A311=未审报表!A311</f>
        <v>1</v>
      </c>
      <c r="K311" s="75" t="b">
        <f>审定报表!A311=TB!A311</f>
        <v>1</v>
      </c>
    </row>
    <row r="312" spans="1:11">
      <c r="A312" s="830" t="str">
        <f>未审报表!A312</f>
        <v xml:space="preserve">     处置子公司及其他营业单位收到的现金净额</v>
      </c>
      <c r="B312" s="810">
        <f>未审报表!C312</f>
        <v>0</v>
      </c>
      <c r="C312" s="810">
        <f>SUMIFS(调整事项汇总表!$I$7:$I$10020,调整事项汇总表!$D$7:$D$10020,"账项调整",调整事项汇总表!$E$7:$E$10020,IF(OR(MID(TRIM($A312),2,1)="：",MID(TRIM($A312),2,1)="."),REPLACEB(TRIM($A312),1,2,""),TRIM($A312)))</f>
        <v>0</v>
      </c>
      <c r="D312" s="810">
        <f>SUMIFS(调整事项汇总表!$J$7:$J$10020,调整事项汇总表!$D$7:$D$10020,"账项调整",调整事项汇总表!$E$7:$E$10020,IF(OR(MID(TRIM($A312),2,1)="：",MID(TRIM($A312),2,1)="."),REPLACEB(TRIM($A312),1,2,""),TRIM($A312)))</f>
        <v>0</v>
      </c>
      <c r="E312" s="810">
        <f>SUMIFS(调整事项汇总表!$I$7:$I$10020,调整事项汇总表!$D$7:$D$10020,"报表调整",调整事项汇总表!$E$7:$E$10020,IF(OR(MID(TRIM($A312),2,1)="：",MID(TRIM($A312),2,1)="."),REPLACEB(TRIM($A312),1,2,""),TRIM($A312)))</f>
        <v>0</v>
      </c>
      <c r="F312" s="810">
        <f>SUMIFS(调整事项汇总表!$J$7:$J$10020,调整事项汇总表!$D$7:$D$10020,"报表调整",调整事项汇总表!$E$7:$E$10020,IF(OR(MID(TRIM($A312),2,1)="：",MID(TRIM($A312),2,1)="."),REPLACEB(TRIM($A312),1,2,""),TRIM($A312)))</f>
        <v>0</v>
      </c>
      <c r="G312" s="810">
        <f>SUMIFS(调整事项汇总表!$I$7:$I$10020,调整事项汇总表!$D$7:$D$10020,"其他",调整事项汇总表!$E$7:$E$10020,IF(OR(MID(TRIM($A312),2,1)="：",MID(TRIM($A312),2,1)="."),REPLACEB(TRIM($A312),1,2,""),TRIM($A312)))</f>
        <v>0</v>
      </c>
      <c r="H312" s="810">
        <f>SUMIFS(调整事项汇总表!$I$7:$I$10020,调整事项汇总表!$D$7:$D$10020,"其他",调整事项汇总表!$E$7:$E$10020,IF(OR(MID(TRIM($A312),2,1)="：",MID(TRIM($A312),2,1)="."),REPLACEB(TRIM($A312),1,2,""),TRIM($A312)))</f>
        <v>0</v>
      </c>
      <c r="I312" s="810">
        <f t="shared" si="83"/>
        <v>0</v>
      </c>
      <c r="J312" s="38" t="b">
        <f>A312=未审报表!A312</f>
        <v>1</v>
      </c>
      <c r="K312" s="75" t="b">
        <f>审定报表!A312=TB!A312</f>
        <v>1</v>
      </c>
    </row>
    <row r="313" spans="1:11">
      <c r="A313" s="830" t="str">
        <f>未审报表!A313</f>
        <v xml:space="preserve">     收到其他与投资活动有关的现金</v>
      </c>
      <c r="B313" s="810">
        <f>未审报表!C313</f>
        <v>0</v>
      </c>
      <c r="C313" s="810">
        <f>SUMIFS(调整事项汇总表!$I$7:$I$10020,调整事项汇总表!$D$7:$D$10020,"账项调整",调整事项汇总表!$E$7:$E$10020,IF(OR(MID(TRIM($A313),2,1)="：",MID(TRIM($A313),2,1)="."),REPLACEB(TRIM($A313),1,2,""),TRIM($A313)))</f>
        <v>0</v>
      </c>
      <c r="D313" s="810">
        <f>SUMIFS(调整事项汇总表!$J$7:$J$10020,调整事项汇总表!$D$7:$D$10020,"账项调整",调整事项汇总表!$E$7:$E$10020,IF(OR(MID(TRIM($A313),2,1)="：",MID(TRIM($A313),2,1)="."),REPLACEB(TRIM($A313),1,2,""),TRIM($A313)))</f>
        <v>0</v>
      </c>
      <c r="E313" s="810">
        <f>SUMIFS(调整事项汇总表!$I$7:$I$10020,调整事项汇总表!$D$7:$D$10020,"报表调整",调整事项汇总表!$E$7:$E$10020,IF(OR(MID(TRIM($A313),2,1)="：",MID(TRIM($A313),2,1)="."),REPLACEB(TRIM($A313),1,2,""),TRIM($A313)))</f>
        <v>0</v>
      </c>
      <c r="F313" s="810">
        <f>SUMIFS(调整事项汇总表!$J$7:$J$10020,调整事项汇总表!$D$7:$D$10020,"报表调整",调整事项汇总表!$E$7:$E$10020,IF(OR(MID(TRIM($A313),2,1)="：",MID(TRIM($A313),2,1)="."),REPLACEB(TRIM($A313),1,2,""),TRIM($A313)))</f>
        <v>0</v>
      </c>
      <c r="G313" s="810">
        <f>SUMIFS(调整事项汇总表!$I$7:$I$10020,调整事项汇总表!$D$7:$D$10020,"其他",调整事项汇总表!$E$7:$E$10020,IF(OR(MID(TRIM($A313),2,1)="：",MID(TRIM($A313),2,1)="."),REPLACEB(TRIM($A313),1,2,""),TRIM($A313)))</f>
        <v>0</v>
      </c>
      <c r="H313" s="810">
        <f>SUMIFS(调整事项汇总表!$I$7:$I$10020,调整事项汇总表!$D$7:$D$10020,"其他",调整事项汇总表!$E$7:$E$10020,IF(OR(MID(TRIM($A313),2,1)="：",MID(TRIM($A313),2,1)="."),REPLACEB(TRIM($A313),1,2,""),TRIM($A313)))</f>
        <v>0</v>
      </c>
      <c r="I313" s="810">
        <f t="shared" si="83"/>
        <v>0</v>
      </c>
      <c r="J313" s="38" t="b">
        <f>A313=未审报表!A313</f>
        <v>1</v>
      </c>
      <c r="K313" s="75" t="b">
        <f>审定报表!A313=TB!A313</f>
        <v>1</v>
      </c>
    </row>
    <row r="314" spans="1:11">
      <c r="A314" s="830">
        <f>未审报表!A314</f>
        <v>0</v>
      </c>
      <c r="B314" s="816"/>
      <c r="C314" s="816"/>
      <c r="D314" s="816"/>
      <c r="E314" s="816"/>
      <c r="F314" s="816"/>
      <c r="G314" s="816"/>
      <c r="H314" s="816"/>
      <c r="I314" s="831">
        <f t="shared" si="83"/>
        <v>0</v>
      </c>
      <c r="J314" s="38" t="b">
        <f>A314=未审报表!A314</f>
        <v>1</v>
      </c>
      <c r="K314" s="75" t="b">
        <f>审定报表!A314=TB!A314</f>
        <v>1</v>
      </c>
    </row>
    <row r="315" spans="1:11">
      <c r="A315" s="828" t="str">
        <f>未审报表!A315</f>
        <v xml:space="preserve">     投资活动现金流入小计</v>
      </c>
      <c r="B315" s="812">
        <f>未审报表!C315</f>
        <v>0</v>
      </c>
      <c r="C315" s="812">
        <f>SUM(C309:C314)</f>
        <v>0</v>
      </c>
      <c r="D315" s="812">
        <f t="shared" ref="D315:H315" si="84">SUM(D309:D314)</f>
        <v>0</v>
      </c>
      <c r="E315" s="812">
        <f t="shared" si="84"/>
        <v>0</v>
      </c>
      <c r="F315" s="812">
        <f t="shared" si="84"/>
        <v>0</v>
      </c>
      <c r="G315" s="812">
        <f t="shared" si="84"/>
        <v>0</v>
      </c>
      <c r="H315" s="812">
        <f t="shared" si="84"/>
        <v>0</v>
      </c>
      <c r="I315" s="810">
        <f t="shared" si="83"/>
        <v>0</v>
      </c>
      <c r="J315" s="38" t="b">
        <f>A315=未审报表!A315</f>
        <v>1</v>
      </c>
      <c r="K315" s="75" t="b">
        <f>审定报表!A315=TB!A315</f>
        <v>1</v>
      </c>
    </row>
    <row r="316" spans="1:11">
      <c r="A316" s="830" t="str">
        <f>未审报表!A316</f>
        <v xml:space="preserve">     购置固定资产、无形资产和其他长期资产所支付现金 </v>
      </c>
      <c r="B316" s="810">
        <f>未审报表!C316</f>
        <v>0</v>
      </c>
      <c r="C316" s="810">
        <f>SUMIFS(调整事项汇总表!$I$7:$I$10020,调整事项汇总表!$D$7:$D$10020,"账项调整",调整事项汇总表!$E$7:$E$10020,IF(OR(MID(TRIM($A316),2,1)="：",MID(TRIM($A316),2,1)="."),REPLACEB(TRIM($A316),1,2,""),TRIM($A316)))</f>
        <v>0</v>
      </c>
      <c r="D316" s="810">
        <f>SUMIFS(调整事项汇总表!$J$7:$J$10020,调整事项汇总表!$D$7:$D$10020,"账项调整",调整事项汇总表!$E$7:$E$10020,IF(OR(MID(TRIM($A316),2,1)="：",MID(TRIM($A316),2,1)="."),REPLACEB(TRIM($A316),1,2,""),TRIM($A316)))</f>
        <v>0</v>
      </c>
      <c r="E316" s="810">
        <f>SUMIFS(调整事项汇总表!$I$7:$I$10020,调整事项汇总表!$D$7:$D$10020,"报表调整",调整事项汇总表!$E$7:$E$10020,IF(OR(MID(TRIM($A316),2,1)="：",MID(TRIM($A316),2,1)="."),REPLACEB(TRIM($A316),1,2,""),TRIM($A316)))</f>
        <v>0</v>
      </c>
      <c r="F316" s="810">
        <f>SUMIFS(调整事项汇总表!$J$7:$J$10020,调整事项汇总表!$D$7:$D$10020,"报表调整",调整事项汇总表!$E$7:$E$10020,IF(OR(MID(TRIM($A316),2,1)="：",MID(TRIM($A316),2,1)="."),REPLACEB(TRIM($A316),1,2,""),TRIM($A316)))</f>
        <v>0</v>
      </c>
      <c r="G316" s="810">
        <f>SUMIFS(调整事项汇总表!$I$7:$I$10020,调整事项汇总表!$D$7:$D$10020,"其他",调整事项汇总表!$E$7:$E$10020,IF(OR(MID(TRIM($A316),2,1)="：",MID(TRIM($A316),2,1)="."),REPLACEB(TRIM($A316),1,2,""),TRIM($A316)))</f>
        <v>0</v>
      </c>
      <c r="H316" s="810">
        <f>SUMIFS(调整事项汇总表!$I$7:$I$10020,调整事项汇总表!$D$7:$D$10020,"其他",调整事项汇总表!$E$7:$E$10020,IF(OR(MID(TRIM($A316),2,1)="：",MID(TRIM($A316),2,1)="."),REPLACEB(TRIM($A316),1,2,""),TRIM($A316)))</f>
        <v>0</v>
      </c>
      <c r="I316" s="810">
        <f>B316+D316+F316+H316-G316-E316-C316</f>
        <v>0</v>
      </c>
      <c r="J316" s="38" t="b">
        <f>A316=未审报表!A316</f>
        <v>1</v>
      </c>
      <c r="K316" s="75" t="b">
        <f>审定报表!A316=TB!A316</f>
        <v>1</v>
      </c>
    </row>
    <row r="317" spans="1:11">
      <c r="A317" s="830" t="str">
        <f>未审报表!A317</f>
        <v xml:space="preserve">     投资所支付的现金</v>
      </c>
      <c r="B317" s="810">
        <f>未审报表!C317</f>
        <v>0</v>
      </c>
      <c r="C317" s="810">
        <f>SUMIFS(调整事项汇总表!$I$7:$I$10020,调整事项汇总表!$D$7:$D$10020,"账项调整",调整事项汇总表!$E$7:$E$10020,IF(OR(MID(TRIM($A317),2,1)="：",MID(TRIM($A317),2,1)="."),REPLACEB(TRIM($A317),1,2,""),TRIM($A317)))</f>
        <v>0</v>
      </c>
      <c r="D317" s="810">
        <f>SUMIFS(调整事项汇总表!$J$7:$J$10020,调整事项汇总表!$D$7:$D$10020,"账项调整",调整事项汇总表!$E$7:$E$10020,IF(OR(MID(TRIM($A317),2,1)="：",MID(TRIM($A317),2,1)="."),REPLACEB(TRIM($A317),1,2,""),TRIM($A317)))</f>
        <v>0</v>
      </c>
      <c r="E317" s="810">
        <f>SUMIFS(调整事项汇总表!$I$7:$I$10020,调整事项汇总表!$D$7:$D$10020,"报表调整",调整事项汇总表!$E$7:$E$10020,IF(OR(MID(TRIM($A317),2,1)="：",MID(TRIM($A317),2,1)="."),REPLACEB(TRIM($A317),1,2,""),TRIM($A317)))</f>
        <v>0</v>
      </c>
      <c r="F317" s="810">
        <f>SUMIFS(调整事项汇总表!$J$7:$J$10020,调整事项汇总表!$D$7:$D$10020,"报表调整",调整事项汇总表!$E$7:$E$10020,IF(OR(MID(TRIM($A317),2,1)="：",MID(TRIM($A317),2,1)="."),REPLACEB(TRIM($A317),1,2,""),TRIM($A317)))</f>
        <v>0</v>
      </c>
      <c r="G317" s="810">
        <f>SUMIFS(调整事项汇总表!$I$7:$I$10020,调整事项汇总表!$D$7:$D$10020,"其他",调整事项汇总表!$E$7:$E$10020,IF(OR(MID(TRIM($A317),2,1)="：",MID(TRIM($A317),2,1)="."),REPLACEB(TRIM($A317),1,2,""),TRIM($A317)))</f>
        <v>0</v>
      </c>
      <c r="H317" s="810">
        <f>SUMIFS(调整事项汇总表!$I$7:$I$10020,调整事项汇总表!$D$7:$D$10020,"其他",调整事项汇总表!$E$7:$E$10020,IF(OR(MID(TRIM($A317),2,1)="：",MID(TRIM($A317),2,1)="."),REPLACEB(TRIM($A317),1,2,""),TRIM($A317)))</f>
        <v>0</v>
      </c>
      <c r="I317" s="810">
        <f t="shared" ref="I317:I320" si="85">B317+D317+F317+H317-G317-E317-C317</f>
        <v>0</v>
      </c>
      <c r="J317" s="38" t="b">
        <f>A317=未审报表!A317</f>
        <v>1</v>
      </c>
      <c r="K317" s="75" t="b">
        <f>审定报表!A317=TB!A317</f>
        <v>1</v>
      </c>
    </row>
    <row r="318" spans="1:11">
      <c r="A318" s="830" t="str">
        <f>未审报表!A318</f>
        <v xml:space="preserve">    质押贷款净增加额*</v>
      </c>
      <c r="B318" s="810">
        <f>未审报表!C318</f>
        <v>0</v>
      </c>
      <c r="C318" s="810">
        <f>SUMIFS(调整事项汇总表!$I$7:$I$10020,调整事项汇总表!$D$7:$D$10020,"账项调整",调整事项汇总表!$E$7:$E$10020,IF(OR(MID(TRIM($A318),2,1)="：",MID(TRIM($A318),2,1)="."),REPLACEB(TRIM($A318),1,2,""),TRIM($A318)))</f>
        <v>0</v>
      </c>
      <c r="D318" s="810">
        <f>SUMIFS(调整事项汇总表!$J$7:$J$10020,调整事项汇总表!$D$7:$D$10020,"账项调整",调整事项汇总表!$E$7:$E$10020,IF(OR(MID(TRIM($A318),2,1)="：",MID(TRIM($A318),2,1)="."),REPLACEB(TRIM($A318),1,2,""),TRIM($A318)))</f>
        <v>0</v>
      </c>
      <c r="E318" s="810">
        <f>SUMIFS(调整事项汇总表!$I$7:$I$10020,调整事项汇总表!$D$7:$D$10020,"报表调整",调整事项汇总表!$E$7:$E$10020,IF(OR(MID(TRIM($A318),2,1)="：",MID(TRIM($A318),2,1)="."),REPLACEB(TRIM($A318),1,2,""),TRIM($A318)))</f>
        <v>0</v>
      </c>
      <c r="F318" s="810">
        <f>SUMIFS(调整事项汇总表!$J$7:$J$10020,调整事项汇总表!$D$7:$D$10020,"报表调整",调整事项汇总表!$E$7:$E$10020,IF(OR(MID(TRIM($A318),2,1)="：",MID(TRIM($A318),2,1)="."),REPLACEB(TRIM($A318),1,2,""),TRIM($A318)))</f>
        <v>0</v>
      </c>
      <c r="G318" s="810">
        <f>SUMIFS(调整事项汇总表!$I$7:$I$10020,调整事项汇总表!$D$7:$D$10020,"其他",调整事项汇总表!$E$7:$E$10020,IF(OR(MID(TRIM($A318),2,1)="：",MID(TRIM($A318),2,1)="."),REPLACEB(TRIM($A318),1,2,""),TRIM($A318)))</f>
        <v>0</v>
      </c>
      <c r="H318" s="810">
        <f>SUMIFS(调整事项汇总表!$I$7:$I$10020,调整事项汇总表!$D$7:$D$10020,"其他",调整事项汇总表!$E$7:$E$10020,IF(OR(MID(TRIM($A318),2,1)="：",MID(TRIM($A318),2,1)="."),REPLACEB(TRIM($A318),1,2,""),TRIM($A318)))</f>
        <v>0</v>
      </c>
      <c r="I318" s="810">
        <f t="shared" si="85"/>
        <v>0</v>
      </c>
      <c r="J318" s="38" t="b">
        <f>A318=未审报表!A318</f>
        <v>1</v>
      </c>
      <c r="K318" s="75" t="b">
        <f>审定报表!A318=TB!A318</f>
        <v>1</v>
      </c>
    </row>
    <row r="319" spans="1:11">
      <c r="A319" s="830" t="str">
        <f>未审报表!A319</f>
        <v xml:space="preserve">     取得子公司及其他营业单位支付的现金净额</v>
      </c>
      <c r="B319" s="810">
        <f>未审报表!C319</f>
        <v>0</v>
      </c>
      <c r="C319" s="810">
        <f>SUMIFS(调整事项汇总表!$I$7:$I$10020,调整事项汇总表!$D$7:$D$10020,"账项调整",调整事项汇总表!$E$7:$E$10020,IF(OR(MID(TRIM($A319),2,1)="：",MID(TRIM($A319),2,1)="."),REPLACEB(TRIM($A319),1,2,""),TRIM($A319)))</f>
        <v>0</v>
      </c>
      <c r="D319" s="810">
        <f>SUMIFS(调整事项汇总表!$J$7:$J$10020,调整事项汇总表!$D$7:$D$10020,"账项调整",调整事项汇总表!$E$7:$E$10020,IF(OR(MID(TRIM($A319),2,1)="：",MID(TRIM($A319),2,1)="."),REPLACEB(TRIM($A319),1,2,""),TRIM($A319)))</f>
        <v>0</v>
      </c>
      <c r="E319" s="810">
        <f>SUMIFS(调整事项汇总表!$I$7:$I$10020,调整事项汇总表!$D$7:$D$10020,"报表调整",调整事项汇总表!$E$7:$E$10020,IF(OR(MID(TRIM($A319),2,1)="：",MID(TRIM($A319),2,1)="."),REPLACEB(TRIM($A319),1,2,""),TRIM($A319)))</f>
        <v>0</v>
      </c>
      <c r="F319" s="810">
        <f>SUMIFS(调整事项汇总表!$J$7:$J$10020,调整事项汇总表!$D$7:$D$10020,"报表调整",调整事项汇总表!$E$7:$E$10020,IF(OR(MID(TRIM($A319),2,1)="：",MID(TRIM($A319),2,1)="."),REPLACEB(TRIM($A319),1,2,""),TRIM($A319)))</f>
        <v>0</v>
      </c>
      <c r="G319" s="810">
        <f>SUMIFS(调整事项汇总表!$I$7:$I$10020,调整事项汇总表!$D$7:$D$10020,"其他",调整事项汇总表!$E$7:$E$10020,IF(OR(MID(TRIM($A319),2,1)="：",MID(TRIM($A319),2,1)="."),REPLACEB(TRIM($A319),1,2,""),TRIM($A319)))</f>
        <v>0</v>
      </c>
      <c r="H319" s="810">
        <f>SUMIFS(调整事项汇总表!$I$7:$I$10020,调整事项汇总表!$D$7:$D$10020,"其他",调整事项汇总表!$E$7:$E$10020,IF(OR(MID(TRIM($A319),2,1)="：",MID(TRIM($A319),2,1)="."),REPLACEB(TRIM($A319),1,2,""),TRIM($A319)))</f>
        <v>0</v>
      </c>
      <c r="I319" s="810">
        <f t="shared" si="85"/>
        <v>0</v>
      </c>
      <c r="J319" s="38" t="b">
        <f>A319=未审报表!A319</f>
        <v>1</v>
      </c>
      <c r="K319" s="75" t="b">
        <f>审定报表!A319=TB!A319</f>
        <v>1</v>
      </c>
    </row>
    <row r="320" spans="1:11">
      <c r="A320" s="830" t="str">
        <f>未审报表!A320</f>
        <v xml:space="preserve">     支付其他与投资活动有关的现金</v>
      </c>
      <c r="B320" s="810">
        <f>未审报表!C320</f>
        <v>0</v>
      </c>
      <c r="C320" s="810">
        <f>SUMIFS(调整事项汇总表!$I$7:$I$10020,调整事项汇总表!$D$7:$D$10020,"账项调整",调整事项汇总表!$E$7:$E$10020,IF(OR(MID(TRIM($A320),2,1)="：",MID(TRIM($A320),2,1)="."),REPLACEB(TRIM($A320),1,2,""),TRIM($A320)))</f>
        <v>0</v>
      </c>
      <c r="D320" s="810">
        <f>SUMIFS(调整事项汇总表!$J$7:$J$10020,调整事项汇总表!$D$7:$D$10020,"账项调整",调整事项汇总表!$E$7:$E$10020,IF(OR(MID(TRIM($A320),2,1)="：",MID(TRIM($A320),2,1)="."),REPLACEB(TRIM($A320),1,2,""),TRIM($A320)))</f>
        <v>0</v>
      </c>
      <c r="E320" s="810">
        <f>SUMIFS(调整事项汇总表!$I$7:$I$10020,调整事项汇总表!$D$7:$D$10020,"报表调整",调整事项汇总表!$E$7:$E$10020,IF(OR(MID(TRIM($A320),2,1)="：",MID(TRIM($A320),2,1)="."),REPLACEB(TRIM($A320),1,2,""),TRIM($A320)))</f>
        <v>0</v>
      </c>
      <c r="F320" s="810">
        <f>SUMIFS(调整事项汇总表!$J$7:$J$10020,调整事项汇总表!$D$7:$D$10020,"报表调整",调整事项汇总表!$E$7:$E$10020,IF(OR(MID(TRIM($A320),2,1)="：",MID(TRIM($A320),2,1)="."),REPLACEB(TRIM($A320),1,2,""),TRIM($A320)))</f>
        <v>0</v>
      </c>
      <c r="G320" s="810">
        <f>SUMIFS(调整事项汇总表!$I$7:$I$10020,调整事项汇总表!$D$7:$D$10020,"其他",调整事项汇总表!$E$7:$E$10020,IF(OR(MID(TRIM($A320),2,1)="：",MID(TRIM($A320),2,1)="."),REPLACEB(TRIM($A320),1,2,""),TRIM($A320)))</f>
        <v>0</v>
      </c>
      <c r="H320" s="810">
        <f>SUMIFS(调整事项汇总表!$I$7:$I$10020,调整事项汇总表!$D$7:$D$10020,"其他",调整事项汇总表!$E$7:$E$10020,IF(OR(MID(TRIM($A320),2,1)="：",MID(TRIM($A320),2,1)="."),REPLACEB(TRIM($A320),1,2,""),TRIM($A320)))</f>
        <v>0</v>
      </c>
      <c r="I320" s="810">
        <f t="shared" si="85"/>
        <v>0</v>
      </c>
      <c r="J320" s="38" t="b">
        <f>A320=未审报表!A320</f>
        <v>1</v>
      </c>
      <c r="K320" s="75" t="b">
        <f>审定报表!A320=TB!A320</f>
        <v>1</v>
      </c>
    </row>
    <row r="321" spans="1:11">
      <c r="A321" s="830">
        <f>未审报表!A321</f>
        <v>0</v>
      </c>
      <c r="B321" s="816"/>
      <c r="C321" s="816"/>
      <c r="D321" s="816"/>
      <c r="E321" s="816"/>
      <c r="F321" s="816"/>
      <c r="G321" s="816"/>
      <c r="H321" s="816"/>
      <c r="I321" s="831"/>
      <c r="J321" s="38" t="b">
        <f>A321=未审报表!A321</f>
        <v>1</v>
      </c>
      <c r="K321" s="75" t="b">
        <f>审定报表!A321=TB!A321</f>
        <v>1</v>
      </c>
    </row>
    <row r="322" spans="1:11">
      <c r="A322" s="828" t="str">
        <f>未审报表!A322</f>
        <v xml:space="preserve">      投资活动现金流出小计</v>
      </c>
      <c r="B322" s="812">
        <f>未审报表!C322</f>
        <v>0</v>
      </c>
      <c r="C322" s="812">
        <f>SUM(C316:C321)</f>
        <v>0</v>
      </c>
      <c r="D322" s="812">
        <f t="shared" ref="D322:H322" si="86">SUM(D316:D321)</f>
        <v>0</v>
      </c>
      <c r="E322" s="812">
        <f t="shared" si="86"/>
        <v>0</v>
      </c>
      <c r="F322" s="812">
        <f t="shared" si="86"/>
        <v>0</v>
      </c>
      <c r="G322" s="812">
        <f t="shared" si="86"/>
        <v>0</v>
      </c>
      <c r="H322" s="812">
        <f t="shared" si="86"/>
        <v>0</v>
      </c>
      <c r="I322" s="812">
        <f>B322+D322+F322+H322-G322-E322-C322</f>
        <v>0</v>
      </c>
      <c r="J322" s="38" t="b">
        <f>A322=未审报表!A322</f>
        <v>1</v>
      </c>
      <c r="K322" s="75" t="b">
        <f>审定报表!A322=TB!A322</f>
        <v>1</v>
      </c>
    </row>
    <row r="323" spans="1:11">
      <c r="A323" s="828" t="str">
        <f>未审报表!A323</f>
        <v xml:space="preserve">     投资活动产生的现金流量净额</v>
      </c>
      <c r="B323" s="812">
        <f>未审报表!C323</f>
        <v>0</v>
      </c>
      <c r="C323" s="812">
        <f>C315-C322</f>
        <v>0</v>
      </c>
      <c r="D323" s="812">
        <f t="shared" ref="D323:H323" si="87">D315-D322</f>
        <v>0</v>
      </c>
      <c r="E323" s="812">
        <f t="shared" si="87"/>
        <v>0</v>
      </c>
      <c r="F323" s="812">
        <f t="shared" si="87"/>
        <v>0</v>
      </c>
      <c r="G323" s="812">
        <f t="shared" si="87"/>
        <v>0</v>
      </c>
      <c r="H323" s="812">
        <f t="shared" si="87"/>
        <v>0</v>
      </c>
      <c r="I323" s="812">
        <f>B323+C323+E323+G323-H323-F323-D323</f>
        <v>0</v>
      </c>
      <c r="J323" s="38" t="b">
        <f>A323=未审报表!A323</f>
        <v>1</v>
      </c>
      <c r="K323" s="75" t="b">
        <f>审定报表!A323=TB!A323</f>
        <v>1</v>
      </c>
    </row>
    <row r="324" spans="1:11">
      <c r="A324" s="830" t="str">
        <f>未审报表!A324</f>
        <v>三、筹资活动产生的现金流量</v>
      </c>
      <c r="B324" s="816"/>
      <c r="C324" s="816"/>
      <c r="D324" s="816"/>
      <c r="E324" s="816"/>
      <c r="F324" s="816"/>
      <c r="G324" s="816"/>
      <c r="H324" s="816"/>
      <c r="I324" s="831"/>
      <c r="J324" s="38" t="b">
        <f>A324=未审报表!A324</f>
        <v>1</v>
      </c>
      <c r="K324" s="75" t="b">
        <f>审定报表!A324=TB!A324</f>
        <v>1</v>
      </c>
    </row>
    <row r="325" spans="1:11">
      <c r="A325" s="830" t="str">
        <f>未审报表!A325</f>
        <v xml:space="preserve">     吸收投资所收到的现金</v>
      </c>
      <c r="B325" s="810">
        <f>未审报表!C325</f>
        <v>0</v>
      </c>
      <c r="C325" s="810">
        <f>SUMIFS(调整事项汇总表!$I$7:$I$10020,调整事项汇总表!$D$7:$D$10020,"账项调整",调整事项汇总表!$E$7:$E$10020,IF(OR(MID(TRIM($A325),2,1)="：",MID(TRIM($A325),2,1)="."),REPLACEB(TRIM($A325),1,2,""),TRIM($A325)))</f>
        <v>0</v>
      </c>
      <c r="D325" s="810">
        <f>SUMIFS(调整事项汇总表!$J$7:$J$10020,调整事项汇总表!$D$7:$D$10020,"账项调整",调整事项汇总表!$E$7:$E$10020,IF(OR(MID(TRIM($A325),2,1)="：",MID(TRIM($A325),2,1)="."),REPLACEB(TRIM($A325),1,2,""),TRIM($A325)))</f>
        <v>0</v>
      </c>
      <c r="E325" s="810">
        <f>SUMIFS(调整事项汇总表!$I$7:$I$10020,调整事项汇总表!$D$7:$D$10020,"报表调整",调整事项汇总表!$E$7:$E$10020,IF(OR(MID(TRIM($A325),2,1)="：",MID(TRIM($A325),2,1)="."),REPLACEB(TRIM($A325),1,2,""),TRIM($A325)))</f>
        <v>0</v>
      </c>
      <c r="F325" s="810">
        <f>SUMIFS(调整事项汇总表!$J$7:$J$10020,调整事项汇总表!$D$7:$D$10020,"报表调整",调整事项汇总表!$E$7:$E$10020,IF(OR(MID(TRIM($A325),2,1)="：",MID(TRIM($A325),2,1)="."),REPLACEB(TRIM($A325),1,2,""),TRIM($A325)))</f>
        <v>0</v>
      </c>
      <c r="G325" s="810">
        <f>SUMIFS(调整事项汇总表!$I$7:$I$10020,调整事项汇总表!$D$7:$D$10020,"其他",调整事项汇总表!$E$7:$E$10020,IF(OR(MID(TRIM($A325),2,1)="：",MID(TRIM($A325),2,1)="."),REPLACEB(TRIM($A325),1,2,""),TRIM($A325)))</f>
        <v>0</v>
      </c>
      <c r="H325" s="810">
        <f>SUMIFS(调整事项汇总表!$I$7:$I$10020,调整事项汇总表!$D$7:$D$10020,"其他",调整事项汇总表!$E$7:$E$10020,IF(OR(MID(TRIM($A325),2,1)="：",MID(TRIM($A325),2,1)="."),REPLACEB(TRIM($A325),1,2,""),TRIM($A325)))</f>
        <v>0</v>
      </c>
      <c r="I325" s="810">
        <f>B325+C325+E325+G325-H325-F325-D325</f>
        <v>0</v>
      </c>
      <c r="J325" s="38" t="b">
        <f>A325=未审报表!A325</f>
        <v>1</v>
      </c>
      <c r="K325" s="75" t="b">
        <f>审定报表!A325=TB!A325</f>
        <v>1</v>
      </c>
    </row>
    <row r="326" spans="1:11">
      <c r="A326" s="830" t="str">
        <f>未审报表!A326</f>
        <v xml:space="preserve">     其中：子公司吸收少数股东投资收到的现金</v>
      </c>
      <c r="B326" s="810">
        <f>未审报表!C326</f>
        <v>0</v>
      </c>
      <c r="C326" s="810">
        <f>SUMIFS(调整事项汇总表!$I$7:$I$10020,调整事项汇总表!$D$7:$D$10020,"账项调整",调整事项汇总表!$E$7:$E$10020,IF(OR(MID(TRIM($A326),2,1)="：",MID(TRIM($A326),2,1)="."),REPLACEB(TRIM($A326),1,2,""),TRIM($A326)))</f>
        <v>0</v>
      </c>
      <c r="D326" s="810">
        <f>SUMIFS(调整事项汇总表!$J$7:$J$10020,调整事项汇总表!$D$7:$D$10020,"账项调整",调整事项汇总表!$E$7:$E$10020,IF(OR(MID(TRIM($A326),2,1)="：",MID(TRIM($A326),2,1)="."),REPLACEB(TRIM($A326),1,2,""),TRIM($A326)))</f>
        <v>0</v>
      </c>
      <c r="E326" s="810">
        <f>SUMIFS(调整事项汇总表!$I$7:$I$10020,调整事项汇总表!$D$7:$D$10020,"报表调整",调整事项汇总表!$E$7:$E$10020,IF(OR(MID(TRIM($A326),2,1)="：",MID(TRIM($A326),2,1)="."),REPLACEB(TRIM($A326),1,2,""),TRIM($A326)))</f>
        <v>0</v>
      </c>
      <c r="F326" s="810">
        <f>SUMIFS(调整事项汇总表!$J$7:$J$10020,调整事项汇总表!$D$7:$D$10020,"报表调整",调整事项汇总表!$E$7:$E$10020,IF(OR(MID(TRIM($A326),2,1)="：",MID(TRIM($A326),2,1)="."),REPLACEB(TRIM($A326),1,2,""),TRIM($A326)))</f>
        <v>0</v>
      </c>
      <c r="G326" s="810">
        <f>SUMIFS(调整事项汇总表!$I$7:$I$10020,调整事项汇总表!$D$7:$D$10020,"其他",调整事项汇总表!$E$7:$E$10020,IF(OR(MID(TRIM($A326),2,1)="：",MID(TRIM($A326),2,1)="."),REPLACEB(TRIM($A326),1,2,""),TRIM($A326)))</f>
        <v>0</v>
      </c>
      <c r="H326" s="810">
        <f>SUMIFS(调整事项汇总表!$I$7:$I$10020,调整事项汇总表!$D$7:$D$10020,"其他",调整事项汇总表!$E$7:$E$10020,IF(OR(MID(TRIM($A326),2,1)="：",MID(TRIM($A326),2,1)="."),REPLACEB(TRIM($A326),1,2,""),TRIM($A326)))</f>
        <v>0</v>
      </c>
      <c r="I326" s="810">
        <f t="shared" ref="I326:I329" si="88">B326+C326+E326+G326-H326-F326-D326</f>
        <v>0</v>
      </c>
      <c r="J326" s="38" t="b">
        <f>A326=未审报表!A326</f>
        <v>1</v>
      </c>
      <c r="K326" s="75" t="b">
        <f>审定报表!A326=TB!A326</f>
        <v>1</v>
      </c>
    </row>
    <row r="327" spans="1:11">
      <c r="A327" s="830" t="str">
        <f>未审报表!A327</f>
        <v xml:space="preserve">     取得借款收到的现金</v>
      </c>
      <c r="B327" s="810">
        <f>未审报表!C327</f>
        <v>0</v>
      </c>
      <c r="C327" s="810">
        <f>SUMIFS(调整事项汇总表!$I$7:$I$10020,调整事项汇总表!$D$7:$D$10020,"账项调整",调整事项汇总表!$E$7:$E$10020,IF(OR(MID(TRIM($A327),2,1)="：",MID(TRIM($A327),2,1)="."),REPLACEB(TRIM($A327),1,2,""),TRIM($A327)))</f>
        <v>0</v>
      </c>
      <c r="D327" s="810">
        <f>SUMIFS(调整事项汇总表!$J$7:$J$10020,调整事项汇总表!$D$7:$D$10020,"账项调整",调整事项汇总表!$E$7:$E$10020,IF(OR(MID(TRIM($A327),2,1)="：",MID(TRIM($A327),2,1)="."),REPLACEB(TRIM($A327),1,2,""),TRIM($A327)))</f>
        <v>0</v>
      </c>
      <c r="E327" s="810">
        <f>SUMIFS(调整事项汇总表!$I$7:$I$10020,调整事项汇总表!$D$7:$D$10020,"报表调整",调整事项汇总表!$E$7:$E$10020,IF(OR(MID(TRIM($A327),2,1)="：",MID(TRIM($A327),2,1)="."),REPLACEB(TRIM($A327),1,2,""),TRIM($A327)))</f>
        <v>0</v>
      </c>
      <c r="F327" s="810">
        <f>SUMIFS(调整事项汇总表!$J$7:$J$10020,调整事项汇总表!$D$7:$D$10020,"报表调整",调整事项汇总表!$E$7:$E$10020,IF(OR(MID(TRIM($A327),2,1)="：",MID(TRIM($A327),2,1)="."),REPLACEB(TRIM($A327),1,2,""),TRIM($A327)))</f>
        <v>0</v>
      </c>
      <c r="G327" s="810">
        <f>SUMIFS(调整事项汇总表!$I$7:$I$10020,调整事项汇总表!$D$7:$D$10020,"其他",调整事项汇总表!$E$7:$E$10020,IF(OR(MID(TRIM($A327),2,1)="：",MID(TRIM($A327),2,1)="."),REPLACEB(TRIM($A327),1,2,""),TRIM($A327)))</f>
        <v>0</v>
      </c>
      <c r="H327" s="810">
        <f>SUMIFS(调整事项汇总表!$I$7:$I$10020,调整事项汇总表!$D$7:$D$10020,"其他",调整事项汇总表!$E$7:$E$10020,IF(OR(MID(TRIM($A327),2,1)="：",MID(TRIM($A327),2,1)="."),REPLACEB(TRIM($A327),1,2,""),TRIM($A327)))</f>
        <v>0</v>
      </c>
      <c r="I327" s="810">
        <f t="shared" si="88"/>
        <v>0</v>
      </c>
      <c r="J327" s="38" t="b">
        <f>A327=未审报表!A327</f>
        <v>1</v>
      </c>
      <c r="K327" s="75" t="b">
        <f>审定报表!A327=TB!A327</f>
        <v>1</v>
      </c>
    </row>
    <row r="328" spans="1:11">
      <c r="A328" s="830" t="str">
        <f>未审报表!A328</f>
        <v xml:space="preserve">     发行债券收到的现金</v>
      </c>
      <c r="B328" s="810">
        <f>未审报表!C328</f>
        <v>0</v>
      </c>
      <c r="C328" s="810">
        <f>SUMIFS(调整事项汇总表!$I$7:$I$10020,调整事项汇总表!$D$7:$D$10020,"账项调整",调整事项汇总表!$E$7:$E$10020,IF(OR(MID(TRIM($A328),2,1)="：",MID(TRIM($A328),2,1)="."),REPLACEB(TRIM($A328),1,2,""),TRIM($A328)))</f>
        <v>0</v>
      </c>
      <c r="D328" s="810">
        <f>SUMIFS(调整事项汇总表!$J$7:$J$10020,调整事项汇总表!$D$7:$D$10020,"账项调整",调整事项汇总表!$E$7:$E$10020,IF(OR(MID(TRIM($A328),2,1)="：",MID(TRIM($A328),2,1)="."),REPLACEB(TRIM($A328),1,2,""),TRIM($A328)))</f>
        <v>0</v>
      </c>
      <c r="E328" s="810">
        <f>SUMIFS(调整事项汇总表!$I$7:$I$10020,调整事项汇总表!$D$7:$D$10020,"报表调整",调整事项汇总表!$E$7:$E$10020,IF(OR(MID(TRIM($A328),2,1)="：",MID(TRIM($A328),2,1)="."),REPLACEB(TRIM($A328),1,2,""),TRIM($A328)))</f>
        <v>0</v>
      </c>
      <c r="F328" s="810">
        <f>SUMIFS(调整事项汇总表!$J$7:$J$10020,调整事项汇总表!$D$7:$D$10020,"报表调整",调整事项汇总表!$E$7:$E$10020,IF(OR(MID(TRIM($A328),2,1)="：",MID(TRIM($A328),2,1)="."),REPLACEB(TRIM($A328),1,2,""),TRIM($A328)))</f>
        <v>0</v>
      </c>
      <c r="G328" s="810">
        <f>SUMIFS(调整事项汇总表!$I$7:$I$10020,调整事项汇总表!$D$7:$D$10020,"其他",调整事项汇总表!$E$7:$E$10020,IF(OR(MID(TRIM($A328),2,1)="：",MID(TRIM($A328),2,1)="."),REPLACEB(TRIM($A328),1,2,""),TRIM($A328)))</f>
        <v>0</v>
      </c>
      <c r="H328" s="810">
        <f>SUMIFS(调整事项汇总表!$I$7:$I$10020,调整事项汇总表!$D$7:$D$10020,"其他",调整事项汇总表!$E$7:$E$10020,IF(OR(MID(TRIM($A328),2,1)="：",MID(TRIM($A328),2,1)="."),REPLACEB(TRIM($A328),1,2,""),TRIM($A328)))</f>
        <v>0</v>
      </c>
      <c r="I328" s="810">
        <f t="shared" si="88"/>
        <v>0</v>
      </c>
      <c r="J328" s="38" t="b">
        <f>A328=未审报表!A328</f>
        <v>1</v>
      </c>
      <c r="K328" s="75" t="b">
        <f>审定报表!A328=TB!A328</f>
        <v>1</v>
      </c>
    </row>
    <row r="329" spans="1:11">
      <c r="A329" s="830" t="str">
        <f>未审报表!A329</f>
        <v xml:space="preserve">     收到的其他与筹资活动有关的现金</v>
      </c>
      <c r="B329" s="810">
        <f>未审报表!C329</f>
        <v>0</v>
      </c>
      <c r="C329" s="810">
        <f>SUMIFS(调整事项汇总表!$I$7:$I$10020,调整事项汇总表!$D$7:$D$10020,"账项调整",调整事项汇总表!$E$7:$E$10020,IF(OR(MID(TRIM($A329),2,1)="：",MID(TRIM($A329),2,1)="."),REPLACEB(TRIM($A329),1,2,""),TRIM($A329)))</f>
        <v>0</v>
      </c>
      <c r="D329" s="810">
        <f>SUMIFS(调整事项汇总表!$J$7:$J$10020,调整事项汇总表!$D$7:$D$10020,"账项调整",调整事项汇总表!$E$7:$E$10020,IF(OR(MID(TRIM($A329),2,1)="：",MID(TRIM($A329),2,1)="."),REPLACEB(TRIM($A329),1,2,""),TRIM($A329)))</f>
        <v>0</v>
      </c>
      <c r="E329" s="810">
        <f>SUMIFS(调整事项汇总表!$I$7:$I$10020,调整事项汇总表!$D$7:$D$10020,"报表调整",调整事项汇总表!$E$7:$E$10020,IF(OR(MID(TRIM($A329),2,1)="：",MID(TRIM($A329),2,1)="."),REPLACEB(TRIM($A329),1,2,""),TRIM($A329)))</f>
        <v>0</v>
      </c>
      <c r="F329" s="810">
        <f>SUMIFS(调整事项汇总表!$J$7:$J$10020,调整事项汇总表!$D$7:$D$10020,"报表调整",调整事项汇总表!$E$7:$E$10020,IF(OR(MID(TRIM($A329),2,1)="：",MID(TRIM($A329),2,1)="."),REPLACEB(TRIM($A329),1,2,""),TRIM($A329)))</f>
        <v>0</v>
      </c>
      <c r="G329" s="810">
        <f>SUMIFS(调整事项汇总表!$I$7:$I$10020,调整事项汇总表!$D$7:$D$10020,"其他",调整事项汇总表!$E$7:$E$10020,IF(OR(MID(TRIM($A329),2,1)="：",MID(TRIM($A329),2,1)="."),REPLACEB(TRIM($A329),1,2,""),TRIM($A329)))</f>
        <v>0</v>
      </c>
      <c r="H329" s="810">
        <f>SUMIFS(调整事项汇总表!$I$7:$I$10020,调整事项汇总表!$D$7:$D$10020,"其他",调整事项汇总表!$E$7:$E$10020,IF(OR(MID(TRIM($A329),2,1)="：",MID(TRIM($A329),2,1)="."),REPLACEB(TRIM($A329),1,2,""),TRIM($A329)))</f>
        <v>0</v>
      </c>
      <c r="I329" s="810">
        <f t="shared" si="88"/>
        <v>0</v>
      </c>
      <c r="J329" s="38" t="b">
        <f>A329=未审报表!A329</f>
        <v>1</v>
      </c>
      <c r="K329" s="75" t="b">
        <f>审定报表!A329=TB!A329</f>
        <v>1</v>
      </c>
    </row>
    <row r="330" spans="1:11">
      <c r="A330" s="830">
        <f>未审报表!A330</f>
        <v>0</v>
      </c>
      <c r="B330" s="816"/>
      <c r="C330" s="816"/>
      <c r="D330" s="816"/>
      <c r="E330" s="816"/>
      <c r="F330" s="816"/>
      <c r="G330" s="816"/>
      <c r="H330" s="816"/>
      <c r="I330" s="831"/>
      <c r="J330" s="38" t="b">
        <f>A330=未审报表!A330</f>
        <v>1</v>
      </c>
      <c r="K330" s="75" t="b">
        <f>审定报表!A330=TB!A330</f>
        <v>1</v>
      </c>
    </row>
    <row r="331" spans="1:11">
      <c r="A331" s="828" t="str">
        <f>未审报表!A331</f>
        <v xml:space="preserve">     筹资活动现金流入小计</v>
      </c>
      <c r="B331" s="812">
        <f>未审报表!C331</f>
        <v>0</v>
      </c>
      <c r="C331" s="812">
        <f>SUM(C325:C330)</f>
        <v>0</v>
      </c>
      <c r="D331" s="812">
        <f t="shared" ref="D331:H331" si="89">SUM(D325:D330)</f>
        <v>0</v>
      </c>
      <c r="E331" s="812">
        <f t="shared" si="89"/>
        <v>0</v>
      </c>
      <c r="F331" s="812">
        <f t="shared" si="89"/>
        <v>0</v>
      </c>
      <c r="G331" s="812">
        <f t="shared" si="89"/>
        <v>0</v>
      </c>
      <c r="H331" s="812">
        <f t="shared" si="89"/>
        <v>0</v>
      </c>
      <c r="I331" s="812">
        <f>B331+C331+E331+G331-H331-F331-D331</f>
        <v>0</v>
      </c>
      <c r="J331" s="38" t="b">
        <f>A331=未审报表!A331</f>
        <v>1</v>
      </c>
      <c r="K331" s="75" t="b">
        <f>审定报表!A331=TB!A331</f>
        <v>1</v>
      </c>
    </row>
    <row r="332" spans="1:11">
      <c r="A332" s="830" t="str">
        <f>未审报表!A332</f>
        <v xml:space="preserve">     偿还债务支付的现金</v>
      </c>
      <c r="B332" s="810">
        <f>未审报表!C332</f>
        <v>0</v>
      </c>
      <c r="C332" s="810">
        <f>SUMIFS(调整事项汇总表!$I$7:$I$10020,调整事项汇总表!$D$7:$D$10020,"账项调整",调整事项汇总表!$E$7:$E$10020,IF(OR(MID(TRIM($A332),2,1)="：",MID(TRIM($A332),2,1)="."),REPLACEB(TRIM($A332),1,2,""),TRIM($A332)))</f>
        <v>0</v>
      </c>
      <c r="D332" s="810">
        <f>SUMIFS(调整事项汇总表!$J$7:$J$10020,调整事项汇总表!$D$7:$D$10020,"账项调整",调整事项汇总表!$E$7:$E$10020,IF(OR(MID(TRIM($A332),2,1)="：",MID(TRIM($A332),2,1)="."),REPLACEB(TRIM($A332),1,2,""),TRIM($A332)))</f>
        <v>0</v>
      </c>
      <c r="E332" s="810">
        <f>SUMIFS(调整事项汇总表!$I$7:$I$10020,调整事项汇总表!$D$7:$D$10020,"报表调整",调整事项汇总表!$E$7:$E$10020,IF(OR(MID(TRIM($A332),2,1)="：",MID(TRIM($A332),2,1)="."),REPLACEB(TRIM($A332),1,2,""),TRIM($A332)))</f>
        <v>0</v>
      </c>
      <c r="F332" s="810">
        <f>SUMIFS(调整事项汇总表!$J$7:$J$10020,调整事项汇总表!$D$7:$D$10020,"报表调整",调整事项汇总表!$E$7:$E$10020,IF(OR(MID(TRIM($A332),2,1)="：",MID(TRIM($A332),2,1)="."),REPLACEB(TRIM($A332),1,2,""),TRIM($A332)))</f>
        <v>0</v>
      </c>
      <c r="G332" s="810">
        <f>SUMIFS(调整事项汇总表!$I$7:$I$10020,调整事项汇总表!$D$7:$D$10020,"其他",调整事项汇总表!$E$7:$E$10020,IF(OR(MID(TRIM($A332),2,1)="：",MID(TRIM($A332),2,1)="."),REPLACEB(TRIM($A332),1,2,""),TRIM($A332)))</f>
        <v>0</v>
      </c>
      <c r="H332" s="810">
        <f>SUMIFS(调整事项汇总表!$I$7:$I$10020,调整事项汇总表!$D$7:$D$10020,"其他",调整事项汇总表!$E$7:$E$10020,IF(OR(MID(TRIM($A332),2,1)="：",MID(TRIM($A332),2,1)="."),REPLACEB(TRIM($A332),1,2,""),TRIM($A332)))</f>
        <v>0</v>
      </c>
      <c r="I332" s="810">
        <f>B332+C332+E332+G332-H332-F332-D332</f>
        <v>0</v>
      </c>
      <c r="J332" s="38" t="b">
        <f>A332=未审报表!A332</f>
        <v>1</v>
      </c>
      <c r="K332" s="75" t="b">
        <f>审定报表!A332=TB!A332</f>
        <v>1</v>
      </c>
    </row>
    <row r="333" spans="1:11">
      <c r="A333" s="830" t="str">
        <f>未审报表!A333</f>
        <v xml:space="preserve">     分配股利、利润或偿付利息支付的现金</v>
      </c>
      <c r="B333" s="810">
        <f>未审报表!C333</f>
        <v>0</v>
      </c>
      <c r="C333" s="810">
        <f>SUMIFS(调整事项汇总表!$I$7:$I$10020,调整事项汇总表!$D$7:$D$10020,"账项调整",调整事项汇总表!$E$7:$E$10020,IF(OR(MID(TRIM($A333),2,1)="：",MID(TRIM($A333),2,1)="."),REPLACEB(TRIM($A333),1,2,""),TRIM($A333)))</f>
        <v>0</v>
      </c>
      <c r="D333" s="810">
        <f>SUMIFS(调整事项汇总表!$J$7:$J$10020,调整事项汇总表!$D$7:$D$10020,"账项调整",调整事项汇总表!$E$7:$E$10020,IF(OR(MID(TRIM($A333),2,1)="：",MID(TRIM($A333),2,1)="."),REPLACEB(TRIM($A333),1,2,""),TRIM($A333)))</f>
        <v>0</v>
      </c>
      <c r="E333" s="810">
        <f>SUMIFS(调整事项汇总表!$I$7:$I$10020,调整事项汇总表!$D$7:$D$10020,"报表调整",调整事项汇总表!$E$7:$E$10020,IF(OR(MID(TRIM($A333),2,1)="：",MID(TRIM($A333),2,1)="."),REPLACEB(TRIM($A333),1,2,""),TRIM($A333)))</f>
        <v>0</v>
      </c>
      <c r="F333" s="810">
        <f>SUMIFS(调整事项汇总表!$J$7:$J$10020,调整事项汇总表!$D$7:$D$10020,"报表调整",调整事项汇总表!$E$7:$E$10020,IF(OR(MID(TRIM($A333),2,1)="：",MID(TRIM($A333),2,1)="."),REPLACEB(TRIM($A333),1,2,""),TRIM($A333)))</f>
        <v>0</v>
      </c>
      <c r="G333" s="810">
        <f>SUMIFS(调整事项汇总表!$I$7:$I$10020,调整事项汇总表!$D$7:$D$10020,"其他",调整事项汇总表!$E$7:$E$10020,IF(OR(MID(TRIM($A333),2,1)="：",MID(TRIM($A333),2,1)="."),REPLACEB(TRIM($A333),1,2,""),TRIM($A333)))</f>
        <v>0</v>
      </c>
      <c r="H333" s="810">
        <f>SUMIFS(调整事项汇总表!$I$7:$I$10020,调整事项汇总表!$D$7:$D$10020,"其他",调整事项汇总表!$E$7:$E$10020,IF(OR(MID(TRIM($A333),2,1)="：",MID(TRIM($A333),2,1)="."),REPLACEB(TRIM($A333),1,2,""),TRIM($A333)))</f>
        <v>0</v>
      </c>
      <c r="I333" s="810">
        <f t="shared" ref="I333:I337" si="90">B333+C333+E333+G333-H333-F333-D333</f>
        <v>0</v>
      </c>
      <c r="J333" s="38" t="b">
        <f>A333=未审报表!A333</f>
        <v>1</v>
      </c>
      <c r="K333" s="75" t="b">
        <f>审定报表!A333=TB!A333</f>
        <v>1</v>
      </c>
    </row>
    <row r="334" spans="1:11">
      <c r="A334" s="830" t="str">
        <f>未审报表!A334</f>
        <v xml:space="preserve">      其中：子公司支付给少数股东的股利、利润</v>
      </c>
      <c r="B334" s="810">
        <f>未审报表!C334</f>
        <v>0</v>
      </c>
      <c r="C334" s="810">
        <f>SUMIFS(调整事项汇总表!$I$7:$I$10020,调整事项汇总表!$D$7:$D$10020,"账项调整",调整事项汇总表!$E$7:$E$10020,IF(OR(MID(TRIM($A334),2,1)="：",MID(TRIM($A334),2,1)="."),REPLACEB(TRIM($A334),1,2,""),TRIM($A334)))</f>
        <v>0</v>
      </c>
      <c r="D334" s="810">
        <f>SUMIFS(调整事项汇总表!$J$7:$J$10020,调整事项汇总表!$D$7:$D$10020,"账项调整",调整事项汇总表!$E$7:$E$10020,IF(OR(MID(TRIM($A334),2,1)="：",MID(TRIM($A334),2,1)="."),REPLACEB(TRIM($A334),1,2,""),TRIM($A334)))</f>
        <v>0</v>
      </c>
      <c r="E334" s="810">
        <f>SUMIFS(调整事项汇总表!$I$7:$I$10020,调整事项汇总表!$D$7:$D$10020,"报表调整",调整事项汇总表!$E$7:$E$10020,IF(OR(MID(TRIM($A334),2,1)="：",MID(TRIM($A334),2,1)="."),REPLACEB(TRIM($A334),1,2,""),TRIM($A334)))</f>
        <v>0</v>
      </c>
      <c r="F334" s="810">
        <f>SUMIFS(调整事项汇总表!$J$7:$J$10020,调整事项汇总表!$D$7:$D$10020,"报表调整",调整事项汇总表!$E$7:$E$10020,IF(OR(MID(TRIM($A334),2,1)="：",MID(TRIM($A334),2,1)="."),REPLACEB(TRIM($A334),1,2,""),TRIM($A334)))</f>
        <v>0</v>
      </c>
      <c r="G334" s="810">
        <f>SUMIFS(调整事项汇总表!$I$7:$I$10020,调整事项汇总表!$D$7:$D$10020,"其他",调整事项汇总表!$E$7:$E$10020,IF(OR(MID(TRIM($A334),2,1)="：",MID(TRIM($A334),2,1)="."),REPLACEB(TRIM($A334),1,2,""),TRIM($A334)))</f>
        <v>0</v>
      </c>
      <c r="H334" s="810">
        <f>SUMIFS(调整事项汇总表!$I$7:$I$10020,调整事项汇总表!$D$7:$D$10020,"其他",调整事项汇总表!$E$7:$E$10020,IF(OR(MID(TRIM($A334),2,1)="：",MID(TRIM($A334),2,1)="."),REPLACEB(TRIM($A334),1,2,""),TRIM($A334)))</f>
        <v>0</v>
      </c>
      <c r="I334" s="810">
        <f t="shared" si="90"/>
        <v>0</v>
      </c>
      <c r="J334" s="38" t="b">
        <f>A334=未审报表!A334</f>
        <v>1</v>
      </c>
      <c r="K334" s="75" t="b">
        <f>审定报表!A334=TB!A334</f>
        <v>1</v>
      </c>
    </row>
    <row r="335" spans="1:11">
      <c r="A335" s="830" t="str">
        <f>未审报表!A335</f>
        <v xml:space="preserve">     支付其他与筹资活动有关的现金</v>
      </c>
      <c r="B335" s="810">
        <f>未审报表!C335</f>
        <v>0</v>
      </c>
      <c r="C335" s="810">
        <f>SUMIFS(调整事项汇总表!$I$7:$I$10020,调整事项汇总表!$D$7:$D$10020,"账项调整",调整事项汇总表!$E$7:$E$10020,IF(OR(MID(TRIM($A335),2,1)="：",MID(TRIM($A335),2,1)="."),REPLACEB(TRIM($A335),1,2,""),TRIM($A335)))</f>
        <v>0</v>
      </c>
      <c r="D335" s="810">
        <f>SUMIFS(调整事项汇总表!$J$7:$J$10020,调整事项汇总表!$D$7:$D$10020,"账项调整",调整事项汇总表!$E$7:$E$10020,IF(OR(MID(TRIM($A335),2,1)="：",MID(TRIM($A335),2,1)="."),REPLACEB(TRIM($A335),1,2,""),TRIM($A335)))</f>
        <v>0</v>
      </c>
      <c r="E335" s="810">
        <f>SUMIFS(调整事项汇总表!$I$7:$I$10020,调整事项汇总表!$D$7:$D$10020,"报表调整",调整事项汇总表!$E$7:$E$10020,IF(OR(MID(TRIM($A335),2,1)="：",MID(TRIM($A335),2,1)="."),REPLACEB(TRIM($A335),1,2,""),TRIM($A335)))</f>
        <v>0</v>
      </c>
      <c r="F335" s="810">
        <f>SUMIFS(调整事项汇总表!$J$7:$J$10020,调整事项汇总表!$D$7:$D$10020,"报表调整",调整事项汇总表!$E$7:$E$10020,IF(OR(MID(TRIM($A335),2,1)="：",MID(TRIM($A335),2,1)="."),REPLACEB(TRIM($A335),1,2,""),TRIM($A335)))</f>
        <v>0</v>
      </c>
      <c r="G335" s="810">
        <f>SUMIFS(调整事项汇总表!$I$7:$I$10020,调整事项汇总表!$D$7:$D$10020,"其他",调整事项汇总表!$E$7:$E$10020,IF(OR(MID(TRIM($A335),2,1)="：",MID(TRIM($A335),2,1)="."),REPLACEB(TRIM($A335),1,2,""),TRIM($A335)))</f>
        <v>0</v>
      </c>
      <c r="H335" s="810">
        <f>SUMIFS(调整事项汇总表!$I$7:$I$10020,调整事项汇总表!$D$7:$D$10020,"其他",调整事项汇总表!$E$7:$E$10020,IF(OR(MID(TRIM($A335),2,1)="：",MID(TRIM($A335),2,1)="."),REPLACEB(TRIM($A335),1,2,""),TRIM($A335)))</f>
        <v>0</v>
      </c>
      <c r="I335" s="810">
        <f t="shared" si="90"/>
        <v>0</v>
      </c>
      <c r="J335" s="38" t="b">
        <f>A335=未审报表!A335</f>
        <v>1</v>
      </c>
      <c r="K335" s="75" t="b">
        <f>审定报表!A335=TB!A335</f>
        <v>1</v>
      </c>
    </row>
    <row r="336" spans="1:11">
      <c r="A336" s="830" t="str">
        <f>未审报表!A336</f>
        <v xml:space="preserve">      其中：子公司减资支付给少数股东的现金</v>
      </c>
      <c r="B336" s="810">
        <f>未审报表!C336</f>
        <v>0</v>
      </c>
      <c r="C336" s="810">
        <f>SUMIFS(调整事项汇总表!$I$7:$I$10020,调整事项汇总表!$D$7:$D$10020,"账项调整",调整事项汇总表!$E$7:$E$10020,IF(OR(MID(TRIM($A336),2,1)="：",MID(TRIM($A336),2,1)="."),REPLACEB(TRIM($A336),1,2,""),TRIM($A336)))</f>
        <v>0</v>
      </c>
      <c r="D336" s="810">
        <f>SUMIFS(调整事项汇总表!$J$7:$J$10020,调整事项汇总表!$D$7:$D$10020,"账项调整",调整事项汇总表!$E$7:$E$10020,IF(OR(MID(TRIM($A336),2,1)="：",MID(TRIM($A336),2,1)="."),REPLACEB(TRIM($A336),1,2,""),TRIM($A336)))</f>
        <v>0</v>
      </c>
      <c r="E336" s="810">
        <f>SUMIFS(调整事项汇总表!$I$7:$I$10020,调整事项汇总表!$D$7:$D$10020,"报表调整",调整事项汇总表!$E$7:$E$10020,IF(OR(MID(TRIM($A336),2,1)="：",MID(TRIM($A336),2,1)="."),REPLACEB(TRIM($A336),1,2,""),TRIM($A336)))</f>
        <v>0</v>
      </c>
      <c r="F336" s="810">
        <f>SUMIFS(调整事项汇总表!$J$7:$J$10020,调整事项汇总表!$D$7:$D$10020,"报表调整",调整事项汇总表!$E$7:$E$10020,IF(OR(MID(TRIM($A336),2,1)="：",MID(TRIM($A336),2,1)="."),REPLACEB(TRIM($A336),1,2,""),TRIM($A336)))</f>
        <v>0</v>
      </c>
      <c r="G336" s="810">
        <f>SUMIFS(调整事项汇总表!$I$7:$I$10020,调整事项汇总表!$D$7:$D$10020,"其他",调整事项汇总表!$E$7:$E$10020,IF(OR(MID(TRIM($A336),2,1)="：",MID(TRIM($A336),2,1)="."),REPLACEB(TRIM($A336),1,2,""),TRIM($A336)))</f>
        <v>0</v>
      </c>
      <c r="H336" s="810">
        <f>SUMIFS(调整事项汇总表!$I$7:$I$10020,调整事项汇总表!$D$7:$D$10020,"其他",调整事项汇总表!$E$7:$E$10020,IF(OR(MID(TRIM($A336),2,1)="：",MID(TRIM($A336),2,1)="."),REPLACEB(TRIM($A336),1,2,""),TRIM($A336)))</f>
        <v>0</v>
      </c>
      <c r="I336" s="810">
        <f t="shared" si="90"/>
        <v>0</v>
      </c>
      <c r="J336" s="38" t="b">
        <f>A336=未审报表!A336</f>
        <v>1</v>
      </c>
      <c r="K336" s="75" t="b">
        <f>审定报表!A336=TB!A336</f>
        <v>1</v>
      </c>
    </row>
    <row r="337" spans="1:11">
      <c r="A337" s="828" t="str">
        <f>未审报表!A337</f>
        <v xml:space="preserve">     筹资活动现金流出小计</v>
      </c>
      <c r="B337" s="812">
        <f>未审报表!C337</f>
        <v>0</v>
      </c>
      <c r="C337" s="812">
        <f>SUM(C332:C336)</f>
        <v>0</v>
      </c>
      <c r="D337" s="812">
        <f t="shared" ref="D337:H337" si="91">SUM(D332:D336)</f>
        <v>0</v>
      </c>
      <c r="E337" s="812">
        <f t="shared" si="91"/>
        <v>0</v>
      </c>
      <c r="F337" s="812">
        <f t="shared" si="91"/>
        <v>0</v>
      </c>
      <c r="G337" s="812">
        <f t="shared" si="91"/>
        <v>0</v>
      </c>
      <c r="H337" s="812">
        <f t="shared" si="91"/>
        <v>0</v>
      </c>
      <c r="I337" s="810">
        <f t="shared" si="90"/>
        <v>0</v>
      </c>
      <c r="J337" s="38" t="b">
        <f>A337=未审报表!A337</f>
        <v>1</v>
      </c>
      <c r="K337" s="75" t="b">
        <f>审定报表!A337=TB!A337</f>
        <v>1</v>
      </c>
    </row>
    <row r="338" spans="1:11">
      <c r="A338" s="828" t="str">
        <f>未审报表!A338</f>
        <v xml:space="preserve">     筹资活动产生的现金流量净额</v>
      </c>
      <c r="B338" s="812">
        <f>未审报表!C338</f>
        <v>0</v>
      </c>
      <c r="C338" s="812">
        <f>C331-C337</f>
        <v>0</v>
      </c>
      <c r="D338" s="812">
        <f t="shared" ref="D338:H338" si="92">D331-D337</f>
        <v>0</v>
      </c>
      <c r="E338" s="812">
        <f t="shared" si="92"/>
        <v>0</v>
      </c>
      <c r="F338" s="812">
        <f t="shared" si="92"/>
        <v>0</v>
      </c>
      <c r="G338" s="812">
        <f t="shared" si="92"/>
        <v>0</v>
      </c>
      <c r="H338" s="812">
        <f t="shared" si="92"/>
        <v>0</v>
      </c>
      <c r="I338" s="812">
        <f>B338+C338+E338+G338-H338-F338-D338</f>
        <v>0</v>
      </c>
      <c r="J338" s="38" t="b">
        <f>A338=未审报表!A338</f>
        <v>1</v>
      </c>
      <c r="K338" s="75" t="b">
        <f>审定报表!A338=TB!A338</f>
        <v>1</v>
      </c>
    </row>
    <row r="339" spans="1:11">
      <c r="A339" s="828" t="str">
        <f>未审报表!A339</f>
        <v>四、汇率变动对现金及现金等价物的影响</v>
      </c>
      <c r="B339" s="812">
        <f>未审报表!C339</f>
        <v>0</v>
      </c>
      <c r="C339" s="812">
        <f>SUMIFS(调整事项汇总表!$I$7:$I$10020,调整事项汇总表!$D$7:$D$10020,"账项调整",调整事项汇总表!$E$7:$E$10020,IF(OR(MID(TRIM($A339),2,1)="：",MID(TRIM($A339),2,1)="."),REPLACEB(TRIM($A339),1,2,""),TRIM($A339)))</f>
        <v>0</v>
      </c>
      <c r="D339" s="812">
        <f>SUMIFS(调整事项汇总表!$J$7:$J$10020,调整事项汇总表!$D$7:$D$10020,"账项调整",调整事项汇总表!$E$7:$E$10020,IF(OR(MID(TRIM($A339),2,1)="：",MID(TRIM($A339),2,1)="."),REPLACEB(TRIM($A339),1,2,""),TRIM($A339)))</f>
        <v>0</v>
      </c>
      <c r="E339" s="812">
        <f>SUMIFS(调整事项汇总表!$I$7:$I$10020,调整事项汇总表!$D$7:$D$10020,"报表调整",调整事项汇总表!$E$7:$E$10020,IF(OR(MID(TRIM($A339),2,1)="：",MID(TRIM($A339),2,1)="."),REPLACEB(TRIM($A339),1,2,""),TRIM($A339)))</f>
        <v>0</v>
      </c>
      <c r="F339" s="812">
        <f>SUMIFS(调整事项汇总表!$J$7:$J$10020,调整事项汇总表!$D$7:$D$10020,"报表调整",调整事项汇总表!$E$7:$E$10020,IF(OR(MID(TRIM($A339),2,1)="：",MID(TRIM($A339),2,1)="."),REPLACEB(TRIM($A339),1,2,""),TRIM($A339)))</f>
        <v>0</v>
      </c>
      <c r="G339" s="812">
        <f>SUMIFS(调整事项汇总表!$I$7:$I$10020,调整事项汇总表!$D$7:$D$10020,"其他",调整事项汇总表!$E$7:$E$10020,IF(OR(MID(TRIM($A339),2,1)="：",MID(TRIM($A339),2,1)="."),REPLACEB(TRIM($A339),1,2,""),TRIM($A339)))</f>
        <v>0</v>
      </c>
      <c r="H339" s="812">
        <f>SUMIFS(调整事项汇总表!$I$7:$I$10020,调整事项汇总表!$D$7:$D$10020,"其他",调整事项汇总表!$E$7:$E$10020,IF(OR(MID(TRIM($A339),2,1)="：",MID(TRIM($A339),2,1)="."),REPLACEB(TRIM($A339),1,2,""),TRIM($A339)))</f>
        <v>0</v>
      </c>
      <c r="I339" s="812">
        <f>B339+C339+E339+G339-H339-F339-D339</f>
        <v>0</v>
      </c>
      <c r="J339" s="38" t="b">
        <f>A339=未审报表!A339</f>
        <v>1</v>
      </c>
      <c r="K339" s="75" t="b">
        <f>审定报表!A339=TB!A339</f>
        <v>1</v>
      </c>
    </row>
    <row r="340" spans="1:11">
      <c r="A340" s="828" t="str">
        <f>未审报表!A340</f>
        <v>五、现金及现金等价物净增加额</v>
      </c>
      <c r="B340" s="812">
        <f>未审报表!C340</f>
        <v>0</v>
      </c>
      <c r="C340" s="812">
        <f>C307+C323+C338+C339</f>
        <v>0</v>
      </c>
      <c r="D340" s="812">
        <f t="shared" ref="D340:H340" si="93">D307+D323+D338+D339</f>
        <v>0</v>
      </c>
      <c r="E340" s="812">
        <f t="shared" si="93"/>
        <v>0</v>
      </c>
      <c r="F340" s="812">
        <f t="shared" si="93"/>
        <v>0</v>
      </c>
      <c r="G340" s="812">
        <f t="shared" si="93"/>
        <v>0</v>
      </c>
      <c r="H340" s="812">
        <f t="shared" si="93"/>
        <v>0</v>
      </c>
      <c r="I340" s="812">
        <f>B340+C340+E340+G340-H340-F340-D340</f>
        <v>0</v>
      </c>
      <c r="J340" s="38" t="b">
        <f>A340=未审报表!A340</f>
        <v>1</v>
      </c>
      <c r="K340" s="75" t="b">
        <f>审定报表!A340=TB!A340</f>
        <v>1</v>
      </c>
    </row>
    <row r="341" spans="1:11">
      <c r="A341" s="830" t="str">
        <f>未审报表!A341</f>
        <v xml:space="preserve">    加：期初现金及现金等价物余额</v>
      </c>
      <c r="B341" s="810">
        <f>未审报表!C341</f>
        <v>0</v>
      </c>
      <c r="C341" s="810">
        <f>SUMIFS(调整事项汇总表!$I$7:$I$10020,调整事项汇总表!$D$7:$D$10020,"账项调整",调整事项汇总表!$E$7:$E$10020,IF(OR(MID(TRIM($A341),2,1)="：",MID(TRIM($A341),2,1)="."),REPLACEB(TRIM($A341),1,2,""),TRIM($A341)))</f>
        <v>0</v>
      </c>
      <c r="D341" s="810">
        <f>SUMIFS(调整事项汇总表!$J$7:$J$10020,调整事项汇总表!$D$7:$D$10020,"账项调整",调整事项汇总表!$E$7:$E$10020,IF(OR(MID(TRIM($A341),2,1)="：",MID(TRIM($A341),2,1)="."),REPLACEB(TRIM($A341),1,2,""),TRIM($A341)))</f>
        <v>0</v>
      </c>
      <c r="E341" s="810">
        <f>SUMIFS(调整事项汇总表!$I$7:$I$10020,调整事项汇总表!$D$7:$D$10020,"报表调整",调整事项汇总表!$E$7:$E$10020,IF(OR(MID(TRIM($A341),2,1)="：",MID(TRIM($A341),2,1)="."),REPLACEB(TRIM($A341),1,2,""),TRIM($A341)))</f>
        <v>0</v>
      </c>
      <c r="F341" s="810">
        <f>SUMIFS(调整事项汇总表!$J$7:$J$10020,调整事项汇总表!$D$7:$D$10020,"报表调整",调整事项汇总表!$E$7:$E$10020,IF(OR(MID(TRIM($A341),2,1)="：",MID(TRIM($A341),2,1)="."),REPLACEB(TRIM($A341),1,2,""),TRIM($A341)))</f>
        <v>0</v>
      </c>
      <c r="G341" s="810">
        <f>SUMIFS(调整事项汇总表!$I$7:$I$10020,调整事项汇总表!$D$7:$D$10020,"其他",调整事项汇总表!$E$7:$E$10020,IF(OR(MID(TRIM($A341),2,1)="：",MID(TRIM($A341),2,1)="."),REPLACEB(TRIM($A341),1,2,""),TRIM($A341)))</f>
        <v>0</v>
      </c>
      <c r="H341" s="810">
        <f>SUMIFS(调整事项汇总表!$I$7:$I$10020,调整事项汇总表!$D$7:$D$10020,"其他",调整事项汇总表!$E$7:$E$10020,IF(OR(MID(TRIM($A341),2,1)="：",MID(TRIM($A341),2,1)="."),REPLACEB(TRIM($A341),1,2,""),TRIM($A341)))</f>
        <v>0</v>
      </c>
      <c r="I341" s="810">
        <f t="shared" ref="I341" si="94">B341+C341+E341+G341-H341-F341-D341</f>
        <v>0</v>
      </c>
      <c r="J341" s="38" t="b">
        <f>A341=未审报表!A341</f>
        <v>1</v>
      </c>
      <c r="K341" s="75" t="b">
        <f>审定报表!A341=TB!A341</f>
        <v>1</v>
      </c>
    </row>
    <row r="342" spans="1:11">
      <c r="A342" s="828" t="str">
        <f>未审报表!A342</f>
        <v>六、期末现金及现金等价物余额</v>
      </c>
      <c r="B342" s="812">
        <f>未审报表!C342</f>
        <v>0</v>
      </c>
      <c r="C342" s="812">
        <f>C340+C341</f>
        <v>0</v>
      </c>
      <c r="D342" s="812">
        <f t="shared" ref="D342:H342" si="95">D340+D341</f>
        <v>0</v>
      </c>
      <c r="E342" s="812">
        <f t="shared" si="95"/>
        <v>0</v>
      </c>
      <c r="F342" s="812">
        <f t="shared" si="95"/>
        <v>0</v>
      </c>
      <c r="G342" s="812">
        <f t="shared" si="95"/>
        <v>0</v>
      </c>
      <c r="H342" s="812">
        <f t="shared" si="95"/>
        <v>0</v>
      </c>
      <c r="I342" s="812">
        <f>B342+C342+E342+G342-H342-F342-D342</f>
        <v>0</v>
      </c>
      <c r="J342" s="38" t="b">
        <f>A342=未审报表!A342</f>
        <v>1</v>
      </c>
      <c r="K342" s="75" t="b">
        <f>审定报表!A342=TB!A342</f>
        <v>1</v>
      </c>
    </row>
    <row r="343" spans="1:11">
      <c r="A343" s="835" t="str">
        <f>未审报表!A343</f>
        <v>补    充    资    料</v>
      </c>
      <c r="B343" s="834" t="s">
        <v>1503</v>
      </c>
      <c r="C343" s="834" t="s">
        <v>1511</v>
      </c>
      <c r="D343" s="834" t="s">
        <v>1512</v>
      </c>
      <c r="E343" s="834" t="s">
        <v>1513</v>
      </c>
      <c r="F343" s="834" t="s">
        <v>1507</v>
      </c>
      <c r="G343" s="834" t="s">
        <v>1514</v>
      </c>
      <c r="H343" s="834" t="s">
        <v>1515</v>
      </c>
      <c r="I343" s="836" t="str">
        <f>B343</f>
        <v>企业原报数</v>
      </c>
      <c r="J343" s="38" t="b">
        <f>A343=未审报表!A343</f>
        <v>1</v>
      </c>
      <c r="K343" s="75" t="b">
        <f>审定报表!A343=TB!A343</f>
        <v>1</v>
      </c>
    </row>
    <row r="344" spans="1:11">
      <c r="A344" s="830" t="str">
        <f>未审报表!A344</f>
        <v>1、将净利润调节为经营活动现金流量：</v>
      </c>
      <c r="B344" s="816"/>
      <c r="C344" s="816"/>
      <c r="D344" s="816"/>
      <c r="E344" s="816"/>
      <c r="F344" s="816"/>
      <c r="G344" s="816"/>
      <c r="H344" s="816"/>
      <c r="I344" s="831"/>
      <c r="J344" s="38" t="b">
        <f>A344=未审报表!A344</f>
        <v>1</v>
      </c>
      <c r="K344" s="75" t="b">
        <f>审定报表!A344=TB!A344</f>
        <v>1</v>
      </c>
    </row>
    <row r="345" spans="1:11">
      <c r="A345" s="830" t="str">
        <f>未审报表!A345</f>
        <v xml:space="preserve">     净利润</v>
      </c>
      <c r="B345" s="810">
        <f>未审报表!C345</f>
        <v>24730391.030000001</v>
      </c>
      <c r="C345" s="810">
        <f>C233</f>
        <v>4161454.66</v>
      </c>
      <c r="D345" s="810">
        <f t="shared" ref="D345:H345" si="96">D233</f>
        <v>11608422.74</v>
      </c>
      <c r="E345" s="810">
        <f t="shared" si="96"/>
        <v>0</v>
      </c>
      <c r="F345" s="810">
        <f t="shared" si="96"/>
        <v>0</v>
      </c>
      <c r="G345" s="810">
        <f t="shared" si="96"/>
        <v>0</v>
      </c>
      <c r="H345" s="810">
        <f t="shared" si="96"/>
        <v>0</v>
      </c>
      <c r="I345" s="810">
        <f>B345+D345+F345+H345-G345-E345-C345</f>
        <v>32177359.110000003</v>
      </c>
      <c r="J345" s="38" t="b">
        <f>A345=未审报表!A345</f>
        <v>1</v>
      </c>
      <c r="K345" s="75" t="b">
        <f>审定报表!A345=TB!A345</f>
        <v>1</v>
      </c>
    </row>
    <row r="346" spans="1:11">
      <c r="A346" s="830">
        <f>未审报表!A346</f>
        <v>0</v>
      </c>
      <c r="B346" s="816"/>
      <c r="C346" s="816"/>
      <c r="D346" s="816"/>
      <c r="E346" s="816"/>
      <c r="F346" s="816"/>
      <c r="G346" s="816"/>
      <c r="H346" s="816"/>
      <c r="I346" s="831"/>
      <c r="J346" s="38" t="b">
        <f>A346=未审报表!A346</f>
        <v>1</v>
      </c>
      <c r="K346" s="75" t="b">
        <f>审定报表!A346=TB!A346</f>
        <v>1</v>
      </c>
    </row>
    <row r="347" spans="1:11">
      <c r="A347" s="830">
        <f>未审报表!A347</f>
        <v>0</v>
      </c>
      <c r="B347" s="816"/>
      <c r="C347" s="816"/>
      <c r="D347" s="816"/>
      <c r="E347" s="816"/>
      <c r="F347" s="816"/>
      <c r="G347" s="816"/>
      <c r="H347" s="816"/>
      <c r="I347" s="831"/>
      <c r="J347" s="38" t="b">
        <f>A347=未审报表!A347</f>
        <v>1</v>
      </c>
      <c r="K347" s="75" t="b">
        <f>审定报表!A347=TB!A347</f>
        <v>1</v>
      </c>
    </row>
    <row r="348" spans="1:11">
      <c r="A348" s="830" t="str">
        <f>未审报表!A348</f>
        <v>加：资产减值损失</v>
      </c>
      <c r="B348" s="810">
        <f>未审报表!C348</f>
        <v>0</v>
      </c>
      <c r="C348" s="810">
        <f>C225</f>
        <v>0</v>
      </c>
      <c r="D348" s="810">
        <f t="shared" ref="D348:H348" si="97">D225</f>
        <v>0</v>
      </c>
      <c r="E348" s="810">
        <f t="shared" si="97"/>
        <v>0</v>
      </c>
      <c r="F348" s="810">
        <f t="shared" si="97"/>
        <v>0</v>
      </c>
      <c r="G348" s="810">
        <f t="shared" si="97"/>
        <v>0</v>
      </c>
      <c r="H348" s="810">
        <f t="shared" si="97"/>
        <v>0</v>
      </c>
      <c r="I348" s="810">
        <f>-I225</f>
        <v>0</v>
      </c>
      <c r="J348" s="38" t="b">
        <f>A348=未审报表!A348</f>
        <v>1</v>
      </c>
      <c r="K348" s="75" t="b">
        <f>审定报表!A348=TB!A348</f>
        <v>1</v>
      </c>
    </row>
    <row r="349" spans="1:11">
      <c r="A349" s="830" t="str">
        <f>未审报表!A349</f>
        <v xml:space="preserve">        信用减值损失</v>
      </c>
      <c r="B349" s="810">
        <f>未审报表!C349</f>
        <v>19423.93</v>
      </c>
      <c r="C349" s="810">
        <f>C224</f>
        <v>281091.07999999996</v>
      </c>
      <c r="D349" s="810">
        <f t="shared" ref="D349:H349" si="98">D224</f>
        <v>0</v>
      </c>
      <c r="E349" s="810">
        <f t="shared" si="98"/>
        <v>0</v>
      </c>
      <c r="F349" s="810">
        <f t="shared" si="98"/>
        <v>0</v>
      </c>
      <c r="G349" s="810">
        <f t="shared" si="98"/>
        <v>0</v>
      </c>
      <c r="H349" s="810">
        <f t="shared" si="98"/>
        <v>0</v>
      </c>
      <c r="I349" s="810">
        <f>B349+C349+E349+G349-H349-F349-D349</f>
        <v>300515.00999999995</v>
      </c>
      <c r="J349" s="38" t="b">
        <f>A349=未审报表!A349</f>
        <v>1</v>
      </c>
      <c r="K349" s="75" t="b">
        <f>审定报表!A349=TB!A349</f>
        <v>1</v>
      </c>
    </row>
    <row r="350" spans="1:11">
      <c r="A350" s="830" t="str">
        <f>未审报表!A350</f>
        <v xml:space="preserve">     固定资产折旧、投资性房地产折旧、油气资产折耗、生产性生物资产折旧</v>
      </c>
      <c r="B350" s="810">
        <f>未审报表!C350</f>
        <v>0</v>
      </c>
      <c r="C350" s="810">
        <f>SUMIFS(调整事项汇总表!$I$7:$I$10020,调整事项汇总表!$D$7:$D$10020,"账项调整",调整事项汇总表!$E$7:$E$10020,IF(OR(MID(TRIM($A350),2,1)="：",MID(TRIM($A350),2,1)="."),REPLACEB(TRIM($A350),1,2,""),TRIM($A350)))</f>
        <v>0</v>
      </c>
      <c r="D350" s="810">
        <f>SUMIFS(调整事项汇总表!$J$7:$J$10020,调整事项汇总表!$D$7:$D$10020,"账项调整",调整事项汇总表!$E$7:$E$10020,IF(OR(MID(TRIM($A350),2,1)="：",MID(TRIM($A350),2,1)="."),REPLACEB(TRIM($A350),1,2,""),TRIM($A350)))</f>
        <v>0</v>
      </c>
      <c r="E350" s="810">
        <f>SUMIFS(调整事项汇总表!$I$7:$I$10020,调整事项汇总表!$D$7:$D$10020,"报表调整",调整事项汇总表!$E$7:$E$10020,IF(OR(MID(TRIM($A350),2,1)="：",MID(TRIM($A350),2,1)="."),REPLACEB(TRIM($A350),1,2,""),TRIM($A350)))</f>
        <v>0</v>
      </c>
      <c r="F350" s="810">
        <f>SUMIFS(调整事项汇总表!$J$7:$J$10020,调整事项汇总表!$D$7:$D$10020,"报表调整",调整事项汇总表!$E$7:$E$10020,IF(OR(MID(TRIM($A350),2,1)="：",MID(TRIM($A350),2,1)="."),REPLACEB(TRIM($A350),1,2,""),TRIM($A350)))</f>
        <v>0</v>
      </c>
      <c r="G350" s="810">
        <f>SUMIFS(调整事项汇总表!$I$7:$I$10020,调整事项汇总表!$D$7:$D$10020,"其他",调整事项汇总表!$E$7:$E$10020,IF(OR(MID(TRIM($A350),2,1)="：",MID(TRIM($A350),2,1)="."),REPLACEB(TRIM($A350),1,2,""),TRIM($A350)))</f>
        <v>0</v>
      </c>
      <c r="H350" s="810">
        <f>SUMIFS(调整事项汇总表!$I$7:$I$10020,调整事项汇总表!$D$7:$D$10020,"其他",调整事项汇总表!$E$7:$E$10020,IF(OR(MID(TRIM($A350),2,1)="：",MID(TRIM($A350),2,1)="."),REPLACEB(TRIM($A350),1,2,""),TRIM($A350)))</f>
        <v>0</v>
      </c>
      <c r="I350" s="810">
        <f t="shared" ref="I350:I364" si="99">B350+C350+E350+G350-H350-F350-D350</f>
        <v>0</v>
      </c>
      <c r="J350" s="38" t="b">
        <f>A350=未审报表!A350</f>
        <v>1</v>
      </c>
      <c r="K350" s="75" t="b">
        <f>审定报表!A350=TB!A350</f>
        <v>1</v>
      </c>
    </row>
    <row r="351" spans="1:11">
      <c r="A351" s="830" t="str">
        <f>未审报表!A351</f>
        <v xml:space="preserve">    使用权资产折旧</v>
      </c>
      <c r="B351" s="810">
        <f>未审报表!C351</f>
        <v>0</v>
      </c>
      <c r="C351" s="810">
        <f>SUMIFS(调整事项汇总表!$I$7:$I$10020,调整事项汇总表!$D$7:$D$10020,"账项调整",调整事项汇总表!$E$7:$E$10020,IF(OR(MID(TRIM($A351),2,1)="：",MID(TRIM($A351),2,1)="."),REPLACEB(TRIM($A351),1,2,""),TRIM($A351)))</f>
        <v>0</v>
      </c>
      <c r="D351" s="810">
        <f>SUMIFS(调整事项汇总表!$J$7:$J$10020,调整事项汇总表!$D$7:$D$10020,"账项调整",调整事项汇总表!$E$7:$E$10020,IF(OR(MID(TRIM($A351),2,1)="：",MID(TRIM($A351),2,1)="."),REPLACEB(TRIM($A351),1,2,""),TRIM($A351)))</f>
        <v>0</v>
      </c>
      <c r="E351" s="810">
        <f>SUMIFS(调整事项汇总表!$I$7:$I$10020,调整事项汇总表!$D$7:$D$10020,"报表调整",调整事项汇总表!$E$7:$E$10020,IF(OR(MID(TRIM($A351),2,1)="：",MID(TRIM($A351),2,1)="."),REPLACEB(TRIM($A351),1,2,""),TRIM($A351)))</f>
        <v>0</v>
      </c>
      <c r="F351" s="810">
        <f>SUMIFS(调整事项汇总表!$J$7:$J$10020,调整事项汇总表!$D$7:$D$10020,"报表调整",调整事项汇总表!$E$7:$E$10020,IF(OR(MID(TRIM($A351),2,1)="：",MID(TRIM($A351),2,1)="."),REPLACEB(TRIM($A351),1,2,""),TRIM($A351)))</f>
        <v>0</v>
      </c>
      <c r="G351" s="810">
        <f>SUMIFS(调整事项汇总表!$I$7:$I$10020,调整事项汇总表!$D$7:$D$10020,"其他",调整事项汇总表!$E$7:$E$10020,IF(OR(MID(TRIM($A351),2,1)="：",MID(TRIM($A351),2,1)="."),REPLACEB(TRIM($A351),1,2,""),TRIM($A351)))</f>
        <v>0</v>
      </c>
      <c r="H351" s="810">
        <f>SUMIFS(调整事项汇总表!$I$7:$I$10020,调整事项汇总表!$D$7:$D$10020,"其他",调整事项汇总表!$E$7:$E$10020,IF(OR(MID(TRIM($A351),2,1)="：",MID(TRIM($A351),2,1)="."),REPLACEB(TRIM($A351),1,2,""),TRIM($A351)))</f>
        <v>0</v>
      </c>
      <c r="I351" s="810">
        <f t="shared" si="99"/>
        <v>0</v>
      </c>
      <c r="J351" s="38" t="b">
        <f>A351=未审报表!A351</f>
        <v>1</v>
      </c>
      <c r="K351" s="75" t="b">
        <f>审定报表!A351=TB!A351</f>
        <v>1</v>
      </c>
    </row>
    <row r="352" spans="1:11">
      <c r="A352" s="830" t="str">
        <f>未审报表!A352</f>
        <v xml:space="preserve">     无形资产摊销</v>
      </c>
      <c r="B352" s="810">
        <f>未审报表!C352</f>
        <v>0</v>
      </c>
      <c r="C352" s="810">
        <f>SUMIFS(调整事项汇总表!$I$7:$I$10020,调整事项汇总表!$D$7:$D$10020,"账项调整",调整事项汇总表!$E$7:$E$10020,IF(OR(MID(TRIM($A352),2,1)="：",MID(TRIM($A352),2,1)="."),REPLACEB(TRIM($A352),1,2,""),TRIM($A352)))</f>
        <v>0</v>
      </c>
      <c r="D352" s="810">
        <f>SUMIFS(调整事项汇总表!$J$7:$J$10020,调整事项汇总表!$D$7:$D$10020,"账项调整",调整事项汇总表!$E$7:$E$10020,IF(OR(MID(TRIM($A352),2,1)="：",MID(TRIM($A352),2,1)="."),REPLACEB(TRIM($A352),1,2,""),TRIM($A352)))</f>
        <v>0</v>
      </c>
      <c r="E352" s="810">
        <f>SUMIFS(调整事项汇总表!$I$7:$I$10020,调整事项汇总表!$D$7:$D$10020,"报表调整",调整事项汇总表!$E$7:$E$10020,IF(OR(MID(TRIM($A352),2,1)="：",MID(TRIM($A352),2,1)="."),REPLACEB(TRIM($A352),1,2,""),TRIM($A352)))</f>
        <v>0</v>
      </c>
      <c r="F352" s="810">
        <f>SUMIFS(调整事项汇总表!$J$7:$J$10020,调整事项汇总表!$D$7:$D$10020,"报表调整",调整事项汇总表!$E$7:$E$10020,IF(OR(MID(TRIM($A352),2,1)="：",MID(TRIM($A352),2,1)="."),REPLACEB(TRIM($A352),1,2,""),TRIM($A352)))</f>
        <v>0</v>
      </c>
      <c r="G352" s="810">
        <f>SUMIFS(调整事项汇总表!$I$7:$I$10020,调整事项汇总表!$D$7:$D$10020,"其他",调整事项汇总表!$E$7:$E$10020,IF(OR(MID(TRIM($A352),2,1)="：",MID(TRIM($A352),2,1)="."),REPLACEB(TRIM($A352),1,2,""),TRIM($A352)))</f>
        <v>0</v>
      </c>
      <c r="H352" s="810">
        <f>SUMIFS(调整事项汇总表!$I$7:$I$10020,调整事项汇总表!$D$7:$D$10020,"其他",调整事项汇总表!$E$7:$E$10020,IF(OR(MID(TRIM($A352),2,1)="：",MID(TRIM($A352),2,1)="."),REPLACEB(TRIM($A352),1,2,""),TRIM($A352)))</f>
        <v>0</v>
      </c>
      <c r="I352" s="810">
        <f t="shared" si="99"/>
        <v>0</v>
      </c>
      <c r="J352" s="38" t="b">
        <f>A352=未审报表!A352</f>
        <v>1</v>
      </c>
      <c r="K352" s="75" t="b">
        <f>审定报表!A352=TB!A352</f>
        <v>1</v>
      </c>
    </row>
    <row r="353" spans="1:11">
      <c r="A353" s="830" t="str">
        <f>未审报表!A353</f>
        <v xml:space="preserve">     长期待摊费用摊销</v>
      </c>
      <c r="B353" s="810">
        <f>未审报表!C353</f>
        <v>0</v>
      </c>
      <c r="C353" s="810">
        <f>SUMIFS(调整事项汇总表!$I$7:$I$10020,调整事项汇总表!$D$7:$D$10020,"账项调整",调整事项汇总表!$E$7:$E$10020,IF(OR(MID(TRIM($A353),2,1)="：",MID(TRIM($A353),2,1)="."),REPLACEB(TRIM($A353),1,2,""),TRIM($A353)))</f>
        <v>0</v>
      </c>
      <c r="D353" s="810">
        <f>SUMIFS(调整事项汇总表!$J$7:$J$10020,调整事项汇总表!$D$7:$D$10020,"账项调整",调整事项汇总表!$E$7:$E$10020,IF(OR(MID(TRIM($A353),2,1)="：",MID(TRIM($A353),2,1)="."),REPLACEB(TRIM($A353),1,2,""),TRIM($A353)))</f>
        <v>0</v>
      </c>
      <c r="E353" s="810">
        <f>SUMIFS(调整事项汇总表!$I$7:$I$10020,调整事项汇总表!$D$7:$D$10020,"报表调整",调整事项汇总表!$E$7:$E$10020,IF(OR(MID(TRIM($A353),2,1)="：",MID(TRIM($A353),2,1)="."),REPLACEB(TRIM($A353),1,2,""),TRIM($A353)))</f>
        <v>0</v>
      </c>
      <c r="F353" s="810">
        <f>SUMIFS(调整事项汇总表!$J$7:$J$10020,调整事项汇总表!$D$7:$D$10020,"报表调整",调整事项汇总表!$E$7:$E$10020,IF(OR(MID(TRIM($A353),2,1)="：",MID(TRIM($A353),2,1)="."),REPLACEB(TRIM($A353),1,2,""),TRIM($A353)))</f>
        <v>0</v>
      </c>
      <c r="G353" s="810">
        <f>SUMIFS(调整事项汇总表!$I$7:$I$10020,调整事项汇总表!$D$7:$D$10020,"其他",调整事项汇总表!$E$7:$E$10020,IF(OR(MID(TRIM($A353),2,1)="：",MID(TRIM($A353),2,1)="."),REPLACEB(TRIM($A353),1,2,""),TRIM($A353)))</f>
        <v>0</v>
      </c>
      <c r="H353" s="810">
        <f>SUMIFS(调整事项汇总表!$I$7:$I$10020,调整事项汇总表!$D$7:$D$10020,"其他",调整事项汇总表!$E$7:$E$10020,IF(OR(MID(TRIM($A353),2,1)="：",MID(TRIM($A353),2,1)="."),REPLACEB(TRIM($A353),1,2,""),TRIM($A353)))</f>
        <v>0</v>
      </c>
      <c r="I353" s="810">
        <f t="shared" si="99"/>
        <v>0</v>
      </c>
      <c r="J353" s="38" t="b">
        <f>A353=未审报表!A353</f>
        <v>1</v>
      </c>
      <c r="K353" s="75" t="b">
        <f>审定报表!A353=TB!A353</f>
        <v>1</v>
      </c>
    </row>
    <row r="354" spans="1:11">
      <c r="A354" s="830" t="str">
        <f>未审报表!A354</f>
        <v xml:space="preserve">     处置固定资产、无形资产和其他长期资产的损失（收益以“－”号填列）</v>
      </c>
      <c r="B354" s="810">
        <f>未审报表!C354</f>
        <v>0</v>
      </c>
      <c r="C354" s="810">
        <f>SUMIFS(调整事项汇总表!$I$7:$I$10020,调整事项汇总表!$D$7:$D$10020,"账项调整",调整事项汇总表!$E$7:$E$10020,IF(OR(MID(TRIM($A354),2,1)="：",MID(TRIM($A354),2,1)="."),REPLACEB(TRIM($A354),1,2,""),TRIM($A354)))</f>
        <v>0</v>
      </c>
      <c r="D354" s="810">
        <f>SUMIFS(调整事项汇总表!$J$7:$J$10020,调整事项汇总表!$D$7:$D$10020,"账项调整",调整事项汇总表!$E$7:$E$10020,IF(OR(MID(TRIM($A354),2,1)="：",MID(TRIM($A354),2,1)="."),REPLACEB(TRIM($A354),1,2,""),TRIM($A354)))</f>
        <v>0</v>
      </c>
      <c r="E354" s="810">
        <f>SUMIFS(调整事项汇总表!$I$7:$I$10020,调整事项汇总表!$D$7:$D$10020,"报表调整",调整事项汇总表!$E$7:$E$10020,IF(OR(MID(TRIM($A354),2,1)="：",MID(TRIM($A354),2,1)="."),REPLACEB(TRIM($A354),1,2,""),TRIM($A354)))</f>
        <v>0</v>
      </c>
      <c r="F354" s="810">
        <f>SUMIFS(调整事项汇总表!$J$7:$J$10020,调整事项汇总表!$D$7:$D$10020,"报表调整",调整事项汇总表!$E$7:$E$10020,IF(OR(MID(TRIM($A354),2,1)="：",MID(TRIM($A354),2,1)="."),REPLACEB(TRIM($A354),1,2,""),TRIM($A354)))</f>
        <v>0</v>
      </c>
      <c r="G354" s="810">
        <f>SUMIFS(调整事项汇总表!$I$7:$I$10020,调整事项汇总表!$D$7:$D$10020,"其他",调整事项汇总表!$E$7:$E$10020,IF(OR(MID(TRIM($A354),2,1)="：",MID(TRIM($A354),2,1)="."),REPLACEB(TRIM($A354),1,2,""),TRIM($A354)))</f>
        <v>0</v>
      </c>
      <c r="H354" s="810">
        <f>SUMIFS(调整事项汇总表!$I$7:$I$10020,调整事项汇总表!$D$7:$D$10020,"其他",调整事项汇总表!$E$7:$E$10020,IF(OR(MID(TRIM($A354),2,1)="：",MID(TRIM($A354),2,1)="."),REPLACEB(TRIM($A354),1,2,""),TRIM($A354)))</f>
        <v>0</v>
      </c>
      <c r="I354" s="810">
        <f t="shared" si="99"/>
        <v>0</v>
      </c>
      <c r="J354" s="38" t="b">
        <f>A354=未审报表!A354</f>
        <v>1</v>
      </c>
      <c r="K354" s="75" t="b">
        <f>审定报表!A354=TB!A354</f>
        <v>1</v>
      </c>
    </row>
    <row r="355" spans="1:11">
      <c r="A355" s="830" t="str">
        <f>未审报表!A355</f>
        <v xml:space="preserve">     固定资产报废损失（收益以“－”号填列）</v>
      </c>
      <c r="B355" s="810">
        <f>未审报表!C355</f>
        <v>0</v>
      </c>
      <c r="C355" s="810">
        <f>SUMIFS(调整事项汇总表!$I$7:$I$10020,调整事项汇总表!$D$7:$D$10020,"账项调整",调整事项汇总表!$E$7:$E$10020,IF(OR(MID(TRIM($A355),2,1)="：",MID(TRIM($A355),2,1)="."),REPLACEB(TRIM($A355),1,2,""),TRIM($A355)))</f>
        <v>0</v>
      </c>
      <c r="D355" s="810">
        <f>SUMIFS(调整事项汇总表!$J$7:$J$10020,调整事项汇总表!$D$7:$D$10020,"账项调整",调整事项汇总表!$E$7:$E$10020,IF(OR(MID(TRIM($A355),2,1)="：",MID(TRIM($A355),2,1)="."),REPLACEB(TRIM($A355),1,2,""),TRIM($A355)))</f>
        <v>0</v>
      </c>
      <c r="E355" s="810">
        <f>SUMIFS(调整事项汇总表!$I$7:$I$10020,调整事项汇总表!$D$7:$D$10020,"报表调整",调整事项汇总表!$E$7:$E$10020,IF(OR(MID(TRIM($A355),2,1)="：",MID(TRIM($A355),2,1)="."),REPLACEB(TRIM($A355),1,2,""),TRIM($A355)))</f>
        <v>0</v>
      </c>
      <c r="F355" s="810">
        <f>SUMIFS(调整事项汇总表!$J$7:$J$10020,调整事项汇总表!$D$7:$D$10020,"报表调整",调整事项汇总表!$E$7:$E$10020,IF(OR(MID(TRIM($A355),2,1)="：",MID(TRIM($A355),2,1)="."),REPLACEB(TRIM($A355),1,2,""),TRIM($A355)))</f>
        <v>0</v>
      </c>
      <c r="G355" s="810">
        <f>SUMIFS(调整事项汇总表!$I$7:$I$10020,调整事项汇总表!$D$7:$D$10020,"其他",调整事项汇总表!$E$7:$E$10020,IF(OR(MID(TRIM($A355),2,1)="：",MID(TRIM($A355),2,1)="."),REPLACEB(TRIM($A355),1,2,""),TRIM($A355)))</f>
        <v>0</v>
      </c>
      <c r="H355" s="810">
        <f>SUMIFS(调整事项汇总表!$I$7:$I$10020,调整事项汇总表!$D$7:$D$10020,"其他",调整事项汇总表!$E$7:$E$10020,IF(OR(MID(TRIM($A355),2,1)="：",MID(TRIM($A355),2,1)="."),REPLACEB(TRIM($A355),1,2,""),TRIM($A355)))</f>
        <v>0</v>
      </c>
      <c r="I355" s="810">
        <f t="shared" si="99"/>
        <v>0</v>
      </c>
      <c r="J355" s="38" t="b">
        <f>A355=未审报表!A355</f>
        <v>1</v>
      </c>
      <c r="K355" s="75" t="b">
        <f>审定报表!A355=TB!A355</f>
        <v>1</v>
      </c>
    </row>
    <row r="356" spans="1:11">
      <c r="A356" s="830" t="str">
        <f>未审报表!A356</f>
        <v xml:space="preserve">     公允价值变动损失（收益以“－”号填列）</v>
      </c>
      <c r="B356" s="810">
        <f>未审报表!C356</f>
        <v>0</v>
      </c>
      <c r="C356" s="810">
        <f>SUMIFS(调整事项汇总表!$I$7:$I$10020,调整事项汇总表!$D$7:$D$10020,"账项调整",调整事项汇总表!$E$7:$E$10020,IF(OR(MID(TRIM($A356),2,1)="：",MID(TRIM($A356),2,1)="."),REPLACEB(TRIM($A356),1,2,""),TRIM($A356)))</f>
        <v>0</v>
      </c>
      <c r="D356" s="810">
        <f>SUMIFS(调整事项汇总表!$J$7:$J$10020,调整事项汇总表!$D$7:$D$10020,"账项调整",调整事项汇总表!$E$7:$E$10020,IF(OR(MID(TRIM($A356),2,1)="：",MID(TRIM($A356),2,1)="."),REPLACEB(TRIM($A356),1,2,""),TRIM($A356)))</f>
        <v>0</v>
      </c>
      <c r="E356" s="810">
        <f>SUMIFS(调整事项汇总表!$I$7:$I$10020,调整事项汇总表!$D$7:$D$10020,"报表调整",调整事项汇总表!$E$7:$E$10020,IF(OR(MID(TRIM($A356),2,1)="：",MID(TRIM($A356),2,1)="."),REPLACEB(TRIM($A356),1,2,""),TRIM($A356)))</f>
        <v>0</v>
      </c>
      <c r="F356" s="810">
        <f>SUMIFS(调整事项汇总表!$J$7:$J$10020,调整事项汇总表!$D$7:$D$10020,"报表调整",调整事项汇总表!$E$7:$E$10020,IF(OR(MID(TRIM($A356),2,1)="：",MID(TRIM($A356),2,1)="."),REPLACEB(TRIM($A356),1,2,""),TRIM($A356)))</f>
        <v>0</v>
      </c>
      <c r="G356" s="810">
        <f>SUMIFS(调整事项汇总表!$I$7:$I$10020,调整事项汇总表!$D$7:$D$10020,"其他",调整事项汇总表!$E$7:$E$10020,IF(OR(MID(TRIM($A356),2,1)="：",MID(TRIM($A356),2,1)="."),REPLACEB(TRIM($A356),1,2,""),TRIM($A356)))</f>
        <v>0</v>
      </c>
      <c r="H356" s="810">
        <f>SUMIFS(调整事项汇总表!$I$7:$I$10020,调整事项汇总表!$D$7:$D$10020,"其他",调整事项汇总表!$E$7:$E$10020,IF(OR(MID(TRIM($A356),2,1)="：",MID(TRIM($A356),2,1)="."),REPLACEB(TRIM($A356),1,2,""),TRIM($A356)))</f>
        <v>0</v>
      </c>
      <c r="I356" s="810">
        <f t="shared" si="99"/>
        <v>0</v>
      </c>
      <c r="J356" s="38" t="b">
        <f>A356=未审报表!A356</f>
        <v>1</v>
      </c>
      <c r="K356" s="75" t="b">
        <f>审定报表!A356=TB!A356</f>
        <v>1</v>
      </c>
    </row>
    <row r="357" spans="1:11">
      <c r="A357" s="830" t="str">
        <f>未审报表!A357</f>
        <v xml:space="preserve">     财务费用（收益以“－”号填列）</v>
      </c>
      <c r="B357" s="810">
        <f>未审报表!C357</f>
        <v>0</v>
      </c>
      <c r="C357" s="810">
        <f>SUMIFS(调整事项汇总表!$I$7:$I$10020,调整事项汇总表!$D$7:$D$10020,"账项调整",调整事项汇总表!$E$7:$E$10020,IF(OR(MID(TRIM($A357),2,1)="：",MID(TRIM($A357),2,1)="."),REPLACEB(TRIM($A357),1,2,""),TRIM($A357)))</f>
        <v>0</v>
      </c>
      <c r="D357" s="810">
        <f>SUMIFS(调整事项汇总表!$J$7:$J$10020,调整事项汇总表!$D$7:$D$10020,"账项调整",调整事项汇总表!$E$7:$E$10020,IF(OR(MID(TRIM($A357),2,1)="：",MID(TRIM($A357),2,1)="."),REPLACEB(TRIM($A357),1,2,""),TRIM($A357)))</f>
        <v>0</v>
      </c>
      <c r="E357" s="810">
        <f>SUMIFS(调整事项汇总表!$I$7:$I$10020,调整事项汇总表!$D$7:$D$10020,"报表调整",调整事项汇总表!$E$7:$E$10020,IF(OR(MID(TRIM($A357),2,1)="：",MID(TRIM($A357),2,1)="."),REPLACEB(TRIM($A357),1,2,""),TRIM($A357)))</f>
        <v>0</v>
      </c>
      <c r="F357" s="810">
        <f>SUMIFS(调整事项汇总表!$J$7:$J$10020,调整事项汇总表!$D$7:$D$10020,"报表调整",调整事项汇总表!$E$7:$E$10020,IF(OR(MID(TRIM($A357),2,1)="：",MID(TRIM($A357),2,1)="."),REPLACEB(TRIM($A357),1,2,""),TRIM($A357)))</f>
        <v>0</v>
      </c>
      <c r="G357" s="810">
        <f>SUMIFS(调整事项汇总表!$I$7:$I$10020,调整事项汇总表!$D$7:$D$10020,"其他",调整事项汇总表!$E$7:$E$10020,IF(OR(MID(TRIM($A357),2,1)="：",MID(TRIM($A357),2,1)="."),REPLACEB(TRIM($A357),1,2,""),TRIM($A357)))</f>
        <v>0</v>
      </c>
      <c r="H357" s="810">
        <f>SUMIFS(调整事项汇总表!$I$7:$I$10020,调整事项汇总表!$D$7:$D$10020,"其他",调整事项汇总表!$E$7:$E$10020,IF(OR(MID(TRIM($A357),2,1)="：",MID(TRIM($A357),2,1)="."),REPLACEB(TRIM($A357),1,2,""),TRIM($A357)))</f>
        <v>0</v>
      </c>
      <c r="I357" s="810">
        <f t="shared" si="99"/>
        <v>0</v>
      </c>
      <c r="J357" s="38" t="b">
        <f>A357=未审报表!A357</f>
        <v>1</v>
      </c>
      <c r="K357" s="75" t="b">
        <f>审定报表!A357=TB!A357</f>
        <v>1</v>
      </c>
    </row>
    <row r="358" spans="1:11">
      <c r="A358" s="830" t="str">
        <f>未审报表!A358</f>
        <v xml:space="preserve">     投资损失（收益以“－”号填列）</v>
      </c>
      <c r="B358" s="810">
        <f>未审报表!C358</f>
        <v>0</v>
      </c>
      <c r="C358" s="810">
        <f>SUMIFS(调整事项汇总表!$I$7:$I$10020,调整事项汇总表!$D$7:$D$10020,"账项调整",调整事项汇总表!$E$7:$E$10020,IF(OR(MID(TRIM($A358),2,1)="：",MID(TRIM($A358),2,1)="."),REPLACEB(TRIM($A358),1,2,""),TRIM($A358)))</f>
        <v>0</v>
      </c>
      <c r="D358" s="810">
        <f>SUMIFS(调整事项汇总表!$J$7:$J$10020,调整事项汇总表!$D$7:$D$10020,"账项调整",调整事项汇总表!$E$7:$E$10020,IF(OR(MID(TRIM($A358),2,1)="：",MID(TRIM($A358),2,1)="."),REPLACEB(TRIM($A358),1,2,""),TRIM($A358)))</f>
        <v>0</v>
      </c>
      <c r="E358" s="810">
        <f>SUMIFS(调整事项汇总表!$I$7:$I$10020,调整事项汇总表!$D$7:$D$10020,"报表调整",调整事项汇总表!$E$7:$E$10020,IF(OR(MID(TRIM($A358),2,1)="：",MID(TRIM($A358),2,1)="."),REPLACEB(TRIM($A358),1,2,""),TRIM($A358)))</f>
        <v>0</v>
      </c>
      <c r="F358" s="810">
        <f>SUMIFS(调整事项汇总表!$J$7:$J$10020,调整事项汇总表!$D$7:$D$10020,"报表调整",调整事项汇总表!$E$7:$E$10020,IF(OR(MID(TRIM($A358),2,1)="：",MID(TRIM($A358),2,1)="."),REPLACEB(TRIM($A358),1,2,""),TRIM($A358)))</f>
        <v>0</v>
      </c>
      <c r="G358" s="810">
        <f>SUMIFS(调整事项汇总表!$I$7:$I$10020,调整事项汇总表!$D$7:$D$10020,"其他",调整事项汇总表!$E$7:$E$10020,IF(OR(MID(TRIM($A358),2,1)="：",MID(TRIM($A358),2,1)="."),REPLACEB(TRIM($A358),1,2,""),TRIM($A358)))</f>
        <v>0</v>
      </c>
      <c r="H358" s="810">
        <f>SUMIFS(调整事项汇总表!$I$7:$I$10020,调整事项汇总表!$D$7:$D$10020,"其他",调整事项汇总表!$E$7:$E$10020,IF(OR(MID(TRIM($A358),2,1)="：",MID(TRIM($A358),2,1)="."),REPLACEB(TRIM($A358),1,2,""),TRIM($A358)))</f>
        <v>0</v>
      </c>
      <c r="I358" s="810">
        <f t="shared" si="99"/>
        <v>0</v>
      </c>
      <c r="J358" s="38" t="b">
        <f>A358=未审报表!A358</f>
        <v>1</v>
      </c>
      <c r="K358" s="75" t="b">
        <f>审定报表!A358=TB!A358</f>
        <v>1</v>
      </c>
    </row>
    <row r="359" spans="1:11">
      <c r="A359" s="830" t="str">
        <f>未审报表!A359</f>
        <v xml:space="preserve">     递延所得税资产减少（增加以“－”号填列）</v>
      </c>
      <c r="B359" s="810">
        <f>未审报表!C359</f>
        <v>0</v>
      </c>
      <c r="C359" s="810">
        <f>SUMIFS(调整事项汇总表!$I$7:$I$10020,调整事项汇总表!$D$7:$D$10020,"账项调整",调整事项汇总表!$E$7:$E$10020,IF(OR(MID(TRIM($A359),2,1)="：",MID(TRIM($A359),2,1)="."),REPLACEB(TRIM($A359),1,2,""),TRIM($A359)))</f>
        <v>0</v>
      </c>
      <c r="D359" s="810">
        <f>SUMIFS(调整事项汇总表!$J$7:$J$10020,调整事项汇总表!$D$7:$D$10020,"账项调整",调整事项汇总表!$E$7:$E$10020,IF(OR(MID(TRIM($A359),2,1)="：",MID(TRIM($A359),2,1)="."),REPLACEB(TRIM($A359),1,2,""),TRIM($A359)))</f>
        <v>0</v>
      </c>
      <c r="E359" s="810">
        <f>SUMIFS(调整事项汇总表!$I$7:$I$10020,调整事项汇总表!$D$7:$D$10020,"报表调整",调整事项汇总表!$E$7:$E$10020,IF(OR(MID(TRIM($A359),2,1)="：",MID(TRIM($A359),2,1)="."),REPLACEB(TRIM($A359),1,2,""),TRIM($A359)))</f>
        <v>0</v>
      </c>
      <c r="F359" s="810">
        <f>SUMIFS(调整事项汇总表!$J$7:$J$10020,调整事项汇总表!$D$7:$D$10020,"报表调整",调整事项汇总表!$E$7:$E$10020,IF(OR(MID(TRIM($A359),2,1)="：",MID(TRIM($A359),2,1)="."),REPLACEB(TRIM($A359),1,2,""),TRIM($A359)))</f>
        <v>0</v>
      </c>
      <c r="G359" s="810">
        <f>SUMIFS(调整事项汇总表!$I$7:$I$10020,调整事项汇总表!$D$7:$D$10020,"其他",调整事项汇总表!$E$7:$E$10020,IF(OR(MID(TRIM($A359),2,1)="：",MID(TRIM($A359),2,1)="."),REPLACEB(TRIM($A359),1,2,""),TRIM($A359)))</f>
        <v>0</v>
      </c>
      <c r="H359" s="810">
        <f>SUMIFS(调整事项汇总表!$I$7:$I$10020,调整事项汇总表!$D$7:$D$10020,"其他",调整事项汇总表!$E$7:$E$10020,IF(OR(MID(TRIM($A359),2,1)="：",MID(TRIM($A359),2,1)="."),REPLACEB(TRIM($A359),1,2,""),TRIM($A359)))</f>
        <v>0</v>
      </c>
      <c r="I359" s="810">
        <f t="shared" si="99"/>
        <v>0</v>
      </c>
      <c r="J359" s="38" t="b">
        <f>A359=未审报表!A359</f>
        <v>1</v>
      </c>
      <c r="K359" s="75" t="b">
        <f>审定报表!A359=TB!A359</f>
        <v>1</v>
      </c>
    </row>
    <row r="360" spans="1:11">
      <c r="A360" s="830" t="str">
        <f>未审报表!A360</f>
        <v xml:space="preserve">     递延所得税负债增加（减少以“－”号填列）</v>
      </c>
      <c r="B360" s="810">
        <f>未审报表!C360</f>
        <v>0</v>
      </c>
      <c r="C360" s="810">
        <f>SUMIFS(调整事项汇总表!$I$7:$I$10020,调整事项汇总表!$D$7:$D$10020,"账项调整",调整事项汇总表!$E$7:$E$10020,IF(OR(MID(TRIM($A360),2,1)="：",MID(TRIM($A360),2,1)="."),REPLACEB(TRIM($A360),1,2,""),TRIM($A360)))</f>
        <v>0</v>
      </c>
      <c r="D360" s="810">
        <f>SUMIFS(调整事项汇总表!$J$7:$J$10020,调整事项汇总表!$D$7:$D$10020,"账项调整",调整事项汇总表!$E$7:$E$10020,IF(OR(MID(TRIM($A360),2,1)="：",MID(TRIM($A360),2,1)="."),REPLACEB(TRIM($A360),1,2,""),TRIM($A360)))</f>
        <v>0</v>
      </c>
      <c r="E360" s="810">
        <f>SUMIFS(调整事项汇总表!$I$7:$I$10020,调整事项汇总表!$D$7:$D$10020,"报表调整",调整事项汇总表!$E$7:$E$10020,IF(OR(MID(TRIM($A360),2,1)="：",MID(TRIM($A360),2,1)="."),REPLACEB(TRIM($A360),1,2,""),TRIM($A360)))</f>
        <v>0</v>
      </c>
      <c r="F360" s="810">
        <f>SUMIFS(调整事项汇总表!$J$7:$J$10020,调整事项汇总表!$D$7:$D$10020,"报表调整",调整事项汇总表!$E$7:$E$10020,IF(OR(MID(TRIM($A360),2,1)="：",MID(TRIM($A360),2,1)="."),REPLACEB(TRIM($A360),1,2,""),TRIM($A360)))</f>
        <v>0</v>
      </c>
      <c r="G360" s="810">
        <f>SUMIFS(调整事项汇总表!$I$7:$I$10020,调整事项汇总表!$D$7:$D$10020,"其他",调整事项汇总表!$E$7:$E$10020,IF(OR(MID(TRIM($A360),2,1)="：",MID(TRIM($A360),2,1)="."),REPLACEB(TRIM($A360),1,2,""),TRIM($A360)))</f>
        <v>0</v>
      </c>
      <c r="H360" s="810">
        <f>SUMIFS(调整事项汇总表!$I$7:$I$10020,调整事项汇总表!$D$7:$D$10020,"其他",调整事项汇总表!$E$7:$E$10020,IF(OR(MID(TRIM($A360),2,1)="：",MID(TRIM($A360),2,1)="."),REPLACEB(TRIM($A360),1,2,""),TRIM($A360)))</f>
        <v>0</v>
      </c>
      <c r="I360" s="810">
        <f t="shared" si="99"/>
        <v>0</v>
      </c>
      <c r="J360" s="38" t="b">
        <f>A360=未审报表!A360</f>
        <v>1</v>
      </c>
      <c r="K360" s="75" t="b">
        <f>审定报表!A360=TB!A360</f>
        <v>1</v>
      </c>
    </row>
    <row r="361" spans="1:11">
      <c r="A361" s="830" t="str">
        <f>未审报表!A361</f>
        <v xml:space="preserve">     存货的减少（增加以“－”号填列）</v>
      </c>
      <c r="B361" s="810">
        <f>未审报表!C361</f>
        <v>0</v>
      </c>
      <c r="C361" s="810">
        <f>SUMIFS(调整事项汇总表!$I$7:$I$10020,调整事项汇总表!$D$7:$D$10020,"账项调整",调整事项汇总表!$E$7:$E$10020,IF(OR(MID(TRIM($A361),2,1)="：",MID(TRIM($A361),2,1)="."),REPLACEB(TRIM($A361),1,2,""),TRIM($A361)))</f>
        <v>0</v>
      </c>
      <c r="D361" s="810">
        <f>SUMIFS(调整事项汇总表!$J$7:$J$10020,调整事项汇总表!$D$7:$D$10020,"账项调整",调整事项汇总表!$E$7:$E$10020,IF(OR(MID(TRIM($A361),2,1)="：",MID(TRIM($A361),2,1)="."),REPLACEB(TRIM($A361),1,2,""),TRIM($A361)))</f>
        <v>0</v>
      </c>
      <c r="E361" s="810">
        <f>SUMIFS(调整事项汇总表!$I$7:$I$10020,调整事项汇总表!$D$7:$D$10020,"报表调整",调整事项汇总表!$E$7:$E$10020,IF(OR(MID(TRIM($A361),2,1)="：",MID(TRIM($A361),2,1)="."),REPLACEB(TRIM($A361),1,2,""),TRIM($A361)))</f>
        <v>0</v>
      </c>
      <c r="F361" s="810">
        <f>SUMIFS(调整事项汇总表!$J$7:$J$10020,调整事项汇总表!$D$7:$D$10020,"报表调整",调整事项汇总表!$E$7:$E$10020,IF(OR(MID(TRIM($A361),2,1)="：",MID(TRIM($A361),2,1)="."),REPLACEB(TRIM($A361),1,2,""),TRIM($A361)))</f>
        <v>0</v>
      </c>
      <c r="G361" s="810">
        <f>SUMIFS(调整事项汇总表!$I$7:$I$10020,调整事项汇总表!$D$7:$D$10020,"其他",调整事项汇总表!$E$7:$E$10020,IF(OR(MID(TRIM($A361),2,1)="：",MID(TRIM($A361),2,1)="."),REPLACEB(TRIM($A361),1,2,""),TRIM($A361)))</f>
        <v>0</v>
      </c>
      <c r="H361" s="810">
        <f>SUMIFS(调整事项汇总表!$I$7:$I$10020,调整事项汇总表!$D$7:$D$10020,"其他",调整事项汇总表!$E$7:$E$10020,IF(OR(MID(TRIM($A361),2,1)="：",MID(TRIM($A361),2,1)="."),REPLACEB(TRIM($A361),1,2,""),TRIM($A361)))</f>
        <v>0</v>
      </c>
      <c r="I361" s="810">
        <f t="shared" si="99"/>
        <v>0</v>
      </c>
      <c r="J361" s="38" t="b">
        <f>A361=未审报表!A361</f>
        <v>1</v>
      </c>
      <c r="K361" s="75" t="b">
        <f>审定报表!A361=TB!A361</f>
        <v>1</v>
      </c>
    </row>
    <row r="362" spans="1:11">
      <c r="A362" s="830" t="str">
        <f>未审报表!A362</f>
        <v xml:space="preserve">     经营性应收项目的减少（增加以“－”号填列）</v>
      </c>
      <c r="B362" s="810">
        <f>未审报表!C362</f>
        <v>0</v>
      </c>
      <c r="C362" s="810">
        <f>SUMIFS(调整事项汇总表!$I$7:$I$10020,调整事项汇总表!$D$7:$D$10020,"账项调整",调整事项汇总表!$E$7:$E$10020,IF(OR(MID(TRIM($A362),2,1)="：",MID(TRIM($A362),2,1)="."),REPLACEB(TRIM($A362),1,2,""),TRIM($A362)))</f>
        <v>0</v>
      </c>
      <c r="D362" s="810">
        <f>SUMIFS(调整事项汇总表!$J$7:$J$10020,调整事项汇总表!$D$7:$D$10020,"账项调整",调整事项汇总表!$E$7:$E$10020,IF(OR(MID(TRIM($A362),2,1)="：",MID(TRIM($A362),2,1)="."),REPLACEB(TRIM($A362),1,2,""),TRIM($A362)))</f>
        <v>0</v>
      </c>
      <c r="E362" s="810">
        <f>SUMIFS(调整事项汇总表!$I$7:$I$10020,调整事项汇总表!$D$7:$D$10020,"报表调整",调整事项汇总表!$E$7:$E$10020,IF(OR(MID(TRIM($A362),2,1)="：",MID(TRIM($A362),2,1)="."),REPLACEB(TRIM($A362),1,2,""),TRIM($A362)))</f>
        <v>0</v>
      </c>
      <c r="F362" s="810">
        <f>SUMIFS(调整事项汇总表!$J$7:$J$10020,调整事项汇总表!$D$7:$D$10020,"报表调整",调整事项汇总表!$E$7:$E$10020,IF(OR(MID(TRIM($A362),2,1)="：",MID(TRIM($A362),2,1)="."),REPLACEB(TRIM($A362),1,2,""),TRIM($A362)))</f>
        <v>0</v>
      </c>
      <c r="G362" s="810">
        <f>SUMIFS(调整事项汇总表!$I$7:$I$10020,调整事项汇总表!$D$7:$D$10020,"其他",调整事项汇总表!$E$7:$E$10020,IF(OR(MID(TRIM($A362),2,1)="：",MID(TRIM($A362),2,1)="."),REPLACEB(TRIM($A362),1,2,""),TRIM($A362)))</f>
        <v>0</v>
      </c>
      <c r="H362" s="810">
        <f>SUMIFS(调整事项汇总表!$I$7:$I$10020,调整事项汇总表!$D$7:$D$10020,"其他",调整事项汇总表!$E$7:$E$10020,IF(OR(MID(TRIM($A362),2,1)="：",MID(TRIM($A362),2,1)="."),REPLACEB(TRIM($A362),1,2,""),TRIM($A362)))</f>
        <v>0</v>
      </c>
      <c r="I362" s="810">
        <f t="shared" si="99"/>
        <v>0</v>
      </c>
      <c r="J362" s="38" t="b">
        <f>A362=未审报表!A362</f>
        <v>1</v>
      </c>
      <c r="K362" s="75" t="b">
        <f>审定报表!A362=TB!A362</f>
        <v>1</v>
      </c>
    </row>
    <row r="363" spans="1:11">
      <c r="A363" s="830" t="str">
        <f>未审报表!A363</f>
        <v xml:space="preserve">     经营性应付项目的增加（减少以“－”号填列）</v>
      </c>
      <c r="B363" s="810">
        <f>未审报表!C363</f>
        <v>0</v>
      </c>
      <c r="C363" s="810">
        <f>SUMIFS(调整事项汇总表!$I$7:$I$10020,调整事项汇总表!$D$7:$D$10020,"账项调整",调整事项汇总表!$E$7:$E$10020,IF(OR(MID(TRIM($A363),2,1)="：",MID(TRIM($A363),2,1)="."),REPLACEB(TRIM($A363),1,2,""),TRIM($A363)))</f>
        <v>0</v>
      </c>
      <c r="D363" s="810">
        <f>SUMIFS(调整事项汇总表!$J$7:$J$10020,调整事项汇总表!$D$7:$D$10020,"账项调整",调整事项汇总表!$E$7:$E$10020,IF(OR(MID(TRIM($A363),2,1)="：",MID(TRIM($A363),2,1)="."),REPLACEB(TRIM($A363),1,2,""),TRIM($A363)))</f>
        <v>0</v>
      </c>
      <c r="E363" s="810">
        <f>SUMIFS(调整事项汇总表!$I$7:$I$10020,调整事项汇总表!$D$7:$D$10020,"报表调整",调整事项汇总表!$E$7:$E$10020,IF(OR(MID(TRIM($A363),2,1)="：",MID(TRIM($A363),2,1)="."),REPLACEB(TRIM($A363),1,2,""),TRIM($A363)))</f>
        <v>0</v>
      </c>
      <c r="F363" s="810">
        <f>SUMIFS(调整事项汇总表!$J$7:$J$10020,调整事项汇总表!$D$7:$D$10020,"报表调整",调整事项汇总表!$E$7:$E$10020,IF(OR(MID(TRIM($A363),2,1)="：",MID(TRIM($A363),2,1)="."),REPLACEB(TRIM($A363),1,2,""),TRIM($A363)))</f>
        <v>0</v>
      </c>
      <c r="G363" s="810">
        <f>SUMIFS(调整事项汇总表!$I$7:$I$10020,调整事项汇总表!$D$7:$D$10020,"其他",调整事项汇总表!$E$7:$E$10020,IF(OR(MID(TRIM($A363),2,1)="：",MID(TRIM($A363),2,1)="."),REPLACEB(TRIM($A363),1,2,""),TRIM($A363)))</f>
        <v>0</v>
      </c>
      <c r="H363" s="810">
        <f>SUMIFS(调整事项汇总表!$I$7:$I$10020,调整事项汇总表!$D$7:$D$10020,"其他",调整事项汇总表!$E$7:$E$10020,IF(OR(MID(TRIM($A363),2,1)="：",MID(TRIM($A363),2,1)="."),REPLACEB(TRIM($A363),1,2,""),TRIM($A363)))</f>
        <v>0</v>
      </c>
      <c r="I363" s="810">
        <f t="shared" si="99"/>
        <v>0</v>
      </c>
      <c r="J363" s="38" t="b">
        <f>A363=未审报表!A363</f>
        <v>1</v>
      </c>
      <c r="K363" s="75" t="b">
        <f>审定报表!A363=TB!A363</f>
        <v>1</v>
      </c>
    </row>
    <row r="364" spans="1:11">
      <c r="A364" s="830" t="str">
        <f>未审报表!A364</f>
        <v xml:space="preserve">     其他</v>
      </c>
      <c r="B364" s="810">
        <f>未审报表!C364</f>
        <v>0</v>
      </c>
      <c r="C364" s="810">
        <f>SUMIFS(调整事项汇总表!$I$7:$I$10020,调整事项汇总表!$D$7:$D$10020,"账项调整",调整事项汇总表!$E$7:$E$10020,"其他（现）")</f>
        <v>0</v>
      </c>
      <c r="D364" s="810">
        <f>SUMIFS(调整事项汇总表!$J$7:$J$10020,调整事项汇总表!$D$7:$D$10020,"账项调整",调整事项汇总表!$E$7:$E$10020,"其他（现）")</f>
        <v>0</v>
      </c>
      <c r="E364" s="810">
        <f>SUMIFS(调整事项汇总表!$I$7:$I$10020,调整事项汇总表!$D$7:$D$10020,"报表调整",调整事项汇总表!$E$7:$E$10020,"其他（现）")</f>
        <v>0</v>
      </c>
      <c r="F364" s="810">
        <f>SUMIFS(调整事项汇总表!$J$7:$J$10020,调整事项汇总表!$D$7:$D$10020,"报表调整",调整事项汇总表!$E$7:$E$10020,"其他（现）")</f>
        <v>0</v>
      </c>
      <c r="G364" s="810">
        <f>SUMIFS(调整事项汇总表!$I$7:$I$10020,调整事项汇总表!$D$7:$D$10020,"其他",调整事项汇总表!$E$7:$E$10020,"其他（现）")</f>
        <v>0</v>
      </c>
      <c r="H364" s="810">
        <f>SUMIFS(调整事项汇总表!$J$7:$J$10020,调整事项汇总表!$D$7:$D$10020,"其他",调整事项汇总表!$E$7:$E$10020,"其他（现）")</f>
        <v>0</v>
      </c>
      <c r="I364" s="810">
        <f t="shared" si="99"/>
        <v>0</v>
      </c>
      <c r="J364" s="38" t="b">
        <f>A364=未审报表!A364</f>
        <v>1</v>
      </c>
      <c r="K364" s="75" t="b">
        <f>审定报表!A364=TB!A364</f>
        <v>1</v>
      </c>
    </row>
    <row r="365" spans="1:11">
      <c r="A365" s="830">
        <f>未审报表!A365</f>
        <v>0</v>
      </c>
      <c r="B365" s="816"/>
      <c r="C365" s="816"/>
      <c r="D365" s="816"/>
      <c r="E365" s="816"/>
      <c r="F365" s="816"/>
      <c r="G365" s="816"/>
      <c r="H365" s="816"/>
      <c r="I365" s="831"/>
      <c r="J365" s="38" t="b">
        <f>A365=未审报表!A365</f>
        <v>1</v>
      </c>
      <c r="K365" s="75" t="b">
        <f>审定报表!A365=TB!A365</f>
        <v>1</v>
      </c>
    </row>
    <row r="366" spans="1:11">
      <c r="A366" s="828" t="str">
        <f>未审报表!A366</f>
        <v xml:space="preserve">     经营活动产生的现金流量净额</v>
      </c>
      <c r="B366" s="812">
        <f>未审报表!C366</f>
        <v>24749814.960000001</v>
      </c>
      <c r="C366" s="812">
        <f>SUM(C345:C365)</f>
        <v>4442545.74</v>
      </c>
      <c r="D366" s="812">
        <f t="shared" ref="D366:H366" si="100">SUM(D345:D365)</f>
        <v>11608422.74</v>
      </c>
      <c r="E366" s="812">
        <f t="shared" si="100"/>
        <v>0</v>
      </c>
      <c r="F366" s="812">
        <f t="shared" si="100"/>
        <v>0</v>
      </c>
      <c r="G366" s="812">
        <f t="shared" si="100"/>
        <v>0</v>
      </c>
      <c r="H366" s="812">
        <f t="shared" si="100"/>
        <v>0</v>
      </c>
      <c r="I366" s="812">
        <f>SUM(I345:I365)</f>
        <v>32477874.120000005</v>
      </c>
      <c r="J366" s="38" t="b">
        <f>A366=未审报表!A366</f>
        <v>1</v>
      </c>
      <c r="K366" s="75" t="b">
        <f>审定报表!A366=TB!A366</f>
        <v>1</v>
      </c>
    </row>
    <row r="367" spans="1:11">
      <c r="A367" s="830">
        <f>未审报表!A367</f>
        <v>0</v>
      </c>
      <c r="B367" s="816"/>
      <c r="C367" s="816"/>
      <c r="D367" s="816"/>
      <c r="E367" s="816"/>
      <c r="F367" s="816"/>
      <c r="G367" s="816"/>
      <c r="H367" s="816"/>
      <c r="I367" s="831"/>
      <c r="J367" s="38" t="b">
        <f>A367=未审报表!A367</f>
        <v>1</v>
      </c>
      <c r="K367" s="75" t="b">
        <f>审定报表!A367=TB!A367</f>
        <v>1</v>
      </c>
    </row>
    <row r="368" spans="1:11">
      <c r="A368" s="830" t="str">
        <f>未审报表!A368</f>
        <v>2、不涉及现金收支的投资和筹资活动：</v>
      </c>
      <c r="B368" s="816"/>
      <c r="C368" s="816"/>
      <c r="D368" s="816"/>
      <c r="E368" s="816"/>
      <c r="F368" s="816"/>
      <c r="G368" s="816"/>
      <c r="H368" s="816"/>
      <c r="I368" s="831"/>
      <c r="J368" s="38" t="b">
        <f>A368=未审报表!A368</f>
        <v>1</v>
      </c>
      <c r="K368" s="75" t="b">
        <f>审定报表!A368=TB!A368</f>
        <v>1</v>
      </c>
    </row>
    <row r="369" spans="1:11">
      <c r="A369" s="830" t="str">
        <f>未审报表!A369</f>
        <v xml:space="preserve">     债务转为资本</v>
      </c>
      <c r="B369" s="810">
        <f>未审报表!C369</f>
        <v>0</v>
      </c>
      <c r="C369" s="810">
        <f>SUMIFS(调整事项汇总表!$I$7:$I$10020,调整事项汇总表!$D$7:$D$10020,"账项调整",调整事项汇总表!$E$7:$E$10020,IF(OR(MID(TRIM($A369),2,1)="：",MID(TRIM($A369),2,1)="."),REPLACEB(TRIM($A369),1,2,""),TRIM($A369)))</f>
        <v>0</v>
      </c>
      <c r="D369" s="810">
        <f>SUMIFS(调整事项汇总表!$J$7:$J$10020,调整事项汇总表!$D$7:$D$10020,"账项调整",调整事项汇总表!$E$7:$E$10020,IF(OR(MID(TRIM($A369),2,1)="：",MID(TRIM($A369),2,1)="."),REPLACEB(TRIM($A369),1,2,""),TRIM($A369)))</f>
        <v>0</v>
      </c>
      <c r="E369" s="810">
        <f>SUMIFS(调整事项汇总表!$I$7:$I$10020,调整事项汇总表!$D$7:$D$10020,"报表调整",调整事项汇总表!$E$7:$E$10020,IF(OR(MID(TRIM($A369),2,1)="：",MID(TRIM($A369),2,1)="."),REPLACEB(TRIM($A369),1,2,""),TRIM($A369)))</f>
        <v>0</v>
      </c>
      <c r="F369" s="810">
        <f>SUMIFS(调整事项汇总表!$J$7:$J$10020,调整事项汇总表!$D$7:$D$10020,"报表调整",调整事项汇总表!$E$7:$E$10020,IF(OR(MID(TRIM($A369),2,1)="：",MID(TRIM($A369),2,1)="."),REPLACEB(TRIM($A369),1,2,""),TRIM($A369)))</f>
        <v>0</v>
      </c>
      <c r="G369" s="810">
        <f>SUMIFS(调整事项汇总表!$I$7:$I$10020,调整事项汇总表!$D$7:$D$10020,"其他",调整事项汇总表!$E$7:$E$10020,IF(OR(MID(TRIM($A369),2,1)="：",MID(TRIM($A369),2,1)="."),REPLACEB(TRIM($A369),1,2,""),TRIM($A369)))</f>
        <v>0</v>
      </c>
      <c r="H369" s="810">
        <f>SUMIFS(调整事项汇总表!$I$7:$I$10020,调整事项汇总表!$D$7:$D$10020,"其他",调整事项汇总表!$E$7:$E$10020,IF(OR(MID(TRIM($A369),2,1)="：",MID(TRIM($A369),2,1)="."),REPLACEB(TRIM($A369),1,2,""),TRIM($A369)))</f>
        <v>0</v>
      </c>
      <c r="I369" s="810">
        <f>B369+C369+E369+G369-H369-F369-D369</f>
        <v>0</v>
      </c>
      <c r="J369" s="38" t="b">
        <f>A369=未审报表!A369</f>
        <v>1</v>
      </c>
      <c r="K369" s="75" t="b">
        <f>审定报表!A369=TB!A369</f>
        <v>1</v>
      </c>
    </row>
    <row r="370" spans="1:11">
      <c r="A370" s="830" t="str">
        <f>未审报表!A370</f>
        <v xml:space="preserve">     一年内到期的可转换公司债券</v>
      </c>
      <c r="B370" s="810">
        <f>未审报表!C370</f>
        <v>0</v>
      </c>
      <c r="C370" s="810">
        <f>SUMIFS(调整事项汇总表!$I$7:$I$10020,调整事项汇总表!$D$7:$D$10020,"账项调整",调整事项汇总表!$E$7:$E$10020,IF(OR(MID(TRIM($A370),2,1)="：",MID(TRIM($A370),2,1)="."),REPLACEB(TRIM($A370),1,2,""),TRIM($A370)))</f>
        <v>0</v>
      </c>
      <c r="D370" s="810">
        <f>SUMIFS(调整事项汇总表!$J$7:$J$10020,调整事项汇总表!$D$7:$D$10020,"账项调整",调整事项汇总表!$E$7:$E$10020,IF(OR(MID(TRIM($A370),2,1)="：",MID(TRIM($A370),2,1)="."),REPLACEB(TRIM($A370),1,2,""),TRIM($A370)))</f>
        <v>0</v>
      </c>
      <c r="E370" s="810">
        <f>SUMIFS(调整事项汇总表!$I$7:$I$10020,调整事项汇总表!$D$7:$D$10020,"报表调整",调整事项汇总表!$E$7:$E$10020,IF(OR(MID(TRIM($A370),2,1)="：",MID(TRIM($A370),2,1)="."),REPLACEB(TRIM($A370),1,2,""),TRIM($A370)))</f>
        <v>0</v>
      </c>
      <c r="F370" s="810">
        <f>SUMIFS(调整事项汇总表!$J$7:$J$10020,调整事项汇总表!$D$7:$D$10020,"报表调整",调整事项汇总表!$E$7:$E$10020,IF(OR(MID(TRIM($A370),2,1)="：",MID(TRIM($A370),2,1)="."),REPLACEB(TRIM($A370),1,2,""),TRIM($A370)))</f>
        <v>0</v>
      </c>
      <c r="G370" s="810">
        <f>SUMIFS(调整事项汇总表!$I$7:$I$10020,调整事项汇总表!$D$7:$D$10020,"其他",调整事项汇总表!$E$7:$E$10020,IF(OR(MID(TRIM($A370),2,1)="：",MID(TRIM($A370),2,1)="."),REPLACEB(TRIM($A370),1,2,""),TRIM($A370)))</f>
        <v>0</v>
      </c>
      <c r="H370" s="810">
        <f>SUMIFS(调整事项汇总表!$I$7:$I$10020,调整事项汇总表!$D$7:$D$10020,"其他",调整事项汇总表!$E$7:$E$10020,IF(OR(MID(TRIM($A370),2,1)="：",MID(TRIM($A370),2,1)="."),REPLACEB(TRIM($A370),1,2,""),TRIM($A370)))</f>
        <v>0</v>
      </c>
      <c r="I370" s="810">
        <f t="shared" ref="I370:I372" si="101">B370+C370+E370+G370-H370-F370-D370</f>
        <v>0</v>
      </c>
      <c r="J370" s="38" t="b">
        <f>A370=未审报表!A370</f>
        <v>1</v>
      </c>
      <c r="K370" s="75" t="b">
        <f>审定报表!A370=TB!A370</f>
        <v>1</v>
      </c>
    </row>
    <row r="371" spans="1:11">
      <c r="A371" s="830" t="str">
        <f>未审报表!A371</f>
        <v xml:space="preserve">     融资租入固定资产</v>
      </c>
      <c r="B371" s="810">
        <f>未审报表!C371</f>
        <v>0</v>
      </c>
      <c r="C371" s="810">
        <f>SUMIFS(调整事项汇总表!$I$7:$I$10020,调整事项汇总表!$D$7:$D$10020,"账项调整",调整事项汇总表!$E$7:$E$10020,IF(OR(MID(TRIM($A371),2,1)="：",MID(TRIM($A371),2,1)="."),REPLACEB(TRIM($A371),1,2,""),TRIM($A371)))</f>
        <v>0</v>
      </c>
      <c r="D371" s="810">
        <f>SUMIFS(调整事项汇总表!$J$7:$J$10020,调整事项汇总表!$D$7:$D$10020,"账项调整",调整事项汇总表!$E$7:$E$10020,IF(OR(MID(TRIM($A371),2,1)="：",MID(TRIM($A371),2,1)="."),REPLACEB(TRIM($A371),1,2,""),TRIM($A371)))</f>
        <v>0</v>
      </c>
      <c r="E371" s="810">
        <f>SUMIFS(调整事项汇总表!$I$7:$I$10020,调整事项汇总表!$D$7:$D$10020,"报表调整",调整事项汇总表!$E$7:$E$10020,IF(OR(MID(TRIM($A371),2,1)="：",MID(TRIM($A371),2,1)="."),REPLACEB(TRIM($A371),1,2,""),TRIM($A371)))</f>
        <v>0</v>
      </c>
      <c r="F371" s="810">
        <f>SUMIFS(调整事项汇总表!$J$7:$J$10020,调整事项汇总表!$D$7:$D$10020,"报表调整",调整事项汇总表!$E$7:$E$10020,IF(OR(MID(TRIM($A371),2,1)="：",MID(TRIM($A371),2,1)="."),REPLACEB(TRIM($A371),1,2,""),TRIM($A371)))</f>
        <v>0</v>
      </c>
      <c r="G371" s="810">
        <f>SUMIFS(调整事项汇总表!$I$7:$I$10020,调整事项汇总表!$D$7:$D$10020,"其他",调整事项汇总表!$E$7:$E$10020,IF(OR(MID(TRIM($A371),2,1)="：",MID(TRIM($A371),2,1)="."),REPLACEB(TRIM($A371),1,2,""),TRIM($A371)))</f>
        <v>0</v>
      </c>
      <c r="H371" s="810">
        <f>SUMIFS(调整事项汇总表!$I$7:$I$10020,调整事项汇总表!$D$7:$D$10020,"其他",调整事项汇总表!$E$7:$E$10020,IF(OR(MID(TRIM($A371),2,1)="：",MID(TRIM($A371),2,1)="."),REPLACEB(TRIM($A371),1,2,""),TRIM($A371)))</f>
        <v>0</v>
      </c>
      <c r="I371" s="810">
        <f t="shared" si="101"/>
        <v>0</v>
      </c>
      <c r="J371" s="38" t="b">
        <f>A371=未审报表!A371</f>
        <v>1</v>
      </c>
      <c r="K371" s="75" t="b">
        <f>审定报表!A371=TB!A371</f>
        <v>1</v>
      </c>
    </row>
    <row r="372" spans="1:11">
      <c r="A372" s="830" t="str">
        <f>未审报表!A372</f>
        <v xml:space="preserve">    当期新增的使用权资产</v>
      </c>
      <c r="B372" s="810">
        <f>未审报表!C372</f>
        <v>0</v>
      </c>
      <c r="C372" s="810">
        <f>SUMIFS(调整事项汇总表!$I$7:$I$10020,调整事项汇总表!$D$7:$D$10020,"账项调整",调整事项汇总表!$E$7:$E$10020,IF(OR(MID(TRIM($A372),2,1)="：",MID(TRIM($A372),2,1)="."),REPLACEB(TRIM($A372),1,2,""),TRIM($A372)))</f>
        <v>0</v>
      </c>
      <c r="D372" s="810">
        <f>SUMIFS(调整事项汇总表!$J$7:$J$10020,调整事项汇总表!$D$7:$D$10020,"账项调整",调整事项汇总表!$E$7:$E$10020,IF(OR(MID(TRIM($A372),2,1)="：",MID(TRIM($A372),2,1)="."),REPLACEB(TRIM($A372),1,2,""),TRIM($A372)))</f>
        <v>0</v>
      </c>
      <c r="E372" s="810">
        <f>SUMIFS(调整事项汇总表!$I$7:$I$10020,调整事项汇总表!$D$7:$D$10020,"报表调整",调整事项汇总表!$E$7:$E$10020,IF(OR(MID(TRIM($A372),2,1)="：",MID(TRIM($A372),2,1)="."),REPLACEB(TRIM($A372),1,2,""),TRIM($A372)))</f>
        <v>0</v>
      </c>
      <c r="F372" s="810">
        <f>SUMIFS(调整事项汇总表!$J$7:$J$10020,调整事项汇总表!$D$7:$D$10020,"报表调整",调整事项汇总表!$E$7:$E$10020,IF(OR(MID(TRIM($A372),2,1)="：",MID(TRIM($A372),2,1)="."),REPLACEB(TRIM($A372),1,2,""),TRIM($A372)))</f>
        <v>0</v>
      </c>
      <c r="G372" s="810">
        <f>SUMIFS(调整事项汇总表!$I$7:$I$10020,调整事项汇总表!$D$7:$D$10020,"其他",调整事项汇总表!$E$7:$E$10020,IF(OR(MID(TRIM($A372),2,1)="：",MID(TRIM($A372),2,1)="."),REPLACEB(TRIM($A372),1,2,""),TRIM($A372)))</f>
        <v>0</v>
      </c>
      <c r="H372" s="810">
        <f>SUMIFS(调整事项汇总表!$I$7:$I$10020,调整事项汇总表!$D$7:$D$10020,"其他",调整事项汇总表!$E$7:$E$10020,IF(OR(MID(TRIM($A372),2,1)="：",MID(TRIM($A372),2,1)="."),REPLACEB(TRIM($A372),1,2,""),TRIM($A372)))</f>
        <v>0</v>
      </c>
      <c r="I372" s="810">
        <f t="shared" si="101"/>
        <v>0</v>
      </c>
      <c r="J372" s="38" t="b">
        <f>A372=未审报表!A372</f>
        <v>1</v>
      </c>
      <c r="K372" s="75" t="b">
        <f>审定报表!A372=TB!A372</f>
        <v>1</v>
      </c>
    </row>
    <row r="373" spans="1:11">
      <c r="A373" s="830">
        <f>未审报表!A373</f>
        <v>0</v>
      </c>
      <c r="B373" s="831"/>
      <c r="C373" s="831"/>
      <c r="D373" s="831"/>
      <c r="E373" s="831"/>
      <c r="F373" s="831"/>
      <c r="G373" s="831"/>
      <c r="H373" s="831"/>
      <c r="I373" s="831"/>
      <c r="J373" s="38" t="b">
        <f>A373=未审报表!A373</f>
        <v>1</v>
      </c>
      <c r="K373" s="75" t="b">
        <f>审定报表!A373=TB!A373</f>
        <v>1</v>
      </c>
    </row>
    <row r="374" spans="1:11">
      <c r="A374" s="830">
        <f>未审报表!A374</f>
        <v>0</v>
      </c>
      <c r="B374" s="816"/>
      <c r="C374" s="816"/>
      <c r="D374" s="816"/>
      <c r="E374" s="816"/>
      <c r="F374" s="816"/>
      <c r="G374" s="816"/>
      <c r="H374" s="816"/>
      <c r="I374" s="831"/>
      <c r="J374" s="38" t="b">
        <f>A374=未审报表!A374</f>
        <v>1</v>
      </c>
      <c r="K374" s="75" t="b">
        <f>审定报表!A374=TB!A374</f>
        <v>1</v>
      </c>
    </row>
    <row r="375" spans="1:11">
      <c r="A375" s="830" t="str">
        <f>未审报表!A375</f>
        <v>3、现金及现金等价物净变动情况：</v>
      </c>
      <c r="B375" s="816"/>
      <c r="C375" s="816"/>
      <c r="D375" s="816"/>
      <c r="E375" s="816"/>
      <c r="F375" s="816"/>
      <c r="G375" s="816"/>
      <c r="H375" s="816"/>
      <c r="I375" s="831"/>
      <c r="J375" s="38" t="b">
        <f>A375=未审报表!A375</f>
        <v>1</v>
      </c>
      <c r="K375" s="75" t="b">
        <f>审定报表!A375=TB!A375</f>
        <v>1</v>
      </c>
    </row>
    <row r="376" spans="1:11">
      <c r="A376" s="830" t="str">
        <f>未审报表!A376</f>
        <v xml:space="preserve">     现金的期末余额</v>
      </c>
      <c r="B376" s="810">
        <f>未审报表!C376</f>
        <v>0</v>
      </c>
      <c r="C376" s="810">
        <f>SUMIFS(调整事项汇总表!$I$7:$I$10020,调整事项汇总表!$D$7:$D$10020,"账项调整",调整事项汇总表!$E$7:$E$10020,IF(OR(MID(TRIM($A376),2,1)="：",MID(TRIM($A376),2,1)="."),REPLACEB(TRIM($A376),1,2,""),TRIM($A376)))</f>
        <v>0</v>
      </c>
      <c r="D376" s="810">
        <f>SUMIFS(调整事项汇总表!$J$7:$J$10020,调整事项汇总表!$D$7:$D$10020,"账项调整",调整事项汇总表!$E$7:$E$10020,IF(OR(MID(TRIM($A376),2,1)="：",MID(TRIM($A376),2,1)="."),REPLACEB(TRIM($A376),1,2,""),TRIM($A376)))</f>
        <v>0</v>
      </c>
      <c r="E376" s="810">
        <f>SUMIFS(调整事项汇总表!$I$7:$I$10020,调整事项汇总表!$D$7:$D$10020,"报表调整",调整事项汇总表!$E$7:$E$10020,IF(OR(MID(TRIM($A376),2,1)="：",MID(TRIM($A376),2,1)="."),REPLACEB(TRIM($A376),1,2,""),TRIM($A376)))</f>
        <v>0</v>
      </c>
      <c r="F376" s="810">
        <f>SUMIFS(调整事项汇总表!$J$7:$J$10020,调整事项汇总表!$D$7:$D$10020,"报表调整",调整事项汇总表!$E$7:$E$10020,IF(OR(MID(TRIM($A376),2,1)="：",MID(TRIM($A376),2,1)="."),REPLACEB(TRIM($A376),1,2,""),TRIM($A376)))</f>
        <v>0</v>
      </c>
      <c r="G376" s="810">
        <f>SUMIFS(调整事项汇总表!$I$7:$I$10020,调整事项汇总表!$D$7:$D$10020,"其他",调整事项汇总表!$E$7:$E$10020,IF(OR(MID(TRIM($A376),2,1)="：",MID(TRIM($A376),2,1)="."),REPLACEB(TRIM($A376),1,2,""),TRIM($A376)))</f>
        <v>0</v>
      </c>
      <c r="H376" s="810">
        <f>SUMIFS(调整事项汇总表!$I$7:$I$10020,调整事项汇总表!$D$7:$D$10020,"其他",调整事项汇总表!$E$7:$E$10020,IF(OR(MID(TRIM($A376),2,1)="：",MID(TRIM($A376),2,1)="."),REPLACEB(TRIM($A376),1,2,""),TRIM($A376)))</f>
        <v>0</v>
      </c>
      <c r="I376" s="810">
        <f>B376+C376+E376+G376-H376-F376-D376</f>
        <v>0</v>
      </c>
      <c r="J376" s="38" t="b">
        <f>A376=未审报表!A376</f>
        <v>1</v>
      </c>
      <c r="K376" s="75" t="b">
        <f>审定报表!A376=TB!A376</f>
        <v>1</v>
      </c>
    </row>
    <row r="377" spans="1:11">
      <c r="A377" s="830" t="str">
        <f>未审报表!A377</f>
        <v xml:space="preserve">     减：现金的期初余额</v>
      </c>
      <c r="B377" s="810">
        <f>未审报表!C377</f>
        <v>0</v>
      </c>
      <c r="C377" s="810">
        <f>SUMIFS(调整事项汇总表!$I$7:$I$10020,调整事项汇总表!$D$7:$D$10020,"账项调整",调整事项汇总表!$E$7:$E$10020,IF(OR(MID(TRIM($A377),2,1)="：",MID(TRIM($A377),2,1)="."),REPLACEB(TRIM($A377),1,2,""),TRIM($A377)))</f>
        <v>0</v>
      </c>
      <c r="D377" s="810">
        <f>SUMIFS(调整事项汇总表!$J$7:$J$10020,调整事项汇总表!$D$7:$D$10020,"账项调整",调整事项汇总表!$E$7:$E$10020,IF(OR(MID(TRIM($A377),2,1)="：",MID(TRIM($A377),2,1)="."),REPLACEB(TRIM($A377),1,2,""),TRIM($A377)))</f>
        <v>0</v>
      </c>
      <c r="E377" s="810">
        <f>SUMIFS(调整事项汇总表!$I$7:$I$10020,调整事项汇总表!$D$7:$D$10020,"报表调整",调整事项汇总表!$E$7:$E$10020,IF(OR(MID(TRIM($A377),2,1)="：",MID(TRIM($A377),2,1)="."),REPLACEB(TRIM($A377),1,2,""),TRIM($A377)))</f>
        <v>0</v>
      </c>
      <c r="F377" s="810">
        <f>SUMIFS(调整事项汇总表!$J$7:$J$10020,调整事项汇总表!$D$7:$D$10020,"报表调整",调整事项汇总表!$E$7:$E$10020,IF(OR(MID(TRIM($A377),2,1)="：",MID(TRIM($A377),2,1)="."),REPLACEB(TRIM($A377),1,2,""),TRIM($A377)))</f>
        <v>0</v>
      </c>
      <c r="G377" s="810">
        <f>SUMIFS(调整事项汇总表!$I$7:$I$10020,调整事项汇总表!$D$7:$D$10020,"其他",调整事项汇总表!$E$7:$E$10020,IF(OR(MID(TRIM($A377),2,1)="：",MID(TRIM($A377),2,1)="."),REPLACEB(TRIM($A377),1,2,""),TRIM($A377)))</f>
        <v>0</v>
      </c>
      <c r="H377" s="810">
        <f>SUMIFS(调整事项汇总表!$I$7:$I$10020,调整事项汇总表!$D$7:$D$10020,"其他",调整事项汇总表!$E$7:$E$10020,IF(OR(MID(TRIM($A377),2,1)="：",MID(TRIM($A377),2,1)="."),REPLACEB(TRIM($A377),1,2,""),TRIM($A377)))</f>
        <v>0</v>
      </c>
      <c r="I377" s="810">
        <f>B377+D377+F377+H377-G377-E377-C377</f>
        <v>0</v>
      </c>
      <c r="J377" s="38" t="b">
        <f>A377=未审报表!A377</f>
        <v>1</v>
      </c>
      <c r="K377" s="75" t="b">
        <f>审定报表!A377=TB!A377</f>
        <v>1</v>
      </c>
    </row>
    <row r="378" spans="1:11">
      <c r="A378" s="830" t="str">
        <f>未审报表!A378</f>
        <v xml:space="preserve">     加：现金等价物的期末余额</v>
      </c>
      <c r="B378" s="810">
        <f>未审报表!C378</f>
        <v>0</v>
      </c>
      <c r="C378" s="810">
        <f>SUMIFS(调整事项汇总表!$I$7:$I$10020,调整事项汇总表!$D$7:$D$10020,"账项调整",调整事项汇总表!$E$7:$E$10020,IF(OR(MID(TRIM($A378),2,1)="：",MID(TRIM($A378),2,1)="."),REPLACEB(TRIM($A378),1,2,""),TRIM($A378)))</f>
        <v>0</v>
      </c>
      <c r="D378" s="810">
        <f>SUMIFS(调整事项汇总表!$J$7:$J$10020,调整事项汇总表!$D$7:$D$10020,"账项调整",调整事项汇总表!$E$7:$E$10020,IF(OR(MID(TRIM($A378),2,1)="：",MID(TRIM($A378),2,1)="."),REPLACEB(TRIM($A378),1,2,""),TRIM($A378)))</f>
        <v>0</v>
      </c>
      <c r="E378" s="810">
        <f>SUMIFS(调整事项汇总表!$I$7:$I$10020,调整事项汇总表!$D$7:$D$10020,"报表调整",调整事项汇总表!$E$7:$E$10020,IF(OR(MID(TRIM($A378),2,1)="：",MID(TRIM($A378),2,1)="."),REPLACEB(TRIM($A378),1,2,""),TRIM($A378)))</f>
        <v>0</v>
      </c>
      <c r="F378" s="810">
        <f>SUMIFS(调整事项汇总表!$J$7:$J$10020,调整事项汇总表!$D$7:$D$10020,"报表调整",调整事项汇总表!$E$7:$E$10020,IF(OR(MID(TRIM($A378),2,1)="：",MID(TRIM($A378),2,1)="."),REPLACEB(TRIM($A378),1,2,""),TRIM($A378)))</f>
        <v>0</v>
      </c>
      <c r="G378" s="810">
        <f>SUMIFS(调整事项汇总表!$I$7:$I$10020,调整事项汇总表!$D$7:$D$10020,"其他",调整事项汇总表!$E$7:$E$10020,IF(OR(MID(TRIM($A378),2,1)="：",MID(TRIM($A378),2,1)="."),REPLACEB(TRIM($A378),1,2,""),TRIM($A378)))</f>
        <v>0</v>
      </c>
      <c r="H378" s="810">
        <f>SUMIFS(调整事项汇总表!$I$7:$I$10020,调整事项汇总表!$D$7:$D$10020,"其他",调整事项汇总表!$E$7:$E$10020,IF(OR(MID(TRIM($A378),2,1)="：",MID(TRIM($A378),2,1)="."),REPLACEB(TRIM($A378),1,2,""),TRIM($A378)))</f>
        <v>0</v>
      </c>
      <c r="I378" s="810">
        <f>B378+C378+E378+G378-H378-F378-D378</f>
        <v>0</v>
      </c>
      <c r="J378" s="38" t="b">
        <f>A378=未审报表!A378</f>
        <v>1</v>
      </c>
      <c r="K378" s="75" t="b">
        <f>审定报表!A378=TB!A378</f>
        <v>1</v>
      </c>
    </row>
    <row r="379" spans="1:11">
      <c r="A379" s="830" t="str">
        <f>未审报表!A379</f>
        <v xml:space="preserve">     减：现金等价物的期初余额</v>
      </c>
      <c r="B379" s="810">
        <f>未审报表!C379</f>
        <v>0</v>
      </c>
      <c r="C379" s="810">
        <f>SUMIFS(调整事项汇总表!$I$7:$I$10020,调整事项汇总表!$D$7:$D$10020,"账项调整",调整事项汇总表!$E$7:$E$10020,IF(OR(MID(TRIM($A379),2,1)="：",MID(TRIM($A379),2,1)="."),REPLACEB(TRIM($A379),1,2,""),TRIM($A379)))</f>
        <v>0</v>
      </c>
      <c r="D379" s="810">
        <f>SUMIFS(调整事项汇总表!$J$7:$J$10020,调整事项汇总表!$D$7:$D$10020,"账项调整",调整事项汇总表!$E$7:$E$10020,IF(OR(MID(TRIM($A379),2,1)="：",MID(TRIM($A379),2,1)="."),REPLACEB(TRIM($A379),1,2,""),TRIM($A379)))</f>
        <v>0</v>
      </c>
      <c r="E379" s="810">
        <f>SUMIFS(调整事项汇总表!$I$7:$I$10020,调整事项汇总表!$D$7:$D$10020,"报表调整",调整事项汇总表!$E$7:$E$10020,IF(OR(MID(TRIM($A379),2,1)="：",MID(TRIM($A379),2,1)="."),REPLACEB(TRIM($A379),1,2,""),TRIM($A379)))</f>
        <v>0</v>
      </c>
      <c r="F379" s="810">
        <f>SUMIFS(调整事项汇总表!$J$7:$J$10020,调整事项汇总表!$D$7:$D$10020,"报表调整",调整事项汇总表!$E$7:$E$10020,IF(OR(MID(TRIM($A379),2,1)="：",MID(TRIM($A379),2,1)="."),REPLACEB(TRIM($A379),1,2,""),TRIM($A379)))</f>
        <v>0</v>
      </c>
      <c r="G379" s="810">
        <f>SUMIFS(调整事项汇总表!$I$7:$I$10020,调整事项汇总表!$D$7:$D$10020,"其他",调整事项汇总表!$E$7:$E$10020,IF(OR(MID(TRIM($A379),2,1)="：",MID(TRIM($A379),2,1)="."),REPLACEB(TRIM($A379),1,2,""),TRIM($A379)))</f>
        <v>0</v>
      </c>
      <c r="H379" s="810">
        <f>SUMIFS(调整事项汇总表!$I$7:$I$10020,调整事项汇总表!$D$7:$D$10020,"其他",调整事项汇总表!$E$7:$E$10020,IF(OR(MID(TRIM($A379),2,1)="：",MID(TRIM($A379),2,1)="."),REPLACEB(TRIM($A379),1,2,""),TRIM($A379)))</f>
        <v>0</v>
      </c>
      <c r="I379" s="810">
        <f>B379+D379+F379+H379-G379-E379-C379</f>
        <v>0</v>
      </c>
      <c r="J379" s="38" t="b">
        <f>A379=未审报表!A379</f>
        <v>1</v>
      </c>
      <c r="K379" s="75" t="b">
        <f>审定报表!A379=TB!A379</f>
        <v>1</v>
      </c>
    </row>
    <row r="380" spans="1:11">
      <c r="A380" s="830">
        <f>未审报表!A380</f>
        <v>0</v>
      </c>
      <c r="B380" s="816"/>
      <c r="C380" s="816"/>
      <c r="D380" s="816"/>
      <c r="E380" s="816"/>
      <c r="F380" s="816"/>
      <c r="G380" s="816"/>
      <c r="H380" s="816"/>
      <c r="I380" s="831"/>
      <c r="J380" s="38" t="b">
        <f>A380=未审报表!A380</f>
        <v>1</v>
      </c>
      <c r="K380" s="75" t="b">
        <f>审定报表!A380=TB!A380</f>
        <v>1</v>
      </c>
    </row>
    <row r="381" spans="1:11">
      <c r="A381" s="830">
        <f>未审报表!A381</f>
        <v>0</v>
      </c>
      <c r="B381" s="816"/>
      <c r="C381" s="816"/>
      <c r="D381" s="816"/>
      <c r="E381" s="816"/>
      <c r="F381" s="816"/>
      <c r="G381" s="816"/>
      <c r="H381" s="816"/>
      <c r="I381" s="831"/>
      <c r="J381" s="38" t="b">
        <f>A381=未审报表!A381</f>
        <v>1</v>
      </c>
      <c r="K381" s="75" t="b">
        <f>审定报表!A381=TB!A381</f>
        <v>1</v>
      </c>
    </row>
    <row r="382" spans="1:11">
      <c r="A382" s="830" t="str">
        <f>未审报表!A382</f>
        <v xml:space="preserve">     现金及现金等价物净增加额</v>
      </c>
      <c r="B382" s="810">
        <f>未审报表!C382</f>
        <v>0</v>
      </c>
      <c r="C382" s="810">
        <f>SUM(C376:C381)</f>
        <v>0</v>
      </c>
      <c r="D382" s="810">
        <f t="shared" ref="D382:H382" si="102">SUM(D376:D381)</f>
        <v>0</v>
      </c>
      <c r="E382" s="810">
        <f t="shared" si="102"/>
        <v>0</v>
      </c>
      <c r="F382" s="810">
        <f t="shared" si="102"/>
        <v>0</v>
      </c>
      <c r="G382" s="810">
        <f t="shared" si="102"/>
        <v>0</v>
      </c>
      <c r="H382" s="810">
        <f t="shared" si="102"/>
        <v>0</v>
      </c>
      <c r="I382" s="810">
        <f>I376-I377+I378-I379</f>
        <v>0</v>
      </c>
      <c r="J382" s="38" t="b">
        <f>A382=未审报表!A382</f>
        <v>1</v>
      </c>
      <c r="K382" s="75" t="b">
        <f>审定报表!A382=TB!A382</f>
        <v>1</v>
      </c>
    </row>
    <row r="383" spans="1:11">
      <c r="A383" s="837"/>
      <c r="C383" s="816"/>
      <c r="D383" s="816"/>
      <c r="E383" s="816"/>
      <c r="F383" s="816"/>
      <c r="G383" s="816"/>
      <c r="H383" s="816"/>
      <c r="I383" s="831"/>
      <c r="J383" s="38" t="b">
        <f>A383=未审报表!A383</f>
        <v>1</v>
      </c>
      <c r="K383" s="75" t="b">
        <f>审定报表!A383=TB!A383</f>
        <v>1</v>
      </c>
    </row>
  </sheetData>
  <sheetProtection formatCells="0" formatColumns="0" formatRows="0" insertRows="0" autoFilter="0" pivotTables="0"/>
  <autoFilter ref="A6:L383"/>
  <mergeCells count="6">
    <mergeCell ref="I5:I6"/>
    <mergeCell ref="A5:A6"/>
    <mergeCell ref="B5:B6"/>
    <mergeCell ref="C5:D5"/>
    <mergeCell ref="E5:F5"/>
    <mergeCell ref="G5:H5"/>
  </mergeCells>
  <phoneticPr fontId="4" type="noConversion"/>
  <conditionalFormatting sqref="A5:A6">
    <cfRule type="cellIs" dxfId="60" priority="1" stopIfTrue="1" operator="equal">
      <formula>"报表未调平!"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16"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rgb="FF92D050"/>
    <pageSetUpPr fitToPage="1"/>
  </sheetPr>
  <dimension ref="A1:M384"/>
  <sheetViews>
    <sheetView showZeros="0" view="pageBreakPreview" zoomScaleNormal="100" zoomScaleSheetLayoutView="100" workbookViewId="0">
      <pane xSplit="1" ySplit="6" topLeftCell="B178" activePane="bottomRight" state="frozen"/>
      <selection activeCell="B57" sqref="B57"/>
      <selection pane="topRight" activeCell="B57" sqref="B57"/>
      <selection pane="bottomLeft" activeCell="B57" sqref="B57"/>
      <selection pane="bottomRight" activeCell="I187" sqref="I187"/>
    </sheetView>
  </sheetViews>
  <sheetFormatPr defaultColWidth="7" defaultRowHeight="10.8" outlineLevelCol="1"/>
  <cols>
    <col min="1" max="1" width="48.69921875" style="425" customWidth="1"/>
    <col min="2" max="2" width="13" style="425" customWidth="1"/>
    <col min="3" max="5" width="11.59765625" style="425" customWidth="1"/>
    <col min="6" max="6" width="9.19921875" style="425" customWidth="1"/>
    <col min="7" max="8" width="10.09765625" style="425" customWidth="1" outlineLevel="1"/>
    <col min="9" max="9" width="18.59765625" style="425" bestFit="1" customWidth="1"/>
    <col min="10" max="11" width="9.09765625" style="425" bestFit="1" customWidth="1"/>
    <col min="12" max="12" width="6.69921875" style="425" bestFit="1" customWidth="1"/>
    <col min="13" max="13" width="8.3984375" style="425" bestFit="1" customWidth="1"/>
    <col min="14" max="16384" width="7" style="425"/>
  </cols>
  <sheetData>
    <row r="1" spans="1:12" ht="19.5" customHeight="1">
      <c r="A1" s="665" t="s">
        <v>1491</v>
      </c>
      <c r="B1" s="424"/>
      <c r="C1" s="424"/>
      <c r="D1" s="424"/>
      <c r="E1" s="424"/>
      <c r="F1" s="424"/>
      <c r="G1" s="424"/>
      <c r="H1" s="424"/>
      <c r="I1" s="424"/>
      <c r="L1" s="426"/>
    </row>
    <row r="2" spans="1:12" ht="15" customHeight="1">
      <c r="A2" s="427" t="str">
        <f>CONCATENATE("客户名称：",参数!D3)</f>
        <v>客户名称：二锅头</v>
      </c>
      <c r="C2" s="428" t="str">
        <f>CONCATENATE("编制：",参数!D17)</f>
        <v>编制：张</v>
      </c>
      <c r="D2" s="429"/>
      <c r="E2" s="427" t="str">
        <f ca="1">CONCATENATE("日期：",TEXT(NOW(),"yyyy.mm.dd"))</f>
        <v>日期：2025.11.06</v>
      </c>
      <c r="G2" s="427"/>
      <c r="H2" s="430"/>
      <c r="I2" s="428" t="s">
        <v>637</v>
      </c>
      <c r="L2" s="426"/>
    </row>
    <row r="3" spans="1:12" ht="17.25" customHeight="1">
      <c r="A3" s="427" t="str">
        <f>CONCATENATE("会计时点：",TEXT(参数!D12,"yyyy.mm.dd"))</f>
        <v>会计时点：2022.12.31</v>
      </c>
      <c r="C3" s="428" t="str">
        <f>CONCATENATE("复核：",参数!D18)</f>
        <v>复核：刘</v>
      </c>
      <c r="D3" s="427"/>
      <c r="E3" s="428" t="s">
        <v>638</v>
      </c>
      <c r="G3" s="427"/>
      <c r="H3" s="427"/>
      <c r="I3" s="428" t="s">
        <v>639</v>
      </c>
      <c r="L3" s="426"/>
    </row>
    <row r="4" spans="1:12" ht="17.25" customHeight="1">
      <c r="A4" s="427"/>
      <c r="C4" s="428"/>
      <c r="D4" s="427"/>
      <c r="E4" s="428"/>
      <c r="G4" s="427"/>
      <c r="H4" s="427"/>
      <c r="I4" s="428"/>
      <c r="L4" s="426"/>
    </row>
    <row r="5" spans="1:12" ht="14.25" customHeight="1">
      <c r="A5" s="1074" t="str">
        <f>IF((ROUND(I127,2))=(ROUND(I190,2)),"资       产","报表未调平!")</f>
        <v>资       产</v>
      </c>
      <c r="B5" s="1076" t="str">
        <f>CONCATENATE("上期审定期末数",TEXT(参数!D11,"yyyy.mm.dd"))</f>
        <v>上期审定期末数2021.12.31</v>
      </c>
      <c r="C5" s="1078" t="s">
        <v>640</v>
      </c>
      <c r="D5" s="1078"/>
      <c r="E5" s="1078" t="s">
        <v>641</v>
      </c>
      <c r="F5" s="1078"/>
      <c r="G5" s="1079" t="s">
        <v>1247</v>
      </c>
      <c r="H5" s="1080"/>
      <c r="I5" s="1072" t="str">
        <f>CONCATENATE("本期审定期初数",TEXT(参数!D11+1,"yyyy.mm.dd"))</f>
        <v>本期审定期初数2022.01.01</v>
      </c>
      <c r="L5" s="426"/>
    </row>
    <row r="6" spans="1:12">
      <c r="A6" s="1075"/>
      <c r="B6" s="1077"/>
      <c r="C6" s="780" t="s">
        <v>642</v>
      </c>
      <c r="D6" s="780" t="s">
        <v>643</v>
      </c>
      <c r="E6" s="780" t="s">
        <v>642</v>
      </c>
      <c r="F6" s="780" t="s">
        <v>643</v>
      </c>
      <c r="G6" s="781" t="s">
        <v>1248</v>
      </c>
      <c r="H6" s="781" t="s">
        <v>1249</v>
      </c>
      <c r="I6" s="1073"/>
      <c r="L6" s="426"/>
    </row>
    <row r="7" spans="1:12" ht="14.4" customHeight="1">
      <c r="A7" s="776" t="str">
        <f>未审报表!A7</f>
        <v>流动资产：</v>
      </c>
      <c r="B7" s="431"/>
      <c r="C7" s="431"/>
      <c r="D7" s="431"/>
      <c r="E7" s="431"/>
      <c r="F7" s="431"/>
      <c r="G7" s="431"/>
      <c r="H7" s="431"/>
      <c r="I7" s="774"/>
      <c r="J7" s="425" t="b">
        <f>A7=未审报表!A7</f>
        <v>1</v>
      </c>
      <c r="K7" s="425" t="b">
        <f>A7=审定报表!A7</f>
        <v>1</v>
      </c>
      <c r="L7" s="426"/>
    </row>
    <row r="8" spans="1:12" ht="14.4" customHeight="1">
      <c r="A8" s="777" t="str">
        <f>未审报表!A8</f>
        <v>货币资金</v>
      </c>
      <c r="B8" s="643">
        <f>期初核对!C8</f>
        <v>645471.34999999928</v>
      </c>
      <c r="C8" s="677">
        <f>SUMIFS(调整事项汇总表!$K$7:$K$10020,调整事项汇总表!$D$7:$D$10020,"账项调整",调整事项汇总表!$E$7:$E$10020,IF(OR(MID(TRIM($A8),2,1)="：",MID(TRIM($A8),2,1)="、"),REPLACEB(TRIM($A8),1,4,""),TRIM($A8)))</f>
        <v>0</v>
      </c>
      <c r="D8" s="677">
        <f>SUMIFS(调整事项汇总表!$L$7:$L$10020,调整事项汇总表!$D$7:$D$10020,"账项调整",调整事项汇总表!$E$7:$E$10020,IF(OR(MID(TRIM($A8),2,1)="：",MID(TRIM($A8),2,1)="、"),REPLACEB(TRIM($A8),1,4,""),TRIM($A8)))</f>
        <v>0</v>
      </c>
      <c r="E8" s="677">
        <f>SUMIFS(调整事项汇总表!$K$7:$K$10020,调整事项汇总表!$D$7:$D$10020,"报表调整",调整事项汇总表!$E$7:$E$10020,IF(OR(MID(TRIM($A8),2,1)="：",MID(TRIM($A8),2,1)="、"),REPLACEB(TRIM($A8),1,4,""),TRIM($A8)))</f>
        <v>0</v>
      </c>
      <c r="F8" s="677">
        <f>SUMIFS(调整事项汇总表!$L$7:$L$10020,调整事项汇总表!$D$7:$D$10020,"报表调整",调整事项汇总表!$E$7:$E$10020,IF(OR(MID(TRIM($A8),2,1)="：",MID(TRIM($A8),2,1)="、"),REPLACEB(TRIM($A8),1,4,""),TRIM($A8)))</f>
        <v>0</v>
      </c>
      <c r="G8" s="677">
        <f>SUMIFS(调整事项汇总表!$K$7:$K$10020,调整事项汇总表!$D$7:$D$10020,"其他",调整事项汇总表!$E$7:$E$10020,IF(OR(MID(TRIM($A8),2,1)="：",MID(TRIM($A8),2,1)="、"),REPLACEB(TRIM($A8),1,4,""),TRIM($A8)))</f>
        <v>0</v>
      </c>
      <c r="H8" s="677">
        <f>SUMIFS(调整事项汇总表!$L$7:$L$10020,调整事项汇总表!$D$7:$D$10020,"其他",调整事项汇总表!$E$7:$E$10020,IF(OR(MID(TRIM($A8),2,1)="：",MID(TRIM($A8),2,1)="、"),REPLACEB(TRIM($A8),1,4,""),TRIM($A8)))</f>
        <v>0</v>
      </c>
      <c r="I8" s="762">
        <f>B8+C8+E8+G8-H8-F8-D8</f>
        <v>645471.34999999928</v>
      </c>
      <c r="J8" s="425" t="b">
        <f>A8=未审报表!A8</f>
        <v>1</v>
      </c>
      <c r="K8" s="425" t="b">
        <f>A8=审定报表!A8</f>
        <v>1</v>
      </c>
      <c r="L8" s="426"/>
    </row>
    <row r="9" spans="1:12" ht="14.4" customHeight="1">
      <c r="A9" s="777" t="str">
        <f>未审报表!A9</f>
        <v>结算备付金*</v>
      </c>
      <c r="B9" s="643">
        <f>期初核对!C9</f>
        <v>0</v>
      </c>
      <c r="C9" s="677">
        <f>SUMIFS(调整事项汇总表!$K$7:$K$10020,调整事项汇总表!$D$7:$D$10020,"账项调整",调整事项汇总表!$E$7:$E$10020,IF(OR(MID(TRIM($A9),2,1)="：",MID(TRIM($A9),2,1)="、"),REPLACEB(TRIM($A9),1,4,""),TRIM($A9)))</f>
        <v>0</v>
      </c>
      <c r="D9" s="677">
        <f>SUMIFS(调整事项汇总表!$L$7:$L$10020,调整事项汇总表!$D$7:$D$10020,"账项调整",调整事项汇总表!$E$7:$E$10020,IF(OR(MID(TRIM($A9),2,1)="：",MID(TRIM($A9),2,1)="、"),REPLACEB(TRIM($A9),1,4,""),TRIM($A9)))</f>
        <v>0</v>
      </c>
      <c r="E9" s="677">
        <f>SUMIFS(调整事项汇总表!$K$7:$K$10020,调整事项汇总表!$D$7:$D$10020,"报表调整",调整事项汇总表!$E$7:$E$10020,IF(OR(MID(TRIM($A9),2,1)="：",MID(TRIM($A9),2,1)="、"),REPLACEB(TRIM($A9),1,4,""),TRIM($A9)))</f>
        <v>0</v>
      </c>
      <c r="F9" s="677">
        <f>SUMIFS(调整事项汇总表!$L$7:$L$10020,调整事项汇总表!$D$7:$D$10020,"报表调整",调整事项汇总表!$E$7:$E$10020,IF(OR(MID(TRIM($A9),2,1)="：",MID(TRIM($A9),2,1)="、"),REPLACEB(TRIM($A9),1,4,""),TRIM($A9)))</f>
        <v>0</v>
      </c>
      <c r="G9" s="677">
        <f>SUMIFS(调整事项汇总表!$K$7:$K$10020,调整事项汇总表!$D$7:$D$10020,"其他",调整事项汇总表!$E$7:$E$10020,IF(OR(MID(TRIM($A9),2,1)="：",MID(TRIM($A9),2,1)="、"),REPLACEB(TRIM($A9),1,4,""),TRIM($A9)))</f>
        <v>0</v>
      </c>
      <c r="H9" s="677">
        <f>SUMIFS(调整事项汇总表!$L$7:$L$10020,调整事项汇总表!$D$7:$D$10020,"其他",调整事项汇总表!$E$7:$E$10020,IF(OR(MID(TRIM($A9),2,1)="：",MID(TRIM($A9),2,1)="、"),REPLACEB(TRIM($A9),1,4,""),TRIM($A9)))</f>
        <v>0</v>
      </c>
      <c r="I9" s="762">
        <f>B9+C9+E9+G9-H9-F9-D9</f>
        <v>0</v>
      </c>
      <c r="J9" s="425" t="b">
        <f>A9=未审报表!A9</f>
        <v>1</v>
      </c>
      <c r="K9" s="425" t="b">
        <f>A9=审定报表!A9</f>
        <v>1</v>
      </c>
      <c r="L9" s="426"/>
    </row>
    <row r="10" spans="1:12" ht="14.4" customHeight="1">
      <c r="A10" s="777" t="str">
        <f>未审报表!A10</f>
        <v>拆出资金原值*</v>
      </c>
      <c r="B10" s="643">
        <f>期初核对!C10</f>
        <v>0</v>
      </c>
      <c r="C10" s="677">
        <f>SUMIFS(调整事项汇总表!$K$7:$K$10020,调整事项汇总表!$D$7:$D$10020,"账项调整",调整事项汇总表!$E$7:$E$10020,IF(OR(MID(TRIM($A10),2,1)="：",MID(TRIM($A10),2,1)="、"),REPLACEB(TRIM($A10),1,4,""),TRIM($A10)))</f>
        <v>0</v>
      </c>
      <c r="D10" s="677">
        <f>SUMIFS(调整事项汇总表!$L$7:$L$10020,调整事项汇总表!$D$7:$D$10020,"账项调整",调整事项汇总表!$E$7:$E$10020,IF(OR(MID(TRIM($A10),2,1)="：",MID(TRIM($A10),2,1)="、"),REPLACEB(TRIM($A10),1,4,""),TRIM($A10)))</f>
        <v>0</v>
      </c>
      <c r="E10" s="677">
        <f>SUMIFS(调整事项汇总表!$K$7:$K$10020,调整事项汇总表!$D$7:$D$10020,"报表调整",调整事项汇总表!$E$7:$E$10020,IF(OR(MID(TRIM($A10),2,1)="：",MID(TRIM($A10),2,1)="、"),REPLACEB(TRIM($A10),1,4,""),TRIM($A10)))</f>
        <v>0</v>
      </c>
      <c r="F10" s="677">
        <f>SUMIFS(调整事项汇总表!$L$7:$L$10020,调整事项汇总表!$D$7:$D$10020,"报表调整",调整事项汇总表!$E$7:$E$10020,IF(OR(MID(TRIM($A10),2,1)="：",MID(TRIM($A10),2,1)="、"),REPLACEB(TRIM($A10),1,4,""),TRIM($A10)))</f>
        <v>0</v>
      </c>
      <c r="G10" s="677">
        <f>SUMIFS(调整事项汇总表!$K$7:$K$10020,调整事项汇总表!$D$7:$D$10020,"其他",调整事项汇总表!$E$7:$E$10020,IF(OR(MID(TRIM($A10),2,1)="：",MID(TRIM($A10),2,1)="、"),REPLACEB(TRIM($A10),1,4,""),TRIM($A10)))</f>
        <v>0</v>
      </c>
      <c r="H10" s="677">
        <f>SUMIFS(调整事项汇总表!$L$7:$L$10020,调整事项汇总表!$D$7:$D$10020,"其他",调整事项汇总表!$E$7:$E$10020,IF(OR(MID(TRIM($A10),2,1)="：",MID(TRIM($A10),2,1)="、"),REPLACEB(TRIM($A10),1,4,""),TRIM($A10)))</f>
        <v>0</v>
      </c>
      <c r="I10" s="762">
        <f>B10+C10+E10+G10-H10-F10-D10</f>
        <v>0</v>
      </c>
      <c r="J10" s="425" t="b">
        <f>A10=未审报表!A10</f>
        <v>1</v>
      </c>
      <c r="K10" s="425" t="b">
        <f>A10=审定报表!A10</f>
        <v>1</v>
      </c>
      <c r="L10" s="426"/>
    </row>
    <row r="11" spans="1:12" ht="14.4" customHeight="1">
      <c r="A11" s="777" t="str">
        <f>未审报表!A11</f>
        <v>拆出资金减值准备*</v>
      </c>
      <c r="B11" s="643">
        <f>期初核对!C11</f>
        <v>0</v>
      </c>
      <c r="C11" s="677">
        <f>SUMIFS(调整事项汇总表!$K$7:$K$10020,调整事项汇总表!$D$7:$D$10020,"账项调整",调整事项汇总表!$E$7:$E$10020,IF(OR(MID(TRIM($A11),2,1)="：",MID(TRIM($A11),2,1)="、"),REPLACEB(TRIM($A11),1,4,""),TRIM($A11)))</f>
        <v>0</v>
      </c>
      <c r="D11" s="677">
        <f>SUMIFS(调整事项汇总表!$L$7:$L$10020,调整事项汇总表!$D$7:$D$10020,"账项调整",调整事项汇总表!$E$7:$E$10020,IF(OR(MID(TRIM($A11),2,1)="：",MID(TRIM($A11),2,1)="、"),REPLACEB(TRIM($A11),1,4,""),TRIM($A11)))</f>
        <v>0</v>
      </c>
      <c r="E11" s="677">
        <f>SUMIFS(调整事项汇总表!$K$7:$K$10020,调整事项汇总表!$D$7:$D$10020,"报表调整",调整事项汇总表!$E$7:$E$10020,IF(OR(MID(TRIM($A11),2,1)="：",MID(TRIM($A11),2,1)="、"),REPLACEB(TRIM($A11),1,4,""),TRIM($A11)))</f>
        <v>0</v>
      </c>
      <c r="F11" s="677">
        <f>SUMIFS(调整事项汇总表!$L$7:$L$10020,调整事项汇总表!$D$7:$D$10020,"报表调整",调整事项汇总表!$E$7:$E$10020,IF(OR(MID(TRIM($A11),2,1)="：",MID(TRIM($A11),2,1)="、"),REPLACEB(TRIM($A11),1,4,""),TRIM($A11)))</f>
        <v>0</v>
      </c>
      <c r="G11" s="677">
        <f>SUMIFS(调整事项汇总表!$K$7:$K$10020,调整事项汇总表!$D$7:$D$10020,"其他",调整事项汇总表!$E$7:$E$10020,IF(OR(MID(TRIM($A11),2,1)="：",MID(TRIM($A11),2,1)="、"),REPLACEB(TRIM($A11),1,4,""),TRIM($A11)))</f>
        <v>0</v>
      </c>
      <c r="H11" s="677">
        <f>SUMIFS(调整事项汇总表!$L$7:$L$10020,调整事项汇总表!$D$7:$D$10020,"其他",调整事项汇总表!$E$7:$E$10020,IF(OR(MID(TRIM($A11),2,1)="：",MID(TRIM($A11),2,1)="、"),REPLACEB(TRIM($A11),1,4,""),TRIM($A11)))</f>
        <v>0</v>
      </c>
      <c r="I11" s="762">
        <f>B11+D11+F11+H11-G11-E11-C11</f>
        <v>0</v>
      </c>
      <c r="J11" s="425" t="b">
        <f>A11=未审报表!A11</f>
        <v>1</v>
      </c>
      <c r="K11" s="425" t="b">
        <f>A11=审定报表!A11</f>
        <v>1</v>
      </c>
      <c r="L11" s="426"/>
    </row>
    <row r="12" spans="1:12" ht="14.4" customHeight="1">
      <c r="A12" s="777" t="str">
        <f>未审报表!A12</f>
        <v>拆出资金*</v>
      </c>
      <c r="B12" s="643">
        <f>期初核对!C12</f>
        <v>0</v>
      </c>
      <c r="C12" s="677">
        <f>C10+C11</f>
        <v>0</v>
      </c>
      <c r="D12" s="677">
        <f t="shared" ref="D12:H12" si="0">D10+D11</f>
        <v>0</v>
      </c>
      <c r="E12" s="677">
        <f t="shared" si="0"/>
        <v>0</v>
      </c>
      <c r="F12" s="677">
        <f t="shared" si="0"/>
        <v>0</v>
      </c>
      <c r="G12" s="677">
        <f t="shared" si="0"/>
        <v>0</v>
      </c>
      <c r="H12" s="677">
        <f t="shared" si="0"/>
        <v>0</v>
      </c>
      <c r="I12" s="762">
        <f>B12+C12+E12+G12-H12-F12-D12</f>
        <v>0</v>
      </c>
      <c r="J12" s="425" t="b">
        <f>A12=未审报表!A12</f>
        <v>1</v>
      </c>
      <c r="K12" s="425" t="b">
        <f>A12=审定报表!A12</f>
        <v>1</v>
      </c>
      <c r="L12" s="426"/>
    </row>
    <row r="13" spans="1:12" ht="14.4" customHeight="1">
      <c r="A13" s="777" t="str">
        <f>未审报表!A13</f>
        <v>交易性金融资产</v>
      </c>
      <c r="B13" s="643">
        <f>期初核对!C13</f>
        <v>0</v>
      </c>
      <c r="C13" s="677">
        <f>SUMIFS(调整事项汇总表!$K$7:$K$10020,调整事项汇总表!$D$7:$D$10020,"账项调整",调整事项汇总表!$E$7:$E$10020,IF(OR(MID(TRIM($A13),2,1)="：",MID(TRIM($A13),2,1)="、"),REPLACEB(TRIM($A13),1,4,""),TRIM($A13)))</f>
        <v>0</v>
      </c>
      <c r="D13" s="677">
        <f>SUMIFS(调整事项汇总表!$L$7:$L$10020,调整事项汇总表!$D$7:$D$10020,"账项调整",调整事项汇总表!$E$7:$E$10020,IF(OR(MID(TRIM($A13),2,1)="：",MID(TRIM($A13),2,1)="、"),REPLACEB(TRIM($A13),1,4,""),TRIM($A13)))</f>
        <v>0</v>
      </c>
      <c r="E13" s="677">
        <f>SUMIFS(调整事项汇总表!$K$7:$K$10020,调整事项汇总表!$D$7:$D$10020,"报表调整",调整事项汇总表!$E$7:$E$10020,IF(OR(MID(TRIM($A13),2,1)="：",MID(TRIM($A13),2,1)="、"),REPLACEB(TRIM($A13),1,4,""),TRIM($A13)))</f>
        <v>0</v>
      </c>
      <c r="F13" s="677">
        <f>SUMIFS(调整事项汇总表!$L$7:$L$10020,调整事项汇总表!$D$7:$D$10020,"报表调整",调整事项汇总表!$E$7:$E$10020,IF(OR(MID(TRIM($A13),2,1)="：",MID(TRIM($A13),2,1)="、"),REPLACEB(TRIM($A13),1,4,""),TRIM($A13)))</f>
        <v>0</v>
      </c>
      <c r="G13" s="677">
        <f>SUMIFS(调整事项汇总表!$K$7:$K$10020,调整事项汇总表!$D$7:$D$10020,"其他",调整事项汇总表!$E$7:$E$10020,IF(OR(MID(TRIM($A13),2,1)="：",MID(TRIM($A13),2,1)="、"),REPLACEB(TRIM($A13),1,4,""),TRIM($A13)))</f>
        <v>0</v>
      </c>
      <c r="H13" s="677">
        <f>SUMIFS(调整事项汇总表!$L$7:$L$10020,调整事项汇总表!$D$7:$D$10020,"其他",调整事项汇总表!$E$7:$E$10020,IF(OR(MID(TRIM($A13),2,1)="：",MID(TRIM($A13),2,1)="、"),REPLACEB(TRIM($A13),1,4,""),TRIM($A13)))</f>
        <v>0</v>
      </c>
      <c r="I13" s="762">
        <f t="shared" ref="I13:I14" si="1">B13+C13+E13+G13-H13-F13-D13</f>
        <v>0</v>
      </c>
      <c r="J13" s="425" t="b">
        <f>A13=未审报表!A13</f>
        <v>1</v>
      </c>
      <c r="K13" s="425" t="b">
        <f>A13=审定报表!A13</f>
        <v>1</v>
      </c>
      <c r="L13" s="426"/>
    </row>
    <row r="14" spans="1:12" ht="14.4" customHeight="1">
      <c r="A14" s="777" t="str">
        <f>未审报表!A14</f>
        <v>衍生金融资产</v>
      </c>
      <c r="B14" s="643">
        <f>期初核对!C14</f>
        <v>0</v>
      </c>
      <c r="C14" s="677">
        <f>SUMIFS(调整事项汇总表!$K$7:$K$10020,调整事项汇总表!$D$7:$D$10020,"账项调整",调整事项汇总表!$E$7:$E$10020,IF(OR(MID(TRIM($A14),2,1)="：",MID(TRIM($A14),2,1)="、"),REPLACEB(TRIM($A14),1,4,""),TRIM($A14)))</f>
        <v>0</v>
      </c>
      <c r="D14" s="677">
        <f>SUMIFS(调整事项汇总表!$L$7:$L$10020,调整事项汇总表!$D$7:$D$10020,"账项调整",调整事项汇总表!$E$7:$E$10020,IF(OR(MID(TRIM($A14),2,1)="：",MID(TRIM($A14),2,1)="、"),REPLACEB(TRIM($A14),1,4,""),TRIM($A14)))</f>
        <v>0</v>
      </c>
      <c r="E14" s="677">
        <f>SUMIFS(调整事项汇总表!$K$7:$K$10020,调整事项汇总表!$D$7:$D$10020,"报表调整",调整事项汇总表!$E$7:$E$10020,IF(OR(MID(TRIM($A14),2,1)="：",MID(TRIM($A14),2,1)="、"),REPLACEB(TRIM($A14),1,4,""),TRIM($A14)))</f>
        <v>0</v>
      </c>
      <c r="F14" s="677">
        <f>SUMIFS(调整事项汇总表!$L$7:$L$10020,调整事项汇总表!$D$7:$D$10020,"报表调整",调整事项汇总表!$E$7:$E$10020,IF(OR(MID(TRIM($A14),2,1)="：",MID(TRIM($A14),2,1)="、"),REPLACEB(TRIM($A14),1,4,""),TRIM($A14)))</f>
        <v>0</v>
      </c>
      <c r="G14" s="677">
        <f>SUMIFS(调整事项汇总表!$K$7:$K$10020,调整事项汇总表!$D$7:$D$10020,"其他",调整事项汇总表!$E$7:$E$10020,IF(OR(MID(TRIM($A14),2,1)="：",MID(TRIM($A14),2,1)="、"),REPLACEB(TRIM($A14),1,4,""),TRIM($A14)))</f>
        <v>0</v>
      </c>
      <c r="H14" s="677">
        <f>SUMIFS(调整事项汇总表!$L$7:$L$10020,调整事项汇总表!$D$7:$D$10020,"其他",调整事项汇总表!$E$7:$E$10020,IF(OR(MID(TRIM($A14),2,1)="：",MID(TRIM($A14),2,1)="、"),REPLACEB(TRIM($A14),1,4,""),TRIM($A14)))</f>
        <v>0</v>
      </c>
      <c r="I14" s="762">
        <f t="shared" si="1"/>
        <v>0</v>
      </c>
      <c r="J14" s="425" t="b">
        <f>A14=未审报表!A14</f>
        <v>1</v>
      </c>
      <c r="K14" s="425" t="b">
        <f>A14=审定报表!A14</f>
        <v>1</v>
      </c>
      <c r="L14" s="426"/>
    </row>
    <row r="15" spans="1:12" ht="14.4" customHeight="1">
      <c r="A15" s="777" t="str">
        <f>未审报表!A15</f>
        <v>应收票据原值</v>
      </c>
      <c r="B15" s="643">
        <f>期初核对!C15</f>
        <v>0</v>
      </c>
      <c r="C15" s="677">
        <f>SUMIFS(调整事项汇总表!$K$7:$K$10020,调整事项汇总表!$D$7:$D$10020,"账项调整",调整事项汇总表!$E$7:$E$10020,IF(OR(MID(TRIM($A15),2,1)="：",MID(TRIM($A15),2,1)="、"),REPLACEB(TRIM($A15),1,4,""),TRIM($A15)))</f>
        <v>0</v>
      </c>
      <c r="D15" s="677">
        <f>SUMIFS(调整事项汇总表!$L$7:$L$10020,调整事项汇总表!$D$7:$D$10020,"账项调整",调整事项汇总表!$E$7:$E$10020,IF(OR(MID(TRIM($A15),2,1)="：",MID(TRIM($A15),2,1)="、"),REPLACEB(TRIM($A15),1,4,""),TRIM($A15)))</f>
        <v>0</v>
      </c>
      <c r="E15" s="677">
        <f>SUMIFS(调整事项汇总表!$K$7:$K$10020,调整事项汇总表!$D$7:$D$10020,"报表调整",调整事项汇总表!$E$7:$E$10020,IF(OR(MID(TRIM($A15),2,1)="：",MID(TRIM($A15),2,1)="、"),REPLACEB(TRIM($A15),1,4,""),TRIM($A15)))</f>
        <v>0</v>
      </c>
      <c r="F15" s="677">
        <f>SUMIFS(调整事项汇总表!$L$7:$L$10020,调整事项汇总表!$D$7:$D$10020,"报表调整",调整事项汇总表!$E$7:$E$10020,IF(OR(MID(TRIM($A15),2,1)="：",MID(TRIM($A15),2,1)="、"),REPLACEB(TRIM($A15),1,4,""),TRIM($A15)))</f>
        <v>0</v>
      </c>
      <c r="G15" s="677">
        <f>SUMIFS(调整事项汇总表!$K$7:$K$10020,调整事项汇总表!$D$7:$D$10020,"其他",调整事项汇总表!$E$7:$E$10020,IF(OR(MID(TRIM($A15),2,1)="：",MID(TRIM($A15),2,1)="、"),REPLACEB(TRIM($A15),1,4,""),TRIM($A15)))</f>
        <v>0</v>
      </c>
      <c r="H15" s="677">
        <f>SUMIFS(调整事项汇总表!$L$7:$L$10020,调整事项汇总表!$D$7:$D$10020,"其他",调整事项汇总表!$E$7:$E$10020,IF(OR(MID(TRIM($A15),2,1)="：",MID(TRIM($A15),2,1)="、"),REPLACEB(TRIM($A15),1,4,""),TRIM($A15)))</f>
        <v>0</v>
      </c>
      <c r="I15" s="762">
        <f>B15+C15+E15+G15-H15-F15-D15</f>
        <v>0</v>
      </c>
      <c r="J15" s="425" t="b">
        <f>A15=未审报表!A15</f>
        <v>1</v>
      </c>
      <c r="K15" s="425" t="b">
        <f>A15=审定报表!A15</f>
        <v>1</v>
      </c>
      <c r="L15" s="426"/>
    </row>
    <row r="16" spans="1:12" ht="14.4" customHeight="1">
      <c r="A16" s="777" t="str">
        <f>未审报表!A16</f>
        <v>应收票据坏账准备</v>
      </c>
      <c r="B16" s="643">
        <f>期初核对!C16</f>
        <v>0</v>
      </c>
      <c r="C16" s="677">
        <f>SUMIFS(调整事项汇总表!$K$7:$K$10020,调整事项汇总表!$D$7:$D$10020,"账项调整",调整事项汇总表!$E$7:$E$10020,IF(OR(MID(TRIM($A16),2,1)="：",MID(TRIM($A16),2,1)="、"),REPLACEB(TRIM($A16),1,4,""),TRIM($A16)))</f>
        <v>0</v>
      </c>
      <c r="D16" s="677">
        <f>SUMIFS(调整事项汇总表!$L$7:$L$10020,调整事项汇总表!$D$7:$D$10020,"账项调整",调整事项汇总表!$E$7:$E$10020,IF(OR(MID(TRIM($A16),2,1)="：",MID(TRIM($A16),2,1)="、"),REPLACEB(TRIM($A16),1,4,""),TRIM($A16)))</f>
        <v>0</v>
      </c>
      <c r="E16" s="677">
        <f>SUMIFS(调整事项汇总表!$K$7:$K$10020,调整事项汇总表!$D$7:$D$10020,"报表调整",调整事项汇总表!$E$7:$E$10020,IF(OR(MID(TRIM($A16),2,1)="：",MID(TRIM($A16),2,1)="、"),REPLACEB(TRIM($A16),1,4,""),TRIM($A16)))</f>
        <v>0</v>
      </c>
      <c r="F16" s="677">
        <f>SUMIFS(调整事项汇总表!$L$7:$L$10020,调整事项汇总表!$D$7:$D$10020,"报表调整",调整事项汇总表!$E$7:$E$10020,IF(OR(MID(TRIM($A16),2,1)="：",MID(TRIM($A16),2,1)="、"),REPLACEB(TRIM($A16),1,4,""),TRIM($A16)))</f>
        <v>0</v>
      </c>
      <c r="G16" s="677">
        <f>SUMIFS(调整事项汇总表!$K$7:$K$10020,调整事项汇总表!$D$7:$D$10020,"其他",调整事项汇总表!$E$7:$E$10020,IF(OR(MID(TRIM($A16),2,1)="：",MID(TRIM($A16),2,1)="、"),REPLACEB(TRIM($A16),1,4,""),TRIM($A16)))</f>
        <v>0</v>
      </c>
      <c r="H16" s="677">
        <f>SUMIFS(调整事项汇总表!$L$7:$L$10020,调整事项汇总表!$D$7:$D$10020,"其他",调整事项汇总表!$E$7:$E$10020,IF(OR(MID(TRIM($A16),2,1)="：",MID(TRIM($A16),2,1)="、"),REPLACEB(TRIM($A16),1,4,""),TRIM($A16)))</f>
        <v>0</v>
      </c>
      <c r="I16" s="762">
        <f>B16+D16+F16+H16-G16-E16-C16</f>
        <v>0</v>
      </c>
      <c r="J16" s="425" t="b">
        <f>A16=未审报表!A16</f>
        <v>1</v>
      </c>
      <c r="K16" s="425" t="b">
        <f>A16=审定报表!A16</f>
        <v>1</v>
      </c>
      <c r="L16" s="426"/>
    </row>
    <row r="17" spans="1:12" ht="14.4" customHeight="1">
      <c r="A17" s="777" t="str">
        <f>未审报表!A17</f>
        <v>应收票据</v>
      </c>
      <c r="B17" s="643">
        <f>期初核对!C17</f>
        <v>0</v>
      </c>
      <c r="C17" s="677">
        <f>C15+C16</f>
        <v>0</v>
      </c>
      <c r="D17" s="677">
        <f t="shared" ref="D17:H17" si="2">D15+D16</f>
        <v>0</v>
      </c>
      <c r="E17" s="677">
        <f t="shared" si="2"/>
        <v>0</v>
      </c>
      <c r="F17" s="677">
        <f t="shared" si="2"/>
        <v>0</v>
      </c>
      <c r="G17" s="677">
        <f t="shared" si="2"/>
        <v>0</v>
      </c>
      <c r="H17" s="677">
        <f t="shared" si="2"/>
        <v>0</v>
      </c>
      <c r="I17" s="762">
        <f>B17+C17+E17+G17-H17-F17-D17</f>
        <v>0</v>
      </c>
      <c r="J17" s="425" t="b">
        <f>A17=未审报表!A17</f>
        <v>1</v>
      </c>
      <c r="K17" s="425" t="b">
        <f>A17=审定报表!A17</f>
        <v>1</v>
      </c>
      <c r="L17" s="426"/>
    </row>
    <row r="18" spans="1:12" ht="14.4" customHeight="1">
      <c r="A18" s="777" t="str">
        <f>未审报表!A18</f>
        <v>应收账款原值</v>
      </c>
      <c r="B18" s="643">
        <f>期初核对!C18</f>
        <v>16718591.219999999</v>
      </c>
      <c r="C18" s="677">
        <f>SUMIFS(调整事项汇总表!$K$7:$K$10020,调整事项汇总表!$D$7:$D$10020,"账项调整",调整事项汇总表!$E$7:$E$10020,IF(OR(MID(TRIM($A18),2,1)="：",MID(TRIM($A18),2,1)="、"),REPLACEB(TRIM($A18),1,4,""),TRIM($A18)))</f>
        <v>0</v>
      </c>
      <c r="D18" s="677">
        <f>SUMIFS(调整事项汇总表!$L$7:$L$10020,调整事项汇总表!$D$7:$D$10020,"账项调整",调整事项汇总表!$E$7:$E$10020,IF(OR(MID(TRIM($A18),2,1)="：",MID(TRIM($A18),2,1)="、"),REPLACEB(TRIM($A18),1,4,""),TRIM($A18)))</f>
        <v>0</v>
      </c>
      <c r="E18" s="677">
        <f>SUMIFS(调整事项汇总表!$K$7:$K$10020,调整事项汇总表!$D$7:$D$10020,"报表调整",调整事项汇总表!$E$7:$E$10020,IF(OR(MID(TRIM($A18),2,1)="：",MID(TRIM($A18),2,1)="、"),REPLACEB(TRIM($A18),1,4,""),TRIM($A18)))</f>
        <v>0</v>
      </c>
      <c r="F18" s="677">
        <f>SUMIFS(调整事项汇总表!$L$7:$L$10020,调整事项汇总表!$D$7:$D$10020,"报表调整",调整事项汇总表!$E$7:$E$10020,IF(OR(MID(TRIM($A18),2,1)="：",MID(TRIM($A18),2,1)="、"),REPLACEB(TRIM($A18),1,4,""),TRIM($A18)))</f>
        <v>0</v>
      </c>
      <c r="G18" s="677">
        <f>SUMIFS(调整事项汇总表!$K$7:$K$10020,调整事项汇总表!$D$7:$D$10020,"其他",调整事项汇总表!$E$7:$E$10020,IF(OR(MID(TRIM($A18),2,1)="：",MID(TRIM($A18),2,1)="、"),REPLACEB(TRIM($A18),1,4,""),TRIM($A18)))</f>
        <v>0</v>
      </c>
      <c r="H18" s="677">
        <f>SUMIFS(调整事项汇总表!$L$7:$L$10020,调整事项汇总表!$D$7:$D$10020,"其他",调整事项汇总表!$E$7:$E$10020,IF(OR(MID(TRIM($A18),2,1)="：",MID(TRIM($A18),2,1)="、"),REPLACEB(TRIM($A18),1,4,""),TRIM($A18)))</f>
        <v>0</v>
      </c>
      <c r="I18" s="762">
        <f>B18+C18+E18+G18-H18-F18-D18</f>
        <v>16718591.219999999</v>
      </c>
      <c r="J18" s="425" t="b">
        <f>A18=未审报表!A18</f>
        <v>1</v>
      </c>
      <c r="K18" s="425" t="b">
        <f>A18=审定报表!A18</f>
        <v>1</v>
      </c>
      <c r="L18" s="426"/>
    </row>
    <row r="19" spans="1:12" ht="14.4" customHeight="1">
      <c r="A19" s="777" t="str">
        <f>未审报表!A19</f>
        <v>应收账款坏账准备</v>
      </c>
      <c r="B19" s="643">
        <f>期初核对!C19</f>
        <v>0</v>
      </c>
      <c r="C19" s="677">
        <f>SUMIFS(调整事项汇总表!$K$7:$K$10020,调整事项汇总表!$D$7:$D$10020,"账项调整",调整事项汇总表!$E$7:$E$10020,IF(OR(MID(TRIM($A19),2,1)="：",MID(TRIM($A19),2,1)="、"),REPLACEB(TRIM($A19),1,4,""),TRIM($A19)))</f>
        <v>0</v>
      </c>
      <c r="D19" s="677">
        <f>SUMIFS(调整事项汇总表!$L$7:$L$10020,调整事项汇总表!$D$7:$D$10020,"账项调整",调整事项汇总表!$E$7:$E$10020,IF(OR(MID(TRIM($A19),2,1)="：",MID(TRIM($A19),2,1)="、"),REPLACEB(TRIM($A19),1,4,""),TRIM($A19)))</f>
        <v>0</v>
      </c>
      <c r="E19" s="677">
        <f>SUMIFS(调整事项汇总表!$K$7:$K$10020,调整事项汇总表!$D$7:$D$10020,"报表调整",调整事项汇总表!$E$7:$E$10020,IF(OR(MID(TRIM($A19),2,1)="：",MID(TRIM($A19),2,1)="、"),REPLACEB(TRIM($A19),1,4,""),TRIM($A19)))</f>
        <v>0</v>
      </c>
      <c r="F19" s="677">
        <f>SUMIFS(调整事项汇总表!$L$7:$L$10020,调整事项汇总表!$D$7:$D$10020,"报表调整",调整事项汇总表!$E$7:$E$10020,IF(OR(MID(TRIM($A19),2,1)="：",MID(TRIM($A19),2,1)="、"),REPLACEB(TRIM($A19),1,4,""),TRIM($A19)))</f>
        <v>0</v>
      </c>
      <c r="G19" s="677">
        <f>SUMIFS(调整事项汇总表!$K$7:$K$10020,调整事项汇总表!$D$7:$D$10020,"其他",调整事项汇总表!$E$7:$E$10020,IF(OR(MID(TRIM($A19),2,1)="：",MID(TRIM($A19),2,1)="、"),REPLACEB(TRIM($A19),1,4,""),TRIM($A19)))</f>
        <v>0</v>
      </c>
      <c r="H19" s="677">
        <f>SUMIFS(调整事项汇总表!$L$7:$L$10020,调整事项汇总表!$D$7:$D$10020,"其他",调整事项汇总表!$E$7:$E$10020,IF(OR(MID(TRIM($A19),2,1)="：",MID(TRIM($A19),2,1)="、"),REPLACEB(TRIM($A19),1,4,""),TRIM($A19)))</f>
        <v>0</v>
      </c>
      <c r="I19" s="762">
        <f>B19+D19+F19+H19-G19-E19-C19</f>
        <v>0</v>
      </c>
      <c r="J19" s="425" t="b">
        <f>A19=未审报表!A19</f>
        <v>1</v>
      </c>
      <c r="K19" s="425" t="b">
        <f>A19=审定报表!A19</f>
        <v>1</v>
      </c>
    </row>
    <row r="20" spans="1:12" ht="14.4" customHeight="1">
      <c r="A20" s="777" t="str">
        <f>未审报表!A20</f>
        <v>应收账款</v>
      </c>
      <c r="B20" s="643">
        <f>期初核对!C20</f>
        <v>16718591.219999999</v>
      </c>
      <c r="C20" s="677">
        <f>C18+C19</f>
        <v>0</v>
      </c>
      <c r="D20" s="677">
        <f t="shared" ref="D20:H20" si="3">D18+D19</f>
        <v>0</v>
      </c>
      <c r="E20" s="677">
        <f t="shared" si="3"/>
        <v>0</v>
      </c>
      <c r="F20" s="677">
        <f t="shared" si="3"/>
        <v>0</v>
      </c>
      <c r="G20" s="677">
        <f t="shared" si="3"/>
        <v>0</v>
      </c>
      <c r="H20" s="677">
        <f t="shared" si="3"/>
        <v>0</v>
      </c>
      <c r="I20" s="762">
        <f>B20+C20+E20+G20-H20-F20-D20</f>
        <v>16718591.219999999</v>
      </c>
      <c r="J20" s="425" t="b">
        <f>A20=未审报表!A20</f>
        <v>1</v>
      </c>
      <c r="K20" s="425" t="b">
        <f>A20=审定报表!A20</f>
        <v>1</v>
      </c>
    </row>
    <row r="21" spans="1:12" ht="14.4" customHeight="1">
      <c r="A21" s="777" t="str">
        <f>未审报表!A21</f>
        <v>应收款项融资原值</v>
      </c>
      <c r="B21" s="643">
        <f>期初核对!C21</f>
        <v>0</v>
      </c>
      <c r="C21" s="677">
        <f>SUMIFS(调整事项汇总表!$K$7:$K$10020,调整事项汇总表!$D$7:$D$10020,"账项调整",调整事项汇总表!$E$7:$E$10020,IF(OR(MID(TRIM($A21),2,1)="：",MID(TRIM($A21),2,1)="、"),REPLACEB(TRIM($A21),1,4,""),TRIM($A21)))</f>
        <v>0</v>
      </c>
      <c r="D21" s="677">
        <f>SUMIFS(调整事项汇总表!$L$7:$L$10020,调整事项汇总表!$D$7:$D$10020,"账项调整",调整事项汇总表!$E$7:$E$10020,IF(OR(MID(TRIM($A21),2,1)="：",MID(TRIM($A21),2,1)="、"),REPLACEB(TRIM($A21),1,4,""),TRIM($A21)))</f>
        <v>0</v>
      </c>
      <c r="E21" s="677">
        <f>SUMIFS(调整事项汇总表!$K$7:$K$10020,调整事项汇总表!$D$7:$D$10020,"报表调整",调整事项汇总表!$E$7:$E$10020,IF(OR(MID(TRIM($A21),2,1)="：",MID(TRIM($A21),2,1)="、"),REPLACEB(TRIM($A21),1,4,""),TRIM($A21)))</f>
        <v>0</v>
      </c>
      <c r="F21" s="677">
        <f>SUMIFS(调整事项汇总表!$L$7:$L$10020,调整事项汇总表!$D$7:$D$10020,"报表调整",调整事项汇总表!$E$7:$E$10020,IF(OR(MID(TRIM($A21),2,1)="：",MID(TRIM($A21),2,1)="、"),REPLACEB(TRIM($A21),1,4,""),TRIM($A21)))</f>
        <v>0</v>
      </c>
      <c r="G21" s="677">
        <f>SUMIFS(调整事项汇总表!$K$7:$K$10020,调整事项汇总表!$D$7:$D$10020,"其他",调整事项汇总表!$E$7:$E$10020,IF(OR(MID(TRIM($A21),2,1)="：",MID(TRIM($A21),2,1)="、"),REPLACEB(TRIM($A21),1,4,""),TRIM($A21)))</f>
        <v>0</v>
      </c>
      <c r="H21" s="677">
        <f>SUMIFS(调整事项汇总表!$L$7:$L$10020,调整事项汇总表!$D$7:$D$10020,"其他",调整事项汇总表!$E$7:$E$10020,IF(OR(MID(TRIM($A21),2,1)="：",MID(TRIM($A21),2,1)="、"),REPLACEB(TRIM($A21),1,4,""),TRIM($A21)))</f>
        <v>0</v>
      </c>
      <c r="I21" s="762">
        <f>B21+C21+E21+G21-H21-F21-D21</f>
        <v>0</v>
      </c>
      <c r="J21" s="425" t="b">
        <f>A21=未审报表!A21</f>
        <v>1</v>
      </c>
      <c r="K21" s="425" t="b">
        <f>A21=审定报表!A21</f>
        <v>1</v>
      </c>
    </row>
    <row r="22" spans="1:12" ht="14.4" customHeight="1">
      <c r="A22" s="777" t="str">
        <f>未审报表!A22</f>
        <v>应收款项融资坏账准备</v>
      </c>
      <c r="B22" s="643">
        <f>期初核对!C22</f>
        <v>0</v>
      </c>
      <c r="C22" s="677">
        <f>SUMIFS(调整事项汇总表!$K$7:$K$10020,调整事项汇总表!$D$7:$D$10020,"账项调整",调整事项汇总表!$E$7:$E$10020,IF(OR(MID(TRIM($A22),2,1)="：",MID(TRIM($A22),2,1)="、"),REPLACEB(TRIM($A22),1,4,""),TRIM($A22)))</f>
        <v>0</v>
      </c>
      <c r="D22" s="677">
        <f>SUMIFS(调整事项汇总表!$L$7:$L$10020,调整事项汇总表!$D$7:$D$10020,"账项调整",调整事项汇总表!$E$7:$E$10020,IF(OR(MID(TRIM($A22),2,1)="：",MID(TRIM($A22),2,1)="、"),REPLACEB(TRIM($A22),1,4,""),TRIM($A22)))</f>
        <v>0</v>
      </c>
      <c r="E22" s="677">
        <f>SUMIFS(调整事项汇总表!$K$7:$K$10020,调整事项汇总表!$D$7:$D$10020,"报表调整",调整事项汇总表!$E$7:$E$10020,IF(OR(MID(TRIM($A22),2,1)="：",MID(TRIM($A22),2,1)="、"),REPLACEB(TRIM($A22),1,4,""),TRIM($A22)))</f>
        <v>0</v>
      </c>
      <c r="F22" s="677">
        <f>SUMIFS(调整事项汇总表!$L$7:$L$10020,调整事项汇总表!$D$7:$D$10020,"报表调整",调整事项汇总表!$E$7:$E$10020,IF(OR(MID(TRIM($A22),2,1)="：",MID(TRIM($A22),2,1)="、"),REPLACEB(TRIM($A22),1,4,""),TRIM($A22)))</f>
        <v>0</v>
      </c>
      <c r="G22" s="677">
        <f>SUMIFS(调整事项汇总表!$K$7:$K$10020,调整事项汇总表!$D$7:$D$10020,"其他",调整事项汇总表!$E$7:$E$10020,IF(OR(MID(TRIM($A22),2,1)="：",MID(TRIM($A22),2,1)="、"),REPLACEB(TRIM($A22),1,4,""),TRIM($A22)))</f>
        <v>0</v>
      </c>
      <c r="H22" s="677">
        <f>SUMIFS(调整事项汇总表!$L$7:$L$10020,调整事项汇总表!$D$7:$D$10020,"其他",调整事项汇总表!$E$7:$E$10020,IF(OR(MID(TRIM($A22),2,1)="：",MID(TRIM($A22),2,1)="、"),REPLACEB(TRIM($A22),1,4,""),TRIM($A22)))</f>
        <v>0</v>
      </c>
      <c r="I22" s="762">
        <f>B22+D22+F22+H22-G22-E22-C22</f>
        <v>0</v>
      </c>
      <c r="J22" s="425" t="b">
        <f>A22=未审报表!A22</f>
        <v>1</v>
      </c>
      <c r="K22" s="425" t="b">
        <f>A22=审定报表!A22</f>
        <v>1</v>
      </c>
    </row>
    <row r="23" spans="1:12" ht="14.4" customHeight="1">
      <c r="A23" s="777" t="str">
        <f>未审报表!A23</f>
        <v>应收款项融资</v>
      </c>
      <c r="B23" s="643">
        <f>期初核对!C23</f>
        <v>0</v>
      </c>
      <c r="C23" s="677">
        <f>C21+C22</f>
        <v>0</v>
      </c>
      <c r="D23" s="677">
        <f t="shared" ref="D23:H23" si="4">D21+D22</f>
        <v>0</v>
      </c>
      <c r="E23" s="677">
        <f t="shared" si="4"/>
        <v>0</v>
      </c>
      <c r="F23" s="677">
        <f t="shared" si="4"/>
        <v>0</v>
      </c>
      <c r="G23" s="677">
        <f t="shared" si="4"/>
        <v>0</v>
      </c>
      <c r="H23" s="677">
        <f t="shared" si="4"/>
        <v>0</v>
      </c>
      <c r="I23" s="762">
        <f>B23+C23+E23+G23-H23-F23-D23</f>
        <v>0</v>
      </c>
      <c r="J23" s="425" t="b">
        <f>A23=未审报表!A23</f>
        <v>1</v>
      </c>
      <c r="K23" s="425" t="b">
        <f>A23=审定报表!A23</f>
        <v>1</v>
      </c>
    </row>
    <row r="24" spans="1:12" ht="14.4" customHeight="1">
      <c r="A24" s="777" t="str">
        <f>未审报表!A24</f>
        <v>预付款项原值</v>
      </c>
      <c r="B24" s="643">
        <f>期初核对!C24</f>
        <v>1584.26</v>
      </c>
      <c r="C24" s="677">
        <f>SUMIFS(调整事项汇总表!$K$7:$K$10020,调整事项汇总表!$D$7:$D$10020,"账项调整",调整事项汇总表!$E$7:$E$10020,IF(OR(MID(TRIM($A24),2,1)="：",MID(TRIM($A24),2,1)="、"),REPLACEB(TRIM($A24),1,4,""),TRIM($A24)))</f>
        <v>0</v>
      </c>
      <c r="D24" s="677">
        <f>SUMIFS(调整事项汇总表!$L$7:$L$10020,调整事项汇总表!$D$7:$D$10020,"账项调整",调整事项汇总表!$E$7:$E$10020,IF(OR(MID(TRIM($A24),2,1)="：",MID(TRIM($A24),2,1)="、"),REPLACEB(TRIM($A24),1,4,""),TRIM($A24)))</f>
        <v>0</v>
      </c>
      <c r="E24" s="677">
        <f>SUMIFS(调整事项汇总表!$K$7:$K$10020,调整事项汇总表!$D$7:$D$10020,"报表调整",调整事项汇总表!$E$7:$E$10020,IF(OR(MID(TRIM($A24),2,1)="：",MID(TRIM($A24),2,1)="、"),REPLACEB(TRIM($A24),1,4,""),TRIM($A24)))</f>
        <v>0</v>
      </c>
      <c r="F24" s="677">
        <f>SUMIFS(调整事项汇总表!$L$7:$L$10020,调整事项汇总表!$D$7:$D$10020,"报表调整",调整事项汇总表!$E$7:$E$10020,IF(OR(MID(TRIM($A24),2,1)="：",MID(TRIM($A24),2,1)="、"),REPLACEB(TRIM($A24),1,4,""),TRIM($A24)))</f>
        <v>0</v>
      </c>
      <c r="G24" s="677">
        <f>SUMIFS(调整事项汇总表!$K$7:$K$10020,调整事项汇总表!$D$7:$D$10020,"其他",调整事项汇总表!$E$7:$E$10020,IF(OR(MID(TRIM($A24),2,1)="：",MID(TRIM($A24),2,1)="、"),REPLACEB(TRIM($A24),1,4,""),TRIM($A24)))</f>
        <v>0</v>
      </c>
      <c r="H24" s="677">
        <f>SUMIFS(调整事项汇总表!$L$7:$L$10020,调整事项汇总表!$D$7:$D$10020,"其他",调整事项汇总表!$E$7:$E$10020,IF(OR(MID(TRIM($A24),2,1)="：",MID(TRIM($A24),2,1)="、"),REPLACEB(TRIM($A24),1,4,""),TRIM($A24)))</f>
        <v>0</v>
      </c>
      <c r="I24" s="762">
        <f>B24+C24+E24+G24-H24-F24-D24</f>
        <v>1584.26</v>
      </c>
      <c r="J24" s="425" t="b">
        <f>A24=未审报表!A24</f>
        <v>1</v>
      </c>
      <c r="K24" s="425" t="b">
        <f>A24=审定报表!A24</f>
        <v>1</v>
      </c>
    </row>
    <row r="25" spans="1:12" ht="14.4" customHeight="1">
      <c r="A25" s="777" t="str">
        <f>未审报表!A25</f>
        <v>预付款项坏账准备</v>
      </c>
      <c r="B25" s="643">
        <f>期初核对!C25</f>
        <v>0</v>
      </c>
      <c r="C25" s="677">
        <f>SUMIFS(调整事项汇总表!$K$7:$K$10020,调整事项汇总表!$D$7:$D$10020,"账项调整",调整事项汇总表!$E$7:$E$10020,IF(OR(MID(TRIM($A25),2,1)="：",MID(TRIM($A25),2,1)="、"),REPLACEB(TRIM($A25),1,4,""),TRIM($A25)))</f>
        <v>0</v>
      </c>
      <c r="D25" s="677">
        <f>SUMIFS(调整事项汇总表!$L$7:$L$10020,调整事项汇总表!$D$7:$D$10020,"账项调整",调整事项汇总表!$E$7:$E$10020,IF(OR(MID(TRIM($A25),2,1)="：",MID(TRIM($A25),2,1)="、"),REPLACEB(TRIM($A25),1,4,""),TRIM($A25)))</f>
        <v>0</v>
      </c>
      <c r="E25" s="677">
        <f>SUMIFS(调整事项汇总表!$K$7:$K$10020,调整事项汇总表!$D$7:$D$10020,"报表调整",调整事项汇总表!$E$7:$E$10020,IF(OR(MID(TRIM($A25),2,1)="：",MID(TRIM($A25),2,1)="、"),REPLACEB(TRIM($A25),1,4,""),TRIM($A25)))</f>
        <v>0</v>
      </c>
      <c r="F25" s="677">
        <f>SUMIFS(调整事项汇总表!$L$7:$L$10020,调整事项汇总表!$D$7:$D$10020,"报表调整",调整事项汇总表!$E$7:$E$10020,IF(OR(MID(TRIM($A25),2,1)="：",MID(TRIM($A25),2,1)="、"),REPLACEB(TRIM($A25),1,4,""),TRIM($A25)))</f>
        <v>0</v>
      </c>
      <c r="G25" s="677">
        <f>SUMIFS(调整事项汇总表!$K$7:$K$10020,调整事项汇总表!$D$7:$D$10020,"其他",调整事项汇总表!$E$7:$E$10020,IF(OR(MID(TRIM($A25),2,1)="：",MID(TRIM($A25),2,1)="、"),REPLACEB(TRIM($A25),1,4,""),TRIM($A25)))</f>
        <v>0</v>
      </c>
      <c r="H25" s="677">
        <f>SUMIFS(调整事项汇总表!$L$7:$L$10020,调整事项汇总表!$D$7:$D$10020,"其他",调整事项汇总表!$E$7:$E$10020,IF(OR(MID(TRIM($A25),2,1)="：",MID(TRIM($A25),2,1)="、"),REPLACEB(TRIM($A25),1,4,""),TRIM($A25)))</f>
        <v>0</v>
      </c>
      <c r="I25" s="762">
        <f>B25+D25+F25+H25-G25-E25-C25</f>
        <v>0</v>
      </c>
      <c r="J25" s="425" t="b">
        <f>A25=未审报表!A25</f>
        <v>1</v>
      </c>
      <c r="K25" s="425" t="b">
        <f>A25=审定报表!A25</f>
        <v>1</v>
      </c>
    </row>
    <row r="26" spans="1:12" ht="14.4" customHeight="1">
      <c r="A26" s="777" t="str">
        <f>未审报表!A26</f>
        <v>预付款项</v>
      </c>
      <c r="B26" s="643">
        <f>期初核对!C26</f>
        <v>1584.26</v>
      </c>
      <c r="C26" s="677">
        <f>C24+C25</f>
        <v>0</v>
      </c>
      <c r="D26" s="677">
        <f t="shared" ref="D26:H26" si="5">D24+D25</f>
        <v>0</v>
      </c>
      <c r="E26" s="677">
        <f t="shared" si="5"/>
        <v>0</v>
      </c>
      <c r="F26" s="677">
        <f t="shared" si="5"/>
        <v>0</v>
      </c>
      <c r="G26" s="677">
        <f t="shared" si="5"/>
        <v>0</v>
      </c>
      <c r="H26" s="677">
        <f t="shared" si="5"/>
        <v>0</v>
      </c>
      <c r="I26" s="762">
        <f>B26+C26+E26+G26-H26-F26-D26</f>
        <v>1584.26</v>
      </c>
      <c r="J26" s="425" t="b">
        <f>A26=未审报表!A26</f>
        <v>1</v>
      </c>
      <c r="K26" s="425" t="b">
        <f>A26=审定报表!A26</f>
        <v>1</v>
      </c>
    </row>
    <row r="27" spans="1:12" ht="14.4" customHeight="1">
      <c r="A27" s="777" t="str">
        <f>未审报表!A27</f>
        <v>应收保费原值*</v>
      </c>
      <c r="B27" s="643">
        <f>期初核对!C27</f>
        <v>0</v>
      </c>
      <c r="C27" s="677">
        <f>SUMIFS(调整事项汇总表!$K$7:$K$10020,调整事项汇总表!$D$7:$D$10020,"账项调整",调整事项汇总表!$E$7:$E$10020,IF(OR(MID(TRIM($A27),2,1)="：",MID(TRIM($A27),2,1)="、"),REPLACEB(TRIM($A27),1,4,""),TRIM($A27)))</f>
        <v>0</v>
      </c>
      <c r="D27" s="677">
        <f>SUMIFS(调整事项汇总表!$L$7:$L$10020,调整事项汇总表!$D$7:$D$10020,"账项调整",调整事项汇总表!$E$7:$E$10020,IF(OR(MID(TRIM($A27),2,1)="：",MID(TRIM($A27),2,1)="、"),REPLACEB(TRIM($A27),1,4,""),TRIM($A27)))</f>
        <v>0</v>
      </c>
      <c r="E27" s="677">
        <f>SUMIFS(调整事项汇总表!$K$7:$K$10020,调整事项汇总表!$D$7:$D$10020,"报表调整",调整事项汇总表!$E$7:$E$10020,IF(OR(MID(TRIM($A27),2,1)="：",MID(TRIM($A27),2,1)="、"),REPLACEB(TRIM($A27),1,4,""),TRIM($A27)))</f>
        <v>0</v>
      </c>
      <c r="F27" s="677">
        <f>SUMIFS(调整事项汇总表!$L$7:$L$10020,调整事项汇总表!$D$7:$D$10020,"报表调整",调整事项汇总表!$E$7:$E$10020,IF(OR(MID(TRIM($A27),2,1)="：",MID(TRIM($A27),2,1)="、"),REPLACEB(TRIM($A27),1,4,""),TRIM($A27)))</f>
        <v>0</v>
      </c>
      <c r="G27" s="677">
        <f>SUMIFS(调整事项汇总表!$K$7:$K$10020,调整事项汇总表!$D$7:$D$10020,"其他",调整事项汇总表!$E$7:$E$10020,IF(OR(MID(TRIM($A27),2,1)="：",MID(TRIM($A27),2,1)="、"),REPLACEB(TRIM($A27),1,4,""),TRIM($A27)))</f>
        <v>0</v>
      </c>
      <c r="H27" s="677">
        <f>SUMIFS(调整事项汇总表!$L$7:$L$10020,调整事项汇总表!$D$7:$D$10020,"其他",调整事项汇总表!$E$7:$E$10020,IF(OR(MID(TRIM($A27),2,1)="：",MID(TRIM($A27),2,1)="、"),REPLACEB(TRIM($A27),1,4,""),TRIM($A27)))</f>
        <v>0</v>
      </c>
      <c r="I27" s="762">
        <f>B27+C27+E27+G27-H27-F27-D27</f>
        <v>0</v>
      </c>
      <c r="J27" s="425" t="b">
        <f>A27=未审报表!A27</f>
        <v>1</v>
      </c>
      <c r="K27" s="425" t="b">
        <f>A27=审定报表!A27</f>
        <v>1</v>
      </c>
    </row>
    <row r="28" spans="1:12" ht="14.4" customHeight="1">
      <c r="A28" s="777" t="str">
        <f>未审报表!A28</f>
        <v>应收保费坏账准备*</v>
      </c>
      <c r="B28" s="643">
        <f>期初核对!C28</f>
        <v>0</v>
      </c>
      <c r="C28" s="677">
        <f>SUMIFS(调整事项汇总表!$K$7:$K$10020,调整事项汇总表!$D$7:$D$10020,"账项调整",调整事项汇总表!$E$7:$E$10020,IF(OR(MID(TRIM($A28),2,1)="：",MID(TRIM($A28),2,1)="、"),REPLACEB(TRIM($A28),1,4,""),TRIM($A28)))</f>
        <v>0</v>
      </c>
      <c r="D28" s="677">
        <f>SUMIFS(调整事项汇总表!$L$7:$L$10020,调整事项汇总表!$D$7:$D$10020,"账项调整",调整事项汇总表!$E$7:$E$10020,IF(OR(MID(TRIM($A28),2,1)="：",MID(TRIM($A28),2,1)="、"),REPLACEB(TRIM($A28),1,4,""),TRIM($A28)))</f>
        <v>0</v>
      </c>
      <c r="E28" s="677">
        <f>SUMIFS(调整事项汇总表!$K$7:$K$10020,调整事项汇总表!$D$7:$D$10020,"报表调整",调整事项汇总表!$E$7:$E$10020,IF(OR(MID(TRIM($A28),2,1)="：",MID(TRIM($A28),2,1)="、"),REPLACEB(TRIM($A28),1,4,""),TRIM($A28)))</f>
        <v>0</v>
      </c>
      <c r="F28" s="677">
        <f>SUMIFS(调整事项汇总表!$L$7:$L$10020,调整事项汇总表!$D$7:$D$10020,"报表调整",调整事项汇总表!$E$7:$E$10020,IF(OR(MID(TRIM($A28),2,1)="：",MID(TRIM($A28),2,1)="、"),REPLACEB(TRIM($A28),1,4,""),TRIM($A28)))</f>
        <v>0</v>
      </c>
      <c r="G28" s="677">
        <f>SUMIFS(调整事项汇总表!$K$7:$K$10020,调整事项汇总表!$D$7:$D$10020,"其他",调整事项汇总表!$E$7:$E$10020,IF(OR(MID(TRIM($A28),2,1)="：",MID(TRIM($A28),2,1)="、"),REPLACEB(TRIM($A28),1,4,""),TRIM($A28)))</f>
        <v>0</v>
      </c>
      <c r="H28" s="677">
        <f>SUMIFS(调整事项汇总表!$L$7:$L$10020,调整事项汇总表!$D$7:$D$10020,"其他",调整事项汇总表!$E$7:$E$10020,IF(OR(MID(TRIM($A28),2,1)="：",MID(TRIM($A28),2,1)="、"),REPLACEB(TRIM($A28),1,4,""),TRIM($A28)))</f>
        <v>0</v>
      </c>
      <c r="I28" s="762">
        <f>B28+D28+F28+H28-G28-E28-C28</f>
        <v>0</v>
      </c>
      <c r="J28" s="425" t="b">
        <f>A28=未审报表!A28</f>
        <v>1</v>
      </c>
      <c r="K28" s="425" t="b">
        <f>A28=审定报表!A28</f>
        <v>1</v>
      </c>
    </row>
    <row r="29" spans="1:12" ht="14.4" customHeight="1">
      <c r="A29" s="777" t="str">
        <f>未审报表!A29</f>
        <v>应收保费*</v>
      </c>
      <c r="B29" s="643">
        <f>期初核对!C29</f>
        <v>0</v>
      </c>
      <c r="C29" s="677">
        <f>C27+C28</f>
        <v>0</v>
      </c>
      <c r="D29" s="677">
        <f t="shared" ref="D29:H29" si="6">D27+D28</f>
        <v>0</v>
      </c>
      <c r="E29" s="677">
        <f t="shared" si="6"/>
        <v>0</v>
      </c>
      <c r="F29" s="677">
        <f t="shared" si="6"/>
        <v>0</v>
      </c>
      <c r="G29" s="677">
        <f t="shared" si="6"/>
        <v>0</v>
      </c>
      <c r="H29" s="677">
        <f t="shared" si="6"/>
        <v>0</v>
      </c>
      <c r="I29" s="762">
        <f>B29+C29+E29+G29-H29-F29-D29</f>
        <v>0</v>
      </c>
      <c r="J29" s="425" t="b">
        <f>A29=未审报表!A29</f>
        <v>1</v>
      </c>
      <c r="K29" s="425" t="b">
        <f>A29=审定报表!A29</f>
        <v>1</v>
      </c>
    </row>
    <row r="30" spans="1:12" ht="14.4" customHeight="1">
      <c r="A30" s="777" t="str">
        <f>未审报表!A30</f>
        <v>应收分保账款原值*</v>
      </c>
      <c r="B30" s="643">
        <f>期初核对!C30</f>
        <v>0</v>
      </c>
      <c r="C30" s="677">
        <f>SUMIFS(调整事项汇总表!$K$7:$K$10020,调整事项汇总表!$D$7:$D$10020,"账项调整",调整事项汇总表!$E$7:$E$10020,IF(OR(MID(TRIM($A30),2,1)="：",MID(TRIM($A30),2,1)="、"),REPLACEB(TRIM($A30),1,4,""),TRIM($A30)))</f>
        <v>0</v>
      </c>
      <c r="D30" s="677">
        <f>SUMIFS(调整事项汇总表!$L$7:$L$10020,调整事项汇总表!$D$7:$D$10020,"账项调整",调整事项汇总表!$E$7:$E$10020,IF(OR(MID(TRIM($A30),2,1)="：",MID(TRIM($A30),2,1)="、"),REPLACEB(TRIM($A30),1,4,""),TRIM($A30)))</f>
        <v>0</v>
      </c>
      <c r="E30" s="677">
        <f>SUMIFS(调整事项汇总表!$K$7:$K$10020,调整事项汇总表!$D$7:$D$10020,"报表调整",调整事项汇总表!$E$7:$E$10020,IF(OR(MID(TRIM($A30),2,1)="：",MID(TRIM($A30),2,1)="、"),REPLACEB(TRIM($A30),1,4,""),TRIM($A30)))</f>
        <v>0</v>
      </c>
      <c r="F30" s="677">
        <f>SUMIFS(调整事项汇总表!$L$7:$L$10020,调整事项汇总表!$D$7:$D$10020,"报表调整",调整事项汇总表!$E$7:$E$10020,IF(OR(MID(TRIM($A30),2,1)="：",MID(TRIM($A30),2,1)="、"),REPLACEB(TRIM($A30),1,4,""),TRIM($A30)))</f>
        <v>0</v>
      </c>
      <c r="G30" s="677">
        <f>SUMIFS(调整事项汇总表!$K$7:$K$10020,调整事项汇总表!$D$7:$D$10020,"其他",调整事项汇总表!$E$7:$E$10020,IF(OR(MID(TRIM($A30),2,1)="：",MID(TRIM($A30),2,1)="、"),REPLACEB(TRIM($A30),1,4,""),TRIM($A30)))</f>
        <v>0</v>
      </c>
      <c r="H30" s="677">
        <f>SUMIFS(调整事项汇总表!$L$7:$L$10020,调整事项汇总表!$D$7:$D$10020,"其他",调整事项汇总表!$E$7:$E$10020,IF(OR(MID(TRIM($A30),2,1)="：",MID(TRIM($A30),2,1)="、"),REPLACEB(TRIM($A30),1,4,""),TRIM($A30)))</f>
        <v>0</v>
      </c>
      <c r="I30" s="762">
        <f>B30+C30+E30+G30-H30-F30-D30</f>
        <v>0</v>
      </c>
      <c r="J30" s="425" t="b">
        <f>A30=未审报表!A30</f>
        <v>1</v>
      </c>
      <c r="K30" s="425" t="b">
        <f>A30=审定报表!A30</f>
        <v>1</v>
      </c>
    </row>
    <row r="31" spans="1:12" ht="14.4" customHeight="1">
      <c r="A31" s="777" t="str">
        <f>未审报表!A31</f>
        <v>应收分保账款坏账准备*</v>
      </c>
      <c r="B31" s="643">
        <f>期初核对!C31</f>
        <v>0</v>
      </c>
      <c r="C31" s="677">
        <f>SUMIFS(调整事项汇总表!$K$7:$K$10020,调整事项汇总表!$D$7:$D$10020,"账项调整",调整事项汇总表!$E$7:$E$10020,IF(OR(MID(TRIM($A31),2,1)="：",MID(TRIM($A31),2,1)="、"),REPLACEB(TRIM($A31),1,4,""),TRIM($A31)))</f>
        <v>0</v>
      </c>
      <c r="D31" s="677">
        <f>SUMIFS(调整事项汇总表!$L$7:$L$10020,调整事项汇总表!$D$7:$D$10020,"账项调整",调整事项汇总表!$E$7:$E$10020,IF(OR(MID(TRIM($A31),2,1)="：",MID(TRIM($A31),2,1)="、"),REPLACEB(TRIM($A31),1,4,""),TRIM($A31)))</f>
        <v>0</v>
      </c>
      <c r="E31" s="677">
        <f>SUMIFS(调整事项汇总表!$K$7:$K$10020,调整事项汇总表!$D$7:$D$10020,"报表调整",调整事项汇总表!$E$7:$E$10020,IF(OR(MID(TRIM($A31),2,1)="：",MID(TRIM($A31),2,1)="、"),REPLACEB(TRIM($A31),1,4,""),TRIM($A31)))</f>
        <v>0</v>
      </c>
      <c r="F31" s="677">
        <f>SUMIFS(调整事项汇总表!$L$7:$L$10020,调整事项汇总表!$D$7:$D$10020,"报表调整",调整事项汇总表!$E$7:$E$10020,IF(OR(MID(TRIM($A31),2,1)="：",MID(TRIM($A31),2,1)="、"),REPLACEB(TRIM($A31),1,4,""),TRIM($A31)))</f>
        <v>0</v>
      </c>
      <c r="G31" s="677">
        <f>SUMIFS(调整事项汇总表!$K$7:$K$10020,调整事项汇总表!$D$7:$D$10020,"其他",调整事项汇总表!$E$7:$E$10020,IF(OR(MID(TRIM($A31),2,1)="：",MID(TRIM($A31),2,1)="、"),REPLACEB(TRIM($A31),1,4,""),TRIM($A31)))</f>
        <v>0</v>
      </c>
      <c r="H31" s="677">
        <f>SUMIFS(调整事项汇总表!$L$7:$L$10020,调整事项汇总表!$D$7:$D$10020,"其他",调整事项汇总表!$E$7:$E$10020,IF(OR(MID(TRIM($A31),2,1)="：",MID(TRIM($A31),2,1)="、"),REPLACEB(TRIM($A31),1,4,""),TRIM($A31)))</f>
        <v>0</v>
      </c>
      <c r="I31" s="762">
        <f>B31+D31+F31+H31-G31-E31-C31</f>
        <v>0</v>
      </c>
      <c r="J31" s="425" t="b">
        <f>A31=未审报表!A31</f>
        <v>1</v>
      </c>
      <c r="K31" s="425" t="b">
        <f>A31=审定报表!A31</f>
        <v>1</v>
      </c>
    </row>
    <row r="32" spans="1:12" ht="14.4" customHeight="1">
      <c r="A32" s="777" t="str">
        <f>未审报表!A32</f>
        <v>应收分保账款*</v>
      </c>
      <c r="B32" s="643">
        <f>期初核对!C32</f>
        <v>0</v>
      </c>
      <c r="C32" s="677">
        <f>C30+C31</f>
        <v>0</v>
      </c>
      <c r="D32" s="677">
        <f t="shared" ref="D32:H32" si="7">D30+D31</f>
        <v>0</v>
      </c>
      <c r="E32" s="677">
        <f t="shared" si="7"/>
        <v>0</v>
      </c>
      <c r="F32" s="677">
        <f t="shared" si="7"/>
        <v>0</v>
      </c>
      <c r="G32" s="677">
        <f t="shared" si="7"/>
        <v>0</v>
      </c>
      <c r="H32" s="677">
        <f t="shared" si="7"/>
        <v>0</v>
      </c>
      <c r="I32" s="762">
        <f>B32+C32+E32+G32-H32-F32-D32</f>
        <v>0</v>
      </c>
      <c r="J32" s="425" t="b">
        <f>A32=未审报表!A32</f>
        <v>1</v>
      </c>
      <c r="K32" s="425" t="b">
        <f>A32=审定报表!A32</f>
        <v>1</v>
      </c>
    </row>
    <row r="33" spans="1:11" ht="14.4" customHeight="1">
      <c r="A33" s="777" t="str">
        <f>未审报表!A33</f>
        <v>应收分保合同准备金*</v>
      </c>
      <c r="B33" s="643">
        <f>期初核对!C33</f>
        <v>0</v>
      </c>
      <c r="C33" s="677">
        <f>SUMIFS(调整事项汇总表!$K$7:$K$10020,调整事项汇总表!$D$7:$D$10020,"账项调整",调整事项汇总表!$E$7:$E$10020,IF(OR(MID(TRIM($A33),2,1)="：",MID(TRIM($A33),2,1)="、"),REPLACEB(TRIM($A33),1,4,""),TRIM($A33)))</f>
        <v>0</v>
      </c>
      <c r="D33" s="677">
        <f>SUMIFS(调整事项汇总表!$L$7:$L$10020,调整事项汇总表!$D$7:$D$10020,"账项调整",调整事项汇总表!$E$7:$E$10020,IF(OR(MID(TRIM($A33),2,1)="：",MID(TRIM($A33),2,1)="、"),REPLACEB(TRIM($A33),1,4,""),TRIM($A33)))</f>
        <v>0</v>
      </c>
      <c r="E33" s="677">
        <f>SUMIFS(调整事项汇总表!$K$7:$K$10020,调整事项汇总表!$D$7:$D$10020,"报表调整",调整事项汇总表!$E$7:$E$10020,IF(OR(MID(TRIM($A33),2,1)="：",MID(TRIM($A33),2,1)="、"),REPLACEB(TRIM($A33),1,4,""),TRIM($A33)))</f>
        <v>0</v>
      </c>
      <c r="F33" s="677">
        <f>SUMIFS(调整事项汇总表!$L$7:$L$10020,调整事项汇总表!$D$7:$D$10020,"报表调整",调整事项汇总表!$E$7:$E$10020,IF(OR(MID(TRIM($A33),2,1)="：",MID(TRIM($A33),2,1)="、"),REPLACEB(TRIM($A33),1,4,""),TRIM($A33)))</f>
        <v>0</v>
      </c>
      <c r="G33" s="677">
        <f>SUMIFS(调整事项汇总表!$K$7:$K$10020,调整事项汇总表!$D$7:$D$10020,"其他",调整事项汇总表!$E$7:$E$10020,IF(OR(MID(TRIM($A33),2,1)="：",MID(TRIM($A33),2,1)="、"),REPLACEB(TRIM($A33),1,4,""),TRIM($A33)))</f>
        <v>0</v>
      </c>
      <c r="H33" s="677">
        <f>SUMIFS(调整事项汇总表!$L$7:$L$10020,调整事项汇总表!$D$7:$D$10020,"其他",调整事项汇总表!$E$7:$E$10020,IF(OR(MID(TRIM($A33),2,1)="：",MID(TRIM($A33),2,1)="、"),REPLACEB(TRIM($A33),1,4,""),TRIM($A33)))</f>
        <v>0</v>
      </c>
      <c r="I33" s="762">
        <f>B33+C33+E33+G33-H33-F33-D33</f>
        <v>0</v>
      </c>
      <c r="J33" s="425" t="b">
        <f>A33=未审报表!A33</f>
        <v>1</v>
      </c>
      <c r="K33" s="425" t="b">
        <f>A33=审定报表!A33</f>
        <v>1</v>
      </c>
    </row>
    <row r="34" spans="1:11" ht="14.4" customHeight="1">
      <c r="A34" s="777" t="str">
        <f>未审报表!A34</f>
        <v>应收利息原值</v>
      </c>
      <c r="B34" s="643">
        <f>期初核对!C34</f>
        <v>0</v>
      </c>
      <c r="C34" s="677">
        <f>SUMIFS(调整事项汇总表!$K$7:$K$10020,调整事项汇总表!$D$7:$D$10020,"账项调整",调整事项汇总表!$E$7:$E$10020,IF(OR(MID(TRIM($A34),2,1)="：",MID(TRIM($A34),2,1)="、"),REPLACEB(TRIM($A34),1,4,""),TRIM($A34)))</f>
        <v>0</v>
      </c>
      <c r="D34" s="677">
        <f>SUMIFS(调整事项汇总表!$L$7:$L$10020,调整事项汇总表!$D$7:$D$10020,"账项调整",调整事项汇总表!$E$7:$E$10020,IF(OR(MID(TRIM($A34),2,1)="：",MID(TRIM($A34),2,1)="、"),REPLACEB(TRIM($A34),1,4,""),TRIM($A34)))</f>
        <v>0</v>
      </c>
      <c r="E34" s="677">
        <f>SUMIFS(调整事项汇总表!$K$7:$K$10020,调整事项汇总表!$D$7:$D$10020,"报表调整",调整事项汇总表!$E$7:$E$10020,IF(OR(MID(TRIM($A34),2,1)="：",MID(TRIM($A34),2,1)="、"),REPLACEB(TRIM($A34),1,4,""),TRIM($A34)))</f>
        <v>0</v>
      </c>
      <c r="F34" s="677">
        <f>SUMIFS(调整事项汇总表!$L$7:$L$10020,调整事项汇总表!$D$7:$D$10020,"报表调整",调整事项汇总表!$E$7:$E$10020,IF(OR(MID(TRIM($A34),2,1)="：",MID(TRIM($A34),2,1)="、"),REPLACEB(TRIM($A34),1,4,""),TRIM($A34)))</f>
        <v>0</v>
      </c>
      <c r="G34" s="677">
        <f>SUMIFS(调整事项汇总表!$K$7:$K$10020,调整事项汇总表!$D$7:$D$10020,"其他",调整事项汇总表!$E$7:$E$10020,IF(OR(MID(TRIM($A34),2,1)="：",MID(TRIM($A34),2,1)="、"),REPLACEB(TRIM($A34),1,4,""),TRIM($A34)))</f>
        <v>0</v>
      </c>
      <c r="H34" s="677">
        <f>SUMIFS(调整事项汇总表!$L$7:$L$10020,调整事项汇总表!$D$7:$D$10020,"其他",调整事项汇总表!$E$7:$E$10020,IF(OR(MID(TRIM($A34),2,1)="：",MID(TRIM($A34),2,1)="、"),REPLACEB(TRIM($A34),1,4,""),TRIM($A34)))</f>
        <v>0</v>
      </c>
      <c r="I34" s="762">
        <f>B34+C34+E34+G34-H34-F34-D34</f>
        <v>0</v>
      </c>
      <c r="J34" s="425" t="b">
        <f>A34=未审报表!A34</f>
        <v>1</v>
      </c>
      <c r="K34" s="425" t="b">
        <f>A34=审定报表!A34</f>
        <v>1</v>
      </c>
    </row>
    <row r="35" spans="1:11" ht="14.4" customHeight="1">
      <c r="A35" s="777" t="str">
        <f>未审报表!A35</f>
        <v>应收利息坏账准备</v>
      </c>
      <c r="B35" s="643">
        <f>期初核对!C35</f>
        <v>0</v>
      </c>
      <c r="C35" s="677">
        <f>SUMIFS(调整事项汇总表!$K$7:$K$10020,调整事项汇总表!$D$7:$D$10020,"账项调整",调整事项汇总表!$E$7:$E$10020,IF(OR(MID(TRIM($A35),2,1)="：",MID(TRIM($A35),2,1)="、"),REPLACEB(TRIM($A35),1,4,""),TRIM($A35)))</f>
        <v>0</v>
      </c>
      <c r="D35" s="677">
        <f>SUMIFS(调整事项汇总表!$L$7:$L$10020,调整事项汇总表!$D$7:$D$10020,"账项调整",调整事项汇总表!$E$7:$E$10020,IF(OR(MID(TRIM($A35),2,1)="：",MID(TRIM($A35),2,1)="、"),REPLACEB(TRIM($A35),1,4,""),TRIM($A35)))</f>
        <v>0</v>
      </c>
      <c r="E35" s="677">
        <f>SUMIFS(调整事项汇总表!$K$7:$K$10020,调整事项汇总表!$D$7:$D$10020,"报表调整",调整事项汇总表!$E$7:$E$10020,IF(OR(MID(TRIM($A35),2,1)="：",MID(TRIM($A35),2,1)="、"),REPLACEB(TRIM($A35),1,4,""),TRIM($A35)))</f>
        <v>0</v>
      </c>
      <c r="F35" s="677">
        <f>SUMIFS(调整事项汇总表!$L$7:$L$10020,调整事项汇总表!$D$7:$D$10020,"报表调整",调整事项汇总表!$E$7:$E$10020,IF(OR(MID(TRIM($A35),2,1)="：",MID(TRIM($A35),2,1)="、"),REPLACEB(TRIM($A35),1,4,""),TRIM($A35)))</f>
        <v>0</v>
      </c>
      <c r="G35" s="677">
        <f>SUMIFS(调整事项汇总表!$K$7:$K$10020,调整事项汇总表!$D$7:$D$10020,"其他",调整事项汇总表!$E$7:$E$10020,IF(OR(MID(TRIM($A35),2,1)="：",MID(TRIM($A35),2,1)="、"),REPLACEB(TRIM($A35),1,4,""),TRIM($A35)))</f>
        <v>0</v>
      </c>
      <c r="H35" s="677">
        <f>SUMIFS(调整事项汇总表!$L$7:$L$10020,调整事项汇总表!$D$7:$D$10020,"其他",调整事项汇总表!$E$7:$E$10020,IF(OR(MID(TRIM($A35),2,1)="：",MID(TRIM($A35),2,1)="、"),REPLACEB(TRIM($A35),1,4,""),TRIM($A35)))</f>
        <v>0</v>
      </c>
      <c r="I35" s="762">
        <f>B35+D35+F35+H35-G35-E35-C35</f>
        <v>0</v>
      </c>
      <c r="J35" s="425" t="b">
        <f>A35=未审报表!A35</f>
        <v>1</v>
      </c>
      <c r="K35" s="425" t="b">
        <f>A35=审定报表!A35</f>
        <v>1</v>
      </c>
    </row>
    <row r="36" spans="1:11" ht="14.4" customHeight="1">
      <c r="A36" s="777" t="str">
        <f>未审报表!A36</f>
        <v>应收利息</v>
      </c>
      <c r="B36" s="643">
        <f>期初核对!C36</f>
        <v>0</v>
      </c>
      <c r="C36" s="677"/>
      <c r="D36" s="677"/>
      <c r="E36" s="677"/>
      <c r="F36" s="677"/>
      <c r="G36" s="677"/>
      <c r="H36" s="677"/>
      <c r="I36" s="762">
        <f>B36+C36+E36+G36-H36-F36-D36</f>
        <v>0</v>
      </c>
      <c r="J36" s="425" t="b">
        <f>A36=未审报表!A36</f>
        <v>1</v>
      </c>
      <c r="K36" s="425" t="b">
        <f>A36=审定报表!A36</f>
        <v>1</v>
      </c>
    </row>
    <row r="37" spans="1:11" ht="14.4" customHeight="1">
      <c r="A37" s="777" t="str">
        <f>未审报表!A37</f>
        <v>应收股利原值</v>
      </c>
      <c r="B37" s="643">
        <f>期初核对!C37</f>
        <v>10512385.210000001</v>
      </c>
      <c r="C37" s="677">
        <f>SUMIFS(调整事项汇总表!$K$7:$K$10020,调整事项汇总表!$D$7:$D$10020,"账项调整",调整事项汇总表!$E$7:$E$10020,IF(OR(MID(TRIM($A37),2,1)="：",MID(TRIM($A37),2,1)="、"),REPLACEB(TRIM($A37),1,4,""),TRIM($A37)))</f>
        <v>0</v>
      </c>
      <c r="D37" s="677">
        <f>SUMIFS(调整事项汇总表!$L$7:$L$10020,调整事项汇总表!$D$7:$D$10020,"账项调整",调整事项汇总表!$E$7:$E$10020,IF(OR(MID(TRIM($A37),2,1)="：",MID(TRIM($A37),2,1)="、"),REPLACEB(TRIM($A37),1,4,""),TRIM($A37)))</f>
        <v>0</v>
      </c>
      <c r="E37" s="677">
        <f>SUMIFS(调整事项汇总表!$K$7:$K$10020,调整事项汇总表!$D$7:$D$10020,"报表调整",调整事项汇总表!$E$7:$E$10020,IF(OR(MID(TRIM($A37),2,1)="：",MID(TRIM($A37),2,1)="、"),REPLACEB(TRIM($A37),1,4,""),TRIM($A37)))</f>
        <v>0</v>
      </c>
      <c r="F37" s="677">
        <f>SUMIFS(调整事项汇总表!$L$7:$L$10020,调整事项汇总表!$D$7:$D$10020,"报表调整",调整事项汇总表!$E$7:$E$10020,IF(OR(MID(TRIM($A37),2,1)="：",MID(TRIM($A37),2,1)="、"),REPLACEB(TRIM($A37),1,4,""),TRIM($A37)))</f>
        <v>0</v>
      </c>
      <c r="G37" s="677">
        <f>SUMIFS(调整事项汇总表!$K$7:$K$10020,调整事项汇总表!$D$7:$D$10020,"其他",调整事项汇总表!$E$7:$E$10020,IF(OR(MID(TRIM($A37),2,1)="：",MID(TRIM($A37),2,1)="、"),REPLACEB(TRIM($A37),1,4,""),TRIM($A37)))</f>
        <v>0</v>
      </c>
      <c r="H37" s="677">
        <f>SUMIFS(调整事项汇总表!$L$7:$L$10020,调整事项汇总表!$D$7:$D$10020,"其他",调整事项汇总表!$E$7:$E$10020,IF(OR(MID(TRIM($A37),2,1)="：",MID(TRIM($A37),2,1)="、"),REPLACEB(TRIM($A37),1,4,""),TRIM($A37)))</f>
        <v>0</v>
      </c>
      <c r="I37" s="762">
        <f>B37+C37+E37+G37-H37-F37-D37</f>
        <v>10512385.210000001</v>
      </c>
      <c r="J37" s="425" t="b">
        <f>A37=未审报表!A37</f>
        <v>1</v>
      </c>
      <c r="K37" s="425" t="b">
        <f>A37=审定报表!A37</f>
        <v>1</v>
      </c>
    </row>
    <row r="38" spans="1:11" ht="14.4" customHeight="1">
      <c r="A38" s="777" t="str">
        <f>未审报表!A38</f>
        <v>应收股利坏账准备</v>
      </c>
      <c r="B38" s="643">
        <f>期初核对!C38</f>
        <v>0</v>
      </c>
      <c r="C38" s="677">
        <f>SUMIFS(调整事项汇总表!$K$7:$K$10020,调整事项汇总表!$D$7:$D$10020,"账项调整",调整事项汇总表!$E$7:$E$10020,IF(OR(MID(TRIM($A38),2,1)="：",MID(TRIM($A38),2,1)="、"),REPLACEB(TRIM($A38),1,4,""),TRIM($A38)))</f>
        <v>0</v>
      </c>
      <c r="D38" s="677">
        <f>SUMIFS(调整事项汇总表!$L$7:$L$10020,调整事项汇总表!$D$7:$D$10020,"账项调整",调整事项汇总表!$E$7:$E$10020,IF(OR(MID(TRIM($A38),2,1)="：",MID(TRIM($A38),2,1)="、"),REPLACEB(TRIM($A38),1,4,""),TRIM($A38)))</f>
        <v>0</v>
      </c>
      <c r="E38" s="677">
        <f>SUMIFS(调整事项汇总表!$K$7:$K$10020,调整事项汇总表!$D$7:$D$10020,"报表调整",调整事项汇总表!$E$7:$E$10020,IF(OR(MID(TRIM($A38),2,1)="：",MID(TRIM($A38),2,1)="、"),REPLACEB(TRIM($A38),1,4,""),TRIM($A38)))</f>
        <v>0</v>
      </c>
      <c r="F38" s="677">
        <f>SUMIFS(调整事项汇总表!$L$7:$L$10020,调整事项汇总表!$D$7:$D$10020,"报表调整",调整事项汇总表!$E$7:$E$10020,IF(OR(MID(TRIM($A38),2,1)="：",MID(TRIM($A38),2,1)="、"),REPLACEB(TRIM($A38),1,4,""),TRIM($A38)))</f>
        <v>0</v>
      </c>
      <c r="G38" s="677">
        <f>SUMIFS(调整事项汇总表!$K$7:$K$10020,调整事项汇总表!$D$7:$D$10020,"其他",调整事项汇总表!$E$7:$E$10020,IF(OR(MID(TRIM($A38),2,1)="：",MID(TRIM($A38),2,1)="、"),REPLACEB(TRIM($A38),1,4,""),TRIM($A38)))</f>
        <v>0</v>
      </c>
      <c r="H38" s="677">
        <f>SUMIFS(调整事项汇总表!$L$7:$L$10020,调整事项汇总表!$D$7:$D$10020,"其他",调整事项汇总表!$E$7:$E$10020,IF(OR(MID(TRIM($A38),2,1)="：",MID(TRIM($A38),2,1)="、"),REPLACEB(TRIM($A38),1,4,""),TRIM($A38)))</f>
        <v>0</v>
      </c>
      <c r="I38" s="762">
        <f>B38+D38+F38+H38-G38-E38-C38</f>
        <v>0</v>
      </c>
      <c r="J38" s="425" t="b">
        <f>A38=未审报表!A38</f>
        <v>1</v>
      </c>
      <c r="K38" s="425" t="b">
        <f>A38=审定报表!A38</f>
        <v>1</v>
      </c>
    </row>
    <row r="39" spans="1:11" ht="14.4" customHeight="1">
      <c r="A39" s="777" t="str">
        <f>未审报表!A39</f>
        <v>应收股利</v>
      </c>
      <c r="B39" s="643">
        <f>期初核对!C39</f>
        <v>10512385.210000001</v>
      </c>
      <c r="C39" s="677">
        <f>C37+C38</f>
        <v>0</v>
      </c>
      <c r="D39" s="677">
        <f t="shared" ref="D39:H39" si="8">D37+D38</f>
        <v>0</v>
      </c>
      <c r="E39" s="677">
        <f t="shared" si="8"/>
        <v>0</v>
      </c>
      <c r="F39" s="677">
        <f t="shared" si="8"/>
        <v>0</v>
      </c>
      <c r="G39" s="677">
        <f t="shared" si="8"/>
        <v>0</v>
      </c>
      <c r="H39" s="677">
        <f t="shared" si="8"/>
        <v>0</v>
      </c>
      <c r="I39" s="762">
        <f>B39+C39+E39+G39-H39-F39-D39</f>
        <v>10512385.210000001</v>
      </c>
      <c r="J39" s="425" t="b">
        <f>A39=未审报表!A39</f>
        <v>1</v>
      </c>
      <c r="K39" s="425" t="b">
        <f>A39=审定报表!A39</f>
        <v>1</v>
      </c>
    </row>
    <row r="40" spans="1:11" ht="14.4" customHeight="1">
      <c r="A40" s="777" t="str">
        <f>未审报表!A40</f>
        <v>其他应收款原值</v>
      </c>
      <c r="B40" s="643">
        <f>期初核对!C40</f>
        <v>12543397.1</v>
      </c>
      <c r="C40" s="677">
        <f>SUMIFS(调整事项汇总表!$K$7:$K$10020,调整事项汇总表!$D$7:$D$10020,"账项调整",调整事项汇总表!$E$7:$E$10020,IF(OR(MID(TRIM($A40),2,1)="：",MID(TRIM($A40),2,1)="、"),REPLACEB(TRIM($A40),1,4,""),TRIM($A40)))</f>
        <v>0</v>
      </c>
      <c r="D40" s="677">
        <f>SUMIFS(调整事项汇总表!$L$7:$L$10020,调整事项汇总表!$D$7:$D$10020,"账项调整",调整事项汇总表!$E$7:$E$10020,IF(OR(MID(TRIM($A40),2,1)="：",MID(TRIM($A40),2,1)="、"),REPLACEB(TRIM($A40),1,4,""),TRIM($A40)))</f>
        <v>0</v>
      </c>
      <c r="E40" s="677">
        <f>SUMIFS(调整事项汇总表!$K$7:$K$10020,调整事项汇总表!$D$7:$D$10020,"报表调整",调整事项汇总表!$E$7:$E$10020,IF(OR(MID(TRIM($A40),2,1)="：",MID(TRIM($A40),2,1)="、"),REPLACEB(TRIM($A40),1,4,""),TRIM($A40)))</f>
        <v>0</v>
      </c>
      <c r="F40" s="677">
        <f>SUMIFS(调整事项汇总表!$L$7:$L$10020,调整事项汇总表!$D$7:$D$10020,"报表调整",调整事项汇总表!$E$7:$E$10020,IF(OR(MID(TRIM($A40),2,1)="：",MID(TRIM($A40),2,1)="、"),REPLACEB(TRIM($A40),1,4,""),TRIM($A40)))</f>
        <v>0</v>
      </c>
      <c r="G40" s="677">
        <f>SUMIFS(调整事项汇总表!$K$7:$K$10020,调整事项汇总表!$D$7:$D$10020,"其他",调整事项汇总表!$E$7:$E$10020,IF(OR(MID(TRIM($A40),2,1)="：",MID(TRIM($A40),2,1)="、"),REPLACEB(TRIM($A40),1,4,""),TRIM($A40)))</f>
        <v>0</v>
      </c>
      <c r="H40" s="677">
        <f>SUMIFS(调整事项汇总表!$L$7:$L$10020,调整事项汇总表!$D$7:$D$10020,"其他",调整事项汇总表!$E$7:$E$10020,IF(OR(MID(TRIM($A40),2,1)="：",MID(TRIM($A40),2,1)="、"),REPLACEB(TRIM($A40),1,4,""),TRIM($A40)))</f>
        <v>0</v>
      </c>
      <c r="I40" s="762">
        <f>B40+C40+E40+G40-H40-F40-D40</f>
        <v>12543397.1</v>
      </c>
      <c r="J40" s="425" t="b">
        <f>A40=未审报表!A40</f>
        <v>1</v>
      </c>
      <c r="K40" s="425" t="b">
        <f>A40=审定报表!A40</f>
        <v>1</v>
      </c>
    </row>
    <row r="41" spans="1:11" ht="14.4" customHeight="1">
      <c r="A41" s="777" t="str">
        <f>未审报表!A41</f>
        <v>其他应收款坏账准备</v>
      </c>
      <c r="B41" s="643">
        <f>期初核对!C41</f>
        <v>0</v>
      </c>
      <c r="C41" s="677">
        <f>SUMIFS(调整事项汇总表!$K$7:$K$10020,调整事项汇总表!$D$7:$D$10020,"账项调整",调整事项汇总表!$E$7:$E$10020,IF(OR(MID(TRIM($A41),2,1)="：",MID(TRIM($A41),2,1)="、"),REPLACEB(TRIM($A41),1,4,""),TRIM($A41)))</f>
        <v>0</v>
      </c>
      <c r="D41" s="677">
        <f>SUMIFS(调整事项汇总表!$L$7:$L$10020,调整事项汇总表!$D$7:$D$10020,"账项调整",调整事项汇总表!$E$7:$E$10020,IF(OR(MID(TRIM($A41),2,1)="：",MID(TRIM($A41),2,1)="、"),REPLACEB(TRIM($A41),1,4,""),TRIM($A41)))</f>
        <v>0</v>
      </c>
      <c r="E41" s="677">
        <f>SUMIFS(调整事项汇总表!$K$7:$K$10020,调整事项汇总表!$D$7:$D$10020,"报表调整",调整事项汇总表!$E$7:$E$10020,IF(OR(MID(TRIM($A41),2,1)="：",MID(TRIM($A41),2,1)="、"),REPLACEB(TRIM($A41),1,4,""),TRIM($A41)))</f>
        <v>0</v>
      </c>
      <c r="F41" s="677">
        <f>SUMIFS(调整事项汇总表!$L$7:$L$10020,调整事项汇总表!$D$7:$D$10020,"报表调整",调整事项汇总表!$E$7:$E$10020,IF(OR(MID(TRIM($A41),2,1)="：",MID(TRIM($A41),2,1)="、"),REPLACEB(TRIM($A41),1,4,""),TRIM($A41)))</f>
        <v>0</v>
      </c>
      <c r="G41" s="677">
        <f>SUMIFS(调整事项汇总表!$K$7:$K$10020,调整事项汇总表!$D$7:$D$10020,"其他",调整事项汇总表!$E$7:$E$10020,IF(OR(MID(TRIM($A41),2,1)="：",MID(TRIM($A41),2,1)="、"),REPLACEB(TRIM($A41),1,4,""),TRIM($A41)))</f>
        <v>0</v>
      </c>
      <c r="H41" s="677">
        <f>SUMIFS(调整事项汇总表!$L$7:$L$10020,调整事项汇总表!$D$7:$D$10020,"其他",调整事项汇总表!$E$7:$E$10020,IF(OR(MID(TRIM($A41),2,1)="：",MID(TRIM($A41),2,1)="、"),REPLACEB(TRIM($A41),1,4,""),TRIM($A41)))</f>
        <v>0</v>
      </c>
      <c r="I41" s="762">
        <f>B41+D41+F41+H41-G41-E41-C41</f>
        <v>0</v>
      </c>
      <c r="J41" s="425" t="b">
        <f>A41=未审报表!A41</f>
        <v>1</v>
      </c>
      <c r="K41" s="425" t="b">
        <f>A41=审定报表!A41</f>
        <v>1</v>
      </c>
    </row>
    <row r="42" spans="1:11" ht="14.4" customHeight="1">
      <c r="A42" s="777" t="str">
        <f>未审报表!A42</f>
        <v>其他应收款</v>
      </c>
      <c r="B42" s="643">
        <f>期初核对!C42</f>
        <v>12543397.1</v>
      </c>
      <c r="C42" s="677">
        <f>C40+C41</f>
        <v>0</v>
      </c>
      <c r="D42" s="677">
        <f t="shared" ref="D42:H42" si="9">D40+D41</f>
        <v>0</v>
      </c>
      <c r="E42" s="677">
        <f t="shared" si="9"/>
        <v>0</v>
      </c>
      <c r="F42" s="677">
        <f t="shared" si="9"/>
        <v>0</v>
      </c>
      <c r="G42" s="677">
        <f t="shared" si="9"/>
        <v>0</v>
      </c>
      <c r="H42" s="677">
        <f t="shared" si="9"/>
        <v>0</v>
      </c>
      <c r="I42" s="762">
        <f>B42+C42+E42+G42-H42-F42-D42</f>
        <v>12543397.1</v>
      </c>
      <c r="J42" s="425" t="b">
        <f>A42=未审报表!A42</f>
        <v>1</v>
      </c>
      <c r="K42" s="425" t="b">
        <f>A42=审定报表!A42</f>
        <v>1</v>
      </c>
    </row>
    <row r="43" spans="1:11" ht="14.4" customHeight="1">
      <c r="A43" s="777" t="str">
        <f>未审报表!A43</f>
        <v>买入返售金融资产原值*</v>
      </c>
      <c r="B43" s="643">
        <f>期初核对!C43</f>
        <v>0</v>
      </c>
      <c r="C43" s="677">
        <f>SUMIFS(调整事项汇总表!$K$7:$K$10020,调整事项汇总表!$D$7:$D$10020,"账项调整",调整事项汇总表!$E$7:$E$10020,IF(OR(MID(TRIM($A43),2,1)="：",MID(TRIM($A43),2,1)="、"),REPLACEB(TRIM($A43),1,4,""),TRIM($A43)))</f>
        <v>0</v>
      </c>
      <c r="D43" s="677">
        <f>SUMIFS(调整事项汇总表!$L$7:$L$10020,调整事项汇总表!$D$7:$D$10020,"账项调整",调整事项汇总表!$E$7:$E$10020,IF(OR(MID(TRIM($A43),2,1)="：",MID(TRIM($A43),2,1)="、"),REPLACEB(TRIM($A43),1,4,""),TRIM($A43)))</f>
        <v>0</v>
      </c>
      <c r="E43" s="677">
        <f>SUMIFS(调整事项汇总表!$K$7:$K$10020,调整事项汇总表!$D$7:$D$10020,"报表调整",调整事项汇总表!$E$7:$E$10020,IF(OR(MID(TRIM($A43),2,1)="：",MID(TRIM($A43),2,1)="、"),REPLACEB(TRIM($A43),1,4,""),TRIM($A43)))</f>
        <v>0</v>
      </c>
      <c r="F43" s="677">
        <f>SUMIFS(调整事项汇总表!$L$7:$L$10020,调整事项汇总表!$D$7:$D$10020,"报表调整",调整事项汇总表!$E$7:$E$10020,IF(OR(MID(TRIM($A43),2,1)="：",MID(TRIM($A43),2,1)="、"),REPLACEB(TRIM($A43),1,4,""),TRIM($A43)))</f>
        <v>0</v>
      </c>
      <c r="G43" s="677">
        <f>SUMIFS(调整事项汇总表!$K$7:$K$10020,调整事项汇总表!$D$7:$D$10020,"其他",调整事项汇总表!$E$7:$E$10020,IF(OR(MID(TRIM($A43),2,1)="：",MID(TRIM($A43),2,1)="、"),REPLACEB(TRIM($A43),1,4,""),TRIM($A43)))</f>
        <v>0</v>
      </c>
      <c r="H43" s="677">
        <f>SUMIFS(调整事项汇总表!$L$7:$L$10020,调整事项汇总表!$D$7:$D$10020,"其他",调整事项汇总表!$E$7:$E$10020,IF(OR(MID(TRIM($A43),2,1)="：",MID(TRIM($A43),2,1)="、"),REPLACEB(TRIM($A43),1,4,""),TRIM($A43)))</f>
        <v>0</v>
      </c>
      <c r="I43" s="762">
        <f>B43+C43+E43+G43-H43-F43-D43</f>
        <v>0</v>
      </c>
      <c r="J43" s="425" t="b">
        <f>A43=未审报表!A43</f>
        <v>1</v>
      </c>
      <c r="K43" s="425" t="b">
        <f>A43=审定报表!A43</f>
        <v>1</v>
      </c>
    </row>
    <row r="44" spans="1:11" ht="14.4" customHeight="1">
      <c r="A44" s="777" t="str">
        <f>未审报表!A44</f>
        <v>买入返售金融资产减值准备*</v>
      </c>
      <c r="B44" s="643">
        <f>期初核对!C44</f>
        <v>0</v>
      </c>
      <c r="C44" s="677">
        <f>SUMIFS(调整事项汇总表!$K$7:$K$10020,调整事项汇总表!$D$7:$D$10020,"账项调整",调整事项汇总表!$E$7:$E$10020,IF(OR(MID(TRIM($A44),2,1)="：",MID(TRIM($A44),2,1)="、"),REPLACEB(TRIM($A44),1,4,""),TRIM($A44)))</f>
        <v>0</v>
      </c>
      <c r="D44" s="677">
        <f>SUMIFS(调整事项汇总表!$L$7:$L$10020,调整事项汇总表!$D$7:$D$10020,"账项调整",调整事项汇总表!$E$7:$E$10020,IF(OR(MID(TRIM($A44),2,1)="：",MID(TRIM($A44),2,1)="、"),REPLACEB(TRIM($A44),1,4,""),TRIM($A44)))</f>
        <v>0</v>
      </c>
      <c r="E44" s="677">
        <f>SUMIFS(调整事项汇总表!$K$7:$K$10020,调整事项汇总表!$D$7:$D$10020,"报表调整",调整事项汇总表!$E$7:$E$10020,IF(OR(MID(TRIM($A44),2,1)="：",MID(TRIM($A44),2,1)="、"),REPLACEB(TRIM($A44),1,4,""),TRIM($A44)))</f>
        <v>0</v>
      </c>
      <c r="F44" s="677">
        <f>SUMIFS(调整事项汇总表!$L$7:$L$10020,调整事项汇总表!$D$7:$D$10020,"报表调整",调整事项汇总表!$E$7:$E$10020,IF(OR(MID(TRIM($A44),2,1)="：",MID(TRIM($A44),2,1)="、"),REPLACEB(TRIM($A44),1,4,""),TRIM($A44)))</f>
        <v>0</v>
      </c>
      <c r="G44" s="677">
        <f>SUMIFS(调整事项汇总表!$K$7:$K$10020,调整事项汇总表!$D$7:$D$10020,"其他",调整事项汇总表!$E$7:$E$10020,IF(OR(MID(TRIM($A44),2,1)="：",MID(TRIM($A44),2,1)="、"),REPLACEB(TRIM($A44),1,4,""),TRIM($A44)))</f>
        <v>0</v>
      </c>
      <c r="H44" s="677">
        <f>SUMIFS(调整事项汇总表!$L$7:$L$10020,调整事项汇总表!$D$7:$D$10020,"其他",调整事项汇总表!$E$7:$E$10020,IF(OR(MID(TRIM($A44),2,1)="：",MID(TRIM($A44),2,1)="、"),REPLACEB(TRIM($A44),1,4,""),TRIM($A44)))</f>
        <v>0</v>
      </c>
      <c r="I44" s="762">
        <f>B44+D44+F44+H44-G44-E44-C44</f>
        <v>0</v>
      </c>
      <c r="J44" s="425" t="b">
        <f>A44=未审报表!A44</f>
        <v>1</v>
      </c>
      <c r="K44" s="425" t="b">
        <f>A44=审定报表!A44</f>
        <v>1</v>
      </c>
    </row>
    <row r="45" spans="1:11" ht="13.8">
      <c r="A45" s="777" t="str">
        <f>未审报表!A45</f>
        <v>买入返售金融资产*</v>
      </c>
      <c r="B45" s="643">
        <f>期初核对!C45</f>
        <v>0</v>
      </c>
      <c r="C45" s="677">
        <f>C43+C44</f>
        <v>0</v>
      </c>
      <c r="D45" s="677">
        <f t="shared" ref="D45:H45" si="10">D43+D44</f>
        <v>0</v>
      </c>
      <c r="E45" s="677">
        <f t="shared" si="10"/>
        <v>0</v>
      </c>
      <c r="F45" s="677">
        <f t="shared" si="10"/>
        <v>0</v>
      </c>
      <c r="G45" s="677">
        <f t="shared" si="10"/>
        <v>0</v>
      </c>
      <c r="H45" s="677">
        <f t="shared" si="10"/>
        <v>0</v>
      </c>
      <c r="I45" s="762">
        <f>B45+C45+E45+G45-H45-F45-D45</f>
        <v>0</v>
      </c>
      <c r="J45" s="425" t="b">
        <f>A45=未审报表!A45</f>
        <v>1</v>
      </c>
      <c r="K45" s="425" t="b">
        <f>A45=审定报表!A45</f>
        <v>1</v>
      </c>
    </row>
    <row r="46" spans="1:11" ht="14.4" customHeight="1">
      <c r="A46" s="777" t="str">
        <f>未审报表!A46</f>
        <v>存货原值</v>
      </c>
      <c r="B46" s="643">
        <f>期初核对!C46</f>
        <v>0</v>
      </c>
      <c r="C46" s="677">
        <f>SUMIFS(调整事项汇总表!$K$7:$K$10020,调整事项汇总表!$D$7:$D$10020,"账项调整",调整事项汇总表!$E$7:$E$10020,IF(OR(MID(TRIM($A46),2,1)="：",MID(TRIM($A46),2,1)="、"),REPLACEB(TRIM($A46),1,4,""),TRIM($A46)))</f>
        <v>0</v>
      </c>
      <c r="D46" s="677">
        <f>SUMIFS(调整事项汇总表!$L$7:$L$10020,调整事项汇总表!$D$7:$D$10020,"账项调整",调整事项汇总表!$E$7:$E$10020,IF(OR(MID(TRIM($A46),2,1)="：",MID(TRIM($A46),2,1)="、"),REPLACEB(TRIM($A46),1,4,""),TRIM($A46)))</f>
        <v>0</v>
      </c>
      <c r="E46" s="677">
        <f>SUMIFS(调整事项汇总表!$K$7:$K$10020,调整事项汇总表!$D$7:$D$10020,"报表调整",调整事项汇总表!$E$7:$E$10020,IF(OR(MID(TRIM($A46),2,1)="：",MID(TRIM($A46),2,1)="、"),REPLACEB(TRIM($A46),1,4,""),TRIM($A46)))</f>
        <v>0</v>
      </c>
      <c r="F46" s="677">
        <f>SUMIFS(调整事项汇总表!$L$7:$L$10020,调整事项汇总表!$D$7:$D$10020,"报表调整",调整事项汇总表!$E$7:$E$10020,IF(OR(MID(TRIM($A46),2,1)="：",MID(TRIM($A46),2,1)="、"),REPLACEB(TRIM($A46),1,4,""),TRIM($A46)))</f>
        <v>0</v>
      </c>
      <c r="G46" s="677">
        <f>SUMIFS(调整事项汇总表!$K$7:$K$10020,调整事项汇总表!$D$7:$D$10020,"其他",调整事项汇总表!$E$7:$E$10020,IF(OR(MID(TRIM($A46),2,1)="：",MID(TRIM($A46),2,1)="、"),REPLACEB(TRIM($A46),1,4,""),TRIM($A46)))</f>
        <v>0</v>
      </c>
      <c r="H46" s="677">
        <f>SUMIFS(调整事项汇总表!$L$7:$L$10020,调整事项汇总表!$D$7:$D$10020,"其他",调整事项汇总表!$E$7:$E$10020,IF(OR(MID(TRIM($A46),2,1)="：",MID(TRIM($A46),2,1)="、"),REPLACEB(TRIM($A46),1,4,""),TRIM($A46)))</f>
        <v>0</v>
      </c>
      <c r="I46" s="762">
        <f>B46+C46+E46+G46-H46-F46-D46</f>
        <v>0</v>
      </c>
      <c r="J46" s="425" t="b">
        <f>A46=未审报表!A46</f>
        <v>1</v>
      </c>
      <c r="K46" s="425" t="b">
        <f>A46=审定报表!A46</f>
        <v>1</v>
      </c>
    </row>
    <row r="47" spans="1:11" ht="14.4" customHeight="1">
      <c r="A47" s="777" t="str">
        <f>未审报表!A47</f>
        <v>存货跌价准备</v>
      </c>
      <c r="B47" s="643">
        <f>期初核对!C47</f>
        <v>0</v>
      </c>
      <c r="C47" s="677">
        <f>SUMIFS(调整事项汇总表!$K$7:$K$10020,调整事项汇总表!$D$7:$D$10020,"账项调整",调整事项汇总表!$E$7:$E$10020,IF(OR(MID(TRIM($A47),2,1)="：",MID(TRIM($A47),2,1)="、"),REPLACEB(TRIM($A47),1,4,""),TRIM($A47)))</f>
        <v>0</v>
      </c>
      <c r="D47" s="677">
        <f>SUMIFS(调整事项汇总表!$L$7:$L$10020,调整事项汇总表!$D$7:$D$10020,"账项调整",调整事项汇总表!$E$7:$E$10020,IF(OR(MID(TRIM($A47),2,1)="：",MID(TRIM($A47),2,1)="、"),REPLACEB(TRIM($A47),1,4,""),TRIM($A47)))</f>
        <v>0</v>
      </c>
      <c r="E47" s="677">
        <f>SUMIFS(调整事项汇总表!$K$7:$K$10020,调整事项汇总表!$D$7:$D$10020,"报表调整",调整事项汇总表!$E$7:$E$10020,IF(OR(MID(TRIM($A47),2,1)="：",MID(TRIM($A47),2,1)="、"),REPLACEB(TRIM($A47),1,4,""),TRIM($A47)))</f>
        <v>0</v>
      </c>
      <c r="F47" s="677">
        <f>SUMIFS(调整事项汇总表!$L$7:$L$10020,调整事项汇总表!$D$7:$D$10020,"报表调整",调整事项汇总表!$E$7:$E$10020,IF(OR(MID(TRIM($A47),2,1)="：",MID(TRIM($A47),2,1)="、"),REPLACEB(TRIM($A47),1,4,""),TRIM($A47)))</f>
        <v>0</v>
      </c>
      <c r="G47" s="677">
        <f>SUMIFS(调整事项汇总表!$K$7:$K$10020,调整事项汇总表!$D$7:$D$10020,"其他",调整事项汇总表!$E$7:$E$10020,IF(OR(MID(TRIM($A47),2,1)="：",MID(TRIM($A47),2,1)="、"),REPLACEB(TRIM($A47),1,4,""),TRIM($A47)))</f>
        <v>0</v>
      </c>
      <c r="H47" s="677">
        <f>SUMIFS(调整事项汇总表!$L$7:$L$10020,调整事项汇总表!$D$7:$D$10020,"其他",调整事项汇总表!$E$7:$E$10020,IF(OR(MID(TRIM($A47),2,1)="：",MID(TRIM($A47),2,1)="、"),REPLACEB(TRIM($A47),1,4,""),TRIM($A47)))</f>
        <v>0</v>
      </c>
      <c r="I47" s="762">
        <f>B47+D47+F47+H47-G47-E47-C47</f>
        <v>0</v>
      </c>
      <c r="J47" s="425" t="b">
        <f>A47=未审报表!A47</f>
        <v>1</v>
      </c>
      <c r="K47" s="425" t="b">
        <f>A47=审定报表!A47</f>
        <v>1</v>
      </c>
    </row>
    <row r="48" spans="1:11" ht="14.4" customHeight="1">
      <c r="A48" s="777" t="str">
        <f>未审报表!A48</f>
        <v>存货</v>
      </c>
      <c r="B48" s="643">
        <f>期初核对!C48</f>
        <v>0</v>
      </c>
      <c r="C48" s="677">
        <f>C46+C47</f>
        <v>0</v>
      </c>
      <c r="D48" s="677">
        <f t="shared" ref="D48:H48" si="11">D46+D47</f>
        <v>0</v>
      </c>
      <c r="E48" s="677">
        <f t="shared" si="11"/>
        <v>0</v>
      </c>
      <c r="F48" s="677">
        <f t="shared" si="11"/>
        <v>0</v>
      </c>
      <c r="G48" s="677">
        <f t="shared" si="11"/>
        <v>0</v>
      </c>
      <c r="H48" s="677">
        <f t="shared" si="11"/>
        <v>0</v>
      </c>
      <c r="I48" s="762">
        <f>B48+C48+E48+G48-H48-F48-D48</f>
        <v>0</v>
      </c>
      <c r="J48" s="425" t="b">
        <f>A48=未审报表!A48</f>
        <v>1</v>
      </c>
      <c r="K48" s="425" t="b">
        <f>A48=审定报表!A48</f>
        <v>1</v>
      </c>
    </row>
    <row r="49" spans="1:11" ht="14.4" customHeight="1">
      <c r="A49" s="777" t="str">
        <f>未审报表!A49</f>
        <v xml:space="preserve"> 其中：原材料</v>
      </c>
      <c r="B49" s="643">
        <f>期初核对!C49</f>
        <v>0</v>
      </c>
      <c r="C49" s="677">
        <f>SUMIFS(调整事项汇总表!$K$7:$K$10020,调整事项汇总表!$D$7:$D$10020,"账项调整",调整事项汇总表!$E$7:$E$10020,"存货原值",调整事项汇总表!$F$7:$F$10020,IF(OR(MID(TRIM($A49),3,1)="：",MID(TRIM($A49),2,1)="、"),REPLACEB(TRIM($A49),1,6,""),TRIM($A49)))-SUMIFS(调整事项汇总表!$K$7:$K$10020,调整事项汇总表!$D$7:$D$10020,"账项调整",调整事项汇总表!$E$7:$E$10020,"存货跌价准备",调整事项汇总表!$F$7:$F$10020,IF(OR(MID(TRIM($A49),3,1)="：",MID(TRIM($A49),2,1)="、"),REPLACEB(TRIM($A49),1,6,""),TRIM($A49)))</f>
        <v>0</v>
      </c>
      <c r="D49" s="677">
        <f>SUMIFS(调整事项汇总表!$L$7:$L$10020,调整事项汇总表!$D$7:$D$10020,"账项调整",调整事项汇总表!$E$7:$E$10020,"存货原值",调整事项汇总表!$F$7:$F$10020,IF(OR(MID(TRIM($A49),3,1)="：",MID(TRIM($A49),2,1)="、"),REPLACEB(TRIM($A49),1,6,""),TRIM($A49)))-SUMIFS(调整事项汇总表!$L$7:$L$10020,调整事项汇总表!$D$7:$D$10020,"账项调整",调整事项汇总表!$E$7:$E$10020,"存货跌价准备",调整事项汇总表!$F$7:$F$10020,IF(OR(MID(TRIM($A49),3,1)="：",MID(TRIM($A49),2,1)="、"),REPLACEB(TRIM($A49),1,6,""),TRIM($A49)))</f>
        <v>0</v>
      </c>
      <c r="E49" s="677">
        <f>SUMIFS(调整事项汇总表!$K$7:$K$10020,调整事项汇总表!$D$7:$D$10020,"报表调整",调整事项汇总表!$E$7:$E$10020,"存货原值",调整事项汇总表!$F$7:$F$10020,IF(OR(MID(TRIM($A49),3,1)="：",MID(TRIM($A49),2,1)="、"),REPLACEB(TRIM($A49),1,6,""),TRIM($A49)))-SUMIFS(调整事项汇总表!$K$7:$K$10020,调整事项汇总表!$D$7:$D$10020,"报表调整",调整事项汇总表!$E$7:$E$10020,"存货跌价准备",调整事项汇总表!$F$7:$F$10020,IF(OR(MID(TRIM($A49),3,1)="：",MID(TRIM($A49),2,1)="、"),REPLACEB(TRIM($A49),1,6,""),TRIM($A49)))</f>
        <v>0</v>
      </c>
      <c r="F49" s="677">
        <f>SUMIFS(调整事项汇总表!$L$7:$L$10020,调整事项汇总表!$D$7:$D$10020,"报表调整",调整事项汇总表!$E$7:$E$10020,"存货原值",调整事项汇总表!$F$7:$F$10020,IF(OR(MID(TRIM($A49),3,1)="：",MID(TRIM($A49),2,1)="、"),REPLACEB(TRIM($A49),1,6,""),TRIM($A49)))-SUMIFS(调整事项汇总表!$L$7:$L$10020,调整事项汇总表!$D$7:$D$10020,"报表调整",调整事项汇总表!$E$7:$E$10020,"存货跌价准备",调整事项汇总表!$F$7:$F$10020,IF(OR(MID(TRIM($A49),3,1)="：",MID(TRIM($A49),2,1)="、"),REPLACEB(TRIM($A49),1,6,""),TRIM($A49)))</f>
        <v>0</v>
      </c>
      <c r="G49" s="677">
        <f>SUMIFS(调整事项汇总表!$K$7:$K$10020,调整事项汇总表!$D$7:$D$10020,"其他",调整事项汇总表!$E$7:$E$10020,"存货原值",调整事项汇总表!$F$7:$F$10020,IF(OR(MID(TRIM($A49),3,1)="：",MID(TRIM($A49),2,1)="、"),REPLACEB(TRIM($A49),1,6,""),TRIM($A49)))-SUMIFS(调整事项汇总表!$K$7:$K$10020,调整事项汇总表!$D$7:$D$10020,"其他",调整事项汇总表!$E$7:$E$10020,"存货跌价准备",调整事项汇总表!$F$7:$F$10020,IF(OR(MID(TRIM($A49),3,1)="：",MID(TRIM($A49),2,1)="、"),REPLACEB(TRIM($A49),1,6,""),TRIM($A49)))</f>
        <v>0</v>
      </c>
      <c r="H49" s="677">
        <f>SUMIFS(调整事项汇总表!$L$7:$L$10020,调整事项汇总表!$D$7:$D$10020,"其他",调整事项汇总表!$E$7:$E$10020,"存货原值",调整事项汇总表!$F$7:$F$10020,IF(OR(MID(TRIM($A49),3,1)="：",MID(TRIM($A49),2,1)="、"),REPLACEB(TRIM($A49),1,6,""),TRIM($A49)))-SUMIFS(调整事项汇总表!$L$7:$L$10020,调整事项汇总表!$D$7:$D$10020,"其他",调整事项汇总表!$E$7:$E$10020,"存货跌价准备",调整事项汇总表!$F$7:$F$10020,IF(OR(MID(TRIM($A49),3,1)="：",MID(TRIM($A49),2,1)="、"),REPLACEB(TRIM($A49),1,6,""),TRIM($A49)))</f>
        <v>0</v>
      </c>
      <c r="I49" s="762">
        <f>B49+C49+E49+G49-H49-F49-D49</f>
        <v>0</v>
      </c>
      <c r="J49" s="425" t="b">
        <f>A49=未审报表!A49</f>
        <v>1</v>
      </c>
      <c r="K49" s="425" t="b">
        <f>A49=审定报表!A49</f>
        <v>1</v>
      </c>
    </row>
    <row r="50" spans="1:11" ht="14.4" customHeight="1">
      <c r="A50" s="777" t="str">
        <f>未审报表!A50</f>
        <v xml:space="preserve">    库存商品（产成品）</v>
      </c>
      <c r="B50" s="643">
        <f>期初核对!C50</f>
        <v>0</v>
      </c>
      <c r="C50" s="677">
        <f>SUMIFS(调整事项汇总表!$K$7:$K$10020,调整事项汇总表!$D$7:$D$10020,"账项调整",调整事项汇总表!$E$7:$E$10020,"存货原值",调整事项汇总表!$F$7:$F$10020,IF(OR(MID(TRIM($A50),3,1)="：",MID(TRIM($A50),2,1)="、"),REPLACEB(TRIM($A50),1,6,""),TRIM($A50)))-SUMIFS(调整事项汇总表!$K$7:$K$10020,调整事项汇总表!$D$7:$D$10020,"账项调整",调整事项汇总表!$E$7:$E$10020,"存货跌价准备",调整事项汇总表!$F$7:$F$10020,IF(OR(MID(TRIM($A50),3,1)="：",MID(TRIM($A50),2,1)="、"),REPLACEB(TRIM($A50),1,6,""),TRIM($A50)))</f>
        <v>0</v>
      </c>
      <c r="D50" s="677">
        <f>SUMIFS(调整事项汇总表!$L$7:$L$10020,调整事项汇总表!$D$7:$D$10020,"账项调整",调整事项汇总表!$E$7:$E$10020,"存货原值",调整事项汇总表!$F$7:$F$10020,IF(OR(MID(TRIM($A50),3,1)="：",MID(TRIM($A50),2,1)="、"),REPLACEB(TRIM($A50),1,6,""),TRIM($A50)))-SUMIFS(调整事项汇总表!$L$7:$L$10020,调整事项汇总表!$D$7:$D$10020,"账项调整",调整事项汇总表!$E$7:$E$10020,"存货跌价准备",调整事项汇总表!$F$7:$F$10020,IF(OR(MID(TRIM($A50),3,1)="：",MID(TRIM($A50),2,1)="、"),REPLACEB(TRIM($A50),1,6,""),TRIM($A50)))</f>
        <v>0</v>
      </c>
      <c r="E50" s="677">
        <f>SUMIFS(调整事项汇总表!$K$7:$K$10020,调整事项汇总表!$D$7:$D$10020,"报表调整",调整事项汇总表!$E$7:$E$10020,"存货原值",调整事项汇总表!$F$7:$F$10020,IF(OR(MID(TRIM($A50),3,1)="：",MID(TRIM($A50),2,1)="、"),REPLACEB(TRIM($A50),1,6,""),TRIM($A50)))-SUMIFS(调整事项汇总表!$K$7:$K$10020,调整事项汇总表!$D$7:$D$10020,"报表调整",调整事项汇总表!$E$7:$E$10020,"存货跌价准备",调整事项汇总表!$F$7:$F$10020,IF(OR(MID(TRIM($A50),3,1)="：",MID(TRIM($A50),2,1)="、"),REPLACEB(TRIM($A50),1,6,""),TRIM($A50)))</f>
        <v>0</v>
      </c>
      <c r="F50" s="677">
        <f>SUMIFS(调整事项汇总表!$L$7:$L$10020,调整事项汇总表!$D$7:$D$10020,"报表调整",调整事项汇总表!$E$7:$E$10020,"存货原值",调整事项汇总表!$F$7:$F$10020,IF(OR(MID(TRIM($A50),3,1)="：",MID(TRIM($A50),2,1)="、"),REPLACEB(TRIM($A50),1,6,""),TRIM($A50)))-SUMIFS(调整事项汇总表!$L$7:$L$10020,调整事项汇总表!$D$7:$D$10020,"报表调整",调整事项汇总表!$E$7:$E$10020,"存货跌价准备",调整事项汇总表!$F$7:$F$10020,IF(OR(MID(TRIM($A50),3,1)="：",MID(TRIM($A50),2,1)="、"),REPLACEB(TRIM($A50),1,6,""),TRIM($A50)))</f>
        <v>0</v>
      </c>
      <c r="G50" s="677">
        <f>SUMIFS(调整事项汇总表!$K$7:$K$10020,调整事项汇总表!$D$7:$D$10020,"其他",调整事项汇总表!$E$7:$E$10020,"存货原值",调整事项汇总表!$F$7:$F$10020,IF(OR(MID(TRIM($A50),3,1)="：",MID(TRIM($A50),2,1)="、"),REPLACEB(TRIM($A50),1,6,""),TRIM($A50)))-SUMIFS(调整事项汇总表!$K$7:$K$10020,调整事项汇总表!$D$7:$D$10020,"其他",调整事项汇总表!$E$7:$E$10020,"存货跌价准备",调整事项汇总表!$F$7:$F$10020,IF(OR(MID(TRIM($A50),3,1)="：",MID(TRIM($A50),2,1)="、"),REPLACEB(TRIM($A50),1,6,""),TRIM($A50)))</f>
        <v>0</v>
      </c>
      <c r="H50" s="677">
        <f>SUMIFS(调整事项汇总表!$L$7:$L$10020,调整事项汇总表!$D$7:$D$10020,"其他",调整事项汇总表!$E$7:$E$10020,"存货原值",调整事项汇总表!$F$7:$F$10020,IF(OR(MID(TRIM($A50),3,1)="：",MID(TRIM($A50),2,1)="、"),REPLACEB(TRIM($A50),1,6,""),TRIM($A50)))-SUMIFS(调整事项汇总表!$L$7:$L$10020,调整事项汇总表!$D$7:$D$10020,"其他",调整事项汇总表!$E$7:$E$10020,"存货跌价准备",调整事项汇总表!$F$7:$F$10020,IF(OR(MID(TRIM($A50),3,1)="：",MID(TRIM($A50),2,1)="、"),REPLACEB(TRIM($A50),1,6,""),TRIM($A50)))</f>
        <v>0</v>
      </c>
      <c r="I50" s="762">
        <f>B50+C50+E50+G50-H50-F50-D50</f>
        <v>0</v>
      </c>
      <c r="J50" s="425" t="b">
        <f>A50=未审报表!A50</f>
        <v>1</v>
      </c>
      <c r="K50" s="425" t="b">
        <f>A50=审定报表!A50</f>
        <v>1</v>
      </c>
    </row>
    <row r="51" spans="1:11" ht="14.4" customHeight="1">
      <c r="A51" s="777" t="str">
        <f>未审报表!A51</f>
        <v>合同资产原值</v>
      </c>
      <c r="B51" s="643">
        <f>期初核对!C51</f>
        <v>0</v>
      </c>
      <c r="C51" s="677">
        <f>SUMIFS(调整事项汇总表!$K$7:$K$10020,调整事项汇总表!$D$7:$D$10020,"账项调整",调整事项汇总表!$E$7:$E$10020,IF(OR(MID(TRIM($A51),2,1)="：",MID(TRIM($A51),2,1)="、"),REPLACEB(TRIM($A51),1,4,""),TRIM($A51)))</f>
        <v>0</v>
      </c>
      <c r="D51" s="677">
        <f>SUMIFS(调整事项汇总表!$L$7:$L$10020,调整事项汇总表!$D$7:$D$10020,"账项调整",调整事项汇总表!$E$7:$E$10020,IF(OR(MID(TRIM($A51),2,1)="：",MID(TRIM($A51),2,1)="、"),REPLACEB(TRIM($A51),1,4,""),TRIM($A51)))</f>
        <v>0</v>
      </c>
      <c r="E51" s="677">
        <f>SUMIFS(调整事项汇总表!$K$7:$K$10020,调整事项汇总表!$D$7:$D$10020,"报表调整",调整事项汇总表!$E$7:$E$10020,IF(OR(MID(TRIM($A51),2,1)="：",MID(TRIM($A51),2,1)="、"),REPLACEB(TRIM($A51),1,4,""),TRIM($A51)))</f>
        <v>0</v>
      </c>
      <c r="F51" s="677">
        <f>SUMIFS(调整事项汇总表!$L$7:$L$10020,调整事项汇总表!$D$7:$D$10020,"报表调整",调整事项汇总表!$E$7:$E$10020,IF(OR(MID(TRIM($A51),2,1)="：",MID(TRIM($A51),2,1)="、"),REPLACEB(TRIM($A51),1,4,""),TRIM($A51)))</f>
        <v>0</v>
      </c>
      <c r="G51" s="677">
        <f>SUMIFS(调整事项汇总表!$K$7:$K$10020,调整事项汇总表!$D$7:$D$10020,"其他",调整事项汇总表!$E$7:$E$10020,IF(OR(MID(TRIM($A51),2,1)="：",MID(TRIM($A51),2,1)="、"),REPLACEB(TRIM($A51),1,4,""),TRIM($A51)))</f>
        <v>0</v>
      </c>
      <c r="H51" s="677">
        <f>SUMIFS(调整事项汇总表!$L$7:$L$10020,调整事项汇总表!$D$7:$D$10020,"其他",调整事项汇总表!$E$7:$E$10020,IF(OR(MID(TRIM($A51),2,1)="：",MID(TRIM($A51),2,1)="、"),REPLACEB(TRIM($A51),1,4,""),TRIM($A51)))</f>
        <v>0</v>
      </c>
      <c r="I51" s="762">
        <f>B51+C51+E51+G51-H51-F51-D51</f>
        <v>0</v>
      </c>
      <c r="J51" s="425" t="b">
        <f>A51=未审报表!A51</f>
        <v>1</v>
      </c>
      <c r="K51" s="425" t="b">
        <f>A51=审定报表!A51</f>
        <v>1</v>
      </c>
    </row>
    <row r="52" spans="1:11" ht="14.4" customHeight="1">
      <c r="A52" s="777" t="str">
        <f>未审报表!A52</f>
        <v>合同资产减值准备</v>
      </c>
      <c r="B52" s="643">
        <f>期初核对!C52</f>
        <v>0</v>
      </c>
      <c r="C52" s="677">
        <f>SUMIFS(调整事项汇总表!$K$7:$K$10020,调整事项汇总表!$D$7:$D$10020,"账项调整",调整事项汇总表!$E$7:$E$10020,IF(OR(MID(TRIM($A52),2,1)="：",MID(TRIM($A52),2,1)="、"),REPLACEB(TRIM($A52),1,4,""),TRIM($A52)))</f>
        <v>0</v>
      </c>
      <c r="D52" s="677">
        <f>SUMIFS(调整事项汇总表!$L$7:$L$10020,调整事项汇总表!$D$7:$D$10020,"账项调整",调整事项汇总表!$E$7:$E$10020,IF(OR(MID(TRIM($A52),2,1)="：",MID(TRIM($A52),2,1)="、"),REPLACEB(TRIM($A52),1,4,""),TRIM($A52)))</f>
        <v>0</v>
      </c>
      <c r="E52" s="677">
        <f>SUMIFS(调整事项汇总表!$K$7:$K$10020,调整事项汇总表!$D$7:$D$10020,"报表调整",调整事项汇总表!$E$7:$E$10020,IF(OR(MID(TRIM($A52),2,1)="：",MID(TRIM($A52),2,1)="、"),REPLACEB(TRIM($A52),1,4,""),TRIM($A52)))</f>
        <v>0</v>
      </c>
      <c r="F52" s="677">
        <f>SUMIFS(调整事项汇总表!$L$7:$L$10020,调整事项汇总表!$D$7:$D$10020,"报表调整",调整事项汇总表!$E$7:$E$10020,IF(OR(MID(TRIM($A52),2,1)="：",MID(TRIM($A52),2,1)="、"),REPLACEB(TRIM($A52),1,4,""),TRIM($A52)))</f>
        <v>0</v>
      </c>
      <c r="G52" s="677">
        <f>SUMIFS(调整事项汇总表!$K$7:$K$10020,调整事项汇总表!$D$7:$D$10020,"其他",调整事项汇总表!$E$7:$E$10020,IF(OR(MID(TRIM($A52),2,1)="：",MID(TRIM($A52),2,1)="、"),REPLACEB(TRIM($A52),1,4,""),TRIM($A52)))</f>
        <v>0</v>
      </c>
      <c r="H52" s="677">
        <f>SUMIFS(调整事项汇总表!$L$7:$L$10020,调整事项汇总表!$D$7:$D$10020,"其他",调整事项汇总表!$E$7:$E$10020,IF(OR(MID(TRIM($A52),2,1)="：",MID(TRIM($A52),2,1)="、"),REPLACEB(TRIM($A52),1,4,""),TRIM($A52)))</f>
        <v>0</v>
      </c>
      <c r="I52" s="762">
        <f>B52+D52+F52+H52-G52-E52-C52</f>
        <v>0</v>
      </c>
      <c r="J52" s="425" t="b">
        <f>A52=未审报表!A52</f>
        <v>1</v>
      </c>
      <c r="K52" s="425" t="b">
        <f>A52=审定报表!A52</f>
        <v>1</v>
      </c>
    </row>
    <row r="53" spans="1:11" ht="14.4" customHeight="1">
      <c r="A53" s="777" t="str">
        <f>未审报表!A53</f>
        <v>合同资产</v>
      </c>
      <c r="B53" s="643">
        <f>期初核对!C53</f>
        <v>0</v>
      </c>
      <c r="C53" s="677">
        <f>C51+C52</f>
        <v>0</v>
      </c>
      <c r="D53" s="677">
        <f t="shared" ref="D53:H53" si="12">D51+D52</f>
        <v>0</v>
      </c>
      <c r="E53" s="677">
        <f t="shared" si="12"/>
        <v>0</v>
      </c>
      <c r="F53" s="677">
        <f t="shared" si="12"/>
        <v>0</v>
      </c>
      <c r="G53" s="677">
        <f t="shared" si="12"/>
        <v>0</v>
      </c>
      <c r="H53" s="677">
        <f t="shared" si="12"/>
        <v>0</v>
      </c>
      <c r="I53" s="762">
        <f>B53+C53+E53+G53-H53-F53-D53</f>
        <v>0</v>
      </c>
      <c r="J53" s="425" t="b">
        <f>A53=未审报表!A53</f>
        <v>1</v>
      </c>
      <c r="K53" s="425" t="b">
        <f>A53=审定报表!A53</f>
        <v>1</v>
      </c>
    </row>
    <row r="54" spans="1:11" ht="14.4" customHeight="1">
      <c r="A54" s="777" t="str">
        <f>未审报表!A54</f>
        <v>持有待售资产原值</v>
      </c>
      <c r="B54" s="643">
        <f>期初核对!C54</f>
        <v>0</v>
      </c>
      <c r="C54" s="677">
        <f>SUMIFS(调整事项汇总表!$K$7:$K$10020,调整事项汇总表!$D$7:$D$10020,"账项调整",调整事项汇总表!$E$7:$E$10020,IF(OR(MID(TRIM($A54),2,1)="：",MID(TRIM($A54),2,1)="、"),REPLACEB(TRIM($A54),1,4,""),TRIM($A54)))</f>
        <v>0</v>
      </c>
      <c r="D54" s="677">
        <f>SUMIFS(调整事项汇总表!$L$7:$L$10020,调整事项汇总表!$D$7:$D$10020,"账项调整",调整事项汇总表!$E$7:$E$10020,IF(OR(MID(TRIM($A54),2,1)="：",MID(TRIM($A54),2,1)="、"),REPLACEB(TRIM($A54),1,4,""),TRIM($A54)))</f>
        <v>0</v>
      </c>
      <c r="E54" s="677">
        <f>SUMIFS(调整事项汇总表!$K$7:$K$10020,调整事项汇总表!$D$7:$D$10020,"报表调整",调整事项汇总表!$E$7:$E$10020,IF(OR(MID(TRIM($A54),2,1)="：",MID(TRIM($A54),2,1)="、"),REPLACEB(TRIM($A54),1,4,""),TRIM($A54)))</f>
        <v>0</v>
      </c>
      <c r="F54" s="677">
        <f>SUMIFS(调整事项汇总表!$L$7:$L$10020,调整事项汇总表!$D$7:$D$10020,"报表调整",调整事项汇总表!$E$7:$E$10020,IF(OR(MID(TRIM($A54),2,1)="：",MID(TRIM($A54),2,1)="、"),REPLACEB(TRIM($A54),1,4,""),TRIM($A54)))</f>
        <v>0</v>
      </c>
      <c r="G54" s="677">
        <f>SUMIFS(调整事项汇总表!$K$7:$K$10020,调整事项汇总表!$D$7:$D$10020,"其他",调整事项汇总表!$E$7:$E$10020,IF(OR(MID(TRIM($A54),2,1)="：",MID(TRIM($A54),2,1)="、"),REPLACEB(TRIM($A54),1,4,""),TRIM($A54)))</f>
        <v>0</v>
      </c>
      <c r="H54" s="677">
        <f>SUMIFS(调整事项汇总表!$L$7:$L$10020,调整事项汇总表!$D$7:$D$10020,"其他",调整事项汇总表!$E$7:$E$10020,IF(OR(MID(TRIM($A54),2,1)="：",MID(TRIM($A54),2,1)="、"),REPLACEB(TRIM($A54),1,4,""),TRIM($A54)))</f>
        <v>0</v>
      </c>
      <c r="I54" s="762">
        <f>B54+C54+E54+G54-H54-F54-D54</f>
        <v>0</v>
      </c>
      <c r="J54" s="425" t="b">
        <f>A54=未审报表!A54</f>
        <v>1</v>
      </c>
      <c r="K54" s="425" t="b">
        <f>A54=审定报表!A54</f>
        <v>1</v>
      </c>
    </row>
    <row r="55" spans="1:11" ht="14.4" customHeight="1">
      <c r="A55" s="777" t="str">
        <f>未审报表!A55</f>
        <v>持有待售资产减值准备</v>
      </c>
      <c r="B55" s="643">
        <f>期初核对!C55</f>
        <v>0</v>
      </c>
      <c r="C55" s="677">
        <f>SUMIFS(调整事项汇总表!$K$7:$K$10020,调整事项汇总表!$D$7:$D$10020,"账项调整",调整事项汇总表!$E$7:$E$10020,IF(OR(MID(TRIM($A55),2,1)="：",MID(TRIM($A55),2,1)="、"),REPLACEB(TRIM($A55),1,4,""),TRIM($A55)))</f>
        <v>0</v>
      </c>
      <c r="D55" s="677">
        <f>SUMIFS(调整事项汇总表!$L$7:$L$10020,调整事项汇总表!$D$7:$D$10020,"账项调整",调整事项汇总表!$E$7:$E$10020,IF(OR(MID(TRIM($A55),2,1)="：",MID(TRIM($A55),2,1)="、"),REPLACEB(TRIM($A55),1,4,""),TRIM($A55)))</f>
        <v>0</v>
      </c>
      <c r="E55" s="677">
        <f>SUMIFS(调整事项汇总表!$K$7:$K$10020,调整事项汇总表!$D$7:$D$10020,"报表调整",调整事项汇总表!$E$7:$E$10020,IF(OR(MID(TRIM($A55),2,1)="：",MID(TRIM($A55),2,1)="、"),REPLACEB(TRIM($A55),1,4,""),TRIM($A55)))</f>
        <v>0</v>
      </c>
      <c r="F55" s="677">
        <f>SUMIFS(调整事项汇总表!$L$7:$L$10020,调整事项汇总表!$D$7:$D$10020,"报表调整",调整事项汇总表!$E$7:$E$10020,IF(OR(MID(TRIM($A55),2,1)="：",MID(TRIM($A55),2,1)="、"),REPLACEB(TRIM($A55),1,4,""),TRIM($A55)))</f>
        <v>0</v>
      </c>
      <c r="G55" s="677">
        <f>SUMIFS(调整事项汇总表!$K$7:$K$10020,调整事项汇总表!$D$7:$D$10020,"其他",调整事项汇总表!$E$7:$E$10020,IF(OR(MID(TRIM($A55),2,1)="：",MID(TRIM($A55),2,1)="、"),REPLACEB(TRIM($A55),1,4,""),TRIM($A55)))</f>
        <v>0</v>
      </c>
      <c r="H55" s="677">
        <f>SUMIFS(调整事项汇总表!$L$7:$L$10020,调整事项汇总表!$D$7:$D$10020,"其他",调整事项汇总表!$E$7:$E$10020,IF(OR(MID(TRIM($A55),2,1)="：",MID(TRIM($A55),2,1)="、"),REPLACEB(TRIM($A55),1,4,""),TRIM($A55)))</f>
        <v>0</v>
      </c>
      <c r="I55" s="762">
        <f>B55+D55+F55+H55-G55-E55-C55</f>
        <v>0</v>
      </c>
      <c r="J55" s="425" t="b">
        <f>A55=未审报表!A55</f>
        <v>1</v>
      </c>
      <c r="K55" s="425" t="b">
        <f>A55=审定报表!A55</f>
        <v>1</v>
      </c>
    </row>
    <row r="56" spans="1:11" ht="14.4" customHeight="1">
      <c r="A56" s="777" t="str">
        <f>未审报表!A56</f>
        <v>持有待售资产</v>
      </c>
      <c r="B56" s="643">
        <f>期初核对!C56</f>
        <v>0</v>
      </c>
      <c r="C56" s="677">
        <f>C54+C55</f>
        <v>0</v>
      </c>
      <c r="D56" s="677">
        <f t="shared" ref="D56:H56" si="13">D54+D55</f>
        <v>0</v>
      </c>
      <c r="E56" s="677">
        <f t="shared" si="13"/>
        <v>0</v>
      </c>
      <c r="F56" s="677">
        <f t="shared" si="13"/>
        <v>0</v>
      </c>
      <c r="G56" s="677">
        <f t="shared" si="13"/>
        <v>0</v>
      </c>
      <c r="H56" s="677">
        <f t="shared" si="13"/>
        <v>0</v>
      </c>
      <c r="I56" s="762">
        <f>B56+C56+E56+G56-H56-F56-D56</f>
        <v>0</v>
      </c>
      <c r="J56" s="425" t="b">
        <f>A56=未审报表!A56</f>
        <v>1</v>
      </c>
      <c r="K56" s="425" t="b">
        <f>A56=审定报表!A56</f>
        <v>1</v>
      </c>
    </row>
    <row r="57" spans="1:11" ht="14.4" customHeight="1">
      <c r="A57" s="777" t="str">
        <f>未审报表!A57</f>
        <v>一年内到期的非流动资产</v>
      </c>
      <c r="B57" s="643">
        <f>期初核对!C57</f>
        <v>0</v>
      </c>
      <c r="C57" s="677">
        <f>SUMIFS(调整事项汇总表!$K$7:$K$10020,调整事项汇总表!$D$7:$D$10020,"账项调整",调整事项汇总表!$E$7:$E$10020,IF(OR(MID(TRIM($A57),2,1)="：",MID(TRIM($A57),2,1)="、"),REPLACEB(TRIM($A57),1,4,""),TRIM($A57)))</f>
        <v>0</v>
      </c>
      <c r="D57" s="677">
        <f>SUMIFS(调整事项汇总表!$L$7:$L$10020,调整事项汇总表!$D$7:$D$10020,"账项调整",调整事项汇总表!$E$7:$E$10020,IF(OR(MID(TRIM($A57),2,1)="：",MID(TRIM($A57),2,1)="、"),REPLACEB(TRIM($A57),1,4,""),TRIM($A57)))</f>
        <v>0</v>
      </c>
      <c r="E57" s="677">
        <f>SUMIFS(调整事项汇总表!$K$7:$K$10020,调整事项汇总表!$D$7:$D$10020,"报表调整",调整事项汇总表!$E$7:$E$10020,IF(OR(MID(TRIM($A57),2,1)="：",MID(TRIM($A57),2,1)="、"),REPLACEB(TRIM($A57),1,4,""),TRIM($A57)))</f>
        <v>0</v>
      </c>
      <c r="F57" s="677">
        <f>SUMIFS(调整事项汇总表!$L$7:$L$10020,调整事项汇总表!$D$7:$D$10020,"报表调整",调整事项汇总表!$E$7:$E$10020,IF(OR(MID(TRIM($A57),2,1)="：",MID(TRIM($A57),2,1)="、"),REPLACEB(TRIM($A57),1,4,""),TRIM($A57)))</f>
        <v>0</v>
      </c>
      <c r="G57" s="677">
        <f>SUMIFS(调整事项汇总表!$K$7:$K$10020,调整事项汇总表!$D$7:$D$10020,"其他",调整事项汇总表!$E$7:$E$10020,IF(OR(MID(TRIM($A57),2,1)="：",MID(TRIM($A57),2,1)="、"),REPLACEB(TRIM($A57),1,4,""),TRIM($A57)))</f>
        <v>0</v>
      </c>
      <c r="H57" s="677">
        <f>SUMIFS(调整事项汇总表!$L$7:$L$10020,调整事项汇总表!$D$7:$D$10020,"其他",调整事项汇总表!$E$7:$E$10020,IF(OR(MID(TRIM($A57),2,1)="：",MID(TRIM($A57),2,1)="、"),REPLACEB(TRIM($A57),1,4,""),TRIM($A57)))</f>
        <v>0</v>
      </c>
      <c r="I57" s="762">
        <f t="shared" ref="I57:I59" si="14">B57+C57+E57+G57-H57-F57-D57</f>
        <v>0</v>
      </c>
      <c r="J57" s="425" t="b">
        <f>A57=未审报表!A57</f>
        <v>1</v>
      </c>
      <c r="K57" s="425" t="b">
        <f>A57=审定报表!A57</f>
        <v>1</v>
      </c>
    </row>
    <row r="58" spans="1:11" ht="14.4" customHeight="1">
      <c r="A58" s="777" t="str">
        <f>未审报表!A58</f>
        <v>其他流动资产</v>
      </c>
      <c r="B58" s="643">
        <f>期初核对!C58</f>
        <v>19000000</v>
      </c>
      <c r="C58" s="677">
        <f>SUMIFS(调整事项汇总表!$K$7:$K$10020,调整事项汇总表!$D$7:$D$10020,"账项调整",调整事项汇总表!$E$7:$E$10020,IF(OR(MID(TRIM($A58),2,1)="：",MID(TRIM($A58),2,1)="、"),REPLACEB(TRIM($A58),1,4,""),TRIM($A58)))</f>
        <v>0</v>
      </c>
      <c r="D58" s="677">
        <f>SUMIFS(调整事项汇总表!$L$7:$L$10020,调整事项汇总表!$D$7:$D$10020,"账项调整",调整事项汇总表!$E$7:$E$10020,IF(OR(MID(TRIM($A58),2,1)="：",MID(TRIM($A58),2,1)="、"),REPLACEB(TRIM($A58),1,4,""),TRIM($A58)))</f>
        <v>0</v>
      </c>
      <c r="E58" s="677">
        <f>SUMIFS(调整事项汇总表!$K$7:$K$10020,调整事项汇总表!$D$7:$D$10020,"报表调整",调整事项汇总表!$E$7:$E$10020,IF(OR(MID(TRIM($A58),2,1)="：",MID(TRIM($A58),2,1)="、"),REPLACEB(TRIM($A58),1,4,""),TRIM($A58)))</f>
        <v>0</v>
      </c>
      <c r="F58" s="677">
        <f>SUMIFS(调整事项汇总表!$L$7:$L$10020,调整事项汇总表!$D$7:$D$10020,"报表调整",调整事项汇总表!$E$7:$E$10020,IF(OR(MID(TRIM($A58),2,1)="：",MID(TRIM($A58),2,1)="、"),REPLACEB(TRIM($A58),1,4,""),TRIM($A58)))</f>
        <v>0</v>
      </c>
      <c r="G58" s="677">
        <f>SUMIFS(调整事项汇总表!$K$7:$K$10020,调整事项汇总表!$D$7:$D$10020,"其他",调整事项汇总表!$E$7:$E$10020,IF(OR(MID(TRIM($A58),2,1)="：",MID(TRIM($A58),2,1)="、"),REPLACEB(TRIM($A58),1,4,""),TRIM($A58)))</f>
        <v>0</v>
      </c>
      <c r="H58" s="677">
        <f>SUMIFS(调整事项汇总表!$L$7:$L$10020,调整事项汇总表!$D$7:$D$10020,"其他",调整事项汇总表!$E$7:$E$10020,IF(OR(MID(TRIM($A58),2,1)="：",MID(TRIM($A58),2,1)="、"),REPLACEB(TRIM($A58),1,4,""),TRIM($A58)))</f>
        <v>0</v>
      </c>
      <c r="I58" s="762">
        <f t="shared" si="14"/>
        <v>19000000</v>
      </c>
      <c r="J58" s="425" t="b">
        <f>A58=未审报表!A58</f>
        <v>1</v>
      </c>
      <c r="K58" s="425" t="b">
        <f>A58=审定报表!A58</f>
        <v>1</v>
      </c>
    </row>
    <row r="59" spans="1:11" ht="14.4" customHeight="1">
      <c r="A59" s="776" t="str">
        <f>未审报表!A59</f>
        <v>流动资产合计</v>
      </c>
      <c r="B59" s="773">
        <f>期初核对!C59</f>
        <v>59421429.140000001</v>
      </c>
      <c r="C59" s="634">
        <f>SUM(C8:C9,C12,C13:C14,C17,C20,C23,C26,C29,C32,C33,C36,C39,C42,C45,C48,C53,C56,C57:C58)</f>
        <v>0</v>
      </c>
      <c r="D59" s="634">
        <f t="shared" ref="D59:H59" si="15">SUM(D8:D9,D12,D13:D14,D17,D20,D23,D26,D29,D32,D33,D36,D39,D42,D45,D48,D53,D56,D57:D58)</f>
        <v>0</v>
      </c>
      <c r="E59" s="634">
        <f t="shared" si="15"/>
        <v>0</v>
      </c>
      <c r="F59" s="634">
        <f t="shared" si="15"/>
        <v>0</v>
      </c>
      <c r="G59" s="634">
        <f t="shared" si="15"/>
        <v>0</v>
      </c>
      <c r="H59" s="634">
        <f t="shared" si="15"/>
        <v>0</v>
      </c>
      <c r="I59" s="763">
        <f t="shared" si="14"/>
        <v>59421429.140000001</v>
      </c>
      <c r="J59" s="425" t="b">
        <f>A59=未审报表!A59</f>
        <v>1</v>
      </c>
      <c r="K59" s="425" t="b">
        <f>A59=审定报表!A59</f>
        <v>1</v>
      </c>
    </row>
    <row r="60" spans="1:11" ht="14.4" customHeight="1">
      <c r="A60" s="777" t="str">
        <f>未审报表!A60</f>
        <v>非流动资产:</v>
      </c>
      <c r="B60" s="782"/>
      <c r="C60" s="400"/>
      <c r="D60" s="400"/>
      <c r="E60" s="400"/>
      <c r="F60" s="400"/>
      <c r="G60" s="400"/>
      <c r="H60" s="400"/>
      <c r="I60" s="727"/>
      <c r="J60" s="425" t="b">
        <f>A60=未审报表!A60</f>
        <v>1</v>
      </c>
      <c r="K60" s="425" t="b">
        <f>A60=审定报表!A60</f>
        <v>1</v>
      </c>
    </row>
    <row r="61" spans="1:11" ht="14.4" customHeight="1">
      <c r="A61" s="777" t="str">
        <f>未审报表!A61</f>
        <v>发放贷款和垫款原值*</v>
      </c>
      <c r="B61" s="643">
        <f>期初核对!C61</f>
        <v>0</v>
      </c>
      <c r="C61" s="677">
        <f>SUMIFS(调整事项汇总表!$K$7:$K$10020,调整事项汇总表!$D$7:$D$10020,"账项调整",调整事项汇总表!$E$7:$E$10020,IF(OR(MID(TRIM($A61),2,1)="：",MID(TRIM($A61),2,1)="、"),REPLACEB(TRIM($A61),1,4,""),TRIM($A61)))</f>
        <v>0</v>
      </c>
      <c r="D61" s="677">
        <f>SUMIFS(调整事项汇总表!$L$7:$L$10020,调整事项汇总表!$D$7:$D$10020,"账项调整",调整事项汇总表!$E$7:$E$10020,IF(OR(MID(TRIM($A61),2,1)="：",MID(TRIM($A61),2,1)="、"),REPLACEB(TRIM($A61),1,4,""),TRIM($A61)))</f>
        <v>0</v>
      </c>
      <c r="E61" s="677">
        <f>SUMIFS(调整事项汇总表!$K$7:$K$10020,调整事项汇总表!$D$7:$D$10020,"报表调整",调整事项汇总表!$E$7:$E$10020,IF(OR(MID(TRIM($A61),2,1)="：",MID(TRIM($A61),2,1)="、"),REPLACEB(TRIM($A61),1,4,""),TRIM($A61)))</f>
        <v>0</v>
      </c>
      <c r="F61" s="677">
        <f>SUMIFS(调整事项汇总表!$L$7:$L$10020,调整事项汇总表!$D$7:$D$10020,"报表调整",调整事项汇总表!$E$7:$E$10020,IF(OR(MID(TRIM($A61),2,1)="：",MID(TRIM($A61),2,1)="、"),REPLACEB(TRIM($A61),1,4,""),TRIM($A61)))</f>
        <v>0</v>
      </c>
      <c r="G61" s="677">
        <f>SUMIFS(调整事项汇总表!$K$7:$K$10020,调整事项汇总表!$D$7:$D$10020,"其他",调整事项汇总表!$E$7:$E$10020,IF(OR(MID(TRIM($A61),2,1)="：",MID(TRIM($A61),2,1)="、"),REPLACEB(TRIM($A61),1,4,""),TRIM($A61)))</f>
        <v>0</v>
      </c>
      <c r="H61" s="677">
        <f>SUMIFS(调整事项汇总表!$L$7:$L$10020,调整事项汇总表!$D$7:$D$10020,"其他",调整事项汇总表!$E$7:$E$10020,IF(OR(MID(TRIM($A61),2,1)="：",MID(TRIM($A61),2,1)="、"),REPLACEB(TRIM($A61),1,4,""),TRIM($A61)))</f>
        <v>0</v>
      </c>
      <c r="I61" s="762">
        <f>B61+C61+E61+G61-H61-F61-D61</f>
        <v>0</v>
      </c>
      <c r="J61" s="425" t="b">
        <f>A61=未审报表!A61</f>
        <v>1</v>
      </c>
      <c r="K61" s="425" t="b">
        <f>A61=审定报表!A61</f>
        <v>1</v>
      </c>
    </row>
    <row r="62" spans="1:11" ht="14.4" customHeight="1">
      <c r="A62" s="777" t="str">
        <f>未审报表!A62</f>
        <v>发放贷款和垫款减值准备*</v>
      </c>
      <c r="B62" s="643">
        <f>期初核对!C62</f>
        <v>0</v>
      </c>
      <c r="C62" s="677">
        <f>SUMIFS(调整事项汇总表!$K$7:$K$10020,调整事项汇总表!$D$7:$D$10020,"账项调整",调整事项汇总表!$E$7:$E$10020,IF(OR(MID(TRIM($A62),2,1)="：",MID(TRIM($A62),2,1)="、"),REPLACEB(TRIM($A62),1,4,""),TRIM($A62)))</f>
        <v>0</v>
      </c>
      <c r="D62" s="677">
        <f>SUMIFS(调整事项汇总表!$L$7:$L$10020,调整事项汇总表!$D$7:$D$10020,"账项调整",调整事项汇总表!$E$7:$E$10020,IF(OR(MID(TRIM($A62),2,1)="：",MID(TRIM($A62),2,1)="、"),REPLACEB(TRIM($A62),1,4,""),TRIM($A62)))</f>
        <v>0</v>
      </c>
      <c r="E62" s="677">
        <f>SUMIFS(调整事项汇总表!$K$7:$K$10020,调整事项汇总表!$D$7:$D$10020,"报表调整",调整事项汇总表!$E$7:$E$10020,IF(OR(MID(TRIM($A62),2,1)="：",MID(TRIM($A62),2,1)="、"),REPLACEB(TRIM($A62),1,4,""),TRIM($A62)))</f>
        <v>0</v>
      </c>
      <c r="F62" s="677">
        <f>SUMIFS(调整事项汇总表!$L$7:$L$10020,调整事项汇总表!$D$7:$D$10020,"报表调整",调整事项汇总表!$E$7:$E$10020,IF(OR(MID(TRIM($A62),2,1)="：",MID(TRIM($A62),2,1)="、"),REPLACEB(TRIM($A62),1,4,""),TRIM($A62)))</f>
        <v>0</v>
      </c>
      <c r="G62" s="677">
        <f>SUMIFS(调整事项汇总表!$K$7:$K$10020,调整事项汇总表!$D$7:$D$10020,"其他",调整事项汇总表!$E$7:$E$10020,IF(OR(MID(TRIM($A62),2,1)="：",MID(TRIM($A62),2,1)="、"),REPLACEB(TRIM($A62),1,4,""),TRIM($A62)))</f>
        <v>0</v>
      </c>
      <c r="H62" s="677">
        <f>SUMIFS(调整事项汇总表!$L$7:$L$10020,调整事项汇总表!$D$7:$D$10020,"其他",调整事项汇总表!$E$7:$E$10020,IF(OR(MID(TRIM($A62),2,1)="：",MID(TRIM($A62),2,1)="、"),REPLACEB(TRIM($A62),1,4,""),TRIM($A62)))</f>
        <v>0</v>
      </c>
      <c r="I62" s="762">
        <f>B62+D62+F62+H62-G62-E62-C62</f>
        <v>0</v>
      </c>
      <c r="J62" s="425" t="b">
        <f>A62=未审报表!A62</f>
        <v>1</v>
      </c>
      <c r="K62" s="425" t="b">
        <f>A62=审定报表!A62</f>
        <v>1</v>
      </c>
    </row>
    <row r="63" spans="1:11" ht="14.4" customHeight="1">
      <c r="A63" s="777" t="str">
        <f>未审报表!A63</f>
        <v>发放贷款和垫款*</v>
      </c>
      <c r="B63" s="643">
        <f>期初核对!C63</f>
        <v>0</v>
      </c>
      <c r="C63" s="677">
        <f>C61+C62</f>
        <v>0</v>
      </c>
      <c r="D63" s="677">
        <f t="shared" ref="D63:H63" si="16">D61+D62</f>
        <v>0</v>
      </c>
      <c r="E63" s="677">
        <f t="shared" si="16"/>
        <v>0</v>
      </c>
      <c r="F63" s="677">
        <f t="shared" si="16"/>
        <v>0</v>
      </c>
      <c r="G63" s="677">
        <f t="shared" si="16"/>
        <v>0</v>
      </c>
      <c r="H63" s="677">
        <f t="shared" si="16"/>
        <v>0</v>
      </c>
      <c r="I63" s="762">
        <f>B63+C63+E63+G63-H63-F63-D63</f>
        <v>0</v>
      </c>
      <c r="J63" s="425" t="b">
        <f>A63=未审报表!A63</f>
        <v>1</v>
      </c>
      <c r="K63" s="425" t="b">
        <f>A63=审定报表!A63</f>
        <v>1</v>
      </c>
    </row>
    <row r="64" spans="1:11" ht="14.4" customHeight="1">
      <c r="A64" s="777" t="str">
        <f>未审报表!A64</f>
        <v>债权投资原值</v>
      </c>
      <c r="B64" s="643">
        <f>期初核对!C64</f>
        <v>0</v>
      </c>
      <c r="C64" s="677">
        <f>SUMIFS(调整事项汇总表!$K$7:$K$10020,调整事项汇总表!$D$7:$D$10020,"账项调整",调整事项汇总表!$E$7:$E$10020,IF(OR(MID(TRIM($A64),2,1)="：",MID(TRIM($A64),2,1)="、"),REPLACEB(TRIM($A64),1,4,""),TRIM($A64)))</f>
        <v>0</v>
      </c>
      <c r="D64" s="677">
        <f>SUMIFS(调整事项汇总表!$L$7:$L$10020,调整事项汇总表!$D$7:$D$10020,"账项调整",调整事项汇总表!$E$7:$E$10020,IF(OR(MID(TRIM($A64),2,1)="：",MID(TRIM($A64),2,1)="、"),REPLACEB(TRIM($A64),1,4,""),TRIM($A64)))</f>
        <v>0</v>
      </c>
      <c r="E64" s="677">
        <f>SUMIFS(调整事项汇总表!$K$7:$K$10020,调整事项汇总表!$D$7:$D$10020,"报表调整",调整事项汇总表!$E$7:$E$10020,IF(OR(MID(TRIM($A64),2,1)="：",MID(TRIM($A64),2,1)="、"),REPLACEB(TRIM($A64),1,4,""),TRIM($A64)))</f>
        <v>0</v>
      </c>
      <c r="F64" s="677">
        <f>SUMIFS(调整事项汇总表!$L$7:$L$10020,调整事项汇总表!$D$7:$D$10020,"报表调整",调整事项汇总表!$E$7:$E$10020,IF(OR(MID(TRIM($A64),2,1)="：",MID(TRIM($A64),2,1)="、"),REPLACEB(TRIM($A64),1,4,""),TRIM($A64)))</f>
        <v>0</v>
      </c>
      <c r="G64" s="677">
        <f>SUMIFS(调整事项汇总表!$K$7:$K$10020,调整事项汇总表!$D$7:$D$10020,"其他",调整事项汇总表!$E$7:$E$10020,IF(OR(MID(TRIM($A64),2,1)="：",MID(TRIM($A64),2,1)="、"),REPLACEB(TRIM($A64),1,4,""),TRIM($A64)))</f>
        <v>0</v>
      </c>
      <c r="H64" s="677">
        <f>SUMIFS(调整事项汇总表!$L$7:$L$10020,调整事项汇总表!$D$7:$D$10020,"其他",调整事项汇总表!$E$7:$E$10020,IF(OR(MID(TRIM($A64),2,1)="：",MID(TRIM($A64),2,1)="、"),REPLACEB(TRIM($A64),1,4,""),TRIM($A64)))</f>
        <v>0</v>
      </c>
      <c r="I64" s="762">
        <f>B64+C64+E64+G64-H64-F64-D64</f>
        <v>0</v>
      </c>
      <c r="J64" s="425" t="b">
        <f>A64=未审报表!A64</f>
        <v>1</v>
      </c>
      <c r="K64" s="425" t="b">
        <f>A64=审定报表!A64</f>
        <v>1</v>
      </c>
    </row>
    <row r="65" spans="1:11" ht="14.4" customHeight="1">
      <c r="A65" s="777" t="str">
        <f>未审报表!A65</f>
        <v>债权投资减值准备</v>
      </c>
      <c r="B65" s="643">
        <f>期初核对!C65</f>
        <v>0</v>
      </c>
      <c r="C65" s="677">
        <f>SUMIFS(调整事项汇总表!$K$7:$K$10020,调整事项汇总表!$D$7:$D$10020,"账项调整",调整事项汇总表!$E$7:$E$10020,IF(OR(MID(TRIM($A65),2,1)="：",MID(TRIM($A65),2,1)="、"),REPLACEB(TRIM($A65),1,4,""),TRIM($A65)))</f>
        <v>0</v>
      </c>
      <c r="D65" s="677">
        <f>SUMIFS(调整事项汇总表!$L$7:$L$10020,调整事项汇总表!$D$7:$D$10020,"账项调整",调整事项汇总表!$E$7:$E$10020,IF(OR(MID(TRIM($A65),2,1)="：",MID(TRIM($A65),2,1)="、"),REPLACEB(TRIM($A65),1,4,""),TRIM($A65)))</f>
        <v>0</v>
      </c>
      <c r="E65" s="677">
        <f>SUMIFS(调整事项汇总表!$K$7:$K$10020,调整事项汇总表!$D$7:$D$10020,"报表调整",调整事项汇总表!$E$7:$E$10020,IF(OR(MID(TRIM($A65),2,1)="：",MID(TRIM($A65),2,1)="、"),REPLACEB(TRIM($A65),1,4,""),TRIM($A65)))</f>
        <v>0</v>
      </c>
      <c r="F65" s="677">
        <f>SUMIFS(调整事项汇总表!$L$7:$L$10020,调整事项汇总表!$D$7:$D$10020,"报表调整",调整事项汇总表!$E$7:$E$10020,IF(OR(MID(TRIM($A65),2,1)="：",MID(TRIM($A65),2,1)="、"),REPLACEB(TRIM($A65),1,4,""),TRIM($A65)))</f>
        <v>0</v>
      </c>
      <c r="G65" s="677">
        <f>SUMIFS(调整事项汇总表!$K$7:$K$10020,调整事项汇总表!$D$7:$D$10020,"其他",调整事项汇总表!$E$7:$E$10020,IF(OR(MID(TRIM($A65),2,1)="：",MID(TRIM($A65),2,1)="、"),REPLACEB(TRIM($A65),1,4,""),TRIM($A65)))</f>
        <v>0</v>
      </c>
      <c r="H65" s="677">
        <f>SUMIFS(调整事项汇总表!$L$7:$L$10020,调整事项汇总表!$D$7:$D$10020,"其他",调整事项汇总表!$E$7:$E$10020,IF(OR(MID(TRIM($A65),2,1)="：",MID(TRIM($A65),2,1)="、"),REPLACEB(TRIM($A65),1,4,""),TRIM($A65)))</f>
        <v>0</v>
      </c>
      <c r="I65" s="762">
        <f>B65+D65+F65+H65-G65-E65-C65</f>
        <v>0</v>
      </c>
      <c r="J65" s="425" t="b">
        <f>A65=未审报表!A65</f>
        <v>1</v>
      </c>
      <c r="K65" s="425" t="b">
        <f>A65=审定报表!A65</f>
        <v>1</v>
      </c>
    </row>
    <row r="66" spans="1:11" ht="14.4" customHeight="1">
      <c r="A66" s="777" t="str">
        <f>未审报表!A66</f>
        <v>债权投资</v>
      </c>
      <c r="B66" s="643">
        <f>期初核对!C66</f>
        <v>0</v>
      </c>
      <c r="C66" s="677">
        <f>C64+C65</f>
        <v>0</v>
      </c>
      <c r="D66" s="677">
        <f t="shared" ref="D66:H66" si="17">D64+D65</f>
        <v>0</v>
      </c>
      <c r="E66" s="677">
        <f t="shared" si="17"/>
        <v>0</v>
      </c>
      <c r="F66" s="677">
        <f t="shared" si="17"/>
        <v>0</v>
      </c>
      <c r="G66" s="677">
        <f t="shared" si="17"/>
        <v>0</v>
      </c>
      <c r="H66" s="677">
        <f t="shared" si="17"/>
        <v>0</v>
      </c>
      <c r="I66" s="762">
        <f>B66+C66+E66+G66-H66-F66-D66</f>
        <v>0</v>
      </c>
      <c r="J66" s="425" t="b">
        <f>A66=未审报表!A66</f>
        <v>1</v>
      </c>
      <c r="K66" s="425" t="b">
        <f>A66=审定报表!A66</f>
        <v>1</v>
      </c>
    </row>
    <row r="67" spans="1:11" ht="14.4" customHeight="1">
      <c r="A67" s="777" t="str">
        <f>未审报表!A67</f>
        <v>其他债权投资原值</v>
      </c>
      <c r="B67" s="643">
        <f>期初核对!C67</f>
        <v>0</v>
      </c>
      <c r="C67" s="677">
        <f>SUMIFS(调整事项汇总表!$K$7:$K$10020,调整事项汇总表!$D$7:$D$10020,"账项调整",调整事项汇总表!$E$7:$E$10020,IF(OR(MID(TRIM($A67),2,1)="：",MID(TRIM($A67),2,1)="、"),REPLACEB(TRIM($A67),1,4,""),TRIM($A67)))</f>
        <v>0</v>
      </c>
      <c r="D67" s="677">
        <f>SUMIFS(调整事项汇总表!$L$7:$L$10020,调整事项汇总表!$D$7:$D$10020,"账项调整",调整事项汇总表!$E$7:$E$10020,IF(OR(MID(TRIM($A67),2,1)="：",MID(TRIM($A67),2,1)="、"),REPLACEB(TRIM($A67),1,4,""),TRIM($A67)))</f>
        <v>0</v>
      </c>
      <c r="E67" s="677">
        <f>SUMIFS(调整事项汇总表!$K$7:$K$10020,调整事项汇总表!$D$7:$D$10020,"报表调整",调整事项汇总表!$E$7:$E$10020,IF(OR(MID(TRIM($A67),2,1)="：",MID(TRIM($A67),2,1)="、"),REPLACEB(TRIM($A67),1,4,""),TRIM($A67)))</f>
        <v>0</v>
      </c>
      <c r="F67" s="677">
        <f>SUMIFS(调整事项汇总表!$L$7:$L$10020,调整事项汇总表!$D$7:$D$10020,"报表调整",调整事项汇总表!$E$7:$E$10020,IF(OR(MID(TRIM($A67),2,1)="：",MID(TRIM($A67),2,1)="、"),REPLACEB(TRIM($A67),1,4,""),TRIM($A67)))</f>
        <v>0</v>
      </c>
      <c r="G67" s="677">
        <f>SUMIFS(调整事项汇总表!$K$7:$K$10020,调整事项汇总表!$D$7:$D$10020,"其他",调整事项汇总表!$E$7:$E$10020,IF(OR(MID(TRIM($A67),2,1)="：",MID(TRIM($A67),2,1)="、"),REPLACEB(TRIM($A67),1,4,""),TRIM($A67)))</f>
        <v>0</v>
      </c>
      <c r="H67" s="677">
        <f>SUMIFS(调整事项汇总表!$L$7:$L$10020,调整事项汇总表!$D$7:$D$10020,"其他",调整事项汇总表!$E$7:$E$10020,IF(OR(MID(TRIM($A67),2,1)="：",MID(TRIM($A67),2,1)="、"),REPLACEB(TRIM($A67),1,4,""),TRIM($A67)))</f>
        <v>0</v>
      </c>
      <c r="I67" s="762">
        <f>B67+C67+E67+G67-H67-F67-D67</f>
        <v>0</v>
      </c>
      <c r="J67" s="425" t="b">
        <f>A67=未审报表!A67</f>
        <v>1</v>
      </c>
      <c r="K67" s="425" t="b">
        <f>A67=审定报表!A67</f>
        <v>1</v>
      </c>
    </row>
    <row r="68" spans="1:11" ht="14.4" customHeight="1">
      <c r="A68" s="777" t="str">
        <f>未审报表!A68</f>
        <v>其他债权投资减值准备</v>
      </c>
      <c r="B68" s="643">
        <f>期初核对!C68</f>
        <v>0</v>
      </c>
      <c r="C68" s="677">
        <f>SUMIFS(调整事项汇总表!$K$7:$K$10020,调整事项汇总表!$D$7:$D$10020,"账项调整",调整事项汇总表!$E$7:$E$10020,IF(OR(MID(TRIM($A68),2,1)="：",MID(TRIM($A68),2,1)="、"),REPLACEB(TRIM($A68),1,4,""),TRIM($A68)))</f>
        <v>0</v>
      </c>
      <c r="D68" s="677">
        <f>SUMIFS(调整事项汇总表!$L$7:$L$10020,调整事项汇总表!$D$7:$D$10020,"账项调整",调整事项汇总表!$E$7:$E$10020,IF(OR(MID(TRIM($A68),2,1)="：",MID(TRIM($A68),2,1)="、"),REPLACEB(TRIM($A68),1,4,""),TRIM($A68)))</f>
        <v>0</v>
      </c>
      <c r="E68" s="677">
        <f>SUMIFS(调整事项汇总表!$K$7:$K$10020,调整事项汇总表!$D$7:$D$10020,"报表调整",调整事项汇总表!$E$7:$E$10020,IF(OR(MID(TRIM($A68),2,1)="：",MID(TRIM($A68),2,1)="、"),REPLACEB(TRIM($A68),1,4,""),TRIM($A68)))</f>
        <v>0</v>
      </c>
      <c r="F68" s="677">
        <f>SUMIFS(调整事项汇总表!$L$7:$L$10020,调整事项汇总表!$D$7:$D$10020,"报表调整",调整事项汇总表!$E$7:$E$10020,IF(OR(MID(TRIM($A68),2,1)="：",MID(TRIM($A68),2,1)="、"),REPLACEB(TRIM($A68),1,4,""),TRIM($A68)))</f>
        <v>0</v>
      </c>
      <c r="G68" s="677">
        <f>SUMIFS(调整事项汇总表!$K$7:$K$10020,调整事项汇总表!$D$7:$D$10020,"其他",调整事项汇总表!$E$7:$E$10020,IF(OR(MID(TRIM($A68),2,1)="：",MID(TRIM($A68),2,1)="、"),REPLACEB(TRIM($A68),1,4,""),TRIM($A68)))</f>
        <v>0</v>
      </c>
      <c r="H68" s="677">
        <f>SUMIFS(调整事项汇总表!$L$7:$L$10020,调整事项汇总表!$D$7:$D$10020,"其他",调整事项汇总表!$E$7:$E$10020,IF(OR(MID(TRIM($A68),2,1)="：",MID(TRIM($A68),2,1)="、"),REPLACEB(TRIM($A68),1,4,""),TRIM($A68)))</f>
        <v>0</v>
      </c>
      <c r="I68" s="762">
        <f>B68+D68+F68+H68-G68-E68-C68</f>
        <v>0</v>
      </c>
      <c r="J68" s="425" t="b">
        <f>A68=未审报表!A68</f>
        <v>1</v>
      </c>
      <c r="K68" s="425" t="b">
        <f>A68=审定报表!A68</f>
        <v>1</v>
      </c>
    </row>
    <row r="69" spans="1:11" ht="14.4" customHeight="1">
      <c r="A69" s="777" t="str">
        <f>未审报表!A69</f>
        <v>其他债权投资</v>
      </c>
      <c r="B69" s="643">
        <f>期初核对!C69</f>
        <v>0</v>
      </c>
      <c r="C69" s="677">
        <f>C67+C68</f>
        <v>0</v>
      </c>
      <c r="D69" s="677">
        <f t="shared" ref="D69:H69" si="18">D67+D68</f>
        <v>0</v>
      </c>
      <c r="E69" s="677">
        <f t="shared" si="18"/>
        <v>0</v>
      </c>
      <c r="F69" s="677">
        <f t="shared" si="18"/>
        <v>0</v>
      </c>
      <c r="G69" s="677">
        <f t="shared" si="18"/>
        <v>0</v>
      </c>
      <c r="H69" s="677">
        <f t="shared" si="18"/>
        <v>0</v>
      </c>
      <c r="I69" s="762">
        <f>B69+C69+E69+G69-H69-F69-D69</f>
        <v>0</v>
      </c>
      <c r="J69" s="425" t="b">
        <f>A69=未审报表!A69</f>
        <v>1</v>
      </c>
      <c r="K69" s="425" t="b">
        <f>A69=审定报表!A69</f>
        <v>1</v>
      </c>
    </row>
    <row r="70" spans="1:11" ht="14.4" customHeight="1">
      <c r="A70" s="777" t="str">
        <f>未审报表!A70</f>
        <v>长期应收款原值</v>
      </c>
      <c r="B70" s="643">
        <f>期初核对!C70</f>
        <v>0</v>
      </c>
      <c r="C70" s="677">
        <f>SUMIFS(调整事项汇总表!$K$7:$K$10020,调整事项汇总表!$D$7:$D$10020,"账项调整",调整事项汇总表!$E$7:$E$10020,IF(OR(MID(TRIM($A70),2,1)="：",MID(TRIM($A70),2,1)="、"),REPLACEB(TRIM($A70),1,4,""),TRIM($A70)))</f>
        <v>0</v>
      </c>
      <c r="D70" s="677">
        <f>SUMIFS(调整事项汇总表!$L$7:$L$10020,调整事项汇总表!$D$7:$D$10020,"账项调整",调整事项汇总表!$E$7:$E$10020,IF(OR(MID(TRIM($A70),2,1)="：",MID(TRIM($A70),2,1)="、"),REPLACEB(TRIM($A70),1,4,""),TRIM($A70)))</f>
        <v>0</v>
      </c>
      <c r="E70" s="677">
        <f>SUMIFS(调整事项汇总表!$K$7:$K$10020,调整事项汇总表!$D$7:$D$10020,"报表调整",调整事项汇总表!$E$7:$E$10020,IF(OR(MID(TRIM($A70),2,1)="：",MID(TRIM($A70),2,1)="、"),REPLACEB(TRIM($A70),1,4,""),TRIM($A70)))</f>
        <v>0</v>
      </c>
      <c r="F70" s="677">
        <f>SUMIFS(调整事项汇总表!$L$7:$L$10020,调整事项汇总表!$D$7:$D$10020,"报表调整",调整事项汇总表!$E$7:$E$10020,IF(OR(MID(TRIM($A70),2,1)="：",MID(TRIM($A70),2,1)="、"),REPLACEB(TRIM($A70),1,4,""),TRIM($A70)))</f>
        <v>0</v>
      </c>
      <c r="G70" s="677">
        <f>SUMIFS(调整事项汇总表!$K$7:$K$10020,调整事项汇总表!$D$7:$D$10020,"其他",调整事项汇总表!$E$7:$E$10020,IF(OR(MID(TRIM($A70),2,1)="：",MID(TRIM($A70),2,1)="、"),REPLACEB(TRIM($A70),1,4,""),TRIM($A70)))</f>
        <v>0</v>
      </c>
      <c r="H70" s="677">
        <f>SUMIFS(调整事项汇总表!$L$7:$L$10020,调整事项汇总表!$D$7:$D$10020,"其他",调整事项汇总表!$E$7:$E$10020,IF(OR(MID(TRIM($A70),2,1)="：",MID(TRIM($A70),2,1)="、"),REPLACEB(TRIM($A70),1,4,""),TRIM($A70)))</f>
        <v>0</v>
      </c>
      <c r="I70" s="762">
        <f>B70+C70+E70+G70-H70-F70-D70</f>
        <v>0</v>
      </c>
      <c r="J70" s="425" t="b">
        <f>A70=未审报表!A70</f>
        <v>1</v>
      </c>
      <c r="K70" s="425" t="b">
        <f>A70=审定报表!A70</f>
        <v>1</v>
      </c>
    </row>
    <row r="71" spans="1:11" ht="14.4" customHeight="1">
      <c r="A71" s="777" t="str">
        <f>未审报表!A71</f>
        <v>长期应收款坏账准备</v>
      </c>
      <c r="B71" s="643">
        <f>期初核对!C71</f>
        <v>0</v>
      </c>
      <c r="C71" s="677">
        <f>SUMIFS(调整事项汇总表!$K$7:$K$10020,调整事项汇总表!$D$7:$D$10020,"账项调整",调整事项汇总表!$E$7:$E$10020,IF(OR(MID(TRIM($A71),2,1)="：",MID(TRIM($A71),2,1)="、"),REPLACEB(TRIM($A71),1,4,""),TRIM($A71)))</f>
        <v>0</v>
      </c>
      <c r="D71" s="677">
        <f>SUMIFS(调整事项汇总表!$L$7:$L$10020,调整事项汇总表!$D$7:$D$10020,"账项调整",调整事项汇总表!$E$7:$E$10020,IF(OR(MID(TRIM($A71),2,1)="：",MID(TRIM($A71),2,1)="、"),REPLACEB(TRIM($A71),1,4,""),TRIM($A71)))</f>
        <v>0</v>
      </c>
      <c r="E71" s="677">
        <f>SUMIFS(调整事项汇总表!$K$7:$K$10020,调整事项汇总表!$D$7:$D$10020,"报表调整",调整事项汇总表!$E$7:$E$10020,IF(OR(MID(TRIM($A71),2,1)="：",MID(TRIM($A71),2,1)="、"),REPLACEB(TRIM($A71),1,4,""),TRIM($A71)))</f>
        <v>0</v>
      </c>
      <c r="F71" s="677">
        <f>SUMIFS(调整事项汇总表!$L$7:$L$10020,调整事项汇总表!$D$7:$D$10020,"报表调整",调整事项汇总表!$E$7:$E$10020,IF(OR(MID(TRIM($A71),2,1)="：",MID(TRIM($A71),2,1)="、"),REPLACEB(TRIM($A71),1,4,""),TRIM($A71)))</f>
        <v>0</v>
      </c>
      <c r="G71" s="677">
        <f>SUMIFS(调整事项汇总表!$K$7:$K$10020,调整事项汇总表!$D$7:$D$10020,"其他",调整事项汇总表!$E$7:$E$10020,IF(OR(MID(TRIM($A71),2,1)="：",MID(TRIM($A71),2,1)="、"),REPLACEB(TRIM($A71),1,4,""),TRIM($A71)))</f>
        <v>0</v>
      </c>
      <c r="H71" s="677">
        <f>SUMIFS(调整事项汇总表!$L$7:$L$10020,调整事项汇总表!$D$7:$D$10020,"其他",调整事项汇总表!$E$7:$E$10020,IF(OR(MID(TRIM($A71),2,1)="：",MID(TRIM($A71),2,1)="、"),REPLACEB(TRIM($A71),1,4,""),TRIM($A71)))</f>
        <v>0</v>
      </c>
      <c r="I71" s="762">
        <f>B71+D71+F71+H71-G71-E71-C71</f>
        <v>0</v>
      </c>
      <c r="J71" s="425" t="b">
        <f>A71=未审报表!A71</f>
        <v>1</v>
      </c>
      <c r="K71" s="425" t="b">
        <f>A71=审定报表!A71</f>
        <v>1</v>
      </c>
    </row>
    <row r="72" spans="1:11" ht="14.4" customHeight="1">
      <c r="A72" s="777" t="str">
        <f>未审报表!A72</f>
        <v>长期应收款</v>
      </c>
      <c r="B72" s="643">
        <f>期初核对!C72</f>
        <v>0</v>
      </c>
      <c r="C72" s="677">
        <f>C70+C71</f>
        <v>0</v>
      </c>
      <c r="D72" s="677">
        <f t="shared" ref="D72:H72" si="19">D70+D71</f>
        <v>0</v>
      </c>
      <c r="E72" s="677">
        <f t="shared" si="19"/>
        <v>0</v>
      </c>
      <c r="F72" s="677">
        <f t="shared" si="19"/>
        <v>0</v>
      </c>
      <c r="G72" s="677">
        <f t="shared" si="19"/>
        <v>0</v>
      </c>
      <c r="H72" s="677">
        <f t="shared" si="19"/>
        <v>0</v>
      </c>
      <c r="I72" s="762">
        <f>B72+C72+E72+G72-H72-F72-D72</f>
        <v>0</v>
      </c>
      <c r="J72" s="425" t="b">
        <f>A72=未审报表!A72</f>
        <v>1</v>
      </c>
      <c r="K72" s="425" t="b">
        <f>A72=审定报表!A72</f>
        <v>1</v>
      </c>
    </row>
    <row r="73" spans="1:11" ht="14.4" customHeight="1">
      <c r="A73" s="777" t="str">
        <f>未审报表!A73</f>
        <v>设定受益计划净资产</v>
      </c>
      <c r="B73" s="643">
        <f>期初核对!C73</f>
        <v>0</v>
      </c>
      <c r="C73" s="677">
        <f>SUMIFS(调整事项汇总表!$K$7:$K$10020,调整事项汇总表!$D$7:$D$10020,"账项调整",调整事项汇总表!$E$7:$E$10020,IF(OR(MID(TRIM($A73),2,1)="：",MID(TRIM($A73),2,1)="、"),REPLACEB(TRIM($A73),1,4,""),TRIM($A73)))</f>
        <v>0</v>
      </c>
      <c r="D73" s="677">
        <f>SUMIFS(调整事项汇总表!$L$7:$L$10020,调整事项汇总表!$D$7:$D$10020,"账项调整",调整事项汇总表!$E$7:$E$10020,IF(OR(MID(TRIM($A73),2,1)="：",MID(TRIM($A73),2,1)="、"),REPLACEB(TRIM($A73),1,4,""),TRIM($A73)))</f>
        <v>0</v>
      </c>
      <c r="E73" s="677">
        <f>SUMIFS(调整事项汇总表!$K$7:$K$10020,调整事项汇总表!$D$7:$D$10020,"报表调整",调整事项汇总表!$E$7:$E$10020,IF(OR(MID(TRIM($A73),2,1)="：",MID(TRIM($A73),2,1)="、"),REPLACEB(TRIM($A73),1,4,""),TRIM($A73)))</f>
        <v>0</v>
      </c>
      <c r="F73" s="677">
        <f>SUMIFS(调整事项汇总表!$L$7:$L$10020,调整事项汇总表!$D$7:$D$10020,"报表调整",调整事项汇总表!$E$7:$E$10020,IF(OR(MID(TRIM($A73),2,1)="：",MID(TRIM($A73),2,1)="、"),REPLACEB(TRIM($A73),1,4,""),TRIM($A73)))</f>
        <v>0</v>
      </c>
      <c r="G73" s="677">
        <f>SUMIFS(调整事项汇总表!$K$7:$K$10020,调整事项汇总表!$D$7:$D$10020,"其他",调整事项汇总表!$E$7:$E$10020,IF(OR(MID(TRIM($A73),2,1)="：",MID(TRIM($A73),2,1)="、"),REPLACEB(TRIM($A73),1,4,""),TRIM($A73)))</f>
        <v>0</v>
      </c>
      <c r="H73" s="677">
        <f>SUMIFS(调整事项汇总表!$L$7:$L$10020,调整事项汇总表!$D$7:$D$10020,"其他",调整事项汇总表!$E$7:$E$10020,IF(OR(MID(TRIM($A73),2,1)="：",MID(TRIM($A73),2,1)="、"),REPLACEB(TRIM($A73),1,4,""),TRIM($A73)))</f>
        <v>0</v>
      </c>
      <c r="I73" s="762">
        <f t="shared" ref="I73" si="20">B73+C73+E73+G73-H73-F73-D73</f>
        <v>0</v>
      </c>
      <c r="J73" s="425" t="b">
        <f>A73=未审报表!A73</f>
        <v>1</v>
      </c>
      <c r="K73" s="425" t="b">
        <f>A73=审定报表!A73</f>
        <v>1</v>
      </c>
    </row>
    <row r="74" spans="1:11" ht="14.4" customHeight="1">
      <c r="A74" s="777" t="str">
        <f>未审报表!A74</f>
        <v>长期股权投资原值</v>
      </c>
      <c r="B74" s="643">
        <f>期初核对!C74</f>
        <v>11290037.73</v>
      </c>
      <c r="C74" s="677">
        <f>SUMIFS(调整事项汇总表!$K$7:$K$10020,调整事项汇总表!$D$7:$D$10020,"账项调整",调整事项汇总表!$E$7:$E$10020,IF(OR(MID(TRIM($A74),2,1)="：",MID(TRIM($A74),2,1)="、"),REPLACEB(TRIM($A74),1,4,""),TRIM($A74)))</f>
        <v>0</v>
      </c>
      <c r="D74" s="677">
        <f>SUMIFS(调整事项汇总表!$L$7:$L$10020,调整事项汇总表!$D$7:$D$10020,"账项调整",调整事项汇总表!$E$7:$E$10020,IF(OR(MID(TRIM($A74),2,1)="：",MID(TRIM($A74),2,1)="、"),REPLACEB(TRIM($A74),1,4,""),TRIM($A74)))</f>
        <v>0</v>
      </c>
      <c r="E74" s="677">
        <f>SUMIFS(调整事项汇总表!$K$7:$K$10020,调整事项汇总表!$D$7:$D$10020,"报表调整",调整事项汇总表!$E$7:$E$10020,IF(OR(MID(TRIM($A74),2,1)="：",MID(TRIM($A74),2,1)="、"),REPLACEB(TRIM($A74),1,4,""),TRIM($A74)))</f>
        <v>0</v>
      </c>
      <c r="F74" s="677">
        <f>SUMIFS(调整事项汇总表!$L$7:$L$10020,调整事项汇总表!$D$7:$D$10020,"报表调整",调整事项汇总表!$E$7:$E$10020,IF(OR(MID(TRIM($A74),2,1)="：",MID(TRIM($A74),2,1)="、"),REPLACEB(TRIM($A74),1,4,""),TRIM($A74)))</f>
        <v>0</v>
      </c>
      <c r="G74" s="677">
        <f>SUMIFS(调整事项汇总表!$K$7:$K$10020,调整事项汇总表!$D$7:$D$10020,"其他",调整事项汇总表!$E$7:$E$10020,IF(OR(MID(TRIM($A74),2,1)="：",MID(TRIM($A74),2,1)="、"),REPLACEB(TRIM($A74),1,4,""),TRIM($A74)))</f>
        <v>0</v>
      </c>
      <c r="H74" s="677">
        <f>SUMIFS(调整事项汇总表!$L$7:$L$10020,调整事项汇总表!$D$7:$D$10020,"其他",调整事项汇总表!$E$7:$E$10020,IF(OR(MID(TRIM($A74),2,1)="：",MID(TRIM($A74),2,1)="、"),REPLACEB(TRIM($A74),1,4,""),TRIM($A74)))</f>
        <v>0</v>
      </c>
      <c r="I74" s="762">
        <f>B74+C74+E74+G74-H74-F74-D74</f>
        <v>11290037.73</v>
      </c>
      <c r="J74" s="425" t="b">
        <f>A74=未审报表!A74</f>
        <v>1</v>
      </c>
      <c r="K74" s="425" t="b">
        <f>A74=审定报表!A74</f>
        <v>1</v>
      </c>
    </row>
    <row r="75" spans="1:11" ht="14.4" customHeight="1">
      <c r="A75" s="777" t="str">
        <f>未审报表!A75</f>
        <v>长期股权投资减值准备</v>
      </c>
      <c r="B75" s="643">
        <f>期初核对!C75</f>
        <v>0</v>
      </c>
      <c r="C75" s="677">
        <f>SUMIFS(调整事项汇总表!$K$7:$K$10020,调整事项汇总表!$D$7:$D$10020,"账项调整",调整事项汇总表!$E$7:$E$10020,IF(OR(MID(TRIM($A75),2,1)="：",MID(TRIM($A75),2,1)="、"),REPLACEB(TRIM($A75),1,4,""),TRIM($A75)))</f>
        <v>0</v>
      </c>
      <c r="D75" s="677">
        <f>SUMIFS(调整事项汇总表!$L$7:$L$10020,调整事项汇总表!$D$7:$D$10020,"账项调整",调整事项汇总表!$E$7:$E$10020,IF(OR(MID(TRIM($A75),2,1)="：",MID(TRIM($A75),2,1)="、"),REPLACEB(TRIM($A75),1,4,""),TRIM($A75)))</f>
        <v>0</v>
      </c>
      <c r="E75" s="677">
        <f>SUMIFS(调整事项汇总表!$K$7:$K$10020,调整事项汇总表!$D$7:$D$10020,"报表调整",调整事项汇总表!$E$7:$E$10020,IF(OR(MID(TRIM($A75),2,1)="：",MID(TRIM($A75),2,1)="、"),REPLACEB(TRIM($A75),1,4,""),TRIM($A75)))</f>
        <v>0</v>
      </c>
      <c r="F75" s="677">
        <f>SUMIFS(调整事项汇总表!$L$7:$L$10020,调整事项汇总表!$D$7:$D$10020,"报表调整",调整事项汇总表!$E$7:$E$10020,IF(OR(MID(TRIM($A75),2,1)="：",MID(TRIM($A75),2,1)="、"),REPLACEB(TRIM($A75),1,4,""),TRIM($A75)))</f>
        <v>0</v>
      </c>
      <c r="G75" s="677">
        <f>SUMIFS(调整事项汇总表!$K$7:$K$10020,调整事项汇总表!$D$7:$D$10020,"其他",调整事项汇总表!$E$7:$E$10020,IF(OR(MID(TRIM($A75),2,1)="：",MID(TRIM($A75),2,1)="、"),REPLACEB(TRIM($A75),1,4,""),TRIM($A75)))</f>
        <v>0</v>
      </c>
      <c r="H75" s="677">
        <f>SUMIFS(调整事项汇总表!$L$7:$L$10020,调整事项汇总表!$D$7:$D$10020,"其他",调整事项汇总表!$E$7:$E$10020,IF(OR(MID(TRIM($A75),2,1)="：",MID(TRIM($A75),2,1)="、"),REPLACEB(TRIM($A75),1,4,""),TRIM($A75)))</f>
        <v>0</v>
      </c>
      <c r="I75" s="762">
        <f>B75+D75+F75+H75-G75-E75-C75</f>
        <v>0</v>
      </c>
      <c r="J75" s="425" t="b">
        <f>A75=未审报表!A75</f>
        <v>1</v>
      </c>
      <c r="K75" s="425" t="b">
        <f>A75=审定报表!A75</f>
        <v>1</v>
      </c>
    </row>
    <row r="76" spans="1:11" ht="14.4" customHeight="1">
      <c r="A76" s="777" t="str">
        <f>未审报表!A76</f>
        <v>长期股权投资</v>
      </c>
      <c r="B76" s="643">
        <f>期初核对!C76</f>
        <v>11290037.73</v>
      </c>
      <c r="C76" s="677">
        <f>C74+C75</f>
        <v>0</v>
      </c>
      <c r="D76" s="677">
        <f t="shared" ref="D76:H76" si="21">D74+D75</f>
        <v>0</v>
      </c>
      <c r="E76" s="677">
        <f t="shared" si="21"/>
        <v>0</v>
      </c>
      <c r="F76" s="677">
        <f t="shared" si="21"/>
        <v>0</v>
      </c>
      <c r="G76" s="677">
        <f t="shared" si="21"/>
        <v>0</v>
      </c>
      <c r="H76" s="677">
        <f t="shared" si="21"/>
        <v>0</v>
      </c>
      <c r="I76" s="762">
        <f>B76+C76+E76+G76-H76-F76-D76</f>
        <v>11290037.73</v>
      </c>
      <c r="J76" s="425" t="b">
        <f>A76=未审报表!A76</f>
        <v>1</v>
      </c>
      <c r="K76" s="425" t="b">
        <f>A76=审定报表!A76</f>
        <v>1</v>
      </c>
    </row>
    <row r="77" spans="1:11" ht="14.4" customHeight="1">
      <c r="A77" s="777" t="str">
        <f>未审报表!A77</f>
        <v>其他权益工具投资</v>
      </c>
      <c r="B77" s="643">
        <f>期初核对!C77</f>
        <v>0</v>
      </c>
      <c r="C77" s="677">
        <f>SUMIFS(调整事项汇总表!$K$7:$K$10020,调整事项汇总表!$D$7:$D$10020,"账项调整",调整事项汇总表!$E$7:$E$10020,IF(OR(MID(TRIM($A77),2,1)="：",MID(TRIM($A77),2,1)="、"),REPLACEB(TRIM($A77),1,4,""),TRIM($A77)))</f>
        <v>0</v>
      </c>
      <c r="D77" s="677">
        <f>SUMIFS(调整事项汇总表!$L$7:$L$10020,调整事项汇总表!$D$7:$D$10020,"账项调整",调整事项汇总表!$E$7:$E$10020,IF(OR(MID(TRIM($A77),2,1)="：",MID(TRIM($A77),2,1)="、"),REPLACEB(TRIM($A77),1,4,""),TRIM($A77)))</f>
        <v>0</v>
      </c>
      <c r="E77" s="677">
        <f>SUMIFS(调整事项汇总表!$K$7:$K$10020,调整事项汇总表!$D$7:$D$10020,"报表调整",调整事项汇总表!$E$7:$E$10020,IF(OR(MID(TRIM($A77),2,1)="：",MID(TRIM($A77),2,1)="、"),REPLACEB(TRIM($A77),1,4,""),TRIM($A77)))</f>
        <v>0</v>
      </c>
      <c r="F77" s="677">
        <f>SUMIFS(调整事项汇总表!$L$7:$L$10020,调整事项汇总表!$D$7:$D$10020,"报表调整",调整事项汇总表!$E$7:$E$10020,IF(OR(MID(TRIM($A77),2,1)="：",MID(TRIM($A77),2,1)="、"),REPLACEB(TRIM($A77),1,4,""),TRIM($A77)))</f>
        <v>0</v>
      </c>
      <c r="G77" s="677">
        <f>SUMIFS(调整事项汇总表!$K$7:$K$10020,调整事项汇总表!$D$7:$D$10020,"其他",调整事项汇总表!$E$7:$E$10020,IF(OR(MID(TRIM($A77),2,1)="：",MID(TRIM($A77),2,1)="、"),REPLACEB(TRIM($A77),1,4,""),TRIM($A77)))</f>
        <v>0</v>
      </c>
      <c r="H77" s="677">
        <f>SUMIFS(调整事项汇总表!$L$7:$L$10020,调整事项汇总表!$D$7:$D$10020,"其他",调整事项汇总表!$E$7:$E$10020,IF(OR(MID(TRIM($A77),2,1)="：",MID(TRIM($A77),2,1)="、"),REPLACEB(TRIM($A77),1,4,""),TRIM($A77)))</f>
        <v>0</v>
      </c>
      <c r="I77" s="762">
        <f t="shared" ref="I77:I78" si="22">B77+C77+E77+G77-H77-F77-D77</f>
        <v>0</v>
      </c>
      <c r="J77" s="425" t="b">
        <f>A77=未审报表!A77</f>
        <v>1</v>
      </c>
      <c r="K77" s="425" t="b">
        <f>A77=审定报表!A77</f>
        <v>1</v>
      </c>
    </row>
    <row r="78" spans="1:11" ht="14.4" customHeight="1">
      <c r="A78" s="777" t="str">
        <f>未审报表!A78</f>
        <v>其他非流动金融资产</v>
      </c>
      <c r="B78" s="643">
        <f>期初核对!C78</f>
        <v>0</v>
      </c>
      <c r="C78" s="677">
        <f>SUMIFS(调整事项汇总表!$K$7:$K$10020,调整事项汇总表!$D$7:$D$10020,"账项调整",调整事项汇总表!$E$7:$E$10020,IF(OR(MID(TRIM($A78),2,1)="：",MID(TRIM($A78),2,1)="、"),REPLACEB(TRIM($A78),1,4,""),TRIM($A78)))</f>
        <v>0</v>
      </c>
      <c r="D78" s="677">
        <f>SUMIFS(调整事项汇总表!$L$7:$L$10020,调整事项汇总表!$D$7:$D$10020,"账项调整",调整事项汇总表!$E$7:$E$10020,IF(OR(MID(TRIM($A78),2,1)="：",MID(TRIM($A78),2,1)="、"),REPLACEB(TRIM($A78),1,4,""),TRIM($A78)))</f>
        <v>0</v>
      </c>
      <c r="E78" s="677">
        <f>SUMIFS(调整事项汇总表!$K$7:$K$10020,调整事项汇总表!$D$7:$D$10020,"报表调整",调整事项汇总表!$E$7:$E$10020,IF(OR(MID(TRIM($A78),2,1)="：",MID(TRIM($A78),2,1)="、"),REPLACEB(TRIM($A78),1,4,""),TRIM($A78)))</f>
        <v>0</v>
      </c>
      <c r="F78" s="677">
        <f>SUMIFS(调整事项汇总表!$L$7:$L$10020,调整事项汇总表!$D$7:$D$10020,"报表调整",调整事项汇总表!$E$7:$E$10020,IF(OR(MID(TRIM($A78),2,1)="：",MID(TRIM($A78),2,1)="、"),REPLACEB(TRIM($A78),1,4,""),TRIM($A78)))</f>
        <v>0</v>
      </c>
      <c r="G78" s="677">
        <f>SUMIFS(调整事项汇总表!$K$7:$K$10020,调整事项汇总表!$D$7:$D$10020,"其他",调整事项汇总表!$E$7:$E$10020,IF(OR(MID(TRIM($A78),2,1)="：",MID(TRIM($A78),2,1)="、"),REPLACEB(TRIM($A78),1,4,""),TRIM($A78)))</f>
        <v>0</v>
      </c>
      <c r="H78" s="677">
        <f>SUMIFS(调整事项汇总表!$L$7:$L$10020,调整事项汇总表!$D$7:$D$10020,"其他",调整事项汇总表!$E$7:$E$10020,IF(OR(MID(TRIM($A78),2,1)="：",MID(TRIM($A78),2,1)="、"),REPLACEB(TRIM($A78),1,4,""),TRIM($A78)))</f>
        <v>0</v>
      </c>
      <c r="I78" s="762">
        <f t="shared" si="22"/>
        <v>0</v>
      </c>
      <c r="J78" s="425" t="b">
        <f>A78=未审报表!A78</f>
        <v>1</v>
      </c>
      <c r="K78" s="425" t="b">
        <f>A78=审定报表!A78</f>
        <v>1</v>
      </c>
    </row>
    <row r="79" spans="1:11" ht="14.4" customHeight="1">
      <c r="A79" s="777" t="str">
        <f>未审报表!A79</f>
        <v>投资性房地产原值</v>
      </c>
      <c r="B79" s="643">
        <f>期初核对!C79</f>
        <v>0</v>
      </c>
      <c r="C79" s="677">
        <f>SUMIFS(调整事项汇总表!$K$7:$K$10020,调整事项汇总表!$D$7:$D$10020,"账项调整",调整事项汇总表!$E$7:$E$10020,IF(OR(MID(TRIM($A79),2,1)="：",MID(TRIM($A79),2,1)="、"),REPLACEB(TRIM($A79),1,4,""),TRIM($A79)))</f>
        <v>0</v>
      </c>
      <c r="D79" s="677">
        <f>SUMIFS(调整事项汇总表!$L$7:$L$10020,调整事项汇总表!$D$7:$D$10020,"账项调整",调整事项汇总表!$E$7:$E$10020,IF(OR(MID(TRIM($A79),2,1)="：",MID(TRIM($A79),2,1)="、"),REPLACEB(TRIM($A79),1,4,""),TRIM($A79)))</f>
        <v>0</v>
      </c>
      <c r="E79" s="677">
        <f>SUMIFS(调整事项汇总表!$K$7:$K$10020,调整事项汇总表!$D$7:$D$10020,"报表调整",调整事项汇总表!$E$7:$E$10020,IF(OR(MID(TRIM($A79),2,1)="：",MID(TRIM($A79),2,1)="、"),REPLACEB(TRIM($A79),1,4,""),TRIM($A79)))</f>
        <v>0</v>
      </c>
      <c r="F79" s="677">
        <f>SUMIFS(调整事项汇总表!$L$7:$L$10020,调整事项汇总表!$D$7:$D$10020,"报表调整",调整事项汇总表!$E$7:$E$10020,IF(OR(MID(TRIM($A79),2,1)="：",MID(TRIM($A79),2,1)="、"),REPLACEB(TRIM($A79),1,4,""),TRIM($A79)))</f>
        <v>0</v>
      </c>
      <c r="G79" s="677">
        <f>SUMIFS(调整事项汇总表!$K$7:$K$10020,调整事项汇总表!$D$7:$D$10020,"其他",调整事项汇总表!$E$7:$E$10020,IF(OR(MID(TRIM($A79),2,1)="：",MID(TRIM($A79),2,1)="、"),REPLACEB(TRIM($A79),1,4,""),TRIM($A79)))</f>
        <v>0</v>
      </c>
      <c r="H79" s="677">
        <f>SUMIFS(调整事项汇总表!$L$7:$L$10020,调整事项汇总表!$D$7:$D$10020,"其他",调整事项汇总表!$E$7:$E$10020,IF(OR(MID(TRIM($A79),2,1)="：",MID(TRIM($A79),2,1)="、"),REPLACEB(TRIM($A79),1,4,""),TRIM($A79)))</f>
        <v>0</v>
      </c>
      <c r="I79" s="762">
        <f>B79+C79+E79+G79-H79-F79-D79</f>
        <v>0</v>
      </c>
      <c r="J79" s="425" t="b">
        <f>A79=未审报表!A79</f>
        <v>1</v>
      </c>
      <c r="K79" s="425" t="b">
        <f>A79=审定报表!A79</f>
        <v>1</v>
      </c>
    </row>
    <row r="80" spans="1:11" ht="14.4" customHeight="1">
      <c r="A80" s="777" t="str">
        <f>未审报表!A80</f>
        <v>投资性房地产累计折旧</v>
      </c>
      <c r="B80" s="643">
        <f>期初核对!C80</f>
        <v>0</v>
      </c>
      <c r="C80" s="677">
        <f>SUMIFS(调整事项汇总表!$K$7:$K$10020,调整事项汇总表!$D$7:$D$10020,"账项调整",调整事项汇总表!$E$7:$E$10020,IF(OR(MID(TRIM($A80),2,1)="：",MID(TRIM($A80),2,1)="、"),REPLACEB(TRIM($A80),1,4,""),TRIM($A80)))</f>
        <v>0</v>
      </c>
      <c r="D80" s="677">
        <f>SUMIFS(调整事项汇总表!$L$7:$L$10020,调整事项汇总表!$D$7:$D$10020,"账项调整",调整事项汇总表!$E$7:$E$10020,IF(OR(MID(TRIM($A80),2,1)="：",MID(TRIM($A80),2,1)="、"),REPLACEB(TRIM($A80),1,4,""),TRIM($A80)))</f>
        <v>0</v>
      </c>
      <c r="E80" s="677">
        <f>SUMIFS(调整事项汇总表!$K$7:$K$10020,调整事项汇总表!$D$7:$D$10020,"报表调整",调整事项汇总表!$E$7:$E$10020,IF(OR(MID(TRIM($A80),2,1)="：",MID(TRIM($A80),2,1)="、"),REPLACEB(TRIM($A80),1,4,""),TRIM($A80)))</f>
        <v>0</v>
      </c>
      <c r="F80" s="677">
        <f>SUMIFS(调整事项汇总表!$L$7:$L$10020,调整事项汇总表!$D$7:$D$10020,"报表调整",调整事项汇总表!$E$7:$E$10020,IF(OR(MID(TRIM($A80),2,1)="：",MID(TRIM($A80),2,1)="、"),REPLACEB(TRIM($A80),1,4,""),TRIM($A80)))</f>
        <v>0</v>
      </c>
      <c r="G80" s="677">
        <f>SUMIFS(调整事项汇总表!$K$7:$K$10020,调整事项汇总表!$D$7:$D$10020,"其他",调整事项汇总表!$E$7:$E$10020,IF(OR(MID(TRIM($A80),2,1)="：",MID(TRIM($A80),2,1)="、"),REPLACEB(TRIM($A80),1,4,""),TRIM($A80)))</f>
        <v>0</v>
      </c>
      <c r="H80" s="677">
        <f>SUMIFS(调整事项汇总表!$L$7:$L$10020,调整事项汇总表!$D$7:$D$10020,"其他",调整事项汇总表!$E$7:$E$10020,IF(OR(MID(TRIM($A80),2,1)="：",MID(TRIM($A80),2,1)="、"),REPLACEB(TRIM($A80),1,4,""),TRIM($A80)))</f>
        <v>0</v>
      </c>
      <c r="I80" s="762">
        <f>B80+D80+F80+H80-G80-E80-C80</f>
        <v>0</v>
      </c>
      <c r="J80" s="425" t="b">
        <f>A80=未审报表!A80</f>
        <v>1</v>
      </c>
      <c r="K80" s="425" t="b">
        <f>A80=审定报表!A80</f>
        <v>1</v>
      </c>
    </row>
    <row r="81" spans="1:11" ht="14.4" customHeight="1">
      <c r="A81" s="777" t="str">
        <f>未审报表!A81</f>
        <v>投资性房地产净值</v>
      </c>
      <c r="B81" s="643">
        <f>期初核对!C81</f>
        <v>0</v>
      </c>
      <c r="C81" s="677">
        <f>C79+C80</f>
        <v>0</v>
      </c>
      <c r="D81" s="677">
        <f t="shared" ref="D81:H81" si="23">D79+D80</f>
        <v>0</v>
      </c>
      <c r="E81" s="677">
        <f t="shared" si="23"/>
        <v>0</v>
      </c>
      <c r="F81" s="677">
        <f t="shared" si="23"/>
        <v>0</v>
      </c>
      <c r="G81" s="677">
        <f t="shared" si="23"/>
        <v>0</v>
      </c>
      <c r="H81" s="677">
        <f t="shared" si="23"/>
        <v>0</v>
      </c>
      <c r="I81" s="762">
        <f>B81+C81+E81+G81-H81-F81-D81</f>
        <v>0</v>
      </c>
      <c r="J81" s="425" t="b">
        <f>A81=未审报表!A81</f>
        <v>1</v>
      </c>
      <c r="K81" s="425" t="b">
        <f>A81=审定报表!A81</f>
        <v>1</v>
      </c>
    </row>
    <row r="82" spans="1:11" ht="14.4" customHeight="1">
      <c r="A82" s="777" t="str">
        <f>未审报表!A82</f>
        <v>投资性房地产减值准备</v>
      </c>
      <c r="B82" s="643">
        <f>期初核对!C82</f>
        <v>0</v>
      </c>
      <c r="C82" s="677">
        <f>SUMIFS(调整事项汇总表!$K$7:$K$10020,调整事项汇总表!$D$7:$D$10020,"账项调整",调整事项汇总表!$E$7:$E$10020,IF(OR(MID(TRIM($A82),2,1)="：",MID(TRIM($A82),2,1)="、"),REPLACEB(TRIM($A82),1,4,""),TRIM($A82)))</f>
        <v>0</v>
      </c>
      <c r="D82" s="677">
        <f>SUMIFS(调整事项汇总表!$L$7:$L$10020,调整事项汇总表!$D$7:$D$10020,"账项调整",调整事项汇总表!$E$7:$E$10020,IF(OR(MID(TRIM($A82),2,1)="：",MID(TRIM($A82),2,1)="、"),REPLACEB(TRIM($A82),1,4,""),TRIM($A82)))</f>
        <v>0</v>
      </c>
      <c r="E82" s="677">
        <f>SUMIFS(调整事项汇总表!$K$7:$K$10020,调整事项汇总表!$D$7:$D$10020,"报表调整",调整事项汇总表!$E$7:$E$10020,IF(OR(MID(TRIM($A82),2,1)="：",MID(TRIM($A82),2,1)="、"),REPLACEB(TRIM($A82),1,4,""),TRIM($A82)))</f>
        <v>0</v>
      </c>
      <c r="F82" s="677">
        <f>SUMIFS(调整事项汇总表!$L$7:$L$10020,调整事项汇总表!$D$7:$D$10020,"报表调整",调整事项汇总表!$E$7:$E$10020,IF(OR(MID(TRIM($A82),2,1)="：",MID(TRIM($A82),2,1)="、"),REPLACEB(TRIM($A82),1,4,""),TRIM($A82)))</f>
        <v>0</v>
      </c>
      <c r="G82" s="677">
        <f>SUMIFS(调整事项汇总表!$K$7:$K$10020,调整事项汇总表!$D$7:$D$10020,"其他",调整事项汇总表!$E$7:$E$10020,IF(OR(MID(TRIM($A82),2,1)="：",MID(TRIM($A82),2,1)="、"),REPLACEB(TRIM($A82),1,4,""),TRIM($A82)))</f>
        <v>0</v>
      </c>
      <c r="H82" s="677">
        <f>SUMIFS(调整事项汇总表!$L$7:$L$10020,调整事项汇总表!$D$7:$D$10020,"其他",调整事项汇总表!$E$7:$E$10020,IF(OR(MID(TRIM($A82),2,1)="：",MID(TRIM($A82),2,1)="、"),REPLACEB(TRIM($A82),1,4,""),TRIM($A82)))</f>
        <v>0</v>
      </c>
      <c r="I82" s="762">
        <f>B82+D82+F82+H82-G82-E82-C82</f>
        <v>0</v>
      </c>
      <c r="J82" s="425" t="b">
        <f>A82=未审报表!A82</f>
        <v>1</v>
      </c>
      <c r="K82" s="425" t="b">
        <f>A82=审定报表!A82</f>
        <v>1</v>
      </c>
    </row>
    <row r="83" spans="1:11" ht="14.4" customHeight="1">
      <c r="A83" s="777" t="str">
        <f>未审报表!A83</f>
        <v>投资性房地产</v>
      </c>
      <c r="B83" s="643">
        <f>期初核对!C83</f>
        <v>0</v>
      </c>
      <c r="C83" s="677">
        <f>C81+C82</f>
        <v>0</v>
      </c>
      <c r="D83" s="677">
        <f t="shared" ref="D83:H83" si="24">D81+D82</f>
        <v>0</v>
      </c>
      <c r="E83" s="677">
        <f t="shared" si="24"/>
        <v>0</v>
      </c>
      <c r="F83" s="677">
        <f t="shared" si="24"/>
        <v>0</v>
      </c>
      <c r="G83" s="677">
        <f t="shared" si="24"/>
        <v>0</v>
      </c>
      <c r="H83" s="677">
        <f t="shared" si="24"/>
        <v>0</v>
      </c>
      <c r="I83" s="762">
        <f>B83+C83+E83+G83-H83-F83-D83</f>
        <v>0</v>
      </c>
      <c r="J83" s="425" t="b">
        <f>A83=未审报表!A83</f>
        <v>1</v>
      </c>
      <c r="K83" s="425" t="b">
        <f>A83=审定报表!A83</f>
        <v>1</v>
      </c>
    </row>
    <row r="84" spans="1:11" ht="14.4" customHeight="1">
      <c r="A84" s="777" t="str">
        <f>未审报表!A84</f>
        <v>固定资产原值</v>
      </c>
      <c r="B84" s="643">
        <f>期初核对!C84</f>
        <v>0</v>
      </c>
      <c r="C84" s="677">
        <f>SUMIFS(调整事项汇总表!$K$7:$K$10020,调整事项汇总表!$D$7:$D$10020,"账项调整",调整事项汇总表!$E$7:$E$10020,IF(OR(MID(TRIM($A84),2,1)="：",MID(TRIM($A84),2,1)="、"),REPLACEB(TRIM($A84),1,4,""),TRIM($A84)))</f>
        <v>0</v>
      </c>
      <c r="D84" s="677">
        <f>SUMIFS(调整事项汇总表!$L$7:$L$10020,调整事项汇总表!$D$7:$D$10020,"账项调整",调整事项汇总表!$E$7:$E$10020,IF(OR(MID(TRIM($A84),2,1)="：",MID(TRIM($A84),2,1)="、"),REPLACEB(TRIM($A84),1,4,""),TRIM($A84)))</f>
        <v>0</v>
      </c>
      <c r="E84" s="677">
        <f>SUMIFS(调整事项汇总表!$K$7:$K$10020,调整事项汇总表!$D$7:$D$10020,"报表调整",调整事项汇总表!$E$7:$E$10020,IF(OR(MID(TRIM($A84),2,1)="：",MID(TRIM($A84),2,1)="、"),REPLACEB(TRIM($A84),1,4,""),TRIM($A84)))</f>
        <v>0</v>
      </c>
      <c r="F84" s="677">
        <f>SUMIFS(调整事项汇总表!$L$7:$L$10020,调整事项汇总表!$D$7:$D$10020,"报表调整",调整事项汇总表!$E$7:$E$10020,IF(OR(MID(TRIM($A84),2,1)="：",MID(TRIM($A84),2,1)="、"),REPLACEB(TRIM($A84),1,4,""),TRIM($A84)))</f>
        <v>0</v>
      </c>
      <c r="G84" s="677">
        <f>SUMIFS(调整事项汇总表!$K$7:$K$10020,调整事项汇总表!$D$7:$D$10020,"其他",调整事项汇总表!$E$7:$E$10020,IF(OR(MID(TRIM($A84),2,1)="：",MID(TRIM($A84),2,1)="、"),REPLACEB(TRIM($A84),1,4,""),TRIM($A84)))</f>
        <v>0</v>
      </c>
      <c r="H84" s="677">
        <f>SUMIFS(调整事项汇总表!$L$7:$L$10020,调整事项汇总表!$D$7:$D$10020,"其他",调整事项汇总表!$E$7:$E$10020,IF(OR(MID(TRIM($A84),2,1)="：",MID(TRIM($A84),2,1)="、"),REPLACEB(TRIM($A84),1,4,""),TRIM($A84)))</f>
        <v>0</v>
      </c>
      <c r="I84" s="762">
        <f>B84+C84+E84+G84-H84-F84-D84</f>
        <v>0</v>
      </c>
      <c r="J84" s="425" t="b">
        <f>A84=未审报表!A84</f>
        <v>1</v>
      </c>
      <c r="K84" s="425" t="b">
        <f>A84=审定报表!A84</f>
        <v>1</v>
      </c>
    </row>
    <row r="85" spans="1:11" ht="14.4" customHeight="1">
      <c r="A85" s="777" t="str">
        <f>未审报表!A85</f>
        <v>固定资产累计折旧</v>
      </c>
      <c r="B85" s="643">
        <f>期初核对!C85</f>
        <v>0</v>
      </c>
      <c r="C85" s="677">
        <f>SUMIFS(调整事项汇总表!$K$7:$K$10020,调整事项汇总表!$D$7:$D$10020,"账项调整",调整事项汇总表!$E$7:$E$10020,IF(OR(MID(TRIM($A85),2,1)="：",MID(TRIM($A85),2,1)="、"),REPLACEB(TRIM($A85),1,4,""),TRIM($A85)))</f>
        <v>0</v>
      </c>
      <c r="D85" s="677">
        <f>SUMIFS(调整事项汇总表!$L$7:$L$10020,调整事项汇总表!$D$7:$D$10020,"账项调整",调整事项汇总表!$E$7:$E$10020,IF(OR(MID(TRIM($A85),2,1)="：",MID(TRIM($A85),2,1)="、"),REPLACEB(TRIM($A85),1,4,""),TRIM($A85)))</f>
        <v>0</v>
      </c>
      <c r="E85" s="677">
        <f>SUMIFS(调整事项汇总表!$K$7:$K$10020,调整事项汇总表!$D$7:$D$10020,"报表调整",调整事项汇总表!$E$7:$E$10020,IF(OR(MID(TRIM($A85),2,1)="：",MID(TRIM($A85),2,1)="、"),REPLACEB(TRIM($A85),1,4,""),TRIM($A85)))</f>
        <v>0</v>
      </c>
      <c r="F85" s="677">
        <f>SUMIFS(调整事项汇总表!$L$7:$L$10020,调整事项汇总表!$D$7:$D$10020,"报表调整",调整事项汇总表!$E$7:$E$10020,IF(OR(MID(TRIM($A85),2,1)="：",MID(TRIM($A85),2,1)="、"),REPLACEB(TRIM($A85),1,4,""),TRIM($A85)))</f>
        <v>0</v>
      </c>
      <c r="G85" s="677">
        <f>SUMIFS(调整事项汇总表!$K$7:$K$10020,调整事项汇总表!$D$7:$D$10020,"其他",调整事项汇总表!$E$7:$E$10020,IF(OR(MID(TRIM($A85),2,1)="：",MID(TRIM($A85),2,1)="、"),REPLACEB(TRIM($A85),1,4,""),TRIM($A85)))</f>
        <v>0</v>
      </c>
      <c r="H85" s="677">
        <f>SUMIFS(调整事项汇总表!$L$7:$L$10020,调整事项汇总表!$D$7:$D$10020,"其他",调整事项汇总表!$E$7:$E$10020,IF(OR(MID(TRIM($A85),2,1)="：",MID(TRIM($A85),2,1)="、"),REPLACEB(TRIM($A85),1,4,""),TRIM($A85)))</f>
        <v>0</v>
      </c>
      <c r="I85" s="762">
        <f>B85+D85+F85+H85-G85-E85-C85</f>
        <v>0</v>
      </c>
      <c r="J85" s="425" t="b">
        <f>A85=未审报表!A85</f>
        <v>1</v>
      </c>
      <c r="K85" s="425" t="b">
        <f>A85=审定报表!A85</f>
        <v>1</v>
      </c>
    </row>
    <row r="86" spans="1:11" ht="14.4" customHeight="1">
      <c r="A86" s="777" t="str">
        <f>未审报表!A86</f>
        <v>固定资产净值</v>
      </c>
      <c r="B86" s="643">
        <f>期初核对!C86</f>
        <v>0</v>
      </c>
      <c r="C86" s="677">
        <f>C84+C85</f>
        <v>0</v>
      </c>
      <c r="D86" s="677">
        <f t="shared" ref="D86:H86" si="25">D84+D85</f>
        <v>0</v>
      </c>
      <c r="E86" s="677">
        <f t="shared" si="25"/>
        <v>0</v>
      </c>
      <c r="F86" s="677">
        <f t="shared" si="25"/>
        <v>0</v>
      </c>
      <c r="G86" s="677">
        <f t="shared" si="25"/>
        <v>0</v>
      </c>
      <c r="H86" s="677">
        <f t="shared" si="25"/>
        <v>0</v>
      </c>
      <c r="I86" s="762">
        <f>B86+C86+E86+G86-H86-F86-D86</f>
        <v>0</v>
      </c>
      <c r="J86" s="425" t="b">
        <f>A86=未审报表!A86</f>
        <v>1</v>
      </c>
      <c r="K86" s="425" t="b">
        <f>A86=审定报表!A86</f>
        <v>1</v>
      </c>
    </row>
    <row r="87" spans="1:11" ht="14.4" customHeight="1">
      <c r="A87" s="777" t="str">
        <f>未审报表!A87</f>
        <v>固定资产减值准备</v>
      </c>
      <c r="B87" s="643">
        <f>期初核对!C87</f>
        <v>0</v>
      </c>
      <c r="C87" s="677">
        <f>SUMIFS(调整事项汇总表!$K$7:$K$10020,调整事项汇总表!$D$7:$D$10020,"账项调整",调整事项汇总表!$E$7:$E$10020,IF(OR(MID(TRIM($A87),2,1)="：",MID(TRIM($A87),2,1)="、"),REPLACEB(TRIM($A87),1,4,""),TRIM($A87)))</f>
        <v>0</v>
      </c>
      <c r="D87" s="677">
        <f>SUMIFS(调整事项汇总表!$L$7:$L$10020,调整事项汇总表!$D$7:$D$10020,"账项调整",调整事项汇总表!$E$7:$E$10020,IF(OR(MID(TRIM($A87),2,1)="：",MID(TRIM($A87),2,1)="、"),REPLACEB(TRIM($A87),1,4,""),TRIM($A87)))</f>
        <v>0</v>
      </c>
      <c r="E87" s="677">
        <f>SUMIFS(调整事项汇总表!$K$7:$K$10020,调整事项汇总表!$D$7:$D$10020,"报表调整",调整事项汇总表!$E$7:$E$10020,IF(OR(MID(TRIM($A87),2,1)="：",MID(TRIM($A87),2,1)="、"),REPLACEB(TRIM($A87),1,4,""),TRIM($A87)))</f>
        <v>0</v>
      </c>
      <c r="F87" s="677">
        <f>SUMIFS(调整事项汇总表!$L$7:$L$10020,调整事项汇总表!$D$7:$D$10020,"报表调整",调整事项汇总表!$E$7:$E$10020,IF(OR(MID(TRIM($A87),2,1)="：",MID(TRIM($A87),2,1)="、"),REPLACEB(TRIM($A87),1,4,""),TRIM($A87)))</f>
        <v>0</v>
      </c>
      <c r="G87" s="677">
        <f>SUMIFS(调整事项汇总表!$K$7:$K$10020,调整事项汇总表!$D$7:$D$10020,"其他",调整事项汇总表!$E$7:$E$10020,IF(OR(MID(TRIM($A87),2,1)="：",MID(TRIM($A87),2,1)="、"),REPLACEB(TRIM($A87),1,4,""),TRIM($A87)))</f>
        <v>0</v>
      </c>
      <c r="H87" s="677">
        <f>SUMIFS(调整事项汇总表!$L$7:$L$10020,调整事项汇总表!$D$7:$D$10020,"其他",调整事项汇总表!$E$7:$E$10020,IF(OR(MID(TRIM($A87),2,1)="：",MID(TRIM($A87),2,1)="、"),REPLACEB(TRIM($A87),1,4,""),TRIM($A87)))</f>
        <v>0</v>
      </c>
      <c r="I87" s="762">
        <f>B87+D87+F87+H87-G87-E87-C87</f>
        <v>0</v>
      </c>
      <c r="J87" s="425" t="b">
        <f>A87=未审报表!A87</f>
        <v>1</v>
      </c>
      <c r="K87" s="425" t="b">
        <f>A87=审定报表!A87</f>
        <v>1</v>
      </c>
    </row>
    <row r="88" spans="1:11" ht="14.4" customHeight="1">
      <c r="A88" s="777" t="str">
        <f>未审报表!A88</f>
        <v>固定资产</v>
      </c>
      <c r="B88" s="643">
        <f>期初核对!C88</f>
        <v>0</v>
      </c>
      <c r="C88" s="677">
        <f>C86+C87</f>
        <v>0</v>
      </c>
      <c r="D88" s="677">
        <f t="shared" ref="D88:H88" si="26">D86+D87</f>
        <v>0</v>
      </c>
      <c r="E88" s="677">
        <f t="shared" si="26"/>
        <v>0</v>
      </c>
      <c r="F88" s="677">
        <f t="shared" si="26"/>
        <v>0</v>
      </c>
      <c r="G88" s="677">
        <f t="shared" si="26"/>
        <v>0</v>
      </c>
      <c r="H88" s="677">
        <f t="shared" si="26"/>
        <v>0</v>
      </c>
      <c r="I88" s="762">
        <f>B88+C88+E88+G88-H88-F88-D88</f>
        <v>0</v>
      </c>
      <c r="J88" s="425" t="b">
        <f>A88=未审报表!A88</f>
        <v>1</v>
      </c>
      <c r="K88" s="425" t="b">
        <f>A88=审定报表!A88</f>
        <v>1</v>
      </c>
    </row>
    <row r="89" spans="1:11" ht="14.4" customHeight="1">
      <c r="A89" s="777" t="str">
        <f>未审报表!A89</f>
        <v>固定资产清理</v>
      </c>
      <c r="B89" s="643">
        <f>期初核对!C89</f>
        <v>0</v>
      </c>
      <c r="C89" s="677">
        <f>SUMIFS(调整事项汇总表!$K$7:$K$10020,调整事项汇总表!$D$7:$D$10020,"账项调整",调整事项汇总表!$E$7:$E$10020,IF(OR(MID(TRIM($A89),2,1)="：",MID(TRIM($A89),2,1)="、"),REPLACEB(TRIM($A89),1,4,""),TRIM($A89)))</f>
        <v>0</v>
      </c>
      <c r="D89" s="677">
        <f>SUMIFS(调整事项汇总表!$L$7:$L$10020,调整事项汇总表!$D$7:$D$10020,"账项调整",调整事项汇总表!$E$7:$E$10020,IF(OR(MID(TRIM($A89),2,1)="：",MID(TRIM($A89),2,1)="、"),REPLACEB(TRIM($A89),1,4,""),TRIM($A89)))</f>
        <v>0</v>
      </c>
      <c r="E89" s="677">
        <f>SUMIFS(调整事项汇总表!$K$7:$K$10020,调整事项汇总表!$D$7:$D$10020,"报表调整",调整事项汇总表!$E$7:$E$10020,IF(OR(MID(TRIM($A89),2,1)="：",MID(TRIM($A89),2,1)="、"),REPLACEB(TRIM($A89),1,4,""),TRIM($A89)))</f>
        <v>0</v>
      </c>
      <c r="F89" s="677">
        <f>SUMIFS(调整事项汇总表!$L$7:$L$10020,调整事项汇总表!$D$7:$D$10020,"报表调整",调整事项汇总表!$E$7:$E$10020,IF(OR(MID(TRIM($A89),2,1)="：",MID(TRIM($A89),2,1)="、"),REPLACEB(TRIM($A89),1,4,""),TRIM($A89)))</f>
        <v>0</v>
      </c>
      <c r="G89" s="677">
        <f>SUMIFS(调整事项汇总表!$K$7:$K$10020,调整事项汇总表!$D$7:$D$10020,"其他",调整事项汇总表!$E$7:$E$10020,IF(OR(MID(TRIM($A89),2,1)="：",MID(TRIM($A89),2,1)="、"),REPLACEB(TRIM($A89),1,4,""),TRIM($A89)))</f>
        <v>0</v>
      </c>
      <c r="H89" s="677">
        <f>SUMIFS(调整事项汇总表!$L$7:$L$10020,调整事项汇总表!$D$7:$D$10020,"其他",调整事项汇总表!$E$7:$E$10020,IF(OR(MID(TRIM($A89),2,1)="：",MID(TRIM($A89),2,1)="、"),REPLACEB(TRIM($A89),1,4,""),TRIM($A89)))</f>
        <v>0</v>
      </c>
      <c r="I89" s="762">
        <f>B89+C89+E89+G89-H89-F89-D89</f>
        <v>0</v>
      </c>
      <c r="J89" s="425" t="b">
        <f>A89=未审报表!A89</f>
        <v>1</v>
      </c>
      <c r="K89" s="425" t="b">
        <f>A89=审定报表!A89</f>
        <v>1</v>
      </c>
    </row>
    <row r="90" spans="1:11" ht="14.4" customHeight="1">
      <c r="A90" s="777" t="str">
        <f>未审报表!A90</f>
        <v>在建工程原值</v>
      </c>
      <c r="B90" s="643">
        <f>期初核对!C90</f>
        <v>0</v>
      </c>
      <c r="C90" s="677">
        <f>SUMIFS(调整事项汇总表!$K$7:$K$10020,调整事项汇总表!$D$7:$D$10020,"账项调整",调整事项汇总表!$E$7:$E$10020,IF(OR(MID(TRIM($A90),2,1)="：",MID(TRIM($A90),2,1)="、"),REPLACEB(TRIM($A90),1,4,""),TRIM($A90)))</f>
        <v>0</v>
      </c>
      <c r="D90" s="677">
        <f>SUMIFS(调整事项汇总表!$L$7:$L$10020,调整事项汇总表!$D$7:$D$10020,"账项调整",调整事项汇总表!$E$7:$E$10020,IF(OR(MID(TRIM($A90),2,1)="：",MID(TRIM($A90),2,1)="、"),REPLACEB(TRIM($A90),1,4,""),TRIM($A90)))</f>
        <v>0</v>
      </c>
      <c r="E90" s="677">
        <f>SUMIFS(调整事项汇总表!$K$7:$K$10020,调整事项汇总表!$D$7:$D$10020,"报表调整",调整事项汇总表!$E$7:$E$10020,IF(OR(MID(TRIM($A90),2,1)="：",MID(TRIM($A90),2,1)="、"),REPLACEB(TRIM($A90),1,4,""),TRIM($A90)))</f>
        <v>0</v>
      </c>
      <c r="F90" s="677">
        <f>SUMIFS(调整事项汇总表!$L$7:$L$10020,调整事项汇总表!$D$7:$D$10020,"报表调整",调整事项汇总表!$E$7:$E$10020,IF(OR(MID(TRIM($A90),2,1)="：",MID(TRIM($A90),2,1)="、"),REPLACEB(TRIM($A90),1,4,""),TRIM($A90)))</f>
        <v>0</v>
      </c>
      <c r="G90" s="677">
        <f>SUMIFS(调整事项汇总表!$K$7:$K$10020,调整事项汇总表!$D$7:$D$10020,"其他",调整事项汇总表!$E$7:$E$10020,IF(OR(MID(TRIM($A90),2,1)="：",MID(TRIM($A90),2,1)="、"),REPLACEB(TRIM($A90),1,4,""),TRIM($A90)))</f>
        <v>0</v>
      </c>
      <c r="H90" s="677">
        <f>SUMIFS(调整事项汇总表!$L$7:$L$10020,调整事项汇总表!$D$7:$D$10020,"其他",调整事项汇总表!$E$7:$E$10020,IF(OR(MID(TRIM($A90),2,1)="：",MID(TRIM($A90),2,1)="、"),REPLACEB(TRIM($A90),1,4,""),TRIM($A90)))</f>
        <v>0</v>
      </c>
      <c r="I90" s="762">
        <f>B90+C90+E90+G90-H90-F90-D90</f>
        <v>0</v>
      </c>
      <c r="J90" s="425" t="b">
        <f>A90=未审报表!A90</f>
        <v>1</v>
      </c>
      <c r="K90" s="425" t="b">
        <f>A90=审定报表!A90</f>
        <v>1</v>
      </c>
    </row>
    <row r="91" spans="1:11" ht="14.4" customHeight="1">
      <c r="A91" s="777" t="str">
        <f>未审报表!A91</f>
        <v>在建工程减值准备</v>
      </c>
      <c r="B91" s="643">
        <f>期初核对!C91</f>
        <v>0</v>
      </c>
      <c r="C91" s="677">
        <f>SUMIFS(调整事项汇总表!$K$7:$K$10020,调整事项汇总表!$D$7:$D$10020,"账项调整",调整事项汇总表!$E$7:$E$10020,IF(OR(MID(TRIM($A91),2,1)="：",MID(TRIM($A91),2,1)="、"),REPLACEB(TRIM($A91),1,4,""),TRIM($A91)))</f>
        <v>0</v>
      </c>
      <c r="D91" s="677">
        <f>SUMIFS(调整事项汇总表!$L$7:$L$10020,调整事项汇总表!$D$7:$D$10020,"账项调整",调整事项汇总表!$E$7:$E$10020,IF(OR(MID(TRIM($A91),2,1)="：",MID(TRIM($A91),2,1)="、"),REPLACEB(TRIM($A91),1,4,""),TRIM($A91)))</f>
        <v>0</v>
      </c>
      <c r="E91" s="677">
        <f>SUMIFS(调整事项汇总表!$K$7:$K$10020,调整事项汇总表!$D$7:$D$10020,"报表调整",调整事项汇总表!$E$7:$E$10020,IF(OR(MID(TRIM($A91),2,1)="：",MID(TRIM($A91),2,1)="、"),REPLACEB(TRIM($A91),1,4,""),TRIM($A91)))</f>
        <v>0</v>
      </c>
      <c r="F91" s="677">
        <f>SUMIFS(调整事项汇总表!$L$7:$L$10020,调整事项汇总表!$D$7:$D$10020,"报表调整",调整事项汇总表!$E$7:$E$10020,IF(OR(MID(TRIM($A91),2,1)="：",MID(TRIM($A91),2,1)="、"),REPLACEB(TRIM($A91),1,4,""),TRIM($A91)))</f>
        <v>0</v>
      </c>
      <c r="G91" s="677">
        <f>SUMIFS(调整事项汇总表!$K$7:$K$10020,调整事项汇总表!$D$7:$D$10020,"其他",调整事项汇总表!$E$7:$E$10020,IF(OR(MID(TRIM($A91),2,1)="：",MID(TRIM($A91),2,1)="、"),REPLACEB(TRIM($A91),1,4,""),TRIM($A91)))</f>
        <v>0</v>
      </c>
      <c r="H91" s="677">
        <f>SUMIFS(调整事项汇总表!$L$7:$L$10020,调整事项汇总表!$D$7:$D$10020,"其他",调整事项汇总表!$E$7:$E$10020,IF(OR(MID(TRIM($A91),2,1)="：",MID(TRIM($A91),2,1)="、"),REPLACEB(TRIM($A91),1,4,""),TRIM($A91)))</f>
        <v>0</v>
      </c>
      <c r="I91" s="762">
        <f>B91+D91+F91+H91-G91-E91-C91</f>
        <v>0</v>
      </c>
      <c r="J91" s="425" t="b">
        <f>A91=未审报表!A91</f>
        <v>1</v>
      </c>
      <c r="K91" s="425" t="b">
        <f>A91=审定报表!A91</f>
        <v>1</v>
      </c>
    </row>
    <row r="92" spans="1:11" ht="14.4" customHeight="1">
      <c r="A92" s="777" t="str">
        <f>未审报表!A92</f>
        <v>在建工程</v>
      </c>
      <c r="B92" s="643">
        <f>期初核对!C92</f>
        <v>0</v>
      </c>
      <c r="C92" s="677">
        <f>C90+C91</f>
        <v>0</v>
      </c>
      <c r="D92" s="677">
        <f t="shared" ref="D92:H92" si="27">D90+D91</f>
        <v>0</v>
      </c>
      <c r="E92" s="677">
        <f t="shared" si="27"/>
        <v>0</v>
      </c>
      <c r="F92" s="677">
        <f t="shared" si="27"/>
        <v>0</v>
      </c>
      <c r="G92" s="677">
        <f t="shared" si="27"/>
        <v>0</v>
      </c>
      <c r="H92" s="677">
        <f t="shared" si="27"/>
        <v>0</v>
      </c>
      <c r="I92" s="762">
        <f>B92+C92+E92+G92-H92-F92-D92</f>
        <v>0</v>
      </c>
      <c r="J92" s="425" t="b">
        <f>A92=未审报表!A92</f>
        <v>1</v>
      </c>
      <c r="K92" s="425" t="b">
        <f>A92=审定报表!A92</f>
        <v>1</v>
      </c>
    </row>
    <row r="93" spans="1:11" ht="14.4" customHeight="1">
      <c r="A93" s="777" t="str">
        <f>未审报表!A93</f>
        <v>工程物资原值</v>
      </c>
      <c r="B93" s="643">
        <f>期初核对!C93</f>
        <v>0</v>
      </c>
      <c r="C93" s="677">
        <f>SUMIFS(调整事项汇总表!$K$7:$K$10020,调整事项汇总表!$D$7:$D$10020,"账项调整",调整事项汇总表!$E$7:$E$10020,IF(OR(MID(TRIM($A93),2,1)="：",MID(TRIM($A93),2,1)="、"),REPLACEB(TRIM($A93),1,4,""),TRIM($A93)))</f>
        <v>0</v>
      </c>
      <c r="D93" s="677">
        <f>SUMIFS(调整事项汇总表!$L$7:$L$10020,调整事项汇总表!$D$7:$D$10020,"账项调整",调整事项汇总表!$E$7:$E$10020,IF(OR(MID(TRIM($A93),2,1)="：",MID(TRIM($A93),2,1)="、"),REPLACEB(TRIM($A93),1,4,""),TRIM($A93)))</f>
        <v>0</v>
      </c>
      <c r="E93" s="677">
        <f>SUMIFS(调整事项汇总表!$K$7:$K$10020,调整事项汇总表!$D$7:$D$10020,"报表调整",调整事项汇总表!$E$7:$E$10020,IF(OR(MID(TRIM($A93),2,1)="：",MID(TRIM($A93),2,1)="、"),REPLACEB(TRIM($A93),1,4,""),TRIM($A93)))</f>
        <v>0</v>
      </c>
      <c r="F93" s="677">
        <f>SUMIFS(调整事项汇总表!$L$7:$L$10020,调整事项汇总表!$D$7:$D$10020,"报表调整",调整事项汇总表!$E$7:$E$10020,IF(OR(MID(TRIM($A93),2,1)="：",MID(TRIM($A93),2,1)="、"),REPLACEB(TRIM($A93),1,4,""),TRIM($A93)))</f>
        <v>0</v>
      </c>
      <c r="G93" s="677">
        <f>SUMIFS(调整事项汇总表!$K$7:$K$10020,调整事项汇总表!$D$7:$D$10020,"其他",调整事项汇总表!$E$7:$E$10020,IF(OR(MID(TRIM($A93),2,1)="：",MID(TRIM($A93),2,1)="、"),REPLACEB(TRIM($A93),1,4,""),TRIM($A93)))</f>
        <v>0</v>
      </c>
      <c r="H93" s="677">
        <f>SUMIFS(调整事项汇总表!$L$7:$L$10020,调整事项汇总表!$D$7:$D$10020,"其他",调整事项汇总表!$E$7:$E$10020,IF(OR(MID(TRIM($A93),2,1)="：",MID(TRIM($A93),2,1)="、"),REPLACEB(TRIM($A93),1,4,""),TRIM($A93)))</f>
        <v>0</v>
      </c>
      <c r="I93" s="762">
        <f>B93+C93+E93+G93-H93-F93-D93</f>
        <v>0</v>
      </c>
      <c r="J93" s="425" t="b">
        <f>A93=未审报表!A93</f>
        <v>1</v>
      </c>
      <c r="K93" s="425" t="b">
        <f>A93=审定报表!A93</f>
        <v>1</v>
      </c>
    </row>
    <row r="94" spans="1:11" ht="14.4" customHeight="1">
      <c r="A94" s="777" t="str">
        <f>未审报表!A94</f>
        <v>工程物资减值准备</v>
      </c>
      <c r="B94" s="643">
        <f>期初核对!C94</f>
        <v>0</v>
      </c>
      <c r="C94" s="677">
        <f>SUMIFS(调整事项汇总表!$K$7:$K$10020,调整事项汇总表!$D$7:$D$10020,"账项调整",调整事项汇总表!$E$7:$E$10020,IF(OR(MID(TRIM($A94),2,1)="：",MID(TRIM($A94),2,1)="、"),REPLACEB(TRIM($A94),1,4,""),TRIM($A94)))</f>
        <v>0</v>
      </c>
      <c r="D94" s="677">
        <f>SUMIFS(调整事项汇总表!$L$7:$L$10020,调整事项汇总表!$D$7:$D$10020,"账项调整",调整事项汇总表!$E$7:$E$10020,IF(OR(MID(TRIM($A94),2,1)="：",MID(TRIM($A94),2,1)="、"),REPLACEB(TRIM($A94),1,4,""),TRIM($A94)))</f>
        <v>0</v>
      </c>
      <c r="E94" s="677">
        <f>SUMIFS(调整事项汇总表!$K$7:$K$10020,调整事项汇总表!$D$7:$D$10020,"报表调整",调整事项汇总表!$E$7:$E$10020,IF(OR(MID(TRIM($A94),2,1)="：",MID(TRIM($A94),2,1)="、"),REPLACEB(TRIM($A94),1,4,""),TRIM($A94)))</f>
        <v>0</v>
      </c>
      <c r="F94" s="677">
        <f>SUMIFS(调整事项汇总表!$L$7:$L$10020,调整事项汇总表!$D$7:$D$10020,"报表调整",调整事项汇总表!$E$7:$E$10020,IF(OR(MID(TRIM($A94),2,1)="：",MID(TRIM($A94),2,1)="、"),REPLACEB(TRIM($A94),1,4,""),TRIM($A94)))</f>
        <v>0</v>
      </c>
      <c r="G94" s="677">
        <f>SUMIFS(调整事项汇总表!$K$7:$K$10020,调整事项汇总表!$D$7:$D$10020,"其他",调整事项汇总表!$E$7:$E$10020,IF(OR(MID(TRIM($A94),2,1)="：",MID(TRIM($A94),2,1)="、"),REPLACEB(TRIM($A94),1,4,""),TRIM($A94)))</f>
        <v>0</v>
      </c>
      <c r="H94" s="677">
        <f>SUMIFS(调整事项汇总表!$L$7:$L$10020,调整事项汇总表!$D$7:$D$10020,"其他",调整事项汇总表!$E$7:$E$10020,IF(OR(MID(TRIM($A94),2,1)="：",MID(TRIM($A94),2,1)="、"),REPLACEB(TRIM($A94),1,4,""),TRIM($A94)))</f>
        <v>0</v>
      </c>
      <c r="I94" s="762">
        <f>B94+D94+F94+H94-G94-E94-C94</f>
        <v>0</v>
      </c>
      <c r="J94" s="425" t="b">
        <f>A94=未审报表!A94</f>
        <v>1</v>
      </c>
      <c r="K94" s="425" t="b">
        <f>A94=审定报表!A94</f>
        <v>1</v>
      </c>
    </row>
    <row r="95" spans="1:11" ht="14.4" customHeight="1">
      <c r="A95" s="777" t="str">
        <f>未审报表!A95</f>
        <v>工程物资</v>
      </c>
      <c r="B95" s="643">
        <f>期初核对!C95</f>
        <v>0</v>
      </c>
      <c r="C95" s="677">
        <f>C93+C94</f>
        <v>0</v>
      </c>
      <c r="D95" s="677">
        <f t="shared" ref="D95:H95" si="28">D93+D94</f>
        <v>0</v>
      </c>
      <c r="E95" s="677">
        <f t="shared" si="28"/>
        <v>0</v>
      </c>
      <c r="F95" s="677">
        <f t="shared" si="28"/>
        <v>0</v>
      </c>
      <c r="G95" s="677">
        <f t="shared" si="28"/>
        <v>0</v>
      </c>
      <c r="H95" s="677">
        <f t="shared" si="28"/>
        <v>0</v>
      </c>
      <c r="I95" s="762">
        <f>B95+C95+E95+G95-H95-F95-D95</f>
        <v>0</v>
      </c>
      <c r="J95" s="425" t="b">
        <f>A95=未审报表!A95</f>
        <v>1</v>
      </c>
      <c r="K95" s="425" t="b">
        <f>A95=审定报表!A95</f>
        <v>1</v>
      </c>
    </row>
    <row r="96" spans="1:11" ht="14.4" customHeight="1">
      <c r="A96" s="777" t="str">
        <f>未审报表!A96</f>
        <v>生产性生物资产原值</v>
      </c>
      <c r="B96" s="643">
        <f>期初核对!C96</f>
        <v>0</v>
      </c>
      <c r="C96" s="677">
        <f>SUMIFS(调整事项汇总表!$K$7:$K$10020,调整事项汇总表!$D$7:$D$10020,"账项调整",调整事项汇总表!$E$7:$E$10020,IF(OR(MID(TRIM($A96),2,1)="：",MID(TRIM($A96),2,1)="、"),REPLACEB(TRIM($A96),1,4,""),TRIM($A96)))</f>
        <v>0</v>
      </c>
      <c r="D96" s="677">
        <f>SUMIFS(调整事项汇总表!$L$7:$L$10020,调整事项汇总表!$D$7:$D$10020,"账项调整",调整事项汇总表!$E$7:$E$10020,IF(OR(MID(TRIM($A96),2,1)="：",MID(TRIM($A96),2,1)="、"),REPLACEB(TRIM($A96),1,4,""),TRIM($A96)))</f>
        <v>0</v>
      </c>
      <c r="E96" s="677">
        <f>SUMIFS(调整事项汇总表!$K$7:$K$10020,调整事项汇总表!$D$7:$D$10020,"报表调整",调整事项汇总表!$E$7:$E$10020,IF(OR(MID(TRIM($A96),2,1)="：",MID(TRIM($A96),2,1)="、"),REPLACEB(TRIM($A96),1,4,""),TRIM($A96)))</f>
        <v>0</v>
      </c>
      <c r="F96" s="677">
        <f>SUMIFS(调整事项汇总表!$L$7:$L$10020,调整事项汇总表!$D$7:$D$10020,"报表调整",调整事项汇总表!$E$7:$E$10020,IF(OR(MID(TRIM($A96),2,1)="：",MID(TRIM($A96),2,1)="、"),REPLACEB(TRIM($A96),1,4,""),TRIM($A96)))</f>
        <v>0</v>
      </c>
      <c r="G96" s="677">
        <f>SUMIFS(调整事项汇总表!$K$7:$K$10020,调整事项汇总表!$D$7:$D$10020,"其他",调整事项汇总表!$E$7:$E$10020,IF(OR(MID(TRIM($A96),2,1)="：",MID(TRIM($A96),2,1)="、"),REPLACEB(TRIM($A96),1,4,""),TRIM($A96)))</f>
        <v>0</v>
      </c>
      <c r="H96" s="677">
        <f>SUMIFS(调整事项汇总表!$L$7:$L$10020,调整事项汇总表!$D$7:$D$10020,"其他",调整事项汇总表!$E$7:$E$10020,IF(OR(MID(TRIM($A96),2,1)="：",MID(TRIM($A96),2,1)="、"),REPLACEB(TRIM($A96),1,4,""),TRIM($A96)))</f>
        <v>0</v>
      </c>
      <c r="I96" s="762">
        <f>B96+C96+E96+G96-H96-F96-D96</f>
        <v>0</v>
      </c>
      <c r="J96" s="425" t="b">
        <f>A96=未审报表!A96</f>
        <v>1</v>
      </c>
      <c r="K96" s="425" t="b">
        <f>A96=审定报表!A96</f>
        <v>1</v>
      </c>
    </row>
    <row r="97" spans="1:11" ht="14.4" customHeight="1">
      <c r="A97" s="777" t="str">
        <f>未审报表!A97</f>
        <v>生产性生物资产累计折旧</v>
      </c>
      <c r="B97" s="643">
        <f>期初核对!C97</f>
        <v>0</v>
      </c>
      <c r="C97" s="677">
        <f>SUMIFS(调整事项汇总表!$K$7:$K$10020,调整事项汇总表!$D$7:$D$10020,"账项调整",调整事项汇总表!$E$7:$E$10020,IF(OR(MID(TRIM($A97),2,1)="：",MID(TRIM($A97),2,1)="、"),REPLACEB(TRIM($A97),1,4,""),TRIM($A97)))</f>
        <v>0</v>
      </c>
      <c r="D97" s="677">
        <f>SUMIFS(调整事项汇总表!$L$7:$L$10020,调整事项汇总表!$D$7:$D$10020,"账项调整",调整事项汇总表!$E$7:$E$10020,IF(OR(MID(TRIM($A97),2,1)="：",MID(TRIM($A97),2,1)="、"),REPLACEB(TRIM($A97),1,4,""),TRIM($A97)))</f>
        <v>0</v>
      </c>
      <c r="E97" s="677">
        <f>SUMIFS(调整事项汇总表!$K$7:$K$10020,调整事项汇总表!$D$7:$D$10020,"报表调整",调整事项汇总表!$E$7:$E$10020,IF(OR(MID(TRIM($A97),2,1)="：",MID(TRIM($A97),2,1)="、"),REPLACEB(TRIM($A97),1,4,""),TRIM($A97)))</f>
        <v>0</v>
      </c>
      <c r="F97" s="677">
        <f>SUMIFS(调整事项汇总表!$L$7:$L$10020,调整事项汇总表!$D$7:$D$10020,"报表调整",调整事项汇总表!$E$7:$E$10020,IF(OR(MID(TRIM($A97),2,1)="：",MID(TRIM($A97),2,1)="、"),REPLACEB(TRIM($A97),1,4,""),TRIM($A97)))</f>
        <v>0</v>
      </c>
      <c r="G97" s="677">
        <f>SUMIFS(调整事项汇总表!$K$7:$K$10020,调整事项汇总表!$D$7:$D$10020,"其他",调整事项汇总表!$E$7:$E$10020,IF(OR(MID(TRIM($A97),2,1)="：",MID(TRIM($A97),2,1)="、"),REPLACEB(TRIM($A97),1,4,""),TRIM($A97)))</f>
        <v>0</v>
      </c>
      <c r="H97" s="677">
        <f>SUMIFS(调整事项汇总表!$L$7:$L$10020,调整事项汇总表!$D$7:$D$10020,"其他",调整事项汇总表!$E$7:$E$10020,IF(OR(MID(TRIM($A97),2,1)="：",MID(TRIM($A97),2,1)="、"),REPLACEB(TRIM($A97),1,4,""),TRIM($A97)))</f>
        <v>0</v>
      </c>
      <c r="I97" s="762">
        <f>B97+D97+F97+H97-G97-E97-C97</f>
        <v>0</v>
      </c>
      <c r="J97" s="425" t="b">
        <f>A97=未审报表!A97</f>
        <v>1</v>
      </c>
      <c r="K97" s="425" t="b">
        <f>A97=审定报表!A97</f>
        <v>1</v>
      </c>
    </row>
    <row r="98" spans="1:11" ht="14.4" customHeight="1">
      <c r="A98" s="777" t="str">
        <f>未审报表!A98</f>
        <v>生产性生物资产净值</v>
      </c>
      <c r="B98" s="643">
        <f>期初核对!C98</f>
        <v>0</v>
      </c>
      <c r="C98" s="677">
        <f>C96+C97</f>
        <v>0</v>
      </c>
      <c r="D98" s="677">
        <f t="shared" ref="D98:H98" si="29">D96+D97</f>
        <v>0</v>
      </c>
      <c r="E98" s="677">
        <f t="shared" si="29"/>
        <v>0</v>
      </c>
      <c r="F98" s="677">
        <f t="shared" si="29"/>
        <v>0</v>
      </c>
      <c r="G98" s="677">
        <f t="shared" si="29"/>
        <v>0</v>
      </c>
      <c r="H98" s="677">
        <f t="shared" si="29"/>
        <v>0</v>
      </c>
      <c r="I98" s="762">
        <f>B98+C98+E98+G98-H98-F98-D98</f>
        <v>0</v>
      </c>
      <c r="J98" s="425" t="b">
        <f>A98=未审报表!A98</f>
        <v>1</v>
      </c>
      <c r="K98" s="425" t="b">
        <f>A98=审定报表!A98</f>
        <v>1</v>
      </c>
    </row>
    <row r="99" spans="1:11" ht="14.4" customHeight="1">
      <c r="A99" s="777" t="str">
        <f>未审报表!A99</f>
        <v>生产性生物资产减值准备</v>
      </c>
      <c r="B99" s="643">
        <f>期初核对!C99</f>
        <v>0</v>
      </c>
      <c r="C99" s="677">
        <f>SUMIFS(调整事项汇总表!$K$7:$K$10020,调整事项汇总表!$D$7:$D$10020,"账项调整",调整事项汇总表!$E$7:$E$10020,IF(OR(MID(TRIM($A99),2,1)="：",MID(TRIM($A99),2,1)="、"),REPLACEB(TRIM($A99),1,4,""),TRIM($A99)))</f>
        <v>0</v>
      </c>
      <c r="D99" s="677">
        <f>SUMIFS(调整事项汇总表!$L$7:$L$10020,调整事项汇总表!$D$7:$D$10020,"账项调整",调整事项汇总表!$E$7:$E$10020,IF(OR(MID(TRIM($A99),2,1)="：",MID(TRIM($A99),2,1)="、"),REPLACEB(TRIM($A99),1,4,""),TRIM($A99)))</f>
        <v>0</v>
      </c>
      <c r="E99" s="677">
        <f>SUMIFS(调整事项汇总表!$K$7:$K$10020,调整事项汇总表!$D$7:$D$10020,"报表调整",调整事项汇总表!$E$7:$E$10020,IF(OR(MID(TRIM($A99),2,1)="：",MID(TRIM($A99),2,1)="、"),REPLACEB(TRIM($A99),1,4,""),TRIM($A99)))</f>
        <v>0</v>
      </c>
      <c r="F99" s="677">
        <f>SUMIFS(调整事项汇总表!$L$7:$L$10020,调整事项汇总表!$D$7:$D$10020,"报表调整",调整事项汇总表!$E$7:$E$10020,IF(OR(MID(TRIM($A99),2,1)="：",MID(TRIM($A99),2,1)="、"),REPLACEB(TRIM($A99),1,4,""),TRIM($A99)))</f>
        <v>0</v>
      </c>
      <c r="G99" s="677">
        <f>SUMIFS(调整事项汇总表!$K$7:$K$10020,调整事项汇总表!$D$7:$D$10020,"其他",调整事项汇总表!$E$7:$E$10020,IF(OR(MID(TRIM($A99),2,1)="：",MID(TRIM($A99),2,1)="、"),REPLACEB(TRIM($A99),1,4,""),TRIM($A99)))</f>
        <v>0</v>
      </c>
      <c r="H99" s="677">
        <f>SUMIFS(调整事项汇总表!$L$7:$L$10020,调整事项汇总表!$D$7:$D$10020,"其他",调整事项汇总表!$E$7:$E$10020,IF(OR(MID(TRIM($A99),2,1)="：",MID(TRIM($A99),2,1)="、"),REPLACEB(TRIM($A99),1,4,""),TRIM($A99)))</f>
        <v>0</v>
      </c>
      <c r="I99" s="762">
        <f>B99+D99+F99+H99-G99-E99-C99</f>
        <v>0</v>
      </c>
      <c r="J99" s="425" t="b">
        <f>A99=未审报表!A99</f>
        <v>1</v>
      </c>
      <c r="K99" s="425" t="b">
        <f>A99=审定报表!A99</f>
        <v>1</v>
      </c>
    </row>
    <row r="100" spans="1:11" ht="14.4" customHeight="1">
      <c r="A100" s="777" t="str">
        <f>未审报表!A100</f>
        <v>生产性生物资产</v>
      </c>
      <c r="B100" s="643">
        <f>期初核对!C100</f>
        <v>0</v>
      </c>
      <c r="C100" s="677">
        <f>C98+C99</f>
        <v>0</v>
      </c>
      <c r="D100" s="677">
        <f t="shared" ref="D100:H100" si="30">D98+D99</f>
        <v>0</v>
      </c>
      <c r="E100" s="677">
        <f t="shared" si="30"/>
        <v>0</v>
      </c>
      <c r="F100" s="677">
        <f t="shared" si="30"/>
        <v>0</v>
      </c>
      <c r="G100" s="677">
        <f t="shared" si="30"/>
        <v>0</v>
      </c>
      <c r="H100" s="677">
        <f t="shared" si="30"/>
        <v>0</v>
      </c>
      <c r="I100" s="762">
        <f>B100+C100+E100+G100-H100-F100-D100</f>
        <v>0</v>
      </c>
      <c r="J100" s="425" t="b">
        <f>A100=未审报表!A100</f>
        <v>1</v>
      </c>
      <c r="K100" s="425" t="b">
        <f>A100=审定报表!A100</f>
        <v>1</v>
      </c>
    </row>
    <row r="101" spans="1:11" ht="14.4" customHeight="1">
      <c r="A101" s="777" t="str">
        <f>未审报表!A101</f>
        <v>油气资产原值</v>
      </c>
      <c r="B101" s="643">
        <f>期初核对!C101</f>
        <v>0</v>
      </c>
      <c r="C101" s="677">
        <f>SUMIFS(调整事项汇总表!$K$7:$K$10020,调整事项汇总表!$D$7:$D$10020,"账项调整",调整事项汇总表!$E$7:$E$10020,IF(OR(MID(TRIM($A101),2,1)="：",MID(TRIM($A101),2,1)="、"),REPLACEB(TRIM($A101),1,4,""),TRIM($A101)))</f>
        <v>0</v>
      </c>
      <c r="D101" s="677">
        <f>SUMIFS(调整事项汇总表!$L$7:$L$10020,调整事项汇总表!$D$7:$D$10020,"账项调整",调整事项汇总表!$E$7:$E$10020,IF(OR(MID(TRIM($A101),2,1)="：",MID(TRIM($A101),2,1)="、"),REPLACEB(TRIM($A101),1,4,""),TRIM($A101)))</f>
        <v>0</v>
      </c>
      <c r="E101" s="677">
        <f>SUMIFS(调整事项汇总表!$K$7:$K$10020,调整事项汇总表!$D$7:$D$10020,"报表调整",调整事项汇总表!$E$7:$E$10020,IF(OR(MID(TRIM($A101),2,1)="：",MID(TRIM($A101),2,1)="、"),REPLACEB(TRIM($A101),1,4,""),TRIM($A101)))</f>
        <v>0</v>
      </c>
      <c r="F101" s="677">
        <f>SUMIFS(调整事项汇总表!$L$7:$L$10020,调整事项汇总表!$D$7:$D$10020,"报表调整",调整事项汇总表!$E$7:$E$10020,IF(OR(MID(TRIM($A101),2,1)="：",MID(TRIM($A101),2,1)="、"),REPLACEB(TRIM($A101),1,4,""),TRIM($A101)))</f>
        <v>0</v>
      </c>
      <c r="G101" s="677">
        <f>SUMIFS(调整事项汇总表!$K$7:$K$10020,调整事项汇总表!$D$7:$D$10020,"其他",调整事项汇总表!$E$7:$E$10020,IF(OR(MID(TRIM($A101),2,1)="：",MID(TRIM($A101),2,1)="、"),REPLACEB(TRIM($A101),1,4,""),TRIM($A101)))</f>
        <v>0</v>
      </c>
      <c r="H101" s="677">
        <f>SUMIFS(调整事项汇总表!$L$7:$L$10020,调整事项汇总表!$D$7:$D$10020,"其他",调整事项汇总表!$E$7:$E$10020,IF(OR(MID(TRIM($A101),2,1)="：",MID(TRIM($A101),2,1)="、"),REPLACEB(TRIM($A101),1,4,""),TRIM($A101)))</f>
        <v>0</v>
      </c>
      <c r="I101" s="762">
        <f>B101+C101+E101+G101-H101-F101-D101</f>
        <v>0</v>
      </c>
      <c r="J101" s="425" t="b">
        <f>A101=未审报表!A101</f>
        <v>1</v>
      </c>
      <c r="K101" s="425" t="b">
        <f>A101=审定报表!A101</f>
        <v>1</v>
      </c>
    </row>
    <row r="102" spans="1:11" ht="14.4" customHeight="1">
      <c r="A102" s="777" t="str">
        <f>未审报表!A102</f>
        <v>油气资产累计折旧</v>
      </c>
      <c r="B102" s="643">
        <f>期初核对!C102</f>
        <v>0</v>
      </c>
      <c r="C102" s="677">
        <f>SUMIFS(调整事项汇总表!$K$7:$K$10020,调整事项汇总表!$D$7:$D$10020,"账项调整",调整事项汇总表!$E$7:$E$10020,IF(OR(MID(TRIM($A102),2,1)="：",MID(TRIM($A102),2,1)="、"),REPLACEB(TRIM($A102),1,4,""),TRIM($A102)))</f>
        <v>0</v>
      </c>
      <c r="D102" s="677">
        <f>SUMIFS(调整事项汇总表!$L$7:$L$10020,调整事项汇总表!$D$7:$D$10020,"账项调整",调整事项汇总表!$E$7:$E$10020,IF(OR(MID(TRIM($A102),2,1)="：",MID(TRIM($A102),2,1)="、"),REPLACEB(TRIM($A102),1,4,""),TRIM($A102)))</f>
        <v>0</v>
      </c>
      <c r="E102" s="677">
        <f>SUMIFS(调整事项汇总表!$K$7:$K$10020,调整事项汇总表!$D$7:$D$10020,"报表调整",调整事项汇总表!$E$7:$E$10020,IF(OR(MID(TRIM($A102),2,1)="：",MID(TRIM($A102),2,1)="、"),REPLACEB(TRIM($A102),1,4,""),TRIM($A102)))</f>
        <v>0</v>
      </c>
      <c r="F102" s="677">
        <f>SUMIFS(调整事项汇总表!$L$7:$L$10020,调整事项汇总表!$D$7:$D$10020,"报表调整",调整事项汇总表!$E$7:$E$10020,IF(OR(MID(TRIM($A102),2,1)="：",MID(TRIM($A102),2,1)="、"),REPLACEB(TRIM($A102),1,4,""),TRIM($A102)))</f>
        <v>0</v>
      </c>
      <c r="G102" s="677">
        <f>SUMIFS(调整事项汇总表!$K$7:$K$10020,调整事项汇总表!$D$7:$D$10020,"其他",调整事项汇总表!$E$7:$E$10020,IF(OR(MID(TRIM($A102),2,1)="：",MID(TRIM($A102),2,1)="、"),REPLACEB(TRIM($A102),1,4,""),TRIM($A102)))</f>
        <v>0</v>
      </c>
      <c r="H102" s="677">
        <f>SUMIFS(调整事项汇总表!$L$7:$L$10020,调整事项汇总表!$D$7:$D$10020,"其他",调整事项汇总表!$E$7:$E$10020,IF(OR(MID(TRIM($A102),2,1)="：",MID(TRIM($A102),2,1)="、"),REPLACEB(TRIM($A102),1,4,""),TRIM($A102)))</f>
        <v>0</v>
      </c>
      <c r="I102" s="762">
        <f>B102+D102+F102+H102-G102-E102-C102</f>
        <v>0</v>
      </c>
      <c r="J102" s="425" t="b">
        <f>A102=未审报表!A102</f>
        <v>1</v>
      </c>
      <c r="K102" s="425" t="b">
        <f>A102=审定报表!A102</f>
        <v>1</v>
      </c>
    </row>
    <row r="103" spans="1:11" ht="14.4" customHeight="1">
      <c r="A103" s="777" t="str">
        <f>未审报表!A103</f>
        <v>油气资产净值</v>
      </c>
      <c r="B103" s="643">
        <f>期初核对!C103</f>
        <v>0</v>
      </c>
      <c r="C103" s="677">
        <f>C101+C102</f>
        <v>0</v>
      </c>
      <c r="D103" s="677">
        <f t="shared" ref="D103:H103" si="31">D101+D102</f>
        <v>0</v>
      </c>
      <c r="E103" s="677">
        <f t="shared" si="31"/>
        <v>0</v>
      </c>
      <c r="F103" s="677">
        <f t="shared" si="31"/>
        <v>0</v>
      </c>
      <c r="G103" s="677">
        <f t="shared" si="31"/>
        <v>0</v>
      </c>
      <c r="H103" s="677">
        <f t="shared" si="31"/>
        <v>0</v>
      </c>
      <c r="I103" s="762">
        <f>B103+C103+E103+G103-H103-F103-D103</f>
        <v>0</v>
      </c>
      <c r="J103" s="425" t="b">
        <f>A103=未审报表!A103</f>
        <v>1</v>
      </c>
      <c r="K103" s="425" t="b">
        <f>A103=审定报表!A103</f>
        <v>1</v>
      </c>
    </row>
    <row r="104" spans="1:11" ht="14.4" customHeight="1">
      <c r="A104" s="777" t="str">
        <f>未审报表!A104</f>
        <v>油气资产减值准备</v>
      </c>
      <c r="B104" s="643">
        <f>期初核对!C104</f>
        <v>0</v>
      </c>
      <c r="C104" s="677">
        <f>SUMIFS(调整事项汇总表!$K$7:$K$10020,调整事项汇总表!$D$7:$D$10020,"账项调整",调整事项汇总表!$E$7:$E$10020,IF(OR(MID(TRIM($A104),2,1)="：",MID(TRIM($A104),2,1)="、"),REPLACEB(TRIM($A104),1,4,""),TRIM($A104)))</f>
        <v>0</v>
      </c>
      <c r="D104" s="677">
        <f>SUMIFS(调整事项汇总表!$L$7:$L$10020,调整事项汇总表!$D$7:$D$10020,"账项调整",调整事项汇总表!$E$7:$E$10020,IF(OR(MID(TRIM($A104),2,1)="：",MID(TRIM($A104),2,1)="、"),REPLACEB(TRIM($A104),1,4,""),TRIM($A104)))</f>
        <v>0</v>
      </c>
      <c r="E104" s="677">
        <f>SUMIFS(调整事项汇总表!$K$7:$K$10020,调整事项汇总表!$D$7:$D$10020,"报表调整",调整事项汇总表!$E$7:$E$10020,IF(OR(MID(TRIM($A104),2,1)="：",MID(TRIM($A104),2,1)="、"),REPLACEB(TRIM($A104),1,4,""),TRIM($A104)))</f>
        <v>0</v>
      </c>
      <c r="F104" s="677">
        <f>SUMIFS(调整事项汇总表!$L$7:$L$10020,调整事项汇总表!$D$7:$D$10020,"报表调整",调整事项汇总表!$E$7:$E$10020,IF(OR(MID(TRIM($A104),2,1)="：",MID(TRIM($A104),2,1)="、"),REPLACEB(TRIM($A104),1,4,""),TRIM($A104)))</f>
        <v>0</v>
      </c>
      <c r="G104" s="677">
        <f>SUMIFS(调整事项汇总表!$K$7:$K$10020,调整事项汇总表!$D$7:$D$10020,"其他",调整事项汇总表!$E$7:$E$10020,IF(OR(MID(TRIM($A104),2,1)="：",MID(TRIM($A104),2,1)="、"),REPLACEB(TRIM($A104),1,4,""),TRIM($A104)))</f>
        <v>0</v>
      </c>
      <c r="H104" s="677">
        <f>SUMIFS(调整事项汇总表!$L$7:$L$10020,调整事项汇总表!$D$7:$D$10020,"其他",调整事项汇总表!$E$7:$E$10020,IF(OR(MID(TRIM($A104),2,1)="：",MID(TRIM($A104),2,1)="、"),REPLACEB(TRIM($A104),1,4,""),TRIM($A104)))</f>
        <v>0</v>
      </c>
      <c r="I104" s="762">
        <f>B104+D104+F104+H104-G104-E104-C104</f>
        <v>0</v>
      </c>
      <c r="J104" s="425" t="b">
        <f>A104=未审报表!A104</f>
        <v>1</v>
      </c>
      <c r="K104" s="425" t="b">
        <f>A104=审定报表!A104</f>
        <v>1</v>
      </c>
    </row>
    <row r="105" spans="1:11" ht="14.4" customHeight="1">
      <c r="A105" s="777" t="str">
        <f>未审报表!A105</f>
        <v>油气资产</v>
      </c>
      <c r="B105" s="643">
        <f>期初核对!C105</f>
        <v>0</v>
      </c>
      <c r="C105" s="677">
        <f>C103+C104</f>
        <v>0</v>
      </c>
      <c r="D105" s="677">
        <f t="shared" ref="D105:H105" si="32">D103+D104</f>
        <v>0</v>
      </c>
      <c r="E105" s="677">
        <f t="shared" si="32"/>
        <v>0</v>
      </c>
      <c r="F105" s="677">
        <f t="shared" si="32"/>
        <v>0</v>
      </c>
      <c r="G105" s="677">
        <f t="shared" si="32"/>
        <v>0</v>
      </c>
      <c r="H105" s="677">
        <f t="shared" si="32"/>
        <v>0</v>
      </c>
      <c r="I105" s="762">
        <f>B105+C105+E105+G105-H105-F105-D105</f>
        <v>0</v>
      </c>
      <c r="J105" s="425" t="b">
        <f>A105=未审报表!A105</f>
        <v>1</v>
      </c>
      <c r="K105" s="425" t="b">
        <f>A105=审定报表!A105</f>
        <v>1</v>
      </c>
    </row>
    <row r="106" spans="1:11" ht="14.4" customHeight="1">
      <c r="A106" s="777" t="str">
        <f>未审报表!A106</f>
        <v>使用权资产原值</v>
      </c>
      <c r="B106" s="643">
        <f>期初核对!C106</f>
        <v>0</v>
      </c>
      <c r="C106" s="677">
        <f>SUMIFS(调整事项汇总表!$K$7:$K$10020,调整事项汇总表!$D$7:$D$10020,"账项调整",调整事项汇总表!$E$7:$E$10020,IF(OR(MID(TRIM($A106),2,1)="：",MID(TRIM($A106),2,1)="、"),REPLACEB(TRIM($A106),1,4,""),TRIM($A106)))</f>
        <v>0</v>
      </c>
      <c r="D106" s="677">
        <f>SUMIFS(调整事项汇总表!$L$7:$L$10020,调整事项汇总表!$D$7:$D$10020,"账项调整",调整事项汇总表!$E$7:$E$10020,IF(OR(MID(TRIM($A106),2,1)="：",MID(TRIM($A106),2,1)="、"),REPLACEB(TRIM($A106),1,4,""),TRIM($A106)))</f>
        <v>0</v>
      </c>
      <c r="E106" s="677">
        <f>SUMIFS(调整事项汇总表!$K$7:$K$10020,调整事项汇总表!$D$7:$D$10020,"报表调整",调整事项汇总表!$E$7:$E$10020,IF(OR(MID(TRIM($A106),2,1)="：",MID(TRIM($A106),2,1)="、"),REPLACEB(TRIM($A106),1,4,""),TRIM($A106)))</f>
        <v>0</v>
      </c>
      <c r="F106" s="677">
        <f>SUMIFS(调整事项汇总表!$L$7:$L$10020,调整事项汇总表!$D$7:$D$10020,"报表调整",调整事项汇总表!$E$7:$E$10020,IF(OR(MID(TRIM($A106),2,1)="：",MID(TRIM($A106),2,1)="、"),REPLACEB(TRIM($A106),1,4,""),TRIM($A106)))</f>
        <v>0</v>
      </c>
      <c r="G106" s="677">
        <f>SUMIFS(调整事项汇总表!$K$7:$K$10020,调整事项汇总表!$D$7:$D$10020,"其他",调整事项汇总表!$E$7:$E$10020,IF(OR(MID(TRIM($A106),2,1)="：",MID(TRIM($A106),2,1)="、"),REPLACEB(TRIM($A106),1,4,""),TRIM($A106)))</f>
        <v>0</v>
      </c>
      <c r="H106" s="677">
        <f>SUMIFS(调整事项汇总表!$L$7:$L$10020,调整事项汇总表!$D$7:$D$10020,"其他",调整事项汇总表!$E$7:$E$10020,IF(OR(MID(TRIM($A106),2,1)="：",MID(TRIM($A106),2,1)="、"),REPLACEB(TRIM($A106),1,4,""),TRIM($A106)))</f>
        <v>0</v>
      </c>
      <c r="I106" s="762">
        <f>B106+C106+E106+G106-H106-F106-D106</f>
        <v>0</v>
      </c>
      <c r="J106" s="425" t="b">
        <f>A106=未审报表!A106</f>
        <v>1</v>
      </c>
      <c r="K106" s="425" t="b">
        <f>A106=审定报表!A106</f>
        <v>1</v>
      </c>
    </row>
    <row r="107" spans="1:11" ht="14.4" customHeight="1">
      <c r="A107" s="777" t="str">
        <f>未审报表!A107</f>
        <v>使用权资产累计折旧</v>
      </c>
      <c r="B107" s="643">
        <f>期初核对!C107</f>
        <v>0</v>
      </c>
      <c r="C107" s="677">
        <f>SUMIFS(调整事项汇总表!$K$7:$K$10020,调整事项汇总表!$D$7:$D$10020,"账项调整",调整事项汇总表!$E$7:$E$10020,IF(OR(MID(TRIM($A107),2,1)="：",MID(TRIM($A107),2,1)="、"),REPLACEB(TRIM($A107),1,4,""),TRIM($A107)))</f>
        <v>0</v>
      </c>
      <c r="D107" s="677">
        <f>SUMIFS(调整事项汇总表!$L$7:$L$10020,调整事项汇总表!$D$7:$D$10020,"账项调整",调整事项汇总表!$E$7:$E$10020,IF(OR(MID(TRIM($A107),2,1)="：",MID(TRIM($A107),2,1)="、"),REPLACEB(TRIM($A107),1,4,""),TRIM($A107)))</f>
        <v>0</v>
      </c>
      <c r="E107" s="677">
        <f>SUMIFS(调整事项汇总表!$K$7:$K$10020,调整事项汇总表!$D$7:$D$10020,"报表调整",调整事项汇总表!$E$7:$E$10020,IF(OR(MID(TRIM($A107),2,1)="：",MID(TRIM($A107),2,1)="、"),REPLACEB(TRIM($A107),1,4,""),TRIM($A107)))</f>
        <v>0</v>
      </c>
      <c r="F107" s="677">
        <f>SUMIFS(调整事项汇总表!$L$7:$L$10020,调整事项汇总表!$D$7:$D$10020,"报表调整",调整事项汇总表!$E$7:$E$10020,IF(OR(MID(TRIM($A107),2,1)="：",MID(TRIM($A107),2,1)="、"),REPLACEB(TRIM($A107),1,4,""),TRIM($A107)))</f>
        <v>0</v>
      </c>
      <c r="G107" s="677">
        <f>SUMIFS(调整事项汇总表!$K$7:$K$10020,调整事项汇总表!$D$7:$D$10020,"其他",调整事项汇总表!$E$7:$E$10020,IF(OR(MID(TRIM($A107),2,1)="：",MID(TRIM($A107),2,1)="、"),REPLACEB(TRIM($A107),1,4,""),TRIM($A107)))</f>
        <v>0</v>
      </c>
      <c r="H107" s="677">
        <f>SUMIFS(调整事项汇总表!$L$7:$L$10020,调整事项汇总表!$D$7:$D$10020,"其他",调整事项汇总表!$E$7:$E$10020,IF(OR(MID(TRIM($A107),2,1)="：",MID(TRIM($A107),2,1)="、"),REPLACEB(TRIM($A107),1,4,""),TRIM($A107)))</f>
        <v>0</v>
      </c>
      <c r="I107" s="762">
        <f>B107+D107+F107+H107-G107-E107-C107</f>
        <v>0</v>
      </c>
      <c r="J107" s="425" t="b">
        <f>A107=未审报表!A107</f>
        <v>1</v>
      </c>
      <c r="K107" s="425" t="b">
        <f>A107=审定报表!A107</f>
        <v>1</v>
      </c>
    </row>
    <row r="108" spans="1:11" ht="14.4" customHeight="1">
      <c r="A108" s="777" t="str">
        <f>未审报表!A108</f>
        <v>使用权资产净值</v>
      </c>
      <c r="B108" s="643">
        <f>期初核对!C108</f>
        <v>0</v>
      </c>
      <c r="C108" s="677">
        <f>C106+C107</f>
        <v>0</v>
      </c>
      <c r="D108" s="677">
        <f t="shared" ref="D108:H108" si="33">D106+D107</f>
        <v>0</v>
      </c>
      <c r="E108" s="677">
        <f t="shared" si="33"/>
        <v>0</v>
      </c>
      <c r="F108" s="677">
        <f t="shared" si="33"/>
        <v>0</v>
      </c>
      <c r="G108" s="677">
        <f t="shared" si="33"/>
        <v>0</v>
      </c>
      <c r="H108" s="677">
        <f t="shared" si="33"/>
        <v>0</v>
      </c>
      <c r="I108" s="762">
        <f>B108+C108+E108+G108-H108-F108-D108</f>
        <v>0</v>
      </c>
      <c r="J108" s="425" t="b">
        <f>A108=未审报表!A108</f>
        <v>1</v>
      </c>
      <c r="K108" s="425" t="b">
        <f>A108=审定报表!A108</f>
        <v>1</v>
      </c>
    </row>
    <row r="109" spans="1:11" ht="14.4" customHeight="1">
      <c r="A109" s="777" t="str">
        <f>未审报表!A109</f>
        <v>使用权资产减值准备</v>
      </c>
      <c r="B109" s="643">
        <f>期初核对!C109</f>
        <v>0</v>
      </c>
      <c r="C109" s="677">
        <f>SUMIFS(调整事项汇总表!$K$7:$K$10020,调整事项汇总表!$D$7:$D$10020,"账项调整",调整事项汇总表!$E$7:$E$10020,IF(OR(MID(TRIM($A109),2,1)="：",MID(TRIM($A109),2,1)="、"),REPLACEB(TRIM($A109),1,4,""),TRIM($A109)))</f>
        <v>0</v>
      </c>
      <c r="D109" s="677">
        <f>SUMIFS(调整事项汇总表!$L$7:$L$10020,调整事项汇总表!$D$7:$D$10020,"账项调整",调整事项汇总表!$E$7:$E$10020,IF(OR(MID(TRIM($A109),2,1)="：",MID(TRIM($A109),2,1)="、"),REPLACEB(TRIM($A109),1,4,""),TRIM($A109)))</f>
        <v>0</v>
      </c>
      <c r="E109" s="677">
        <f>SUMIFS(调整事项汇总表!$K$7:$K$10020,调整事项汇总表!$D$7:$D$10020,"报表调整",调整事项汇总表!$E$7:$E$10020,IF(OR(MID(TRIM($A109),2,1)="：",MID(TRIM($A109),2,1)="、"),REPLACEB(TRIM($A109),1,4,""),TRIM($A109)))</f>
        <v>0</v>
      </c>
      <c r="F109" s="677">
        <f>SUMIFS(调整事项汇总表!$L$7:$L$10020,调整事项汇总表!$D$7:$D$10020,"报表调整",调整事项汇总表!$E$7:$E$10020,IF(OR(MID(TRIM($A109),2,1)="：",MID(TRIM($A109),2,1)="、"),REPLACEB(TRIM($A109),1,4,""),TRIM($A109)))</f>
        <v>0</v>
      </c>
      <c r="G109" s="677">
        <f>SUMIFS(调整事项汇总表!$K$7:$K$10020,调整事项汇总表!$D$7:$D$10020,"其他",调整事项汇总表!$E$7:$E$10020,IF(OR(MID(TRIM($A109),2,1)="：",MID(TRIM($A109),2,1)="、"),REPLACEB(TRIM($A109),1,4,""),TRIM($A109)))</f>
        <v>0</v>
      </c>
      <c r="H109" s="677">
        <f>SUMIFS(调整事项汇总表!$L$7:$L$10020,调整事项汇总表!$D$7:$D$10020,"其他",调整事项汇总表!$E$7:$E$10020,IF(OR(MID(TRIM($A109),2,1)="：",MID(TRIM($A109),2,1)="、"),REPLACEB(TRIM($A109),1,4,""),TRIM($A109)))</f>
        <v>0</v>
      </c>
      <c r="I109" s="762">
        <f>B109+D109+F109+H109-G109-E109-C109</f>
        <v>0</v>
      </c>
      <c r="J109" s="425" t="b">
        <f>A109=未审报表!A109</f>
        <v>1</v>
      </c>
      <c r="K109" s="425" t="b">
        <f>A109=审定报表!A109</f>
        <v>1</v>
      </c>
    </row>
    <row r="110" spans="1:11" ht="14.4" customHeight="1">
      <c r="A110" s="777" t="str">
        <f>未审报表!A110</f>
        <v>使用权资产</v>
      </c>
      <c r="B110" s="643">
        <f>期初核对!C110</f>
        <v>0</v>
      </c>
      <c r="C110" s="677">
        <f>C108+C109</f>
        <v>0</v>
      </c>
      <c r="D110" s="677">
        <f t="shared" ref="D110:H110" si="34">D108+D109</f>
        <v>0</v>
      </c>
      <c r="E110" s="677">
        <f t="shared" si="34"/>
        <v>0</v>
      </c>
      <c r="F110" s="677">
        <f t="shared" si="34"/>
        <v>0</v>
      </c>
      <c r="G110" s="677">
        <f t="shared" si="34"/>
        <v>0</v>
      </c>
      <c r="H110" s="677">
        <f t="shared" si="34"/>
        <v>0</v>
      </c>
      <c r="I110" s="762">
        <f>B110+C110+E110+G110-H110-F110-D110</f>
        <v>0</v>
      </c>
      <c r="J110" s="425" t="b">
        <f>A110=未审报表!A110</f>
        <v>1</v>
      </c>
      <c r="K110" s="425" t="b">
        <f>A110=审定报表!A110</f>
        <v>1</v>
      </c>
    </row>
    <row r="111" spans="1:11" ht="14.4" customHeight="1">
      <c r="A111" s="777" t="str">
        <f>未审报表!A111</f>
        <v>无形资产原值</v>
      </c>
      <c r="B111" s="643">
        <f>期初核对!C111</f>
        <v>454415.95</v>
      </c>
      <c r="C111" s="677">
        <f>SUMIFS(调整事项汇总表!$K$7:$K$10020,调整事项汇总表!$D$7:$D$10020,"账项调整",调整事项汇总表!$E$7:$E$10020,IF(OR(MID(TRIM($A111),2,1)="：",MID(TRIM($A111),2,1)="、"),REPLACEB(TRIM($A111),1,4,""),TRIM($A111)))</f>
        <v>0</v>
      </c>
      <c r="D111" s="677">
        <f>SUMIFS(调整事项汇总表!$L$7:$L$10020,调整事项汇总表!$D$7:$D$10020,"账项调整",调整事项汇总表!$E$7:$E$10020,IF(OR(MID(TRIM($A111),2,1)="：",MID(TRIM($A111),2,1)="、"),REPLACEB(TRIM($A111),1,4,""),TRIM($A111)))</f>
        <v>0</v>
      </c>
      <c r="E111" s="677">
        <f>SUMIFS(调整事项汇总表!$K$7:$K$10020,调整事项汇总表!$D$7:$D$10020,"报表调整",调整事项汇总表!$E$7:$E$10020,IF(OR(MID(TRIM($A111),2,1)="：",MID(TRIM($A111),2,1)="、"),REPLACEB(TRIM($A111),1,4,""),TRIM($A111)))</f>
        <v>0</v>
      </c>
      <c r="F111" s="677">
        <f>SUMIFS(调整事项汇总表!$L$7:$L$10020,调整事项汇总表!$D$7:$D$10020,"报表调整",调整事项汇总表!$E$7:$E$10020,IF(OR(MID(TRIM($A111),2,1)="：",MID(TRIM($A111),2,1)="、"),REPLACEB(TRIM($A111),1,4,""),TRIM($A111)))</f>
        <v>0</v>
      </c>
      <c r="G111" s="677">
        <f>SUMIFS(调整事项汇总表!$K$7:$K$10020,调整事项汇总表!$D$7:$D$10020,"其他",调整事项汇总表!$E$7:$E$10020,IF(OR(MID(TRIM($A111),2,1)="：",MID(TRIM($A111),2,1)="、"),REPLACEB(TRIM($A111),1,4,""),TRIM($A111)))</f>
        <v>0</v>
      </c>
      <c r="H111" s="677">
        <f>SUMIFS(调整事项汇总表!$L$7:$L$10020,调整事项汇总表!$D$7:$D$10020,"其他",调整事项汇总表!$E$7:$E$10020,IF(OR(MID(TRIM($A111),2,1)="：",MID(TRIM($A111),2,1)="、"),REPLACEB(TRIM($A111),1,4,""),TRIM($A111)))</f>
        <v>0</v>
      </c>
      <c r="I111" s="762">
        <f>B111+C111+E111+G111-H111-F111-D111</f>
        <v>454415.95</v>
      </c>
      <c r="J111" s="425" t="b">
        <f>A111=未审报表!A111</f>
        <v>1</v>
      </c>
      <c r="K111" s="425" t="b">
        <f>A111=审定报表!A111</f>
        <v>1</v>
      </c>
    </row>
    <row r="112" spans="1:11" ht="14.4" customHeight="1">
      <c r="A112" s="777" t="str">
        <f>未审报表!A112</f>
        <v>无形资产累计摊销</v>
      </c>
      <c r="B112" s="643">
        <f>期初核对!C112</f>
        <v>0</v>
      </c>
      <c r="C112" s="677">
        <f>SUMIFS(调整事项汇总表!$K$7:$K$10020,调整事项汇总表!$D$7:$D$10020,"账项调整",调整事项汇总表!$E$7:$E$10020,IF(OR(MID(TRIM($A112),2,1)="：",MID(TRIM($A112),2,1)="、"),REPLACEB(TRIM($A112),1,4,""),TRIM($A112)))</f>
        <v>0</v>
      </c>
      <c r="D112" s="677">
        <f>SUMIFS(调整事项汇总表!$L$7:$L$10020,调整事项汇总表!$D$7:$D$10020,"账项调整",调整事项汇总表!$E$7:$E$10020,IF(OR(MID(TRIM($A112),2,1)="：",MID(TRIM($A112),2,1)="、"),REPLACEB(TRIM($A112),1,4,""),TRIM($A112)))</f>
        <v>0</v>
      </c>
      <c r="E112" s="677">
        <f>SUMIFS(调整事项汇总表!$K$7:$K$10020,调整事项汇总表!$D$7:$D$10020,"报表调整",调整事项汇总表!$E$7:$E$10020,IF(OR(MID(TRIM($A112),2,1)="：",MID(TRIM($A112),2,1)="、"),REPLACEB(TRIM($A112),1,4,""),TRIM($A112)))</f>
        <v>0</v>
      </c>
      <c r="F112" s="677">
        <f>SUMIFS(调整事项汇总表!$L$7:$L$10020,调整事项汇总表!$D$7:$D$10020,"报表调整",调整事项汇总表!$E$7:$E$10020,IF(OR(MID(TRIM($A112),2,1)="：",MID(TRIM($A112),2,1)="、"),REPLACEB(TRIM($A112),1,4,""),TRIM($A112)))</f>
        <v>0</v>
      </c>
      <c r="G112" s="677">
        <f>SUMIFS(调整事项汇总表!$K$7:$K$10020,调整事项汇总表!$D$7:$D$10020,"其他",调整事项汇总表!$E$7:$E$10020,IF(OR(MID(TRIM($A112),2,1)="：",MID(TRIM($A112),2,1)="、"),REPLACEB(TRIM($A112),1,4,""),TRIM($A112)))</f>
        <v>0</v>
      </c>
      <c r="H112" s="677">
        <f>SUMIFS(调整事项汇总表!$L$7:$L$10020,调整事项汇总表!$D$7:$D$10020,"其他",调整事项汇总表!$E$7:$E$10020,IF(OR(MID(TRIM($A112),2,1)="：",MID(TRIM($A112),2,1)="、"),REPLACEB(TRIM($A112),1,4,""),TRIM($A112)))</f>
        <v>0</v>
      </c>
      <c r="I112" s="762">
        <f>B112+D112+F112+H112-G112-E112-C112</f>
        <v>0</v>
      </c>
      <c r="J112" s="425" t="b">
        <f>A112=未审报表!A112</f>
        <v>1</v>
      </c>
      <c r="K112" s="425" t="b">
        <f>A112=审定报表!A112</f>
        <v>1</v>
      </c>
    </row>
    <row r="113" spans="1:11" ht="14.4" customHeight="1">
      <c r="A113" s="777" t="str">
        <f>未审报表!A113</f>
        <v>无形资产净值</v>
      </c>
      <c r="B113" s="643">
        <f>期初核对!C113</f>
        <v>454415.95</v>
      </c>
      <c r="C113" s="677">
        <f>C111+C112</f>
        <v>0</v>
      </c>
      <c r="D113" s="677">
        <f t="shared" ref="D113:H113" si="35">D111+D112</f>
        <v>0</v>
      </c>
      <c r="E113" s="677">
        <f t="shared" si="35"/>
        <v>0</v>
      </c>
      <c r="F113" s="677">
        <f t="shared" si="35"/>
        <v>0</v>
      </c>
      <c r="G113" s="677">
        <f t="shared" si="35"/>
        <v>0</v>
      </c>
      <c r="H113" s="677">
        <f t="shared" si="35"/>
        <v>0</v>
      </c>
      <c r="I113" s="762">
        <f>B113+C113+E113+G113-H113-F113-D113</f>
        <v>454415.95</v>
      </c>
      <c r="J113" s="425" t="b">
        <f>A113=未审报表!A113</f>
        <v>1</v>
      </c>
      <c r="K113" s="425" t="b">
        <f>A113=审定报表!A113</f>
        <v>1</v>
      </c>
    </row>
    <row r="114" spans="1:11" ht="14.4" customHeight="1">
      <c r="A114" s="777" t="str">
        <f>未审报表!A114</f>
        <v>无形资产减值准备</v>
      </c>
      <c r="B114" s="643">
        <f>期初核对!C114</f>
        <v>0</v>
      </c>
      <c r="C114" s="677">
        <f>SUMIFS(调整事项汇总表!$K$7:$K$10020,调整事项汇总表!$D$7:$D$10020,"账项调整",调整事项汇总表!$E$7:$E$10020,IF(OR(MID(TRIM($A114),2,1)="：",MID(TRIM($A114),2,1)="、"),REPLACEB(TRIM($A114),1,4,""),TRIM($A114)))</f>
        <v>0</v>
      </c>
      <c r="D114" s="677">
        <f>SUMIFS(调整事项汇总表!$L$7:$L$10020,调整事项汇总表!$D$7:$D$10020,"账项调整",调整事项汇总表!$E$7:$E$10020,IF(OR(MID(TRIM($A114),2,1)="：",MID(TRIM($A114),2,1)="、"),REPLACEB(TRIM($A114),1,4,""),TRIM($A114)))</f>
        <v>0</v>
      </c>
      <c r="E114" s="677">
        <f>SUMIFS(调整事项汇总表!$K$7:$K$10020,调整事项汇总表!$D$7:$D$10020,"报表调整",调整事项汇总表!$E$7:$E$10020,IF(OR(MID(TRIM($A114),2,1)="：",MID(TRIM($A114),2,1)="、"),REPLACEB(TRIM($A114),1,4,""),TRIM($A114)))</f>
        <v>0</v>
      </c>
      <c r="F114" s="677">
        <f>SUMIFS(调整事项汇总表!$L$7:$L$10020,调整事项汇总表!$D$7:$D$10020,"报表调整",调整事项汇总表!$E$7:$E$10020,IF(OR(MID(TRIM($A114),2,1)="：",MID(TRIM($A114),2,1)="、"),REPLACEB(TRIM($A114),1,4,""),TRIM($A114)))</f>
        <v>0</v>
      </c>
      <c r="G114" s="677">
        <f>SUMIFS(调整事项汇总表!$K$7:$K$10020,调整事项汇总表!$D$7:$D$10020,"其他",调整事项汇总表!$E$7:$E$10020,IF(OR(MID(TRIM($A114),2,1)="：",MID(TRIM($A114),2,1)="、"),REPLACEB(TRIM($A114),1,4,""),TRIM($A114)))</f>
        <v>0</v>
      </c>
      <c r="H114" s="677">
        <f>SUMIFS(调整事项汇总表!$L$7:$L$10020,调整事项汇总表!$D$7:$D$10020,"其他",调整事项汇总表!$E$7:$E$10020,IF(OR(MID(TRIM($A114),2,1)="：",MID(TRIM($A114),2,1)="、"),REPLACEB(TRIM($A114),1,4,""),TRIM($A114)))</f>
        <v>0</v>
      </c>
      <c r="I114" s="762">
        <f>B114+D114+F114+H114-G114-E114-C114</f>
        <v>0</v>
      </c>
      <c r="J114" s="425" t="b">
        <f>A114=未审报表!A114</f>
        <v>1</v>
      </c>
      <c r="K114" s="425" t="b">
        <f>A114=审定报表!A114</f>
        <v>1</v>
      </c>
    </row>
    <row r="115" spans="1:11" ht="14.4" customHeight="1">
      <c r="A115" s="777" t="str">
        <f>未审报表!A115</f>
        <v>无形资产</v>
      </c>
      <c r="B115" s="643">
        <f>期初核对!C115</f>
        <v>454415.95</v>
      </c>
      <c r="C115" s="677">
        <f>C113+C114</f>
        <v>0</v>
      </c>
      <c r="D115" s="677">
        <f t="shared" ref="D115:H115" si="36">D113+D114</f>
        <v>0</v>
      </c>
      <c r="E115" s="677">
        <f t="shared" si="36"/>
        <v>0</v>
      </c>
      <c r="F115" s="677">
        <f t="shared" si="36"/>
        <v>0</v>
      </c>
      <c r="G115" s="677">
        <f t="shared" si="36"/>
        <v>0</v>
      </c>
      <c r="H115" s="677">
        <f t="shared" si="36"/>
        <v>0</v>
      </c>
      <c r="I115" s="762">
        <f>B115+C115+E115+G115-H115-F115-D115</f>
        <v>454415.95</v>
      </c>
      <c r="J115" s="425" t="b">
        <f>A115=未审报表!A115</f>
        <v>1</v>
      </c>
      <c r="K115" s="425" t="b">
        <f>A115=审定报表!A115</f>
        <v>1</v>
      </c>
    </row>
    <row r="116" spans="1:11" ht="14.4" customHeight="1">
      <c r="A116" s="777" t="str">
        <f>未审报表!A116</f>
        <v>开发支出原值</v>
      </c>
      <c r="B116" s="643">
        <f>期初核对!C116</f>
        <v>0</v>
      </c>
      <c r="C116" s="677">
        <f>SUMIFS(调整事项汇总表!$K$7:$K$10020,调整事项汇总表!$D$7:$D$10020,"账项调整",调整事项汇总表!$E$7:$E$10020,IF(OR(MID(TRIM($A116),2,1)="：",MID(TRIM($A116),2,1)="、"),REPLACEB(TRIM($A116),1,4,""),TRIM($A116)))</f>
        <v>0</v>
      </c>
      <c r="D116" s="677">
        <f>SUMIFS(调整事项汇总表!$L$7:$L$10020,调整事项汇总表!$D$7:$D$10020,"账项调整",调整事项汇总表!$E$7:$E$10020,IF(OR(MID(TRIM($A116),2,1)="：",MID(TRIM($A116),2,1)="、"),REPLACEB(TRIM($A116),1,4,""),TRIM($A116)))</f>
        <v>0</v>
      </c>
      <c r="E116" s="677">
        <f>SUMIFS(调整事项汇总表!$K$7:$K$10020,调整事项汇总表!$D$7:$D$10020,"报表调整",调整事项汇总表!$E$7:$E$10020,IF(OR(MID(TRIM($A116),2,1)="：",MID(TRIM($A116),2,1)="、"),REPLACEB(TRIM($A116),1,4,""),TRIM($A116)))</f>
        <v>0</v>
      </c>
      <c r="F116" s="677">
        <f>SUMIFS(调整事项汇总表!$L$7:$L$10020,调整事项汇总表!$D$7:$D$10020,"报表调整",调整事项汇总表!$E$7:$E$10020,IF(OR(MID(TRIM($A116),2,1)="：",MID(TRIM($A116),2,1)="、"),REPLACEB(TRIM($A116),1,4,""),TRIM($A116)))</f>
        <v>0</v>
      </c>
      <c r="G116" s="677">
        <f>SUMIFS(调整事项汇总表!$K$7:$K$10020,调整事项汇总表!$D$7:$D$10020,"其他",调整事项汇总表!$E$7:$E$10020,IF(OR(MID(TRIM($A116),2,1)="：",MID(TRIM($A116),2,1)="、"),REPLACEB(TRIM($A116),1,4,""),TRIM($A116)))</f>
        <v>0</v>
      </c>
      <c r="H116" s="677">
        <f>SUMIFS(调整事项汇总表!$L$7:$L$10020,调整事项汇总表!$D$7:$D$10020,"其他",调整事项汇总表!$E$7:$E$10020,IF(OR(MID(TRIM($A116),2,1)="：",MID(TRIM($A116),2,1)="、"),REPLACEB(TRIM($A116),1,4,""),TRIM($A116)))</f>
        <v>0</v>
      </c>
      <c r="I116" s="762">
        <f>B116+C116+E116+G116-H116-F116-D116</f>
        <v>0</v>
      </c>
      <c r="J116" s="425" t="b">
        <f>A116=未审报表!A116</f>
        <v>1</v>
      </c>
      <c r="K116" s="425" t="b">
        <f>A116=审定报表!A116</f>
        <v>1</v>
      </c>
    </row>
    <row r="117" spans="1:11" ht="14.4" customHeight="1">
      <c r="A117" s="777" t="str">
        <f>未审报表!A117</f>
        <v>开发支出减值准备</v>
      </c>
      <c r="B117" s="643">
        <f>期初核对!C117</f>
        <v>0</v>
      </c>
      <c r="C117" s="677">
        <f>SUMIFS(调整事项汇总表!$K$7:$K$10020,调整事项汇总表!$D$7:$D$10020,"账项调整",调整事项汇总表!$E$7:$E$10020,IF(OR(MID(TRIM($A117),2,1)="：",MID(TRIM($A117),2,1)="、"),REPLACEB(TRIM($A117),1,4,""),TRIM($A117)))</f>
        <v>0</v>
      </c>
      <c r="D117" s="677">
        <f>SUMIFS(调整事项汇总表!$L$7:$L$10020,调整事项汇总表!$D$7:$D$10020,"账项调整",调整事项汇总表!$E$7:$E$10020,IF(OR(MID(TRIM($A117),2,1)="：",MID(TRIM($A117),2,1)="、"),REPLACEB(TRIM($A117),1,4,""),TRIM($A117)))</f>
        <v>0</v>
      </c>
      <c r="E117" s="677">
        <f>SUMIFS(调整事项汇总表!$K$7:$K$10020,调整事项汇总表!$D$7:$D$10020,"报表调整",调整事项汇总表!$E$7:$E$10020,IF(OR(MID(TRIM($A117),2,1)="：",MID(TRIM($A117),2,1)="、"),REPLACEB(TRIM($A117),1,4,""),TRIM($A117)))</f>
        <v>0</v>
      </c>
      <c r="F117" s="677">
        <f>SUMIFS(调整事项汇总表!$L$7:$L$10020,调整事项汇总表!$D$7:$D$10020,"报表调整",调整事项汇总表!$E$7:$E$10020,IF(OR(MID(TRIM($A117),2,1)="：",MID(TRIM($A117),2,1)="、"),REPLACEB(TRIM($A117),1,4,""),TRIM($A117)))</f>
        <v>0</v>
      </c>
      <c r="G117" s="677">
        <f>SUMIFS(调整事项汇总表!$K$7:$K$10020,调整事项汇总表!$D$7:$D$10020,"其他",调整事项汇总表!$E$7:$E$10020,IF(OR(MID(TRIM($A117),2,1)="：",MID(TRIM($A117),2,1)="、"),REPLACEB(TRIM($A117),1,4,""),TRIM($A117)))</f>
        <v>0</v>
      </c>
      <c r="H117" s="677">
        <f>SUMIFS(调整事项汇总表!$L$7:$L$10020,调整事项汇总表!$D$7:$D$10020,"其他",调整事项汇总表!$E$7:$E$10020,IF(OR(MID(TRIM($A117),2,1)="：",MID(TRIM($A117),2,1)="、"),REPLACEB(TRIM($A117),1,4,""),TRIM($A117)))</f>
        <v>0</v>
      </c>
      <c r="I117" s="762">
        <f>B117+D117+F117+H117-G117-E117-C117</f>
        <v>0</v>
      </c>
      <c r="J117" s="425" t="b">
        <f>A117=未审报表!A117</f>
        <v>1</v>
      </c>
      <c r="K117" s="425" t="b">
        <f>A117=审定报表!A117</f>
        <v>1</v>
      </c>
    </row>
    <row r="118" spans="1:11" ht="14.4" customHeight="1">
      <c r="A118" s="777" t="str">
        <f>未审报表!A118</f>
        <v>开发支出</v>
      </c>
      <c r="B118" s="643">
        <f>期初核对!C118</f>
        <v>0</v>
      </c>
      <c r="C118" s="677">
        <f>C116+C117</f>
        <v>0</v>
      </c>
      <c r="D118" s="677">
        <f t="shared" ref="D118:H118" si="37">D116+D117</f>
        <v>0</v>
      </c>
      <c r="E118" s="677">
        <f t="shared" si="37"/>
        <v>0</v>
      </c>
      <c r="F118" s="677">
        <f t="shared" si="37"/>
        <v>0</v>
      </c>
      <c r="G118" s="677">
        <f t="shared" si="37"/>
        <v>0</v>
      </c>
      <c r="H118" s="677">
        <f t="shared" si="37"/>
        <v>0</v>
      </c>
      <c r="I118" s="762">
        <f>B118+C118+E118+G118-H118-F118-D118</f>
        <v>0</v>
      </c>
      <c r="J118" s="425" t="b">
        <f>A118=未审报表!A118</f>
        <v>1</v>
      </c>
      <c r="K118" s="425" t="b">
        <f>A118=审定报表!A118</f>
        <v>1</v>
      </c>
    </row>
    <row r="119" spans="1:11" ht="14.4" customHeight="1">
      <c r="A119" s="777" t="str">
        <f>未审报表!A119</f>
        <v>商誉原值</v>
      </c>
      <c r="B119" s="643">
        <f>期初核对!C119</f>
        <v>0</v>
      </c>
      <c r="C119" s="677">
        <f>SUMIFS(调整事项汇总表!$K$7:$K$10020,调整事项汇总表!$D$7:$D$10020,"账项调整",调整事项汇总表!$E$7:$E$10020,IF(OR(MID(TRIM($A119),2,1)="：",MID(TRIM($A119),2,1)="、"),REPLACEB(TRIM($A119),1,4,""),TRIM($A119)))</f>
        <v>0</v>
      </c>
      <c r="D119" s="677">
        <f>SUMIFS(调整事项汇总表!$L$7:$L$10020,调整事项汇总表!$D$7:$D$10020,"账项调整",调整事项汇总表!$E$7:$E$10020,IF(OR(MID(TRIM($A119),2,1)="：",MID(TRIM($A119),2,1)="、"),REPLACEB(TRIM($A119),1,4,""),TRIM($A119)))</f>
        <v>0</v>
      </c>
      <c r="E119" s="677">
        <f>SUMIFS(调整事项汇总表!$K$7:$K$10020,调整事项汇总表!$D$7:$D$10020,"报表调整",调整事项汇总表!$E$7:$E$10020,IF(OR(MID(TRIM($A119),2,1)="：",MID(TRIM($A119),2,1)="、"),REPLACEB(TRIM($A119),1,4,""),TRIM($A119)))</f>
        <v>0</v>
      </c>
      <c r="F119" s="677">
        <f>SUMIFS(调整事项汇总表!$L$7:$L$10020,调整事项汇总表!$D$7:$D$10020,"报表调整",调整事项汇总表!$E$7:$E$10020,IF(OR(MID(TRIM($A119),2,1)="：",MID(TRIM($A119),2,1)="、"),REPLACEB(TRIM($A119),1,4,""),TRIM($A119)))</f>
        <v>0</v>
      </c>
      <c r="G119" s="677">
        <f>SUMIFS(调整事项汇总表!$K$7:$K$10020,调整事项汇总表!$D$7:$D$10020,"其他",调整事项汇总表!$E$7:$E$10020,IF(OR(MID(TRIM($A119),2,1)="：",MID(TRIM($A119),2,1)="、"),REPLACEB(TRIM($A119),1,4,""),TRIM($A119)))</f>
        <v>0</v>
      </c>
      <c r="H119" s="677">
        <f>SUMIFS(调整事项汇总表!$L$7:$L$10020,调整事项汇总表!$D$7:$D$10020,"其他",调整事项汇总表!$E$7:$E$10020,IF(OR(MID(TRIM($A119),2,1)="：",MID(TRIM($A119),2,1)="、"),REPLACEB(TRIM($A119),1,4,""),TRIM($A119)))</f>
        <v>0</v>
      </c>
      <c r="I119" s="762">
        <f>B119+C119+E119+G119-H119-F119-D119</f>
        <v>0</v>
      </c>
      <c r="J119" s="425" t="b">
        <f>A119=未审报表!A119</f>
        <v>1</v>
      </c>
      <c r="K119" s="425" t="b">
        <f>A119=审定报表!A119</f>
        <v>1</v>
      </c>
    </row>
    <row r="120" spans="1:11" ht="14.4" customHeight="1">
      <c r="A120" s="777" t="str">
        <f>未审报表!A120</f>
        <v>商誉减值准备</v>
      </c>
      <c r="B120" s="643">
        <f>期初核对!C120</f>
        <v>0</v>
      </c>
      <c r="C120" s="677">
        <f>SUMIFS(调整事项汇总表!$K$7:$K$10020,调整事项汇总表!$D$7:$D$10020,"账项调整",调整事项汇总表!$E$7:$E$10020,IF(OR(MID(TRIM($A120),2,1)="：",MID(TRIM($A120),2,1)="、"),REPLACEB(TRIM($A120),1,4,""),TRIM($A120)))</f>
        <v>0</v>
      </c>
      <c r="D120" s="677">
        <f>SUMIFS(调整事项汇总表!$L$7:$L$10020,调整事项汇总表!$D$7:$D$10020,"账项调整",调整事项汇总表!$E$7:$E$10020,IF(OR(MID(TRIM($A120),2,1)="：",MID(TRIM($A120),2,1)="、"),REPLACEB(TRIM($A120),1,4,""),TRIM($A120)))</f>
        <v>0</v>
      </c>
      <c r="E120" s="677">
        <f>SUMIFS(调整事项汇总表!$K$7:$K$10020,调整事项汇总表!$D$7:$D$10020,"报表调整",调整事项汇总表!$E$7:$E$10020,IF(OR(MID(TRIM($A120),2,1)="：",MID(TRIM($A120),2,1)="、"),REPLACEB(TRIM($A120),1,4,""),TRIM($A120)))</f>
        <v>0</v>
      </c>
      <c r="F120" s="677">
        <f>SUMIFS(调整事项汇总表!$L$7:$L$10020,调整事项汇总表!$D$7:$D$10020,"报表调整",调整事项汇总表!$E$7:$E$10020,IF(OR(MID(TRIM($A120),2,1)="：",MID(TRIM($A120),2,1)="、"),REPLACEB(TRIM($A120),1,4,""),TRIM($A120)))</f>
        <v>0</v>
      </c>
      <c r="G120" s="677">
        <f>SUMIFS(调整事项汇总表!$K$7:$K$10020,调整事项汇总表!$D$7:$D$10020,"其他",调整事项汇总表!$E$7:$E$10020,IF(OR(MID(TRIM($A120),2,1)="：",MID(TRIM($A120),2,1)="、"),REPLACEB(TRIM($A120),1,4,""),TRIM($A120)))</f>
        <v>0</v>
      </c>
      <c r="H120" s="677">
        <f>SUMIFS(调整事项汇总表!$L$7:$L$10020,调整事项汇总表!$D$7:$D$10020,"其他",调整事项汇总表!$E$7:$E$10020,IF(OR(MID(TRIM($A120),2,1)="：",MID(TRIM($A120),2,1)="、"),REPLACEB(TRIM($A120),1,4,""),TRIM($A120)))</f>
        <v>0</v>
      </c>
      <c r="I120" s="762">
        <f>B120+D120+F120+H120-G120-E120-C120</f>
        <v>0</v>
      </c>
      <c r="J120" s="425" t="b">
        <f>A120=未审报表!A120</f>
        <v>1</v>
      </c>
      <c r="K120" s="425" t="b">
        <f>A120=审定报表!A120</f>
        <v>1</v>
      </c>
    </row>
    <row r="121" spans="1:11" ht="14.4" customHeight="1">
      <c r="A121" s="777" t="str">
        <f>未审报表!A121</f>
        <v>商誉</v>
      </c>
      <c r="B121" s="643">
        <f>期初核对!C121</f>
        <v>0</v>
      </c>
      <c r="C121" s="677">
        <f>C119+C120</f>
        <v>0</v>
      </c>
      <c r="D121" s="677">
        <f t="shared" ref="D121:H121" si="38">D119+D120</f>
        <v>0</v>
      </c>
      <c r="E121" s="677">
        <f t="shared" si="38"/>
        <v>0</v>
      </c>
      <c r="F121" s="677">
        <f t="shared" si="38"/>
        <v>0</v>
      </c>
      <c r="G121" s="677">
        <f t="shared" si="38"/>
        <v>0</v>
      </c>
      <c r="H121" s="677">
        <f t="shared" si="38"/>
        <v>0</v>
      </c>
      <c r="I121" s="762">
        <f t="shared" ref="I121:I127" si="39">B121+C121+E121+G121-H121-F121-D121</f>
        <v>0</v>
      </c>
      <c r="J121" s="425" t="b">
        <f>A121=未审报表!A121</f>
        <v>1</v>
      </c>
      <c r="K121" s="425" t="b">
        <f>A121=审定报表!A121</f>
        <v>1</v>
      </c>
    </row>
    <row r="122" spans="1:11" ht="14.4" customHeight="1">
      <c r="A122" s="777" t="str">
        <f>未审报表!A122</f>
        <v>长期待摊费用</v>
      </c>
      <c r="B122" s="643">
        <f>期初核对!C122</f>
        <v>0</v>
      </c>
      <c r="C122" s="677">
        <f>SUMIFS(调整事项汇总表!$K$7:$K$10020,调整事项汇总表!$D$7:$D$10020,"账项调整",调整事项汇总表!$E$7:$E$10020,IF(OR(MID(TRIM($A122),2,1)="：",MID(TRIM($A122),2,1)="、"),REPLACEB(TRIM($A122),1,4,""),TRIM($A122)))</f>
        <v>0</v>
      </c>
      <c r="D122" s="677">
        <f>SUMIFS(调整事项汇总表!$L$7:$L$10020,调整事项汇总表!$D$7:$D$10020,"账项调整",调整事项汇总表!$E$7:$E$10020,IF(OR(MID(TRIM($A122),2,1)="：",MID(TRIM($A122),2,1)="、"),REPLACEB(TRIM($A122),1,4,""),TRIM($A122)))</f>
        <v>0</v>
      </c>
      <c r="E122" s="677">
        <f>SUMIFS(调整事项汇总表!$K$7:$K$10020,调整事项汇总表!$D$7:$D$10020,"报表调整",调整事项汇总表!$E$7:$E$10020,IF(OR(MID(TRIM($A122),2,1)="：",MID(TRIM($A122),2,1)="、"),REPLACEB(TRIM($A122),1,4,""),TRIM($A122)))</f>
        <v>0</v>
      </c>
      <c r="F122" s="677">
        <f>SUMIFS(调整事项汇总表!$L$7:$L$10020,调整事项汇总表!$D$7:$D$10020,"报表调整",调整事项汇总表!$E$7:$E$10020,IF(OR(MID(TRIM($A122),2,1)="：",MID(TRIM($A122),2,1)="、"),REPLACEB(TRIM($A122),1,4,""),TRIM($A122)))</f>
        <v>0</v>
      </c>
      <c r="G122" s="677">
        <f>SUMIFS(调整事项汇总表!$K$7:$K$10020,调整事项汇总表!$D$7:$D$10020,"其他",调整事项汇总表!$E$7:$E$10020,IF(OR(MID(TRIM($A122),2,1)="：",MID(TRIM($A122),2,1)="、"),REPLACEB(TRIM($A122),1,4,""),TRIM($A122)))</f>
        <v>0</v>
      </c>
      <c r="H122" s="677">
        <f>SUMIFS(调整事项汇总表!$L$7:$L$10020,调整事项汇总表!$D$7:$D$10020,"其他",调整事项汇总表!$E$7:$E$10020,IF(OR(MID(TRIM($A122),2,1)="：",MID(TRIM($A122),2,1)="、"),REPLACEB(TRIM($A122),1,4,""),TRIM($A122)))</f>
        <v>0</v>
      </c>
      <c r="I122" s="762">
        <f t="shared" si="39"/>
        <v>0</v>
      </c>
      <c r="J122" s="425" t="b">
        <f>A122=未审报表!A122</f>
        <v>1</v>
      </c>
      <c r="K122" s="425" t="b">
        <f>A122=审定报表!A122</f>
        <v>1</v>
      </c>
    </row>
    <row r="123" spans="1:11" ht="14.4" customHeight="1">
      <c r="A123" s="777" t="str">
        <f>未审报表!A123</f>
        <v>递延所得税资产</v>
      </c>
      <c r="B123" s="643">
        <f>期初核对!C123</f>
        <v>354277.86</v>
      </c>
      <c r="C123" s="677">
        <f>SUMIFS(调整事项汇总表!$K$7:$K$10020,调整事项汇总表!$D$7:$D$10020,"账项调整",调整事项汇总表!$E$7:$E$10020,IF(OR(MID(TRIM($A123),2,1)="：",MID(TRIM($A123),2,1)="、"),REPLACEB(TRIM($A123),1,4,""),TRIM($A123)))</f>
        <v>0</v>
      </c>
      <c r="D123" s="677">
        <f>SUMIFS(调整事项汇总表!$L$7:$L$10020,调整事项汇总表!$D$7:$D$10020,"账项调整",调整事项汇总表!$E$7:$E$10020,IF(OR(MID(TRIM($A123),2,1)="：",MID(TRIM($A123),2,1)="、"),REPLACEB(TRIM($A123),1,4,""),TRIM($A123)))</f>
        <v>0</v>
      </c>
      <c r="E123" s="677">
        <f>SUMIFS(调整事项汇总表!$K$7:$K$10020,调整事项汇总表!$D$7:$D$10020,"报表调整",调整事项汇总表!$E$7:$E$10020,IF(OR(MID(TRIM($A123),2,1)="：",MID(TRIM($A123),2,1)="、"),REPLACEB(TRIM($A123),1,4,""),TRIM($A123)))</f>
        <v>0</v>
      </c>
      <c r="F123" s="677">
        <f>SUMIFS(调整事项汇总表!$L$7:$L$10020,调整事项汇总表!$D$7:$D$10020,"报表调整",调整事项汇总表!$E$7:$E$10020,IF(OR(MID(TRIM($A123),2,1)="：",MID(TRIM($A123),2,1)="、"),REPLACEB(TRIM($A123),1,4,""),TRIM($A123)))</f>
        <v>0</v>
      </c>
      <c r="G123" s="677">
        <f>SUMIFS(调整事项汇总表!$K$7:$K$10020,调整事项汇总表!$D$7:$D$10020,"其他",调整事项汇总表!$E$7:$E$10020,IF(OR(MID(TRIM($A123),2,1)="：",MID(TRIM($A123),2,1)="、"),REPLACEB(TRIM($A123),1,4,""),TRIM($A123)))</f>
        <v>0</v>
      </c>
      <c r="H123" s="677">
        <f>SUMIFS(调整事项汇总表!$L$7:$L$10020,调整事项汇总表!$D$7:$D$10020,"其他",调整事项汇总表!$E$7:$E$10020,IF(OR(MID(TRIM($A123),2,1)="：",MID(TRIM($A123),2,1)="、"),REPLACEB(TRIM($A123),1,4,""),TRIM($A123)))</f>
        <v>0</v>
      </c>
      <c r="I123" s="762">
        <f t="shared" si="39"/>
        <v>354277.86</v>
      </c>
      <c r="J123" s="425" t="b">
        <f>A123=未审报表!A123</f>
        <v>1</v>
      </c>
      <c r="K123" s="425" t="b">
        <f>A123=审定报表!A123</f>
        <v>1</v>
      </c>
    </row>
    <row r="124" spans="1:11" ht="14.4" customHeight="1">
      <c r="A124" s="777" t="str">
        <f>未审报表!A124</f>
        <v>其他非流动资产</v>
      </c>
      <c r="B124" s="643">
        <f>期初核对!C124</f>
        <v>0</v>
      </c>
      <c r="C124" s="677">
        <f>SUMIFS(调整事项汇总表!$K$7:$K$10020,调整事项汇总表!$D$7:$D$10020,"账项调整",调整事项汇总表!$E$7:$E$10020,IF(OR(MID(TRIM($A124),2,1)="：",MID(TRIM($A124),2,1)="、"),REPLACEB(TRIM($A124),1,4,""),TRIM($A124)))</f>
        <v>0</v>
      </c>
      <c r="D124" s="677">
        <f>SUMIFS(调整事项汇总表!$L$7:$L$10020,调整事项汇总表!$D$7:$D$10020,"账项调整",调整事项汇总表!$E$7:$E$10020,IF(OR(MID(TRIM($A124),2,1)="：",MID(TRIM($A124),2,1)="、"),REPLACEB(TRIM($A124),1,4,""),TRIM($A124)))</f>
        <v>0</v>
      </c>
      <c r="E124" s="677">
        <f>SUMIFS(调整事项汇总表!$K$7:$K$10020,调整事项汇总表!$D$7:$D$10020,"报表调整",调整事项汇总表!$E$7:$E$10020,IF(OR(MID(TRIM($A124),2,1)="：",MID(TRIM($A124),2,1)="、"),REPLACEB(TRIM($A124),1,4,""),TRIM($A124)))</f>
        <v>0</v>
      </c>
      <c r="F124" s="677">
        <f>SUMIFS(调整事项汇总表!$L$7:$L$10020,调整事项汇总表!$D$7:$D$10020,"报表调整",调整事项汇总表!$E$7:$E$10020,IF(OR(MID(TRIM($A124),2,1)="：",MID(TRIM($A124),2,1)="、"),REPLACEB(TRIM($A124),1,4,""),TRIM($A124)))</f>
        <v>0</v>
      </c>
      <c r="G124" s="677">
        <f>SUMIFS(调整事项汇总表!$K$7:$K$10020,调整事项汇总表!$D$7:$D$10020,"其他",调整事项汇总表!$E$7:$E$10020,IF(OR(MID(TRIM($A124),2,1)="：",MID(TRIM($A124),2,1)="、"),REPLACEB(TRIM($A124),1,4,""),TRIM($A124)))</f>
        <v>0</v>
      </c>
      <c r="H124" s="677">
        <f>SUMIFS(调整事项汇总表!$L$7:$L$10020,调整事项汇总表!$D$7:$D$10020,"其他",调整事项汇总表!$E$7:$E$10020,IF(OR(MID(TRIM($A124),2,1)="：",MID(TRIM($A124),2,1)="、"),REPLACEB(TRIM($A124),1,4,""),TRIM($A124)))</f>
        <v>0</v>
      </c>
      <c r="I124" s="762">
        <f t="shared" si="39"/>
        <v>0</v>
      </c>
      <c r="J124" s="425" t="b">
        <f>A124=未审报表!A124</f>
        <v>1</v>
      </c>
      <c r="K124" s="425" t="b">
        <f>A124=审定报表!A124</f>
        <v>1</v>
      </c>
    </row>
    <row r="125" spans="1:11" ht="14.4" customHeight="1">
      <c r="A125" s="777" t="str">
        <f>未审报表!A125</f>
        <v xml:space="preserve"> 其中：特准储备物资</v>
      </c>
      <c r="B125" s="643">
        <f>期初核对!C125</f>
        <v>0</v>
      </c>
      <c r="C125" s="677">
        <f>SUMIFS(调整事项汇总表!$K$7:$K$10020,调整事项汇总表!$D$7:$D$10020,"账项调整",调整事项汇总表!$E$7:$E$10020,"其他非流动资产",调整事项汇总表!$F$7:$F$10020,IF(OR(MID(TRIM($A125),3,1)="：",MID(TRIM($A125),2,1)="、"),REPLACEB(TRIM($A125),1,6,""),TRIM($A125)))</f>
        <v>0</v>
      </c>
      <c r="D125" s="677">
        <f>SUMIFS(调整事项汇总表!$L$7:$L$10020,调整事项汇总表!$D$7:$D$10020,"账项调整",调整事项汇总表!$E$7:$E$10020,"其他非流动资产",调整事项汇总表!$F$7:$F$10020,IF(OR(MID(TRIM($A125),3,1)="：",MID(TRIM($A125),2,1)="、"),REPLACEB(TRIM($A125),1,6,""),TRIM($A125)))</f>
        <v>0</v>
      </c>
      <c r="E125" s="677">
        <f>SUMIFS(调整事项汇总表!$K$7:$K$10020,调整事项汇总表!$D$7:$D$10020,"报表调整",调整事项汇总表!$E$7:$E$10020,"其他非流动资产",调整事项汇总表!$F$7:$F$10020,IF(OR(MID(TRIM($A125),3,1)="：",MID(TRIM($A125),2,1)="、"),REPLACEB(TRIM($A125),1,6,""),TRIM($A125)))</f>
        <v>0</v>
      </c>
      <c r="F125" s="677">
        <f>SUMIFS(调整事项汇总表!$L$7:$L$10020,调整事项汇总表!$D$7:$D$10020,"报表调整",调整事项汇总表!$E$7:$E$10020,"其他非流动资产",调整事项汇总表!$F$7:$F$10020,IF(OR(MID(TRIM($A125),3,1)="：",MID(TRIM($A125),2,1)="、"),REPLACEB(TRIM($A125),1,6,""),TRIM($A125)))</f>
        <v>0</v>
      </c>
      <c r="G125" s="677">
        <f>SUMIFS(调整事项汇总表!$K$7:$K$10020,调整事项汇总表!$D$7:$D$10020,"其他",调整事项汇总表!$E$7:$E$10020,"其他非流动资产",调整事项汇总表!$F$7:$F$10020,IF(OR(MID(TRIM($A125),3,1)="：",MID(TRIM($A125),2,1)="、"),REPLACEB(TRIM($A125),1,6,""),TRIM($A125)))</f>
        <v>0</v>
      </c>
      <c r="H125" s="677">
        <f>SUMIFS(调整事项汇总表!$L$7:$L$10020,调整事项汇总表!$D$7:$D$10020,"其他",调整事项汇总表!$E$7:$E$10020,"其他非流动资产",调整事项汇总表!$F$7:$F$10020,IF(OR(MID(TRIM($A125),3,1)="：",MID(TRIM($A125),2,1)="、"),REPLACEB(TRIM($A125),1,6,""),TRIM($A125)))</f>
        <v>0</v>
      </c>
      <c r="I125" s="762">
        <f t="shared" si="39"/>
        <v>0</v>
      </c>
      <c r="J125" s="425" t="b">
        <f>A125=未审报表!A125</f>
        <v>1</v>
      </c>
      <c r="K125" s="425" t="b">
        <f>A125=审定报表!A125</f>
        <v>1</v>
      </c>
    </row>
    <row r="126" spans="1:11" ht="14.4" customHeight="1">
      <c r="A126" s="776" t="str">
        <f>未审报表!A126</f>
        <v>非流动资产合计</v>
      </c>
      <c r="B126" s="773">
        <f>期初核对!C126</f>
        <v>12098731.539999999</v>
      </c>
      <c r="C126" s="634">
        <f>SUM(C63,C66,C69,C72,C73,C76,C77:C78,C83,C88,C92,C95,C100,C105,C110,C115,C118,C121,C122:C124)</f>
        <v>0</v>
      </c>
      <c r="D126" s="634">
        <f t="shared" ref="D126:H126" si="40">SUM(D63,D66,D69,D72,D73,D76,D77:D78,D83,D88,D92,D95,D100,D105,D110,D115,D118,D121,D122:D124)</f>
        <v>0</v>
      </c>
      <c r="E126" s="634">
        <f t="shared" si="40"/>
        <v>0</v>
      </c>
      <c r="F126" s="634">
        <f t="shared" si="40"/>
        <v>0</v>
      </c>
      <c r="G126" s="634">
        <f t="shared" si="40"/>
        <v>0</v>
      </c>
      <c r="H126" s="634">
        <f t="shared" si="40"/>
        <v>0</v>
      </c>
      <c r="I126" s="763">
        <f t="shared" si="39"/>
        <v>12098731.539999999</v>
      </c>
      <c r="J126" s="425" t="b">
        <f>A126=未审报表!A126</f>
        <v>1</v>
      </c>
      <c r="K126" s="425" t="b">
        <f>A126=审定报表!A126</f>
        <v>1</v>
      </c>
    </row>
    <row r="127" spans="1:11" ht="14.4" customHeight="1">
      <c r="A127" s="778" t="str">
        <f>未审报表!A127</f>
        <v>资 产 总 计</v>
      </c>
      <c r="B127" s="775">
        <f>期初核对!C127</f>
        <v>71520160.680000007</v>
      </c>
      <c r="C127" s="656">
        <f>SUM(C59,C126)</f>
        <v>0</v>
      </c>
      <c r="D127" s="656">
        <f>SUM(D59,D126)</f>
        <v>0</v>
      </c>
      <c r="E127" s="656">
        <f t="shared" ref="E127:H127" si="41">SUM(E59,E126)</f>
        <v>0</v>
      </c>
      <c r="F127" s="656">
        <f t="shared" si="41"/>
        <v>0</v>
      </c>
      <c r="G127" s="656">
        <f t="shared" si="41"/>
        <v>0</v>
      </c>
      <c r="H127" s="656">
        <f t="shared" si="41"/>
        <v>0</v>
      </c>
      <c r="I127" s="765">
        <f t="shared" si="39"/>
        <v>71520160.680000007</v>
      </c>
      <c r="J127" s="425" t="b">
        <f>A127=未审报表!A127</f>
        <v>1</v>
      </c>
      <c r="K127" s="425" t="b">
        <f>A127=审定报表!A127</f>
        <v>1</v>
      </c>
    </row>
    <row r="128" spans="1:11" ht="14.4" customHeight="1">
      <c r="A128" s="784" t="str">
        <f>未审报表!A128</f>
        <v>负债及股东权益</v>
      </c>
      <c r="B128" s="770" t="str">
        <f>B5</f>
        <v>上期审定期末数2021.12.31</v>
      </c>
      <c r="C128" s="770" t="s">
        <v>1494</v>
      </c>
      <c r="D128" s="770" t="s">
        <v>1516</v>
      </c>
      <c r="E128" s="785" t="s">
        <v>1513</v>
      </c>
      <c r="F128" s="785" t="s">
        <v>1507</v>
      </c>
      <c r="G128" s="785" t="s">
        <v>1508</v>
      </c>
      <c r="H128" s="785" t="s">
        <v>1515</v>
      </c>
      <c r="I128" s="770" t="str">
        <f>I5</f>
        <v>本期审定期初数2022.01.01</v>
      </c>
      <c r="J128" s="425" t="b">
        <f>A128=未审报表!A128</f>
        <v>1</v>
      </c>
      <c r="K128" s="425" t="b">
        <f>A128=审定报表!A128</f>
        <v>1</v>
      </c>
    </row>
    <row r="129" spans="1:11" ht="14.4" customHeight="1">
      <c r="A129" s="779" t="str">
        <f>未审报表!A129</f>
        <v>流动负债：</v>
      </c>
      <c r="B129" s="423"/>
      <c r="C129" s="400"/>
      <c r="D129" s="400"/>
      <c r="E129" s="400"/>
      <c r="F129" s="400"/>
      <c r="G129" s="400"/>
      <c r="H129" s="400"/>
      <c r="I129" s="423"/>
      <c r="J129" s="425" t="b">
        <f>A129=未审报表!A129</f>
        <v>1</v>
      </c>
      <c r="K129" s="425" t="b">
        <f>A129=审定报表!A129</f>
        <v>1</v>
      </c>
    </row>
    <row r="130" spans="1:11" ht="14.4" customHeight="1">
      <c r="A130" s="779" t="str">
        <f>未审报表!A130</f>
        <v>短期借款</v>
      </c>
      <c r="B130" s="677">
        <f>期初核对!C130</f>
        <v>0</v>
      </c>
      <c r="C130" s="677">
        <f>SUMIFS(调整事项汇总表!$K$7:$K$10020,调整事项汇总表!$D$7:$D$10020,"账项调整",调整事项汇总表!$E$7:$E$10020,IF(OR(MID(TRIM($A130),2,1)="：",MID(TRIM($A130),2,1)="、"),REPLACEB(TRIM($A130),1,4,""),TRIM($A130)))</f>
        <v>0</v>
      </c>
      <c r="D130" s="677">
        <f>SUMIFS(调整事项汇总表!$L$7:$L$10020,调整事项汇总表!$D$7:$D$10020,"账项调整",调整事项汇总表!$E$7:$E$10020,IF(OR(MID(TRIM($A130),2,1)="：",MID(TRIM($A130),2,1)="、"),REPLACEB(TRIM($A130),1,4,""),TRIM($A130)))</f>
        <v>0</v>
      </c>
      <c r="E130" s="677">
        <f>SUMIFS(调整事项汇总表!$K$7:$K$10020,调整事项汇总表!$D$7:$D$10020,"报表调整",调整事项汇总表!$E$7:$E$10020,IF(OR(MID(TRIM($A130),2,1)="：",MID(TRIM($A130),2,1)="、"),REPLACEB(TRIM($A130),1,4,""),TRIM($A130)))</f>
        <v>0</v>
      </c>
      <c r="F130" s="677">
        <f>SUMIFS(调整事项汇总表!$L$7:$L$10020,调整事项汇总表!$D$7:$D$10020,"报表调整",调整事项汇总表!$E$7:$E$10020,IF(OR(MID(TRIM($A130),2,1)="：",MID(TRIM($A130),2,1)="、"),REPLACEB(TRIM($A130),1,4,""),TRIM($A130)))</f>
        <v>0</v>
      </c>
      <c r="G130" s="677">
        <f>SUMIFS(调整事项汇总表!$K$7:$K$10020,调整事项汇总表!$D$7:$D$10020,"其他",调整事项汇总表!$E$7:$E$10020,IF(OR(MID(TRIM($A130),2,1)="：",MID(TRIM($A130),2,1)="、"),REPLACEB(TRIM($A130),1,4,""),TRIM($A130)))</f>
        <v>0</v>
      </c>
      <c r="H130" s="677">
        <f>SUMIFS(调整事项汇总表!$L$7:$L$10020,调整事项汇总表!$D$7:$D$10020,"其他",调整事项汇总表!$E$7:$E$10020,IF(OR(MID(TRIM($A130),2,1)="：",MID(TRIM($A130),2,1)="、"),REPLACEB(TRIM($A130),1,4,""),TRIM($A130)))</f>
        <v>0</v>
      </c>
      <c r="I130" s="762">
        <f>B130+D130+F130+H130-G130-E130-C130</f>
        <v>0</v>
      </c>
      <c r="J130" s="425" t="b">
        <f>A130=未审报表!A130</f>
        <v>1</v>
      </c>
      <c r="K130" s="425" t="b">
        <f>A130=审定报表!A130</f>
        <v>1</v>
      </c>
    </row>
    <row r="131" spans="1:11" ht="14.4" customHeight="1">
      <c r="A131" s="779" t="str">
        <f>未审报表!A131</f>
        <v>向中央银行借款*</v>
      </c>
      <c r="B131" s="677">
        <f>期初核对!C131</f>
        <v>0</v>
      </c>
      <c r="C131" s="677">
        <f>SUMIFS(调整事项汇总表!$K$7:$K$10020,调整事项汇总表!$D$7:$D$10020,"账项调整",调整事项汇总表!$E$7:$E$10020,IF(OR(MID(TRIM($A131),2,1)="：",MID(TRIM($A131),2,1)="、"),REPLACEB(TRIM($A131),1,4,""),TRIM($A131)))</f>
        <v>0</v>
      </c>
      <c r="D131" s="677">
        <f>SUMIFS(调整事项汇总表!$L$7:$L$10020,调整事项汇总表!$D$7:$D$10020,"账项调整",调整事项汇总表!$E$7:$E$10020,IF(OR(MID(TRIM($A131),2,1)="：",MID(TRIM($A131),2,1)="、"),REPLACEB(TRIM($A131),1,4,""),TRIM($A131)))</f>
        <v>0</v>
      </c>
      <c r="E131" s="677">
        <f>SUMIFS(调整事项汇总表!$K$7:$K$10020,调整事项汇总表!$D$7:$D$10020,"报表调整",调整事项汇总表!$E$7:$E$10020,IF(OR(MID(TRIM($A131),2,1)="：",MID(TRIM($A131),2,1)="、"),REPLACEB(TRIM($A131),1,4,""),TRIM($A131)))</f>
        <v>0</v>
      </c>
      <c r="F131" s="677">
        <f>SUMIFS(调整事项汇总表!$L$7:$L$10020,调整事项汇总表!$D$7:$D$10020,"报表调整",调整事项汇总表!$E$7:$E$10020,IF(OR(MID(TRIM($A131),2,1)="：",MID(TRIM($A131),2,1)="、"),REPLACEB(TRIM($A131),1,4,""),TRIM($A131)))</f>
        <v>0</v>
      </c>
      <c r="G131" s="677">
        <f>SUMIFS(调整事项汇总表!$K$7:$K$10020,调整事项汇总表!$D$7:$D$10020,"其他",调整事项汇总表!$E$7:$E$10020,IF(OR(MID(TRIM($A131),2,1)="：",MID(TRIM($A131),2,1)="、"),REPLACEB(TRIM($A131),1,4,""),TRIM($A131)))</f>
        <v>0</v>
      </c>
      <c r="H131" s="677">
        <f>SUMIFS(调整事项汇总表!$L$7:$L$10020,调整事项汇总表!$D$7:$D$10020,"其他",调整事项汇总表!$E$7:$E$10020,IF(OR(MID(TRIM($A131),2,1)="：",MID(TRIM($A131),2,1)="、"),REPLACEB(TRIM($A131),1,4,""),TRIM($A131)))</f>
        <v>0</v>
      </c>
      <c r="I131" s="762">
        <f t="shared" ref="I131:I158" si="42">B131+D131+F131+H131-G131-E131-C131</f>
        <v>0</v>
      </c>
      <c r="J131" s="425" t="b">
        <f>A131=未审报表!A131</f>
        <v>1</v>
      </c>
      <c r="K131" s="425" t="b">
        <f>A131=审定报表!A131</f>
        <v>1</v>
      </c>
    </row>
    <row r="132" spans="1:11" ht="14.4" customHeight="1">
      <c r="A132" s="779" t="str">
        <f>未审报表!A132</f>
        <v>拆入资金*</v>
      </c>
      <c r="B132" s="677">
        <f>期初核对!C132</f>
        <v>0</v>
      </c>
      <c r="C132" s="677">
        <f>SUMIFS(调整事项汇总表!$K$7:$K$10020,调整事项汇总表!$D$7:$D$10020,"账项调整",调整事项汇总表!$E$7:$E$10020,IF(OR(MID(TRIM($A132),2,1)="：",MID(TRIM($A132),2,1)="、"),REPLACEB(TRIM($A132),1,4,""),TRIM($A132)))</f>
        <v>0</v>
      </c>
      <c r="D132" s="677">
        <f>SUMIFS(调整事项汇总表!$L$7:$L$10020,调整事项汇总表!$D$7:$D$10020,"账项调整",调整事项汇总表!$E$7:$E$10020,IF(OR(MID(TRIM($A132),2,1)="：",MID(TRIM($A132),2,1)="、"),REPLACEB(TRIM($A132),1,4,""),TRIM($A132)))</f>
        <v>0</v>
      </c>
      <c r="E132" s="677">
        <f>SUMIFS(调整事项汇总表!$K$7:$K$10020,调整事项汇总表!$D$7:$D$10020,"报表调整",调整事项汇总表!$E$7:$E$10020,IF(OR(MID(TRIM($A132),2,1)="：",MID(TRIM($A132),2,1)="、"),REPLACEB(TRIM($A132),1,4,""),TRIM($A132)))</f>
        <v>0</v>
      </c>
      <c r="F132" s="677">
        <f>SUMIFS(调整事项汇总表!$L$7:$L$10020,调整事项汇总表!$D$7:$D$10020,"报表调整",调整事项汇总表!$E$7:$E$10020,IF(OR(MID(TRIM($A132),2,1)="：",MID(TRIM($A132),2,1)="、"),REPLACEB(TRIM($A132),1,4,""),TRIM($A132)))</f>
        <v>0</v>
      </c>
      <c r="G132" s="677">
        <f>SUMIFS(调整事项汇总表!$K$7:$K$10020,调整事项汇总表!$D$7:$D$10020,"其他",调整事项汇总表!$E$7:$E$10020,IF(OR(MID(TRIM($A132),2,1)="：",MID(TRIM($A132),2,1)="、"),REPLACEB(TRIM($A132),1,4,""),TRIM($A132)))</f>
        <v>0</v>
      </c>
      <c r="H132" s="677">
        <f>SUMIFS(调整事项汇总表!$L$7:$L$10020,调整事项汇总表!$D$7:$D$10020,"其他",调整事项汇总表!$E$7:$E$10020,IF(OR(MID(TRIM($A132),2,1)="：",MID(TRIM($A132),2,1)="、"),REPLACEB(TRIM($A132),1,4,""),TRIM($A132)))</f>
        <v>0</v>
      </c>
      <c r="I132" s="762">
        <f t="shared" si="42"/>
        <v>0</v>
      </c>
      <c r="J132" s="425" t="b">
        <f>A132=未审报表!A132</f>
        <v>1</v>
      </c>
      <c r="K132" s="425" t="b">
        <f>A132=审定报表!A132</f>
        <v>1</v>
      </c>
    </row>
    <row r="133" spans="1:11" ht="14.4" customHeight="1">
      <c r="A133" s="779" t="str">
        <f>未审报表!A133</f>
        <v>交易性金融负债</v>
      </c>
      <c r="B133" s="677">
        <f>期初核对!C133</f>
        <v>0</v>
      </c>
      <c r="C133" s="677">
        <f>SUMIFS(调整事项汇总表!$K$7:$K$10020,调整事项汇总表!$D$7:$D$10020,"账项调整",调整事项汇总表!$E$7:$E$10020,IF(OR(MID(TRIM($A133),2,1)="：",MID(TRIM($A133),2,1)="、"),REPLACEB(TRIM($A133),1,4,""),TRIM($A133)))</f>
        <v>0</v>
      </c>
      <c r="D133" s="677">
        <f>SUMIFS(调整事项汇总表!$L$7:$L$10020,调整事项汇总表!$D$7:$D$10020,"账项调整",调整事项汇总表!$E$7:$E$10020,IF(OR(MID(TRIM($A133),2,1)="：",MID(TRIM($A133),2,1)="、"),REPLACEB(TRIM($A133),1,4,""),TRIM($A133)))</f>
        <v>0</v>
      </c>
      <c r="E133" s="677">
        <f>SUMIFS(调整事项汇总表!$K$7:$K$10020,调整事项汇总表!$D$7:$D$10020,"报表调整",调整事项汇总表!$E$7:$E$10020,IF(OR(MID(TRIM($A133),2,1)="：",MID(TRIM($A133),2,1)="、"),REPLACEB(TRIM($A133),1,4,""),TRIM($A133)))</f>
        <v>0</v>
      </c>
      <c r="F133" s="677">
        <f>SUMIFS(调整事项汇总表!$L$7:$L$10020,调整事项汇总表!$D$7:$D$10020,"报表调整",调整事项汇总表!$E$7:$E$10020,IF(OR(MID(TRIM($A133),2,1)="：",MID(TRIM($A133),2,1)="、"),REPLACEB(TRIM($A133),1,4,""),TRIM($A133)))</f>
        <v>0</v>
      </c>
      <c r="G133" s="677">
        <f>SUMIFS(调整事项汇总表!$K$7:$K$10020,调整事项汇总表!$D$7:$D$10020,"其他",调整事项汇总表!$E$7:$E$10020,IF(OR(MID(TRIM($A133),2,1)="：",MID(TRIM($A133),2,1)="、"),REPLACEB(TRIM($A133),1,4,""),TRIM($A133)))</f>
        <v>0</v>
      </c>
      <c r="H133" s="677">
        <f>SUMIFS(调整事项汇总表!$L$7:$L$10020,调整事项汇总表!$D$7:$D$10020,"其他",调整事项汇总表!$E$7:$E$10020,IF(OR(MID(TRIM($A133),2,1)="：",MID(TRIM($A133),2,1)="、"),REPLACEB(TRIM($A133),1,4,""),TRIM($A133)))</f>
        <v>0</v>
      </c>
      <c r="I133" s="762">
        <f t="shared" si="42"/>
        <v>0</v>
      </c>
      <c r="J133" s="425" t="b">
        <f>A133=未审报表!A133</f>
        <v>1</v>
      </c>
      <c r="K133" s="425" t="b">
        <f>A133=审定报表!A133</f>
        <v>1</v>
      </c>
    </row>
    <row r="134" spans="1:11" ht="14.4" customHeight="1">
      <c r="A134" s="779" t="str">
        <f>未审报表!A134</f>
        <v>衍生金融负债</v>
      </c>
      <c r="B134" s="677">
        <f>期初核对!C134</f>
        <v>0</v>
      </c>
      <c r="C134" s="677">
        <f>SUMIFS(调整事项汇总表!$K$7:$K$10020,调整事项汇总表!$D$7:$D$10020,"账项调整",调整事项汇总表!$E$7:$E$10020,IF(OR(MID(TRIM($A134),2,1)="：",MID(TRIM($A134),2,1)="、"),REPLACEB(TRIM($A134),1,4,""),TRIM($A134)))</f>
        <v>0</v>
      </c>
      <c r="D134" s="677">
        <f>SUMIFS(调整事项汇总表!$L$7:$L$10020,调整事项汇总表!$D$7:$D$10020,"账项调整",调整事项汇总表!$E$7:$E$10020,IF(OR(MID(TRIM($A134),2,1)="：",MID(TRIM($A134),2,1)="、"),REPLACEB(TRIM($A134),1,4,""),TRIM($A134)))</f>
        <v>0</v>
      </c>
      <c r="E134" s="677">
        <f>SUMIFS(调整事项汇总表!$K$7:$K$10020,调整事项汇总表!$D$7:$D$10020,"报表调整",调整事项汇总表!$E$7:$E$10020,IF(OR(MID(TRIM($A134),2,1)="：",MID(TRIM($A134),2,1)="、"),REPLACEB(TRIM($A134),1,4,""),TRIM($A134)))</f>
        <v>0</v>
      </c>
      <c r="F134" s="677">
        <f>SUMIFS(调整事项汇总表!$L$7:$L$10020,调整事项汇总表!$D$7:$D$10020,"报表调整",调整事项汇总表!$E$7:$E$10020,IF(OR(MID(TRIM($A134),2,1)="：",MID(TRIM($A134),2,1)="、"),REPLACEB(TRIM($A134),1,4,""),TRIM($A134)))</f>
        <v>0</v>
      </c>
      <c r="G134" s="677">
        <f>SUMIFS(调整事项汇总表!$K$7:$K$10020,调整事项汇总表!$D$7:$D$10020,"其他",调整事项汇总表!$E$7:$E$10020,IF(OR(MID(TRIM($A134),2,1)="：",MID(TRIM($A134),2,1)="、"),REPLACEB(TRIM($A134),1,4,""),TRIM($A134)))</f>
        <v>0</v>
      </c>
      <c r="H134" s="677">
        <f>SUMIFS(调整事项汇总表!$L$7:$L$10020,调整事项汇总表!$D$7:$D$10020,"其他",调整事项汇总表!$E$7:$E$10020,IF(OR(MID(TRIM($A134),2,1)="：",MID(TRIM($A134),2,1)="、"),REPLACEB(TRIM($A134),1,4,""),TRIM($A134)))</f>
        <v>0</v>
      </c>
      <c r="I134" s="762">
        <f t="shared" si="42"/>
        <v>0</v>
      </c>
      <c r="J134" s="425" t="b">
        <f>A134=未审报表!A134</f>
        <v>1</v>
      </c>
      <c r="K134" s="425" t="b">
        <f>A134=审定报表!A134</f>
        <v>1</v>
      </c>
    </row>
    <row r="135" spans="1:11" ht="14.4" customHeight="1">
      <c r="A135" s="779" t="str">
        <f>未审报表!A135</f>
        <v>应付票据</v>
      </c>
      <c r="B135" s="677">
        <f>期初核对!C135</f>
        <v>0</v>
      </c>
      <c r="C135" s="677">
        <f>SUMIFS(调整事项汇总表!$K$7:$K$10020,调整事项汇总表!$D$7:$D$10020,"账项调整",调整事项汇总表!$E$7:$E$10020,IF(OR(MID(TRIM($A135),2,1)="：",MID(TRIM($A135),2,1)="、"),REPLACEB(TRIM($A135),1,4,""),TRIM($A135)))</f>
        <v>0</v>
      </c>
      <c r="D135" s="677">
        <f>SUMIFS(调整事项汇总表!$L$7:$L$10020,调整事项汇总表!$D$7:$D$10020,"账项调整",调整事项汇总表!$E$7:$E$10020,IF(OR(MID(TRIM($A135),2,1)="：",MID(TRIM($A135),2,1)="、"),REPLACEB(TRIM($A135),1,4,""),TRIM($A135)))</f>
        <v>0</v>
      </c>
      <c r="E135" s="677">
        <f>SUMIFS(调整事项汇总表!$K$7:$K$10020,调整事项汇总表!$D$7:$D$10020,"报表调整",调整事项汇总表!$E$7:$E$10020,IF(OR(MID(TRIM($A135),2,1)="：",MID(TRIM($A135),2,1)="、"),REPLACEB(TRIM($A135),1,4,""),TRIM($A135)))</f>
        <v>0</v>
      </c>
      <c r="F135" s="677">
        <f>SUMIFS(调整事项汇总表!$L$7:$L$10020,调整事项汇总表!$D$7:$D$10020,"报表调整",调整事项汇总表!$E$7:$E$10020,IF(OR(MID(TRIM($A135),2,1)="：",MID(TRIM($A135),2,1)="、"),REPLACEB(TRIM($A135),1,4,""),TRIM($A135)))</f>
        <v>0</v>
      </c>
      <c r="G135" s="677">
        <f>SUMIFS(调整事项汇总表!$K$7:$K$10020,调整事项汇总表!$D$7:$D$10020,"其他",调整事项汇总表!$E$7:$E$10020,IF(OR(MID(TRIM($A135),2,1)="：",MID(TRIM($A135),2,1)="、"),REPLACEB(TRIM($A135),1,4,""),TRIM($A135)))</f>
        <v>0</v>
      </c>
      <c r="H135" s="677">
        <f>SUMIFS(调整事项汇总表!$L$7:$L$10020,调整事项汇总表!$D$7:$D$10020,"其他",调整事项汇总表!$E$7:$E$10020,IF(OR(MID(TRIM($A135),2,1)="：",MID(TRIM($A135),2,1)="、"),REPLACEB(TRIM($A135),1,4,""),TRIM($A135)))</f>
        <v>0</v>
      </c>
      <c r="I135" s="762">
        <f t="shared" si="42"/>
        <v>0</v>
      </c>
      <c r="J135" s="425" t="b">
        <f>A135=未审报表!A135</f>
        <v>1</v>
      </c>
      <c r="K135" s="425" t="b">
        <f>A135=审定报表!A135</f>
        <v>1</v>
      </c>
    </row>
    <row r="136" spans="1:11" ht="14.4" customHeight="1">
      <c r="A136" s="779" t="str">
        <f>未审报表!A136</f>
        <v>应付账款</v>
      </c>
      <c r="B136" s="677">
        <f>期初核对!C136</f>
        <v>2255558.0699999998</v>
      </c>
      <c r="C136" s="677">
        <f>SUMIFS(调整事项汇总表!$K$7:$K$10020,调整事项汇总表!$D$7:$D$10020,"账项调整",调整事项汇总表!$E$7:$E$10020,IF(OR(MID(TRIM($A136),2,1)="：",MID(TRIM($A136),2,1)="、"),REPLACEB(TRIM($A136),1,4,""),TRIM($A136)))</f>
        <v>0</v>
      </c>
      <c r="D136" s="677">
        <f>SUMIFS(调整事项汇总表!$L$7:$L$10020,调整事项汇总表!$D$7:$D$10020,"账项调整",调整事项汇总表!$E$7:$E$10020,IF(OR(MID(TRIM($A136),2,1)="：",MID(TRIM($A136),2,1)="、"),REPLACEB(TRIM($A136),1,4,""),TRIM($A136)))</f>
        <v>0</v>
      </c>
      <c r="E136" s="677">
        <f>SUMIFS(调整事项汇总表!$K$7:$K$10020,调整事项汇总表!$D$7:$D$10020,"报表调整",调整事项汇总表!$E$7:$E$10020,IF(OR(MID(TRIM($A136),2,1)="：",MID(TRIM($A136),2,1)="、"),REPLACEB(TRIM($A136),1,4,""),TRIM($A136)))</f>
        <v>0</v>
      </c>
      <c r="F136" s="677">
        <f>SUMIFS(调整事项汇总表!$L$7:$L$10020,调整事项汇总表!$D$7:$D$10020,"报表调整",调整事项汇总表!$E$7:$E$10020,IF(OR(MID(TRIM($A136),2,1)="：",MID(TRIM($A136),2,1)="、"),REPLACEB(TRIM($A136),1,4,""),TRIM($A136)))</f>
        <v>0</v>
      </c>
      <c r="G136" s="677">
        <f>SUMIFS(调整事项汇总表!$K$7:$K$10020,调整事项汇总表!$D$7:$D$10020,"其他",调整事项汇总表!$E$7:$E$10020,IF(OR(MID(TRIM($A136),2,1)="：",MID(TRIM($A136),2,1)="、"),REPLACEB(TRIM($A136),1,4,""),TRIM($A136)))</f>
        <v>0</v>
      </c>
      <c r="H136" s="677">
        <f>SUMIFS(调整事项汇总表!$L$7:$L$10020,调整事项汇总表!$D$7:$D$10020,"其他",调整事项汇总表!$E$7:$E$10020,IF(OR(MID(TRIM($A136),2,1)="：",MID(TRIM($A136),2,1)="、"),REPLACEB(TRIM($A136),1,4,""),TRIM($A136)))</f>
        <v>0</v>
      </c>
      <c r="I136" s="762">
        <f t="shared" si="42"/>
        <v>2255558.0699999998</v>
      </c>
      <c r="J136" s="425" t="b">
        <f>A136=未审报表!A136</f>
        <v>1</v>
      </c>
      <c r="K136" s="425" t="b">
        <f>A136=审定报表!A136</f>
        <v>1</v>
      </c>
    </row>
    <row r="137" spans="1:11" ht="14.4" customHeight="1">
      <c r="A137" s="779" t="str">
        <f>未审报表!A137</f>
        <v>预收款项</v>
      </c>
      <c r="B137" s="677">
        <f>期初核对!C137</f>
        <v>1282269.1599999999</v>
      </c>
      <c r="C137" s="677">
        <f>SUMIFS(调整事项汇总表!$K$7:$K$10020,调整事项汇总表!$D$7:$D$10020,"账项调整",调整事项汇总表!$E$7:$E$10020,IF(OR(MID(TRIM($A137),2,1)="：",MID(TRIM($A137),2,1)="、"),REPLACEB(TRIM($A137),1,4,""),TRIM($A137)))</f>
        <v>0</v>
      </c>
      <c r="D137" s="677">
        <f>SUMIFS(调整事项汇总表!$L$7:$L$10020,调整事项汇总表!$D$7:$D$10020,"账项调整",调整事项汇总表!$E$7:$E$10020,IF(OR(MID(TRIM($A137),2,1)="：",MID(TRIM($A137),2,1)="、"),REPLACEB(TRIM($A137),1,4,""),TRIM($A137)))</f>
        <v>0</v>
      </c>
      <c r="E137" s="677">
        <f>SUMIFS(调整事项汇总表!$K$7:$K$10020,调整事项汇总表!$D$7:$D$10020,"报表调整",调整事项汇总表!$E$7:$E$10020,IF(OR(MID(TRIM($A137),2,1)="：",MID(TRIM($A137),2,1)="、"),REPLACEB(TRIM($A137),1,4,""),TRIM($A137)))</f>
        <v>0</v>
      </c>
      <c r="F137" s="677">
        <f>SUMIFS(调整事项汇总表!$L$7:$L$10020,调整事项汇总表!$D$7:$D$10020,"报表调整",调整事项汇总表!$E$7:$E$10020,IF(OR(MID(TRIM($A137),2,1)="：",MID(TRIM($A137),2,1)="、"),REPLACEB(TRIM($A137),1,4,""),TRIM($A137)))</f>
        <v>0</v>
      </c>
      <c r="G137" s="677">
        <f>SUMIFS(调整事项汇总表!$K$7:$K$10020,调整事项汇总表!$D$7:$D$10020,"其他",调整事项汇总表!$E$7:$E$10020,IF(OR(MID(TRIM($A137),2,1)="：",MID(TRIM($A137),2,1)="、"),REPLACEB(TRIM($A137),1,4,""),TRIM($A137)))</f>
        <v>0</v>
      </c>
      <c r="H137" s="677">
        <f>SUMIFS(调整事项汇总表!$L$7:$L$10020,调整事项汇总表!$D$7:$D$10020,"其他",调整事项汇总表!$E$7:$E$10020,IF(OR(MID(TRIM($A137),2,1)="：",MID(TRIM($A137),2,1)="、"),REPLACEB(TRIM($A137),1,4,""),TRIM($A137)))</f>
        <v>0</v>
      </c>
      <c r="I137" s="762">
        <f t="shared" si="42"/>
        <v>1282269.1599999999</v>
      </c>
      <c r="J137" s="425" t="b">
        <f>A137=未审报表!A137</f>
        <v>1</v>
      </c>
      <c r="K137" s="425" t="b">
        <f>A137=审定报表!A137</f>
        <v>1</v>
      </c>
    </row>
    <row r="138" spans="1:11" ht="14.4" customHeight="1">
      <c r="A138" s="779" t="str">
        <f>未审报表!A138</f>
        <v>合同负债</v>
      </c>
      <c r="B138" s="677">
        <f>期初核对!C138</f>
        <v>0</v>
      </c>
      <c r="C138" s="677">
        <f>SUMIFS(调整事项汇总表!$K$7:$K$10020,调整事项汇总表!$D$7:$D$10020,"账项调整",调整事项汇总表!$E$7:$E$10020,IF(OR(MID(TRIM($A138),2,1)="：",MID(TRIM($A138),2,1)="、"),REPLACEB(TRIM($A138),1,4,""),TRIM($A138)))</f>
        <v>0</v>
      </c>
      <c r="D138" s="677">
        <f>SUMIFS(调整事项汇总表!$L$7:$L$10020,调整事项汇总表!$D$7:$D$10020,"账项调整",调整事项汇总表!$E$7:$E$10020,IF(OR(MID(TRIM($A138),2,1)="：",MID(TRIM($A138),2,1)="、"),REPLACEB(TRIM($A138),1,4,""),TRIM($A138)))</f>
        <v>0</v>
      </c>
      <c r="E138" s="677">
        <f>SUMIFS(调整事项汇总表!$K$7:$K$10020,调整事项汇总表!$D$7:$D$10020,"报表调整",调整事项汇总表!$E$7:$E$10020,IF(OR(MID(TRIM($A138),2,1)="：",MID(TRIM($A138),2,1)="、"),REPLACEB(TRIM($A138),1,4,""),TRIM($A138)))</f>
        <v>0</v>
      </c>
      <c r="F138" s="677">
        <f>SUMIFS(调整事项汇总表!$L$7:$L$10020,调整事项汇总表!$D$7:$D$10020,"报表调整",调整事项汇总表!$E$7:$E$10020,IF(OR(MID(TRIM($A138),2,1)="：",MID(TRIM($A138),2,1)="、"),REPLACEB(TRIM($A138),1,4,""),TRIM($A138)))</f>
        <v>0</v>
      </c>
      <c r="G138" s="677">
        <f>SUMIFS(调整事项汇总表!$K$7:$K$10020,调整事项汇总表!$D$7:$D$10020,"其他",调整事项汇总表!$E$7:$E$10020,IF(OR(MID(TRIM($A138),2,1)="：",MID(TRIM($A138),2,1)="、"),REPLACEB(TRIM($A138),1,4,""),TRIM($A138)))</f>
        <v>0</v>
      </c>
      <c r="H138" s="677">
        <f>SUMIFS(调整事项汇总表!$L$7:$L$10020,调整事项汇总表!$D$7:$D$10020,"其他",调整事项汇总表!$E$7:$E$10020,IF(OR(MID(TRIM($A138),2,1)="：",MID(TRIM($A138),2,1)="、"),REPLACEB(TRIM($A138),1,4,""),TRIM($A138)))</f>
        <v>0</v>
      </c>
      <c r="I138" s="762">
        <f t="shared" si="42"/>
        <v>0</v>
      </c>
      <c r="J138" s="425" t="b">
        <f>A138=未审报表!A138</f>
        <v>1</v>
      </c>
      <c r="K138" s="425" t="b">
        <f>A138=审定报表!A138</f>
        <v>1</v>
      </c>
    </row>
    <row r="139" spans="1:11" ht="14.4" customHeight="1">
      <c r="A139" s="779" t="str">
        <f>未审报表!A139</f>
        <v>卖出回购金融资产款*</v>
      </c>
      <c r="B139" s="677">
        <f>期初核对!C139</f>
        <v>0</v>
      </c>
      <c r="C139" s="677">
        <f>SUMIFS(调整事项汇总表!$K$7:$K$10020,调整事项汇总表!$D$7:$D$10020,"账项调整",调整事项汇总表!$E$7:$E$10020,IF(OR(MID(TRIM($A139),2,1)="：",MID(TRIM($A139),2,1)="、"),REPLACEB(TRIM($A139),1,4,""),TRIM($A139)))</f>
        <v>0</v>
      </c>
      <c r="D139" s="677">
        <f>SUMIFS(调整事项汇总表!$L$7:$L$10020,调整事项汇总表!$D$7:$D$10020,"账项调整",调整事项汇总表!$E$7:$E$10020,IF(OR(MID(TRIM($A139),2,1)="：",MID(TRIM($A139),2,1)="、"),REPLACEB(TRIM($A139),1,4,""),TRIM($A139)))</f>
        <v>0</v>
      </c>
      <c r="E139" s="677">
        <f>SUMIFS(调整事项汇总表!$K$7:$K$10020,调整事项汇总表!$D$7:$D$10020,"报表调整",调整事项汇总表!$E$7:$E$10020,IF(OR(MID(TRIM($A139),2,1)="：",MID(TRIM($A139),2,1)="、"),REPLACEB(TRIM($A139),1,4,""),TRIM($A139)))</f>
        <v>0</v>
      </c>
      <c r="F139" s="677">
        <f>SUMIFS(调整事项汇总表!$L$7:$L$10020,调整事项汇总表!$D$7:$D$10020,"报表调整",调整事项汇总表!$E$7:$E$10020,IF(OR(MID(TRIM($A139),2,1)="：",MID(TRIM($A139),2,1)="、"),REPLACEB(TRIM($A139),1,4,""),TRIM($A139)))</f>
        <v>0</v>
      </c>
      <c r="G139" s="677">
        <f>SUMIFS(调整事项汇总表!$K$7:$K$10020,调整事项汇总表!$D$7:$D$10020,"其他",调整事项汇总表!$E$7:$E$10020,IF(OR(MID(TRIM($A139),2,1)="：",MID(TRIM($A139),2,1)="、"),REPLACEB(TRIM($A139),1,4,""),TRIM($A139)))</f>
        <v>0</v>
      </c>
      <c r="H139" s="677">
        <f>SUMIFS(调整事项汇总表!$L$7:$L$10020,调整事项汇总表!$D$7:$D$10020,"其他",调整事项汇总表!$E$7:$E$10020,IF(OR(MID(TRIM($A139),2,1)="：",MID(TRIM($A139),2,1)="、"),REPLACEB(TRIM($A139),1,4,""),TRIM($A139)))</f>
        <v>0</v>
      </c>
      <c r="I139" s="762">
        <f t="shared" si="42"/>
        <v>0</v>
      </c>
      <c r="J139" s="425" t="b">
        <f>A139=未审报表!A139</f>
        <v>1</v>
      </c>
      <c r="K139" s="425" t="b">
        <f>A139=审定报表!A139</f>
        <v>1</v>
      </c>
    </row>
    <row r="140" spans="1:11" ht="14.4" customHeight="1">
      <c r="A140" s="779" t="str">
        <f>未审报表!A140</f>
        <v>吸收存款及同业存放*</v>
      </c>
      <c r="B140" s="677">
        <f>期初核对!C140</f>
        <v>0</v>
      </c>
      <c r="C140" s="677">
        <f>SUMIFS(调整事项汇总表!$K$7:$K$10020,调整事项汇总表!$D$7:$D$10020,"账项调整",调整事项汇总表!$E$7:$E$10020,IF(OR(MID(TRIM($A140),2,1)="：",MID(TRIM($A140),2,1)="、"),REPLACEB(TRIM($A140),1,4,""),TRIM($A140)))</f>
        <v>0</v>
      </c>
      <c r="D140" s="677">
        <f>SUMIFS(调整事项汇总表!$L$7:$L$10020,调整事项汇总表!$D$7:$D$10020,"账项调整",调整事项汇总表!$E$7:$E$10020,IF(OR(MID(TRIM($A140),2,1)="：",MID(TRIM($A140),2,1)="、"),REPLACEB(TRIM($A140),1,4,""),TRIM($A140)))</f>
        <v>0</v>
      </c>
      <c r="E140" s="677">
        <f>SUMIFS(调整事项汇总表!$K$7:$K$10020,调整事项汇总表!$D$7:$D$10020,"报表调整",调整事项汇总表!$E$7:$E$10020,IF(OR(MID(TRIM($A140),2,1)="：",MID(TRIM($A140),2,1)="、"),REPLACEB(TRIM($A140),1,4,""),TRIM($A140)))</f>
        <v>0</v>
      </c>
      <c r="F140" s="677">
        <f>SUMIFS(调整事项汇总表!$L$7:$L$10020,调整事项汇总表!$D$7:$D$10020,"报表调整",调整事项汇总表!$E$7:$E$10020,IF(OR(MID(TRIM($A140),2,1)="：",MID(TRIM($A140),2,1)="、"),REPLACEB(TRIM($A140),1,4,""),TRIM($A140)))</f>
        <v>0</v>
      </c>
      <c r="G140" s="677">
        <f>SUMIFS(调整事项汇总表!$K$7:$K$10020,调整事项汇总表!$D$7:$D$10020,"其他",调整事项汇总表!$E$7:$E$10020,IF(OR(MID(TRIM($A140),2,1)="：",MID(TRIM($A140),2,1)="、"),REPLACEB(TRIM($A140),1,4,""),TRIM($A140)))</f>
        <v>0</v>
      </c>
      <c r="H140" s="677">
        <f>SUMIFS(调整事项汇总表!$L$7:$L$10020,调整事项汇总表!$D$7:$D$10020,"其他",调整事项汇总表!$E$7:$E$10020,IF(OR(MID(TRIM($A140),2,1)="：",MID(TRIM($A140),2,1)="、"),REPLACEB(TRIM($A140),1,4,""),TRIM($A140)))</f>
        <v>0</v>
      </c>
      <c r="I140" s="762">
        <f t="shared" si="42"/>
        <v>0</v>
      </c>
      <c r="J140" s="425" t="b">
        <f>A140=未审报表!A140</f>
        <v>1</v>
      </c>
      <c r="K140" s="425" t="b">
        <f>A140=审定报表!A140</f>
        <v>1</v>
      </c>
    </row>
    <row r="141" spans="1:11" ht="14.4" customHeight="1">
      <c r="A141" s="779" t="str">
        <f>未审报表!A141</f>
        <v>代理买卖证券款*</v>
      </c>
      <c r="B141" s="677">
        <f>期初核对!C141</f>
        <v>0</v>
      </c>
      <c r="C141" s="677">
        <f>SUMIFS(调整事项汇总表!$K$7:$K$10020,调整事项汇总表!$D$7:$D$10020,"账项调整",调整事项汇总表!$E$7:$E$10020,IF(OR(MID(TRIM($A141),2,1)="：",MID(TRIM($A141),2,1)="、"),REPLACEB(TRIM($A141),1,4,""),TRIM($A141)))</f>
        <v>0</v>
      </c>
      <c r="D141" s="677">
        <f>SUMIFS(调整事项汇总表!$L$7:$L$10020,调整事项汇总表!$D$7:$D$10020,"账项调整",调整事项汇总表!$E$7:$E$10020,IF(OR(MID(TRIM($A141),2,1)="：",MID(TRIM($A141),2,1)="、"),REPLACEB(TRIM($A141),1,4,""),TRIM($A141)))</f>
        <v>0</v>
      </c>
      <c r="E141" s="677">
        <f>SUMIFS(调整事项汇总表!$K$7:$K$10020,调整事项汇总表!$D$7:$D$10020,"报表调整",调整事项汇总表!$E$7:$E$10020,IF(OR(MID(TRIM($A141),2,1)="：",MID(TRIM($A141),2,1)="、"),REPLACEB(TRIM($A141),1,4,""),TRIM($A141)))</f>
        <v>0</v>
      </c>
      <c r="F141" s="677">
        <f>SUMIFS(调整事项汇总表!$L$7:$L$10020,调整事项汇总表!$D$7:$D$10020,"报表调整",调整事项汇总表!$E$7:$E$10020,IF(OR(MID(TRIM($A141),2,1)="：",MID(TRIM($A141),2,1)="、"),REPLACEB(TRIM($A141),1,4,""),TRIM($A141)))</f>
        <v>0</v>
      </c>
      <c r="G141" s="677">
        <f>SUMIFS(调整事项汇总表!$K$7:$K$10020,调整事项汇总表!$D$7:$D$10020,"其他",调整事项汇总表!$E$7:$E$10020,IF(OR(MID(TRIM($A141),2,1)="：",MID(TRIM($A141),2,1)="、"),REPLACEB(TRIM($A141),1,4,""),TRIM($A141)))</f>
        <v>0</v>
      </c>
      <c r="H141" s="677">
        <f>SUMIFS(调整事项汇总表!$L$7:$L$10020,调整事项汇总表!$D$7:$D$10020,"其他",调整事项汇总表!$E$7:$E$10020,IF(OR(MID(TRIM($A141),2,1)="：",MID(TRIM($A141),2,1)="、"),REPLACEB(TRIM($A141),1,4,""),TRIM($A141)))</f>
        <v>0</v>
      </c>
      <c r="I141" s="762">
        <f t="shared" si="42"/>
        <v>0</v>
      </c>
      <c r="J141" s="425" t="b">
        <f>A141=未审报表!A141</f>
        <v>1</v>
      </c>
      <c r="K141" s="425" t="b">
        <f>A141=审定报表!A141</f>
        <v>1</v>
      </c>
    </row>
    <row r="142" spans="1:11" ht="14.4" customHeight="1">
      <c r="A142" s="779" t="str">
        <f>未审报表!A142</f>
        <v>代理承销证券款*</v>
      </c>
      <c r="B142" s="677">
        <f>期初核对!C142</f>
        <v>0</v>
      </c>
      <c r="C142" s="677">
        <f>SUMIFS(调整事项汇总表!$K$7:$K$10020,调整事项汇总表!$D$7:$D$10020,"账项调整",调整事项汇总表!$E$7:$E$10020,IF(OR(MID(TRIM($A142),2,1)="：",MID(TRIM($A142),2,1)="、"),REPLACEB(TRIM($A142),1,4,""),TRIM($A142)))</f>
        <v>0</v>
      </c>
      <c r="D142" s="677">
        <f>SUMIFS(调整事项汇总表!$L$7:$L$10020,调整事项汇总表!$D$7:$D$10020,"账项调整",调整事项汇总表!$E$7:$E$10020,IF(OR(MID(TRIM($A142),2,1)="：",MID(TRIM($A142),2,1)="、"),REPLACEB(TRIM($A142),1,4,""),TRIM($A142)))</f>
        <v>0</v>
      </c>
      <c r="E142" s="677">
        <f>SUMIFS(调整事项汇总表!$K$7:$K$10020,调整事项汇总表!$D$7:$D$10020,"报表调整",调整事项汇总表!$E$7:$E$10020,IF(OR(MID(TRIM($A142),2,1)="：",MID(TRIM($A142),2,1)="、"),REPLACEB(TRIM($A142),1,4,""),TRIM($A142)))</f>
        <v>0</v>
      </c>
      <c r="F142" s="677">
        <f>SUMIFS(调整事项汇总表!$L$7:$L$10020,调整事项汇总表!$D$7:$D$10020,"报表调整",调整事项汇总表!$E$7:$E$10020,IF(OR(MID(TRIM($A142),2,1)="：",MID(TRIM($A142),2,1)="、"),REPLACEB(TRIM($A142),1,4,""),TRIM($A142)))</f>
        <v>0</v>
      </c>
      <c r="G142" s="677">
        <f>SUMIFS(调整事项汇总表!$K$7:$K$10020,调整事项汇总表!$D$7:$D$10020,"其他",调整事项汇总表!$E$7:$E$10020,IF(OR(MID(TRIM($A142),2,1)="：",MID(TRIM($A142),2,1)="、"),REPLACEB(TRIM($A142),1,4,""),TRIM($A142)))</f>
        <v>0</v>
      </c>
      <c r="H142" s="677">
        <f>SUMIFS(调整事项汇总表!$L$7:$L$10020,调整事项汇总表!$D$7:$D$10020,"其他",调整事项汇总表!$E$7:$E$10020,IF(OR(MID(TRIM($A142),2,1)="：",MID(TRIM($A142),2,1)="、"),REPLACEB(TRIM($A142),1,4,""),TRIM($A142)))</f>
        <v>0</v>
      </c>
      <c r="I142" s="762">
        <f t="shared" si="42"/>
        <v>0</v>
      </c>
      <c r="J142" s="425" t="b">
        <f>A142=未审报表!A142</f>
        <v>1</v>
      </c>
      <c r="K142" s="425" t="b">
        <f>A142=审定报表!A142</f>
        <v>1</v>
      </c>
    </row>
    <row r="143" spans="1:11" ht="14.4" customHeight="1">
      <c r="A143" s="779" t="str">
        <f>未审报表!A143</f>
        <v>应付职工薪酬</v>
      </c>
      <c r="B143" s="677">
        <f>期初核对!C143</f>
        <v>0</v>
      </c>
      <c r="C143" s="677">
        <f>SUMIFS(调整事项汇总表!$K$7:$K$10020,调整事项汇总表!$D$7:$D$10020,"账项调整",调整事项汇总表!$E$7:$E$10020,IF(OR(MID(TRIM($A143),2,1)="：",MID(TRIM($A143),2,1)="、"),REPLACEB(TRIM($A143),1,4,""),TRIM($A143)))</f>
        <v>0</v>
      </c>
      <c r="D143" s="677">
        <f>SUMIFS(调整事项汇总表!$L$7:$L$10020,调整事项汇总表!$D$7:$D$10020,"账项调整",调整事项汇总表!$E$7:$E$10020,IF(OR(MID(TRIM($A143),2,1)="：",MID(TRIM($A143),2,1)="、"),REPLACEB(TRIM($A143),1,4,""),TRIM($A143)))</f>
        <v>0</v>
      </c>
      <c r="E143" s="677">
        <f>SUMIFS(调整事项汇总表!$K$7:$K$10020,调整事项汇总表!$D$7:$D$10020,"报表调整",调整事项汇总表!$E$7:$E$10020,IF(OR(MID(TRIM($A143),2,1)="：",MID(TRIM($A143),2,1)="、"),REPLACEB(TRIM($A143),1,4,""),TRIM($A143)))</f>
        <v>0</v>
      </c>
      <c r="F143" s="677">
        <f>SUMIFS(调整事项汇总表!$L$7:$L$10020,调整事项汇总表!$D$7:$D$10020,"报表调整",调整事项汇总表!$E$7:$E$10020,IF(OR(MID(TRIM($A143),2,1)="：",MID(TRIM($A143),2,1)="、"),REPLACEB(TRIM($A143),1,4,""),TRIM($A143)))</f>
        <v>0</v>
      </c>
      <c r="G143" s="677">
        <f>SUMIFS(调整事项汇总表!$K$7:$K$10020,调整事项汇总表!$D$7:$D$10020,"其他",调整事项汇总表!$E$7:$E$10020,IF(OR(MID(TRIM($A143),2,1)="：",MID(TRIM($A143),2,1)="、"),REPLACEB(TRIM($A143),1,4,""),TRIM($A143)))</f>
        <v>0</v>
      </c>
      <c r="H143" s="677">
        <f>SUMIFS(调整事项汇总表!$L$7:$L$10020,调整事项汇总表!$D$7:$D$10020,"其他",调整事项汇总表!$E$7:$E$10020,IF(OR(MID(TRIM($A143),2,1)="：",MID(TRIM($A143),2,1)="、"),REPLACEB(TRIM($A143),1,4,""),TRIM($A143)))</f>
        <v>0</v>
      </c>
      <c r="I143" s="762">
        <f t="shared" si="42"/>
        <v>0</v>
      </c>
      <c r="J143" s="425" t="b">
        <f>A143=未审报表!A143</f>
        <v>1</v>
      </c>
      <c r="K143" s="425" t="b">
        <f>A143=审定报表!A143</f>
        <v>1</v>
      </c>
    </row>
    <row r="144" spans="1:11" ht="14.4" customHeight="1">
      <c r="A144" s="779" t="str">
        <f>未审报表!A144</f>
        <v xml:space="preserve">  其中：应付工资</v>
      </c>
      <c r="B144" s="677">
        <f>期初核对!C144</f>
        <v>0</v>
      </c>
      <c r="C144" s="677">
        <f>SUMIFS(调整事项汇总表!$K$7:$K$10020,调整事项汇总表!$D$7:$D$10020,"账项调整",调整事项汇总表!$E$7:$E$10020,"应付职工薪酬",调整事项汇总表!$F$7:$F$10020,IF(OR(MID(TRIM($A144),3,1)="：",MID(TRIM($A144),2,1)="、"),REPLACEB(TRIM($A144),1,6,""),TRIM($A144)))</f>
        <v>0</v>
      </c>
      <c r="D144" s="677">
        <f>SUMIFS(调整事项汇总表!$L$7:$L$10020,调整事项汇总表!$D$7:$D$10020,"账项调整",调整事项汇总表!$E$7:$E$10020,"应付职工薪酬",调整事项汇总表!$F$7:$F$10020,IF(OR(MID(TRIM($A144),3,1)="：",MID(TRIM($A144),2,1)="、"),REPLACEB(TRIM($A144),1,6,""),TRIM($A144)))</f>
        <v>0</v>
      </c>
      <c r="E144" s="677">
        <f>SUMIFS(调整事项汇总表!$K$7:$K$10020,调整事项汇总表!$D$7:$D$10020,"报表调整",调整事项汇总表!$E$7:$E$10020,"应付职工薪酬",调整事项汇总表!$F$7:$F$10020,IF(OR(MID(TRIM($A144),3,1)="：",MID(TRIM($A144),2,1)="、"),REPLACEB(TRIM($A144),1,6,""),TRIM($A144)))</f>
        <v>0</v>
      </c>
      <c r="F144" s="677">
        <f>SUMIFS(调整事项汇总表!$L$7:$L$10020,调整事项汇总表!$D$7:$D$10020,"报表调整",调整事项汇总表!$E$7:$E$10020,"应付职工薪酬",调整事项汇总表!$F$7:$F$10020,IF(OR(MID(TRIM($A144),3,1)="：",MID(TRIM($A144),2,1)="、"),REPLACEB(TRIM($A144),1,6,""),TRIM($A144)))</f>
        <v>0</v>
      </c>
      <c r="G144" s="677">
        <f>SUMIFS(调整事项汇总表!$K$7:$K$10020,调整事项汇总表!$D$7:$D$10020,"其他",调整事项汇总表!$E$7:$E$10020,"应付职工薪酬",调整事项汇总表!$F$7:$F$10020,IF(OR(MID(TRIM($A144),3,1)="：",MID(TRIM($A144),2,1)="、"),REPLACEB(TRIM($A144),1,6,""),TRIM($A144)))</f>
        <v>0</v>
      </c>
      <c r="H144" s="677">
        <f>SUMIFS(调整事项汇总表!$L$7:$L$10020,调整事项汇总表!$D$7:$D$10020,"其他",调整事项汇总表!$E$7:$E$10020,"应付职工薪酬",调整事项汇总表!$F$7:$F$10020,IF(OR(MID(TRIM($A144),3,1)="：",MID(TRIM($A144),2,1)="、"),REPLACEB(TRIM($A144),1,6,""),TRIM($A144)))</f>
        <v>0</v>
      </c>
      <c r="I144" s="762">
        <f t="shared" si="42"/>
        <v>0</v>
      </c>
      <c r="J144" s="425" t="b">
        <f>A144=未审报表!A144</f>
        <v>1</v>
      </c>
      <c r="K144" s="425" t="b">
        <f>A144=审定报表!A144</f>
        <v>1</v>
      </c>
    </row>
    <row r="145" spans="1:11" ht="14.4" customHeight="1">
      <c r="A145" s="779" t="str">
        <f>未审报表!A145</f>
        <v xml:space="preserve">      应付福利费</v>
      </c>
      <c r="B145" s="677">
        <f>期初核对!C145</f>
        <v>0</v>
      </c>
      <c r="C145" s="677">
        <f>SUMIFS(调整事项汇总表!$K$7:$K$10020,调整事项汇总表!$D$7:$D$10020,"账项调整",调整事项汇总表!$E$7:$E$10020,"应付职工薪酬",调整事项汇总表!$F$7:$F$10020,IF(OR(MID(TRIM($A145),3,1)="：",MID(TRIM($A145),2,1)="、"),REPLACEB(TRIM($A145),1,6,""),TRIM($A145)))</f>
        <v>0</v>
      </c>
      <c r="D145" s="677">
        <f>SUMIFS(调整事项汇总表!$L$7:$L$10020,调整事项汇总表!$D$7:$D$10020,"账项调整",调整事项汇总表!$E$7:$E$10020,"应付职工薪酬",调整事项汇总表!$F$7:$F$10020,IF(OR(MID(TRIM($A145),3,1)="：",MID(TRIM($A145),2,1)="、"),REPLACEB(TRIM($A145),1,6,""),TRIM($A145)))</f>
        <v>0</v>
      </c>
      <c r="E145" s="677">
        <f>SUMIFS(调整事项汇总表!$K$7:$K$10020,调整事项汇总表!$D$7:$D$10020,"报表调整",调整事项汇总表!$E$7:$E$10020,"应付职工薪酬",调整事项汇总表!$F$7:$F$10020,IF(OR(MID(TRIM($A145),3,1)="：",MID(TRIM($A145),2,1)="、"),REPLACEB(TRIM($A145),1,6,""),TRIM($A145)))</f>
        <v>0</v>
      </c>
      <c r="F145" s="677">
        <f>SUMIFS(调整事项汇总表!$L$7:$L$10020,调整事项汇总表!$D$7:$D$10020,"报表调整",调整事项汇总表!$E$7:$E$10020,"应付职工薪酬",调整事项汇总表!$F$7:$F$10020,IF(OR(MID(TRIM($A145),3,1)="：",MID(TRIM($A145),2,1)="、"),REPLACEB(TRIM($A145),1,6,""),TRIM($A145)))</f>
        <v>0</v>
      </c>
      <c r="G145" s="677">
        <f>SUMIFS(调整事项汇总表!$K$7:$K$10020,调整事项汇总表!$D$7:$D$10020,"其他",调整事项汇总表!$E$7:$E$10020,"应付职工薪酬",调整事项汇总表!$F$7:$F$10020,IF(OR(MID(TRIM($A145),3,1)="：",MID(TRIM($A145),2,1)="、"),REPLACEB(TRIM($A145),1,6,""),TRIM($A145)))</f>
        <v>0</v>
      </c>
      <c r="H145" s="677">
        <f>SUMIFS(调整事项汇总表!$L$7:$L$10020,调整事项汇总表!$D$7:$D$10020,"其他",调整事项汇总表!$E$7:$E$10020,"应付职工薪酬",调整事项汇总表!$F$7:$F$10020,IF(OR(MID(TRIM($A145),3,1)="：",MID(TRIM($A145),2,1)="、"),REPLACEB(TRIM($A145),1,6,""),TRIM($A145)))</f>
        <v>0</v>
      </c>
      <c r="I145" s="762">
        <f t="shared" si="42"/>
        <v>0</v>
      </c>
      <c r="J145" s="425" t="b">
        <f>A145=未审报表!A145</f>
        <v>1</v>
      </c>
      <c r="K145" s="425" t="b">
        <f>A145=审定报表!A145</f>
        <v>1</v>
      </c>
    </row>
    <row r="146" spans="1:11" ht="14.4" customHeight="1">
      <c r="A146" s="779" t="str">
        <f>未审报表!A146</f>
        <v xml:space="preserve">     #其中：职工奖励及福利基金</v>
      </c>
      <c r="B146" s="677">
        <f>期初核对!C146</f>
        <v>0</v>
      </c>
      <c r="C146" s="677"/>
      <c r="D146" s="677"/>
      <c r="E146" s="677"/>
      <c r="F146" s="677"/>
      <c r="G146" s="677"/>
      <c r="H146" s="677"/>
      <c r="I146" s="762">
        <f t="shared" si="42"/>
        <v>0</v>
      </c>
      <c r="J146" s="425" t="b">
        <f>A146=未审报表!A146</f>
        <v>1</v>
      </c>
      <c r="K146" s="425" t="b">
        <f>A146=审定报表!A146</f>
        <v>1</v>
      </c>
    </row>
    <row r="147" spans="1:11" ht="14.4" customHeight="1">
      <c r="A147" s="779" t="str">
        <f>未审报表!A147</f>
        <v>应交税费</v>
      </c>
      <c r="B147" s="677">
        <f>期初核对!C147</f>
        <v>4493249.99</v>
      </c>
      <c r="C147" s="677">
        <f>SUMIFS(调整事项汇总表!$K$7:$K$10020,调整事项汇总表!$D$7:$D$10020,"账项调整",调整事项汇总表!$E$7:$E$10020,IF(OR(MID(TRIM($A147),2,1)="：",MID(TRIM($A147),2,1)="、"),REPLACEB(TRIM($A147),1,4,""),TRIM($A147)))</f>
        <v>0</v>
      </c>
      <c r="D147" s="677">
        <f>SUMIFS(调整事项汇总表!$L$7:$L$10020,调整事项汇总表!$D$7:$D$10020,"账项调整",调整事项汇总表!$E$7:$E$10020,IF(OR(MID(TRIM($A147),2,1)="：",MID(TRIM($A147),2,1)="、"),REPLACEB(TRIM($A147),1,4,""),TRIM($A147)))</f>
        <v>0</v>
      </c>
      <c r="E147" s="677">
        <f>SUMIFS(调整事项汇总表!$K$7:$K$10020,调整事项汇总表!$D$7:$D$10020,"报表调整",调整事项汇总表!$E$7:$E$10020,IF(OR(MID(TRIM($A147),2,1)="：",MID(TRIM($A147),2,1)="、"),REPLACEB(TRIM($A147),1,4,""),TRIM($A147)))</f>
        <v>0</v>
      </c>
      <c r="F147" s="677">
        <f>SUMIFS(调整事项汇总表!$L$7:$L$10020,调整事项汇总表!$D$7:$D$10020,"报表调整",调整事项汇总表!$E$7:$E$10020,IF(OR(MID(TRIM($A147),2,1)="：",MID(TRIM($A147),2,1)="、"),REPLACEB(TRIM($A147),1,4,""),TRIM($A147)))</f>
        <v>0</v>
      </c>
      <c r="G147" s="677">
        <f>SUMIFS(调整事项汇总表!$K$7:$K$10020,调整事项汇总表!$D$7:$D$10020,"其他",调整事项汇总表!$E$7:$E$10020,IF(OR(MID(TRIM($A147),2,1)="：",MID(TRIM($A147),2,1)="、"),REPLACEB(TRIM($A147),1,4,""),TRIM($A147)))</f>
        <v>0</v>
      </c>
      <c r="H147" s="677">
        <f>SUMIFS(调整事项汇总表!$L$7:$L$10020,调整事项汇总表!$D$7:$D$10020,"其他",调整事项汇总表!$E$7:$E$10020,IF(OR(MID(TRIM($A147),2,1)="：",MID(TRIM($A147),2,1)="、"),REPLACEB(TRIM($A147),1,4,""),TRIM($A147)))</f>
        <v>0</v>
      </c>
      <c r="I147" s="762">
        <f t="shared" si="42"/>
        <v>4493249.99</v>
      </c>
      <c r="J147" s="425" t="b">
        <f>A147=未审报表!A147</f>
        <v>1</v>
      </c>
      <c r="K147" s="425" t="b">
        <f>A147=审定报表!A147</f>
        <v>1</v>
      </c>
    </row>
    <row r="148" spans="1:11" ht="14.4" customHeight="1">
      <c r="A148" s="779" t="str">
        <f>未审报表!A148</f>
        <v xml:space="preserve"> 其中：应交税金</v>
      </c>
      <c r="B148" s="677">
        <f>期初核对!C148</f>
        <v>0</v>
      </c>
      <c r="C148" s="677">
        <f>SUMIFS(调整事项汇总表!$K$7:$K$10020,调整事项汇总表!$D$7:$D$10020,"账项调整",调整事项汇总表!$E$7:$E$10020,"应交税费",调整事项汇总表!$F$7:$F$10020,IF(OR(MID(TRIM($A148),3,1)="：",MID(TRIM($A148),2,1)="、"),REPLACEB(TRIM($A148),1,6,""),TRIM($A148)))</f>
        <v>0</v>
      </c>
      <c r="D148" s="677">
        <f>SUMIFS(调整事项汇总表!$L$7:$L$10020,调整事项汇总表!$D$7:$D$10020,"账项调整",调整事项汇总表!$E$7:$E$10020,"应交税费",调整事项汇总表!$F$7:$F$10020,IF(OR(MID(TRIM($A148),3,1)="：",MID(TRIM($A148),2,1)="、"),REPLACEB(TRIM($A148),1,6,""),TRIM($A148)))</f>
        <v>0</v>
      </c>
      <c r="E148" s="677">
        <f>SUMIFS(调整事项汇总表!$K$7:$K$10020,调整事项汇总表!$D$7:$D$10020,"报表调整",调整事项汇总表!$E$7:$E$10020,"应交税费",调整事项汇总表!$F$7:$F$10020,IF(OR(MID(TRIM($A148),3,1)="：",MID(TRIM($A148),2,1)="、"),REPLACEB(TRIM($A148),1,6,""),TRIM($A148)))</f>
        <v>0</v>
      </c>
      <c r="F148" s="677">
        <f>SUMIFS(调整事项汇总表!$L$7:$L$10020,调整事项汇总表!$D$7:$D$10020,"报表调整",调整事项汇总表!$E$7:$E$10020,"应交税费",调整事项汇总表!$F$7:$F$10020,IF(OR(MID(TRIM($A148),3,1)="：",MID(TRIM($A148),2,1)="、"),REPLACEB(TRIM($A148),1,6,""),TRIM($A148)))</f>
        <v>0</v>
      </c>
      <c r="G148" s="677">
        <f>SUMIFS(调整事项汇总表!$K$7:$K$10020,调整事项汇总表!$D$7:$D$10020,"其他",调整事项汇总表!$E$7:$E$10020,"应交税费",调整事项汇总表!$F$7:$F$10020,IF(OR(MID(TRIM($A148),3,1)="：",MID(TRIM($A148),2,1)="、"),REPLACEB(TRIM($A148),1,6,""),TRIM($A148)))</f>
        <v>0</v>
      </c>
      <c r="H148" s="677">
        <f>SUMIFS(调整事项汇总表!$L$7:$L$10020,调整事项汇总表!$D$7:$D$10020,"其他",调整事项汇总表!$E$7:$E$10020,"应交税费",调整事项汇总表!$F$7:$F$10020,IF(OR(MID(TRIM($A148),3,1)="：",MID(TRIM($A148),2,1)="、"),REPLACEB(TRIM($A148),1,6,""),TRIM($A148)))</f>
        <v>0</v>
      </c>
      <c r="I148" s="762">
        <f t="shared" si="42"/>
        <v>0</v>
      </c>
      <c r="J148" s="425" t="b">
        <f>A148=未审报表!A148</f>
        <v>1</v>
      </c>
      <c r="K148" s="425" t="b">
        <f>A148=审定报表!A148</f>
        <v>1</v>
      </c>
    </row>
    <row r="149" spans="1:11" ht="14.4" customHeight="1">
      <c r="A149" s="779" t="str">
        <f>未审报表!A149</f>
        <v>其他应付款</v>
      </c>
      <c r="B149" s="677">
        <f>期初核对!C149</f>
        <v>1164224.7800000005</v>
      </c>
      <c r="C149" s="677">
        <f>SUMIFS(调整事项汇总表!$K$7:$K$10020,调整事项汇总表!$D$7:$D$10020,"账项调整",调整事项汇总表!$E$7:$E$10020,IF(OR(MID(TRIM($A149),2,1)="：",MID(TRIM($A149),2,1)="、"),REPLACEB(TRIM($A149),1,4,""),TRIM($A149)))</f>
        <v>0</v>
      </c>
      <c r="D149" s="677">
        <f>SUMIFS(调整事项汇总表!$L$7:$L$10020,调整事项汇总表!$D$7:$D$10020,"账项调整",调整事项汇总表!$E$7:$E$10020,IF(OR(MID(TRIM($A149),2,1)="：",MID(TRIM($A149),2,1)="、"),REPLACEB(TRIM($A149),1,4,""),TRIM($A149)))</f>
        <v>0</v>
      </c>
      <c r="E149" s="677">
        <f>SUMIFS(调整事项汇总表!$K$7:$K$10020,调整事项汇总表!$D$7:$D$10020,"报表调整",调整事项汇总表!$E$7:$E$10020,IF(OR(MID(TRIM($A149),2,1)="：",MID(TRIM($A149),2,1)="、"),REPLACEB(TRIM($A149),1,4,""),TRIM($A149)))</f>
        <v>0</v>
      </c>
      <c r="F149" s="677">
        <f>SUMIFS(调整事项汇总表!$L$7:$L$10020,调整事项汇总表!$D$7:$D$10020,"报表调整",调整事项汇总表!$E$7:$E$10020,IF(OR(MID(TRIM($A149),2,1)="：",MID(TRIM($A149),2,1)="、"),REPLACEB(TRIM($A149),1,4,""),TRIM($A149)))</f>
        <v>0</v>
      </c>
      <c r="G149" s="677">
        <f>SUMIFS(调整事项汇总表!$K$7:$K$10020,调整事项汇总表!$D$7:$D$10020,"其他",调整事项汇总表!$E$7:$E$10020,IF(OR(MID(TRIM($A149),2,1)="：",MID(TRIM($A149),2,1)="、"),REPLACEB(TRIM($A149),1,4,""),TRIM($A149)))</f>
        <v>0</v>
      </c>
      <c r="H149" s="677">
        <f>SUMIFS(调整事项汇总表!$L$7:$L$10020,调整事项汇总表!$D$7:$D$10020,"其他",调整事项汇总表!$E$7:$E$10020,IF(OR(MID(TRIM($A149),2,1)="：",MID(TRIM($A149),2,1)="、"),REPLACEB(TRIM($A149),1,4,""),TRIM($A149)))</f>
        <v>0</v>
      </c>
      <c r="I149" s="762">
        <f t="shared" si="42"/>
        <v>1164224.7800000005</v>
      </c>
      <c r="J149" s="425" t="b">
        <f>A149=未审报表!A149</f>
        <v>1</v>
      </c>
      <c r="K149" s="425" t="b">
        <f>A149=审定报表!A149</f>
        <v>1</v>
      </c>
    </row>
    <row r="150" spans="1:11" ht="14.4" customHeight="1">
      <c r="A150" s="779" t="str">
        <f>未审报表!A150</f>
        <v xml:space="preserve">  其中：应付利息</v>
      </c>
      <c r="B150" s="677">
        <f>期初核对!C150</f>
        <v>0</v>
      </c>
      <c r="C150" s="677">
        <f>SUMIFS(调整事项汇总表!$K$7:$K$10020,调整事项汇总表!$D$7:$D$10020,"账项调整",调整事项汇总表!$E$7:$E$10020,"其他应付款",调整事项汇总表!$F$7:$F$10020,IF(OR(MID(TRIM($A150),3,1)="：",MID(TRIM($A150),2,1)="、"),REPLACEB(TRIM($A150),1,6,""),TRIM($A150)))</f>
        <v>0</v>
      </c>
      <c r="D150" s="677">
        <f>SUMIFS(调整事项汇总表!$L$7:$L$10020,调整事项汇总表!$D$7:$D$10020,"账项调整",调整事项汇总表!$E$7:$E$10020,"其他应付款",调整事项汇总表!$F$7:$F$10020,IF(OR(MID(TRIM($A150),3,1)="：",MID(TRIM($A150),2,1)="、"),REPLACEB(TRIM($A150),1,6,""),TRIM($A150)))</f>
        <v>0</v>
      </c>
      <c r="E150" s="677">
        <f>SUMIFS(调整事项汇总表!$K$7:$K$10020,调整事项汇总表!$D$7:$D$10020,"报表调整",调整事项汇总表!$E$7:$E$10020,"其他应付款",调整事项汇总表!$F$7:$F$10020,IF(OR(MID(TRIM($A150),3,1)="：",MID(TRIM($A150),2,1)="、"),REPLACEB(TRIM($A150),1,6,""),TRIM($A150)))</f>
        <v>0</v>
      </c>
      <c r="F150" s="677">
        <f>SUMIFS(调整事项汇总表!$L$7:$L$10020,调整事项汇总表!$D$7:$D$10020,"报表调整",调整事项汇总表!$E$7:$E$10020,"其他应付款",调整事项汇总表!$F$7:$F$10020,IF(OR(MID(TRIM($A150),3,1)="：",MID(TRIM($A150),2,1)="、"),REPLACEB(TRIM($A150),1,6,""),TRIM($A150)))</f>
        <v>0</v>
      </c>
      <c r="G150" s="677">
        <f>SUMIFS(调整事项汇总表!$K$7:$K$10020,调整事项汇总表!$D$7:$D$10020,"其他",调整事项汇总表!$E$7:$E$10020,"其他应付款",调整事项汇总表!$F$7:$F$10020,IF(OR(MID(TRIM($A150),3,1)="：",MID(TRIM($A150),2,1)="、"),REPLACEB(TRIM($A150),1,6,""),TRIM($A150)))</f>
        <v>0</v>
      </c>
      <c r="H150" s="677">
        <f>SUMIFS(调整事项汇总表!$L$7:$L$10020,调整事项汇总表!$D$7:$D$10020,"其他",调整事项汇总表!$E$7:$E$10020,"其他应付款",调整事项汇总表!$F$7:$F$10020,IF(OR(MID(TRIM($A150),3,1)="：",MID(TRIM($A150),2,1)="、"),REPLACEB(TRIM($A150),1,6,""),TRIM($A150)))</f>
        <v>0</v>
      </c>
      <c r="I150" s="762">
        <f t="shared" si="42"/>
        <v>0</v>
      </c>
      <c r="J150" s="425" t="b">
        <f>A150=未审报表!A150</f>
        <v>1</v>
      </c>
      <c r="K150" s="425" t="b">
        <f>A150=审定报表!A150</f>
        <v>1</v>
      </c>
    </row>
    <row r="151" spans="1:11" ht="14.4" customHeight="1">
      <c r="A151" s="779" t="str">
        <f>未审报表!A151</f>
        <v xml:space="preserve">        应付股利</v>
      </c>
      <c r="B151" s="677">
        <f>期初核对!C151</f>
        <v>0</v>
      </c>
      <c r="C151" s="677">
        <f>SUMIFS(调整事项汇总表!$K$7:$K$10020,调整事项汇总表!$D$7:$D$10020,"账项调整",调整事项汇总表!$E$7:$E$10020,"其他应付款",调整事项汇总表!$F$7:$F$10020,IF(OR(MID(TRIM($A151),3,1)="：",MID(TRIM($A151),2,1)="、"),REPLACEB(TRIM($A151),1,6,""),TRIM($A151)))</f>
        <v>0</v>
      </c>
      <c r="D151" s="677">
        <f>SUMIFS(调整事项汇总表!$L$7:$L$10020,调整事项汇总表!$D$7:$D$10020,"账项调整",调整事项汇总表!$E$7:$E$10020,"其他应付款",调整事项汇总表!$F$7:$F$10020,IF(OR(MID(TRIM($A151),3,1)="：",MID(TRIM($A151),2,1)="、"),REPLACEB(TRIM($A151),1,6,""),TRIM($A151)))</f>
        <v>0</v>
      </c>
      <c r="E151" s="677">
        <f>SUMIFS(调整事项汇总表!$K$7:$K$10020,调整事项汇总表!$D$7:$D$10020,"报表调整",调整事项汇总表!$E$7:$E$10020,"其他应付款",调整事项汇总表!$F$7:$F$10020,IF(OR(MID(TRIM($A151),3,1)="：",MID(TRIM($A151),2,1)="、"),REPLACEB(TRIM($A151),1,6,""),TRIM($A151)))</f>
        <v>0</v>
      </c>
      <c r="F151" s="677">
        <f>SUMIFS(调整事项汇总表!$L$7:$L$10020,调整事项汇总表!$D$7:$D$10020,"报表调整",调整事项汇总表!$E$7:$E$10020,"其他应付款",调整事项汇总表!$F$7:$F$10020,IF(OR(MID(TRIM($A151),3,1)="：",MID(TRIM($A151),2,1)="、"),REPLACEB(TRIM($A151),1,6,""),TRIM($A151)))</f>
        <v>0</v>
      </c>
      <c r="G151" s="677">
        <f>SUMIFS(调整事项汇总表!$K$7:$K$10020,调整事项汇总表!$D$7:$D$10020,"其他",调整事项汇总表!$E$7:$E$10020,"其他应付款",调整事项汇总表!$F$7:$F$10020,IF(OR(MID(TRIM($A151),3,1)="：",MID(TRIM($A151),2,1)="、"),REPLACEB(TRIM($A151),1,6,""),TRIM($A151)))</f>
        <v>0</v>
      </c>
      <c r="H151" s="677">
        <f>SUMIFS(调整事项汇总表!$L$7:$L$10020,调整事项汇总表!$D$7:$D$10020,"其他",调整事项汇总表!$E$7:$E$10020,"其他应付款",调整事项汇总表!$F$7:$F$10020,IF(OR(MID(TRIM($A151),3,1)="：",MID(TRIM($A151),2,1)="、"),REPLACEB(TRIM($A151),1,6,""),TRIM($A151)))</f>
        <v>0</v>
      </c>
      <c r="I151" s="762">
        <f t="shared" si="42"/>
        <v>0</v>
      </c>
      <c r="J151" s="425" t="b">
        <f>A151=未审报表!A151</f>
        <v>1</v>
      </c>
      <c r="K151" s="425" t="b">
        <f>A151=审定报表!A151</f>
        <v>1</v>
      </c>
    </row>
    <row r="152" spans="1:11" ht="14.4" customHeight="1">
      <c r="A152" s="779" t="str">
        <f>未审报表!A152</f>
        <v>应付手续费及佣金*</v>
      </c>
      <c r="B152" s="677">
        <f>期初核对!C152</f>
        <v>0</v>
      </c>
      <c r="C152" s="677">
        <f>SUMIFS(调整事项汇总表!$K$7:$K$10020,调整事项汇总表!$D$7:$D$10020,"账项调整",调整事项汇总表!$E$7:$E$10020,IF(OR(MID(TRIM($A152),2,1)="：",MID(TRIM($A152),2,1)="、"),REPLACEB(TRIM($A152),1,4,""),TRIM($A152)))</f>
        <v>0</v>
      </c>
      <c r="D152" s="677">
        <f>SUMIFS(调整事项汇总表!$L$7:$L$10020,调整事项汇总表!$D$7:$D$10020,"账项调整",调整事项汇总表!$E$7:$E$10020,IF(OR(MID(TRIM($A152),2,1)="：",MID(TRIM($A152),2,1)="、"),REPLACEB(TRIM($A152),1,4,""),TRIM($A152)))</f>
        <v>0</v>
      </c>
      <c r="E152" s="677">
        <f>SUMIFS(调整事项汇总表!$K$7:$K$10020,调整事项汇总表!$D$7:$D$10020,"报表调整",调整事项汇总表!$E$7:$E$10020,IF(OR(MID(TRIM($A152),2,1)="：",MID(TRIM($A152),2,1)="、"),REPLACEB(TRIM($A152),1,4,""),TRIM($A152)))</f>
        <v>0</v>
      </c>
      <c r="F152" s="677">
        <f>SUMIFS(调整事项汇总表!$L$7:$L$10020,调整事项汇总表!$D$7:$D$10020,"报表调整",调整事项汇总表!$E$7:$E$10020,IF(OR(MID(TRIM($A152),2,1)="：",MID(TRIM($A152),2,1)="、"),REPLACEB(TRIM($A152),1,4,""),TRIM($A152)))</f>
        <v>0</v>
      </c>
      <c r="G152" s="677">
        <f>SUMIFS(调整事项汇总表!$K$7:$K$10020,调整事项汇总表!$D$7:$D$10020,"其他",调整事项汇总表!$E$7:$E$10020,IF(OR(MID(TRIM($A152),2,1)="：",MID(TRIM($A152),2,1)="、"),REPLACEB(TRIM($A152),1,4,""),TRIM($A152)))</f>
        <v>0</v>
      </c>
      <c r="H152" s="677">
        <f>SUMIFS(调整事项汇总表!$L$7:$L$10020,调整事项汇总表!$D$7:$D$10020,"其他",调整事项汇总表!$E$7:$E$10020,IF(OR(MID(TRIM($A152),2,1)="：",MID(TRIM($A152),2,1)="、"),REPLACEB(TRIM($A152),1,4,""),TRIM($A152)))</f>
        <v>0</v>
      </c>
      <c r="I152" s="762">
        <f t="shared" si="42"/>
        <v>0</v>
      </c>
      <c r="J152" s="425" t="b">
        <f>A152=未审报表!A152</f>
        <v>1</v>
      </c>
      <c r="K152" s="425" t="b">
        <f>A152=审定报表!A152</f>
        <v>1</v>
      </c>
    </row>
    <row r="153" spans="1:11" ht="14.4" customHeight="1">
      <c r="A153" s="779" t="str">
        <f>未审报表!A153</f>
        <v>应付分保账款*</v>
      </c>
      <c r="B153" s="677">
        <f>期初核对!C153</f>
        <v>0</v>
      </c>
      <c r="C153" s="677">
        <f>SUMIFS(调整事项汇总表!$K$7:$K$10020,调整事项汇总表!$D$7:$D$10020,"账项调整",调整事项汇总表!$E$7:$E$10020,IF(OR(MID(TRIM($A153),2,1)="：",MID(TRIM($A153),2,1)="、"),REPLACEB(TRIM($A153),1,4,""),TRIM($A153)))</f>
        <v>0</v>
      </c>
      <c r="D153" s="677">
        <f>SUMIFS(调整事项汇总表!$L$7:$L$10020,调整事项汇总表!$D$7:$D$10020,"账项调整",调整事项汇总表!$E$7:$E$10020,IF(OR(MID(TRIM($A153),2,1)="：",MID(TRIM($A153),2,1)="、"),REPLACEB(TRIM($A153),1,4,""),TRIM($A153)))</f>
        <v>0</v>
      </c>
      <c r="E153" s="677">
        <f>SUMIFS(调整事项汇总表!$K$7:$K$10020,调整事项汇总表!$D$7:$D$10020,"报表调整",调整事项汇总表!$E$7:$E$10020,IF(OR(MID(TRIM($A153),2,1)="：",MID(TRIM($A153),2,1)="、"),REPLACEB(TRIM($A153),1,4,""),TRIM($A153)))</f>
        <v>0</v>
      </c>
      <c r="F153" s="677">
        <f>SUMIFS(调整事项汇总表!$L$7:$L$10020,调整事项汇总表!$D$7:$D$10020,"报表调整",调整事项汇总表!$E$7:$E$10020,IF(OR(MID(TRIM($A153),2,1)="：",MID(TRIM($A153),2,1)="、"),REPLACEB(TRIM($A153),1,4,""),TRIM($A153)))</f>
        <v>0</v>
      </c>
      <c r="G153" s="677">
        <f>SUMIFS(调整事项汇总表!$K$7:$K$10020,调整事项汇总表!$D$7:$D$10020,"其他",调整事项汇总表!$E$7:$E$10020,IF(OR(MID(TRIM($A153),2,1)="：",MID(TRIM($A153),2,1)="、"),REPLACEB(TRIM($A153),1,4,""),TRIM($A153)))</f>
        <v>0</v>
      </c>
      <c r="H153" s="677">
        <f>SUMIFS(调整事项汇总表!$L$7:$L$10020,调整事项汇总表!$D$7:$D$10020,"其他",调整事项汇总表!$E$7:$E$10020,IF(OR(MID(TRIM($A153),2,1)="：",MID(TRIM($A153),2,1)="、"),REPLACEB(TRIM($A153),1,4,""),TRIM($A153)))</f>
        <v>0</v>
      </c>
      <c r="I153" s="762">
        <f t="shared" si="42"/>
        <v>0</v>
      </c>
      <c r="J153" s="425" t="b">
        <f>A153=未审报表!A153</f>
        <v>1</v>
      </c>
      <c r="K153" s="425" t="b">
        <f>A153=审定报表!A153</f>
        <v>1</v>
      </c>
    </row>
    <row r="154" spans="1:11" ht="14.4" customHeight="1">
      <c r="A154" s="779" t="str">
        <f>未审报表!A154</f>
        <v>持有待售负债</v>
      </c>
      <c r="B154" s="677">
        <f>期初核对!C154</f>
        <v>0</v>
      </c>
      <c r="C154" s="677">
        <f>SUMIFS(调整事项汇总表!$K$7:$K$10020,调整事项汇总表!$D$7:$D$10020,"账项调整",调整事项汇总表!$E$7:$E$10020,IF(OR(MID(TRIM($A154),2,1)="：",MID(TRIM($A154),2,1)="、"),REPLACEB(TRIM($A154),1,4,""),TRIM($A154)))</f>
        <v>0</v>
      </c>
      <c r="D154" s="677">
        <f>SUMIFS(调整事项汇总表!$L$7:$L$10020,调整事项汇总表!$D$7:$D$10020,"账项调整",调整事项汇总表!$E$7:$E$10020,IF(OR(MID(TRIM($A154),2,1)="：",MID(TRIM($A154),2,1)="、"),REPLACEB(TRIM($A154),1,4,""),TRIM($A154)))</f>
        <v>0</v>
      </c>
      <c r="E154" s="677">
        <f>SUMIFS(调整事项汇总表!$K$7:$K$10020,调整事项汇总表!$D$7:$D$10020,"报表调整",调整事项汇总表!$E$7:$E$10020,IF(OR(MID(TRIM($A154),2,1)="：",MID(TRIM($A154),2,1)="、"),REPLACEB(TRIM($A154),1,4,""),TRIM($A154)))</f>
        <v>0</v>
      </c>
      <c r="F154" s="677">
        <f>SUMIFS(调整事项汇总表!$L$7:$L$10020,调整事项汇总表!$D$7:$D$10020,"报表调整",调整事项汇总表!$E$7:$E$10020,IF(OR(MID(TRIM($A154),2,1)="：",MID(TRIM($A154),2,1)="、"),REPLACEB(TRIM($A154),1,4,""),TRIM($A154)))</f>
        <v>0</v>
      </c>
      <c r="G154" s="677">
        <f>SUMIFS(调整事项汇总表!$K$7:$K$10020,调整事项汇总表!$D$7:$D$10020,"其他",调整事项汇总表!$E$7:$E$10020,IF(OR(MID(TRIM($A154),2,1)="：",MID(TRIM($A154),2,1)="、"),REPLACEB(TRIM($A154),1,4,""),TRIM($A154)))</f>
        <v>0</v>
      </c>
      <c r="H154" s="677">
        <f>SUMIFS(调整事项汇总表!$L$7:$L$10020,调整事项汇总表!$D$7:$D$10020,"其他",调整事项汇总表!$E$7:$E$10020,IF(OR(MID(TRIM($A154),2,1)="：",MID(TRIM($A154),2,1)="、"),REPLACEB(TRIM($A154),1,4,""),TRIM($A154)))</f>
        <v>0</v>
      </c>
      <c r="I154" s="762">
        <f t="shared" si="42"/>
        <v>0</v>
      </c>
      <c r="J154" s="425" t="b">
        <f>A154=未审报表!A154</f>
        <v>1</v>
      </c>
      <c r="K154" s="425" t="b">
        <f>A154=审定报表!A154</f>
        <v>1</v>
      </c>
    </row>
    <row r="155" spans="1:11" ht="14.4" customHeight="1">
      <c r="A155" s="779" t="str">
        <f>未审报表!A155</f>
        <v>一年内到期的非流动负债</v>
      </c>
      <c r="B155" s="677">
        <f>期初核对!C155</f>
        <v>0</v>
      </c>
      <c r="C155" s="677">
        <f>SUMIFS(调整事项汇总表!$K$7:$K$10020,调整事项汇总表!$D$7:$D$10020,"账项调整",调整事项汇总表!$E$7:$E$10020,IF(OR(MID(TRIM($A155),2,1)="：",MID(TRIM($A155),2,1)="、"),REPLACEB(TRIM($A155),1,4,""),TRIM($A155)))</f>
        <v>0</v>
      </c>
      <c r="D155" s="677">
        <f>SUMIFS(调整事项汇总表!$L$7:$L$10020,调整事项汇总表!$D$7:$D$10020,"账项调整",调整事项汇总表!$E$7:$E$10020,IF(OR(MID(TRIM($A155),2,1)="：",MID(TRIM($A155),2,1)="、"),REPLACEB(TRIM($A155),1,4,""),TRIM($A155)))</f>
        <v>0</v>
      </c>
      <c r="E155" s="677">
        <f>SUMIFS(调整事项汇总表!$K$7:$K$10020,调整事项汇总表!$D$7:$D$10020,"报表调整",调整事项汇总表!$E$7:$E$10020,IF(OR(MID(TRIM($A155),2,1)="：",MID(TRIM($A155),2,1)="、"),REPLACEB(TRIM($A155),1,4,""),TRIM($A155)))</f>
        <v>0</v>
      </c>
      <c r="F155" s="677">
        <f>SUMIFS(调整事项汇总表!$L$7:$L$10020,调整事项汇总表!$D$7:$D$10020,"报表调整",调整事项汇总表!$E$7:$E$10020,IF(OR(MID(TRIM($A155),2,1)="：",MID(TRIM($A155),2,1)="、"),REPLACEB(TRIM($A155),1,4,""),TRIM($A155)))</f>
        <v>0</v>
      </c>
      <c r="G155" s="677">
        <f>SUMIFS(调整事项汇总表!$K$7:$K$10020,调整事项汇总表!$D$7:$D$10020,"其他",调整事项汇总表!$E$7:$E$10020,IF(OR(MID(TRIM($A155),2,1)="：",MID(TRIM($A155),2,1)="、"),REPLACEB(TRIM($A155),1,4,""),TRIM($A155)))</f>
        <v>0</v>
      </c>
      <c r="H155" s="677">
        <f>SUMIFS(调整事项汇总表!$L$7:$L$10020,调整事项汇总表!$D$7:$D$10020,"其他",调整事项汇总表!$E$7:$E$10020,IF(OR(MID(TRIM($A155),2,1)="：",MID(TRIM($A155),2,1)="、"),REPLACEB(TRIM($A155),1,4,""),TRIM($A155)))</f>
        <v>0</v>
      </c>
      <c r="I155" s="762">
        <f t="shared" si="42"/>
        <v>0</v>
      </c>
      <c r="J155" s="425" t="b">
        <f>A155=未审报表!A155</f>
        <v>1</v>
      </c>
      <c r="K155" s="425" t="b">
        <f>A155=审定报表!A155</f>
        <v>1</v>
      </c>
    </row>
    <row r="156" spans="1:11" ht="14.4" customHeight="1">
      <c r="A156" s="779" t="str">
        <f>未审报表!A156</f>
        <v>其他流动负债</v>
      </c>
      <c r="B156" s="677">
        <f>期初核对!C156</f>
        <v>0</v>
      </c>
      <c r="C156" s="677">
        <f>SUMIFS(调整事项汇总表!$K$7:$K$10020,调整事项汇总表!$D$7:$D$10020,"账项调整",调整事项汇总表!$E$7:$E$10020,IF(OR(MID(TRIM($A156),2,1)="：",MID(TRIM($A156),2,1)="、"),REPLACEB(TRIM($A156),1,4,""),TRIM($A156)))</f>
        <v>0</v>
      </c>
      <c r="D156" s="677">
        <f>SUMIFS(调整事项汇总表!$L$7:$L$10020,调整事项汇总表!$D$7:$D$10020,"账项调整",调整事项汇总表!$E$7:$E$10020,IF(OR(MID(TRIM($A156),2,1)="：",MID(TRIM($A156),2,1)="、"),REPLACEB(TRIM($A156),1,4,""),TRIM($A156)))</f>
        <v>0</v>
      </c>
      <c r="E156" s="677">
        <f>SUMIFS(调整事项汇总表!$K$7:$K$10020,调整事项汇总表!$D$7:$D$10020,"报表调整",调整事项汇总表!$E$7:$E$10020,IF(OR(MID(TRIM($A156),2,1)="：",MID(TRIM($A156),2,1)="、"),REPLACEB(TRIM($A156),1,4,""),TRIM($A156)))</f>
        <v>0</v>
      </c>
      <c r="F156" s="677">
        <f>SUMIFS(调整事项汇总表!$L$7:$L$10020,调整事项汇总表!$D$7:$D$10020,"报表调整",调整事项汇总表!$E$7:$E$10020,IF(OR(MID(TRIM($A156),2,1)="：",MID(TRIM($A156),2,1)="、"),REPLACEB(TRIM($A156),1,4,""),TRIM($A156)))</f>
        <v>0</v>
      </c>
      <c r="G156" s="677">
        <f>SUMIFS(调整事项汇总表!$K$7:$K$10020,调整事项汇总表!$D$7:$D$10020,"其他",调整事项汇总表!$E$7:$E$10020,IF(OR(MID(TRIM($A156),2,1)="：",MID(TRIM($A156),2,1)="、"),REPLACEB(TRIM($A156),1,4,""),TRIM($A156)))</f>
        <v>0</v>
      </c>
      <c r="H156" s="677">
        <f>SUMIFS(调整事项汇总表!$L$7:$L$10020,调整事项汇总表!$D$7:$D$10020,"其他",调整事项汇总表!$E$7:$E$10020,IF(OR(MID(TRIM($A156),2,1)="：",MID(TRIM($A156),2,1)="、"),REPLACEB(TRIM($A156),1,4,""),TRIM($A156)))</f>
        <v>0</v>
      </c>
      <c r="I156" s="762">
        <f t="shared" si="42"/>
        <v>0</v>
      </c>
      <c r="J156" s="425" t="b">
        <f>A156=未审报表!A156</f>
        <v>1</v>
      </c>
      <c r="K156" s="425" t="b">
        <f>A156=审定报表!A156</f>
        <v>1</v>
      </c>
    </row>
    <row r="157" spans="1:11" ht="14.4" customHeight="1">
      <c r="A157" s="779" t="str">
        <f>未审报表!A157</f>
        <v>保险合同准备金*</v>
      </c>
      <c r="B157" s="677">
        <f>期初核对!C157</f>
        <v>0</v>
      </c>
      <c r="C157" s="677">
        <f>SUMIFS(调整事项汇总表!$K$7:$K$10020,调整事项汇总表!$D$7:$D$10020,"账项调整",调整事项汇总表!$E$7:$E$10020,IF(OR(MID(TRIM($A157),2,1)="：",MID(TRIM($A157),2,1)="、"),REPLACEB(TRIM($A157),1,4,""),TRIM($A157)))</f>
        <v>0</v>
      </c>
      <c r="D157" s="677">
        <f>SUMIFS(调整事项汇总表!$L$7:$L$10020,调整事项汇总表!$D$7:$D$10020,"账项调整",调整事项汇总表!$E$7:$E$10020,IF(OR(MID(TRIM($A157),2,1)="：",MID(TRIM($A157),2,1)="、"),REPLACEB(TRIM($A157),1,4,""),TRIM($A157)))</f>
        <v>0</v>
      </c>
      <c r="E157" s="677">
        <f>SUMIFS(调整事项汇总表!$K$7:$K$10020,调整事项汇总表!$D$7:$D$10020,"报表调整",调整事项汇总表!$E$7:$E$10020,IF(OR(MID(TRIM($A157),2,1)="：",MID(TRIM($A157),2,1)="、"),REPLACEB(TRIM($A157),1,4,""),TRIM($A157)))</f>
        <v>0</v>
      </c>
      <c r="F157" s="677">
        <f>SUMIFS(调整事项汇总表!$L$7:$L$10020,调整事项汇总表!$D$7:$D$10020,"报表调整",调整事项汇总表!$E$7:$E$10020,IF(OR(MID(TRIM($A157),2,1)="：",MID(TRIM($A157),2,1)="、"),REPLACEB(TRIM($A157),1,4,""),TRIM($A157)))</f>
        <v>0</v>
      </c>
      <c r="G157" s="677">
        <f>SUMIFS(调整事项汇总表!$K$7:$K$10020,调整事项汇总表!$D$7:$D$10020,"其他",调整事项汇总表!$E$7:$E$10020,IF(OR(MID(TRIM($A157),2,1)="：",MID(TRIM($A157),2,1)="、"),REPLACEB(TRIM($A157),1,4,""),TRIM($A157)))</f>
        <v>0</v>
      </c>
      <c r="H157" s="677">
        <f>SUMIFS(调整事项汇总表!$L$7:$L$10020,调整事项汇总表!$D$7:$D$10020,"其他",调整事项汇总表!$E$7:$E$10020,IF(OR(MID(TRIM($A157),2,1)="：",MID(TRIM($A157),2,1)="、"),REPLACEB(TRIM($A157),1,4,""),TRIM($A157)))</f>
        <v>0</v>
      </c>
      <c r="I157" s="762">
        <f t="shared" si="42"/>
        <v>0</v>
      </c>
      <c r="J157" s="425" t="b">
        <f>A157=未审报表!A157</f>
        <v>1</v>
      </c>
      <c r="K157" s="425" t="b">
        <f>A157=审定报表!A157</f>
        <v>1</v>
      </c>
    </row>
    <row r="158" spans="1:11" ht="14.4" customHeight="1">
      <c r="A158" s="783" t="str">
        <f>未审报表!A158</f>
        <v>流动负债合计</v>
      </c>
      <c r="B158" s="677">
        <f>期初核对!C158</f>
        <v>9195302</v>
      </c>
      <c r="C158" s="634">
        <f>SUM(C130:C143,C147,C149,C152:C157)</f>
        <v>0</v>
      </c>
      <c r="D158" s="634">
        <f t="shared" ref="D158:H158" si="43">SUM(D130:D143,D147,D149,D152:D157)</f>
        <v>0</v>
      </c>
      <c r="E158" s="634">
        <f t="shared" si="43"/>
        <v>0</v>
      </c>
      <c r="F158" s="634">
        <f t="shared" si="43"/>
        <v>0</v>
      </c>
      <c r="G158" s="634">
        <f t="shared" si="43"/>
        <v>0</v>
      </c>
      <c r="H158" s="634">
        <f t="shared" si="43"/>
        <v>0</v>
      </c>
      <c r="I158" s="763">
        <f t="shared" si="42"/>
        <v>9195302</v>
      </c>
      <c r="J158" s="425" t="b">
        <f>A158=未审报表!A158</f>
        <v>1</v>
      </c>
      <c r="K158" s="425" t="b">
        <f>A158=审定报表!A158</f>
        <v>1</v>
      </c>
    </row>
    <row r="159" spans="1:11" ht="14.4" customHeight="1">
      <c r="A159" s="779" t="str">
        <f>未审报表!A159</f>
        <v>非流动负债:</v>
      </c>
      <c r="B159" s="400"/>
      <c r="C159" s="400"/>
      <c r="D159" s="400"/>
      <c r="E159" s="400"/>
      <c r="F159" s="400"/>
      <c r="G159" s="400"/>
      <c r="H159" s="400"/>
      <c r="I159" s="727"/>
      <c r="J159" s="425" t="b">
        <f>A159=未审报表!A159</f>
        <v>1</v>
      </c>
      <c r="K159" s="425" t="b">
        <f>A159=审定报表!A159</f>
        <v>1</v>
      </c>
    </row>
    <row r="160" spans="1:11" ht="14.4" customHeight="1">
      <c r="A160" s="779" t="str">
        <f>未审报表!A160</f>
        <v>长期借款</v>
      </c>
      <c r="B160" s="677">
        <f>期初核对!C160</f>
        <v>0</v>
      </c>
      <c r="C160" s="677">
        <f>SUMIFS(调整事项汇总表!$K$7:$K$10020,调整事项汇总表!$D$7:$D$10020,"账项调整",调整事项汇总表!$E$7:$E$10020,IF(OR(MID(TRIM($A160),2,1)="：",MID(TRIM($A160),2,1)="、"),REPLACEB(TRIM($A160),1,4,""),TRIM($A160)))</f>
        <v>0</v>
      </c>
      <c r="D160" s="677">
        <f>SUMIFS(调整事项汇总表!$L$7:$L$10020,调整事项汇总表!$D$7:$D$10020,"账项调整",调整事项汇总表!$E$7:$E$10020,IF(OR(MID(TRIM($A160),2,1)="：",MID(TRIM($A160),2,1)="、"),REPLACEB(TRIM($A160),1,4,""),TRIM($A160)))</f>
        <v>0</v>
      </c>
      <c r="E160" s="677">
        <f>SUMIFS(调整事项汇总表!$K$7:$K$10020,调整事项汇总表!$D$7:$D$10020,"报表调整",调整事项汇总表!$E$7:$E$10020,IF(OR(MID(TRIM($A160),2,1)="：",MID(TRIM($A160),2,1)="、"),REPLACEB(TRIM($A160),1,4,""),TRIM($A160)))</f>
        <v>0</v>
      </c>
      <c r="F160" s="677">
        <f>SUMIFS(调整事项汇总表!$L$7:$L$10020,调整事项汇总表!$D$7:$D$10020,"报表调整",调整事项汇总表!$E$7:$E$10020,IF(OR(MID(TRIM($A160),2,1)="：",MID(TRIM($A160),2,1)="、"),REPLACEB(TRIM($A160),1,4,""),TRIM($A160)))</f>
        <v>0</v>
      </c>
      <c r="G160" s="677">
        <f>SUMIFS(调整事项汇总表!$K$7:$K$10020,调整事项汇总表!$D$7:$D$10020,"其他",调整事项汇总表!$E$7:$E$10020,IF(OR(MID(TRIM($A160),2,1)="：",MID(TRIM($A160),2,1)="、"),REPLACEB(TRIM($A160),1,4,""),TRIM($A160)))</f>
        <v>0</v>
      </c>
      <c r="H160" s="677">
        <f>SUMIFS(调整事项汇总表!$L$7:$L$10020,调整事项汇总表!$D$7:$D$10020,"其他",调整事项汇总表!$E$7:$E$10020,IF(OR(MID(TRIM($A160),2,1)="：",MID(TRIM($A160),2,1)="、"),REPLACEB(TRIM($A160),1,4,""),TRIM($A160)))</f>
        <v>0</v>
      </c>
      <c r="I160" s="762">
        <f>B160+D160+F160+H160-G160-E160-C160</f>
        <v>0</v>
      </c>
      <c r="J160" s="425" t="b">
        <f>A160=未审报表!A160</f>
        <v>1</v>
      </c>
      <c r="K160" s="425" t="b">
        <f>A160=审定报表!A160</f>
        <v>1</v>
      </c>
    </row>
    <row r="161" spans="1:11" ht="14.4" customHeight="1">
      <c r="A161" s="779" t="str">
        <f>未审报表!A161</f>
        <v>应付债券</v>
      </c>
      <c r="B161" s="677">
        <f>期初核对!C161</f>
        <v>0</v>
      </c>
      <c r="C161" s="677">
        <f>SUMIFS(调整事项汇总表!$K$7:$K$10020,调整事项汇总表!$D$7:$D$10020,"账项调整",调整事项汇总表!$E$7:$E$10020,IF(OR(MID(TRIM($A161),2,1)="：",MID(TRIM($A161),2,1)="、"),REPLACEB(TRIM($A161),1,4,""),TRIM($A161)))</f>
        <v>0</v>
      </c>
      <c r="D161" s="677">
        <f>SUMIFS(调整事项汇总表!$L$7:$L$10020,调整事项汇总表!$D$7:$D$10020,"账项调整",调整事项汇总表!$E$7:$E$10020,IF(OR(MID(TRIM($A161),2,1)="：",MID(TRIM($A161),2,1)="、"),REPLACEB(TRIM($A161),1,4,""),TRIM($A161)))</f>
        <v>0</v>
      </c>
      <c r="E161" s="677">
        <f>SUMIFS(调整事项汇总表!$K$7:$K$10020,调整事项汇总表!$D$7:$D$10020,"报表调整",调整事项汇总表!$E$7:$E$10020,IF(OR(MID(TRIM($A161),2,1)="：",MID(TRIM($A161),2,1)="、"),REPLACEB(TRIM($A161),1,4,""),TRIM($A161)))</f>
        <v>0</v>
      </c>
      <c r="F161" s="677">
        <f>SUMIFS(调整事项汇总表!$L$7:$L$10020,调整事项汇总表!$D$7:$D$10020,"报表调整",调整事项汇总表!$E$7:$E$10020,IF(OR(MID(TRIM($A161),2,1)="：",MID(TRIM($A161),2,1)="、"),REPLACEB(TRIM($A161),1,4,""),TRIM($A161)))</f>
        <v>0</v>
      </c>
      <c r="G161" s="677">
        <f>SUMIFS(调整事项汇总表!$K$7:$K$10020,调整事项汇总表!$D$7:$D$10020,"其他",调整事项汇总表!$E$7:$E$10020,IF(OR(MID(TRIM($A161),2,1)="：",MID(TRIM($A161),2,1)="、"),REPLACEB(TRIM($A161),1,4,""),TRIM($A161)))</f>
        <v>0</v>
      </c>
      <c r="H161" s="677">
        <f>SUMIFS(调整事项汇总表!$L$7:$L$10020,调整事项汇总表!$D$7:$D$10020,"其他",调整事项汇总表!$E$7:$E$10020,IF(OR(MID(TRIM($A161),2,1)="：",MID(TRIM($A161),2,1)="、"),REPLACEB(TRIM($A161),1,4,""),TRIM($A161)))</f>
        <v>0</v>
      </c>
      <c r="I161" s="762">
        <f t="shared" ref="I161:I174" si="44">B161+D161+F161+H161-G161-E161-C161</f>
        <v>0</v>
      </c>
      <c r="J161" s="425" t="b">
        <f>A161=未审报表!A161</f>
        <v>1</v>
      </c>
      <c r="K161" s="425" t="b">
        <f>A161=审定报表!A161</f>
        <v>1</v>
      </c>
    </row>
    <row r="162" spans="1:11" ht="14.4" customHeight="1">
      <c r="A162" s="779" t="str">
        <f>未审报表!A162</f>
        <v xml:space="preserve">  其中：优先股</v>
      </c>
      <c r="B162" s="677">
        <f>期初核对!C162</f>
        <v>0</v>
      </c>
      <c r="C162" s="677">
        <f>SUMIFS(调整事项汇总表!$K$7:$K$10020,调整事项汇总表!$D$7:$D$10020,"账项调整",调整事项汇总表!$E$7:$E$10020,"应付债券",调整事项汇总表!$F$7:$F$10020,IF(OR(MID(TRIM($A162),3,1)="：",MID(TRIM($A162),2,1)="、"),REPLACEB(TRIM($A162),1,6,""),TRIM($A162)))</f>
        <v>0</v>
      </c>
      <c r="D162" s="677">
        <f>SUMIFS(调整事项汇总表!$L$7:$L$10020,调整事项汇总表!$D$7:$D$10020,"账项调整",调整事项汇总表!$E$7:$E$10020,"应付债券",调整事项汇总表!$F$7:$F$10020,IF(OR(MID(TRIM($A162),3,1)="：",MID(TRIM($A162),2,1)="、"),REPLACEB(TRIM($A162),1,6,""),TRIM($A162)))</f>
        <v>0</v>
      </c>
      <c r="E162" s="677">
        <f>SUMIFS(调整事项汇总表!$K$7:$K$10020,调整事项汇总表!$D$7:$D$10020,"报表调整",调整事项汇总表!$E$7:$E$10020,"应付债券",调整事项汇总表!$F$7:$F$10020,IF(OR(MID(TRIM($A162),3,1)="：",MID(TRIM($A162),2,1)="、"),REPLACEB(TRIM($A162),1,6,""),TRIM($A162)))</f>
        <v>0</v>
      </c>
      <c r="F162" s="677">
        <f>SUMIFS(调整事项汇总表!$L$7:$L$10020,调整事项汇总表!$D$7:$D$10020,"报表调整",调整事项汇总表!$E$7:$E$10020,"应付债券",调整事项汇总表!$F$7:$F$10020,IF(OR(MID(TRIM($A162),3,1)="：",MID(TRIM($A162),2,1)="、"),REPLACEB(TRIM($A162),1,6,""),TRIM($A162)))</f>
        <v>0</v>
      </c>
      <c r="G162" s="677">
        <f>SUMIFS(调整事项汇总表!$K$7:$K$10020,调整事项汇总表!$D$7:$D$10020,"其他",调整事项汇总表!$E$7:$E$10020,"应付债券",调整事项汇总表!$F$7:$F$10020,IF(OR(MID(TRIM($A162),3,1)="：",MID(TRIM($A162),2,1)="、"),REPLACEB(TRIM($A162),1,6,""),TRIM($A162)))</f>
        <v>0</v>
      </c>
      <c r="H162" s="677">
        <f>SUMIFS(调整事项汇总表!$L$7:$L$10020,调整事项汇总表!$D$7:$D$10020,"其他",调整事项汇总表!$E$7:$E$10020,"应付债券",调整事项汇总表!$F$7:$F$10020,IF(OR(MID(TRIM($A162),3,1)="：",MID(TRIM($A162),2,1)="、"),REPLACEB(TRIM($A162),1,6,""),TRIM($A162)))</f>
        <v>0</v>
      </c>
      <c r="I162" s="762">
        <f t="shared" si="44"/>
        <v>0</v>
      </c>
      <c r="J162" s="425" t="b">
        <f>A162=未审报表!A162</f>
        <v>1</v>
      </c>
      <c r="K162" s="425" t="b">
        <f>A162=审定报表!A162</f>
        <v>1</v>
      </c>
    </row>
    <row r="163" spans="1:11" ht="14.4" customHeight="1">
      <c r="A163" s="779" t="str">
        <f>未审报表!A163</f>
        <v xml:space="preserve">        永续债</v>
      </c>
      <c r="B163" s="677">
        <f>期初核对!C163</f>
        <v>0</v>
      </c>
      <c r="C163" s="677">
        <f>SUMIFS(调整事项汇总表!$K$7:$K$10020,调整事项汇总表!$D$7:$D$10020,"账项调整",调整事项汇总表!$E$7:$E$10020,"应付债券",调整事项汇总表!$F$7:$F$10020,IF(OR(MID(TRIM($A163),3,1)="：",MID(TRIM($A163),2,1)="、"),REPLACEB(TRIM($A163),1,6,""),TRIM($A163)))</f>
        <v>0</v>
      </c>
      <c r="D163" s="677">
        <f>SUMIFS(调整事项汇总表!$L$7:$L$10020,调整事项汇总表!$D$7:$D$10020,"账项调整",调整事项汇总表!$E$7:$E$10020,"应付债券",调整事项汇总表!$F$7:$F$10020,IF(OR(MID(TRIM($A163),3,1)="：",MID(TRIM($A163),2,1)="、"),REPLACEB(TRIM($A163),1,6,""),TRIM($A163)))</f>
        <v>0</v>
      </c>
      <c r="E163" s="677">
        <f>SUMIFS(调整事项汇总表!$K$7:$K$10020,调整事项汇总表!$D$7:$D$10020,"报表调整",调整事项汇总表!$E$7:$E$10020,"应付债券",调整事项汇总表!$F$7:$F$10020,IF(OR(MID(TRIM($A163),3,1)="：",MID(TRIM($A163),2,1)="、"),REPLACEB(TRIM($A163),1,6,""),TRIM($A163)))</f>
        <v>0</v>
      </c>
      <c r="F163" s="677">
        <f>SUMIFS(调整事项汇总表!$L$7:$L$10020,调整事项汇总表!$D$7:$D$10020,"报表调整",调整事项汇总表!$E$7:$E$10020,"应付债券",调整事项汇总表!$F$7:$F$10020,IF(OR(MID(TRIM($A163),3,1)="：",MID(TRIM($A163),2,1)="、"),REPLACEB(TRIM($A163),1,6,""),TRIM($A163)))</f>
        <v>0</v>
      </c>
      <c r="G163" s="677">
        <f>SUMIFS(调整事项汇总表!$K$7:$K$10020,调整事项汇总表!$D$7:$D$10020,"其他",调整事项汇总表!$E$7:$E$10020,"应付债券",调整事项汇总表!$F$7:$F$10020,IF(OR(MID(TRIM($A163),3,1)="：",MID(TRIM($A163),2,1)="、"),REPLACEB(TRIM($A163),1,6,""),TRIM($A163)))</f>
        <v>0</v>
      </c>
      <c r="H163" s="677">
        <f>SUMIFS(调整事项汇总表!$L$7:$L$10020,调整事项汇总表!$D$7:$D$10020,"其他",调整事项汇总表!$E$7:$E$10020,"应付债券",调整事项汇总表!$F$7:$F$10020,IF(OR(MID(TRIM($A163),3,1)="：",MID(TRIM($A163),2,1)="、"),REPLACEB(TRIM($A163),1,6,""),TRIM($A163)))</f>
        <v>0</v>
      </c>
      <c r="I163" s="762">
        <f t="shared" si="44"/>
        <v>0</v>
      </c>
      <c r="J163" s="425" t="b">
        <f>A163=未审报表!A163</f>
        <v>1</v>
      </c>
      <c r="K163" s="425" t="b">
        <f>A163=审定报表!A163</f>
        <v>1</v>
      </c>
    </row>
    <row r="164" spans="1:11" ht="14.4" customHeight="1">
      <c r="A164" s="779" t="str">
        <f>未审报表!A164</f>
        <v>租赁负债</v>
      </c>
      <c r="B164" s="677">
        <f>期初核对!C164</f>
        <v>0</v>
      </c>
      <c r="C164" s="677">
        <f>SUMIFS(调整事项汇总表!$K$7:$K$10020,调整事项汇总表!$D$7:$D$10020,"账项调整",调整事项汇总表!$E$7:$E$10020,IF(OR(MID(TRIM($A164),2,1)="：",MID(TRIM($A164),2,1)="、"),REPLACEB(TRIM($A164),1,4,""),TRIM($A164)))</f>
        <v>0</v>
      </c>
      <c r="D164" s="677">
        <f>SUMIFS(调整事项汇总表!$L$7:$L$10020,调整事项汇总表!$D$7:$D$10020,"账项调整",调整事项汇总表!$E$7:$E$10020,IF(OR(MID(TRIM($A164),2,1)="：",MID(TRIM($A164),2,1)="、"),REPLACEB(TRIM($A164),1,4,""),TRIM($A164)))</f>
        <v>0</v>
      </c>
      <c r="E164" s="677">
        <f>SUMIFS(调整事项汇总表!$K$7:$K$10020,调整事项汇总表!$D$7:$D$10020,"报表调整",调整事项汇总表!$E$7:$E$10020,IF(OR(MID(TRIM($A164),2,1)="：",MID(TRIM($A164),2,1)="、"),REPLACEB(TRIM($A164),1,4,""),TRIM($A164)))</f>
        <v>0</v>
      </c>
      <c r="F164" s="677">
        <f>SUMIFS(调整事项汇总表!$L$7:$L$10020,调整事项汇总表!$D$7:$D$10020,"报表调整",调整事项汇总表!$E$7:$E$10020,IF(OR(MID(TRIM($A164),2,1)="：",MID(TRIM($A164),2,1)="、"),REPLACEB(TRIM($A164),1,4,""),TRIM($A164)))</f>
        <v>0</v>
      </c>
      <c r="G164" s="677">
        <f>SUMIFS(调整事项汇总表!$K$7:$K$10020,调整事项汇总表!$D$7:$D$10020,"其他",调整事项汇总表!$E$7:$E$10020,IF(OR(MID(TRIM($A164),2,1)="：",MID(TRIM($A164),2,1)="、"),REPLACEB(TRIM($A164),1,4,""),TRIM($A164)))</f>
        <v>0</v>
      </c>
      <c r="H164" s="677">
        <f>SUMIFS(调整事项汇总表!$L$7:$L$10020,调整事项汇总表!$D$7:$D$10020,"其他",调整事项汇总表!$E$7:$E$10020,IF(OR(MID(TRIM($A164),2,1)="：",MID(TRIM($A164),2,1)="、"),REPLACEB(TRIM($A164),1,4,""),TRIM($A164)))</f>
        <v>0</v>
      </c>
      <c r="I164" s="762">
        <f t="shared" si="44"/>
        <v>0</v>
      </c>
      <c r="J164" s="425" t="b">
        <f>A164=未审报表!A164</f>
        <v>1</v>
      </c>
      <c r="K164" s="425" t="b">
        <f>A164=审定报表!A164</f>
        <v>1</v>
      </c>
    </row>
    <row r="165" spans="1:11" ht="14.4" customHeight="1">
      <c r="A165" s="779" t="str">
        <f>未审报表!A165</f>
        <v>长期应付款</v>
      </c>
      <c r="B165" s="677">
        <f>期初核对!C165</f>
        <v>0</v>
      </c>
      <c r="C165" s="677">
        <f>SUMIFS(调整事项汇总表!$K$7:$K$10020,调整事项汇总表!$D$7:$D$10020,"账项调整",调整事项汇总表!$E$7:$E$10020,IF(OR(MID(TRIM($A165),2,1)="：",MID(TRIM($A165),2,1)="、"),REPLACEB(TRIM($A165),1,4,""),TRIM($A165)))</f>
        <v>0</v>
      </c>
      <c r="D165" s="677">
        <f>SUMIFS(调整事项汇总表!$L$7:$L$10020,调整事项汇总表!$D$7:$D$10020,"账项调整",调整事项汇总表!$E$7:$E$10020,IF(OR(MID(TRIM($A165),2,1)="：",MID(TRIM($A165),2,1)="、"),REPLACEB(TRIM($A165),1,4,""),TRIM($A165)))</f>
        <v>0</v>
      </c>
      <c r="E165" s="677">
        <f>SUMIFS(调整事项汇总表!$K$7:$K$10020,调整事项汇总表!$D$7:$D$10020,"报表调整",调整事项汇总表!$E$7:$E$10020,IF(OR(MID(TRIM($A165),2,1)="：",MID(TRIM($A165),2,1)="、"),REPLACEB(TRIM($A165),1,4,""),TRIM($A165)))</f>
        <v>0</v>
      </c>
      <c r="F165" s="677">
        <f>SUMIFS(调整事项汇总表!$L$7:$L$10020,调整事项汇总表!$D$7:$D$10020,"报表调整",调整事项汇总表!$E$7:$E$10020,IF(OR(MID(TRIM($A165),2,1)="：",MID(TRIM($A165),2,1)="、"),REPLACEB(TRIM($A165),1,4,""),TRIM($A165)))</f>
        <v>0</v>
      </c>
      <c r="G165" s="677">
        <f>SUMIFS(调整事项汇总表!$K$7:$K$10020,调整事项汇总表!$D$7:$D$10020,"其他",调整事项汇总表!$E$7:$E$10020,IF(OR(MID(TRIM($A165),2,1)="：",MID(TRIM($A165),2,1)="、"),REPLACEB(TRIM($A165),1,4,""),TRIM($A165)))</f>
        <v>0</v>
      </c>
      <c r="H165" s="677">
        <f>SUMIFS(调整事项汇总表!$L$7:$L$10020,调整事项汇总表!$D$7:$D$10020,"其他",调整事项汇总表!$E$7:$E$10020,IF(OR(MID(TRIM($A165),2,1)="：",MID(TRIM($A165),2,1)="、"),REPLACEB(TRIM($A165),1,4,""),TRIM($A165)))</f>
        <v>0</v>
      </c>
      <c r="I165" s="762">
        <f t="shared" si="44"/>
        <v>0</v>
      </c>
      <c r="J165" s="425" t="b">
        <f>A165=未审报表!A165</f>
        <v>1</v>
      </c>
      <c r="K165" s="425" t="b">
        <f>A165=审定报表!A165</f>
        <v>1</v>
      </c>
    </row>
    <row r="166" spans="1:11" ht="14.4" customHeight="1">
      <c r="A166" s="779" t="str">
        <f>未审报表!A166</f>
        <v>专项应付款</v>
      </c>
      <c r="B166" s="677">
        <f>期初核对!C166</f>
        <v>0</v>
      </c>
      <c r="C166" s="677">
        <f>SUMIFS(调整事项汇总表!$K$7:$K$10020,调整事项汇总表!$D$7:$D$10020,"账项调整",调整事项汇总表!$E$7:$E$10020,IF(OR(MID(TRIM($A166),2,1)="：",MID(TRIM($A166),2,1)="、"),REPLACEB(TRIM($A166),1,4,""),TRIM($A166)))</f>
        <v>0</v>
      </c>
      <c r="D166" s="677">
        <f>SUMIFS(调整事项汇总表!$L$7:$L$10020,调整事项汇总表!$D$7:$D$10020,"账项调整",调整事项汇总表!$E$7:$E$10020,IF(OR(MID(TRIM($A166),2,1)="：",MID(TRIM($A166),2,1)="、"),REPLACEB(TRIM($A166),1,4,""),TRIM($A166)))</f>
        <v>0</v>
      </c>
      <c r="E166" s="677">
        <f>SUMIFS(调整事项汇总表!$K$7:$K$10020,调整事项汇总表!$D$7:$D$10020,"报表调整",调整事项汇总表!$E$7:$E$10020,IF(OR(MID(TRIM($A166),2,1)="：",MID(TRIM($A166),2,1)="、"),REPLACEB(TRIM($A166),1,4,""),TRIM($A166)))</f>
        <v>0</v>
      </c>
      <c r="F166" s="677">
        <f>SUMIFS(调整事项汇总表!$L$7:$L$10020,调整事项汇总表!$D$7:$D$10020,"报表调整",调整事项汇总表!$E$7:$E$10020,IF(OR(MID(TRIM($A166),2,1)="：",MID(TRIM($A166),2,1)="、"),REPLACEB(TRIM($A166),1,4,""),TRIM($A166)))</f>
        <v>0</v>
      </c>
      <c r="G166" s="677">
        <f>SUMIFS(调整事项汇总表!$K$7:$K$10020,调整事项汇总表!$D$7:$D$10020,"其他",调整事项汇总表!$E$7:$E$10020,IF(OR(MID(TRIM($A166),2,1)="：",MID(TRIM($A166),2,1)="、"),REPLACEB(TRIM($A166),1,4,""),TRIM($A166)))</f>
        <v>0</v>
      </c>
      <c r="H166" s="677">
        <f>SUMIFS(调整事项汇总表!$L$7:$L$10020,调整事项汇总表!$D$7:$D$10020,"其他",调整事项汇总表!$E$7:$E$10020,IF(OR(MID(TRIM($A166),2,1)="：",MID(TRIM($A166),2,1)="、"),REPLACEB(TRIM($A166),1,4,""),TRIM($A166)))</f>
        <v>0</v>
      </c>
      <c r="I166" s="762">
        <f t="shared" si="44"/>
        <v>0</v>
      </c>
      <c r="J166" s="425" t="b">
        <f>A166=未审报表!A166</f>
        <v>1</v>
      </c>
      <c r="K166" s="425" t="b">
        <f>A166=审定报表!A166</f>
        <v>1</v>
      </c>
    </row>
    <row r="167" spans="1:11" ht="14.4" customHeight="1">
      <c r="A167" s="779" t="str">
        <f>未审报表!A167</f>
        <v>长期应付职工薪酬</v>
      </c>
      <c r="B167" s="677">
        <f>期初核对!C167</f>
        <v>0</v>
      </c>
      <c r="C167" s="677">
        <f>SUMIFS(调整事项汇总表!$K$7:$K$10020,调整事项汇总表!$D$7:$D$10020,"账项调整",调整事项汇总表!$E$7:$E$10020,IF(OR(MID(TRIM($A167),2,1)="：",MID(TRIM($A167),2,1)="、"),REPLACEB(TRIM($A167),1,4,""),TRIM($A167)))</f>
        <v>0</v>
      </c>
      <c r="D167" s="677">
        <f>SUMIFS(调整事项汇总表!$L$7:$L$10020,调整事项汇总表!$D$7:$D$10020,"账项调整",调整事项汇总表!$E$7:$E$10020,IF(OR(MID(TRIM($A167),2,1)="：",MID(TRIM($A167),2,1)="、"),REPLACEB(TRIM($A167),1,4,""),TRIM($A167)))</f>
        <v>0</v>
      </c>
      <c r="E167" s="677">
        <f>SUMIFS(调整事项汇总表!$K$7:$K$10020,调整事项汇总表!$D$7:$D$10020,"报表调整",调整事项汇总表!$E$7:$E$10020,IF(OR(MID(TRIM($A167),2,1)="：",MID(TRIM($A167),2,1)="、"),REPLACEB(TRIM($A167),1,4,""),TRIM($A167)))</f>
        <v>0</v>
      </c>
      <c r="F167" s="677">
        <f>SUMIFS(调整事项汇总表!$L$7:$L$10020,调整事项汇总表!$D$7:$D$10020,"报表调整",调整事项汇总表!$E$7:$E$10020,IF(OR(MID(TRIM($A167),2,1)="：",MID(TRIM($A167),2,1)="、"),REPLACEB(TRIM($A167),1,4,""),TRIM($A167)))</f>
        <v>0</v>
      </c>
      <c r="G167" s="677">
        <f>SUMIFS(调整事项汇总表!$K$7:$K$10020,调整事项汇总表!$D$7:$D$10020,"其他",调整事项汇总表!$E$7:$E$10020,IF(OR(MID(TRIM($A167),2,1)="：",MID(TRIM($A167),2,1)="、"),REPLACEB(TRIM($A167),1,4,""),TRIM($A167)))</f>
        <v>0</v>
      </c>
      <c r="H167" s="677">
        <f>SUMIFS(调整事项汇总表!$L$7:$L$10020,调整事项汇总表!$D$7:$D$10020,"其他",调整事项汇总表!$E$7:$E$10020,IF(OR(MID(TRIM($A167),2,1)="：",MID(TRIM($A167),2,1)="、"),REPLACEB(TRIM($A167),1,4,""),TRIM($A167)))</f>
        <v>0</v>
      </c>
      <c r="I167" s="762">
        <f t="shared" si="44"/>
        <v>0</v>
      </c>
      <c r="J167" s="425" t="b">
        <f>A167=未审报表!A167</f>
        <v>1</v>
      </c>
      <c r="K167" s="425" t="b">
        <f>A167=审定报表!A167</f>
        <v>1</v>
      </c>
    </row>
    <row r="168" spans="1:11" ht="14.4" customHeight="1">
      <c r="A168" s="779" t="str">
        <f>未审报表!A168</f>
        <v>预计负债</v>
      </c>
      <c r="B168" s="677">
        <f>期初核对!C168</f>
        <v>0</v>
      </c>
      <c r="C168" s="677">
        <f>SUMIFS(调整事项汇总表!$K$7:$K$10020,调整事项汇总表!$D$7:$D$10020,"账项调整",调整事项汇总表!$E$7:$E$10020,IF(OR(MID(TRIM($A168),2,1)="：",MID(TRIM($A168),2,1)="、"),REPLACEB(TRIM($A168),1,4,""),TRIM($A168)))</f>
        <v>0</v>
      </c>
      <c r="D168" s="677">
        <f>SUMIFS(调整事项汇总表!$L$7:$L$10020,调整事项汇总表!$D$7:$D$10020,"账项调整",调整事项汇总表!$E$7:$E$10020,IF(OR(MID(TRIM($A168),2,1)="：",MID(TRIM($A168),2,1)="、"),REPLACEB(TRIM($A168),1,4,""),TRIM($A168)))</f>
        <v>0</v>
      </c>
      <c r="E168" s="677">
        <f>SUMIFS(调整事项汇总表!$K$7:$K$10020,调整事项汇总表!$D$7:$D$10020,"报表调整",调整事项汇总表!$E$7:$E$10020,IF(OR(MID(TRIM($A168),2,1)="：",MID(TRIM($A168),2,1)="、"),REPLACEB(TRIM($A168),1,4,""),TRIM($A168)))</f>
        <v>0</v>
      </c>
      <c r="F168" s="677">
        <f>SUMIFS(调整事项汇总表!$L$7:$L$10020,调整事项汇总表!$D$7:$D$10020,"报表调整",调整事项汇总表!$E$7:$E$10020,IF(OR(MID(TRIM($A168),2,1)="：",MID(TRIM($A168),2,1)="、"),REPLACEB(TRIM($A168),1,4,""),TRIM($A168)))</f>
        <v>0</v>
      </c>
      <c r="G168" s="677">
        <f>SUMIFS(调整事项汇总表!$K$7:$K$10020,调整事项汇总表!$D$7:$D$10020,"其他",调整事项汇总表!$E$7:$E$10020,IF(OR(MID(TRIM($A168),2,1)="：",MID(TRIM($A168),2,1)="、"),REPLACEB(TRIM($A168),1,4,""),TRIM($A168)))</f>
        <v>0</v>
      </c>
      <c r="H168" s="677">
        <f>SUMIFS(调整事项汇总表!$L$7:$L$10020,调整事项汇总表!$D$7:$D$10020,"其他",调整事项汇总表!$E$7:$E$10020,IF(OR(MID(TRIM($A168),2,1)="：",MID(TRIM($A168),2,1)="、"),REPLACEB(TRIM($A168),1,4,""),TRIM($A168)))</f>
        <v>0</v>
      </c>
      <c r="I168" s="762">
        <f t="shared" si="44"/>
        <v>0</v>
      </c>
      <c r="J168" s="425" t="b">
        <f>A168=未审报表!A168</f>
        <v>1</v>
      </c>
      <c r="K168" s="425" t="b">
        <f>A168=审定报表!A168</f>
        <v>1</v>
      </c>
    </row>
    <row r="169" spans="1:11" ht="14.4" customHeight="1">
      <c r="A169" s="779" t="str">
        <f>未审报表!A169</f>
        <v>递延收益</v>
      </c>
      <c r="B169" s="677">
        <f>期初核对!C169</f>
        <v>0</v>
      </c>
      <c r="C169" s="677">
        <f>SUMIFS(调整事项汇总表!$K$7:$K$10020,调整事项汇总表!$D$7:$D$10020,"账项调整",调整事项汇总表!$E$7:$E$10020,IF(OR(MID(TRIM($A169),2,1)="：",MID(TRIM($A169),2,1)="、"),REPLACEB(TRIM($A169),1,4,""),TRIM($A169)))</f>
        <v>0</v>
      </c>
      <c r="D169" s="677">
        <f>SUMIFS(调整事项汇总表!$L$7:$L$10020,调整事项汇总表!$D$7:$D$10020,"账项调整",调整事项汇总表!$E$7:$E$10020,IF(OR(MID(TRIM($A169),2,1)="：",MID(TRIM($A169),2,1)="、"),REPLACEB(TRIM($A169),1,4,""),TRIM($A169)))</f>
        <v>0</v>
      </c>
      <c r="E169" s="677">
        <f>SUMIFS(调整事项汇总表!$K$7:$K$10020,调整事项汇总表!$D$7:$D$10020,"报表调整",调整事项汇总表!$E$7:$E$10020,IF(OR(MID(TRIM($A169),2,1)="：",MID(TRIM($A169),2,1)="、"),REPLACEB(TRIM($A169),1,4,""),TRIM($A169)))</f>
        <v>0</v>
      </c>
      <c r="F169" s="677">
        <f>SUMIFS(调整事项汇总表!$L$7:$L$10020,调整事项汇总表!$D$7:$D$10020,"报表调整",调整事项汇总表!$E$7:$E$10020,IF(OR(MID(TRIM($A169),2,1)="：",MID(TRIM($A169),2,1)="、"),REPLACEB(TRIM($A169),1,4,""),TRIM($A169)))</f>
        <v>0</v>
      </c>
      <c r="G169" s="677">
        <f>SUMIFS(调整事项汇总表!$K$7:$K$10020,调整事项汇总表!$D$7:$D$10020,"其他",调整事项汇总表!$E$7:$E$10020,IF(OR(MID(TRIM($A169),2,1)="：",MID(TRIM($A169),2,1)="、"),REPLACEB(TRIM($A169),1,4,""),TRIM($A169)))</f>
        <v>0</v>
      </c>
      <c r="H169" s="677">
        <f>SUMIFS(调整事项汇总表!$L$7:$L$10020,调整事项汇总表!$D$7:$D$10020,"其他",调整事项汇总表!$E$7:$E$10020,IF(OR(MID(TRIM($A169),2,1)="：",MID(TRIM($A169),2,1)="、"),REPLACEB(TRIM($A169),1,4,""),TRIM($A169)))</f>
        <v>0</v>
      </c>
      <c r="I169" s="762">
        <f t="shared" si="44"/>
        <v>0</v>
      </c>
      <c r="J169" s="425" t="b">
        <f>A169=未审报表!A169</f>
        <v>1</v>
      </c>
      <c r="K169" s="425" t="b">
        <f>A169=审定报表!A169</f>
        <v>1</v>
      </c>
    </row>
    <row r="170" spans="1:11" ht="14.4" customHeight="1">
      <c r="A170" s="779" t="str">
        <f>未审报表!A170</f>
        <v>递延所得税负债</v>
      </c>
      <c r="B170" s="677">
        <f>期初核对!C170</f>
        <v>0</v>
      </c>
      <c r="C170" s="677">
        <f>SUMIFS(调整事项汇总表!$K$7:$K$10020,调整事项汇总表!$D$7:$D$10020,"账项调整",调整事项汇总表!$E$7:$E$10020,IF(OR(MID(TRIM($A170),2,1)="：",MID(TRIM($A170),2,1)="、"),REPLACEB(TRIM($A170),1,4,""),TRIM($A170)))</f>
        <v>0</v>
      </c>
      <c r="D170" s="677">
        <f>SUMIFS(调整事项汇总表!$L$7:$L$10020,调整事项汇总表!$D$7:$D$10020,"账项调整",调整事项汇总表!$E$7:$E$10020,IF(OR(MID(TRIM($A170),2,1)="：",MID(TRIM($A170),2,1)="、"),REPLACEB(TRIM($A170),1,4,""),TRIM($A170)))</f>
        <v>0</v>
      </c>
      <c r="E170" s="677">
        <f>SUMIFS(调整事项汇总表!$K$7:$K$10020,调整事项汇总表!$D$7:$D$10020,"报表调整",调整事项汇总表!$E$7:$E$10020,IF(OR(MID(TRIM($A170),2,1)="：",MID(TRIM($A170),2,1)="、"),REPLACEB(TRIM($A170),1,4,""),TRIM($A170)))</f>
        <v>0</v>
      </c>
      <c r="F170" s="677">
        <f>SUMIFS(调整事项汇总表!$L$7:$L$10020,调整事项汇总表!$D$7:$D$10020,"报表调整",调整事项汇总表!$E$7:$E$10020,IF(OR(MID(TRIM($A170),2,1)="：",MID(TRIM($A170),2,1)="、"),REPLACEB(TRIM($A170),1,4,""),TRIM($A170)))</f>
        <v>0</v>
      </c>
      <c r="G170" s="677">
        <f>SUMIFS(调整事项汇总表!$K$7:$K$10020,调整事项汇总表!$D$7:$D$10020,"其他",调整事项汇总表!$E$7:$E$10020,IF(OR(MID(TRIM($A170),2,1)="：",MID(TRIM($A170),2,1)="、"),REPLACEB(TRIM($A170),1,4,""),TRIM($A170)))</f>
        <v>0</v>
      </c>
      <c r="H170" s="677">
        <f>SUMIFS(调整事项汇总表!$L$7:$L$10020,调整事项汇总表!$D$7:$D$10020,"其他",调整事项汇总表!$E$7:$E$10020,IF(OR(MID(TRIM($A170),2,1)="：",MID(TRIM($A170),2,1)="、"),REPLACEB(TRIM($A170),1,4,""),TRIM($A170)))</f>
        <v>0</v>
      </c>
      <c r="I170" s="762">
        <f t="shared" si="44"/>
        <v>0</v>
      </c>
      <c r="J170" s="425" t="b">
        <f>A170=未审报表!A170</f>
        <v>1</v>
      </c>
      <c r="K170" s="425" t="b">
        <f>A170=审定报表!A170</f>
        <v>1</v>
      </c>
    </row>
    <row r="171" spans="1:11" ht="14.4" customHeight="1">
      <c r="A171" s="779" t="str">
        <f>未审报表!A171</f>
        <v>其他非流动负债</v>
      </c>
      <c r="B171" s="677">
        <f>期初核对!C171</f>
        <v>0</v>
      </c>
      <c r="C171" s="677">
        <f>SUMIFS(调整事项汇总表!$K$7:$K$10020,调整事项汇总表!$D$7:$D$10020,"账项调整",调整事项汇总表!$E$7:$E$10020,IF(OR(MID(TRIM($A171),2,1)="：",MID(TRIM($A171),2,1)="、"),REPLACEB(TRIM($A171),1,4,""),TRIM($A171)))</f>
        <v>0</v>
      </c>
      <c r="D171" s="677">
        <f>SUMIFS(调整事项汇总表!$L$7:$L$10020,调整事项汇总表!$D$7:$D$10020,"账项调整",调整事项汇总表!$E$7:$E$10020,IF(OR(MID(TRIM($A171),2,1)="：",MID(TRIM($A171),2,1)="、"),REPLACEB(TRIM($A171),1,4,""),TRIM($A171)))</f>
        <v>0</v>
      </c>
      <c r="E171" s="677">
        <f>SUMIFS(调整事项汇总表!$K$7:$K$10020,调整事项汇总表!$D$7:$D$10020,"报表调整",调整事项汇总表!$E$7:$E$10020,IF(OR(MID(TRIM($A171),2,1)="：",MID(TRIM($A171),2,1)="、"),REPLACEB(TRIM($A171),1,4,""),TRIM($A171)))</f>
        <v>0</v>
      </c>
      <c r="F171" s="677">
        <f>SUMIFS(调整事项汇总表!$L$7:$L$10020,调整事项汇总表!$D$7:$D$10020,"报表调整",调整事项汇总表!$E$7:$E$10020,IF(OR(MID(TRIM($A171),2,1)="：",MID(TRIM($A171),2,1)="、"),REPLACEB(TRIM($A171),1,4,""),TRIM($A171)))</f>
        <v>0</v>
      </c>
      <c r="G171" s="677">
        <f>SUMIFS(调整事项汇总表!$K$7:$K$10020,调整事项汇总表!$D$7:$D$10020,"其他",调整事项汇总表!$E$7:$E$10020,IF(OR(MID(TRIM($A171),2,1)="：",MID(TRIM($A171),2,1)="、"),REPLACEB(TRIM($A171),1,4,""),TRIM($A171)))</f>
        <v>0</v>
      </c>
      <c r="H171" s="677">
        <f>SUMIFS(调整事项汇总表!$L$7:$L$10020,调整事项汇总表!$D$7:$D$10020,"其他",调整事项汇总表!$E$7:$E$10020,IF(OR(MID(TRIM($A171),2,1)="：",MID(TRIM($A171),2,1)="、"),REPLACEB(TRIM($A171),1,4,""),TRIM($A171)))</f>
        <v>0</v>
      </c>
      <c r="I171" s="762">
        <f t="shared" si="44"/>
        <v>0</v>
      </c>
      <c r="J171" s="425" t="b">
        <f>A171=未审报表!A171</f>
        <v>1</v>
      </c>
      <c r="K171" s="425" t="b">
        <f>A171=审定报表!A171</f>
        <v>1</v>
      </c>
    </row>
    <row r="172" spans="1:11" ht="14.4" customHeight="1">
      <c r="A172" s="779" t="str">
        <f>未审报表!A172</f>
        <v xml:space="preserve"> 其中：特准储备基金</v>
      </c>
      <c r="B172" s="677">
        <f>期初核对!C172</f>
        <v>0</v>
      </c>
      <c r="C172" s="677"/>
      <c r="D172" s="677"/>
      <c r="E172" s="677"/>
      <c r="F172" s="677"/>
      <c r="G172" s="677"/>
      <c r="H172" s="677"/>
      <c r="I172" s="762">
        <f t="shared" si="44"/>
        <v>0</v>
      </c>
      <c r="J172" s="425" t="b">
        <f>A172=未审报表!A172</f>
        <v>1</v>
      </c>
      <c r="K172" s="425" t="b">
        <f>A172=审定报表!A172</f>
        <v>1</v>
      </c>
    </row>
    <row r="173" spans="1:11" ht="14.4" customHeight="1">
      <c r="A173" s="779" t="str">
        <f>未审报表!A173</f>
        <v>非流动负债合计</v>
      </c>
      <c r="B173" s="677">
        <f>期初核对!C173</f>
        <v>0</v>
      </c>
      <c r="C173" s="637">
        <f>SUM(C159:C161,C164:C171)</f>
        <v>0</v>
      </c>
      <c r="D173" s="637">
        <f t="shared" ref="D173:H173" si="45">SUM(D159:D161,D164:D171)</f>
        <v>0</v>
      </c>
      <c r="E173" s="637">
        <f t="shared" si="45"/>
        <v>0</v>
      </c>
      <c r="F173" s="637">
        <f t="shared" si="45"/>
        <v>0</v>
      </c>
      <c r="G173" s="637">
        <f t="shared" si="45"/>
        <v>0</v>
      </c>
      <c r="H173" s="637">
        <f t="shared" si="45"/>
        <v>0</v>
      </c>
      <c r="I173" s="763">
        <f t="shared" si="44"/>
        <v>0</v>
      </c>
      <c r="J173" s="425" t="b">
        <f>A173=未审报表!A173</f>
        <v>1</v>
      </c>
      <c r="K173" s="425" t="b">
        <f>A173=审定报表!A173</f>
        <v>1</v>
      </c>
    </row>
    <row r="174" spans="1:11" ht="14.4" customHeight="1">
      <c r="A174" s="783" t="str">
        <f>未审报表!A174</f>
        <v>负 债 合 计</v>
      </c>
      <c r="B174" s="678">
        <f>期初核对!C174</f>
        <v>9195302</v>
      </c>
      <c r="C174" s="637">
        <f>SUM(C158,C173)</f>
        <v>0</v>
      </c>
      <c r="D174" s="637">
        <f t="shared" ref="D174:H174" si="46">SUM(D158,D173)</f>
        <v>0</v>
      </c>
      <c r="E174" s="637">
        <f t="shared" si="46"/>
        <v>0</v>
      </c>
      <c r="F174" s="637">
        <f t="shared" si="46"/>
        <v>0</v>
      </c>
      <c r="G174" s="637">
        <f t="shared" si="46"/>
        <v>0</v>
      </c>
      <c r="H174" s="637">
        <f t="shared" si="46"/>
        <v>0</v>
      </c>
      <c r="I174" s="763">
        <f t="shared" si="44"/>
        <v>9195302</v>
      </c>
      <c r="J174" s="425" t="b">
        <f>A174=未审报表!A174</f>
        <v>1</v>
      </c>
      <c r="K174" s="425" t="b">
        <f>A174=审定报表!A174</f>
        <v>1</v>
      </c>
    </row>
    <row r="175" spans="1:11" ht="14.4" customHeight="1">
      <c r="A175" s="779" t="str">
        <f>未审报表!A175</f>
        <v>股东权益：</v>
      </c>
      <c r="B175" s="400"/>
      <c r="C175" s="400"/>
      <c r="D175" s="400"/>
      <c r="E175" s="400"/>
      <c r="F175" s="400"/>
      <c r="G175" s="400"/>
      <c r="H175" s="400"/>
      <c r="I175" s="727"/>
      <c r="J175" s="425" t="b">
        <f>A175=未审报表!A175</f>
        <v>1</v>
      </c>
      <c r="K175" s="425" t="b">
        <f>A175=审定报表!A175</f>
        <v>1</v>
      </c>
    </row>
    <row r="176" spans="1:11" ht="14.4" customHeight="1">
      <c r="A176" s="779" t="str">
        <f>未审报表!A176</f>
        <v>实收资本（或股本）</v>
      </c>
      <c r="B176" s="677">
        <f>期初核对!C176</f>
        <v>51000000</v>
      </c>
      <c r="C176" s="677">
        <f>SUMIFS(调整事项汇总表!$K$7:$K$10020,调整事项汇总表!$D$7:$D$10020,"账项调整",调整事项汇总表!$E$7:$E$10020,IF(OR(MID(TRIM($A176),2,1)="：",MID(TRIM($A176),2,1)="、"),REPLACEB(TRIM($A176),1,4,""),TRIM($A176)))</f>
        <v>0</v>
      </c>
      <c r="D176" s="677">
        <f>SUMIFS(调整事项汇总表!$L$7:$L$10020,调整事项汇总表!$D$7:$D$10020,"账项调整",调整事项汇总表!$E$7:$E$10020,IF(OR(MID(TRIM($A176),2,1)="：",MID(TRIM($A176),2,1)="、"),REPLACEB(TRIM($A176),1,4,""),TRIM($A176)))</f>
        <v>0</v>
      </c>
      <c r="E176" s="677">
        <f>SUMIFS(调整事项汇总表!$K$7:$K$10020,调整事项汇总表!$D$7:$D$10020,"报表调整",调整事项汇总表!$E$7:$E$10020,IF(OR(MID(TRIM($A176),2,1)="：",MID(TRIM($A176),2,1)="、"),REPLACEB(TRIM($A176),1,4,""),TRIM($A176)))</f>
        <v>0</v>
      </c>
      <c r="F176" s="677">
        <f>SUMIFS(调整事项汇总表!$L$7:$L$10020,调整事项汇总表!$D$7:$D$10020,"报表调整",调整事项汇总表!$E$7:$E$10020,IF(OR(MID(TRIM($A176),2,1)="：",MID(TRIM($A176),2,1)="、"),REPLACEB(TRIM($A176),1,4,""),TRIM($A176)))</f>
        <v>0</v>
      </c>
      <c r="G176" s="677">
        <f>SUMIFS(调整事项汇总表!$K$7:$K$10020,调整事项汇总表!$D$7:$D$10020,"其他",调整事项汇总表!$E$7:$E$10020,IF(OR(MID(TRIM($A176),2,1)="：",MID(TRIM($A176),2,1)="、"),REPLACEB(TRIM($A176),1,4,""),TRIM($A176)))</f>
        <v>0</v>
      </c>
      <c r="H176" s="677">
        <f>SUMIFS(调整事项汇总表!$L$7:$L$10020,调整事项汇总表!$D$7:$D$10020,"其他",调整事项汇总表!$E$7:$E$10020,IF(OR(MID(TRIM($A176),2,1)="：",MID(TRIM($A176),2,1)="、"),REPLACEB(TRIM($A176),1,4,""),TRIM($A176)))</f>
        <v>0</v>
      </c>
      <c r="I176" s="762">
        <f>B176+D176+F176+H176-G176-E176-C176</f>
        <v>51000000</v>
      </c>
      <c r="J176" s="425" t="b">
        <f>A176=未审报表!A176</f>
        <v>1</v>
      </c>
      <c r="K176" s="425" t="b">
        <f>A176=审定报表!A176</f>
        <v>1</v>
      </c>
    </row>
    <row r="177" spans="1:13" ht="14.4" customHeight="1">
      <c r="A177" s="779" t="str">
        <f>未审报表!A177</f>
        <v>其他权益工具</v>
      </c>
      <c r="B177" s="677">
        <f>期初核对!C177</f>
        <v>0</v>
      </c>
      <c r="C177" s="677">
        <f>SUMIFS(调整事项汇总表!$K$7:$K$10020,调整事项汇总表!$D$7:$D$10020,"账项调整",调整事项汇总表!$E$7:$E$10020,IF(OR(MID(TRIM($A177),2,1)="：",MID(TRIM($A177),2,1)="、"),REPLACEB(TRIM($A177),1,4,""),TRIM($A177)))</f>
        <v>0</v>
      </c>
      <c r="D177" s="677">
        <f>SUMIFS(调整事项汇总表!$L$7:$L$10020,调整事项汇总表!$D$7:$D$10020,"账项调整",调整事项汇总表!$E$7:$E$10020,IF(OR(MID(TRIM($A177),2,1)="：",MID(TRIM($A177),2,1)="、"),REPLACEB(TRIM($A177),1,4,""),TRIM($A177)))</f>
        <v>0</v>
      </c>
      <c r="E177" s="677">
        <f>SUMIFS(调整事项汇总表!$K$7:$K$10020,调整事项汇总表!$D$7:$D$10020,"报表调整",调整事项汇总表!$E$7:$E$10020,IF(OR(MID(TRIM($A177),2,1)="：",MID(TRIM($A177),2,1)="、"),REPLACEB(TRIM($A177),1,4,""),TRIM($A177)))</f>
        <v>0</v>
      </c>
      <c r="F177" s="677">
        <f>SUMIFS(调整事项汇总表!$L$7:$L$10020,调整事项汇总表!$D$7:$D$10020,"报表调整",调整事项汇总表!$E$7:$E$10020,IF(OR(MID(TRIM($A177),2,1)="：",MID(TRIM($A177),2,1)="、"),REPLACEB(TRIM($A177),1,4,""),TRIM($A177)))</f>
        <v>0</v>
      </c>
      <c r="G177" s="677">
        <f>SUMIFS(调整事项汇总表!$K$7:$K$10020,调整事项汇总表!$D$7:$D$10020,"其他",调整事项汇总表!$E$7:$E$10020,IF(OR(MID(TRIM($A177),2,1)="：",MID(TRIM($A177),2,1)="、"),REPLACEB(TRIM($A177),1,4,""),TRIM($A177)))</f>
        <v>0</v>
      </c>
      <c r="H177" s="677">
        <f>SUMIFS(调整事项汇总表!$L$7:$L$10020,调整事项汇总表!$D$7:$D$10020,"其他",调整事项汇总表!$E$7:$E$10020,IF(OR(MID(TRIM($A177),2,1)="：",MID(TRIM($A177),2,1)="、"),REPLACEB(TRIM($A177),1,4,""),TRIM($A177)))</f>
        <v>0</v>
      </c>
      <c r="I177" s="762">
        <f t="shared" ref="I177:I190" si="47">B177+D177+F177+H177-G177-E177-C177</f>
        <v>0</v>
      </c>
      <c r="J177" s="425" t="b">
        <f>A177=未审报表!A177</f>
        <v>1</v>
      </c>
      <c r="K177" s="425" t="b">
        <f>A177=审定报表!A177</f>
        <v>1</v>
      </c>
    </row>
    <row r="178" spans="1:13" ht="14.4" customHeight="1">
      <c r="A178" s="779" t="str">
        <f>未审报表!A178</f>
        <v xml:space="preserve">  其中：优先股</v>
      </c>
      <c r="B178" s="677">
        <f>期初核对!C178</f>
        <v>0</v>
      </c>
      <c r="C178" s="677">
        <f>SUMIFS(调整事项汇总表!$K$7:$K$10020,调整事项汇总表!$D$7:$D$10020,"账项调整",调整事项汇总表!$E$7:$E$10020,"其他权益工具",调整事项汇总表!$F$7:$F$10020,IF(OR(MID(TRIM($A178),3,1)="：",MID(TRIM($A178),2,1)="、"),REPLACEB(TRIM($A178),1,6,""),TRIM($A178)))</f>
        <v>0</v>
      </c>
      <c r="D178" s="677">
        <f>SUMIFS(调整事项汇总表!$L$7:$L$10020,调整事项汇总表!$D$7:$D$10020,"账项调整",调整事项汇总表!$E$7:$E$10020,"其他权益工具",调整事项汇总表!$F$7:$F$10020,IF(OR(MID(TRIM($A178),3,1)="：",MID(TRIM($A178),2,1)="、"),REPLACEB(TRIM($A178),1,6,""),TRIM($A178)))</f>
        <v>0</v>
      </c>
      <c r="E178" s="677">
        <f>SUMIFS(调整事项汇总表!$K$7:$K$10020,调整事项汇总表!$D$7:$D$10020,"报表调整",调整事项汇总表!$E$7:$E$10020,"其他权益工具",调整事项汇总表!$F$7:$F$10020,IF(OR(MID(TRIM($A178),3,1)="：",MID(TRIM($A178),2,1)="、"),REPLACEB(TRIM($A178),1,6,""),TRIM($A178)))</f>
        <v>0</v>
      </c>
      <c r="F178" s="677">
        <f>SUMIFS(调整事项汇总表!$L$7:$L$10020,调整事项汇总表!$D$7:$D$10020,"报表调整",调整事项汇总表!$E$7:$E$10020,"其他权益工具",调整事项汇总表!$F$7:$F$10020,IF(OR(MID(TRIM($A178),3,1)="：",MID(TRIM($A178),2,1)="、"),REPLACEB(TRIM($A178),1,6,""),TRIM($A178)))</f>
        <v>0</v>
      </c>
      <c r="G178" s="677">
        <f>SUMIFS(调整事项汇总表!$K$7:$K$10020,调整事项汇总表!$D$7:$D$10020,"其他",调整事项汇总表!$E$7:$E$10020,"其他权益工具",调整事项汇总表!$F$7:$F$10020,IF(OR(MID(TRIM($A178),3,1)="：",MID(TRIM($A178),2,1)="、"),REPLACEB(TRIM($A178),1,6,""),TRIM($A178)))</f>
        <v>0</v>
      </c>
      <c r="H178" s="677">
        <f>SUMIFS(调整事项汇总表!$L$7:$L$10020,调整事项汇总表!$D$7:$D$10020,"其他",调整事项汇总表!$E$7:$E$10020,"其他权益工具",调整事项汇总表!$F$7:$F$10020,IF(OR(MID(TRIM($A178),3,1)="：",MID(TRIM($A178),2,1)="、"),REPLACEB(TRIM($A178),1,6,""),TRIM($A178)))</f>
        <v>0</v>
      </c>
      <c r="I178" s="762">
        <f t="shared" si="47"/>
        <v>0</v>
      </c>
      <c r="J178" s="425" t="b">
        <f>A178=未审报表!A178</f>
        <v>1</v>
      </c>
      <c r="K178" s="425" t="b">
        <f>A178=审定报表!A178</f>
        <v>1</v>
      </c>
    </row>
    <row r="179" spans="1:13" ht="14.4" customHeight="1">
      <c r="A179" s="779" t="str">
        <f>未审报表!A179</f>
        <v xml:space="preserve">        永续债</v>
      </c>
      <c r="B179" s="677">
        <f>期初核对!C179</f>
        <v>0</v>
      </c>
      <c r="C179" s="677">
        <f>SUMIFS(调整事项汇总表!$K$7:$K$10020,调整事项汇总表!$D$7:$D$10020,"账项调整",调整事项汇总表!$E$7:$E$10020,"其他权益工具",调整事项汇总表!$F$7:$F$10020,IF(OR(MID(TRIM($A179),3,1)="：",MID(TRIM($A179),2,1)="、"),REPLACEB(TRIM($A179),1,6,""),TRIM($A179)))</f>
        <v>0</v>
      </c>
      <c r="D179" s="677">
        <f>SUMIFS(调整事项汇总表!$L$7:$L$10020,调整事项汇总表!$D$7:$D$10020,"账项调整",调整事项汇总表!$E$7:$E$10020,"其他权益工具",调整事项汇总表!$F$7:$F$10020,IF(OR(MID(TRIM($A179),3,1)="：",MID(TRIM($A179),2,1)="、"),REPLACEB(TRIM($A179),1,6,""),TRIM($A179)))</f>
        <v>0</v>
      </c>
      <c r="E179" s="677">
        <f>SUMIFS(调整事项汇总表!$K$7:$K$10020,调整事项汇总表!$D$7:$D$10020,"报表调整",调整事项汇总表!$E$7:$E$10020,"其他权益工具",调整事项汇总表!$F$7:$F$10020,IF(OR(MID(TRIM($A179),3,1)="：",MID(TRIM($A179),2,1)="、"),REPLACEB(TRIM($A179),1,6,""),TRIM($A179)))</f>
        <v>0</v>
      </c>
      <c r="F179" s="677">
        <f>SUMIFS(调整事项汇总表!$L$7:$L$10020,调整事项汇总表!$D$7:$D$10020,"报表调整",调整事项汇总表!$E$7:$E$10020,"其他权益工具",调整事项汇总表!$F$7:$F$10020,IF(OR(MID(TRIM($A179),3,1)="：",MID(TRIM($A179),2,1)="、"),REPLACEB(TRIM($A179),1,6,""),TRIM($A179)))</f>
        <v>0</v>
      </c>
      <c r="G179" s="677">
        <f>SUMIFS(调整事项汇总表!$K$7:$K$10020,调整事项汇总表!$D$7:$D$10020,"其他",调整事项汇总表!$E$7:$E$10020,"其他权益工具",调整事项汇总表!$F$7:$F$10020,IF(OR(MID(TRIM($A179),3,1)="：",MID(TRIM($A179),2,1)="、"),REPLACEB(TRIM($A179),1,6,""),TRIM($A179)))</f>
        <v>0</v>
      </c>
      <c r="H179" s="677">
        <f>SUMIFS(调整事项汇总表!$L$7:$L$10020,调整事项汇总表!$D$7:$D$10020,"其他",调整事项汇总表!$E$7:$E$10020,"其他权益工具",调整事项汇总表!$F$7:$F$10020,IF(OR(MID(TRIM($A179),3,1)="：",MID(TRIM($A179),2,1)="、"),REPLACEB(TRIM($A179),1,6,""),TRIM($A179)))</f>
        <v>0</v>
      </c>
      <c r="I179" s="762">
        <f t="shared" si="47"/>
        <v>0</v>
      </c>
      <c r="J179" s="425" t="b">
        <f>A179=未审报表!A179</f>
        <v>1</v>
      </c>
      <c r="K179" s="425" t="b">
        <f>A179=审定报表!A179</f>
        <v>1</v>
      </c>
    </row>
    <row r="180" spans="1:13" ht="14.4" customHeight="1">
      <c r="A180" s="779" t="str">
        <f>未审报表!A180</f>
        <v>资本公积</v>
      </c>
      <c r="B180" s="677">
        <f>期初核对!C180</f>
        <v>2253786.7999999998</v>
      </c>
      <c r="C180" s="677">
        <f>SUMIFS(调整事项汇总表!$K$7:$K$10020,调整事项汇总表!$D$7:$D$10020,"账项调整",调整事项汇总表!$E$7:$E$10020,IF(OR(MID(TRIM($A180),2,1)="：",MID(TRIM($A180),2,1)="、"),REPLACEB(TRIM($A180),1,4,""),TRIM($A180)))</f>
        <v>0</v>
      </c>
      <c r="D180" s="677">
        <f>SUMIFS(调整事项汇总表!$L$7:$L$10020,调整事项汇总表!$D$7:$D$10020,"账项调整",调整事项汇总表!$E$7:$E$10020,IF(OR(MID(TRIM($A180),2,1)="：",MID(TRIM($A180),2,1)="、"),REPLACEB(TRIM($A180),1,4,""),TRIM($A180)))</f>
        <v>0</v>
      </c>
      <c r="E180" s="677">
        <f>SUMIFS(调整事项汇总表!$K$7:$K$10020,调整事项汇总表!$D$7:$D$10020,"报表调整",调整事项汇总表!$E$7:$E$10020,IF(OR(MID(TRIM($A180),2,1)="：",MID(TRIM($A180),2,1)="、"),REPLACEB(TRIM($A180),1,4,""),TRIM($A180)))</f>
        <v>0</v>
      </c>
      <c r="F180" s="677">
        <f>SUMIFS(调整事项汇总表!$L$7:$L$10020,调整事项汇总表!$D$7:$D$10020,"报表调整",调整事项汇总表!$E$7:$E$10020,IF(OR(MID(TRIM($A180),2,1)="：",MID(TRIM($A180),2,1)="、"),REPLACEB(TRIM($A180),1,4,""),TRIM($A180)))</f>
        <v>0</v>
      </c>
      <c r="G180" s="677">
        <f>SUMIFS(调整事项汇总表!$K$7:$K$10020,调整事项汇总表!$D$7:$D$10020,"其他",调整事项汇总表!$E$7:$E$10020,IF(OR(MID(TRIM($A180),2,1)="：",MID(TRIM($A180),2,1)="、"),REPLACEB(TRIM($A180),1,4,""),TRIM($A180)))</f>
        <v>0</v>
      </c>
      <c r="H180" s="677">
        <f>SUMIFS(调整事项汇总表!$L$7:$L$10020,调整事项汇总表!$D$7:$D$10020,"其他",调整事项汇总表!$E$7:$E$10020,IF(OR(MID(TRIM($A180),2,1)="：",MID(TRIM($A180),2,1)="、"),REPLACEB(TRIM($A180),1,4,""),TRIM($A180)))</f>
        <v>0</v>
      </c>
      <c r="I180" s="762">
        <f t="shared" si="47"/>
        <v>2253786.7999999998</v>
      </c>
      <c r="J180" s="425" t="b">
        <f>A180=未审报表!A180</f>
        <v>1</v>
      </c>
      <c r="K180" s="425" t="b">
        <f>A180=审定报表!A180</f>
        <v>1</v>
      </c>
    </row>
    <row r="181" spans="1:13" ht="14.4" customHeight="1">
      <c r="A181" s="779" t="str">
        <f>未审报表!A181</f>
        <v>减：库存股</v>
      </c>
      <c r="B181" s="677">
        <f>期初核对!C181</f>
        <v>0</v>
      </c>
      <c r="C181" s="677">
        <f>SUMIFS(调整事项汇总表!$K$7:$K$10020,调整事项汇总表!$D$7:$D$10020,"账项调整",调整事项汇总表!$E$7:$E$10020,IF(OR(MID(TRIM($A181),2,1)="：",MID(TRIM($A181),2,1)="、"),REPLACEB(TRIM($A181),1,4,""),TRIM($A181)))</f>
        <v>0</v>
      </c>
      <c r="D181" s="677">
        <f>SUMIFS(调整事项汇总表!$L$7:$L$10020,调整事项汇总表!$D$7:$D$10020,"账项调整",调整事项汇总表!$E$7:$E$10020,IF(OR(MID(TRIM($A181),2,1)="：",MID(TRIM($A181),2,1)="、"),REPLACEB(TRIM($A181),1,4,""),TRIM($A181)))</f>
        <v>0</v>
      </c>
      <c r="E181" s="677">
        <f>SUMIFS(调整事项汇总表!$K$7:$K$10020,调整事项汇总表!$D$7:$D$10020,"报表调整",调整事项汇总表!$E$7:$E$10020,IF(OR(MID(TRIM($A181),2,1)="：",MID(TRIM($A181),2,1)="、"),REPLACEB(TRIM($A181),1,4,""),TRIM($A181)))</f>
        <v>0</v>
      </c>
      <c r="F181" s="677">
        <f>SUMIFS(调整事项汇总表!$L$7:$L$10020,调整事项汇总表!$D$7:$D$10020,"报表调整",调整事项汇总表!$E$7:$E$10020,IF(OR(MID(TRIM($A181),2,1)="：",MID(TRIM($A181),2,1)="、"),REPLACEB(TRIM($A181),1,4,""),TRIM($A181)))</f>
        <v>0</v>
      </c>
      <c r="G181" s="677">
        <f>SUMIFS(调整事项汇总表!$K$7:$K$10020,调整事项汇总表!$D$7:$D$10020,"其他",调整事项汇总表!$E$7:$E$10020,IF(OR(MID(TRIM($A181),2,1)="：",MID(TRIM($A181),2,1)="、"),REPLACEB(TRIM($A181),1,4,""),TRIM($A181)))</f>
        <v>0</v>
      </c>
      <c r="H181" s="677">
        <f>SUMIFS(调整事项汇总表!$L$7:$L$10020,调整事项汇总表!$D$7:$D$10020,"其他",调整事项汇总表!$E$7:$E$10020,IF(OR(MID(TRIM($A181),2,1)="：",MID(TRIM($A181),2,1)="、"),REPLACEB(TRIM($A181),1,4,""),TRIM($A181)))</f>
        <v>0</v>
      </c>
      <c r="I181" s="762">
        <f t="shared" si="47"/>
        <v>0</v>
      </c>
      <c r="J181" s="425" t="b">
        <f>A181=未审报表!A181</f>
        <v>1</v>
      </c>
      <c r="K181" s="425" t="b">
        <f>A181=审定报表!A181</f>
        <v>1</v>
      </c>
    </row>
    <row r="182" spans="1:13" ht="14.4" customHeight="1">
      <c r="A182" s="779" t="str">
        <f>未审报表!A182</f>
        <v>其他综合收益</v>
      </c>
      <c r="B182" s="677">
        <f>期初核对!C182</f>
        <v>0</v>
      </c>
      <c r="C182" s="677">
        <f>SUMIFS(调整事项汇总表!$K$7:$K$10020,调整事项汇总表!$D$7:$D$10020,"账项调整",调整事项汇总表!$E$7:$E$10020,IF(OR(MID(TRIM($A182),2,1)="：",MID(TRIM($A182),2,1)="、"),REPLACEB(TRIM($A182),1,4,""),TRIM($A182)))</f>
        <v>0</v>
      </c>
      <c r="D182" s="677">
        <f>SUMIFS(调整事项汇总表!$L$7:$L$10020,调整事项汇总表!$D$7:$D$10020,"账项调整",调整事项汇总表!$E$7:$E$10020,IF(OR(MID(TRIM($A182),2,1)="：",MID(TRIM($A182),2,1)="、"),REPLACEB(TRIM($A182),1,4,""),TRIM($A182)))</f>
        <v>0</v>
      </c>
      <c r="E182" s="677">
        <f>SUMIFS(调整事项汇总表!$K$7:$K$10020,调整事项汇总表!$D$7:$D$10020,"报表调整",调整事项汇总表!$E$7:$E$10020,IF(OR(MID(TRIM($A182),2,1)="：",MID(TRIM($A182),2,1)="、"),REPLACEB(TRIM($A182),1,4,""),TRIM($A182)))</f>
        <v>0</v>
      </c>
      <c r="F182" s="677">
        <f>SUMIFS(调整事项汇总表!$L$7:$L$10020,调整事项汇总表!$D$7:$D$10020,"报表调整",调整事项汇总表!$E$7:$E$10020,IF(OR(MID(TRIM($A182),2,1)="：",MID(TRIM($A182),2,1)="、"),REPLACEB(TRIM($A182),1,4,""),TRIM($A182)))</f>
        <v>0</v>
      </c>
      <c r="G182" s="677">
        <f>SUMIFS(调整事项汇总表!$K$7:$K$10020,调整事项汇总表!$D$7:$D$10020,"其他",调整事项汇总表!$E$7:$E$10020,IF(OR(MID(TRIM($A182),2,1)="：",MID(TRIM($A182),2,1)="、"),REPLACEB(TRIM($A182),1,4,""),TRIM($A182)))</f>
        <v>0</v>
      </c>
      <c r="H182" s="677">
        <f>SUMIFS(调整事项汇总表!$L$7:$L$10020,调整事项汇总表!$D$7:$D$10020,"其他",调整事项汇总表!$E$7:$E$10020,IF(OR(MID(TRIM($A182),2,1)="：",MID(TRIM($A182),2,1)="、"),REPLACEB(TRIM($A182),1,4,""),TRIM($A182)))</f>
        <v>0</v>
      </c>
      <c r="I182" s="762">
        <f t="shared" si="47"/>
        <v>0</v>
      </c>
      <c r="J182" s="425" t="b">
        <f>A182=未审报表!A182</f>
        <v>1</v>
      </c>
      <c r="K182" s="425" t="b">
        <f>A182=审定报表!A182</f>
        <v>1</v>
      </c>
    </row>
    <row r="183" spans="1:13" ht="14.4" customHeight="1">
      <c r="A183" s="779" t="str">
        <f>未审报表!A183</f>
        <v>专项储备</v>
      </c>
      <c r="B183" s="677">
        <f>期初核对!C183</f>
        <v>0</v>
      </c>
      <c r="C183" s="677">
        <f>SUMIFS(调整事项汇总表!$K$7:$K$10020,调整事项汇总表!$D$7:$D$10020,"账项调整",调整事项汇总表!$E$7:$E$10020,IF(OR(MID(TRIM($A183),2,1)="：",MID(TRIM($A183),2,1)="、"),REPLACEB(TRIM($A183),1,4,""),TRIM($A183)))</f>
        <v>0</v>
      </c>
      <c r="D183" s="677">
        <f>SUMIFS(调整事项汇总表!$L$7:$L$10020,调整事项汇总表!$D$7:$D$10020,"账项调整",调整事项汇总表!$E$7:$E$10020,IF(OR(MID(TRIM($A183),2,1)="：",MID(TRIM($A183),2,1)="、"),REPLACEB(TRIM($A183),1,4,""),TRIM($A183)))</f>
        <v>0</v>
      </c>
      <c r="E183" s="677">
        <f>SUMIFS(调整事项汇总表!$K$7:$K$10020,调整事项汇总表!$D$7:$D$10020,"报表调整",调整事项汇总表!$E$7:$E$10020,IF(OR(MID(TRIM($A183),2,1)="：",MID(TRIM($A183),2,1)="、"),REPLACEB(TRIM($A183),1,4,""),TRIM($A183)))</f>
        <v>0</v>
      </c>
      <c r="F183" s="677">
        <f>SUMIFS(调整事项汇总表!$L$7:$L$10020,调整事项汇总表!$D$7:$D$10020,"报表调整",调整事项汇总表!$E$7:$E$10020,IF(OR(MID(TRIM($A183),2,1)="：",MID(TRIM($A183),2,1)="、"),REPLACEB(TRIM($A183),1,4,""),TRIM($A183)))</f>
        <v>0</v>
      </c>
      <c r="G183" s="677">
        <f>SUMIFS(调整事项汇总表!$K$7:$K$10020,调整事项汇总表!$D$7:$D$10020,"其他",调整事项汇总表!$E$7:$E$10020,IF(OR(MID(TRIM($A183),2,1)="：",MID(TRIM($A183),2,1)="、"),REPLACEB(TRIM($A183),1,4,""),TRIM($A183)))</f>
        <v>0</v>
      </c>
      <c r="H183" s="677">
        <f>SUMIFS(调整事项汇总表!$L$7:$L$10020,调整事项汇总表!$D$7:$D$10020,"其他",调整事项汇总表!$E$7:$E$10020,IF(OR(MID(TRIM($A183),2,1)="：",MID(TRIM($A183),2,1)="、"),REPLACEB(TRIM($A183),1,4,""),TRIM($A183)))</f>
        <v>0</v>
      </c>
      <c r="I183" s="762">
        <f t="shared" si="47"/>
        <v>0</v>
      </c>
      <c r="J183" s="425" t="b">
        <f>A183=未审报表!A183</f>
        <v>1</v>
      </c>
      <c r="K183" s="425" t="b">
        <f>A183=审定报表!A183</f>
        <v>1</v>
      </c>
    </row>
    <row r="184" spans="1:13" ht="14.4" customHeight="1">
      <c r="A184" s="779" t="str">
        <f>未审报表!A184</f>
        <v>盈余公积</v>
      </c>
      <c r="B184" s="677">
        <f>期初核对!C184</f>
        <v>907107.19</v>
      </c>
      <c r="C184" s="677">
        <f>SUMIFS(调整事项汇总表!$K$7:$K$10020,调整事项汇总表!$D$7:$D$10020,"账项调整",调整事项汇总表!$E$7:$E$10020,IF(OR(MID(TRIM($A184),2,1)="：",MID(TRIM($A184),2,1)="、"),REPLACEB(TRIM($A184),1,4,""),TRIM($A184)))</f>
        <v>0</v>
      </c>
      <c r="D184" s="677">
        <f>SUMIFS(调整事项汇总表!$L$7:$L$10020,调整事项汇总表!$D$7:$D$10020,"账项调整",调整事项汇总表!$E$7:$E$10020,IF(OR(MID(TRIM($A184),2,1)="：",MID(TRIM($A184),2,1)="、"),REPLACEB(TRIM($A184),1,4,""),TRIM($A184)))</f>
        <v>0</v>
      </c>
      <c r="E184" s="677">
        <f>SUMIFS(调整事项汇总表!$K$7:$K$10020,调整事项汇总表!$D$7:$D$10020,"报表调整",调整事项汇总表!$E$7:$E$10020,IF(OR(MID(TRIM($A184),2,1)="：",MID(TRIM($A184),2,1)="、"),REPLACEB(TRIM($A184),1,4,""),TRIM($A184)))</f>
        <v>0</v>
      </c>
      <c r="F184" s="677">
        <f>SUMIFS(调整事项汇总表!$L$7:$L$10020,调整事项汇总表!$D$7:$D$10020,"报表调整",调整事项汇总表!$E$7:$E$10020,IF(OR(MID(TRIM($A184),2,1)="：",MID(TRIM($A184),2,1)="、"),REPLACEB(TRIM($A184),1,4,""),TRIM($A184)))</f>
        <v>0</v>
      </c>
      <c r="G184" s="677">
        <f>SUMIFS(调整事项汇总表!$K$7:$K$10020,调整事项汇总表!$D$7:$D$10020,"其他",调整事项汇总表!$E$7:$E$10020,IF(OR(MID(TRIM($A184),2,1)="：",MID(TRIM($A184),2,1)="、"),REPLACEB(TRIM($A184),1,4,""),TRIM($A184)))</f>
        <v>0</v>
      </c>
      <c r="H184" s="677">
        <f>SUMIFS(调整事项汇总表!$L$7:$L$10020,调整事项汇总表!$D$7:$D$10020,"其他",调整事项汇总表!$E$7:$E$10020,IF(OR(MID(TRIM($A184),2,1)="：",MID(TRIM($A184),2,1)="、"),REPLACEB(TRIM($A184),1,4,""),TRIM($A184)))</f>
        <v>0</v>
      </c>
      <c r="I184" s="762">
        <f t="shared" si="47"/>
        <v>907107.19</v>
      </c>
      <c r="J184" s="425" t="b">
        <f>A184=未审报表!A184</f>
        <v>1</v>
      </c>
      <c r="K184" s="425" t="b">
        <f>A184=审定报表!A184</f>
        <v>1</v>
      </c>
    </row>
    <row r="185" spans="1:13" ht="14.4" customHeight="1">
      <c r="A185" s="779" t="str">
        <f>未审报表!A185</f>
        <v>一般风险准备*</v>
      </c>
      <c r="B185" s="677">
        <f>期初核对!C185</f>
        <v>0</v>
      </c>
      <c r="C185" s="677">
        <f>SUMIFS(调整事项汇总表!$K$7:$K$10020,调整事项汇总表!$D$7:$D$10020,"账项调整",调整事项汇总表!$E$7:$E$10020,IF(OR(MID(TRIM($A185),2,1)="：",MID(TRIM($A185),2,1)="、"),REPLACEB(TRIM($A185),1,4,""),TRIM($A185)))</f>
        <v>0</v>
      </c>
      <c r="D185" s="677">
        <f>SUMIFS(调整事项汇总表!$L$7:$L$10020,调整事项汇总表!$D$7:$D$10020,"账项调整",调整事项汇总表!$E$7:$E$10020,IF(OR(MID(TRIM($A185),2,1)="：",MID(TRIM($A185),2,1)="、"),REPLACEB(TRIM($A185),1,4,""),TRIM($A185)))</f>
        <v>0</v>
      </c>
      <c r="E185" s="677">
        <f>SUMIFS(调整事项汇总表!$K$7:$K$10020,调整事项汇总表!$D$7:$D$10020,"报表调整",调整事项汇总表!$E$7:$E$10020,IF(OR(MID(TRIM($A185),2,1)="：",MID(TRIM($A185),2,1)="、"),REPLACEB(TRIM($A185),1,4,""),TRIM($A185)))</f>
        <v>0</v>
      </c>
      <c r="F185" s="677">
        <f>SUMIFS(调整事项汇总表!$L$7:$L$10020,调整事项汇总表!$D$7:$D$10020,"报表调整",调整事项汇总表!$E$7:$E$10020,IF(OR(MID(TRIM($A185),2,1)="：",MID(TRIM($A185),2,1)="、"),REPLACEB(TRIM($A185),1,4,""),TRIM($A185)))</f>
        <v>0</v>
      </c>
      <c r="G185" s="677">
        <f>SUMIFS(调整事项汇总表!$K$7:$K$10020,调整事项汇总表!$D$7:$D$10020,"其他",调整事项汇总表!$E$7:$E$10020,IF(OR(MID(TRIM($A185),2,1)="：",MID(TRIM($A185),2,1)="、"),REPLACEB(TRIM($A185),1,4,""),TRIM($A185)))</f>
        <v>0</v>
      </c>
      <c r="H185" s="677">
        <f>SUMIFS(调整事项汇总表!$L$7:$L$10020,调整事项汇总表!$D$7:$D$10020,"其他",调整事项汇总表!$E$7:$E$10020,IF(OR(MID(TRIM($A185),2,1)="：",MID(TRIM($A185),2,1)="、"),REPLACEB(TRIM($A185),1,4,""),TRIM($A185)))</f>
        <v>0</v>
      </c>
      <c r="I185" s="762">
        <f t="shared" si="47"/>
        <v>0</v>
      </c>
      <c r="J185" s="425" t="b">
        <f>A185=未审报表!A185</f>
        <v>1</v>
      </c>
      <c r="K185" s="425" t="b">
        <f>A185=审定报表!A185</f>
        <v>1</v>
      </c>
    </row>
    <row r="186" spans="1:13" ht="14.4" customHeight="1">
      <c r="A186" s="779" t="str">
        <f>未审报表!A186</f>
        <v>未分配利润</v>
      </c>
      <c r="B186" s="677">
        <f>期初核对!C186</f>
        <v>8163964.6899999995</v>
      </c>
      <c r="C186" s="677">
        <f>C277</f>
        <v>10000</v>
      </c>
      <c r="D186" s="677">
        <f t="shared" ref="D186:H186" si="48">D277</f>
        <v>10000</v>
      </c>
      <c r="E186" s="677">
        <f t="shared" si="48"/>
        <v>0</v>
      </c>
      <c r="F186" s="677">
        <f t="shared" si="48"/>
        <v>0</v>
      </c>
      <c r="G186" s="677">
        <f t="shared" si="48"/>
        <v>0</v>
      </c>
      <c r="H186" s="677">
        <f t="shared" si="48"/>
        <v>0</v>
      </c>
      <c r="I186" s="762">
        <f>B186+D186+F186+H186-G186-E186-C186</f>
        <v>8163964.6899999995</v>
      </c>
      <c r="J186" s="425" t="b">
        <f>A186=未审报表!A186</f>
        <v>1</v>
      </c>
      <c r="K186" s="425" t="b">
        <f>A186=审定报表!A186</f>
        <v>1</v>
      </c>
    </row>
    <row r="187" spans="1:13" ht="14.4" customHeight="1">
      <c r="A187" s="783" t="str">
        <f>未审报表!A187</f>
        <v>归属于母公司所有者权益（或股东权益）合计</v>
      </c>
      <c r="B187" s="678">
        <f>期初核对!C187</f>
        <v>62324858.679999992</v>
      </c>
      <c r="C187" s="637">
        <f>SUM(C176:C177,C180,-C181,C182:C186)</f>
        <v>10000</v>
      </c>
      <c r="D187" s="637">
        <f t="shared" ref="D187:H187" si="49">SUM(D176:D177,D180,-D181,D182:D186)</f>
        <v>10000</v>
      </c>
      <c r="E187" s="637">
        <f t="shared" si="49"/>
        <v>0</v>
      </c>
      <c r="F187" s="637">
        <f t="shared" si="49"/>
        <v>0</v>
      </c>
      <c r="G187" s="637">
        <f t="shared" si="49"/>
        <v>0</v>
      </c>
      <c r="H187" s="637">
        <f t="shared" si="49"/>
        <v>0</v>
      </c>
      <c r="I187" s="763">
        <f t="shared" si="47"/>
        <v>62324858.679999992</v>
      </c>
      <c r="J187" s="425" t="b">
        <f>A187=未审报表!A187</f>
        <v>1</v>
      </c>
      <c r="K187" s="425" t="b">
        <f>A187=审定报表!A187</f>
        <v>1</v>
      </c>
    </row>
    <row r="188" spans="1:13" ht="14.4" customHeight="1">
      <c r="A188" s="779" t="str">
        <f>未审报表!A188</f>
        <v>少数股东权益</v>
      </c>
      <c r="B188" s="677">
        <f>期初核对!C188</f>
        <v>0</v>
      </c>
      <c r="C188" s="677">
        <f>SUMIFS(调整事项汇总表!$K$7:$K$10020,调整事项汇总表!$D$7:$D$10020,"账项调整",调整事项汇总表!$E$7:$E$10020,IF(OR(MID(TRIM($A188),2,1)="：",MID(TRIM($A188),2,1)="、"),REPLACEB(TRIM($A188),1,4,""),TRIM($A188)))</f>
        <v>0</v>
      </c>
      <c r="D188" s="677">
        <f>SUMIFS(调整事项汇总表!$L$7:$L$10020,调整事项汇总表!$D$7:$D$10020,"账项调整",调整事项汇总表!$E$7:$E$10020,IF(OR(MID(TRIM($A188),2,1)="：",MID(TRIM($A188),2,1)="、"),REPLACEB(TRIM($A188),1,4,""),TRIM($A188)))</f>
        <v>0</v>
      </c>
      <c r="E188" s="677">
        <f>SUMIFS(调整事项汇总表!$K$7:$K$10020,调整事项汇总表!$D$7:$D$10020,"报表调整",调整事项汇总表!$E$7:$E$10020,IF(OR(MID(TRIM($A188),2,1)="：",MID(TRIM($A188),2,1)="、"),REPLACEB(TRIM($A188),1,4,""),TRIM($A188)))</f>
        <v>0</v>
      </c>
      <c r="F188" s="677">
        <f>SUMIFS(调整事项汇总表!$L$7:$L$10020,调整事项汇总表!$D$7:$D$10020,"报表调整",调整事项汇总表!$E$7:$E$10020,IF(OR(MID(TRIM($A188),2,1)="：",MID(TRIM($A188),2,1)="、"),REPLACEB(TRIM($A188),1,4,""),TRIM($A188)))</f>
        <v>0</v>
      </c>
      <c r="G188" s="677">
        <f>SUMIFS(调整事项汇总表!$K$7:$K$10020,调整事项汇总表!$D$7:$D$10020,"其他",调整事项汇总表!$E$7:$E$10020,IF(OR(MID(TRIM($A188),2,1)="：",MID(TRIM($A188),2,1)="、"),REPLACEB(TRIM($A188),1,4,""),TRIM($A188)))</f>
        <v>0</v>
      </c>
      <c r="H188" s="677">
        <f>SUMIFS(调整事项汇总表!$L$7:$L$10020,调整事项汇总表!$D$7:$D$10020,"其他",调整事项汇总表!$E$7:$E$10020,IF(OR(MID(TRIM($A188),2,1)="：",MID(TRIM($A188),2,1)="、"),REPLACEB(TRIM($A188),1,4,""),TRIM($A188)))</f>
        <v>0</v>
      </c>
      <c r="I188" s="762">
        <f t="shared" si="47"/>
        <v>0</v>
      </c>
      <c r="J188" s="425" t="b">
        <f>A188=未审报表!A188</f>
        <v>1</v>
      </c>
      <c r="K188" s="425" t="b">
        <f>A188=审定报表!A188</f>
        <v>1</v>
      </c>
    </row>
    <row r="189" spans="1:13" ht="14.4" customHeight="1">
      <c r="A189" s="783" t="str">
        <f>未审报表!A189</f>
        <v>所有者权益（或股东权益）合计</v>
      </c>
      <c r="B189" s="678">
        <f>期初核对!C189</f>
        <v>62324858.679999992</v>
      </c>
      <c r="C189" s="637">
        <f>SUM(C187:C188)</f>
        <v>10000</v>
      </c>
      <c r="D189" s="637">
        <f t="shared" ref="D189:H189" si="50">SUM(D187:D188)</f>
        <v>10000</v>
      </c>
      <c r="E189" s="637">
        <f t="shared" si="50"/>
        <v>0</v>
      </c>
      <c r="F189" s="637">
        <f t="shared" si="50"/>
        <v>0</v>
      </c>
      <c r="G189" s="637">
        <f t="shared" si="50"/>
        <v>0</v>
      </c>
      <c r="H189" s="637">
        <f t="shared" si="50"/>
        <v>0</v>
      </c>
      <c r="I189" s="763">
        <f t="shared" si="47"/>
        <v>62324858.679999992</v>
      </c>
      <c r="J189" s="425" t="b">
        <f>A189=未审报表!A189</f>
        <v>1</v>
      </c>
      <c r="K189" s="425" t="b">
        <f>A189=审定报表!A189</f>
        <v>1</v>
      </c>
    </row>
    <row r="190" spans="1:13" ht="14.4" customHeight="1">
      <c r="A190" s="783" t="str">
        <f>未审报表!A190</f>
        <v>负债和所有者权益（或股东权益）总计</v>
      </c>
      <c r="B190" s="678">
        <f>期初核对!C190</f>
        <v>71520160.679999992</v>
      </c>
      <c r="C190" s="656">
        <f>SUM(C174,C189)</f>
        <v>10000</v>
      </c>
      <c r="D190" s="656">
        <f t="shared" ref="D190:H190" si="51">SUM(D174,D189)</f>
        <v>10000</v>
      </c>
      <c r="E190" s="656">
        <f t="shared" si="51"/>
        <v>0</v>
      </c>
      <c r="F190" s="656">
        <f t="shared" si="51"/>
        <v>0</v>
      </c>
      <c r="G190" s="656">
        <f t="shared" si="51"/>
        <v>0</v>
      </c>
      <c r="H190" s="656">
        <f t="shared" si="51"/>
        <v>0</v>
      </c>
      <c r="I190" s="765">
        <f t="shared" si="47"/>
        <v>71520160.679999992</v>
      </c>
      <c r="J190" s="425" t="b">
        <f>A190=未审报表!A190</f>
        <v>1</v>
      </c>
      <c r="K190" s="425" t="b">
        <f>A190=审定报表!A190</f>
        <v>1</v>
      </c>
      <c r="M190" s="425">
        <f>I190-未审报表!D127</f>
        <v>0</v>
      </c>
    </row>
    <row r="191" spans="1:13" ht="14.4" customHeight="1">
      <c r="A191" s="784" t="str">
        <f>未审报表!A191</f>
        <v>损   益   类</v>
      </c>
      <c r="B191" s="786" t="s">
        <v>1518</v>
      </c>
      <c r="C191" s="770" t="s">
        <v>1494</v>
      </c>
      <c r="D191" s="770" t="s">
        <v>1516</v>
      </c>
      <c r="E191" s="785" t="s">
        <v>1513</v>
      </c>
      <c r="F191" s="785" t="s">
        <v>1507</v>
      </c>
      <c r="G191" s="785" t="s">
        <v>1508</v>
      </c>
      <c r="H191" s="785" t="s">
        <v>1515</v>
      </c>
      <c r="I191" s="786" t="s">
        <v>1520</v>
      </c>
      <c r="J191" s="425" t="b">
        <f>A191=未审报表!A191</f>
        <v>1</v>
      </c>
      <c r="K191" s="425" t="b">
        <f>A191=审定报表!A191</f>
        <v>1</v>
      </c>
    </row>
    <row r="192" spans="1:13" ht="14.4" customHeight="1">
      <c r="A192" s="783" t="str">
        <f>未审报表!A192</f>
        <v>一、营业总收入</v>
      </c>
      <c r="B192" s="432">
        <f>期初核对!C192</f>
        <v>22980342.579999998</v>
      </c>
      <c r="C192" s="637">
        <f>SUM(C193:C197)</f>
        <v>0</v>
      </c>
      <c r="D192" s="637">
        <f t="shared" ref="D192:H192" si="52">SUM(D193:D197)</f>
        <v>0</v>
      </c>
      <c r="E192" s="637">
        <f t="shared" si="52"/>
        <v>0</v>
      </c>
      <c r="F192" s="637">
        <f t="shared" si="52"/>
        <v>0</v>
      </c>
      <c r="G192" s="637">
        <f t="shared" si="52"/>
        <v>0</v>
      </c>
      <c r="H192" s="637">
        <f t="shared" si="52"/>
        <v>0</v>
      </c>
      <c r="I192" s="678">
        <f>B192+D192+F192+H192-G192-E192-C192</f>
        <v>22980342.579999998</v>
      </c>
      <c r="J192" s="425" t="b">
        <f>A192=未审报表!A192</f>
        <v>1</v>
      </c>
      <c r="K192" s="425" t="b">
        <f>A192=审定报表!A192</f>
        <v>1</v>
      </c>
    </row>
    <row r="193" spans="1:11" ht="14.4" customHeight="1">
      <c r="A193" s="779" t="str">
        <f>未审报表!A193</f>
        <v xml:space="preserve">        其中：主营业务收入</v>
      </c>
      <c r="B193" s="423">
        <f>期初核对!C193</f>
        <v>22980342.579999998</v>
      </c>
      <c r="C193" s="677">
        <f>SUMIFS(调整事项汇总表!$K$7:$K$10020,调整事项汇总表!$D$7:$D$10020,"账项调整",调整事项汇总表!$E$7:$E$10020,IF(OR(MID(TRIM($A193),3,1)="：",MID(TRIM($A193),2,1)="、"),REPLACEB(TRIM($A193),1,6,""),TRIM($A193)))</f>
        <v>0</v>
      </c>
      <c r="D193" s="677">
        <f>SUMIFS(调整事项汇总表!$L$7:$L$10020,调整事项汇总表!$D$7:$D$10020,"账项调整",调整事项汇总表!$E$7:$E$10020,IF(OR(MID(TRIM($A193),3,1)="：",MID(TRIM($A193),2,1)="、"),REPLACEB(TRIM($A193),1,6,""),TRIM($A193)))</f>
        <v>0</v>
      </c>
      <c r="E193" s="677">
        <f>SUMIFS(调整事项汇总表!$K$7:$K$10020,调整事项汇总表!$D$7:$D$10020,"报表调整",调整事项汇总表!$E$7:$E$10020,IF(OR(MID(TRIM($A193),3,1)="：",MID(TRIM($A193),2,1)="、"),REPLACEB(TRIM($A193),1,6,""),TRIM($A193)))</f>
        <v>0</v>
      </c>
      <c r="F193" s="677">
        <f>SUMIFS(调整事项汇总表!$L$7:$L$10020,调整事项汇总表!$D$7:$D$10020,"报表调整",调整事项汇总表!$E$7:$E$10020,IF(OR(MID(TRIM($A193),3,1)="：",MID(TRIM($A193),2,1)="、"),REPLACEB(TRIM($A193),1,6,""),TRIM($A193)))</f>
        <v>0</v>
      </c>
      <c r="G193" s="677">
        <f>SUMIFS(调整事项汇总表!$K$7:$K$10020,调整事项汇总表!$D$7:$D$10020,"其他",调整事项汇总表!$E$7:$E$10020,IF(OR(MID(TRIM($A193),3,1)="：",MID(TRIM($A193),2,1)="、"),REPLACEB(TRIM($A193),1,6,""),TRIM($A193)))</f>
        <v>0</v>
      </c>
      <c r="H193" s="677">
        <f>SUMIFS(调整事项汇总表!$L$7:$L$10020,调整事项汇总表!$D$7:$D$10020,"其他",调整事项汇总表!$E$7:$E$10020,IF(OR(MID(TRIM($A193),3,1)="：",MID(TRIM($A193),2,1)="、"),REPLACEB(TRIM($A193),1,6,""),TRIM($A193)))</f>
        <v>0</v>
      </c>
      <c r="I193" s="677">
        <f t="shared" ref="I193:I197" si="53">B193+D193+F193+H193-G193-E193-C193</f>
        <v>22980342.579999998</v>
      </c>
      <c r="J193" s="425" t="b">
        <f>A193=未审报表!A193</f>
        <v>1</v>
      </c>
      <c r="K193" s="425" t="b">
        <f>A193=审定报表!A193</f>
        <v>1</v>
      </c>
    </row>
    <row r="194" spans="1:11" ht="14.4" customHeight="1">
      <c r="A194" s="779" t="str">
        <f>未审报表!A194</f>
        <v xml:space="preserve">              其他业务收入</v>
      </c>
      <c r="B194" s="423">
        <f>期初核对!C194</f>
        <v>0</v>
      </c>
      <c r="C194" s="677">
        <f>SUMIFS(调整事项汇总表!$K$7:$K$10020,调整事项汇总表!$D$7:$D$10020,"账项调整",调整事项汇总表!$E$7:$E$10020,IF(OR(MID(TRIM($A194),2,1)="：",MID(TRIM($A194),2,1)="、"),REPLACEB(TRIM($A194),1,4,""),TRIM($A194)))</f>
        <v>0</v>
      </c>
      <c r="D194" s="677">
        <f>SUMIFS(调整事项汇总表!$L$7:$L$10020,调整事项汇总表!$D$7:$D$10020,"账项调整",调整事项汇总表!$E$7:$E$10020,IF(OR(MID(TRIM($A194),2,1)="：",MID(TRIM($A194),2,1)="、"),REPLACEB(TRIM($A194),1,4,""),TRIM($A194)))</f>
        <v>0</v>
      </c>
      <c r="E194" s="677">
        <f>SUMIFS(调整事项汇总表!$K$7:$K$10020,调整事项汇总表!$D$7:$D$10020,"报表调整",调整事项汇总表!$E$7:$E$10020,IF(OR(MID(TRIM($A194),2,1)="：",MID(TRIM($A194),2,1)="、"),REPLACEB(TRIM($A194),1,4,""),TRIM($A194)))</f>
        <v>0</v>
      </c>
      <c r="F194" s="677">
        <f>SUMIFS(调整事项汇总表!$L$7:$L$10020,调整事项汇总表!$D$7:$D$10020,"报表调整",调整事项汇总表!$E$7:$E$10020,IF(OR(MID(TRIM($A194),2,1)="：",MID(TRIM($A194),2,1)="、"),REPLACEB(TRIM($A194),1,4,""),TRIM($A194)))</f>
        <v>0</v>
      </c>
      <c r="G194" s="677">
        <f>SUMIFS(调整事项汇总表!$K$7:$K$10020,调整事项汇总表!$D$7:$D$10020,"其他",调整事项汇总表!$E$7:$E$10020,IF(OR(MID(TRIM($A194),2,1)="：",MID(TRIM($A194),2,1)="、"),REPLACEB(TRIM($A194),1,4,""),TRIM($A194)))</f>
        <v>0</v>
      </c>
      <c r="H194" s="677">
        <f>SUMIFS(调整事项汇总表!$L$7:$L$10020,调整事项汇总表!$D$7:$D$10020,"其他",调整事项汇总表!$E$7:$E$10020,IF(OR(MID(TRIM($A194),2,1)="：",MID(TRIM($A194),2,1)="、"),REPLACEB(TRIM($A194),1,4,""),TRIM($A194)))</f>
        <v>0</v>
      </c>
      <c r="I194" s="677">
        <f t="shared" si="53"/>
        <v>0</v>
      </c>
      <c r="J194" s="425" t="b">
        <f>A194=未审报表!A194</f>
        <v>1</v>
      </c>
      <c r="K194" s="425" t="b">
        <f>A194=审定报表!A194</f>
        <v>1</v>
      </c>
    </row>
    <row r="195" spans="1:11" ht="14.4" customHeight="1">
      <c r="A195" s="779" t="str">
        <f>未审报表!A195</f>
        <v xml:space="preserve">           利息收入*</v>
      </c>
      <c r="B195" s="423">
        <f>期初核对!C195</f>
        <v>0</v>
      </c>
      <c r="C195" s="677">
        <f>SUMIFS(调整事项汇总表!$K$7:$K$10020,调整事项汇总表!$D$7:$D$10020,"账项调整",调整事项汇总表!$E$7:$E$10020,IF(OR(MID(TRIM($A195),2,1)="：",MID(TRIM($A195),2,1)="、"),REPLACEB(TRIM($A195),1,4,""),TRIM($A195)))</f>
        <v>0</v>
      </c>
      <c r="D195" s="677">
        <f>SUMIFS(调整事项汇总表!$L$7:$L$10020,调整事项汇总表!$D$7:$D$10020,"账项调整",调整事项汇总表!$E$7:$E$10020,IF(OR(MID(TRIM($A195),2,1)="：",MID(TRIM($A195),2,1)="、"),REPLACEB(TRIM($A195),1,4,""),TRIM($A195)))</f>
        <v>0</v>
      </c>
      <c r="E195" s="677">
        <f>SUMIFS(调整事项汇总表!$K$7:$K$10020,调整事项汇总表!$D$7:$D$10020,"报表调整",调整事项汇总表!$E$7:$E$10020,IF(OR(MID(TRIM($A195),2,1)="：",MID(TRIM($A195),2,1)="、"),REPLACEB(TRIM($A195),1,4,""),TRIM($A195)))</f>
        <v>0</v>
      </c>
      <c r="F195" s="677">
        <f>SUMIFS(调整事项汇总表!$L$7:$L$10020,调整事项汇总表!$D$7:$D$10020,"报表调整",调整事项汇总表!$E$7:$E$10020,IF(OR(MID(TRIM($A195),2,1)="：",MID(TRIM($A195),2,1)="、"),REPLACEB(TRIM($A195),1,4,""),TRIM($A195)))</f>
        <v>0</v>
      </c>
      <c r="G195" s="677">
        <f>SUMIFS(调整事项汇总表!$K$7:$K$10020,调整事项汇总表!$D$7:$D$10020,"其他",调整事项汇总表!$E$7:$E$10020,IF(OR(MID(TRIM($A195),2,1)="：",MID(TRIM($A195),2,1)="、"),REPLACEB(TRIM($A195),1,4,""),TRIM($A195)))</f>
        <v>0</v>
      </c>
      <c r="H195" s="677">
        <f>SUMIFS(调整事项汇总表!$L$7:$L$10020,调整事项汇总表!$D$7:$D$10020,"其他",调整事项汇总表!$E$7:$E$10020,IF(OR(MID(TRIM($A195),2,1)="：",MID(TRIM($A195),2,1)="、"),REPLACEB(TRIM($A195),1,4,""),TRIM($A195)))</f>
        <v>0</v>
      </c>
      <c r="I195" s="677">
        <f t="shared" si="53"/>
        <v>0</v>
      </c>
      <c r="J195" s="425" t="b">
        <f>A195=未审报表!A195</f>
        <v>1</v>
      </c>
      <c r="K195" s="425" t="b">
        <f>A195=审定报表!A195</f>
        <v>1</v>
      </c>
    </row>
    <row r="196" spans="1:11" ht="14.4" customHeight="1">
      <c r="A196" s="779" t="str">
        <f>未审报表!A196</f>
        <v xml:space="preserve">           已赚保费*</v>
      </c>
      <c r="B196" s="423">
        <f>期初核对!C196</f>
        <v>0</v>
      </c>
      <c r="C196" s="677">
        <f>SUMIFS(调整事项汇总表!$K$7:$K$10020,调整事项汇总表!$D$7:$D$10020,"账项调整",调整事项汇总表!$E$7:$E$10020,IF(OR(MID(TRIM($A196),2,1)="：",MID(TRIM($A196),2,1)="、"),REPLACEB(TRIM($A196),1,4,""),TRIM($A196)))</f>
        <v>0</v>
      </c>
      <c r="D196" s="677">
        <f>SUMIFS(调整事项汇总表!$L$7:$L$10020,调整事项汇总表!$D$7:$D$10020,"账项调整",调整事项汇总表!$E$7:$E$10020,IF(OR(MID(TRIM($A196),2,1)="：",MID(TRIM($A196),2,1)="、"),REPLACEB(TRIM($A196),1,4,""),TRIM($A196)))</f>
        <v>0</v>
      </c>
      <c r="E196" s="677">
        <f>SUMIFS(调整事项汇总表!$K$7:$K$10020,调整事项汇总表!$D$7:$D$10020,"报表调整",调整事项汇总表!$E$7:$E$10020,IF(OR(MID(TRIM($A196),2,1)="：",MID(TRIM($A196),2,1)="、"),REPLACEB(TRIM($A196),1,4,""),TRIM($A196)))</f>
        <v>0</v>
      </c>
      <c r="F196" s="677">
        <f>SUMIFS(调整事项汇总表!$L$7:$L$10020,调整事项汇总表!$D$7:$D$10020,"报表调整",调整事项汇总表!$E$7:$E$10020,IF(OR(MID(TRIM($A196),2,1)="：",MID(TRIM($A196),2,1)="、"),REPLACEB(TRIM($A196),1,4,""),TRIM($A196)))</f>
        <v>0</v>
      </c>
      <c r="G196" s="677">
        <f>SUMIFS(调整事项汇总表!$K$7:$K$10020,调整事项汇总表!$D$7:$D$10020,"其他",调整事项汇总表!$E$7:$E$10020,IF(OR(MID(TRIM($A196),2,1)="：",MID(TRIM($A196),2,1)="、"),REPLACEB(TRIM($A196),1,4,""),TRIM($A196)))</f>
        <v>0</v>
      </c>
      <c r="H196" s="677">
        <f>SUMIFS(调整事项汇总表!$L$7:$L$10020,调整事项汇总表!$D$7:$D$10020,"其他",调整事项汇总表!$E$7:$E$10020,IF(OR(MID(TRIM($A196),2,1)="：",MID(TRIM($A196),2,1)="、"),REPLACEB(TRIM($A196),1,4,""),TRIM($A196)))</f>
        <v>0</v>
      </c>
      <c r="I196" s="677">
        <f t="shared" si="53"/>
        <v>0</v>
      </c>
      <c r="J196" s="425" t="b">
        <f>A196=未审报表!A196</f>
        <v>1</v>
      </c>
      <c r="K196" s="425" t="b">
        <f>A196=审定报表!A196</f>
        <v>1</v>
      </c>
    </row>
    <row r="197" spans="1:11" ht="14.4" customHeight="1">
      <c r="A197" s="779" t="str">
        <f>未审报表!A197</f>
        <v xml:space="preserve">           手续费及佣金收入*</v>
      </c>
      <c r="B197" s="423">
        <f>期初核对!C197</f>
        <v>0</v>
      </c>
      <c r="C197" s="677">
        <f>SUMIFS(调整事项汇总表!$K$7:$K$10020,调整事项汇总表!$D$7:$D$10020,"账项调整",调整事项汇总表!$E$7:$E$10020,IF(OR(MID(TRIM($A197),2,1)="：",MID(TRIM($A197),2,1)="、"),REPLACEB(TRIM($A197),1,4,""),TRIM($A197)))</f>
        <v>0</v>
      </c>
      <c r="D197" s="677">
        <f>SUMIFS(调整事项汇总表!$L$7:$L$10020,调整事项汇总表!$D$7:$D$10020,"账项调整",调整事项汇总表!$E$7:$E$10020,IF(OR(MID(TRIM($A197),2,1)="：",MID(TRIM($A197),2,1)="、"),REPLACEB(TRIM($A197),1,4,""),TRIM($A197)))</f>
        <v>0</v>
      </c>
      <c r="E197" s="677">
        <f>SUMIFS(调整事项汇总表!$K$7:$K$10020,调整事项汇总表!$D$7:$D$10020,"报表调整",调整事项汇总表!$E$7:$E$10020,IF(OR(MID(TRIM($A197),2,1)="：",MID(TRIM($A197),2,1)="、"),REPLACEB(TRIM($A197),1,4,""),TRIM($A197)))</f>
        <v>0</v>
      </c>
      <c r="F197" s="677">
        <f>SUMIFS(调整事项汇总表!$L$7:$L$10020,调整事项汇总表!$D$7:$D$10020,"报表调整",调整事项汇总表!$E$7:$E$10020,IF(OR(MID(TRIM($A197),2,1)="：",MID(TRIM($A197),2,1)="、"),REPLACEB(TRIM($A197),1,4,""),TRIM($A197)))</f>
        <v>0</v>
      </c>
      <c r="G197" s="677">
        <f>SUMIFS(调整事项汇总表!$K$7:$K$10020,调整事项汇总表!$D$7:$D$10020,"其他",调整事项汇总表!$E$7:$E$10020,IF(OR(MID(TRIM($A197),2,1)="：",MID(TRIM($A197),2,1)="、"),REPLACEB(TRIM($A197),1,4,""),TRIM($A197)))</f>
        <v>0</v>
      </c>
      <c r="H197" s="677">
        <f>SUMIFS(调整事项汇总表!$L$7:$L$10020,调整事项汇总表!$D$7:$D$10020,"其他",调整事项汇总表!$E$7:$E$10020,IF(OR(MID(TRIM($A197),2,1)="：",MID(TRIM($A197),2,1)="、"),REPLACEB(TRIM($A197),1,4,""),TRIM($A197)))</f>
        <v>0</v>
      </c>
      <c r="I197" s="677">
        <f t="shared" si="53"/>
        <v>0</v>
      </c>
      <c r="J197" s="425" t="b">
        <f>A197=未审报表!A197</f>
        <v>1</v>
      </c>
      <c r="K197" s="425" t="b">
        <f>A197=审定报表!A197</f>
        <v>1</v>
      </c>
    </row>
    <row r="198" spans="1:11" ht="14.4" customHeight="1">
      <c r="A198" s="783" t="str">
        <f>未审报表!A198</f>
        <v xml:space="preserve">    减：营业总成本</v>
      </c>
      <c r="B198" s="432">
        <f>期初核对!C198</f>
        <v>10426499.75</v>
      </c>
      <c r="C198" s="637">
        <f>SUM(C199:C212,C216)</f>
        <v>10000</v>
      </c>
      <c r="D198" s="637">
        <f>SUM(D199:D212,D216)</f>
        <v>10000</v>
      </c>
      <c r="E198" s="637">
        <f t="shared" ref="E198:H198" si="54">SUM(E199:E212,E216)</f>
        <v>0</v>
      </c>
      <c r="F198" s="637">
        <f t="shared" si="54"/>
        <v>0</v>
      </c>
      <c r="G198" s="637">
        <f t="shared" si="54"/>
        <v>0</v>
      </c>
      <c r="H198" s="637">
        <f t="shared" si="54"/>
        <v>0</v>
      </c>
      <c r="I198" s="678">
        <f>B198+C198+E198+G198-D198-F198-H198</f>
        <v>10426499.75</v>
      </c>
      <c r="J198" s="425" t="b">
        <f>A198=未审报表!A198</f>
        <v>1</v>
      </c>
      <c r="K198" s="425" t="b">
        <f>A198=审定报表!A198</f>
        <v>1</v>
      </c>
    </row>
    <row r="199" spans="1:11" ht="14.4" customHeight="1">
      <c r="A199" s="779" t="str">
        <f>未审报表!A199</f>
        <v xml:space="preserve">        其中：主营业务成本</v>
      </c>
      <c r="B199" s="423">
        <f>期初核对!C199</f>
        <v>9866189.1400000006</v>
      </c>
      <c r="C199" s="677">
        <f>SUMIFS(调整事项汇总表!$K$7:$K$10020,调整事项汇总表!$D$7:$D$10020,"账项调整",调整事项汇总表!$E$7:$E$10020,IF(OR(MID(TRIM($A199),3,1)="：",MID(TRIM($A199),2,1)="、"),REPLACEB(TRIM($A199),1,6,""),TRIM($A199)))</f>
        <v>0</v>
      </c>
      <c r="D199" s="677">
        <f>SUMIFS(调整事项汇总表!$L$7:$L$10020,调整事项汇总表!$D$7:$D$10020,"账项调整",调整事项汇总表!$E$7:$E$10020,IF(OR(MID(TRIM($A199),3,1)="：",MID(TRIM($A199),2,1)="、"),REPLACEB(TRIM($A199),1,6,""),TRIM($A199)))</f>
        <v>0</v>
      </c>
      <c r="E199" s="677">
        <f>SUMIFS(调整事项汇总表!$K$7:$K$10020,调整事项汇总表!$D$7:$D$10020,"报表调整",调整事项汇总表!$E$7:$E$10020,IF(OR(MID(TRIM($A199),3,1)="：",MID(TRIM($A199),2,1)="、"),REPLACEB(TRIM($A199),1,6,""),TRIM($A199)))</f>
        <v>0</v>
      </c>
      <c r="F199" s="677">
        <f>SUMIFS(调整事项汇总表!$L$7:$L$10020,调整事项汇总表!$D$7:$D$10020,"报表调整",调整事项汇总表!$E$7:$E$10020,IF(OR(MID(TRIM($A199),3,1)="：",MID(TRIM($A199),2,1)="、"),REPLACEB(TRIM($A199),1,6,""),TRIM($A199)))</f>
        <v>0</v>
      </c>
      <c r="G199" s="677">
        <f>SUMIFS(调整事项汇总表!$K$7:$K$10020,调整事项汇总表!$D$7:$D$10020,"其他",调整事项汇总表!$E$7:$E$10020,IF(OR(MID(TRIM($A199),3,1)="：",MID(TRIM($A199),2,1)="、"),REPLACEB(TRIM($A199),1,6,""),TRIM($A199)))</f>
        <v>0</v>
      </c>
      <c r="H199" s="677">
        <f>SUMIFS(调整事项汇总表!$L$7:$L$10020,调整事项汇总表!$D$7:$D$10020,"其他",调整事项汇总表!$E$7:$E$10020,IF(OR(MID(TRIM($A199),3,1)="：",MID(TRIM($A199),2,1)="、"),REPLACEB(TRIM($A199),1,6,""),TRIM($A199)))</f>
        <v>0</v>
      </c>
      <c r="I199" s="678">
        <f t="shared" ref="I199:I211" si="55">B199+C199+E199+G199-D199-F199-H199</f>
        <v>9866189.1400000006</v>
      </c>
      <c r="J199" s="425" t="b">
        <f>A199=未审报表!A199</f>
        <v>1</v>
      </c>
      <c r="K199" s="425" t="b">
        <f>A199=审定报表!A199</f>
        <v>1</v>
      </c>
    </row>
    <row r="200" spans="1:11" ht="14.4" customHeight="1">
      <c r="A200" s="779" t="str">
        <f>未审报表!A200</f>
        <v xml:space="preserve">              其他业务成本</v>
      </c>
      <c r="B200" s="423">
        <f>期初核对!C200</f>
        <v>0</v>
      </c>
      <c r="C200" s="677">
        <f>SUMIFS(调整事项汇总表!$K$7:$K$10020,调整事项汇总表!$D$7:$D$10020,"账项调整",调整事项汇总表!$E$7:$E$10020,IF(OR(MID(TRIM($A200),2,1)="：",MID(TRIM($A200),2,1)="、"),REPLACEB(TRIM($A200),1,4,""),TRIM($A200)))</f>
        <v>0</v>
      </c>
      <c r="D200" s="677">
        <f>SUMIFS(调整事项汇总表!$L$7:$L$10020,调整事项汇总表!$D$7:$D$10020,"账项调整",调整事项汇总表!$E$7:$E$10020,IF(OR(MID(TRIM($A200),2,1)="：",MID(TRIM($A200),2,1)="、"),REPLACEB(TRIM($A200),1,4,""),TRIM($A200)))</f>
        <v>0</v>
      </c>
      <c r="E200" s="677">
        <f>SUMIFS(调整事项汇总表!$K$7:$K$10020,调整事项汇总表!$D$7:$D$10020,"报表调整",调整事项汇总表!$E$7:$E$10020,IF(OR(MID(TRIM($A200),2,1)="：",MID(TRIM($A200),2,1)="、"),REPLACEB(TRIM($A200),1,4,""),TRIM($A200)))</f>
        <v>0</v>
      </c>
      <c r="F200" s="677">
        <f>SUMIFS(调整事项汇总表!$L$7:$L$10020,调整事项汇总表!$D$7:$D$10020,"报表调整",调整事项汇总表!$E$7:$E$10020,IF(OR(MID(TRIM($A200),2,1)="：",MID(TRIM($A200),2,1)="、"),REPLACEB(TRIM($A200),1,4,""),TRIM($A200)))</f>
        <v>0</v>
      </c>
      <c r="G200" s="677">
        <f>SUMIFS(调整事项汇总表!$K$7:$K$10020,调整事项汇总表!$D$7:$D$10020,"其他",调整事项汇总表!$E$7:$E$10020,IF(OR(MID(TRIM($A200),2,1)="：",MID(TRIM($A200),2,1)="、"),REPLACEB(TRIM($A200),1,4,""),TRIM($A200)))</f>
        <v>0</v>
      </c>
      <c r="H200" s="677">
        <f>SUMIFS(调整事项汇总表!$L$7:$L$10020,调整事项汇总表!$D$7:$D$10020,"其他",调整事项汇总表!$E$7:$E$10020,IF(OR(MID(TRIM($A200),2,1)="：",MID(TRIM($A200),2,1)="、"),REPLACEB(TRIM($A200),1,4,""),TRIM($A200)))</f>
        <v>0</v>
      </c>
      <c r="I200" s="678">
        <f t="shared" si="55"/>
        <v>0</v>
      </c>
      <c r="J200" s="425" t="b">
        <f>A200=未审报表!A200</f>
        <v>1</v>
      </c>
      <c r="K200" s="425" t="b">
        <f>A200=审定报表!A200</f>
        <v>1</v>
      </c>
    </row>
    <row r="201" spans="1:11" ht="14.4" customHeight="1">
      <c r="A201" s="779" t="str">
        <f>未审报表!A201</f>
        <v xml:space="preserve">        利息支出*</v>
      </c>
      <c r="B201" s="423">
        <f>期初核对!C201</f>
        <v>0</v>
      </c>
      <c r="C201" s="677">
        <f>SUMIFS(调整事项汇总表!$K$7:$K$10020,调整事项汇总表!$D$7:$D$10020,"账项调整",调整事项汇总表!$E$7:$E$10020,IF(OR(MID(TRIM($A201),2,1)="：",MID(TRIM($A201),2,1)="、"),REPLACEB(TRIM($A201),1,4,""),TRIM($A201)))</f>
        <v>0</v>
      </c>
      <c r="D201" s="677">
        <f>SUMIFS(调整事项汇总表!$L$7:$L$10020,调整事项汇总表!$D$7:$D$10020,"账项调整",调整事项汇总表!$E$7:$E$10020,IF(OR(MID(TRIM($A201),2,1)="：",MID(TRIM($A201),2,1)="、"),REPLACEB(TRIM($A201),1,4,""),TRIM($A201)))</f>
        <v>0</v>
      </c>
      <c r="E201" s="677">
        <f>SUMIFS(调整事项汇总表!$K$7:$K$10020,调整事项汇总表!$D$7:$D$10020,"报表调整",调整事项汇总表!$E$7:$E$10020,IF(OR(MID(TRIM($A201),2,1)="：",MID(TRIM($A201),2,1)="、"),REPLACEB(TRIM($A201),1,4,""),TRIM($A201)))</f>
        <v>0</v>
      </c>
      <c r="F201" s="677">
        <f>SUMIFS(调整事项汇总表!$L$7:$L$10020,调整事项汇总表!$D$7:$D$10020,"报表调整",调整事项汇总表!$E$7:$E$10020,IF(OR(MID(TRIM($A201),2,1)="：",MID(TRIM($A201),2,1)="、"),REPLACEB(TRIM($A201),1,4,""),TRIM($A201)))</f>
        <v>0</v>
      </c>
      <c r="G201" s="677">
        <f>SUMIFS(调整事项汇总表!$K$7:$K$10020,调整事项汇总表!$D$7:$D$10020,"其他",调整事项汇总表!$E$7:$E$10020,IF(OR(MID(TRIM($A201),2,1)="：",MID(TRIM($A201),2,1)="、"),REPLACEB(TRIM($A201),1,4,""),TRIM($A201)))</f>
        <v>0</v>
      </c>
      <c r="H201" s="677">
        <f>SUMIFS(调整事项汇总表!$L$7:$L$10020,调整事项汇总表!$D$7:$D$10020,"其他",调整事项汇总表!$E$7:$E$10020,IF(OR(MID(TRIM($A201),2,1)="：",MID(TRIM($A201),2,1)="、"),REPLACEB(TRIM($A201),1,4,""),TRIM($A201)))</f>
        <v>0</v>
      </c>
      <c r="I201" s="678">
        <f t="shared" si="55"/>
        <v>0</v>
      </c>
      <c r="J201" s="425" t="b">
        <f>A201=未审报表!A201</f>
        <v>1</v>
      </c>
      <c r="K201" s="425" t="b">
        <f>A201=审定报表!A201</f>
        <v>1</v>
      </c>
    </row>
    <row r="202" spans="1:11" ht="14.4" customHeight="1">
      <c r="A202" s="779" t="str">
        <f>未审报表!A202</f>
        <v xml:space="preserve">        手续费及佣金支出*</v>
      </c>
      <c r="B202" s="423">
        <f>期初核对!C202</f>
        <v>0</v>
      </c>
      <c r="C202" s="677">
        <f>SUMIFS(调整事项汇总表!$K$7:$K$10020,调整事项汇总表!$D$7:$D$10020,"账项调整",调整事项汇总表!$E$7:$E$10020,IF(OR(MID(TRIM($A202),2,1)="：",MID(TRIM($A202),2,1)="、"),REPLACEB(TRIM($A202),1,4,""),TRIM($A202)))</f>
        <v>0</v>
      </c>
      <c r="D202" s="677">
        <f>SUMIFS(调整事项汇总表!$L$7:$L$10020,调整事项汇总表!$D$7:$D$10020,"账项调整",调整事项汇总表!$E$7:$E$10020,IF(OR(MID(TRIM($A202),2,1)="：",MID(TRIM($A202),2,1)="、"),REPLACEB(TRIM($A202),1,4,""),TRIM($A202)))</f>
        <v>0</v>
      </c>
      <c r="E202" s="677">
        <f>SUMIFS(调整事项汇总表!$K$7:$K$10020,调整事项汇总表!$D$7:$D$10020,"报表调整",调整事项汇总表!$E$7:$E$10020,IF(OR(MID(TRIM($A202),2,1)="：",MID(TRIM($A202),2,1)="、"),REPLACEB(TRIM($A202),1,4,""),TRIM($A202)))</f>
        <v>0</v>
      </c>
      <c r="F202" s="677">
        <f>SUMIFS(调整事项汇总表!$L$7:$L$10020,调整事项汇总表!$D$7:$D$10020,"报表调整",调整事项汇总表!$E$7:$E$10020,IF(OR(MID(TRIM($A202),2,1)="：",MID(TRIM($A202),2,1)="、"),REPLACEB(TRIM($A202),1,4,""),TRIM($A202)))</f>
        <v>0</v>
      </c>
      <c r="G202" s="677">
        <f>SUMIFS(调整事项汇总表!$K$7:$K$10020,调整事项汇总表!$D$7:$D$10020,"其他",调整事项汇总表!$E$7:$E$10020,IF(OR(MID(TRIM($A202),2,1)="：",MID(TRIM($A202),2,1)="、"),REPLACEB(TRIM($A202),1,4,""),TRIM($A202)))</f>
        <v>0</v>
      </c>
      <c r="H202" s="677">
        <f>SUMIFS(调整事项汇总表!$L$7:$L$10020,调整事项汇总表!$D$7:$D$10020,"其他",调整事项汇总表!$E$7:$E$10020,IF(OR(MID(TRIM($A202),2,1)="：",MID(TRIM($A202),2,1)="、"),REPLACEB(TRIM($A202),1,4,""),TRIM($A202)))</f>
        <v>0</v>
      </c>
      <c r="I202" s="678">
        <f t="shared" si="55"/>
        <v>0</v>
      </c>
      <c r="J202" s="425" t="b">
        <f>A202=未审报表!A202</f>
        <v>1</v>
      </c>
      <c r="K202" s="425" t="b">
        <f>A202=审定报表!A202</f>
        <v>1</v>
      </c>
    </row>
    <row r="203" spans="1:11" ht="14.4" customHeight="1">
      <c r="A203" s="779" t="str">
        <f>未审报表!A203</f>
        <v xml:space="preserve">        退保金*</v>
      </c>
      <c r="B203" s="423">
        <f>期初核对!C203</f>
        <v>0</v>
      </c>
      <c r="C203" s="677">
        <f>SUMIFS(调整事项汇总表!$K$7:$K$10020,调整事项汇总表!$D$7:$D$10020,"账项调整",调整事项汇总表!$E$7:$E$10020,IF(OR(MID(TRIM($A203),2,1)="：",MID(TRIM($A203),2,1)="、"),REPLACEB(TRIM($A203),1,4,""),TRIM($A203)))</f>
        <v>0</v>
      </c>
      <c r="D203" s="677">
        <f>SUMIFS(调整事项汇总表!$L$7:$L$10020,调整事项汇总表!$D$7:$D$10020,"账项调整",调整事项汇总表!$E$7:$E$10020,IF(OR(MID(TRIM($A203),2,1)="：",MID(TRIM($A203),2,1)="、"),REPLACEB(TRIM($A203),1,4,""),TRIM($A203)))</f>
        <v>0</v>
      </c>
      <c r="E203" s="677">
        <f>SUMIFS(调整事项汇总表!$K$7:$K$10020,调整事项汇总表!$D$7:$D$10020,"报表调整",调整事项汇总表!$E$7:$E$10020,IF(OR(MID(TRIM($A203),2,1)="：",MID(TRIM($A203),2,1)="、"),REPLACEB(TRIM($A203),1,4,""),TRIM($A203)))</f>
        <v>0</v>
      </c>
      <c r="F203" s="677">
        <f>SUMIFS(调整事项汇总表!$L$7:$L$10020,调整事项汇总表!$D$7:$D$10020,"报表调整",调整事项汇总表!$E$7:$E$10020,IF(OR(MID(TRIM($A203),2,1)="：",MID(TRIM($A203),2,1)="、"),REPLACEB(TRIM($A203),1,4,""),TRIM($A203)))</f>
        <v>0</v>
      </c>
      <c r="G203" s="677">
        <f>SUMIFS(调整事项汇总表!$K$7:$K$10020,调整事项汇总表!$D$7:$D$10020,"其他",调整事项汇总表!$E$7:$E$10020,IF(OR(MID(TRIM($A203),2,1)="：",MID(TRIM($A203),2,1)="、"),REPLACEB(TRIM($A203),1,4,""),TRIM($A203)))</f>
        <v>0</v>
      </c>
      <c r="H203" s="677">
        <f>SUMIFS(调整事项汇总表!$L$7:$L$10020,调整事项汇总表!$D$7:$D$10020,"其他",调整事项汇总表!$E$7:$E$10020,IF(OR(MID(TRIM($A203),2,1)="：",MID(TRIM($A203),2,1)="、"),REPLACEB(TRIM($A203),1,4,""),TRIM($A203)))</f>
        <v>0</v>
      </c>
      <c r="I203" s="678">
        <f t="shared" si="55"/>
        <v>0</v>
      </c>
      <c r="J203" s="425" t="b">
        <f>A203=未审报表!A203</f>
        <v>1</v>
      </c>
      <c r="K203" s="425" t="b">
        <f>A203=审定报表!A203</f>
        <v>1</v>
      </c>
    </row>
    <row r="204" spans="1:11" ht="14.4" customHeight="1">
      <c r="A204" s="779" t="str">
        <f>未审报表!A204</f>
        <v xml:space="preserve">        赔付支出净额*</v>
      </c>
      <c r="B204" s="423">
        <f>期初核对!C204</f>
        <v>0</v>
      </c>
      <c r="C204" s="677">
        <f>SUMIFS(调整事项汇总表!$K$7:$K$10020,调整事项汇总表!$D$7:$D$10020,"账项调整",调整事项汇总表!$E$7:$E$10020,IF(OR(MID(TRIM($A204),2,1)="：",MID(TRIM($A204),2,1)="、"),REPLACEB(TRIM($A204),1,4,""),TRIM($A204)))</f>
        <v>0</v>
      </c>
      <c r="D204" s="677">
        <f>SUMIFS(调整事项汇总表!$L$7:$L$10020,调整事项汇总表!$D$7:$D$10020,"账项调整",调整事项汇总表!$E$7:$E$10020,IF(OR(MID(TRIM($A204),2,1)="：",MID(TRIM($A204),2,1)="、"),REPLACEB(TRIM($A204),1,4,""),TRIM($A204)))</f>
        <v>0</v>
      </c>
      <c r="E204" s="677">
        <f>SUMIFS(调整事项汇总表!$K$7:$K$10020,调整事项汇总表!$D$7:$D$10020,"报表调整",调整事项汇总表!$E$7:$E$10020,IF(OR(MID(TRIM($A204),2,1)="：",MID(TRIM($A204),2,1)="、"),REPLACEB(TRIM($A204),1,4,""),TRIM($A204)))</f>
        <v>0</v>
      </c>
      <c r="F204" s="677">
        <f>SUMIFS(调整事项汇总表!$L$7:$L$10020,调整事项汇总表!$D$7:$D$10020,"报表调整",调整事项汇总表!$E$7:$E$10020,IF(OR(MID(TRIM($A204),2,1)="：",MID(TRIM($A204),2,1)="、"),REPLACEB(TRIM($A204),1,4,""),TRIM($A204)))</f>
        <v>0</v>
      </c>
      <c r="G204" s="677">
        <f>SUMIFS(调整事项汇总表!$K$7:$K$10020,调整事项汇总表!$D$7:$D$10020,"其他",调整事项汇总表!$E$7:$E$10020,IF(OR(MID(TRIM($A204),2,1)="：",MID(TRIM($A204),2,1)="、"),REPLACEB(TRIM($A204),1,4,""),TRIM($A204)))</f>
        <v>0</v>
      </c>
      <c r="H204" s="677">
        <f>SUMIFS(调整事项汇总表!$L$7:$L$10020,调整事项汇总表!$D$7:$D$10020,"其他",调整事项汇总表!$E$7:$E$10020,IF(OR(MID(TRIM($A204),2,1)="：",MID(TRIM($A204),2,1)="、"),REPLACEB(TRIM($A204),1,4,""),TRIM($A204)))</f>
        <v>0</v>
      </c>
      <c r="I204" s="678">
        <f t="shared" si="55"/>
        <v>0</v>
      </c>
      <c r="J204" s="425" t="b">
        <f>A204=未审报表!A204</f>
        <v>1</v>
      </c>
      <c r="K204" s="425" t="b">
        <f>A204=审定报表!A204</f>
        <v>1</v>
      </c>
    </row>
    <row r="205" spans="1:11" ht="14.4" customHeight="1">
      <c r="A205" s="779" t="str">
        <f>未审报表!A205</f>
        <v xml:space="preserve">        提取保险责任准备金净额*</v>
      </c>
      <c r="B205" s="423">
        <f>期初核对!C205</f>
        <v>0</v>
      </c>
      <c r="C205" s="677">
        <f>SUMIFS(调整事项汇总表!$K$7:$K$10020,调整事项汇总表!$D$7:$D$10020,"账项调整",调整事项汇总表!$E$7:$E$10020,IF(OR(MID(TRIM($A205),2,1)="：",MID(TRIM($A205),2,1)="、"),REPLACEB(TRIM($A205),1,4,""),TRIM($A205)))</f>
        <v>0</v>
      </c>
      <c r="D205" s="677">
        <f>SUMIFS(调整事项汇总表!$L$7:$L$10020,调整事项汇总表!$D$7:$D$10020,"账项调整",调整事项汇总表!$E$7:$E$10020,IF(OR(MID(TRIM($A205),2,1)="：",MID(TRIM($A205),2,1)="、"),REPLACEB(TRIM($A205),1,4,""),TRIM($A205)))</f>
        <v>0</v>
      </c>
      <c r="E205" s="677">
        <f>SUMIFS(调整事项汇总表!$K$7:$K$10020,调整事项汇总表!$D$7:$D$10020,"报表调整",调整事项汇总表!$E$7:$E$10020,IF(OR(MID(TRIM($A205),2,1)="：",MID(TRIM($A205),2,1)="、"),REPLACEB(TRIM($A205),1,4,""),TRIM($A205)))</f>
        <v>0</v>
      </c>
      <c r="F205" s="677">
        <f>SUMIFS(调整事项汇总表!$L$7:$L$10020,调整事项汇总表!$D$7:$D$10020,"报表调整",调整事项汇总表!$E$7:$E$10020,IF(OR(MID(TRIM($A205),2,1)="：",MID(TRIM($A205),2,1)="、"),REPLACEB(TRIM($A205),1,4,""),TRIM($A205)))</f>
        <v>0</v>
      </c>
      <c r="G205" s="677">
        <f>SUMIFS(调整事项汇总表!$K$7:$K$10020,调整事项汇总表!$D$7:$D$10020,"其他",调整事项汇总表!$E$7:$E$10020,IF(OR(MID(TRIM($A205),2,1)="：",MID(TRIM($A205),2,1)="、"),REPLACEB(TRIM($A205),1,4,""),TRIM($A205)))</f>
        <v>0</v>
      </c>
      <c r="H205" s="677">
        <f>SUMIFS(调整事项汇总表!$L$7:$L$10020,调整事项汇总表!$D$7:$D$10020,"其他",调整事项汇总表!$E$7:$E$10020,IF(OR(MID(TRIM($A205),2,1)="：",MID(TRIM($A205),2,1)="、"),REPLACEB(TRIM($A205),1,4,""),TRIM($A205)))</f>
        <v>0</v>
      </c>
      <c r="I205" s="678">
        <f t="shared" si="55"/>
        <v>0</v>
      </c>
      <c r="J205" s="425" t="b">
        <f>A205=未审报表!A205</f>
        <v>1</v>
      </c>
      <c r="K205" s="425" t="b">
        <f>A205=审定报表!A205</f>
        <v>1</v>
      </c>
    </row>
    <row r="206" spans="1:11" ht="14.4" customHeight="1">
      <c r="A206" s="779" t="str">
        <f>未审报表!A206</f>
        <v xml:space="preserve">        保单红利支出*</v>
      </c>
      <c r="B206" s="423">
        <f>期初核对!C206</f>
        <v>0</v>
      </c>
      <c r="C206" s="677">
        <f>SUMIFS(调整事项汇总表!$K$7:$K$10020,调整事项汇总表!$D$7:$D$10020,"账项调整",调整事项汇总表!$E$7:$E$10020,IF(OR(MID(TRIM($A206),2,1)="：",MID(TRIM($A206),2,1)="、"),REPLACEB(TRIM($A206),1,4,""),TRIM($A206)))</f>
        <v>0</v>
      </c>
      <c r="D206" s="677">
        <f>SUMIFS(调整事项汇总表!$L$7:$L$10020,调整事项汇总表!$D$7:$D$10020,"账项调整",调整事项汇总表!$E$7:$E$10020,IF(OR(MID(TRIM($A206),2,1)="：",MID(TRIM($A206),2,1)="、"),REPLACEB(TRIM($A206),1,4,""),TRIM($A206)))</f>
        <v>0</v>
      </c>
      <c r="E206" s="677">
        <f>SUMIFS(调整事项汇总表!$K$7:$K$10020,调整事项汇总表!$D$7:$D$10020,"报表调整",调整事项汇总表!$E$7:$E$10020,IF(OR(MID(TRIM($A206),2,1)="：",MID(TRIM($A206),2,1)="、"),REPLACEB(TRIM($A206),1,4,""),TRIM($A206)))</f>
        <v>0</v>
      </c>
      <c r="F206" s="677">
        <f>SUMIFS(调整事项汇总表!$L$7:$L$10020,调整事项汇总表!$D$7:$D$10020,"报表调整",调整事项汇总表!$E$7:$E$10020,IF(OR(MID(TRIM($A206),2,1)="：",MID(TRIM($A206),2,1)="、"),REPLACEB(TRIM($A206),1,4,""),TRIM($A206)))</f>
        <v>0</v>
      </c>
      <c r="G206" s="677">
        <f>SUMIFS(调整事项汇总表!$K$7:$K$10020,调整事项汇总表!$D$7:$D$10020,"其他",调整事项汇总表!$E$7:$E$10020,IF(OR(MID(TRIM($A206),2,1)="：",MID(TRIM($A206),2,1)="、"),REPLACEB(TRIM($A206),1,4,""),TRIM($A206)))</f>
        <v>0</v>
      </c>
      <c r="H206" s="677">
        <f>SUMIFS(调整事项汇总表!$L$7:$L$10020,调整事项汇总表!$D$7:$D$10020,"其他",调整事项汇总表!$E$7:$E$10020,IF(OR(MID(TRIM($A206),2,1)="：",MID(TRIM($A206),2,1)="、"),REPLACEB(TRIM($A206),1,4,""),TRIM($A206)))</f>
        <v>0</v>
      </c>
      <c r="I206" s="678">
        <f t="shared" si="55"/>
        <v>0</v>
      </c>
      <c r="J206" s="425" t="b">
        <f>A206=未审报表!A206</f>
        <v>1</v>
      </c>
      <c r="K206" s="425" t="b">
        <f>A206=审定报表!A206</f>
        <v>1</v>
      </c>
    </row>
    <row r="207" spans="1:11" ht="14.4" customHeight="1">
      <c r="A207" s="779" t="str">
        <f>未审报表!A207</f>
        <v xml:space="preserve">        分保费用*</v>
      </c>
      <c r="B207" s="423">
        <f>期初核对!C207</f>
        <v>0</v>
      </c>
      <c r="C207" s="677">
        <f>SUMIFS(调整事项汇总表!$K$7:$K$10020,调整事项汇总表!$D$7:$D$10020,"账项调整",调整事项汇总表!$E$7:$E$10020,IF(OR(MID(TRIM($A207),2,1)="：",MID(TRIM($A207),2,1)="、"),REPLACEB(TRIM($A207),1,4,""),TRIM($A207)))</f>
        <v>0</v>
      </c>
      <c r="D207" s="677">
        <f>SUMIFS(调整事项汇总表!$L$7:$L$10020,调整事项汇总表!$D$7:$D$10020,"账项调整",调整事项汇总表!$E$7:$E$10020,IF(OR(MID(TRIM($A207),2,1)="：",MID(TRIM($A207),2,1)="、"),REPLACEB(TRIM($A207),1,4,""),TRIM($A207)))</f>
        <v>0</v>
      </c>
      <c r="E207" s="677">
        <f>SUMIFS(调整事项汇总表!$K$7:$K$10020,调整事项汇总表!$D$7:$D$10020,"报表调整",调整事项汇总表!$E$7:$E$10020,IF(OR(MID(TRIM($A207),2,1)="：",MID(TRIM($A207),2,1)="、"),REPLACEB(TRIM($A207),1,4,""),TRIM($A207)))</f>
        <v>0</v>
      </c>
      <c r="F207" s="677">
        <f>SUMIFS(调整事项汇总表!$L$7:$L$10020,调整事项汇总表!$D$7:$D$10020,"报表调整",调整事项汇总表!$E$7:$E$10020,IF(OR(MID(TRIM($A207),2,1)="：",MID(TRIM($A207),2,1)="、"),REPLACEB(TRIM($A207),1,4,""),TRIM($A207)))</f>
        <v>0</v>
      </c>
      <c r="G207" s="677">
        <f>SUMIFS(调整事项汇总表!$K$7:$K$10020,调整事项汇总表!$D$7:$D$10020,"其他",调整事项汇总表!$E$7:$E$10020,IF(OR(MID(TRIM($A207),2,1)="：",MID(TRIM($A207),2,1)="、"),REPLACEB(TRIM($A207),1,4,""),TRIM($A207)))</f>
        <v>0</v>
      </c>
      <c r="H207" s="677">
        <f>SUMIFS(调整事项汇总表!$L$7:$L$10020,调整事项汇总表!$D$7:$D$10020,"其他",调整事项汇总表!$E$7:$E$10020,IF(OR(MID(TRIM($A207),2,1)="：",MID(TRIM($A207),2,1)="、"),REPLACEB(TRIM($A207),1,4,""),TRIM($A207)))</f>
        <v>0</v>
      </c>
      <c r="I207" s="678">
        <f t="shared" si="55"/>
        <v>0</v>
      </c>
      <c r="J207" s="425" t="b">
        <f>A207=未审报表!A207</f>
        <v>1</v>
      </c>
      <c r="K207" s="425" t="b">
        <f>A207=审定报表!A207</f>
        <v>1</v>
      </c>
    </row>
    <row r="208" spans="1:11" ht="14.4" customHeight="1">
      <c r="A208" s="779" t="str">
        <f>未审报表!A208</f>
        <v xml:space="preserve">        税金及附加</v>
      </c>
      <c r="B208" s="423">
        <f>期初核对!C208</f>
        <v>112613.94</v>
      </c>
      <c r="C208" s="677">
        <f>SUMIFS(调整事项汇总表!$K$7:$K$10020,调整事项汇总表!$D$7:$D$10020,"账项调整",调整事项汇总表!$E$7:$E$10020,IF(OR(MID(TRIM($A208),2,1)="：",MID(TRIM($A208),2,1)="、"),REPLACEB(TRIM($A208),1,4,""),TRIM($A208)))</f>
        <v>0</v>
      </c>
      <c r="D208" s="677">
        <f>SUMIFS(调整事项汇总表!$L$7:$L$10020,调整事项汇总表!$D$7:$D$10020,"账项调整",调整事项汇总表!$E$7:$E$10020,IF(OR(MID(TRIM($A208),2,1)="：",MID(TRIM($A208),2,1)="、"),REPLACEB(TRIM($A208),1,4,""),TRIM($A208)))</f>
        <v>0</v>
      </c>
      <c r="E208" s="677">
        <f>SUMIFS(调整事项汇总表!$K$7:$K$10020,调整事项汇总表!$D$7:$D$10020,"报表调整",调整事项汇总表!$E$7:$E$10020,IF(OR(MID(TRIM($A208),2,1)="：",MID(TRIM($A208),2,1)="、"),REPLACEB(TRIM($A208),1,4,""),TRIM($A208)))</f>
        <v>0</v>
      </c>
      <c r="F208" s="677">
        <f>SUMIFS(调整事项汇总表!$L$7:$L$10020,调整事项汇总表!$D$7:$D$10020,"报表调整",调整事项汇总表!$E$7:$E$10020,IF(OR(MID(TRIM($A208),2,1)="：",MID(TRIM($A208),2,1)="、"),REPLACEB(TRIM($A208),1,4,""),TRIM($A208)))</f>
        <v>0</v>
      </c>
      <c r="G208" s="677">
        <f>SUMIFS(调整事项汇总表!$K$7:$K$10020,调整事项汇总表!$D$7:$D$10020,"其他",调整事项汇总表!$E$7:$E$10020,IF(OR(MID(TRIM($A208),2,1)="：",MID(TRIM($A208),2,1)="、"),REPLACEB(TRIM($A208),1,4,""),TRIM($A208)))</f>
        <v>0</v>
      </c>
      <c r="H208" s="677">
        <f>SUMIFS(调整事项汇总表!$L$7:$L$10020,调整事项汇总表!$D$7:$D$10020,"其他",调整事项汇总表!$E$7:$E$10020,IF(OR(MID(TRIM($A208),2,1)="：",MID(TRIM($A208),2,1)="、"),REPLACEB(TRIM($A208),1,4,""),TRIM($A208)))</f>
        <v>0</v>
      </c>
      <c r="I208" s="678">
        <f t="shared" si="55"/>
        <v>112613.94</v>
      </c>
      <c r="J208" s="425" t="b">
        <f>A208=未审报表!A208</f>
        <v>1</v>
      </c>
      <c r="K208" s="425" t="b">
        <f>A208=审定报表!A208</f>
        <v>1</v>
      </c>
    </row>
    <row r="209" spans="1:11" ht="14.4" customHeight="1">
      <c r="A209" s="779" t="str">
        <f>未审报表!A209</f>
        <v xml:space="preserve">        销售费用</v>
      </c>
      <c r="B209" s="423">
        <f>期初核对!C209</f>
        <v>0</v>
      </c>
      <c r="C209" s="677">
        <f>SUMIFS(调整事项汇总表!$K$7:$K$10020,调整事项汇总表!$D$7:$D$10020,"账项调整",调整事项汇总表!$E$7:$E$10020,IF(OR(MID(TRIM($A209),2,1)="：",MID(TRIM($A209),2,1)="、"),REPLACEB(TRIM($A209),1,4,""),TRIM($A209)))</f>
        <v>0</v>
      </c>
      <c r="D209" s="677">
        <f>SUMIFS(调整事项汇总表!$L$7:$L$10020,调整事项汇总表!$D$7:$D$10020,"账项调整",调整事项汇总表!$E$7:$E$10020,IF(OR(MID(TRIM($A209),2,1)="：",MID(TRIM($A209),2,1)="、"),REPLACEB(TRIM($A209),1,4,""),TRIM($A209)))</f>
        <v>0</v>
      </c>
      <c r="E209" s="677">
        <f>SUMIFS(调整事项汇总表!$K$7:$K$10020,调整事项汇总表!$D$7:$D$10020,"报表调整",调整事项汇总表!$E$7:$E$10020,IF(OR(MID(TRIM($A209),2,1)="：",MID(TRIM($A209),2,1)="、"),REPLACEB(TRIM($A209),1,4,""),TRIM($A209)))</f>
        <v>0</v>
      </c>
      <c r="F209" s="677">
        <f>SUMIFS(调整事项汇总表!$L$7:$L$10020,调整事项汇总表!$D$7:$D$10020,"报表调整",调整事项汇总表!$E$7:$E$10020,IF(OR(MID(TRIM($A209),2,1)="：",MID(TRIM($A209),2,1)="、"),REPLACEB(TRIM($A209),1,4,""),TRIM($A209)))</f>
        <v>0</v>
      </c>
      <c r="G209" s="677">
        <f>SUMIFS(调整事项汇总表!$K$7:$K$10020,调整事项汇总表!$D$7:$D$10020,"其他",调整事项汇总表!$E$7:$E$10020,IF(OR(MID(TRIM($A209),2,1)="：",MID(TRIM($A209),2,1)="、"),REPLACEB(TRIM($A209),1,4,""),TRIM($A209)))</f>
        <v>0</v>
      </c>
      <c r="H209" s="677">
        <f>SUMIFS(调整事项汇总表!$L$7:$L$10020,调整事项汇总表!$D$7:$D$10020,"其他",调整事项汇总表!$E$7:$E$10020,IF(OR(MID(TRIM($A209),2,1)="：",MID(TRIM($A209),2,1)="、"),REPLACEB(TRIM($A209),1,4,""),TRIM($A209)))</f>
        <v>0</v>
      </c>
      <c r="I209" s="678">
        <f t="shared" si="55"/>
        <v>0</v>
      </c>
      <c r="J209" s="425" t="b">
        <f>A209=未审报表!A209</f>
        <v>1</v>
      </c>
      <c r="K209" s="425" t="b">
        <f>A209=审定报表!A209</f>
        <v>1</v>
      </c>
    </row>
    <row r="210" spans="1:11" ht="14.4" customHeight="1">
      <c r="A210" s="779" t="str">
        <f>未审报表!A210</f>
        <v xml:space="preserve">        管理费用</v>
      </c>
      <c r="B210" s="423">
        <f>期初核对!C210</f>
        <v>479456.63</v>
      </c>
      <c r="C210" s="677">
        <f>SUMIFS(调整事项汇总表!$K$7:$K$10020,调整事项汇总表!$D$7:$D$10020,"账项调整",调整事项汇总表!$E$7:$E$10020,IF(OR(MID(TRIM($A210),2,1)="：",MID(TRIM($A210),2,1)="、"),REPLACEB(TRIM($A210),1,4,""),TRIM($A210)))</f>
        <v>0</v>
      </c>
      <c r="D210" s="677">
        <f>SUMIFS(调整事项汇总表!$L$7:$L$10020,调整事项汇总表!$D$7:$D$10020,"账项调整",调整事项汇总表!$E$7:$E$10020,IF(OR(MID(TRIM($A210),2,1)="：",MID(TRIM($A210),2,1)="、"),REPLACEB(TRIM($A210),1,4,""),TRIM($A210)))</f>
        <v>0</v>
      </c>
      <c r="E210" s="677">
        <f>SUMIFS(调整事项汇总表!$K$7:$K$10020,调整事项汇总表!$D$7:$D$10020,"报表调整",调整事项汇总表!$E$7:$E$10020,IF(OR(MID(TRIM($A210),2,1)="：",MID(TRIM($A210),2,1)="、"),REPLACEB(TRIM($A210),1,4,""),TRIM($A210)))</f>
        <v>0</v>
      </c>
      <c r="F210" s="677">
        <f>SUMIFS(调整事项汇总表!$L$7:$L$10020,调整事项汇总表!$D$7:$D$10020,"报表调整",调整事项汇总表!$E$7:$E$10020,IF(OR(MID(TRIM($A210),2,1)="：",MID(TRIM($A210),2,1)="、"),REPLACEB(TRIM($A210),1,4,""),TRIM($A210)))</f>
        <v>0</v>
      </c>
      <c r="G210" s="677">
        <f>SUMIFS(调整事项汇总表!$K$7:$K$10020,调整事项汇总表!$D$7:$D$10020,"其他",调整事项汇总表!$E$7:$E$10020,IF(OR(MID(TRIM($A210),2,1)="：",MID(TRIM($A210),2,1)="、"),REPLACEB(TRIM($A210),1,4,""),TRIM($A210)))</f>
        <v>0</v>
      </c>
      <c r="H210" s="677">
        <f>SUMIFS(调整事项汇总表!$L$7:$L$10020,调整事项汇总表!$D$7:$D$10020,"其他",调整事项汇总表!$E$7:$E$10020,IF(OR(MID(TRIM($A210),2,1)="：",MID(TRIM($A210),2,1)="、"),REPLACEB(TRIM($A210),1,4,""),TRIM($A210)))</f>
        <v>0</v>
      </c>
      <c r="I210" s="678">
        <f t="shared" si="55"/>
        <v>479456.63</v>
      </c>
      <c r="J210" s="425" t="b">
        <f>A210=未审报表!A210</f>
        <v>1</v>
      </c>
      <c r="K210" s="425" t="b">
        <f>A210=审定报表!A210</f>
        <v>1</v>
      </c>
    </row>
    <row r="211" spans="1:11" ht="14.4" customHeight="1">
      <c r="A211" s="779" t="str">
        <f>未审报表!A211</f>
        <v xml:space="preserve">        研发费用</v>
      </c>
      <c r="B211" s="423">
        <f>期初核对!C211</f>
        <v>0</v>
      </c>
      <c r="C211" s="677">
        <f>SUMIFS(调整事项汇总表!$K$7:$K$10020,调整事项汇总表!$D$7:$D$10020,"账项调整",调整事项汇总表!$E$7:$E$10020,IF(OR(MID(TRIM($A211),2,1)="：",MID(TRIM($A211),2,1)="、"),REPLACEB(TRIM($A211),1,4,""),TRIM($A211)))</f>
        <v>0</v>
      </c>
      <c r="D211" s="677">
        <f>SUMIFS(调整事项汇总表!$L$7:$L$10020,调整事项汇总表!$D$7:$D$10020,"账项调整",调整事项汇总表!$E$7:$E$10020,IF(OR(MID(TRIM($A211),2,1)="：",MID(TRIM($A211),2,1)="、"),REPLACEB(TRIM($A211),1,4,""),TRIM($A211)))</f>
        <v>0</v>
      </c>
      <c r="E211" s="677">
        <f>SUMIFS(调整事项汇总表!$K$7:$K$10020,调整事项汇总表!$D$7:$D$10020,"报表调整",调整事项汇总表!$E$7:$E$10020,IF(OR(MID(TRIM($A211),2,1)="：",MID(TRIM($A211),2,1)="、"),REPLACEB(TRIM($A211),1,4,""),TRIM($A211)))</f>
        <v>0</v>
      </c>
      <c r="F211" s="677">
        <f>SUMIFS(调整事项汇总表!$L$7:$L$10020,调整事项汇总表!$D$7:$D$10020,"报表调整",调整事项汇总表!$E$7:$E$10020,IF(OR(MID(TRIM($A211),2,1)="：",MID(TRIM($A211),2,1)="、"),REPLACEB(TRIM($A211),1,4,""),TRIM($A211)))</f>
        <v>0</v>
      </c>
      <c r="G211" s="677">
        <f>SUMIFS(调整事项汇总表!$K$7:$K$10020,调整事项汇总表!$D$7:$D$10020,"其他",调整事项汇总表!$E$7:$E$10020,IF(OR(MID(TRIM($A211),2,1)="：",MID(TRIM($A211),2,1)="、"),REPLACEB(TRIM($A211),1,4,""),TRIM($A211)))</f>
        <v>0</v>
      </c>
      <c r="H211" s="677">
        <f>SUMIFS(调整事项汇总表!$L$7:$L$10020,调整事项汇总表!$D$7:$D$10020,"其他",调整事项汇总表!$E$7:$E$10020,IF(OR(MID(TRIM($A211),2,1)="：",MID(TRIM($A211),2,1)="、"),REPLACEB(TRIM($A211),1,4,""),TRIM($A211)))</f>
        <v>0</v>
      </c>
      <c r="I211" s="678">
        <f t="shared" si="55"/>
        <v>0</v>
      </c>
      <c r="J211" s="425" t="b">
        <f>A211=未审报表!A211</f>
        <v>1</v>
      </c>
      <c r="K211" s="425" t="b">
        <f>A211=审定报表!A211</f>
        <v>1</v>
      </c>
    </row>
    <row r="212" spans="1:11" ht="14.4" customHeight="1">
      <c r="A212" s="779" t="str">
        <f>未审报表!A212</f>
        <v xml:space="preserve">        财务费用</v>
      </c>
      <c r="B212" s="423">
        <f>期初核对!C212</f>
        <v>-31759.960000000003</v>
      </c>
      <c r="C212" s="677">
        <f>SUMIFS(调整事项汇总表!$K$7:$K$10020,调整事项汇总表!$D$7:$D$10020,"账项调整",调整事项汇总表!$E$7:$E$10020,IF(OR(MID(TRIM($A212),2,1)="：",MID(TRIM($A212),2,1)="、"),REPLACEB(TRIM($A212),1,4,""),TRIM($A212)))</f>
        <v>10000</v>
      </c>
      <c r="D212" s="677">
        <f>SUMIFS(调整事项汇总表!$L$7:$L$10020,调整事项汇总表!$D$7:$D$10020,"账项调整",调整事项汇总表!$E$7:$E$10020,IF(OR(MID(TRIM($A212),2,1)="：",MID(TRIM($A212),2,1)="、"),REPLACEB(TRIM($A212),1,4,""),TRIM($A212)))</f>
        <v>10000</v>
      </c>
      <c r="E212" s="677">
        <f>SUMIFS(调整事项汇总表!$K$7:$K$10020,调整事项汇总表!$D$7:$D$10020,"报表调整",调整事项汇总表!$E$7:$E$10020,IF(OR(MID(TRIM($A212),2,1)="：",MID(TRIM($A212),2,1)="、"),REPLACEB(TRIM($A212),1,4,""),TRIM($A212)))</f>
        <v>0</v>
      </c>
      <c r="F212" s="677">
        <f>SUMIFS(调整事项汇总表!$L$7:$L$10020,调整事项汇总表!$D$7:$D$10020,"报表调整",调整事项汇总表!$E$7:$E$10020,IF(OR(MID(TRIM($A212),2,1)="：",MID(TRIM($A212),2,1)="、"),REPLACEB(TRIM($A212),1,4,""),TRIM($A212)))</f>
        <v>0</v>
      </c>
      <c r="G212" s="677">
        <f>SUMIFS(调整事项汇总表!$K$7:$K$10020,调整事项汇总表!$D$7:$D$10020,"其他",调整事项汇总表!$E$7:$E$10020,IF(OR(MID(TRIM($A212),2,1)="：",MID(TRIM($A212),2,1)="、"),REPLACEB(TRIM($A212),1,4,""),TRIM($A212)))</f>
        <v>0</v>
      </c>
      <c r="H212" s="677">
        <f>SUMIFS(调整事项汇总表!$L$7:$L$10020,调整事项汇总表!$D$7:$D$10020,"其他",调整事项汇总表!$E$7:$E$10020,IF(OR(MID(TRIM($A212),2,1)="：",MID(TRIM($A212),2,1)="、"),REPLACEB(TRIM($A212),1,4,""),TRIM($A212)))</f>
        <v>0</v>
      </c>
      <c r="I212" s="678">
        <f>B212+C212+E212+G212-D212-F212-H212</f>
        <v>-31759.960000000003</v>
      </c>
      <c r="J212" s="425" t="b">
        <f>A212=未审报表!A212</f>
        <v>1</v>
      </c>
      <c r="K212" s="425" t="b">
        <f>A212=审定报表!A212</f>
        <v>1</v>
      </c>
    </row>
    <row r="213" spans="1:11" ht="14.4" customHeight="1">
      <c r="A213" s="779" t="str">
        <f>未审报表!A213</f>
        <v xml:space="preserve">        其中：利息费用</v>
      </c>
      <c r="B213" s="423">
        <f>期初核对!C213</f>
        <v>0</v>
      </c>
      <c r="C213" s="677">
        <f>SUMIFS(调整事项汇总表!$K$7:$K$10020,调整事项汇总表!$D$7:$D$10020,"账项调整",调整事项汇总表!$E$7:$E$10020,"财务费用",调整事项汇总表!$F$7:$F$10020,IF(OR(MID(TRIM($A213),3,1)="：",MID(TRIM($A213),2,1)="、"),REPLACEB(TRIM($A213),1,6,""),TRIM($A213)))</f>
        <v>0</v>
      </c>
      <c r="D213" s="677">
        <f>SUMIFS(调整事项汇总表!$L$7:$L$10020,调整事项汇总表!$D$7:$D$10020,"账项调整",调整事项汇总表!$E$7:$E$10020,"财务费用",调整事项汇总表!$F$7:$F$10020,IF(OR(MID(TRIM($A213),3,1)="：",MID(TRIM($A213),2,1)="、"),REPLACEB(TRIM($A213),1,6,""),TRIM($A213)))</f>
        <v>0</v>
      </c>
      <c r="E213" s="677">
        <f>SUMIFS(调整事项汇总表!$K$7:$K$10020,调整事项汇总表!$D$7:$D$10020,"报表调整",调整事项汇总表!$E$7:$E$10020,"财务费用",调整事项汇总表!$F$7:$F$10020,IF(OR(MID(TRIM($A213),3,1)="：",MID(TRIM($A213),2,1)="、"),REPLACEB(TRIM($A213),1,6,""),TRIM($A213)))</f>
        <v>0</v>
      </c>
      <c r="F213" s="677">
        <f>SUMIFS(调整事项汇总表!$L$7:$L$10020,调整事项汇总表!$D$7:$D$10020,"报表调整",调整事项汇总表!$E$7:$E$10020,"财务费用",调整事项汇总表!$F$7:$F$10020,IF(OR(MID(TRIM($A213),3,1)="：",MID(TRIM($A213),2,1)="、"),REPLACEB(TRIM($A213),1,6,""),TRIM($A213)))</f>
        <v>0</v>
      </c>
      <c r="G213" s="677">
        <f>SUMIFS(调整事项汇总表!$K$7:$K$10020,调整事项汇总表!$D$7:$D$10020,"其他",调整事项汇总表!$E$7:$E$10020,"财务费用",调整事项汇总表!$F$7:$F$10020,IF(OR(MID(TRIM($A213),3,1)="：",MID(TRIM($A213),2,1)="、"),REPLACEB(TRIM($A213),1,6,""),TRIM($A213)))</f>
        <v>0</v>
      </c>
      <c r="H213" s="677">
        <f>SUMIFS(调整事项汇总表!$L$7:$L$10020,调整事项汇总表!$D$7:$D$10020,"其他",调整事项汇总表!$E$7:$E$10020,"财务费用",调整事项汇总表!$F$7:$F$10020,IF(OR(MID(TRIM($A213),3,1)="：",MID(TRIM($A213),2,1)="、"),REPLACEB(TRIM($A213),1,6,""),TRIM($A213)))</f>
        <v>0</v>
      </c>
      <c r="I213" s="677">
        <f>B213+C213+E213+G213-H213-F213-D213</f>
        <v>0</v>
      </c>
      <c r="J213" s="425" t="b">
        <f>A213=未审报表!A213</f>
        <v>1</v>
      </c>
      <c r="K213" s="425" t="b">
        <f>A213=审定报表!A213</f>
        <v>1</v>
      </c>
    </row>
    <row r="214" spans="1:11" ht="14.4" customHeight="1">
      <c r="A214" s="779" t="str">
        <f>未审报表!A214</f>
        <v xml:space="preserve">              利息收入</v>
      </c>
      <c r="B214" s="423">
        <f>期初核对!C214</f>
        <v>0</v>
      </c>
      <c r="C214" s="677">
        <f>SUMIFS(调整事项汇总表!$K$7:$K$10020,调整事项汇总表!$D$7:$D$10020,"账项调整",调整事项汇总表!$E$7:$E$10020,"财务费用",调整事项汇总表!$F$7:$F$10020,IF(OR(MID(TRIM($A214),3,1)="：",MID(TRIM($A214),2,1)="、"),REPLACEB(TRIM($A214),1,6,""),TRIM($A214)))</f>
        <v>10000</v>
      </c>
      <c r="D214" s="677">
        <f>SUMIFS(调整事项汇总表!$L$7:$L$10020,调整事项汇总表!$D$7:$D$10020,"账项调整",调整事项汇总表!$E$7:$E$10020,"财务费用",调整事项汇总表!$F$7:$F$10020,IF(OR(MID(TRIM($A214),3,1)="：",MID(TRIM($A214),2,1)="、"),REPLACEB(TRIM($A214),1,6,""),TRIM($A214)))</f>
        <v>0</v>
      </c>
      <c r="E214" s="677">
        <f>SUMIFS(调整事项汇总表!$K$7:$K$10020,调整事项汇总表!$D$7:$D$10020,"报表调整",调整事项汇总表!$E$7:$E$10020,"财务费用",调整事项汇总表!$F$7:$F$10020,IF(OR(MID(TRIM($A214),3,1)="：",MID(TRIM($A214),2,1)="、"),REPLACEB(TRIM($A214),1,6,""),TRIM($A214)))</f>
        <v>0</v>
      </c>
      <c r="F214" s="677">
        <f>SUMIFS(调整事项汇总表!$L$7:$L$10020,调整事项汇总表!$D$7:$D$10020,"报表调整",调整事项汇总表!$E$7:$E$10020,"财务费用",调整事项汇总表!$F$7:$F$10020,IF(OR(MID(TRIM($A214),3,1)="：",MID(TRIM($A214),2,1)="、"),REPLACEB(TRIM($A214),1,6,""),TRIM($A214)))</f>
        <v>0</v>
      </c>
      <c r="G214" s="677">
        <f>SUMIFS(调整事项汇总表!$K$7:$K$10020,调整事项汇总表!$D$7:$D$10020,"其他",调整事项汇总表!$E$7:$E$10020,"财务费用",调整事项汇总表!$F$7:$F$10020,IF(OR(MID(TRIM($A214),3,1)="：",MID(TRIM($A214),2,1)="、"),REPLACEB(TRIM($A214),1,6,""),TRIM($A214)))</f>
        <v>0</v>
      </c>
      <c r="H214" s="677">
        <f>SUMIFS(调整事项汇总表!$L$7:$L$10020,调整事项汇总表!$D$7:$D$10020,"其他",调整事项汇总表!$E$7:$E$10020,"财务费用",调整事项汇总表!$F$7:$F$10020,IF(OR(MID(TRIM($A214),3,1)="：",MID(TRIM($A214),2,1)="、"),REPLACEB(TRIM($A214),1,6,""),TRIM($A214)))</f>
        <v>0</v>
      </c>
      <c r="I214" s="677">
        <f>B214+D214+F214+H214-G214-E214-C214</f>
        <v>-10000</v>
      </c>
      <c r="J214" s="425" t="b">
        <f>A214=未审报表!A214</f>
        <v>1</v>
      </c>
      <c r="K214" s="425" t="b">
        <f>A214=审定报表!A214</f>
        <v>1</v>
      </c>
    </row>
    <row r="215" spans="1:11" ht="14.4" customHeight="1">
      <c r="A215" s="779" t="str">
        <f>未审报表!A215</f>
        <v xml:space="preserve">              汇兑净损失（净收益以“－”号填列）</v>
      </c>
      <c r="B215" s="423">
        <f>期初核对!C215</f>
        <v>0</v>
      </c>
      <c r="C215" s="677">
        <f>SUMIFS(调整事项汇总表!$K$7:$K$10020,调整事项汇总表!$D$7:$D$10020,"账项调整",调整事项汇总表!$E$7:$E$10020,"财务费用",调整事项汇总表!$F$7:$F$10020,LEFT(IF(OR(MID(TRIM($A215),3,1)="：",MID(TRIM($A215),2,1)="、"),REPLACEB(TRIM($A215),1,6,""),TRIM($A215)),FIND("（",TRIM(A215))-1))</f>
        <v>0</v>
      </c>
      <c r="D215" s="677">
        <f>SUMIFS(调整事项汇总表!$L$7:$L$10020,调整事项汇总表!$D$7:$D$10020,"账项调整",调整事项汇总表!$E$7:$E$10020,"财务费用",调整事项汇总表!$F$7:$F$10020,LEFT(IF(OR(MID(TRIM($A215),3,1)="：",MID(TRIM($A215),2,1)="、"),REPLACEB(TRIM($A215),1,6,""),TRIM($A215)),FIND("（",TRIM(A215))-1))</f>
        <v>10000</v>
      </c>
      <c r="E215" s="677">
        <f>SUMIFS(调整事项汇总表!$K$7:$K$10020,调整事项汇总表!$D$7:$D$10020,"报表调整",调整事项汇总表!$E$7:$E$10020,"财务费用",调整事项汇总表!$F$7:$F$10020,LEFT(IF(OR(MID(TRIM($A215),3,1)="：",MID(TRIM($A215),2,1)="、"),REPLACEB(TRIM($A215),1,6,""),TRIM($A215)),FIND("（",TRIM(A215))-1))</f>
        <v>0</v>
      </c>
      <c r="F215" s="677">
        <f>SUMIFS(调整事项汇总表!$L$7:$L$10020,调整事项汇总表!$D$7:$D$10020,"报表调整",调整事项汇总表!$E$7:$E$10020,"财务费用",调整事项汇总表!$F$7:$F$10020,LEFT(IF(OR(MID(TRIM($A215),3,1)="：",MID(TRIM($A215),2,1)="、"),REPLACEB(TRIM($A215),1,6,""),TRIM($A215)),FIND("（",TRIM(A215))-1))</f>
        <v>0</v>
      </c>
      <c r="G215" s="677">
        <f>SUMIFS(调整事项汇总表!$K$7:$K$10020,调整事项汇总表!$D$7:$D$10020,"其他",调整事项汇总表!$E$7:$E$10020,"财务费用",调整事项汇总表!$F$7:$F$10020,LEFT(IF(OR(MID(TRIM($A215),3,1)="：",MID(TRIM($A215),2,1)="、"),REPLACEB(TRIM($A215),1,6,""),TRIM($A215)),FIND("（",TRIM(A215))-1))</f>
        <v>0</v>
      </c>
      <c r="H215" s="677">
        <f>SUMIFS(调整事项汇总表!$L$7:$L$10020,调整事项汇总表!$D$7:$D$10020,"其他",调整事项汇总表!$E$7:$E$10020,"财务费用",调整事项汇总表!$F$7:$F$10020,LEFT(IF(OR(MID(TRIM($A215),3,1)="：",MID(TRIM($A215),2,1)="、"),REPLACEB(TRIM($A215),1,6,""),TRIM($A215)),FIND("（",TRIM(A215))-1))</f>
        <v>0</v>
      </c>
      <c r="I215" s="677">
        <f>B215+C215+E215+G215-H215-F215-D215</f>
        <v>-10000</v>
      </c>
      <c r="J215" s="425" t="b">
        <f>A215=未审报表!A215</f>
        <v>1</v>
      </c>
      <c r="K215" s="425" t="b">
        <f>A215=审定报表!A215</f>
        <v>1</v>
      </c>
    </row>
    <row r="216" spans="1:11" ht="14.4" customHeight="1">
      <c r="A216" s="779" t="str">
        <f>未审报表!A216</f>
        <v xml:space="preserve">      其他</v>
      </c>
      <c r="B216" s="423">
        <f>期初核对!C216</f>
        <v>0</v>
      </c>
      <c r="C216" s="677">
        <f>SUMIFS(调整事项汇总表!$K$7:$K$10020,调整事项汇总表!$D$7:$D$10020,"账项调整",调整事项汇总表!$E$7:$E$10020,IF(OR(MID(TRIM($A216),2,1)="：",MID(TRIM($A216),2,1)="、"),REPLACEB(TRIM($A216),1,4,""),TRIM($A216)))</f>
        <v>0</v>
      </c>
      <c r="D216" s="677">
        <f>SUMIFS(调整事项汇总表!$L$7:$L$10020,调整事项汇总表!$D$7:$D$10020,"账项调整",调整事项汇总表!$E$7:$E$10020,IF(OR(MID(TRIM($A216),2,1)="：",MID(TRIM($A216),2,1)="、"),REPLACEB(TRIM($A216),1,4,""),TRIM($A216)))</f>
        <v>0</v>
      </c>
      <c r="E216" s="677">
        <f>SUMIFS(调整事项汇总表!$K$7:$K$10020,调整事项汇总表!$D$7:$D$10020,"报表调整",调整事项汇总表!$E$7:$E$10020,IF(OR(MID(TRIM($A216),2,1)="：",MID(TRIM($A216),2,1)="、"),REPLACEB(TRIM($A216),1,4,""),TRIM($A216)))</f>
        <v>0</v>
      </c>
      <c r="F216" s="677">
        <f>SUMIFS(调整事项汇总表!$L$7:$L$10020,调整事项汇总表!$D$7:$D$10020,"报表调整",调整事项汇总表!$E$7:$E$10020,IF(OR(MID(TRIM($A216),2,1)="：",MID(TRIM($A216),2,1)="、"),REPLACEB(TRIM($A216),1,4,""),TRIM($A216)))</f>
        <v>0</v>
      </c>
      <c r="G216" s="677">
        <f>SUMIFS(调整事项汇总表!$K$7:$K$10020,调整事项汇总表!$D$7:$D$10020,"其他",调整事项汇总表!$E$7:$E$10020,IF(OR(MID(TRIM($A216),2,1)="：",MID(TRIM($A216),2,1)="、"),REPLACEB(TRIM($A216),1,4,""),TRIM($A216)))</f>
        <v>0</v>
      </c>
      <c r="H216" s="677">
        <f>SUMIFS(调整事项汇总表!$L$7:$L$10020,调整事项汇总表!$D$7:$D$10020,"其他",调整事项汇总表!$E$7:$E$10020,IF(OR(MID(TRIM($A216),2,1)="：",MID(TRIM($A216),2,1)="、"),REPLACEB(TRIM($A216),1,4,""),TRIM($A216)))</f>
        <v>0</v>
      </c>
      <c r="I216" s="677">
        <f>B216+C216+E216+G216-H216-F216-D216</f>
        <v>0</v>
      </c>
      <c r="J216" s="425" t="b">
        <f>A216=未审报表!A216</f>
        <v>1</v>
      </c>
      <c r="K216" s="425" t="b">
        <f>A216=审定报表!A216</f>
        <v>1</v>
      </c>
    </row>
    <row r="217" spans="1:11" ht="14.4" customHeight="1">
      <c r="A217" s="779" t="str">
        <f>未审报表!A217</f>
        <v xml:space="preserve">    加：其他收益</v>
      </c>
      <c r="B217" s="423">
        <f>期初核对!C217</f>
        <v>0</v>
      </c>
      <c r="C217" s="677">
        <f>SUMIFS(调整事项汇总表!$K$7:$K$10020,调整事项汇总表!$D$7:$D$10020,"账项调整",调整事项汇总表!$E$7:$E$10020,IF(OR(MID(TRIM($A217),2,1)="：",MID(TRIM($A217),2,1)="、"),REPLACEB(TRIM($A217),1,4,""),TRIM($A217)))</f>
        <v>0</v>
      </c>
      <c r="D217" s="677">
        <f>SUMIFS(调整事项汇总表!$L$7:$L$10020,调整事项汇总表!$D$7:$D$10020,"账项调整",调整事项汇总表!$E$7:$E$10020,IF(OR(MID(TRIM($A217),2,1)="：",MID(TRIM($A217),2,1)="、"),REPLACEB(TRIM($A217),1,4,""),TRIM($A217)))</f>
        <v>0</v>
      </c>
      <c r="E217" s="677">
        <f>SUMIFS(调整事项汇总表!$K$7:$K$10020,调整事项汇总表!$D$7:$D$10020,"报表调整",调整事项汇总表!$E$7:$E$10020,IF(OR(MID(TRIM($A217),2,1)="：",MID(TRIM($A217),2,1)="、"),REPLACEB(TRIM($A217),1,4,""),TRIM($A217)))</f>
        <v>0</v>
      </c>
      <c r="F217" s="677">
        <f>SUMIFS(调整事项汇总表!$L$7:$L$10020,调整事项汇总表!$D$7:$D$10020,"报表调整",调整事项汇总表!$E$7:$E$10020,IF(OR(MID(TRIM($A217),2,1)="：",MID(TRIM($A217),2,1)="、"),REPLACEB(TRIM($A217),1,4,""),TRIM($A217)))</f>
        <v>0</v>
      </c>
      <c r="G217" s="677">
        <f>SUMIFS(调整事项汇总表!$K$7:$K$10020,调整事项汇总表!$D$7:$D$10020,"其他",调整事项汇总表!$E$7:$E$10020,IF(OR(MID(TRIM($A217),2,1)="：",MID(TRIM($A217),2,1)="、"),REPLACEB(TRIM($A217),1,4,""),TRIM($A217)))</f>
        <v>0</v>
      </c>
      <c r="H217" s="677">
        <f>SUMIFS(调整事项汇总表!$L$7:$L$10020,调整事项汇总表!$D$7:$D$10020,"其他",调整事项汇总表!$E$7:$E$10020,IF(OR(MID(TRIM($A217),2,1)="：",MID(TRIM($A217),2,1)="、"),REPLACEB(TRIM($A217),1,4,""),TRIM($A217)))</f>
        <v>0</v>
      </c>
      <c r="I217" s="677">
        <f>B217+D217+F217+H217-G217-E217-C217</f>
        <v>0</v>
      </c>
      <c r="J217" s="425" t="b">
        <f>A217=未审报表!A217</f>
        <v>1</v>
      </c>
      <c r="K217" s="425" t="b">
        <f>A217=审定报表!A217</f>
        <v>1</v>
      </c>
    </row>
    <row r="218" spans="1:11" ht="14.4" customHeight="1">
      <c r="A218" s="779" t="str">
        <f>未审报表!A218</f>
        <v xml:space="preserve">        投资收益（损失以“－”号填列）</v>
      </c>
      <c r="B218" s="423">
        <f>期初核对!C218</f>
        <v>10512385.210000001</v>
      </c>
      <c r="C218" s="677">
        <f>SUMIFS(调整事项汇总表!$K$7:$K$10020,调整事项汇总表!$D$7:$D$10020,"账项调整",调整事项汇总表!$E$7:$E$10020,LEFT(IF(OR(MID(TRIM($A218),2,1)="：",MID(TRIM($A218),2,1)="、"),REPLACEB(TRIM($A218),1,4,""),TRIM($A218)),FIND("（",TRIM(A218))-1))</f>
        <v>0</v>
      </c>
      <c r="D218" s="677">
        <f>SUMIFS(调整事项汇总表!$L$7:$L$10020,调整事项汇总表!$D$7:$D$10020,"账项调整",调整事项汇总表!$E$7:$E$10020,LEFT(IF(OR(MID(TRIM($A218),2,1)="：",MID(TRIM($A218),2,1)="、"),REPLACEB(TRIM($A218),1,4,""),TRIM($A218)),FIND("（",TRIM(A218))-1))</f>
        <v>0</v>
      </c>
      <c r="E218" s="677">
        <f>SUMIFS(调整事项汇总表!$K$7:$K$10020,调整事项汇总表!$D$7:$D$10020,"报表调整",调整事项汇总表!$E$7:$E$10020,LEFT(IF(OR(MID(TRIM($A218),2,1)="：",MID(TRIM($A218),2,1)="、"),REPLACEB(TRIM($A218),1,4,""),TRIM($A218)),FIND("（",TRIM(A218))-1))</f>
        <v>0</v>
      </c>
      <c r="F218" s="677">
        <f>SUMIFS(调整事项汇总表!$L$7:$L$10020,调整事项汇总表!$D$7:$D$10020,"报表调整",调整事项汇总表!$E$7:$E$10020,LEFT(IF(OR(MID(TRIM($A218),2,1)="：",MID(TRIM($A218),2,1)="、"),REPLACEB(TRIM($A218),1,4,""),TRIM($A218)),FIND("（",TRIM(A218))-1))</f>
        <v>0</v>
      </c>
      <c r="G218" s="677">
        <f>SUMIFS(调整事项汇总表!$K$7:$K$10020,调整事项汇总表!$D$7:$D$10020,"其他",调整事项汇总表!$E$7:$E$10020,LEFT(IF(OR(MID(TRIM($A218),2,1)="：",MID(TRIM($A218),2,1)="、"),REPLACEB(TRIM($A218),1,4,""),TRIM($A218)),FIND("（",TRIM(A218))-1))</f>
        <v>0</v>
      </c>
      <c r="H218" s="677">
        <f>SUMIFS(调整事项汇总表!$L$7:$L$10020,调整事项汇总表!$D$7:$D$10020,"其他",调整事项汇总表!$E$7:$E$10020,LEFT(IF(OR(MID(TRIM($A218),2,1)="：",MID(TRIM($A218),2,1)="、"),REPLACEB(TRIM($A218),1,4,""),TRIM($A218)),FIND("（",TRIM(A218))-1))</f>
        <v>0</v>
      </c>
      <c r="I218" s="677">
        <f>B218+D218+F218+H218-G218-E218-C218</f>
        <v>10512385.210000001</v>
      </c>
      <c r="J218" s="425" t="b">
        <f>A218=未审报表!A218</f>
        <v>1</v>
      </c>
      <c r="K218" s="425" t="b">
        <f>A218=审定报表!A218</f>
        <v>1</v>
      </c>
    </row>
    <row r="219" spans="1:11" ht="14.4" customHeight="1">
      <c r="A219" s="779" t="str">
        <f>未审报表!A219</f>
        <v xml:space="preserve">        其中：对联营企业和合营企业的投资收益</v>
      </c>
      <c r="B219" s="423">
        <f>期初核对!C219</f>
        <v>0</v>
      </c>
      <c r="C219" s="677">
        <f>SUMIFS(调整事项汇总表!$K$7:$K$10020,调整事项汇总表!$D$7:$D$10020,"账项调整",调整事项汇总表!$E$7:$E$10020,"投资收益",调整事项汇总表!$F$7:$F$10020,IF(OR(MID(TRIM($A219),3,1)="：",MID(TRIM($A219),2,1)="、"),REPLACEB(TRIM($A219),1,6,""),TRIM($A219)))</f>
        <v>0</v>
      </c>
      <c r="D219" s="677">
        <f>SUMIFS(调整事项汇总表!$L$7:$L$10020,调整事项汇总表!$D$7:$D$10020,"账项调整",调整事项汇总表!$E$7:$E$10020,"投资收益",调整事项汇总表!$F$7:$F$10020,IF(OR(MID(TRIM($A219),3,1)="：",MID(TRIM($A219),2,1)="、"),REPLACEB(TRIM($A219),1,6,""),TRIM($A219)))</f>
        <v>0</v>
      </c>
      <c r="E219" s="677">
        <f>SUMIFS(调整事项汇总表!$K$7:$K$10020,调整事项汇总表!$D$7:$D$10020,"报表调整",调整事项汇总表!$E$7:$E$10020,"投资收益",调整事项汇总表!$F$7:$F$10020,IF(OR(MID(TRIM($A219),3,1)="：",MID(TRIM($A219),2,1)="、"),REPLACEB(TRIM($A219),1,6,""),TRIM($A219)))</f>
        <v>0</v>
      </c>
      <c r="F219" s="677">
        <f>SUMIFS(调整事项汇总表!$L$7:$L$10020,调整事项汇总表!$D$7:$D$10020,"报表调整",调整事项汇总表!$E$7:$E$10020,"投资收益",调整事项汇总表!$F$7:$F$10020,IF(OR(MID(TRIM($A219),3,1)="：",MID(TRIM($A219),2,1)="、"),REPLACEB(TRIM($A219),1,6,""),TRIM($A219)))</f>
        <v>0</v>
      </c>
      <c r="G219" s="677">
        <f>SUMIFS(调整事项汇总表!$K$7:$K$10020,调整事项汇总表!$D$7:$D$10020,"其他",调整事项汇总表!$E$7:$E$10020,"投资收益",调整事项汇总表!$F$7:$F$10020,IF(OR(MID(TRIM($A219),3,1)="：",MID(TRIM($A219),2,1)="、"),REPLACEB(TRIM($A219),1,6,""),TRIM($A219)))</f>
        <v>0</v>
      </c>
      <c r="H219" s="677">
        <f>SUMIFS(调整事项汇总表!$L$7:$L$10020,调整事项汇总表!$D$7:$D$10020,"其他",调整事项汇总表!$E$7:$E$10020,"投资收益",调整事项汇总表!$F$7:$F$10020,IF(OR(MID(TRIM($A219),3,1)="：",MID(TRIM($A219),2,1)="、"),REPLACEB(TRIM($A219),1,6,""),TRIM($A219)))</f>
        <v>0</v>
      </c>
      <c r="I219" s="677">
        <f t="shared" ref="I219" si="56">B219+D219+F219+H219-G219-E219-C219</f>
        <v>0</v>
      </c>
      <c r="J219" s="425" t="b">
        <f>A219=未审报表!A219</f>
        <v>1</v>
      </c>
      <c r="K219" s="425" t="b">
        <f>A219=审定报表!A219</f>
        <v>1</v>
      </c>
    </row>
    <row r="220" spans="1:11" ht="14.4" customHeight="1">
      <c r="A220" s="779" t="str">
        <f>未审报表!A220</f>
        <v xml:space="preserve">              以摊余成本计量的金融资产终止确认收益（损失以“-”号填列）</v>
      </c>
      <c r="B220" s="423">
        <f>期初核对!C220</f>
        <v>0</v>
      </c>
      <c r="C220" s="677">
        <f>SUMIFS(调整事项汇总表!$K$7:$K$10020,调整事项汇总表!$D$7:$D$10020,"账项调整",调整事项汇总表!$E$7:$E$10020,"投资收益",调整事项汇总表!$F$7:$F$10020,LEFT(IF(OR(MID(TRIM($A220),3,1)="：",MID(TRIM($A220),2,1)="、"),REPLACEB(TRIM($A220),1,6,""),TRIM($A220)),FIND("（",TRIM(A220))-1))</f>
        <v>0</v>
      </c>
      <c r="D220" s="677">
        <f>SUMIFS(调整事项汇总表!$L$7:$L$10020,调整事项汇总表!$D$7:$D$10020,"账项调整",调整事项汇总表!$E$7:$E$10020,"投资收益",调整事项汇总表!$F$7:$F$10020,LEFT(IF(OR(MID(TRIM($A220),3,1)="：",MID(TRIM($A220),2,1)="、"),REPLACEB(TRIM($A220),1,6,""),TRIM($A220)),FIND("（",TRIM(A220))-1))</f>
        <v>0</v>
      </c>
      <c r="E220" s="677">
        <f>SUMIFS(调整事项汇总表!$K$7:$K$10020,调整事项汇总表!$D$7:$D$10020,"报表调整",调整事项汇总表!$E$7:$E$10020,"投资收益",调整事项汇总表!$F$7:$F$10020,LEFT(IF(OR(MID(TRIM($A220),3,1)="：",MID(TRIM($A220),2,1)="、"),REPLACEB(TRIM($A220),1,6,""),TRIM($A220)),FIND("（",TRIM(A220))-1))</f>
        <v>0</v>
      </c>
      <c r="F220" s="677">
        <f>SUMIFS(调整事项汇总表!$L$7:$L$10020,调整事项汇总表!$D$7:$D$10020,"报表调整",调整事项汇总表!$E$7:$E$10020,"投资收益",调整事项汇总表!$F$7:$F$10020,LEFT(IF(OR(MID(TRIM($A220),3,1)="：",MID(TRIM($A220),2,1)="、"),REPLACEB(TRIM($A220),1,6,""),TRIM($A220)),FIND("（",TRIM(A220))-1))</f>
        <v>0</v>
      </c>
      <c r="G220" s="677">
        <f>SUMIFS(调整事项汇总表!$K$7:$K$10020,调整事项汇总表!$D$7:$D$10020,"其他",调整事项汇总表!$E$7:$E$10020,"投资收益",调整事项汇总表!$F$7:$F$10020,LEFT(IF(OR(MID(TRIM($A220),3,1)="：",MID(TRIM($A220),2,1)="、"),REPLACEB(TRIM($A220),1,6,""),TRIM($A220)),FIND("（",TRIM(A220))-1))</f>
        <v>0</v>
      </c>
      <c r="H220" s="677">
        <f>SUMIFS(调整事项汇总表!$L$7:$L$10020,调整事项汇总表!$D$7:$D$10020,"其他",调整事项汇总表!$E$7:$E$10020,"投资收益",调整事项汇总表!$F$7:$F$10020,LEFT(IF(OR(MID(TRIM($A220),3,1)="：",MID(TRIM($A220),2,1)="、"),REPLACEB(TRIM($A220),1,6,""),TRIM($A220)),FIND("（",TRIM(A220))-18))</f>
        <v>0</v>
      </c>
      <c r="I220" s="677">
        <f>B220+D220+F220+H220-G220-E220-C220</f>
        <v>0</v>
      </c>
      <c r="J220" s="425" t="b">
        <f>A220=未审报表!A220</f>
        <v>1</v>
      </c>
      <c r="K220" s="425" t="b">
        <f>A220=审定报表!A220</f>
        <v>1</v>
      </c>
    </row>
    <row r="221" spans="1:11" ht="14.4" customHeight="1">
      <c r="A221" s="779" t="str">
        <f>未审报表!A221</f>
        <v xml:space="preserve">        汇兑收益（损失以“-”号填列）*</v>
      </c>
      <c r="B221" s="423">
        <f>期初核对!C221</f>
        <v>0</v>
      </c>
      <c r="C221" s="677">
        <f>SUMIFS(调整事项汇总表!$K$7:$K$10020,调整事项汇总表!$D$7:$D$10020,"账项调整",调整事项汇总表!$E$7:$E$10020,LEFT(IF(OR(MID(TRIM($A221),2,1)="：",MID(TRIM($A221),2,1)="、"),REPLACEB(TRIM($A221),1,4,""),TRIM($A221)),FIND("（",TRIM(A221))-1))</f>
        <v>0</v>
      </c>
      <c r="D221" s="677">
        <f>SUMIFS(调整事项汇总表!$L$7:$L$10020,调整事项汇总表!$D$7:$D$10020,"账项调整",调整事项汇总表!$E$7:$E$10020,LEFT(IF(OR(MID(TRIM($A221),2,1)="：",MID(TRIM($A221),2,1)="、"),REPLACEB(TRIM($A221),1,4,""),TRIM($A221)),FIND("（",TRIM(A221))-1))</f>
        <v>0</v>
      </c>
      <c r="E221" s="677">
        <f>SUMIFS(调整事项汇总表!$K$7:$K$10020,调整事项汇总表!$D$7:$D$10020,"报表调整",调整事项汇总表!$E$7:$E$10020,LEFT(IF(OR(MID(TRIM($A221),2,1)="：",MID(TRIM($A221),2,1)="、"),REPLACEB(TRIM($A221),1,4,""),TRIM($A221)),FIND("（",TRIM(A221))-1))</f>
        <v>0</v>
      </c>
      <c r="F221" s="677">
        <f>SUMIFS(调整事项汇总表!$L$7:$L$10020,调整事项汇总表!$D$7:$D$10020,"报表调整",调整事项汇总表!$E$7:$E$10020,LEFT(IF(OR(MID(TRIM($A221),2,1)="：",MID(TRIM($A221),2,1)="、"),REPLACEB(TRIM($A221),1,4,""),TRIM($A221)),FIND("（",TRIM(A221))-1))</f>
        <v>0</v>
      </c>
      <c r="G221" s="677">
        <f>SUMIFS(调整事项汇总表!$K$7:$K$10020,调整事项汇总表!$D$7:$D$10020,"其他",调整事项汇总表!$E$7:$E$10020,LEFT(IF(OR(MID(TRIM($A221),2,1)="：",MID(TRIM($A221),2,1)="、"),REPLACEB(TRIM($A221),1,4,""),TRIM($A221)),FIND("（",TRIM(A221))-1))</f>
        <v>0</v>
      </c>
      <c r="H221" s="677">
        <f>SUMIFS(调整事项汇总表!$L$7:$L$10020,调整事项汇总表!$D$7:$D$10020,"其他",调整事项汇总表!$E$7:$E$10020,LEFT(IF(OR(MID(TRIM($A221),2,1)="：",MID(TRIM($A221),2,1)="、"),REPLACEB(TRIM($A221),1,4,""),TRIM($A221)),FIND("（",TRIM(A221))-1))</f>
        <v>0</v>
      </c>
      <c r="I221" s="677">
        <f>B221+D221+F221+H221-G221-E221-C221</f>
        <v>0</v>
      </c>
      <c r="J221" s="425" t="b">
        <f>A221=未审报表!A221</f>
        <v>1</v>
      </c>
      <c r="K221" s="425" t="b">
        <f>A221=审定报表!A221</f>
        <v>1</v>
      </c>
    </row>
    <row r="222" spans="1:11" ht="14.4" customHeight="1">
      <c r="A222" s="779" t="str">
        <f>未审报表!A222</f>
        <v xml:space="preserve">        净敞口套期收益（损失以“-”号填列）</v>
      </c>
      <c r="B222" s="423">
        <f>期初核对!C222</f>
        <v>0</v>
      </c>
      <c r="C222" s="677">
        <f>SUMIFS(调整事项汇总表!$K$7:$K$10020,调整事项汇总表!$D$7:$D$10020,"账项调整",调整事项汇总表!$E$7:$E$10020,LEFT(IF(OR(MID(TRIM($A222),2,1)="：",MID(TRIM($A222),2,1)="、"),REPLACEB(TRIM($A222),1,4,""),TRIM($A222)),FIND("（",TRIM(A222))-1))</f>
        <v>0</v>
      </c>
      <c r="D222" s="677">
        <f>SUMIFS(调整事项汇总表!$L$7:$L$10020,调整事项汇总表!$D$7:$D$10020,"账项调整",调整事项汇总表!$E$7:$E$10020,LEFT(IF(OR(MID(TRIM($A222),2,1)="：",MID(TRIM($A222),2,1)="、"),REPLACEB(TRIM($A222),1,4,""),TRIM($A222)),FIND("（",TRIM(A222))-1))</f>
        <v>0</v>
      </c>
      <c r="E222" s="677">
        <f>SUMIFS(调整事项汇总表!$K$7:$K$10020,调整事项汇总表!$D$7:$D$10020,"报表调整",调整事项汇总表!$E$7:$E$10020,LEFT(IF(OR(MID(TRIM($A222),2,1)="：",MID(TRIM($A222),2,1)="、"),REPLACEB(TRIM($A222),1,4,""),TRIM($A222)),FIND("（",TRIM(A222))-1))</f>
        <v>0</v>
      </c>
      <c r="F222" s="677">
        <f>SUMIFS(调整事项汇总表!$L$7:$L$10020,调整事项汇总表!$D$7:$D$10020,"报表调整",调整事项汇总表!$E$7:$E$10020,LEFT(IF(OR(MID(TRIM($A222),2,1)="：",MID(TRIM($A222),2,1)="、"),REPLACEB(TRIM($A222),1,4,""),TRIM($A222)),FIND("（",TRIM(A222))-1))</f>
        <v>0</v>
      </c>
      <c r="G222" s="677">
        <f>SUMIFS(调整事项汇总表!$K$7:$K$10020,调整事项汇总表!$D$7:$D$10020,"其他",调整事项汇总表!$E$7:$E$10020,LEFT(IF(OR(MID(TRIM($A222),2,1)="：",MID(TRIM($A222),2,1)="、"),REPLACEB(TRIM($A222),1,4,""),TRIM($A222)),FIND("（",TRIM(A222))-1))</f>
        <v>0</v>
      </c>
      <c r="H222" s="677">
        <f>SUMIFS(调整事项汇总表!$L$7:$L$10020,调整事项汇总表!$D$7:$D$10020,"其他",调整事项汇总表!$E$7:$E$10020,LEFT(IF(OR(MID(TRIM($A222),2,1)="：",MID(TRIM($A222),2,1)="、"),REPLACEB(TRIM($A222),1,4,""),TRIM($A222)),FIND("（",TRIM(A222))-1))</f>
        <v>0</v>
      </c>
      <c r="I222" s="677">
        <f t="shared" ref="I222:I226" si="57">B222+D222+F222+H222-G222-E222-C222</f>
        <v>0</v>
      </c>
      <c r="J222" s="425" t="b">
        <f>A222=未审报表!A222</f>
        <v>1</v>
      </c>
      <c r="K222" s="425" t="b">
        <f>A222=审定报表!A222</f>
        <v>1</v>
      </c>
    </row>
    <row r="223" spans="1:11" ht="14.4" customHeight="1">
      <c r="A223" s="779" t="str">
        <f>未审报表!A223</f>
        <v xml:space="preserve">        公允价值变动收益（损失以“－”号填列）</v>
      </c>
      <c r="B223" s="423">
        <f>期初核对!C223</f>
        <v>0</v>
      </c>
      <c r="C223" s="677">
        <f>SUMIFS(调整事项汇总表!$K$7:$K$10020,调整事项汇总表!$D$7:$D$10020,"账项调整",调整事项汇总表!$E$7:$E$10020,LEFT(IF(OR(MID(TRIM($A223),2,1)="：",MID(TRIM($A223),2,1)="、"),REPLACEB(TRIM($A223),1,4,""),TRIM($A223)),FIND("（",TRIM(A223))-1))</f>
        <v>0</v>
      </c>
      <c r="D223" s="677">
        <f>SUMIFS(调整事项汇总表!$L$7:$L$10020,调整事项汇总表!$D$7:$D$10020,"账项调整",调整事项汇总表!$E$7:$E$10020,LEFT(IF(OR(MID(TRIM($A223),2,1)="：",MID(TRIM($A223),2,1)="、"),REPLACEB(TRIM($A223),1,4,""),TRIM($A223)),FIND("（",TRIM(A223))-1))</f>
        <v>0</v>
      </c>
      <c r="E223" s="677">
        <f>SUMIFS(调整事项汇总表!$K$7:$K$10020,调整事项汇总表!$D$7:$D$10020,"报表调整",调整事项汇总表!$E$7:$E$10020,LEFT(IF(OR(MID(TRIM($A223),2,1)="：",MID(TRIM($A223),2,1)="、"),REPLACEB(TRIM($A223),1,4,""),TRIM($A223)),FIND("（",TRIM(A223))-1))</f>
        <v>0</v>
      </c>
      <c r="F223" s="677">
        <f>SUMIFS(调整事项汇总表!$L$7:$L$10020,调整事项汇总表!$D$7:$D$10020,"报表调整",调整事项汇总表!$E$7:$E$10020,LEFT(IF(OR(MID(TRIM($A223),2,1)="：",MID(TRIM($A223),2,1)="、"),REPLACEB(TRIM($A223),1,4,""),TRIM($A223)),FIND("（",TRIM(A223))-1))</f>
        <v>0</v>
      </c>
      <c r="G223" s="677">
        <f>SUMIFS(调整事项汇总表!$K$7:$K$10020,调整事项汇总表!$D$7:$D$10020,"其他",调整事项汇总表!$E$7:$E$10020,LEFT(IF(OR(MID(TRIM($A223),2,1)="：",MID(TRIM($A223),2,1)="、"),REPLACEB(TRIM($A223),1,4,""),TRIM($A223)),FIND("（",TRIM(A223))-1))</f>
        <v>0</v>
      </c>
      <c r="H223" s="677">
        <f>SUMIFS(调整事项汇总表!$L$7:$L$10020,调整事项汇总表!$D$7:$D$10020,"其他",调整事项汇总表!$E$7:$E$10020,LEFT(IF(OR(MID(TRIM($A223),2,1)="：",MID(TRIM($A223),2,1)="、"),REPLACEB(TRIM($A223),1,4,""),TRIM($A223)),FIND("（",TRIM(A223))-1))</f>
        <v>0</v>
      </c>
      <c r="I223" s="677">
        <f t="shared" si="57"/>
        <v>0</v>
      </c>
      <c r="J223" s="425" t="b">
        <f>A223=未审报表!A223</f>
        <v>1</v>
      </c>
      <c r="K223" s="425" t="b">
        <f>A223=审定报表!A223</f>
        <v>1</v>
      </c>
    </row>
    <row r="224" spans="1:11" ht="14.4" customHeight="1">
      <c r="A224" s="779" t="str">
        <f>未审报表!A224</f>
        <v xml:space="preserve">        信用减值损失（损失以“-”号填列）</v>
      </c>
      <c r="B224" s="423">
        <f>期初核对!C224</f>
        <v>1724647.26</v>
      </c>
      <c r="C224" s="677">
        <f>SUMIFS(调整事项汇总表!$K$7:$K$10020,调整事项汇总表!$D$7:$D$10020,"账项调整",调整事项汇总表!$E$7:$E$10020,LEFT(IF(OR(MID(TRIM($A224),2,1)="：",MID(TRIM($A224),2,1)="、"),REPLACEB(TRIM($A224),1,4,""),TRIM($A224)),FIND("（",TRIM(A224))-1))</f>
        <v>0</v>
      </c>
      <c r="D224" s="677">
        <f>SUMIFS(调整事项汇总表!$L$7:$L$10020,调整事项汇总表!$D$7:$D$10020,"账项调整",调整事项汇总表!$E$7:$E$10020,LEFT(IF(OR(MID(TRIM($A224),2,1)="：",MID(TRIM($A224),2,1)="、"),REPLACEB(TRIM($A224),1,4,""),TRIM($A224)),FIND("（",TRIM(A224))-1))</f>
        <v>0</v>
      </c>
      <c r="E224" s="677">
        <f>SUMIFS(调整事项汇总表!$K$7:$K$10020,调整事项汇总表!$D$7:$D$10020,"报表调整",调整事项汇总表!$E$7:$E$10020,LEFT(IF(OR(MID(TRIM($A224),2,1)="：",MID(TRIM($A224),2,1)="、"),REPLACEB(TRIM($A224),1,4,""),TRIM($A224)),FIND("（",TRIM(A224))-1))</f>
        <v>0</v>
      </c>
      <c r="F224" s="677">
        <f>SUMIFS(调整事项汇总表!$L$7:$L$10020,调整事项汇总表!$D$7:$D$10020,"报表调整",调整事项汇总表!$E$7:$E$10020,LEFT(IF(OR(MID(TRIM($A224),2,1)="：",MID(TRIM($A224),2,1)="、"),REPLACEB(TRIM($A224),1,4,""),TRIM($A224)),FIND("（",TRIM(A224))-1))</f>
        <v>0</v>
      </c>
      <c r="G224" s="677">
        <f>SUMIFS(调整事项汇总表!$K$7:$K$10020,调整事项汇总表!$D$7:$D$10020,"其他",调整事项汇总表!$E$7:$E$10020,LEFT(IF(OR(MID(TRIM($A224),2,1)="：",MID(TRIM($A224),2,1)="、"),REPLACEB(TRIM($A224),1,4,""),TRIM($A224)),FIND("（",TRIM(A224))-1))</f>
        <v>0</v>
      </c>
      <c r="H224" s="677">
        <f>SUMIFS(调整事项汇总表!$L$7:$L$10020,调整事项汇总表!$D$7:$D$10020,"其他",调整事项汇总表!$E$7:$E$10020,LEFT(IF(OR(MID(TRIM($A224),2,1)="：",MID(TRIM($A224),2,1)="、"),REPLACEB(TRIM($A224),1,4,""),TRIM($A224)),FIND("（",TRIM(A224))-1))</f>
        <v>0</v>
      </c>
      <c r="I224" s="677">
        <f t="shared" si="57"/>
        <v>1724647.26</v>
      </c>
      <c r="J224" s="425" t="b">
        <f>A224=未审报表!A224</f>
        <v>1</v>
      </c>
      <c r="K224" s="425" t="b">
        <f>A224=审定报表!A224</f>
        <v>1</v>
      </c>
    </row>
    <row r="225" spans="1:11" ht="14.4" customHeight="1">
      <c r="A225" s="779" t="str">
        <f>未审报表!A225</f>
        <v xml:space="preserve">        资产减值损失（损失以“-”号填列）</v>
      </c>
      <c r="B225" s="423">
        <f>期初核对!C225</f>
        <v>0</v>
      </c>
      <c r="C225" s="677">
        <f>SUMIFS(调整事项汇总表!$K$7:$K$10020,调整事项汇总表!$D$7:$D$10020,"账项调整",调整事项汇总表!$E$7:$E$10020,LEFT(IF(OR(MID(TRIM($A225),2,1)="：",MID(TRIM($A225),2,1)="、"),REPLACEB(TRIM($A225),1,4,""),TRIM($A225)),FIND("（",TRIM(A225))-1))</f>
        <v>0</v>
      </c>
      <c r="D225" s="677">
        <f>SUMIFS(调整事项汇总表!$L$7:$L$10020,调整事项汇总表!$D$7:$D$10020,"账项调整",调整事项汇总表!$E$7:$E$10020,LEFT(IF(OR(MID(TRIM($A225),2,1)="：",MID(TRIM($A225),2,1)="、"),REPLACEB(TRIM($A225),1,4,""),TRIM($A225)),FIND("（",TRIM(A225))-1))</f>
        <v>0</v>
      </c>
      <c r="E225" s="677">
        <f>SUMIFS(调整事项汇总表!$K$7:$K$10020,调整事项汇总表!$D$7:$D$10020,"报表调整",调整事项汇总表!$E$7:$E$10020,LEFT(IF(OR(MID(TRIM($A225),2,1)="：",MID(TRIM($A225),2,1)="、"),REPLACEB(TRIM($A225),1,4,""),TRIM($A225)),FIND("（",TRIM(A225))-1))</f>
        <v>0</v>
      </c>
      <c r="F225" s="677">
        <f>SUMIFS(调整事项汇总表!$L$7:$L$10020,调整事项汇总表!$D$7:$D$10020,"报表调整",调整事项汇总表!$E$7:$E$10020,LEFT(IF(OR(MID(TRIM($A225),2,1)="：",MID(TRIM($A225),2,1)="、"),REPLACEB(TRIM($A225),1,4,""),TRIM($A225)),FIND("（",TRIM(A225))-1))</f>
        <v>0</v>
      </c>
      <c r="G225" s="677">
        <f>SUMIFS(调整事项汇总表!$K$7:$K$10020,调整事项汇总表!$D$7:$D$10020,"其他",调整事项汇总表!$E$7:$E$10020,LEFT(IF(OR(MID(TRIM($A225),2,1)="：",MID(TRIM($A225),2,1)="、"),REPLACEB(TRIM($A225),1,4,""),TRIM($A225)),FIND("（",TRIM(A225))-1))</f>
        <v>0</v>
      </c>
      <c r="H225" s="677">
        <f>SUMIFS(调整事项汇总表!$L$7:$L$10020,调整事项汇总表!$D$7:$D$10020,"其他",调整事项汇总表!$E$7:$E$10020,LEFT(IF(OR(MID(TRIM($A225),2,1)="：",MID(TRIM($A225),2,1)="、"),REPLACEB(TRIM($A225),1,4,""),TRIM($A225)),FIND("（",TRIM(A225))-1))</f>
        <v>0</v>
      </c>
      <c r="I225" s="677">
        <f t="shared" si="57"/>
        <v>0</v>
      </c>
      <c r="J225" s="425" t="b">
        <f>A225=未审报表!A225</f>
        <v>1</v>
      </c>
      <c r="K225" s="425" t="b">
        <f>A225=审定报表!A225</f>
        <v>1</v>
      </c>
    </row>
    <row r="226" spans="1:11" ht="14.4" customHeight="1">
      <c r="A226" s="779" t="str">
        <f>未审报表!A226</f>
        <v xml:space="preserve">        资产处置收益（损失以“-”号填列）</v>
      </c>
      <c r="B226" s="423">
        <f>期初核对!C226</f>
        <v>0</v>
      </c>
      <c r="C226" s="677">
        <f>SUMIFS(调整事项汇总表!$K$7:$K$10020,调整事项汇总表!$D$7:$D$10020,"账项调整",调整事项汇总表!$E$7:$E$10020,LEFT(IF(OR(MID(TRIM($A226),2,1)="：",MID(TRIM($A226),2,1)="、"),REPLACEB(TRIM($A226),1,4,""),TRIM($A226)),FIND("（",TRIM(A226))-1))</f>
        <v>0</v>
      </c>
      <c r="D226" s="677">
        <f>SUMIFS(调整事项汇总表!$L$7:$L$10020,调整事项汇总表!$D$7:$D$10020,"账项调整",调整事项汇总表!$E$7:$E$10020,LEFT(IF(OR(MID(TRIM($A226),2,1)="：",MID(TRIM($A226),2,1)="、"),REPLACEB(TRIM($A226),1,4,""),TRIM($A226)),FIND("（",TRIM(A226))-1))</f>
        <v>0</v>
      </c>
      <c r="E226" s="677">
        <f>SUMIFS(调整事项汇总表!$K$7:$K$10020,调整事项汇总表!$D$7:$D$10020,"报表调整",调整事项汇总表!$E$7:$E$10020,LEFT(IF(OR(MID(TRIM($A226),2,1)="：",MID(TRIM($A226),2,1)="、"),REPLACEB(TRIM($A226),1,4,""),TRIM($A226)),FIND("（",TRIM(A226))-1))</f>
        <v>0</v>
      </c>
      <c r="F226" s="677">
        <f>SUMIFS(调整事项汇总表!$L$7:$L$10020,调整事项汇总表!$D$7:$D$10020,"报表调整",调整事项汇总表!$E$7:$E$10020,LEFT(IF(OR(MID(TRIM($A226),2,1)="：",MID(TRIM($A226),2,1)="、"),REPLACEB(TRIM($A226),1,4,""),TRIM($A226)),FIND("（",TRIM(A226))-1))</f>
        <v>0</v>
      </c>
      <c r="G226" s="677">
        <f>SUMIFS(调整事项汇总表!$K$7:$K$10020,调整事项汇总表!$D$7:$D$10020,"其他",调整事项汇总表!$E$7:$E$10020,LEFT(IF(OR(MID(TRIM($A226),2,1)="：",MID(TRIM($A226),2,1)="、"),REPLACEB(TRIM($A226),1,4,""),TRIM($A226)),FIND("（",TRIM(A226))-1))</f>
        <v>0</v>
      </c>
      <c r="H226" s="677">
        <f>SUMIFS(调整事项汇总表!$L$7:$L$10020,调整事项汇总表!$D$7:$D$10020,"其他",调整事项汇总表!$E$7:$E$10020,LEFT(IF(OR(MID(TRIM($A226),2,1)="：",MID(TRIM($A226),2,1)="、"),REPLACEB(TRIM($A226),1,4,""),TRIM($A226)),FIND("（",TRIM(A226))-1))</f>
        <v>0</v>
      </c>
      <c r="I226" s="677">
        <f t="shared" si="57"/>
        <v>0</v>
      </c>
      <c r="J226" s="425" t="b">
        <f>A226=未审报表!A226</f>
        <v>1</v>
      </c>
      <c r="K226" s="425" t="b">
        <f>A226=审定报表!A226</f>
        <v>1</v>
      </c>
    </row>
    <row r="227" spans="1:11" ht="14.4" customHeight="1">
      <c r="A227" s="783" t="str">
        <f>未审报表!A227</f>
        <v>二、营业利润（亏损以“－”号填列）</v>
      </c>
      <c r="B227" s="432">
        <f>期初核对!C227</f>
        <v>24790875.299999997</v>
      </c>
      <c r="C227" s="637">
        <f>C192+C198+SUM(C217:C218,C221:C226)</f>
        <v>10000</v>
      </c>
      <c r="D227" s="637">
        <f>D192+D198+SUM(D217:D218,D221:D226)</f>
        <v>10000</v>
      </c>
      <c r="E227" s="637">
        <f t="shared" ref="E227:H227" si="58">E192+E198+SUM(E217:E218,E221:E226)</f>
        <v>0</v>
      </c>
      <c r="F227" s="637">
        <f t="shared" si="58"/>
        <v>0</v>
      </c>
      <c r="G227" s="637">
        <f t="shared" si="58"/>
        <v>0</v>
      </c>
      <c r="H227" s="637">
        <f t="shared" si="58"/>
        <v>0</v>
      </c>
      <c r="I227" s="637">
        <f>I192-I198+SUM(I217:I218,I221:I226)</f>
        <v>24790875.299999997</v>
      </c>
      <c r="J227" s="425" t="b">
        <f>A227=未审报表!A227</f>
        <v>1</v>
      </c>
      <c r="K227" s="425" t="b">
        <f>A227=审定报表!A227</f>
        <v>1</v>
      </c>
    </row>
    <row r="228" spans="1:11" ht="14.4" customHeight="1">
      <c r="A228" s="779" t="str">
        <f>未审报表!A228</f>
        <v xml:space="preserve">    加：营业外收入</v>
      </c>
      <c r="B228" s="423">
        <f>期初核对!C228</f>
        <v>0</v>
      </c>
      <c r="C228" s="677">
        <f>SUMIFS(调整事项汇总表!$K$7:$K$10020,调整事项汇总表!$D$7:$D$10020,"账项调整",调整事项汇总表!$E$7:$E$10020,IF(OR(MID(TRIM($A228),2,1)="：",MID(TRIM($A228),2,1)="、"),REPLACEB(TRIM($A228),1,4,""),TRIM($A228)))</f>
        <v>0</v>
      </c>
      <c r="D228" s="677">
        <f>SUMIFS(调整事项汇总表!$L$7:$L$10020,调整事项汇总表!$D$7:$D$10020,"账项调整",调整事项汇总表!$E$7:$E$10020,IF(OR(MID(TRIM($A228),2,1)="：",MID(TRIM($A228),2,1)="、"),REPLACEB(TRIM($A228),1,4,""),TRIM($A228)))</f>
        <v>0</v>
      </c>
      <c r="E228" s="677">
        <f>SUMIFS(调整事项汇总表!$K$7:$K$10020,调整事项汇总表!$D$7:$D$10020,"报表调整",调整事项汇总表!$E$7:$E$10020,IF(OR(MID(TRIM($A228),2,1)="：",MID(TRIM($A228),2,1)="、"),REPLACEB(TRIM($A228),1,4,""),TRIM($A228)))</f>
        <v>0</v>
      </c>
      <c r="F228" s="677">
        <f>SUMIFS(调整事项汇总表!$L$7:$L$10020,调整事项汇总表!$D$7:$D$10020,"报表调整",调整事项汇总表!$E$7:$E$10020,IF(OR(MID(TRIM($A228),2,1)="：",MID(TRIM($A228),2,1)="、"),REPLACEB(TRIM($A228),1,4,""),TRIM($A228)))</f>
        <v>0</v>
      </c>
      <c r="G228" s="677">
        <f>SUMIFS(调整事项汇总表!$K$7:$K$10020,调整事项汇总表!$D$7:$D$10020,"其他",调整事项汇总表!$E$7:$E$10020,IF(OR(MID(TRIM($A228),2,1)="：",MID(TRIM($A228),2,1)="、"),REPLACEB(TRIM($A228),1,4,""),TRIM($A228)))</f>
        <v>0</v>
      </c>
      <c r="H228" s="677">
        <f>SUMIFS(调整事项汇总表!$L$7:$L$10020,调整事项汇总表!$D$7:$D$10020,"其他",调整事项汇总表!$E$7:$E$10020,IF(OR(MID(TRIM($A228),2,1)="：",MID(TRIM($A228),2,1)="、"),REPLACEB(TRIM($A228),1,4,""),TRIM($A228)))</f>
        <v>0</v>
      </c>
      <c r="I228" s="677">
        <f>B228+D228+F228+H228-G228-E228-C228</f>
        <v>0</v>
      </c>
      <c r="J228" s="425" t="b">
        <f>A228=未审报表!A228</f>
        <v>1</v>
      </c>
      <c r="K228" s="425" t="b">
        <f>A228=审定报表!A228</f>
        <v>1</v>
      </c>
    </row>
    <row r="229" spans="1:11" ht="14.4" customHeight="1">
      <c r="A229" s="779" t="str">
        <f>未审报表!A229</f>
        <v xml:space="preserve">                 其中：政府补助</v>
      </c>
      <c r="B229" s="423">
        <f>期初核对!C229</f>
        <v>0</v>
      </c>
      <c r="C229" s="677">
        <f>SUMIFS(调整事项汇总表!$K$7:$K$10020,调整事项汇总表!$D$7:$D$10020,"账项调整",调整事项汇总表!$E$7:$E$10020,"营业外收入",调整事项汇总表!$F$7:$F$10020,IF(OR(MID(TRIM($A229),3,1)="：",MID(TRIM($A229),2,1)="、"),REPLACEB(TRIM($A229),1,6,""),TRIM($A229)))</f>
        <v>0</v>
      </c>
      <c r="D229" s="677">
        <f>SUMIFS(调整事项汇总表!$L$7:$L$10020,调整事项汇总表!$D$7:$D$10020,"账项调整",调整事项汇总表!$E$7:$E$10020,"营业外收入",调整事项汇总表!$F$7:$F$10020,IF(OR(MID(TRIM($A229),3,1)="：",MID(TRIM($A229),2,1)="、"),REPLACEB(TRIM($A229),1,6,""),TRIM($A229)))</f>
        <v>0</v>
      </c>
      <c r="E229" s="677">
        <f>SUMIFS(调整事项汇总表!$K$7:$K$10020,调整事项汇总表!$D$7:$D$10020,"报表调整",调整事项汇总表!$E$7:$E$10020,"营业外收入",调整事项汇总表!$F$7:$F$10020,IF(OR(MID(TRIM($A229),3,1)="：",MID(TRIM($A229),2,1)="、"),REPLACEB(TRIM($A229),1,6,""),TRIM($A229)))</f>
        <v>0</v>
      </c>
      <c r="F229" s="677">
        <f>SUMIFS(调整事项汇总表!$L$7:$L$10020,调整事项汇总表!$D$7:$D$10020,"报表调整",调整事项汇总表!$E$7:$E$10020,"营业外收入",调整事项汇总表!$F$7:$F$10020,IF(OR(MID(TRIM($A229),3,1)="：",MID(TRIM($A229),2,1)="、"),REPLACEB(TRIM($A229),1,6,""),TRIM($A229)))</f>
        <v>0</v>
      </c>
      <c r="G229" s="677">
        <f>SUMIFS(调整事项汇总表!$K$7:$K$10020,调整事项汇总表!$D$7:$D$10020,"其他",调整事项汇总表!$E$7:$E$10020,"营业外收入",调整事项汇总表!$F$7:$F$10020,IF(OR(MID(TRIM($A229),3,1)="：",MID(TRIM($A229),2,1)="、"),REPLACEB(TRIM($A229),1,6,""),TRIM($A229)))</f>
        <v>0</v>
      </c>
      <c r="H229" s="677">
        <f>SUMIFS(调整事项汇总表!$L$7:$L$10020,调整事项汇总表!$D$7:$D$10020,"其他",调整事项汇总表!$E$7:$E$10020,"营业外收入",调整事项汇总表!$F$7:$F$10020,IF(OR(MID(TRIM($A229),3,1)="：",MID(TRIM($A229),2,1)="、"),REPLACEB(TRIM($A229),1,6,""),TRIM($A229)))</f>
        <v>0</v>
      </c>
      <c r="I229" s="677">
        <f>B229+D229+F229+H229-G229-E229-C229</f>
        <v>0</v>
      </c>
      <c r="J229" s="425" t="b">
        <f>A229=未审报表!A229</f>
        <v>1</v>
      </c>
      <c r="K229" s="425" t="b">
        <f>A229=审定报表!A229</f>
        <v>1</v>
      </c>
    </row>
    <row r="230" spans="1:11" ht="14.4" customHeight="1">
      <c r="A230" s="779" t="str">
        <f>未审报表!A230</f>
        <v xml:space="preserve">    减：营业外支出</v>
      </c>
      <c r="B230" s="423">
        <f>期初核对!C230</f>
        <v>0</v>
      </c>
      <c r="C230" s="677">
        <f>SUMIFS(调整事项汇总表!$K$7:$K$10020,调整事项汇总表!$D$7:$D$10020,"账项调整",调整事项汇总表!$E$7:$E$10020,IF(OR(MID(TRIM($A230),2,1)="：",MID(TRIM($A230),2,1)="、"),REPLACEB(TRIM($A230),1,4,""),TRIM($A230)))</f>
        <v>0</v>
      </c>
      <c r="D230" s="677">
        <f>SUMIFS(调整事项汇总表!$L$7:$L$10020,调整事项汇总表!$D$7:$D$10020,"账项调整",调整事项汇总表!$E$7:$E$10020,IF(OR(MID(TRIM($A230),2,1)="：",MID(TRIM($A230),2,1)="、"),REPLACEB(TRIM($A230),1,4,""),TRIM($A230)))</f>
        <v>0</v>
      </c>
      <c r="E230" s="677">
        <f>SUMIFS(调整事项汇总表!$K$7:$K$10020,调整事项汇总表!$D$7:$D$10020,"报表调整",调整事项汇总表!$E$7:$E$10020,IF(OR(MID(TRIM($A230),2,1)="：",MID(TRIM($A230),2,1)="、"),REPLACEB(TRIM($A230),1,4,""),TRIM($A230)))</f>
        <v>0</v>
      </c>
      <c r="F230" s="677">
        <f>SUMIFS(调整事项汇总表!$L$7:$L$10020,调整事项汇总表!$D$7:$D$10020,"报表调整",调整事项汇总表!$E$7:$E$10020,IF(OR(MID(TRIM($A230),2,1)="：",MID(TRIM($A230),2,1)="、"),REPLACEB(TRIM($A230),1,4,""),TRIM($A230)))</f>
        <v>0</v>
      </c>
      <c r="G230" s="677">
        <f>SUMIFS(调整事项汇总表!$K$7:$K$10020,调整事项汇总表!$D$7:$D$10020,"其他",调整事项汇总表!$E$7:$E$10020,IF(OR(MID(TRIM($A230),2,1)="：",MID(TRIM($A230),2,1)="、"),REPLACEB(TRIM($A230),1,4,""),TRIM($A230)))</f>
        <v>0</v>
      </c>
      <c r="H230" s="677">
        <f>SUMIFS(调整事项汇总表!$L$7:$L$10020,调整事项汇总表!$D$7:$D$10020,"其他",调整事项汇总表!$E$7:$E$10020,IF(OR(MID(TRIM($A230),2,1)="：",MID(TRIM($A230),2,1)="、"),REPLACEB(TRIM($A230),1,4,""),TRIM($A230)))</f>
        <v>0</v>
      </c>
      <c r="I230" s="677">
        <f>B230+C230+E230+G230-H230-F230-D230</f>
        <v>0</v>
      </c>
      <c r="J230" s="425" t="b">
        <f>A230=未审报表!A230</f>
        <v>1</v>
      </c>
      <c r="K230" s="425" t="b">
        <f>A230=审定报表!A230</f>
        <v>1</v>
      </c>
    </row>
    <row r="231" spans="1:11" ht="14.4" customHeight="1">
      <c r="A231" s="783" t="str">
        <f>未审报表!A231</f>
        <v>三、利润总额（亏损总额以“－”号填列）</v>
      </c>
      <c r="B231" s="432">
        <f>期初核对!C231</f>
        <v>24790875.299999997</v>
      </c>
      <c r="C231" s="678">
        <f>C227+C228-C230</f>
        <v>10000</v>
      </c>
      <c r="D231" s="678">
        <f t="shared" ref="D231:H231" si="59">D227+D228-D230</f>
        <v>10000</v>
      </c>
      <c r="E231" s="678">
        <f t="shared" si="59"/>
        <v>0</v>
      </c>
      <c r="F231" s="678">
        <f t="shared" si="59"/>
        <v>0</v>
      </c>
      <c r="G231" s="678">
        <f t="shared" si="59"/>
        <v>0</v>
      </c>
      <c r="H231" s="678">
        <f t="shared" si="59"/>
        <v>0</v>
      </c>
      <c r="I231" s="678">
        <f>I227+I228-I230</f>
        <v>24790875.299999997</v>
      </c>
      <c r="J231" s="425" t="b">
        <f>A231=未审报表!A231</f>
        <v>1</v>
      </c>
      <c r="K231" s="425" t="b">
        <f>A231=审定报表!A231</f>
        <v>1</v>
      </c>
    </row>
    <row r="232" spans="1:11" ht="14.4" customHeight="1">
      <c r="A232" s="779" t="str">
        <f>未审报表!A232</f>
        <v xml:space="preserve">    减：所得税费用</v>
      </c>
      <c r="B232" s="423">
        <f>期初核对!C232</f>
        <v>3569622.5200000005</v>
      </c>
      <c r="C232" s="677">
        <f>SUMIFS(调整事项汇总表!$K$7:$K$10020,调整事项汇总表!$D$7:$D$10020,"账项调整",调整事项汇总表!$E$7:$E$10020,IF(OR(MID(TRIM($A232),2,1)="：",MID(TRIM($A232),2,1)="、"),REPLACEB(TRIM($A232),1,4,""),TRIM($A232)))</f>
        <v>0</v>
      </c>
      <c r="D232" s="677">
        <f>SUMIFS(调整事项汇总表!$L$7:$L$10020,调整事项汇总表!$D$7:$D$10020,"账项调整",调整事项汇总表!$E$7:$E$10020,IF(OR(MID(TRIM($A232),2,1)="：",MID(TRIM($A232),2,1)="、"),REPLACEB(TRIM($A232),1,4,""),TRIM($A232)))</f>
        <v>0</v>
      </c>
      <c r="E232" s="677">
        <f>SUMIFS(调整事项汇总表!$K$7:$K$10020,调整事项汇总表!$D$7:$D$10020,"报表调整",调整事项汇总表!$E$7:$E$10020,IF(OR(MID(TRIM($A232),2,1)="：",MID(TRIM($A232),2,1)="、"),REPLACEB(TRIM($A232),1,4,""),TRIM($A232)))</f>
        <v>0</v>
      </c>
      <c r="F232" s="677">
        <f>SUMIFS(调整事项汇总表!$L$7:$L$10020,调整事项汇总表!$D$7:$D$10020,"报表调整",调整事项汇总表!$E$7:$E$10020,IF(OR(MID(TRIM($A232),2,1)="：",MID(TRIM($A232),2,1)="、"),REPLACEB(TRIM($A232),1,4,""),TRIM($A232)))</f>
        <v>0</v>
      </c>
      <c r="G232" s="677">
        <f>SUMIFS(调整事项汇总表!$K$7:$K$10020,调整事项汇总表!$D$7:$D$10020,"其他",调整事项汇总表!$E$7:$E$10020,IF(OR(MID(TRIM($A232),2,1)="：",MID(TRIM($A232),2,1)="、"),REPLACEB(TRIM($A232),1,4,""),TRIM($A232)))</f>
        <v>0</v>
      </c>
      <c r="H232" s="677">
        <f>SUMIFS(调整事项汇总表!$L$7:$L$10020,调整事项汇总表!$D$7:$D$10020,"其他",调整事项汇总表!$E$7:$E$10020,IF(OR(MID(TRIM($A232),2,1)="：",MID(TRIM($A232),2,1)="、"),REPLACEB(TRIM($A232),1,4,""),TRIM($A232)))</f>
        <v>0</v>
      </c>
      <c r="I232" s="677">
        <f>B232+C232+E232+G232-H232-F232-D232</f>
        <v>3569622.5200000005</v>
      </c>
      <c r="J232" s="425" t="b">
        <f>A232=未审报表!A232</f>
        <v>1</v>
      </c>
      <c r="K232" s="425" t="b">
        <f>A232=审定报表!A232</f>
        <v>1</v>
      </c>
    </row>
    <row r="233" spans="1:11" ht="14.4" customHeight="1">
      <c r="A233" s="783" t="str">
        <f>未审报表!A233</f>
        <v>四、净利润（净亏损以“－”号填列）</v>
      </c>
      <c r="B233" s="432">
        <f>期初核对!C233</f>
        <v>21221252.779999997</v>
      </c>
      <c r="C233" s="678">
        <f>C231+C232</f>
        <v>10000</v>
      </c>
      <c r="D233" s="678">
        <f t="shared" ref="D233:H233" si="60">D231+D232</f>
        <v>10000</v>
      </c>
      <c r="E233" s="678">
        <f t="shared" si="60"/>
        <v>0</v>
      </c>
      <c r="F233" s="678">
        <f t="shared" si="60"/>
        <v>0</v>
      </c>
      <c r="G233" s="678">
        <f t="shared" si="60"/>
        <v>0</v>
      </c>
      <c r="H233" s="678">
        <f t="shared" si="60"/>
        <v>0</v>
      </c>
      <c r="I233" s="678">
        <f>I231-I232</f>
        <v>21221252.779999997</v>
      </c>
      <c r="J233" s="425" t="b">
        <f>A233=未审报表!A233</f>
        <v>1</v>
      </c>
      <c r="K233" s="425" t="b">
        <f>A233=审定报表!A233</f>
        <v>1</v>
      </c>
    </row>
    <row r="234" spans="1:11" ht="14.4" customHeight="1">
      <c r="A234" s="779" t="str">
        <f>未审报表!A234</f>
        <v>同一控制下企业合并的被合并方在合并前实现的净利润</v>
      </c>
      <c r="B234" s="423">
        <f>期初核对!C234</f>
        <v>0</v>
      </c>
      <c r="C234" s="400"/>
      <c r="D234" s="400"/>
      <c r="E234" s="400"/>
      <c r="F234" s="400"/>
      <c r="G234" s="400"/>
      <c r="H234" s="400"/>
      <c r="I234" s="642"/>
      <c r="J234" s="425" t="b">
        <f>A234=未审报表!A234</f>
        <v>1</v>
      </c>
      <c r="K234" s="425" t="b">
        <f>A234=审定报表!A234</f>
        <v>1</v>
      </c>
    </row>
    <row r="235" spans="1:11" ht="14.4" customHeight="1">
      <c r="A235" s="779" t="str">
        <f>未审报表!A235</f>
        <v xml:space="preserve"> （一）按经营持续性分类</v>
      </c>
      <c r="B235" s="423">
        <f>期初核对!C235</f>
        <v>0</v>
      </c>
      <c r="C235" s="400"/>
      <c r="D235" s="400"/>
      <c r="E235" s="400"/>
      <c r="F235" s="400"/>
      <c r="G235" s="400"/>
      <c r="H235" s="400"/>
      <c r="I235" s="642"/>
      <c r="J235" s="425" t="b">
        <f>A235=未审报表!A235</f>
        <v>1</v>
      </c>
      <c r="K235" s="425" t="b">
        <f>A235=审定报表!A235</f>
        <v>1</v>
      </c>
    </row>
    <row r="236" spans="1:11" ht="14.4" customHeight="1">
      <c r="A236" s="779" t="str">
        <f>未审报表!A236</f>
        <v xml:space="preserve">     其中：持续经营净利润（净亏损以“-”号填列）</v>
      </c>
      <c r="B236" s="643">
        <f>期初核对!C236</f>
        <v>0</v>
      </c>
      <c r="C236" s="677">
        <f>C233-C237</f>
        <v>10000</v>
      </c>
      <c r="D236" s="677">
        <f t="shared" ref="D236:I236" si="61">D233-D237</f>
        <v>10000</v>
      </c>
      <c r="E236" s="677">
        <f t="shared" si="61"/>
        <v>0</v>
      </c>
      <c r="F236" s="677">
        <f t="shared" si="61"/>
        <v>0</v>
      </c>
      <c r="G236" s="677">
        <f t="shared" si="61"/>
        <v>0</v>
      </c>
      <c r="H236" s="677">
        <f t="shared" si="61"/>
        <v>-10000</v>
      </c>
      <c r="I236" s="677">
        <f t="shared" si="61"/>
        <v>21211252.779999997</v>
      </c>
      <c r="J236" s="425" t="b">
        <f>A236=未审报表!A236</f>
        <v>1</v>
      </c>
      <c r="K236" s="425" t="b">
        <f>A236=审定报表!A236</f>
        <v>1</v>
      </c>
    </row>
    <row r="237" spans="1:11" ht="14.4" customHeight="1">
      <c r="A237" s="779" t="str">
        <f>未审报表!A237</f>
        <v xml:space="preserve">                 终止经营净利润（净亏损以“-”号填列）</v>
      </c>
      <c r="B237" s="643">
        <f>期初核对!C237</f>
        <v>0</v>
      </c>
      <c r="C237" s="677">
        <f>SUMIFS(调整事项汇总表!$K$7:$K$10020,调整事项汇总表!$D$7:$D$10020,"账项调整",调整事项汇总表!$E$7:$E$10020,LEFT(IF(OR(MID(TRIM(报表格式!S234),3,1)="：",MID(TRIM(报表格式!S234),2,1)="、"),REPLACEB(TRIM(报表格式!S234),1,6,""),TRIM(报表格式!S234)),7))</f>
        <v>0</v>
      </c>
      <c r="D237" s="677">
        <f>SUMIFS(调整事项汇总表!$L$7:$L$10020,调整事项汇总表!$D$7:$D$10020,"账项调整",调整事项汇总表!$E$7:$E$10020,LEFT(IF(OR(MID(TRIM(报表格式!S234),3,1)="：",MID(TRIM(报表格式!S234),2,1)="、"),REPLACEB(TRIM(报表格式!S234),1,6,""),TRIM(报表格式!S234)),7))</f>
        <v>0</v>
      </c>
      <c r="E237" s="677">
        <f>SUMIFS(调整事项汇总表!$K$7:$K$10020,调整事项汇总表!$D$7:$D$10020,"报表调整",调整事项汇总表!$E$7:$E$10020,LEFT(IF(OR(MID(TRIM(报表格式!S234),3,1)="：",MID(TRIM(报表格式!S234),2,1)="、"),REPLACEB(TRIM(报表格式!S234),1,6,""),TRIM(报表格式!S234)),7))</f>
        <v>0</v>
      </c>
      <c r="F237" s="677">
        <f>SUMIFS(调整事项汇总表!$L$7:$L$10020,调整事项汇总表!$D$7:$D$10020,"报表调整",调整事项汇总表!$E$7:$E$10020,LEFT(IF(OR(MID(TRIM(报表格式!S234),3,1)="：",MID(TRIM(报表格式!S234),2,1)="、"),REPLACEB(TRIM(报表格式!S234),1,6,""),TRIM(报表格式!S234)),7))</f>
        <v>0</v>
      </c>
      <c r="G237" s="677">
        <f>SUMIFS(调整事项汇总表!$K$7:$K$10020,调整事项汇总表!$D$7:$D$10020,"其他",调整事项汇总表!$E$7:$E$10020,LEFT(IF(OR(MID(TRIM(报表格式!S234),3,1)="：",MID(TRIM(报表格式!S234),2,1)="、"),REPLACEB(TRIM(报表格式!S234),1,6,""),TRIM(报表格式!S234)),7))</f>
        <v>0</v>
      </c>
      <c r="H237" s="677">
        <f>SUMIFS(调整事项汇总表!$L$7:$L$10020,调整事项汇总表!$D$7:$D$10020,"其他",调整事项汇总表!$E$7:$E$10020,LEFT(IF(OR(MID(TRIM(报表格式!S234),3,1)="：",MID(TRIM(报表格式!S234),2,1)="、"),REPLACEB(TRIM(报表格式!S234),1,6,""),TRIM(报表格式!S234)),7))</f>
        <v>10000</v>
      </c>
      <c r="I237" s="677">
        <f>B237+D237+F237+H237-G237-E237-C237</f>
        <v>10000</v>
      </c>
      <c r="J237" s="425" t="b">
        <f>A237=未审报表!A237</f>
        <v>1</v>
      </c>
      <c r="K237" s="425" t="b">
        <f>A237=审定报表!A237</f>
        <v>1</v>
      </c>
    </row>
    <row r="238" spans="1:11" ht="14.4" customHeight="1">
      <c r="A238" s="779" t="str">
        <f>未审报表!A238</f>
        <v xml:space="preserve"> （二）按所有权归属分类</v>
      </c>
      <c r="B238" s="423"/>
      <c r="C238" s="400"/>
      <c r="D238" s="400"/>
      <c r="E238" s="400"/>
      <c r="F238" s="400"/>
      <c r="G238" s="400"/>
      <c r="H238" s="400"/>
      <c r="I238" s="642"/>
      <c r="J238" s="425" t="b">
        <f>A238=未审报表!A238</f>
        <v>1</v>
      </c>
      <c r="K238" s="425" t="b">
        <f>A238=审定报表!A238</f>
        <v>1</v>
      </c>
    </row>
    <row r="239" spans="1:11" ht="14.4" customHeight="1">
      <c r="A239" s="779" t="str">
        <f>未审报表!A239</f>
        <v xml:space="preserve">     其中：归属于母公司所有者（或股东）的净利润（净亏损以“-”号填列）</v>
      </c>
      <c r="B239" s="643">
        <f>期初核对!C239</f>
        <v>21221252.779999997</v>
      </c>
      <c r="C239" s="677">
        <f>C233-C240</f>
        <v>10000</v>
      </c>
      <c r="D239" s="677">
        <f t="shared" ref="D239:H239" si="62">D233-D240</f>
        <v>10000</v>
      </c>
      <c r="E239" s="677">
        <f t="shared" si="62"/>
        <v>0</v>
      </c>
      <c r="F239" s="677">
        <f t="shared" si="62"/>
        <v>0</v>
      </c>
      <c r="G239" s="677">
        <f t="shared" si="62"/>
        <v>0</v>
      </c>
      <c r="H239" s="677">
        <f t="shared" si="62"/>
        <v>0</v>
      </c>
      <c r="I239" s="677">
        <f>I233-I240</f>
        <v>21221252.779999997</v>
      </c>
      <c r="J239" s="425" t="b">
        <f>A239=未审报表!A239</f>
        <v>1</v>
      </c>
      <c r="K239" s="425" t="b">
        <f>A239=审定报表!A239</f>
        <v>1</v>
      </c>
    </row>
    <row r="240" spans="1:11" ht="14.4" customHeight="1">
      <c r="A240" s="779" t="str">
        <f>未审报表!A240</f>
        <v xml:space="preserve">                 少数股东损益（净亏损以“-”号填列）</v>
      </c>
      <c r="B240" s="643">
        <f>期初核对!C240</f>
        <v>0</v>
      </c>
      <c r="C240" s="677">
        <f>SUMIFS(调整事项汇总表!$K$7:$K$10020,调整事项汇总表!$D$7:$D$10020,"账项调整",调整事项汇总表!$E$7:$E$10020,LEFT(IF(OR(MID(TRIM($A240),2,1)="：",MID(TRIM($A240),2,1)="、"),REPLACEB(TRIM($A240),1,4,""),TRIM($A240)),FIND("（",TRIM(A240))-1))</f>
        <v>0</v>
      </c>
      <c r="D240" s="677">
        <f>SUMIFS(调整事项汇总表!$L$7:$L$10020,调整事项汇总表!$D$7:$D$10020,"账项调整",调整事项汇总表!$E$7:$E$10020,LEFT(IF(OR(MID(TRIM($A240),2,1)="：",MID(TRIM($A240),2,1)="、"),REPLACEB(TRIM($A240),1,4,""),TRIM($A240)),FIND("（",TRIM(A240))-1))</f>
        <v>0</v>
      </c>
      <c r="E240" s="677">
        <f>SUMIFS(调整事项汇总表!$K$7:$K$10020,调整事项汇总表!$D$7:$D$10020,"报表调整",调整事项汇总表!$E$7:$E$10020,LEFT(IF(OR(MID(TRIM($A240),2,1)="：",MID(TRIM($A240),2,1)="、"),REPLACEB(TRIM($A240),1,4,""),TRIM($A240)),FIND("（",TRIM(A240))-1))</f>
        <v>0</v>
      </c>
      <c r="F240" s="677">
        <f>SUMIFS(调整事项汇总表!$L$7:$L$10020,调整事项汇总表!$D$7:$D$10020,"报表调整",调整事项汇总表!$E$7:$E$10020,LEFT(IF(OR(MID(TRIM($A240),2,1)="：",MID(TRIM($A240),2,1)="、"),REPLACEB(TRIM($A240),1,4,""),TRIM($A240)),FIND("（",TRIM(A240))-1))</f>
        <v>0</v>
      </c>
      <c r="G240" s="677">
        <f>SUMIFS(调整事项汇总表!$K$7:$K$10020,调整事项汇总表!$D$7:$D$10020,"其他",调整事项汇总表!$E$7:$E$10020,LEFT(IF(OR(MID(TRIM($A240),2,1)="：",MID(TRIM($A240),2,1)="、"),REPLACEB(TRIM($A240),1,4,""),TRIM($A240)),FIND("（",TRIM(A240))-1))</f>
        <v>0</v>
      </c>
      <c r="H240" s="677">
        <f>SUMIFS(调整事项汇总表!$L$7:$L$10020,调整事项汇总表!$D$7:$D$10020,"其他",调整事项汇总表!$E$7:$E$10020,LEFT(IF(OR(MID(TRIM($A240),2,1)="：",MID(TRIM($A240),2,1)="、"),REPLACEB(TRIM($A240),1,4,""),TRIM($A240)),FIND("（",TRIM(A240))-1))</f>
        <v>0</v>
      </c>
      <c r="I240" s="677">
        <f>B240+D240+F240+H240-G240-E240-C240</f>
        <v>0</v>
      </c>
      <c r="J240" s="425" t="b">
        <f>A240=未审报表!A240</f>
        <v>1</v>
      </c>
      <c r="K240" s="425" t="b">
        <f>A240=审定报表!A240</f>
        <v>1</v>
      </c>
    </row>
    <row r="241" spans="1:11" ht="14.4" customHeight="1">
      <c r="A241" s="783" t="str">
        <f>未审报表!A241</f>
        <v>五、其他综合收益的税后净额</v>
      </c>
      <c r="B241" s="773">
        <f>期初核对!C241</f>
        <v>0</v>
      </c>
      <c r="C241" s="637">
        <f>SUM(C242,C259)</f>
        <v>0</v>
      </c>
      <c r="D241" s="637">
        <f t="shared" ref="D241:H241" si="63">SUM(D242,D259)</f>
        <v>0</v>
      </c>
      <c r="E241" s="637">
        <f t="shared" si="63"/>
        <v>0</v>
      </c>
      <c r="F241" s="637">
        <f t="shared" si="63"/>
        <v>0</v>
      </c>
      <c r="G241" s="637">
        <f t="shared" si="63"/>
        <v>0</v>
      </c>
      <c r="H241" s="637">
        <f t="shared" si="63"/>
        <v>0</v>
      </c>
      <c r="I241" s="637">
        <f>SUM(I242,I259)</f>
        <v>0</v>
      </c>
      <c r="J241" s="425" t="b">
        <f>A241=未审报表!A241</f>
        <v>1</v>
      </c>
      <c r="K241" s="425" t="b">
        <f>A241=审定报表!A241</f>
        <v>1</v>
      </c>
    </row>
    <row r="242" spans="1:11" ht="14.4" customHeight="1">
      <c r="A242" s="779" t="str">
        <f>未审报表!A242</f>
        <v>归属于母公司所有者（或股东）的其他综合收益的税后净额</v>
      </c>
      <c r="B242" s="643">
        <f>期初核对!C242</f>
        <v>0</v>
      </c>
      <c r="C242" s="614">
        <f>SUM(C243,C249)</f>
        <v>0</v>
      </c>
      <c r="D242" s="614">
        <f t="shared" ref="D242:H242" si="64">SUM(D243,D249)</f>
        <v>0</v>
      </c>
      <c r="E242" s="614">
        <f t="shared" si="64"/>
        <v>0</v>
      </c>
      <c r="F242" s="614">
        <f t="shared" si="64"/>
        <v>0</v>
      </c>
      <c r="G242" s="614">
        <f t="shared" si="64"/>
        <v>0</v>
      </c>
      <c r="H242" s="614">
        <f t="shared" si="64"/>
        <v>0</v>
      </c>
      <c r="I242" s="614">
        <f>SUM(I243,I249)</f>
        <v>0</v>
      </c>
      <c r="J242" s="425" t="b">
        <f>A242=未审报表!A242</f>
        <v>1</v>
      </c>
      <c r="K242" s="425" t="b">
        <f>A242=审定报表!A242</f>
        <v>1</v>
      </c>
    </row>
    <row r="243" spans="1:11" ht="14.4" customHeight="1">
      <c r="A243" s="779" t="str">
        <f>未审报表!A243</f>
        <v xml:space="preserve">  （一）不能重分类进损益的其他综合收益</v>
      </c>
      <c r="B243" s="643">
        <f>期初核对!C243</f>
        <v>0</v>
      </c>
      <c r="C243" s="614">
        <f>SUM(C244:C248)</f>
        <v>0</v>
      </c>
      <c r="D243" s="614">
        <f t="shared" ref="D243:H243" si="65">SUM(D244:D248)</f>
        <v>0</v>
      </c>
      <c r="E243" s="614">
        <f t="shared" si="65"/>
        <v>0</v>
      </c>
      <c r="F243" s="614">
        <f t="shared" si="65"/>
        <v>0</v>
      </c>
      <c r="G243" s="614">
        <f t="shared" si="65"/>
        <v>0</v>
      </c>
      <c r="H243" s="614">
        <f t="shared" si="65"/>
        <v>0</v>
      </c>
      <c r="I243" s="614">
        <f>SUM(I244:I248)</f>
        <v>0</v>
      </c>
      <c r="J243" s="425" t="b">
        <f>A243=未审报表!A243</f>
        <v>1</v>
      </c>
      <c r="K243" s="425" t="b">
        <f>A243=审定报表!A243</f>
        <v>1</v>
      </c>
    </row>
    <row r="244" spans="1:11" ht="14.4" customHeight="1">
      <c r="A244" s="779" t="str">
        <f>未审报表!A244</f>
        <v>1.重新计量设定受益计划变动额</v>
      </c>
      <c r="B244" s="643">
        <f>期初核对!C244</f>
        <v>0</v>
      </c>
      <c r="C244" s="677">
        <f>SUMIFS(调整事项汇总表!$K$7:$K$10020,调整事项汇总表!$D$7:$D$10020,"账项调整",调整事项汇总表!$E$7:$E$10020,IF(OR(MID(TRIM($A244),2,1)="：",MID(TRIM($A244),2,1)="."),REPLACEB(TRIM($A244),1,2,""),TRIM($A244)))</f>
        <v>0</v>
      </c>
      <c r="D244" s="677">
        <f>SUMIFS(调整事项汇总表!$L$7:$L$10020,调整事项汇总表!$D$7:$D$10020,"账项调整",调整事项汇总表!$E$7:$E$10020,IF(OR(MID(TRIM($A244),2,1)="：",MID(TRIM($A244),2,1)="."),REPLACEB(TRIM($A244),1,2,""),TRIM($A244)))</f>
        <v>0</v>
      </c>
      <c r="E244" s="677">
        <f>SUMIFS(调整事项汇总表!$K$7:$K$10020,调整事项汇总表!$D$7:$D$10020,"报表调整",调整事项汇总表!$E$7:$E$10020,IF(OR(MID(TRIM($A244),2,1)="：",MID(TRIM($A244),2,1)="."),REPLACEB(TRIM($A244),1,2,""),TRIM($A244)))</f>
        <v>0</v>
      </c>
      <c r="F244" s="677">
        <f>SUMIFS(调整事项汇总表!$L$7:$L$10020,调整事项汇总表!$D$7:$D$10020,"报表调整",调整事项汇总表!$E$7:$E$10020,IF(OR(MID(TRIM($A244),2,1)="：",MID(TRIM($A244),2,1)="."),REPLACEB(TRIM($A244),1,2,""),TRIM($A244)))</f>
        <v>0</v>
      </c>
      <c r="G244" s="677">
        <f>SUMIFS(调整事项汇总表!$K$7:$K$10020,调整事项汇总表!$D$7:$D$10020,"其他",调整事项汇总表!$E$7:$E$10020,IF(OR(MID(TRIM($A244),2,1)="：",MID(TRIM($A244),2,1)="."),REPLACEB(TRIM($A244),1,2,""),TRIM($A244)))</f>
        <v>0</v>
      </c>
      <c r="H244" s="677">
        <f>SUMIFS(调整事项汇总表!$L$7:$L$10020,调整事项汇总表!$D$7:$D$10020,"其他",调整事项汇总表!$E$7:$E$10020,IF(OR(MID(TRIM($A244),2,1)="：",MID(TRIM($A244),2,1)="."),REPLACEB(TRIM($A244),1,2,""),TRIM($A244)))</f>
        <v>0</v>
      </c>
      <c r="I244" s="677">
        <f>B244+D244+F244+H244-G244-E244-C244</f>
        <v>0</v>
      </c>
      <c r="J244" s="425" t="b">
        <f>A244=未审报表!A244</f>
        <v>1</v>
      </c>
      <c r="K244" s="425" t="b">
        <f>A244=审定报表!A244</f>
        <v>1</v>
      </c>
    </row>
    <row r="245" spans="1:11" ht="14.4" customHeight="1">
      <c r="A245" s="779" t="str">
        <f>未审报表!A245</f>
        <v>2.权益法下不能转损益的其他综合收益</v>
      </c>
      <c r="B245" s="643">
        <f>期初核对!C245</f>
        <v>0</v>
      </c>
      <c r="C245" s="677">
        <f>SUMIFS(调整事项汇总表!$K$7:$K$10020,调整事项汇总表!$D$7:$D$10020,"账项调整",调整事项汇总表!$E$7:$E$10020,IF(OR(MID(TRIM($A245),2,1)="：",MID(TRIM($A245),2,1)="."),REPLACEB(TRIM($A245),1,2,""),TRIM($A245)))</f>
        <v>0</v>
      </c>
      <c r="D245" s="677">
        <f>SUMIFS(调整事项汇总表!$L$7:$L$10020,调整事项汇总表!$D$7:$D$10020,"账项调整",调整事项汇总表!$E$7:$E$10020,IF(OR(MID(TRIM($A245),2,1)="：",MID(TRIM($A245),2,1)="."),REPLACEB(TRIM($A245),1,2,""),TRIM($A245)))</f>
        <v>0</v>
      </c>
      <c r="E245" s="677">
        <f>SUMIFS(调整事项汇总表!$K$7:$K$10020,调整事项汇总表!$D$7:$D$10020,"报表调整",调整事项汇总表!$E$7:$E$10020,IF(OR(MID(TRIM($A245),2,1)="：",MID(TRIM($A245),2,1)="."),REPLACEB(TRIM($A245),1,2,""),TRIM($A245)))</f>
        <v>0</v>
      </c>
      <c r="F245" s="677">
        <f>SUMIFS(调整事项汇总表!$L$7:$L$10020,调整事项汇总表!$D$7:$D$10020,"报表调整",调整事项汇总表!$E$7:$E$10020,IF(OR(MID(TRIM($A245),2,1)="：",MID(TRIM($A245),2,1)="."),REPLACEB(TRIM($A245),1,2,""),TRIM($A245)))</f>
        <v>0</v>
      </c>
      <c r="G245" s="677">
        <f>SUMIFS(调整事项汇总表!$K$7:$K$10020,调整事项汇总表!$D$7:$D$10020,"其他",调整事项汇总表!$E$7:$E$10020,IF(OR(MID(TRIM($A245),2,1)="：",MID(TRIM($A245),2,1)="."),REPLACEB(TRIM($A245),1,2,""),TRIM($A245)))</f>
        <v>0</v>
      </c>
      <c r="H245" s="677">
        <f>SUMIFS(调整事项汇总表!$L$7:$L$10020,调整事项汇总表!$D$7:$D$10020,"其他",调整事项汇总表!$E$7:$E$10020,IF(OR(MID(TRIM($A245),2,1)="：",MID(TRIM($A245),2,1)="."),REPLACEB(TRIM($A245),1,2,""),TRIM($A245)))</f>
        <v>0</v>
      </c>
      <c r="I245" s="677">
        <f t="shared" ref="I245:I248" si="66">B245+D245+F245+H245-G245-E245-C245</f>
        <v>0</v>
      </c>
      <c r="J245" s="425" t="b">
        <f>A245=未审报表!A245</f>
        <v>1</v>
      </c>
      <c r="K245" s="425" t="b">
        <f>A245=审定报表!A245</f>
        <v>1</v>
      </c>
    </row>
    <row r="246" spans="1:11" ht="14.4" customHeight="1">
      <c r="A246" s="779" t="str">
        <f>未审报表!A246</f>
        <v xml:space="preserve">3.其他权益工具投资公允价值变动 </v>
      </c>
      <c r="B246" s="643">
        <f>期初核对!C246</f>
        <v>0</v>
      </c>
      <c r="C246" s="677">
        <f>SUMIFS(调整事项汇总表!$K$7:$K$10020,调整事项汇总表!$D$7:$D$10020,"账项调整",调整事项汇总表!$E$7:$E$10020,IF(OR(MID(TRIM($A246),2,1)="：",MID(TRIM($A246),2,1)="."),REPLACEB(TRIM($A246),1,2,""),TRIM($A246)))</f>
        <v>0</v>
      </c>
      <c r="D246" s="677">
        <f>SUMIFS(调整事项汇总表!$L$7:$L$10020,调整事项汇总表!$D$7:$D$10020,"账项调整",调整事项汇总表!$E$7:$E$10020,IF(OR(MID(TRIM($A246),2,1)="：",MID(TRIM($A246),2,1)="."),REPLACEB(TRIM($A246),1,2,""),TRIM($A246)))</f>
        <v>0</v>
      </c>
      <c r="E246" s="677">
        <f>SUMIFS(调整事项汇总表!$K$7:$K$10020,调整事项汇总表!$D$7:$D$10020,"报表调整",调整事项汇总表!$E$7:$E$10020,IF(OR(MID(TRIM($A246),2,1)="：",MID(TRIM($A246),2,1)="."),REPLACEB(TRIM($A246),1,2,""),TRIM($A246)))</f>
        <v>0</v>
      </c>
      <c r="F246" s="677">
        <f>SUMIFS(调整事项汇总表!$L$7:$L$10020,调整事项汇总表!$D$7:$D$10020,"报表调整",调整事项汇总表!$E$7:$E$10020,IF(OR(MID(TRIM($A246),2,1)="：",MID(TRIM($A246),2,1)="."),REPLACEB(TRIM($A246),1,2,""),TRIM($A246)))</f>
        <v>0</v>
      </c>
      <c r="G246" s="677">
        <f>SUMIFS(调整事项汇总表!$K$7:$K$10020,调整事项汇总表!$D$7:$D$10020,"其他",调整事项汇总表!$E$7:$E$10020,IF(OR(MID(TRIM($A246),2,1)="：",MID(TRIM($A246),2,1)="."),REPLACEB(TRIM($A246),1,2,""),TRIM($A246)))</f>
        <v>0</v>
      </c>
      <c r="H246" s="677">
        <f>SUMIFS(调整事项汇总表!$L$7:$L$10020,调整事项汇总表!$D$7:$D$10020,"其他",调整事项汇总表!$E$7:$E$10020,IF(OR(MID(TRIM($A246),2,1)="：",MID(TRIM($A246),2,1)="."),REPLACEB(TRIM($A246),1,2,""),TRIM($A246)))</f>
        <v>0</v>
      </c>
      <c r="I246" s="677">
        <f t="shared" si="66"/>
        <v>0</v>
      </c>
      <c r="J246" s="425" t="b">
        <f>A246=未审报表!A246</f>
        <v>1</v>
      </c>
      <c r="K246" s="425" t="b">
        <f>A246=审定报表!A246</f>
        <v>1</v>
      </c>
    </row>
    <row r="247" spans="1:11" ht="14.4" customHeight="1">
      <c r="A247" s="779" t="str">
        <f>未审报表!A247</f>
        <v xml:space="preserve">4.企业自身信用风险公允价值变动 </v>
      </c>
      <c r="B247" s="643">
        <f>期初核对!C247</f>
        <v>0</v>
      </c>
      <c r="C247" s="677">
        <f>SUMIFS(调整事项汇总表!$K$7:$K$10020,调整事项汇总表!$D$7:$D$10020,"账项调整",调整事项汇总表!$E$7:$E$10020,IF(OR(MID(TRIM($A247),2,1)="：",MID(TRIM($A247),2,1)="."),REPLACEB(TRIM($A247),1,2,""),TRIM($A247)))</f>
        <v>0</v>
      </c>
      <c r="D247" s="677">
        <f>SUMIFS(调整事项汇总表!$L$7:$L$10020,调整事项汇总表!$D$7:$D$10020,"账项调整",调整事项汇总表!$E$7:$E$10020,IF(OR(MID(TRIM($A247),2,1)="：",MID(TRIM($A247),2,1)="."),REPLACEB(TRIM($A247),1,2,""),TRIM($A247)))</f>
        <v>0</v>
      </c>
      <c r="E247" s="677">
        <f>SUMIFS(调整事项汇总表!$K$7:$K$10020,调整事项汇总表!$D$7:$D$10020,"报表调整",调整事项汇总表!$E$7:$E$10020,IF(OR(MID(TRIM($A247),2,1)="：",MID(TRIM($A247),2,1)="."),REPLACEB(TRIM($A247),1,2,""),TRIM($A247)))</f>
        <v>0</v>
      </c>
      <c r="F247" s="677">
        <f>SUMIFS(调整事项汇总表!$L$7:$L$10020,调整事项汇总表!$D$7:$D$10020,"报表调整",调整事项汇总表!$E$7:$E$10020,IF(OR(MID(TRIM($A247),2,1)="：",MID(TRIM($A247),2,1)="."),REPLACEB(TRIM($A247),1,2,""),TRIM($A247)))</f>
        <v>0</v>
      </c>
      <c r="G247" s="677">
        <f>SUMIFS(调整事项汇总表!$K$7:$K$10020,调整事项汇总表!$D$7:$D$10020,"其他",调整事项汇总表!$E$7:$E$10020,IF(OR(MID(TRIM($A247),2,1)="：",MID(TRIM($A247),2,1)="."),REPLACEB(TRIM($A247),1,2,""),TRIM($A247)))</f>
        <v>0</v>
      </c>
      <c r="H247" s="677">
        <f>SUMIFS(调整事项汇总表!$L$7:$L$10020,调整事项汇总表!$D$7:$D$10020,"其他",调整事项汇总表!$E$7:$E$10020,IF(OR(MID(TRIM($A247),2,1)="：",MID(TRIM($A247),2,1)="."),REPLACEB(TRIM($A247),1,2,""),TRIM($A247)))</f>
        <v>0</v>
      </c>
      <c r="I247" s="677">
        <f t="shared" si="66"/>
        <v>0</v>
      </c>
      <c r="J247" s="425" t="b">
        <f>A247=未审报表!A247</f>
        <v>1</v>
      </c>
      <c r="K247" s="425" t="b">
        <f>A247=审定报表!A247</f>
        <v>1</v>
      </c>
    </row>
    <row r="248" spans="1:11" ht="14.4" customHeight="1">
      <c r="A248" s="779" t="str">
        <f>未审报表!A248</f>
        <v>5.其他</v>
      </c>
      <c r="B248" s="643">
        <f>期初核对!C248</f>
        <v>0</v>
      </c>
      <c r="C248" s="677">
        <f>SUMIFS(调整事项汇总表!$K$7:$K$10020,调整事项汇总表!$D$7:$D$10020,"账项调整",调整事项汇总表!$E$7:$E$10020,"其他（不能重分类）")</f>
        <v>0</v>
      </c>
      <c r="D248" s="677">
        <f>SUMIFS(调整事项汇总表!$L$7:$L$10020,调整事项汇总表!$D$7:$D$10020,"账项调整",调整事项汇总表!$E$7:$E$10020,"其他（不能重分类）")</f>
        <v>0</v>
      </c>
      <c r="E248" s="677">
        <f>SUMIFS(调整事项汇总表!$K$7:$K$10020,调整事项汇总表!$D$7:$D$10020,"报表调整",调整事项汇总表!$E$7:$E$10020,"其他（不能重分类）")</f>
        <v>0</v>
      </c>
      <c r="F248" s="677">
        <f>SUMIFS(调整事项汇总表!$L$7:$L$10020,调整事项汇总表!$D$7:$D$10020,"报表调整",调整事项汇总表!$E$7:$E$10020,"其他（不能重分类）")</f>
        <v>0</v>
      </c>
      <c r="G248" s="677">
        <f>SUMIFS(调整事项汇总表!$K$7:$K$10020,调整事项汇总表!$D$7:$D$10020,"其他",调整事项汇总表!$E$7:$E$10020,"其他（不能重分类）")</f>
        <v>0</v>
      </c>
      <c r="H248" s="677">
        <f>SUMIFS(调整事项汇总表!$L$7:$L$10020,调整事项汇总表!$D$7:$D$10020,"其他",调整事项汇总表!$E$7:$E$10020,"其他（不能重分类）")</f>
        <v>0</v>
      </c>
      <c r="I248" s="677">
        <f t="shared" si="66"/>
        <v>0</v>
      </c>
      <c r="J248" s="425" t="b">
        <f>A248=未审报表!A248</f>
        <v>1</v>
      </c>
      <c r="K248" s="425" t="b">
        <f>A248=审定报表!A248</f>
        <v>1</v>
      </c>
    </row>
    <row r="249" spans="1:11" ht="14.4" customHeight="1">
      <c r="A249" s="779" t="str">
        <f>未审报表!A249</f>
        <v xml:space="preserve">  （二）将重分类进损益的其他综合收益</v>
      </c>
      <c r="B249" s="643">
        <f>期初核对!C249</f>
        <v>0</v>
      </c>
      <c r="C249" s="614">
        <f>SUM(C250:C258)</f>
        <v>0</v>
      </c>
      <c r="D249" s="614">
        <f t="shared" ref="D249:I249" si="67">SUM(D250:D258)</f>
        <v>0</v>
      </c>
      <c r="E249" s="614">
        <f t="shared" si="67"/>
        <v>0</v>
      </c>
      <c r="F249" s="614">
        <f t="shared" si="67"/>
        <v>0</v>
      </c>
      <c r="G249" s="614">
        <f t="shared" si="67"/>
        <v>0</v>
      </c>
      <c r="H249" s="614">
        <f t="shared" si="67"/>
        <v>0</v>
      </c>
      <c r="I249" s="614">
        <f t="shared" si="67"/>
        <v>0</v>
      </c>
      <c r="J249" s="425" t="b">
        <f>A249=未审报表!A249</f>
        <v>1</v>
      </c>
      <c r="K249" s="425" t="b">
        <f>A249=审定报表!A249</f>
        <v>1</v>
      </c>
    </row>
    <row r="250" spans="1:11" ht="14.4" customHeight="1">
      <c r="A250" s="779" t="str">
        <f>未审报表!A250</f>
        <v>1.权益法下可转损益的其他综合收益</v>
      </c>
      <c r="B250" s="643">
        <f>期初核对!C250</f>
        <v>0</v>
      </c>
      <c r="C250" s="677">
        <f>SUMIFS(调整事项汇总表!$K$7:$K$10020,调整事项汇总表!$D$7:$D$10020,"账项调整",调整事项汇总表!$E$7:$E$10020,IF(OR(MID(TRIM($A250),2,1)="：",MID(TRIM($A250),2,1)="."),REPLACEB(TRIM($A250),1,2,""),TRIM($A250)))</f>
        <v>0</v>
      </c>
      <c r="D250" s="677">
        <f>SUMIFS(调整事项汇总表!$L$7:$L$10020,调整事项汇总表!$D$7:$D$10020,"账项调整",调整事项汇总表!$E$7:$E$10020,IF(OR(MID(TRIM($A250),2,1)="：",MID(TRIM($A250),2,1)="."),REPLACEB(TRIM($A250),1,2,""),TRIM($A250)))</f>
        <v>0</v>
      </c>
      <c r="E250" s="677">
        <f>SUMIFS(调整事项汇总表!$K$7:$K$10020,调整事项汇总表!$D$7:$D$10020,"报表调整",调整事项汇总表!$E$7:$E$10020,IF(OR(MID(TRIM($A250),2,1)="：",MID(TRIM($A250),2,1)="."),REPLACEB(TRIM($A250),1,2,""),TRIM($A250)))</f>
        <v>0</v>
      </c>
      <c r="F250" s="677">
        <f>SUMIFS(调整事项汇总表!$L$7:$L$10020,调整事项汇总表!$D$7:$D$10020,"报表调整",调整事项汇总表!$E$7:$E$10020,IF(OR(MID(TRIM($A250),2,1)="：",MID(TRIM($A250),2,1)="."),REPLACEB(TRIM($A250),1,2,""),TRIM($A250)))</f>
        <v>0</v>
      </c>
      <c r="G250" s="677">
        <f>SUMIFS(调整事项汇总表!$K$7:$K$10020,调整事项汇总表!$D$7:$D$10020,"其他",调整事项汇总表!$E$7:$E$10020,IF(OR(MID(TRIM($A250),2,1)="：",MID(TRIM($A250),2,1)="."),REPLACEB(TRIM($A250),1,2,""),TRIM($A250)))</f>
        <v>0</v>
      </c>
      <c r="H250" s="677">
        <f>SUMIFS(调整事项汇总表!$L$7:$L$10020,调整事项汇总表!$D$7:$D$10020,"其他",调整事项汇总表!$E$7:$E$10020,IF(OR(MID(TRIM($A250),2,1)="：",MID(TRIM($A250),2,1)="."),REPLACEB(TRIM($A250),1,2,""),TRIM($A250)))</f>
        <v>0</v>
      </c>
      <c r="I250" s="677">
        <f>B250+D250+F250+H250-G250-E250-C250</f>
        <v>0</v>
      </c>
      <c r="J250" s="425" t="b">
        <f>A250=未审报表!A250</f>
        <v>1</v>
      </c>
      <c r="K250" s="425" t="b">
        <f>A250=审定报表!A250</f>
        <v>1</v>
      </c>
    </row>
    <row r="251" spans="1:11" ht="14.4" customHeight="1">
      <c r="A251" s="779" t="str">
        <f>未审报表!A251</f>
        <v xml:space="preserve">2.其他债权投资公允价值变动 </v>
      </c>
      <c r="B251" s="643">
        <f>期初核对!C251</f>
        <v>0</v>
      </c>
      <c r="C251" s="677">
        <f>SUMIFS(调整事项汇总表!$K$7:$K$10020,调整事项汇总表!$D$7:$D$10020,"账项调整",调整事项汇总表!$E$7:$E$10020,IF(OR(MID(TRIM($A251),2,1)="：",MID(TRIM($A251),2,1)="."),REPLACEB(TRIM($A251),1,2,""),TRIM($A251)))</f>
        <v>0</v>
      </c>
      <c r="D251" s="677">
        <f>SUMIFS(调整事项汇总表!$L$7:$L$10020,调整事项汇总表!$D$7:$D$10020,"账项调整",调整事项汇总表!$E$7:$E$10020,IF(OR(MID(TRIM($A251),2,1)="：",MID(TRIM($A251),2,1)="."),REPLACEB(TRIM($A251),1,2,""),TRIM($A251)))</f>
        <v>0</v>
      </c>
      <c r="E251" s="677">
        <f>SUMIFS(调整事项汇总表!$K$7:$K$10020,调整事项汇总表!$D$7:$D$10020,"报表调整",调整事项汇总表!$E$7:$E$10020,IF(OR(MID(TRIM($A251),2,1)="：",MID(TRIM($A251),2,1)="."),REPLACEB(TRIM($A251),1,2,""),TRIM($A251)))</f>
        <v>0</v>
      </c>
      <c r="F251" s="677">
        <f>SUMIFS(调整事项汇总表!$L$7:$L$10020,调整事项汇总表!$D$7:$D$10020,"报表调整",调整事项汇总表!$E$7:$E$10020,IF(OR(MID(TRIM($A251),2,1)="：",MID(TRIM($A251),2,1)="."),REPLACEB(TRIM($A251),1,2,""),TRIM($A251)))</f>
        <v>0</v>
      </c>
      <c r="G251" s="677">
        <f>SUMIFS(调整事项汇总表!$K$7:$K$10020,调整事项汇总表!$D$7:$D$10020,"其他",调整事项汇总表!$E$7:$E$10020,IF(OR(MID(TRIM($A251),2,1)="：",MID(TRIM($A251),2,1)="."),REPLACEB(TRIM($A251),1,2,""),TRIM($A251)))</f>
        <v>0</v>
      </c>
      <c r="H251" s="677">
        <f>SUMIFS(调整事项汇总表!$L$7:$L$10020,调整事项汇总表!$D$7:$D$10020,"其他",调整事项汇总表!$E$7:$E$10020,IF(OR(MID(TRIM($A251),2,1)="：",MID(TRIM($A251),2,1)="."),REPLACEB(TRIM($A251),1,2,""),TRIM($A251)))</f>
        <v>0</v>
      </c>
      <c r="I251" s="677">
        <f t="shared" ref="I251:I258" si="68">B251+D251+F251+H251-G251-E251-C251</f>
        <v>0</v>
      </c>
      <c r="J251" s="425" t="b">
        <f>A251=未审报表!A251</f>
        <v>1</v>
      </c>
      <c r="K251" s="425" t="b">
        <f>A251=审定报表!A251</f>
        <v>1</v>
      </c>
    </row>
    <row r="252" spans="1:11" ht="14.4" customHeight="1">
      <c r="A252" s="779" t="str">
        <f>未审报表!A252</f>
        <v xml:space="preserve">3.金融资产重分类计入其他综合收益的金额 </v>
      </c>
      <c r="B252" s="643">
        <f>期初核对!C252</f>
        <v>0</v>
      </c>
      <c r="C252" s="677">
        <f>SUMIFS(调整事项汇总表!$K$7:$K$10020,调整事项汇总表!$D$7:$D$10020,"账项调整",调整事项汇总表!$E$7:$E$10020,IF(OR(MID(TRIM($A252),2,1)="：",MID(TRIM($A252),2,1)="."),REPLACEB(TRIM($A252),1,2,""),TRIM($A252)))</f>
        <v>0</v>
      </c>
      <c r="D252" s="677">
        <f>SUMIFS(调整事项汇总表!$L$7:$L$10020,调整事项汇总表!$D$7:$D$10020,"账项调整",调整事项汇总表!$E$7:$E$10020,IF(OR(MID(TRIM($A252),2,1)="：",MID(TRIM($A252),2,1)="."),REPLACEB(TRIM($A252),1,2,""),TRIM($A252)))</f>
        <v>0</v>
      </c>
      <c r="E252" s="677">
        <f>SUMIFS(调整事项汇总表!$K$7:$K$10020,调整事项汇总表!$D$7:$D$10020,"报表调整",调整事项汇总表!$E$7:$E$10020,IF(OR(MID(TRIM($A252),2,1)="：",MID(TRIM($A252),2,1)="."),REPLACEB(TRIM($A252),1,2,""),TRIM($A252)))</f>
        <v>0</v>
      </c>
      <c r="F252" s="677">
        <f>SUMIFS(调整事项汇总表!$L$7:$L$10020,调整事项汇总表!$D$7:$D$10020,"报表调整",调整事项汇总表!$E$7:$E$10020,IF(OR(MID(TRIM($A252),2,1)="：",MID(TRIM($A252),2,1)="."),REPLACEB(TRIM($A252),1,2,""),TRIM($A252)))</f>
        <v>0</v>
      </c>
      <c r="G252" s="677">
        <f>SUMIFS(调整事项汇总表!$K$7:$K$10020,调整事项汇总表!$D$7:$D$10020,"其他",调整事项汇总表!$E$7:$E$10020,IF(OR(MID(TRIM($A252),2,1)="：",MID(TRIM($A252),2,1)="."),REPLACEB(TRIM($A252),1,2,""),TRIM($A252)))</f>
        <v>0</v>
      </c>
      <c r="H252" s="677">
        <f>SUMIFS(调整事项汇总表!$L$7:$L$10020,调整事项汇总表!$D$7:$D$10020,"其他",调整事项汇总表!$E$7:$E$10020,IF(OR(MID(TRIM($A252),2,1)="：",MID(TRIM($A252),2,1)="."),REPLACEB(TRIM($A252),1,2,""),TRIM($A252)))</f>
        <v>0</v>
      </c>
      <c r="I252" s="677">
        <f t="shared" si="68"/>
        <v>0</v>
      </c>
      <c r="J252" s="425" t="b">
        <f>A252=未审报表!A252</f>
        <v>1</v>
      </c>
      <c r="K252" s="425" t="b">
        <f>A252=审定报表!A252</f>
        <v>1</v>
      </c>
    </row>
    <row r="253" spans="1:11" ht="14.4" customHeight="1">
      <c r="A253" s="779" t="str">
        <f>未审报表!A253</f>
        <v>4.其他债权投资信用减值准备</v>
      </c>
      <c r="B253" s="643">
        <f>期初核对!C253</f>
        <v>0</v>
      </c>
      <c r="C253" s="677">
        <f>SUMIFS(调整事项汇总表!$K$7:$K$10020,调整事项汇总表!$D$7:$D$10020,"账项调整",调整事项汇总表!$E$7:$E$10020,IF(OR(MID(TRIM($A253),2,1)="：",MID(TRIM($A253),2,1)="."),REPLACEB(TRIM($A253),1,2,""),TRIM($A253)))</f>
        <v>0</v>
      </c>
      <c r="D253" s="677">
        <f>SUMIFS(调整事项汇总表!$L$7:$L$10020,调整事项汇总表!$D$7:$D$10020,"账项调整",调整事项汇总表!$E$7:$E$10020,IF(OR(MID(TRIM($A253),2,1)="：",MID(TRIM($A253),2,1)="."),REPLACEB(TRIM($A253),1,2,""),TRIM($A253)))</f>
        <v>0</v>
      </c>
      <c r="E253" s="677">
        <f>SUMIFS(调整事项汇总表!$K$7:$K$10020,调整事项汇总表!$D$7:$D$10020,"报表调整",调整事项汇总表!$E$7:$E$10020,IF(OR(MID(TRIM($A253),2,1)="：",MID(TRIM($A253),2,1)="."),REPLACEB(TRIM($A253),1,2,""),TRIM($A253)))</f>
        <v>0</v>
      </c>
      <c r="F253" s="677">
        <f>SUMIFS(调整事项汇总表!$L$7:$L$10020,调整事项汇总表!$D$7:$D$10020,"报表调整",调整事项汇总表!$E$7:$E$10020,IF(OR(MID(TRIM($A253),2,1)="：",MID(TRIM($A253),2,1)="."),REPLACEB(TRIM($A253),1,2,""),TRIM($A253)))</f>
        <v>0</v>
      </c>
      <c r="G253" s="677">
        <f>SUMIFS(调整事项汇总表!$K$7:$K$10020,调整事项汇总表!$D$7:$D$10020,"其他",调整事项汇总表!$E$7:$E$10020,IF(OR(MID(TRIM($A253),2,1)="：",MID(TRIM($A253),2,1)="."),REPLACEB(TRIM($A253),1,2,""),TRIM($A253)))</f>
        <v>0</v>
      </c>
      <c r="H253" s="677">
        <f>SUMIFS(调整事项汇总表!$L$7:$L$10020,调整事项汇总表!$D$7:$D$10020,"其他",调整事项汇总表!$E$7:$E$10020,IF(OR(MID(TRIM($A253),2,1)="：",MID(TRIM($A253),2,1)="."),REPLACEB(TRIM($A253),1,2,""),TRIM($A253)))</f>
        <v>0</v>
      </c>
      <c r="I253" s="677">
        <f t="shared" si="68"/>
        <v>0</v>
      </c>
      <c r="J253" s="425" t="b">
        <f>A253=未审报表!A253</f>
        <v>1</v>
      </c>
      <c r="K253" s="425" t="b">
        <f>A253=审定报表!A253</f>
        <v>1</v>
      </c>
    </row>
    <row r="254" spans="1:11" ht="14.4" customHeight="1">
      <c r="A254" s="779" t="str">
        <f>未审报表!A254</f>
        <v>5.现金流量套期储备</v>
      </c>
      <c r="B254" s="643">
        <f>期初核对!C254</f>
        <v>0</v>
      </c>
      <c r="C254" s="677">
        <f>SUMIFS(调整事项汇总表!$K$7:$K$10020,调整事项汇总表!$D$7:$D$10020,"账项调整",调整事项汇总表!$E$7:$E$10020,IF(OR(MID(TRIM($A254),2,1)="：",MID(TRIM($A254),2,1)="."),REPLACEB(TRIM($A254),1,2,""),TRIM($A254)))</f>
        <v>0</v>
      </c>
      <c r="D254" s="677">
        <f>SUMIFS(调整事项汇总表!$L$7:$L$10020,调整事项汇总表!$D$7:$D$10020,"账项调整",调整事项汇总表!$E$7:$E$10020,IF(OR(MID(TRIM($A254),2,1)="：",MID(TRIM($A254),2,1)="."),REPLACEB(TRIM($A254),1,2,""),TRIM($A254)))</f>
        <v>0</v>
      </c>
      <c r="E254" s="677">
        <f>SUMIFS(调整事项汇总表!$K$7:$K$10020,调整事项汇总表!$D$7:$D$10020,"报表调整",调整事项汇总表!$E$7:$E$10020,IF(OR(MID(TRIM($A254),2,1)="：",MID(TRIM($A254),2,1)="."),REPLACEB(TRIM($A254),1,2,""),TRIM($A254)))</f>
        <v>0</v>
      </c>
      <c r="F254" s="677">
        <f>SUMIFS(调整事项汇总表!$L$7:$L$10020,调整事项汇总表!$D$7:$D$10020,"报表调整",调整事项汇总表!$E$7:$E$10020,IF(OR(MID(TRIM($A254),2,1)="：",MID(TRIM($A254),2,1)="."),REPLACEB(TRIM($A254),1,2,""),TRIM($A254)))</f>
        <v>0</v>
      </c>
      <c r="G254" s="677">
        <f>SUMIFS(调整事项汇总表!$K$7:$K$10020,调整事项汇总表!$D$7:$D$10020,"其他",调整事项汇总表!$E$7:$E$10020,IF(OR(MID(TRIM($A254),2,1)="：",MID(TRIM($A254),2,1)="."),REPLACEB(TRIM($A254),1,2,""),TRIM($A254)))</f>
        <v>0</v>
      </c>
      <c r="H254" s="677">
        <f>SUMIFS(调整事项汇总表!$L$7:$L$10020,调整事项汇总表!$D$7:$D$10020,"其他",调整事项汇总表!$E$7:$E$10020,IF(OR(MID(TRIM($A254),2,1)="：",MID(TRIM($A254),2,1)="."),REPLACEB(TRIM($A254),1,2,""),TRIM($A254)))</f>
        <v>0</v>
      </c>
      <c r="I254" s="677">
        <f t="shared" si="68"/>
        <v>0</v>
      </c>
      <c r="J254" s="425" t="b">
        <f>A254=未审报表!A254</f>
        <v>1</v>
      </c>
      <c r="K254" s="425" t="b">
        <f>A254=审定报表!A254</f>
        <v>1</v>
      </c>
    </row>
    <row r="255" spans="1:11" ht="14.4" customHeight="1">
      <c r="A255" s="779" t="str">
        <f>未审报表!A255</f>
        <v>6.外币财务报表折算差额</v>
      </c>
      <c r="B255" s="643">
        <f>期初核对!C255</f>
        <v>0</v>
      </c>
      <c r="C255" s="677">
        <f>SUMIFS(调整事项汇总表!$K$7:$K$10020,调整事项汇总表!$D$7:$D$10020,"账项调整",调整事项汇总表!$E$7:$E$10020,IF(OR(MID(TRIM($A255),2,1)="：",MID(TRIM($A255),2,1)="."),REPLACEB(TRIM($A255),1,2,""),TRIM($A255)))</f>
        <v>0</v>
      </c>
      <c r="D255" s="677">
        <f>SUMIFS(调整事项汇总表!$L$7:$L$10020,调整事项汇总表!$D$7:$D$10020,"账项调整",调整事项汇总表!$E$7:$E$10020,IF(OR(MID(TRIM($A255),2,1)="：",MID(TRIM($A255),2,1)="."),REPLACEB(TRIM($A255),1,2,""),TRIM($A255)))</f>
        <v>0</v>
      </c>
      <c r="E255" s="677">
        <f>SUMIFS(调整事项汇总表!$K$7:$K$10020,调整事项汇总表!$D$7:$D$10020,"报表调整",调整事项汇总表!$E$7:$E$10020,IF(OR(MID(TRIM($A255),2,1)="：",MID(TRIM($A255),2,1)="."),REPLACEB(TRIM($A255),1,2,""),TRIM($A255)))</f>
        <v>0</v>
      </c>
      <c r="F255" s="677">
        <f>SUMIFS(调整事项汇总表!$L$7:$L$10020,调整事项汇总表!$D$7:$D$10020,"报表调整",调整事项汇总表!$E$7:$E$10020,IF(OR(MID(TRIM($A255),2,1)="：",MID(TRIM($A255),2,1)="."),REPLACEB(TRIM($A255),1,2,""),TRIM($A255)))</f>
        <v>0</v>
      </c>
      <c r="G255" s="677">
        <f>SUMIFS(调整事项汇总表!$K$7:$K$10020,调整事项汇总表!$D$7:$D$10020,"其他",调整事项汇总表!$E$7:$E$10020,IF(OR(MID(TRIM($A255),2,1)="：",MID(TRIM($A255),2,1)="."),REPLACEB(TRIM($A255),1,2,""),TRIM($A255)))</f>
        <v>0</v>
      </c>
      <c r="H255" s="677">
        <f>SUMIFS(调整事项汇总表!$L$7:$L$10020,调整事项汇总表!$D$7:$D$10020,"其他",调整事项汇总表!$E$7:$E$10020,IF(OR(MID(TRIM($A255),2,1)="：",MID(TRIM($A255),2,1)="."),REPLACEB(TRIM($A255),1,2,""),TRIM($A255)))</f>
        <v>0</v>
      </c>
      <c r="I255" s="677">
        <f t="shared" si="68"/>
        <v>0</v>
      </c>
      <c r="J255" s="425" t="b">
        <f>A255=未审报表!A255</f>
        <v>1</v>
      </c>
      <c r="K255" s="425" t="b">
        <f>A255=审定报表!A255</f>
        <v>1</v>
      </c>
    </row>
    <row r="256" spans="1:11" ht="14.4" customHeight="1">
      <c r="A256" s="779" t="str">
        <f>未审报表!A256</f>
        <v>7.自用房地产或作为存货的房地产转换为以公允价值计量的投资性房地产在转换日公允价值大于账面价值部分</v>
      </c>
      <c r="B256" s="643">
        <f>期初核对!C256</f>
        <v>0</v>
      </c>
      <c r="C256" s="677">
        <f>SUMIFS(调整事项汇总表!$K$7:$K$10020,调整事项汇总表!$D$7:$D$10020,"账项调整",调整事项汇总表!$E$7:$E$10020,IF(OR(MID(TRIM($A256),2,1)="：",MID(TRIM($A256),2,1)="."),REPLACEB(TRIM($A256),1,2,""),TRIM($A256)))</f>
        <v>0</v>
      </c>
      <c r="D256" s="677">
        <f>SUMIFS(调整事项汇总表!$L$7:$L$10020,调整事项汇总表!$D$7:$D$10020,"账项调整",调整事项汇总表!$E$7:$E$10020,IF(OR(MID(TRIM($A256),2,1)="：",MID(TRIM($A256),2,1)="."),REPLACEB(TRIM($A256),1,2,""),TRIM($A256)))</f>
        <v>0</v>
      </c>
      <c r="E256" s="677">
        <f>SUMIFS(调整事项汇总表!$K$7:$K$10020,调整事项汇总表!$D$7:$D$10020,"报表调整",调整事项汇总表!$E$7:$E$10020,IF(OR(MID(TRIM($A256),2,1)="：",MID(TRIM($A256),2,1)="."),REPLACEB(TRIM($A256),1,2,""),TRIM($A256)))</f>
        <v>0</v>
      </c>
      <c r="F256" s="677">
        <f>SUMIFS(调整事项汇总表!$L$7:$L$10020,调整事项汇总表!$D$7:$D$10020,"报表调整",调整事项汇总表!$E$7:$E$10020,IF(OR(MID(TRIM($A256),2,1)="：",MID(TRIM($A256),2,1)="."),REPLACEB(TRIM($A256),1,2,""),TRIM($A256)))</f>
        <v>0</v>
      </c>
      <c r="G256" s="677">
        <f>SUMIFS(调整事项汇总表!$K$7:$K$10020,调整事项汇总表!$D$7:$D$10020,"其他",调整事项汇总表!$E$7:$E$10020,IF(OR(MID(TRIM($A256),2,1)="：",MID(TRIM($A256),2,1)="."),REPLACEB(TRIM($A256),1,2,""),TRIM($A256)))</f>
        <v>0</v>
      </c>
      <c r="H256" s="677">
        <f>SUMIFS(调整事项汇总表!$L$7:$L$10020,调整事项汇总表!$D$7:$D$10020,"其他",调整事项汇总表!$E$7:$E$10020,IF(OR(MID(TRIM($A256),2,1)="：",MID(TRIM($A256),2,1)="."),REPLACEB(TRIM($A256),1,2,""),TRIM($A256)))</f>
        <v>0</v>
      </c>
      <c r="I256" s="677">
        <f t="shared" si="68"/>
        <v>0</v>
      </c>
      <c r="J256" s="425" t="b">
        <f>A256=未审报表!A256</f>
        <v>1</v>
      </c>
      <c r="K256" s="425" t="b">
        <f>A256=审定报表!A256</f>
        <v>1</v>
      </c>
    </row>
    <row r="257" spans="1:11" ht="14.4" customHeight="1">
      <c r="A257" s="779" t="str">
        <f>未审报表!A257</f>
        <v>8.多次交易分步处置子公司股权构成一揽子交易的，丧失控制权之前各次交易处置价款与对应净资产账面价值份额的差额</v>
      </c>
      <c r="B257" s="643">
        <f>期初核对!C257</f>
        <v>0</v>
      </c>
      <c r="C257" s="677">
        <f>SUMIFS(调整事项汇总表!$K$7:$K$10020,调整事项汇总表!$D$7:$D$10020,"账项调整",调整事项汇总表!$E$7:$E$10020,IF(OR(MID(TRIM($A257),2,1)="：",MID(TRIM($A257),2,1)="."),REPLACEB(TRIM($A257),1,2,""),TRIM($A257)))</f>
        <v>0</v>
      </c>
      <c r="D257" s="677">
        <f>SUMIFS(调整事项汇总表!$L$7:$L$10020,调整事项汇总表!$D$7:$D$10020,"账项调整",调整事项汇总表!$E$7:$E$10020,IF(OR(MID(TRIM($A257),2,1)="：",MID(TRIM($A257),2,1)="."),REPLACEB(TRIM($A257),1,2,""),TRIM($A257)))</f>
        <v>0</v>
      </c>
      <c r="E257" s="677">
        <f>SUMIFS(调整事项汇总表!$K$7:$K$10020,调整事项汇总表!$D$7:$D$10020,"报表调整",调整事项汇总表!$E$7:$E$10020,IF(OR(MID(TRIM($A257),2,1)="：",MID(TRIM($A257),2,1)="."),REPLACEB(TRIM($A257),1,2,""),TRIM($A257)))</f>
        <v>0</v>
      </c>
      <c r="F257" s="677">
        <f>SUMIFS(调整事项汇总表!$L$7:$L$10020,调整事项汇总表!$D$7:$D$10020,"报表调整",调整事项汇总表!$E$7:$E$10020,IF(OR(MID(TRIM($A257),2,1)="：",MID(TRIM($A257),2,1)="."),REPLACEB(TRIM($A257),1,2,""),TRIM($A257)))</f>
        <v>0</v>
      </c>
      <c r="G257" s="677">
        <f>SUMIFS(调整事项汇总表!$K$7:$K$10020,调整事项汇总表!$D$7:$D$10020,"其他",调整事项汇总表!$E$7:$E$10020,IF(OR(MID(TRIM($A257),2,1)="：",MID(TRIM($A257),2,1)="."),REPLACEB(TRIM($A257),1,2,""),TRIM($A257)))</f>
        <v>0</v>
      </c>
      <c r="H257" s="677">
        <f>SUMIFS(调整事项汇总表!$L$7:$L$10020,调整事项汇总表!$D$7:$D$10020,"其他",调整事项汇总表!$E$7:$E$10020,IF(OR(MID(TRIM($A257),2,1)="：",MID(TRIM($A257),2,1)="."),REPLACEB(TRIM($A257),1,2,""),TRIM($A257)))</f>
        <v>0</v>
      </c>
      <c r="I257" s="677">
        <f t="shared" si="68"/>
        <v>0</v>
      </c>
      <c r="J257" s="425" t="b">
        <f>A257=未审报表!A257</f>
        <v>1</v>
      </c>
      <c r="K257" s="425" t="b">
        <f>A257=审定报表!A257</f>
        <v>1</v>
      </c>
    </row>
    <row r="258" spans="1:11" ht="14.4" customHeight="1">
      <c r="A258" s="779" t="str">
        <f>未审报表!A258</f>
        <v>9.其他</v>
      </c>
      <c r="B258" s="643">
        <f>期初核对!C258</f>
        <v>0</v>
      </c>
      <c r="C258" s="677">
        <f>SUMIFS(调整事项汇总表!$K$7:$K$10020,调整事项汇总表!$D$7:$D$10020,"账项调整",调整事项汇总表!$E$7:$E$10020,"其他（可以重分类）")</f>
        <v>0</v>
      </c>
      <c r="D258" s="677">
        <f>SUMIFS(调整事项汇总表!$L$7:$L$10020,调整事项汇总表!$D$7:$D$10020,"账项调整",调整事项汇总表!$E$7:$E$10020,"其他（可以重分类）")</f>
        <v>0</v>
      </c>
      <c r="E258" s="677">
        <f>SUMIFS(调整事项汇总表!$K$7:$K$10020,调整事项汇总表!$D$7:$D$10020,"报表调整",调整事项汇总表!$E$7:$E$10020,"其他（可以重分类）")</f>
        <v>0</v>
      </c>
      <c r="F258" s="677">
        <f>SUMIFS(调整事项汇总表!$L$7:$L$10020,调整事项汇总表!$D$7:$D$10020,"报表调整",调整事项汇总表!$E$7:$E$10020,"其他（可以重分类）")</f>
        <v>0</v>
      </c>
      <c r="G258" s="677">
        <f>SUMIFS(调整事项汇总表!$K$7:$K$10020,调整事项汇总表!$D$7:$D$10020,"其他",调整事项汇总表!$E$7:$E$10020,"其他（可以重分类）")</f>
        <v>0</v>
      </c>
      <c r="H258" s="677">
        <f>SUMIFS(调整事项汇总表!$L$7:$L$10020,调整事项汇总表!$D$7:$D$10020,"其他",调整事项汇总表!$E$7:$E$10020,"其他（可以重分类）")</f>
        <v>0</v>
      </c>
      <c r="I258" s="677">
        <f t="shared" si="68"/>
        <v>0</v>
      </c>
      <c r="J258" s="425" t="b">
        <f>A258=未审报表!A258</f>
        <v>1</v>
      </c>
      <c r="K258" s="425" t="b">
        <f>A258=审定报表!A258</f>
        <v>1</v>
      </c>
    </row>
    <row r="259" spans="1:11" ht="14.4" customHeight="1">
      <c r="A259" s="779" t="str">
        <f>未审报表!A259</f>
        <v>归属于少数股东的其他综合收益的税后净额</v>
      </c>
      <c r="B259" s="643">
        <f>期初核对!C259</f>
        <v>0</v>
      </c>
      <c r="C259" s="677">
        <f>SUMIFS(调整事项汇总表!$K$7:$K$10020,调整事项汇总表!$D$7:$D$10020,"账项调整",调整事项汇总表!$E$7:$E$10020,IF(OR(MID(TRIM($A259),2,1)="：",MID(TRIM($A259),2,1)="."),REPLACEB(TRIM($A259),1,2,""),TRIM($A259)))</f>
        <v>0</v>
      </c>
      <c r="D259" s="677">
        <f>SUMIFS(调整事项汇总表!$L$7:$L$10020,调整事项汇总表!$D$7:$D$10020,"账项调整",调整事项汇总表!$E$7:$E$10020,IF(OR(MID(TRIM($A259),2,1)="：",MID(TRIM($A259),2,1)="."),REPLACEB(TRIM($A259),1,2,""),TRIM($A259)))</f>
        <v>0</v>
      </c>
      <c r="E259" s="677">
        <f>SUMIFS(调整事项汇总表!$K$7:$K$10020,调整事项汇总表!$D$7:$D$10020,"报表调整",调整事项汇总表!$E$7:$E$10020,IF(OR(MID(TRIM($A259),2,1)="：",MID(TRIM($A259),2,1)="."),REPLACEB(TRIM($A259),1,2,""),TRIM($A259)))</f>
        <v>0</v>
      </c>
      <c r="F259" s="677">
        <f>SUMIFS(调整事项汇总表!$L$7:$L$10020,调整事项汇总表!$D$7:$D$10020,"报表调整",调整事项汇总表!$E$7:$E$10020,IF(OR(MID(TRIM($A259),2,1)="：",MID(TRIM($A259),2,1)="."),REPLACEB(TRIM($A259),1,2,""),TRIM($A259)))</f>
        <v>0</v>
      </c>
      <c r="G259" s="677">
        <f>SUMIFS(调整事项汇总表!$K$7:$K$10020,调整事项汇总表!$D$7:$D$10020,"其他",调整事项汇总表!$E$7:$E$10020,IF(OR(MID(TRIM($A259),2,1)="：",MID(TRIM($A259),2,1)="."),REPLACEB(TRIM($A259),1,2,""),TRIM($A259)))</f>
        <v>0</v>
      </c>
      <c r="H259" s="677">
        <f>SUMIFS(调整事项汇总表!$L$7:$L$10020,调整事项汇总表!$D$7:$D$10020,"其他",调整事项汇总表!$E$7:$E$10020,IF(OR(MID(TRIM($A259),2,1)="：",MID(TRIM($A259),2,1)="."),REPLACEB(TRIM($A259),1,2,""),TRIM($A259)))</f>
        <v>0</v>
      </c>
      <c r="I259" s="677">
        <f>B259+D259+F259+H259-G259-E259-C259</f>
        <v>0</v>
      </c>
      <c r="J259" s="425" t="b">
        <f>A259=未审报表!A259</f>
        <v>1</v>
      </c>
      <c r="K259" s="425" t="b">
        <f>A259=审定报表!A259</f>
        <v>1</v>
      </c>
    </row>
    <row r="260" spans="1:11" ht="14.4" customHeight="1">
      <c r="A260" s="783" t="str">
        <f>未审报表!A260</f>
        <v>六、综合收益总额</v>
      </c>
      <c r="B260" s="773">
        <f>期初核对!C260</f>
        <v>21221252.779999997</v>
      </c>
      <c r="C260" s="637">
        <f>C233+C241</f>
        <v>10000</v>
      </c>
      <c r="D260" s="637">
        <f t="shared" ref="D260:G260" si="69">D233+D241</f>
        <v>10000</v>
      </c>
      <c r="E260" s="637">
        <f t="shared" si="69"/>
        <v>0</v>
      </c>
      <c r="F260" s="637">
        <f t="shared" si="69"/>
        <v>0</v>
      </c>
      <c r="G260" s="637">
        <f t="shared" si="69"/>
        <v>0</v>
      </c>
      <c r="H260" s="637">
        <f>H233+H241</f>
        <v>0</v>
      </c>
      <c r="I260" s="637">
        <f>I233+I241</f>
        <v>21221252.779999997</v>
      </c>
      <c r="J260" s="425" t="b">
        <f>A260=未审报表!A260</f>
        <v>1</v>
      </c>
      <c r="K260" s="425" t="b">
        <f>A260=审定报表!A260</f>
        <v>1</v>
      </c>
    </row>
    <row r="261" spans="1:11" ht="14.4" customHeight="1">
      <c r="A261" s="779" t="str">
        <f>未审报表!A261</f>
        <v xml:space="preserve">     归属于母公司所有者（或股东）的综合收益总额</v>
      </c>
      <c r="B261" s="643">
        <f>期初核对!C261</f>
        <v>21221252.779999997</v>
      </c>
      <c r="C261" s="677">
        <f>C242+C239</f>
        <v>10000</v>
      </c>
      <c r="D261" s="677">
        <f t="shared" ref="D261:G261" si="70">D242+D239</f>
        <v>10000</v>
      </c>
      <c r="E261" s="677">
        <f t="shared" si="70"/>
        <v>0</v>
      </c>
      <c r="F261" s="677">
        <f t="shared" si="70"/>
        <v>0</v>
      </c>
      <c r="G261" s="677">
        <f t="shared" si="70"/>
        <v>0</v>
      </c>
      <c r="H261" s="677">
        <f>H242+H239</f>
        <v>0</v>
      </c>
      <c r="I261" s="677">
        <f>I242+I239</f>
        <v>21221252.779999997</v>
      </c>
      <c r="J261" s="425" t="b">
        <f>A261=未审报表!A261</f>
        <v>1</v>
      </c>
      <c r="K261" s="425" t="b">
        <f>A261=审定报表!A261</f>
        <v>1</v>
      </c>
    </row>
    <row r="262" spans="1:11" ht="14.4" customHeight="1">
      <c r="A262" s="779" t="str">
        <f>未审报表!A262</f>
        <v xml:space="preserve">     归属于少数股东的综合收益总额</v>
      </c>
      <c r="B262" s="643">
        <f>期初核对!C262</f>
        <v>0</v>
      </c>
      <c r="C262" s="677">
        <f>C259+C240</f>
        <v>0</v>
      </c>
      <c r="D262" s="677">
        <f t="shared" ref="D262:I262" si="71">D259+D240</f>
        <v>0</v>
      </c>
      <c r="E262" s="677">
        <f t="shared" si="71"/>
        <v>0</v>
      </c>
      <c r="F262" s="677">
        <f t="shared" si="71"/>
        <v>0</v>
      </c>
      <c r="G262" s="677">
        <f t="shared" si="71"/>
        <v>0</v>
      </c>
      <c r="H262" s="677">
        <f t="shared" si="71"/>
        <v>0</v>
      </c>
      <c r="I262" s="677">
        <f t="shared" si="71"/>
        <v>0</v>
      </c>
      <c r="J262" s="425" t="b">
        <f>A262=未审报表!A262</f>
        <v>1</v>
      </c>
      <c r="K262" s="425" t="b">
        <f>A262=审定报表!A262</f>
        <v>1</v>
      </c>
    </row>
    <row r="263" spans="1:11" ht="14.4" customHeight="1">
      <c r="A263" s="783" t="str">
        <f>未审报表!A263</f>
        <v>七、每股收益</v>
      </c>
      <c r="B263" s="432"/>
      <c r="C263" s="711"/>
      <c r="D263" s="711"/>
      <c r="E263" s="711"/>
      <c r="F263" s="711"/>
      <c r="G263" s="711"/>
      <c r="H263" s="711"/>
      <c r="I263" s="662"/>
      <c r="J263" s="425" t="b">
        <f>A263=未审报表!A263</f>
        <v>1</v>
      </c>
      <c r="K263" s="425" t="b">
        <f>A263=审定报表!A263</f>
        <v>1</v>
      </c>
    </row>
    <row r="264" spans="1:11" ht="14.4" customHeight="1">
      <c r="A264" s="779" t="str">
        <f>未审报表!A264</f>
        <v xml:space="preserve">   （一）基本每股收益</v>
      </c>
      <c r="B264" s="423"/>
      <c r="C264" s="400"/>
      <c r="D264" s="400"/>
      <c r="E264" s="400"/>
      <c r="F264" s="400"/>
      <c r="G264" s="400"/>
      <c r="H264" s="400"/>
      <c r="I264" s="642"/>
      <c r="J264" s="425" t="b">
        <f>A264=未审报表!A264</f>
        <v>1</v>
      </c>
      <c r="K264" s="425" t="b">
        <f>A264=审定报表!A264</f>
        <v>1</v>
      </c>
    </row>
    <row r="265" spans="1:11" ht="14.4" customHeight="1">
      <c r="A265" s="779" t="str">
        <f>未审报表!A265</f>
        <v xml:space="preserve">   （二）稀释每股收益</v>
      </c>
      <c r="B265" s="423"/>
      <c r="C265" s="400"/>
      <c r="D265" s="400"/>
      <c r="E265" s="400"/>
      <c r="F265" s="400"/>
      <c r="G265" s="400"/>
      <c r="H265" s="400"/>
      <c r="I265" s="642"/>
      <c r="J265" s="425" t="b">
        <f>A265=未审报表!A265</f>
        <v>1</v>
      </c>
      <c r="K265" s="425" t="b">
        <f>A265=审定报表!A265</f>
        <v>1</v>
      </c>
    </row>
    <row r="266" spans="1:11" ht="14.4" customHeight="1">
      <c r="A266" s="779" t="str">
        <f>未审报表!A266</f>
        <v>加：年初未分配利润</v>
      </c>
      <c r="B266" s="643">
        <f>期初核对!C266</f>
        <v>2588996.5500000003</v>
      </c>
      <c r="C266" s="677">
        <f>SUMIFS(调整事项汇总表!$K$7:$K$10020,调整事项汇总表!$D$7:$D$10020,"账项调整",调整事项汇总表!$E$7:$E$10020,IF(OR(MID(TRIM($A266),2,1)="：",MID(TRIM($A266),2,1)="、"),REPLACEB(TRIM($A266),1,4,""),TRIM($A266)))</f>
        <v>0</v>
      </c>
      <c r="D266" s="677">
        <f>SUMIFS(调整事项汇总表!$L$7:$L$10020,调整事项汇总表!$D$7:$D$10020,"账项调整",调整事项汇总表!$E$7:$E$10020,IF(OR(MID(TRIM($A266),2,1)="：",MID(TRIM($A266),2,1)="、"),REPLACEB(TRIM($A266),1,4,""),TRIM($A266)))</f>
        <v>0</v>
      </c>
      <c r="E266" s="677">
        <f>SUMIFS(调整事项汇总表!$K$7:$K$10020,调整事项汇总表!$D$7:$D$10020,"报表调整",调整事项汇总表!$E$7:$E$10020,IF(OR(MID(TRIM($A266),2,1)="：",MID(TRIM($A266),2,1)="、"),REPLACEB(TRIM($A266),1,4,""),TRIM($A266)))</f>
        <v>0</v>
      </c>
      <c r="F266" s="677">
        <f>SUMIFS(调整事项汇总表!$L$7:$L$10020,调整事项汇总表!$D$7:$D$10020,"报表调整",调整事项汇总表!$E$7:$E$10020,IF(OR(MID(TRIM($A266),2,1)="：",MID(TRIM($A266),2,1)="、"),REPLACEB(TRIM($A266),1,4,""),TRIM($A266)))</f>
        <v>0</v>
      </c>
      <c r="G266" s="677">
        <f>SUMIFS(调整事项汇总表!$K$7:$K$10020,调整事项汇总表!$D$7:$D$10020,"其他",调整事项汇总表!$E$7:$E$10020,IF(OR(MID(TRIM($A266),2,1)="：",MID(TRIM($A266),2,1)="、"),REPLACEB(TRIM($A266),1,4,""),TRIM($A266)))</f>
        <v>0</v>
      </c>
      <c r="H266" s="677">
        <f>SUMIFS(调整事项汇总表!$L$7:$L$10020,调整事项汇总表!$D$7:$D$10020,"其他",调整事项汇总表!$E$7:$E$10020,IF(OR(MID(TRIM($A266),2,1)="：",MID(TRIM($A266),2,1)="、"),REPLACEB(TRIM($A266),1,4,""),TRIM($A266)))</f>
        <v>0</v>
      </c>
      <c r="I266" s="678">
        <f>B266+D266+F266+H266-G266-E266-C266</f>
        <v>2588996.5500000003</v>
      </c>
      <c r="J266" s="425" t="b">
        <f>A266=未审报表!A266</f>
        <v>1</v>
      </c>
      <c r="K266" s="425" t="b">
        <f>A266=审定报表!A266</f>
        <v>1</v>
      </c>
    </row>
    <row r="267" spans="1:11" ht="14.4" customHeight="1">
      <c r="A267" s="783" t="str">
        <f>未审报表!A267</f>
        <v>八、可供分配利润</v>
      </c>
      <c r="B267" s="773">
        <f>期初核对!C267</f>
        <v>23810249.329999998</v>
      </c>
      <c r="C267" s="678">
        <f>C266+C239</f>
        <v>10000</v>
      </c>
      <c r="D267" s="678">
        <f t="shared" ref="D267:H267" si="72">D266+D239</f>
        <v>10000</v>
      </c>
      <c r="E267" s="678">
        <f t="shared" si="72"/>
        <v>0</v>
      </c>
      <c r="F267" s="678">
        <f t="shared" si="72"/>
        <v>0</v>
      </c>
      <c r="G267" s="678">
        <f t="shared" si="72"/>
        <v>0</v>
      </c>
      <c r="H267" s="678">
        <f t="shared" si="72"/>
        <v>0</v>
      </c>
      <c r="I267" s="678">
        <f>B267+D267+F267+H267-G267-E267-C267</f>
        <v>23810249.329999998</v>
      </c>
      <c r="J267" s="425" t="b">
        <f>A267=未审报表!A267</f>
        <v>1</v>
      </c>
      <c r="K267" s="425" t="b">
        <f>A267=审定报表!A267</f>
        <v>1</v>
      </c>
    </row>
    <row r="268" spans="1:11" ht="14.4" customHeight="1">
      <c r="A268" s="779" t="str">
        <f>未审报表!A268</f>
        <v xml:space="preserve">    1、提取法定盈余公积</v>
      </c>
      <c r="B268" s="643">
        <f>期初核对!C268</f>
        <v>907107.19</v>
      </c>
      <c r="C268" s="677">
        <f>SUMIFS(调整事项汇总表!$K$7:$K$10020,调整事项汇总表!$D$7:$D$10020,"账项调整",调整事项汇总表!$E$7:$E$10020,IF(OR(MID(TRIM($A268),2,1)="：",MID(TRIM($A268),2,1)="、"),REPLACEB(TRIM($A268),1,3,""),TRIM($A268)))</f>
        <v>0</v>
      </c>
      <c r="D268" s="677">
        <f>SUMIFS(调整事项汇总表!$L$7:$L$10020,调整事项汇总表!$D$7:$D$10020,"账项调整",调整事项汇总表!$E$7:$E$10020,IF(OR(MID(TRIM($A268),2,1)="：",MID(TRIM($A268),2,1)="、"),REPLACEB(TRIM($A268),1,3,""),TRIM($A268)))</f>
        <v>0</v>
      </c>
      <c r="E268" s="677">
        <f>SUMIFS(调整事项汇总表!$K$7:$K$10020,调整事项汇总表!$D$7:$D$10020,"报表调整",调整事项汇总表!$E$7:$E$10020,IF(OR(MID(TRIM($A268),2,1)="：",MID(TRIM($A268),2,1)="、"),REPLACEB(TRIM($A268),1,3,""),TRIM($A268)))</f>
        <v>0</v>
      </c>
      <c r="F268" s="677">
        <f>SUMIFS(调整事项汇总表!$L$7:$L$10020,调整事项汇总表!$D$7:$D$10020,"报表调整",调整事项汇总表!$E$7:$E$10020,IF(OR(MID(TRIM($A268),2,1)="：",MID(TRIM($A268),2,1)="、"),REPLACEB(TRIM($A268),1,3,""),TRIM($A268)))</f>
        <v>0</v>
      </c>
      <c r="G268" s="677">
        <f>SUMIFS(调整事项汇总表!$K$7:$K$10020,调整事项汇总表!$D$7:$D$10020,"其他",调整事项汇总表!$E$7:$E$10020,IF(OR(MID(TRIM($A268),2,1)="：",MID(TRIM($A268),2,1)="、"),REPLACEB(TRIM($A268),1,3,""),TRIM($A268)))</f>
        <v>0</v>
      </c>
      <c r="H268" s="677">
        <f>SUMIFS(调整事项汇总表!$L$7:$L$10020,调整事项汇总表!$D$7:$D$10020,"其他",调整事项汇总表!$E$7:$E$10020,IF(OR(MID(TRIM($A268),2,1)="：",MID(TRIM($A268),2,1)="、"),REPLACEB(TRIM($A268),1,3,""),TRIM($A268)))</f>
        <v>0</v>
      </c>
      <c r="I268" s="677">
        <f>B268+C268+E268+G268-H268-F268-D268</f>
        <v>907107.19</v>
      </c>
      <c r="J268" s="425" t="b">
        <f>A268=未审报表!A268</f>
        <v>1</v>
      </c>
      <c r="K268" s="425" t="b">
        <f>A268=审定报表!A268</f>
        <v>1</v>
      </c>
    </row>
    <row r="269" spans="1:11" ht="14.4" customHeight="1">
      <c r="A269" s="779" t="str">
        <f>未审报表!A269</f>
        <v xml:space="preserve">    2、提取一般风险准备</v>
      </c>
      <c r="B269" s="643">
        <f>期初核对!C269</f>
        <v>0</v>
      </c>
      <c r="C269" s="677">
        <f>SUMIFS(调整事项汇总表!$K$7:$K$10020,调整事项汇总表!$D$7:$D$10020,"账项调整",调整事项汇总表!$E$7:$E$10020,IF(OR(MID(TRIM($A269),2,1)="：",MID(TRIM($A269),2,1)="、"),REPLACEB(TRIM($A269),1,3,""),TRIM($A269)))</f>
        <v>0</v>
      </c>
      <c r="D269" s="677">
        <f>SUMIFS(调整事项汇总表!$L$7:$L$10020,调整事项汇总表!$D$7:$D$10020,"账项调整",调整事项汇总表!$E$7:$E$10020,IF(OR(MID(TRIM($A269),2,1)="：",MID(TRIM($A269),2,1)="、"),REPLACEB(TRIM($A269),1,3,""),TRIM($A269)))</f>
        <v>0</v>
      </c>
      <c r="E269" s="677">
        <f>SUMIFS(调整事项汇总表!$K$7:$K$10020,调整事项汇总表!$D$7:$D$10020,"报表调整",调整事项汇总表!$E$7:$E$10020,IF(OR(MID(TRIM($A269),2,1)="：",MID(TRIM($A269),2,1)="、"),REPLACEB(TRIM($A269),1,3,""),TRIM($A269)))</f>
        <v>0</v>
      </c>
      <c r="F269" s="677">
        <f>SUMIFS(调整事项汇总表!$L$7:$L$10020,调整事项汇总表!$D$7:$D$10020,"报表调整",调整事项汇总表!$E$7:$E$10020,IF(OR(MID(TRIM($A269),2,1)="：",MID(TRIM($A269),2,1)="、"),REPLACEB(TRIM($A269),1,3,""),TRIM($A269)))</f>
        <v>0</v>
      </c>
      <c r="G269" s="677">
        <f>SUMIFS(调整事项汇总表!$K$7:$K$10020,调整事项汇总表!$D$7:$D$10020,"其他",调整事项汇总表!$E$7:$E$10020,IF(OR(MID(TRIM($A269),2,1)="：",MID(TRIM($A269),2,1)="、"),REPLACEB(TRIM($A269),1,3,""),TRIM($A269)))</f>
        <v>0</v>
      </c>
      <c r="H269" s="677">
        <f>SUMIFS(调整事项汇总表!$L$7:$L$10020,调整事项汇总表!$D$7:$D$10020,"其他",调整事项汇总表!$E$7:$E$10020,IF(OR(MID(TRIM($A269),2,1)="：",MID(TRIM($A269),2,1)="、"),REPLACEB(TRIM($A269),1,3,""),TRIM($A269)))</f>
        <v>0</v>
      </c>
      <c r="I269" s="677">
        <f t="shared" ref="I269:I270" si="73">B269+C269+E269+G269-H269-F269-D269</f>
        <v>0</v>
      </c>
      <c r="J269" s="425" t="b">
        <f>A269=未审报表!A269</f>
        <v>1</v>
      </c>
      <c r="K269" s="425" t="b">
        <f>A269=审定报表!A269</f>
        <v>1</v>
      </c>
    </row>
    <row r="270" spans="1:11" ht="14.4" customHeight="1">
      <c r="A270" s="779" t="str">
        <f>未审报表!A270</f>
        <v xml:space="preserve">    3、提取其他</v>
      </c>
      <c r="B270" s="643">
        <f>期初核对!C270</f>
        <v>0</v>
      </c>
      <c r="C270" s="677">
        <f>SUMIFS(调整事项汇总表!$K$7:$K$10020,调整事项汇总表!$D$7:$D$10020,"账项调整",调整事项汇总表!$E$7:$E$10020,IF(OR(MID(TRIM($A270),2,1)="：",MID(TRIM($A270),2,1)="、"),REPLACEB(TRIM($A270),1,3,""),TRIM($A270)))</f>
        <v>0</v>
      </c>
      <c r="D270" s="677">
        <f>SUMIFS(调整事项汇总表!$L$7:$L$10020,调整事项汇总表!$D$7:$D$10020,"账项调整",调整事项汇总表!$E$7:$E$10020,IF(OR(MID(TRIM($A270),2,1)="：",MID(TRIM($A270),2,1)="、"),REPLACEB(TRIM($A270),1,3,""),TRIM($A270)))</f>
        <v>0</v>
      </c>
      <c r="E270" s="677">
        <f>SUMIFS(调整事项汇总表!$K$7:$K$10020,调整事项汇总表!$D$7:$D$10020,"报表调整",调整事项汇总表!$E$7:$E$10020,IF(OR(MID(TRIM($A270),2,1)="：",MID(TRIM($A270),2,1)="、"),REPLACEB(TRIM($A270),1,3,""),TRIM($A270)))</f>
        <v>0</v>
      </c>
      <c r="F270" s="677">
        <f>SUMIFS(调整事项汇总表!$L$7:$L$10020,调整事项汇总表!$D$7:$D$10020,"报表调整",调整事项汇总表!$E$7:$E$10020,IF(OR(MID(TRIM($A270),2,1)="：",MID(TRIM($A270),2,1)="、"),REPLACEB(TRIM($A270),1,3,""),TRIM($A270)))</f>
        <v>0</v>
      </c>
      <c r="G270" s="677">
        <f>SUMIFS(调整事项汇总表!$K$7:$K$10020,调整事项汇总表!$D$7:$D$10020,"其他",调整事项汇总表!$E$7:$E$10020,IF(OR(MID(TRIM($A270),2,1)="：",MID(TRIM($A270),2,1)="、"),REPLACEB(TRIM($A270),1,3,""),TRIM($A270)))</f>
        <v>0</v>
      </c>
      <c r="H270" s="677">
        <f>SUMIFS(调整事项汇总表!$L$7:$L$10020,调整事项汇总表!$D$7:$D$10020,"其他",调整事项汇总表!$E$7:$E$10020,IF(OR(MID(TRIM($A270),2,1)="：",MID(TRIM($A270),2,1)="、"),REPLACEB(TRIM($A270),1,3,""),TRIM($A270)))</f>
        <v>0</v>
      </c>
      <c r="I270" s="677">
        <f t="shared" si="73"/>
        <v>0</v>
      </c>
      <c r="J270" s="425" t="b">
        <f>A270=未审报表!A270</f>
        <v>1</v>
      </c>
      <c r="K270" s="425" t="b">
        <f>A270=审定报表!A270</f>
        <v>1</v>
      </c>
    </row>
    <row r="271" spans="1:11" ht="14.4" customHeight="1">
      <c r="A271" s="783" t="str">
        <f>未审报表!A271</f>
        <v>九、可供投资者分配的利润</v>
      </c>
      <c r="B271" s="773">
        <f>期初核对!C271</f>
        <v>22903142.139999997</v>
      </c>
      <c r="C271" s="678">
        <f>C267+C268+C269+C270</f>
        <v>10000</v>
      </c>
      <c r="D271" s="678">
        <f t="shared" ref="D271:H271" si="74">D267+D268+D269+D270</f>
        <v>10000</v>
      </c>
      <c r="E271" s="678">
        <f t="shared" si="74"/>
        <v>0</v>
      </c>
      <c r="F271" s="678">
        <f t="shared" si="74"/>
        <v>0</v>
      </c>
      <c r="G271" s="678">
        <f t="shared" si="74"/>
        <v>0</v>
      </c>
      <c r="H271" s="678">
        <f t="shared" si="74"/>
        <v>0</v>
      </c>
      <c r="I271" s="678">
        <f>B271+D271+F271+H271-G271-E271-C271</f>
        <v>22903142.139999997</v>
      </c>
      <c r="J271" s="425" t="b">
        <f>A271=未审报表!A271</f>
        <v>1</v>
      </c>
      <c r="K271" s="425" t="b">
        <f>A271=审定报表!A271</f>
        <v>1</v>
      </c>
    </row>
    <row r="272" spans="1:11" ht="14.4" customHeight="1">
      <c r="A272" s="779" t="str">
        <f>未审报表!A272</f>
        <v xml:space="preserve">    1、应付优先股股利</v>
      </c>
      <c r="B272" s="643">
        <f>期初核对!C272</f>
        <v>0</v>
      </c>
      <c r="C272" s="677">
        <f>SUMIFS(调整事项汇总表!$K$7:$K$10020,调整事项汇总表!$D$7:$D$10020,"账项调整",调整事项汇总表!$E$7:$E$10020,IF(OR(MID(TRIM($A272),2,1)="：",MID(TRIM($A272),2,1)="."),REPLACEB(TRIM($A272),1,2,""),TRIM($A272)))</f>
        <v>0</v>
      </c>
      <c r="D272" s="677">
        <f>SUMIFS(调整事项汇总表!$L$7:$L$10020,调整事项汇总表!$D$7:$D$10020,"账项调整",调整事项汇总表!$E$7:$E$10020,IF(OR(MID(TRIM($A272),2,1)="：",MID(TRIM($A272),2,1)="."),REPLACEB(TRIM($A272),1,2,""),TRIM($A272)))</f>
        <v>0</v>
      </c>
      <c r="E272" s="677">
        <f>SUMIFS(调整事项汇总表!$K$7:$K$10020,调整事项汇总表!$D$7:$D$10020,"报表调整",调整事项汇总表!$E$7:$E$10020,IF(OR(MID(TRIM($A272),2,1)="：",MID(TRIM($A272),2,1)="."),REPLACEB(TRIM($A272),1,2,""),TRIM($A272)))</f>
        <v>0</v>
      </c>
      <c r="F272" s="677">
        <f>SUMIFS(调整事项汇总表!$L$7:$L$10020,调整事项汇总表!$D$7:$D$10020,"报表调整",调整事项汇总表!$E$7:$E$10020,IF(OR(MID(TRIM($A272),2,1)="：",MID(TRIM($A272),2,1)="."),REPLACEB(TRIM($A272),1,2,""),TRIM($A272)))</f>
        <v>0</v>
      </c>
      <c r="G272" s="677">
        <f>SUMIFS(调整事项汇总表!$K$7:$K$10020,调整事项汇总表!$D$7:$D$10020,"其他",调整事项汇总表!$E$7:$E$10020,IF(OR(MID(TRIM($A272),2,1)="：",MID(TRIM($A272),2,1)="."),REPLACEB(TRIM($A272),1,2,""),TRIM($A272)))</f>
        <v>0</v>
      </c>
      <c r="H272" s="677">
        <f>SUMIFS(调整事项汇总表!$L$7:$L$10020,调整事项汇总表!$D$7:$D$10020,"其他",调整事项汇总表!$E$7:$E$10020,IF(OR(MID(TRIM($A272),2,1)="：",MID(TRIM($A272),2,1)="."),REPLACEB(TRIM($A272),1,2,""),TRIM($A272)))</f>
        <v>0</v>
      </c>
      <c r="I272" s="677">
        <f>B272+C272+E272+G272-H272-F272-D272</f>
        <v>0</v>
      </c>
      <c r="J272" s="425" t="b">
        <f>A272=未审报表!A272</f>
        <v>1</v>
      </c>
      <c r="K272" s="425" t="b">
        <f>A272=审定报表!A272</f>
        <v>1</v>
      </c>
    </row>
    <row r="273" spans="1:11" ht="14.4" customHeight="1">
      <c r="A273" s="779" t="str">
        <f>未审报表!A273</f>
        <v xml:space="preserve">    2、提取任意盈余公积</v>
      </c>
      <c r="B273" s="643">
        <f>期初核对!C273</f>
        <v>0</v>
      </c>
      <c r="C273" s="677">
        <f>SUMIFS(调整事项汇总表!$K$7:$K$10020,调整事项汇总表!$D$7:$D$10020,"账项调整",调整事项汇总表!$E$7:$E$10020,IF(OR(MID(TRIM($A273),2,1)="：",MID(TRIM($A273),2,1)="."),REPLACEB(TRIM($A273),1,2,""),TRIM($A273)))</f>
        <v>0</v>
      </c>
      <c r="D273" s="677">
        <f>SUMIFS(调整事项汇总表!$L$7:$L$10020,调整事项汇总表!$D$7:$D$10020,"账项调整",调整事项汇总表!$E$7:$E$10020,IF(OR(MID(TRIM($A273),2,1)="：",MID(TRIM($A273),2,1)="."),REPLACEB(TRIM($A273),1,2,""),TRIM($A273)))</f>
        <v>0</v>
      </c>
      <c r="E273" s="677">
        <f>SUMIFS(调整事项汇总表!$K$7:$K$10020,调整事项汇总表!$D$7:$D$10020,"报表调整",调整事项汇总表!$E$7:$E$10020,IF(OR(MID(TRIM($A273),2,1)="：",MID(TRIM($A273),2,1)="."),REPLACEB(TRIM($A273),1,2,""),TRIM($A273)))</f>
        <v>0</v>
      </c>
      <c r="F273" s="677">
        <f>SUMIFS(调整事项汇总表!$L$7:$L$10020,调整事项汇总表!$D$7:$D$10020,"报表调整",调整事项汇总表!$E$7:$E$10020,IF(OR(MID(TRIM($A273),2,1)="：",MID(TRIM($A273),2,1)="."),REPLACEB(TRIM($A273),1,2,""),TRIM($A273)))</f>
        <v>0</v>
      </c>
      <c r="G273" s="677">
        <f>SUMIFS(调整事项汇总表!$K$7:$K$10020,调整事项汇总表!$D$7:$D$10020,"其他",调整事项汇总表!$E$7:$E$10020,IF(OR(MID(TRIM($A273),2,1)="：",MID(TRIM($A273),2,1)="."),REPLACEB(TRIM($A273),1,2,""),TRIM($A273)))</f>
        <v>0</v>
      </c>
      <c r="H273" s="677">
        <f>SUMIFS(调整事项汇总表!$L$7:$L$10020,调整事项汇总表!$D$7:$D$10020,"其他",调整事项汇总表!$E$7:$E$10020,IF(OR(MID(TRIM($A273),2,1)="：",MID(TRIM($A273),2,1)="."),REPLACEB(TRIM($A273),1,2,""),TRIM($A273)))</f>
        <v>0</v>
      </c>
      <c r="I273" s="677">
        <f t="shared" ref="I273:I276" si="75">B273+C273+E273+G273-H273-F273-D273</f>
        <v>0</v>
      </c>
      <c r="J273" s="425" t="b">
        <f>A273=未审报表!A273</f>
        <v>1</v>
      </c>
      <c r="K273" s="425" t="b">
        <f>A273=审定报表!A273</f>
        <v>1</v>
      </c>
    </row>
    <row r="274" spans="1:11" ht="14.4" customHeight="1">
      <c r="A274" s="779" t="str">
        <f>未审报表!A274</f>
        <v xml:space="preserve">    3、应付普通股股利（应付利润）</v>
      </c>
      <c r="B274" s="643">
        <f>期初核对!C274</f>
        <v>13971670.6</v>
      </c>
      <c r="C274" s="677">
        <f>SUMIFS(调整事项汇总表!$K$7:$K$10020,调整事项汇总表!$D$7:$D$10020,"账项调整",调整事项汇总表!$E$7:$E$10020,IF(OR(MID(TRIM($A274),2,1)="：",MID(TRIM($A274),2,1)="."),REPLACEB(TRIM($A274),1,2,""),TRIM($A274)))</f>
        <v>0</v>
      </c>
      <c r="D274" s="677">
        <f>SUMIFS(调整事项汇总表!$L$7:$L$10020,调整事项汇总表!$D$7:$D$10020,"账项调整",调整事项汇总表!$E$7:$E$10020,IF(OR(MID(TRIM($A274),2,1)="：",MID(TRIM($A274),2,1)="."),REPLACEB(TRIM($A274),1,2,""),TRIM($A274)))</f>
        <v>0</v>
      </c>
      <c r="E274" s="677">
        <f>SUMIFS(调整事项汇总表!$K$7:$K$10020,调整事项汇总表!$D$7:$D$10020,"报表调整",调整事项汇总表!$E$7:$E$10020,IF(OR(MID(TRIM($A274),2,1)="：",MID(TRIM($A274),2,1)="."),REPLACEB(TRIM($A274),1,2,""),TRIM($A274)))</f>
        <v>0</v>
      </c>
      <c r="F274" s="677">
        <f>SUMIFS(调整事项汇总表!$L$7:$L$10020,调整事项汇总表!$D$7:$D$10020,"报表调整",调整事项汇总表!$E$7:$E$10020,IF(OR(MID(TRIM($A274),2,1)="：",MID(TRIM($A274),2,1)="."),REPLACEB(TRIM($A274),1,2,""),TRIM($A274)))</f>
        <v>0</v>
      </c>
      <c r="G274" s="677">
        <f>SUMIFS(调整事项汇总表!$K$7:$K$10020,调整事项汇总表!$D$7:$D$10020,"其他",调整事项汇总表!$E$7:$E$10020,IF(OR(MID(TRIM($A274),2,1)="：",MID(TRIM($A274),2,1)="."),REPLACEB(TRIM($A274),1,2,""),TRIM($A274)))</f>
        <v>0</v>
      </c>
      <c r="H274" s="677">
        <f>SUMIFS(调整事项汇总表!$L$7:$L$10020,调整事项汇总表!$D$7:$D$10020,"其他",调整事项汇总表!$E$7:$E$10020,IF(OR(MID(TRIM($A274),2,1)="：",MID(TRIM($A274),2,1)="."),REPLACEB(TRIM($A274),1,2,""),TRIM($A274)))</f>
        <v>0</v>
      </c>
      <c r="I274" s="677">
        <f t="shared" si="75"/>
        <v>13971670.6</v>
      </c>
      <c r="J274" s="425" t="b">
        <f>A274=未审报表!A274</f>
        <v>1</v>
      </c>
      <c r="K274" s="425" t="b">
        <f>A274=审定报表!A274</f>
        <v>1</v>
      </c>
    </row>
    <row r="275" spans="1:11" ht="14.4" customHeight="1">
      <c r="A275" s="779" t="str">
        <f>未审报表!A275</f>
        <v xml:space="preserve">    4、转作资本（或股本）的普通股股利</v>
      </c>
      <c r="B275" s="643">
        <f>期初核对!C275</f>
        <v>767506.85</v>
      </c>
      <c r="C275" s="677">
        <f>SUMIFS(调整事项汇总表!$K$7:$K$10020,调整事项汇总表!$D$7:$D$10020,"账项调整",调整事项汇总表!$E$7:$E$10020,IF(OR(MID(TRIM($A275),2,1)="：",MID(TRIM($A275),2,1)="."),REPLACEB(TRIM($A275),1,2,""),TRIM($A275)))</f>
        <v>0</v>
      </c>
      <c r="D275" s="677">
        <f>SUMIFS(调整事项汇总表!$L$7:$L$10020,调整事项汇总表!$D$7:$D$10020,"账项调整",调整事项汇总表!$E$7:$E$10020,IF(OR(MID(TRIM($A275),2,1)="：",MID(TRIM($A275),2,1)="."),REPLACEB(TRIM($A275),1,2,""),TRIM($A275)))</f>
        <v>0</v>
      </c>
      <c r="E275" s="677">
        <f>SUMIFS(调整事项汇总表!$K$7:$K$10020,调整事项汇总表!$D$7:$D$10020,"报表调整",调整事项汇总表!$E$7:$E$10020,IF(OR(MID(TRIM($A275),2,1)="：",MID(TRIM($A275),2,1)="."),REPLACEB(TRIM($A275),1,2,""),TRIM($A275)))</f>
        <v>0</v>
      </c>
      <c r="F275" s="677">
        <f>SUMIFS(调整事项汇总表!$L$7:$L$10020,调整事项汇总表!$D$7:$D$10020,"报表调整",调整事项汇总表!$E$7:$E$10020,IF(OR(MID(TRIM($A275),2,1)="：",MID(TRIM($A275),2,1)="."),REPLACEB(TRIM($A275),1,2,""),TRIM($A275)))</f>
        <v>0</v>
      </c>
      <c r="G275" s="677">
        <f>SUMIFS(调整事项汇总表!$K$7:$K$10020,调整事项汇总表!$D$7:$D$10020,"其他",调整事项汇总表!$E$7:$E$10020,IF(OR(MID(TRIM($A275),2,1)="：",MID(TRIM($A275),2,1)="."),REPLACEB(TRIM($A275),1,2,""),TRIM($A275)))</f>
        <v>0</v>
      </c>
      <c r="H275" s="677">
        <f>SUMIFS(调整事项汇总表!$L$7:$L$10020,调整事项汇总表!$D$7:$D$10020,"其他",调整事项汇总表!$E$7:$E$10020,IF(OR(MID(TRIM($A275),2,1)="：",MID(TRIM($A275),2,1)="."),REPLACEB(TRIM($A275),1,2,""),TRIM($A275)))</f>
        <v>0</v>
      </c>
      <c r="I275" s="677">
        <f t="shared" si="75"/>
        <v>767506.85</v>
      </c>
      <c r="J275" s="425" t="b">
        <f>A275=未审报表!A275</f>
        <v>1</v>
      </c>
      <c r="K275" s="425" t="b">
        <f>A275=审定报表!A275</f>
        <v>1</v>
      </c>
    </row>
    <row r="276" spans="1:11" ht="14.4" customHeight="1">
      <c r="A276" s="779" t="str">
        <f>未审报表!A276</f>
        <v xml:space="preserve">    5、其他</v>
      </c>
      <c r="B276" s="643">
        <f>期初核对!C276</f>
        <v>0</v>
      </c>
      <c r="C276" s="677">
        <f>SUMIFS(调整事项汇总表!$K$7:$K$10020,调整事项汇总表!$D$7:$D$10020,"账项调整",调整事项汇总表!$E$7:$E$10020,"其他（分配）")</f>
        <v>0</v>
      </c>
      <c r="D276" s="677">
        <f>SUMIFS(调整事项汇总表!$L$7:$L$10020,调整事项汇总表!$D$7:$D$10020,"账项调整",调整事项汇总表!$E$7:$E$10020,"其他（分配）")</f>
        <v>0</v>
      </c>
      <c r="E276" s="677">
        <f>SUMIFS(调整事项汇总表!$K$7:$K$10020,调整事项汇总表!$D$7:$D$10020,"报表调整",调整事项汇总表!$E$7:$E$10020,"其他（分配）")</f>
        <v>0</v>
      </c>
      <c r="F276" s="677">
        <f>SUMIFS(调整事项汇总表!$L$7:$L$10020,调整事项汇总表!$D$7:$D$10020,"报表调整",调整事项汇总表!$E$7:$E$10020,"其他（分配）")</f>
        <v>0</v>
      </c>
      <c r="G276" s="677">
        <f>SUMIFS(调整事项汇总表!$K$7:$K$10020,调整事项汇总表!$D$7:$D$10020,"其他",调整事项汇总表!$E$7:$E$10020,"其他（分配）")</f>
        <v>0</v>
      </c>
      <c r="H276" s="677">
        <f>SUMIFS(调整事项汇总表!$L$7:$L$10020,调整事项汇总表!$D$7:$D$10020,"其他",调整事项汇总表!$E$7:$E$10020,"其他（分配）")</f>
        <v>0</v>
      </c>
      <c r="I276" s="677">
        <f t="shared" si="75"/>
        <v>0</v>
      </c>
      <c r="J276" s="425" t="b">
        <f>A276=未审报表!A276</f>
        <v>1</v>
      </c>
      <c r="K276" s="425" t="b">
        <f>A276=审定报表!A276</f>
        <v>1</v>
      </c>
    </row>
    <row r="277" spans="1:11" ht="14.4" customHeight="1">
      <c r="A277" s="794" t="str">
        <f>未审报表!A277</f>
        <v>十、未分配利润</v>
      </c>
      <c r="B277" s="773">
        <f>期初核对!C277</f>
        <v>8163964.6899999976</v>
      </c>
      <c r="C277" s="788">
        <f>C271+C272+C273+C274+C275+C276</f>
        <v>10000</v>
      </c>
      <c r="D277" s="788">
        <f t="shared" ref="D277:H277" si="76">D271+D272+D273+D274+D275+D276</f>
        <v>10000</v>
      </c>
      <c r="E277" s="788">
        <f t="shared" si="76"/>
        <v>0</v>
      </c>
      <c r="F277" s="788">
        <f t="shared" si="76"/>
        <v>0</v>
      </c>
      <c r="G277" s="788">
        <f t="shared" si="76"/>
        <v>0</v>
      </c>
      <c r="H277" s="788">
        <f t="shared" si="76"/>
        <v>0</v>
      </c>
      <c r="I277" s="788">
        <f>B277+D277+F277+H277-G277-E277-C277</f>
        <v>8163964.6899999976</v>
      </c>
      <c r="J277" s="425" t="b">
        <f>A277=未审报表!A277</f>
        <v>1</v>
      </c>
      <c r="K277" s="425" t="b">
        <f>A277=审定报表!A277</f>
        <v>1</v>
      </c>
    </row>
    <row r="278" spans="1:11" ht="14.4" customHeight="1">
      <c r="A278" s="790" t="str">
        <f>未审报表!A278</f>
        <v>现  金  流  量  表</v>
      </c>
      <c r="B278" s="791" t="s">
        <v>1517</v>
      </c>
      <c r="C278" s="791" t="s">
        <v>1494</v>
      </c>
      <c r="D278" s="791" t="s">
        <v>1516</v>
      </c>
      <c r="E278" s="792" t="s">
        <v>1513</v>
      </c>
      <c r="F278" s="792" t="s">
        <v>1507</v>
      </c>
      <c r="G278" s="792" t="s">
        <v>1508</v>
      </c>
      <c r="H278" s="792" t="s">
        <v>1515</v>
      </c>
      <c r="I278" s="793" t="s">
        <v>1519</v>
      </c>
      <c r="J278" s="425" t="b">
        <f>A278=未审报表!A278</f>
        <v>1</v>
      </c>
      <c r="K278" s="425" t="b">
        <f>A278=审定报表!A278</f>
        <v>1</v>
      </c>
    </row>
    <row r="279" spans="1:11" ht="14.4" customHeight="1">
      <c r="A279" s="776" t="str">
        <f>未审报表!A279</f>
        <v>一、经营活动产生的现金流量</v>
      </c>
      <c r="B279" s="432">
        <f>期初核对!C279</f>
        <v>0</v>
      </c>
      <c r="C279" s="711"/>
      <c r="D279" s="711"/>
      <c r="E279" s="711"/>
      <c r="F279" s="711"/>
      <c r="G279" s="711"/>
      <c r="H279" s="711"/>
      <c r="I279" s="795"/>
      <c r="J279" s="425" t="b">
        <f>A279=未审报表!A279</f>
        <v>1</v>
      </c>
      <c r="K279" s="425" t="b">
        <f>A279=审定报表!A279</f>
        <v>1</v>
      </c>
    </row>
    <row r="280" spans="1:11" ht="14.4" customHeight="1">
      <c r="A280" s="777" t="str">
        <f>未审报表!A280</f>
        <v xml:space="preserve">     销售商品、提供劳务收到的现金</v>
      </c>
      <c r="B280" s="643">
        <f>期初核对!C280</f>
        <v>0</v>
      </c>
      <c r="C280" s="677">
        <f>SUMIFS(调整事项汇总表!$K$7:$K$10020,调整事项汇总表!$D$7:$D$10020,"账项调整",调整事项汇总表!$E$7:$E$10020,IF(OR(MID(TRIM($A280),2,1)="：",MID(TRIM($A280),2,1)="."),REPLACEB(TRIM($A280),1,2,""),TRIM($A280)))</f>
        <v>0</v>
      </c>
      <c r="D280" s="677">
        <f>SUMIFS(调整事项汇总表!$L$7:$L$10020,调整事项汇总表!$D$7:$D$10020,"账项调整",调整事项汇总表!$E$7:$E$10020,IF(OR(MID(TRIM($A280),2,1)="：",MID(TRIM($A280),2,1)="."),REPLACEB(TRIM($A280),1,2,""),TRIM($A280)))</f>
        <v>0</v>
      </c>
      <c r="E280" s="677">
        <f>SUMIFS(调整事项汇总表!$K$7:$K$10020,调整事项汇总表!$D$7:$D$10020,"报表调整",调整事项汇总表!$E$7:$E$10020,IF(OR(MID(TRIM($A280),2,1)="：",MID(TRIM($A280),2,1)="."),REPLACEB(TRIM($A280),1,2,""),TRIM($A280)))</f>
        <v>0</v>
      </c>
      <c r="F280" s="677">
        <f>SUMIFS(调整事项汇总表!$L$7:$L$10020,调整事项汇总表!$D$7:$D$10020,"报表调整",调整事项汇总表!$E$7:$E$10020,IF(OR(MID(TRIM($A280),2,1)="：",MID(TRIM($A280),2,1)="."),REPLACEB(TRIM($A280),1,2,""),TRIM($A280)))</f>
        <v>0</v>
      </c>
      <c r="G280" s="677">
        <f>SUMIFS(调整事项汇总表!$K$7:$K$10020,调整事项汇总表!$D$7:$D$10020,"其他",调整事项汇总表!$E$7:$E$10020,IF(OR(MID(TRIM($A280),2,1)="：",MID(TRIM($A280),2,1)="."),REPLACEB(TRIM($A280),1,2,""),TRIM($A280)))</f>
        <v>0</v>
      </c>
      <c r="H280" s="677">
        <f>SUMIFS(调整事项汇总表!$K$7:$K$10020,调整事项汇总表!$D$7:$D$10020,"其他",调整事项汇总表!$E$7:$E$10020,IF(OR(MID(TRIM($A280),2,1)="：",MID(TRIM($A280),2,1)="."),REPLACEB(TRIM($A280),1,2,""),TRIM($A280)))</f>
        <v>0</v>
      </c>
      <c r="I280" s="762">
        <f>B280+C280+E280+G280-H280-F280-D280</f>
        <v>0</v>
      </c>
      <c r="J280" s="425" t="b">
        <f>A280=未审报表!A280</f>
        <v>1</v>
      </c>
      <c r="K280" s="425" t="b">
        <f>A280=审定报表!A280</f>
        <v>1</v>
      </c>
    </row>
    <row r="281" spans="1:11" ht="14.4" customHeight="1">
      <c r="A281" s="777" t="str">
        <f>未审报表!A281</f>
        <v xml:space="preserve">    客户存款和同业存放款项净增加额*</v>
      </c>
      <c r="B281" s="643">
        <f>期初核对!C281</f>
        <v>0</v>
      </c>
      <c r="C281" s="677">
        <f>SUMIFS(调整事项汇总表!$K$7:$K$10020,调整事项汇总表!$D$7:$D$10020,"账项调整",调整事项汇总表!$E$7:$E$10020,IF(OR(MID(TRIM($A281),2,1)="：",MID(TRIM($A281),2,1)="."),REPLACEB(TRIM($A281),1,2,""),TRIM($A281)))</f>
        <v>0</v>
      </c>
      <c r="D281" s="677">
        <f>SUMIFS(调整事项汇总表!$L$7:$L$10020,调整事项汇总表!$D$7:$D$10020,"账项调整",调整事项汇总表!$E$7:$E$10020,IF(OR(MID(TRIM($A281),2,1)="：",MID(TRIM($A281),2,1)="."),REPLACEB(TRIM($A281),1,2,""),TRIM($A281)))</f>
        <v>0</v>
      </c>
      <c r="E281" s="677">
        <f>SUMIFS(调整事项汇总表!$K$7:$K$10020,调整事项汇总表!$D$7:$D$10020,"报表调整",调整事项汇总表!$E$7:$E$10020,IF(OR(MID(TRIM($A281),2,1)="：",MID(TRIM($A281),2,1)="."),REPLACEB(TRIM($A281),1,2,""),TRIM($A281)))</f>
        <v>0</v>
      </c>
      <c r="F281" s="677">
        <f>SUMIFS(调整事项汇总表!$L$7:$L$10020,调整事项汇总表!$D$7:$D$10020,"报表调整",调整事项汇总表!$E$7:$E$10020,IF(OR(MID(TRIM($A281),2,1)="：",MID(TRIM($A281),2,1)="."),REPLACEB(TRIM($A281),1,2,""),TRIM($A281)))</f>
        <v>0</v>
      </c>
      <c r="G281" s="677">
        <f>SUMIFS(调整事项汇总表!$K$7:$K$10020,调整事项汇总表!$D$7:$D$10020,"其他",调整事项汇总表!$E$7:$E$10020,IF(OR(MID(TRIM($A281),2,1)="：",MID(TRIM($A281),2,1)="."),REPLACEB(TRIM($A281),1,2,""),TRIM($A281)))</f>
        <v>0</v>
      </c>
      <c r="H281" s="677">
        <f>SUMIFS(调整事项汇总表!$K$7:$K$10020,调整事项汇总表!$D$7:$D$10020,"其他",调整事项汇总表!$E$7:$E$10020,IF(OR(MID(TRIM($A281),2,1)="：",MID(TRIM($A281),2,1)="."),REPLACEB(TRIM($A281),1,2,""),TRIM($A281)))</f>
        <v>0</v>
      </c>
      <c r="I281" s="762">
        <f t="shared" ref="I281:I294" si="77">B281+C281+E281+G281-H281-F281-D281</f>
        <v>0</v>
      </c>
      <c r="J281" s="425" t="b">
        <f>A281=未审报表!A281</f>
        <v>1</v>
      </c>
      <c r="K281" s="425" t="b">
        <f>A281=审定报表!A281</f>
        <v>1</v>
      </c>
    </row>
    <row r="282" spans="1:11" ht="14.4" customHeight="1">
      <c r="A282" s="777" t="str">
        <f>未审报表!A282</f>
        <v xml:space="preserve">     向中央银行借款净增加额*</v>
      </c>
      <c r="B282" s="643">
        <f>期初核对!C282</f>
        <v>0</v>
      </c>
      <c r="C282" s="677">
        <f>SUMIFS(调整事项汇总表!$K$7:$K$10020,调整事项汇总表!$D$7:$D$10020,"账项调整",调整事项汇总表!$E$7:$E$10020,IF(OR(MID(TRIM($A282),2,1)="：",MID(TRIM($A282),2,1)="."),REPLACEB(TRIM($A282),1,2,""),TRIM($A282)))</f>
        <v>0</v>
      </c>
      <c r="D282" s="677">
        <f>SUMIFS(调整事项汇总表!$L$7:$L$10020,调整事项汇总表!$D$7:$D$10020,"账项调整",调整事项汇总表!$E$7:$E$10020,IF(OR(MID(TRIM($A282),2,1)="：",MID(TRIM($A282),2,1)="."),REPLACEB(TRIM($A282),1,2,""),TRIM($A282)))</f>
        <v>0</v>
      </c>
      <c r="E282" s="677">
        <f>SUMIFS(调整事项汇总表!$K$7:$K$10020,调整事项汇总表!$D$7:$D$10020,"报表调整",调整事项汇总表!$E$7:$E$10020,IF(OR(MID(TRIM($A282),2,1)="：",MID(TRIM($A282),2,1)="."),REPLACEB(TRIM($A282),1,2,""),TRIM($A282)))</f>
        <v>0</v>
      </c>
      <c r="F282" s="677">
        <f>SUMIFS(调整事项汇总表!$L$7:$L$10020,调整事项汇总表!$D$7:$D$10020,"报表调整",调整事项汇总表!$E$7:$E$10020,IF(OR(MID(TRIM($A282),2,1)="：",MID(TRIM($A282),2,1)="."),REPLACEB(TRIM($A282),1,2,""),TRIM($A282)))</f>
        <v>0</v>
      </c>
      <c r="G282" s="677">
        <f>SUMIFS(调整事项汇总表!$K$7:$K$10020,调整事项汇总表!$D$7:$D$10020,"其他",调整事项汇总表!$E$7:$E$10020,IF(OR(MID(TRIM($A282),2,1)="：",MID(TRIM($A282),2,1)="."),REPLACEB(TRIM($A282),1,2,""),TRIM($A282)))</f>
        <v>0</v>
      </c>
      <c r="H282" s="677">
        <f>SUMIFS(调整事项汇总表!$K$7:$K$10020,调整事项汇总表!$D$7:$D$10020,"其他",调整事项汇总表!$E$7:$E$10020,IF(OR(MID(TRIM($A282),2,1)="：",MID(TRIM($A282),2,1)="."),REPLACEB(TRIM($A282),1,2,""),TRIM($A282)))</f>
        <v>0</v>
      </c>
      <c r="I282" s="762">
        <f t="shared" si="77"/>
        <v>0</v>
      </c>
      <c r="J282" s="425" t="b">
        <f>A282=未审报表!A282</f>
        <v>1</v>
      </c>
      <c r="K282" s="425" t="b">
        <f>A282=审定报表!A282</f>
        <v>1</v>
      </c>
    </row>
    <row r="283" spans="1:11" ht="14.4" customHeight="1">
      <c r="A283" s="777" t="str">
        <f>未审报表!A283</f>
        <v xml:space="preserve">     向其他金融机构拆入资金净增加额*</v>
      </c>
      <c r="B283" s="643">
        <f>期初核对!C283</f>
        <v>0</v>
      </c>
      <c r="C283" s="677">
        <f>SUMIFS(调整事项汇总表!$K$7:$K$10020,调整事项汇总表!$D$7:$D$10020,"账项调整",调整事项汇总表!$E$7:$E$10020,IF(OR(MID(TRIM($A283),2,1)="：",MID(TRIM($A283),2,1)="."),REPLACEB(TRIM($A283),1,2,""),TRIM($A283)))</f>
        <v>0</v>
      </c>
      <c r="D283" s="677">
        <f>SUMIFS(调整事项汇总表!$L$7:$L$10020,调整事项汇总表!$D$7:$D$10020,"账项调整",调整事项汇总表!$E$7:$E$10020,IF(OR(MID(TRIM($A283),2,1)="：",MID(TRIM($A283),2,1)="."),REPLACEB(TRIM($A283),1,2,""),TRIM($A283)))</f>
        <v>0</v>
      </c>
      <c r="E283" s="677">
        <f>SUMIFS(调整事项汇总表!$K$7:$K$10020,调整事项汇总表!$D$7:$D$10020,"报表调整",调整事项汇总表!$E$7:$E$10020,IF(OR(MID(TRIM($A283),2,1)="：",MID(TRIM($A283),2,1)="."),REPLACEB(TRIM($A283),1,2,""),TRIM($A283)))</f>
        <v>0</v>
      </c>
      <c r="F283" s="677">
        <f>SUMIFS(调整事项汇总表!$L$7:$L$10020,调整事项汇总表!$D$7:$D$10020,"报表调整",调整事项汇总表!$E$7:$E$10020,IF(OR(MID(TRIM($A283),2,1)="：",MID(TRIM($A283),2,1)="."),REPLACEB(TRIM($A283),1,2,""),TRIM($A283)))</f>
        <v>0</v>
      </c>
      <c r="G283" s="677">
        <f>SUMIFS(调整事项汇总表!$K$7:$K$10020,调整事项汇总表!$D$7:$D$10020,"其他",调整事项汇总表!$E$7:$E$10020,IF(OR(MID(TRIM($A283),2,1)="：",MID(TRIM($A283),2,1)="."),REPLACEB(TRIM($A283),1,2,""),TRIM($A283)))</f>
        <v>0</v>
      </c>
      <c r="H283" s="677">
        <f>SUMIFS(调整事项汇总表!$K$7:$K$10020,调整事项汇总表!$D$7:$D$10020,"其他",调整事项汇总表!$E$7:$E$10020,IF(OR(MID(TRIM($A283),2,1)="：",MID(TRIM($A283),2,1)="."),REPLACEB(TRIM($A283),1,2,""),TRIM($A283)))</f>
        <v>0</v>
      </c>
      <c r="I283" s="762">
        <f t="shared" si="77"/>
        <v>0</v>
      </c>
      <c r="J283" s="425" t="b">
        <f>A283=未审报表!A283</f>
        <v>1</v>
      </c>
      <c r="K283" s="425" t="b">
        <f>A283=审定报表!A283</f>
        <v>1</v>
      </c>
    </row>
    <row r="284" spans="1:11" ht="14.4" customHeight="1">
      <c r="A284" s="777" t="str">
        <f>未审报表!A284</f>
        <v xml:space="preserve">     收到原保险合同保费取得的现金*</v>
      </c>
      <c r="B284" s="643">
        <f>期初核对!C284</f>
        <v>0</v>
      </c>
      <c r="C284" s="677">
        <f>SUMIFS(调整事项汇总表!$K$7:$K$10020,调整事项汇总表!$D$7:$D$10020,"账项调整",调整事项汇总表!$E$7:$E$10020,IF(OR(MID(TRIM($A284),2,1)="：",MID(TRIM($A284),2,1)="."),REPLACEB(TRIM($A284),1,2,""),TRIM($A284)))</f>
        <v>0</v>
      </c>
      <c r="D284" s="677">
        <f>SUMIFS(调整事项汇总表!$L$7:$L$10020,调整事项汇总表!$D$7:$D$10020,"账项调整",调整事项汇总表!$E$7:$E$10020,IF(OR(MID(TRIM($A284),2,1)="：",MID(TRIM($A284),2,1)="."),REPLACEB(TRIM($A284),1,2,""),TRIM($A284)))</f>
        <v>0</v>
      </c>
      <c r="E284" s="677">
        <f>SUMIFS(调整事项汇总表!$K$7:$K$10020,调整事项汇总表!$D$7:$D$10020,"报表调整",调整事项汇总表!$E$7:$E$10020,IF(OR(MID(TRIM($A284),2,1)="：",MID(TRIM($A284),2,1)="."),REPLACEB(TRIM($A284),1,2,""),TRIM($A284)))</f>
        <v>0</v>
      </c>
      <c r="F284" s="677">
        <f>SUMIFS(调整事项汇总表!$L$7:$L$10020,调整事项汇总表!$D$7:$D$10020,"报表调整",调整事项汇总表!$E$7:$E$10020,IF(OR(MID(TRIM($A284),2,1)="：",MID(TRIM($A284),2,1)="."),REPLACEB(TRIM($A284),1,2,""),TRIM($A284)))</f>
        <v>0</v>
      </c>
      <c r="G284" s="677">
        <f>SUMIFS(调整事项汇总表!$K$7:$K$10020,调整事项汇总表!$D$7:$D$10020,"其他",调整事项汇总表!$E$7:$E$10020,IF(OR(MID(TRIM($A284),2,1)="：",MID(TRIM($A284),2,1)="."),REPLACEB(TRIM($A284),1,2,""),TRIM($A284)))</f>
        <v>0</v>
      </c>
      <c r="H284" s="677">
        <f>SUMIFS(调整事项汇总表!$K$7:$K$10020,调整事项汇总表!$D$7:$D$10020,"其他",调整事项汇总表!$E$7:$E$10020,IF(OR(MID(TRIM($A284),2,1)="：",MID(TRIM($A284),2,1)="."),REPLACEB(TRIM($A284),1,2,""),TRIM($A284)))</f>
        <v>0</v>
      </c>
      <c r="I284" s="762">
        <f t="shared" si="77"/>
        <v>0</v>
      </c>
      <c r="J284" s="425" t="b">
        <f>A284=未审报表!A284</f>
        <v>1</v>
      </c>
      <c r="K284" s="425" t="b">
        <f>A284=审定报表!A284</f>
        <v>1</v>
      </c>
    </row>
    <row r="285" spans="1:11" ht="14.4" customHeight="1">
      <c r="A285" s="777" t="str">
        <f>未审报表!A285</f>
        <v xml:space="preserve">     收到再保业务现金净额*</v>
      </c>
      <c r="B285" s="643">
        <f>期初核对!C285</f>
        <v>0</v>
      </c>
      <c r="C285" s="677">
        <f>SUMIFS(调整事项汇总表!$K$7:$K$10020,调整事项汇总表!$D$7:$D$10020,"账项调整",调整事项汇总表!$E$7:$E$10020,IF(OR(MID(TRIM($A285),2,1)="：",MID(TRIM($A285),2,1)="."),REPLACEB(TRIM($A285),1,2,""),TRIM($A285)))</f>
        <v>0</v>
      </c>
      <c r="D285" s="677">
        <f>SUMIFS(调整事项汇总表!$L$7:$L$10020,调整事项汇总表!$D$7:$D$10020,"账项调整",调整事项汇总表!$E$7:$E$10020,IF(OR(MID(TRIM($A285),2,1)="：",MID(TRIM($A285),2,1)="."),REPLACEB(TRIM($A285),1,2,""),TRIM($A285)))</f>
        <v>0</v>
      </c>
      <c r="E285" s="677">
        <f>SUMIFS(调整事项汇总表!$K$7:$K$10020,调整事项汇总表!$D$7:$D$10020,"报表调整",调整事项汇总表!$E$7:$E$10020,IF(OR(MID(TRIM($A285),2,1)="：",MID(TRIM($A285),2,1)="."),REPLACEB(TRIM($A285),1,2,""),TRIM($A285)))</f>
        <v>0</v>
      </c>
      <c r="F285" s="677">
        <f>SUMIFS(调整事项汇总表!$L$7:$L$10020,调整事项汇总表!$D$7:$D$10020,"报表调整",调整事项汇总表!$E$7:$E$10020,IF(OR(MID(TRIM($A285),2,1)="：",MID(TRIM($A285),2,1)="."),REPLACEB(TRIM($A285),1,2,""),TRIM($A285)))</f>
        <v>0</v>
      </c>
      <c r="G285" s="677">
        <f>SUMIFS(调整事项汇总表!$K$7:$K$10020,调整事项汇总表!$D$7:$D$10020,"其他",调整事项汇总表!$E$7:$E$10020,IF(OR(MID(TRIM($A285),2,1)="：",MID(TRIM($A285),2,1)="."),REPLACEB(TRIM($A285),1,2,""),TRIM($A285)))</f>
        <v>0</v>
      </c>
      <c r="H285" s="677">
        <f>SUMIFS(调整事项汇总表!$K$7:$K$10020,调整事项汇总表!$D$7:$D$10020,"其他",调整事项汇总表!$E$7:$E$10020,IF(OR(MID(TRIM($A285),2,1)="：",MID(TRIM($A285),2,1)="."),REPLACEB(TRIM($A285),1,2,""),TRIM($A285)))</f>
        <v>0</v>
      </c>
      <c r="I285" s="762">
        <f t="shared" si="77"/>
        <v>0</v>
      </c>
      <c r="J285" s="425" t="b">
        <f>A285=未审报表!A285</f>
        <v>1</v>
      </c>
      <c r="K285" s="425" t="b">
        <f>A285=审定报表!A285</f>
        <v>1</v>
      </c>
    </row>
    <row r="286" spans="1:11" ht="14.4" customHeight="1">
      <c r="A286" s="777" t="str">
        <f>未审报表!A286</f>
        <v xml:space="preserve">     保户储金及投资款净增加额*</v>
      </c>
      <c r="B286" s="643">
        <f>期初核对!C286</f>
        <v>0</v>
      </c>
      <c r="C286" s="677">
        <f>SUMIFS(调整事项汇总表!$K$7:$K$10020,调整事项汇总表!$D$7:$D$10020,"账项调整",调整事项汇总表!$E$7:$E$10020,IF(OR(MID(TRIM($A286),2,1)="：",MID(TRIM($A286),2,1)="."),REPLACEB(TRIM($A286),1,2,""),TRIM($A286)))</f>
        <v>0</v>
      </c>
      <c r="D286" s="677">
        <f>SUMIFS(调整事项汇总表!$L$7:$L$10020,调整事项汇总表!$D$7:$D$10020,"账项调整",调整事项汇总表!$E$7:$E$10020,IF(OR(MID(TRIM($A286),2,1)="：",MID(TRIM($A286),2,1)="."),REPLACEB(TRIM($A286),1,2,""),TRIM($A286)))</f>
        <v>0</v>
      </c>
      <c r="E286" s="677">
        <f>SUMIFS(调整事项汇总表!$K$7:$K$10020,调整事项汇总表!$D$7:$D$10020,"报表调整",调整事项汇总表!$E$7:$E$10020,IF(OR(MID(TRIM($A286),2,1)="：",MID(TRIM($A286),2,1)="."),REPLACEB(TRIM($A286),1,2,""),TRIM($A286)))</f>
        <v>0</v>
      </c>
      <c r="F286" s="677">
        <f>SUMIFS(调整事项汇总表!$L$7:$L$10020,调整事项汇总表!$D$7:$D$10020,"报表调整",调整事项汇总表!$E$7:$E$10020,IF(OR(MID(TRIM($A286),2,1)="：",MID(TRIM($A286),2,1)="."),REPLACEB(TRIM($A286),1,2,""),TRIM($A286)))</f>
        <v>0</v>
      </c>
      <c r="G286" s="677">
        <f>SUMIFS(调整事项汇总表!$K$7:$K$10020,调整事项汇总表!$D$7:$D$10020,"其他",调整事项汇总表!$E$7:$E$10020,IF(OR(MID(TRIM($A286),2,1)="：",MID(TRIM($A286),2,1)="."),REPLACEB(TRIM($A286),1,2,""),TRIM($A286)))</f>
        <v>0</v>
      </c>
      <c r="H286" s="677">
        <f>SUMIFS(调整事项汇总表!$K$7:$K$10020,调整事项汇总表!$D$7:$D$10020,"其他",调整事项汇总表!$E$7:$E$10020,IF(OR(MID(TRIM($A286),2,1)="：",MID(TRIM($A286),2,1)="."),REPLACEB(TRIM($A286),1,2,""),TRIM($A286)))</f>
        <v>0</v>
      </c>
      <c r="I286" s="762">
        <f t="shared" si="77"/>
        <v>0</v>
      </c>
      <c r="J286" s="425" t="b">
        <f>A286=未审报表!A286</f>
        <v>1</v>
      </c>
      <c r="K286" s="425" t="b">
        <f>A286=审定报表!A286</f>
        <v>1</v>
      </c>
    </row>
    <row r="287" spans="1:11" ht="14.4" customHeight="1">
      <c r="A287" s="777" t="str">
        <f>未审报表!A287</f>
        <v xml:space="preserve">     收取利息、手续费及佣金的现金*</v>
      </c>
      <c r="B287" s="643">
        <f>期初核对!C287</f>
        <v>0</v>
      </c>
      <c r="C287" s="677">
        <f>SUMIFS(调整事项汇总表!$K$7:$K$10020,调整事项汇总表!$D$7:$D$10020,"账项调整",调整事项汇总表!$E$7:$E$10020,IF(OR(MID(TRIM($A287),2,1)="：",MID(TRIM($A287),2,1)="."),REPLACEB(TRIM($A287),1,2,""),TRIM($A287)))</f>
        <v>0</v>
      </c>
      <c r="D287" s="677">
        <f>SUMIFS(调整事项汇总表!$L$7:$L$10020,调整事项汇总表!$D$7:$D$10020,"账项调整",调整事项汇总表!$E$7:$E$10020,IF(OR(MID(TRIM($A287),2,1)="：",MID(TRIM($A287),2,1)="."),REPLACEB(TRIM($A287),1,2,""),TRIM($A287)))</f>
        <v>0</v>
      </c>
      <c r="E287" s="677">
        <f>SUMIFS(调整事项汇总表!$K$7:$K$10020,调整事项汇总表!$D$7:$D$10020,"报表调整",调整事项汇总表!$E$7:$E$10020,IF(OR(MID(TRIM($A287),2,1)="：",MID(TRIM($A287),2,1)="."),REPLACEB(TRIM($A287),1,2,""),TRIM($A287)))</f>
        <v>0</v>
      </c>
      <c r="F287" s="677">
        <f>SUMIFS(调整事项汇总表!$L$7:$L$10020,调整事项汇总表!$D$7:$D$10020,"报表调整",调整事项汇总表!$E$7:$E$10020,IF(OR(MID(TRIM($A287),2,1)="：",MID(TRIM($A287),2,1)="."),REPLACEB(TRIM($A287),1,2,""),TRIM($A287)))</f>
        <v>0</v>
      </c>
      <c r="G287" s="677">
        <f>SUMIFS(调整事项汇总表!$K$7:$K$10020,调整事项汇总表!$D$7:$D$10020,"其他",调整事项汇总表!$E$7:$E$10020,IF(OR(MID(TRIM($A287),2,1)="：",MID(TRIM($A287),2,1)="."),REPLACEB(TRIM($A287),1,2,""),TRIM($A287)))</f>
        <v>0</v>
      </c>
      <c r="H287" s="677">
        <f>SUMIFS(调整事项汇总表!$K$7:$K$10020,调整事项汇总表!$D$7:$D$10020,"其他",调整事项汇总表!$E$7:$E$10020,IF(OR(MID(TRIM($A287),2,1)="：",MID(TRIM($A287),2,1)="."),REPLACEB(TRIM($A287),1,2,""),TRIM($A287)))</f>
        <v>0</v>
      </c>
      <c r="I287" s="762">
        <f t="shared" si="77"/>
        <v>0</v>
      </c>
      <c r="J287" s="425" t="b">
        <f>A287=未审报表!A287</f>
        <v>1</v>
      </c>
      <c r="K287" s="425" t="b">
        <f>A287=审定报表!A287</f>
        <v>1</v>
      </c>
    </row>
    <row r="288" spans="1:11" ht="14.4" customHeight="1">
      <c r="A288" s="777" t="str">
        <f>未审报表!A288</f>
        <v xml:space="preserve">     拆入资金净增加额*</v>
      </c>
      <c r="B288" s="643">
        <f>期初核对!C288</f>
        <v>0</v>
      </c>
      <c r="C288" s="677">
        <f>SUMIFS(调整事项汇总表!$K$7:$K$10020,调整事项汇总表!$D$7:$D$10020,"账项调整",调整事项汇总表!$E$7:$E$10020,IF(OR(MID(TRIM($A288),2,1)="：",MID(TRIM($A288),2,1)="."),REPLACEB(TRIM($A288),1,2,""),TRIM($A288)))</f>
        <v>0</v>
      </c>
      <c r="D288" s="677">
        <f>SUMIFS(调整事项汇总表!$L$7:$L$10020,调整事项汇总表!$D$7:$D$10020,"账项调整",调整事项汇总表!$E$7:$E$10020,IF(OR(MID(TRIM($A288),2,1)="：",MID(TRIM($A288),2,1)="."),REPLACEB(TRIM($A288),1,2,""),TRIM($A288)))</f>
        <v>0</v>
      </c>
      <c r="E288" s="677">
        <f>SUMIFS(调整事项汇总表!$K$7:$K$10020,调整事项汇总表!$D$7:$D$10020,"报表调整",调整事项汇总表!$E$7:$E$10020,IF(OR(MID(TRIM($A288),2,1)="：",MID(TRIM($A288),2,1)="."),REPLACEB(TRIM($A288),1,2,""),TRIM($A288)))</f>
        <v>0</v>
      </c>
      <c r="F288" s="677">
        <f>SUMIFS(调整事项汇总表!$L$7:$L$10020,调整事项汇总表!$D$7:$D$10020,"报表调整",调整事项汇总表!$E$7:$E$10020,IF(OR(MID(TRIM($A288),2,1)="：",MID(TRIM($A288),2,1)="."),REPLACEB(TRIM($A288),1,2,""),TRIM($A288)))</f>
        <v>0</v>
      </c>
      <c r="G288" s="677">
        <f>SUMIFS(调整事项汇总表!$K$7:$K$10020,调整事项汇总表!$D$7:$D$10020,"其他",调整事项汇总表!$E$7:$E$10020,IF(OR(MID(TRIM($A288),2,1)="：",MID(TRIM($A288),2,1)="."),REPLACEB(TRIM($A288),1,2,""),TRIM($A288)))</f>
        <v>0</v>
      </c>
      <c r="H288" s="677">
        <f>SUMIFS(调整事项汇总表!$K$7:$K$10020,调整事项汇总表!$D$7:$D$10020,"其他",调整事项汇总表!$E$7:$E$10020,IF(OR(MID(TRIM($A288),2,1)="：",MID(TRIM($A288),2,1)="."),REPLACEB(TRIM($A288),1,2,""),TRIM($A288)))</f>
        <v>0</v>
      </c>
      <c r="I288" s="762">
        <f t="shared" si="77"/>
        <v>0</v>
      </c>
      <c r="J288" s="425" t="b">
        <f>A288=未审报表!A288</f>
        <v>1</v>
      </c>
      <c r="K288" s="425" t="b">
        <f>A288=审定报表!A288</f>
        <v>1</v>
      </c>
    </row>
    <row r="289" spans="1:11" ht="14.4" customHeight="1">
      <c r="A289" s="777" t="str">
        <f>未审报表!A289</f>
        <v xml:space="preserve">     回购业务资金净增加额*</v>
      </c>
      <c r="B289" s="643">
        <f>期初核对!C289</f>
        <v>0</v>
      </c>
      <c r="C289" s="677">
        <f>SUMIFS(调整事项汇总表!$K$7:$K$10020,调整事项汇总表!$D$7:$D$10020,"账项调整",调整事项汇总表!$E$7:$E$10020,IF(OR(MID(TRIM($A289),2,1)="：",MID(TRIM($A289),2,1)="."),REPLACEB(TRIM($A289),1,2,""),TRIM($A289)))</f>
        <v>0</v>
      </c>
      <c r="D289" s="677">
        <f>SUMIFS(调整事项汇总表!$L$7:$L$10020,调整事项汇总表!$D$7:$D$10020,"账项调整",调整事项汇总表!$E$7:$E$10020,IF(OR(MID(TRIM($A289),2,1)="：",MID(TRIM($A289),2,1)="."),REPLACEB(TRIM($A289),1,2,""),TRIM($A289)))</f>
        <v>0</v>
      </c>
      <c r="E289" s="677">
        <f>SUMIFS(调整事项汇总表!$K$7:$K$10020,调整事项汇总表!$D$7:$D$10020,"报表调整",调整事项汇总表!$E$7:$E$10020,IF(OR(MID(TRIM($A289),2,1)="：",MID(TRIM($A289),2,1)="."),REPLACEB(TRIM($A289),1,2,""),TRIM($A289)))</f>
        <v>0</v>
      </c>
      <c r="F289" s="677">
        <f>SUMIFS(调整事项汇总表!$L$7:$L$10020,调整事项汇总表!$D$7:$D$10020,"报表调整",调整事项汇总表!$E$7:$E$10020,IF(OR(MID(TRIM($A289),2,1)="：",MID(TRIM($A289),2,1)="."),REPLACEB(TRIM($A289),1,2,""),TRIM($A289)))</f>
        <v>0</v>
      </c>
      <c r="G289" s="677">
        <f>SUMIFS(调整事项汇总表!$K$7:$K$10020,调整事项汇总表!$D$7:$D$10020,"其他",调整事项汇总表!$E$7:$E$10020,IF(OR(MID(TRIM($A289),2,1)="：",MID(TRIM($A289),2,1)="."),REPLACEB(TRIM($A289),1,2,""),TRIM($A289)))</f>
        <v>0</v>
      </c>
      <c r="H289" s="677">
        <f>SUMIFS(调整事项汇总表!$K$7:$K$10020,调整事项汇总表!$D$7:$D$10020,"其他",调整事项汇总表!$E$7:$E$10020,IF(OR(MID(TRIM($A289),2,1)="：",MID(TRIM($A289),2,1)="."),REPLACEB(TRIM($A289),1,2,""),TRIM($A289)))</f>
        <v>0</v>
      </c>
      <c r="I289" s="762">
        <f t="shared" si="77"/>
        <v>0</v>
      </c>
      <c r="J289" s="425" t="b">
        <f>A289=未审报表!A289</f>
        <v>1</v>
      </c>
      <c r="K289" s="425" t="b">
        <f>A289=审定报表!A289</f>
        <v>1</v>
      </c>
    </row>
    <row r="290" spans="1:11" ht="14.4" customHeight="1">
      <c r="A290" s="777" t="str">
        <f>未审报表!A290</f>
        <v xml:space="preserve">     代理买卖证券收到的现金净额*</v>
      </c>
      <c r="B290" s="643">
        <f>期初核对!C290</f>
        <v>0</v>
      </c>
      <c r="C290" s="677">
        <f>SUMIFS(调整事项汇总表!$K$7:$K$10020,调整事项汇总表!$D$7:$D$10020,"账项调整",调整事项汇总表!$E$7:$E$10020,IF(OR(MID(TRIM($A290),2,1)="：",MID(TRIM($A290),2,1)="."),REPLACEB(TRIM($A290),1,2,""),TRIM($A290)))</f>
        <v>0</v>
      </c>
      <c r="D290" s="677">
        <f>SUMIFS(调整事项汇总表!$L$7:$L$10020,调整事项汇总表!$D$7:$D$10020,"账项调整",调整事项汇总表!$E$7:$E$10020,IF(OR(MID(TRIM($A290),2,1)="：",MID(TRIM($A290),2,1)="."),REPLACEB(TRIM($A290),1,2,""),TRIM($A290)))</f>
        <v>0</v>
      </c>
      <c r="E290" s="677">
        <f>SUMIFS(调整事项汇总表!$K$7:$K$10020,调整事项汇总表!$D$7:$D$10020,"报表调整",调整事项汇总表!$E$7:$E$10020,IF(OR(MID(TRIM($A290),2,1)="：",MID(TRIM($A290),2,1)="."),REPLACEB(TRIM($A290),1,2,""),TRIM($A290)))</f>
        <v>0</v>
      </c>
      <c r="F290" s="677">
        <f>SUMIFS(调整事项汇总表!$L$7:$L$10020,调整事项汇总表!$D$7:$D$10020,"报表调整",调整事项汇总表!$E$7:$E$10020,IF(OR(MID(TRIM($A290),2,1)="：",MID(TRIM($A290),2,1)="."),REPLACEB(TRIM($A290),1,2,""),TRIM($A290)))</f>
        <v>0</v>
      </c>
      <c r="G290" s="677">
        <f>SUMIFS(调整事项汇总表!$K$7:$K$10020,调整事项汇总表!$D$7:$D$10020,"其他",调整事项汇总表!$E$7:$E$10020,IF(OR(MID(TRIM($A290),2,1)="：",MID(TRIM($A290),2,1)="."),REPLACEB(TRIM($A290),1,2,""),TRIM($A290)))</f>
        <v>0</v>
      </c>
      <c r="H290" s="677">
        <f>SUMIFS(调整事项汇总表!$K$7:$K$10020,调整事项汇总表!$D$7:$D$10020,"其他",调整事项汇总表!$E$7:$E$10020,IF(OR(MID(TRIM($A290),2,1)="：",MID(TRIM($A290),2,1)="."),REPLACEB(TRIM($A290),1,2,""),TRIM($A290)))</f>
        <v>0</v>
      </c>
      <c r="I290" s="762">
        <f t="shared" si="77"/>
        <v>0</v>
      </c>
      <c r="J290" s="425" t="b">
        <f>A290=未审报表!A290</f>
        <v>1</v>
      </c>
      <c r="K290" s="425" t="b">
        <f>A290=审定报表!A290</f>
        <v>1</v>
      </c>
    </row>
    <row r="291" spans="1:11" ht="14.4" customHeight="1">
      <c r="A291" s="777" t="str">
        <f>未审报表!A291</f>
        <v xml:space="preserve">     收到的税费返还</v>
      </c>
      <c r="B291" s="643">
        <f>期初核对!C291</f>
        <v>0</v>
      </c>
      <c r="C291" s="677">
        <f>SUMIFS(调整事项汇总表!$K$7:$K$10020,调整事项汇总表!$D$7:$D$10020,"账项调整",调整事项汇总表!$E$7:$E$10020,IF(OR(MID(TRIM($A291),2,1)="：",MID(TRIM($A291),2,1)="."),REPLACEB(TRIM($A291),1,2,""),TRIM($A291)))</f>
        <v>0</v>
      </c>
      <c r="D291" s="677">
        <f>SUMIFS(调整事项汇总表!$L$7:$L$10020,调整事项汇总表!$D$7:$D$10020,"账项调整",调整事项汇总表!$E$7:$E$10020,IF(OR(MID(TRIM($A291),2,1)="：",MID(TRIM($A291),2,1)="."),REPLACEB(TRIM($A291),1,2,""),TRIM($A291)))</f>
        <v>0</v>
      </c>
      <c r="E291" s="677">
        <f>SUMIFS(调整事项汇总表!$K$7:$K$10020,调整事项汇总表!$D$7:$D$10020,"报表调整",调整事项汇总表!$E$7:$E$10020,IF(OR(MID(TRIM($A291),2,1)="：",MID(TRIM($A291),2,1)="."),REPLACEB(TRIM($A291),1,2,""),TRIM($A291)))</f>
        <v>0</v>
      </c>
      <c r="F291" s="677">
        <f>SUMIFS(调整事项汇总表!$L$7:$L$10020,调整事项汇总表!$D$7:$D$10020,"报表调整",调整事项汇总表!$E$7:$E$10020,IF(OR(MID(TRIM($A291),2,1)="：",MID(TRIM($A291),2,1)="."),REPLACEB(TRIM($A291),1,2,""),TRIM($A291)))</f>
        <v>0</v>
      </c>
      <c r="G291" s="677">
        <f>SUMIFS(调整事项汇总表!$K$7:$K$10020,调整事项汇总表!$D$7:$D$10020,"其他",调整事项汇总表!$E$7:$E$10020,IF(OR(MID(TRIM($A291),2,1)="：",MID(TRIM($A291),2,1)="."),REPLACEB(TRIM($A291),1,2,""),TRIM($A291)))</f>
        <v>0</v>
      </c>
      <c r="H291" s="677">
        <f>SUMIFS(调整事项汇总表!$K$7:$K$10020,调整事项汇总表!$D$7:$D$10020,"其他",调整事项汇总表!$E$7:$E$10020,IF(OR(MID(TRIM($A291),2,1)="：",MID(TRIM($A291),2,1)="."),REPLACEB(TRIM($A291),1,2,""),TRIM($A291)))</f>
        <v>0</v>
      </c>
      <c r="I291" s="762">
        <f t="shared" si="77"/>
        <v>0</v>
      </c>
      <c r="J291" s="425" t="b">
        <f>A291=未审报表!A291</f>
        <v>1</v>
      </c>
      <c r="K291" s="425" t="b">
        <f>A291=审定报表!A291</f>
        <v>1</v>
      </c>
    </row>
    <row r="292" spans="1:11" ht="14.4" customHeight="1">
      <c r="A292" s="777" t="str">
        <f>未审报表!A292</f>
        <v xml:space="preserve">     收到的其他与经营活动有关的现金</v>
      </c>
      <c r="B292" s="643">
        <f>期初核对!C292</f>
        <v>0</v>
      </c>
      <c r="C292" s="677">
        <f>SUMIFS(调整事项汇总表!$K$7:$K$10020,调整事项汇总表!$D$7:$D$10020,"账项调整",调整事项汇总表!$E$7:$E$10020,IF(OR(MID(TRIM($A292),2,1)="：",MID(TRIM($A292),2,1)="."),REPLACEB(TRIM($A292),1,2,""),TRIM($A292)))</f>
        <v>0</v>
      </c>
      <c r="D292" s="677">
        <f>SUMIFS(调整事项汇总表!$L$7:$L$10020,调整事项汇总表!$D$7:$D$10020,"账项调整",调整事项汇总表!$E$7:$E$10020,IF(OR(MID(TRIM($A292),2,1)="：",MID(TRIM($A292),2,1)="."),REPLACEB(TRIM($A292),1,2,""),TRIM($A292)))</f>
        <v>0</v>
      </c>
      <c r="E292" s="677">
        <f>SUMIFS(调整事项汇总表!$K$7:$K$10020,调整事项汇总表!$D$7:$D$10020,"报表调整",调整事项汇总表!$E$7:$E$10020,IF(OR(MID(TRIM($A292),2,1)="：",MID(TRIM($A292),2,1)="."),REPLACEB(TRIM($A292),1,2,""),TRIM($A292)))</f>
        <v>0</v>
      </c>
      <c r="F292" s="677">
        <f>SUMIFS(调整事项汇总表!$L$7:$L$10020,调整事项汇总表!$D$7:$D$10020,"报表调整",调整事项汇总表!$E$7:$E$10020,IF(OR(MID(TRIM($A292),2,1)="：",MID(TRIM($A292),2,1)="."),REPLACEB(TRIM($A292),1,2,""),TRIM($A292)))</f>
        <v>0</v>
      </c>
      <c r="G292" s="677">
        <f>SUMIFS(调整事项汇总表!$K$7:$K$10020,调整事项汇总表!$D$7:$D$10020,"其他",调整事项汇总表!$E$7:$E$10020,IF(OR(MID(TRIM($A292),2,1)="：",MID(TRIM($A292),2,1)="."),REPLACEB(TRIM($A292),1,2,""),TRIM($A292)))</f>
        <v>0</v>
      </c>
      <c r="H292" s="677">
        <f>SUMIFS(调整事项汇总表!$K$7:$K$10020,调整事项汇总表!$D$7:$D$10020,"其他",调整事项汇总表!$E$7:$E$10020,IF(OR(MID(TRIM($A292),2,1)="：",MID(TRIM($A292),2,1)="."),REPLACEB(TRIM($A292),1,2,""),TRIM($A292)))</f>
        <v>0</v>
      </c>
      <c r="I292" s="762">
        <f t="shared" si="77"/>
        <v>0</v>
      </c>
      <c r="J292" s="425" t="b">
        <f>A292=未审报表!A292</f>
        <v>1</v>
      </c>
      <c r="K292" s="425" t="b">
        <f>A292=审定报表!A292</f>
        <v>1</v>
      </c>
    </row>
    <row r="293" spans="1:11" ht="14.4" customHeight="1">
      <c r="A293" s="777">
        <f>未审报表!A293</f>
        <v>0</v>
      </c>
      <c r="B293" s="423"/>
      <c r="C293" s="400"/>
      <c r="D293" s="400"/>
      <c r="E293" s="400"/>
      <c r="F293" s="400"/>
      <c r="G293" s="400"/>
      <c r="H293" s="400"/>
      <c r="I293" s="727"/>
      <c r="J293" s="425" t="b">
        <f>A293=未审报表!A293</f>
        <v>1</v>
      </c>
      <c r="K293" s="425" t="b">
        <f>A293=审定报表!A293</f>
        <v>1</v>
      </c>
    </row>
    <row r="294" spans="1:11" ht="14.4" customHeight="1">
      <c r="A294" s="776" t="str">
        <f>未审报表!A294</f>
        <v xml:space="preserve">     经营活动现金流入小计</v>
      </c>
      <c r="B294" s="773">
        <f>期初核对!C294</f>
        <v>0</v>
      </c>
      <c r="C294" s="678">
        <f>SUM(C280:C293)</f>
        <v>0</v>
      </c>
      <c r="D294" s="678">
        <f t="shared" ref="D294:H294" si="78">SUM(D280:D293)</f>
        <v>0</v>
      </c>
      <c r="E294" s="678">
        <f t="shared" si="78"/>
        <v>0</v>
      </c>
      <c r="F294" s="678">
        <f t="shared" si="78"/>
        <v>0</v>
      </c>
      <c r="G294" s="678">
        <f t="shared" si="78"/>
        <v>0</v>
      </c>
      <c r="H294" s="678">
        <f t="shared" si="78"/>
        <v>0</v>
      </c>
      <c r="I294" s="763">
        <f t="shared" si="77"/>
        <v>0</v>
      </c>
      <c r="J294" s="425" t="b">
        <f>A294=未审报表!A294</f>
        <v>1</v>
      </c>
      <c r="K294" s="425" t="b">
        <f>A294=审定报表!A294</f>
        <v>1</v>
      </c>
    </row>
    <row r="295" spans="1:11" ht="14.4" customHeight="1">
      <c r="A295" s="777" t="str">
        <f>未审报表!A295</f>
        <v xml:space="preserve">     购买商品、接受劳务支付的现金</v>
      </c>
      <c r="B295" s="643">
        <f>期初核对!C295</f>
        <v>0</v>
      </c>
      <c r="C295" s="677">
        <f>SUMIFS(调整事项汇总表!$K$7:$K$10020,调整事项汇总表!$D$7:$D$10020,"账项调整",调整事项汇总表!$E$7:$E$10020,IF(OR(MID(TRIM($A295),2,1)="：",MID(TRIM($A295),2,1)="."),REPLACEB(TRIM($A295),1,2,""),TRIM($A295)))</f>
        <v>0</v>
      </c>
      <c r="D295" s="677">
        <f>SUMIFS(调整事项汇总表!$L$7:$L$10020,调整事项汇总表!$D$7:$D$10020,"账项调整",调整事项汇总表!$E$7:$E$10020,IF(OR(MID(TRIM($A295),2,1)="：",MID(TRIM($A295),2,1)="."),REPLACEB(TRIM($A295),1,2,""),TRIM($A295)))</f>
        <v>0</v>
      </c>
      <c r="E295" s="677">
        <f>SUMIFS(调整事项汇总表!$K$7:$K$10020,调整事项汇总表!$D$7:$D$10020,"报表调整",调整事项汇总表!$E$7:$E$10020,IF(OR(MID(TRIM($A295),2,1)="：",MID(TRIM($A295),2,1)="."),REPLACEB(TRIM($A295),1,2,""),TRIM($A295)))</f>
        <v>0</v>
      </c>
      <c r="F295" s="677">
        <f>SUMIFS(调整事项汇总表!$L$7:$L$10020,调整事项汇总表!$D$7:$D$10020,"报表调整",调整事项汇总表!$E$7:$E$10020,IF(OR(MID(TRIM($A295),2,1)="：",MID(TRIM($A295),2,1)="."),REPLACEB(TRIM($A295),1,2,""),TRIM($A295)))</f>
        <v>0</v>
      </c>
      <c r="G295" s="677">
        <f>SUMIFS(调整事项汇总表!$K$7:$K$10020,调整事项汇总表!$D$7:$D$10020,"其他",调整事项汇总表!$E$7:$E$10020,IF(OR(MID(TRIM($A295),2,1)="：",MID(TRIM($A295),2,1)="."),REPLACEB(TRIM($A295),1,2,""),TRIM($A295)))</f>
        <v>0</v>
      </c>
      <c r="H295" s="677">
        <f>SUMIFS(调整事项汇总表!$K$7:$K$10020,调整事项汇总表!$D$7:$D$10020,"其他",调整事项汇总表!$E$7:$E$10020,IF(OR(MID(TRIM($A295),2,1)="：",MID(TRIM($A295),2,1)="."),REPLACEB(TRIM($A295),1,2,""),TRIM($A295)))</f>
        <v>0</v>
      </c>
      <c r="I295" s="762">
        <f>B295+D295+F295+H295-G295-E295-C295</f>
        <v>0</v>
      </c>
      <c r="J295" s="425" t="b">
        <f>A295=未审报表!A295</f>
        <v>1</v>
      </c>
      <c r="K295" s="425" t="b">
        <f>A295=审定报表!A295</f>
        <v>1</v>
      </c>
    </row>
    <row r="296" spans="1:11" ht="14.4" customHeight="1">
      <c r="A296" s="777" t="str">
        <f>未审报表!A296</f>
        <v xml:space="preserve">     客户贷款及垫款净增加额*</v>
      </c>
      <c r="B296" s="643">
        <f>期初核对!C296</f>
        <v>0</v>
      </c>
      <c r="C296" s="677">
        <f>SUMIFS(调整事项汇总表!$K$7:$K$10020,调整事项汇总表!$D$7:$D$10020,"账项调整",调整事项汇总表!$E$7:$E$10020,IF(OR(MID(TRIM($A296),2,1)="：",MID(TRIM($A296),2,1)="."),REPLACEB(TRIM($A296),1,2,""),TRIM($A296)))</f>
        <v>0</v>
      </c>
      <c r="D296" s="677">
        <f>SUMIFS(调整事项汇总表!$L$7:$L$10020,调整事项汇总表!$D$7:$D$10020,"账项调整",调整事项汇总表!$E$7:$E$10020,IF(OR(MID(TRIM($A296),2,1)="：",MID(TRIM($A296),2,1)="."),REPLACEB(TRIM($A296),1,2,""),TRIM($A296)))</f>
        <v>0</v>
      </c>
      <c r="E296" s="677">
        <f>SUMIFS(调整事项汇总表!$K$7:$K$10020,调整事项汇总表!$D$7:$D$10020,"报表调整",调整事项汇总表!$E$7:$E$10020,IF(OR(MID(TRIM($A296),2,1)="：",MID(TRIM($A296),2,1)="."),REPLACEB(TRIM($A296),1,2,""),TRIM($A296)))</f>
        <v>0</v>
      </c>
      <c r="F296" s="677">
        <f>SUMIFS(调整事项汇总表!$L$7:$L$10020,调整事项汇总表!$D$7:$D$10020,"报表调整",调整事项汇总表!$E$7:$E$10020,IF(OR(MID(TRIM($A296),2,1)="：",MID(TRIM($A296),2,1)="."),REPLACEB(TRIM($A296),1,2,""),TRIM($A296)))</f>
        <v>0</v>
      </c>
      <c r="G296" s="677">
        <f>SUMIFS(调整事项汇总表!$K$7:$K$10020,调整事项汇总表!$D$7:$D$10020,"其他",调整事项汇总表!$E$7:$E$10020,IF(OR(MID(TRIM($A296),2,1)="：",MID(TRIM($A296),2,1)="."),REPLACEB(TRIM($A296),1,2,""),TRIM($A296)))</f>
        <v>0</v>
      </c>
      <c r="H296" s="677">
        <f>SUMIFS(调整事项汇总表!$K$7:$K$10020,调整事项汇总表!$D$7:$D$10020,"其他",调整事项汇总表!$E$7:$E$10020,IF(OR(MID(TRIM($A296),2,1)="：",MID(TRIM($A296),2,1)="."),REPLACEB(TRIM($A296),1,2,""),TRIM($A296)))</f>
        <v>0</v>
      </c>
      <c r="I296" s="762">
        <f t="shared" ref="I296:I304" si="79">B296+D296+F296+H296-G296-E296-C296</f>
        <v>0</v>
      </c>
      <c r="J296" s="425" t="b">
        <f>A296=未审报表!A296</f>
        <v>1</v>
      </c>
      <c r="K296" s="425" t="b">
        <f>A296=审定报表!A296</f>
        <v>1</v>
      </c>
    </row>
    <row r="297" spans="1:11" ht="14.4" customHeight="1">
      <c r="A297" s="777" t="str">
        <f>未审报表!A297</f>
        <v xml:space="preserve">     存放中央银行和同业款项净增加额*</v>
      </c>
      <c r="B297" s="643">
        <f>期初核对!C297</f>
        <v>0</v>
      </c>
      <c r="C297" s="677">
        <f>SUMIFS(调整事项汇总表!$K$7:$K$10020,调整事项汇总表!$D$7:$D$10020,"账项调整",调整事项汇总表!$E$7:$E$10020,IF(OR(MID(TRIM($A297),2,1)="：",MID(TRIM($A297),2,1)="."),REPLACEB(TRIM($A297),1,2,""),TRIM($A297)))</f>
        <v>0</v>
      </c>
      <c r="D297" s="677">
        <f>SUMIFS(调整事项汇总表!$L$7:$L$10020,调整事项汇总表!$D$7:$D$10020,"账项调整",调整事项汇总表!$E$7:$E$10020,IF(OR(MID(TRIM($A297),2,1)="：",MID(TRIM($A297),2,1)="."),REPLACEB(TRIM($A297),1,2,""),TRIM($A297)))</f>
        <v>0</v>
      </c>
      <c r="E297" s="677">
        <f>SUMIFS(调整事项汇总表!$K$7:$K$10020,调整事项汇总表!$D$7:$D$10020,"报表调整",调整事项汇总表!$E$7:$E$10020,IF(OR(MID(TRIM($A297),2,1)="：",MID(TRIM($A297),2,1)="."),REPLACEB(TRIM($A297),1,2,""),TRIM($A297)))</f>
        <v>0</v>
      </c>
      <c r="F297" s="677">
        <f>SUMIFS(调整事项汇总表!$L$7:$L$10020,调整事项汇总表!$D$7:$D$10020,"报表调整",调整事项汇总表!$E$7:$E$10020,IF(OR(MID(TRIM($A297),2,1)="：",MID(TRIM($A297),2,1)="."),REPLACEB(TRIM($A297),1,2,""),TRIM($A297)))</f>
        <v>0</v>
      </c>
      <c r="G297" s="677">
        <f>SUMIFS(调整事项汇总表!$K$7:$K$10020,调整事项汇总表!$D$7:$D$10020,"其他",调整事项汇总表!$E$7:$E$10020,IF(OR(MID(TRIM($A297),2,1)="：",MID(TRIM($A297),2,1)="."),REPLACEB(TRIM($A297),1,2,""),TRIM($A297)))</f>
        <v>0</v>
      </c>
      <c r="H297" s="677">
        <f>SUMIFS(调整事项汇总表!$K$7:$K$10020,调整事项汇总表!$D$7:$D$10020,"其他",调整事项汇总表!$E$7:$E$10020,IF(OR(MID(TRIM($A297),2,1)="：",MID(TRIM($A297),2,1)="."),REPLACEB(TRIM($A297),1,2,""),TRIM($A297)))</f>
        <v>0</v>
      </c>
      <c r="I297" s="762">
        <f t="shared" si="79"/>
        <v>0</v>
      </c>
      <c r="J297" s="425" t="b">
        <f>A297=未审报表!A297</f>
        <v>1</v>
      </c>
      <c r="K297" s="425" t="b">
        <f>A297=审定报表!A297</f>
        <v>1</v>
      </c>
    </row>
    <row r="298" spans="1:11" ht="14.4" customHeight="1">
      <c r="A298" s="777" t="str">
        <f>未审报表!A298</f>
        <v xml:space="preserve">     支付原保险合同赔付款项的现金*</v>
      </c>
      <c r="B298" s="643">
        <f>期初核对!C298</f>
        <v>0</v>
      </c>
      <c r="C298" s="677">
        <f>SUMIFS(调整事项汇总表!$K$7:$K$10020,调整事项汇总表!$D$7:$D$10020,"账项调整",调整事项汇总表!$E$7:$E$10020,IF(OR(MID(TRIM($A298),2,1)="：",MID(TRIM($A298),2,1)="."),REPLACEB(TRIM($A298),1,2,""),TRIM($A298)))</f>
        <v>0</v>
      </c>
      <c r="D298" s="677">
        <f>SUMIFS(调整事项汇总表!$L$7:$L$10020,调整事项汇总表!$D$7:$D$10020,"账项调整",调整事项汇总表!$E$7:$E$10020,IF(OR(MID(TRIM($A298),2,1)="：",MID(TRIM($A298),2,1)="."),REPLACEB(TRIM($A298),1,2,""),TRIM($A298)))</f>
        <v>0</v>
      </c>
      <c r="E298" s="677">
        <f>SUMIFS(调整事项汇总表!$K$7:$K$10020,调整事项汇总表!$D$7:$D$10020,"报表调整",调整事项汇总表!$E$7:$E$10020,IF(OR(MID(TRIM($A298),2,1)="：",MID(TRIM($A298),2,1)="."),REPLACEB(TRIM($A298),1,2,""),TRIM($A298)))</f>
        <v>0</v>
      </c>
      <c r="F298" s="677">
        <f>SUMIFS(调整事项汇总表!$L$7:$L$10020,调整事项汇总表!$D$7:$D$10020,"报表调整",调整事项汇总表!$E$7:$E$10020,IF(OR(MID(TRIM($A298),2,1)="：",MID(TRIM($A298),2,1)="."),REPLACEB(TRIM($A298),1,2,""),TRIM($A298)))</f>
        <v>0</v>
      </c>
      <c r="G298" s="677">
        <f>SUMIFS(调整事项汇总表!$K$7:$K$10020,调整事项汇总表!$D$7:$D$10020,"其他",调整事项汇总表!$E$7:$E$10020,IF(OR(MID(TRIM($A298),2,1)="：",MID(TRIM($A298),2,1)="."),REPLACEB(TRIM($A298),1,2,""),TRIM($A298)))</f>
        <v>0</v>
      </c>
      <c r="H298" s="677">
        <f>SUMIFS(调整事项汇总表!$K$7:$K$10020,调整事项汇总表!$D$7:$D$10020,"其他",调整事项汇总表!$E$7:$E$10020,IF(OR(MID(TRIM($A298),2,1)="：",MID(TRIM($A298),2,1)="."),REPLACEB(TRIM($A298),1,2,""),TRIM($A298)))</f>
        <v>0</v>
      </c>
      <c r="I298" s="762">
        <f t="shared" si="79"/>
        <v>0</v>
      </c>
      <c r="J298" s="425" t="b">
        <f>A298=未审报表!A298</f>
        <v>1</v>
      </c>
      <c r="K298" s="425" t="b">
        <f>A298=审定报表!A298</f>
        <v>1</v>
      </c>
    </row>
    <row r="299" spans="1:11" ht="14.4" customHeight="1">
      <c r="A299" s="777" t="str">
        <f>未审报表!A299</f>
        <v xml:space="preserve">     拆出资金净增加额*</v>
      </c>
      <c r="B299" s="643">
        <f>期初核对!C299</f>
        <v>0</v>
      </c>
      <c r="C299" s="677">
        <f>SUMIFS(调整事项汇总表!$K$7:$K$10020,调整事项汇总表!$D$7:$D$10020,"账项调整",调整事项汇总表!$E$7:$E$10020,IF(OR(MID(TRIM($A299),2,1)="：",MID(TRIM($A299),2,1)="."),REPLACEB(TRIM($A299),1,2,""),TRIM($A299)))</f>
        <v>0</v>
      </c>
      <c r="D299" s="677">
        <f>SUMIFS(调整事项汇总表!$L$7:$L$10020,调整事项汇总表!$D$7:$D$10020,"账项调整",调整事项汇总表!$E$7:$E$10020,IF(OR(MID(TRIM($A299),2,1)="：",MID(TRIM($A299),2,1)="."),REPLACEB(TRIM($A299),1,2,""),TRIM($A299)))</f>
        <v>0</v>
      </c>
      <c r="E299" s="677">
        <f>SUMIFS(调整事项汇总表!$K$7:$K$10020,调整事项汇总表!$D$7:$D$10020,"报表调整",调整事项汇总表!$E$7:$E$10020,IF(OR(MID(TRIM($A299),2,1)="：",MID(TRIM($A299),2,1)="."),REPLACEB(TRIM($A299),1,2,""),TRIM($A299)))</f>
        <v>0</v>
      </c>
      <c r="F299" s="677">
        <f>SUMIFS(调整事项汇总表!$L$7:$L$10020,调整事项汇总表!$D$7:$D$10020,"报表调整",调整事项汇总表!$E$7:$E$10020,IF(OR(MID(TRIM($A299),2,1)="：",MID(TRIM($A299),2,1)="."),REPLACEB(TRIM($A299),1,2,""),TRIM($A299)))</f>
        <v>0</v>
      </c>
      <c r="G299" s="677">
        <f>SUMIFS(调整事项汇总表!$K$7:$K$10020,调整事项汇总表!$D$7:$D$10020,"其他",调整事项汇总表!$E$7:$E$10020,IF(OR(MID(TRIM($A299),2,1)="：",MID(TRIM($A299),2,1)="."),REPLACEB(TRIM($A299),1,2,""),TRIM($A299)))</f>
        <v>0</v>
      </c>
      <c r="H299" s="677">
        <f>SUMIFS(调整事项汇总表!$K$7:$K$10020,调整事项汇总表!$D$7:$D$10020,"其他",调整事项汇总表!$E$7:$E$10020,IF(OR(MID(TRIM($A299),2,1)="：",MID(TRIM($A299),2,1)="."),REPLACEB(TRIM($A299),1,2,""),TRIM($A299)))</f>
        <v>0</v>
      </c>
      <c r="I299" s="762">
        <f t="shared" si="79"/>
        <v>0</v>
      </c>
      <c r="J299" s="425" t="b">
        <f>A299=未审报表!A299</f>
        <v>1</v>
      </c>
      <c r="K299" s="425" t="b">
        <f>A299=审定报表!A299</f>
        <v>1</v>
      </c>
    </row>
    <row r="300" spans="1:11" ht="14.4" customHeight="1">
      <c r="A300" s="777" t="str">
        <f>未审报表!A300</f>
        <v xml:space="preserve">     支付利息、手续费及佣金的现金*</v>
      </c>
      <c r="B300" s="643">
        <f>期初核对!C300</f>
        <v>0</v>
      </c>
      <c r="C300" s="677">
        <f>SUMIFS(调整事项汇总表!$K$7:$K$10020,调整事项汇总表!$D$7:$D$10020,"账项调整",调整事项汇总表!$E$7:$E$10020,IF(OR(MID(TRIM($A300),2,1)="：",MID(TRIM($A300),2,1)="."),REPLACEB(TRIM($A300),1,2,""),TRIM($A300)))</f>
        <v>0</v>
      </c>
      <c r="D300" s="677">
        <f>SUMIFS(调整事项汇总表!$L$7:$L$10020,调整事项汇总表!$D$7:$D$10020,"账项调整",调整事项汇总表!$E$7:$E$10020,IF(OR(MID(TRIM($A300),2,1)="：",MID(TRIM($A300),2,1)="."),REPLACEB(TRIM($A300),1,2,""),TRIM($A300)))</f>
        <v>0</v>
      </c>
      <c r="E300" s="677">
        <f>SUMIFS(调整事项汇总表!$K$7:$K$10020,调整事项汇总表!$D$7:$D$10020,"报表调整",调整事项汇总表!$E$7:$E$10020,IF(OR(MID(TRIM($A300),2,1)="：",MID(TRIM($A300),2,1)="."),REPLACEB(TRIM($A300),1,2,""),TRIM($A300)))</f>
        <v>0</v>
      </c>
      <c r="F300" s="677">
        <f>SUMIFS(调整事项汇总表!$L$7:$L$10020,调整事项汇总表!$D$7:$D$10020,"报表调整",调整事项汇总表!$E$7:$E$10020,IF(OR(MID(TRIM($A300),2,1)="：",MID(TRIM($A300),2,1)="."),REPLACEB(TRIM($A300),1,2,""),TRIM($A300)))</f>
        <v>0</v>
      </c>
      <c r="G300" s="677">
        <f>SUMIFS(调整事项汇总表!$K$7:$K$10020,调整事项汇总表!$D$7:$D$10020,"其他",调整事项汇总表!$E$7:$E$10020,IF(OR(MID(TRIM($A300),2,1)="：",MID(TRIM($A300),2,1)="."),REPLACEB(TRIM($A300),1,2,""),TRIM($A300)))</f>
        <v>0</v>
      </c>
      <c r="H300" s="677">
        <f>SUMIFS(调整事项汇总表!$K$7:$K$10020,调整事项汇总表!$D$7:$D$10020,"其他",调整事项汇总表!$E$7:$E$10020,IF(OR(MID(TRIM($A300),2,1)="：",MID(TRIM($A300),2,1)="."),REPLACEB(TRIM($A300),1,2,""),TRIM($A300)))</f>
        <v>0</v>
      </c>
      <c r="I300" s="762">
        <f t="shared" si="79"/>
        <v>0</v>
      </c>
      <c r="J300" s="425" t="b">
        <f>A300=未审报表!A300</f>
        <v>1</v>
      </c>
      <c r="K300" s="425" t="b">
        <f>A300=审定报表!A300</f>
        <v>1</v>
      </c>
    </row>
    <row r="301" spans="1:11" ht="14.4" customHeight="1">
      <c r="A301" s="777" t="str">
        <f>未审报表!A301</f>
        <v xml:space="preserve">     支付保单红利的现金*</v>
      </c>
      <c r="B301" s="643">
        <f>期初核对!C301</f>
        <v>0</v>
      </c>
      <c r="C301" s="677">
        <f>SUMIFS(调整事项汇总表!$K$7:$K$10020,调整事项汇总表!$D$7:$D$10020,"账项调整",调整事项汇总表!$E$7:$E$10020,IF(OR(MID(TRIM($A301),2,1)="：",MID(TRIM($A301),2,1)="."),REPLACEB(TRIM($A301),1,2,""),TRIM($A301)))</f>
        <v>0</v>
      </c>
      <c r="D301" s="677">
        <f>SUMIFS(调整事项汇总表!$L$7:$L$10020,调整事项汇总表!$D$7:$D$10020,"账项调整",调整事项汇总表!$E$7:$E$10020,IF(OR(MID(TRIM($A301),2,1)="：",MID(TRIM($A301),2,1)="."),REPLACEB(TRIM($A301),1,2,""),TRIM($A301)))</f>
        <v>0</v>
      </c>
      <c r="E301" s="677">
        <f>SUMIFS(调整事项汇总表!$K$7:$K$10020,调整事项汇总表!$D$7:$D$10020,"报表调整",调整事项汇总表!$E$7:$E$10020,IF(OR(MID(TRIM($A301),2,1)="：",MID(TRIM($A301),2,1)="."),REPLACEB(TRIM($A301),1,2,""),TRIM($A301)))</f>
        <v>0</v>
      </c>
      <c r="F301" s="677">
        <f>SUMIFS(调整事项汇总表!$L$7:$L$10020,调整事项汇总表!$D$7:$D$10020,"报表调整",调整事项汇总表!$E$7:$E$10020,IF(OR(MID(TRIM($A301),2,1)="：",MID(TRIM($A301),2,1)="."),REPLACEB(TRIM($A301),1,2,""),TRIM($A301)))</f>
        <v>0</v>
      </c>
      <c r="G301" s="677">
        <f>SUMIFS(调整事项汇总表!$K$7:$K$10020,调整事项汇总表!$D$7:$D$10020,"其他",调整事项汇总表!$E$7:$E$10020,IF(OR(MID(TRIM($A301),2,1)="：",MID(TRIM($A301),2,1)="."),REPLACEB(TRIM($A301),1,2,""),TRIM($A301)))</f>
        <v>0</v>
      </c>
      <c r="H301" s="677">
        <f>SUMIFS(调整事项汇总表!$K$7:$K$10020,调整事项汇总表!$D$7:$D$10020,"其他",调整事项汇总表!$E$7:$E$10020,IF(OR(MID(TRIM($A301),2,1)="：",MID(TRIM($A301),2,1)="."),REPLACEB(TRIM($A301),1,2,""),TRIM($A301)))</f>
        <v>0</v>
      </c>
      <c r="I301" s="762">
        <f t="shared" si="79"/>
        <v>0</v>
      </c>
      <c r="J301" s="425" t="b">
        <f>A301=未审报表!A301</f>
        <v>1</v>
      </c>
      <c r="K301" s="425" t="b">
        <f>A301=审定报表!A301</f>
        <v>1</v>
      </c>
    </row>
    <row r="302" spans="1:11" ht="14.4" customHeight="1">
      <c r="A302" s="777" t="str">
        <f>未审报表!A302</f>
        <v xml:space="preserve">     支付给职工以及为职工支付的现金</v>
      </c>
      <c r="B302" s="643">
        <f>期初核对!C302</f>
        <v>0</v>
      </c>
      <c r="C302" s="677">
        <f>SUMIFS(调整事项汇总表!$K$7:$K$10020,调整事项汇总表!$D$7:$D$10020,"账项调整",调整事项汇总表!$E$7:$E$10020,IF(OR(MID(TRIM($A302),2,1)="：",MID(TRIM($A302),2,1)="."),REPLACEB(TRIM($A302),1,2,""),TRIM($A302)))</f>
        <v>0</v>
      </c>
      <c r="D302" s="677">
        <f>SUMIFS(调整事项汇总表!$L$7:$L$10020,调整事项汇总表!$D$7:$D$10020,"账项调整",调整事项汇总表!$E$7:$E$10020,IF(OR(MID(TRIM($A302),2,1)="：",MID(TRIM($A302),2,1)="."),REPLACEB(TRIM($A302),1,2,""),TRIM($A302)))</f>
        <v>0</v>
      </c>
      <c r="E302" s="677">
        <f>SUMIFS(调整事项汇总表!$K$7:$K$10020,调整事项汇总表!$D$7:$D$10020,"报表调整",调整事项汇总表!$E$7:$E$10020,IF(OR(MID(TRIM($A302),2,1)="：",MID(TRIM($A302),2,1)="."),REPLACEB(TRIM($A302),1,2,""),TRIM($A302)))</f>
        <v>0</v>
      </c>
      <c r="F302" s="677">
        <f>SUMIFS(调整事项汇总表!$L$7:$L$10020,调整事项汇总表!$D$7:$D$10020,"报表调整",调整事项汇总表!$E$7:$E$10020,IF(OR(MID(TRIM($A302),2,1)="：",MID(TRIM($A302),2,1)="."),REPLACEB(TRIM($A302),1,2,""),TRIM($A302)))</f>
        <v>0</v>
      </c>
      <c r="G302" s="677">
        <f>SUMIFS(调整事项汇总表!$K$7:$K$10020,调整事项汇总表!$D$7:$D$10020,"其他",调整事项汇总表!$E$7:$E$10020,IF(OR(MID(TRIM($A302),2,1)="：",MID(TRIM($A302),2,1)="."),REPLACEB(TRIM($A302),1,2,""),TRIM($A302)))</f>
        <v>0</v>
      </c>
      <c r="H302" s="677">
        <f>SUMIFS(调整事项汇总表!$K$7:$K$10020,调整事项汇总表!$D$7:$D$10020,"其他",调整事项汇总表!$E$7:$E$10020,IF(OR(MID(TRIM($A302),2,1)="：",MID(TRIM($A302),2,1)="."),REPLACEB(TRIM($A302),1,2,""),TRIM($A302)))</f>
        <v>0</v>
      </c>
      <c r="I302" s="762">
        <f t="shared" si="79"/>
        <v>0</v>
      </c>
      <c r="J302" s="425" t="b">
        <f>A302=未审报表!A302</f>
        <v>1</v>
      </c>
      <c r="K302" s="425" t="b">
        <f>A302=审定报表!A302</f>
        <v>1</v>
      </c>
    </row>
    <row r="303" spans="1:11" ht="14.4" customHeight="1">
      <c r="A303" s="777" t="str">
        <f>未审报表!A303</f>
        <v xml:space="preserve">     支付各项税费</v>
      </c>
      <c r="B303" s="643">
        <f>期初核对!C303</f>
        <v>0</v>
      </c>
      <c r="C303" s="677">
        <f>SUMIFS(调整事项汇总表!$K$7:$K$10020,调整事项汇总表!$D$7:$D$10020,"账项调整",调整事项汇总表!$E$7:$E$10020,IF(OR(MID(TRIM($A303),2,1)="：",MID(TRIM($A303),2,1)="."),REPLACEB(TRIM($A303),1,2,""),TRIM($A303)))</f>
        <v>0</v>
      </c>
      <c r="D303" s="677">
        <f>SUMIFS(调整事项汇总表!$L$7:$L$10020,调整事项汇总表!$D$7:$D$10020,"账项调整",调整事项汇总表!$E$7:$E$10020,IF(OR(MID(TRIM($A303),2,1)="：",MID(TRIM($A303),2,1)="."),REPLACEB(TRIM($A303),1,2,""),TRIM($A303)))</f>
        <v>0</v>
      </c>
      <c r="E303" s="677">
        <f>SUMIFS(调整事项汇总表!$K$7:$K$10020,调整事项汇总表!$D$7:$D$10020,"报表调整",调整事项汇总表!$E$7:$E$10020,IF(OR(MID(TRIM($A303),2,1)="：",MID(TRIM($A303),2,1)="."),REPLACEB(TRIM($A303),1,2,""),TRIM($A303)))</f>
        <v>0</v>
      </c>
      <c r="F303" s="677">
        <f>SUMIFS(调整事项汇总表!$L$7:$L$10020,调整事项汇总表!$D$7:$D$10020,"报表调整",调整事项汇总表!$E$7:$E$10020,IF(OR(MID(TRIM($A303),2,1)="：",MID(TRIM($A303),2,1)="."),REPLACEB(TRIM($A303),1,2,""),TRIM($A303)))</f>
        <v>0</v>
      </c>
      <c r="G303" s="677">
        <f>SUMIFS(调整事项汇总表!$K$7:$K$10020,调整事项汇总表!$D$7:$D$10020,"其他",调整事项汇总表!$E$7:$E$10020,IF(OR(MID(TRIM($A303),2,1)="：",MID(TRIM($A303),2,1)="."),REPLACEB(TRIM($A303),1,2,""),TRIM($A303)))</f>
        <v>0</v>
      </c>
      <c r="H303" s="677">
        <f>SUMIFS(调整事项汇总表!$K$7:$K$10020,调整事项汇总表!$D$7:$D$10020,"其他",调整事项汇总表!$E$7:$E$10020,IF(OR(MID(TRIM($A303),2,1)="：",MID(TRIM($A303),2,1)="."),REPLACEB(TRIM($A303),1,2,""),TRIM($A303)))</f>
        <v>0</v>
      </c>
      <c r="I303" s="762">
        <f t="shared" si="79"/>
        <v>0</v>
      </c>
      <c r="J303" s="425" t="b">
        <f>A303=未审报表!A303</f>
        <v>1</v>
      </c>
      <c r="K303" s="425" t="b">
        <f>A303=审定报表!A303</f>
        <v>1</v>
      </c>
    </row>
    <row r="304" spans="1:11" ht="14.4" customHeight="1">
      <c r="A304" s="777" t="str">
        <f>未审报表!A304</f>
        <v xml:space="preserve">     支付的其他与经营活动有关的现金</v>
      </c>
      <c r="B304" s="643">
        <f>期初核对!C304</f>
        <v>0</v>
      </c>
      <c r="C304" s="677">
        <f>SUMIFS(调整事项汇总表!$K$7:$K$10020,调整事项汇总表!$D$7:$D$10020,"账项调整",调整事项汇总表!$E$7:$E$10020,IF(OR(MID(TRIM($A304),2,1)="：",MID(TRIM($A304),2,1)="."),REPLACEB(TRIM($A304),1,2,""),TRIM($A304)))</f>
        <v>0</v>
      </c>
      <c r="D304" s="677">
        <f>SUMIFS(调整事项汇总表!$L$7:$L$10020,调整事项汇总表!$D$7:$D$10020,"账项调整",调整事项汇总表!$E$7:$E$10020,IF(OR(MID(TRIM($A304),2,1)="：",MID(TRIM($A304),2,1)="."),REPLACEB(TRIM($A304),1,2,""),TRIM($A304)))</f>
        <v>0</v>
      </c>
      <c r="E304" s="677">
        <f>SUMIFS(调整事项汇总表!$K$7:$K$10020,调整事项汇总表!$D$7:$D$10020,"报表调整",调整事项汇总表!$E$7:$E$10020,IF(OR(MID(TRIM($A304),2,1)="：",MID(TRIM($A304),2,1)="."),REPLACEB(TRIM($A304),1,2,""),TRIM($A304)))</f>
        <v>0</v>
      </c>
      <c r="F304" s="677">
        <f>SUMIFS(调整事项汇总表!$L$7:$L$10020,调整事项汇总表!$D$7:$D$10020,"报表调整",调整事项汇总表!$E$7:$E$10020,IF(OR(MID(TRIM($A304),2,1)="：",MID(TRIM($A304),2,1)="."),REPLACEB(TRIM($A304),1,2,""),TRIM($A304)))</f>
        <v>0</v>
      </c>
      <c r="G304" s="677">
        <f>SUMIFS(调整事项汇总表!$K$7:$K$10020,调整事项汇总表!$D$7:$D$10020,"其他",调整事项汇总表!$E$7:$E$10020,IF(OR(MID(TRIM($A304),2,1)="：",MID(TRIM($A304),2,1)="."),REPLACEB(TRIM($A304),1,2,""),TRIM($A304)))</f>
        <v>0</v>
      </c>
      <c r="H304" s="677">
        <f>SUMIFS(调整事项汇总表!$K$7:$K$10020,调整事项汇总表!$D$7:$D$10020,"其他",调整事项汇总表!$E$7:$E$10020,IF(OR(MID(TRIM($A304),2,1)="：",MID(TRIM($A304),2,1)="."),REPLACEB(TRIM($A304),1,2,""),TRIM($A304)))</f>
        <v>0</v>
      </c>
      <c r="I304" s="762">
        <f t="shared" si="79"/>
        <v>0</v>
      </c>
      <c r="J304" s="425" t="b">
        <f>A304=未审报表!A304</f>
        <v>1</v>
      </c>
      <c r="K304" s="425" t="b">
        <f>A304=审定报表!A304</f>
        <v>1</v>
      </c>
    </row>
    <row r="305" spans="1:11" ht="14.4" customHeight="1">
      <c r="A305" s="777">
        <f>未审报表!A305</f>
        <v>0</v>
      </c>
      <c r="B305" s="423"/>
      <c r="C305" s="400"/>
      <c r="D305" s="400"/>
      <c r="E305" s="400"/>
      <c r="F305" s="400"/>
      <c r="G305" s="400"/>
      <c r="H305" s="400"/>
      <c r="I305" s="727"/>
      <c r="J305" s="425" t="b">
        <f>A305=未审报表!A305</f>
        <v>1</v>
      </c>
      <c r="K305" s="425" t="b">
        <f>A305=审定报表!A305</f>
        <v>1</v>
      </c>
    </row>
    <row r="306" spans="1:11" ht="14.4" customHeight="1">
      <c r="A306" s="776" t="str">
        <f>未审报表!A306</f>
        <v xml:space="preserve">     经营活动现金流出小计</v>
      </c>
      <c r="B306" s="773">
        <f>SUM(B294:B305)</f>
        <v>0</v>
      </c>
      <c r="C306" s="678">
        <f>SUM(C295:C305)</f>
        <v>0</v>
      </c>
      <c r="D306" s="678">
        <f t="shared" ref="D306:H306" si="80">SUM(D295:D305)</f>
        <v>0</v>
      </c>
      <c r="E306" s="678">
        <f t="shared" si="80"/>
        <v>0</v>
      </c>
      <c r="F306" s="678">
        <f t="shared" si="80"/>
        <v>0</v>
      </c>
      <c r="G306" s="678">
        <f t="shared" si="80"/>
        <v>0</v>
      </c>
      <c r="H306" s="678">
        <f t="shared" si="80"/>
        <v>0</v>
      </c>
      <c r="I306" s="763">
        <f>B306+D306+F306+H306-G306-E306-C306</f>
        <v>0</v>
      </c>
      <c r="J306" s="425" t="b">
        <f>A306=未审报表!A306</f>
        <v>1</v>
      </c>
      <c r="K306" s="425" t="b">
        <f>A306=审定报表!A306</f>
        <v>1</v>
      </c>
    </row>
    <row r="307" spans="1:11" ht="14.4" customHeight="1">
      <c r="A307" s="776" t="str">
        <f>未审报表!A307</f>
        <v xml:space="preserve">     经营活动产生的现金流量净额</v>
      </c>
      <c r="B307" s="773">
        <f>B294-B306</f>
        <v>0</v>
      </c>
      <c r="C307" s="678">
        <f>C294-C306</f>
        <v>0</v>
      </c>
      <c r="D307" s="678">
        <f t="shared" ref="D307:H307" si="81">D294-D306</f>
        <v>0</v>
      </c>
      <c r="E307" s="678">
        <f t="shared" si="81"/>
        <v>0</v>
      </c>
      <c r="F307" s="678">
        <f t="shared" si="81"/>
        <v>0</v>
      </c>
      <c r="G307" s="678">
        <f t="shared" si="81"/>
        <v>0</v>
      </c>
      <c r="H307" s="678">
        <f t="shared" si="81"/>
        <v>0</v>
      </c>
      <c r="I307" s="763">
        <f>B307+C307+E307+G307-H307-F307-D307</f>
        <v>0</v>
      </c>
      <c r="J307" s="425" t="b">
        <f>A307=未审报表!A307</f>
        <v>1</v>
      </c>
      <c r="K307" s="425" t="b">
        <f>A307=审定报表!A307</f>
        <v>1</v>
      </c>
    </row>
    <row r="308" spans="1:11" ht="14.4" customHeight="1">
      <c r="A308" s="776" t="str">
        <f>未审报表!A308</f>
        <v>二、投资活动产生的现金流量</v>
      </c>
      <c r="B308" s="432"/>
      <c r="C308" s="711"/>
      <c r="D308" s="711"/>
      <c r="E308" s="711"/>
      <c r="F308" s="711"/>
      <c r="G308" s="711"/>
      <c r="H308" s="711"/>
      <c r="I308" s="728"/>
      <c r="J308" s="425" t="b">
        <f>A308=未审报表!A308</f>
        <v>1</v>
      </c>
      <c r="K308" s="425" t="b">
        <f>A308=审定报表!A308</f>
        <v>1</v>
      </c>
    </row>
    <row r="309" spans="1:11" ht="14.4" customHeight="1">
      <c r="A309" s="777" t="str">
        <f>未审报表!A309</f>
        <v xml:space="preserve">     收回投资所收到的现金</v>
      </c>
      <c r="B309" s="643">
        <f>期初核对!C309</f>
        <v>0</v>
      </c>
      <c r="C309" s="677">
        <f>SUMIFS(调整事项汇总表!$K$7:$K$10020,调整事项汇总表!$D$7:$D$10020,"账项调整",调整事项汇总表!$E$7:$E$10020,IF(OR(MID(TRIM($A309),2,1)="：",MID(TRIM($A309),2,1)="."),REPLACEB(TRIM($A309),1,2,""),TRIM($A309)))</f>
        <v>0</v>
      </c>
      <c r="D309" s="677">
        <f>SUMIFS(调整事项汇总表!$L$7:$L$10020,调整事项汇总表!$D$7:$D$10020,"账项调整",调整事项汇总表!$E$7:$E$10020,IF(OR(MID(TRIM($A309),2,1)="：",MID(TRIM($A309),2,1)="."),REPLACEB(TRIM($A309),1,2,""),TRIM($A309)))</f>
        <v>0</v>
      </c>
      <c r="E309" s="677">
        <f>SUMIFS(调整事项汇总表!$K$7:$K$10020,调整事项汇总表!$D$7:$D$10020,"报表调整",调整事项汇总表!$E$7:$E$10020,IF(OR(MID(TRIM($A309),2,1)="：",MID(TRIM($A309),2,1)="."),REPLACEB(TRIM($A309),1,2,""),TRIM($A309)))</f>
        <v>0</v>
      </c>
      <c r="F309" s="677">
        <f>SUMIFS(调整事项汇总表!$L$7:$L$10020,调整事项汇总表!$D$7:$D$10020,"报表调整",调整事项汇总表!$E$7:$E$10020,IF(OR(MID(TRIM($A309),2,1)="：",MID(TRIM($A309),2,1)="."),REPLACEB(TRIM($A309),1,2,""),TRIM($A309)))</f>
        <v>0</v>
      </c>
      <c r="G309" s="677">
        <f>SUMIFS(调整事项汇总表!$K$7:$K$10020,调整事项汇总表!$D$7:$D$10020,"其他",调整事项汇总表!$E$7:$E$10020,IF(OR(MID(TRIM($A309),2,1)="：",MID(TRIM($A309),2,1)="."),REPLACEB(TRIM($A309),1,2,""),TRIM($A309)))</f>
        <v>0</v>
      </c>
      <c r="H309" s="677">
        <f>SUMIFS(调整事项汇总表!$K$7:$K$10020,调整事项汇总表!$D$7:$D$10020,"其他",调整事项汇总表!$E$7:$E$10020,IF(OR(MID(TRIM($A309),2,1)="：",MID(TRIM($A309),2,1)="."),REPLACEB(TRIM($A309),1,2,""),TRIM($A309)))</f>
        <v>0</v>
      </c>
      <c r="I309" s="762">
        <f>B309+C309+E309+G309-H309-F309-D309</f>
        <v>0</v>
      </c>
      <c r="J309" s="425" t="b">
        <f>A309=未审报表!A309</f>
        <v>1</v>
      </c>
      <c r="K309" s="425" t="b">
        <f>A309=审定报表!A309</f>
        <v>1</v>
      </c>
    </row>
    <row r="310" spans="1:11" ht="14.4" customHeight="1">
      <c r="A310" s="777" t="str">
        <f>未审报表!A310</f>
        <v xml:space="preserve">     取得投资收益所收到的现金</v>
      </c>
      <c r="B310" s="643">
        <f>期初核对!C310</f>
        <v>0</v>
      </c>
      <c r="C310" s="677">
        <f>SUMIFS(调整事项汇总表!$K$7:$K$10020,调整事项汇总表!$D$7:$D$10020,"账项调整",调整事项汇总表!$E$7:$E$10020,IF(OR(MID(TRIM($A310),2,1)="：",MID(TRIM($A310),2,1)="."),REPLACEB(TRIM($A310),1,2,""),TRIM($A310)))</f>
        <v>0</v>
      </c>
      <c r="D310" s="677">
        <f>SUMIFS(调整事项汇总表!$L$7:$L$10020,调整事项汇总表!$D$7:$D$10020,"账项调整",调整事项汇总表!$E$7:$E$10020,IF(OR(MID(TRIM($A310),2,1)="：",MID(TRIM($A310),2,1)="."),REPLACEB(TRIM($A310),1,2,""),TRIM($A310)))</f>
        <v>0</v>
      </c>
      <c r="E310" s="677">
        <f>SUMIFS(调整事项汇总表!$K$7:$K$10020,调整事项汇总表!$D$7:$D$10020,"报表调整",调整事项汇总表!$E$7:$E$10020,IF(OR(MID(TRIM($A310),2,1)="：",MID(TRIM($A310),2,1)="."),REPLACEB(TRIM($A310),1,2,""),TRIM($A310)))</f>
        <v>0</v>
      </c>
      <c r="F310" s="677">
        <f>SUMIFS(调整事项汇总表!$L$7:$L$10020,调整事项汇总表!$D$7:$D$10020,"报表调整",调整事项汇总表!$E$7:$E$10020,IF(OR(MID(TRIM($A310),2,1)="：",MID(TRIM($A310),2,1)="."),REPLACEB(TRIM($A310),1,2,""),TRIM($A310)))</f>
        <v>0</v>
      </c>
      <c r="G310" s="677">
        <f>SUMIFS(调整事项汇总表!$K$7:$K$10020,调整事项汇总表!$D$7:$D$10020,"其他",调整事项汇总表!$E$7:$E$10020,IF(OR(MID(TRIM($A310),2,1)="：",MID(TRIM($A310),2,1)="."),REPLACEB(TRIM($A310),1,2,""),TRIM($A310)))</f>
        <v>0</v>
      </c>
      <c r="H310" s="677">
        <f>SUMIFS(调整事项汇总表!$K$7:$K$10020,调整事项汇总表!$D$7:$D$10020,"其他",调整事项汇总表!$E$7:$E$10020,IF(OR(MID(TRIM($A310),2,1)="：",MID(TRIM($A310),2,1)="."),REPLACEB(TRIM($A310),1,2,""),TRIM($A310)))</f>
        <v>0</v>
      </c>
      <c r="I310" s="762">
        <f t="shared" ref="I310:I315" si="82">B310+C310+E310+G310-H310-F310-D310</f>
        <v>0</v>
      </c>
      <c r="J310" s="425" t="b">
        <f>A310=未审报表!A310</f>
        <v>1</v>
      </c>
      <c r="K310" s="425" t="b">
        <f>A310=审定报表!A310</f>
        <v>1</v>
      </c>
    </row>
    <row r="311" spans="1:11" ht="14.4" customHeight="1">
      <c r="A311" s="777" t="str">
        <f>未审报表!A311</f>
        <v xml:space="preserve">     处置固定资产、无形资产和其他长期资产而收到的现金净额</v>
      </c>
      <c r="B311" s="643">
        <f>期初核对!C311</f>
        <v>0</v>
      </c>
      <c r="C311" s="677">
        <f>SUMIFS(调整事项汇总表!$K$7:$K$10020,调整事项汇总表!$D$7:$D$10020,"账项调整",调整事项汇总表!$E$7:$E$10020,IF(OR(MID(TRIM($A311),2,1)="：",MID(TRIM($A311),2,1)="."),REPLACEB(TRIM($A311),1,2,""),TRIM($A311)))</f>
        <v>0</v>
      </c>
      <c r="D311" s="677">
        <f>SUMIFS(调整事项汇总表!$L$7:$L$10020,调整事项汇总表!$D$7:$D$10020,"账项调整",调整事项汇总表!$E$7:$E$10020,IF(OR(MID(TRIM($A311),2,1)="：",MID(TRIM($A311),2,1)="."),REPLACEB(TRIM($A311),1,2,""),TRIM($A311)))</f>
        <v>0</v>
      </c>
      <c r="E311" s="677">
        <f>SUMIFS(调整事项汇总表!$K$7:$K$10020,调整事项汇总表!$D$7:$D$10020,"报表调整",调整事项汇总表!$E$7:$E$10020,IF(OR(MID(TRIM($A311),2,1)="：",MID(TRIM($A311),2,1)="."),REPLACEB(TRIM($A311),1,2,""),TRIM($A311)))</f>
        <v>0</v>
      </c>
      <c r="F311" s="677">
        <f>SUMIFS(调整事项汇总表!$L$7:$L$10020,调整事项汇总表!$D$7:$D$10020,"报表调整",调整事项汇总表!$E$7:$E$10020,IF(OR(MID(TRIM($A311),2,1)="：",MID(TRIM($A311),2,1)="."),REPLACEB(TRIM($A311),1,2,""),TRIM($A311)))</f>
        <v>0</v>
      </c>
      <c r="G311" s="677">
        <f>SUMIFS(调整事项汇总表!$K$7:$K$10020,调整事项汇总表!$D$7:$D$10020,"其他",调整事项汇总表!$E$7:$E$10020,IF(OR(MID(TRIM($A311),2,1)="：",MID(TRIM($A311),2,1)="."),REPLACEB(TRIM($A311),1,2,""),TRIM($A311)))</f>
        <v>0</v>
      </c>
      <c r="H311" s="677">
        <f>SUMIFS(调整事项汇总表!$K$7:$K$10020,调整事项汇总表!$D$7:$D$10020,"其他",调整事项汇总表!$E$7:$E$10020,IF(OR(MID(TRIM($A311),2,1)="：",MID(TRIM($A311),2,1)="."),REPLACEB(TRIM($A311),1,2,""),TRIM($A311)))</f>
        <v>0</v>
      </c>
      <c r="I311" s="762">
        <f t="shared" si="82"/>
        <v>0</v>
      </c>
      <c r="J311" s="425" t="b">
        <f>A311=未审报表!A311</f>
        <v>1</v>
      </c>
      <c r="K311" s="425" t="b">
        <f>A311=审定报表!A311</f>
        <v>1</v>
      </c>
    </row>
    <row r="312" spans="1:11" ht="14.4" customHeight="1">
      <c r="A312" s="777" t="str">
        <f>未审报表!A312</f>
        <v xml:space="preserve">     处置子公司及其他营业单位收到的现金净额</v>
      </c>
      <c r="B312" s="643">
        <f>期初核对!C312</f>
        <v>0</v>
      </c>
      <c r="C312" s="677">
        <f>SUMIFS(调整事项汇总表!$K$7:$K$10020,调整事项汇总表!$D$7:$D$10020,"账项调整",调整事项汇总表!$E$7:$E$10020,IF(OR(MID(TRIM($A312),2,1)="：",MID(TRIM($A312),2,1)="."),REPLACEB(TRIM($A312),1,2,""),TRIM($A312)))</f>
        <v>0</v>
      </c>
      <c r="D312" s="677">
        <f>SUMIFS(调整事项汇总表!$L$7:$L$10020,调整事项汇总表!$D$7:$D$10020,"账项调整",调整事项汇总表!$E$7:$E$10020,IF(OR(MID(TRIM($A312),2,1)="：",MID(TRIM($A312),2,1)="."),REPLACEB(TRIM($A312),1,2,""),TRIM($A312)))</f>
        <v>0</v>
      </c>
      <c r="E312" s="677">
        <f>SUMIFS(调整事项汇总表!$K$7:$K$10020,调整事项汇总表!$D$7:$D$10020,"报表调整",调整事项汇总表!$E$7:$E$10020,IF(OR(MID(TRIM($A312),2,1)="：",MID(TRIM($A312),2,1)="."),REPLACEB(TRIM($A312),1,2,""),TRIM($A312)))</f>
        <v>0</v>
      </c>
      <c r="F312" s="677">
        <f>SUMIFS(调整事项汇总表!$L$7:$L$10020,调整事项汇总表!$D$7:$D$10020,"报表调整",调整事项汇总表!$E$7:$E$10020,IF(OR(MID(TRIM($A312),2,1)="：",MID(TRIM($A312),2,1)="."),REPLACEB(TRIM($A312),1,2,""),TRIM($A312)))</f>
        <v>0</v>
      </c>
      <c r="G312" s="677">
        <f>SUMIFS(调整事项汇总表!$K$7:$K$10020,调整事项汇总表!$D$7:$D$10020,"其他",调整事项汇总表!$E$7:$E$10020,IF(OR(MID(TRIM($A312),2,1)="：",MID(TRIM($A312),2,1)="."),REPLACEB(TRIM($A312),1,2,""),TRIM($A312)))</f>
        <v>0</v>
      </c>
      <c r="H312" s="677">
        <f>SUMIFS(调整事项汇总表!$K$7:$K$10020,调整事项汇总表!$D$7:$D$10020,"其他",调整事项汇总表!$E$7:$E$10020,IF(OR(MID(TRIM($A312),2,1)="：",MID(TRIM($A312),2,1)="."),REPLACEB(TRIM($A312),1,2,""),TRIM($A312)))</f>
        <v>0</v>
      </c>
      <c r="I312" s="762">
        <f t="shared" si="82"/>
        <v>0</v>
      </c>
      <c r="J312" s="425" t="b">
        <f>A312=未审报表!A312</f>
        <v>1</v>
      </c>
      <c r="K312" s="425" t="b">
        <f>A312=审定报表!A312</f>
        <v>1</v>
      </c>
    </row>
    <row r="313" spans="1:11" ht="14.4" customHeight="1">
      <c r="A313" s="777" t="str">
        <f>未审报表!A313</f>
        <v xml:space="preserve">     收到其他与投资活动有关的现金</v>
      </c>
      <c r="B313" s="643">
        <f>期初核对!C313</f>
        <v>0</v>
      </c>
      <c r="C313" s="677">
        <f>SUMIFS(调整事项汇总表!$K$7:$K$10020,调整事项汇总表!$D$7:$D$10020,"账项调整",调整事项汇总表!$E$7:$E$10020,IF(OR(MID(TRIM($A313),2,1)="：",MID(TRIM($A313),2,1)="."),REPLACEB(TRIM($A313),1,2,""),TRIM($A313)))</f>
        <v>0</v>
      </c>
      <c r="D313" s="677">
        <f>SUMIFS(调整事项汇总表!$L$7:$L$10020,调整事项汇总表!$D$7:$D$10020,"账项调整",调整事项汇总表!$E$7:$E$10020,IF(OR(MID(TRIM($A313),2,1)="：",MID(TRIM($A313),2,1)="."),REPLACEB(TRIM($A313),1,2,""),TRIM($A313)))</f>
        <v>0</v>
      </c>
      <c r="E313" s="677">
        <f>SUMIFS(调整事项汇总表!$K$7:$K$10020,调整事项汇总表!$D$7:$D$10020,"报表调整",调整事项汇总表!$E$7:$E$10020,IF(OR(MID(TRIM($A313),2,1)="：",MID(TRIM($A313),2,1)="."),REPLACEB(TRIM($A313),1,2,""),TRIM($A313)))</f>
        <v>0</v>
      </c>
      <c r="F313" s="677">
        <f>SUMIFS(调整事项汇总表!$L$7:$L$10020,调整事项汇总表!$D$7:$D$10020,"报表调整",调整事项汇总表!$E$7:$E$10020,IF(OR(MID(TRIM($A313),2,1)="：",MID(TRIM($A313),2,1)="."),REPLACEB(TRIM($A313),1,2,""),TRIM($A313)))</f>
        <v>0</v>
      </c>
      <c r="G313" s="677">
        <f>SUMIFS(调整事项汇总表!$K$7:$K$10020,调整事项汇总表!$D$7:$D$10020,"其他",调整事项汇总表!$E$7:$E$10020,IF(OR(MID(TRIM($A313),2,1)="：",MID(TRIM($A313),2,1)="."),REPLACEB(TRIM($A313),1,2,""),TRIM($A313)))</f>
        <v>0</v>
      </c>
      <c r="H313" s="677">
        <f>SUMIFS(调整事项汇总表!$K$7:$K$10020,调整事项汇总表!$D$7:$D$10020,"其他",调整事项汇总表!$E$7:$E$10020,IF(OR(MID(TRIM($A313),2,1)="：",MID(TRIM($A313),2,1)="."),REPLACEB(TRIM($A313),1,2,""),TRIM($A313)))</f>
        <v>0</v>
      </c>
      <c r="I313" s="762">
        <f t="shared" si="82"/>
        <v>0</v>
      </c>
      <c r="J313" s="425" t="b">
        <f>A313=未审报表!A313</f>
        <v>1</v>
      </c>
      <c r="K313" s="425" t="b">
        <f>A313=审定报表!A313</f>
        <v>1</v>
      </c>
    </row>
    <row r="314" spans="1:11" ht="14.4" customHeight="1">
      <c r="A314" s="777">
        <f>未审报表!A314</f>
        <v>0</v>
      </c>
      <c r="B314" s="423"/>
      <c r="C314" s="400"/>
      <c r="D314" s="400"/>
      <c r="E314" s="400"/>
      <c r="F314" s="400"/>
      <c r="G314" s="400"/>
      <c r="H314" s="400"/>
      <c r="I314" s="727">
        <f t="shared" si="82"/>
        <v>0</v>
      </c>
      <c r="J314" s="425" t="b">
        <f>A314=未审报表!A314</f>
        <v>1</v>
      </c>
      <c r="K314" s="425" t="b">
        <f>A314=审定报表!A314</f>
        <v>1</v>
      </c>
    </row>
    <row r="315" spans="1:11" ht="14.4" customHeight="1">
      <c r="A315" s="776" t="str">
        <f>未审报表!A315</f>
        <v xml:space="preserve">     投资活动现金流入小计</v>
      </c>
      <c r="B315" s="773">
        <f>SUM(B309:B314)</f>
        <v>0</v>
      </c>
      <c r="C315" s="678">
        <f>SUM(C309:C314)</f>
        <v>0</v>
      </c>
      <c r="D315" s="678">
        <f t="shared" ref="D315:H315" si="83">SUM(D309:D314)</f>
        <v>0</v>
      </c>
      <c r="E315" s="678">
        <f t="shared" si="83"/>
        <v>0</v>
      </c>
      <c r="F315" s="678">
        <f t="shared" si="83"/>
        <v>0</v>
      </c>
      <c r="G315" s="678">
        <f t="shared" si="83"/>
        <v>0</v>
      </c>
      <c r="H315" s="678">
        <f t="shared" si="83"/>
        <v>0</v>
      </c>
      <c r="I315" s="763">
        <f t="shared" si="82"/>
        <v>0</v>
      </c>
      <c r="J315" s="425" t="b">
        <f>A315=未审报表!A315</f>
        <v>1</v>
      </c>
      <c r="K315" s="425" t="b">
        <f>A315=审定报表!A315</f>
        <v>1</v>
      </c>
    </row>
    <row r="316" spans="1:11" ht="14.4" customHeight="1">
      <c r="A316" s="777" t="str">
        <f>未审报表!A316</f>
        <v xml:space="preserve">     购置固定资产、无形资产和其他长期资产所支付现金 </v>
      </c>
      <c r="B316" s="643">
        <f>期初核对!C316</f>
        <v>0</v>
      </c>
      <c r="C316" s="677">
        <f>SUMIFS(调整事项汇总表!$K$7:$K$10020,调整事项汇总表!$D$7:$D$10020,"账项调整",调整事项汇总表!$E$7:$E$10020,IF(OR(MID(TRIM($A316),2,1)="：",MID(TRIM($A316),2,1)="."),REPLACEB(TRIM($A316),1,2,""),TRIM($A316)))</f>
        <v>0</v>
      </c>
      <c r="D316" s="677">
        <f>SUMIFS(调整事项汇总表!$L$7:$L$10020,调整事项汇总表!$D$7:$D$10020,"账项调整",调整事项汇总表!$E$7:$E$10020,IF(OR(MID(TRIM($A316),2,1)="：",MID(TRIM($A316),2,1)="."),REPLACEB(TRIM($A316),1,2,""),TRIM($A316)))</f>
        <v>0</v>
      </c>
      <c r="E316" s="677">
        <f>SUMIFS(调整事项汇总表!$K$7:$K$10020,调整事项汇总表!$D$7:$D$10020,"报表调整",调整事项汇总表!$E$7:$E$10020,IF(OR(MID(TRIM($A316),2,1)="：",MID(TRIM($A316),2,1)="."),REPLACEB(TRIM($A316),1,2,""),TRIM($A316)))</f>
        <v>0</v>
      </c>
      <c r="F316" s="677">
        <f>SUMIFS(调整事项汇总表!$L$7:$L$10020,调整事项汇总表!$D$7:$D$10020,"报表调整",调整事项汇总表!$E$7:$E$10020,IF(OR(MID(TRIM($A316),2,1)="：",MID(TRIM($A316),2,1)="."),REPLACEB(TRIM($A316),1,2,""),TRIM($A316)))</f>
        <v>0</v>
      </c>
      <c r="G316" s="677">
        <f>SUMIFS(调整事项汇总表!$K$7:$K$10020,调整事项汇总表!$D$7:$D$10020,"其他",调整事项汇总表!$E$7:$E$10020,IF(OR(MID(TRIM($A316),2,1)="：",MID(TRIM($A316),2,1)="."),REPLACEB(TRIM($A316),1,2,""),TRIM($A316)))</f>
        <v>0</v>
      </c>
      <c r="H316" s="677">
        <f>SUMIFS(调整事项汇总表!$K$7:$K$10020,调整事项汇总表!$D$7:$D$10020,"其他",调整事项汇总表!$E$7:$E$10020,IF(OR(MID(TRIM($A316),2,1)="：",MID(TRIM($A316),2,1)="."),REPLACEB(TRIM($A316),1,2,""),TRIM($A316)))</f>
        <v>0</v>
      </c>
      <c r="I316" s="762">
        <f>B316+D316+F316+H316-G316-E316-C316</f>
        <v>0</v>
      </c>
      <c r="J316" s="425" t="b">
        <f>A316=未审报表!A316</f>
        <v>1</v>
      </c>
      <c r="K316" s="425" t="b">
        <f>A316=审定报表!A316</f>
        <v>1</v>
      </c>
    </row>
    <row r="317" spans="1:11" ht="14.4" customHeight="1">
      <c r="A317" s="777" t="str">
        <f>未审报表!A317</f>
        <v xml:space="preserve">     投资所支付的现金</v>
      </c>
      <c r="B317" s="643">
        <f>期初核对!C317</f>
        <v>0</v>
      </c>
      <c r="C317" s="677">
        <f>SUMIFS(调整事项汇总表!$K$7:$K$10020,调整事项汇总表!$D$7:$D$10020,"账项调整",调整事项汇总表!$E$7:$E$10020,IF(OR(MID(TRIM($A317),2,1)="：",MID(TRIM($A317),2,1)="."),REPLACEB(TRIM($A317),1,2,""),TRIM($A317)))</f>
        <v>0</v>
      </c>
      <c r="D317" s="677">
        <f>SUMIFS(调整事项汇总表!$L$7:$L$10020,调整事项汇总表!$D$7:$D$10020,"账项调整",调整事项汇总表!$E$7:$E$10020,IF(OR(MID(TRIM($A317),2,1)="：",MID(TRIM($A317),2,1)="."),REPLACEB(TRIM($A317),1,2,""),TRIM($A317)))</f>
        <v>0</v>
      </c>
      <c r="E317" s="677">
        <f>SUMIFS(调整事项汇总表!$K$7:$K$10020,调整事项汇总表!$D$7:$D$10020,"报表调整",调整事项汇总表!$E$7:$E$10020,IF(OR(MID(TRIM($A317),2,1)="：",MID(TRIM($A317),2,1)="."),REPLACEB(TRIM($A317),1,2,""),TRIM($A317)))</f>
        <v>0</v>
      </c>
      <c r="F317" s="677">
        <f>SUMIFS(调整事项汇总表!$L$7:$L$10020,调整事项汇总表!$D$7:$D$10020,"报表调整",调整事项汇总表!$E$7:$E$10020,IF(OR(MID(TRIM($A317),2,1)="：",MID(TRIM($A317),2,1)="."),REPLACEB(TRIM($A317),1,2,""),TRIM($A317)))</f>
        <v>0</v>
      </c>
      <c r="G317" s="677">
        <f>SUMIFS(调整事项汇总表!$K$7:$K$10020,调整事项汇总表!$D$7:$D$10020,"其他",调整事项汇总表!$E$7:$E$10020,IF(OR(MID(TRIM($A317),2,1)="：",MID(TRIM($A317),2,1)="."),REPLACEB(TRIM($A317),1,2,""),TRIM($A317)))</f>
        <v>0</v>
      </c>
      <c r="H317" s="677">
        <f>SUMIFS(调整事项汇总表!$K$7:$K$10020,调整事项汇总表!$D$7:$D$10020,"其他",调整事项汇总表!$E$7:$E$10020,IF(OR(MID(TRIM($A317),2,1)="：",MID(TRIM($A317),2,1)="."),REPLACEB(TRIM($A317),1,2,""),TRIM($A317)))</f>
        <v>0</v>
      </c>
      <c r="I317" s="762">
        <f t="shared" ref="I317:I320" si="84">B317+D317+F317+H317-G317-E317-C317</f>
        <v>0</v>
      </c>
      <c r="J317" s="425" t="b">
        <f>A317=未审报表!A317</f>
        <v>1</v>
      </c>
      <c r="K317" s="425" t="b">
        <f>A317=审定报表!A317</f>
        <v>1</v>
      </c>
    </row>
    <row r="318" spans="1:11" ht="14.4" customHeight="1">
      <c r="A318" s="777" t="str">
        <f>未审报表!A318</f>
        <v xml:space="preserve">    质押贷款净增加额*</v>
      </c>
      <c r="B318" s="643">
        <f>期初核对!C318</f>
        <v>0</v>
      </c>
      <c r="C318" s="677">
        <f>SUMIFS(调整事项汇总表!$K$7:$K$10020,调整事项汇总表!$D$7:$D$10020,"账项调整",调整事项汇总表!$E$7:$E$10020,IF(OR(MID(TRIM($A318),2,1)="：",MID(TRIM($A318),2,1)="."),REPLACEB(TRIM($A318),1,2,""),TRIM($A318)))</f>
        <v>0</v>
      </c>
      <c r="D318" s="677">
        <f>SUMIFS(调整事项汇总表!$L$7:$L$10020,调整事项汇总表!$D$7:$D$10020,"账项调整",调整事项汇总表!$E$7:$E$10020,IF(OR(MID(TRIM($A318),2,1)="：",MID(TRIM($A318),2,1)="."),REPLACEB(TRIM($A318),1,2,""),TRIM($A318)))</f>
        <v>0</v>
      </c>
      <c r="E318" s="677">
        <f>SUMIFS(调整事项汇总表!$K$7:$K$10020,调整事项汇总表!$D$7:$D$10020,"报表调整",调整事项汇总表!$E$7:$E$10020,IF(OR(MID(TRIM($A318),2,1)="：",MID(TRIM($A318),2,1)="."),REPLACEB(TRIM($A318),1,2,""),TRIM($A318)))</f>
        <v>0</v>
      </c>
      <c r="F318" s="677">
        <f>SUMIFS(调整事项汇总表!$L$7:$L$10020,调整事项汇总表!$D$7:$D$10020,"报表调整",调整事项汇总表!$E$7:$E$10020,IF(OR(MID(TRIM($A318),2,1)="：",MID(TRIM($A318),2,1)="."),REPLACEB(TRIM($A318),1,2,""),TRIM($A318)))</f>
        <v>0</v>
      </c>
      <c r="G318" s="677">
        <f>SUMIFS(调整事项汇总表!$K$7:$K$10020,调整事项汇总表!$D$7:$D$10020,"其他",调整事项汇总表!$E$7:$E$10020,IF(OR(MID(TRIM($A318),2,1)="：",MID(TRIM($A318),2,1)="."),REPLACEB(TRIM($A318),1,2,""),TRIM($A318)))</f>
        <v>0</v>
      </c>
      <c r="H318" s="677">
        <f>SUMIFS(调整事项汇总表!$K$7:$K$10020,调整事项汇总表!$D$7:$D$10020,"其他",调整事项汇总表!$E$7:$E$10020,IF(OR(MID(TRIM($A318),2,1)="：",MID(TRIM($A318),2,1)="."),REPLACEB(TRIM($A318),1,2,""),TRIM($A318)))</f>
        <v>0</v>
      </c>
      <c r="I318" s="762">
        <f t="shared" si="84"/>
        <v>0</v>
      </c>
      <c r="J318" s="425" t="b">
        <f>A318=未审报表!A318</f>
        <v>1</v>
      </c>
      <c r="K318" s="425" t="b">
        <f>A318=审定报表!A318</f>
        <v>1</v>
      </c>
    </row>
    <row r="319" spans="1:11" ht="14.4" customHeight="1">
      <c r="A319" s="777" t="str">
        <f>未审报表!A319</f>
        <v xml:space="preserve">     取得子公司及其他营业单位支付的现金净额</v>
      </c>
      <c r="B319" s="643">
        <f>期初核对!C319</f>
        <v>0</v>
      </c>
      <c r="C319" s="677">
        <f>SUMIFS(调整事项汇总表!$K$7:$K$10020,调整事项汇总表!$D$7:$D$10020,"账项调整",调整事项汇总表!$E$7:$E$10020,IF(OR(MID(TRIM($A319),2,1)="：",MID(TRIM($A319),2,1)="."),REPLACEB(TRIM($A319),1,2,""),TRIM($A319)))</f>
        <v>0</v>
      </c>
      <c r="D319" s="677">
        <f>SUMIFS(调整事项汇总表!$L$7:$L$10020,调整事项汇总表!$D$7:$D$10020,"账项调整",调整事项汇总表!$E$7:$E$10020,IF(OR(MID(TRIM($A319),2,1)="：",MID(TRIM($A319),2,1)="."),REPLACEB(TRIM($A319),1,2,""),TRIM($A319)))</f>
        <v>0</v>
      </c>
      <c r="E319" s="677">
        <f>SUMIFS(调整事项汇总表!$K$7:$K$10020,调整事项汇总表!$D$7:$D$10020,"报表调整",调整事项汇总表!$E$7:$E$10020,IF(OR(MID(TRIM($A319),2,1)="：",MID(TRIM($A319),2,1)="."),REPLACEB(TRIM($A319),1,2,""),TRIM($A319)))</f>
        <v>0</v>
      </c>
      <c r="F319" s="677">
        <f>SUMIFS(调整事项汇总表!$L$7:$L$10020,调整事项汇总表!$D$7:$D$10020,"报表调整",调整事项汇总表!$E$7:$E$10020,IF(OR(MID(TRIM($A319),2,1)="：",MID(TRIM($A319),2,1)="."),REPLACEB(TRIM($A319),1,2,""),TRIM($A319)))</f>
        <v>0</v>
      </c>
      <c r="G319" s="677">
        <f>SUMIFS(调整事项汇总表!$K$7:$K$10020,调整事项汇总表!$D$7:$D$10020,"其他",调整事项汇总表!$E$7:$E$10020,IF(OR(MID(TRIM($A319),2,1)="：",MID(TRIM($A319),2,1)="."),REPLACEB(TRIM($A319),1,2,""),TRIM($A319)))</f>
        <v>0</v>
      </c>
      <c r="H319" s="677">
        <f>SUMIFS(调整事项汇总表!$K$7:$K$10020,调整事项汇总表!$D$7:$D$10020,"其他",调整事项汇总表!$E$7:$E$10020,IF(OR(MID(TRIM($A319),2,1)="：",MID(TRIM($A319),2,1)="."),REPLACEB(TRIM($A319),1,2,""),TRIM($A319)))</f>
        <v>0</v>
      </c>
      <c r="I319" s="762">
        <f t="shared" si="84"/>
        <v>0</v>
      </c>
      <c r="J319" s="425" t="b">
        <f>A319=未审报表!A319</f>
        <v>1</v>
      </c>
      <c r="K319" s="425" t="b">
        <f>A319=审定报表!A319</f>
        <v>1</v>
      </c>
    </row>
    <row r="320" spans="1:11" ht="14.4" customHeight="1">
      <c r="A320" s="777" t="str">
        <f>未审报表!A320</f>
        <v xml:space="preserve">     支付其他与投资活动有关的现金</v>
      </c>
      <c r="B320" s="643">
        <f>期初核对!C320</f>
        <v>0</v>
      </c>
      <c r="C320" s="677">
        <f>SUMIFS(调整事项汇总表!$K$7:$K$10020,调整事项汇总表!$D$7:$D$10020,"账项调整",调整事项汇总表!$E$7:$E$10020,IF(OR(MID(TRIM($A320),2,1)="：",MID(TRIM($A320),2,1)="."),REPLACEB(TRIM($A320),1,2,""),TRIM($A320)))</f>
        <v>0</v>
      </c>
      <c r="D320" s="677">
        <f>SUMIFS(调整事项汇总表!$L$7:$L$10020,调整事项汇总表!$D$7:$D$10020,"账项调整",调整事项汇总表!$E$7:$E$10020,IF(OR(MID(TRIM($A320),2,1)="：",MID(TRIM($A320),2,1)="."),REPLACEB(TRIM($A320),1,2,""),TRIM($A320)))</f>
        <v>0</v>
      </c>
      <c r="E320" s="677">
        <f>SUMIFS(调整事项汇总表!$K$7:$K$10020,调整事项汇总表!$D$7:$D$10020,"报表调整",调整事项汇总表!$E$7:$E$10020,IF(OR(MID(TRIM($A320),2,1)="：",MID(TRIM($A320),2,1)="."),REPLACEB(TRIM($A320),1,2,""),TRIM($A320)))</f>
        <v>0</v>
      </c>
      <c r="F320" s="677">
        <f>SUMIFS(调整事项汇总表!$L$7:$L$10020,调整事项汇总表!$D$7:$D$10020,"报表调整",调整事项汇总表!$E$7:$E$10020,IF(OR(MID(TRIM($A320),2,1)="：",MID(TRIM($A320),2,1)="."),REPLACEB(TRIM($A320),1,2,""),TRIM($A320)))</f>
        <v>0</v>
      </c>
      <c r="G320" s="677">
        <f>SUMIFS(调整事项汇总表!$K$7:$K$10020,调整事项汇总表!$D$7:$D$10020,"其他",调整事项汇总表!$E$7:$E$10020,IF(OR(MID(TRIM($A320),2,1)="：",MID(TRIM($A320),2,1)="."),REPLACEB(TRIM($A320),1,2,""),TRIM($A320)))</f>
        <v>0</v>
      </c>
      <c r="H320" s="677">
        <f>SUMIFS(调整事项汇总表!$K$7:$K$10020,调整事项汇总表!$D$7:$D$10020,"其他",调整事项汇总表!$E$7:$E$10020,IF(OR(MID(TRIM($A320),2,1)="：",MID(TRIM($A320),2,1)="."),REPLACEB(TRIM($A320),1,2,""),TRIM($A320)))</f>
        <v>0</v>
      </c>
      <c r="I320" s="762">
        <f t="shared" si="84"/>
        <v>0</v>
      </c>
      <c r="J320" s="425" t="b">
        <f>A320=未审报表!A320</f>
        <v>1</v>
      </c>
      <c r="K320" s="425" t="b">
        <f>A320=审定报表!A320</f>
        <v>1</v>
      </c>
    </row>
    <row r="321" spans="1:11" ht="14.4" customHeight="1">
      <c r="A321" s="777">
        <f>未审报表!A321</f>
        <v>0</v>
      </c>
      <c r="B321" s="423"/>
      <c r="C321" s="400"/>
      <c r="D321" s="400"/>
      <c r="E321" s="400"/>
      <c r="F321" s="400"/>
      <c r="G321" s="400"/>
      <c r="H321" s="400"/>
      <c r="I321" s="727"/>
      <c r="J321" s="425" t="b">
        <f>A321=未审报表!A321</f>
        <v>1</v>
      </c>
      <c r="K321" s="425" t="b">
        <f>A321=审定报表!A321</f>
        <v>1</v>
      </c>
    </row>
    <row r="322" spans="1:11" ht="14.4" customHeight="1">
      <c r="A322" s="776" t="str">
        <f>未审报表!A322</f>
        <v xml:space="preserve">      投资活动现金流出小计</v>
      </c>
      <c r="B322" s="773">
        <f>SUM(B316:B321)</f>
        <v>0</v>
      </c>
      <c r="C322" s="678">
        <f>SUM(C316:C321)</f>
        <v>0</v>
      </c>
      <c r="D322" s="678">
        <f t="shared" ref="D322:H322" si="85">SUM(D316:D321)</f>
        <v>0</v>
      </c>
      <c r="E322" s="678">
        <f t="shared" si="85"/>
        <v>0</v>
      </c>
      <c r="F322" s="678">
        <f t="shared" si="85"/>
        <v>0</v>
      </c>
      <c r="G322" s="678">
        <f t="shared" si="85"/>
        <v>0</v>
      </c>
      <c r="H322" s="678">
        <f t="shared" si="85"/>
        <v>0</v>
      </c>
      <c r="I322" s="763">
        <f>B322+D322+F322+H322-G322-E322-C322</f>
        <v>0</v>
      </c>
      <c r="J322" s="425" t="b">
        <f>A322=未审报表!A322</f>
        <v>1</v>
      </c>
      <c r="K322" s="425" t="b">
        <f>A322=审定报表!A322</f>
        <v>1</v>
      </c>
    </row>
    <row r="323" spans="1:11" ht="14.4" customHeight="1">
      <c r="A323" s="776" t="str">
        <f>未审报表!A323</f>
        <v xml:space="preserve">     投资活动产生的现金流量净额</v>
      </c>
      <c r="B323" s="773">
        <f>B315-B322</f>
        <v>0</v>
      </c>
      <c r="C323" s="678">
        <f>C315-C322</f>
        <v>0</v>
      </c>
      <c r="D323" s="678">
        <f t="shared" ref="D323:H323" si="86">D315-D322</f>
        <v>0</v>
      </c>
      <c r="E323" s="678">
        <f t="shared" si="86"/>
        <v>0</v>
      </c>
      <c r="F323" s="678">
        <f t="shared" si="86"/>
        <v>0</v>
      </c>
      <c r="G323" s="678">
        <f t="shared" si="86"/>
        <v>0</v>
      </c>
      <c r="H323" s="678">
        <f t="shared" si="86"/>
        <v>0</v>
      </c>
      <c r="I323" s="763">
        <f>B323+C323+E323+G323-H323-F323-D323</f>
        <v>0</v>
      </c>
      <c r="J323" s="425" t="b">
        <f>A323=未审报表!A323</f>
        <v>1</v>
      </c>
      <c r="K323" s="425" t="b">
        <f>A323=审定报表!A323</f>
        <v>1</v>
      </c>
    </row>
    <row r="324" spans="1:11" ht="14.4" customHeight="1">
      <c r="A324" s="776" t="str">
        <f>未审报表!A324</f>
        <v>三、筹资活动产生的现金流量</v>
      </c>
      <c r="B324" s="432"/>
      <c r="C324" s="711"/>
      <c r="D324" s="711"/>
      <c r="E324" s="711"/>
      <c r="F324" s="711"/>
      <c r="G324" s="711"/>
      <c r="H324" s="711"/>
      <c r="I324" s="728"/>
      <c r="J324" s="425" t="b">
        <f>A324=未审报表!A324</f>
        <v>1</v>
      </c>
      <c r="K324" s="425" t="b">
        <f>A324=审定报表!A324</f>
        <v>1</v>
      </c>
    </row>
    <row r="325" spans="1:11" ht="14.4" customHeight="1">
      <c r="A325" s="777" t="str">
        <f>未审报表!A325</f>
        <v xml:space="preserve">     吸收投资所收到的现金</v>
      </c>
      <c r="B325" s="643">
        <f>期初核对!C325</f>
        <v>0</v>
      </c>
      <c r="C325" s="677">
        <f>SUMIFS(调整事项汇总表!$K$7:$K$10020,调整事项汇总表!$D$7:$D$10020,"账项调整",调整事项汇总表!$E$7:$E$10020,IF(OR(MID(TRIM($A325),2,1)="：",MID(TRIM($A325),2,1)="."),REPLACEB(TRIM($A325),1,2,""),TRIM($A325)))</f>
        <v>0</v>
      </c>
      <c r="D325" s="677">
        <f>SUMIFS(调整事项汇总表!$L$7:$L$10020,调整事项汇总表!$D$7:$D$10020,"账项调整",调整事项汇总表!$E$7:$E$10020,IF(OR(MID(TRIM($A325),2,1)="：",MID(TRIM($A325),2,1)="."),REPLACEB(TRIM($A325),1,2,""),TRIM($A325)))</f>
        <v>0</v>
      </c>
      <c r="E325" s="677">
        <f>SUMIFS(调整事项汇总表!$K$7:$K$10020,调整事项汇总表!$D$7:$D$10020,"报表调整",调整事项汇总表!$E$7:$E$10020,IF(OR(MID(TRIM($A325),2,1)="：",MID(TRIM($A325),2,1)="."),REPLACEB(TRIM($A325),1,2,""),TRIM($A325)))</f>
        <v>0</v>
      </c>
      <c r="F325" s="677">
        <f>SUMIFS(调整事项汇总表!$L$7:$L$10020,调整事项汇总表!$D$7:$D$10020,"报表调整",调整事项汇总表!$E$7:$E$10020,IF(OR(MID(TRIM($A325),2,1)="：",MID(TRIM($A325),2,1)="."),REPLACEB(TRIM($A325),1,2,""),TRIM($A325)))</f>
        <v>0</v>
      </c>
      <c r="G325" s="677">
        <f>SUMIFS(调整事项汇总表!$K$7:$K$10020,调整事项汇总表!$D$7:$D$10020,"其他",调整事项汇总表!$E$7:$E$10020,IF(OR(MID(TRIM($A325),2,1)="：",MID(TRIM($A325),2,1)="."),REPLACEB(TRIM($A325),1,2,""),TRIM($A325)))</f>
        <v>0</v>
      </c>
      <c r="H325" s="677">
        <f>SUMIFS(调整事项汇总表!$K$7:$K$10020,调整事项汇总表!$D$7:$D$10020,"其他",调整事项汇总表!$E$7:$E$10020,IF(OR(MID(TRIM($A325),2,1)="：",MID(TRIM($A325),2,1)="."),REPLACEB(TRIM($A325),1,2,""),TRIM($A325)))</f>
        <v>0</v>
      </c>
      <c r="I325" s="762">
        <f>B325+C325+E325+G325-H325-F325-D325</f>
        <v>0</v>
      </c>
      <c r="J325" s="425" t="b">
        <f>A325=未审报表!A325</f>
        <v>1</v>
      </c>
      <c r="K325" s="425" t="b">
        <f>A325=审定报表!A325</f>
        <v>1</v>
      </c>
    </row>
    <row r="326" spans="1:11" ht="14.4" customHeight="1">
      <c r="A326" s="777" t="str">
        <f>未审报表!A326</f>
        <v xml:space="preserve">     其中：子公司吸收少数股东投资收到的现金</v>
      </c>
      <c r="B326" s="643">
        <f>期初核对!C326</f>
        <v>0</v>
      </c>
      <c r="C326" s="677">
        <f>SUMIFS(调整事项汇总表!$K$7:$K$10020,调整事项汇总表!$D$7:$D$10020,"账项调整",调整事项汇总表!$E$7:$E$10020,IF(OR(MID(TRIM($A326),2,1)="：",MID(TRIM($A326),2,1)="."),REPLACEB(TRIM($A326),1,2,""),TRIM($A326)))</f>
        <v>0</v>
      </c>
      <c r="D326" s="677">
        <f>SUMIFS(调整事项汇总表!$L$7:$L$10020,调整事项汇总表!$D$7:$D$10020,"账项调整",调整事项汇总表!$E$7:$E$10020,IF(OR(MID(TRIM($A326),2,1)="：",MID(TRIM($A326),2,1)="."),REPLACEB(TRIM($A326),1,2,""),TRIM($A326)))</f>
        <v>0</v>
      </c>
      <c r="E326" s="677">
        <f>SUMIFS(调整事项汇总表!$K$7:$K$10020,调整事项汇总表!$D$7:$D$10020,"报表调整",调整事项汇总表!$E$7:$E$10020,IF(OR(MID(TRIM($A326),2,1)="：",MID(TRIM($A326),2,1)="."),REPLACEB(TRIM($A326),1,2,""),TRIM($A326)))</f>
        <v>0</v>
      </c>
      <c r="F326" s="677">
        <f>SUMIFS(调整事项汇总表!$L$7:$L$10020,调整事项汇总表!$D$7:$D$10020,"报表调整",调整事项汇总表!$E$7:$E$10020,IF(OR(MID(TRIM($A326),2,1)="：",MID(TRIM($A326),2,1)="."),REPLACEB(TRIM($A326),1,2,""),TRIM($A326)))</f>
        <v>0</v>
      </c>
      <c r="G326" s="677">
        <f>SUMIFS(调整事项汇总表!$K$7:$K$10020,调整事项汇总表!$D$7:$D$10020,"其他",调整事项汇总表!$E$7:$E$10020,IF(OR(MID(TRIM($A326),2,1)="：",MID(TRIM($A326),2,1)="."),REPLACEB(TRIM($A326),1,2,""),TRIM($A326)))</f>
        <v>0</v>
      </c>
      <c r="H326" s="677">
        <f>SUMIFS(调整事项汇总表!$K$7:$K$10020,调整事项汇总表!$D$7:$D$10020,"其他",调整事项汇总表!$E$7:$E$10020,IF(OR(MID(TRIM($A326),2,1)="：",MID(TRIM($A326),2,1)="."),REPLACEB(TRIM($A326),1,2,""),TRIM($A326)))</f>
        <v>0</v>
      </c>
      <c r="I326" s="762">
        <f t="shared" ref="I326:I329" si="87">B326+C326+E326+G326-H326-F326-D326</f>
        <v>0</v>
      </c>
      <c r="J326" s="425" t="b">
        <f>A326=未审报表!A326</f>
        <v>1</v>
      </c>
      <c r="K326" s="425" t="b">
        <f>A326=审定报表!A326</f>
        <v>1</v>
      </c>
    </row>
    <row r="327" spans="1:11" ht="13.8">
      <c r="A327" s="777" t="str">
        <f>未审报表!A327</f>
        <v xml:space="preserve">     取得借款收到的现金</v>
      </c>
      <c r="B327" s="643">
        <f>期初核对!C327</f>
        <v>0</v>
      </c>
      <c r="C327" s="677">
        <f>SUMIFS(调整事项汇总表!$K$7:$K$10020,调整事项汇总表!$D$7:$D$10020,"账项调整",调整事项汇总表!$E$7:$E$10020,IF(OR(MID(TRIM($A327),2,1)="：",MID(TRIM($A327),2,1)="."),REPLACEB(TRIM($A327),1,2,""),TRIM($A327)))</f>
        <v>0</v>
      </c>
      <c r="D327" s="677">
        <f>SUMIFS(调整事项汇总表!$L$7:$L$10020,调整事项汇总表!$D$7:$D$10020,"账项调整",调整事项汇总表!$E$7:$E$10020,IF(OR(MID(TRIM($A327),2,1)="：",MID(TRIM($A327),2,1)="."),REPLACEB(TRIM($A327),1,2,""),TRIM($A327)))</f>
        <v>0</v>
      </c>
      <c r="E327" s="677">
        <f>SUMIFS(调整事项汇总表!$K$7:$K$10020,调整事项汇总表!$D$7:$D$10020,"报表调整",调整事项汇总表!$E$7:$E$10020,IF(OR(MID(TRIM($A327),2,1)="：",MID(TRIM($A327),2,1)="."),REPLACEB(TRIM($A327),1,2,""),TRIM($A327)))</f>
        <v>0</v>
      </c>
      <c r="F327" s="677">
        <f>SUMIFS(调整事项汇总表!$L$7:$L$10020,调整事项汇总表!$D$7:$D$10020,"报表调整",调整事项汇总表!$E$7:$E$10020,IF(OR(MID(TRIM($A327),2,1)="：",MID(TRIM($A327),2,1)="."),REPLACEB(TRIM($A327),1,2,""),TRIM($A327)))</f>
        <v>0</v>
      </c>
      <c r="G327" s="677">
        <f>SUMIFS(调整事项汇总表!$K$7:$K$10020,调整事项汇总表!$D$7:$D$10020,"其他",调整事项汇总表!$E$7:$E$10020,IF(OR(MID(TRIM($A327),2,1)="：",MID(TRIM($A327),2,1)="."),REPLACEB(TRIM($A327),1,2,""),TRIM($A327)))</f>
        <v>0</v>
      </c>
      <c r="H327" s="677">
        <f>SUMIFS(调整事项汇总表!$K$7:$K$10020,调整事项汇总表!$D$7:$D$10020,"其他",调整事项汇总表!$E$7:$E$10020,IF(OR(MID(TRIM($A327),2,1)="：",MID(TRIM($A327),2,1)="."),REPLACEB(TRIM($A327),1,2,""),TRIM($A327)))</f>
        <v>0</v>
      </c>
      <c r="I327" s="762">
        <f t="shared" si="87"/>
        <v>0</v>
      </c>
      <c r="J327" s="425" t="b">
        <f>A327=未审报表!A327</f>
        <v>1</v>
      </c>
      <c r="K327" s="425" t="b">
        <f>A327=审定报表!A327</f>
        <v>1</v>
      </c>
    </row>
    <row r="328" spans="1:11" ht="13.8">
      <c r="A328" s="777" t="str">
        <f>未审报表!A328</f>
        <v xml:space="preserve">     发行债券收到的现金</v>
      </c>
      <c r="B328" s="643">
        <f>期初核对!C328</f>
        <v>0</v>
      </c>
      <c r="C328" s="677">
        <f>SUMIFS(调整事项汇总表!$K$7:$K$10020,调整事项汇总表!$D$7:$D$10020,"账项调整",调整事项汇总表!$E$7:$E$10020,IF(OR(MID(TRIM($A328),2,1)="：",MID(TRIM($A328),2,1)="."),REPLACEB(TRIM($A328),1,2,""),TRIM($A328)))</f>
        <v>0</v>
      </c>
      <c r="D328" s="677">
        <f>SUMIFS(调整事项汇总表!$L$7:$L$10020,调整事项汇总表!$D$7:$D$10020,"账项调整",调整事项汇总表!$E$7:$E$10020,IF(OR(MID(TRIM($A328),2,1)="：",MID(TRIM($A328),2,1)="."),REPLACEB(TRIM($A328),1,2,""),TRIM($A328)))</f>
        <v>0</v>
      </c>
      <c r="E328" s="677">
        <f>SUMIFS(调整事项汇总表!$K$7:$K$10020,调整事项汇总表!$D$7:$D$10020,"报表调整",调整事项汇总表!$E$7:$E$10020,IF(OR(MID(TRIM($A328),2,1)="：",MID(TRIM($A328),2,1)="."),REPLACEB(TRIM($A328),1,2,""),TRIM($A328)))</f>
        <v>0</v>
      </c>
      <c r="F328" s="677">
        <f>SUMIFS(调整事项汇总表!$L$7:$L$10020,调整事项汇总表!$D$7:$D$10020,"报表调整",调整事项汇总表!$E$7:$E$10020,IF(OR(MID(TRIM($A328),2,1)="：",MID(TRIM($A328),2,1)="."),REPLACEB(TRIM($A328),1,2,""),TRIM($A328)))</f>
        <v>0</v>
      </c>
      <c r="G328" s="677">
        <f>SUMIFS(调整事项汇总表!$K$7:$K$10020,调整事项汇总表!$D$7:$D$10020,"其他",调整事项汇总表!$E$7:$E$10020,IF(OR(MID(TRIM($A328),2,1)="：",MID(TRIM($A328),2,1)="."),REPLACEB(TRIM($A328),1,2,""),TRIM($A328)))</f>
        <v>0</v>
      </c>
      <c r="H328" s="677">
        <f>SUMIFS(调整事项汇总表!$K$7:$K$10020,调整事项汇总表!$D$7:$D$10020,"其他",调整事项汇总表!$E$7:$E$10020,IF(OR(MID(TRIM($A328),2,1)="：",MID(TRIM($A328),2,1)="."),REPLACEB(TRIM($A328),1,2,""),TRIM($A328)))</f>
        <v>0</v>
      </c>
      <c r="I328" s="762">
        <f t="shared" si="87"/>
        <v>0</v>
      </c>
      <c r="J328" s="425" t="b">
        <f>A328=未审报表!A328</f>
        <v>1</v>
      </c>
      <c r="K328" s="425" t="b">
        <f>A328=审定报表!A328</f>
        <v>1</v>
      </c>
    </row>
    <row r="329" spans="1:11" ht="13.8">
      <c r="A329" s="777" t="str">
        <f>未审报表!A329</f>
        <v xml:space="preserve">     收到的其他与筹资活动有关的现金</v>
      </c>
      <c r="B329" s="643">
        <f>期初核对!C329</f>
        <v>0</v>
      </c>
      <c r="C329" s="677">
        <f>SUMIFS(调整事项汇总表!$K$7:$K$10020,调整事项汇总表!$D$7:$D$10020,"账项调整",调整事项汇总表!$E$7:$E$10020,IF(OR(MID(TRIM($A329),2,1)="：",MID(TRIM($A329),2,1)="."),REPLACEB(TRIM($A329),1,2,""),TRIM($A329)))</f>
        <v>0</v>
      </c>
      <c r="D329" s="677">
        <f>SUMIFS(调整事项汇总表!$L$7:$L$10020,调整事项汇总表!$D$7:$D$10020,"账项调整",调整事项汇总表!$E$7:$E$10020,IF(OR(MID(TRIM($A329),2,1)="：",MID(TRIM($A329),2,1)="."),REPLACEB(TRIM($A329),1,2,""),TRIM($A329)))</f>
        <v>0</v>
      </c>
      <c r="E329" s="677">
        <f>SUMIFS(调整事项汇总表!$K$7:$K$10020,调整事项汇总表!$D$7:$D$10020,"报表调整",调整事项汇总表!$E$7:$E$10020,IF(OR(MID(TRIM($A329),2,1)="：",MID(TRIM($A329),2,1)="."),REPLACEB(TRIM($A329),1,2,""),TRIM($A329)))</f>
        <v>0</v>
      </c>
      <c r="F329" s="677">
        <f>SUMIFS(调整事项汇总表!$L$7:$L$10020,调整事项汇总表!$D$7:$D$10020,"报表调整",调整事项汇总表!$E$7:$E$10020,IF(OR(MID(TRIM($A329),2,1)="：",MID(TRIM($A329),2,1)="."),REPLACEB(TRIM($A329),1,2,""),TRIM($A329)))</f>
        <v>0</v>
      </c>
      <c r="G329" s="677">
        <f>SUMIFS(调整事项汇总表!$K$7:$K$10020,调整事项汇总表!$D$7:$D$10020,"其他",调整事项汇总表!$E$7:$E$10020,IF(OR(MID(TRIM($A329),2,1)="：",MID(TRIM($A329),2,1)="."),REPLACEB(TRIM($A329),1,2,""),TRIM($A329)))</f>
        <v>0</v>
      </c>
      <c r="H329" s="677">
        <f>SUMIFS(调整事项汇总表!$K$7:$K$10020,调整事项汇总表!$D$7:$D$10020,"其他",调整事项汇总表!$E$7:$E$10020,IF(OR(MID(TRIM($A329),2,1)="：",MID(TRIM($A329),2,1)="."),REPLACEB(TRIM($A329),1,2,""),TRIM($A329)))</f>
        <v>0</v>
      </c>
      <c r="I329" s="762">
        <f t="shared" si="87"/>
        <v>0</v>
      </c>
      <c r="J329" s="425" t="b">
        <f>A329=未审报表!A329</f>
        <v>1</v>
      </c>
      <c r="K329" s="425" t="b">
        <f>A329=审定报表!A329</f>
        <v>1</v>
      </c>
    </row>
    <row r="330" spans="1:11" ht="13.8">
      <c r="A330" s="777">
        <f>未审报表!A330</f>
        <v>0</v>
      </c>
      <c r="B330" s="423"/>
      <c r="C330" s="400"/>
      <c r="D330" s="400"/>
      <c r="E330" s="400"/>
      <c r="F330" s="400"/>
      <c r="G330" s="400"/>
      <c r="H330" s="400"/>
      <c r="I330" s="727"/>
      <c r="J330" s="425" t="b">
        <f>A330=未审报表!A330</f>
        <v>1</v>
      </c>
      <c r="K330" s="425" t="b">
        <f>A330=审定报表!A330</f>
        <v>1</v>
      </c>
    </row>
    <row r="331" spans="1:11" ht="13.8">
      <c r="A331" s="776" t="str">
        <f>未审报表!A331</f>
        <v xml:space="preserve">     筹资活动现金流入小计</v>
      </c>
      <c r="B331" s="773">
        <f>SUM(B325:B330)</f>
        <v>0</v>
      </c>
      <c r="C331" s="678">
        <f>SUM(C325:C330)</f>
        <v>0</v>
      </c>
      <c r="D331" s="678">
        <f t="shared" ref="D331:H331" si="88">SUM(D325:D330)</f>
        <v>0</v>
      </c>
      <c r="E331" s="678">
        <f t="shared" si="88"/>
        <v>0</v>
      </c>
      <c r="F331" s="678">
        <f t="shared" si="88"/>
        <v>0</v>
      </c>
      <c r="G331" s="678">
        <f t="shared" si="88"/>
        <v>0</v>
      </c>
      <c r="H331" s="678">
        <f t="shared" si="88"/>
        <v>0</v>
      </c>
      <c r="I331" s="763">
        <f>B331+C331+E331+G331-H331-F331-D331</f>
        <v>0</v>
      </c>
      <c r="J331" s="425" t="b">
        <f>A331=未审报表!A331</f>
        <v>1</v>
      </c>
      <c r="K331" s="425" t="b">
        <f>A331=审定报表!A331</f>
        <v>1</v>
      </c>
    </row>
    <row r="332" spans="1:11" ht="13.8">
      <c r="A332" s="777" t="str">
        <f>未审报表!A332</f>
        <v xml:space="preserve">     偿还债务支付的现金</v>
      </c>
      <c r="B332" s="643">
        <f>期初核对!C332</f>
        <v>0</v>
      </c>
      <c r="C332" s="677">
        <f>SUMIFS(调整事项汇总表!$K$7:$K$10020,调整事项汇总表!$D$7:$D$10020,"账项调整",调整事项汇总表!$E$7:$E$10020,IF(OR(MID(TRIM($A332),2,1)="：",MID(TRIM($A332),2,1)="."),REPLACEB(TRIM($A332),1,2,""),TRIM($A332)))</f>
        <v>0</v>
      </c>
      <c r="D332" s="677">
        <f>SUMIFS(调整事项汇总表!$L$7:$L$10020,调整事项汇总表!$D$7:$D$10020,"账项调整",调整事项汇总表!$E$7:$E$10020,IF(OR(MID(TRIM($A332),2,1)="：",MID(TRIM($A332),2,1)="."),REPLACEB(TRIM($A332),1,2,""),TRIM($A332)))</f>
        <v>0</v>
      </c>
      <c r="E332" s="677">
        <f>SUMIFS(调整事项汇总表!$K$7:$K$10020,调整事项汇总表!$D$7:$D$10020,"报表调整",调整事项汇总表!$E$7:$E$10020,IF(OR(MID(TRIM($A332),2,1)="：",MID(TRIM($A332),2,1)="."),REPLACEB(TRIM($A332),1,2,""),TRIM($A332)))</f>
        <v>0</v>
      </c>
      <c r="F332" s="677">
        <f>SUMIFS(调整事项汇总表!$L$7:$L$10020,调整事项汇总表!$D$7:$D$10020,"报表调整",调整事项汇总表!$E$7:$E$10020,IF(OR(MID(TRIM($A332),2,1)="：",MID(TRIM($A332),2,1)="."),REPLACEB(TRIM($A332),1,2,""),TRIM($A332)))</f>
        <v>0</v>
      </c>
      <c r="G332" s="677">
        <f>SUMIFS(调整事项汇总表!$K$7:$K$10020,调整事项汇总表!$D$7:$D$10020,"其他",调整事项汇总表!$E$7:$E$10020,IF(OR(MID(TRIM($A332),2,1)="：",MID(TRIM($A332),2,1)="."),REPLACEB(TRIM($A332),1,2,""),TRIM($A332)))</f>
        <v>0</v>
      </c>
      <c r="H332" s="677">
        <f>SUMIFS(调整事项汇总表!$K$7:$K$10020,调整事项汇总表!$D$7:$D$10020,"其他",调整事项汇总表!$E$7:$E$10020,IF(OR(MID(TRIM($A332),2,1)="：",MID(TRIM($A332),2,1)="."),REPLACEB(TRIM($A332),1,2,""),TRIM($A332)))</f>
        <v>0</v>
      </c>
      <c r="I332" s="762">
        <f>B332+C332+E332+G332-H332-F332-D332</f>
        <v>0</v>
      </c>
      <c r="J332" s="425" t="b">
        <f>A332=未审报表!A332</f>
        <v>1</v>
      </c>
      <c r="K332" s="425" t="b">
        <f>A332=审定报表!A332</f>
        <v>1</v>
      </c>
    </row>
    <row r="333" spans="1:11" ht="13.8">
      <c r="A333" s="777" t="str">
        <f>未审报表!A333</f>
        <v xml:space="preserve">     分配股利、利润或偿付利息支付的现金</v>
      </c>
      <c r="B333" s="643">
        <f>期初核对!C333</f>
        <v>0</v>
      </c>
      <c r="C333" s="677">
        <f>SUMIFS(调整事项汇总表!$K$7:$K$10020,调整事项汇总表!$D$7:$D$10020,"账项调整",调整事项汇总表!$E$7:$E$10020,IF(OR(MID(TRIM($A333),2,1)="：",MID(TRIM($A333),2,1)="."),REPLACEB(TRIM($A333),1,2,""),TRIM($A333)))</f>
        <v>0</v>
      </c>
      <c r="D333" s="677">
        <f>SUMIFS(调整事项汇总表!$L$7:$L$10020,调整事项汇总表!$D$7:$D$10020,"账项调整",调整事项汇总表!$E$7:$E$10020,IF(OR(MID(TRIM($A333),2,1)="：",MID(TRIM($A333),2,1)="."),REPLACEB(TRIM($A333),1,2,""),TRIM($A333)))</f>
        <v>0</v>
      </c>
      <c r="E333" s="677">
        <f>SUMIFS(调整事项汇总表!$K$7:$K$10020,调整事项汇总表!$D$7:$D$10020,"报表调整",调整事项汇总表!$E$7:$E$10020,IF(OR(MID(TRIM($A333),2,1)="：",MID(TRIM($A333),2,1)="."),REPLACEB(TRIM($A333),1,2,""),TRIM($A333)))</f>
        <v>0</v>
      </c>
      <c r="F333" s="677">
        <f>SUMIFS(调整事项汇总表!$L$7:$L$10020,调整事项汇总表!$D$7:$D$10020,"报表调整",调整事项汇总表!$E$7:$E$10020,IF(OR(MID(TRIM($A333),2,1)="：",MID(TRIM($A333),2,1)="."),REPLACEB(TRIM($A333),1,2,""),TRIM($A333)))</f>
        <v>0</v>
      </c>
      <c r="G333" s="677">
        <f>SUMIFS(调整事项汇总表!$K$7:$K$10020,调整事项汇总表!$D$7:$D$10020,"其他",调整事项汇总表!$E$7:$E$10020,IF(OR(MID(TRIM($A333),2,1)="：",MID(TRIM($A333),2,1)="."),REPLACEB(TRIM($A333),1,2,""),TRIM($A333)))</f>
        <v>0</v>
      </c>
      <c r="H333" s="677">
        <f>SUMIFS(调整事项汇总表!$K$7:$K$10020,调整事项汇总表!$D$7:$D$10020,"其他",调整事项汇总表!$E$7:$E$10020,IF(OR(MID(TRIM($A333),2,1)="：",MID(TRIM($A333),2,1)="."),REPLACEB(TRIM($A333),1,2,""),TRIM($A333)))</f>
        <v>0</v>
      </c>
      <c r="I333" s="762">
        <f t="shared" ref="I333:I337" si="89">B333+C333+E333+G333-H333-F333-D333</f>
        <v>0</v>
      </c>
      <c r="J333" s="425" t="b">
        <f>A333=未审报表!A333</f>
        <v>1</v>
      </c>
      <c r="K333" s="425" t="b">
        <f>A333=审定报表!A333</f>
        <v>1</v>
      </c>
    </row>
    <row r="334" spans="1:11" ht="13.8">
      <c r="A334" s="777" t="str">
        <f>未审报表!A334</f>
        <v xml:space="preserve">      其中：子公司支付给少数股东的股利、利润</v>
      </c>
      <c r="B334" s="643">
        <f>期初核对!C334</f>
        <v>0</v>
      </c>
      <c r="C334" s="677">
        <f>SUMIFS(调整事项汇总表!$K$7:$K$10020,调整事项汇总表!$D$7:$D$10020,"账项调整",调整事项汇总表!$E$7:$E$10020,IF(OR(MID(TRIM($A334),2,1)="：",MID(TRIM($A334),2,1)="."),REPLACEB(TRIM($A334),1,2,""),TRIM($A334)))</f>
        <v>0</v>
      </c>
      <c r="D334" s="677">
        <f>SUMIFS(调整事项汇总表!$L$7:$L$10020,调整事项汇总表!$D$7:$D$10020,"账项调整",调整事项汇总表!$E$7:$E$10020,IF(OR(MID(TRIM($A334),2,1)="：",MID(TRIM($A334),2,1)="."),REPLACEB(TRIM($A334),1,2,""),TRIM($A334)))</f>
        <v>0</v>
      </c>
      <c r="E334" s="677">
        <f>SUMIFS(调整事项汇总表!$K$7:$K$10020,调整事项汇总表!$D$7:$D$10020,"报表调整",调整事项汇总表!$E$7:$E$10020,IF(OR(MID(TRIM($A334),2,1)="：",MID(TRIM($A334),2,1)="."),REPLACEB(TRIM($A334),1,2,""),TRIM($A334)))</f>
        <v>0</v>
      </c>
      <c r="F334" s="677">
        <f>SUMIFS(调整事项汇总表!$L$7:$L$10020,调整事项汇总表!$D$7:$D$10020,"报表调整",调整事项汇总表!$E$7:$E$10020,IF(OR(MID(TRIM($A334),2,1)="：",MID(TRIM($A334),2,1)="."),REPLACEB(TRIM($A334),1,2,""),TRIM($A334)))</f>
        <v>0</v>
      </c>
      <c r="G334" s="677">
        <f>SUMIFS(调整事项汇总表!$K$7:$K$10020,调整事项汇总表!$D$7:$D$10020,"其他",调整事项汇总表!$E$7:$E$10020,IF(OR(MID(TRIM($A334),2,1)="：",MID(TRIM($A334),2,1)="."),REPLACEB(TRIM($A334),1,2,""),TRIM($A334)))</f>
        <v>0</v>
      </c>
      <c r="H334" s="677">
        <f>SUMIFS(调整事项汇总表!$K$7:$K$10020,调整事项汇总表!$D$7:$D$10020,"其他",调整事项汇总表!$E$7:$E$10020,IF(OR(MID(TRIM($A334),2,1)="：",MID(TRIM($A334),2,1)="."),REPLACEB(TRIM($A334),1,2,""),TRIM($A334)))</f>
        <v>0</v>
      </c>
      <c r="I334" s="762">
        <f t="shared" si="89"/>
        <v>0</v>
      </c>
      <c r="J334" s="425" t="b">
        <f>A334=未审报表!A334</f>
        <v>1</v>
      </c>
      <c r="K334" s="425" t="b">
        <f>A334=审定报表!A334</f>
        <v>1</v>
      </c>
    </row>
    <row r="335" spans="1:11" ht="13.8">
      <c r="A335" s="777" t="str">
        <f>未审报表!A335</f>
        <v xml:space="preserve">     支付其他与筹资活动有关的现金</v>
      </c>
      <c r="B335" s="643">
        <f>期初核对!C335</f>
        <v>0</v>
      </c>
      <c r="C335" s="677">
        <f>SUMIFS(调整事项汇总表!$K$7:$K$10020,调整事项汇总表!$D$7:$D$10020,"账项调整",调整事项汇总表!$E$7:$E$10020,IF(OR(MID(TRIM($A335),2,1)="：",MID(TRIM($A335),2,1)="."),REPLACEB(TRIM($A335),1,2,""),TRIM($A335)))</f>
        <v>0</v>
      </c>
      <c r="D335" s="677">
        <f>SUMIFS(调整事项汇总表!$L$7:$L$10020,调整事项汇总表!$D$7:$D$10020,"账项调整",调整事项汇总表!$E$7:$E$10020,IF(OR(MID(TRIM($A335),2,1)="：",MID(TRIM($A335),2,1)="."),REPLACEB(TRIM($A335),1,2,""),TRIM($A335)))</f>
        <v>0</v>
      </c>
      <c r="E335" s="677">
        <f>SUMIFS(调整事项汇总表!$K$7:$K$10020,调整事项汇总表!$D$7:$D$10020,"报表调整",调整事项汇总表!$E$7:$E$10020,IF(OR(MID(TRIM($A335),2,1)="：",MID(TRIM($A335),2,1)="."),REPLACEB(TRIM($A335),1,2,""),TRIM($A335)))</f>
        <v>0</v>
      </c>
      <c r="F335" s="677">
        <f>SUMIFS(调整事项汇总表!$L$7:$L$10020,调整事项汇总表!$D$7:$D$10020,"报表调整",调整事项汇总表!$E$7:$E$10020,IF(OR(MID(TRIM($A335),2,1)="：",MID(TRIM($A335),2,1)="."),REPLACEB(TRIM($A335),1,2,""),TRIM($A335)))</f>
        <v>0</v>
      </c>
      <c r="G335" s="677">
        <f>SUMIFS(调整事项汇总表!$K$7:$K$10020,调整事项汇总表!$D$7:$D$10020,"其他",调整事项汇总表!$E$7:$E$10020,IF(OR(MID(TRIM($A335),2,1)="：",MID(TRIM($A335),2,1)="."),REPLACEB(TRIM($A335),1,2,""),TRIM($A335)))</f>
        <v>0</v>
      </c>
      <c r="H335" s="677">
        <f>SUMIFS(调整事项汇总表!$K$7:$K$10020,调整事项汇总表!$D$7:$D$10020,"其他",调整事项汇总表!$E$7:$E$10020,IF(OR(MID(TRIM($A335),2,1)="：",MID(TRIM($A335),2,1)="."),REPLACEB(TRIM($A335),1,2,""),TRIM($A335)))</f>
        <v>0</v>
      </c>
      <c r="I335" s="762">
        <f t="shared" si="89"/>
        <v>0</v>
      </c>
      <c r="J335" s="425" t="b">
        <f>A335=未审报表!A335</f>
        <v>1</v>
      </c>
      <c r="K335" s="425" t="b">
        <f>A335=审定报表!A335</f>
        <v>1</v>
      </c>
    </row>
    <row r="336" spans="1:11" ht="13.8">
      <c r="A336" s="777" t="str">
        <f>未审报表!A336</f>
        <v xml:space="preserve">      其中：子公司减资支付给少数股东的现金</v>
      </c>
      <c r="B336" s="643">
        <f>期初核对!C336</f>
        <v>0</v>
      </c>
      <c r="C336" s="677">
        <f>SUMIFS(调整事项汇总表!$K$7:$K$10020,调整事项汇总表!$D$7:$D$10020,"账项调整",调整事项汇总表!$E$7:$E$10020,IF(OR(MID(TRIM($A336),2,1)="：",MID(TRIM($A336),2,1)="."),REPLACEB(TRIM($A336),1,2,""),TRIM($A336)))</f>
        <v>0</v>
      </c>
      <c r="D336" s="677">
        <f>SUMIFS(调整事项汇总表!$L$7:$L$10020,调整事项汇总表!$D$7:$D$10020,"账项调整",调整事项汇总表!$E$7:$E$10020,IF(OR(MID(TRIM($A336),2,1)="：",MID(TRIM($A336),2,1)="."),REPLACEB(TRIM($A336),1,2,""),TRIM($A336)))</f>
        <v>0</v>
      </c>
      <c r="E336" s="677">
        <f>SUMIFS(调整事项汇总表!$K$7:$K$10020,调整事项汇总表!$D$7:$D$10020,"报表调整",调整事项汇总表!$E$7:$E$10020,IF(OR(MID(TRIM($A336),2,1)="：",MID(TRIM($A336),2,1)="."),REPLACEB(TRIM($A336),1,2,""),TRIM($A336)))</f>
        <v>0</v>
      </c>
      <c r="F336" s="677">
        <f>SUMIFS(调整事项汇总表!$L$7:$L$10020,调整事项汇总表!$D$7:$D$10020,"报表调整",调整事项汇总表!$E$7:$E$10020,IF(OR(MID(TRIM($A336),2,1)="：",MID(TRIM($A336),2,1)="."),REPLACEB(TRIM($A336),1,2,""),TRIM($A336)))</f>
        <v>0</v>
      </c>
      <c r="G336" s="677">
        <f>SUMIFS(调整事项汇总表!$K$7:$K$10020,调整事项汇总表!$D$7:$D$10020,"其他",调整事项汇总表!$E$7:$E$10020,IF(OR(MID(TRIM($A336),2,1)="：",MID(TRIM($A336),2,1)="."),REPLACEB(TRIM($A336),1,2,""),TRIM($A336)))</f>
        <v>0</v>
      </c>
      <c r="H336" s="677">
        <f>SUMIFS(调整事项汇总表!$K$7:$K$10020,调整事项汇总表!$D$7:$D$10020,"其他",调整事项汇总表!$E$7:$E$10020,IF(OR(MID(TRIM($A336),2,1)="：",MID(TRIM($A336),2,1)="."),REPLACEB(TRIM($A336),1,2,""),TRIM($A336)))</f>
        <v>0</v>
      </c>
      <c r="I336" s="762">
        <f t="shared" si="89"/>
        <v>0</v>
      </c>
      <c r="J336" s="425" t="b">
        <f>A336=未审报表!A336</f>
        <v>1</v>
      </c>
      <c r="K336" s="425" t="b">
        <f>A336=审定报表!A336</f>
        <v>1</v>
      </c>
    </row>
    <row r="337" spans="1:11" ht="13.8">
      <c r="A337" s="776" t="str">
        <f>未审报表!A337</f>
        <v xml:space="preserve">     筹资活动现金流出小计</v>
      </c>
      <c r="B337" s="773">
        <f>SUM(B332:B336)</f>
        <v>0</v>
      </c>
      <c r="C337" s="678">
        <f>SUM(C332:C336)</f>
        <v>0</v>
      </c>
      <c r="D337" s="678">
        <f t="shared" ref="D337:H337" si="90">SUM(D332:D336)</f>
        <v>0</v>
      </c>
      <c r="E337" s="678">
        <f t="shared" si="90"/>
        <v>0</v>
      </c>
      <c r="F337" s="678">
        <f t="shared" si="90"/>
        <v>0</v>
      </c>
      <c r="G337" s="678">
        <f t="shared" si="90"/>
        <v>0</v>
      </c>
      <c r="H337" s="678">
        <f t="shared" si="90"/>
        <v>0</v>
      </c>
      <c r="I337" s="763">
        <f t="shared" si="89"/>
        <v>0</v>
      </c>
      <c r="J337" s="425" t="b">
        <f>A337=未审报表!A337</f>
        <v>1</v>
      </c>
      <c r="K337" s="425" t="b">
        <f>A337=审定报表!A337</f>
        <v>1</v>
      </c>
    </row>
    <row r="338" spans="1:11" ht="13.8">
      <c r="A338" s="776" t="str">
        <f>未审报表!A338</f>
        <v xml:space="preserve">     筹资活动产生的现金流量净额</v>
      </c>
      <c r="B338" s="773">
        <f>B331-B337</f>
        <v>0</v>
      </c>
      <c r="C338" s="678">
        <f>C331-C337</f>
        <v>0</v>
      </c>
      <c r="D338" s="678">
        <f t="shared" ref="D338:H338" si="91">D331-D337</f>
        <v>0</v>
      </c>
      <c r="E338" s="678">
        <f t="shared" si="91"/>
        <v>0</v>
      </c>
      <c r="F338" s="678">
        <f t="shared" si="91"/>
        <v>0</v>
      </c>
      <c r="G338" s="678">
        <f t="shared" si="91"/>
        <v>0</v>
      </c>
      <c r="H338" s="678">
        <f t="shared" si="91"/>
        <v>0</v>
      </c>
      <c r="I338" s="763">
        <f>B338+C338+E338+G338-H338-F338-D338</f>
        <v>0</v>
      </c>
      <c r="J338" s="425" t="b">
        <f>A338=未审报表!A338</f>
        <v>1</v>
      </c>
      <c r="K338" s="425" t="b">
        <f>A338=审定报表!A338</f>
        <v>1</v>
      </c>
    </row>
    <row r="339" spans="1:11" ht="13.8">
      <c r="A339" s="776" t="str">
        <f>未审报表!A339</f>
        <v>四、汇率变动对现金及现金等价物的影响</v>
      </c>
      <c r="B339" s="773">
        <f>期初核对!C339</f>
        <v>0</v>
      </c>
      <c r="C339" s="678">
        <f>SUMIFS(调整事项汇总表!$K$7:$K$10020,调整事项汇总表!$D$7:$D$10020,"账项调整",调整事项汇总表!$E$7:$E$10020,IF(OR(MID(TRIM($A339),2,1)="：",MID(TRIM($A339),2,1)="."),REPLACEB(TRIM($A339),1,2,""),TRIM($A339)))</f>
        <v>0</v>
      </c>
      <c r="D339" s="678">
        <f>SUMIFS(调整事项汇总表!$L$7:$L$10020,调整事项汇总表!$D$7:$D$10020,"账项调整",调整事项汇总表!$E$7:$E$10020,IF(OR(MID(TRIM($A339),2,1)="：",MID(TRIM($A339),2,1)="."),REPLACEB(TRIM($A339),1,2,""),TRIM($A339)))</f>
        <v>0</v>
      </c>
      <c r="E339" s="678">
        <f>SUMIFS(调整事项汇总表!$K$7:$K$10020,调整事项汇总表!$D$7:$D$10020,"报表调整",调整事项汇总表!$E$7:$E$10020,IF(OR(MID(TRIM($A339),2,1)="：",MID(TRIM($A339),2,1)="."),REPLACEB(TRIM($A339),1,2,""),TRIM($A339)))</f>
        <v>0</v>
      </c>
      <c r="F339" s="678">
        <f>SUMIFS(调整事项汇总表!$L$7:$L$10020,调整事项汇总表!$D$7:$D$10020,"报表调整",调整事项汇总表!$E$7:$E$10020,IF(OR(MID(TRIM($A339),2,1)="：",MID(TRIM($A339),2,1)="."),REPLACEB(TRIM($A339),1,2,""),TRIM($A339)))</f>
        <v>0</v>
      </c>
      <c r="G339" s="678">
        <f>SUMIFS(调整事项汇总表!$K$7:$K$10020,调整事项汇总表!$D$7:$D$10020,"其他",调整事项汇总表!$E$7:$E$10020,IF(OR(MID(TRIM($A339),2,1)="：",MID(TRIM($A339),2,1)="."),REPLACEB(TRIM($A339),1,2,""),TRIM($A339)))</f>
        <v>0</v>
      </c>
      <c r="H339" s="678">
        <f>SUMIFS(调整事项汇总表!$K$7:$K$10020,调整事项汇总表!$D$7:$D$10020,"其他",调整事项汇总表!$E$7:$E$10020,IF(OR(MID(TRIM($A339),2,1)="：",MID(TRIM($A339),2,1)="."),REPLACEB(TRIM($A339),1,2,""),TRIM($A339)))</f>
        <v>0</v>
      </c>
      <c r="I339" s="763">
        <f>B339+C339+E339+G339-H339-F339-D339</f>
        <v>0</v>
      </c>
      <c r="J339" s="425" t="b">
        <f>A339=未审报表!A339</f>
        <v>1</v>
      </c>
      <c r="K339" s="425" t="b">
        <f>A339=审定报表!A339</f>
        <v>1</v>
      </c>
    </row>
    <row r="340" spans="1:11" ht="13.8">
      <c r="A340" s="776" t="str">
        <f>未审报表!A340</f>
        <v>五、现金及现金等价物净增加额</v>
      </c>
      <c r="B340" s="194">
        <f>B339+B338+B307+B323</f>
        <v>0</v>
      </c>
      <c r="C340" s="678">
        <f>C307+C323+C338+C339</f>
        <v>0</v>
      </c>
      <c r="D340" s="678">
        <f t="shared" ref="D340:H340" si="92">D307+D323+D338+D339</f>
        <v>0</v>
      </c>
      <c r="E340" s="678">
        <f t="shared" si="92"/>
        <v>0</v>
      </c>
      <c r="F340" s="678">
        <f t="shared" si="92"/>
        <v>0</v>
      </c>
      <c r="G340" s="678">
        <f t="shared" si="92"/>
        <v>0</v>
      </c>
      <c r="H340" s="678">
        <f t="shared" si="92"/>
        <v>0</v>
      </c>
      <c r="I340" s="763">
        <f>B340+C340+E340+G340-H340-F340-D340</f>
        <v>0</v>
      </c>
      <c r="J340" s="425" t="b">
        <f>A340=未审报表!A340</f>
        <v>1</v>
      </c>
      <c r="K340" s="425" t="b">
        <f>A340=审定报表!A340</f>
        <v>1</v>
      </c>
    </row>
    <row r="341" spans="1:11" ht="13.8">
      <c r="A341" s="777" t="str">
        <f>未审报表!A341</f>
        <v xml:space="preserve">    加：期初现金及现金等价物余额</v>
      </c>
      <c r="B341" s="643">
        <f>期初核对!C341</f>
        <v>0</v>
      </c>
      <c r="C341" s="677">
        <f>SUMIFS(调整事项汇总表!$K$7:$K$10020,调整事项汇总表!$D$7:$D$10020,"账项调整",调整事项汇总表!$E$7:$E$10020,IF(OR(MID(TRIM($A341),2,1)="：",MID(TRIM($A341),2,1)="."),REPLACEB(TRIM($A341),1,2,""),TRIM($A341)))</f>
        <v>0</v>
      </c>
      <c r="D341" s="677">
        <f>SUMIFS(调整事项汇总表!$L$7:$L$10020,调整事项汇总表!$D$7:$D$10020,"账项调整",调整事项汇总表!$E$7:$E$10020,IF(OR(MID(TRIM($A341),2,1)="：",MID(TRIM($A341),2,1)="."),REPLACEB(TRIM($A341),1,2,""),TRIM($A341)))</f>
        <v>0</v>
      </c>
      <c r="E341" s="677">
        <f>SUMIFS(调整事项汇总表!$K$7:$K$10020,调整事项汇总表!$D$7:$D$10020,"报表调整",调整事项汇总表!$E$7:$E$10020,IF(OR(MID(TRIM($A341),2,1)="：",MID(TRIM($A341),2,1)="."),REPLACEB(TRIM($A341),1,2,""),TRIM($A341)))</f>
        <v>0</v>
      </c>
      <c r="F341" s="677">
        <f>SUMIFS(调整事项汇总表!$L$7:$L$10020,调整事项汇总表!$D$7:$D$10020,"报表调整",调整事项汇总表!$E$7:$E$10020,IF(OR(MID(TRIM($A341),2,1)="：",MID(TRIM($A341),2,1)="."),REPLACEB(TRIM($A341),1,2,""),TRIM($A341)))</f>
        <v>0</v>
      </c>
      <c r="G341" s="677">
        <f>SUMIFS(调整事项汇总表!$K$7:$K$10020,调整事项汇总表!$D$7:$D$10020,"其他",调整事项汇总表!$E$7:$E$10020,IF(OR(MID(TRIM($A341),2,1)="：",MID(TRIM($A341),2,1)="."),REPLACEB(TRIM($A341),1,2,""),TRIM($A341)))</f>
        <v>0</v>
      </c>
      <c r="H341" s="677">
        <f>SUMIFS(调整事项汇总表!$K$7:$K$10020,调整事项汇总表!$D$7:$D$10020,"其他",调整事项汇总表!$E$7:$E$10020,IF(OR(MID(TRIM($A341),2,1)="：",MID(TRIM($A341),2,1)="."),REPLACEB(TRIM($A341),1,2,""),TRIM($A341)))</f>
        <v>0</v>
      </c>
      <c r="I341" s="762">
        <f t="shared" ref="I341" si="93">B341+C341+E341+G341-H341-F341-D341</f>
        <v>0</v>
      </c>
      <c r="J341" s="425" t="b">
        <f>A341=未审报表!A341</f>
        <v>1</v>
      </c>
      <c r="K341" s="425" t="b">
        <f>A341=审定报表!A341</f>
        <v>1</v>
      </c>
    </row>
    <row r="342" spans="1:11" ht="13.8">
      <c r="A342" s="778" t="str">
        <f>未审报表!A342</f>
        <v>六、期末现金及现金等价物余额</v>
      </c>
      <c r="B342" s="775">
        <f>期初核对!C342</f>
        <v>0</v>
      </c>
      <c r="C342" s="764">
        <f>C340+C341</f>
        <v>0</v>
      </c>
      <c r="D342" s="764">
        <f t="shared" ref="D342:H342" si="94">D340+D341</f>
        <v>0</v>
      </c>
      <c r="E342" s="764">
        <f t="shared" si="94"/>
        <v>0</v>
      </c>
      <c r="F342" s="764">
        <f t="shared" si="94"/>
        <v>0</v>
      </c>
      <c r="G342" s="764">
        <f t="shared" si="94"/>
        <v>0</v>
      </c>
      <c r="H342" s="764">
        <f t="shared" si="94"/>
        <v>0</v>
      </c>
      <c r="I342" s="765">
        <f>B342+C342+E342+G342-H342-F342-D342</f>
        <v>0</v>
      </c>
      <c r="J342" s="425" t="b">
        <f>A342=未审报表!A342</f>
        <v>1</v>
      </c>
      <c r="K342" s="425" t="b">
        <f>A342=审定报表!A342</f>
        <v>1</v>
      </c>
    </row>
    <row r="343" spans="1:11">
      <c r="A343" s="784" t="str">
        <f>未审报表!A343</f>
        <v>补    充    资    料</v>
      </c>
      <c r="B343" s="785" t="s">
        <v>1521</v>
      </c>
      <c r="C343" s="770" t="s">
        <v>1494</v>
      </c>
      <c r="D343" s="770" t="s">
        <v>1516</v>
      </c>
      <c r="E343" s="785" t="s">
        <v>1513</v>
      </c>
      <c r="F343" s="785" t="s">
        <v>1507</v>
      </c>
      <c r="G343" s="785" t="s">
        <v>1508</v>
      </c>
      <c r="H343" s="785" t="s">
        <v>1515</v>
      </c>
      <c r="I343" s="789" t="s">
        <v>1520</v>
      </c>
      <c r="J343" s="425" t="b">
        <f>A343=未审报表!A343</f>
        <v>1</v>
      </c>
      <c r="K343" s="425" t="b">
        <f>A343=审定报表!A343</f>
        <v>1</v>
      </c>
    </row>
    <row r="344" spans="1:11">
      <c r="A344" s="783" t="str">
        <f>未审报表!A344</f>
        <v>1、将净利润调节为经营活动现金流量：</v>
      </c>
      <c r="B344" s="432"/>
      <c r="C344" s="432"/>
      <c r="D344" s="432"/>
      <c r="E344" s="432"/>
      <c r="F344" s="432"/>
      <c r="G344" s="432"/>
      <c r="H344" s="432"/>
      <c r="I344" s="432"/>
      <c r="J344" s="425" t="b">
        <f>A344=未审报表!A344</f>
        <v>1</v>
      </c>
      <c r="K344" s="425" t="b">
        <f>A344=审定报表!A344</f>
        <v>1</v>
      </c>
    </row>
    <row r="345" spans="1:11" ht="13.8">
      <c r="A345" s="779" t="str">
        <f>未审报表!A345</f>
        <v xml:space="preserve">     净利润</v>
      </c>
      <c r="B345" s="643">
        <f>期初核对!C345</f>
        <v>21221252.779999997</v>
      </c>
      <c r="C345" s="677">
        <f>C233</f>
        <v>10000</v>
      </c>
      <c r="D345" s="677">
        <f t="shared" ref="D345:H345" si="95">D233</f>
        <v>10000</v>
      </c>
      <c r="E345" s="677">
        <f t="shared" si="95"/>
        <v>0</v>
      </c>
      <c r="F345" s="677">
        <f t="shared" si="95"/>
        <v>0</v>
      </c>
      <c r="G345" s="677">
        <f t="shared" si="95"/>
        <v>0</v>
      </c>
      <c r="H345" s="677">
        <f t="shared" si="95"/>
        <v>0</v>
      </c>
      <c r="I345" s="677">
        <f>B345+D345+F345+H345-G345-E345-C345</f>
        <v>21221252.779999997</v>
      </c>
      <c r="J345" s="425" t="b">
        <f>A345=未审报表!A345</f>
        <v>1</v>
      </c>
      <c r="K345" s="425" t="b">
        <f>A345=审定报表!A345</f>
        <v>1</v>
      </c>
    </row>
    <row r="346" spans="1:11" ht="13.8">
      <c r="A346" s="779">
        <f>未审报表!A346</f>
        <v>0</v>
      </c>
      <c r="B346" s="423"/>
      <c r="C346" s="400"/>
      <c r="D346" s="400"/>
      <c r="E346" s="400"/>
      <c r="F346" s="400"/>
      <c r="G346" s="400"/>
      <c r="H346" s="400"/>
      <c r="I346" s="642"/>
      <c r="J346" s="425" t="b">
        <f>A346=未审报表!A346</f>
        <v>1</v>
      </c>
      <c r="K346" s="425" t="b">
        <f>A346=审定报表!A346</f>
        <v>1</v>
      </c>
    </row>
    <row r="347" spans="1:11" ht="13.8">
      <c r="A347" s="779">
        <f>未审报表!A347</f>
        <v>0</v>
      </c>
      <c r="B347" s="423"/>
      <c r="C347" s="400"/>
      <c r="D347" s="400"/>
      <c r="E347" s="400"/>
      <c r="F347" s="400"/>
      <c r="G347" s="400"/>
      <c r="H347" s="400"/>
      <c r="I347" s="642"/>
      <c r="J347" s="425" t="b">
        <f>A347=未审报表!A347</f>
        <v>1</v>
      </c>
      <c r="K347" s="425" t="b">
        <f>A347=审定报表!A347</f>
        <v>1</v>
      </c>
    </row>
    <row r="348" spans="1:11" ht="13.8">
      <c r="A348" s="779" t="str">
        <f>未审报表!A348</f>
        <v>加：资产减值损失</v>
      </c>
      <c r="B348" s="643">
        <f>期初核对!C348</f>
        <v>0</v>
      </c>
      <c r="C348" s="677">
        <f>C225</f>
        <v>0</v>
      </c>
      <c r="D348" s="677">
        <f t="shared" ref="D348:H348" si="96">D225</f>
        <v>0</v>
      </c>
      <c r="E348" s="677">
        <f t="shared" si="96"/>
        <v>0</v>
      </c>
      <c r="F348" s="677">
        <f t="shared" si="96"/>
        <v>0</v>
      </c>
      <c r="G348" s="677">
        <f t="shared" si="96"/>
        <v>0</v>
      </c>
      <c r="H348" s="677">
        <f t="shared" si="96"/>
        <v>0</v>
      </c>
      <c r="I348" s="677">
        <f>-I225</f>
        <v>0</v>
      </c>
      <c r="J348" s="425" t="b">
        <f>A348=未审报表!A348</f>
        <v>1</v>
      </c>
      <c r="K348" s="425" t="b">
        <f>A348=审定报表!A348</f>
        <v>1</v>
      </c>
    </row>
    <row r="349" spans="1:11" ht="13.8">
      <c r="A349" s="779" t="str">
        <f>未审报表!A349</f>
        <v xml:space="preserve">        信用减值损失</v>
      </c>
      <c r="B349" s="643">
        <f>期初核对!C349</f>
        <v>0</v>
      </c>
      <c r="C349" s="677">
        <f>C224</f>
        <v>0</v>
      </c>
      <c r="D349" s="677">
        <f t="shared" ref="D349:H349" si="97">D224</f>
        <v>0</v>
      </c>
      <c r="E349" s="677">
        <f t="shared" si="97"/>
        <v>0</v>
      </c>
      <c r="F349" s="677">
        <f t="shared" si="97"/>
        <v>0</v>
      </c>
      <c r="G349" s="677">
        <f t="shared" si="97"/>
        <v>0</v>
      </c>
      <c r="H349" s="677">
        <f t="shared" si="97"/>
        <v>0</v>
      </c>
      <c r="I349" s="677">
        <f>B349+C349+E349+G349-H349-F349-D349</f>
        <v>0</v>
      </c>
      <c r="J349" s="425" t="b">
        <f>A349=未审报表!A349</f>
        <v>1</v>
      </c>
      <c r="K349" s="425" t="b">
        <f>A349=审定报表!A349</f>
        <v>1</v>
      </c>
    </row>
    <row r="350" spans="1:11" ht="13.8">
      <c r="A350" s="779" t="str">
        <f>未审报表!A350</f>
        <v xml:space="preserve">     固定资产折旧、投资性房地产折旧、油气资产折耗、生产性生物资产折旧</v>
      </c>
      <c r="B350" s="643">
        <f>期初核对!C350</f>
        <v>0</v>
      </c>
      <c r="C350" s="677">
        <f>SUMIFS(调整事项汇总表!$K$7:$K$10020,调整事项汇总表!$D$7:$D$10020,"账项调整",调整事项汇总表!$E$7:$E$10020,IF(OR(MID(TRIM($A350),2,1)="：",MID(TRIM($A350),2,1)="."),REPLACEB(TRIM($A350),1,2,""),TRIM($A350)))</f>
        <v>0</v>
      </c>
      <c r="D350" s="677">
        <f>SUMIFS(调整事项汇总表!$L$7:$L$10020,调整事项汇总表!$D$7:$D$10020,"账项调整",调整事项汇总表!$E$7:$E$10020,IF(OR(MID(TRIM($A350),2,1)="：",MID(TRIM($A350),2,1)="."),REPLACEB(TRIM($A350),1,2,""),TRIM($A350)))</f>
        <v>0</v>
      </c>
      <c r="E350" s="677">
        <f>SUMIFS(调整事项汇总表!$K$7:$K$10020,调整事项汇总表!$D$7:$D$10020,"报表调整",调整事项汇总表!$E$7:$E$10020,IF(OR(MID(TRIM($A350),2,1)="：",MID(TRIM($A350),2,1)="."),REPLACEB(TRIM($A350),1,2,""),TRIM($A350)))</f>
        <v>0</v>
      </c>
      <c r="F350" s="677">
        <f>SUMIFS(调整事项汇总表!$L$7:$L$10020,调整事项汇总表!$D$7:$D$10020,"报表调整",调整事项汇总表!$E$7:$E$10020,IF(OR(MID(TRIM($A350),2,1)="：",MID(TRIM($A350),2,1)="."),REPLACEB(TRIM($A350),1,2,""),TRIM($A350)))</f>
        <v>0</v>
      </c>
      <c r="G350" s="677">
        <f>SUMIFS(调整事项汇总表!$K$7:$K$10020,调整事项汇总表!$D$7:$D$10020,"其他",调整事项汇总表!$E$7:$E$10020,IF(OR(MID(TRIM($A350),2,1)="：",MID(TRIM($A350),2,1)="."),REPLACEB(TRIM($A350),1,2,""),TRIM($A350)))</f>
        <v>0</v>
      </c>
      <c r="H350" s="677">
        <f>SUMIFS(调整事项汇总表!$K$7:$K$10020,调整事项汇总表!$D$7:$D$10020,"其他",调整事项汇总表!$E$7:$E$10020,IF(OR(MID(TRIM($A350),2,1)="：",MID(TRIM($A350),2,1)="."),REPLACEB(TRIM($A350),1,2,""),TRIM($A350)))</f>
        <v>0</v>
      </c>
      <c r="I350" s="677">
        <f t="shared" ref="I350:I364" si="98">B350+C350+E350+G350-H350-F350-D350</f>
        <v>0</v>
      </c>
      <c r="J350" s="425" t="b">
        <f>A350=未审报表!A350</f>
        <v>1</v>
      </c>
      <c r="K350" s="425" t="b">
        <f>A350=审定报表!A350</f>
        <v>1</v>
      </c>
    </row>
    <row r="351" spans="1:11" ht="13.8">
      <c r="A351" s="779" t="str">
        <f>未审报表!A351</f>
        <v xml:space="preserve">    使用权资产折旧</v>
      </c>
      <c r="B351" s="643">
        <f>期初核对!C351</f>
        <v>0</v>
      </c>
      <c r="C351" s="677">
        <f>SUMIFS(调整事项汇总表!$K$7:$K$10020,调整事项汇总表!$D$7:$D$10020,"账项调整",调整事项汇总表!$E$7:$E$10020,IF(OR(MID(TRIM($A351),2,1)="：",MID(TRIM($A351),2,1)="."),REPLACEB(TRIM($A351),1,2,""),TRIM($A351)))</f>
        <v>0</v>
      </c>
      <c r="D351" s="677">
        <f>SUMIFS(调整事项汇总表!$L$7:$L$10020,调整事项汇总表!$D$7:$D$10020,"账项调整",调整事项汇总表!$E$7:$E$10020,IF(OR(MID(TRIM($A351),2,1)="：",MID(TRIM($A351),2,1)="."),REPLACEB(TRIM($A351),1,2,""),TRIM($A351)))</f>
        <v>0</v>
      </c>
      <c r="E351" s="677">
        <f>SUMIFS(调整事项汇总表!$K$7:$K$10020,调整事项汇总表!$D$7:$D$10020,"报表调整",调整事项汇总表!$E$7:$E$10020,IF(OR(MID(TRIM($A351),2,1)="：",MID(TRIM($A351),2,1)="."),REPLACEB(TRIM($A351),1,2,""),TRIM($A351)))</f>
        <v>0</v>
      </c>
      <c r="F351" s="677">
        <f>SUMIFS(调整事项汇总表!$L$7:$L$10020,调整事项汇总表!$D$7:$D$10020,"报表调整",调整事项汇总表!$E$7:$E$10020,IF(OR(MID(TRIM($A351),2,1)="：",MID(TRIM($A351),2,1)="."),REPLACEB(TRIM($A351),1,2,""),TRIM($A351)))</f>
        <v>0</v>
      </c>
      <c r="G351" s="677">
        <f>SUMIFS(调整事项汇总表!$K$7:$K$10020,调整事项汇总表!$D$7:$D$10020,"其他",调整事项汇总表!$E$7:$E$10020,IF(OR(MID(TRIM($A351),2,1)="：",MID(TRIM($A351),2,1)="."),REPLACEB(TRIM($A351),1,2,""),TRIM($A351)))</f>
        <v>0</v>
      </c>
      <c r="H351" s="677">
        <f>SUMIFS(调整事项汇总表!$K$7:$K$10020,调整事项汇总表!$D$7:$D$10020,"其他",调整事项汇总表!$E$7:$E$10020,IF(OR(MID(TRIM($A351),2,1)="：",MID(TRIM($A351),2,1)="."),REPLACEB(TRIM($A351),1,2,""),TRIM($A351)))</f>
        <v>0</v>
      </c>
      <c r="I351" s="677">
        <f t="shared" si="98"/>
        <v>0</v>
      </c>
      <c r="J351" s="425" t="b">
        <f>A351=未审报表!A351</f>
        <v>1</v>
      </c>
      <c r="K351" s="425" t="b">
        <f>A351=审定报表!A351</f>
        <v>1</v>
      </c>
    </row>
    <row r="352" spans="1:11" ht="13.8">
      <c r="A352" s="779" t="str">
        <f>未审报表!A352</f>
        <v xml:space="preserve">     无形资产摊销</v>
      </c>
      <c r="B352" s="643">
        <f>期初核对!C352</f>
        <v>0</v>
      </c>
      <c r="C352" s="677">
        <f>SUMIFS(调整事项汇总表!$K$7:$K$10020,调整事项汇总表!$D$7:$D$10020,"账项调整",调整事项汇总表!$E$7:$E$10020,IF(OR(MID(TRIM($A352),2,1)="：",MID(TRIM($A352),2,1)="."),REPLACEB(TRIM($A352),1,2,""),TRIM($A352)))</f>
        <v>0</v>
      </c>
      <c r="D352" s="677">
        <f>SUMIFS(调整事项汇总表!$L$7:$L$10020,调整事项汇总表!$D$7:$D$10020,"账项调整",调整事项汇总表!$E$7:$E$10020,IF(OR(MID(TRIM($A352),2,1)="：",MID(TRIM($A352),2,1)="."),REPLACEB(TRIM($A352),1,2,""),TRIM($A352)))</f>
        <v>0</v>
      </c>
      <c r="E352" s="677">
        <f>SUMIFS(调整事项汇总表!$K$7:$K$10020,调整事项汇总表!$D$7:$D$10020,"报表调整",调整事项汇总表!$E$7:$E$10020,IF(OR(MID(TRIM($A352),2,1)="：",MID(TRIM($A352),2,1)="."),REPLACEB(TRIM($A352),1,2,""),TRIM($A352)))</f>
        <v>0</v>
      </c>
      <c r="F352" s="677">
        <f>SUMIFS(调整事项汇总表!$L$7:$L$10020,调整事项汇总表!$D$7:$D$10020,"报表调整",调整事项汇总表!$E$7:$E$10020,IF(OR(MID(TRIM($A352),2,1)="：",MID(TRIM($A352),2,1)="."),REPLACEB(TRIM($A352),1,2,""),TRIM($A352)))</f>
        <v>0</v>
      </c>
      <c r="G352" s="677">
        <f>SUMIFS(调整事项汇总表!$K$7:$K$10020,调整事项汇总表!$D$7:$D$10020,"其他",调整事项汇总表!$E$7:$E$10020,IF(OR(MID(TRIM($A352),2,1)="：",MID(TRIM($A352),2,1)="."),REPLACEB(TRIM($A352),1,2,""),TRIM($A352)))</f>
        <v>0</v>
      </c>
      <c r="H352" s="677">
        <f>SUMIFS(调整事项汇总表!$K$7:$K$10020,调整事项汇总表!$D$7:$D$10020,"其他",调整事项汇总表!$E$7:$E$10020,IF(OR(MID(TRIM($A352),2,1)="：",MID(TRIM($A352),2,1)="."),REPLACEB(TRIM($A352),1,2,""),TRIM($A352)))</f>
        <v>0</v>
      </c>
      <c r="I352" s="677">
        <f t="shared" si="98"/>
        <v>0</v>
      </c>
      <c r="J352" s="425" t="b">
        <f>A352=未审报表!A352</f>
        <v>1</v>
      </c>
      <c r="K352" s="425" t="b">
        <f>A352=审定报表!A352</f>
        <v>1</v>
      </c>
    </row>
    <row r="353" spans="1:11" ht="13.8">
      <c r="A353" s="779" t="str">
        <f>未审报表!A353</f>
        <v xml:space="preserve">     长期待摊费用摊销</v>
      </c>
      <c r="B353" s="643">
        <f>期初核对!C353</f>
        <v>0</v>
      </c>
      <c r="C353" s="677">
        <f>SUMIFS(调整事项汇总表!$K$7:$K$10020,调整事项汇总表!$D$7:$D$10020,"账项调整",调整事项汇总表!$E$7:$E$10020,IF(OR(MID(TRIM($A353),2,1)="：",MID(TRIM($A353),2,1)="."),REPLACEB(TRIM($A353),1,2,""),TRIM($A353)))</f>
        <v>0</v>
      </c>
      <c r="D353" s="677">
        <f>SUMIFS(调整事项汇总表!$L$7:$L$10020,调整事项汇总表!$D$7:$D$10020,"账项调整",调整事项汇总表!$E$7:$E$10020,IF(OR(MID(TRIM($A353),2,1)="：",MID(TRIM($A353),2,1)="."),REPLACEB(TRIM($A353),1,2,""),TRIM($A353)))</f>
        <v>0</v>
      </c>
      <c r="E353" s="677">
        <f>SUMIFS(调整事项汇总表!$K$7:$K$10020,调整事项汇总表!$D$7:$D$10020,"报表调整",调整事项汇总表!$E$7:$E$10020,IF(OR(MID(TRIM($A353),2,1)="：",MID(TRIM($A353),2,1)="."),REPLACEB(TRIM($A353),1,2,""),TRIM($A353)))</f>
        <v>0</v>
      </c>
      <c r="F353" s="677">
        <f>SUMIFS(调整事项汇总表!$L$7:$L$10020,调整事项汇总表!$D$7:$D$10020,"报表调整",调整事项汇总表!$E$7:$E$10020,IF(OR(MID(TRIM($A353),2,1)="：",MID(TRIM($A353),2,1)="."),REPLACEB(TRIM($A353),1,2,""),TRIM($A353)))</f>
        <v>0</v>
      </c>
      <c r="G353" s="677">
        <f>SUMIFS(调整事项汇总表!$K$7:$K$10020,调整事项汇总表!$D$7:$D$10020,"其他",调整事项汇总表!$E$7:$E$10020,IF(OR(MID(TRIM($A353),2,1)="：",MID(TRIM($A353),2,1)="."),REPLACEB(TRIM($A353),1,2,""),TRIM($A353)))</f>
        <v>0</v>
      </c>
      <c r="H353" s="677">
        <f>SUMIFS(调整事项汇总表!$K$7:$K$10020,调整事项汇总表!$D$7:$D$10020,"其他",调整事项汇总表!$E$7:$E$10020,IF(OR(MID(TRIM($A353),2,1)="：",MID(TRIM($A353),2,1)="."),REPLACEB(TRIM($A353),1,2,""),TRIM($A353)))</f>
        <v>0</v>
      </c>
      <c r="I353" s="677">
        <f t="shared" si="98"/>
        <v>0</v>
      </c>
      <c r="J353" s="425" t="b">
        <f>A353=未审报表!A353</f>
        <v>1</v>
      </c>
      <c r="K353" s="425" t="b">
        <f>A353=审定报表!A353</f>
        <v>1</v>
      </c>
    </row>
    <row r="354" spans="1:11" ht="13.8">
      <c r="A354" s="779" t="str">
        <f>未审报表!A354</f>
        <v xml:space="preserve">     处置固定资产、无形资产和其他长期资产的损失（收益以“－”号填列）</v>
      </c>
      <c r="B354" s="643">
        <f>期初核对!C354</f>
        <v>0</v>
      </c>
      <c r="C354" s="677">
        <f>SUMIFS(调整事项汇总表!$K$7:$K$10020,调整事项汇总表!$D$7:$D$10020,"账项调整",调整事项汇总表!$E$7:$E$10020,IF(OR(MID(TRIM($A354),2,1)="：",MID(TRIM($A354),2,1)="."),REPLACEB(TRIM($A354),1,2,""),TRIM($A354)))</f>
        <v>0</v>
      </c>
      <c r="D354" s="677">
        <f>SUMIFS(调整事项汇总表!$L$7:$L$10020,调整事项汇总表!$D$7:$D$10020,"账项调整",调整事项汇总表!$E$7:$E$10020,IF(OR(MID(TRIM($A354),2,1)="：",MID(TRIM($A354),2,1)="."),REPLACEB(TRIM($A354),1,2,""),TRIM($A354)))</f>
        <v>0</v>
      </c>
      <c r="E354" s="677">
        <f>SUMIFS(调整事项汇总表!$K$7:$K$10020,调整事项汇总表!$D$7:$D$10020,"报表调整",调整事项汇总表!$E$7:$E$10020,IF(OR(MID(TRIM($A354),2,1)="：",MID(TRIM($A354),2,1)="."),REPLACEB(TRIM($A354),1,2,""),TRIM($A354)))</f>
        <v>0</v>
      </c>
      <c r="F354" s="677">
        <f>SUMIFS(调整事项汇总表!$L$7:$L$10020,调整事项汇总表!$D$7:$D$10020,"报表调整",调整事项汇总表!$E$7:$E$10020,IF(OR(MID(TRIM($A354),2,1)="：",MID(TRIM($A354),2,1)="."),REPLACEB(TRIM($A354),1,2,""),TRIM($A354)))</f>
        <v>0</v>
      </c>
      <c r="G354" s="677">
        <f>SUMIFS(调整事项汇总表!$K$7:$K$10020,调整事项汇总表!$D$7:$D$10020,"其他",调整事项汇总表!$E$7:$E$10020,IF(OR(MID(TRIM($A354),2,1)="：",MID(TRIM($A354),2,1)="."),REPLACEB(TRIM($A354),1,2,""),TRIM($A354)))</f>
        <v>0</v>
      </c>
      <c r="H354" s="677">
        <f>SUMIFS(调整事项汇总表!$K$7:$K$10020,调整事项汇总表!$D$7:$D$10020,"其他",调整事项汇总表!$E$7:$E$10020,IF(OR(MID(TRIM($A354),2,1)="：",MID(TRIM($A354),2,1)="."),REPLACEB(TRIM($A354),1,2,""),TRIM($A354)))</f>
        <v>0</v>
      </c>
      <c r="I354" s="677">
        <f t="shared" si="98"/>
        <v>0</v>
      </c>
      <c r="J354" s="425" t="b">
        <f>A354=未审报表!A354</f>
        <v>1</v>
      </c>
      <c r="K354" s="425" t="b">
        <f>A354=审定报表!A354</f>
        <v>1</v>
      </c>
    </row>
    <row r="355" spans="1:11" ht="13.8">
      <c r="A355" s="779" t="str">
        <f>未审报表!A355</f>
        <v xml:space="preserve">     固定资产报废损失（收益以“－”号填列）</v>
      </c>
      <c r="B355" s="643">
        <f>期初核对!C355</f>
        <v>0</v>
      </c>
      <c r="C355" s="677">
        <f>SUMIFS(调整事项汇总表!$K$7:$K$10020,调整事项汇总表!$D$7:$D$10020,"账项调整",调整事项汇总表!$E$7:$E$10020,IF(OR(MID(TRIM($A355),2,1)="：",MID(TRIM($A355),2,1)="."),REPLACEB(TRIM($A355),1,2,""),TRIM($A355)))</f>
        <v>0</v>
      </c>
      <c r="D355" s="677">
        <f>SUMIFS(调整事项汇总表!$L$7:$L$10020,调整事项汇总表!$D$7:$D$10020,"账项调整",调整事项汇总表!$E$7:$E$10020,IF(OR(MID(TRIM($A355),2,1)="：",MID(TRIM($A355),2,1)="."),REPLACEB(TRIM($A355),1,2,""),TRIM($A355)))</f>
        <v>0</v>
      </c>
      <c r="E355" s="677">
        <f>SUMIFS(调整事项汇总表!$K$7:$K$10020,调整事项汇总表!$D$7:$D$10020,"报表调整",调整事项汇总表!$E$7:$E$10020,IF(OR(MID(TRIM($A355),2,1)="：",MID(TRIM($A355),2,1)="."),REPLACEB(TRIM($A355),1,2,""),TRIM($A355)))</f>
        <v>0</v>
      </c>
      <c r="F355" s="677">
        <f>SUMIFS(调整事项汇总表!$L$7:$L$10020,调整事项汇总表!$D$7:$D$10020,"报表调整",调整事项汇总表!$E$7:$E$10020,IF(OR(MID(TRIM($A355),2,1)="：",MID(TRIM($A355),2,1)="."),REPLACEB(TRIM($A355),1,2,""),TRIM($A355)))</f>
        <v>0</v>
      </c>
      <c r="G355" s="677">
        <f>SUMIFS(调整事项汇总表!$K$7:$K$10020,调整事项汇总表!$D$7:$D$10020,"其他",调整事项汇总表!$E$7:$E$10020,IF(OR(MID(TRIM($A355),2,1)="：",MID(TRIM($A355),2,1)="."),REPLACEB(TRIM($A355),1,2,""),TRIM($A355)))</f>
        <v>0</v>
      </c>
      <c r="H355" s="677">
        <f>SUMIFS(调整事项汇总表!$K$7:$K$10020,调整事项汇总表!$D$7:$D$10020,"其他",调整事项汇总表!$E$7:$E$10020,IF(OR(MID(TRIM($A355),2,1)="：",MID(TRIM($A355),2,1)="."),REPLACEB(TRIM($A355),1,2,""),TRIM($A355)))</f>
        <v>0</v>
      </c>
      <c r="I355" s="677">
        <f t="shared" si="98"/>
        <v>0</v>
      </c>
      <c r="J355" s="425" t="b">
        <f>A355=未审报表!A355</f>
        <v>1</v>
      </c>
      <c r="K355" s="425" t="b">
        <f>A355=审定报表!A355</f>
        <v>1</v>
      </c>
    </row>
    <row r="356" spans="1:11" ht="13.8">
      <c r="A356" s="779" t="str">
        <f>未审报表!A356</f>
        <v xml:space="preserve">     公允价值变动损失（收益以“－”号填列）</v>
      </c>
      <c r="B356" s="643">
        <f>期初核对!C356</f>
        <v>0</v>
      </c>
      <c r="C356" s="677">
        <f>SUMIFS(调整事项汇总表!$K$7:$K$10020,调整事项汇总表!$D$7:$D$10020,"账项调整",调整事项汇总表!$E$7:$E$10020,IF(OR(MID(TRIM($A356),2,1)="：",MID(TRIM($A356),2,1)="."),REPLACEB(TRIM($A356),1,2,""),TRIM($A356)))</f>
        <v>0</v>
      </c>
      <c r="D356" s="677">
        <f>SUMIFS(调整事项汇总表!$L$7:$L$10020,调整事项汇总表!$D$7:$D$10020,"账项调整",调整事项汇总表!$E$7:$E$10020,IF(OR(MID(TRIM($A356),2,1)="：",MID(TRIM($A356),2,1)="."),REPLACEB(TRIM($A356),1,2,""),TRIM($A356)))</f>
        <v>0</v>
      </c>
      <c r="E356" s="677">
        <f>SUMIFS(调整事项汇总表!$K$7:$K$10020,调整事项汇总表!$D$7:$D$10020,"报表调整",调整事项汇总表!$E$7:$E$10020,IF(OR(MID(TRIM($A356),2,1)="：",MID(TRIM($A356),2,1)="."),REPLACEB(TRIM($A356),1,2,""),TRIM($A356)))</f>
        <v>0</v>
      </c>
      <c r="F356" s="677">
        <f>SUMIFS(调整事项汇总表!$L$7:$L$10020,调整事项汇总表!$D$7:$D$10020,"报表调整",调整事项汇总表!$E$7:$E$10020,IF(OR(MID(TRIM($A356),2,1)="：",MID(TRIM($A356),2,1)="."),REPLACEB(TRIM($A356),1,2,""),TRIM($A356)))</f>
        <v>0</v>
      </c>
      <c r="G356" s="677">
        <f>SUMIFS(调整事项汇总表!$K$7:$K$10020,调整事项汇总表!$D$7:$D$10020,"其他",调整事项汇总表!$E$7:$E$10020,IF(OR(MID(TRIM($A356),2,1)="：",MID(TRIM($A356),2,1)="."),REPLACEB(TRIM($A356),1,2,""),TRIM($A356)))</f>
        <v>0</v>
      </c>
      <c r="H356" s="677">
        <f>SUMIFS(调整事项汇总表!$K$7:$K$10020,调整事项汇总表!$D$7:$D$10020,"其他",调整事项汇总表!$E$7:$E$10020,IF(OR(MID(TRIM($A356),2,1)="：",MID(TRIM($A356),2,1)="."),REPLACEB(TRIM($A356),1,2,""),TRIM($A356)))</f>
        <v>0</v>
      </c>
      <c r="I356" s="677">
        <f t="shared" si="98"/>
        <v>0</v>
      </c>
      <c r="J356" s="425" t="b">
        <f>A356=未审报表!A356</f>
        <v>1</v>
      </c>
      <c r="K356" s="425" t="b">
        <f>A356=审定报表!A356</f>
        <v>1</v>
      </c>
    </row>
    <row r="357" spans="1:11" ht="13.8">
      <c r="A357" s="779" t="str">
        <f>未审报表!A357</f>
        <v xml:space="preserve">     财务费用（收益以“－”号填列）</v>
      </c>
      <c r="B357" s="643">
        <f>期初核对!C357</f>
        <v>0</v>
      </c>
      <c r="C357" s="677">
        <f>SUMIFS(调整事项汇总表!$K$7:$K$10020,调整事项汇总表!$D$7:$D$10020,"账项调整",调整事项汇总表!$E$7:$E$10020,IF(OR(MID(TRIM($A357),2,1)="：",MID(TRIM($A357),2,1)="."),REPLACEB(TRIM($A357),1,2,""),TRIM($A357)))</f>
        <v>0</v>
      </c>
      <c r="D357" s="677">
        <f>SUMIFS(调整事项汇总表!$L$7:$L$10020,调整事项汇总表!$D$7:$D$10020,"账项调整",调整事项汇总表!$E$7:$E$10020,IF(OR(MID(TRIM($A357),2,1)="：",MID(TRIM($A357),2,1)="."),REPLACEB(TRIM($A357),1,2,""),TRIM($A357)))</f>
        <v>0</v>
      </c>
      <c r="E357" s="677">
        <f>SUMIFS(调整事项汇总表!$K$7:$K$10020,调整事项汇总表!$D$7:$D$10020,"报表调整",调整事项汇总表!$E$7:$E$10020,IF(OR(MID(TRIM($A357),2,1)="：",MID(TRIM($A357),2,1)="."),REPLACEB(TRIM($A357),1,2,""),TRIM($A357)))</f>
        <v>0</v>
      </c>
      <c r="F357" s="677">
        <f>SUMIFS(调整事项汇总表!$L$7:$L$10020,调整事项汇总表!$D$7:$D$10020,"报表调整",调整事项汇总表!$E$7:$E$10020,IF(OR(MID(TRIM($A357),2,1)="：",MID(TRIM($A357),2,1)="."),REPLACEB(TRIM($A357),1,2,""),TRIM($A357)))</f>
        <v>0</v>
      </c>
      <c r="G357" s="677">
        <f>SUMIFS(调整事项汇总表!$K$7:$K$10020,调整事项汇总表!$D$7:$D$10020,"其他",调整事项汇总表!$E$7:$E$10020,IF(OR(MID(TRIM($A357),2,1)="：",MID(TRIM($A357),2,1)="."),REPLACEB(TRIM($A357),1,2,""),TRIM($A357)))</f>
        <v>0</v>
      </c>
      <c r="H357" s="677">
        <f>SUMIFS(调整事项汇总表!$K$7:$K$10020,调整事项汇总表!$D$7:$D$10020,"其他",调整事项汇总表!$E$7:$E$10020,IF(OR(MID(TRIM($A357),2,1)="：",MID(TRIM($A357),2,1)="."),REPLACEB(TRIM($A357),1,2,""),TRIM($A357)))</f>
        <v>0</v>
      </c>
      <c r="I357" s="677">
        <f t="shared" si="98"/>
        <v>0</v>
      </c>
      <c r="J357" s="425" t="b">
        <f>A357=未审报表!A357</f>
        <v>1</v>
      </c>
      <c r="K357" s="425" t="b">
        <f>A357=审定报表!A357</f>
        <v>1</v>
      </c>
    </row>
    <row r="358" spans="1:11" ht="13.8">
      <c r="A358" s="779" t="str">
        <f>未审报表!A358</f>
        <v xml:space="preserve">     投资损失（收益以“－”号填列）</v>
      </c>
      <c r="B358" s="643">
        <f>期初核对!C358</f>
        <v>0</v>
      </c>
      <c r="C358" s="677">
        <f>SUMIFS(调整事项汇总表!$K$7:$K$10020,调整事项汇总表!$D$7:$D$10020,"账项调整",调整事项汇总表!$E$7:$E$10020,IF(OR(MID(TRIM($A358),2,1)="：",MID(TRIM($A358),2,1)="."),REPLACEB(TRIM($A358),1,2,""),TRIM($A358)))</f>
        <v>0</v>
      </c>
      <c r="D358" s="677">
        <f>SUMIFS(调整事项汇总表!$L$7:$L$10020,调整事项汇总表!$D$7:$D$10020,"账项调整",调整事项汇总表!$E$7:$E$10020,IF(OR(MID(TRIM($A358),2,1)="：",MID(TRIM($A358),2,1)="."),REPLACEB(TRIM($A358),1,2,""),TRIM($A358)))</f>
        <v>0</v>
      </c>
      <c r="E358" s="677">
        <f>SUMIFS(调整事项汇总表!$K$7:$K$10020,调整事项汇总表!$D$7:$D$10020,"报表调整",调整事项汇总表!$E$7:$E$10020,IF(OR(MID(TRIM($A358),2,1)="：",MID(TRIM($A358),2,1)="."),REPLACEB(TRIM($A358),1,2,""),TRIM($A358)))</f>
        <v>0</v>
      </c>
      <c r="F358" s="677">
        <f>SUMIFS(调整事项汇总表!$L$7:$L$10020,调整事项汇总表!$D$7:$D$10020,"报表调整",调整事项汇总表!$E$7:$E$10020,IF(OR(MID(TRIM($A358),2,1)="：",MID(TRIM($A358),2,1)="."),REPLACEB(TRIM($A358),1,2,""),TRIM($A358)))</f>
        <v>0</v>
      </c>
      <c r="G358" s="677">
        <f>SUMIFS(调整事项汇总表!$K$7:$K$10020,调整事项汇总表!$D$7:$D$10020,"其他",调整事项汇总表!$E$7:$E$10020,IF(OR(MID(TRIM($A358),2,1)="：",MID(TRIM($A358),2,1)="."),REPLACEB(TRIM($A358),1,2,""),TRIM($A358)))</f>
        <v>0</v>
      </c>
      <c r="H358" s="677">
        <f>SUMIFS(调整事项汇总表!$K$7:$K$10020,调整事项汇总表!$D$7:$D$10020,"其他",调整事项汇总表!$E$7:$E$10020,IF(OR(MID(TRIM($A358),2,1)="：",MID(TRIM($A358),2,1)="."),REPLACEB(TRIM($A358),1,2,""),TRIM($A358)))</f>
        <v>0</v>
      </c>
      <c r="I358" s="677">
        <f t="shared" si="98"/>
        <v>0</v>
      </c>
      <c r="J358" s="425" t="b">
        <f>A358=未审报表!A358</f>
        <v>1</v>
      </c>
      <c r="K358" s="425" t="b">
        <f>A358=审定报表!A358</f>
        <v>1</v>
      </c>
    </row>
    <row r="359" spans="1:11" ht="13.8">
      <c r="A359" s="779" t="str">
        <f>未审报表!A359</f>
        <v xml:space="preserve">     递延所得税资产减少（增加以“－”号填列）</v>
      </c>
      <c r="B359" s="643">
        <f>期初核对!C359</f>
        <v>0</v>
      </c>
      <c r="C359" s="677">
        <f>SUMIFS(调整事项汇总表!$K$7:$K$10020,调整事项汇总表!$D$7:$D$10020,"账项调整",调整事项汇总表!$E$7:$E$10020,IF(OR(MID(TRIM($A359),2,1)="：",MID(TRIM($A359),2,1)="."),REPLACEB(TRIM($A359),1,2,""),TRIM($A359)))</f>
        <v>0</v>
      </c>
      <c r="D359" s="677">
        <f>SUMIFS(调整事项汇总表!$L$7:$L$10020,调整事项汇总表!$D$7:$D$10020,"账项调整",调整事项汇总表!$E$7:$E$10020,IF(OR(MID(TRIM($A359),2,1)="：",MID(TRIM($A359),2,1)="."),REPLACEB(TRIM($A359),1,2,""),TRIM($A359)))</f>
        <v>0</v>
      </c>
      <c r="E359" s="677">
        <f>SUMIFS(调整事项汇总表!$K$7:$K$10020,调整事项汇总表!$D$7:$D$10020,"报表调整",调整事项汇总表!$E$7:$E$10020,IF(OR(MID(TRIM($A359),2,1)="：",MID(TRIM($A359),2,1)="."),REPLACEB(TRIM($A359),1,2,""),TRIM($A359)))</f>
        <v>0</v>
      </c>
      <c r="F359" s="677">
        <f>SUMIFS(调整事项汇总表!$L$7:$L$10020,调整事项汇总表!$D$7:$D$10020,"报表调整",调整事项汇总表!$E$7:$E$10020,IF(OR(MID(TRIM($A359),2,1)="：",MID(TRIM($A359),2,1)="."),REPLACEB(TRIM($A359),1,2,""),TRIM($A359)))</f>
        <v>0</v>
      </c>
      <c r="G359" s="677">
        <f>SUMIFS(调整事项汇总表!$K$7:$K$10020,调整事项汇总表!$D$7:$D$10020,"其他",调整事项汇总表!$E$7:$E$10020,IF(OR(MID(TRIM($A359),2,1)="：",MID(TRIM($A359),2,1)="."),REPLACEB(TRIM($A359),1,2,""),TRIM($A359)))</f>
        <v>0</v>
      </c>
      <c r="H359" s="677">
        <f>SUMIFS(调整事项汇总表!$K$7:$K$10020,调整事项汇总表!$D$7:$D$10020,"其他",调整事项汇总表!$E$7:$E$10020,IF(OR(MID(TRIM($A359),2,1)="：",MID(TRIM($A359),2,1)="."),REPLACEB(TRIM($A359),1,2,""),TRIM($A359)))</f>
        <v>0</v>
      </c>
      <c r="I359" s="677">
        <f t="shared" si="98"/>
        <v>0</v>
      </c>
      <c r="J359" s="425" t="b">
        <f>A359=未审报表!A359</f>
        <v>1</v>
      </c>
      <c r="K359" s="425" t="b">
        <f>A359=审定报表!A359</f>
        <v>1</v>
      </c>
    </row>
    <row r="360" spans="1:11" ht="13.8">
      <c r="A360" s="779" t="str">
        <f>未审报表!A360</f>
        <v xml:space="preserve">     递延所得税负债增加（减少以“－”号填列）</v>
      </c>
      <c r="B360" s="643">
        <f>期初核对!C360</f>
        <v>0</v>
      </c>
      <c r="C360" s="677">
        <f>SUMIFS(调整事项汇总表!$K$7:$K$10020,调整事项汇总表!$D$7:$D$10020,"账项调整",调整事项汇总表!$E$7:$E$10020,IF(OR(MID(TRIM($A360),2,1)="：",MID(TRIM($A360),2,1)="."),REPLACEB(TRIM($A360),1,2,""),TRIM($A360)))</f>
        <v>0</v>
      </c>
      <c r="D360" s="677">
        <f>SUMIFS(调整事项汇总表!$L$7:$L$10020,调整事项汇总表!$D$7:$D$10020,"账项调整",调整事项汇总表!$E$7:$E$10020,IF(OR(MID(TRIM($A360),2,1)="：",MID(TRIM($A360),2,1)="."),REPLACEB(TRIM($A360),1,2,""),TRIM($A360)))</f>
        <v>0</v>
      </c>
      <c r="E360" s="677">
        <f>SUMIFS(调整事项汇总表!$K$7:$K$10020,调整事项汇总表!$D$7:$D$10020,"报表调整",调整事项汇总表!$E$7:$E$10020,IF(OR(MID(TRIM($A360),2,1)="：",MID(TRIM($A360),2,1)="."),REPLACEB(TRIM($A360),1,2,""),TRIM($A360)))</f>
        <v>0</v>
      </c>
      <c r="F360" s="677">
        <f>SUMIFS(调整事项汇总表!$L$7:$L$10020,调整事项汇总表!$D$7:$D$10020,"报表调整",调整事项汇总表!$E$7:$E$10020,IF(OR(MID(TRIM($A360),2,1)="：",MID(TRIM($A360),2,1)="."),REPLACEB(TRIM($A360),1,2,""),TRIM($A360)))</f>
        <v>0</v>
      </c>
      <c r="G360" s="677">
        <f>SUMIFS(调整事项汇总表!$K$7:$K$10020,调整事项汇总表!$D$7:$D$10020,"其他",调整事项汇总表!$E$7:$E$10020,IF(OR(MID(TRIM($A360),2,1)="：",MID(TRIM($A360),2,1)="."),REPLACEB(TRIM($A360),1,2,""),TRIM($A360)))</f>
        <v>0</v>
      </c>
      <c r="H360" s="677">
        <f>SUMIFS(调整事项汇总表!$K$7:$K$10020,调整事项汇总表!$D$7:$D$10020,"其他",调整事项汇总表!$E$7:$E$10020,IF(OR(MID(TRIM($A360),2,1)="：",MID(TRIM($A360),2,1)="."),REPLACEB(TRIM($A360),1,2,""),TRIM($A360)))</f>
        <v>0</v>
      </c>
      <c r="I360" s="677">
        <f t="shared" si="98"/>
        <v>0</v>
      </c>
      <c r="J360" s="425" t="b">
        <f>A360=未审报表!A360</f>
        <v>1</v>
      </c>
      <c r="K360" s="425" t="b">
        <f>A360=审定报表!A360</f>
        <v>1</v>
      </c>
    </row>
    <row r="361" spans="1:11" ht="13.8">
      <c r="A361" s="779" t="str">
        <f>未审报表!A361</f>
        <v xml:space="preserve">     存货的减少（增加以“－”号填列）</v>
      </c>
      <c r="B361" s="643">
        <f>期初核对!C361</f>
        <v>0</v>
      </c>
      <c r="C361" s="677">
        <f>SUMIFS(调整事项汇总表!$K$7:$K$10020,调整事项汇总表!$D$7:$D$10020,"账项调整",调整事项汇总表!$E$7:$E$10020,IF(OR(MID(TRIM($A361),2,1)="：",MID(TRIM($A361),2,1)="."),REPLACEB(TRIM($A361),1,2,""),TRIM($A361)))</f>
        <v>0</v>
      </c>
      <c r="D361" s="677">
        <f>SUMIFS(调整事项汇总表!$L$7:$L$10020,调整事项汇总表!$D$7:$D$10020,"账项调整",调整事项汇总表!$E$7:$E$10020,IF(OR(MID(TRIM($A361),2,1)="：",MID(TRIM($A361),2,1)="."),REPLACEB(TRIM($A361),1,2,""),TRIM($A361)))</f>
        <v>0</v>
      </c>
      <c r="E361" s="677">
        <f>SUMIFS(调整事项汇总表!$K$7:$K$10020,调整事项汇总表!$D$7:$D$10020,"报表调整",调整事项汇总表!$E$7:$E$10020,IF(OR(MID(TRIM($A361),2,1)="：",MID(TRIM($A361),2,1)="."),REPLACEB(TRIM($A361),1,2,""),TRIM($A361)))</f>
        <v>0</v>
      </c>
      <c r="F361" s="677">
        <f>SUMIFS(调整事项汇总表!$L$7:$L$10020,调整事项汇总表!$D$7:$D$10020,"报表调整",调整事项汇总表!$E$7:$E$10020,IF(OR(MID(TRIM($A361),2,1)="：",MID(TRIM($A361),2,1)="."),REPLACEB(TRIM($A361),1,2,""),TRIM($A361)))</f>
        <v>0</v>
      </c>
      <c r="G361" s="677">
        <f>SUMIFS(调整事项汇总表!$K$7:$K$10020,调整事项汇总表!$D$7:$D$10020,"其他",调整事项汇总表!$E$7:$E$10020,IF(OR(MID(TRIM($A361),2,1)="：",MID(TRIM($A361),2,1)="."),REPLACEB(TRIM($A361),1,2,""),TRIM($A361)))</f>
        <v>0</v>
      </c>
      <c r="H361" s="677">
        <f>SUMIFS(调整事项汇总表!$K$7:$K$10020,调整事项汇总表!$D$7:$D$10020,"其他",调整事项汇总表!$E$7:$E$10020,IF(OR(MID(TRIM($A361),2,1)="：",MID(TRIM($A361),2,1)="."),REPLACEB(TRIM($A361),1,2,""),TRIM($A361)))</f>
        <v>0</v>
      </c>
      <c r="I361" s="677">
        <f t="shared" si="98"/>
        <v>0</v>
      </c>
      <c r="J361" s="425" t="b">
        <f>A361=未审报表!A361</f>
        <v>1</v>
      </c>
      <c r="K361" s="425" t="b">
        <f>A361=审定报表!A361</f>
        <v>1</v>
      </c>
    </row>
    <row r="362" spans="1:11" ht="13.8">
      <c r="A362" s="779" t="str">
        <f>未审报表!A362</f>
        <v xml:space="preserve">     经营性应收项目的减少（增加以“－”号填列）</v>
      </c>
      <c r="B362" s="643">
        <f>期初核对!C362</f>
        <v>0</v>
      </c>
      <c r="C362" s="677">
        <f>SUMIFS(调整事项汇总表!$K$7:$K$10020,调整事项汇总表!$D$7:$D$10020,"账项调整",调整事项汇总表!$E$7:$E$10020,IF(OR(MID(TRIM($A362),2,1)="：",MID(TRIM($A362),2,1)="."),REPLACEB(TRIM($A362),1,2,""),TRIM($A362)))</f>
        <v>0</v>
      </c>
      <c r="D362" s="677">
        <f>SUMIFS(调整事项汇总表!$L$7:$L$10020,调整事项汇总表!$D$7:$D$10020,"账项调整",调整事项汇总表!$E$7:$E$10020,IF(OR(MID(TRIM($A362),2,1)="：",MID(TRIM($A362),2,1)="."),REPLACEB(TRIM($A362),1,2,""),TRIM($A362)))</f>
        <v>0</v>
      </c>
      <c r="E362" s="677">
        <f>SUMIFS(调整事项汇总表!$K$7:$K$10020,调整事项汇总表!$D$7:$D$10020,"报表调整",调整事项汇总表!$E$7:$E$10020,IF(OR(MID(TRIM($A362),2,1)="：",MID(TRIM($A362),2,1)="."),REPLACEB(TRIM($A362),1,2,""),TRIM($A362)))</f>
        <v>0</v>
      </c>
      <c r="F362" s="677">
        <f>SUMIFS(调整事项汇总表!$L$7:$L$10020,调整事项汇总表!$D$7:$D$10020,"报表调整",调整事项汇总表!$E$7:$E$10020,IF(OR(MID(TRIM($A362),2,1)="：",MID(TRIM($A362),2,1)="."),REPLACEB(TRIM($A362),1,2,""),TRIM($A362)))</f>
        <v>0</v>
      </c>
      <c r="G362" s="677">
        <f>SUMIFS(调整事项汇总表!$K$7:$K$10020,调整事项汇总表!$D$7:$D$10020,"其他",调整事项汇总表!$E$7:$E$10020,IF(OR(MID(TRIM($A362),2,1)="：",MID(TRIM($A362),2,1)="."),REPLACEB(TRIM($A362),1,2,""),TRIM($A362)))</f>
        <v>0</v>
      </c>
      <c r="H362" s="677">
        <f>SUMIFS(调整事项汇总表!$K$7:$K$10020,调整事项汇总表!$D$7:$D$10020,"其他",调整事项汇总表!$E$7:$E$10020,IF(OR(MID(TRIM($A362),2,1)="：",MID(TRIM($A362),2,1)="."),REPLACEB(TRIM($A362),1,2,""),TRIM($A362)))</f>
        <v>0</v>
      </c>
      <c r="I362" s="677">
        <f t="shared" si="98"/>
        <v>0</v>
      </c>
      <c r="J362" s="425" t="b">
        <f>A362=未审报表!A362</f>
        <v>1</v>
      </c>
      <c r="K362" s="425" t="b">
        <f>A362=审定报表!A362</f>
        <v>1</v>
      </c>
    </row>
    <row r="363" spans="1:11" ht="13.8">
      <c r="A363" s="779" t="str">
        <f>未审报表!A363</f>
        <v xml:space="preserve">     经营性应付项目的增加（减少以“－”号填列）</v>
      </c>
      <c r="B363" s="643">
        <f>期初核对!C363</f>
        <v>0</v>
      </c>
      <c r="C363" s="677">
        <f>SUMIFS(调整事项汇总表!$K$7:$K$10020,调整事项汇总表!$D$7:$D$10020,"账项调整",调整事项汇总表!$E$7:$E$10020,IF(OR(MID(TRIM($A363),2,1)="：",MID(TRIM($A363),2,1)="."),REPLACEB(TRIM($A363),1,2,""),TRIM($A363)))</f>
        <v>0</v>
      </c>
      <c r="D363" s="677">
        <f>SUMIFS(调整事项汇总表!$L$7:$L$10020,调整事项汇总表!$D$7:$D$10020,"账项调整",调整事项汇总表!$E$7:$E$10020,IF(OR(MID(TRIM($A363),2,1)="：",MID(TRIM($A363),2,1)="."),REPLACEB(TRIM($A363),1,2,""),TRIM($A363)))</f>
        <v>0</v>
      </c>
      <c r="E363" s="677">
        <f>SUMIFS(调整事项汇总表!$K$7:$K$10020,调整事项汇总表!$D$7:$D$10020,"报表调整",调整事项汇总表!$E$7:$E$10020,IF(OR(MID(TRIM($A363),2,1)="：",MID(TRIM($A363),2,1)="."),REPLACEB(TRIM($A363),1,2,""),TRIM($A363)))</f>
        <v>0</v>
      </c>
      <c r="F363" s="677">
        <f>SUMIFS(调整事项汇总表!$L$7:$L$10020,调整事项汇总表!$D$7:$D$10020,"报表调整",调整事项汇总表!$E$7:$E$10020,IF(OR(MID(TRIM($A363),2,1)="：",MID(TRIM($A363),2,1)="."),REPLACEB(TRIM($A363),1,2,""),TRIM($A363)))</f>
        <v>0</v>
      </c>
      <c r="G363" s="677">
        <f>SUMIFS(调整事项汇总表!$K$7:$K$10020,调整事项汇总表!$D$7:$D$10020,"其他",调整事项汇总表!$E$7:$E$10020,IF(OR(MID(TRIM($A363),2,1)="：",MID(TRIM($A363),2,1)="."),REPLACEB(TRIM($A363),1,2,""),TRIM($A363)))</f>
        <v>0</v>
      </c>
      <c r="H363" s="677">
        <f>SUMIFS(调整事项汇总表!$K$7:$K$10020,调整事项汇总表!$D$7:$D$10020,"其他",调整事项汇总表!$E$7:$E$10020,IF(OR(MID(TRIM($A363),2,1)="：",MID(TRIM($A363),2,1)="."),REPLACEB(TRIM($A363),1,2,""),TRIM($A363)))</f>
        <v>0</v>
      </c>
      <c r="I363" s="677">
        <f t="shared" si="98"/>
        <v>0</v>
      </c>
      <c r="J363" s="425" t="b">
        <f>A363=未审报表!A363</f>
        <v>1</v>
      </c>
      <c r="K363" s="425" t="b">
        <f>A363=审定报表!A363</f>
        <v>1</v>
      </c>
    </row>
    <row r="364" spans="1:11" ht="13.8">
      <c r="A364" s="779" t="str">
        <f>未审报表!A364</f>
        <v xml:space="preserve">     其他</v>
      </c>
      <c r="B364" s="643">
        <f>期初核对!C364</f>
        <v>0</v>
      </c>
      <c r="C364" s="677">
        <f>SUMIFS(调整事项汇总表!$K$7:$K$10020,调整事项汇总表!$D$7:$D$10020,"账项调整",调整事项汇总表!$E$7:$E$10020,"其他（现）")</f>
        <v>0</v>
      </c>
      <c r="D364" s="677">
        <f>SUMIFS(调整事项汇总表!$L$7:$L$10020,调整事项汇总表!$D$7:$D$10020,"账项调整",调整事项汇总表!$E$7:$E$10020,"其他（现）")</f>
        <v>0</v>
      </c>
      <c r="E364" s="677">
        <f>SUMIFS(调整事项汇总表!$K$7:$K$10020,调整事项汇总表!$D$7:$D$10020,"报表调整",调整事项汇总表!$E$7:$E$10020,"其他（现）")</f>
        <v>0</v>
      </c>
      <c r="F364" s="677">
        <f>SUMIFS(调整事项汇总表!$L$7:$L$10020,调整事项汇总表!$D$7:$D$10020,"报表调整",调整事项汇总表!$E$7:$E$10020,"其他（现）")</f>
        <v>0</v>
      </c>
      <c r="G364" s="677">
        <f>SUMIFS(调整事项汇总表!$K$7:$K$10020,调整事项汇总表!$D$7:$D$10020,"其他",调整事项汇总表!$E$7:$E$10020,"其他（现）")</f>
        <v>0</v>
      </c>
      <c r="H364" s="677">
        <f>SUMIFS(调整事项汇总表!$L$7:$L$10020,调整事项汇总表!$D$7:$D$10020,"其他",调整事项汇总表!$E$7:$E$10020,"其他（现）")</f>
        <v>0</v>
      </c>
      <c r="I364" s="677">
        <f t="shared" si="98"/>
        <v>0</v>
      </c>
      <c r="J364" s="425" t="b">
        <f>A364=未审报表!A364</f>
        <v>1</v>
      </c>
      <c r="K364" s="425" t="b">
        <f>A364=审定报表!A364</f>
        <v>1</v>
      </c>
    </row>
    <row r="365" spans="1:11" ht="13.8">
      <c r="A365" s="779">
        <f>未审报表!A365</f>
        <v>0</v>
      </c>
      <c r="B365" s="423"/>
      <c r="C365" s="400"/>
      <c r="D365" s="400"/>
      <c r="E365" s="400"/>
      <c r="F365" s="400"/>
      <c r="G365" s="400"/>
      <c r="H365" s="400"/>
      <c r="I365" s="642"/>
      <c r="J365" s="425" t="b">
        <f>A365=未审报表!A365</f>
        <v>1</v>
      </c>
      <c r="K365" s="425" t="b">
        <f>A365=审定报表!A365</f>
        <v>1</v>
      </c>
    </row>
    <row r="366" spans="1:11" ht="13.8">
      <c r="A366" s="783" t="str">
        <f>未审报表!A366</f>
        <v xml:space="preserve">     经营活动产生的现金流量净额</v>
      </c>
      <c r="B366" s="773">
        <f>SUM(B345:B365)</f>
        <v>21221252.779999997</v>
      </c>
      <c r="C366" s="678">
        <f>SUM(C345:C365)</f>
        <v>10000</v>
      </c>
      <c r="D366" s="678">
        <f t="shared" ref="D366:H366" si="99">SUM(D345:D365)</f>
        <v>10000</v>
      </c>
      <c r="E366" s="678">
        <f t="shared" si="99"/>
        <v>0</v>
      </c>
      <c r="F366" s="678">
        <f t="shared" si="99"/>
        <v>0</v>
      </c>
      <c r="G366" s="678">
        <f t="shared" si="99"/>
        <v>0</v>
      </c>
      <c r="H366" s="678">
        <f t="shared" si="99"/>
        <v>0</v>
      </c>
      <c r="I366" s="678">
        <f>SUM(I345:I365)</f>
        <v>21221252.779999997</v>
      </c>
      <c r="J366" s="425" t="b">
        <f>A366=未审报表!A366</f>
        <v>1</v>
      </c>
      <c r="K366" s="425" t="b">
        <f>A366=审定报表!A366</f>
        <v>1</v>
      </c>
    </row>
    <row r="367" spans="1:11" ht="13.8">
      <c r="A367" s="779">
        <f>未审报表!A367</f>
        <v>0</v>
      </c>
      <c r="B367" s="423"/>
      <c r="C367" s="400"/>
      <c r="D367" s="400"/>
      <c r="E367" s="400"/>
      <c r="F367" s="400"/>
      <c r="G367" s="400"/>
      <c r="H367" s="400"/>
      <c r="I367" s="642"/>
      <c r="J367" s="425" t="b">
        <f>A367=未审报表!A367</f>
        <v>1</v>
      </c>
      <c r="K367" s="425" t="b">
        <f>A367=审定报表!A367</f>
        <v>1</v>
      </c>
    </row>
    <row r="368" spans="1:11" ht="13.8">
      <c r="A368" s="783" t="str">
        <f>未审报表!A368</f>
        <v>2、不涉及现金收支的投资和筹资活动：</v>
      </c>
      <c r="B368" s="432"/>
      <c r="C368" s="711"/>
      <c r="D368" s="711"/>
      <c r="E368" s="711"/>
      <c r="F368" s="711"/>
      <c r="G368" s="711"/>
      <c r="H368" s="711"/>
      <c r="I368" s="662"/>
      <c r="J368" s="425" t="b">
        <f>A368=未审报表!A368</f>
        <v>1</v>
      </c>
      <c r="K368" s="425" t="b">
        <f>A368=审定报表!A368</f>
        <v>1</v>
      </c>
    </row>
    <row r="369" spans="1:11" ht="13.8">
      <c r="A369" s="779" t="str">
        <f>未审报表!A369</f>
        <v xml:space="preserve">     债务转为资本</v>
      </c>
      <c r="B369" s="643">
        <f>期初核对!C369</f>
        <v>0</v>
      </c>
      <c r="C369" s="677">
        <f>SUMIFS(调整事项汇总表!$K$7:$K$10020,调整事项汇总表!$D$7:$D$10020,"账项调整",调整事项汇总表!$E$7:$E$10020,IF(OR(MID(TRIM($A369),2,1)="：",MID(TRIM($A369),2,1)="."),REPLACEB(TRIM($A369),1,2,""),TRIM($A369)))</f>
        <v>0</v>
      </c>
      <c r="D369" s="677">
        <f>SUMIFS(调整事项汇总表!$L$7:$L$10020,调整事项汇总表!$D$7:$D$10020,"账项调整",调整事项汇总表!$E$7:$E$10020,IF(OR(MID(TRIM($A369),2,1)="：",MID(TRIM($A369),2,1)="."),REPLACEB(TRIM($A369),1,2,""),TRIM($A369)))</f>
        <v>0</v>
      </c>
      <c r="E369" s="677">
        <f>SUMIFS(调整事项汇总表!$K$7:$K$10020,调整事项汇总表!$D$7:$D$10020,"报表调整",调整事项汇总表!$E$7:$E$10020,IF(OR(MID(TRIM($A369),2,1)="：",MID(TRIM($A369),2,1)="."),REPLACEB(TRIM($A369),1,2,""),TRIM($A369)))</f>
        <v>0</v>
      </c>
      <c r="F369" s="677">
        <f>SUMIFS(调整事项汇总表!$L$7:$L$10020,调整事项汇总表!$D$7:$D$10020,"报表调整",调整事项汇总表!$E$7:$E$10020,IF(OR(MID(TRIM($A369),2,1)="：",MID(TRIM($A369),2,1)="."),REPLACEB(TRIM($A369),1,2,""),TRIM($A369)))</f>
        <v>0</v>
      </c>
      <c r="G369" s="677">
        <f>SUMIFS(调整事项汇总表!$K$7:$K$10020,调整事项汇总表!$D$7:$D$10020,"其他",调整事项汇总表!$E$7:$E$10020,IF(OR(MID(TRIM($A369),2,1)="：",MID(TRIM($A369),2,1)="."),REPLACEB(TRIM($A369),1,2,""),TRIM($A369)))</f>
        <v>0</v>
      </c>
      <c r="H369" s="677">
        <f>SUMIFS(调整事项汇总表!$K$7:$K$10020,调整事项汇总表!$D$7:$D$10020,"其他",调整事项汇总表!$E$7:$E$10020,IF(OR(MID(TRIM($A369),2,1)="：",MID(TRIM($A369),2,1)="."),REPLACEB(TRIM($A369),1,2,""),TRIM($A369)))</f>
        <v>0</v>
      </c>
      <c r="I369" s="677">
        <f>B369+C369+E369+G369-H369-F369-D369</f>
        <v>0</v>
      </c>
      <c r="J369" s="425" t="b">
        <f>A369=未审报表!A369</f>
        <v>1</v>
      </c>
      <c r="K369" s="425" t="b">
        <f>A369=审定报表!A369</f>
        <v>1</v>
      </c>
    </row>
    <row r="370" spans="1:11" ht="13.8">
      <c r="A370" s="779" t="str">
        <f>未审报表!A370</f>
        <v xml:space="preserve">     一年内到期的可转换公司债券</v>
      </c>
      <c r="B370" s="643">
        <f>期初核对!C370</f>
        <v>0</v>
      </c>
      <c r="C370" s="677">
        <f>SUMIFS(调整事项汇总表!$K$7:$K$10020,调整事项汇总表!$D$7:$D$10020,"账项调整",调整事项汇总表!$E$7:$E$10020,IF(OR(MID(TRIM($A370),2,1)="：",MID(TRIM($A370),2,1)="."),REPLACEB(TRIM($A370),1,2,""),TRIM($A370)))</f>
        <v>0</v>
      </c>
      <c r="D370" s="677">
        <f>SUMIFS(调整事项汇总表!$L$7:$L$10020,调整事项汇总表!$D$7:$D$10020,"账项调整",调整事项汇总表!$E$7:$E$10020,IF(OR(MID(TRIM($A370),2,1)="：",MID(TRIM($A370),2,1)="."),REPLACEB(TRIM($A370),1,2,""),TRIM($A370)))</f>
        <v>0</v>
      </c>
      <c r="E370" s="677">
        <f>SUMIFS(调整事项汇总表!$K$7:$K$10020,调整事项汇总表!$D$7:$D$10020,"报表调整",调整事项汇总表!$E$7:$E$10020,IF(OR(MID(TRIM($A370),2,1)="：",MID(TRIM($A370),2,1)="."),REPLACEB(TRIM($A370),1,2,""),TRIM($A370)))</f>
        <v>0</v>
      </c>
      <c r="F370" s="677">
        <f>SUMIFS(调整事项汇总表!$L$7:$L$10020,调整事项汇总表!$D$7:$D$10020,"报表调整",调整事项汇总表!$E$7:$E$10020,IF(OR(MID(TRIM($A370),2,1)="：",MID(TRIM($A370),2,1)="."),REPLACEB(TRIM($A370),1,2,""),TRIM($A370)))</f>
        <v>0</v>
      </c>
      <c r="G370" s="677">
        <f>SUMIFS(调整事项汇总表!$K$7:$K$10020,调整事项汇总表!$D$7:$D$10020,"其他",调整事项汇总表!$E$7:$E$10020,IF(OR(MID(TRIM($A370),2,1)="：",MID(TRIM($A370),2,1)="."),REPLACEB(TRIM($A370),1,2,""),TRIM($A370)))</f>
        <v>0</v>
      </c>
      <c r="H370" s="677">
        <f>SUMIFS(调整事项汇总表!$K$7:$K$10020,调整事项汇总表!$D$7:$D$10020,"其他",调整事项汇总表!$E$7:$E$10020,IF(OR(MID(TRIM($A370),2,1)="：",MID(TRIM($A370),2,1)="."),REPLACEB(TRIM($A370),1,2,""),TRIM($A370)))</f>
        <v>0</v>
      </c>
      <c r="I370" s="677">
        <f t="shared" ref="I370:I372" si="100">B370+C370+E370+G370-H370-F370-D370</f>
        <v>0</v>
      </c>
      <c r="J370" s="425" t="b">
        <f>A370=未审报表!A370</f>
        <v>1</v>
      </c>
      <c r="K370" s="425" t="b">
        <f>A370=审定报表!A370</f>
        <v>1</v>
      </c>
    </row>
    <row r="371" spans="1:11" ht="13.8">
      <c r="A371" s="779" t="str">
        <f>未审报表!A371</f>
        <v xml:space="preserve">     融资租入固定资产</v>
      </c>
      <c r="B371" s="643">
        <f>期初核对!C371</f>
        <v>0</v>
      </c>
      <c r="C371" s="677">
        <f>SUMIFS(调整事项汇总表!$K$7:$K$10020,调整事项汇总表!$D$7:$D$10020,"账项调整",调整事项汇总表!$E$7:$E$10020,IF(OR(MID(TRIM($A371),2,1)="：",MID(TRIM($A371),2,1)="."),REPLACEB(TRIM($A371),1,2,""),TRIM($A371)))</f>
        <v>0</v>
      </c>
      <c r="D371" s="677">
        <f>SUMIFS(调整事项汇总表!$L$7:$L$10020,调整事项汇总表!$D$7:$D$10020,"账项调整",调整事项汇总表!$E$7:$E$10020,IF(OR(MID(TRIM($A371),2,1)="：",MID(TRIM($A371),2,1)="."),REPLACEB(TRIM($A371),1,2,""),TRIM($A371)))</f>
        <v>0</v>
      </c>
      <c r="E371" s="677">
        <f>SUMIFS(调整事项汇总表!$K$7:$K$10020,调整事项汇总表!$D$7:$D$10020,"报表调整",调整事项汇总表!$E$7:$E$10020,IF(OR(MID(TRIM($A371),2,1)="：",MID(TRIM($A371),2,1)="."),REPLACEB(TRIM($A371),1,2,""),TRIM($A371)))</f>
        <v>0</v>
      </c>
      <c r="F371" s="677">
        <f>SUMIFS(调整事项汇总表!$L$7:$L$10020,调整事项汇总表!$D$7:$D$10020,"报表调整",调整事项汇总表!$E$7:$E$10020,IF(OR(MID(TRIM($A371),2,1)="：",MID(TRIM($A371),2,1)="."),REPLACEB(TRIM($A371),1,2,""),TRIM($A371)))</f>
        <v>0</v>
      </c>
      <c r="G371" s="677">
        <f>SUMIFS(调整事项汇总表!$K$7:$K$10020,调整事项汇总表!$D$7:$D$10020,"其他",调整事项汇总表!$E$7:$E$10020,IF(OR(MID(TRIM($A371),2,1)="：",MID(TRIM($A371),2,1)="."),REPLACEB(TRIM($A371),1,2,""),TRIM($A371)))</f>
        <v>0</v>
      </c>
      <c r="H371" s="677">
        <f>SUMIFS(调整事项汇总表!$K$7:$K$10020,调整事项汇总表!$D$7:$D$10020,"其他",调整事项汇总表!$E$7:$E$10020,IF(OR(MID(TRIM($A371),2,1)="：",MID(TRIM($A371),2,1)="."),REPLACEB(TRIM($A371),1,2,""),TRIM($A371)))</f>
        <v>0</v>
      </c>
      <c r="I371" s="677">
        <f t="shared" si="100"/>
        <v>0</v>
      </c>
      <c r="J371" s="425" t="b">
        <f>A371=未审报表!A371</f>
        <v>1</v>
      </c>
      <c r="K371" s="425" t="b">
        <f>A371=审定报表!A371</f>
        <v>1</v>
      </c>
    </row>
    <row r="372" spans="1:11" ht="13.8">
      <c r="A372" s="779" t="str">
        <f>未审报表!A372</f>
        <v xml:space="preserve">    当期新增的使用权资产</v>
      </c>
      <c r="B372" s="643">
        <f>期初核对!C372</f>
        <v>0</v>
      </c>
      <c r="C372" s="677">
        <f>SUMIFS(调整事项汇总表!$K$7:$K$10020,调整事项汇总表!$D$7:$D$10020,"账项调整",调整事项汇总表!$E$7:$E$10020,IF(OR(MID(TRIM($A372),2,1)="：",MID(TRIM($A372),2,1)="."),REPLACEB(TRIM($A372),1,2,""),TRIM($A372)))</f>
        <v>0</v>
      </c>
      <c r="D372" s="677">
        <f>SUMIFS(调整事项汇总表!$L$7:$L$10020,调整事项汇总表!$D$7:$D$10020,"账项调整",调整事项汇总表!$E$7:$E$10020,IF(OR(MID(TRIM($A372),2,1)="：",MID(TRIM($A372),2,1)="."),REPLACEB(TRIM($A372),1,2,""),TRIM($A372)))</f>
        <v>0</v>
      </c>
      <c r="E372" s="677">
        <f>SUMIFS(调整事项汇总表!$K$7:$K$10020,调整事项汇总表!$D$7:$D$10020,"报表调整",调整事项汇总表!$E$7:$E$10020,IF(OR(MID(TRIM($A372),2,1)="：",MID(TRIM($A372),2,1)="."),REPLACEB(TRIM($A372),1,2,""),TRIM($A372)))</f>
        <v>0</v>
      </c>
      <c r="F372" s="677">
        <f>SUMIFS(调整事项汇总表!$L$7:$L$10020,调整事项汇总表!$D$7:$D$10020,"报表调整",调整事项汇总表!$E$7:$E$10020,IF(OR(MID(TRIM($A372),2,1)="：",MID(TRIM($A372),2,1)="."),REPLACEB(TRIM($A372),1,2,""),TRIM($A372)))</f>
        <v>0</v>
      </c>
      <c r="G372" s="677">
        <f>SUMIFS(调整事项汇总表!$K$7:$K$10020,调整事项汇总表!$D$7:$D$10020,"其他",调整事项汇总表!$E$7:$E$10020,IF(OR(MID(TRIM($A372),2,1)="：",MID(TRIM($A372),2,1)="."),REPLACEB(TRIM($A372),1,2,""),TRIM($A372)))</f>
        <v>0</v>
      </c>
      <c r="H372" s="677">
        <f>SUMIFS(调整事项汇总表!$K$7:$K$10020,调整事项汇总表!$D$7:$D$10020,"其他",调整事项汇总表!$E$7:$E$10020,IF(OR(MID(TRIM($A372),2,1)="：",MID(TRIM($A372),2,1)="."),REPLACEB(TRIM($A372),1,2,""),TRIM($A372)))</f>
        <v>0</v>
      </c>
      <c r="I372" s="677">
        <f t="shared" si="100"/>
        <v>0</v>
      </c>
      <c r="J372" s="425" t="b">
        <f>A372=未审报表!A372</f>
        <v>1</v>
      </c>
      <c r="K372" s="425" t="b">
        <f>A372=审定报表!A372</f>
        <v>1</v>
      </c>
    </row>
    <row r="373" spans="1:11" ht="13.8">
      <c r="A373" s="779">
        <f>未审报表!A373</f>
        <v>0</v>
      </c>
      <c r="B373" s="423"/>
      <c r="C373" s="642"/>
      <c r="D373" s="642"/>
      <c r="E373" s="642"/>
      <c r="F373" s="642"/>
      <c r="G373" s="642"/>
      <c r="H373" s="642"/>
      <c r="I373" s="642"/>
      <c r="J373" s="425" t="b">
        <f>A373=未审报表!A373</f>
        <v>1</v>
      </c>
      <c r="K373" s="425" t="b">
        <f>A373=审定报表!A373</f>
        <v>1</v>
      </c>
    </row>
    <row r="374" spans="1:11" ht="13.8">
      <c r="A374" s="779">
        <f>未审报表!A374</f>
        <v>0</v>
      </c>
      <c r="B374" s="423"/>
      <c r="C374" s="400"/>
      <c r="D374" s="400"/>
      <c r="E374" s="400"/>
      <c r="F374" s="400"/>
      <c r="G374" s="400"/>
      <c r="H374" s="400"/>
      <c r="I374" s="642"/>
      <c r="J374" s="425" t="b">
        <f>A374=未审报表!A374</f>
        <v>1</v>
      </c>
      <c r="K374" s="425" t="b">
        <f>A374=审定报表!A374</f>
        <v>1</v>
      </c>
    </row>
    <row r="375" spans="1:11" ht="13.8">
      <c r="A375" s="783" t="str">
        <f>未审报表!A375</f>
        <v>3、现金及现金等价物净变动情况：</v>
      </c>
      <c r="B375" s="432"/>
      <c r="C375" s="711"/>
      <c r="D375" s="711"/>
      <c r="E375" s="711"/>
      <c r="F375" s="711"/>
      <c r="G375" s="711"/>
      <c r="H375" s="711"/>
      <c r="I375" s="662"/>
      <c r="J375" s="425" t="b">
        <f>A375=未审报表!A375</f>
        <v>1</v>
      </c>
      <c r="K375" s="425" t="b">
        <f>A375=审定报表!A375</f>
        <v>1</v>
      </c>
    </row>
    <row r="376" spans="1:11" ht="13.8">
      <c r="A376" s="779" t="str">
        <f>未审报表!A376</f>
        <v xml:space="preserve">     现金的期末余额</v>
      </c>
      <c r="B376" s="643">
        <f>期初核对!C376</f>
        <v>0</v>
      </c>
      <c r="C376" s="677">
        <f>SUMIFS(调整事项汇总表!$K$7:$K$10020,调整事项汇总表!$D$7:$D$10020,"账项调整",调整事项汇总表!$E$7:$E$10020,IF(OR(MID(TRIM($A376),2,1)="：",MID(TRIM($A376),2,1)="."),REPLACEB(TRIM($A376),1,2,""),TRIM($A376)))</f>
        <v>0</v>
      </c>
      <c r="D376" s="677">
        <f>SUMIFS(调整事项汇总表!$L$7:$L$10020,调整事项汇总表!$D$7:$D$10020,"账项调整",调整事项汇总表!$E$7:$E$10020,IF(OR(MID(TRIM($A376),2,1)="：",MID(TRIM($A376),2,1)="."),REPLACEB(TRIM($A376),1,2,""),TRIM($A376)))</f>
        <v>0</v>
      </c>
      <c r="E376" s="677">
        <f>SUMIFS(调整事项汇总表!$K$7:$K$10020,调整事项汇总表!$D$7:$D$10020,"报表调整",调整事项汇总表!$E$7:$E$10020,IF(OR(MID(TRIM($A376),2,1)="：",MID(TRIM($A376),2,1)="."),REPLACEB(TRIM($A376),1,2,""),TRIM($A376)))</f>
        <v>0</v>
      </c>
      <c r="F376" s="677">
        <f>SUMIFS(调整事项汇总表!$L$7:$L$10020,调整事项汇总表!$D$7:$D$10020,"报表调整",调整事项汇总表!$E$7:$E$10020,IF(OR(MID(TRIM($A376),2,1)="：",MID(TRIM($A376),2,1)="."),REPLACEB(TRIM($A376),1,2,""),TRIM($A376)))</f>
        <v>0</v>
      </c>
      <c r="G376" s="677">
        <f>SUMIFS(调整事项汇总表!$K$7:$K$10020,调整事项汇总表!$D$7:$D$10020,"其他",调整事项汇总表!$E$7:$E$10020,IF(OR(MID(TRIM($A376),2,1)="：",MID(TRIM($A376),2,1)="."),REPLACEB(TRIM($A376),1,2,""),TRIM($A376)))</f>
        <v>0</v>
      </c>
      <c r="H376" s="677">
        <f>SUMIFS(调整事项汇总表!$K$7:$K$10020,调整事项汇总表!$D$7:$D$10020,"其他",调整事项汇总表!$E$7:$E$10020,IF(OR(MID(TRIM($A376),2,1)="：",MID(TRIM($A376),2,1)="."),REPLACEB(TRIM($A376),1,2,""),TRIM($A376)))</f>
        <v>0</v>
      </c>
      <c r="I376" s="677">
        <f>B376+C376+E376+G376-H376-F376-D376</f>
        <v>0</v>
      </c>
      <c r="J376" s="425" t="b">
        <f>A376=未审报表!A376</f>
        <v>1</v>
      </c>
      <c r="K376" s="425" t="b">
        <f>A376=审定报表!A376</f>
        <v>1</v>
      </c>
    </row>
    <row r="377" spans="1:11" ht="13.8">
      <c r="A377" s="779" t="str">
        <f>未审报表!A377</f>
        <v xml:space="preserve">     减：现金的期初余额</v>
      </c>
      <c r="B377" s="643">
        <f>期初核对!C377</f>
        <v>0</v>
      </c>
      <c r="C377" s="677">
        <f>SUMIFS(调整事项汇总表!$K$7:$K$10020,调整事项汇总表!$D$7:$D$10020,"账项调整",调整事项汇总表!$E$7:$E$10020,IF(OR(MID(TRIM($A377),2,1)="：",MID(TRIM($A377),2,1)="."),REPLACEB(TRIM($A377),1,2,""),TRIM($A377)))</f>
        <v>0</v>
      </c>
      <c r="D377" s="677">
        <f>SUMIFS(调整事项汇总表!$L$7:$L$10020,调整事项汇总表!$D$7:$D$10020,"账项调整",调整事项汇总表!$E$7:$E$10020,IF(OR(MID(TRIM($A377),2,1)="：",MID(TRIM($A377),2,1)="."),REPLACEB(TRIM($A377),1,2,""),TRIM($A377)))</f>
        <v>0</v>
      </c>
      <c r="E377" s="677">
        <f>SUMIFS(调整事项汇总表!$K$7:$K$10020,调整事项汇总表!$D$7:$D$10020,"报表调整",调整事项汇总表!$E$7:$E$10020,IF(OR(MID(TRIM($A377),2,1)="：",MID(TRIM($A377),2,1)="."),REPLACEB(TRIM($A377),1,2,""),TRIM($A377)))</f>
        <v>0</v>
      </c>
      <c r="F377" s="677">
        <f>SUMIFS(调整事项汇总表!$L$7:$L$10020,调整事项汇总表!$D$7:$D$10020,"报表调整",调整事项汇总表!$E$7:$E$10020,IF(OR(MID(TRIM($A377),2,1)="：",MID(TRIM($A377),2,1)="."),REPLACEB(TRIM($A377),1,2,""),TRIM($A377)))</f>
        <v>0</v>
      </c>
      <c r="G377" s="677">
        <f>SUMIFS(调整事项汇总表!$K$7:$K$10020,调整事项汇总表!$D$7:$D$10020,"其他",调整事项汇总表!$E$7:$E$10020,IF(OR(MID(TRIM($A377),2,1)="：",MID(TRIM($A377),2,1)="."),REPLACEB(TRIM($A377),1,2,""),TRIM($A377)))</f>
        <v>0</v>
      </c>
      <c r="H377" s="677">
        <f>SUMIFS(调整事项汇总表!$K$7:$K$10020,调整事项汇总表!$D$7:$D$10020,"其他",调整事项汇总表!$E$7:$E$10020,IF(OR(MID(TRIM($A377),2,1)="：",MID(TRIM($A377),2,1)="."),REPLACEB(TRIM($A377),1,2,""),TRIM($A377)))</f>
        <v>0</v>
      </c>
      <c r="I377" s="677">
        <f>B377+D377+F377+H377-G377-E377-C377</f>
        <v>0</v>
      </c>
      <c r="J377" s="425" t="b">
        <f>A377=未审报表!A377</f>
        <v>1</v>
      </c>
      <c r="K377" s="425" t="b">
        <f>A377=审定报表!A377</f>
        <v>1</v>
      </c>
    </row>
    <row r="378" spans="1:11" ht="13.8">
      <c r="A378" s="779" t="str">
        <f>未审报表!A378</f>
        <v xml:space="preserve">     加：现金等价物的期末余额</v>
      </c>
      <c r="B378" s="643">
        <f>期初核对!C378</f>
        <v>0</v>
      </c>
      <c r="C378" s="677">
        <f>SUMIFS(调整事项汇总表!$K$7:$K$10020,调整事项汇总表!$D$7:$D$10020,"账项调整",调整事项汇总表!$E$7:$E$10020,IF(OR(MID(TRIM($A378),2,1)="：",MID(TRIM($A378),2,1)="."),REPLACEB(TRIM($A378),1,2,""),TRIM($A378)))</f>
        <v>0</v>
      </c>
      <c r="D378" s="677">
        <f>SUMIFS(调整事项汇总表!$L$7:$L$10020,调整事项汇总表!$D$7:$D$10020,"账项调整",调整事项汇总表!$E$7:$E$10020,IF(OR(MID(TRIM($A378),2,1)="：",MID(TRIM($A378),2,1)="."),REPLACEB(TRIM($A378),1,2,""),TRIM($A378)))</f>
        <v>0</v>
      </c>
      <c r="E378" s="677">
        <f>SUMIFS(调整事项汇总表!$K$7:$K$10020,调整事项汇总表!$D$7:$D$10020,"报表调整",调整事项汇总表!$E$7:$E$10020,IF(OR(MID(TRIM($A378),2,1)="：",MID(TRIM($A378),2,1)="."),REPLACEB(TRIM($A378),1,2,""),TRIM($A378)))</f>
        <v>0</v>
      </c>
      <c r="F378" s="677">
        <f>SUMIFS(调整事项汇总表!$L$7:$L$10020,调整事项汇总表!$D$7:$D$10020,"报表调整",调整事项汇总表!$E$7:$E$10020,IF(OR(MID(TRIM($A378),2,1)="：",MID(TRIM($A378),2,1)="."),REPLACEB(TRIM($A378),1,2,""),TRIM($A378)))</f>
        <v>0</v>
      </c>
      <c r="G378" s="677">
        <f>SUMIFS(调整事项汇总表!$K$7:$K$10020,调整事项汇总表!$D$7:$D$10020,"其他",调整事项汇总表!$E$7:$E$10020,IF(OR(MID(TRIM($A378),2,1)="：",MID(TRIM($A378),2,1)="."),REPLACEB(TRIM($A378),1,2,""),TRIM($A378)))</f>
        <v>0</v>
      </c>
      <c r="H378" s="677">
        <f>SUMIFS(调整事项汇总表!$K$7:$K$10020,调整事项汇总表!$D$7:$D$10020,"其他",调整事项汇总表!$E$7:$E$10020,IF(OR(MID(TRIM($A378),2,1)="：",MID(TRIM($A378),2,1)="."),REPLACEB(TRIM($A378),1,2,""),TRIM($A378)))</f>
        <v>0</v>
      </c>
      <c r="I378" s="677">
        <f>B378+C378+E378+G378-H378-F378-D378</f>
        <v>0</v>
      </c>
      <c r="J378" s="425" t="b">
        <f>A378=未审报表!A378</f>
        <v>1</v>
      </c>
      <c r="K378" s="425" t="b">
        <f>A378=审定报表!A378</f>
        <v>1</v>
      </c>
    </row>
    <row r="379" spans="1:11" ht="13.8">
      <c r="A379" s="779" t="str">
        <f>未审报表!A379</f>
        <v xml:space="preserve">     减：现金等价物的期初余额</v>
      </c>
      <c r="B379" s="643">
        <f>期初核对!C379</f>
        <v>0</v>
      </c>
      <c r="C379" s="677">
        <f>SUMIFS(调整事项汇总表!$K$7:$K$10020,调整事项汇总表!$D$7:$D$10020,"账项调整",调整事项汇总表!$E$7:$E$10020,IF(OR(MID(TRIM($A379),2,1)="：",MID(TRIM($A379),2,1)="."),REPLACEB(TRIM($A379),1,2,""),TRIM($A379)))</f>
        <v>0</v>
      </c>
      <c r="D379" s="677">
        <f>SUMIFS(调整事项汇总表!$L$7:$L$10020,调整事项汇总表!$D$7:$D$10020,"账项调整",调整事项汇总表!$E$7:$E$10020,IF(OR(MID(TRIM($A379),2,1)="：",MID(TRIM($A379),2,1)="."),REPLACEB(TRIM($A379),1,2,""),TRIM($A379)))</f>
        <v>0</v>
      </c>
      <c r="E379" s="677">
        <f>SUMIFS(调整事项汇总表!$K$7:$K$10020,调整事项汇总表!$D$7:$D$10020,"报表调整",调整事项汇总表!$E$7:$E$10020,IF(OR(MID(TRIM($A379),2,1)="：",MID(TRIM($A379),2,1)="."),REPLACEB(TRIM($A379),1,2,""),TRIM($A379)))</f>
        <v>0</v>
      </c>
      <c r="F379" s="677">
        <f>SUMIFS(调整事项汇总表!$L$7:$L$10020,调整事项汇总表!$D$7:$D$10020,"报表调整",调整事项汇总表!$E$7:$E$10020,IF(OR(MID(TRIM($A379),2,1)="：",MID(TRIM($A379),2,1)="."),REPLACEB(TRIM($A379),1,2,""),TRIM($A379)))</f>
        <v>0</v>
      </c>
      <c r="G379" s="677">
        <f>SUMIFS(调整事项汇总表!$K$7:$K$10020,调整事项汇总表!$D$7:$D$10020,"其他",调整事项汇总表!$E$7:$E$10020,IF(OR(MID(TRIM($A379),2,1)="：",MID(TRIM($A379),2,1)="."),REPLACEB(TRIM($A379),1,2,""),TRIM($A379)))</f>
        <v>0</v>
      </c>
      <c r="H379" s="677">
        <f>SUMIFS(调整事项汇总表!$K$7:$K$10020,调整事项汇总表!$D$7:$D$10020,"其他",调整事项汇总表!$E$7:$E$10020,IF(OR(MID(TRIM($A379),2,1)="：",MID(TRIM($A379),2,1)="."),REPLACEB(TRIM($A379),1,2,""),TRIM($A379)))</f>
        <v>0</v>
      </c>
      <c r="I379" s="677">
        <f>B379+D379+F379+H379-G379-E379-C379</f>
        <v>0</v>
      </c>
      <c r="J379" s="425" t="b">
        <f>A379=未审报表!A379</f>
        <v>1</v>
      </c>
      <c r="K379" s="425" t="b">
        <f>A379=审定报表!A379</f>
        <v>1</v>
      </c>
    </row>
    <row r="380" spans="1:11" ht="13.8">
      <c r="A380" s="779">
        <f>未审报表!A380</f>
        <v>0</v>
      </c>
      <c r="B380" s="423"/>
      <c r="C380" s="400"/>
      <c r="D380" s="400"/>
      <c r="E380" s="400"/>
      <c r="F380" s="400"/>
      <c r="G380" s="400"/>
      <c r="H380" s="400"/>
      <c r="I380" s="642"/>
      <c r="J380" s="425" t="b">
        <f>A380=未审报表!A380</f>
        <v>1</v>
      </c>
      <c r="K380" s="425" t="b">
        <f>A380=审定报表!A380</f>
        <v>1</v>
      </c>
    </row>
    <row r="381" spans="1:11" ht="13.8">
      <c r="A381" s="779">
        <f>未审报表!A381</f>
        <v>0</v>
      </c>
      <c r="B381" s="423"/>
      <c r="C381" s="400"/>
      <c r="D381" s="400"/>
      <c r="E381" s="400"/>
      <c r="F381" s="400"/>
      <c r="G381" s="400"/>
      <c r="H381" s="400"/>
      <c r="I381" s="642"/>
      <c r="J381" s="425" t="b">
        <f>A381=未审报表!A381</f>
        <v>1</v>
      </c>
      <c r="K381" s="425" t="b">
        <f>A381=审定报表!A381</f>
        <v>1</v>
      </c>
    </row>
    <row r="382" spans="1:11" ht="13.8">
      <c r="A382" s="779" t="str">
        <f>未审报表!A382</f>
        <v xml:space="preserve">     现金及现金等价物净增加额</v>
      </c>
      <c r="B382" s="643">
        <f>B376-B377+B378-B379</f>
        <v>0</v>
      </c>
      <c r="C382" s="677">
        <f>SUM(C376:C381)</f>
        <v>0</v>
      </c>
      <c r="D382" s="677">
        <f t="shared" ref="D382:H382" si="101">SUM(D376:D381)</f>
        <v>0</v>
      </c>
      <c r="E382" s="677">
        <f t="shared" si="101"/>
        <v>0</v>
      </c>
      <c r="F382" s="677">
        <f t="shared" si="101"/>
        <v>0</v>
      </c>
      <c r="G382" s="677">
        <f t="shared" si="101"/>
        <v>0</v>
      </c>
      <c r="H382" s="677">
        <f t="shared" si="101"/>
        <v>0</v>
      </c>
      <c r="I382" s="677">
        <f>I376-I377+I378-I379</f>
        <v>0</v>
      </c>
      <c r="J382" s="425" t="b">
        <f>A382=未审报表!A382</f>
        <v>1</v>
      </c>
      <c r="K382" s="425" t="b">
        <f>A382=审定报表!A382</f>
        <v>1</v>
      </c>
    </row>
    <row r="383" spans="1:11">
      <c r="A383" s="779">
        <f>未审报表!A383</f>
        <v>0</v>
      </c>
      <c r="B383" s="423"/>
      <c r="C383" s="423"/>
      <c r="D383" s="423"/>
      <c r="E383" s="423"/>
      <c r="F383" s="423"/>
      <c r="G383" s="423"/>
      <c r="H383" s="423"/>
      <c r="I383" s="423"/>
      <c r="J383" s="425" t="b">
        <f>A383=未审报表!A383</f>
        <v>1</v>
      </c>
      <c r="K383" s="425" t="e">
        <f>A383=审定报表!#REF!</f>
        <v>#REF!</v>
      </c>
    </row>
    <row r="384" spans="1:11">
      <c r="A384" s="779">
        <f>未审报表!A384</f>
        <v>0</v>
      </c>
      <c r="B384" s="423"/>
      <c r="C384" s="423"/>
      <c r="D384" s="423"/>
      <c r="E384" s="423"/>
      <c r="F384" s="423"/>
      <c r="G384" s="423"/>
      <c r="H384" s="423"/>
      <c r="I384" s="423"/>
    </row>
  </sheetData>
  <sheetProtection formatCells="0" formatColumns="0" formatRows="0" insertRows="0" autoFilter="0" pivotTables="0"/>
  <autoFilter ref="A6:L384"/>
  <mergeCells count="6">
    <mergeCell ref="I5:I6"/>
    <mergeCell ref="A5:A6"/>
    <mergeCell ref="B5:B6"/>
    <mergeCell ref="C5:D5"/>
    <mergeCell ref="E5:F5"/>
    <mergeCell ref="G5:H5"/>
  </mergeCells>
  <phoneticPr fontId="4" type="noConversion"/>
  <conditionalFormatting sqref="A5:A6">
    <cfRule type="cellIs" dxfId="59" priority="1" stopIfTrue="1" operator="equal">
      <formula>"报表未调平!"</formula>
    </cfRule>
  </conditionalFormatting>
  <printOptions horizontalCentered="1" verticalCentered="1"/>
  <pageMargins left="0.55118110236220474" right="0.37" top="0.4" bottom="0.28999999999999998" header="0.23622047244094491" footer="0.19685039370078741"/>
  <pageSetup paperSize="9" scale="60"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S402"/>
  <sheetViews>
    <sheetView view="pageBreakPreview" topLeftCell="A2" zoomScale="115" zoomScaleSheetLayoutView="115" workbookViewId="0">
      <pane xSplit="7" ySplit="5" topLeftCell="H76" activePane="bottomRight" state="frozen"/>
      <selection activeCell="A2" sqref="A2"/>
      <selection pane="topRight" activeCell="H2" sqref="H2"/>
      <selection pane="bottomLeft" activeCell="A7" sqref="A7"/>
      <selection pane="bottomRight" activeCell="K82" sqref="K82:L83"/>
    </sheetView>
  </sheetViews>
  <sheetFormatPr defaultColWidth="9" defaultRowHeight="13.2"/>
  <cols>
    <col min="1" max="1" width="3.09765625" style="32" customWidth="1"/>
    <col min="2" max="2" width="5.5" style="32" customWidth="1"/>
    <col min="3" max="3" width="8.59765625" style="81" customWidth="1"/>
    <col min="4" max="4" width="13.59765625" style="81" customWidth="1"/>
    <col min="5" max="6" width="11.69921875" style="34" customWidth="1"/>
    <col min="7" max="7" width="9.59765625" style="36" customWidth="1"/>
    <col min="8" max="8" width="9.69921875" style="34" customWidth="1"/>
    <col min="9" max="12" width="10.5" style="34" customWidth="1"/>
    <col min="13" max="13" width="11.09765625" style="79" customWidth="1"/>
    <col min="14" max="14" width="15.19921875" style="34" customWidth="1"/>
    <col min="15" max="15" width="12.5" style="669" customWidth="1"/>
    <col min="16" max="16" width="1" style="34" customWidth="1"/>
    <col min="17" max="17" width="4.09765625" style="69" customWidth="1"/>
    <col min="18" max="18" width="30" style="674" customWidth="1"/>
    <col min="19" max="19" width="9" style="679"/>
    <col min="20" max="16384" width="9" style="34"/>
  </cols>
  <sheetData>
    <row r="1" spans="1:19" hidden="1"/>
    <row r="2" spans="1:19" s="31" customFormat="1" ht="19.5" customHeight="1">
      <c r="A2" s="641"/>
      <c r="B2" s="639"/>
      <c r="C2" s="640"/>
      <c r="D2" s="640"/>
      <c r="E2" s="30"/>
      <c r="F2" s="30"/>
      <c r="G2" s="30"/>
      <c r="H2" s="641" t="s">
        <v>1218</v>
      </c>
      <c r="I2" s="30"/>
      <c r="J2" s="30"/>
      <c r="K2" s="30"/>
      <c r="L2" s="30"/>
      <c r="M2" s="77"/>
      <c r="N2" s="158">
        <f>SUM(O3:O4)</f>
        <v>0</v>
      </c>
      <c r="O2" s="670"/>
      <c r="Q2" s="664" t="s">
        <v>1246</v>
      </c>
      <c r="R2" s="675" t="s">
        <v>1245</v>
      </c>
      <c r="S2" s="158"/>
    </row>
    <row r="3" spans="1:19" s="32" customFormat="1" ht="15" customHeight="1">
      <c r="A3" s="76" t="str">
        <f>CONCATENATE("客户名称：",参数!D3)</f>
        <v>客户名称：二锅头</v>
      </c>
      <c r="C3" s="80"/>
      <c r="D3" s="80"/>
      <c r="E3" s="32" t="str">
        <f>CONCATENATE("编制人：",参数!E17)</f>
        <v>编制人：刘一二</v>
      </c>
      <c r="G3" s="33"/>
      <c r="H3" s="32" t="str">
        <f ca="1">CONCATENATE("日期：",TEXT(NOW(),"yyyy.mm.dd"))</f>
        <v>日期：2025.11.06</v>
      </c>
      <c r="M3" s="600" t="s">
        <v>1827</v>
      </c>
      <c r="N3" s="159" t="s">
        <v>1099</v>
      </c>
      <c r="O3" s="671">
        <f>SUMIF(I6:I65469,"?*",M6:M65469)</f>
        <v>0</v>
      </c>
      <c r="Q3" s="68"/>
      <c r="R3" s="674"/>
      <c r="S3" s="680"/>
    </row>
    <row r="4" spans="1:19" s="32" customFormat="1" ht="15" customHeight="1">
      <c r="A4" s="76" t="str">
        <f>CONCATENATE("会计期间：",参数!D10)</f>
        <v>会计期间：2022年度</v>
      </c>
      <c r="C4" s="80"/>
      <c r="D4" s="80"/>
      <c r="E4" s="32" t="str">
        <f>CONCATENATE("复核人：",参数!E18)</f>
        <v>复核人：周一二</v>
      </c>
      <c r="G4" s="33"/>
      <c r="H4" s="32" t="s">
        <v>11</v>
      </c>
      <c r="M4" s="601" t="s">
        <v>1100</v>
      </c>
      <c r="N4" s="159" t="s">
        <v>1101</v>
      </c>
      <c r="O4" s="671">
        <f>SUMIF(H7:H65386,"?*",M7:M65386)</f>
        <v>0</v>
      </c>
      <c r="Q4" s="68"/>
      <c r="R4" s="674"/>
      <c r="S4" s="680"/>
    </row>
    <row r="5" spans="1:19" s="32" customFormat="1" ht="15" customHeight="1">
      <c r="A5" s="1081" t="s">
        <v>1102</v>
      </c>
      <c r="B5" s="1081" t="s">
        <v>1103</v>
      </c>
      <c r="C5" s="1081" t="s">
        <v>1104</v>
      </c>
      <c r="D5" s="1083" t="s">
        <v>1213</v>
      </c>
      <c r="E5" s="1087" t="s">
        <v>1250</v>
      </c>
      <c r="F5" s="1088" t="s">
        <v>1105</v>
      </c>
      <c r="G5" s="1088" t="s">
        <v>1106</v>
      </c>
      <c r="H5" s="1081"/>
      <c r="I5" s="1084" t="s">
        <v>1107</v>
      </c>
      <c r="J5" s="1084"/>
      <c r="K5" s="1084" t="s">
        <v>1108</v>
      </c>
      <c r="L5" s="1084"/>
      <c r="M5" s="1085" t="s">
        <v>1109</v>
      </c>
      <c r="N5" s="35" t="s">
        <v>1114</v>
      </c>
      <c r="O5" s="671"/>
      <c r="Q5" s="68"/>
      <c r="R5" s="676" t="str">
        <f>IF(OR(MID(TRIM(报表格式!S5),2,1)="：",MID(TRIM(报表格式!S5),2,1)="、"),REPLACEB(TRIM(报表格式!S5),1,4,""),TRIM(报表格式!S5))</f>
        <v>流动资产：</v>
      </c>
      <c r="S5" s="680"/>
    </row>
    <row r="6" spans="1:19" ht="15.75" customHeight="1">
      <c r="A6" s="1082"/>
      <c r="B6" s="1082"/>
      <c r="C6" s="1082"/>
      <c r="D6" s="1082"/>
      <c r="E6" s="1088" t="s">
        <v>1110</v>
      </c>
      <c r="F6" s="1088" t="s">
        <v>1105</v>
      </c>
      <c r="G6" s="1088" t="s">
        <v>1111</v>
      </c>
      <c r="H6" s="1082"/>
      <c r="I6" s="602" t="s">
        <v>1112</v>
      </c>
      <c r="J6" s="602" t="s">
        <v>1113</v>
      </c>
      <c r="K6" s="602" t="s">
        <v>1112</v>
      </c>
      <c r="L6" s="602" t="s">
        <v>1113</v>
      </c>
      <c r="M6" s="1086"/>
      <c r="N6" s="35" t="s">
        <v>1115</v>
      </c>
      <c r="O6" s="672"/>
      <c r="Q6" s="192" t="str">
        <f>报表格式!R6</f>
        <v>D1</v>
      </c>
      <c r="R6" s="676" t="str">
        <f>IF(OR(MID(TRIM(报表格式!S6),2,1)="：",MID(TRIM(报表格式!S6),2,1)="、"),REPLACEB(TRIM(报表格式!S6),1,4,""),TRIM(报表格式!S6))</f>
        <v>货币资金</v>
      </c>
      <c r="S6" s="681" t="s">
        <v>1379</v>
      </c>
    </row>
    <row r="7" spans="1:19">
      <c r="A7" s="712"/>
      <c r="B7" s="713"/>
      <c r="C7" s="714"/>
      <c r="D7" s="752" t="s">
        <v>51</v>
      </c>
      <c r="E7" s="735" t="s">
        <v>1435</v>
      </c>
      <c r="F7" s="735"/>
      <c r="G7" s="736"/>
      <c r="H7" s="737" t="str">
        <f>IF(G7=0,"",VLOOKUP(G7,$Q:$R,2,0))</f>
        <v/>
      </c>
      <c r="I7" s="738">
        <v>-5394258.0199999996</v>
      </c>
      <c r="J7" s="739"/>
      <c r="K7" s="739"/>
      <c r="L7" s="739"/>
      <c r="M7" s="740"/>
      <c r="N7" s="683" t="str">
        <f t="array" ref="N7">IF(OR(E7="",_xlfn.IFNA(MATCH("试算平衡表项目"&amp;E7,$S$6:$S$362&amp;$R$6:$R$362,0),0)&gt;0),"","请修改试算平衡表项目或手工填写TB")</f>
        <v/>
      </c>
      <c r="O7" s="683" t="str">
        <f t="array" ref="O7">IF(OR(F7="",_xlfn.IFNA(MATCH("二级"&amp;F7,$S$6:$S$362&amp;$R$6:$R$362,0),0)&gt;0),"","请修改二级名称或手工填写TB")</f>
        <v/>
      </c>
      <c r="Q7" s="192" t="str">
        <f>报表格式!R7</f>
        <v>D2</v>
      </c>
      <c r="R7" s="676" t="str">
        <f>IF(OR(MID(TRIM(报表格式!S7),2,1)="：",MID(TRIM(报表格式!S7),2,1)="、"),REPLACEB(TRIM(报表格式!S7),1,4,""), IF(RIGHT(TRIM(报表格式!S7),1)="*",LEFT(TRIM(报表格式!S7),LEN(TRIM(报表格式!S7))-1),TRIM(报表格式!S7)))</f>
        <v>结算备付金</v>
      </c>
      <c r="S7" s="681" t="s">
        <v>1379</v>
      </c>
    </row>
    <row r="8" spans="1:19" ht="15.75" customHeight="1">
      <c r="A8" s="715"/>
      <c r="B8" s="716"/>
      <c r="C8" s="717"/>
      <c r="D8" s="752" t="s">
        <v>51</v>
      </c>
      <c r="E8" s="735" t="s">
        <v>1435</v>
      </c>
      <c r="F8" s="738"/>
      <c r="G8" s="741"/>
      <c r="H8" s="742" t="str">
        <f>IF(G8=0,"",VLOOKUP(G8,$Q:$R,2,0))</f>
        <v/>
      </c>
      <c r="I8" s="738">
        <v>11090.8</v>
      </c>
      <c r="J8" s="738"/>
      <c r="K8" s="738"/>
      <c r="L8" s="738"/>
      <c r="M8" s="743"/>
      <c r="N8" s="683" t="str">
        <f t="array" ref="N8">IF(OR(E8="",_xlfn.IFNA(MATCH("试算平衡表项目"&amp;E8,$S$6:$S$362&amp;$R$6:$R$362,0),0)&gt;0),"","请修改试算平衡表项目或手工填写TB")</f>
        <v/>
      </c>
      <c r="O8" s="683" t="str">
        <f t="array" ref="O8">IF(OR(F8="",_xlfn.IFNA(MATCH("二级"&amp;F8,$S$6:$S$362&amp;$R$6:$R$362,0),0)&gt;0),"","请修改二级名称或手工填写TB")</f>
        <v/>
      </c>
      <c r="Q8" s="192" t="str">
        <f>报表格式!R8</f>
        <v>D3</v>
      </c>
      <c r="R8" s="676" t="str">
        <f>IF(OR(MID(TRIM(报表格式!S8),2,1)="：",MID(TRIM(报表格式!S8),2,1)="、"),REPLACEB(TRIM(报表格式!S8),1,4,""), IF(RIGHT(TRIM(报表格式!S8),1)="*",LEFT(TRIM(报表格式!S8),LEN(TRIM(报表格式!S8))-1),TRIM(报表格式!S8)))</f>
        <v>拆出资金原值</v>
      </c>
      <c r="S8" s="681" t="s">
        <v>1379</v>
      </c>
    </row>
    <row r="9" spans="1:19" ht="15.75" customHeight="1">
      <c r="A9" s="715"/>
      <c r="B9" s="716"/>
      <c r="C9" s="717"/>
      <c r="D9" s="752" t="s">
        <v>51</v>
      </c>
      <c r="E9" s="735" t="s">
        <v>1435</v>
      </c>
      <c r="F9" s="744"/>
      <c r="G9" s="745"/>
      <c r="H9" s="742" t="str">
        <f>IF(G9=0,"",VLOOKUP(G9,$Q:$R,2,0))</f>
        <v/>
      </c>
      <c r="I9" s="738">
        <v>-119305.8</v>
      </c>
      <c r="J9" s="738"/>
      <c r="K9" s="738"/>
      <c r="L9" s="738"/>
      <c r="M9" s="743"/>
      <c r="N9" s="683" t="str">
        <f t="array" ref="N9">IF(OR(E9="",_xlfn.IFNA(MATCH("试算平衡表项目"&amp;E9,$S$6:$S$362&amp;$R$6:$R$362,0),0)&gt;0),"","请修改试算平衡表项目或手工填写TB")</f>
        <v/>
      </c>
      <c r="O9" s="683" t="str">
        <f t="array" ref="O9">IF(OR(F9="",_xlfn.IFNA(MATCH("二级"&amp;F9,$S$6:$S$362&amp;$R$6:$R$362,0),0)&gt;0),"","请修改二级名称或手工填写TB")</f>
        <v/>
      </c>
      <c r="Q9" s="192" t="str">
        <f>报表格式!R9</f>
        <v>D4</v>
      </c>
      <c r="R9" s="676" t="str">
        <f>IF(OR(MID(TRIM(报表格式!S9),2,1)="：",MID(TRIM(报表格式!S9),2,1)="、"),REPLACEB(TRIM(报表格式!S9),1,4,""), IF(RIGHT(TRIM(报表格式!S9),1)="*",LEFT(TRIM(报表格式!S9),LEN(TRIM(报表格式!S9))-1),TRIM(报表格式!S9)))</f>
        <v>拆出资金减值准备</v>
      </c>
      <c r="S9" s="681" t="s">
        <v>1379</v>
      </c>
    </row>
    <row r="10" spans="1:19" ht="15.75" customHeight="1">
      <c r="A10" s="718"/>
      <c r="B10" s="719"/>
      <c r="C10" s="720"/>
      <c r="D10" s="752" t="s">
        <v>51</v>
      </c>
      <c r="E10" s="753" t="s">
        <v>1446</v>
      </c>
      <c r="F10" s="744"/>
      <c r="G10" s="745"/>
      <c r="H10" s="742" t="str">
        <f>IF(G10=0,"",VLOOKUP(G10,$Q:$R,2,0))</f>
        <v/>
      </c>
      <c r="I10" s="738">
        <v>5383167.2199999997</v>
      </c>
      <c r="J10" s="738"/>
      <c r="K10" s="738"/>
      <c r="L10" s="738"/>
      <c r="M10" s="743"/>
      <c r="N10" s="683" t="str">
        <f t="array" ref="N10">IF(OR(E10="",_xlfn.IFNA(MATCH("试算平衡表项目"&amp;E10,$S$6:$S$362&amp;$R$6:$R$362,0),0)&gt;0),"","请修改试算平衡表项目或手工填写TB")</f>
        <v/>
      </c>
      <c r="O10" s="683" t="str">
        <f t="array" ref="O10">IF(OR(F10="",_xlfn.IFNA(MATCH("二级"&amp;F10,$S$6:$S$362&amp;$R$6:$R$362,0),0)&gt;0),"","请修改二级名称或手工填写TB")</f>
        <v/>
      </c>
      <c r="Q10" s="192">
        <f>报表格式!R10</f>
        <v>0</v>
      </c>
      <c r="R10" s="676" t="str">
        <f>IF(OR(MID(TRIM(报表格式!S10),2,1)="：",MID(TRIM(报表格式!S10),2,1)="、"),REPLACEB(TRIM(报表格式!S10),1,4,""), IF(RIGHT(TRIM(报表格式!S10),1)="*",LEFT(TRIM(报表格式!S10),LEN(TRIM(报表格式!S10))-1),TRIM(报表格式!S10)))</f>
        <v>拆出资金</v>
      </c>
    </row>
    <row r="11" spans="1:19" s="661" customFormat="1">
      <c r="A11" s="716"/>
      <c r="B11" s="716"/>
      <c r="C11" s="716"/>
      <c r="D11" s="752" t="s">
        <v>51</v>
      </c>
      <c r="E11" s="753" t="s">
        <v>1436</v>
      </c>
      <c r="F11" s="746"/>
      <c r="G11" s="747"/>
      <c r="H11" s="746"/>
      <c r="I11" s="746">
        <v>119305.8</v>
      </c>
      <c r="J11" s="748"/>
      <c r="K11" s="746"/>
      <c r="L11" s="748"/>
      <c r="M11" s="747"/>
      <c r="N11" s="683" t="str">
        <f t="array" ref="N11">IF(OR(E11="",_xlfn.IFNA(MATCH("试算平衡表项目"&amp;E11,$S$6:$S$362&amp;$R$6:$R$362,0),0)&gt;0),"","请修改试算平衡表项目或手工填写TB")</f>
        <v/>
      </c>
      <c r="O11" s="683" t="str">
        <f t="array" ref="O11">IF(OR(F11="",_xlfn.IFNA(MATCH("二级"&amp;F11,$S$6:$S$362&amp;$R$6:$R$362,0),0)&gt;0),"","请修改二级名称或手工填写TB")</f>
        <v/>
      </c>
      <c r="Q11" s="192" t="str">
        <f>报表格式!R11</f>
        <v>D5</v>
      </c>
      <c r="R11" s="676" t="str">
        <f>IF(OR(MID(TRIM(报表格式!S11),2,1)="：",MID(TRIM(报表格式!S11),2,1)="、"),REPLACEB(TRIM(报表格式!S11),1,4,""),TRIM(报表格式!S11))</f>
        <v>交易性金融资产</v>
      </c>
      <c r="S11" s="681" t="s">
        <v>1379</v>
      </c>
    </row>
    <row r="12" spans="1:19">
      <c r="A12" s="716"/>
      <c r="B12" s="716"/>
      <c r="C12" s="716"/>
      <c r="D12" s="752" t="s">
        <v>51</v>
      </c>
      <c r="E12" s="735" t="s">
        <v>1437</v>
      </c>
      <c r="F12" s="749" t="s">
        <v>1489</v>
      </c>
      <c r="G12" s="745"/>
      <c r="H12" s="742" t="str">
        <f>IF(G12=0,"",VLOOKUP(G12,$Q:$R,2,0))</f>
        <v/>
      </c>
      <c r="I12" s="738"/>
      <c r="J12" s="738">
        <v>120002.16</v>
      </c>
      <c r="K12" s="738"/>
      <c r="L12" s="738"/>
      <c r="M12" s="743"/>
      <c r="N12" s="683" t="str">
        <f t="array" ref="N12">IF(OR(E12="",_xlfn.IFNA(MATCH("试算平衡表项目"&amp;E12,$S$6:$S$362&amp;$R$6:$R$362,0),0)&gt;0),"","请修改试算平衡表项目或手工填写TB")</f>
        <v/>
      </c>
      <c r="O12" s="683" t="str">
        <f t="array" ref="O12">IF(OR(F12="",_xlfn.IFNA(MATCH("二级"&amp;F12,$S$6:$S$362&amp;$R$6:$R$362,0),0)&gt;0),"","请修改二级名称或手工填写TB")</f>
        <v/>
      </c>
      <c r="Q12" s="192" t="str">
        <f>报表格式!R12</f>
        <v>D6</v>
      </c>
      <c r="R12" s="676" t="str">
        <f>IF(OR(MID(TRIM(报表格式!S12),2,1)="：",MID(TRIM(报表格式!S12),2,1)="、"),REPLACEB(TRIM(报表格式!S12),1,4,""),TRIM(报表格式!S12))</f>
        <v>衍生金融资产</v>
      </c>
      <c r="S12" s="681" t="s">
        <v>1379</v>
      </c>
    </row>
    <row r="13" spans="1:19">
      <c r="A13" s="716"/>
      <c r="B13" s="716"/>
      <c r="C13" s="716"/>
      <c r="D13" s="752" t="s">
        <v>51</v>
      </c>
      <c r="E13" s="735" t="s">
        <v>1447</v>
      </c>
      <c r="F13" s="749"/>
      <c r="G13" s="745"/>
      <c r="H13" s="742" t="str">
        <f>IF(G13=0,"",VLOOKUP(G13,$Q:$R,2,0))</f>
        <v/>
      </c>
      <c r="I13" s="738">
        <v>120002.16</v>
      </c>
      <c r="J13" s="738">
        <v>0</v>
      </c>
      <c r="K13" s="738"/>
      <c r="L13" s="738"/>
      <c r="M13" s="743"/>
      <c r="N13" s="683" t="str">
        <f t="array" ref="N13">IF(OR(E13="",_xlfn.IFNA(MATCH("试算平衡表项目"&amp;E13,$S$6:$S$362&amp;$R$6:$R$362,0),0)&gt;0),"","请修改试算平衡表项目或手工填写TB")</f>
        <v/>
      </c>
      <c r="O13" s="683" t="str">
        <f t="array" ref="O13">IF(OR(F13="",_xlfn.IFNA(MATCH("二级"&amp;F13,$S$6:$S$362&amp;$R$6:$R$362,0),0)&gt;0),"","请修改二级名称或手工填写TB")</f>
        <v/>
      </c>
      <c r="Q13" s="192" t="str">
        <f>报表格式!R13</f>
        <v>D7</v>
      </c>
      <c r="R13" s="676" t="str">
        <f>IF(OR(MID(TRIM(报表格式!S13),2,1)="：",MID(TRIM(报表格式!S13),2,1)="、"),REPLACEB(TRIM(报表格式!S13),1,4,""),TRIM(报表格式!S13))</f>
        <v>应收票据原值</v>
      </c>
      <c r="S13" s="681" t="s">
        <v>1379</v>
      </c>
    </row>
    <row r="14" spans="1:19">
      <c r="A14" s="716"/>
      <c r="B14" s="716"/>
      <c r="C14" s="716"/>
      <c r="D14" s="752" t="s">
        <v>51</v>
      </c>
      <c r="E14" s="735" t="s">
        <v>1435</v>
      </c>
      <c r="F14" s="744"/>
      <c r="G14" s="745"/>
      <c r="H14" s="742" t="str">
        <f>IF(G14=0,"",VLOOKUP(G14,$Q:$R,2,0))</f>
        <v/>
      </c>
      <c r="I14" s="738">
        <v>147839.84</v>
      </c>
      <c r="J14" s="738"/>
      <c r="K14" s="738"/>
      <c r="L14" s="738"/>
      <c r="M14" s="743"/>
      <c r="N14" s="683" t="str">
        <f t="array" ref="N14">IF(OR(E14="",_xlfn.IFNA(MATCH("试算平衡表项目"&amp;E14,$S$6:$S$362&amp;$R$6:$R$362,0),0)&gt;0),"","请修改试算平衡表项目或手工填写TB")</f>
        <v/>
      </c>
      <c r="O14" s="683" t="str">
        <f t="array" ref="O14">IF(OR(F14="",_xlfn.IFNA(MATCH("二级"&amp;F14,$S$6:$S$362&amp;$R$6:$R$362,0),0)&gt;0),"","请修改二级名称或手工填写TB")</f>
        <v/>
      </c>
      <c r="Q14" s="192" t="str">
        <f>报表格式!R14</f>
        <v>D8</v>
      </c>
      <c r="R14" s="676" t="str">
        <f>IF(OR(MID(TRIM(报表格式!S14),2,1)="：",MID(TRIM(报表格式!S14),2,1)="、"),REPLACEB(TRIM(报表格式!S14),1,4,""),TRIM(报表格式!S14))</f>
        <v>应收票据坏账准备</v>
      </c>
      <c r="S14" s="681" t="s">
        <v>1379</v>
      </c>
    </row>
    <row r="15" spans="1:19">
      <c r="A15" s="716"/>
      <c r="B15" s="716"/>
      <c r="C15" s="716"/>
      <c r="D15" s="752" t="s">
        <v>51</v>
      </c>
      <c r="E15" s="735" t="s">
        <v>979</v>
      </c>
      <c r="F15" s="744"/>
      <c r="G15" s="745"/>
      <c r="H15" s="742" t="str">
        <f>IF(G15=0,"",VLOOKUP(G15,$Q:$R,2,0))</f>
        <v/>
      </c>
      <c r="I15" s="738">
        <v>147988.20000000001</v>
      </c>
      <c r="J15" s="738"/>
      <c r="K15" s="738"/>
      <c r="L15" s="738"/>
      <c r="M15" s="743"/>
      <c r="N15" s="683" t="str">
        <f t="array" ref="N15">IF(OR(E15="",_xlfn.IFNA(MATCH("试算平衡表项目"&amp;E15,$S$6:$S$362&amp;$R$6:$R$362,0),0)&gt;0),"","请修改试算平衡表项目或手工填写TB")</f>
        <v/>
      </c>
      <c r="O15" s="683" t="str">
        <f t="array" ref="O15">IF(OR(F15="",_xlfn.IFNA(MATCH("二级"&amp;F15,$S$6:$S$362&amp;$R$6:$R$362,0),0)&gt;0),"","请修改二级名称或手工填写TB")</f>
        <v/>
      </c>
      <c r="Q15" s="192">
        <f>报表格式!R15</f>
        <v>0</v>
      </c>
      <c r="R15" s="676" t="str">
        <f>IF(OR(MID(TRIM(报表格式!S15),2,1)="：",MID(TRIM(报表格式!S15),2,1)="、"),REPLACEB(TRIM(报表格式!S15),1,4,""),TRIM(报表格式!S15))</f>
        <v>应收票据</v>
      </c>
    </row>
    <row r="16" spans="1:19" s="661" customFormat="1">
      <c r="A16" s="716"/>
      <c r="B16" s="716"/>
      <c r="C16" s="716"/>
      <c r="D16" s="752" t="s">
        <v>51</v>
      </c>
      <c r="E16" s="750" t="s">
        <v>1435</v>
      </c>
      <c r="F16" s="750"/>
      <c r="G16" s="748"/>
      <c r="H16" s="750"/>
      <c r="I16" s="750">
        <v>-295828.03999999998</v>
      </c>
      <c r="J16" s="748"/>
      <c r="K16" s="750"/>
      <c r="L16" s="748"/>
      <c r="M16" s="748"/>
      <c r="N16" s="683" t="str">
        <f t="array" ref="N16">IF(OR(E16="",_xlfn.IFNA(MATCH("试算平衡表项目"&amp;E16,$S$6:$S$362&amp;$R$6:$R$362,0),0)&gt;0),"","请修改试算平衡表项目或手工填写TB")</f>
        <v/>
      </c>
      <c r="O16" s="683" t="str">
        <f t="array" ref="O16">IF(OR(F16="",_xlfn.IFNA(MATCH("二级"&amp;F16,$S$6:$S$362&amp;$R$6:$R$362,0),0)&gt;0),"","请修改二级名称或手工填写TB")</f>
        <v/>
      </c>
      <c r="Q16" s="192" t="str">
        <f>报表格式!R16</f>
        <v>D9</v>
      </c>
      <c r="R16" s="676" t="str">
        <f>IF(OR(MID(TRIM(报表格式!S16),2,1)="：",MID(TRIM(报表格式!S16),2,1)="、"),REPLACEB(TRIM(报表格式!S16),1,4,""),TRIM(报表格式!S16))</f>
        <v>应收账款原值</v>
      </c>
      <c r="S16" s="681" t="s">
        <v>1379</v>
      </c>
    </row>
    <row r="17" spans="1:19">
      <c r="A17" s="716"/>
      <c r="B17" s="716"/>
      <c r="C17" s="716"/>
      <c r="D17" s="752" t="s">
        <v>51</v>
      </c>
      <c r="E17" s="735" t="s">
        <v>1448</v>
      </c>
      <c r="F17" s="744"/>
      <c r="G17" s="745"/>
      <c r="H17" s="742" t="str">
        <f>IF(G17=0,"",VLOOKUP(G17,$Q:$R,2,0))</f>
        <v/>
      </c>
      <c r="I17" s="738">
        <v>2731929.12</v>
      </c>
      <c r="J17" s="738"/>
      <c r="K17" s="738"/>
      <c r="L17" s="738"/>
      <c r="M17" s="743"/>
      <c r="N17" s="683" t="str">
        <f t="array" ref="N17">IF(OR(E17="",_xlfn.IFNA(MATCH("试算平衡表项目"&amp;E17,$S$6:$S$362&amp;$R$6:$R$362,0),0)&gt;0),"","请修改试算平衡表项目或手工填写TB")</f>
        <v/>
      </c>
      <c r="O17" s="683" t="str">
        <f t="array" ref="O17">IF(OR(F17="",_xlfn.IFNA(MATCH("二级"&amp;F17,$S$6:$S$362&amp;$R$6:$R$362,0),0)&gt;0),"","请修改二级名称或手工填写TB")</f>
        <v/>
      </c>
      <c r="Q17" s="192" t="str">
        <f>报表格式!R17</f>
        <v>D10</v>
      </c>
      <c r="R17" s="676" t="str">
        <f>IF(OR(MID(TRIM(报表格式!S17),2,1)="：",MID(TRIM(报表格式!S17),2,1)="、"),REPLACEB(TRIM(报表格式!S17),1,4,""),TRIM(报表格式!S17))</f>
        <v>应收账款坏账准备</v>
      </c>
      <c r="S17" s="681" t="s">
        <v>1379</v>
      </c>
    </row>
    <row r="18" spans="1:19">
      <c r="A18" s="716"/>
      <c r="B18" s="716"/>
      <c r="C18" s="716"/>
      <c r="D18" s="752" t="s">
        <v>51</v>
      </c>
      <c r="E18" s="735" t="s">
        <v>1436</v>
      </c>
      <c r="F18" s="744"/>
      <c r="G18" s="745"/>
      <c r="H18" s="742"/>
      <c r="I18" s="738">
        <v>369945.51</v>
      </c>
      <c r="J18" s="738"/>
      <c r="K18" s="738"/>
      <c r="L18" s="738"/>
      <c r="M18" s="743"/>
      <c r="N18" s="683" t="str">
        <f t="array" ref="N18">IF(OR(E18="",_xlfn.IFNA(MATCH("试算平衡表项目"&amp;E18,$S$6:$S$362&amp;$R$6:$R$362,0),0)&gt;0),"","请修改试算平衡表项目或手工填写TB")</f>
        <v/>
      </c>
      <c r="O18" s="683" t="str">
        <f t="array" ref="O18">IF(OR(F18="",_xlfn.IFNA(MATCH("二级"&amp;F18,$S$6:$S$362&amp;$R$6:$R$362,0),0)&gt;0),"","请修改二级名称或手工填写TB")</f>
        <v/>
      </c>
      <c r="Q18" s="192">
        <f>报表格式!R18</f>
        <v>0</v>
      </c>
      <c r="R18" s="676" t="str">
        <f>IF(OR(MID(TRIM(报表格式!S18),2,1)="：",MID(TRIM(报表格式!S18),2,1)="、"),REPLACEB(TRIM(报表格式!S18),1,4,""),TRIM(报表格式!S18))</f>
        <v>应收账款</v>
      </c>
    </row>
    <row r="19" spans="1:19">
      <c r="A19" s="716"/>
      <c r="B19" s="716"/>
      <c r="C19" s="716"/>
      <c r="D19" s="752" t="s">
        <v>51</v>
      </c>
      <c r="E19" s="735" t="s">
        <v>1438</v>
      </c>
      <c r="F19" s="744"/>
      <c r="G19" s="745"/>
      <c r="H19" s="742"/>
      <c r="I19" s="738"/>
      <c r="J19" s="738">
        <v>2731929.12</v>
      </c>
      <c r="K19" s="738"/>
      <c r="L19" s="738"/>
      <c r="M19" s="743"/>
      <c r="N19" s="683" t="str">
        <f t="array" ref="N19">IF(OR(E19="",_xlfn.IFNA(MATCH("试算平衡表项目"&amp;E19,$S$6:$S$362&amp;$R$6:$R$362,0),0)&gt;0),"","请修改试算平衡表项目或手工填写TB")</f>
        <v/>
      </c>
      <c r="O19" s="683" t="str">
        <f t="array" ref="O19">IF(OR(F19="",_xlfn.IFNA(MATCH("二级"&amp;F19,$S$6:$S$362&amp;$R$6:$R$362,0),0)&gt;0),"","请修改二级名称或手工填写TB")</f>
        <v/>
      </c>
      <c r="Q19" s="192" t="str">
        <f>报表格式!R19</f>
        <v>D11</v>
      </c>
      <c r="R19" s="676" t="str">
        <f>IF(OR(MID(TRIM(报表格式!S19),2,1)="：",MID(TRIM(报表格式!S19),2,1)="、"),REPLACEB(TRIM(报表格式!S19),1,4,""),TRIM(报表格式!S19))</f>
        <v>应收款项融资原值</v>
      </c>
      <c r="S19" s="681" t="s">
        <v>1379</v>
      </c>
    </row>
    <row r="20" spans="1:19">
      <c r="A20" s="716"/>
      <c r="B20" s="716"/>
      <c r="C20" s="716"/>
      <c r="D20" s="752" t="s">
        <v>51</v>
      </c>
      <c r="E20" s="735" t="s">
        <v>1438</v>
      </c>
      <c r="F20" s="744"/>
      <c r="G20" s="745"/>
      <c r="H20" s="742"/>
      <c r="I20" s="738"/>
      <c r="J20" s="738">
        <v>369945.51</v>
      </c>
      <c r="K20" s="738"/>
      <c r="L20" s="738"/>
      <c r="M20" s="743"/>
      <c r="N20" s="683" t="str">
        <f t="array" ref="N20">IF(OR(E20="",_xlfn.IFNA(MATCH("试算平衡表项目"&amp;E20,$S$6:$S$362&amp;$R$6:$R$362,0),0)&gt;0),"","请修改试算平衡表项目或手工填写TB")</f>
        <v/>
      </c>
      <c r="O20" s="683" t="str">
        <f t="array" ref="O20">IF(OR(F20="",_xlfn.IFNA(MATCH("二级"&amp;F20,$S$6:$S$362&amp;$R$6:$R$362,0),0)&gt;0),"","请修改二级名称或手工填写TB")</f>
        <v/>
      </c>
      <c r="Q20" s="192" t="str">
        <f>报表格式!R20</f>
        <v>D12</v>
      </c>
      <c r="R20" s="676" t="str">
        <f>IF(OR(MID(TRIM(报表格式!S20),2,1)="：",MID(TRIM(报表格式!S20),2,1)="、"),REPLACEB(TRIM(报表格式!S20),1,4,""),TRIM(报表格式!S20))</f>
        <v>应收款项融资坏账准备</v>
      </c>
      <c r="S20" s="681" t="s">
        <v>1379</v>
      </c>
    </row>
    <row r="21" spans="1:19" s="661" customFormat="1">
      <c r="A21" s="716"/>
      <c r="B21" s="716"/>
      <c r="C21" s="716"/>
      <c r="D21" s="752" t="s">
        <v>51</v>
      </c>
      <c r="E21" s="735" t="s">
        <v>1449</v>
      </c>
      <c r="F21" s="744"/>
      <c r="G21" s="745"/>
      <c r="H21" s="742"/>
      <c r="I21" s="738">
        <v>0</v>
      </c>
      <c r="J21" s="738"/>
      <c r="K21" s="738"/>
      <c r="L21" s="738"/>
      <c r="M21" s="743"/>
      <c r="N21" s="683" t="str">
        <f t="array" ref="N21">IF(OR(E21="",_xlfn.IFNA(MATCH("试算平衡表项目"&amp;E21,$S$6:$S$362&amp;$R$6:$R$362,0),0)&gt;0),"","请修改试算平衡表项目或手工填写TB")</f>
        <v/>
      </c>
      <c r="O21" s="683" t="str">
        <f t="array" ref="O21">IF(OR(F21="",_xlfn.IFNA(MATCH("二级"&amp;F21,$S$6:$S$362&amp;$R$6:$R$362,0),0)&gt;0),"","请修改二级名称或手工填写TB")</f>
        <v/>
      </c>
      <c r="Q21" s="192">
        <f>报表格式!R21</f>
        <v>0</v>
      </c>
      <c r="R21" s="676" t="str">
        <f>IF(OR(MID(TRIM(报表格式!S21),2,1)="：",MID(TRIM(报表格式!S21),2,1)="、"),REPLACEB(TRIM(报表格式!S21),1,4,""),TRIM(报表格式!S21))</f>
        <v>应收款项融资</v>
      </c>
      <c r="S21" s="682"/>
    </row>
    <row r="22" spans="1:19">
      <c r="A22" s="716"/>
      <c r="B22" s="716"/>
      <c r="C22" s="716"/>
      <c r="D22" s="752" t="s">
        <v>51</v>
      </c>
      <c r="E22" s="735" t="s">
        <v>1439</v>
      </c>
      <c r="F22" s="744"/>
      <c r="G22" s="745"/>
      <c r="H22" s="742"/>
      <c r="I22" s="738"/>
      <c r="J22" s="738"/>
      <c r="K22" s="738"/>
      <c r="L22" s="738"/>
      <c r="M22" s="743"/>
      <c r="N22" s="683" t="str">
        <f t="array" ref="N22">IF(OR(E22="",_xlfn.IFNA(MATCH("试算平衡表项目"&amp;E22,$S$6:$S$362&amp;$R$6:$R$362,0),0)&gt;0),"","请修改试算平衡表项目或手工填写TB")</f>
        <v/>
      </c>
      <c r="O22" s="683" t="str">
        <f t="array" ref="O22">IF(OR(F22="",_xlfn.IFNA(MATCH("二级"&amp;F22,$S$6:$S$362&amp;$R$6:$R$362,0),0)&gt;0),"","请修改二级名称或手工填写TB")</f>
        <v/>
      </c>
      <c r="Q22" s="192" t="str">
        <f>报表格式!R22</f>
        <v>D13</v>
      </c>
      <c r="R22" s="676" t="str">
        <f>IF(OR(MID(TRIM(报表格式!S22),2,1)="：",MID(TRIM(报表格式!S22),2,1)="、"),REPLACEB(TRIM(报表格式!S22),1,4,""),TRIM(报表格式!S22))</f>
        <v>预付款项原值</v>
      </c>
      <c r="S22" s="681" t="s">
        <v>1379</v>
      </c>
    </row>
    <row r="23" spans="1:19">
      <c r="A23" s="716"/>
      <c r="B23" s="716"/>
      <c r="C23" s="716"/>
      <c r="D23" s="752" t="s">
        <v>51</v>
      </c>
      <c r="E23" s="735" t="s">
        <v>1440</v>
      </c>
      <c r="F23" s="744"/>
      <c r="G23" s="745"/>
      <c r="H23" s="742"/>
      <c r="I23" s="738"/>
      <c r="J23" s="738">
        <v>0</v>
      </c>
      <c r="K23" s="738"/>
      <c r="L23" s="738"/>
      <c r="M23" s="743"/>
      <c r="N23" s="683" t="str">
        <f t="array" ref="N23">IF(OR(E23="",_xlfn.IFNA(MATCH("试算平衡表项目"&amp;E23,$S$6:$S$362&amp;$R$6:$R$362,0),0)&gt;0),"","请修改试算平衡表项目或手工填写TB")</f>
        <v/>
      </c>
      <c r="O23" s="683" t="str">
        <f t="array" ref="O23">IF(OR(F23="",_xlfn.IFNA(MATCH("二级"&amp;F23,$S$6:$S$362&amp;$R$6:$R$362,0),0)&gt;0),"","请修改二级名称或手工填写TB")</f>
        <v/>
      </c>
      <c r="Q23" s="192" t="str">
        <f>报表格式!R23</f>
        <v>D14</v>
      </c>
      <c r="R23" s="676" t="str">
        <f>IF(OR(MID(TRIM(报表格式!S23),2,1)="：",MID(TRIM(报表格式!S23),2,1)="、"),REPLACEB(TRIM(报表格式!S23),1,4,""),TRIM(报表格式!S23))</f>
        <v>预付款项坏账准备</v>
      </c>
      <c r="S23" s="681" t="s">
        <v>1379</v>
      </c>
    </row>
    <row r="24" spans="1:19">
      <c r="A24" s="716"/>
      <c r="B24" s="716"/>
      <c r="C24" s="716"/>
      <c r="D24" s="752" t="s">
        <v>51</v>
      </c>
      <c r="E24" s="735" t="s">
        <v>1435</v>
      </c>
      <c r="F24" s="744"/>
      <c r="G24" s="745"/>
      <c r="H24" s="742"/>
      <c r="I24" s="738">
        <v>1499212.9</v>
      </c>
      <c r="J24" s="738"/>
      <c r="K24" s="738"/>
      <c r="L24" s="738"/>
      <c r="M24" s="743"/>
      <c r="N24" s="683" t="str">
        <f t="array" ref="N24">IF(OR(E24="",_xlfn.IFNA(MATCH("试算平衡表项目"&amp;E24,$S$6:$S$362&amp;$R$6:$R$362,0),0)&gt;0),"","请修改试算平衡表项目或手工填写TB")</f>
        <v/>
      </c>
      <c r="O24" s="683" t="str">
        <f t="array" ref="O24">IF(OR(F24="",_xlfn.IFNA(MATCH("二级"&amp;F24,$S$6:$S$362&amp;$R$6:$R$362,0),0)&gt;0),"","请修改二级名称或手工填写TB")</f>
        <v/>
      </c>
      <c r="Q24" s="192">
        <f>报表格式!R24</f>
        <v>0</v>
      </c>
      <c r="R24" s="676" t="str">
        <f>IF(OR(MID(TRIM(报表格式!S24),2,1)="：",MID(TRIM(报表格式!S24),2,1)="、"),REPLACEB(TRIM(报表格式!S24),1,4,""),TRIM(报表格式!S24))</f>
        <v>预付款项</v>
      </c>
    </row>
    <row r="25" spans="1:19">
      <c r="A25" s="716"/>
      <c r="B25" s="716"/>
      <c r="C25" s="716"/>
      <c r="D25" s="752" t="s">
        <v>51</v>
      </c>
      <c r="E25" s="735" t="s">
        <v>1438</v>
      </c>
      <c r="F25" s="744"/>
      <c r="G25" s="745"/>
      <c r="H25" s="742"/>
      <c r="I25" s="738"/>
      <c r="J25" s="738">
        <v>1499212.9</v>
      </c>
      <c r="K25" s="738"/>
      <c r="L25" s="738"/>
      <c r="M25" s="743"/>
      <c r="N25" s="683" t="str">
        <f t="array" ref="N25">IF(OR(E25="",_xlfn.IFNA(MATCH("试算平衡表项目"&amp;E25,$S$6:$S$362&amp;$R$6:$R$362,0),0)&gt;0),"","请修改试算平衡表项目或手工填写TB")</f>
        <v/>
      </c>
      <c r="O25" s="683" t="str">
        <f t="array" ref="O25">IF(OR(F25="",_xlfn.IFNA(MATCH("二级"&amp;F25,$S$6:$S$362&amp;$R$6:$R$362,0),0)&gt;0),"","请修改二级名称或手工填写TB")</f>
        <v/>
      </c>
      <c r="Q25" s="192" t="str">
        <f>报表格式!R25</f>
        <v>D15</v>
      </c>
      <c r="R25" s="676" t="str">
        <f>IF(OR(MID(TRIM(报表格式!S25),2,1)="：",MID(TRIM(报表格式!S25),2,1)="、"),REPLACEB(TRIM(报表格式!S25),1,4,""), IF(RIGHT(TRIM(报表格式!S25),1)="*",LEFT(TRIM(报表格式!S25),LEN(TRIM(报表格式!S25))-1),TRIM(报表格式!S25)))</f>
        <v>应收保费原值</v>
      </c>
      <c r="S25" s="681" t="s">
        <v>1379</v>
      </c>
    </row>
    <row r="26" spans="1:19" s="661" customFormat="1">
      <c r="A26" s="716"/>
      <c r="B26" s="716"/>
      <c r="C26" s="716"/>
      <c r="D26" s="752" t="s">
        <v>51</v>
      </c>
      <c r="E26" s="735" t="s">
        <v>1435</v>
      </c>
      <c r="F26" s="744"/>
      <c r="G26" s="745"/>
      <c r="H26" s="742"/>
      <c r="I26" s="738">
        <v>1393256.47</v>
      </c>
      <c r="J26" s="738"/>
      <c r="K26" s="738"/>
      <c r="L26" s="738"/>
      <c r="M26" s="743"/>
      <c r="N26" s="683" t="str">
        <f t="array" ref="N26">IF(OR(E26="",_xlfn.IFNA(MATCH("试算平衡表项目"&amp;E26,$S$6:$S$362&amp;$R$6:$R$362,0),0)&gt;0),"","请修改试算平衡表项目或手工填写TB")</f>
        <v/>
      </c>
      <c r="O26" s="683" t="str">
        <f t="array" ref="O26">IF(OR(F26="",_xlfn.IFNA(MATCH("二级"&amp;F26,$S$6:$S$362&amp;$R$6:$R$362,0),0)&gt;0),"","请修改二级名称或手工填写TB")</f>
        <v/>
      </c>
      <c r="Q26" s="192" t="str">
        <f>报表格式!R26</f>
        <v>D16</v>
      </c>
      <c r="R26" s="676" t="str">
        <f>IF(OR(MID(TRIM(报表格式!S26),2,1)="：",MID(TRIM(报表格式!S26),2,1)="、"),REPLACEB(TRIM(报表格式!S26),1,4,""), IF(RIGHT(TRIM(报表格式!S26),1)="*",LEFT(TRIM(报表格式!S26),LEN(TRIM(报表格式!S26))-1),TRIM(报表格式!S26)))</f>
        <v>应收保费坏账准备</v>
      </c>
      <c r="S26" s="681" t="s">
        <v>1379</v>
      </c>
    </row>
    <row r="27" spans="1:19">
      <c r="A27" s="716"/>
      <c r="B27" s="716"/>
      <c r="C27" s="716"/>
      <c r="D27" s="752" t="s">
        <v>51</v>
      </c>
      <c r="E27" s="735" t="s">
        <v>979</v>
      </c>
      <c r="F27" s="744"/>
      <c r="G27" s="745"/>
      <c r="H27" s="742"/>
      <c r="I27" s="738"/>
      <c r="J27" s="738">
        <v>1393256.47</v>
      </c>
      <c r="K27" s="738"/>
      <c r="L27" s="738"/>
      <c r="M27" s="743"/>
      <c r="N27" s="683" t="str">
        <f t="array" ref="N27">IF(OR(E27="",_xlfn.IFNA(MATCH("试算平衡表项目"&amp;E27,$S$6:$S$362&amp;$R$6:$R$362,0),0)&gt;0),"","请修改试算平衡表项目或手工填写TB")</f>
        <v/>
      </c>
      <c r="O27" s="683" t="str">
        <f t="array" ref="O27">IF(OR(F27="",_xlfn.IFNA(MATCH("二级"&amp;F27,$S$6:$S$362&amp;$R$6:$R$362,0),0)&gt;0),"","请修改二级名称或手工填写TB")</f>
        <v/>
      </c>
      <c r="Q27" s="192">
        <f>报表格式!R27</f>
        <v>0</v>
      </c>
      <c r="R27" s="676" t="str">
        <f>IF(OR(MID(TRIM(报表格式!S27),2,1)="：",MID(TRIM(报表格式!S27),2,1)="、"),REPLACEB(TRIM(报表格式!S27),1,4,""), IF(RIGHT(TRIM(报表格式!S27),1)="*",LEFT(TRIM(报表格式!S27),LEN(TRIM(报表格式!S27))-1),TRIM(报表格式!S27)))</f>
        <v>应收保费</v>
      </c>
    </row>
    <row r="28" spans="1:19">
      <c r="A28" s="716"/>
      <c r="B28" s="716"/>
      <c r="C28" s="716"/>
      <c r="D28" s="752" t="s">
        <v>51</v>
      </c>
      <c r="E28" s="735" t="s">
        <v>1435</v>
      </c>
      <c r="F28" s="744"/>
      <c r="G28" s="745"/>
      <c r="H28" s="742"/>
      <c r="I28" s="738"/>
      <c r="J28" s="738">
        <v>1082688.02</v>
      </c>
      <c r="K28" s="738"/>
      <c r="L28" s="738"/>
      <c r="M28" s="743"/>
      <c r="N28" s="683" t="str">
        <f t="array" ref="N28">IF(OR(E28="",_xlfn.IFNA(MATCH("试算平衡表项目"&amp;E28,$S$6:$S$362&amp;$R$6:$R$362,0),0)&gt;0),"","请修改试算平衡表项目或手工填写TB")</f>
        <v/>
      </c>
      <c r="O28" s="683" t="str">
        <f t="array" ref="O28">IF(OR(F28="",_xlfn.IFNA(MATCH("二级"&amp;F28,$S$6:$S$362&amp;$R$6:$R$362,0),0)&gt;0),"","请修改二级名称或手工填写TB")</f>
        <v/>
      </c>
      <c r="Q28" s="192" t="str">
        <f>报表格式!R28</f>
        <v>D15</v>
      </c>
      <c r="R28" s="676" t="str">
        <f>IF(OR(MID(TRIM(报表格式!S28),2,1)="：",MID(TRIM(报表格式!S28),2,1)="、"),REPLACEB(TRIM(报表格式!S28),1,4,""), IF(RIGHT(TRIM(报表格式!S28),1)="*",LEFT(TRIM(报表格式!S28),LEN(TRIM(报表格式!S28))-1),TRIM(报表格式!S28)))</f>
        <v>应收分保账款原值</v>
      </c>
      <c r="S28" s="681" t="s">
        <v>1379</v>
      </c>
    </row>
    <row r="29" spans="1:19">
      <c r="A29" s="716"/>
      <c r="B29" s="716"/>
      <c r="C29" s="716"/>
      <c r="D29" s="752" t="s">
        <v>51</v>
      </c>
      <c r="E29" s="735" t="s">
        <v>1435</v>
      </c>
      <c r="F29" s="744"/>
      <c r="G29" s="745"/>
      <c r="H29" s="742"/>
      <c r="I29" s="738"/>
      <c r="J29" s="738">
        <v>883737.33</v>
      </c>
      <c r="K29" s="738"/>
      <c r="L29" s="738"/>
      <c r="M29" s="743"/>
      <c r="N29" s="683" t="str">
        <f t="array" ref="N29">IF(OR(E29="",_xlfn.IFNA(MATCH("试算平衡表项目"&amp;E29,$S$6:$S$362&amp;$R$6:$R$362,0),0)&gt;0),"","请修改试算平衡表项目或手工填写TB")</f>
        <v/>
      </c>
      <c r="O29" s="683" t="str">
        <f t="array" ref="O29">IF(OR(F29="",_xlfn.IFNA(MATCH("二级"&amp;F29,$S$6:$S$362&amp;$R$6:$R$362,0),0)&gt;0),"","请修改二级名称或手工填写TB")</f>
        <v/>
      </c>
      <c r="Q29" s="192" t="str">
        <f>报表格式!R29</f>
        <v>D16</v>
      </c>
      <c r="R29" s="676" t="str">
        <f>IF(OR(MID(TRIM(报表格式!S29),2,1)="：",MID(TRIM(报表格式!S29),2,1)="、"),REPLACEB(TRIM(报表格式!S29),1,4,""), IF(RIGHT(TRIM(报表格式!S29),1)="*",LEFT(TRIM(报表格式!S29),LEN(TRIM(报表格式!S29))-1),TRIM(报表格式!S29)))</f>
        <v>应收分保账款坏账准备</v>
      </c>
      <c r="S29" s="681" t="s">
        <v>1379</v>
      </c>
    </row>
    <row r="30" spans="1:19">
      <c r="A30" s="716"/>
      <c r="B30" s="716"/>
      <c r="C30" s="716"/>
      <c r="D30" s="752" t="s">
        <v>51</v>
      </c>
      <c r="E30" s="735" t="s">
        <v>1435</v>
      </c>
      <c r="F30" s="744"/>
      <c r="G30" s="745"/>
      <c r="H30" s="742"/>
      <c r="I30" s="738"/>
      <c r="J30" s="738">
        <v>2198617.21</v>
      </c>
      <c r="K30" s="738"/>
      <c r="L30" s="738"/>
      <c r="M30" s="743"/>
      <c r="N30" s="683" t="str">
        <f t="array" ref="N30">IF(OR(E30="",_xlfn.IFNA(MATCH("试算平衡表项目"&amp;E30,$S$6:$S$362&amp;$R$6:$R$362,0),0)&gt;0),"","请修改试算平衡表项目或手工填写TB")</f>
        <v/>
      </c>
      <c r="O30" s="683" t="str">
        <f t="array" ref="O30">IF(OR(F30="",_xlfn.IFNA(MATCH("二级"&amp;F30,$S$6:$S$362&amp;$R$6:$R$362,0),0)&gt;0),"","请修改二级名称或手工填写TB")</f>
        <v/>
      </c>
      <c r="Q30" s="192">
        <f>报表格式!R30</f>
        <v>0</v>
      </c>
      <c r="R30" s="676" t="str">
        <f>IF(OR(MID(TRIM(报表格式!S30),2,1)="：",MID(TRIM(报表格式!S30),2,1)="、"),REPLACEB(TRIM(报表格式!S30),1,4,""), IF(RIGHT(TRIM(报表格式!S30),1)="*",LEFT(TRIM(报表格式!S30),LEN(TRIM(报表格式!S30))-1),TRIM(报表格式!S30)))</f>
        <v>应收分保账款</v>
      </c>
    </row>
    <row r="31" spans="1:19" s="661" customFormat="1">
      <c r="A31" s="716"/>
      <c r="B31" s="716"/>
      <c r="C31" s="716"/>
      <c r="D31" s="752" t="s">
        <v>51</v>
      </c>
      <c r="E31" s="735" t="s">
        <v>1435</v>
      </c>
      <c r="F31" s="744"/>
      <c r="G31" s="745"/>
      <c r="H31" s="742"/>
      <c r="I31" s="738"/>
      <c r="J31" s="738">
        <v>2255558.0699999998</v>
      </c>
      <c r="K31" s="738"/>
      <c r="L31" s="738"/>
      <c r="M31" s="743"/>
      <c r="N31" s="683" t="str">
        <f t="array" ref="N31">IF(OR(E31="",_xlfn.IFNA(MATCH("试算平衡表项目"&amp;E31,$S$6:$S$362&amp;$R$6:$R$362,0),0)&gt;0),"","请修改试算平衡表项目或手工填写TB")</f>
        <v/>
      </c>
      <c r="O31" s="683" t="str">
        <f t="array" ref="O31">IF(OR(F31="",_xlfn.IFNA(MATCH("二级"&amp;F31,$S$6:$S$362&amp;$R$6:$R$362,0),0)&gt;0),"","请修改二级名称或手工填写TB")</f>
        <v/>
      </c>
      <c r="Q31" s="192" t="str">
        <f>报表格式!R31</f>
        <v>D17</v>
      </c>
      <c r="R31" s="676" t="str">
        <f>IF(OR(MID(TRIM(报表格式!S31),2,1)="：",MID(TRIM(报表格式!S31),2,1)="、"),REPLACEB(TRIM(报表格式!S31),1,4,""), IF(RIGHT(TRIM(报表格式!S31),1)="*",LEFT(TRIM(报表格式!S31),LEN(TRIM(报表格式!S31))-1),TRIM(报表格式!S31)))</f>
        <v>应收分保合同准备金</v>
      </c>
      <c r="S31" s="681" t="s">
        <v>1379</v>
      </c>
    </row>
    <row r="32" spans="1:19">
      <c r="A32" s="716"/>
      <c r="B32" s="716"/>
      <c r="C32" s="716"/>
      <c r="D32" s="752" t="s">
        <v>51</v>
      </c>
      <c r="E32" s="735" t="s">
        <v>1435</v>
      </c>
      <c r="F32" s="744"/>
      <c r="G32" s="745"/>
      <c r="H32" s="742"/>
      <c r="I32" s="738">
        <v>1082688.02</v>
      </c>
      <c r="J32" s="738"/>
      <c r="K32" s="738"/>
      <c r="L32" s="738"/>
      <c r="M32" s="743"/>
      <c r="N32" s="683" t="str">
        <f t="array" ref="N32">IF(OR(E32="",_xlfn.IFNA(MATCH("试算平衡表项目"&amp;E32,$S$6:$S$362&amp;$R$6:$R$362,0),0)&gt;0),"","请修改试算平衡表项目或手工填写TB")</f>
        <v/>
      </c>
      <c r="O32" s="683" t="str">
        <f t="array" ref="O32">IF(OR(F32="",_xlfn.IFNA(MATCH("二级"&amp;F32,$S$6:$S$362&amp;$R$6:$R$362,0),0)&gt;0),"","请修改二级名称或手工填写TB")</f>
        <v/>
      </c>
      <c r="Q32" s="192" t="str">
        <f>报表格式!R32</f>
        <v>D18</v>
      </c>
      <c r="R32" s="676" t="str">
        <f>IF(OR(MID(TRIM(报表格式!S32),2,1)="：",MID(TRIM(报表格式!S32),2,1)="、"),REPLACEB(TRIM(报表格式!S32),1,4,""),TRIM(报表格式!S32))</f>
        <v>应收利息原值</v>
      </c>
      <c r="S32" s="681" t="s">
        <v>1379</v>
      </c>
    </row>
    <row r="33" spans="1:19">
      <c r="A33" s="716"/>
      <c r="B33" s="716"/>
      <c r="C33" s="716"/>
      <c r="D33" s="752" t="s">
        <v>51</v>
      </c>
      <c r="E33" s="735" t="s">
        <v>1435</v>
      </c>
      <c r="F33" s="744"/>
      <c r="G33" s="745"/>
      <c r="H33" s="742"/>
      <c r="I33" s="738">
        <v>883737.33</v>
      </c>
      <c r="J33" s="738"/>
      <c r="K33" s="738"/>
      <c r="L33" s="738"/>
      <c r="M33" s="743"/>
      <c r="N33" s="683" t="str">
        <f t="array" ref="N33">IF(OR(E33="",_xlfn.IFNA(MATCH("试算平衡表项目"&amp;E33,$S$6:$S$362&amp;$R$6:$R$362,0),0)&gt;0),"","请修改试算平衡表项目或手工填写TB")</f>
        <v/>
      </c>
      <c r="O33" s="683" t="str">
        <f t="array" ref="O33">IF(OR(F33="",_xlfn.IFNA(MATCH("二级"&amp;F33,$S$6:$S$362&amp;$R$6:$R$362,0),0)&gt;0),"","请修改二级名称或手工填写TB")</f>
        <v/>
      </c>
      <c r="Q33" s="192" t="str">
        <f>报表格式!R33</f>
        <v>D19</v>
      </c>
      <c r="R33" s="676" t="str">
        <f>IF(OR(MID(TRIM(报表格式!S33),2,1)="：",MID(TRIM(报表格式!S33),2,1)="、"),REPLACEB(TRIM(报表格式!S33),1,4,""),TRIM(报表格式!S33))</f>
        <v>应收利息坏账准备</v>
      </c>
      <c r="S33" s="681" t="s">
        <v>1379</v>
      </c>
    </row>
    <row r="34" spans="1:19">
      <c r="A34" s="716"/>
      <c r="B34" s="716"/>
      <c r="C34" s="716"/>
      <c r="D34" s="752" t="s">
        <v>51</v>
      </c>
      <c r="E34" s="735" t="s">
        <v>979</v>
      </c>
      <c r="F34" s="744"/>
      <c r="G34" s="745"/>
      <c r="H34" s="742"/>
      <c r="I34" s="738">
        <v>2198617.21</v>
      </c>
      <c r="J34" s="738"/>
      <c r="K34" s="738"/>
      <c r="L34" s="738"/>
      <c r="M34" s="743"/>
      <c r="N34" s="683" t="str">
        <f t="array" ref="N34">IF(OR(E34="",_xlfn.IFNA(MATCH("试算平衡表项目"&amp;E34,$S$6:$S$362&amp;$R$6:$R$362,0),0)&gt;0),"","请修改试算平衡表项目或手工填写TB")</f>
        <v/>
      </c>
      <c r="O34" s="683" t="str">
        <f t="array" ref="O34">IF(OR(F34="",_xlfn.IFNA(MATCH("二级"&amp;F34,$S$6:$S$362&amp;$R$6:$R$362,0),0)&gt;0),"","请修改二级名称或手工填写TB")</f>
        <v/>
      </c>
      <c r="Q34" s="192">
        <f>报表格式!R34</f>
        <v>0</v>
      </c>
      <c r="R34" s="676" t="str">
        <f>IF(OR(MID(TRIM(报表格式!S34),2,1)="：",MID(TRIM(报表格式!S34),2,1)="、"),REPLACEB(TRIM(报表格式!S34),1,4,""),TRIM(报表格式!S34))</f>
        <v>应收利息</v>
      </c>
    </row>
    <row r="35" spans="1:19">
      <c r="A35" s="716"/>
      <c r="B35" s="716"/>
      <c r="C35" s="716"/>
      <c r="D35" s="752" t="s">
        <v>51</v>
      </c>
      <c r="E35" s="735" t="s">
        <v>1435</v>
      </c>
      <c r="F35" s="744"/>
      <c r="G35" s="745"/>
      <c r="H35" s="742"/>
      <c r="I35" s="738">
        <v>2255558.0699999998</v>
      </c>
      <c r="J35" s="738"/>
      <c r="K35" s="738"/>
      <c r="L35" s="738"/>
      <c r="M35" s="743"/>
      <c r="N35" s="683" t="str">
        <f t="array" ref="N35">IF(OR(E35="",_xlfn.IFNA(MATCH("试算平衡表项目"&amp;E35,$S$6:$S$362&amp;$R$6:$R$362,0),0)&gt;0),"","请修改试算平衡表项目或手工填写TB")</f>
        <v/>
      </c>
      <c r="O35" s="683" t="str">
        <f t="array" ref="O35">IF(OR(F35="",_xlfn.IFNA(MATCH("二级"&amp;F35,$S$6:$S$362&amp;$R$6:$R$362,0),0)&gt;0),"","请修改二级名称或手工填写TB")</f>
        <v/>
      </c>
      <c r="Q35" s="192" t="str">
        <f>报表格式!R35</f>
        <v>D20</v>
      </c>
      <c r="R35" s="676" t="str">
        <f>IF(OR(MID(TRIM(报表格式!S35),2,1)="：",MID(TRIM(报表格式!S35),2,1)="、"),REPLACEB(TRIM(报表格式!S35),1,4,""),TRIM(报表格式!S35))</f>
        <v>应收股利原值</v>
      </c>
      <c r="S35" s="681" t="s">
        <v>1379</v>
      </c>
    </row>
    <row r="36" spans="1:19" s="661" customFormat="1">
      <c r="A36" s="716"/>
      <c r="B36" s="716"/>
      <c r="C36" s="716"/>
      <c r="D36" s="752" t="s">
        <v>51</v>
      </c>
      <c r="E36" s="735" t="s">
        <v>979</v>
      </c>
      <c r="F36" s="744"/>
      <c r="G36" s="745"/>
      <c r="H36" s="742"/>
      <c r="I36" s="738">
        <v>3753742.3499999996</v>
      </c>
      <c r="J36" s="738"/>
      <c r="K36" s="738"/>
      <c r="L36" s="738"/>
      <c r="M36" s="743"/>
      <c r="N36" s="683" t="str">
        <f t="array" ref="N36">IF(OR(E36="",_xlfn.IFNA(MATCH("试算平衡表项目"&amp;E36,$S$6:$S$362&amp;$R$6:$R$362,0),0)&gt;0),"","请修改试算平衡表项目或手工填写TB")</f>
        <v/>
      </c>
      <c r="O36" s="683" t="str">
        <f t="array" ref="O36">IF(OR(F36="",_xlfn.IFNA(MATCH("二级"&amp;F36,$S$6:$S$362&amp;$R$6:$R$362,0),0)&gt;0),"","请修改二级名称或手工填写TB")</f>
        <v/>
      </c>
      <c r="Q36" s="192" t="str">
        <f>报表格式!R36</f>
        <v>D21</v>
      </c>
      <c r="R36" s="676" t="str">
        <f>IF(OR(MID(TRIM(报表格式!S36),2,1)="：",MID(TRIM(报表格式!S36),2,1)="、"),REPLACEB(TRIM(报表格式!S36),1,4,""),TRIM(报表格式!S36))</f>
        <v>应收股利坏账准备</v>
      </c>
      <c r="S36" s="681" t="s">
        <v>1379</v>
      </c>
    </row>
    <row r="37" spans="1:19">
      <c r="A37" s="716"/>
      <c r="B37" s="716"/>
      <c r="C37" s="716"/>
      <c r="D37" s="752" t="s">
        <v>51</v>
      </c>
      <c r="E37" s="735" t="s">
        <v>979</v>
      </c>
      <c r="F37" s="744"/>
      <c r="G37" s="745"/>
      <c r="H37" s="742"/>
      <c r="I37" s="738"/>
      <c r="J37" s="738">
        <v>2239373.59</v>
      </c>
      <c r="K37" s="738"/>
      <c r="L37" s="738"/>
      <c r="M37" s="743"/>
      <c r="N37" s="683" t="str">
        <f t="array" ref="N37">IF(OR(E37="",_xlfn.IFNA(MATCH("试算平衡表项目"&amp;E37,$S$6:$S$362&amp;$R$6:$R$362,0),0)&gt;0),"","请修改试算平衡表项目或手工填写TB")</f>
        <v/>
      </c>
      <c r="O37" s="683" t="str">
        <f t="array" ref="O37">IF(OR(F37="",_xlfn.IFNA(MATCH("二级"&amp;F37,$S$6:$S$362&amp;$R$6:$R$362,0),0)&gt;0),"","请修改二级名称或手工填写TB")</f>
        <v/>
      </c>
      <c r="Q37" s="192">
        <f>报表格式!R37</f>
        <v>0</v>
      </c>
      <c r="R37" s="676" t="str">
        <f>IF(OR(MID(TRIM(报表格式!S37),2,1)="：",MID(TRIM(报表格式!S37),2,1)="、"),REPLACEB(TRIM(报表格式!S37),1,4,""),TRIM(报表格式!S37))</f>
        <v>应收股利</v>
      </c>
    </row>
    <row r="38" spans="1:19">
      <c r="A38" s="716"/>
      <c r="B38" s="716"/>
      <c r="C38" s="716"/>
      <c r="D38" s="752" t="s">
        <v>51</v>
      </c>
      <c r="E38" s="735" t="s">
        <v>1450</v>
      </c>
      <c r="F38" s="744"/>
      <c r="G38" s="745"/>
      <c r="H38" s="742"/>
      <c r="I38" s="738"/>
      <c r="J38" s="738">
        <v>261302.75</v>
      </c>
      <c r="K38" s="738"/>
      <c r="L38" s="738"/>
      <c r="M38" s="743"/>
      <c r="N38" s="683" t="str">
        <f t="array" ref="N38">IF(OR(E38="",_xlfn.IFNA(MATCH("试算平衡表项目"&amp;E38,$S$6:$S$362&amp;$R$6:$R$362,0),0)&gt;0),"","请修改试算平衡表项目或手工填写TB")</f>
        <v/>
      </c>
      <c r="O38" s="683" t="str">
        <f t="array" ref="O38">IF(OR(F38="",_xlfn.IFNA(MATCH("二级"&amp;F38,$S$6:$S$362&amp;$R$6:$R$362,0),0)&gt;0),"","请修改二级名称或手工填写TB")</f>
        <v/>
      </c>
      <c r="Q38" s="192" t="str">
        <f>报表格式!R38</f>
        <v>D22</v>
      </c>
      <c r="R38" s="676" t="str">
        <f>IF(OR(MID(TRIM(报表格式!S38),2,1)="：",MID(TRIM(报表格式!S38),2,1)="、"),REPLACEB(TRIM(报表格式!S38),1,4,""),TRIM(报表格式!S38))</f>
        <v>其他应收款原值</v>
      </c>
      <c r="S38" s="681" t="s">
        <v>1379</v>
      </c>
    </row>
    <row r="39" spans="1:19">
      <c r="A39" s="716"/>
      <c r="B39" s="716"/>
      <c r="C39" s="716"/>
      <c r="D39" s="752" t="s">
        <v>51</v>
      </c>
      <c r="E39" s="735" t="s">
        <v>1451</v>
      </c>
      <c r="F39" s="744"/>
      <c r="G39" s="745"/>
      <c r="H39" s="742"/>
      <c r="I39" s="738"/>
      <c r="J39" s="738">
        <v>395518.86</v>
      </c>
      <c r="K39" s="738"/>
      <c r="L39" s="738"/>
      <c r="M39" s="743"/>
      <c r="N39" s="683" t="str">
        <f t="array" ref="N39">IF(OR(E39="",_xlfn.IFNA(MATCH("试算平衡表项目"&amp;E39,$S$6:$S$362&amp;$R$6:$R$362,0),0)&gt;0),"","请修改试算平衡表项目或手工填写TB")</f>
        <v/>
      </c>
      <c r="O39" s="683" t="str">
        <f t="array" ref="O39">IF(OR(F39="",_xlfn.IFNA(MATCH("二级"&amp;F39,$S$6:$S$362&amp;$R$6:$R$362,0),0)&gt;0),"","请修改二级名称或手工填写TB")</f>
        <v/>
      </c>
      <c r="Q39" s="192" t="str">
        <f>报表格式!R39</f>
        <v>D23</v>
      </c>
      <c r="R39" s="676" t="str">
        <f>IF(OR(MID(TRIM(报表格式!S39),2,1)="：",MID(TRIM(报表格式!S39),2,1)="、"),REPLACEB(TRIM(报表格式!S39),1,4,""),TRIM(报表格式!S39))</f>
        <v>其他应收款坏账准备</v>
      </c>
      <c r="S39" s="681" t="s">
        <v>1379</v>
      </c>
    </row>
    <row r="40" spans="1:19">
      <c r="A40" s="716"/>
      <c r="B40" s="716"/>
      <c r="C40" s="716"/>
      <c r="D40" s="752" t="s">
        <v>51</v>
      </c>
      <c r="E40" s="735" t="s">
        <v>1452</v>
      </c>
      <c r="F40" s="744"/>
      <c r="G40" s="745"/>
      <c r="H40" s="742"/>
      <c r="I40" s="738"/>
      <c r="J40" s="738">
        <v>857547.15</v>
      </c>
      <c r="K40" s="738"/>
      <c r="L40" s="738"/>
      <c r="M40" s="743"/>
      <c r="N40" s="683" t="str">
        <f t="array" ref="N40">IF(OR(E40="",_xlfn.IFNA(MATCH("试算平衡表项目"&amp;E40,$S$6:$S$362&amp;$R$6:$R$362,0),0)&gt;0),"","请修改试算平衡表项目或手工填写TB")</f>
        <v/>
      </c>
      <c r="O40" s="683" t="str">
        <f t="array" ref="O40">IF(OR(F40="",_xlfn.IFNA(MATCH("二级"&amp;F40,$S$6:$S$362&amp;$R$6:$R$362,0),0)&gt;0),"","请修改二级名称或手工填写TB")</f>
        <v/>
      </c>
      <c r="Q40" s="192">
        <f>报表格式!R40</f>
        <v>0</v>
      </c>
      <c r="R40" s="676" t="str">
        <f>IF(OR(MID(TRIM(报表格式!S40),2,1)="：",MID(TRIM(报表格式!S40),2,1)="、"),REPLACEB(TRIM(报表格式!S40),1,4,""),TRIM(报表格式!S40))</f>
        <v>其他应收款</v>
      </c>
    </row>
    <row r="41" spans="1:19" s="661" customFormat="1">
      <c r="A41" s="716"/>
      <c r="B41" s="716"/>
      <c r="C41" s="716"/>
      <c r="D41" s="752" t="s">
        <v>51</v>
      </c>
      <c r="E41" s="735" t="s">
        <v>979</v>
      </c>
      <c r="F41" s="744"/>
      <c r="G41" s="745"/>
      <c r="H41" s="742"/>
      <c r="I41" s="738"/>
      <c r="J41" s="738">
        <v>4355.05</v>
      </c>
      <c r="K41" s="738"/>
      <c r="L41" s="738"/>
      <c r="M41" s="743"/>
      <c r="N41" s="683" t="str">
        <f t="array" ref="N41">IF(OR(E41="",_xlfn.IFNA(MATCH("试算平衡表项目"&amp;E41,$S$6:$S$362&amp;$R$6:$R$362,0),0)&gt;0),"","请修改试算平衡表项目或手工填写TB")</f>
        <v/>
      </c>
      <c r="O41" s="683" t="str">
        <f t="array" ref="O41">IF(OR(F41="",_xlfn.IFNA(MATCH("二级"&amp;F41,$S$6:$S$362&amp;$R$6:$R$362,0),0)&gt;0),"","请修改二级名称或手工填写TB")</f>
        <v/>
      </c>
      <c r="Q41" s="192" t="str">
        <f>报表格式!R41</f>
        <v>D24</v>
      </c>
      <c r="R41" s="676" t="str">
        <f>IF(OR(MID(TRIM(报表格式!S41),2,1)="：",MID(TRIM(报表格式!S41),2,1)="、"),REPLACEB(TRIM(报表格式!S41),1,4,""), IF(RIGHT(TRIM(报表格式!S41),1)="*",LEFT(TRIM(报表格式!S41),LEN(TRIM(报表格式!S41))-1),TRIM(报表格式!S41)))</f>
        <v>买入返售金融资产原值</v>
      </c>
      <c r="S41" s="681" t="s">
        <v>1379</v>
      </c>
    </row>
    <row r="42" spans="1:19">
      <c r="A42" s="716"/>
      <c r="B42" s="716"/>
      <c r="C42" s="716"/>
      <c r="D42" s="752" t="s">
        <v>51</v>
      </c>
      <c r="E42" s="735" t="s">
        <v>979</v>
      </c>
      <c r="F42" s="744"/>
      <c r="G42" s="745"/>
      <c r="H42" s="742"/>
      <c r="I42" s="738"/>
      <c r="J42" s="738">
        <v>6591.98</v>
      </c>
      <c r="K42" s="738"/>
      <c r="L42" s="738"/>
      <c r="M42" s="743"/>
      <c r="N42" s="683" t="str">
        <f t="array" ref="N42">IF(OR(E42="",_xlfn.IFNA(MATCH("试算平衡表项目"&amp;E42,$S$6:$S$362&amp;$R$6:$R$362,0),0)&gt;0),"","请修改试算平衡表项目或手工填写TB")</f>
        <v/>
      </c>
      <c r="O42" s="683" t="str">
        <f t="array" ref="O42">IF(OR(F42="",_xlfn.IFNA(MATCH("二级"&amp;F42,$S$6:$S$362&amp;$R$6:$R$362,0),0)&gt;0),"","请修改二级名称或手工填写TB")</f>
        <v/>
      </c>
      <c r="Q42" s="192" t="str">
        <f>报表格式!R42</f>
        <v>D25</v>
      </c>
      <c r="R42" s="676" t="str">
        <f>IF(OR(MID(TRIM(报表格式!S42),2,1)="：",MID(TRIM(报表格式!S42),2,1)="、"),REPLACEB(TRIM(报表格式!S42),1,4,""), IF(RIGHT(TRIM(报表格式!S42),1)="*",LEFT(TRIM(报表格式!S42),LEN(TRIM(报表格式!S42))-1),TRIM(报表格式!S42)))</f>
        <v>买入返售金融资产减值准备</v>
      </c>
      <c r="S42" s="681" t="s">
        <v>1379</v>
      </c>
    </row>
    <row r="43" spans="1:19">
      <c r="A43" s="716"/>
      <c r="B43" s="716"/>
      <c r="C43" s="716"/>
      <c r="D43" s="752" t="s">
        <v>51</v>
      </c>
      <c r="E43" s="735" t="s">
        <v>979</v>
      </c>
      <c r="F43" s="744"/>
      <c r="G43" s="745"/>
      <c r="H43" s="742"/>
      <c r="I43" s="738"/>
      <c r="J43" s="738">
        <v>14292.45</v>
      </c>
      <c r="K43" s="738"/>
      <c r="L43" s="738"/>
      <c r="M43" s="743"/>
      <c r="N43" s="683" t="str">
        <f t="array" ref="N43">IF(OR(E43="",_xlfn.IFNA(MATCH("试算平衡表项目"&amp;E43,$S$6:$S$362&amp;$R$6:$R$362,0),0)&gt;0),"","请修改试算平衡表项目或手工填写TB")</f>
        <v/>
      </c>
      <c r="O43" s="683" t="str">
        <f t="array" ref="O43">IF(OR(F43="",_xlfn.IFNA(MATCH("二级"&amp;F43,$S$6:$S$362&amp;$R$6:$R$362,0),0)&gt;0),"","请修改二级名称或手工填写TB")</f>
        <v/>
      </c>
      <c r="Q43" s="192">
        <f>报表格式!R43</f>
        <v>0</v>
      </c>
      <c r="R43" s="676" t="str">
        <f>IF(OR(MID(TRIM(报表格式!S43),2,1)="：",MID(TRIM(报表格式!S43),2,1)="、"),REPLACEB(TRIM(报表格式!S43),1,4,""), IF(RIGHT(TRIM(报表格式!S43),1)="*",LEFT(TRIM(报表格式!S43),LEN(TRIM(报表格式!S43))-1),TRIM(报表格式!S43)))</f>
        <v>买入返售金融资产</v>
      </c>
    </row>
    <row r="44" spans="1:19">
      <c r="A44" s="716"/>
      <c r="B44" s="716"/>
      <c r="C44" s="716"/>
      <c r="D44" s="752" t="s">
        <v>51</v>
      </c>
      <c r="E44" s="735" t="s">
        <v>1453</v>
      </c>
      <c r="F44" s="744"/>
      <c r="G44" s="745"/>
      <c r="H44" s="742"/>
      <c r="I44" s="738">
        <v>25239.48</v>
      </c>
      <c r="J44" s="738"/>
      <c r="K44" s="738"/>
      <c r="L44" s="738"/>
      <c r="M44" s="743"/>
      <c r="N44" s="683" t="str">
        <f t="array" ref="N44">IF(OR(E44="",_xlfn.IFNA(MATCH("试算平衡表项目"&amp;E44,$S$6:$S$362&amp;$R$6:$R$362,0),0)&gt;0),"","请修改试算平衡表项目或手工填写TB")</f>
        <v/>
      </c>
      <c r="O44" s="683" t="str">
        <f t="array" ref="O44">IF(OR(F44="",_xlfn.IFNA(MATCH("二级"&amp;F44,$S$6:$S$362&amp;$R$6:$R$362,0),0)&gt;0),"","请修改二级名称或手工填写TB")</f>
        <v/>
      </c>
      <c r="Q44" s="192" t="str">
        <f>报表格式!R44</f>
        <v>D26</v>
      </c>
      <c r="R44" s="676" t="str">
        <f>IF(OR(MID(TRIM(报表格式!S44),2,1)="：",MID(TRIM(报表格式!S44),2,1)="、"),REPLACEB(TRIM(报表格式!S44),1,4,""),TRIM(报表格式!S44))</f>
        <v>存货原值</v>
      </c>
      <c r="S44" s="681" t="s">
        <v>1379</v>
      </c>
    </row>
    <row r="45" spans="1:19">
      <c r="A45" s="716"/>
      <c r="B45" s="716"/>
      <c r="C45" s="716"/>
      <c r="D45" s="752" t="s">
        <v>51</v>
      </c>
      <c r="E45" s="735" t="s">
        <v>1454</v>
      </c>
      <c r="F45" s="744"/>
      <c r="G45" s="745"/>
      <c r="H45" s="742"/>
      <c r="I45" s="738">
        <v>2271229.16</v>
      </c>
      <c r="J45" s="738"/>
      <c r="K45" s="738"/>
      <c r="L45" s="738"/>
      <c r="M45" s="743"/>
      <c r="N45" s="683" t="str">
        <f t="array" ref="N45">IF(OR(E45="",_xlfn.IFNA(MATCH("试算平衡表项目"&amp;E45,$S$6:$S$362&amp;$R$6:$R$362,0),0)&gt;0),"","请修改试算平衡表项目或手工填写TB")</f>
        <v/>
      </c>
      <c r="O45" s="683" t="str">
        <f t="array" ref="O45">IF(OR(F45="",_xlfn.IFNA(MATCH("二级"&amp;F45,$S$6:$S$362&amp;$R$6:$R$362,0),0)&gt;0),"","请修改二级名称或手工填写TB")</f>
        <v/>
      </c>
      <c r="Q45" s="192" t="str">
        <f>报表格式!R45</f>
        <v>D27</v>
      </c>
      <c r="R45" s="676" t="str">
        <f>IF(OR(MID(TRIM(报表格式!S45),2,1)="：",MID(TRIM(报表格式!S45),2,1)="、"),REPLACEB(TRIM(报表格式!S45),1,4,""),TRIM(报表格式!S45))</f>
        <v>存货跌价准备</v>
      </c>
      <c r="S45" s="681" t="s">
        <v>1379</v>
      </c>
    </row>
    <row r="46" spans="1:19" s="661" customFormat="1">
      <c r="A46" s="716"/>
      <c r="B46" s="716"/>
      <c r="C46" s="716"/>
      <c r="D46" s="752" t="s">
        <v>51</v>
      </c>
      <c r="E46" s="735" t="s">
        <v>1455</v>
      </c>
      <c r="F46" s="744"/>
      <c r="G46" s="745"/>
      <c r="H46" s="742"/>
      <c r="I46" s="738"/>
      <c r="J46" s="738">
        <v>2271229.16</v>
      </c>
      <c r="K46" s="738"/>
      <c r="L46" s="738"/>
      <c r="M46" s="743"/>
      <c r="N46" s="683" t="str">
        <f t="array" ref="N46">IF(OR(E46="",_xlfn.IFNA(MATCH("试算平衡表项目"&amp;E46,$S$6:$S$362&amp;$R$6:$R$362,0),0)&gt;0),"","请修改试算平衡表项目或手工填写TB")</f>
        <v/>
      </c>
      <c r="O46" s="683" t="str">
        <f t="array" ref="O46">IF(OR(F46="",_xlfn.IFNA(MATCH("二级"&amp;F46,$S$6:$S$362&amp;$R$6:$R$362,0),0)&gt;0),"","请修改二级名称或手工填写TB")</f>
        <v/>
      </c>
      <c r="Q46" s="192">
        <f>报表格式!R46</f>
        <v>0</v>
      </c>
      <c r="R46" s="676" t="str">
        <f>IF(OR(MID(TRIM(报表格式!S46),2,1)="：",MID(TRIM(报表格式!S46),2,1)="、"),REPLACEB(TRIM(报表格式!S46),1,4,""),TRIM(报表格式!S46))</f>
        <v>存货</v>
      </c>
      <c r="S46" s="682"/>
    </row>
    <row r="47" spans="1:19">
      <c r="A47" s="716"/>
      <c r="B47" s="716"/>
      <c r="C47" s="716"/>
      <c r="D47" s="752" t="s">
        <v>51</v>
      </c>
      <c r="E47" s="735" t="s">
        <v>1436</v>
      </c>
      <c r="F47" s="744"/>
      <c r="G47" s="745"/>
      <c r="H47" s="742"/>
      <c r="I47" s="738">
        <v>1319400.0799999998</v>
      </c>
      <c r="J47" s="738"/>
      <c r="K47" s="738"/>
      <c r="L47" s="738"/>
      <c r="M47" s="743"/>
      <c r="N47" s="683" t="str">
        <f t="array" ref="N47">IF(OR(E47="",_xlfn.IFNA(MATCH("试算平衡表项目"&amp;E47,$S$6:$S$362&amp;$R$6:$R$362,0),0)&gt;0),"","请修改试算平衡表项目或手工填写TB")</f>
        <v/>
      </c>
      <c r="O47" s="683" t="str">
        <f t="array" ref="O47">IF(OR(F47="",_xlfn.IFNA(MATCH("二级"&amp;F47,$S$6:$S$362&amp;$R$6:$R$362,0),0)&gt;0),"","请修改二级名称或手工填写TB")</f>
        <v/>
      </c>
      <c r="Q47" s="192" t="str">
        <f>报表格式!R47</f>
        <v>D27-1</v>
      </c>
      <c r="R47" s="674" t="str">
        <f>IF(OR(MID(TRIM(报表格式!S47),3,1)="：",MID(TRIM(报表格式!S47),2,1)="、"),REPLACEB(TRIM(报表格式!S47),1,6,""),TRIM(报表格式!S47))</f>
        <v>原材料</v>
      </c>
      <c r="S47" s="681" t="s">
        <v>1380</v>
      </c>
    </row>
    <row r="48" spans="1:19">
      <c r="A48" s="716"/>
      <c r="B48" s="716"/>
      <c r="C48" s="716"/>
      <c r="D48" s="752" t="s">
        <v>51</v>
      </c>
      <c r="E48" s="735" t="s">
        <v>1441</v>
      </c>
      <c r="F48" s="749"/>
      <c r="G48" s="745"/>
      <c r="H48" s="742" t="str">
        <f>IF(G48=0,"",VLOOKUP(G48,$Q:$R,2,0))</f>
        <v/>
      </c>
      <c r="I48" s="738"/>
      <c r="J48" s="738">
        <v>1319400.0799999998</v>
      </c>
      <c r="K48" s="738"/>
      <c r="L48" s="738"/>
      <c r="M48" s="743"/>
      <c r="N48" s="683" t="str">
        <f t="array" ref="N48">IF(OR(E48="",_xlfn.IFNA(MATCH("试算平衡表项目"&amp;E48,$S$6:$S$362&amp;$R$6:$R$362,0),0)&gt;0),"","请修改试算平衡表项目或手工填写TB")</f>
        <v/>
      </c>
      <c r="O48" s="683" t="str">
        <f t="array" ref="O48">IF(OR(F48="",_xlfn.IFNA(MATCH("二级"&amp;F48,$S$6:$S$362&amp;$R$6:$R$362,0),0)&gt;0),"","请修改二级名称或手工填写TB")</f>
        <v/>
      </c>
      <c r="Q48" s="192" t="str">
        <f>报表格式!R48</f>
        <v>D27-2</v>
      </c>
      <c r="R48" s="674" t="str">
        <f>IF(OR(MID(TRIM(报表格式!S48),2,1)="：",MID(TRIM(报表格式!S48),2,1)="、"),REPLACEB(TRIM(报表格式!S48),1,4,""),TRIM(报表格式!S48))</f>
        <v>库存商品（产成品）</v>
      </c>
      <c r="S48" s="681" t="s">
        <v>1380</v>
      </c>
    </row>
    <row r="49" spans="1:19">
      <c r="A49" s="716"/>
      <c r="B49" s="716"/>
      <c r="C49" s="716"/>
      <c r="D49" s="752" t="s">
        <v>51</v>
      </c>
      <c r="E49" s="735" t="s">
        <v>1448</v>
      </c>
      <c r="F49" s="744"/>
      <c r="G49" s="745"/>
      <c r="H49" s="742" t="str">
        <f>IF(G49=0,"",VLOOKUP(G49,$Q:$R,2,0))</f>
        <v/>
      </c>
      <c r="I49" s="738"/>
      <c r="J49" s="738"/>
      <c r="K49" s="738"/>
      <c r="L49" s="738"/>
      <c r="M49" s="743"/>
      <c r="N49" s="683" t="str">
        <f t="array" ref="N49">IF(OR(E49="",_xlfn.IFNA(MATCH("试算平衡表项目"&amp;E49,$S$6:$S$362&amp;$R$6:$R$362,0),0)&gt;0),"","请修改试算平衡表项目或手工填写TB")</f>
        <v/>
      </c>
      <c r="O49" s="683" t="str">
        <f t="array" ref="O49">IF(OR(F49="",_xlfn.IFNA(MATCH("二级"&amp;F49,$S$6:$S$362&amp;$R$6:$R$362,0),0)&gt;0),"","请修改二级名称或手工填写TB")</f>
        <v/>
      </c>
      <c r="Q49" s="192" t="str">
        <f>报表格式!R49</f>
        <v>D28</v>
      </c>
      <c r="R49" s="676" t="str">
        <f>IF(OR(MID(TRIM(报表格式!S49),2,1)="：",MID(TRIM(报表格式!S49),2,1)="、"),REPLACEB(TRIM(报表格式!S49),1,4,""),TRIM(报表格式!S49))</f>
        <v>合同资产原值</v>
      </c>
      <c r="S49" s="681" t="s">
        <v>1379</v>
      </c>
    </row>
    <row r="50" spans="1:19">
      <c r="A50" s="716"/>
      <c r="B50" s="716"/>
      <c r="C50" s="716"/>
      <c r="D50" s="752" t="s">
        <v>51</v>
      </c>
      <c r="E50" s="735" t="s">
        <v>1457</v>
      </c>
      <c r="F50" s="749"/>
      <c r="G50" s="745"/>
      <c r="H50" s="742" t="str">
        <f>IF(G50=0,"",VLOOKUP(G50,$Q:$R,2,0))</f>
        <v/>
      </c>
      <c r="I50" s="738"/>
      <c r="J50" s="738"/>
      <c r="K50" s="738"/>
      <c r="L50" s="738"/>
      <c r="M50" s="743"/>
      <c r="N50" s="683" t="str">
        <f t="array" ref="N50">IF(OR(E50="",_xlfn.IFNA(MATCH("试算平衡表项目"&amp;E50,$S$6:$S$362&amp;$R$6:$R$362,0),0)&gt;0),"","请修改试算平衡表项目或手工填写TB")</f>
        <v/>
      </c>
      <c r="O50" s="683" t="str">
        <f t="array" ref="O50">IF(OR(F50="",_xlfn.IFNA(MATCH("二级"&amp;F50,$S$6:$S$362&amp;$R$6:$R$362,0),0)&gt;0),"","请修改二级名称或手工填写TB")</f>
        <v/>
      </c>
      <c r="Q50" s="192" t="str">
        <f>报表格式!R50</f>
        <v>D29</v>
      </c>
      <c r="R50" s="676" t="str">
        <f>IF(OR(MID(TRIM(报表格式!S50),2,1)="：",MID(TRIM(报表格式!S50),2,1)="、"),REPLACEB(TRIM(报表格式!S50),1,4,""),TRIM(报表格式!S50))</f>
        <v>合同资产减值准备</v>
      </c>
      <c r="S50" s="681" t="s">
        <v>1379</v>
      </c>
    </row>
    <row r="51" spans="1:19" s="661" customFormat="1">
      <c r="A51" s="716"/>
      <c r="B51" s="716"/>
      <c r="C51" s="716"/>
      <c r="D51" s="752" t="s">
        <v>51</v>
      </c>
      <c r="E51" s="754" t="s">
        <v>1456</v>
      </c>
      <c r="F51" s="750"/>
      <c r="G51" s="748"/>
      <c r="H51" s="750"/>
      <c r="I51" s="750">
        <v>281091.07999999996</v>
      </c>
      <c r="J51" s="748"/>
      <c r="K51" s="750"/>
      <c r="L51" s="748"/>
      <c r="M51" s="748"/>
      <c r="N51" s="683" t="str">
        <f t="array" ref="N51">IF(OR(E51="",_xlfn.IFNA(MATCH("试算平衡表项目"&amp;E51,$S$6:$S$362&amp;$R$6:$R$362,0),0)&gt;0),"","请修改试算平衡表项目或手工填写TB")</f>
        <v/>
      </c>
      <c r="O51" s="683" t="str">
        <f t="array" ref="O51">IF(OR(F51="",_xlfn.IFNA(MATCH("二级"&amp;F51,$S$6:$S$362&amp;$R$6:$R$362,0),0)&gt;0),"","请修改二级名称或手工填写TB")</f>
        <v/>
      </c>
      <c r="Q51" s="192">
        <f>报表格式!R51</f>
        <v>0</v>
      </c>
      <c r="R51" s="676" t="str">
        <f>IF(OR(MID(TRIM(报表格式!S51),2,1)="：",MID(TRIM(报表格式!S51),2,1)="、"),REPLACEB(TRIM(报表格式!S51),1,4,""),TRIM(报表格式!S51))</f>
        <v>合同资产</v>
      </c>
      <c r="S51" s="682"/>
    </row>
    <row r="52" spans="1:19">
      <c r="A52" s="716"/>
      <c r="B52" s="716"/>
      <c r="C52" s="716"/>
      <c r="D52" s="752" t="s">
        <v>51</v>
      </c>
      <c r="E52" s="735" t="s">
        <v>1442</v>
      </c>
      <c r="F52" s="744"/>
      <c r="G52" s="745"/>
      <c r="H52" s="742" t="str">
        <f>IF(G52=0,"",VLOOKUP(G52,$Q:$R,2,0))</f>
        <v/>
      </c>
      <c r="I52" s="738"/>
      <c r="J52" s="738"/>
      <c r="K52" s="738"/>
      <c r="L52" s="738"/>
      <c r="M52" s="743"/>
      <c r="N52" s="683" t="str">
        <f t="array" ref="N52">IF(OR(E52="",_xlfn.IFNA(MATCH("试算平衡表项目"&amp;E52,$S$6:$S$362&amp;$R$6:$R$362,0),0)&gt;0),"","请修改试算平衡表项目或手工填写TB")</f>
        <v/>
      </c>
      <c r="O52" s="683" t="str">
        <f t="array" ref="O52">IF(OR(F52="",_xlfn.IFNA(MATCH("二级"&amp;F52,$S$6:$S$362&amp;$R$6:$R$362,0),0)&gt;0),"","请修改二级名称或手工填写TB")</f>
        <v/>
      </c>
      <c r="Q52" s="192" t="str">
        <f>报表格式!R52</f>
        <v>D30</v>
      </c>
      <c r="R52" s="676" t="str">
        <f>IF(OR(MID(TRIM(报表格式!S52),2,1)="：",MID(TRIM(报表格式!S52),2,1)="、"),REPLACEB(TRIM(报表格式!S52),1,4,""),TRIM(报表格式!S52))</f>
        <v>持有待售资产原值</v>
      </c>
      <c r="S52" s="681" t="s">
        <v>1379</v>
      </c>
    </row>
    <row r="53" spans="1:19">
      <c r="A53" s="716"/>
      <c r="B53" s="716"/>
      <c r="C53" s="716"/>
      <c r="D53" s="752" t="s">
        <v>51</v>
      </c>
      <c r="E53" s="735" t="s">
        <v>828</v>
      </c>
      <c r="F53" s="749"/>
      <c r="G53" s="745"/>
      <c r="H53" s="742" t="str">
        <f>IF(G53=0,"",VLOOKUP(G53,$Q:$R,2,0))</f>
        <v/>
      </c>
      <c r="I53" s="738"/>
      <c r="J53" s="738">
        <v>207942.73999999993</v>
      </c>
      <c r="K53" s="738"/>
      <c r="L53" s="738"/>
      <c r="M53" s="743"/>
      <c r="N53" s="683" t="str">
        <f t="array" ref="N53">IF(OR(E53="",_xlfn.IFNA(MATCH("试算平衡表项目"&amp;E53,$S$6:$S$362&amp;$R$6:$R$362,0),0)&gt;0),"","请修改试算平衡表项目或手工填写TB")</f>
        <v/>
      </c>
      <c r="O53" s="683" t="str">
        <f t="array" ref="O53">IF(OR(F53="",_xlfn.IFNA(MATCH("二级"&amp;F53,$S$6:$S$362&amp;$R$6:$R$362,0),0)&gt;0),"","请修改二级名称或手工填写TB")</f>
        <v/>
      </c>
      <c r="Q53" s="192" t="str">
        <f>报表格式!R53</f>
        <v>D31</v>
      </c>
      <c r="R53" s="676" t="str">
        <f>IF(OR(MID(TRIM(报表格式!S53),2,1)="：",MID(TRIM(报表格式!S53),2,1)="、"),REPLACEB(TRIM(报表格式!S53),1,4,""),TRIM(报表格式!S53))</f>
        <v>持有待售资产减值准备</v>
      </c>
      <c r="S53" s="681" t="s">
        <v>1379</v>
      </c>
    </row>
    <row r="54" spans="1:19">
      <c r="A54" s="716"/>
      <c r="B54" s="716"/>
      <c r="C54" s="716"/>
      <c r="D54" s="752" t="s">
        <v>51</v>
      </c>
      <c r="E54" s="735" t="s">
        <v>650</v>
      </c>
      <c r="F54" s="749"/>
      <c r="G54" s="745"/>
      <c r="H54" s="742" t="str">
        <f>IF(G54=0,"",VLOOKUP(G54,$Q:$R,2,0))</f>
        <v/>
      </c>
      <c r="I54" s="738"/>
      <c r="J54" s="738">
        <v>73148.34</v>
      </c>
      <c r="K54" s="738"/>
      <c r="L54" s="738"/>
      <c r="M54" s="743"/>
      <c r="N54" s="683" t="str">
        <f t="array" ref="N54">IF(OR(E54="",_xlfn.IFNA(MATCH("试算平衡表项目"&amp;E54,$S$6:$S$362&amp;$R$6:$R$362,0),0)&gt;0),"","请修改试算平衡表项目或手工填写TB")</f>
        <v/>
      </c>
      <c r="O54" s="683" t="str">
        <f t="array" ref="O54">IF(OR(F54="",_xlfn.IFNA(MATCH("二级"&amp;F54,$S$6:$S$362&amp;$R$6:$R$362,0),0)&gt;0),"","请修改二级名称或手工填写TB")</f>
        <v/>
      </c>
      <c r="Q54" s="192">
        <f>报表格式!R54</f>
        <v>0</v>
      </c>
      <c r="R54" s="676" t="str">
        <f>IF(OR(MID(TRIM(报表格式!S54),2,1)="：",MID(TRIM(报表格式!S54),2,1)="、"),REPLACEB(TRIM(报表格式!S54),1,4,""),TRIM(报表格式!S54))</f>
        <v>持有待售资产</v>
      </c>
    </row>
    <row r="55" spans="1:19">
      <c r="A55" s="716"/>
      <c r="B55" s="716"/>
      <c r="C55" s="716"/>
      <c r="D55" s="752" t="s">
        <v>51</v>
      </c>
      <c r="E55" s="735" t="s">
        <v>921</v>
      </c>
      <c r="F55" s="749"/>
      <c r="G55" s="745"/>
      <c r="H55" s="742" t="str">
        <f>IF(G55=0,"",VLOOKUP(G55,$Q:$R,2,0))</f>
        <v/>
      </c>
      <c r="I55" s="738">
        <v>-101489.88000000003</v>
      </c>
      <c r="J55" s="738"/>
      <c r="K55" s="738"/>
      <c r="L55" s="738"/>
      <c r="M55" s="743"/>
      <c r="N55" s="683" t="str">
        <f t="array" ref="N55">IF(OR(E55="",_xlfn.IFNA(MATCH("试算平衡表项目"&amp;E55,$S$6:$S$362&amp;$R$6:$R$362,0),0)&gt;0),"","请修改试算平衡表项目或手工填写TB")</f>
        <v/>
      </c>
      <c r="O55" s="683" t="str">
        <f t="array" ref="O55">IF(OR(F55="",_xlfn.IFNA(MATCH("二级"&amp;F55,$S$6:$S$362&amp;$R$6:$R$362,0),0)&gt;0),"","请修改二级名称或手工填写TB")</f>
        <v/>
      </c>
      <c r="Q55" s="192" t="str">
        <f>报表格式!R55</f>
        <v>D32</v>
      </c>
      <c r="R55" s="676" t="str">
        <f>IF(OR(MID(TRIM(报表格式!S55),2,1)="：",MID(TRIM(报表格式!S55),2,1)="、"),REPLACEB(TRIM(报表格式!S55),1,4,""),TRIM(报表格式!S55))</f>
        <v>一年内到期的非流动资产</v>
      </c>
      <c r="S55" s="681" t="s">
        <v>1379</v>
      </c>
    </row>
    <row r="56" spans="1:19" s="661" customFormat="1">
      <c r="A56" s="716"/>
      <c r="B56" s="716"/>
      <c r="C56" s="716"/>
      <c r="D56" s="752" t="s">
        <v>51</v>
      </c>
      <c r="E56" s="750" t="s">
        <v>1442</v>
      </c>
      <c r="F56" s="750"/>
      <c r="G56" s="748"/>
      <c r="H56" s="750"/>
      <c r="I56" s="750"/>
      <c r="J56" s="748"/>
      <c r="K56" s="750"/>
      <c r="L56" s="748"/>
      <c r="M56" s="748"/>
      <c r="N56" s="683" t="str">
        <f t="array" ref="N56">IF(OR(E56="",_xlfn.IFNA(MATCH("试算平衡表项目"&amp;E56,$S$6:$S$362&amp;$R$6:$R$362,0),0)&gt;0),"","请修改试算平衡表项目或手工填写TB")</f>
        <v/>
      </c>
      <c r="O56" s="683" t="str">
        <f t="array" ref="O56">IF(OR(F56="",_xlfn.IFNA(MATCH("二级"&amp;F56,$S$6:$S$362&amp;$R$6:$R$362,0),0)&gt;0),"","请修改二级名称或手工填写TB")</f>
        <v/>
      </c>
      <c r="Q56" s="192" t="str">
        <f>报表格式!R56</f>
        <v>D33</v>
      </c>
      <c r="R56" s="676" t="str">
        <f>IF(OR(MID(TRIM(报表格式!S56),2,1)="：",MID(TRIM(报表格式!S56),2,1)="、"),REPLACEB(TRIM(报表格式!S56),1,4,""),TRIM(报表格式!S56))</f>
        <v>其他流动资产</v>
      </c>
      <c r="S56" s="681" t="s">
        <v>1379</v>
      </c>
    </row>
    <row r="57" spans="1:19">
      <c r="A57" s="716"/>
      <c r="B57" s="716"/>
      <c r="C57" s="716"/>
      <c r="D57" s="752" t="s">
        <v>51</v>
      </c>
      <c r="E57" s="735" t="s">
        <v>1443</v>
      </c>
      <c r="F57" s="749"/>
      <c r="G57" s="745"/>
      <c r="H57" s="742" t="str">
        <f>IF(G57=0,"",VLOOKUP(G57,$Q:$R,2,0))</f>
        <v/>
      </c>
      <c r="I57" s="738"/>
      <c r="J57" s="738">
        <v>-101489.88000000003</v>
      </c>
      <c r="K57" s="738"/>
      <c r="L57" s="738"/>
      <c r="M57" s="743"/>
      <c r="N57" s="683" t="str">
        <f t="array" ref="N57">IF(OR(E57="",_xlfn.IFNA(MATCH("试算平衡表项目"&amp;E57,$S$6:$S$362&amp;$R$6:$R$362,0),0)&gt;0),"","请修改试算平衡表项目或手工填写TB")</f>
        <v/>
      </c>
      <c r="O57" s="683" t="str">
        <f t="array" ref="O57">IF(OR(F57="",_xlfn.IFNA(MATCH("二级"&amp;F57,$S$6:$S$362&amp;$R$6:$R$362,0),0)&gt;0),"","请修改二级名称或手工填写TB")</f>
        <v/>
      </c>
      <c r="Q57" s="192">
        <f>报表格式!R57</f>
        <v>0</v>
      </c>
      <c r="R57" s="676" t="str">
        <f>IF(OR(MID(TRIM(报表格式!S57),2,1)="：",MID(TRIM(报表格式!S57),2,1)="、"),REPLACEB(TRIM(报表格式!S57),1,4,""),TRIM(报表格式!S57))</f>
        <v>流动资产合计</v>
      </c>
    </row>
    <row r="58" spans="1:19">
      <c r="A58" s="716"/>
      <c r="B58" s="716"/>
      <c r="C58" s="716"/>
      <c r="D58" s="752" t="s">
        <v>51</v>
      </c>
      <c r="E58" s="735" t="s">
        <v>1442</v>
      </c>
      <c r="F58" s="749"/>
      <c r="G58" s="745"/>
      <c r="H58" s="742" t="str">
        <f>IF(G58=0,"",VLOOKUP(G58,$Q:$R,2,0))</f>
        <v/>
      </c>
      <c r="I58" s="738"/>
      <c r="J58" s="738"/>
      <c r="K58" s="738"/>
      <c r="L58" s="738"/>
      <c r="M58" s="743"/>
      <c r="N58" s="683" t="str">
        <f t="array" ref="N58">IF(OR(E58="",_xlfn.IFNA(MATCH("试算平衡表项目"&amp;E58,$S$6:$S$362&amp;$R$6:$R$362,0),0)&gt;0),"","请修改试算平衡表项目或手工填写TB")</f>
        <v/>
      </c>
      <c r="O58" s="683" t="str">
        <f t="array" ref="O58">IF(OR(F58="",_xlfn.IFNA(MATCH("二级"&amp;F58,$S$6:$S$362&amp;$R$6:$R$362,0),0)&gt;0),"","请修改二级名称或手工填写TB")</f>
        <v/>
      </c>
      <c r="Q58" s="192">
        <f>报表格式!R58</f>
        <v>0</v>
      </c>
      <c r="R58" s="676" t="str">
        <f>IF(OR(MID(TRIM(报表格式!S58),2,1)="：",MID(TRIM(报表格式!S58),2,1)="、"),REPLACEB(TRIM(报表格式!S58),1,4,""),TRIM(报表格式!S58))</f>
        <v>非流动资产:</v>
      </c>
    </row>
    <row r="59" spans="1:19">
      <c r="A59" s="716"/>
      <c r="B59" s="716"/>
      <c r="C59" s="716"/>
      <c r="D59" s="752" t="s">
        <v>51</v>
      </c>
      <c r="E59" s="735" t="s">
        <v>1458</v>
      </c>
      <c r="F59" s="749"/>
      <c r="G59" s="745"/>
      <c r="H59" s="742" t="str">
        <f>IF(G59=0,"",VLOOKUP(G59,$Q:$R,2,0))</f>
        <v/>
      </c>
      <c r="I59" s="738"/>
      <c r="J59" s="738"/>
      <c r="K59" s="738"/>
      <c r="L59" s="738"/>
      <c r="M59" s="743"/>
      <c r="N59" s="683" t="str">
        <f t="array" ref="N59">IF(OR(E59="",_xlfn.IFNA(MATCH("试算平衡表项目"&amp;E59,$S$6:$S$362&amp;$R$6:$R$362,0),0)&gt;0),"","请修改试算平衡表项目或手工填写TB")</f>
        <v/>
      </c>
      <c r="O59" s="683" t="str">
        <f t="array" ref="O59">IF(OR(F59="",_xlfn.IFNA(MATCH("二级"&amp;F59,$S$6:$S$362&amp;$R$6:$R$362,0),0)&gt;0),"","请修改二级名称或手工填写TB")</f>
        <v/>
      </c>
      <c r="Q59" s="192" t="str">
        <f>报表格式!R59</f>
        <v>D34</v>
      </c>
      <c r="R59" s="676" t="str">
        <f>IF(OR(MID(TRIM(报表格式!S59),2,1)="：",MID(TRIM(报表格式!S59),2,1)="、"),REPLACEB(TRIM(报表格式!S59),1,4,""), IF(RIGHT(TRIM(报表格式!S59),1)="*",LEFT(TRIM(报表格式!S59),LEN(TRIM(报表格式!S59))-1),TRIM(报表格式!S59)))</f>
        <v>发放贷款和垫款原值</v>
      </c>
      <c r="S59" s="681" t="s">
        <v>1379</v>
      </c>
    </row>
    <row r="60" spans="1:19">
      <c r="A60" s="716"/>
      <c r="B60" s="716"/>
      <c r="C60" s="716"/>
      <c r="D60" s="752" t="s">
        <v>51</v>
      </c>
      <c r="E60" s="735" t="s">
        <v>1459</v>
      </c>
      <c r="F60" s="749"/>
      <c r="G60" s="745"/>
      <c r="H60" s="742" t="str">
        <f>IF(G60=0,"",VLOOKUP(G60,$Q:$R,2,0))</f>
        <v/>
      </c>
      <c r="I60" s="738"/>
      <c r="J60" s="738"/>
      <c r="K60" s="738"/>
      <c r="L60" s="738"/>
      <c r="M60" s="743"/>
      <c r="N60" s="683" t="str">
        <f t="array" ref="N60">IF(OR(E60="",_xlfn.IFNA(MATCH("试算平衡表项目"&amp;E60,$S$6:$S$362&amp;$R$6:$R$362,0),0)&gt;0),"","请修改试算平衡表项目或手工填写TB")</f>
        <v/>
      </c>
      <c r="O60" s="683" t="str">
        <f t="array" ref="O60">IF(OR(F60="",_xlfn.IFNA(MATCH("二级"&amp;F60,$S$6:$S$362&amp;$R$6:$R$362,0),0)&gt;0),"","请修改二级名称或手工填写TB")</f>
        <v/>
      </c>
      <c r="Q60" s="192" t="str">
        <f>报表格式!R60</f>
        <v>D35</v>
      </c>
      <c r="R60" s="676" t="str">
        <f>IF(OR(MID(TRIM(报表格式!S60),2,1)="：",MID(TRIM(报表格式!S60),2,1)="、"),REPLACEB(TRIM(报表格式!S60),1,4,""), IF(RIGHT(TRIM(报表格式!S60),1)="*",LEFT(TRIM(报表格式!S60),LEN(TRIM(报表格式!S60))-1),TRIM(报表格式!S60)))</f>
        <v>发放贷款和垫款减值准备</v>
      </c>
      <c r="S60" s="681" t="s">
        <v>1379</v>
      </c>
    </row>
    <row r="61" spans="1:19" s="661" customFormat="1">
      <c r="A61" s="716"/>
      <c r="B61" s="716"/>
      <c r="C61" s="716"/>
      <c r="D61" s="752" t="s">
        <v>51</v>
      </c>
      <c r="E61" s="750" t="s">
        <v>1442</v>
      </c>
      <c r="F61" s="750"/>
      <c r="G61" s="748"/>
      <c r="H61" s="750"/>
      <c r="I61" s="750"/>
      <c r="J61" s="748"/>
      <c r="K61" s="750"/>
      <c r="L61" s="748"/>
      <c r="M61" s="748"/>
      <c r="N61" s="683" t="str">
        <f t="array" ref="N61">IF(OR(E61="",_xlfn.IFNA(MATCH("试算平衡表项目"&amp;E61,$S$6:$S$362&amp;$R$6:$R$362,0),0)&gt;0),"","请修改试算平衡表项目或手工填写TB")</f>
        <v/>
      </c>
      <c r="O61" s="683" t="str">
        <f t="array" ref="O61">IF(OR(F61="",_xlfn.IFNA(MATCH("二级"&amp;F61,$S$6:$S$362&amp;$R$6:$R$362,0),0)&gt;0),"","请修改二级名称或手工填写TB")</f>
        <v/>
      </c>
      <c r="Q61" s="192">
        <f>报表格式!R61</f>
        <v>0</v>
      </c>
      <c r="R61" s="676" t="str">
        <f>IF(OR(MID(TRIM(报表格式!S61),2,1)="：",MID(TRIM(报表格式!S61),2,1)="、"),REPLACEB(TRIM(报表格式!S61),1,4,""), IF(RIGHT(TRIM(报表格式!S61),1)="*",LEFT(TRIM(报表格式!S61),LEN(TRIM(报表格式!S61))-1),TRIM(报表格式!S61)))</f>
        <v>发放贷款和垫款</v>
      </c>
      <c r="S61" s="682"/>
    </row>
    <row r="62" spans="1:19">
      <c r="A62" s="716"/>
      <c r="B62" s="716"/>
      <c r="C62" s="716"/>
      <c r="D62" s="752" t="s">
        <v>51</v>
      </c>
      <c r="E62" s="735" t="s">
        <v>1442</v>
      </c>
      <c r="F62" s="749"/>
      <c r="G62" s="745"/>
      <c r="H62" s="742" t="str">
        <f>IF(G62=0,"",VLOOKUP(G62,$Q:$R,2,0))</f>
        <v/>
      </c>
      <c r="I62" s="738"/>
      <c r="J62" s="738"/>
      <c r="K62" s="738"/>
      <c r="L62" s="738"/>
      <c r="M62" s="743"/>
      <c r="N62" s="683" t="str">
        <f t="array" ref="N62">IF(OR(E62="",_xlfn.IFNA(MATCH("试算平衡表项目"&amp;E62,$S$6:$S$362&amp;$R$6:$R$362,0),0)&gt;0),"","请修改试算平衡表项目或手工填写TB")</f>
        <v/>
      </c>
      <c r="O62" s="683" t="str">
        <f t="array" ref="O62">IF(OR(F62="",_xlfn.IFNA(MATCH("二级"&amp;F62,$S$6:$S$362&amp;$R$6:$R$362,0),0)&gt;0),"","请修改二级名称或手工填写TB")</f>
        <v/>
      </c>
      <c r="Q62" s="192" t="str">
        <f>报表格式!R62</f>
        <v>D36</v>
      </c>
      <c r="R62" s="676" t="str">
        <f>IF(OR(MID(TRIM(报表格式!S62),2,1)="：",MID(TRIM(报表格式!S62),2,1)="、"),REPLACEB(TRIM(报表格式!S62),1,4,""),TRIM(报表格式!S62))</f>
        <v>债权投资原值</v>
      </c>
      <c r="S62" s="681" t="s">
        <v>1379</v>
      </c>
    </row>
    <row r="63" spans="1:19">
      <c r="A63" s="716"/>
      <c r="B63" s="716"/>
      <c r="C63" s="716"/>
      <c r="D63" s="752" t="s">
        <v>51</v>
      </c>
      <c r="E63" s="735" t="s">
        <v>1438</v>
      </c>
      <c r="F63" s="744"/>
      <c r="G63" s="745"/>
      <c r="H63" s="742" t="str">
        <f>IF(G63=0,"",VLOOKUP(G63,$Q:$R,2,0))</f>
        <v/>
      </c>
      <c r="I63" s="738"/>
      <c r="J63" s="738"/>
      <c r="K63" s="738"/>
      <c r="L63" s="738"/>
      <c r="M63" s="743"/>
      <c r="N63" s="683" t="str">
        <f t="array" ref="N63">IF(OR(E63="",_xlfn.IFNA(MATCH("试算平衡表项目"&amp;E63,$S$6:$S$362&amp;$R$6:$R$362,0),0)&gt;0),"","请修改试算平衡表项目或手工填写TB")</f>
        <v/>
      </c>
      <c r="O63" s="683" t="str">
        <f t="array" ref="O63">IF(OR(F63="",_xlfn.IFNA(MATCH("二级"&amp;F63,$S$6:$S$362&amp;$R$6:$R$362,0),0)&gt;0),"","请修改二级名称或手工填写TB")</f>
        <v/>
      </c>
      <c r="Q63" s="192" t="str">
        <f>报表格式!R63</f>
        <v>D37</v>
      </c>
      <c r="R63" s="676" t="str">
        <f>IF(OR(MID(TRIM(报表格式!S63),2,1)="：",MID(TRIM(报表格式!S63),2,1)="、"),REPLACEB(TRIM(报表格式!S63),1,4,""),TRIM(报表格式!S63))</f>
        <v>债权投资减值准备</v>
      </c>
      <c r="S63" s="681" t="s">
        <v>1379</v>
      </c>
    </row>
    <row r="64" spans="1:19">
      <c r="A64" s="716"/>
      <c r="B64" s="716"/>
      <c r="C64" s="716"/>
      <c r="D64" s="752" t="s">
        <v>51</v>
      </c>
      <c r="E64" s="735" t="s">
        <v>1435</v>
      </c>
      <c r="F64" s="744"/>
      <c r="G64" s="745"/>
      <c r="H64" s="742" t="str">
        <f>IF(G64=0,"",VLOOKUP(G64,$Q:$R,2,0))</f>
        <v/>
      </c>
      <c r="I64" s="738">
        <v>-2255558.0699999998</v>
      </c>
      <c r="J64" s="738"/>
      <c r="K64" s="738"/>
      <c r="L64" s="738"/>
      <c r="M64" s="743"/>
      <c r="N64" s="683" t="str">
        <f t="array" ref="N64">IF(OR(E64="",_xlfn.IFNA(MATCH("试算平衡表项目"&amp;E64,$S$6:$S$362&amp;$R$6:$R$362,0),0)&gt;0),"","请修改试算平衡表项目或手工填写TB")</f>
        <v/>
      </c>
      <c r="O64" s="683" t="str">
        <f t="array" ref="O64">IF(OR(F64="",_xlfn.IFNA(MATCH("二级"&amp;F64,$S$6:$S$362&amp;$R$6:$R$362,0),0)&gt;0),"","请修改二级名称或手工填写TB")</f>
        <v/>
      </c>
      <c r="Q64" s="192">
        <f>报表格式!R64</f>
        <v>0</v>
      </c>
      <c r="R64" s="676" t="str">
        <f>IF(OR(MID(TRIM(报表格式!S64),2,1)="：",MID(TRIM(报表格式!S64),2,1)="、"),REPLACEB(TRIM(报表格式!S64),1,4,""),TRIM(报表格式!S64))</f>
        <v>债权投资</v>
      </c>
    </row>
    <row r="65" spans="1:19">
      <c r="A65" s="716"/>
      <c r="B65" s="716"/>
      <c r="C65" s="716"/>
      <c r="D65" s="752" t="s">
        <v>51</v>
      </c>
      <c r="E65" s="735" t="s">
        <v>1438</v>
      </c>
      <c r="F65" s="744"/>
      <c r="G65" s="745"/>
      <c r="H65" s="742" t="str">
        <f>IF(G65=0,"",VLOOKUP(G65,$Q:$R,2,0))</f>
        <v/>
      </c>
      <c r="I65" s="738"/>
      <c r="J65" s="738">
        <v>-2255558.0699999998</v>
      </c>
      <c r="K65" s="738"/>
      <c r="L65" s="738"/>
      <c r="M65" s="743"/>
      <c r="N65" s="683" t="str">
        <f t="array" ref="N65">IF(OR(E65="",_xlfn.IFNA(MATCH("试算平衡表项目"&amp;E65,$S$6:$S$362&amp;$R$6:$R$362,0),0)&gt;0),"","请修改试算平衡表项目或手工填写TB")</f>
        <v/>
      </c>
      <c r="O65" s="683" t="str">
        <f t="array" ref="O65">IF(OR(F65="",_xlfn.IFNA(MATCH("二级"&amp;F65,$S$6:$S$362&amp;$R$6:$R$362,0),0)&gt;0),"","请修改二级名称或手工填写TB")</f>
        <v/>
      </c>
      <c r="Q65" s="192" t="str">
        <f>报表格式!R65</f>
        <v>D38</v>
      </c>
      <c r="R65" s="676" t="str">
        <f>IF(OR(MID(TRIM(报表格式!S65),2,1)="：",MID(TRIM(报表格式!S65),2,1)="、"),REPLACEB(TRIM(报表格式!S65),1,4,""),TRIM(报表格式!S65))</f>
        <v>其他债权投资原值</v>
      </c>
      <c r="S65" s="681" t="s">
        <v>1379</v>
      </c>
    </row>
    <row r="66" spans="1:19" s="661" customFormat="1">
      <c r="A66" s="716"/>
      <c r="B66" s="716"/>
      <c r="C66" s="716"/>
      <c r="D66" s="752" t="s">
        <v>51</v>
      </c>
      <c r="E66" s="750"/>
      <c r="F66" s="750"/>
      <c r="G66" s="748"/>
      <c r="H66" s="750"/>
      <c r="I66" s="750"/>
      <c r="J66" s="748"/>
      <c r="K66" s="750"/>
      <c r="L66" s="748"/>
      <c r="M66" s="748"/>
      <c r="N66" s="683" t="str">
        <f t="array" ref="N66">IF(OR(E66="",_xlfn.IFNA(MATCH("试算平衡表项目"&amp;E66,$S$6:$S$362&amp;$R$6:$R$362,0),0)&gt;0),"","请修改试算平衡表项目或手工填写TB")</f>
        <v/>
      </c>
      <c r="O66" s="683" t="str">
        <f t="array" ref="O66">IF(OR(F66="",_xlfn.IFNA(MATCH("二级"&amp;F66,$S$6:$S$362&amp;$R$6:$R$362,0),0)&gt;0),"","请修改二级名称或手工填写TB")</f>
        <v/>
      </c>
      <c r="Q66" s="192" t="str">
        <f>报表格式!R66</f>
        <v>D39</v>
      </c>
      <c r="R66" s="676" t="str">
        <f>IF(OR(MID(TRIM(报表格式!S66),2,1)="：",MID(TRIM(报表格式!S66),2,1)="、"),REPLACEB(TRIM(报表格式!S66),1,4,""),TRIM(报表格式!S66))</f>
        <v>其他债权投资减值准备</v>
      </c>
      <c r="S66" s="681" t="s">
        <v>1379</v>
      </c>
    </row>
    <row r="67" spans="1:19">
      <c r="A67" s="716"/>
      <c r="B67" s="716"/>
      <c r="C67" s="716"/>
      <c r="D67" s="752" t="s">
        <v>51</v>
      </c>
      <c r="E67" s="735" t="s">
        <v>1442</v>
      </c>
      <c r="F67" s="744"/>
      <c r="G67" s="745"/>
      <c r="H67" s="742" t="str">
        <f>IF(G67=0,"",VLOOKUP(G67,$Q:$R,2,0))</f>
        <v/>
      </c>
      <c r="I67" s="738"/>
      <c r="J67" s="738"/>
      <c r="K67" s="738"/>
      <c r="L67" s="738"/>
      <c r="M67" s="743"/>
      <c r="N67" s="683" t="str">
        <f t="array" ref="N67">IF(OR(E67="",_xlfn.IFNA(MATCH("试算平衡表项目"&amp;E67,$S$6:$S$362&amp;$R$6:$R$362,0),0)&gt;0),"","请修改试算平衡表项目或手工填写TB")</f>
        <v/>
      </c>
      <c r="O67" s="683" t="str">
        <f t="array" ref="O67">IF(OR(F67="",_xlfn.IFNA(MATCH("二级"&amp;F67,$S$6:$S$362&amp;$R$6:$R$362,0),0)&gt;0),"","请修改二级名称或手工填写TB")</f>
        <v/>
      </c>
      <c r="Q67" s="192">
        <f>报表格式!R67</f>
        <v>0</v>
      </c>
      <c r="R67" s="676" t="str">
        <f>IF(OR(MID(TRIM(报表格式!S67),2,1)="：",MID(TRIM(报表格式!S67),2,1)="、"),REPLACEB(TRIM(报表格式!S67),1,4,""),TRIM(报表格式!S67))</f>
        <v>其他债权投资</v>
      </c>
    </row>
    <row r="68" spans="1:19">
      <c r="A68" s="716"/>
      <c r="B68" s="716"/>
      <c r="C68" s="716"/>
      <c r="D68" s="752" t="s">
        <v>51</v>
      </c>
      <c r="E68" s="738" t="s">
        <v>1443</v>
      </c>
      <c r="F68" s="744"/>
      <c r="G68" s="745"/>
      <c r="H68" s="742" t="str">
        <f>IF(G68=0,"",VLOOKUP(G68,$Q:$R,2,0))</f>
        <v/>
      </c>
      <c r="I68" s="738">
        <v>-1438417.68</v>
      </c>
      <c r="J68" s="738"/>
      <c r="K68" s="738"/>
      <c r="L68" s="738"/>
      <c r="M68" s="743"/>
      <c r="N68" s="683" t="str">
        <f t="array" ref="N68">IF(OR(E68="",_xlfn.IFNA(MATCH("试算平衡表项目"&amp;E68,$S$6:$S$362&amp;$R$6:$R$362,0),0)&gt;0),"","请修改试算平衡表项目或手工填写TB")</f>
        <v/>
      </c>
      <c r="O68" s="683" t="str">
        <f t="array" ref="O68">IF(OR(F68="",_xlfn.IFNA(MATCH("二级"&amp;F68,$S$6:$S$362&amp;$R$6:$R$362,0),0)&gt;0),"","请修改二级名称或手工填写TB")</f>
        <v/>
      </c>
      <c r="Q68" s="192" t="str">
        <f>报表格式!R68</f>
        <v>D40</v>
      </c>
      <c r="R68" s="676" t="str">
        <f>IF(OR(MID(TRIM(报表格式!S68),2,1)="：",MID(TRIM(报表格式!S68),2,1)="、"),REPLACEB(TRIM(报表格式!S68),1,4,""),TRIM(报表格式!S68))</f>
        <v>长期应收款原值</v>
      </c>
      <c r="S68" s="681" t="s">
        <v>1379</v>
      </c>
    </row>
    <row r="69" spans="1:19">
      <c r="A69" s="716"/>
      <c r="B69" s="716"/>
      <c r="C69" s="716"/>
      <c r="D69" s="752" t="s">
        <v>51</v>
      </c>
      <c r="E69" s="735" t="s">
        <v>1440</v>
      </c>
      <c r="F69" s="749" t="s">
        <v>1467</v>
      </c>
      <c r="G69" s="745"/>
      <c r="H69" s="742" t="str">
        <f>IF(G69=0,"",VLOOKUP(G69,$Q:$R,2,0))</f>
        <v/>
      </c>
      <c r="I69" s="738"/>
      <c r="J69" s="738">
        <v>-1438417.68</v>
      </c>
      <c r="K69" s="738"/>
      <c r="L69" s="738"/>
      <c r="M69" s="743"/>
      <c r="N69" s="683" t="str">
        <f t="array" ref="N69">IF(OR(E69="",_xlfn.IFNA(MATCH("试算平衡表项目"&amp;E69,$S$6:$S$362&amp;$R$6:$R$362,0),0)&gt;0),"","请修改试算平衡表项目或手工填写TB")</f>
        <v/>
      </c>
      <c r="O69" s="683" t="str">
        <f t="array" ref="O69">IF(OR(F69="",_xlfn.IFNA(MATCH("二级"&amp;F69,$S$6:$S$362&amp;$R$6:$R$362,0),0)&gt;0),"","请修改二级名称或手工填写TB")</f>
        <v/>
      </c>
      <c r="Q69" s="192" t="str">
        <f>报表格式!R69</f>
        <v>D41</v>
      </c>
      <c r="R69" s="676" t="str">
        <f>IF(OR(MID(TRIM(报表格式!S69),2,1)="：",MID(TRIM(报表格式!S69),2,1)="、"),REPLACEB(TRIM(报表格式!S69),1,4,""),TRIM(报表格式!S69))</f>
        <v>长期应收款坏账准备</v>
      </c>
      <c r="S69" s="681" t="s">
        <v>1379</v>
      </c>
    </row>
    <row r="70" spans="1:19">
      <c r="A70" s="716"/>
      <c r="B70" s="716"/>
      <c r="C70" s="716"/>
      <c r="D70" s="752" t="s">
        <v>51</v>
      </c>
      <c r="E70" s="735" t="s">
        <v>1460</v>
      </c>
      <c r="F70" s="744"/>
      <c r="G70" s="745"/>
      <c r="H70" s="742" t="str">
        <f>IF(G70=0,"",VLOOKUP(G70,$Q:$R,2,0))</f>
        <v/>
      </c>
      <c r="I70" s="738">
        <v>9000000</v>
      </c>
      <c r="J70" s="738"/>
      <c r="K70" s="738"/>
      <c r="L70" s="738"/>
      <c r="M70" s="743"/>
      <c r="N70" s="683" t="str">
        <f t="array" ref="N70">IF(OR(E70="",_xlfn.IFNA(MATCH("试算平衡表项目"&amp;E70,$S$6:$S$362&amp;$R$6:$R$362,0),0)&gt;0),"","请修改试算平衡表项目或手工填写TB")</f>
        <v/>
      </c>
      <c r="O70" s="683" t="str">
        <f t="array" ref="O70">IF(OR(F70="",_xlfn.IFNA(MATCH("二级"&amp;F70,$S$6:$S$362&amp;$R$6:$R$362,0),0)&gt;0),"","请修改二级名称或手工填写TB")</f>
        <v/>
      </c>
      <c r="Q70" s="192">
        <f>报表格式!R70</f>
        <v>0</v>
      </c>
      <c r="R70" s="676" t="str">
        <f>IF(OR(MID(TRIM(报表格式!S70),2,1)="：",MID(TRIM(报表格式!S70),2,1)="、"),REPLACEB(TRIM(报表格式!S70),1,4,""),TRIM(报表格式!S70))</f>
        <v>长期应收款</v>
      </c>
    </row>
    <row r="71" spans="1:19" s="661" customFormat="1">
      <c r="A71" s="716"/>
      <c r="B71" s="716"/>
      <c r="C71" s="716"/>
      <c r="D71" s="752" t="s">
        <v>51</v>
      </c>
      <c r="E71" s="750" t="s">
        <v>1461</v>
      </c>
      <c r="F71" s="750"/>
      <c r="G71" s="748"/>
      <c r="H71" s="750"/>
      <c r="I71" s="750"/>
      <c r="J71" s="748">
        <v>3000000</v>
      </c>
      <c r="K71" s="750"/>
      <c r="L71" s="748"/>
      <c r="M71" s="748"/>
      <c r="N71" s="683" t="str">
        <f t="array" ref="N71">IF(OR(E71="",_xlfn.IFNA(MATCH("试算平衡表项目"&amp;E71,$S$6:$S$362&amp;$R$6:$R$362,0),0)&gt;0),"","请修改试算平衡表项目或手工填写TB")</f>
        <v/>
      </c>
      <c r="O71" s="683" t="str">
        <f t="array" ref="O71">IF(OR(F71="",_xlfn.IFNA(MATCH("二级"&amp;F71,$S$6:$S$362&amp;$R$6:$R$362,0),0)&gt;0),"","请修改二级名称或手工填写TB")</f>
        <v/>
      </c>
      <c r="Q71" s="192" t="str">
        <f>报表格式!R71</f>
        <v>D42</v>
      </c>
      <c r="R71" s="676" t="str">
        <f>IF(OR(MID(TRIM(报表格式!S71),2,1)="：",MID(TRIM(报表格式!S71),2,1)="、"),REPLACEB(TRIM(报表格式!S71),1,4,""),TRIM(报表格式!S71))</f>
        <v>设定受益计划净资产</v>
      </c>
      <c r="S71" s="681" t="s">
        <v>1379</v>
      </c>
    </row>
    <row r="72" spans="1:19">
      <c r="A72" s="716"/>
      <c r="B72" s="716"/>
      <c r="C72" s="716"/>
      <c r="D72" s="752" t="s">
        <v>51</v>
      </c>
      <c r="E72" s="735" t="s">
        <v>1444</v>
      </c>
      <c r="F72" s="744"/>
      <c r="G72" s="745"/>
      <c r="H72" s="742" t="str">
        <f>IF(G72=0,"",VLOOKUP(G72,$Q:$R,2,0))</f>
        <v/>
      </c>
      <c r="I72" s="738"/>
      <c r="J72" s="738">
        <v>6000000</v>
      </c>
      <c r="K72" s="738"/>
      <c r="L72" s="738"/>
      <c r="M72" s="743"/>
      <c r="N72" s="683" t="str">
        <f t="array" ref="N72">IF(OR(E72="",_xlfn.IFNA(MATCH("试算平衡表项目"&amp;E72,$S$6:$S$362&amp;$R$6:$R$362,0),0)&gt;0),"","请修改试算平衡表项目或手工填写TB")</f>
        <v/>
      </c>
      <c r="O72" s="683" t="str">
        <f t="array" ref="O72">IF(OR(F72="",_xlfn.IFNA(MATCH("二级"&amp;F72,$S$6:$S$362&amp;$R$6:$R$362,0),0)&gt;0),"","请修改二级名称或手工填写TB")</f>
        <v/>
      </c>
      <c r="Q72" s="192" t="str">
        <f>报表格式!R72</f>
        <v>D43</v>
      </c>
      <c r="R72" s="676" t="str">
        <f>IF(OR(MID(TRIM(报表格式!S72),2,1)="：",MID(TRIM(报表格式!S72),2,1)="、"),REPLACEB(TRIM(报表格式!S72),1,4,""),TRIM(报表格式!S72))</f>
        <v>长期股权投资原值</v>
      </c>
      <c r="S72" s="681" t="s">
        <v>1379</v>
      </c>
    </row>
    <row r="73" spans="1:19">
      <c r="A73" s="716"/>
      <c r="B73" s="716"/>
      <c r="C73" s="716"/>
      <c r="D73" s="752" t="s">
        <v>51</v>
      </c>
      <c r="E73" s="735" t="s">
        <v>1462</v>
      </c>
      <c r="F73" s="744"/>
      <c r="G73" s="745"/>
      <c r="H73" s="742" t="str">
        <f>IF(G73=0,"",VLOOKUP(G73,$Q:$R,2,0))</f>
        <v/>
      </c>
      <c r="I73" s="738">
        <v>3217735.91</v>
      </c>
      <c r="J73" s="738"/>
      <c r="K73" s="738"/>
      <c r="L73" s="738"/>
      <c r="M73" s="743"/>
      <c r="N73" s="683" t="str">
        <f t="array" ref="N73">IF(OR(E73="",_xlfn.IFNA(MATCH("试算平衡表项目"&amp;E73,$S$6:$S$362&amp;$R$6:$R$362,0),0)&gt;0),"","请修改试算平衡表项目或手工填写TB")</f>
        <v/>
      </c>
      <c r="O73" s="683" t="str">
        <f t="array" ref="O73">IF(OR(F73="",_xlfn.IFNA(MATCH("二级"&amp;F73,$S$6:$S$362&amp;$R$6:$R$362,0),0)&gt;0),"","请修改二级名称或手工填写TB")</f>
        <v/>
      </c>
      <c r="Q73" s="192" t="str">
        <f>报表格式!R73</f>
        <v>D44</v>
      </c>
      <c r="R73" s="676" t="str">
        <f>IF(OR(MID(TRIM(报表格式!S73),2,1)="：",MID(TRIM(报表格式!S73),2,1)="、"),REPLACEB(TRIM(报表格式!S73),1,4,""),TRIM(报表格式!S73))</f>
        <v>长期股权投资减值准备</v>
      </c>
      <c r="S73" s="681" t="s">
        <v>1379</v>
      </c>
    </row>
    <row r="74" spans="1:19">
      <c r="A74" s="716"/>
      <c r="B74" s="716"/>
      <c r="C74" s="716"/>
      <c r="D74" s="752" t="s">
        <v>51</v>
      </c>
      <c r="E74" s="735" t="s">
        <v>1445</v>
      </c>
      <c r="F74" s="749"/>
      <c r="G74" s="745"/>
      <c r="H74" s="742" t="str">
        <f>IF(G74=0,"",VLOOKUP(G74,$Q:$R,2,0))</f>
        <v/>
      </c>
      <c r="I74" s="738"/>
      <c r="J74" s="738">
        <v>3217735.91</v>
      </c>
      <c r="K74" s="738"/>
      <c r="L74" s="738"/>
      <c r="M74" s="743"/>
      <c r="N74" s="683" t="str">
        <f t="array" ref="N74">IF(OR(E74="",_xlfn.IFNA(MATCH("试算平衡表项目"&amp;E74,$S$6:$S$362&amp;$R$6:$R$362,0),0)&gt;0),"","请修改试算平衡表项目或手工填写TB")</f>
        <v/>
      </c>
      <c r="O74" s="683" t="str">
        <f t="array" ref="O74">IF(OR(F74="",_xlfn.IFNA(MATCH("二级"&amp;F74,$S$6:$S$362&amp;$R$6:$R$362,0),0)&gt;0),"","请修改二级名称或手工填写TB")</f>
        <v/>
      </c>
      <c r="Q74" s="192">
        <f>报表格式!R74</f>
        <v>0</v>
      </c>
      <c r="R74" s="676" t="str">
        <f>IF(OR(MID(TRIM(报表格式!S74),2,1)="：",MID(TRIM(报表格式!S74),2,1)="、"),REPLACEB(TRIM(报表格式!S74),1,4,""),TRIM(报表格式!S74))</f>
        <v>长期股权投资</v>
      </c>
    </row>
    <row r="75" spans="1:19">
      <c r="A75" s="716"/>
      <c r="B75" s="716"/>
      <c r="C75" s="716"/>
      <c r="D75" s="752" t="s">
        <v>51</v>
      </c>
      <c r="E75" s="735" t="s">
        <v>1463</v>
      </c>
      <c r="F75" s="744"/>
      <c r="G75" s="745"/>
      <c r="H75" s="742" t="str">
        <f>IF(G75=0,"",VLOOKUP(G75,$Q:$R,2,0))</f>
        <v/>
      </c>
      <c r="I75" s="738">
        <v>1591526.71</v>
      </c>
      <c r="J75" s="738"/>
      <c r="K75" s="738"/>
      <c r="L75" s="738"/>
      <c r="M75" s="743"/>
      <c r="N75" s="683" t="str">
        <f t="array" ref="N75">IF(OR(E75="",_xlfn.IFNA(MATCH("试算平衡表项目"&amp;E75,$S$6:$S$362&amp;$R$6:$R$362,0),0)&gt;0),"","请修改试算平衡表项目或手工填写TB")</f>
        <v/>
      </c>
      <c r="O75" s="683" t="str">
        <f t="array" ref="O75">IF(OR(F75="",_xlfn.IFNA(MATCH("二级"&amp;F75,$S$6:$S$362&amp;$R$6:$R$362,0),0)&gt;0),"","请修改二级名称或手工填写TB")</f>
        <v/>
      </c>
      <c r="Q75" s="192" t="str">
        <f>报表格式!R75</f>
        <v>D45</v>
      </c>
      <c r="R75" s="676" t="str">
        <f>IF(OR(MID(TRIM(报表格式!S75),2,1)="：",MID(TRIM(报表格式!S75),2,1)="、"),REPLACEB(TRIM(报表格式!S75),1,4,""),TRIM(报表格式!S75))</f>
        <v>其他权益工具投资</v>
      </c>
      <c r="S75" s="681" t="s">
        <v>1379</v>
      </c>
    </row>
    <row r="76" spans="1:19" s="661" customFormat="1">
      <c r="A76" s="716"/>
      <c r="B76" s="716"/>
      <c r="C76" s="716"/>
      <c r="D76" s="752" t="s">
        <v>51</v>
      </c>
      <c r="E76" s="750" t="s">
        <v>1439</v>
      </c>
      <c r="F76" s="750"/>
      <c r="G76" s="748"/>
      <c r="H76" s="750"/>
      <c r="I76" s="750"/>
      <c r="J76" s="748">
        <v>1501440.29</v>
      </c>
      <c r="K76" s="750"/>
      <c r="L76" s="748"/>
      <c r="M76" s="748"/>
      <c r="N76" s="683" t="str">
        <f t="array" ref="N76">IF(OR(E76="",_xlfn.IFNA(MATCH("试算平衡表项目"&amp;E76,$S$6:$S$362&amp;$R$6:$R$362,0),0)&gt;0),"","请修改试算平衡表项目或手工填写TB")</f>
        <v/>
      </c>
      <c r="O76" s="683" t="str">
        <f t="array" ref="O76">IF(OR(F76="",_xlfn.IFNA(MATCH("二级"&amp;F76,$S$6:$S$362&amp;$R$6:$R$362,0),0)&gt;0),"","请修改二级名称或手工填写TB")</f>
        <v/>
      </c>
      <c r="Q76" s="192" t="str">
        <f>报表格式!R76</f>
        <v>D46</v>
      </c>
      <c r="R76" s="676" t="str">
        <f>IF(OR(MID(TRIM(报表格式!S76),2,1)="：",MID(TRIM(报表格式!S76),2,1)="、"),REPLACEB(TRIM(报表格式!S76),1,4,""),TRIM(报表格式!S76))</f>
        <v>其他非流动金融资产</v>
      </c>
      <c r="S76" s="681" t="s">
        <v>1379</v>
      </c>
    </row>
    <row r="77" spans="1:19">
      <c r="A77" s="716"/>
      <c r="B77" s="716"/>
      <c r="C77" s="716"/>
      <c r="D77" s="752" t="s">
        <v>51</v>
      </c>
      <c r="E77" s="735" t="s">
        <v>1440</v>
      </c>
      <c r="F77" s="749" t="s">
        <v>1468</v>
      </c>
      <c r="G77" s="745"/>
      <c r="H77" s="742" t="str">
        <f>IF(G77=0,"",VLOOKUP(G77,$Q:$R,2,0))</f>
        <v/>
      </c>
      <c r="I77" s="738"/>
      <c r="J77" s="738">
        <v>90086.42</v>
      </c>
      <c r="K77" s="738"/>
      <c r="L77" s="738"/>
      <c r="M77" s="743"/>
      <c r="N77" s="683" t="str">
        <f t="array" ref="N77">IF(OR(E77="",_xlfn.IFNA(MATCH("试算平衡表项目"&amp;E77,$S$6:$S$362&amp;$R$6:$R$362,0),0)&gt;0),"","请修改试算平衡表项目或手工填写TB")</f>
        <v/>
      </c>
      <c r="O77" s="683" t="str">
        <f t="array" ref="O77">IF(OR(F77="",_xlfn.IFNA(MATCH("二级"&amp;F77,$S$6:$S$362&amp;$R$6:$R$362,0),0)&gt;0),"","请修改二级名称或手工填写TB")</f>
        <v/>
      </c>
      <c r="Q77" s="192" t="str">
        <f>报表格式!R77</f>
        <v>D47</v>
      </c>
      <c r="R77" s="676" t="str">
        <f>IF(OR(MID(TRIM(报表格式!S77),2,1)="：",MID(TRIM(报表格式!S77),2,1)="、"),REPLACEB(TRIM(报表格式!S77),1,4,""),TRIM(报表格式!S77))</f>
        <v>投资性房地产原值</v>
      </c>
      <c r="S77" s="681" t="s">
        <v>1379</v>
      </c>
    </row>
    <row r="78" spans="1:19">
      <c r="A78" s="716"/>
      <c r="B78" s="716"/>
      <c r="C78" s="716"/>
      <c r="D78" s="752" t="s">
        <v>51</v>
      </c>
      <c r="E78" s="735" t="s">
        <v>1464</v>
      </c>
      <c r="F78" s="751" t="s">
        <v>1465</v>
      </c>
      <c r="G78" s="745"/>
      <c r="H78" s="742" t="str">
        <f>IF(G78=0,"",VLOOKUP(G78,$Q:$R,2,0))</f>
        <v/>
      </c>
      <c r="I78" s="738">
        <v>10000</v>
      </c>
      <c r="J78" s="738"/>
      <c r="K78" s="738"/>
      <c r="L78" s="738"/>
      <c r="M78" s="743"/>
      <c r="N78" s="683" t="str">
        <f t="array" ref="N78">IF(OR(E78="",_xlfn.IFNA(MATCH("试算平衡表项目"&amp;E78,$S$6:$S$362&amp;$R$6:$R$362,0),0)&gt;0),"","请修改试算平衡表项目或手工填写TB")</f>
        <v/>
      </c>
      <c r="O78" s="683" t="str">
        <f t="array" ref="O78">IF(OR(F78="",_xlfn.IFNA(MATCH("二级"&amp;F78,$S$6:$S$362&amp;$R$6:$R$362,0),0)&gt;0),"","请修改二级名称或手工填写TB")</f>
        <v/>
      </c>
      <c r="Q78" s="192" t="str">
        <f>报表格式!R78</f>
        <v>D48</v>
      </c>
      <c r="R78" s="676" t="str">
        <f>IF(OR(MID(TRIM(报表格式!S78),2,1)="：",MID(TRIM(报表格式!S78),2,1)="、"),REPLACEB(TRIM(报表格式!S78),1,4,""),TRIM(报表格式!S78))</f>
        <v>投资性房地产累计折旧</v>
      </c>
      <c r="S78" s="681" t="s">
        <v>1379</v>
      </c>
    </row>
    <row r="79" spans="1:19">
      <c r="A79" s="716"/>
      <c r="B79" s="716"/>
      <c r="C79" s="716"/>
      <c r="D79" s="752" t="s">
        <v>51</v>
      </c>
      <c r="E79" s="735" t="s">
        <v>1464</v>
      </c>
      <c r="F79" s="751" t="s">
        <v>1466</v>
      </c>
      <c r="G79" s="745"/>
      <c r="H79" s="742" t="str">
        <f>IF(G79=0,"",VLOOKUP(G79,$Q:$R,2,0))</f>
        <v/>
      </c>
      <c r="I79" s="738"/>
      <c r="J79" s="738">
        <v>10000</v>
      </c>
      <c r="K79" s="738"/>
      <c r="L79" s="738"/>
      <c r="M79" s="743"/>
      <c r="N79" s="683" t="str">
        <f t="array" ref="N79">IF(OR(E79="",_xlfn.IFNA(MATCH("试算平衡表项目"&amp;E79,$S$6:$S$362&amp;$R$6:$R$362,0),0)&gt;0),"","请修改试算平衡表项目或手工填写TB")</f>
        <v/>
      </c>
      <c r="O79" s="683" t="str">
        <f t="array" ref="O79">IF(OR(F79="",_xlfn.IFNA(MATCH("二级"&amp;F79,$S$6:$S$362&amp;$R$6:$R$362,0),0)&gt;0),"","请修改二级名称或手工填写TB")</f>
        <v/>
      </c>
      <c r="Q79" s="192">
        <f>报表格式!R79</f>
        <v>0</v>
      </c>
      <c r="R79" s="676" t="str">
        <f>IF(OR(MID(TRIM(报表格式!S79),2,1)="：",MID(TRIM(报表格式!S79),2,1)="、"),REPLACEB(TRIM(报表格式!S79),1,4,""),TRIM(报表格式!S79))</f>
        <v>投资性房地产净值</v>
      </c>
    </row>
    <row r="80" spans="1:19">
      <c r="A80" s="716"/>
      <c r="B80" s="716"/>
      <c r="C80" s="716"/>
      <c r="D80" s="752" t="s">
        <v>51</v>
      </c>
      <c r="E80" s="735" t="s">
        <v>1469</v>
      </c>
      <c r="F80" s="749" t="s">
        <v>1470</v>
      </c>
      <c r="G80" s="745"/>
      <c r="H80" s="742" t="str">
        <f>IF(G80=0,"",VLOOKUP(G80,$Q:$R,2,0))</f>
        <v/>
      </c>
      <c r="I80" s="738">
        <v>5000</v>
      </c>
      <c r="J80" s="738"/>
      <c r="K80" s="738"/>
      <c r="L80" s="738"/>
      <c r="M80" s="743"/>
      <c r="N80" s="683" t="str">
        <f t="array" ref="N80">IF(OR(E80="",_xlfn.IFNA(MATCH("试算平衡表项目"&amp;E80,$S$6:$S$362&amp;$R$6:$R$362,0),0)&gt;0),"","请修改试算平衡表项目或手工填写TB")</f>
        <v/>
      </c>
      <c r="O80" s="683" t="str">
        <f t="array" ref="O80">IF(OR(F80="",_xlfn.IFNA(MATCH("二级"&amp;F80,$S$6:$S$362&amp;$R$6:$R$362,0),0)&gt;0),"","请修改二级名称或手工填写TB")</f>
        <v/>
      </c>
      <c r="Q80" s="192" t="str">
        <f>报表格式!R80</f>
        <v>D49</v>
      </c>
      <c r="R80" s="676" t="str">
        <f>IF(OR(MID(TRIM(报表格式!S80),2,1)="：",MID(TRIM(报表格式!S80),2,1)="、"),REPLACEB(TRIM(报表格式!S80),1,4,""),TRIM(报表格式!S80))</f>
        <v>投资性房地产减值准备</v>
      </c>
      <c r="S80" s="681" t="s">
        <v>1379</v>
      </c>
    </row>
    <row r="81" spans="1:19" s="661" customFormat="1">
      <c r="A81" s="716"/>
      <c r="B81" s="716"/>
      <c r="C81" s="716"/>
      <c r="D81" s="752" t="s">
        <v>51</v>
      </c>
      <c r="E81" s="754" t="s">
        <v>1471</v>
      </c>
      <c r="F81" s="754" t="s">
        <v>1472</v>
      </c>
      <c r="G81" s="748"/>
      <c r="H81" s="750"/>
      <c r="I81" s="750"/>
      <c r="J81" s="738">
        <v>5000</v>
      </c>
      <c r="K81" s="750"/>
      <c r="L81" s="748"/>
      <c r="M81" s="748"/>
      <c r="N81" s="683" t="str">
        <f t="array" ref="N81">IF(OR(E81="",_xlfn.IFNA(MATCH("试算平衡表项目"&amp;E81,$S$6:$S$362&amp;$R$6:$R$362,0),0)&gt;0),"","请修改试算平衡表项目或手工填写TB")</f>
        <v/>
      </c>
      <c r="O81" s="683" t="str">
        <f t="array" ref="O81">IF(OR(F81="",_xlfn.IFNA(MATCH("二级"&amp;F81,$S$6:$S$362&amp;$R$6:$R$362,0),0)&gt;0),"","请修改二级名称或手工填写TB")</f>
        <v/>
      </c>
      <c r="Q81" s="192">
        <f>报表格式!R81</f>
        <v>0</v>
      </c>
      <c r="R81" s="676" t="str">
        <f>IF(OR(MID(TRIM(报表格式!S81),2,1)="：",MID(TRIM(报表格式!S81),2,1)="、"),REPLACEB(TRIM(报表格式!S81),1,4,""),TRIM(报表格式!S81))</f>
        <v>投资性房地产</v>
      </c>
      <c r="S81" s="682"/>
    </row>
    <row r="82" spans="1:19">
      <c r="A82" s="716"/>
      <c r="B82" s="716"/>
      <c r="C82" s="716"/>
      <c r="D82" s="752" t="s">
        <v>51</v>
      </c>
      <c r="E82" s="754" t="s">
        <v>1474</v>
      </c>
      <c r="F82" s="749" t="s">
        <v>1475</v>
      </c>
      <c r="G82" s="745"/>
      <c r="H82" s="742" t="str">
        <f>IF(G82=0,"",VLOOKUP(G82,$Q:$R,2,0))</f>
        <v/>
      </c>
      <c r="I82" s="738">
        <v>10000</v>
      </c>
      <c r="J82" s="738"/>
      <c r="K82" s="738">
        <v>10000</v>
      </c>
      <c r="L82" s="738"/>
      <c r="M82" s="743"/>
      <c r="N82" s="683" t="str">
        <f t="array" ref="N82">IF(OR(E82="",_xlfn.IFNA(MATCH("试算平衡表项目"&amp;E82,$S$6:$S$362&amp;$R$6:$R$362,0),0)&gt;0),"","请修改试算平衡表项目或手工填写TB")</f>
        <v/>
      </c>
      <c r="O82" s="683" t="str">
        <f t="array" ref="O82">IF(OR(F82="",_xlfn.IFNA(MATCH("二级"&amp;F82,$S$6:$S$362&amp;$R$6:$R$362,0),0)&gt;0),"","请修改二级名称或手工填写TB")</f>
        <v/>
      </c>
      <c r="Q82" s="192" t="str">
        <f>报表格式!R82</f>
        <v>D50</v>
      </c>
      <c r="R82" s="676" t="str">
        <f>IF(OR(MID(TRIM(报表格式!S82),2,1)="：",MID(TRIM(报表格式!S82),2,1)="、"),REPLACEB(TRIM(报表格式!S82),1,4,""),TRIM(报表格式!S82))</f>
        <v>固定资产原值</v>
      </c>
      <c r="S82" s="681" t="s">
        <v>1379</v>
      </c>
    </row>
    <row r="83" spans="1:19">
      <c r="A83" s="716"/>
      <c r="B83" s="716"/>
      <c r="C83" s="716"/>
      <c r="D83" s="752" t="s">
        <v>51</v>
      </c>
      <c r="E83" s="735" t="s">
        <v>1476</v>
      </c>
      <c r="F83" s="749" t="s">
        <v>1477</v>
      </c>
      <c r="G83" s="745"/>
      <c r="H83" s="742" t="str">
        <f>IF(G83=0,"",VLOOKUP(G83,$Q:$R,2,0))</f>
        <v/>
      </c>
      <c r="I83" s="738"/>
      <c r="J83" s="738">
        <v>10000</v>
      </c>
      <c r="K83" s="738"/>
      <c r="L83" s="738">
        <v>10000</v>
      </c>
      <c r="M83" s="743"/>
      <c r="N83" s="683" t="str">
        <f t="array" ref="N83">IF(OR(E83="",_xlfn.IFNA(MATCH("试算平衡表项目"&amp;E83,$S$6:$S$362&amp;$R$6:$R$362,0),0)&gt;0),"","请修改试算平衡表项目或手工填写TB")</f>
        <v/>
      </c>
      <c r="O83" s="683" t="str">
        <f t="array" ref="O83">IF(OR(F83="",_xlfn.IFNA(MATCH("二级"&amp;F83,$S$6:$S$362&amp;$R$6:$R$362,0),0)&gt;0),"","请修改二级名称或手工填写TB")</f>
        <v/>
      </c>
      <c r="Q83" s="192" t="str">
        <f>报表格式!R83</f>
        <v>D51</v>
      </c>
      <c r="R83" s="676" t="str">
        <f>IF(OR(MID(TRIM(报表格式!S83),2,1)="：",MID(TRIM(报表格式!S83),2,1)="、"),REPLACEB(TRIM(报表格式!S83),1,4,""),TRIM(报表格式!S83))</f>
        <v>固定资产累计折旧</v>
      </c>
      <c r="S83" s="681" t="s">
        <v>1379</v>
      </c>
    </row>
    <row r="84" spans="1:19">
      <c r="A84" s="755"/>
      <c r="B84" s="755"/>
      <c r="C84" s="755"/>
      <c r="D84" s="752" t="s">
        <v>394</v>
      </c>
      <c r="E84" s="749" t="s">
        <v>1478</v>
      </c>
      <c r="F84" s="749"/>
      <c r="G84" s="745"/>
      <c r="H84" s="757"/>
      <c r="I84" s="744">
        <v>1</v>
      </c>
      <c r="J84" s="744"/>
      <c r="K84" s="744"/>
      <c r="L84" s="744"/>
      <c r="M84" s="758"/>
      <c r="N84" s="683" t="str">
        <f t="array" ref="N84">IF(OR(E84="",_xlfn.IFNA(MATCH("试算平衡表项目"&amp;E84,$S$6:$S$362&amp;$R$6:$R$362,0),0)&gt;0),"","请修改试算平衡表项目或手工填写TB")</f>
        <v/>
      </c>
      <c r="O84" s="683" t="str">
        <f t="array" ref="O84">IF(OR(F84="",_xlfn.IFNA(MATCH("二级"&amp;F84,$S$6:$S$362&amp;$R$6:$R$362,0),0)&gt;0),"","请修改二级名称或手工填写TB")</f>
        <v/>
      </c>
      <c r="Q84" s="192">
        <f>报表格式!R84</f>
        <v>0</v>
      </c>
      <c r="R84" s="676" t="str">
        <f>IF(OR(MID(TRIM(报表格式!S84),2,1)="：",MID(TRIM(报表格式!S84),2,1)="、"),REPLACEB(TRIM(报表格式!S84),1,4,""),TRIM(报表格式!S84))</f>
        <v>固定资产净值</v>
      </c>
    </row>
    <row r="85" spans="1:19">
      <c r="A85" s="755"/>
      <c r="B85" s="755"/>
      <c r="C85" s="755"/>
      <c r="D85" s="752" t="s">
        <v>394</v>
      </c>
      <c r="E85" s="749" t="s">
        <v>1478</v>
      </c>
      <c r="F85" s="749"/>
      <c r="G85" s="745"/>
      <c r="H85" s="757"/>
      <c r="I85" s="744"/>
      <c r="J85" s="744">
        <v>1</v>
      </c>
      <c r="K85" s="744"/>
      <c r="L85" s="744"/>
      <c r="M85" s="758"/>
      <c r="N85" s="683" t="str">
        <f t="array" ref="N85">IF(OR(E85="",_xlfn.IFNA(MATCH("试算平衡表项目"&amp;E85,$S$6:$S$362&amp;$R$6:$R$362,0),0)&gt;0),"","请修改试算平衡表项目或手工填写TB")</f>
        <v/>
      </c>
      <c r="O85" s="683" t="str">
        <f t="array" ref="O85">IF(OR(F85="",_xlfn.IFNA(MATCH("二级"&amp;F85,$S$6:$S$362&amp;$R$6:$R$362,0),0)&gt;0),"","请修改二级名称或手工填写TB")</f>
        <v/>
      </c>
      <c r="Q85" s="192" t="str">
        <f>报表格式!R85</f>
        <v>D52</v>
      </c>
      <c r="R85" s="676" t="str">
        <f>IF(OR(MID(TRIM(报表格式!S85),2,1)="：",MID(TRIM(报表格式!S85),2,1)="、"),REPLACEB(TRIM(报表格式!S85),1,4,""),TRIM(报表格式!S85))</f>
        <v>固定资产减值准备</v>
      </c>
      <c r="S85" s="681" t="s">
        <v>1379</v>
      </c>
    </row>
    <row r="86" spans="1:19" s="661" customFormat="1">
      <c r="A86" s="755"/>
      <c r="B86" s="755"/>
      <c r="C86" s="755"/>
      <c r="D86" s="756"/>
      <c r="E86" s="749"/>
      <c r="F86" s="749"/>
      <c r="G86" s="745"/>
      <c r="H86" s="757"/>
      <c r="I86" s="744"/>
      <c r="J86" s="744"/>
      <c r="K86" s="744"/>
      <c r="L86" s="744"/>
      <c r="M86" s="758"/>
      <c r="N86" s="683" t="str">
        <f t="array" ref="N86">IF(OR(E86="",_xlfn.IFNA(MATCH("试算平衡表项目"&amp;E86,$S$6:$S$362&amp;$R$6:$R$362,0),0)&gt;0),"","请修改试算平衡表项目或手工填写TB")</f>
        <v/>
      </c>
      <c r="O86" s="683" t="str">
        <f t="array" ref="O86">IF(OR(F86="",_xlfn.IFNA(MATCH("二级"&amp;F86,$S$6:$S$362&amp;$R$6:$R$362,0),0)&gt;0),"","请修改二级名称或手工填写TB")</f>
        <v/>
      </c>
      <c r="Q86" s="192">
        <f>报表格式!R86</f>
        <v>0</v>
      </c>
      <c r="R86" s="676" t="str">
        <f>IF(OR(MID(TRIM(报表格式!S86),2,1)="：",MID(TRIM(报表格式!S86),2,1)="、"),REPLACEB(TRIM(报表格式!S86),1,4,""),TRIM(报表格式!S86))</f>
        <v>固定资产</v>
      </c>
      <c r="S86" s="682"/>
    </row>
    <row r="87" spans="1:19">
      <c r="A87" s="755"/>
      <c r="B87" s="755"/>
      <c r="C87" s="755"/>
      <c r="D87" s="756" t="s">
        <v>51</v>
      </c>
      <c r="E87" s="749" t="s">
        <v>1485</v>
      </c>
      <c r="F87" s="749"/>
      <c r="G87" s="745"/>
      <c r="H87" s="757"/>
      <c r="I87" s="744">
        <v>4</v>
      </c>
      <c r="J87" s="744"/>
      <c r="K87" s="744"/>
      <c r="L87" s="744"/>
      <c r="M87" s="758"/>
      <c r="N87" s="683" t="str">
        <f t="array" ref="N87">IF(OR(E87="",_xlfn.IFNA(MATCH("试算平衡表项目"&amp;E87,$S$6:$S$362&amp;$R$6:$R$362,0),0)&gt;0),"","请修改试算平衡表项目或手工填写TB")</f>
        <v/>
      </c>
      <c r="O87" s="683" t="str">
        <f t="array" ref="O87">IF(OR(F87="",_xlfn.IFNA(MATCH("二级"&amp;F87,$S$6:$S$362&amp;$R$6:$R$362,0),0)&gt;0),"","请修改二级名称或手工填写TB")</f>
        <v/>
      </c>
      <c r="Q87" s="192" t="str">
        <f>报表格式!R87</f>
        <v>D53</v>
      </c>
      <c r="R87" s="676" t="str">
        <f>IF(OR(MID(TRIM(报表格式!S87),2,1)="：",MID(TRIM(报表格式!S87),2,1)="、"),REPLACEB(TRIM(报表格式!S87),1,4,""),TRIM(报表格式!S87))</f>
        <v>固定资产清理</v>
      </c>
      <c r="S87" s="681" t="s">
        <v>1379</v>
      </c>
    </row>
    <row r="88" spans="1:19">
      <c r="A88" s="755"/>
      <c r="B88" s="755"/>
      <c r="C88" s="755"/>
      <c r="D88" s="756" t="s">
        <v>51</v>
      </c>
      <c r="E88" s="749" t="s">
        <v>1485</v>
      </c>
      <c r="F88" s="749"/>
      <c r="G88" s="745"/>
      <c r="H88" s="757"/>
      <c r="I88" s="744"/>
      <c r="J88" s="744">
        <v>4</v>
      </c>
      <c r="K88" s="744"/>
      <c r="L88" s="744"/>
      <c r="M88" s="758"/>
      <c r="N88" s="683" t="str">
        <f t="array" ref="N88">IF(OR(E88="",_xlfn.IFNA(MATCH("试算平衡表项目"&amp;E88,$S$6:$S$362&amp;$R$6:$R$362,0),0)&gt;0),"","请修改试算平衡表项目或手工填写TB")</f>
        <v/>
      </c>
      <c r="O88" s="683" t="str">
        <f t="array" ref="O88">IF(OR(F88="",_xlfn.IFNA(MATCH("二级"&amp;F88,$S$6:$S$362&amp;$R$6:$R$362,0),0)&gt;0),"","请修改二级名称或手工填写TB")</f>
        <v/>
      </c>
      <c r="Q88" s="192" t="str">
        <f>报表格式!R88</f>
        <v>D54</v>
      </c>
      <c r="R88" s="676" t="str">
        <f>IF(OR(MID(TRIM(报表格式!S88),2,1)="：",MID(TRIM(报表格式!S88),2,1)="、"),REPLACEB(TRIM(报表格式!S88),1,4,""),TRIM(报表格式!S88))</f>
        <v>在建工程原值</v>
      </c>
      <c r="S88" s="681" t="s">
        <v>1379</v>
      </c>
    </row>
    <row r="89" spans="1:19">
      <c r="A89" s="755"/>
      <c r="B89" s="755"/>
      <c r="C89" s="755"/>
      <c r="D89" s="756" t="s">
        <v>394</v>
      </c>
      <c r="E89" s="749" t="s">
        <v>1485</v>
      </c>
      <c r="F89" s="749"/>
      <c r="G89" s="745"/>
      <c r="H89" s="757"/>
      <c r="I89" s="744">
        <v>5</v>
      </c>
      <c r="J89" s="744"/>
      <c r="K89" s="744"/>
      <c r="L89" s="744"/>
      <c r="M89" s="758"/>
      <c r="N89" s="683" t="str">
        <f t="array" ref="N89">IF(OR(E89="",_xlfn.IFNA(MATCH("试算平衡表项目"&amp;E89,$S$6:$S$362&amp;$R$6:$R$362,0),0)&gt;0),"","请修改试算平衡表项目或手工填写TB")</f>
        <v/>
      </c>
      <c r="O89" s="683" t="str">
        <f t="array" ref="O89">IF(OR(F89="",_xlfn.IFNA(MATCH("二级"&amp;F89,$S$6:$S$362&amp;$R$6:$R$362,0),0)&gt;0),"","请修改二级名称或手工填写TB")</f>
        <v/>
      </c>
      <c r="Q89" s="192" t="str">
        <f>报表格式!R89</f>
        <v>D55</v>
      </c>
      <c r="R89" s="676" t="str">
        <f>IF(OR(MID(TRIM(报表格式!S89),2,1)="：",MID(TRIM(报表格式!S89),2,1)="、"),REPLACEB(TRIM(报表格式!S89),1,4,""),TRIM(报表格式!S89))</f>
        <v>在建工程减值准备</v>
      </c>
      <c r="S89" s="681" t="s">
        <v>1379</v>
      </c>
    </row>
    <row r="90" spans="1:19">
      <c r="A90" s="755"/>
      <c r="B90" s="755"/>
      <c r="C90" s="755"/>
      <c r="D90" s="756" t="s">
        <v>394</v>
      </c>
      <c r="E90" s="749" t="s">
        <v>1485</v>
      </c>
      <c r="F90" s="749"/>
      <c r="G90" s="745"/>
      <c r="H90" s="757"/>
      <c r="I90" s="744"/>
      <c r="J90" s="744">
        <v>5</v>
      </c>
      <c r="K90" s="744"/>
      <c r="L90" s="744"/>
      <c r="M90" s="758"/>
      <c r="N90" s="683" t="str">
        <f t="array" ref="N90">IF(OR(E90="",_xlfn.IFNA(MATCH("试算平衡表项目"&amp;E90,$S$6:$S$362&amp;$R$6:$R$362,0),0)&gt;0),"","请修改试算平衡表项目或手工填写TB")</f>
        <v/>
      </c>
      <c r="O90" s="683" t="str">
        <f t="array" ref="O90">IF(OR(F90="",_xlfn.IFNA(MATCH("二级"&amp;F90,$S$6:$S$362&amp;$R$6:$R$362,0),0)&gt;0),"","请修改二级名称或手工填写TB")</f>
        <v/>
      </c>
      <c r="Q90" s="192">
        <f>报表格式!R90</f>
        <v>0</v>
      </c>
      <c r="R90" s="676" t="str">
        <f>IF(OR(MID(TRIM(报表格式!S90),2,1)="：",MID(TRIM(报表格式!S90),2,1)="、"),REPLACEB(TRIM(报表格式!S90),1,4,""),TRIM(报表格式!S90))</f>
        <v>在建工程</v>
      </c>
    </row>
    <row r="91" spans="1:19">
      <c r="A91" s="755"/>
      <c r="B91" s="755"/>
      <c r="C91" s="755"/>
      <c r="D91" s="756" t="s">
        <v>48</v>
      </c>
      <c r="E91" s="749" t="s">
        <v>1485</v>
      </c>
      <c r="F91" s="749"/>
      <c r="G91" s="745"/>
      <c r="H91" s="757"/>
      <c r="I91" s="744">
        <v>6</v>
      </c>
      <c r="J91" s="744"/>
      <c r="K91" s="744"/>
      <c r="L91" s="744"/>
      <c r="M91" s="758"/>
      <c r="N91" s="683" t="str">
        <f t="array" ref="N91">IF(OR(E91="",_xlfn.IFNA(MATCH("试算平衡表项目"&amp;E91,$S$6:$S$362&amp;$R$6:$R$362,0),0)&gt;0),"","请修改试算平衡表项目或手工填写TB")</f>
        <v/>
      </c>
      <c r="O91" s="683" t="str">
        <f t="array" ref="O91">IF(OR(F91="",_xlfn.IFNA(MATCH("二级"&amp;F91,$S$6:$S$362&amp;$R$6:$R$362,0),0)&gt;0),"","请修改二级名称或手工填写TB")</f>
        <v/>
      </c>
      <c r="Q91" s="192" t="str">
        <f>报表格式!R91</f>
        <v>D56</v>
      </c>
      <c r="R91" s="676" t="str">
        <f>IF(OR(MID(TRIM(报表格式!S91),2,1)="：",MID(TRIM(报表格式!S91),2,1)="、"),REPLACEB(TRIM(报表格式!S91),1,4,""),TRIM(报表格式!S91))</f>
        <v>工程物资原值</v>
      </c>
      <c r="S91" s="681" t="s">
        <v>1379</v>
      </c>
    </row>
    <row r="92" spans="1:19">
      <c r="A92" s="755"/>
      <c r="B92" s="755"/>
      <c r="C92" s="755"/>
      <c r="D92" s="756" t="s">
        <v>48</v>
      </c>
      <c r="E92" s="749" t="s">
        <v>1485</v>
      </c>
      <c r="F92" s="749"/>
      <c r="G92" s="745"/>
      <c r="H92" s="757"/>
      <c r="I92" s="744"/>
      <c r="J92" s="744">
        <v>6</v>
      </c>
      <c r="K92" s="744"/>
      <c r="L92" s="744"/>
      <c r="M92" s="758"/>
      <c r="N92" s="683" t="str">
        <f t="array" ref="N92">IF(OR(E92="",_xlfn.IFNA(MATCH("试算平衡表项目"&amp;E92,$S$6:$S$362&amp;$R$6:$R$362,0),0)&gt;0),"","请修改试算平衡表项目或手工填写TB")</f>
        <v/>
      </c>
      <c r="O92" s="683" t="str">
        <f t="array" ref="O92">IF(OR(F92="",_xlfn.IFNA(MATCH("二级"&amp;F92,$S$6:$S$362&amp;$R$6:$R$362,0),0)&gt;0),"","请修改二级名称或手工填写TB")</f>
        <v/>
      </c>
      <c r="Q92" s="192" t="str">
        <f>报表格式!R92</f>
        <v>D57</v>
      </c>
      <c r="R92" s="676" t="str">
        <f>IF(OR(MID(TRIM(报表格式!S92),2,1)="：",MID(TRIM(报表格式!S92),2,1)="、"),REPLACEB(TRIM(报表格式!S92),1,4,""),TRIM(报表格式!S92))</f>
        <v>工程物资减值准备</v>
      </c>
      <c r="S92" s="681" t="s">
        <v>1379</v>
      </c>
    </row>
    <row r="93" spans="1:19">
      <c r="A93" s="755"/>
      <c r="B93" s="755"/>
      <c r="C93" s="755"/>
      <c r="D93" s="756" t="s">
        <v>51</v>
      </c>
      <c r="E93" s="749" t="s">
        <v>1481</v>
      </c>
      <c r="F93" s="749"/>
      <c r="G93" s="745"/>
      <c r="H93" s="757"/>
      <c r="I93" s="744">
        <v>7</v>
      </c>
      <c r="J93" s="744"/>
      <c r="K93" s="744"/>
      <c r="L93" s="744"/>
      <c r="M93" s="758"/>
      <c r="N93" s="683" t="str">
        <f t="array" ref="N93">IF(OR(E93="",_xlfn.IFNA(MATCH("试算平衡表项目"&amp;E93,$S$6:$S$362&amp;$R$6:$R$362,0),0)&gt;0),"","请修改试算平衡表项目或手工填写TB")</f>
        <v/>
      </c>
      <c r="O93" s="683" t="str">
        <f t="array" ref="O93">IF(OR(F93="",_xlfn.IFNA(MATCH("二级"&amp;F93,$S$6:$S$362&amp;$R$6:$R$362,0),0)&gt;0),"","请修改二级名称或手工填写TB")</f>
        <v/>
      </c>
      <c r="Q93" s="192">
        <f>报表格式!R93</f>
        <v>0</v>
      </c>
      <c r="R93" s="676" t="str">
        <f>IF(OR(MID(TRIM(报表格式!S93),2,1)="：",MID(TRIM(报表格式!S93),2,1)="、"),REPLACEB(TRIM(报表格式!S93),1,4,""),TRIM(报表格式!S93))</f>
        <v>工程物资</v>
      </c>
    </row>
    <row r="94" spans="1:19">
      <c r="A94" s="755"/>
      <c r="B94" s="755"/>
      <c r="C94" s="755"/>
      <c r="D94" s="756" t="s">
        <v>51</v>
      </c>
      <c r="E94" s="749" t="s">
        <v>1487</v>
      </c>
      <c r="F94" s="749"/>
      <c r="G94" s="745"/>
      <c r="H94" s="757"/>
      <c r="I94" s="744"/>
      <c r="J94" s="744">
        <v>7</v>
      </c>
      <c r="K94" s="744"/>
      <c r="L94" s="744"/>
      <c r="M94" s="758"/>
      <c r="N94" s="683" t="str">
        <f t="array" ref="N94">IF(OR(E94="",_xlfn.IFNA(MATCH("试算平衡表项目"&amp;E94,$S$6:$S$362&amp;$R$6:$R$362,0),0)&gt;0),"","请修改试算平衡表项目或手工填写TB")</f>
        <v/>
      </c>
      <c r="O94" s="683" t="str">
        <f t="array" ref="O94">IF(OR(F94="",_xlfn.IFNA(MATCH("二级"&amp;F94,$S$6:$S$362&amp;$R$6:$R$362,0),0)&gt;0),"","请修改二级名称或手工填写TB")</f>
        <v/>
      </c>
      <c r="Q94" s="192" t="str">
        <f>报表格式!R94</f>
        <v>D58</v>
      </c>
      <c r="R94" s="676" t="str">
        <f>IF(OR(MID(TRIM(报表格式!S94),2,1)="：",MID(TRIM(报表格式!S94),2,1)="、"),REPLACEB(TRIM(报表格式!S94),1,4,""),TRIM(报表格式!S94))</f>
        <v>生产性生物资产原值</v>
      </c>
      <c r="S94" s="681" t="s">
        <v>1379</v>
      </c>
    </row>
    <row r="95" spans="1:19">
      <c r="A95" s="755"/>
      <c r="B95" s="755"/>
      <c r="C95" s="755"/>
      <c r="D95" s="756" t="s">
        <v>394</v>
      </c>
      <c r="E95" s="749" t="s">
        <v>1488</v>
      </c>
      <c r="F95" s="749"/>
      <c r="G95" s="745"/>
      <c r="H95" s="757"/>
      <c r="I95" s="744">
        <v>8</v>
      </c>
      <c r="J95" s="744"/>
      <c r="K95" s="744"/>
      <c r="L95" s="744"/>
      <c r="M95" s="758"/>
      <c r="N95" s="683" t="str">
        <f t="array" ref="N95">IF(OR(E95="",_xlfn.IFNA(MATCH("试算平衡表项目"&amp;E95,$S$6:$S$362&amp;$R$6:$R$362,0),0)&gt;0),"","请修改试算平衡表项目或手工填写TB")</f>
        <v/>
      </c>
      <c r="O95" s="683" t="str">
        <f t="array" ref="O95">IF(OR(F95="",_xlfn.IFNA(MATCH("二级"&amp;F95,$S$6:$S$362&amp;$R$6:$R$362,0),0)&gt;0),"","请修改二级名称或手工填写TB")</f>
        <v/>
      </c>
      <c r="Q95" s="192" t="str">
        <f>报表格式!R95</f>
        <v>D59</v>
      </c>
      <c r="R95" s="676" t="str">
        <f>IF(OR(MID(TRIM(报表格式!S95),2,1)="：",MID(TRIM(报表格式!S95),2,1)="、"),REPLACEB(TRIM(报表格式!S95),1,4,""),TRIM(报表格式!S95))</f>
        <v>生产性生物资产累计折旧</v>
      </c>
      <c r="S95" s="681" t="s">
        <v>1379</v>
      </c>
    </row>
    <row r="96" spans="1:19">
      <c r="A96" s="755"/>
      <c r="B96" s="755"/>
      <c r="C96" s="755"/>
      <c r="D96" s="756" t="s">
        <v>394</v>
      </c>
      <c r="E96" s="749" t="s">
        <v>1487</v>
      </c>
      <c r="F96" s="749"/>
      <c r="G96" s="745"/>
      <c r="H96" s="757"/>
      <c r="I96" s="744"/>
      <c r="J96" s="744">
        <v>8</v>
      </c>
      <c r="K96" s="744"/>
      <c r="L96" s="744"/>
      <c r="M96" s="758"/>
      <c r="N96" s="683" t="str">
        <f t="array" ref="N96">IF(OR(E96="",_xlfn.IFNA(MATCH("试算平衡表项目"&amp;E96,$S$6:$S$362&amp;$R$6:$R$362,0),0)&gt;0),"","请修改试算平衡表项目或手工填写TB")</f>
        <v/>
      </c>
      <c r="O96" s="683" t="str">
        <f t="array" ref="O96">IF(OR(F96="",_xlfn.IFNA(MATCH("二级"&amp;F96,$S$6:$S$362&amp;$R$6:$R$362,0),0)&gt;0),"","请修改二级名称或手工填写TB")</f>
        <v/>
      </c>
      <c r="Q96" s="192">
        <f>报表格式!R96</f>
        <v>0</v>
      </c>
      <c r="R96" s="676" t="str">
        <f>IF(OR(MID(TRIM(报表格式!S96),2,1)="：",MID(TRIM(报表格式!S96),2,1)="、"),REPLACEB(TRIM(报表格式!S96),1,4,""),TRIM(报表格式!S96))</f>
        <v>生产性生物资产净值</v>
      </c>
    </row>
    <row r="97" spans="1:19">
      <c r="A97" s="755"/>
      <c r="B97" s="755"/>
      <c r="C97" s="755"/>
      <c r="D97" s="756" t="s">
        <v>48</v>
      </c>
      <c r="E97" s="749" t="s">
        <v>1487</v>
      </c>
      <c r="F97" s="749"/>
      <c r="G97" s="745"/>
      <c r="H97" s="757"/>
      <c r="I97" s="744">
        <v>9</v>
      </c>
      <c r="J97" s="744"/>
      <c r="K97" s="744"/>
      <c r="L97" s="744"/>
      <c r="M97" s="758"/>
      <c r="N97" s="683" t="str">
        <f t="array" ref="N97">IF(OR(E97="",_xlfn.IFNA(MATCH("试算平衡表项目"&amp;E97,$S$6:$S$362&amp;$R$6:$R$362,0),0)&gt;0),"","请修改试算平衡表项目或手工填写TB")</f>
        <v/>
      </c>
      <c r="O97" s="683" t="str">
        <f t="array" ref="O97">IF(OR(F97="",_xlfn.IFNA(MATCH("二级"&amp;F97,$S$6:$S$362&amp;$R$6:$R$362,0),0)&gt;0),"","请修改二级名称或手工填写TB")</f>
        <v/>
      </c>
      <c r="Q97" s="192" t="str">
        <f>报表格式!R97</f>
        <v>D60</v>
      </c>
      <c r="R97" s="676" t="str">
        <f>IF(OR(MID(TRIM(报表格式!S97),2,1)="：",MID(TRIM(报表格式!S97),2,1)="、"),REPLACEB(TRIM(报表格式!S97),1,4,""),TRIM(报表格式!S97))</f>
        <v>生产性生物资产减值准备</v>
      </c>
      <c r="S97" s="681" t="s">
        <v>1379</v>
      </c>
    </row>
    <row r="98" spans="1:19">
      <c r="A98" s="755"/>
      <c r="B98" s="755"/>
      <c r="C98" s="755"/>
      <c r="D98" s="756" t="s">
        <v>48</v>
      </c>
      <c r="E98" s="749" t="s">
        <v>1487</v>
      </c>
      <c r="F98" s="749"/>
      <c r="G98" s="745"/>
      <c r="H98" s="757"/>
      <c r="I98" s="744"/>
      <c r="J98" s="744">
        <v>9</v>
      </c>
      <c r="K98" s="744"/>
      <c r="L98" s="744"/>
      <c r="M98" s="758"/>
      <c r="N98" s="683" t="str">
        <f t="array" ref="N98">IF(OR(E98="",_xlfn.IFNA(MATCH("试算平衡表项目"&amp;E98,$S$6:$S$362&amp;$R$6:$R$362,0),0)&gt;0),"","请修改试算平衡表项目或手工填写TB")</f>
        <v/>
      </c>
      <c r="O98" s="683" t="str">
        <f t="array" ref="O98">IF(OR(F98="",_xlfn.IFNA(MATCH("二级"&amp;F98,$S$6:$S$362&amp;$R$6:$R$362,0),0)&gt;0),"","请修改二级名称或手工填写TB")</f>
        <v/>
      </c>
      <c r="Q98" s="192">
        <f>报表格式!R98</f>
        <v>0</v>
      </c>
      <c r="R98" s="676" t="str">
        <f>IF(OR(MID(TRIM(报表格式!S98),2,1)="：",MID(TRIM(报表格式!S98),2,1)="、"),REPLACEB(TRIM(报表格式!S98),1,4,""),TRIM(报表格式!S98))</f>
        <v>生产性生物资产</v>
      </c>
    </row>
    <row r="99" spans="1:19">
      <c r="A99" s="755"/>
      <c r="B99" s="755"/>
      <c r="C99" s="755"/>
      <c r="D99" s="756"/>
      <c r="E99" s="749"/>
      <c r="F99" s="749"/>
      <c r="G99" s="745"/>
      <c r="H99" s="757"/>
      <c r="I99" s="744"/>
      <c r="J99" s="744"/>
      <c r="K99" s="744"/>
      <c r="L99" s="744"/>
      <c r="M99" s="758"/>
      <c r="N99" s="683" t="str">
        <f t="array" ref="N99">IF(OR(E99="",_xlfn.IFNA(MATCH("试算平衡表项目"&amp;E99,$S$6:$S$362&amp;$R$6:$R$362,0),0)&gt;0),"","请修改试算平衡表项目或手工填写TB")</f>
        <v/>
      </c>
      <c r="O99" s="683" t="str">
        <f t="array" ref="O99">IF(OR(F99="",_xlfn.IFNA(MATCH("二级"&amp;F99,$S$6:$S$362&amp;$R$6:$R$362,0),0)&gt;0),"","请修改二级名称或手工填写TB")</f>
        <v/>
      </c>
      <c r="Q99" s="192" t="str">
        <f>报表格式!R99</f>
        <v>D61</v>
      </c>
      <c r="R99" s="676" t="str">
        <f>IF(OR(MID(TRIM(报表格式!S99),2,1)="：",MID(TRIM(报表格式!S99),2,1)="、"),REPLACEB(TRIM(报表格式!S99),1,4,""),TRIM(报表格式!S99))</f>
        <v>油气资产原值</v>
      </c>
      <c r="S99" s="681" t="s">
        <v>1379</v>
      </c>
    </row>
    <row r="100" spans="1:19">
      <c r="A100" s="755"/>
      <c r="B100" s="755"/>
      <c r="C100" s="755"/>
      <c r="D100" s="756"/>
      <c r="E100" s="749"/>
      <c r="F100" s="749"/>
      <c r="G100" s="745"/>
      <c r="H100" s="757"/>
      <c r="I100" s="744"/>
      <c r="J100" s="744"/>
      <c r="K100" s="744"/>
      <c r="L100" s="744"/>
      <c r="M100" s="758"/>
      <c r="N100" s="683" t="str">
        <f t="array" ref="N100">IF(OR(E100="",_xlfn.IFNA(MATCH("试算平衡表项目"&amp;E100,$S$6:$S$362&amp;$R$6:$R$362,0),0)&gt;0),"","请修改试算平衡表项目或手工填写TB")</f>
        <v/>
      </c>
      <c r="O100" s="683" t="str">
        <f t="array" ref="O100">IF(OR(F100="",_xlfn.IFNA(MATCH("二级"&amp;F100,$S$6:$S$362&amp;$R$6:$R$362,0),0)&gt;0),"","请修改二级名称或手工填写TB")</f>
        <v/>
      </c>
      <c r="Q100" s="192" t="str">
        <f>报表格式!R100</f>
        <v>D62</v>
      </c>
      <c r="R100" s="676" t="str">
        <f>IF(OR(MID(TRIM(报表格式!S100),2,1)="：",MID(TRIM(报表格式!S100),2,1)="、"),REPLACEB(TRIM(报表格式!S100),1,4,""),TRIM(报表格式!S100))</f>
        <v>油气资产累计折旧</v>
      </c>
      <c r="S100" s="681" t="s">
        <v>1379</v>
      </c>
    </row>
    <row r="101" spans="1:19">
      <c r="A101" s="755"/>
      <c r="B101" s="755"/>
      <c r="C101" s="755"/>
      <c r="D101" s="756" t="s">
        <v>51</v>
      </c>
      <c r="E101" s="749" t="s">
        <v>1486</v>
      </c>
      <c r="F101" s="749"/>
      <c r="G101" s="745"/>
      <c r="H101" s="757"/>
      <c r="I101" s="744">
        <v>11</v>
      </c>
      <c r="J101" s="744"/>
      <c r="K101" s="744"/>
      <c r="L101" s="744"/>
      <c r="M101" s="758"/>
      <c r="N101" s="683" t="str">
        <f t="array" ref="N101">IF(OR(E101="",_xlfn.IFNA(MATCH("试算平衡表项目"&amp;E101,$S$6:$S$362&amp;$R$6:$R$362,0),0)&gt;0),"","请修改试算平衡表项目或手工填写TB")</f>
        <v/>
      </c>
      <c r="O101" s="683" t="str">
        <f t="array" ref="O101">IF(OR(F101="",_xlfn.IFNA(MATCH("二级"&amp;F101,$S$6:$S$362&amp;$R$6:$R$362,0),0)&gt;0),"","请修改二级名称或手工填写TB")</f>
        <v/>
      </c>
      <c r="Q101" s="192">
        <f>报表格式!R101</f>
        <v>0</v>
      </c>
      <c r="R101" s="676" t="str">
        <f>IF(OR(MID(TRIM(报表格式!S101),2,1)="：",MID(TRIM(报表格式!S101),2,1)="、"),REPLACEB(TRIM(报表格式!S101),1,4,""),TRIM(报表格式!S101))</f>
        <v>油气资产净值</v>
      </c>
    </row>
    <row r="102" spans="1:19">
      <c r="A102" s="755"/>
      <c r="B102" s="755"/>
      <c r="C102" s="755"/>
      <c r="D102" s="756" t="s">
        <v>51</v>
      </c>
      <c r="E102" s="749" t="s">
        <v>1486</v>
      </c>
      <c r="F102" s="749"/>
      <c r="G102" s="745"/>
      <c r="H102" s="757"/>
      <c r="I102" s="744"/>
      <c r="J102" s="744">
        <v>11</v>
      </c>
      <c r="K102" s="744"/>
      <c r="L102" s="744"/>
      <c r="M102" s="758"/>
      <c r="N102" s="683" t="str">
        <f t="array" ref="N102">IF(OR(E102="",_xlfn.IFNA(MATCH("试算平衡表项目"&amp;E102,$S$6:$S$362&amp;$R$6:$R$362,0),0)&gt;0),"","请修改试算平衡表项目或手工填写TB")</f>
        <v/>
      </c>
      <c r="O102" s="683" t="str">
        <f t="array" ref="O102">IF(OR(F102="",_xlfn.IFNA(MATCH("二级"&amp;F102,$S$6:$S$362&amp;$R$6:$R$362,0),0)&gt;0),"","请修改二级名称或手工填写TB")</f>
        <v/>
      </c>
      <c r="Q102" s="192" t="str">
        <f>报表格式!R102</f>
        <v>D63</v>
      </c>
      <c r="R102" s="676" t="str">
        <f>IF(OR(MID(TRIM(报表格式!S102),2,1)="：",MID(TRIM(报表格式!S102),2,1)="、"),REPLACEB(TRIM(报表格式!S102),1,4,""),TRIM(报表格式!S102))</f>
        <v>油气资产减值准备</v>
      </c>
      <c r="S102" s="681" t="s">
        <v>1379</v>
      </c>
    </row>
    <row r="103" spans="1:19">
      <c r="A103" s="755"/>
      <c r="B103" s="755"/>
      <c r="C103" s="755"/>
      <c r="D103" s="756" t="s">
        <v>394</v>
      </c>
      <c r="E103" s="749" t="s">
        <v>1486</v>
      </c>
      <c r="F103" s="749"/>
      <c r="G103" s="745"/>
      <c r="H103" s="757"/>
      <c r="I103" s="744">
        <v>12</v>
      </c>
      <c r="J103" s="744"/>
      <c r="K103" s="744"/>
      <c r="L103" s="744"/>
      <c r="M103" s="758"/>
      <c r="N103" s="683" t="str">
        <f t="array" ref="N103">IF(OR(E103="",_xlfn.IFNA(MATCH("试算平衡表项目"&amp;E103,$S$6:$S$362&amp;$R$6:$R$362,0),0)&gt;0),"","请修改试算平衡表项目或手工填写TB")</f>
        <v/>
      </c>
      <c r="O103" s="683" t="str">
        <f t="array" ref="O103">IF(OR(F103="",_xlfn.IFNA(MATCH("二级"&amp;F103,$S$6:$S$362&amp;$R$6:$R$362,0),0)&gt;0),"","请修改二级名称或手工填写TB")</f>
        <v/>
      </c>
      <c r="Q103" s="192">
        <f>报表格式!R103</f>
        <v>0</v>
      </c>
      <c r="R103" s="676" t="str">
        <f>IF(OR(MID(TRIM(报表格式!S103),2,1)="：",MID(TRIM(报表格式!S103),2,1)="、"),REPLACEB(TRIM(报表格式!S103),1,4,""),TRIM(报表格式!S103))</f>
        <v>油气资产</v>
      </c>
    </row>
    <row r="104" spans="1:19">
      <c r="A104" s="755"/>
      <c r="B104" s="755"/>
      <c r="C104" s="755"/>
      <c r="D104" s="756" t="s">
        <v>394</v>
      </c>
      <c r="E104" s="749" t="s">
        <v>1486</v>
      </c>
      <c r="F104" s="749"/>
      <c r="G104" s="745"/>
      <c r="H104" s="757"/>
      <c r="I104" s="744"/>
      <c r="J104" s="744">
        <v>12</v>
      </c>
      <c r="K104" s="744"/>
      <c r="L104" s="744"/>
      <c r="M104" s="758"/>
      <c r="N104" s="683" t="str">
        <f t="array" ref="N104">IF(OR(E104="",_xlfn.IFNA(MATCH("试算平衡表项目"&amp;E104,$S$6:$S$362&amp;$R$6:$R$362,0),0)&gt;0),"","请修改试算平衡表项目或手工填写TB")</f>
        <v/>
      </c>
      <c r="O104" s="683" t="str">
        <f t="array" ref="O104">IF(OR(F104="",_xlfn.IFNA(MATCH("二级"&amp;F104,$S$6:$S$362&amp;$R$6:$R$362,0),0)&gt;0),"","请修改二级名称或手工填写TB")</f>
        <v/>
      </c>
      <c r="Q104" s="192" t="str">
        <f>报表格式!R104</f>
        <v>D64</v>
      </c>
      <c r="R104" s="676" t="str">
        <f>IF(OR(MID(TRIM(报表格式!S104),2,1)="：",MID(TRIM(报表格式!S104),2,1)="、"),REPLACEB(TRIM(报表格式!S104),1,4,""),TRIM(报表格式!S104))</f>
        <v>使用权资产原值</v>
      </c>
      <c r="S104" s="681" t="s">
        <v>1379</v>
      </c>
    </row>
    <row r="105" spans="1:19">
      <c r="A105" s="755"/>
      <c r="B105" s="755"/>
      <c r="C105" s="755"/>
      <c r="D105" s="756" t="s">
        <v>48</v>
      </c>
      <c r="E105" s="749" t="s">
        <v>1486</v>
      </c>
      <c r="F105" s="749"/>
      <c r="G105" s="745"/>
      <c r="H105" s="757"/>
      <c r="I105" s="744">
        <v>13</v>
      </c>
      <c r="J105" s="744"/>
      <c r="K105" s="744"/>
      <c r="L105" s="744"/>
      <c r="M105" s="758"/>
      <c r="N105" s="683" t="str">
        <f t="array" ref="N105">IF(OR(E105="",_xlfn.IFNA(MATCH("试算平衡表项目"&amp;E105,$S$6:$S$362&amp;$R$6:$R$362,0),0)&gt;0),"","请修改试算平衡表项目或手工填写TB")</f>
        <v/>
      </c>
      <c r="O105" s="683" t="str">
        <f t="array" ref="O105">IF(OR(F105="",_xlfn.IFNA(MATCH("二级"&amp;F105,$S$6:$S$362&amp;$R$6:$R$362,0),0)&gt;0),"","请修改二级名称或手工填写TB")</f>
        <v/>
      </c>
      <c r="Q105" s="192" t="str">
        <f>报表格式!R105</f>
        <v>D65</v>
      </c>
      <c r="R105" s="676" t="str">
        <f>IF(OR(MID(TRIM(报表格式!S105),2,1)="：",MID(TRIM(报表格式!S105),2,1)="、"),REPLACEB(TRIM(报表格式!S105),1,4,""),TRIM(报表格式!S105))</f>
        <v>使用权资产累计折旧</v>
      </c>
      <c r="S105" s="681" t="s">
        <v>1379</v>
      </c>
    </row>
    <row r="106" spans="1:19">
      <c r="A106" s="755"/>
      <c r="B106" s="755"/>
      <c r="C106" s="755"/>
      <c r="D106" s="756" t="s">
        <v>48</v>
      </c>
      <c r="E106" s="749" t="s">
        <v>1486</v>
      </c>
      <c r="F106" s="749"/>
      <c r="G106" s="745"/>
      <c r="H106" s="757"/>
      <c r="I106" s="744"/>
      <c r="J106" s="744">
        <v>13</v>
      </c>
      <c r="K106" s="744"/>
      <c r="L106" s="744"/>
      <c r="M106" s="758"/>
      <c r="N106" s="683" t="str">
        <f t="array" ref="N106">IF(OR(E106="",_xlfn.IFNA(MATCH("试算平衡表项目"&amp;E106,$S$6:$S$362&amp;$R$6:$R$362,0),0)&gt;0),"","请修改试算平衡表项目或手工填写TB")</f>
        <v/>
      </c>
      <c r="O106" s="683" t="str">
        <f t="array" ref="O106">IF(OR(F106="",_xlfn.IFNA(MATCH("二级"&amp;F106,$S$6:$S$362&amp;$R$6:$R$362,0),0)&gt;0),"","请修改二级名称或手工填写TB")</f>
        <v/>
      </c>
      <c r="Q106" s="192">
        <f>报表格式!R106</f>
        <v>0</v>
      </c>
      <c r="R106" s="676" t="str">
        <f>IF(OR(MID(TRIM(报表格式!S106),2,1)="：",MID(TRIM(报表格式!S106),2,1)="、"),REPLACEB(TRIM(报表格式!S106),1,4,""),TRIM(报表格式!S106))</f>
        <v>使用权资产净值</v>
      </c>
    </row>
    <row r="107" spans="1:19">
      <c r="A107" s="755"/>
      <c r="B107" s="755"/>
      <c r="C107" s="755"/>
      <c r="D107" s="756" t="s">
        <v>394</v>
      </c>
      <c r="E107" s="749" t="s">
        <v>1522</v>
      </c>
      <c r="F107" s="749"/>
      <c r="G107" s="745"/>
      <c r="H107" s="757"/>
      <c r="I107" s="744"/>
      <c r="J107" s="744">
        <v>10000</v>
      </c>
      <c r="K107" s="744"/>
      <c r="L107" s="744">
        <v>10000</v>
      </c>
      <c r="M107" s="758"/>
      <c r="N107" s="683" t="str">
        <f t="array" ref="N107">IF(OR(E107="",_xlfn.IFNA(MATCH("试算平衡表项目"&amp;E107,$S$6:$S$362&amp;$R$6:$R$362,0),0)&gt;0),"","请修改试算平衡表项目或手工填写TB")</f>
        <v/>
      </c>
      <c r="O107" s="683" t="str">
        <f t="array" ref="O107">IF(OR(F107="",_xlfn.IFNA(MATCH("二级"&amp;F107,$S$6:$S$362&amp;$R$6:$R$362,0),0)&gt;0),"","请修改二级名称或手工填写TB")</f>
        <v/>
      </c>
      <c r="Q107" s="192" t="str">
        <f>报表格式!R107</f>
        <v>D66</v>
      </c>
      <c r="R107" s="676" t="str">
        <f>IF(OR(MID(TRIM(报表格式!S107),2,1)="：",MID(TRIM(报表格式!S107),2,1)="、"),REPLACEB(TRIM(报表格式!S107),1,4,""),TRIM(报表格式!S107))</f>
        <v>使用权资产减值准备</v>
      </c>
      <c r="S107" s="681" t="s">
        <v>1379</v>
      </c>
    </row>
    <row r="108" spans="1:19">
      <c r="A108" s="755"/>
      <c r="B108" s="755"/>
      <c r="C108" s="755"/>
      <c r="D108" s="756" t="s">
        <v>394</v>
      </c>
      <c r="E108" s="749" t="s">
        <v>1523</v>
      </c>
      <c r="F108" s="749"/>
      <c r="G108" s="745"/>
      <c r="H108" s="757"/>
      <c r="I108" s="744">
        <v>10000</v>
      </c>
      <c r="J108" s="744"/>
      <c r="K108" s="744">
        <v>10000</v>
      </c>
      <c r="L108" s="744"/>
      <c r="M108" s="758"/>
      <c r="N108" s="683" t="str">
        <f t="array" ref="N108">IF(OR(E108="",_xlfn.IFNA(MATCH("试算平衡表项目"&amp;E108,$S$6:$S$362&amp;$R$6:$R$362,0),0)&gt;0),"","请修改试算平衡表项目或手工填写TB")</f>
        <v/>
      </c>
      <c r="O108" s="683" t="str">
        <f t="array" ref="O108">IF(OR(F108="",_xlfn.IFNA(MATCH("二级"&amp;F108,$S$6:$S$362&amp;$R$6:$R$362,0),0)&gt;0),"","请修改二级名称或手工填写TB")</f>
        <v/>
      </c>
      <c r="Q108" s="192">
        <f>报表格式!R108</f>
        <v>0</v>
      </c>
      <c r="R108" s="676" t="str">
        <f>IF(OR(MID(TRIM(报表格式!S108),2,1)="：",MID(TRIM(报表格式!S108),2,1)="、"),REPLACEB(TRIM(报表格式!S108),1,4,""),TRIM(报表格式!S108))</f>
        <v>使用权资产</v>
      </c>
    </row>
    <row r="109" spans="1:19">
      <c r="A109" s="755"/>
      <c r="B109" s="755"/>
      <c r="C109" s="755"/>
      <c r="D109" s="756"/>
      <c r="E109" s="749"/>
      <c r="F109" s="749"/>
      <c r="G109" s="745"/>
      <c r="H109" s="757"/>
      <c r="I109" s="744"/>
      <c r="J109" s="744"/>
      <c r="K109" s="744"/>
      <c r="L109" s="744"/>
      <c r="M109" s="758"/>
      <c r="N109" s="683" t="str">
        <f t="array" ref="N109">IF(OR(E109="",_xlfn.IFNA(MATCH("试算平衡表项目"&amp;E109,$S$6:$S$362&amp;$R$6:$R$362,0),0)&gt;0),"","请修改试算平衡表项目或手工填写TB")</f>
        <v/>
      </c>
      <c r="O109" s="683" t="str">
        <f t="array" ref="O109">IF(OR(F109="",_xlfn.IFNA(MATCH("二级"&amp;F109,$S$6:$S$362&amp;$R$6:$R$362,0),0)&gt;0),"","请修改二级名称或手工填写TB")</f>
        <v/>
      </c>
      <c r="Q109" s="192" t="str">
        <f>报表格式!R109</f>
        <v>D67</v>
      </c>
      <c r="R109" s="676" t="str">
        <f>IF(OR(MID(TRIM(报表格式!S109),2,1)="：",MID(TRIM(报表格式!S109),2,1)="、"),REPLACEB(TRIM(报表格式!S109),1,4,""),TRIM(报表格式!S109))</f>
        <v>无形资产原值</v>
      </c>
      <c r="S109" s="681" t="s">
        <v>1379</v>
      </c>
    </row>
    <row r="110" spans="1:19">
      <c r="A110" s="755"/>
      <c r="B110" s="755"/>
      <c r="C110" s="755"/>
      <c r="D110" s="756"/>
      <c r="E110" s="749"/>
      <c r="F110" s="749"/>
      <c r="G110" s="745"/>
      <c r="H110" s="757"/>
      <c r="I110" s="744"/>
      <c r="J110" s="744"/>
      <c r="K110" s="744"/>
      <c r="L110" s="744"/>
      <c r="M110" s="758"/>
      <c r="N110" s="683" t="str">
        <f t="array" ref="N110">IF(OR(E110="",_xlfn.IFNA(MATCH("试算平衡表项目"&amp;E110,$S$6:$S$362&amp;$R$6:$R$362,0),0)&gt;0),"","请修改试算平衡表项目或手工填写TB")</f>
        <v/>
      </c>
      <c r="O110" s="683" t="str">
        <f t="array" ref="O110">IF(OR(F110="",_xlfn.IFNA(MATCH("二级"&amp;F110,$S$6:$S$362&amp;$R$6:$R$362,0),0)&gt;0),"","请修改二级名称或手工填写TB")</f>
        <v/>
      </c>
      <c r="Q110" s="192" t="str">
        <f>报表格式!R110</f>
        <v>D68</v>
      </c>
      <c r="R110" s="676" t="str">
        <f>IF(OR(MID(TRIM(报表格式!S110),2,1)="：",MID(TRIM(报表格式!S110),2,1)="、"),REPLACEB(TRIM(报表格式!S110),1,4,""),TRIM(报表格式!S110))</f>
        <v>无形资产累计摊销</v>
      </c>
      <c r="S110" s="681" t="s">
        <v>1379</v>
      </c>
    </row>
    <row r="111" spans="1:19">
      <c r="A111" s="755"/>
      <c r="B111" s="755"/>
      <c r="C111" s="755"/>
      <c r="D111" s="756"/>
      <c r="E111" s="749"/>
      <c r="F111" s="749"/>
      <c r="G111" s="745"/>
      <c r="H111" s="757"/>
      <c r="I111" s="744"/>
      <c r="J111" s="744"/>
      <c r="K111" s="744"/>
      <c r="L111" s="744"/>
      <c r="M111" s="758"/>
      <c r="N111" s="683" t="str">
        <f t="array" ref="N111">IF(OR(E111="",_xlfn.IFNA(MATCH("试算平衡表项目"&amp;E111,$S$6:$S$362&amp;$R$6:$R$362,0),0)&gt;0),"","请修改试算平衡表项目或手工填写TB")</f>
        <v/>
      </c>
      <c r="O111" s="683" t="str">
        <f t="array" ref="O111">IF(OR(F111="",_xlfn.IFNA(MATCH("二级"&amp;F111,$S$6:$S$362&amp;$R$6:$R$362,0),0)&gt;0),"","请修改二级名称或手工填写TB")</f>
        <v/>
      </c>
      <c r="Q111" s="192">
        <f>报表格式!R111</f>
        <v>0</v>
      </c>
      <c r="R111" s="676" t="str">
        <f>IF(OR(MID(TRIM(报表格式!S111),2,1)="：",MID(TRIM(报表格式!S111),2,1)="、"),REPLACEB(TRIM(报表格式!S111),1,4,""),TRIM(报表格式!S111))</f>
        <v>无形资产净值</v>
      </c>
    </row>
    <row r="112" spans="1:19">
      <c r="A112" s="136"/>
      <c r="B112" s="136"/>
      <c r="C112" s="137"/>
      <c r="D112" s="137"/>
      <c r="E112" s="139"/>
      <c r="F112" s="139"/>
      <c r="G112" s="138"/>
      <c r="H112" s="139"/>
      <c r="I112" s="139"/>
      <c r="J112" s="721" t="str">
        <f>IF(ABS(SUM(I7:I111)-SUM(J7:J111))&lt;0.005,"","借贷不等")</f>
        <v/>
      </c>
      <c r="K112" s="660"/>
      <c r="L112" s="684" t="str">
        <f>IF(ABS(SUM(K7:K83)-SUM(L7:L83))&lt;0.005,"","借贷不等")</f>
        <v/>
      </c>
      <c r="M112" s="140"/>
      <c r="N112" s="683" t="str">
        <f t="array" ref="N112">IF(OR(E112="",_xlfn.IFNA(MATCH("试算平衡表项目"&amp;E112,$S$6:$S$362&amp;$R$6:$R$362,0),0)&gt;0),"","请修改试算平衡表项目或手工填写TB")</f>
        <v/>
      </c>
      <c r="O112" s="683" t="str">
        <f t="array" ref="O112">IF(OR(F112="",_xlfn.IFNA(MATCH("二级"&amp;F112,$S$6:$S$362&amp;$R$6:$R$362,0),0)&gt;0),"","请修改二级名称或手工填写TB")</f>
        <v/>
      </c>
      <c r="Q112" s="192" t="str">
        <f>报表格式!R112</f>
        <v>D69</v>
      </c>
      <c r="R112" s="676" t="str">
        <f>IF(OR(MID(TRIM(报表格式!S112),2,1)="：",MID(TRIM(报表格式!S112),2,1)="、"),REPLACEB(TRIM(报表格式!S112),1,4,""),TRIM(报表格式!S112))</f>
        <v>无形资产减值准备</v>
      </c>
      <c r="S112" s="681" t="s">
        <v>1379</v>
      </c>
    </row>
    <row r="113" spans="6:19">
      <c r="N113" s="683"/>
      <c r="O113" s="683" t="str">
        <f t="array" ref="O113">IF(OR(F113="",_xlfn.IFNA(MATCH("二级"&amp;F113,$S$6:$S$362&amp;$R$6:$R$362,0),0)&gt;0),"","请修改二级名称或手工填写TB")</f>
        <v/>
      </c>
      <c r="Q113" s="192">
        <f>报表格式!R113</f>
        <v>0</v>
      </c>
      <c r="R113" s="676" t="str">
        <f>IF(OR(MID(TRIM(报表格式!S113),2,1)="：",MID(TRIM(报表格式!S113),2,1)="、"),REPLACEB(TRIM(报表格式!S113),1,4,""),TRIM(报表格式!S113))</f>
        <v>无形资产</v>
      </c>
    </row>
    <row r="114" spans="6:19">
      <c r="N114" s="683"/>
      <c r="Q114" s="192" t="str">
        <f>报表格式!R114</f>
        <v>D70</v>
      </c>
      <c r="R114" s="676" t="str">
        <f>IF(OR(MID(TRIM(报表格式!S114),2,1)="：",MID(TRIM(报表格式!S114),2,1)="、"),REPLACEB(TRIM(报表格式!S114),1,4,""),TRIM(报表格式!S114))</f>
        <v>开发支出原值</v>
      </c>
      <c r="S114" s="681" t="s">
        <v>1379</v>
      </c>
    </row>
    <row r="115" spans="6:19">
      <c r="N115" s="683"/>
      <c r="Q115" s="192" t="str">
        <f>报表格式!R115</f>
        <v>D71</v>
      </c>
      <c r="R115" s="676" t="str">
        <f>IF(OR(MID(TRIM(报表格式!S115),2,1)="：",MID(TRIM(报表格式!S115),2,1)="、"),REPLACEB(TRIM(报表格式!S115),1,4,""),TRIM(报表格式!S115))</f>
        <v>开发支出减值准备</v>
      </c>
      <c r="S115" s="681" t="s">
        <v>1379</v>
      </c>
    </row>
    <row r="116" spans="6:19">
      <c r="F116" s="34">
        <f>SUMIFS($I$86:$I$87,$D$86:$D$87,"报表调整",$E$86:$E$87,"其他（不能重分类）")</f>
        <v>0</v>
      </c>
      <c r="N116" s="683"/>
      <c r="Q116" s="192">
        <f>报表格式!R116</f>
        <v>0</v>
      </c>
      <c r="R116" s="676" t="str">
        <f>IF(OR(MID(TRIM(报表格式!S116),2,1)="：",MID(TRIM(报表格式!S116),2,1)="、"),REPLACEB(TRIM(报表格式!S116),1,4,""),TRIM(报表格式!S116))</f>
        <v>开发支出</v>
      </c>
    </row>
    <row r="117" spans="6:19">
      <c r="N117" s="683"/>
      <c r="Q117" s="192" t="str">
        <f>报表格式!R117</f>
        <v>D72</v>
      </c>
      <c r="R117" s="676" t="str">
        <f>IF(OR(MID(TRIM(报表格式!S117),2,1)="：",MID(TRIM(报表格式!S117),2,1)="、"),REPLACEB(TRIM(报表格式!S117),1,4,""),TRIM(报表格式!S117))</f>
        <v>商誉原值</v>
      </c>
      <c r="S117" s="681" t="s">
        <v>1379</v>
      </c>
    </row>
    <row r="118" spans="6:19">
      <c r="N118" s="683"/>
      <c r="Q118" s="192" t="str">
        <f>报表格式!R118</f>
        <v>D73</v>
      </c>
      <c r="R118" s="676" t="str">
        <f>IF(OR(MID(TRIM(报表格式!S118),2,1)="：",MID(TRIM(报表格式!S118),2,1)="、"),REPLACEB(TRIM(报表格式!S118),1,4,""),TRIM(报表格式!S118))</f>
        <v>商誉减值准备</v>
      </c>
      <c r="S118" s="681" t="s">
        <v>1379</v>
      </c>
    </row>
    <row r="119" spans="6:19">
      <c r="N119" s="683"/>
      <c r="Q119" s="192">
        <f>报表格式!R119</f>
        <v>0</v>
      </c>
      <c r="R119" s="676" t="str">
        <f>IF(OR(MID(TRIM(报表格式!S119),2,1)="：",MID(TRIM(报表格式!S119),2,1)="、"),REPLACEB(TRIM(报表格式!S119),1,4,""),TRIM(报表格式!S119))</f>
        <v>商誉</v>
      </c>
    </row>
    <row r="120" spans="6:19">
      <c r="N120" s="683"/>
      <c r="Q120" s="192" t="str">
        <f>报表格式!R120</f>
        <v>D74</v>
      </c>
      <c r="R120" s="676" t="str">
        <f>IF(OR(MID(TRIM(报表格式!S120),2,1)="：",MID(TRIM(报表格式!S120),2,1)="、"),REPLACEB(TRIM(报表格式!S120),1,4,""),TRIM(报表格式!S120))</f>
        <v>长期待摊费用</v>
      </c>
      <c r="S120" s="681" t="s">
        <v>1379</v>
      </c>
    </row>
    <row r="121" spans="6:19">
      <c r="N121" s="683"/>
      <c r="Q121" s="192" t="str">
        <f>报表格式!R121</f>
        <v>D75</v>
      </c>
      <c r="R121" s="676" t="str">
        <f>IF(OR(MID(TRIM(报表格式!S121),2,1)="：",MID(TRIM(报表格式!S121),2,1)="、"),REPLACEB(TRIM(报表格式!S121),1,4,""),TRIM(报表格式!S121))</f>
        <v>递延所得税资产</v>
      </c>
      <c r="S121" s="681" t="s">
        <v>1379</v>
      </c>
    </row>
    <row r="122" spans="6:19">
      <c r="Q122" s="192" t="str">
        <f>报表格式!R122</f>
        <v>D76</v>
      </c>
      <c r="R122" s="676" t="str">
        <f>IF(OR(MID(TRIM(报表格式!S122),2,1)="：",MID(TRIM(报表格式!S122),2,1)="、"),REPLACEB(TRIM(报表格式!S122),1,4,""),TRIM(报表格式!S122))</f>
        <v>其他非流动资产</v>
      </c>
      <c r="S122" s="681" t="s">
        <v>1379</v>
      </c>
    </row>
    <row r="123" spans="6:19">
      <c r="Q123" s="192" t="str">
        <f>报表格式!R123</f>
        <v>D76-1</v>
      </c>
      <c r="R123" s="676" t="str">
        <f>IF(OR(MID(TRIM(报表格式!S123),3,1)="：",MID(TRIM(报表格式!S123),2,1)="、"),REPLACEB(TRIM(报表格式!S123),1,6,""),TRIM(报表格式!S123))</f>
        <v>特准储备物资</v>
      </c>
      <c r="S123" s="681" t="s">
        <v>1380</v>
      </c>
    </row>
    <row r="124" spans="6:19">
      <c r="Q124" s="192">
        <f>报表格式!R124</f>
        <v>0</v>
      </c>
      <c r="R124" s="676" t="str">
        <f>IF(OR(MID(TRIM(报表格式!S124),2,1)="：",MID(TRIM(报表格式!S124),2,1)="、"),REPLACEB(TRIM(报表格式!S124),1,4,""),TRIM(报表格式!S124))</f>
        <v>非流动资产合计</v>
      </c>
    </row>
    <row r="125" spans="6:19">
      <c r="Q125" s="192">
        <f>报表格式!R125</f>
        <v>0</v>
      </c>
      <c r="R125" s="676" t="str">
        <f>IF(OR(MID(TRIM(报表格式!S125),2,1)="：",MID(TRIM(报表格式!S125),2,1)="、"),REPLACEB(TRIM(报表格式!S125),1,4,""),TRIM(报表格式!S125))</f>
        <v>资 产 总 计</v>
      </c>
    </row>
    <row r="126" spans="6:19">
      <c r="Q126" s="192">
        <f>报表格式!R126</f>
        <v>0</v>
      </c>
      <c r="R126" s="676" t="str">
        <f>IF(OR(MID(TRIM(报表格式!S126),2,1)="：",MID(TRIM(报表格式!S126),2,1)="、"),REPLACEB(TRIM(报表格式!S126),1,4,""),TRIM(报表格式!S126))</f>
        <v>负债及所有者权益类</v>
      </c>
    </row>
    <row r="127" spans="6:19">
      <c r="Q127" s="192">
        <f>报表格式!R127</f>
        <v>0</v>
      </c>
      <c r="R127" s="676" t="str">
        <f>IF(OR(MID(TRIM(报表格式!S127),2,1)="：",MID(TRIM(报表格式!S127),2,1)="、"),REPLACEB(TRIM(报表格式!S127),1,4,""),TRIM(报表格式!S127))</f>
        <v>流动负债：</v>
      </c>
    </row>
    <row r="128" spans="6:19">
      <c r="Q128" s="192" t="str">
        <f>报表格式!R128</f>
        <v>E1</v>
      </c>
      <c r="R128" s="676" t="str">
        <f>IF(OR(MID(TRIM(报表格式!S128),2,1)="：",MID(TRIM(报表格式!S128),2,1)="、"),REPLACEB(TRIM(报表格式!S128),1,4,""),TRIM(报表格式!S128))</f>
        <v>短期借款</v>
      </c>
      <c r="S128" s="681" t="s">
        <v>1379</v>
      </c>
    </row>
    <row r="129" spans="15:19">
      <c r="Q129" s="192" t="str">
        <f>报表格式!R129</f>
        <v>E2</v>
      </c>
      <c r="R129" s="676" t="str">
        <f>IF(OR(MID(TRIM(报表格式!S129),2,1)="：",MID(TRIM(报表格式!S129),2,1)="、"),REPLACEB(TRIM(报表格式!S129),1,4,""), IF(RIGHT(TRIM(报表格式!S129),1)="*",LEFT(TRIM(报表格式!S129),LEN(TRIM(报表格式!S129))-1),TRIM(报表格式!S129)))</f>
        <v>向中央银行借款</v>
      </c>
      <c r="S129" s="681" t="s">
        <v>1379</v>
      </c>
    </row>
    <row r="130" spans="15:19">
      <c r="Q130" s="192" t="str">
        <f>报表格式!R130</f>
        <v>E3</v>
      </c>
      <c r="R130" s="676" t="str">
        <f>IF(OR(MID(TRIM(报表格式!S130),2,1)="：",MID(TRIM(报表格式!S130),2,1)="、"),REPLACEB(TRIM(报表格式!S130),1,4,""), IF(RIGHT(TRIM(报表格式!S130),1)="*",LEFT(TRIM(报表格式!S130),LEN(TRIM(报表格式!S130))-1),TRIM(报表格式!S130)))</f>
        <v>拆入资金</v>
      </c>
      <c r="S130" s="681" t="s">
        <v>1379</v>
      </c>
    </row>
    <row r="131" spans="15:19">
      <c r="Q131" s="192" t="str">
        <f>报表格式!R131</f>
        <v>E4</v>
      </c>
      <c r="R131" s="676" t="str">
        <f>IF(OR(MID(TRIM(报表格式!S131),2,1)="：",MID(TRIM(报表格式!S131),2,1)="、"),REPLACEB(TRIM(报表格式!S131),1,4,""),TRIM(报表格式!S131))</f>
        <v>交易性金融负债</v>
      </c>
      <c r="S131" s="681" t="s">
        <v>1379</v>
      </c>
    </row>
    <row r="132" spans="15:19">
      <c r="Q132" s="192" t="str">
        <f>报表格式!R132</f>
        <v>E5</v>
      </c>
      <c r="R132" s="676" t="str">
        <f>IF(OR(MID(TRIM(报表格式!S132),2,1)="：",MID(TRIM(报表格式!S132),2,1)="、"),REPLACEB(TRIM(报表格式!S132),1,4,""),TRIM(报表格式!S132))</f>
        <v>衍生金融负债</v>
      </c>
      <c r="S132" s="681" t="s">
        <v>1379</v>
      </c>
    </row>
    <row r="133" spans="15:19">
      <c r="Q133" s="192" t="str">
        <f>报表格式!R133</f>
        <v>E6</v>
      </c>
      <c r="R133" s="676" t="str">
        <f>IF(OR(MID(TRIM(报表格式!S133),2,1)="：",MID(TRIM(报表格式!S133),2,1)="、"),REPLACEB(TRIM(报表格式!S133),1,4,""),TRIM(报表格式!S133))</f>
        <v>应付票据</v>
      </c>
      <c r="S133" s="681" t="s">
        <v>1379</v>
      </c>
    </row>
    <row r="134" spans="15:19">
      <c r="Q134" s="192" t="str">
        <f>报表格式!R134</f>
        <v>E7</v>
      </c>
      <c r="R134" s="676" t="str">
        <f>IF(OR(MID(TRIM(报表格式!S134),2,1)="：",MID(TRIM(报表格式!S134),2,1)="、"),REPLACEB(TRIM(报表格式!S134),1,4,""),TRIM(报表格式!S134))</f>
        <v>应付账款</v>
      </c>
      <c r="S134" s="681" t="s">
        <v>1379</v>
      </c>
    </row>
    <row r="135" spans="15:19">
      <c r="Q135" s="192" t="str">
        <f>报表格式!R135</f>
        <v>E8</v>
      </c>
      <c r="R135" s="676" t="str">
        <f>IF(OR(MID(TRIM(报表格式!S135),2,1)="：",MID(TRIM(报表格式!S135),2,1)="、"),REPLACEB(TRIM(报表格式!S135),1,4,""),TRIM(报表格式!S135))</f>
        <v>预收款项</v>
      </c>
      <c r="S135" s="681" t="s">
        <v>1379</v>
      </c>
    </row>
    <row r="136" spans="15:19">
      <c r="Q136" s="192" t="str">
        <f>报表格式!R136</f>
        <v>E9</v>
      </c>
      <c r="R136" s="676" t="str">
        <f>IF(OR(MID(TRIM(报表格式!S136),2,1)="：",MID(TRIM(报表格式!S136),2,1)="、"),REPLACEB(TRIM(报表格式!S136),1,4,""),TRIM(报表格式!S136))</f>
        <v>合同负债</v>
      </c>
      <c r="S136" s="681" t="s">
        <v>1379</v>
      </c>
    </row>
    <row r="137" spans="15:19">
      <c r="Q137" s="192" t="str">
        <f>报表格式!R137</f>
        <v>E10</v>
      </c>
      <c r="R137" s="676" t="str">
        <f>IF(OR(MID(TRIM(报表格式!S137),2,1)="：",MID(TRIM(报表格式!S137),2,1)="、"),REPLACEB(TRIM(报表格式!S137),1,4,""), IF(RIGHT(TRIM(报表格式!S137),1)="*",LEFT(TRIM(报表格式!S137),LEN(TRIM(报表格式!S137))-1),TRIM(报表格式!S137)))</f>
        <v>卖出回购金融资产款</v>
      </c>
      <c r="S137" s="681" t="s">
        <v>1379</v>
      </c>
    </row>
    <row r="138" spans="15:19">
      <c r="Q138" s="192" t="str">
        <f>报表格式!R138</f>
        <v>E11</v>
      </c>
      <c r="R138" s="676" t="str">
        <f>IF(OR(MID(TRIM(报表格式!S138),2,1)="：",MID(TRIM(报表格式!S138),2,1)="、"),REPLACEB(TRIM(报表格式!S138),1,4,""), IF(RIGHT(TRIM(报表格式!S138),1)="*",LEFT(TRIM(报表格式!S138),LEN(TRIM(报表格式!S138))-1),TRIM(报表格式!S138)))</f>
        <v>吸收存款及同业存放</v>
      </c>
      <c r="S138" s="681" t="s">
        <v>1379</v>
      </c>
    </row>
    <row r="139" spans="15:19">
      <c r="Q139" s="192" t="str">
        <f>报表格式!R139</f>
        <v>E12</v>
      </c>
      <c r="R139" s="676" t="str">
        <f>IF(OR(MID(TRIM(报表格式!S139),2,1)="：",MID(TRIM(报表格式!S139),2,1)="、"),REPLACEB(TRIM(报表格式!S139),1,4,""), IF(RIGHT(TRIM(报表格式!S139),1)="*",LEFT(TRIM(报表格式!S139),LEN(TRIM(报表格式!S139))-1),TRIM(报表格式!S139)))</f>
        <v>代理买卖证券款</v>
      </c>
      <c r="S139" s="681" t="s">
        <v>1379</v>
      </c>
    </row>
    <row r="140" spans="15:19">
      <c r="Q140" s="192" t="str">
        <f>报表格式!R140</f>
        <v>E13</v>
      </c>
      <c r="R140" s="676" t="str">
        <f>IF(OR(MID(TRIM(报表格式!S140),2,1)="：",MID(TRIM(报表格式!S140),2,1)="、"),REPLACEB(TRIM(报表格式!S140),1,4,""), IF(RIGHT(TRIM(报表格式!S140),1)="*",LEFT(TRIM(报表格式!S140),LEN(TRIM(报表格式!S140))-1),TRIM(报表格式!S140)))</f>
        <v>代理承销证券款</v>
      </c>
      <c r="S140" s="681" t="s">
        <v>1379</v>
      </c>
    </row>
    <row r="141" spans="15:19">
      <c r="Q141" s="192" t="str">
        <f>报表格式!R141</f>
        <v>E14</v>
      </c>
      <c r="R141" s="676" t="str">
        <f>IF(OR(MID(TRIM(报表格式!S141),2,1)="：",MID(TRIM(报表格式!S141),2,1)="、"),REPLACEB(TRIM(报表格式!S141),1,4,""),TRIM(报表格式!S141))</f>
        <v>应付职工薪酬</v>
      </c>
      <c r="S141" s="681" t="s">
        <v>1379</v>
      </c>
    </row>
    <row r="142" spans="15:19">
      <c r="O142" s="673"/>
      <c r="Q142" s="192" t="str">
        <f>报表格式!R142</f>
        <v>E14-1</v>
      </c>
      <c r="R142" s="674" t="str">
        <f>IF(OR(MID(TRIM(报表格式!S142),3,1)="：",MID(TRIM(报表格式!S142),2,1)="、"),REPLACEB(TRIM(报表格式!S142),1,6,""),TRIM(报表格式!S142))</f>
        <v>应付工资</v>
      </c>
      <c r="S142" s="681" t="s">
        <v>1380</v>
      </c>
    </row>
    <row r="143" spans="15:19">
      <c r="Q143" s="192" t="str">
        <f>报表格式!R143</f>
        <v>E14-2</v>
      </c>
      <c r="R143" s="674" t="str">
        <f>IF(OR(MID(TRIM(报表格式!S143),2,1)="：",MID(TRIM(报表格式!S143),2,1)="、"),REPLACEB(TRIM(报表格式!S143),1,4,""),TRIM(报表格式!S143))</f>
        <v>应付福利费</v>
      </c>
      <c r="S143" s="681" t="s">
        <v>1380</v>
      </c>
    </row>
    <row r="144" spans="15:19">
      <c r="O144" s="673"/>
      <c r="Q144" s="192">
        <f>报表格式!R144</f>
        <v>0</v>
      </c>
      <c r="R144" s="674" t="str">
        <f>IF(OR(MID(TRIM(报表格式!S144),2,1)="：",MID(TRIM(报表格式!S144),2,1)="、"),REPLACEB(TRIM(报表格式!S144),1,4,""),TRIM(报表格式!S144))</f>
        <v>#其中：职工奖励及福利基金</v>
      </c>
      <c r="S144" s="681" t="s">
        <v>1473</v>
      </c>
    </row>
    <row r="145" spans="17:19">
      <c r="Q145" s="192" t="str">
        <f>报表格式!R145</f>
        <v>E15</v>
      </c>
      <c r="R145" s="676" t="str">
        <f>IF(OR(MID(TRIM(报表格式!S145),2,1)="：",MID(TRIM(报表格式!S145),2,1)="、"),REPLACEB(TRIM(报表格式!S145),1,4,""),TRIM(报表格式!S145))</f>
        <v>应交税费</v>
      </c>
      <c r="S145" s="681" t="s">
        <v>1379</v>
      </c>
    </row>
    <row r="146" spans="17:19">
      <c r="Q146" s="192" t="str">
        <f>报表格式!R146</f>
        <v>E15-1</v>
      </c>
      <c r="R146" s="674" t="str">
        <f>IF(OR(MID(TRIM(报表格式!S146),3,1)="：",MID(TRIM(报表格式!S146),2,1)="、"),REPLACEB(TRIM(报表格式!S146),1,6,""),TRIM(报表格式!S146))</f>
        <v>应交税金</v>
      </c>
      <c r="S146" s="681" t="s">
        <v>1380</v>
      </c>
    </row>
    <row r="147" spans="17:19">
      <c r="Q147" s="192" t="str">
        <f>报表格式!R147</f>
        <v>E16</v>
      </c>
      <c r="R147" s="676" t="str">
        <f>IF(OR(MID(TRIM(报表格式!S147),2,1)="：",MID(TRIM(报表格式!S147),2,1)="、"),REPLACEB(TRIM(报表格式!S147),1,4,""),TRIM(报表格式!S147))</f>
        <v>其他应付款</v>
      </c>
      <c r="S147" s="681" t="s">
        <v>1379</v>
      </c>
    </row>
    <row r="148" spans="17:19">
      <c r="Q148" s="192" t="str">
        <f>报表格式!R148</f>
        <v>E16-1</v>
      </c>
      <c r="R148" s="674" t="str">
        <f>IF(OR(MID(TRIM(报表格式!S148),3,1)="：",MID(TRIM(报表格式!S148),2,1)="、"),REPLACEB(TRIM(报表格式!S148),1,6,""),TRIM(报表格式!S148))</f>
        <v>应付利息</v>
      </c>
      <c r="S148" s="681" t="s">
        <v>1380</v>
      </c>
    </row>
    <row r="149" spans="17:19">
      <c r="Q149" s="192" t="str">
        <f>报表格式!R149</f>
        <v>E16-2</v>
      </c>
      <c r="R149" s="674" t="str">
        <f>IF(OR(MID(TRIM(报表格式!S149),2,1)="：",MID(TRIM(报表格式!S149),2,1)="、"),REPLACEB(TRIM(报表格式!S149),1,4,""),TRIM(报表格式!S149))</f>
        <v>应付股利</v>
      </c>
      <c r="S149" s="681" t="s">
        <v>1380</v>
      </c>
    </row>
    <row r="150" spans="17:19">
      <c r="Q150" s="192" t="str">
        <f>报表格式!R150</f>
        <v>E17</v>
      </c>
      <c r="R150" s="676" t="str">
        <f>IF(OR(MID(TRIM(报表格式!S150),2,1)="：",MID(TRIM(报表格式!S150),2,1)="、"),REPLACEB(TRIM(报表格式!S150),1,4,""), IF(RIGHT(TRIM(报表格式!S150),1)="*",LEFT(TRIM(报表格式!S150),LEN(TRIM(报表格式!S150))-1),TRIM(报表格式!S150)))</f>
        <v>应付手续费及佣金</v>
      </c>
      <c r="S150" s="681" t="s">
        <v>1379</v>
      </c>
    </row>
    <row r="151" spans="17:19">
      <c r="Q151" s="192" t="str">
        <f>报表格式!R151</f>
        <v>E18</v>
      </c>
      <c r="R151" s="676" t="str">
        <f>IF(OR(MID(TRIM(报表格式!S151),2,1)="：",MID(TRIM(报表格式!S151),2,1)="、"),REPLACEB(TRIM(报表格式!S151),1,4,""), IF(RIGHT(TRIM(报表格式!S151),1)="*",LEFT(TRIM(报表格式!S151),LEN(TRIM(报表格式!S151))-1),TRIM(报表格式!S151)))</f>
        <v>应付分保账款</v>
      </c>
      <c r="S151" s="681" t="s">
        <v>1379</v>
      </c>
    </row>
    <row r="152" spans="17:19">
      <c r="Q152" s="192" t="str">
        <f>报表格式!R152</f>
        <v>E19</v>
      </c>
      <c r="R152" s="676" t="str">
        <f>IF(OR(MID(TRIM(报表格式!S152),2,1)="：",MID(TRIM(报表格式!S152),2,1)="、"),REPLACEB(TRIM(报表格式!S152),1,4,""),TRIM(报表格式!S152))</f>
        <v>持有待售负债</v>
      </c>
      <c r="S152" s="681" t="s">
        <v>1379</v>
      </c>
    </row>
    <row r="153" spans="17:19">
      <c r="Q153" s="192" t="str">
        <f>报表格式!R153</f>
        <v>E20</v>
      </c>
      <c r="R153" s="676" t="str">
        <f>IF(OR(MID(TRIM(报表格式!S153),2,1)="：",MID(TRIM(报表格式!S153),2,1)="、"),REPLACEB(TRIM(报表格式!S153),1,4,""),TRIM(报表格式!S153))</f>
        <v>一年内到期的非流动负债</v>
      </c>
      <c r="S153" s="681" t="s">
        <v>1379</v>
      </c>
    </row>
    <row r="154" spans="17:19">
      <c r="Q154" s="192" t="str">
        <f>报表格式!R154</f>
        <v>E21</v>
      </c>
      <c r="R154" s="676" t="str">
        <f>IF(OR(MID(TRIM(报表格式!S154),2,1)="：",MID(TRIM(报表格式!S154),2,1)="、"),REPLACEB(TRIM(报表格式!S154),1,4,""),TRIM(报表格式!S154))</f>
        <v>其他流动负债</v>
      </c>
      <c r="S154" s="681" t="s">
        <v>1379</v>
      </c>
    </row>
    <row r="155" spans="17:19">
      <c r="Q155" s="192" t="str">
        <f>报表格式!R155</f>
        <v>E22</v>
      </c>
      <c r="R155" s="676" t="str">
        <f>IF(OR(MID(TRIM(报表格式!S155),2,1)="：",MID(TRIM(报表格式!S155),2,1)="、"),REPLACEB(TRIM(报表格式!S155),1,4,""), IF(RIGHT(TRIM(报表格式!S155),1)="*",LEFT(TRIM(报表格式!S155),LEN(TRIM(报表格式!S155))-1),TRIM(报表格式!S155)))</f>
        <v>保险合同准备金</v>
      </c>
      <c r="S155" s="681" t="s">
        <v>1379</v>
      </c>
    </row>
    <row r="156" spans="17:19">
      <c r="Q156" s="192">
        <f>报表格式!R156</f>
        <v>0</v>
      </c>
      <c r="R156" s="676" t="str">
        <f>IF(OR(MID(TRIM(报表格式!S156),2,1)="：",MID(TRIM(报表格式!S156),2,1)="、"),REPLACEB(TRIM(报表格式!S156),1,4,""),TRIM(报表格式!S156))</f>
        <v>流动负债合计</v>
      </c>
    </row>
    <row r="157" spans="17:19">
      <c r="Q157" s="192">
        <f>报表格式!R157</f>
        <v>0</v>
      </c>
      <c r="R157" s="676" t="str">
        <f>IF(OR(MID(TRIM(报表格式!S157),2,1)="：",MID(TRIM(报表格式!S157),2,1)="、"),REPLACEB(TRIM(报表格式!S157),1,4,""),TRIM(报表格式!S157))</f>
        <v>非流动负债:</v>
      </c>
    </row>
    <row r="158" spans="17:19">
      <c r="Q158" s="192" t="str">
        <f>报表格式!R158</f>
        <v>E23</v>
      </c>
      <c r="R158" s="676" t="str">
        <f>IF(OR(MID(TRIM(报表格式!S158),2,1)="：",MID(TRIM(报表格式!S158),2,1)="、"),REPLACEB(TRIM(报表格式!S158),1,4,""),TRIM(报表格式!S158))</f>
        <v>长期借款</v>
      </c>
      <c r="S158" s="681" t="s">
        <v>1379</v>
      </c>
    </row>
    <row r="159" spans="17:19">
      <c r="Q159" s="192" t="str">
        <f>报表格式!R159</f>
        <v>E24</v>
      </c>
      <c r="R159" s="676" t="str">
        <f>IF(OR(MID(TRIM(报表格式!S159),2,1)="：",MID(TRIM(报表格式!S159),2,1)="、"),REPLACEB(TRIM(报表格式!S159),1,4,""),TRIM(报表格式!S159))</f>
        <v>应付债券</v>
      </c>
      <c r="S159" s="681" t="s">
        <v>1379</v>
      </c>
    </row>
    <row r="160" spans="17:19">
      <c r="Q160" s="192" t="str">
        <f>报表格式!R160</f>
        <v>E24-1</v>
      </c>
      <c r="R160" s="674" t="str">
        <f>IF(OR(MID(TRIM(报表格式!S160),3,1)="：",MID(TRIM(报表格式!S160),2,1)="、"),REPLACEB(TRIM(报表格式!S160),1,6,""),TRIM(报表格式!S160))</f>
        <v>优先股</v>
      </c>
      <c r="S160" s="681" t="s">
        <v>1380</v>
      </c>
    </row>
    <row r="161" spans="17:19">
      <c r="Q161" s="192" t="str">
        <f>报表格式!R161</f>
        <v>E24-2</v>
      </c>
      <c r="R161" s="674" t="str">
        <f>IF(OR(MID(TRIM(报表格式!S161),2,1)="：",MID(TRIM(报表格式!S161),2,1)="、"),REPLACEB(TRIM(报表格式!S161),1,4,""),TRIM(报表格式!S161))</f>
        <v>永续债</v>
      </c>
      <c r="S161" s="681" t="s">
        <v>1380</v>
      </c>
    </row>
    <row r="162" spans="17:19">
      <c r="Q162" s="192" t="str">
        <f>报表格式!R162</f>
        <v>E25</v>
      </c>
      <c r="R162" s="676" t="str">
        <f>IF(OR(MID(TRIM(报表格式!S162),2,1)="：",MID(TRIM(报表格式!S162),2,1)="、"),REPLACEB(TRIM(报表格式!S162),1,4,""),TRIM(报表格式!S162))</f>
        <v>租赁负债</v>
      </c>
      <c r="S162" s="681" t="s">
        <v>1379</v>
      </c>
    </row>
    <row r="163" spans="17:19">
      <c r="Q163" s="192" t="str">
        <f>报表格式!R163</f>
        <v>E26</v>
      </c>
      <c r="R163" s="676" t="str">
        <f>IF(OR(MID(TRIM(报表格式!S163),2,1)="：",MID(TRIM(报表格式!S163),2,1)="、"),REPLACEB(TRIM(报表格式!S163),1,4,""),TRIM(报表格式!S163))</f>
        <v>长期应付款</v>
      </c>
      <c r="S163" s="681" t="s">
        <v>1379</v>
      </c>
    </row>
    <row r="164" spans="17:19">
      <c r="Q164" s="192" t="str">
        <f>报表格式!R164</f>
        <v>E27</v>
      </c>
      <c r="R164" s="676" t="str">
        <f>IF(OR(MID(TRIM(报表格式!S164),2,1)="：",MID(TRIM(报表格式!S164),2,1)="、"),REPLACEB(TRIM(报表格式!S164),1,4,""),TRIM(报表格式!S164))</f>
        <v>专项应付款</v>
      </c>
      <c r="S164" s="681" t="s">
        <v>1379</v>
      </c>
    </row>
    <row r="165" spans="17:19">
      <c r="Q165" s="192" t="str">
        <f>报表格式!R165</f>
        <v>E28</v>
      </c>
      <c r="R165" s="676" t="str">
        <f>IF(OR(MID(TRIM(报表格式!S165),2,1)="：",MID(TRIM(报表格式!S165),2,1)="、"),REPLACEB(TRIM(报表格式!S165),1,4,""),TRIM(报表格式!S165))</f>
        <v>长期应付职工薪酬</v>
      </c>
      <c r="S165" s="681" t="s">
        <v>1379</v>
      </c>
    </row>
    <row r="166" spans="17:19">
      <c r="Q166" s="192" t="str">
        <f>报表格式!R166</f>
        <v>E29</v>
      </c>
      <c r="R166" s="676" t="str">
        <f>IF(OR(MID(TRIM(报表格式!S166),2,1)="：",MID(TRIM(报表格式!S166),2,1)="、"),REPLACEB(TRIM(报表格式!S166),1,4,""),TRIM(报表格式!S166))</f>
        <v>预计负债</v>
      </c>
      <c r="S166" s="681" t="s">
        <v>1379</v>
      </c>
    </row>
    <row r="167" spans="17:19">
      <c r="Q167" s="192" t="str">
        <f>报表格式!R167</f>
        <v>E30</v>
      </c>
      <c r="R167" s="676" t="str">
        <f>IF(OR(MID(TRIM(报表格式!S167),2,1)="：",MID(TRIM(报表格式!S167),2,1)="、"),REPLACEB(TRIM(报表格式!S167),1,4,""),TRIM(报表格式!S167))</f>
        <v>递延收益</v>
      </c>
      <c r="S167" s="681" t="s">
        <v>1379</v>
      </c>
    </row>
    <row r="168" spans="17:19">
      <c r="Q168" s="192" t="str">
        <f>报表格式!R168</f>
        <v>E31</v>
      </c>
      <c r="R168" s="676" t="str">
        <f>IF(OR(MID(TRIM(报表格式!S168),2,1)="：",MID(TRIM(报表格式!S168),2,1)="、"),REPLACEB(TRIM(报表格式!S168),1,4,""),TRIM(报表格式!S168))</f>
        <v>递延所得税负债</v>
      </c>
      <c r="S168" s="681" t="s">
        <v>1379</v>
      </c>
    </row>
    <row r="169" spans="17:19">
      <c r="Q169" s="192" t="str">
        <f>报表格式!R169</f>
        <v>E32</v>
      </c>
      <c r="R169" s="676" t="str">
        <f>IF(OR(MID(TRIM(报表格式!S169),2,1)="：",MID(TRIM(报表格式!S169),2,1)="、"),REPLACEB(TRIM(报表格式!S169),1,4,""),TRIM(报表格式!S169))</f>
        <v>其他非流动负债</v>
      </c>
      <c r="S169" s="681" t="s">
        <v>1379</v>
      </c>
    </row>
    <row r="170" spans="17:19">
      <c r="Q170" s="192" t="str">
        <f>报表格式!R170</f>
        <v>E32-1</v>
      </c>
      <c r="R170" s="674" t="str">
        <f>IF(OR(MID(TRIM(报表格式!S170),3,1)="：",MID(TRIM(报表格式!S170),2,1)="、"),REPLACEB(TRIM(报表格式!S170),1,6,""),TRIM(报表格式!S170))</f>
        <v>特准储备基金</v>
      </c>
      <c r="S170" s="681" t="s">
        <v>1380</v>
      </c>
    </row>
    <row r="171" spans="17:19">
      <c r="Q171" s="192">
        <f>报表格式!R171</f>
        <v>0</v>
      </c>
      <c r="R171" s="676" t="str">
        <f>IF(OR(MID(TRIM(报表格式!S171),2,1)="：",MID(TRIM(报表格式!S171),2,1)="、"),REPLACEB(TRIM(报表格式!S171),1,4,""),TRIM(报表格式!S171))</f>
        <v>非流动负债合计</v>
      </c>
    </row>
    <row r="172" spans="17:19">
      <c r="Q172" s="192">
        <f>报表格式!R172</f>
        <v>0</v>
      </c>
      <c r="R172" s="676" t="str">
        <f>IF(OR(MID(TRIM(报表格式!S172),2,1)="：",MID(TRIM(报表格式!S172),2,1)="、"),REPLACEB(TRIM(报表格式!S172),1,4,""),TRIM(报表格式!S172))</f>
        <v>负 债 合 计</v>
      </c>
    </row>
    <row r="173" spans="17:19">
      <c r="Q173" s="192">
        <f>报表格式!R173</f>
        <v>0</v>
      </c>
      <c r="R173" s="676" t="str">
        <f>IF(OR(MID(TRIM(报表格式!S173),2,1)="：",MID(TRIM(报表格式!S173),2,1)="、"),REPLACEB(TRIM(报表格式!S173),1,4,""),TRIM(报表格式!S173))</f>
        <v>股东权益：</v>
      </c>
    </row>
    <row r="174" spans="17:19">
      <c r="Q174" s="192" t="str">
        <f>报表格式!R174</f>
        <v>F1</v>
      </c>
      <c r="R174" s="676" t="str">
        <f>IF(OR(MID(TRIM(报表格式!S174),2,1)="：",MID(TRIM(报表格式!S174),2,1)="、"),REPLACEB(TRIM(报表格式!S174),1,4,""),TRIM(报表格式!S174))</f>
        <v>实收资本（或股本）</v>
      </c>
      <c r="S174" s="681" t="s">
        <v>1379</v>
      </c>
    </row>
    <row r="175" spans="17:19">
      <c r="Q175" s="192" t="str">
        <f>报表格式!R175</f>
        <v>F2</v>
      </c>
      <c r="R175" s="676" t="str">
        <f>IF(OR(MID(TRIM(报表格式!S175),2,1)="：",MID(TRIM(报表格式!S175),2,1)="、"),REPLACEB(TRIM(报表格式!S175),1,4,""),TRIM(报表格式!S175))</f>
        <v>其他权益工具</v>
      </c>
      <c r="S175" s="681" t="s">
        <v>1379</v>
      </c>
    </row>
    <row r="176" spans="17:19">
      <c r="Q176" s="192" t="str">
        <f>报表格式!R176</f>
        <v>F2-1</v>
      </c>
      <c r="R176" s="674" t="str">
        <f>IF(OR(MID(TRIM(报表格式!S176),3,1)="：",MID(TRIM(报表格式!S176),2,1)="、"),REPLACEB(TRIM(报表格式!S176),1,6,""),TRIM(报表格式!S176))</f>
        <v>优先股</v>
      </c>
      <c r="S176" s="681" t="s">
        <v>1380</v>
      </c>
    </row>
    <row r="177" spans="17:19">
      <c r="Q177" s="192" t="str">
        <f>报表格式!R177</f>
        <v>F2-2</v>
      </c>
      <c r="R177" s="674" t="str">
        <f>IF(OR(MID(TRIM(报表格式!S177),2,1)="：",MID(TRIM(报表格式!S177),2,1)="、"),REPLACEB(TRIM(报表格式!S177),1,4,""),TRIM(报表格式!S177))</f>
        <v>永续债</v>
      </c>
      <c r="S177" s="681" t="s">
        <v>1380</v>
      </c>
    </row>
    <row r="178" spans="17:19">
      <c r="Q178" s="192" t="str">
        <f>报表格式!R178</f>
        <v>F3</v>
      </c>
      <c r="R178" s="676" t="str">
        <f>IF(OR(MID(TRIM(报表格式!S178),2,1)="：",MID(TRIM(报表格式!S178),2,1)="、"),REPLACEB(TRIM(报表格式!S178),1,4,""),TRIM(报表格式!S178))</f>
        <v>资本公积</v>
      </c>
      <c r="S178" s="681" t="s">
        <v>1379</v>
      </c>
    </row>
    <row r="179" spans="17:19">
      <c r="Q179" s="192" t="str">
        <f>报表格式!R179</f>
        <v>F4</v>
      </c>
      <c r="R179" s="676" t="str">
        <f>IF(OR(MID(TRIM(报表格式!S179),2,1)="：",MID(TRIM(报表格式!S179),2,1)="、"),REPLACEB(TRIM(报表格式!S179),1,4,""),TRIM(报表格式!S179))</f>
        <v>库存股</v>
      </c>
      <c r="S179" s="681" t="s">
        <v>1379</v>
      </c>
    </row>
    <row r="180" spans="17:19">
      <c r="Q180" s="192" t="str">
        <f>报表格式!R180</f>
        <v>F5</v>
      </c>
      <c r="R180" s="676" t="str">
        <f>IF(OR(MID(TRIM(报表格式!S180),2,1)="：",MID(TRIM(报表格式!S180),2,1)="、"),REPLACEB(TRIM(报表格式!S180),1,4,""),TRIM(报表格式!S180))</f>
        <v>其他综合收益</v>
      </c>
      <c r="S180" s="681" t="s">
        <v>1379</v>
      </c>
    </row>
    <row r="181" spans="17:19">
      <c r="Q181" s="192" t="str">
        <f>报表格式!R181</f>
        <v>F6</v>
      </c>
      <c r="R181" s="676" t="str">
        <f>IF(OR(MID(TRIM(报表格式!S181),2,1)="：",MID(TRIM(报表格式!S181),2,1)="、"),REPLACEB(TRIM(报表格式!S181),1,4,""),TRIM(报表格式!S181))</f>
        <v>专项储备</v>
      </c>
      <c r="S181" s="681" t="s">
        <v>1379</v>
      </c>
    </row>
    <row r="182" spans="17:19">
      <c r="Q182" s="192" t="str">
        <f>报表格式!R182</f>
        <v>F7</v>
      </c>
      <c r="R182" s="676" t="str">
        <f>IF(OR(MID(TRIM(报表格式!S182),2,1)="：",MID(TRIM(报表格式!S182),2,1)="、"),REPLACEB(TRIM(报表格式!S182),1,4,""),TRIM(报表格式!S182))</f>
        <v>盈余公积</v>
      </c>
      <c r="S182" s="681" t="s">
        <v>1379</v>
      </c>
    </row>
    <row r="183" spans="17:19">
      <c r="Q183" s="192" t="str">
        <f>报表格式!R183</f>
        <v>F8</v>
      </c>
      <c r="R183" s="676" t="str">
        <f>IF(OR(MID(TRIM(报表格式!S183),2,1)="：",MID(TRIM(报表格式!S183),2,1)="、"),REPLACEB(TRIM(报表格式!S183),1,4,""), IF(RIGHT(TRIM(报表格式!S183),1)="*",LEFT(TRIM(报表格式!S183),LEN(TRIM(报表格式!S183))-1),TRIM(报表格式!S183)))</f>
        <v>一般风险准备</v>
      </c>
      <c r="S183" s="681" t="s">
        <v>1379</v>
      </c>
    </row>
    <row r="184" spans="17:19">
      <c r="Q184" s="192" t="str">
        <f>报表格式!R184</f>
        <v>F9</v>
      </c>
      <c r="R184" s="676" t="str">
        <f>IF(OR(MID(TRIM(报表格式!S184),2,1)="：",MID(TRIM(报表格式!S184),2,1)="、"),REPLACEB(TRIM(报表格式!S184),1,4,""),TRIM(报表格式!S184))</f>
        <v>未分配利润</v>
      </c>
      <c r="S184" s="681" t="s">
        <v>1379</v>
      </c>
    </row>
    <row r="185" spans="17:19">
      <c r="Q185" s="192">
        <f>报表格式!R185</f>
        <v>0</v>
      </c>
      <c r="R185" s="676" t="str">
        <f>IF(OR(MID(TRIM(报表格式!S185),2,1)="：",MID(TRIM(报表格式!S185),2,1)="、"),REPLACEB(TRIM(报表格式!S185),1,4,""),TRIM(报表格式!S185))</f>
        <v>归属于母公司所有者权益（或股东权益）合计</v>
      </c>
    </row>
    <row r="186" spans="17:19">
      <c r="Q186" s="192" t="str">
        <f>报表格式!R186</f>
        <v>F10</v>
      </c>
      <c r="R186" s="676" t="str">
        <f>IF(OR(MID(TRIM(报表格式!S186),2,1)="：",MID(TRIM(报表格式!S186),2,1)="、"),REPLACEB(TRIM(报表格式!S186),1,4,""),TRIM(报表格式!S186))</f>
        <v>少数股东权益</v>
      </c>
      <c r="S186" s="681" t="s">
        <v>1379</v>
      </c>
    </row>
    <row r="187" spans="17:19">
      <c r="Q187" s="192">
        <f>报表格式!R187</f>
        <v>0</v>
      </c>
      <c r="R187" s="676" t="str">
        <f>IF(OR(MID(TRIM(报表格式!S187),2,1)="：",MID(TRIM(报表格式!S187),2,1)="、"),REPLACEB(TRIM(报表格式!S187),1,4,""),TRIM(报表格式!S187))</f>
        <v>所有者权益（或股东权益）合计</v>
      </c>
    </row>
    <row r="188" spans="17:19">
      <c r="Q188" s="192">
        <f>报表格式!R188</f>
        <v>0</v>
      </c>
      <c r="R188" s="676" t="str">
        <f>IF(OR(MID(TRIM(报表格式!S188),2,1)="：",MID(TRIM(报表格式!S188),2,1)="、"),REPLACEB(TRIM(报表格式!S188),1,4,""),TRIM(报表格式!S188))</f>
        <v>损 益 类</v>
      </c>
    </row>
    <row r="189" spans="17:19">
      <c r="Q189" s="192">
        <f>报表格式!R189</f>
        <v>0</v>
      </c>
      <c r="R189" s="676" t="str">
        <f>IF(OR(MID(TRIM(报表格式!S189),2,1)="：",MID(TRIM(报表格式!S189),2,1)="、"),REPLACEB(TRIM(报表格式!S189),1,4,""),TRIM(报表格式!S189))</f>
        <v>营业总收入</v>
      </c>
    </row>
    <row r="190" spans="17:19">
      <c r="Q190" s="192" t="str">
        <f>报表格式!R190</f>
        <v>G1</v>
      </c>
      <c r="R190" s="676" t="str">
        <f>IF(OR(MID(TRIM(报表格式!S190),3,1)="：",MID(TRIM(报表格式!S190),2,1)="、"),REPLACEB(TRIM(报表格式!S190),1,6,""),TRIM(报表格式!S190))</f>
        <v>主营业务收入</v>
      </c>
      <c r="S190" s="681" t="s">
        <v>1379</v>
      </c>
    </row>
    <row r="191" spans="17:19">
      <c r="Q191" s="192" t="str">
        <f>报表格式!R191</f>
        <v>G2</v>
      </c>
      <c r="R191" s="676" t="str">
        <f>IF(OR(MID(TRIM(报表格式!S191),2,1)="：",MID(TRIM(报表格式!S191),2,1)="、"),REPLACEB(TRIM(报表格式!S191),1,4,""),TRIM(报表格式!S191))</f>
        <v>其他业务收入</v>
      </c>
      <c r="S191" s="681" t="s">
        <v>1379</v>
      </c>
    </row>
    <row r="192" spans="17:19">
      <c r="Q192" s="192" t="str">
        <f>报表格式!R192</f>
        <v>G3</v>
      </c>
      <c r="R192" s="676" t="str">
        <f>IF(OR(MID(TRIM(报表格式!S192),2,1)="：",MID(TRIM(报表格式!S192),2,1)="、"),REPLACEB(TRIM(报表格式!S192),1,4,""), IF(RIGHT(TRIM(报表格式!S192),1)="*",LEFT(TRIM(报表格式!S192),LEN(TRIM(报表格式!S192))-1),TRIM(报表格式!S192)))</f>
        <v>利息收入</v>
      </c>
      <c r="S192" s="681" t="s">
        <v>1379</v>
      </c>
    </row>
    <row r="193" spans="17:19">
      <c r="Q193" s="192" t="str">
        <f>报表格式!R193</f>
        <v>G4</v>
      </c>
      <c r="R193" s="676" t="str">
        <f>IF(OR(MID(TRIM(报表格式!S193),2,1)="：",MID(TRIM(报表格式!S193),2,1)="、"),REPLACEB(TRIM(报表格式!S193),1,4,""), IF(RIGHT(TRIM(报表格式!S193),1)="*",LEFT(TRIM(报表格式!S193),LEN(TRIM(报表格式!S193))-1),TRIM(报表格式!S193)))</f>
        <v>已赚保费</v>
      </c>
      <c r="S193" s="681" t="s">
        <v>1379</v>
      </c>
    </row>
    <row r="194" spans="17:19">
      <c r="Q194" s="192" t="str">
        <f>报表格式!R194</f>
        <v>G5</v>
      </c>
      <c r="R194" s="676" t="str">
        <f>IF(OR(MID(TRIM(报表格式!S194),2,1)="：",MID(TRIM(报表格式!S194),2,1)="、"),REPLACEB(TRIM(报表格式!S194),1,4,""), IF(RIGHT(TRIM(报表格式!S194),1)="*",LEFT(TRIM(报表格式!S194),LEN(TRIM(报表格式!S194))-1),TRIM(报表格式!S194)))</f>
        <v>手续费及佣金收入</v>
      </c>
      <c r="S194" s="681" t="s">
        <v>1379</v>
      </c>
    </row>
    <row r="195" spans="17:19">
      <c r="Q195" s="192">
        <f>报表格式!R195</f>
        <v>0</v>
      </c>
      <c r="R195" s="676" t="str">
        <f>IF(OR(MID(TRIM(报表格式!S195),2,1)="：",MID(TRIM(报表格式!S195),2,1)="、"),REPLACEB(TRIM(报表格式!S195),1,4,""),TRIM(报表格式!S195))</f>
        <v>营业总成本</v>
      </c>
    </row>
    <row r="196" spans="17:19">
      <c r="Q196" s="192" t="str">
        <f>报表格式!R196</f>
        <v>G6</v>
      </c>
      <c r="R196" s="676" t="str">
        <f>IF(OR(MID(TRIM(报表格式!S196),3,1)="：",MID(TRIM(报表格式!S196),2,1)="、"),REPLACEB(TRIM(报表格式!S196),1,6,""),TRIM(报表格式!S196))</f>
        <v>主营业务成本</v>
      </c>
      <c r="S196" s="681" t="s">
        <v>1379</v>
      </c>
    </row>
    <row r="197" spans="17:19">
      <c r="Q197" s="192" t="str">
        <f>报表格式!R197</f>
        <v>G7</v>
      </c>
      <c r="R197" s="676" t="str">
        <f>IF(OR(MID(TRIM(报表格式!S197),2,1)="：",MID(TRIM(报表格式!S197),2,1)="、"),REPLACEB(TRIM(报表格式!S197),1,4,""),TRIM(报表格式!S197))</f>
        <v>其他业务成本</v>
      </c>
      <c r="S197" s="681" t="s">
        <v>1379</v>
      </c>
    </row>
    <row r="198" spans="17:19">
      <c r="Q198" s="192" t="str">
        <f>报表格式!R198</f>
        <v>G8</v>
      </c>
      <c r="R198" s="676" t="str">
        <f>IF(OR(MID(TRIM(报表格式!S198),2,1)="：",MID(TRIM(报表格式!S198),2,1)="、"),REPLACEB(TRIM(报表格式!S198),1,4,""), IF(RIGHT(TRIM(报表格式!S198),1)="*",LEFT(TRIM(报表格式!S198),LEN(TRIM(报表格式!S198))-1),TRIM(报表格式!S198)))</f>
        <v>利息支出</v>
      </c>
      <c r="S198" s="681" t="s">
        <v>1379</v>
      </c>
    </row>
    <row r="199" spans="17:19">
      <c r="Q199" s="192" t="str">
        <f>报表格式!R199</f>
        <v>G9</v>
      </c>
      <c r="R199" s="676" t="str">
        <f>IF(OR(MID(TRIM(报表格式!S199),2,1)="：",MID(TRIM(报表格式!S199),2,1)="、"),REPLACEB(TRIM(报表格式!S199),1,4,""), IF(RIGHT(TRIM(报表格式!S199),1)="*",LEFT(TRIM(报表格式!S199),LEN(TRIM(报表格式!S199))-1),TRIM(报表格式!S199)))</f>
        <v>手续费及佣金支出</v>
      </c>
      <c r="S199" s="681" t="s">
        <v>1379</v>
      </c>
    </row>
    <row r="200" spans="17:19">
      <c r="Q200" s="192" t="str">
        <f>报表格式!R200</f>
        <v>G10</v>
      </c>
      <c r="R200" s="676" t="str">
        <f>IF(OR(MID(TRIM(报表格式!S200),2,1)="：",MID(TRIM(报表格式!S200),2,1)="、"),REPLACEB(TRIM(报表格式!S200),1,4,""), IF(RIGHT(TRIM(报表格式!S200),1)="*",LEFT(TRIM(报表格式!S200),LEN(TRIM(报表格式!S200))-1),TRIM(报表格式!S200)))</f>
        <v>退保金</v>
      </c>
      <c r="S200" s="681" t="s">
        <v>1379</v>
      </c>
    </row>
    <row r="201" spans="17:19">
      <c r="Q201" s="192" t="str">
        <f>报表格式!R201</f>
        <v>G11</v>
      </c>
      <c r="R201" s="676" t="str">
        <f>IF(OR(MID(TRIM(报表格式!S201),2,1)="：",MID(TRIM(报表格式!S201),2,1)="、"),REPLACEB(TRIM(报表格式!S201),1,4,""), IF(RIGHT(TRIM(报表格式!S201),1)="*",LEFT(TRIM(报表格式!S201),LEN(TRIM(报表格式!S201))-1),TRIM(报表格式!S201)))</f>
        <v>赔付支出净额</v>
      </c>
      <c r="S201" s="681" t="s">
        <v>1379</v>
      </c>
    </row>
    <row r="202" spans="17:19">
      <c r="Q202" s="192" t="str">
        <f>报表格式!R202</f>
        <v>G12</v>
      </c>
      <c r="R202" s="676" t="str">
        <f>IF(OR(MID(TRIM(报表格式!S202),2,1)="：",MID(TRIM(报表格式!S202),2,1)="、"),REPLACEB(TRIM(报表格式!S202),1,4,""), IF(RIGHT(TRIM(报表格式!S202),1)="*",LEFT(TRIM(报表格式!S202),LEN(TRIM(报表格式!S202))-1),TRIM(报表格式!S202)))</f>
        <v>提取保险责任准备金净额</v>
      </c>
      <c r="S202" s="681" t="s">
        <v>1379</v>
      </c>
    </row>
    <row r="203" spans="17:19">
      <c r="Q203" s="192" t="str">
        <f>报表格式!R203</f>
        <v>G13</v>
      </c>
      <c r="R203" s="676" t="str">
        <f>IF(OR(MID(TRIM(报表格式!S203),2,1)="：",MID(TRIM(报表格式!S203),2,1)="、"),REPLACEB(TRIM(报表格式!S203),1,4,""), IF(RIGHT(TRIM(报表格式!S203),1)="*",LEFT(TRIM(报表格式!S203),LEN(TRIM(报表格式!S203))-1),TRIM(报表格式!S203)))</f>
        <v>保单红利支出</v>
      </c>
      <c r="S203" s="681" t="s">
        <v>1379</v>
      </c>
    </row>
    <row r="204" spans="17:19">
      <c r="Q204" s="192" t="str">
        <f>报表格式!R204</f>
        <v>G14</v>
      </c>
      <c r="R204" s="676" t="str">
        <f>IF(OR(MID(TRIM(报表格式!S204),2,1)="：",MID(TRIM(报表格式!S204),2,1)="、"),REPLACEB(TRIM(报表格式!S204),1,4,""), IF(RIGHT(TRIM(报表格式!S204),1)="*",LEFT(TRIM(报表格式!S204),LEN(TRIM(报表格式!S204))-1),TRIM(报表格式!S204)))</f>
        <v>分保费用</v>
      </c>
      <c r="S204" s="681" t="s">
        <v>1379</v>
      </c>
    </row>
    <row r="205" spans="17:19">
      <c r="Q205" s="192" t="str">
        <f>报表格式!R205</f>
        <v>G15</v>
      </c>
      <c r="R205" s="676" t="str">
        <f>IF(OR(MID(TRIM(报表格式!S205),2,1)="：",MID(TRIM(报表格式!S205),2,1)="、"),REPLACEB(TRIM(报表格式!S205),1,4,""),TRIM(报表格式!S205))</f>
        <v>税金及附加</v>
      </c>
      <c r="S205" s="681" t="s">
        <v>1379</v>
      </c>
    </row>
    <row r="206" spans="17:19">
      <c r="Q206" s="192" t="str">
        <f>报表格式!R206</f>
        <v>G16</v>
      </c>
      <c r="R206" s="676" t="str">
        <f>IF(OR(MID(TRIM(报表格式!S206),2,1)="：",MID(TRIM(报表格式!S206),2,1)="、"),REPLACEB(TRIM(报表格式!S206),1,4,""),TRIM(报表格式!S206))</f>
        <v>销售费用</v>
      </c>
      <c r="S206" s="681" t="s">
        <v>1379</v>
      </c>
    </row>
    <row r="207" spans="17:19">
      <c r="Q207" s="192" t="str">
        <f>报表格式!R207</f>
        <v>G17</v>
      </c>
      <c r="R207" s="676" t="str">
        <f>IF(OR(MID(TRIM(报表格式!S207),2,1)="：",MID(TRIM(报表格式!S207),2,1)="、"),REPLACEB(TRIM(报表格式!S207),1,4,""),TRIM(报表格式!S207))</f>
        <v>管理费用</v>
      </c>
      <c r="S207" s="681" t="s">
        <v>1379</v>
      </c>
    </row>
    <row r="208" spans="17:19">
      <c r="Q208" s="192" t="str">
        <f>报表格式!R208</f>
        <v>G18</v>
      </c>
      <c r="R208" s="676" t="str">
        <f>IF(OR(MID(TRIM(报表格式!S208),2,1)="：",MID(TRIM(报表格式!S208),2,1)="、"),REPLACEB(TRIM(报表格式!S208),1,4,""),TRIM(报表格式!S208))</f>
        <v>研发费用</v>
      </c>
      <c r="S208" s="681" t="s">
        <v>1379</v>
      </c>
    </row>
    <row r="209" spans="17:19">
      <c r="Q209" s="192" t="str">
        <f>报表格式!R209</f>
        <v>G19</v>
      </c>
      <c r="R209" s="676" t="str">
        <f>IF(OR(MID(TRIM(报表格式!S209),2,1)="：",MID(TRIM(报表格式!S209),2,1)="、"),REPLACEB(TRIM(报表格式!S209),1,4,""),TRIM(报表格式!S209))</f>
        <v>财务费用</v>
      </c>
      <c r="S209" s="681" t="s">
        <v>1379</v>
      </c>
    </row>
    <row r="210" spans="17:19">
      <c r="Q210" s="192" t="str">
        <f>报表格式!R210</f>
        <v>G19-1</v>
      </c>
      <c r="R210" s="674" t="str">
        <f>IF(OR(MID(TRIM(报表格式!S210),3,1)="：",MID(TRIM(报表格式!S210),2,1)="、"),REPLACEB(TRIM(报表格式!S210),1,6,""),TRIM(报表格式!S210))</f>
        <v>利息费用</v>
      </c>
      <c r="S210" s="681" t="s">
        <v>1380</v>
      </c>
    </row>
    <row r="211" spans="17:19">
      <c r="Q211" s="192" t="str">
        <f>报表格式!R211</f>
        <v>G19-2</v>
      </c>
      <c r="R211" s="674" t="str">
        <f>IF(OR(MID(TRIM(报表格式!S211),2,1)="：",MID(TRIM(报表格式!S211),2,1)="、"),REPLACEB(TRIM(报表格式!S211),1,4,""),TRIM(报表格式!S211))</f>
        <v>利息收入</v>
      </c>
      <c r="S211" s="681" t="s">
        <v>1380</v>
      </c>
    </row>
    <row r="212" spans="17:19">
      <c r="Q212" s="192" t="str">
        <f>报表格式!R212</f>
        <v>G19-3</v>
      </c>
      <c r="R212" s="674" t="str">
        <f>LEFT(IF(OR(MID(TRIM(报表格式!S212),2,1)="：",MID(TRIM(报表格式!S212),2,1)="、"),REPLACEB(TRIM(报表格式!S212),1,4,""),TRIM(报表格式!S212)),FIND("（",TRIM(报表格式!S212))-1)</f>
        <v>汇兑净损失</v>
      </c>
      <c r="S212" s="681" t="s">
        <v>1380</v>
      </c>
    </row>
    <row r="213" spans="17:19">
      <c r="Q213" s="192" t="str">
        <f>报表格式!R213</f>
        <v>G20</v>
      </c>
      <c r="R213" s="676" t="str">
        <f>IF(OR(MID(TRIM(报表格式!S213),2,1)="：",MID(TRIM(报表格式!S213),2,1)="、"),REPLACEB(TRIM(报表格式!S213),1,4,""),TRIM(报表格式!S213))</f>
        <v>其他</v>
      </c>
      <c r="S213" s="681" t="s">
        <v>1379</v>
      </c>
    </row>
    <row r="214" spans="17:19">
      <c r="Q214" s="192" t="str">
        <f>报表格式!R214</f>
        <v>G21</v>
      </c>
      <c r="R214" s="676" t="str">
        <f>IF(OR(MID(TRIM(报表格式!S214),2,1)="：",MID(TRIM(报表格式!S214),2,1)="、"),REPLACEB(TRIM(报表格式!S214),1,4,""),TRIM(报表格式!S214))</f>
        <v>其他收益</v>
      </c>
      <c r="S214" s="681" t="s">
        <v>1379</v>
      </c>
    </row>
    <row r="215" spans="17:19">
      <c r="Q215" s="192" t="str">
        <f>报表格式!R215</f>
        <v>G22</v>
      </c>
      <c r="R215" s="676" t="str">
        <f>LEFT(IF(OR(MID(TRIM(报表格式!S215),2,1)="：",MID(TRIM(报表格式!S215),2,1)="、"),REPLACEB(TRIM(报表格式!S215),1,4,""),TRIM(报表格式!S215)),FIND("（",TRIM(报表格式!S215))-1)</f>
        <v>投资收益</v>
      </c>
      <c r="S215" s="681" t="s">
        <v>1379</v>
      </c>
    </row>
    <row r="216" spans="17:19">
      <c r="Q216" s="192" t="str">
        <f>报表格式!R216</f>
        <v>G22-1</v>
      </c>
      <c r="R216" s="674" t="str">
        <f>IF(OR(MID(TRIM(报表格式!S216),3,1)="：",MID(TRIM(报表格式!S216),2,1)="、"),REPLACEB(TRIM(报表格式!S216),1,6,""),TRIM(报表格式!S216))</f>
        <v>对联营企业和合营企业的投资收益</v>
      </c>
      <c r="S216" s="681" t="s">
        <v>1380</v>
      </c>
    </row>
    <row r="217" spans="17:19">
      <c r="Q217" s="192" t="str">
        <f>报表格式!R217</f>
        <v>G22-2</v>
      </c>
      <c r="R217" s="674" t="str">
        <f>LEFT(IF(OR(MID(TRIM(报表格式!S217),2,1)="：",MID(TRIM(报表格式!S217),2,1)="、"),REPLACEB(TRIM(报表格式!S217),1,4,""),TRIM(报表格式!S217)),FIND("（",TRIM(报表格式!S217))-1)</f>
        <v>以摊余成本计量的金融资产终止确认收益</v>
      </c>
      <c r="S217" s="681" t="s">
        <v>1380</v>
      </c>
    </row>
    <row r="218" spans="17:19">
      <c r="Q218" s="192" t="str">
        <f>报表格式!R218</f>
        <v>G23</v>
      </c>
      <c r="R218" s="676" t="str">
        <f>LEFT(IF(OR(MID(TRIM(报表格式!S218),2,1)="：",MID(TRIM(报表格式!S218),2,1)="、"),REPLACEB(TRIM(报表格式!S218),1,4,""),TRIM(报表格式!S218)),FIND("（",TRIM(报表格式!S218))-1)</f>
        <v>汇兑收益</v>
      </c>
      <c r="S218" s="681" t="s">
        <v>1379</v>
      </c>
    </row>
    <row r="219" spans="17:19">
      <c r="Q219" s="192" t="str">
        <f>报表格式!R219</f>
        <v>G24</v>
      </c>
      <c r="R219" s="676" t="str">
        <f>LEFT(IF(OR(MID(TRIM(报表格式!S219),2,1)="：",MID(TRIM(报表格式!S219),2,1)="、"),REPLACEB(TRIM(报表格式!S219),1,4,""),TRIM(报表格式!S219)),FIND("（",TRIM(报表格式!S219))-1)</f>
        <v>净敞口套期收益</v>
      </c>
      <c r="S219" s="681" t="s">
        <v>1379</v>
      </c>
    </row>
    <row r="220" spans="17:19">
      <c r="Q220" s="192" t="str">
        <f>报表格式!R220</f>
        <v>G25</v>
      </c>
      <c r="R220" s="676" t="str">
        <f>LEFT(IF(OR(MID(TRIM(报表格式!S220),2,1)="：",MID(TRIM(报表格式!S220),2,1)="、"),REPLACEB(TRIM(报表格式!S220),1,4,""),TRIM(报表格式!S220)),FIND("（",TRIM(报表格式!S220))-1)</f>
        <v>公允价值变动收益</v>
      </c>
      <c r="S220" s="681" t="s">
        <v>1379</v>
      </c>
    </row>
    <row r="221" spans="17:19">
      <c r="Q221" s="192" t="str">
        <f>报表格式!R221</f>
        <v>G26</v>
      </c>
      <c r="R221" s="676" t="str">
        <f>LEFT(IF(OR(MID(TRIM(报表格式!S221),2,1)="：",MID(TRIM(报表格式!S221),2,1)="、"),REPLACEB(TRIM(报表格式!S221),1,4,""),TRIM(报表格式!S221)),FIND("（",TRIM(报表格式!S221))-1)</f>
        <v>信用减值损失</v>
      </c>
      <c r="S221" s="681" t="s">
        <v>1379</v>
      </c>
    </row>
    <row r="222" spans="17:19">
      <c r="Q222" s="192" t="str">
        <f>报表格式!R222</f>
        <v>G27</v>
      </c>
      <c r="R222" s="676" t="str">
        <f>LEFT(IF(OR(MID(TRIM(报表格式!S222),2,1)="：",MID(TRIM(报表格式!S222),2,1)="、"),REPLACEB(TRIM(报表格式!S222),1,4,""),TRIM(报表格式!S222)),FIND("（",TRIM(报表格式!S222))-1)</f>
        <v>资产减值损失</v>
      </c>
      <c r="S222" s="681" t="s">
        <v>1379</v>
      </c>
    </row>
    <row r="223" spans="17:19">
      <c r="Q223" s="192" t="str">
        <f>报表格式!R223</f>
        <v>G28</v>
      </c>
      <c r="R223" s="676" t="str">
        <f>LEFT(IF(OR(MID(TRIM(报表格式!S223),2,1)="：",MID(TRIM(报表格式!S223),2,1)="、"),REPLACEB(TRIM(报表格式!S223),1,4,""),TRIM(报表格式!S223)),FIND("（",TRIM(报表格式!S223))-1)</f>
        <v>资产处置收益</v>
      </c>
      <c r="S223" s="681" t="s">
        <v>1379</v>
      </c>
    </row>
    <row r="224" spans="17:19">
      <c r="Q224" s="192">
        <f>报表格式!R224</f>
        <v>0</v>
      </c>
      <c r="R224" s="676" t="str">
        <f>LEFT(IF(OR(MID(TRIM(报表格式!S224),2,1)="：",MID(TRIM(报表格式!S224),2,1)="、"),REPLACEB(TRIM(报表格式!S224),1,4,""),TRIM(报表格式!S224)),4)</f>
        <v>营业利润</v>
      </c>
    </row>
    <row r="225" spans="17:19">
      <c r="Q225" s="192" t="str">
        <f>报表格式!R225</f>
        <v>G29</v>
      </c>
      <c r="R225" s="676" t="str">
        <f>IF(OR(MID(TRIM(报表格式!S225),2,1)="：",MID(TRIM(报表格式!S225),2,1)="、"),REPLACEB(TRIM(报表格式!S225),1,4,""),TRIM(报表格式!S225))</f>
        <v>营业外收入</v>
      </c>
      <c r="S225" s="681" t="s">
        <v>1379</v>
      </c>
    </row>
    <row r="226" spans="17:19">
      <c r="Q226" s="192" t="str">
        <f>报表格式!R226</f>
        <v>G29-1</v>
      </c>
      <c r="R226" s="674" t="str">
        <f>IF(OR(MID(TRIM(报表格式!S226),3,1)="：",MID(TRIM(报表格式!S226),2,1)="、"),REPLACEB(TRIM(报表格式!S226),1,6,""),TRIM(报表格式!S226))</f>
        <v>政府补助</v>
      </c>
      <c r="S226" s="681" t="s">
        <v>1380</v>
      </c>
    </row>
    <row r="227" spans="17:19">
      <c r="Q227" s="192" t="str">
        <f>报表格式!R227</f>
        <v>G30</v>
      </c>
      <c r="R227" s="676" t="str">
        <f>IF(OR(MID(TRIM(报表格式!S227),2,1)="：",MID(TRIM(报表格式!S227),2,1)="、"),REPLACEB(TRIM(报表格式!S227),1,4,""),TRIM(报表格式!S227))</f>
        <v>营业外支出</v>
      </c>
      <c r="S227" s="681" t="s">
        <v>1379</v>
      </c>
    </row>
    <row r="228" spans="17:19">
      <c r="Q228" s="192">
        <f>报表格式!R228</f>
        <v>0</v>
      </c>
      <c r="R228" s="676" t="str">
        <f>LEFT(IF(OR(MID(TRIM(报表格式!S228),2,1)="：",MID(TRIM(报表格式!S228),2,1)="、"),REPLACEB(TRIM(报表格式!S228),1,4,""),TRIM(报表格式!S228)),4)</f>
        <v>利润总额</v>
      </c>
    </row>
    <row r="229" spans="17:19">
      <c r="Q229" s="192" t="str">
        <f>报表格式!R229</f>
        <v>G31</v>
      </c>
      <c r="R229" s="676" t="str">
        <f>IF(OR(MID(TRIM(报表格式!S229),2,1)="：",MID(TRIM(报表格式!S229),2,1)="、"),REPLACEB(TRIM(报表格式!S229),1,4,""),TRIM(报表格式!S229))</f>
        <v>所得税费用</v>
      </c>
      <c r="S229" s="681" t="s">
        <v>1379</v>
      </c>
    </row>
    <row r="230" spans="17:19">
      <c r="Q230" s="192">
        <f>报表格式!R230</f>
        <v>0</v>
      </c>
      <c r="R230" s="676" t="str">
        <f>LEFT(IF(OR(MID(TRIM(报表格式!S230),2,1)="：",MID(TRIM(报表格式!S230),2,1)="、"),REPLACEB(TRIM(报表格式!S230),1,4,""),TRIM(报表格式!S230)),3)</f>
        <v>净利润</v>
      </c>
    </row>
    <row r="231" spans="17:19">
      <c r="Q231" s="192">
        <f>报表格式!R231</f>
        <v>0</v>
      </c>
      <c r="R231" s="676" t="str">
        <f>IF(OR(MID(TRIM(报表格式!S231),2,1)="：",MID(TRIM(报表格式!S231),2,1)="、"),REPLACEB(TRIM(报表格式!S231),1,4,""),TRIM(报表格式!S231))</f>
        <v>同一控制下企业合并的被合并方在合并前实现的净利润</v>
      </c>
    </row>
    <row r="232" spans="17:19">
      <c r="Q232" s="192">
        <f>报表格式!R232</f>
        <v>0</v>
      </c>
      <c r="R232" s="676" t="str">
        <f>IF(OR(MID(TRIM(报表格式!S232),2,1)="：",MID(TRIM(报表格式!S232),2,1)="、"),REPLACEB(TRIM(报表格式!S232),1,4,""),TRIM(报表格式!S232))</f>
        <v>（一）按经营持续性分类</v>
      </c>
      <c r="S232" s="681"/>
    </row>
    <row r="233" spans="17:19">
      <c r="Q233" s="192">
        <f>报表格式!R233</f>
        <v>0</v>
      </c>
      <c r="R233" s="676" t="str">
        <f>LEFT(IF(OR(MID(TRIM(报表格式!S233),3,1)="：",MID(TRIM(报表格式!S233),2,1)="、"),REPLACEB(TRIM(报表格式!S233),1,6,""),TRIM(报表格式!S233)),7)</f>
        <v>持续经营净利润</v>
      </c>
      <c r="S233" s="681" t="s">
        <v>1379</v>
      </c>
    </row>
    <row r="234" spans="17:19">
      <c r="Q234" s="192">
        <f>报表格式!R234</f>
        <v>0</v>
      </c>
      <c r="R234" s="676" t="str">
        <f>LEFT(IF(OR(MID(TRIM(报表格式!S234),3,1)="：",MID(TRIM(报表格式!S234),2,1)="、"),REPLACEB(TRIM(报表格式!S234),1,6,""),TRIM(报表格式!S234)),7)</f>
        <v>终止经营净利润</v>
      </c>
      <c r="S234" s="681" t="s">
        <v>1379</v>
      </c>
    </row>
    <row r="235" spans="17:19">
      <c r="Q235" s="192">
        <f>报表格式!R235</f>
        <v>0</v>
      </c>
      <c r="R235" s="676" t="str">
        <f>IF(OR(MID(TRIM(报表格式!S235),2,1)="：",MID(TRIM(报表格式!S235),2,1)="、"),REPLACEB(TRIM(报表格式!S235),1,4,""),TRIM(报表格式!S235))</f>
        <v>（二）按所有权归属分类</v>
      </c>
    </row>
    <row r="236" spans="17:19">
      <c r="Q236" s="192">
        <f>报表格式!R236</f>
        <v>0</v>
      </c>
      <c r="R236" s="676" t="str">
        <f>IF(OR(MID(TRIM(报表格式!S236),3,1)="：",MID(TRIM(报表格式!S236),2,1)="、"),REPLACEB(LEFT(TRIM(报表格式!S236),LEN(TRIM(报表格式!S236))-12),1,6,""),LEFT(TRIM(报表格式!S236),LEN(TRIM(报表格式!S236))-12))</f>
        <v>归属于母公司所有者（或股东）的净利润</v>
      </c>
    </row>
    <row r="237" spans="17:19">
      <c r="Q237" s="192" t="str">
        <f>报表格式!R237</f>
        <v>G32</v>
      </c>
      <c r="R237" s="676" t="str">
        <f>LEFT(IF(OR(MID(TRIM(报表格式!S237),2,1)="：",MID(TRIM(报表格式!S237),2,1)="、"),REPLACEB(TRIM(报表格式!S237),1,4,""),TRIM(报表格式!S237)),FIND("（",TRIM(报表格式!S237))-1)</f>
        <v>少数股东损益</v>
      </c>
      <c r="S237" s="681" t="s">
        <v>1379</v>
      </c>
    </row>
    <row r="238" spans="17:19">
      <c r="Q238" s="192">
        <f>报表格式!R238</f>
        <v>0</v>
      </c>
      <c r="R238" s="676" t="str">
        <f>IF(OR(MID(TRIM(报表格式!S238),2,1)="：",MID(TRIM(报表格式!S238),2,1)="、"),REPLACEB(TRIM(报表格式!S238),1,4,""),TRIM(报表格式!S238))</f>
        <v>其他综合收益的税后净额</v>
      </c>
    </row>
    <row r="239" spans="17:19">
      <c r="Q239" s="192">
        <f>报表格式!R239</f>
        <v>0</v>
      </c>
      <c r="R239" s="676" t="str">
        <f>IF(OR(MID(TRIM(报表格式!S239),2,1)="：",MID(TRIM(报表格式!S239),2,1)="、"),REPLACEB(TRIM(报表格式!S239),1,4,""),TRIM(报表格式!S239))</f>
        <v>归属于母公司所有者（或股东）的其他综合收益的税后净额</v>
      </c>
    </row>
    <row r="240" spans="17:19">
      <c r="Q240" s="192">
        <f>报表格式!R240</f>
        <v>0</v>
      </c>
      <c r="R240" s="676" t="str">
        <f>IF(OR(MID(TRIM(报表格式!S240),2,1)="：",MID(TRIM(报表格式!S240),2,1)="、"),REPLACEB(TRIM(报表格式!S240),1,4,""),TRIM(报表格式!S240))</f>
        <v>（一）不能重分类进损益的其他综合收益</v>
      </c>
    </row>
    <row r="241" spans="17:19">
      <c r="Q241" s="192" t="str">
        <f>报表格式!R241</f>
        <v>G33</v>
      </c>
      <c r="R241" s="674" t="str">
        <f>IF(OR(MID(TRIM(报表格式!S241),2,1)="：",MID(TRIM(报表格式!S241),2,1)="."),REPLACEB(TRIM(报表格式!S241),1,2,""),TRIM(报表格式!S241))</f>
        <v>重新计量设定受益计划变动额</v>
      </c>
      <c r="S241" s="681" t="s">
        <v>1379</v>
      </c>
    </row>
    <row r="242" spans="17:19">
      <c r="Q242" s="192" t="str">
        <f>报表格式!R242</f>
        <v>G34</v>
      </c>
      <c r="R242" s="674" t="str">
        <f>IF(OR(MID(TRIM(报表格式!S242),2,1)="：",MID(TRIM(报表格式!S242),2,1)="."),REPLACEB(TRIM(报表格式!S242),1,2,""),TRIM(报表格式!S242))</f>
        <v>权益法下不能转损益的其他综合收益</v>
      </c>
      <c r="S242" s="681" t="s">
        <v>1379</v>
      </c>
    </row>
    <row r="243" spans="17:19">
      <c r="Q243" s="192" t="str">
        <f>报表格式!R243</f>
        <v>G35</v>
      </c>
      <c r="R243" s="674" t="str">
        <f>IF(OR(MID(TRIM(报表格式!S243),2,1)="：",MID(TRIM(报表格式!S243),2,1)="."),REPLACEB(TRIM(报表格式!S243),1,2,""),TRIM(报表格式!S243))</f>
        <v>其他权益工具投资公允价值变动</v>
      </c>
      <c r="S243" s="681" t="s">
        <v>1379</v>
      </c>
    </row>
    <row r="244" spans="17:19">
      <c r="Q244" s="192" t="str">
        <f>报表格式!R244</f>
        <v>G36</v>
      </c>
      <c r="R244" s="674" t="str">
        <f>IF(OR(MID(TRIM(报表格式!S244),2,1)="：",MID(TRIM(报表格式!S244),2,1)="."),REPLACEB(TRIM(报表格式!S244),1,2,""),TRIM(报表格式!S244))</f>
        <v>企业自身信用风险公允价值变动</v>
      </c>
      <c r="S244" s="681" t="s">
        <v>1379</v>
      </c>
    </row>
    <row r="245" spans="17:19">
      <c r="Q245" s="192" t="str">
        <f>报表格式!R245</f>
        <v>G37</v>
      </c>
      <c r="R245" s="759" t="s">
        <v>1479</v>
      </c>
      <c r="S245" s="681" t="s">
        <v>1379</v>
      </c>
    </row>
    <row r="246" spans="17:19">
      <c r="Q246" s="192">
        <f>报表格式!R246</f>
        <v>0</v>
      </c>
      <c r="R246" s="676" t="str">
        <f>IF(OR(MID(TRIM(报表格式!S246),2,1)="：",MID(TRIM(报表格式!S246),2,1)="、"),REPLACEB(TRIM(报表格式!S246),1,4,""),TRIM(报表格式!S246))</f>
        <v>（二）将重分类进损益的其他综合收益</v>
      </c>
    </row>
    <row r="247" spans="17:19">
      <c r="Q247" s="192" t="str">
        <f>报表格式!R247</f>
        <v>G38</v>
      </c>
      <c r="R247" s="674" t="str">
        <f>IF(OR(MID(TRIM(报表格式!S247),2,1)="：",MID(TRIM(报表格式!S247),2,1)="."),REPLACEB(TRIM(报表格式!S247),1,2,""),TRIM(报表格式!S247))</f>
        <v>权益法下可转损益的其他综合收益</v>
      </c>
      <c r="S247" s="681" t="s">
        <v>1379</v>
      </c>
    </row>
    <row r="248" spans="17:19">
      <c r="Q248" s="192" t="str">
        <f>报表格式!R248</f>
        <v>G39</v>
      </c>
      <c r="R248" s="674" t="str">
        <f>IF(OR(MID(TRIM(报表格式!S248),2,1)="：",MID(TRIM(报表格式!S248),2,1)="."),REPLACEB(TRIM(报表格式!S248),1,2,""),TRIM(报表格式!S248))</f>
        <v>其他债权投资公允价值变动</v>
      </c>
      <c r="S248" s="681" t="s">
        <v>1379</v>
      </c>
    </row>
    <row r="249" spans="17:19">
      <c r="Q249" s="192" t="str">
        <f>报表格式!R249</f>
        <v>G40</v>
      </c>
      <c r="R249" s="674" t="str">
        <f>IF(OR(MID(TRIM(报表格式!S249),2,1)="：",MID(TRIM(报表格式!S249),2,1)="."),REPLACEB(TRIM(报表格式!S249),1,2,""),TRIM(报表格式!S249))</f>
        <v>金融资产重分类计入其他综合收益的金额</v>
      </c>
      <c r="S249" s="681" t="s">
        <v>1379</v>
      </c>
    </row>
    <row r="250" spans="17:19">
      <c r="Q250" s="192" t="str">
        <f>报表格式!R250</f>
        <v>G41</v>
      </c>
      <c r="R250" s="674" t="str">
        <f>IF(OR(MID(TRIM(报表格式!S250),2,1)="：",MID(TRIM(报表格式!S250),2,1)="."),REPLACEB(TRIM(报表格式!S250),1,2,""),TRIM(报表格式!S250))</f>
        <v>其他债权投资信用减值准备</v>
      </c>
      <c r="S250" s="681" t="s">
        <v>1379</v>
      </c>
    </row>
    <row r="251" spans="17:19">
      <c r="Q251" s="192" t="str">
        <f>报表格式!R251</f>
        <v>G42</v>
      </c>
      <c r="R251" s="674" t="str">
        <f>IF(OR(MID(TRIM(报表格式!S251),2,1)="：",MID(TRIM(报表格式!S251),2,1)="."),REPLACEB(TRIM(报表格式!S251),1,2,""),TRIM(报表格式!S251))</f>
        <v>现金流量套期储备</v>
      </c>
      <c r="S251" s="681" t="s">
        <v>1379</v>
      </c>
    </row>
    <row r="252" spans="17:19">
      <c r="Q252" s="192" t="str">
        <f>报表格式!R252</f>
        <v>G43</v>
      </c>
      <c r="R252" s="674" t="str">
        <f>IF(OR(MID(TRIM(报表格式!S252),2,1)="：",MID(TRIM(报表格式!S252),2,1)="."),REPLACEB(TRIM(报表格式!S252),1,2,""),TRIM(报表格式!S252))</f>
        <v>外币财务报表折算差额</v>
      </c>
      <c r="S252" s="681" t="s">
        <v>1379</v>
      </c>
    </row>
    <row r="253" spans="17:19">
      <c r="Q253" s="192" t="str">
        <f>报表格式!R253</f>
        <v>G44</v>
      </c>
      <c r="R253" s="674" t="str">
        <f>IF(OR(MID(TRIM(报表格式!S253),2,1)="：",MID(TRIM(报表格式!S253),2,1)="."),REPLACEB(TRIM(报表格式!S253),1,2,""),TRIM(报表格式!S253))</f>
        <v>自用房地产或作为存货的房地产转换为以公允价值计量的投资性房地产在转换日公允价值大于账面价值部分</v>
      </c>
      <c r="S253" s="681" t="s">
        <v>1379</v>
      </c>
    </row>
    <row r="254" spans="17:19">
      <c r="Q254" s="192" t="str">
        <f>报表格式!R254</f>
        <v>G45</v>
      </c>
      <c r="R254" s="674" t="str">
        <f>IF(OR(MID(TRIM(报表格式!S254),2,1)="：",MID(TRIM(报表格式!S254),2,1)="."),REPLACEB(TRIM(报表格式!S254),1,2,""),TRIM(报表格式!S254))</f>
        <v>多次交易分步处置子公司股权构成一揽子交易的，丧失控制权之前各次交易处置价款与对应净资产账面价值份额的差额</v>
      </c>
      <c r="S254" s="681" t="s">
        <v>1379</v>
      </c>
    </row>
    <row r="255" spans="17:19">
      <c r="Q255" s="192" t="str">
        <f>报表格式!R255</f>
        <v>G46</v>
      </c>
      <c r="R255" s="759" t="s">
        <v>1480</v>
      </c>
      <c r="S255" s="681" t="s">
        <v>1379</v>
      </c>
    </row>
    <row r="256" spans="17:19">
      <c r="Q256" s="192">
        <f>报表格式!R256</f>
        <v>0</v>
      </c>
      <c r="R256" s="676" t="str">
        <f>IF(OR(MID(TRIM(报表格式!S256),2,1)="：",MID(TRIM(报表格式!S256),2,1)="、"),REPLACEB(TRIM(报表格式!S256),1,4,""),TRIM(报表格式!S256))</f>
        <v>归属于少数股东的其他综合收益的税后净额</v>
      </c>
    </row>
    <row r="257" spans="17:19">
      <c r="Q257" s="192">
        <f>报表格式!R257</f>
        <v>0</v>
      </c>
      <c r="R257" s="676" t="str">
        <f>IF(OR(MID(TRIM(报表格式!S257),2,1)="：",MID(TRIM(报表格式!S257),2,1)="、"),REPLACEB(TRIM(报表格式!S257),1,4,""),TRIM(报表格式!S257))</f>
        <v>综合收益总额</v>
      </c>
    </row>
    <row r="258" spans="17:19">
      <c r="Q258" s="192">
        <f>报表格式!R258</f>
        <v>0</v>
      </c>
      <c r="R258" s="676" t="str">
        <f>IF(OR(MID(TRIM(报表格式!S258),2,1)="：",MID(TRIM(报表格式!S258),2,1)="、"),REPLACEB(TRIM(报表格式!S258),1,4,""),TRIM(报表格式!S258))</f>
        <v>归属于母公司所有者（或股东）的综合收益总额</v>
      </c>
    </row>
    <row r="259" spans="17:19">
      <c r="Q259" s="192">
        <f>报表格式!R259</f>
        <v>0</v>
      </c>
      <c r="R259" s="676" t="str">
        <f>IF(OR(MID(TRIM(报表格式!S259),2,1)="：",MID(TRIM(报表格式!S259),2,1)="、"),REPLACEB(TRIM(报表格式!S259),1,4,""),TRIM(报表格式!S259))</f>
        <v>归属于少数股东的综合收益总额</v>
      </c>
    </row>
    <row r="260" spans="17:19">
      <c r="Q260" s="192">
        <f>报表格式!R260</f>
        <v>0</v>
      </c>
      <c r="R260" s="676" t="str">
        <f>IF(OR(MID(TRIM(报表格式!S260),2,1)="：",MID(TRIM(报表格式!S260),2,1)="、"),REPLACEB(TRIM(报表格式!S260),1,4,""),TRIM(报表格式!S260))</f>
        <v>每股收益</v>
      </c>
    </row>
    <row r="261" spans="17:19">
      <c r="Q261" s="192">
        <f>报表格式!R261</f>
        <v>0</v>
      </c>
      <c r="R261" s="676" t="str">
        <f>IF(OR(MID(TRIM(报表格式!S261),2,1)="：",MID(TRIM(报表格式!S261),2,1)="、"),REPLACEB(TRIM(报表格式!S261),1,4,""),TRIM(报表格式!S261))</f>
        <v>（一）基本每股收益</v>
      </c>
    </row>
    <row r="262" spans="17:19">
      <c r="Q262" s="192">
        <f>报表格式!R262</f>
        <v>0</v>
      </c>
      <c r="R262" s="676" t="str">
        <f>IF(OR(MID(TRIM(报表格式!S262),2,1)="：",MID(TRIM(报表格式!S262),2,1)="、"),REPLACEB(TRIM(报表格式!S262),1,4,""),TRIM(报表格式!S262))</f>
        <v>（二）稀释每股收益</v>
      </c>
    </row>
    <row r="263" spans="17:19">
      <c r="Q263" s="192" t="str">
        <f>报表格式!R263</f>
        <v>G47</v>
      </c>
      <c r="R263" s="676" t="str">
        <f>IF(OR(MID(TRIM(报表格式!S263),2,1)="：",MID(TRIM(报表格式!S263),2,1)="、"),REPLACEB(TRIM(报表格式!S263),1,4,""),TRIM(报表格式!S263))</f>
        <v>年初未分配利润</v>
      </c>
      <c r="S263" s="681" t="s">
        <v>1379</v>
      </c>
    </row>
    <row r="264" spans="17:19">
      <c r="Q264" s="192">
        <f>报表格式!R264</f>
        <v>0</v>
      </c>
      <c r="R264" s="676" t="str">
        <f>IF(OR(MID(TRIM(报表格式!S264),2,1)="：",MID(TRIM(报表格式!S264),2,1)="、"),REPLACEB(TRIM(报表格式!S264),1,4,""),TRIM(报表格式!S264))</f>
        <v>可供分配利润</v>
      </c>
      <c r="S264" s="681"/>
    </row>
    <row r="265" spans="17:19">
      <c r="Q265" s="192" t="str">
        <f>报表格式!R265</f>
        <v>G48</v>
      </c>
      <c r="R265" s="676" t="str">
        <f>IF(OR(MID(TRIM(报表格式!S265),2,1)="：",MID(TRIM(报表格式!S265),2,1)="、"),REPLACEB(TRIM(报表格式!S265),1,3,""),TRIM(报表格式!S265))</f>
        <v>提取法定盈余公积</v>
      </c>
      <c r="S265" s="681" t="s">
        <v>1379</v>
      </c>
    </row>
    <row r="266" spans="17:19">
      <c r="Q266" s="192" t="str">
        <f>报表格式!R266</f>
        <v>G49</v>
      </c>
      <c r="R266" s="676" t="str">
        <f>IF(OR(MID(TRIM(报表格式!S266),2,1)="：",MID(TRIM(报表格式!S266),2,1)="、"),REPLACEB(TRIM(报表格式!S266),1,3,""),TRIM(报表格式!S266))</f>
        <v>提取一般风险准备</v>
      </c>
      <c r="S266" s="681" t="s">
        <v>1379</v>
      </c>
    </row>
    <row r="267" spans="17:19">
      <c r="Q267" s="192" t="str">
        <f>报表格式!R267</f>
        <v>G50</v>
      </c>
      <c r="R267" s="676" t="str">
        <f>IF(OR(MID(TRIM(报表格式!S267),2,1)="：",MID(TRIM(报表格式!S267),2,1)="、"),REPLACEB(TRIM(报表格式!S267),1,3,""),TRIM(报表格式!S267))</f>
        <v>提取其他</v>
      </c>
      <c r="S267" s="681" t="s">
        <v>1379</v>
      </c>
    </row>
    <row r="268" spans="17:19">
      <c r="Q268" s="192">
        <f>报表格式!R268</f>
        <v>0</v>
      </c>
      <c r="R268" s="676" t="str">
        <f>IF(OR(MID(TRIM(报表格式!S268),2,1)="：",MID(TRIM(报表格式!S268),2,1)="、"),REPLACEB(TRIM(报表格式!S268),1,4,""),TRIM(报表格式!S268))</f>
        <v>可供投资者分配的利润</v>
      </c>
    </row>
    <row r="269" spans="17:19">
      <c r="Q269" s="192" t="str">
        <f>报表格式!R269</f>
        <v>G51</v>
      </c>
      <c r="R269" s="676" t="str">
        <f>IF(OR(MID(TRIM(报表格式!S269),2,1)="：",MID(TRIM(报表格式!S269),2,1)="、"),REPLACEB(TRIM(报表格式!S269),1,3,""),TRIM(报表格式!S269))</f>
        <v>应付优先股股利</v>
      </c>
      <c r="S269" s="681" t="s">
        <v>1379</v>
      </c>
    </row>
    <row r="270" spans="17:19">
      <c r="Q270" s="192" t="str">
        <f>报表格式!R270</f>
        <v>G52</v>
      </c>
      <c r="R270" s="676" t="str">
        <f>IF(OR(MID(TRIM(报表格式!S270),2,1)="：",MID(TRIM(报表格式!S270),2,1)="、"),REPLACEB(TRIM(报表格式!S270),1,3,""),TRIM(报表格式!S270))</f>
        <v>提取任意盈余公积</v>
      </c>
      <c r="S270" s="681" t="s">
        <v>1379</v>
      </c>
    </row>
    <row r="271" spans="17:19">
      <c r="Q271" s="192" t="str">
        <f>报表格式!R271</f>
        <v>G53</v>
      </c>
      <c r="R271" s="676" t="str">
        <f>IF(OR(MID(TRIM(报表格式!S271),2,1)="：",MID(TRIM(报表格式!S271),2,1)="、"),REPLACEB(TRIM(报表格式!S271),1,3,""),TRIM(报表格式!S271))</f>
        <v>应付普通股股利（应付利润）</v>
      </c>
      <c r="S271" s="681" t="s">
        <v>1379</v>
      </c>
    </row>
    <row r="272" spans="17:19">
      <c r="Q272" s="192" t="str">
        <f>报表格式!R272</f>
        <v>G54</v>
      </c>
      <c r="R272" s="676" t="str">
        <f>IF(OR(MID(TRIM(报表格式!S272),2,1)="：",MID(TRIM(报表格式!S272),2,1)="、"),REPLACEB(TRIM(报表格式!S272),1,3,""),TRIM(报表格式!S272))</f>
        <v>转作资本（或股本）的普通股股利</v>
      </c>
      <c r="S272" s="681" t="s">
        <v>1379</v>
      </c>
    </row>
    <row r="273" spans="17:19">
      <c r="Q273" s="192" t="str">
        <f>报表格式!R273</f>
        <v>G55</v>
      </c>
      <c r="R273" s="760" t="s">
        <v>1482</v>
      </c>
      <c r="S273" s="681" t="s">
        <v>1379</v>
      </c>
    </row>
    <row r="274" spans="17:19">
      <c r="Q274" s="192">
        <f>报表格式!R274</f>
        <v>0</v>
      </c>
      <c r="R274" s="676" t="str">
        <f>IF(OR(MID(TRIM(报表格式!S274),2,1)="：",MID(TRIM(报表格式!S274),2,1)="、"),REPLACEB(TRIM(报表格式!S274),1,4,""),TRIM(报表格式!S274))</f>
        <v>未分配利润</v>
      </c>
    </row>
    <row r="275" spans="17:19">
      <c r="Q275" s="192">
        <f>报表格式!R275</f>
        <v>0</v>
      </c>
      <c r="R275" s="676" t="str">
        <f>IF(OR(MID(TRIM(报表格式!S275),2,1)="：",MID(TRIM(报表格式!S275),2,1)="、"),REPLACEB(TRIM(报表格式!S275),1,4,""),TRIM(报表格式!S275))</f>
        <v/>
      </c>
    </row>
    <row r="276" spans="17:19">
      <c r="Q276" s="192">
        <f>报表格式!R276</f>
        <v>0</v>
      </c>
      <c r="R276" s="676" t="str">
        <f>IF(OR(MID(TRIM(报表格式!S276),2,1)="：",MID(TRIM(报表格式!S276),2,1)="、"),REPLACEB(TRIM(报表格式!S276),1,4,""),TRIM(报表格式!S276))</f>
        <v/>
      </c>
    </row>
    <row r="277" spans="17:19">
      <c r="Q277" s="192">
        <f>报表格式!R277</f>
        <v>0</v>
      </c>
      <c r="R277" s="676" t="str">
        <f>IF(OR(MID(TRIM(报表格式!S277),2,1)="：",MID(TRIM(报表格式!S277),2,1)="、"),REPLACEB(TRIM(报表格式!S277),1,4,""),TRIM(报表格式!S277))</f>
        <v>现金流量表类</v>
      </c>
    </row>
    <row r="278" spans="17:19">
      <c r="Q278" s="192" t="str">
        <f>报表格式!R278</f>
        <v>H1</v>
      </c>
      <c r="R278" s="676" t="str">
        <f>IF(OR(MID(TRIM(报表格式!S278),2,1)="：",MID(TRIM(报表格式!S278),2,1)="、"),REPLACEB(TRIM(报表格式!S278),1,4,""),TRIM(报表格式!S278))</f>
        <v>销售商品、提供劳务收到的现金</v>
      </c>
      <c r="S278" s="681" t="s">
        <v>1379</v>
      </c>
    </row>
    <row r="279" spans="17:19">
      <c r="Q279" s="192" t="str">
        <f>报表格式!R279</f>
        <v>H2</v>
      </c>
      <c r="R279" s="676" t="str">
        <f>IF(OR(MID(TRIM(报表格式!S279),2,1)="：",MID(TRIM(报表格式!S279),2,1)="、"),REPLACEB(TRIM(报表格式!S279),1,4,""),TRIM(报表格式!S279))</f>
        <v>客户存款和同业存放款项净增加额*</v>
      </c>
      <c r="S279" s="681" t="s">
        <v>1379</v>
      </c>
    </row>
    <row r="280" spans="17:19">
      <c r="Q280" s="192" t="str">
        <f>报表格式!R280</f>
        <v>H3</v>
      </c>
      <c r="R280" s="676" t="str">
        <f>IF(OR(MID(TRIM(报表格式!S280),2,1)="：",MID(TRIM(报表格式!S280),2,1)="、"),REPLACEB(TRIM(报表格式!S280),1,4,""),TRIM(报表格式!S280))</f>
        <v>向中央银行借款净增加额*</v>
      </c>
      <c r="S280" s="681" t="s">
        <v>1379</v>
      </c>
    </row>
    <row r="281" spans="17:19">
      <c r="Q281" s="192" t="str">
        <f>报表格式!R281</f>
        <v>H4</v>
      </c>
      <c r="R281" s="676" t="str">
        <f>IF(OR(MID(TRIM(报表格式!S281),2,1)="：",MID(TRIM(报表格式!S281),2,1)="、"),REPLACEB(TRIM(报表格式!S281),1,4,""),TRIM(报表格式!S281))</f>
        <v>向其他金融机构拆入资金净增加额*</v>
      </c>
      <c r="S281" s="681" t="s">
        <v>1379</v>
      </c>
    </row>
    <row r="282" spans="17:19">
      <c r="Q282" s="192" t="str">
        <f>报表格式!R282</f>
        <v>H5</v>
      </c>
      <c r="R282" s="676" t="str">
        <f>IF(OR(MID(TRIM(报表格式!S282),2,1)="：",MID(TRIM(报表格式!S282),2,1)="、"),REPLACEB(TRIM(报表格式!S282),1,4,""),TRIM(报表格式!S282))</f>
        <v>收到原保险合同保费取得的现金*</v>
      </c>
      <c r="S282" s="681" t="s">
        <v>1379</v>
      </c>
    </row>
    <row r="283" spans="17:19">
      <c r="Q283" s="192" t="str">
        <f>报表格式!R283</f>
        <v>H6</v>
      </c>
      <c r="R283" s="676" t="str">
        <f>IF(OR(MID(TRIM(报表格式!S283),2,1)="：",MID(TRIM(报表格式!S283),2,1)="、"),REPLACEB(TRIM(报表格式!S283),1,4,""),TRIM(报表格式!S283))</f>
        <v>收到再保业务现金净额*</v>
      </c>
      <c r="S283" s="681" t="s">
        <v>1379</v>
      </c>
    </row>
    <row r="284" spans="17:19">
      <c r="Q284" s="192" t="str">
        <f>报表格式!R284</f>
        <v>H7</v>
      </c>
      <c r="R284" s="676" t="str">
        <f>IF(OR(MID(TRIM(报表格式!S284),2,1)="：",MID(TRIM(报表格式!S284),2,1)="、"),REPLACEB(TRIM(报表格式!S284),1,4,""),TRIM(报表格式!S284))</f>
        <v>保户储金及投资款净增加额*</v>
      </c>
      <c r="S284" s="681" t="s">
        <v>1379</v>
      </c>
    </row>
    <row r="285" spans="17:19">
      <c r="Q285" s="192" t="str">
        <f>报表格式!R285</f>
        <v>H8</v>
      </c>
      <c r="R285" s="676" t="str">
        <f>IF(OR(MID(TRIM(报表格式!S285),2,1)="：",MID(TRIM(报表格式!S285),2,1)="、"),REPLACEB(TRIM(报表格式!S285),1,4,""),TRIM(报表格式!S285))</f>
        <v>收取利息、手续费及佣金的现金*</v>
      </c>
      <c r="S285" s="681" t="s">
        <v>1379</v>
      </c>
    </row>
    <row r="286" spans="17:19">
      <c r="Q286" s="192" t="str">
        <f>报表格式!R286</f>
        <v>H9</v>
      </c>
      <c r="R286" s="676" t="str">
        <f>IF(OR(MID(TRIM(报表格式!S286),2,1)="：",MID(TRIM(报表格式!S286),2,1)="、"),REPLACEB(TRIM(报表格式!S286),1,4,""),TRIM(报表格式!S286))</f>
        <v>拆入资金净增加额*</v>
      </c>
      <c r="S286" s="681" t="s">
        <v>1379</v>
      </c>
    </row>
    <row r="287" spans="17:19">
      <c r="Q287" s="192" t="str">
        <f>报表格式!R287</f>
        <v>H10</v>
      </c>
      <c r="R287" s="676" t="str">
        <f>IF(OR(MID(TRIM(报表格式!S287),2,1)="：",MID(TRIM(报表格式!S287),2,1)="、"),REPLACEB(TRIM(报表格式!S287),1,4,""),TRIM(报表格式!S287))</f>
        <v>回购业务资金净增加额*</v>
      </c>
      <c r="S287" s="681" t="s">
        <v>1379</v>
      </c>
    </row>
    <row r="288" spans="17:19">
      <c r="Q288" s="192" t="str">
        <f>报表格式!R288</f>
        <v>H11</v>
      </c>
      <c r="R288" s="676" t="str">
        <f>IF(OR(MID(TRIM(报表格式!S288),2,1)="：",MID(TRIM(报表格式!S288),2,1)="、"),REPLACEB(TRIM(报表格式!S288),1,4,""),TRIM(报表格式!S288))</f>
        <v>代理买卖证券收到的现金净额*</v>
      </c>
      <c r="S288" s="681" t="s">
        <v>1379</v>
      </c>
    </row>
    <row r="289" spans="17:19">
      <c r="Q289" s="192" t="str">
        <f>报表格式!R289</f>
        <v>H12</v>
      </c>
      <c r="R289" s="676" t="str">
        <f>IF(OR(MID(TRIM(报表格式!S289),2,1)="：",MID(TRIM(报表格式!S289),2,1)="、"),REPLACEB(TRIM(报表格式!S289),1,4,""),TRIM(报表格式!S289))</f>
        <v>收到的税费返还</v>
      </c>
      <c r="S289" s="681" t="s">
        <v>1379</v>
      </c>
    </row>
    <row r="290" spans="17:19">
      <c r="Q290" s="192" t="str">
        <f>报表格式!R290</f>
        <v>H13</v>
      </c>
      <c r="R290" s="676" t="str">
        <f>IF(OR(MID(TRIM(报表格式!S290),2,1)="：",MID(TRIM(报表格式!S290),2,1)="、"),REPLACEB(TRIM(报表格式!S290),1,4,""),TRIM(报表格式!S290))</f>
        <v>收到的其他与经营活动有关的现金</v>
      </c>
      <c r="S290" s="681" t="s">
        <v>1379</v>
      </c>
    </row>
    <row r="291" spans="17:19">
      <c r="Q291" s="192">
        <f>报表格式!R291</f>
        <v>0</v>
      </c>
      <c r="R291" s="676" t="str">
        <f>IF(OR(MID(TRIM(报表格式!S291),2,1)="：",MID(TRIM(报表格式!S291),2,1)="、"),REPLACEB(TRIM(报表格式!S291),1,4,""),TRIM(报表格式!S291))</f>
        <v>0</v>
      </c>
    </row>
    <row r="292" spans="17:19">
      <c r="Q292" s="192">
        <f>报表格式!R292</f>
        <v>0</v>
      </c>
      <c r="R292" s="676" t="str">
        <f>IF(OR(MID(TRIM(报表格式!S292),2,1)="：",MID(TRIM(报表格式!S292),2,1)="、"),REPLACEB(TRIM(报表格式!S292),1,4,""),TRIM(报表格式!S292))</f>
        <v>经营活动现金流入小计</v>
      </c>
    </row>
    <row r="293" spans="17:19">
      <c r="Q293" s="192" t="str">
        <f>报表格式!R293</f>
        <v>H14</v>
      </c>
      <c r="R293" s="676" t="str">
        <f>IF(OR(MID(TRIM(报表格式!S293),2,1)="：",MID(TRIM(报表格式!S293),2,1)="、"),REPLACEB(TRIM(报表格式!S293),1,4,""),TRIM(报表格式!S293))</f>
        <v>购买商品、接受劳务支付的现金</v>
      </c>
      <c r="S293" s="681" t="s">
        <v>1379</v>
      </c>
    </row>
    <row r="294" spans="17:19">
      <c r="Q294" s="192" t="str">
        <f>报表格式!R294</f>
        <v>H15</v>
      </c>
      <c r="R294" s="676" t="str">
        <f>IF(OR(MID(TRIM(报表格式!S294),2,1)="：",MID(TRIM(报表格式!S294),2,1)="、"),REPLACEB(TRIM(报表格式!S294),1,4,""),TRIM(报表格式!S294))</f>
        <v>客户贷款及垫款净增加额*</v>
      </c>
      <c r="S294" s="681" t="s">
        <v>1379</v>
      </c>
    </row>
    <row r="295" spans="17:19">
      <c r="Q295" s="192" t="str">
        <f>报表格式!R295</f>
        <v>H16</v>
      </c>
      <c r="R295" s="676" t="str">
        <f>IF(OR(MID(TRIM(报表格式!S295),2,1)="：",MID(TRIM(报表格式!S295),2,1)="、"),REPLACEB(TRIM(报表格式!S295),1,4,""),TRIM(报表格式!S295))</f>
        <v>存放中央银行和同业款项净增加额*</v>
      </c>
      <c r="S295" s="681" t="s">
        <v>1379</v>
      </c>
    </row>
    <row r="296" spans="17:19">
      <c r="Q296" s="192" t="str">
        <f>报表格式!R296</f>
        <v>H17</v>
      </c>
      <c r="R296" s="676" t="str">
        <f>IF(OR(MID(TRIM(报表格式!S296),2,1)="：",MID(TRIM(报表格式!S296),2,1)="、"),REPLACEB(TRIM(报表格式!S296),1,4,""),TRIM(报表格式!S296))</f>
        <v>支付原保险合同赔付款项的现金*</v>
      </c>
      <c r="S296" s="681" t="s">
        <v>1379</v>
      </c>
    </row>
    <row r="297" spans="17:19">
      <c r="Q297" s="192" t="str">
        <f>报表格式!R297</f>
        <v>H18</v>
      </c>
      <c r="R297" s="676" t="str">
        <f>IF(OR(MID(TRIM(报表格式!S297),2,1)="：",MID(TRIM(报表格式!S297),2,1)="、"),REPLACEB(TRIM(报表格式!S297),1,4,""),TRIM(报表格式!S297))</f>
        <v>拆出资金净增加额*</v>
      </c>
      <c r="S297" s="681" t="s">
        <v>1379</v>
      </c>
    </row>
    <row r="298" spans="17:19">
      <c r="Q298" s="192" t="str">
        <f>报表格式!R298</f>
        <v>H19</v>
      </c>
      <c r="R298" s="676" t="str">
        <f>IF(OR(MID(TRIM(报表格式!S298),2,1)="：",MID(TRIM(报表格式!S298),2,1)="、"),REPLACEB(TRIM(报表格式!S298),1,4,""),TRIM(报表格式!S298))</f>
        <v>支付利息、手续费及佣金的现金*</v>
      </c>
      <c r="S298" s="681" t="s">
        <v>1379</v>
      </c>
    </row>
    <row r="299" spans="17:19">
      <c r="Q299" s="192" t="str">
        <f>报表格式!R299</f>
        <v>H20</v>
      </c>
      <c r="R299" s="676" t="str">
        <f>IF(OR(MID(TRIM(报表格式!S299),2,1)="：",MID(TRIM(报表格式!S299),2,1)="、"),REPLACEB(TRIM(报表格式!S299),1,4,""),TRIM(报表格式!S299))</f>
        <v>支付保单红利的现金*</v>
      </c>
      <c r="S299" s="681" t="s">
        <v>1379</v>
      </c>
    </row>
    <row r="300" spans="17:19">
      <c r="Q300" s="192" t="str">
        <f>报表格式!R300</f>
        <v>H21</v>
      </c>
      <c r="R300" s="676" t="str">
        <f>IF(OR(MID(TRIM(报表格式!S300),2,1)="：",MID(TRIM(报表格式!S300),2,1)="、"),REPLACEB(TRIM(报表格式!S300),1,4,""),TRIM(报表格式!S300))</f>
        <v>支付给职工以及为职工支付的现金</v>
      </c>
      <c r="S300" s="681" t="s">
        <v>1379</v>
      </c>
    </row>
    <row r="301" spans="17:19">
      <c r="Q301" s="192" t="str">
        <f>报表格式!R301</f>
        <v>H22</v>
      </c>
      <c r="R301" s="676" t="str">
        <f>IF(OR(MID(TRIM(报表格式!S301),2,1)="：",MID(TRIM(报表格式!S301),2,1)="、"),REPLACEB(TRIM(报表格式!S301),1,4,""),TRIM(报表格式!S301))</f>
        <v>支付各项税费</v>
      </c>
      <c r="S301" s="681" t="s">
        <v>1379</v>
      </c>
    </row>
    <row r="302" spans="17:19">
      <c r="Q302" s="192" t="str">
        <f>报表格式!R302</f>
        <v>H23</v>
      </c>
      <c r="R302" s="676" t="str">
        <f>IF(OR(MID(TRIM(报表格式!S302),2,1)="：",MID(TRIM(报表格式!S302),2,1)="、"),REPLACEB(TRIM(报表格式!S302),1,4,""),TRIM(报表格式!S302))</f>
        <v>支付的其他与经营活动有关的现金</v>
      </c>
      <c r="S302" s="681" t="s">
        <v>1379</v>
      </c>
    </row>
    <row r="303" spans="17:19">
      <c r="Q303" s="192">
        <f>报表格式!R303</f>
        <v>0</v>
      </c>
      <c r="R303" s="676" t="str">
        <f>IF(OR(MID(TRIM(报表格式!S303),2,1)="：",MID(TRIM(报表格式!S303),2,1)="、"),REPLACEB(TRIM(报表格式!S303),1,4,""),TRIM(报表格式!S303))</f>
        <v>0</v>
      </c>
    </row>
    <row r="304" spans="17:19">
      <c r="Q304" s="192">
        <f>报表格式!R304</f>
        <v>0</v>
      </c>
      <c r="R304" s="676" t="str">
        <f>IF(OR(MID(TRIM(报表格式!S304),2,1)="：",MID(TRIM(报表格式!S304),2,1)="、"),REPLACEB(TRIM(报表格式!S304),1,4,""),TRIM(报表格式!S304))</f>
        <v>经营活动现金流出小计</v>
      </c>
    </row>
    <row r="305" spans="17:19">
      <c r="Q305" s="192">
        <f>报表格式!R305</f>
        <v>0</v>
      </c>
      <c r="R305" s="676" t="str">
        <f>IF(OR(MID(TRIM(报表格式!S305),2,1)="：",MID(TRIM(报表格式!S305),2,1)="、"),REPLACEB(TRIM(报表格式!S305),1,4,""),TRIM(报表格式!S305))</f>
        <v>经营活动产生的现金流量净额</v>
      </c>
    </row>
    <row r="306" spans="17:19">
      <c r="Q306" s="192">
        <f>报表格式!R306</f>
        <v>0</v>
      </c>
      <c r="R306" s="676" t="str">
        <f>IF(OR(MID(TRIM(报表格式!S306),2,1)="：",MID(TRIM(报表格式!S306),2,1)="、"),REPLACEB(TRIM(报表格式!S306),1,4,""),TRIM(报表格式!S306))</f>
        <v>投资活动产生的现金流量</v>
      </c>
    </row>
    <row r="307" spans="17:19">
      <c r="Q307" s="192" t="str">
        <f>报表格式!R307</f>
        <v>H24</v>
      </c>
      <c r="R307" s="676" t="str">
        <f>IF(OR(MID(TRIM(报表格式!S307),2,1)="：",MID(TRIM(报表格式!S307),2,1)="、"),REPLACEB(TRIM(报表格式!S307),1,4,""),TRIM(报表格式!S307))</f>
        <v>收回投资所收到的现金</v>
      </c>
      <c r="S307" s="681" t="s">
        <v>1379</v>
      </c>
    </row>
    <row r="308" spans="17:19">
      <c r="Q308" s="192" t="str">
        <f>报表格式!R308</f>
        <v>H25</v>
      </c>
      <c r="R308" s="676" t="str">
        <f>IF(OR(MID(TRIM(报表格式!S308),2,1)="：",MID(TRIM(报表格式!S308),2,1)="、"),REPLACEB(TRIM(报表格式!S308),1,4,""),TRIM(报表格式!S308))</f>
        <v>取得投资收益所收到的现金</v>
      </c>
      <c r="S308" s="681" t="s">
        <v>1379</v>
      </c>
    </row>
    <row r="309" spans="17:19">
      <c r="Q309" s="192" t="str">
        <f>报表格式!R309</f>
        <v>H26</v>
      </c>
      <c r="R309" s="676" t="str">
        <f>IF(OR(MID(TRIM(报表格式!S309),2,1)="：",MID(TRIM(报表格式!S309),2,1)="、"),REPLACEB(TRIM(报表格式!S309),1,4,""),TRIM(报表格式!S309))</f>
        <v>处置固定资产、无形资产和其他长期资产而收到的现金净额</v>
      </c>
      <c r="S309" s="681" t="s">
        <v>1379</v>
      </c>
    </row>
    <row r="310" spans="17:19">
      <c r="Q310" s="192" t="str">
        <f>报表格式!R310</f>
        <v>H27</v>
      </c>
      <c r="R310" s="676" t="str">
        <f>IF(OR(MID(TRIM(报表格式!S310),2,1)="：",MID(TRIM(报表格式!S310),2,1)="、"),REPLACEB(TRIM(报表格式!S310),1,4,""),TRIM(报表格式!S310))</f>
        <v>处置子公司及其他营业单位收到的现金净额</v>
      </c>
      <c r="S310" s="681" t="s">
        <v>1379</v>
      </c>
    </row>
    <row r="311" spans="17:19">
      <c r="Q311" s="192" t="str">
        <f>报表格式!R311</f>
        <v>H28</v>
      </c>
      <c r="R311" s="676" t="str">
        <f>IF(OR(MID(TRIM(报表格式!S311),2,1)="：",MID(TRIM(报表格式!S311),2,1)="、"),REPLACEB(TRIM(报表格式!S311),1,4,""),TRIM(报表格式!S311))</f>
        <v>收到其他与投资活动有关的现金</v>
      </c>
      <c r="S311" s="681" t="s">
        <v>1379</v>
      </c>
    </row>
    <row r="312" spans="17:19">
      <c r="Q312" s="192">
        <f>报表格式!R312</f>
        <v>0</v>
      </c>
      <c r="R312" s="676" t="str">
        <f>IF(OR(MID(TRIM(报表格式!S312),2,1)="：",MID(TRIM(报表格式!S312),2,1)="、"),REPLACEB(TRIM(报表格式!S312),1,4,""),TRIM(报表格式!S312))</f>
        <v>0</v>
      </c>
    </row>
    <row r="313" spans="17:19">
      <c r="Q313" s="192">
        <f>报表格式!R313</f>
        <v>0</v>
      </c>
      <c r="R313" s="676" t="str">
        <f>IF(OR(MID(TRIM(报表格式!S313),2,1)="：",MID(TRIM(报表格式!S313),2,1)="、"),REPLACEB(TRIM(报表格式!S313),1,4,""),TRIM(报表格式!S313))</f>
        <v>投资活动现金流入小计</v>
      </c>
    </row>
    <row r="314" spans="17:19">
      <c r="Q314" s="192" t="str">
        <f>报表格式!R314</f>
        <v>H29</v>
      </c>
      <c r="R314" s="676" t="str">
        <f>IF(OR(MID(TRIM(报表格式!S314),2,1)="：",MID(TRIM(报表格式!S314),2,1)="、"),REPLACEB(TRIM(报表格式!S314),1,4,""),TRIM(报表格式!S314))</f>
        <v>购置固定资产、无形资产和其他长期资产所支付现金</v>
      </c>
      <c r="S314" s="681" t="s">
        <v>1379</v>
      </c>
    </row>
    <row r="315" spans="17:19">
      <c r="Q315" s="192" t="str">
        <f>报表格式!R315</f>
        <v>H30</v>
      </c>
      <c r="R315" s="676" t="str">
        <f>IF(OR(MID(TRIM(报表格式!S315),2,1)="：",MID(TRIM(报表格式!S315),2,1)="、"),REPLACEB(TRIM(报表格式!S315),1,4,""),TRIM(报表格式!S315))</f>
        <v>投资所支付的现金</v>
      </c>
      <c r="S315" s="681" t="s">
        <v>1379</v>
      </c>
    </row>
    <row r="316" spans="17:19">
      <c r="Q316" s="192" t="str">
        <f>报表格式!R316</f>
        <v>H31</v>
      </c>
      <c r="R316" s="676" t="str">
        <f>IF(OR(MID(TRIM(报表格式!S316),2,1)="：",MID(TRIM(报表格式!S316),2,1)="、"),REPLACEB(TRIM(报表格式!S316),1,4,""),TRIM(报表格式!S316))</f>
        <v>质押贷款净增加额*</v>
      </c>
      <c r="S316" s="681" t="s">
        <v>1379</v>
      </c>
    </row>
    <row r="317" spans="17:19">
      <c r="Q317" s="192" t="str">
        <f>报表格式!R317</f>
        <v>H32</v>
      </c>
      <c r="R317" s="676" t="str">
        <f>IF(OR(MID(TRIM(报表格式!S317),2,1)="：",MID(TRIM(报表格式!S317),2,1)="、"),REPLACEB(TRIM(报表格式!S317),1,4,""),TRIM(报表格式!S317))</f>
        <v>取得子公司及其他营业单位支付的现金净额</v>
      </c>
      <c r="S317" s="681" t="s">
        <v>1379</v>
      </c>
    </row>
    <row r="318" spans="17:19">
      <c r="Q318" s="192" t="str">
        <f>报表格式!R318</f>
        <v>H33</v>
      </c>
      <c r="R318" s="676" t="str">
        <f>IF(OR(MID(TRIM(报表格式!S318),2,1)="：",MID(TRIM(报表格式!S318),2,1)="、"),REPLACEB(TRIM(报表格式!S318),1,4,""),TRIM(报表格式!S318))</f>
        <v>支付其他与投资活动有关的现金</v>
      </c>
      <c r="S318" s="681" t="s">
        <v>1379</v>
      </c>
    </row>
    <row r="319" spans="17:19">
      <c r="Q319" s="192">
        <f>报表格式!R319</f>
        <v>0</v>
      </c>
      <c r="R319" s="676" t="str">
        <f>IF(OR(MID(TRIM(报表格式!S319),2,1)="：",MID(TRIM(报表格式!S319),2,1)="、"),REPLACEB(TRIM(报表格式!S319),1,4,""),TRIM(报表格式!S319))</f>
        <v>0</v>
      </c>
    </row>
    <row r="320" spans="17:19">
      <c r="Q320" s="192">
        <f>报表格式!R320</f>
        <v>0</v>
      </c>
      <c r="R320" s="676" t="str">
        <f>IF(OR(MID(TRIM(报表格式!S320),2,1)="：",MID(TRIM(报表格式!S320),2,1)="、"),REPLACEB(TRIM(报表格式!S320),1,4,""),TRIM(报表格式!S320))</f>
        <v>投资活动现金流出小计</v>
      </c>
    </row>
    <row r="321" spans="17:19">
      <c r="Q321" s="192">
        <f>报表格式!R321</f>
        <v>0</v>
      </c>
      <c r="R321" s="676" t="str">
        <f>IF(OR(MID(TRIM(报表格式!S321),2,1)="：",MID(TRIM(报表格式!S321),2,1)="、"),REPLACEB(TRIM(报表格式!S321),1,4,""),TRIM(报表格式!S321))</f>
        <v>投资活动产生的现金流量净额</v>
      </c>
    </row>
    <row r="322" spans="17:19">
      <c r="Q322" s="192">
        <f>报表格式!R322</f>
        <v>0</v>
      </c>
      <c r="R322" s="676" t="str">
        <f>IF(OR(MID(TRIM(报表格式!S322),2,1)="：",MID(TRIM(报表格式!S322),2,1)="、"),REPLACEB(TRIM(报表格式!S322),1,4,""),TRIM(报表格式!S322))</f>
        <v>筹资活动产生的现金流量</v>
      </c>
    </row>
    <row r="323" spans="17:19">
      <c r="Q323" s="192" t="str">
        <f>报表格式!R323</f>
        <v>H34</v>
      </c>
      <c r="R323" s="676" t="str">
        <f>IF(OR(MID(TRIM(报表格式!S323),2,1)="：",MID(TRIM(报表格式!S323),2,1)="、"),REPLACEB(TRIM(报表格式!S323),1,4,""),TRIM(报表格式!S323))</f>
        <v>吸收投资所收到的现金</v>
      </c>
      <c r="S323" s="681" t="s">
        <v>1379</v>
      </c>
    </row>
    <row r="324" spans="17:19">
      <c r="Q324" s="192" t="str">
        <f>报表格式!R324</f>
        <v>H34-1</v>
      </c>
      <c r="R324" s="676" t="str">
        <f>IF(OR(MID(TRIM(报表格式!S324),3,1)="：",MID(TRIM(报表格式!S324),2,1)="、"),REPLACEB(TRIM(报表格式!S324),1,6,""),TRIM(报表格式!S324))</f>
        <v>子公司吸收少数股东投资收到的现金</v>
      </c>
      <c r="S324" s="681" t="s">
        <v>1433</v>
      </c>
    </row>
    <row r="325" spans="17:19">
      <c r="Q325" s="192" t="str">
        <f>报表格式!R325</f>
        <v>H35</v>
      </c>
      <c r="R325" s="676" t="str">
        <f>IF(OR(MID(TRIM(报表格式!S325),2,1)="：",MID(TRIM(报表格式!S325),2,1)="、"),REPLACEB(TRIM(报表格式!S325),1,4,""),TRIM(报表格式!S325))</f>
        <v>取得借款收到的现金</v>
      </c>
      <c r="S325" s="681" t="s">
        <v>1379</v>
      </c>
    </row>
    <row r="326" spans="17:19">
      <c r="Q326" s="192" t="str">
        <f>报表格式!R326</f>
        <v>H36</v>
      </c>
      <c r="R326" s="676" t="str">
        <f>IF(OR(MID(TRIM(报表格式!S326),2,1)="：",MID(TRIM(报表格式!S326),2,1)="、"),REPLACEB(TRIM(报表格式!S326),1,4,""),TRIM(报表格式!S326))</f>
        <v>发行债券收到的现金</v>
      </c>
      <c r="S326" s="681" t="s">
        <v>1379</v>
      </c>
    </row>
    <row r="327" spans="17:19">
      <c r="Q327" s="192" t="str">
        <f>报表格式!R327</f>
        <v>H37</v>
      </c>
      <c r="R327" s="676" t="str">
        <f>IF(OR(MID(TRIM(报表格式!S327),2,1)="：",MID(TRIM(报表格式!S327),2,1)="、"),REPLACEB(TRIM(报表格式!S327),1,4,""),TRIM(报表格式!S327))</f>
        <v>收到的其他与筹资活动有关的现金</v>
      </c>
      <c r="S327" s="681" t="s">
        <v>1379</v>
      </c>
    </row>
    <row r="328" spans="17:19">
      <c r="Q328" s="192">
        <f>报表格式!R328</f>
        <v>0</v>
      </c>
      <c r="R328" s="676" t="str">
        <f>IF(OR(MID(TRIM(报表格式!S328),2,1)="：",MID(TRIM(报表格式!S328),2,1)="、"),REPLACEB(TRIM(报表格式!S328),1,4,""),TRIM(报表格式!S328))</f>
        <v>0</v>
      </c>
    </row>
    <row r="329" spans="17:19">
      <c r="Q329" s="192">
        <f>报表格式!R329</f>
        <v>0</v>
      </c>
      <c r="R329" s="676" t="str">
        <f>IF(OR(MID(TRIM(报表格式!S329),2,1)="：",MID(TRIM(报表格式!S329),2,1)="、"),REPLACEB(TRIM(报表格式!S329),1,4,""),TRIM(报表格式!S329))</f>
        <v>筹资活动现金流入小计</v>
      </c>
    </row>
    <row r="330" spans="17:19">
      <c r="Q330" s="192">
        <f>报表格式!R330</f>
        <v>0</v>
      </c>
      <c r="R330" s="676" t="str">
        <f>IF(OR(MID(TRIM(报表格式!S330),2,1)="：",MID(TRIM(报表格式!S330),2,1)="、"),REPLACEB(TRIM(报表格式!S330),1,4,""),TRIM(报表格式!S330))</f>
        <v>偿还债务支付的现金</v>
      </c>
    </row>
    <row r="331" spans="17:19">
      <c r="Q331" s="192" t="str">
        <f>报表格式!R331</f>
        <v>H38</v>
      </c>
      <c r="R331" s="676" t="str">
        <f>IF(OR(MID(TRIM(报表格式!S331),2,1)="：",MID(TRIM(报表格式!S331),2,1)="、"),REPLACEB(TRIM(报表格式!S331),1,4,""),TRIM(报表格式!S331))</f>
        <v>分配股利、利润或偿付利息支付的现金</v>
      </c>
      <c r="S331" s="681" t="s">
        <v>1379</v>
      </c>
    </row>
    <row r="332" spans="17:19">
      <c r="Q332" s="192" t="str">
        <f>报表格式!R332</f>
        <v>H38-1</v>
      </c>
      <c r="R332" s="676" t="str">
        <f>IF(OR(MID(TRIM(报表格式!S332),3,1)="：",MID(TRIM(报表格式!S332),2,1)="、"),REPLACEB(TRIM(报表格式!S332),1,6,""),TRIM(报表格式!S332))</f>
        <v>子公司支付给少数股东的股利、利润</v>
      </c>
      <c r="S332" s="681" t="s">
        <v>1434</v>
      </c>
    </row>
    <row r="333" spans="17:19">
      <c r="Q333" s="192" t="str">
        <f>报表格式!R333</f>
        <v>H39</v>
      </c>
      <c r="R333" s="676" t="str">
        <f>IF(OR(MID(TRIM(报表格式!S333),2,1)="：",MID(TRIM(报表格式!S333),2,1)="、"),REPLACEB(TRIM(报表格式!S333),1,4,""),TRIM(报表格式!S333))</f>
        <v>支付其他与筹资活动有关的现金</v>
      </c>
      <c r="S333" s="681" t="s">
        <v>1379</v>
      </c>
    </row>
    <row r="334" spans="17:19">
      <c r="Q334" s="192" t="str">
        <f>报表格式!R334</f>
        <v>H39-1</v>
      </c>
      <c r="R334" s="676" t="str">
        <f>IF(OR(MID(TRIM(报表格式!S334),3,1)="：",MID(TRIM(报表格式!S334),2,1)="、"),REPLACEB(TRIM(报表格式!S334),1,6,""),TRIM(报表格式!S334))</f>
        <v>子公司减资支付给少数股东的现金</v>
      </c>
      <c r="S334" s="681" t="s">
        <v>1433</v>
      </c>
    </row>
    <row r="335" spans="17:19">
      <c r="Q335" s="192">
        <f>报表格式!R335</f>
        <v>0</v>
      </c>
      <c r="R335" s="676" t="str">
        <f>IF(OR(MID(TRIM(报表格式!S335),2,1)="：",MID(TRIM(报表格式!S335),2,1)="、"),REPLACEB(TRIM(报表格式!S335),1,4,""),TRIM(报表格式!S335))</f>
        <v>筹资活动现金流出小计</v>
      </c>
    </row>
    <row r="336" spans="17:19">
      <c r="Q336" s="192">
        <f>报表格式!R336</f>
        <v>0</v>
      </c>
      <c r="R336" s="676" t="str">
        <f>IF(OR(MID(TRIM(报表格式!S336),2,1)="：",MID(TRIM(报表格式!S336),2,1)="、"),REPLACEB(TRIM(报表格式!S336),1,4,""),TRIM(报表格式!S336))</f>
        <v>筹资活动产生的现金流量净额</v>
      </c>
    </row>
    <row r="337" spans="17:19">
      <c r="Q337" s="192">
        <f>报表格式!R337</f>
        <v>0</v>
      </c>
      <c r="R337" s="676" t="str">
        <f>IF(OR(MID(TRIM(报表格式!S337),2,1)="：",MID(TRIM(报表格式!S337),2,1)="、"),REPLACEB(TRIM(报表格式!S337),1,4,""),TRIM(报表格式!S337))</f>
        <v>汇率变动对现金及现金等价物的影响</v>
      </c>
    </row>
    <row r="338" spans="17:19">
      <c r="Q338" s="192">
        <f>报表格式!R338</f>
        <v>0</v>
      </c>
      <c r="R338" s="676" t="str">
        <f>IF(OR(MID(TRIM(报表格式!S338),2,1)="：",MID(TRIM(报表格式!S338),2,1)="、"),REPLACEB(TRIM(报表格式!S338),1,4,""),TRIM(报表格式!S338))</f>
        <v>现金及现金等价物净增加额</v>
      </c>
    </row>
    <row r="339" spans="17:19">
      <c r="Q339" s="192">
        <f>报表格式!R339</f>
        <v>0</v>
      </c>
      <c r="R339" s="676" t="str">
        <f>IF(OR(MID(TRIM(报表格式!S339),2,1)="：",MID(TRIM(报表格式!S339),2,1)="、"),REPLACEB(TRIM(报表格式!S339),1,4,""),TRIM(报表格式!S339))</f>
        <v>期初现金及现金等价物余额</v>
      </c>
    </row>
    <row r="340" spans="17:19">
      <c r="Q340" s="192">
        <f>报表格式!R340</f>
        <v>0</v>
      </c>
      <c r="R340" s="676" t="str">
        <f>IF(OR(MID(TRIM(报表格式!S340),2,1)="：",MID(TRIM(报表格式!S340),2,1)="、"),REPLACEB(TRIM(报表格式!S340),1,4,""),TRIM(报表格式!S340))</f>
        <v>期末现金及现金等价物余额</v>
      </c>
    </row>
    <row r="341" spans="17:19">
      <c r="Q341" s="192">
        <f>报表格式!R341</f>
        <v>0</v>
      </c>
      <c r="R341" s="676" t="str">
        <f>IF(OR(MID(TRIM(报表格式!S341),2,1)="：",MID(TRIM(报表格式!S341),2,1)="、"),REPLACEB(TRIM(报表格式!S341),1,4,""),TRIM(报表格式!S341))</f>
        <v>补充资料</v>
      </c>
    </row>
    <row r="342" spans="17:19">
      <c r="Q342" s="192">
        <f>报表格式!R342</f>
        <v>0</v>
      </c>
      <c r="R342" s="676" t="str">
        <f>IF(OR(MID(TRIM(报表格式!S342),2,1)="：",MID(TRIM(报表格式!S342),2,1)="、"),REPLACEB(TRIM(报表格式!S342),1,4,""),TRIM(报表格式!S342))</f>
        <v xml:space="preserve"> 净利润调节为经营活动现金流量：</v>
      </c>
    </row>
    <row r="343" spans="17:19">
      <c r="Q343" s="192" t="str">
        <f>报表格式!R343</f>
        <v>H40</v>
      </c>
      <c r="R343" s="676" t="str">
        <f>IF(OR(MID(TRIM(报表格式!S343),2,1)="：",MID(TRIM(报表格式!S343),2,1)="、"),REPLACEB(TRIM(报表格式!S343),1,4,""),TRIM(报表格式!S343))</f>
        <v>净利润</v>
      </c>
      <c r="S343" s="681" t="s">
        <v>1379</v>
      </c>
    </row>
    <row r="344" spans="17:19">
      <c r="Q344" s="192">
        <f>报表格式!R344</f>
        <v>0</v>
      </c>
      <c r="R344" s="676" t="str">
        <f>IF(OR(MID(TRIM(报表格式!S344),2,1)="：",MID(TRIM(报表格式!S344),2,1)="、"),REPLACEB(TRIM(报表格式!S344),1,4,""),TRIM(报表格式!S344))</f>
        <v>0</v>
      </c>
    </row>
    <row r="345" spans="17:19">
      <c r="Q345" s="192">
        <f>报表格式!R345</f>
        <v>0</v>
      </c>
      <c r="R345" s="676" t="str">
        <f>IF(OR(MID(TRIM(报表格式!S345),2,1)="：",MID(TRIM(报表格式!S345),2,1)="、"),REPLACEB(TRIM(报表格式!S345),1,4,""),TRIM(报表格式!S345))</f>
        <v>0</v>
      </c>
    </row>
    <row r="346" spans="17:19">
      <c r="Q346" s="192" t="str">
        <f>报表格式!R346</f>
        <v>H41</v>
      </c>
      <c r="R346" s="676" t="str">
        <f>IF(OR(MID(TRIM(报表格式!S346),2,1)="：",MID(TRIM(报表格式!S346),2,1)="、"),REPLACEB(TRIM(报表格式!S346),1,4,""),TRIM(报表格式!S346))</f>
        <v>资产减值损失</v>
      </c>
      <c r="S346" s="681" t="s">
        <v>1379</v>
      </c>
    </row>
    <row r="347" spans="17:19">
      <c r="Q347" s="192" t="str">
        <f>报表格式!R347</f>
        <v>H42</v>
      </c>
      <c r="R347" s="676" t="str">
        <f>IF(OR(MID(TRIM(报表格式!S347),2,1)="：",MID(TRIM(报表格式!S347),2,1)="、"),REPLACEB(TRIM(报表格式!S347),1,4,""),TRIM(报表格式!S347))</f>
        <v>信用减值损失</v>
      </c>
      <c r="S347" s="681" t="s">
        <v>1379</v>
      </c>
    </row>
    <row r="348" spans="17:19">
      <c r="Q348" s="192" t="str">
        <f>报表格式!R348</f>
        <v>H43</v>
      </c>
      <c r="R348" s="676" t="str">
        <f>IF(OR(MID(TRIM(报表格式!S348),2,1)="：",MID(TRIM(报表格式!S348),2,1)="、"),REPLACEB(TRIM(报表格式!S348),1,4,""),TRIM(报表格式!S348))</f>
        <v>固定资产折旧、投资性房地产折旧、油气资产折耗、生产性生物资产折旧</v>
      </c>
      <c r="S348" s="681" t="s">
        <v>1379</v>
      </c>
    </row>
    <row r="349" spans="17:19">
      <c r="Q349" s="192" t="str">
        <f>报表格式!R349</f>
        <v>H44</v>
      </c>
      <c r="R349" s="676" t="str">
        <f>IF(OR(MID(TRIM(报表格式!S349),2,1)="：",MID(TRIM(报表格式!S349),2,1)="、"),REPLACEB(TRIM(报表格式!S349),1,4,""),TRIM(报表格式!S349))</f>
        <v>使用权资产折旧</v>
      </c>
      <c r="S349" s="681" t="s">
        <v>1379</v>
      </c>
    </row>
    <row r="350" spans="17:19">
      <c r="Q350" s="192" t="str">
        <f>报表格式!R350</f>
        <v>H45</v>
      </c>
      <c r="R350" s="676" t="str">
        <f>IF(OR(MID(TRIM(报表格式!S350),2,1)="：",MID(TRIM(报表格式!S350),2,1)="、"),REPLACEB(TRIM(报表格式!S350),1,4,""),TRIM(报表格式!S350))</f>
        <v>无形资产摊销</v>
      </c>
      <c r="S350" s="681" t="s">
        <v>1379</v>
      </c>
    </row>
    <row r="351" spans="17:19">
      <c r="Q351" s="192" t="str">
        <f>报表格式!R351</f>
        <v>H46</v>
      </c>
      <c r="R351" s="676" t="str">
        <f>IF(OR(MID(TRIM(报表格式!S351),2,1)="：",MID(TRIM(报表格式!S351),2,1)="、"),REPLACEB(TRIM(报表格式!S351),1,4,""),TRIM(报表格式!S351))</f>
        <v>长期待摊费用摊销</v>
      </c>
      <c r="S351" s="681" t="s">
        <v>1379</v>
      </c>
    </row>
    <row r="352" spans="17:19">
      <c r="Q352" s="192" t="str">
        <f>报表格式!R352</f>
        <v>H47</v>
      </c>
      <c r="R352" s="676" t="str">
        <f>IF(OR(MID(TRIM(报表格式!S352),2,1)="：",MID(TRIM(报表格式!S352),2,1)="、"),REPLACEB(TRIM(报表格式!S352),1,4,""),TRIM(报表格式!S352))</f>
        <v>处置固定资产、无形资产和其他长期资产的损失（收益以“－”号填列）</v>
      </c>
      <c r="S352" s="681" t="s">
        <v>1379</v>
      </c>
    </row>
    <row r="353" spans="17:19">
      <c r="Q353" s="192" t="str">
        <f>报表格式!R353</f>
        <v>H48</v>
      </c>
      <c r="R353" s="676" t="str">
        <f>IF(OR(MID(TRIM(报表格式!S353),2,1)="：",MID(TRIM(报表格式!S353),2,1)="、"),REPLACEB(TRIM(报表格式!S353),1,4,""),TRIM(报表格式!S353))</f>
        <v>固定资产报废损失（收益以“－”号填列）</v>
      </c>
      <c r="S353" s="681" t="s">
        <v>1379</v>
      </c>
    </row>
    <row r="354" spans="17:19">
      <c r="Q354" s="192" t="str">
        <f>报表格式!R354</f>
        <v>H49</v>
      </c>
      <c r="R354" s="676" t="str">
        <f>IF(OR(MID(TRIM(报表格式!S354),2,1)="：",MID(TRIM(报表格式!S354),2,1)="、"),REPLACEB(TRIM(报表格式!S354),1,4,""),TRIM(报表格式!S354))</f>
        <v>公允价值变动损失（收益以“－”号填列）</v>
      </c>
      <c r="S354" s="681" t="s">
        <v>1379</v>
      </c>
    </row>
    <row r="355" spans="17:19">
      <c r="Q355" s="192" t="str">
        <f>报表格式!R355</f>
        <v>H50</v>
      </c>
      <c r="R355" s="676" t="str">
        <f>IF(OR(MID(TRIM(报表格式!S355),2,1)="：",MID(TRIM(报表格式!S355),2,1)="、"),REPLACEB(TRIM(报表格式!S355),1,4,""),TRIM(报表格式!S355))</f>
        <v>财务费用（收益以“－”号填列）</v>
      </c>
      <c r="S355" s="681" t="s">
        <v>1379</v>
      </c>
    </row>
    <row r="356" spans="17:19">
      <c r="Q356" s="192" t="str">
        <f>报表格式!R356</f>
        <v>H51</v>
      </c>
      <c r="R356" s="676" t="str">
        <f>IF(OR(MID(TRIM(报表格式!S356),2,1)="：",MID(TRIM(报表格式!S356),2,1)="、"),REPLACEB(TRIM(报表格式!S356),1,4,""),TRIM(报表格式!S356))</f>
        <v>投资损失（收益以“－”号填列）</v>
      </c>
      <c r="S356" s="681" t="s">
        <v>1379</v>
      </c>
    </row>
    <row r="357" spans="17:19">
      <c r="Q357" s="192" t="str">
        <f>报表格式!R357</f>
        <v>H52</v>
      </c>
      <c r="R357" s="676" t="str">
        <f>IF(OR(MID(TRIM(报表格式!S357),2,1)="：",MID(TRIM(报表格式!S357),2,1)="、"),REPLACEB(TRIM(报表格式!S357),1,4,""),TRIM(报表格式!S357))</f>
        <v>递延所得税资产减少（增加以“－”号填列）</v>
      </c>
      <c r="S357" s="681" t="s">
        <v>1379</v>
      </c>
    </row>
    <row r="358" spans="17:19">
      <c r="Q358" s="192" t="str">
        <f>报表格式!R358</f>
        <v>H53</v>
      </c>
      <c r="R358" s="676" t="str">
        <f>IF(OR(MID(TRIM(报表格式!S358),2,1)="：",MID(TRIM(报表格式!S358),2,1)="、"),REPLACEB(TRIM(报表格式!S358),1,4,""),TRIM(报表格式!S358))</f>
        <v>递延所得税负债增加（减少以“－”号填列）</v>
      </c>
      <c r="S358" s="681" t="s">
        <v>1379</v>
      </c>
    </row>
    <row r="359" spans="17:19">
      <c r="Q359" s="192" t="str">
        <f>报表格式!R359</f>
        <v>H54</v>
      </c>
      <c r="R359" s="676" t="str">
        <f>IF(OR(MID(TRIM(报表格式!S359),2,1)="：",MID(TRIM(报表格式!S359),2,1)="、"),REPLACEB(TRIM(报表格式!S359),1,4,""),TRIM(报表格式!S359))</f>
        <v>存货的减少（增加以“－”号填列）</v>
      </c>
      <c r="S359" s="681" t="s">
        <v>1379</v>
      </c>
    </row>
    <row r="360" spans="17:19">
      <c r="Q360" s="192" t="str">
        <f>报表格式!R360</f>
        <v>H55</v>
      </c>
      <c r="R360" s="676" t="str">
        <f>IF(OR(MID(TRIM(报表格式!S360),2,1)="：",MID(TRIM(报表格式!S360),2,1)="、"),REPLACEB(TRIM(报表格式!S360),1,4,""),TRIM(报表格式!S360))</f>
        <v>经营性应收项目的减少（增加以“－”号填列）</v>
      </c>
      <c r="S360" s="681" t="s">
        <v>1379</v>
      </c>
    </row>
    <row r="361" spans="17:19">
      <c r="Q361" s="192" t="str">
        <f>报表格式!R361</f>
        <v>H56</v>
      </c>
      <c r="R361" s="676" t="str">
        <f>IF(OR(MID(TRIM(报表格式!S361),2,1)="：",MID(TRIM(报表格式!S361),2,1)="、"),REPLACEB(TRIM(报表格式!S361),1,4,""),TRIM(报表格式!S361))</f>
        <v>经营性应付项目的增加（减少以“－”号填列）</v>
      </c>
      <c r="S361" s="681" t="s">
        <v>1379</v>
      </c>
    </row>
    <row r="362" spans="17:19">
      <c r="Q362" s="192" t="str">
        <f>报表格式!R362</f>
        <v>H57</v>
      </c>
      <c r="R362" s="760" t="s">
        <v>1484</v>
      </c>
      <c r="S362" s="681" t="s">
        <v>1379</v>
      </c>
    </row>
    <row r="363" spans="17:19">
      <c r="Q363" s="192">
        <f>报表格式!R363</f>
        <v>0</v>
      </c>
    </row>
    <row r="364" spans="17:19">
      <c r="Q364" s="192">
        <f>报表格式!R364</f>
        <v>0</v>
      </c>
    </row>
    <row r="365" spans="17:19">
      <c r="Q365" s="192">
        <f>报表格式!R365</f>
        <v>0</v>
      </c>
    </row>
    <row r="366" spans="17:19">
      <c r="Q366" s="192">
        <f>报表格式!R366</f>
        <v>0</v>
      </c>
    </row>
    <row r="367" spans="17:19">
      <c r="Q367" s="192">
        <f>报表格式!R367</f>
        <v>0</v>
      </c>
    </row>
    <row r="368" spans="17:19">
      <c r="Q368" s="192">
        <f>报表格式!R368</f>
        <v>0</v>
      </c>
    </row>
    <row r="369" spans="17:17">
      <c r="Q369" s="192">
        <f>报表格式!R369</f>
        <v>0</v>
      </c>
    </row>
    <row r="370" spans="17:17">
      <c r="Q370" s="192">
        <f>报表格式!R370</f>
        <v>0</v>
      </c>
    </row>
    <row r="371" spans="17:17">
      <c r="Q371" s="192">
        <f>报表格式!R371</f>
        <v>0</v>
      </c>
    </row>
    <row r="372" spans="17:17">
      <c r="Q372" s="192">
        <f>报表格式!R372</f>
        <v>0</v>
      </c>
    </row>
    <row r="373" spans="17:17">
      <c r="Q373" s="192">
        <f>报表格式!R373</f>
        <v>0</v>
      </c>
    </row>
    <row r="374" spans="17:17">
      <c r="Q374" s="192">
        <f>报表格式!R374</f>
        <v>0</v>
      </c>
    </row>
    <row r="375" spans="17:17">
      <c r="Q375" s="192">
        <f>报表格式!R375</f>
        <v>0</v>
      </c>
    </row>
    <row r="376" spans="17:17">
      <c r="Q376" s="192">
        <f>报表格式!R376</f>
        <v>0</v>
      </c>
    </row>
    <row r="377" spans="17:17">
      <c r="Q377" s="192">
        <f>报表格式!R377</f>
        <v>0</v>
      </c>
    </row>
    <row r="378" spans="17:17">
      <c r="Q378" s="192">
        <f>报表格式!R378</f>
        <v>0</v>
      </c>
    </row>
    <row r="379" spans="17:17">
      <c r="Q379" s="192">
        <f>报表格式!R379</f>
        <v>0</v>
      </c>
    </row>
    <row r="380" spans="17:17">
      <c r="Q380" s="192">
        <f>报表格式!R380</f>
        <v>0</v>
      </c>
    </row>
    <row r="381" spans="17:17">
      <c r="Q381" s="192">
        <f>报表格式!R381</f>
        <v>0</v>
      </c>
    </row>
    <row r="382" spans="17:17">
      <c r="Q382" s="192">
        <f>报表格式!R382</f>
        <v>0</v>
      </c>
    </row>
    <row r="383" spans="17:17">
      <c r="Q383" s="192">
        <f>报表格式!R383</f>
        <v>0</v>
      </c>
    </row>
    <row r="384" spans="17:17">
      <c r="Q384" s="192">
        <f>报表格式!R384</f>
        <v>0</v>
      </c>
    </row>
    <row r="385" spans="17:17">
      <c r="Q385" s="192">
        <f>报表格式!R385</f>
        <v>0</v>
      </c>
    </row>
    <row r="386" spans="17:17">
      <c r="Q386" s="192">
        <f>报表格式!R386</f>
        <v>0</v>
      </c>
    </row>
    <row r="387" spans="17:17">
      <c r="Q387" s="192">
        <f>报表格式!R387</f>
        <v>0</v>
      </c>
    </row>
    <row r="388" spans="17:17">
      <c r="Q388" s="192">
        <f>报表格式!R388</f>
        <v>0</v>
      </c>
    </row>
    <row r="389" spans="17:17">
      <c r="Q389" s="192">
        <f>报表格式!R389</f>
        <v>0</v>
      </c>
    </row>
    <row r="390" spans="17:17">
      <c r="Q390" s="192">
        <f>报表格式!R390</f>
        <v>0</v>
      </c>
    </row>
    <row r="391" spans="17:17">
      <c r="Q391" s="192">
        <f>报表格式!R391</f>
        <v>0</v>
      </c>
    </row>
    <row r="392" spans="17:17">
      <c r="Q392" s="192">
        <f>报表格式!R392</f>
        <v>0</v>
      </c>
    </row>
    <row r="393" spans="17:17">
      <c r="Q393" s="192">
        <f>报表格式!R393</f>
        <v>0</v>
      </c>
    </row>
    <row r="394" spans="17:17">
      <c r="Q394" s="192">
        <f>报表格式!R394</f>
        <v>0</v>
      </c>
    </row>
    <row r="395" spans="17:17">
      <c r="Q395" s="192">
        <f>报表格式!R395</f>
        <v>0</v>
      </c>
    </row>
    <row r="396" spans="17:17">
      <c r="Q396" s="192">
        <f>报表格式!R396</f>
        <v>0</v>
      </c>
    </row>
    <row r="397" spans="17:17">
      <c r="Q397" s="192">
        <f>报表格式!R397</f>
        <v>0</v>
      </c>
    </row>
    <row r="398" spans="17:17">
      <c r="Q398" s="192">
        <f>报表格式!R398</f>
        <v>0</v>
      </c>
    </row>
    <row r="399" spans="17:17">
      <c r="Q399" s="192">
        <f>报表格式!R399</f>
        <v>0</v>
      </c>
    </row>
    <row r="400" spans="17:17">
      <c r="Q400" s="192">
        <f>报表格式!R400</f>
        <v>0</v>
      </c>
    </row>
    <row r="401" spans="17:17">
      <c r="Q401" s="192">
        <f>报表格式!R401</f>
        <v>0</v>
      </c>
    </row>
    <row r="402" spans="17:17">
      <c r="Q402" s="192">
        <f>报表格式!R402</f>
        <v>0</v>
      </c>
    </row>
  </sheetData>
  <sheetProtection formatCells="0" formatColumns="0" formatRows="0" insertRows="0" autoFilter="0" pivotTables="0"/>
  <autoFilter ref="Q5:R402"/>
  <mergeCells count="11">
    <mergeCell ref="M5:M6"/>
    <mergeCell ref="E5:E6"/>
    <mergeCell ref="F5:F6"/>
    <mergeCell ref="G5:G6"/>
    <mergeCell ref="H5:H6"/>
    <mergeCell ref="I5:J5"/>
    <mergeCell ref="A5:A6"/>
    <mergeCell ref="B5:B6"/>
    <mergeCell ref="C5:C6"/>
    <mergeCell ref="D5:D6"/>
    <mergeCell ref="K5:L5"/>
  </mergeCells>
  <phoneticPr fontId="51" type="noConversion"/>
  <conditionalFormatting sqref="A2">
    <cfRule type="cellIs" dxfId="58" priority="2" stopIfTrue="1" operator="equal">
      <formula>"调整事项未全部链入试算平衡表，请检查调整科目是否为报表项目!"</formula>
    </cfRule>
  </conditionalFormatting>
  <conditionalFormatting sqref="H2">
    <cfRule type="cellIs" dxfId="57" priority="1" stopIfTrue="1" operator="equal">
      <formula>"调整事项未全部链入试算平衡表，请检查调整科目是否为报表项目!"</formula>
    </cfRule>
  </conditionalFormatting>
  <dataValidations xWindow="1587" yWindow="450" count="7">
    <dataValidation allowBlank="1" showDropDown="1" showInputMessage="1" showErrorMessage="1" errorTitle="警告" error="   您输入的科目不是报表标准科目_x000a__x000a_请对应“调整事项转换表”核对科目名称" sqref="G7 I8:L8 G9:G112 E7:F112"/>
    <dataValidation type="list" allowBlank="1" showDropDown="1" showInputMessage="1" showErrorMessage="1" errorTitle="警告" error="   您输入的科目不是报表标准科目_x000a__x000a_请对应“调整事项转换表”核对科目名称" sqref="H112 H16 H11 H51 H56 H61 H66 H71 H76 H81">
      <formula1>$R$8:$R$91</formula1>
    </dataValidation>
    <dataValidation allowBlank="1" showInputMessage="1" showErrorMessage="1" prompt="如修改此列公式，需要同时按下Ctrl+Shift+Enter确认" sqref="O7:O113 N7:N121"/>
    <dataValidation type="list" allowBlank="1" showInputMessage="1" showErrorMessage="1" sqref="D7:D111">
      <formula1>"报表调整,账项调整,其他"</formula1>
    </dataValidation>
    <dataValidation type="list" allowBlank="1" showDropDown="1" showInputMessage="1" showErrorMessage="1" errorTitle="警告" error="   您输入的科目不是报表标准科目_x000a__x000a_请对应“调整事项转换表”核对科目名称" sqref="H52:H55 H82:H111 H17:H50 H12:H15 H77:H80 H72:H75 H67:H70 H62:H65 H57:H60">
      <formula1>$R:$R</formula1>
    </dataValidation>
    <dataValidation type="list" allowBlank="1" showDropDown="1" showInputMessage="1" showErrorMessage="1" errorTitle="警告" error="   您输入的科目不是报表标准科目_x000a__x000a_请对应“报表项目”核对科目名称" sqref="H8:H10">
      <formula1>$R:$R</formula1>
    </dataValidation>
    <dataValidation type="list" allowBlank="1" showDropDown="1" showInputMessage="1" showErrorMessage="1" prompt="可直接输入科目名称；也可以在“code”列输入代码" sqref="H7">
      <formula1>$R:$R</formula1>
    </dataValidation>
  </dataValidations>
  <printOptions horizontalCentered="1"/>
  <pageMargins left="0.51181102362204722" right="0.23622047244094491" top="0.51181102362204722" bottom="0.98425196850393704" header="0.23622047244094491" footer="0.23622047244094491"/>
  <pageSetup paperSize="9" scale="71" fitToHeight="0" orientation="portrait" horizontalDpi="360" verticalDpi="360" r:id="rId1"/>
  <headerFooter alignWithMargins="0">
    <oddFooter xml:space="preserve">&amp;L&amp;10被审计单位公章：&amp;C&amp;10法定代表人签字：&amp;R&amp;10财务负责人签字：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U9"/>
  <sheetViews>
    <sheetView workbookViewId="0"/>
  </sheetViews>
  <sheetFormatPr defaultRowHeight="12" customHeight="1" zeroHeight="1"/>
  <cols>
    <col min="1" max="3" width="17" customWidth="1"/>
    <col min="5" max="5" width="13.59765625" customWidth="1"/>
  </cols>
  <sheetData>
    <row r="1" spans="1:21" s="6" customFormat="1" ht="12" customHeight="1">
      <c r="A1" s="6" t="s">
        <v>41</v>
      </c>
      <c r="B1" s="6" t="s">
        <v>42</v>
      </c>
      <c r="C1" s="6" t="s">
        <v>43</v>
      </c>
      <c r="E1" s="7">
        <f ca="1">NOW()</f>
        <v>45967.745979398147</v>
      </c>
    </row>
    <row r="2" spans="1:21" s="6" customFormat="1" ht="12" hidden="1" customHeight="1"/>
    <row r="3" spans="1:21" s="6" customFormat="1" ht="12" hidden="1" customHeight="1">
      <c r="A3" s="8" t="e">
        <f>SUM(#REF!)+SUM(#REF!)+SUM(#REF!)+SUM(#REF!)+SUM(#REF!)+SUM(#REF!)</f>
        <v>#REF!</v>
      </c>
      <c r="B3" s="6" t="b">
        <f>ISERROR(A3)</f>
        <v>1</v>
      </c>
      <c r="C3" s="6" t="str">
        <f>IF(B3=TRUE,"您误使用了剪切或拖拽功能，请用撤销键撤销此操作!!",0)</f>
        <v>您误使用了剪切或拖拽功能，请用撤销键撤销此操作!!</v>
      </c>
    </row>
    <row r="4" spans="1:21" s="6" customFormat="1" ht="12" hidden="1" customHeight="1"/>
    <row r="5" spans="1:21" s="9" customFormat="1" ht="12" hidden="1" customHeight="1">
      <c r="A5" s="9" t="e">
        <f>IF(ABS(' '!E5)&gt;0.0049,"注意！报表项目栏有空格，试算平衡表将不能统计该栏数据！请填写报表项目名称。",IF(ABS(' '!F5)&lt;0.005,IF(ABS(' '!G5-' '!H5)&lt;0.005,IF(#REF!="调整金额合计",IF(ABS(#REF!)&lt;0.005,IF(ABS(#REF!)&lt;0.005,IF(ABS(#REF!)&lt;0.005,IF(#REF!-#REF!=0,"","                                       审计调整分录使本年净利润净增加："),"客户同意调整的分录不完整,使期初未分配利润与上期报表数不等。请继续调整！差额:"),"调整分录已使本年“年初未分配利润”和上年“末分配利润”不等。请作进一步调整。"),"调整分录错误！上年的报表项目不能与本年的报表项目套在一起出分录，请纠正；或者已输入的会计分录名称在“02报表格式”中已被修改，请手工作相应修改。"),""),"客户同意调整的分录不平，将导致客户报出会计报表不平，请检查!!差额为："),"“以前年度损益调整”应进一步结转入“年初未分配利润”等科目,借贷相抵后差额为："))</f>
        <v>#REF!</v>
      </c>
      <c r="B5" s="9" t="e">
        <f>IF(ABS(' '!E5)&gt;0.0049,"",IF(ABS(' '!F5)&lt;0.005,IF(ABS(' '!G5-' '!H5)&lt;0.005,IF(#REF!="调整金额合计",IF(ABS(#REF!)&lt;0.005,IF(ABS(#REF!)&lt;0.005,IF(ABS(#REF!)&lt;0.005,IF(#REF!-#REF!=0,"",#REF!-#REF!),#REF!),#REF!),#REF!),""),' '!G5-' '!H5),ABS(' '!F5)))</f>
        <v>#REF!</v>
      </c>
      <c r="C5" s="10" t="e">
        <f>SUMIF(#REF!,"",#REF!)</f>
        <v>#REF!</v>
      </c>
      <c r="D5" s="10" t="e">
        <f>SUMIF(#REF!,"",#REF!)</f>
        <v>#REF!</v>
      </c>
      <c r="E5" s="10" t="e">
        <f>ABS(' '!C5)+ABS(' '!D5)</f>
        <v>#REF!</v>
      </c>
      <c r="F5" s="10" t="e">
        <f>SUMIF(#REF!,"以前年度损益调整",#REF!)-SUMIF(#REF!,"以前年度损益调整",#REF!)</f>
        <v>#REF!</v>
      </c>
      <c r="G5" s="11" t="e">
        <f>SUMIF(#REF!,"Y",#REF!)</f>
        <v>#REF!</v>
      </c>
      <c r="H5" s="11" t="e">
        <f>SUMIF(#REF!,"Y",#REF!)</f>
        <v>#REF!</v>
      </c>
      <c r="K5" s="9" t="str">
        <f>CONCATENATE("被审计单位：",参数!D3)</f>
        <v>被审计单位：二锅头</v>
      </c>
      <c r="L5" s="9" t="e">
        <f>IF(A8=0,CONCATENATE(A5,B5),"请注意，您在第"&amp;(A7-1)&amp;"行之后输入了数据，本系统无法汇总到这些数据。请撤消此操作，然后在第"&amp;(A7-1)&amp;"行之前插入空白行，并在这些空白行中重新输入或粘贴数据。")</f>
        <v>#REF!</v>
      </c>
      <c r="Q5" s="12" t="e">
        <f>IF(ABS(#REF!-#REF!)&lt;0.005,"调整金额合计","调整金额借贷不等,请检查!差额为:")</f>
        <v>#REF!</v>
      </c>
      <c r="S5" s="9" t="e">
        <f>IF(#REF!=#REF!,"",#REF!-#REF!)</f>
        <v>#REF!</v>
      </c>
      <c r="U5" s="9" t="str">
        <f>CONCATENATE("会计期间：  ",参数!D10)</f>
        <v>会计期间：  2022年度</v>
      </c>
    </row>
    <row r="6" spans="1:21" s="6" customFormat="1" ht="12" hidden="1" customHeight="1">
      <c r="A6" s="1089" t="e">
        <f>IF(#REF!=0,IF(#REF!=0,IF(#REF!=0,IF(#REF!=0,"", "客户同意调整的分录不平，导致客户报出报表不平，请检查!!差额为："),"客户同意调整的分录不平，导致客户报出报表不平，请检查!!差额为："),"调整分录使试算平衡表中“现金及现金等价物净增加额”上下不等,差额为："),"调整分录使试算平衡表中“经营活动产生的现金流量”上下不等,差额为：")</f>
        <v>#REF!</v>
      </c>
      <c r="B6" s="1089"/>
      <c r="C6" s="1089"/>
      <c r="D6" s="1089"/>
      <c r="E6" s="1089"/>
      <c r="F6" s="1089"/>
      <c r="G6" s="1089"/>
      <c r="H6" s="13"/>
      <c r="I6" s="14" t="e">
        <f>IF(#REF!=0,IF(#REF!=0,IF(#REF!=0,IF(#REF!=0,"",#REF!),#REF!),#REF!),#REF!)</f>
        <v>#REF!</v>
      </c>
      <c r="J6" s="15" t="e">
        <f>CONCATENATE(A6,I6)</f>
        <v>#REF!</v>
      </c>
      <c r="K6" s="13"/>
      <c r="L6" s="13"/>
      <c r="M6" s="13"/>
      <c r="N6" s="16" t="e">
        <f>CONCATENATE("调整事项使现金净流量增加：",ROUND(#REF!-#REF!,2),"元。其中，","调增",ROUND(#REF!,2),"元，调减",ROUND(#REF!,2),"元。")</f>
        <v>#REF!</v>
      </c>
    </row>
    <row r="7" spans="1:21" s="6" customFormat="1" ht="12" hidden="1" customHeight="1">
      <c r="A7" t="e">
        <f>ROW(#REF!)</f>
        <v>#REF!</v>
      </c>
    </row>
    <row r="8" spans="1:21" s="6" customFormat="1" ht="12" hidden="1" customHeight="1">
      <c r="A8" t="e">
        <f>SUM(#REF!)</f>
        <v>#REF!</v>
      </c>
    </row>
    <row r="9" spans="1:21" s="6" customFormat="1" ht="12" hidden="1" customHeight="1"/>
  </sheetData>
  <mergeCells count="1">
    <mergeCell ref="A6:G6"/>
  </mergeCells>
  <phoneticPr fontId="4" type="noConversion"/>
  <pageMargins left="0.75" right="0.75" top="1" bottom="1" header="0.5" footer="0.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I80"/>
  <sheetViews>
    <sheetView view="pageBreakPreview" zoomScale="70" zoomScaleSheetLayoutView="70" workbookViewId="0">
      <pane ySplit="5" topLeftCell="A45" activePane="bottomLeft" state="frozen"/>
      <selection activeCell="B57" sqref="B57"/>
      <selection pane="bottomLeft" activeCell="C55" sqref="C55"/>
    </sheetView>
  </sheetViews>
  <sheetFormatPr defaultColWidth="16.3984375" defaultRowHeight="14.1" customHeight="1"/>
  <cols>
    <col min="1" max="1" width="54.8984375" style="40" customWidth="1"/>
    <col min="2" max="4" width="15.09765625" style="40" bestFit="1" customWidth="1"/>
    <col min="5" max="5" width="11" style="40" customWidth="1"/>
    <col min="6" max="6" width="12.8984375" style="40" customWidth="1"/>
    <col min="7" max="16384" width="16.3984375" style="40"/>
  </cols>
  <sheetData>
    <row r="1" spans="1:9" ht="17.399999999999999">
      <c r="A1" s="1094" t="s">
        <v>107</v>
      </c>
      <c r="B1" s="1094"/>
      <c r="C1" s="1094"/>
      <c r="D1" s="1094"/>
    </row>
    <row r="2" spans="1:9" ht="18" customHeight="1">
      <c r="A2" s="76" t="str">
        <f>CONCATENATE("客户名称：",参数!D3)</f>
        <v>客户名称：二锅头</v>
      </c>
      <c r="B2" s="32" t="str">
        <f>CONCATENATE("编制人：",参数!D17)</f>
        <v>编制人：张</v>
      </c>
      <c r="C2" s="32" t="str">
        <f ca="1">CONCATENATE("日期：",TEXT(NOW(),"yyyy.mm.dd"))</f>
        <v>日期：2025.11.06</v>
      </c>
      <c r="D2" s="318" t="s">
        <v>416</v>
      </c>
      <c r="F2" s="32"/>
      <c r="G2" s="33"/>
      <c r="I2" s="32"/>
    </row>
    <row r="3" spans="1:9" ht="12.75" customHeight="1">
      <c r="A3" s="76" t="str">
        <f>CONCATENATE("会计期间：",参数!D10)</f>
        <v>会计期间：2022年度</v>
      </c>
      <c r="B3" s="32" t="str">
        <f>CONCATENATE("复核人：",参数!D18)</f>
        <v>复核人：刘</v>
      </c>
      <c r="C3" s="32" t="s">
        <v>11</v>
      </c>
      <c r="D3" s="78" t="s">
        <v>12</v>
      </c>
      <c r="F3" s="32"/>
      <c r="G3" s="33"/>
      <c r="I3" s="32"/>
    </row>
    <row r="4" spans="1:9" s="39" customFormat="1" ht="14.1" customHeight="1">
      <c r="A4" s="1090" t="s">
        <v>15</v>
      </c>
      <c r="B4" s="1092" t="s">
        <v>108</v>
      </c>
      <c r="C4" s="1095" t="s">
        <v>109</v>
      </c>
      <c r="D4" s="1095" t="s">
        <v>110</v>
      </c>
    </row>
    <row r="5" spans="1:9" s="39" customFormat="1" ht="14.1" customHeight="1">
      <c r="A5" s="1091"/>
      <c r="B5" s="1093"/>
      <c r="C5" s="1096"/>
      <c r="D5" s="1096"/>
    </row>
    <row r="6" spans="1:9" s="39" customFormat="1" ht="18" customHeight="1">
      <c r="A6" s="169" t="str">
        <f>报表格式!K5</f>
        <v>一、经营活动产生的现金流量</v>
      </c>
      <c r="B6" s="167"/>
      <c r="C6" s="167"/>
      <c r="D6" s="167"/>
    </row>
    <row r="7" spans="1:9" s="39" customFormat="1" ht="18" customHeight="1">
      <c r="A7" s="170" t="str">
        <f>报表格式!K6</f>
        <v xml:space="preserve">     销售商品、提供劳务收到的现金</v>
      </c>
      <c r="B7" s="83"/>
      <c r="C7" s="83">
        <f>CF主表核查!C8-CF调整!B7</f>
        <v>34051901.329999998</v>
      </c>
      <c r="D7" s="83">
        <f>SUM(B7:C7)</f>
        <v>34051901.329999998</v>
      </c>
    </row>
    <row r="8" spans="1:9" s="39" customFormat="1" ht="18" customHeight="1">
      <c r="A8" s="171" t="str">
        <f>报表格式!K17</f>
        <v xml:space="preserve">     收到的税费返还</v>
      </c>
      <c r="B8" s="83"/>
      <c r="C8" s="83">
        <f>CF主表核查!C23-CF调整!B8</f>
        <v>0</v>
      </c>
      <c r="D8" s="83">
        <f t="shared" ref="D8:D48" si="0">SUM(B8:C8)</f>
        <v>0</v>
      </c>
    </row>
    <row r="9" spans="1:9" s="39" customFormat="1" ht="18" customHeight="1">
      <c r="A9" s="170" t="str">
        <f>报表格式!K18</f>
        <v xml:space="preserve">     收到的其他与经营活动有关的现金</v>
      </c>
      <c r="B9" s="83"/>
      <c r="C9" s="83">
        <f>CF主表核查!C33-CF调整!B9</f>
        <v>0</v>
      </c>
      <c r="D9" s="83">
        <f t="shared" si="0"/>
        <v>0</v>
      </c>
    </row>
    <row r="10" spans="1:9" s="39" customFormat="1" ht="18" customHeight="1">
      <c r="A10" s="184" t="str">
        <f>报表格式!K20</f>
        <v xml:space="preserve">     经营活动现金流入小计</v>
      </c>
      <c r="B10" s="164"/>
      <c r="C10" s="164">
        <f>SUM(C7:C9)</f>
        <v>34051901.329999998</v>
      </c>
      <c r="D10" s="164">
        <f t="shared" si="0"/>
        <v>34051901.329999998</v>
      </c>
    </row>
    <row r="11" spans="1:9" s="39" customFormat="1" ht="18" customHeight="1">
      <c r="A11" s="170" t="str">
        <f>报表格式!K21</f>
        <v xml:space="preserve">     购买商品、接受劳务支付的现金</v>
      </c>
      <c r="B11" s="83"/>
      <c r="C11" s="83">
        <f>CF主表核查!C43-CF调整!B11</f>
        <v>0</v>
      </c>
      <c r="D11" s="83">
        <f t="shared" si="0"/>
        <v>0</v>
      </c>
    </row>
    <row r="12" spans="1:9" s="39" customFormat="1" ht="18" customHeight="1">
      <c r="A12" s="170" t="str">
        <f>报表格式!K28</f>
        <v xml:space="preserve">     支付给职工以及为职工支付的现金</v>
      </c>
      <c r="B12" s="83"/>
      <c r="C12" s="83">
        <f>CF主表核查!C61-CF调整!B12</f>
        <v>0</v>
      </c>
      <c r="D12" s="83">
        <f t="shared" si="0"/>
        <v>0</v>
      </c>
    </row>
    <row r="13" spans="1:9" s="39" customFormat="1" ht="18" customHeight="1">
      <c r="A13" s="170" t="str">
        <f>报表格式!K29</f>
        <v xml:space="preserve">     支付各项税费</v>
      </c>
      <c r="B13" s="83"/>
      <c r="C13" s="83">
        <f>CF主表核查!C69-CF调整!B13</f>
        <v>0</v>
      </c>
      <c r="D13" s="83">
        <f t="shared" si="0"/>
        <v>0</v>
      </c>
    </row>
    <row r="14" spans="1:9" s="39" customFormat="1" ht="18" customHeight="1">
      <c r="A14" s="170" t="str">
        <f>报表格式!K30</f>
        <v xml:space="preserve">     支付的其他与经营活动有关的现金</v>
      </c>
      <c r="B14" s="83"/>
      <c r="C14" s="83">
        <f>CF主表核查!C74-CF调整!B14</f>
        <v>13154047.73</v>
      </c>
      <c r="D14" s="83">
        <f t="shared" si="0"/>
        <v>13154047.73</v>
      </c>
    </row>
    <row r="15" spans="1:9" s="39" customFormat="1" ht="18" customHeight="1">
      <c r="A15" s="184" t="str">
        <f>报表格式!K32</f>
        <v xml:space="preserve">     经营活动现金流出小计</v>
      </c>
      <c r="B15" s="164"/>
      <c r="C15" s="164">
        <f>SUM(C12:C14)</f>
        <v>13154047.73</v>
      </c>
      <c r="D15" s="164">
        <f t="shared" si="0"/>
        <v>13154047.73</v>
      </c>
    </row>
    <row r="16" spans="1:9" s="39" customFormat="1" ht="18" customHeight="1">
      <c r="A16" s="172" t="str">
        <f>报表格式!K33</f>
        <v xml:space="preserve">     经营活动产生的现金流量净额</v>
      </c>
      <c r="B16" s="164">
        <f>B10-B15</f>
        <v>0</v>
      </c>
      <c r="C16" s="164">
        <f>C10-C15</f>
        <v>20897853.599999998</v>
      </c>
      <c r="D16" s="164">
        <f t="shared" si="0"/>
        <v>20897853.599999998</v>
      </c>
    </row>
    <row r="17" spans="1:4" s="43" customFormat="1" ht="18" customHeight="1">
      <c r="A17" s="172" t="str">
        <f>报表格式!K34</f>
        <v>二、投资活动产生的现金流量</v>
      </c>
      <c r="B17" s="163"/>
      <c r="C17" s="163"/>
      <c r="D17" s="163">
        <f t="shared" si="0"/>
        <v>0</v>
      </c>
    </row>
    <row r="18" spans="1:4" s="39" customFormat="1" ht="18" customHeight="1">
      <c r="A18" s="170" t="str">
        <f>报表格式!K35</f>
        <v xml:space="preserve">     收回投资所收到的现金</v>
      </c>
      <c r="B18" s="83"/>
      <c r="C18" s="83">
        <f>CF主表核查!C93-B18</f>
        <v>0</v>
      </c>
      <c r="D18" s="83">
        <f t="shared" si="0"/>
        <v>0</v>
      </c>
    </row>
    <row r="19" spans="1:4" s="39" customFormat="1" ht="18" customHeight="1">
      <c r="A19" s="170" t="str">
        <f>报表格式!K36</f>
        <v xml:space="preserve">     取得投资收益所收到的现金</v>
      </c>
      <c r="B19" s="83"/>
      <c r="C19" s="83">
        <f>CF主表核查!C100-B19</f>
        <v>-22310798.02</v>
      </c>
      <c r="D19" s="83">
        <f t="shared" si="0"/>
        <v>-22310798.02</v>
      </c>
    </row>
    <row r="20" spans="1:4" s="39" customFormat="1" ht="18" customHeight="1">
      <c r="A20" s="170" t="str">
        <f>报表格式!K37</f>
        <v xml:space="preserve">     处置固定资产、无形资产和其他长期资产而收到的现金净额</v>
      </c>
      <c r="B20" s="83"/>
      <c r="C20" s="83">
        <f>CF主表核查!C108-B20</f>
        <v>0</v>
      </c>
      <c r="D20" s="83">
        <f t="shared" si="0"/>
        <v>0</v>
      </c>
    </row>
    <row r="21" spans="1:4" s="39" customFormat="1" ht="18" customHeight="1">
      <c r="A21" s="170" t="str">
        <f>报表格式!K38</f>
        <v xml:space="preserve">     处置子公司及其他营业单位收到的现金净额</v>
      </c>
      <c r="B21" s="83"/>
      <c r="C21" s="83">
        <f>CF主表核查!C112-B21</f>
        <v>0</v>
      </c>
      <c r="D21" s="83">
        <f t="shared" si="0"/>
        <v>0</v>
      </c>
    </row>
    <row r="22" spans="1:4" s="39" customFormat="1" ht="18" customHeight="1">
      <c r="A22" s="170" t="str">
        <f>报表格式!K39</f>
        <v xml:space="preserve">     收到其他与投资活动有关的现金</v>
      </c>
      <c r="B22" s="83"/>
      <c r="C22" s="83">
        <f>CF主表核查!C116-B22</f>
        <v>0</v>
      </c>
      <c r="D22" s="83">
        <f t="shared" si="0"/>
        <v>0</v>
      </c>
    </row>
    <row r="23" spans="1:4" s="39" customFormat="1" ht="18" customHeight="1">
      <c r="A23" s="184" t="str">
        <f>报表格式!K41</f>
        <v xml:space="preserve">     投资活动现金流入小计</v>
      </c>
      <c r="B23" s="164">
        <f>SUM(B18:B22)</f>
        <v>0</v>
      </c>
      <c r="C23" s="164">
        <f>SUM(C18:C22)</f>
        <v>-22310798.02</v>
      </c>
      <c r="D23" s="164">
        <f t="shared" si="0"/>
        <v>-22310798.02</v>
      </c>
    </row>
    <row r="24" spans="1:4" s="39" customFormat="1" ht="18" customHeight="1">
      <c r="A24" s="170" t="str">
        <f>报表格式!K42</f>
        <v xml:space="preserve">     购置固定资产、无形资产和其他长期资产所支付现金 </v>
      </c>
      <c r="B24" s="83"/>
      <c r="C24" s="83">
        <f>CF主表核查!C123-B24</f>
        <v>0</v>
      </c>
      <c r="D24" s="83">
        <f t="shared" si="0"/>
        <v>0</v>
      </c>
    </row>
    <row r="25" spans="1:4" s="39" customFormat="1" ht="18" customHeight="1">
      <c r="A25" s="170" t="str">
        <f>报表格式!K43</f>
        <v xml:space="preserve">     投资所支付的现金</v>
      </c>
      <c r="B25" s="83"/>
      <c r="C25" s="83">
        <f>CF主表核查!C137-B25</f>
        <v>0</v>
      </c>
      <c r="D25" s="83">
        <f t="shared" si="0"/>
        <v>0</v>
      </c>
    </row>
    <row r="26" spans="1:4" s="39" customFormat="1" ht="18" customHeight="1">
      <c r="A26" s="170" t="str">
        <f>报表格式!K45</f>
        <v xml:space="preserve">     取得子公司及其他营业单位支付的现金净额</v>
      </c>
      <c r="B26" s="83"/>
      <c r="C26" s="83">
        <f>CF主表核查!C144-B26</f>
        <v>0</v>
      </c>
      <c r="D26" s="83">
        <f t="shared" si="0"/>
        <v>0</v>
      </c>
    </row>
    <row r="27" spans="1:4" s="39" customFormat="1" ht="18" customHeight="1">
      <c r="A27" s="170" t="str">
        <f>报表格式!K46</f>
        <v xml:space="preserve">     支付其他与投资活动有关的现金</v>
      </c>
      <c r="B27" s="83"/>
      <c r="C27" s="83">
        <f>CF主表核查!C148-B27</f>
        <v>0</v>
      </c>
      <c r="D27" s="83">
        <f t="shared" si="0"/>
        <v>0</v>
      </c>
    </row>
    <row r="28" spans="1:4" s="39" customFormat="1" ht="18" customHeight="1">
      <c r="A28" s="184" t="str">
        <f>报表格式!K48</f>
        <v xml:space="preserve">      投资活动现金流出小计</v>
      </c>
      <c r="B28" s="164">
        <f>SUM(B24:B27)</f>
        <v>0</v>
      </c>
      <c r="C28" s="164">
        <f>SUM(C24:C27)</f>
        <v>0</v>
      </c>
      <c r="D28" s="164">
        <f>SUM(B28:C28)</f>
        <v>0</v>
      </c>
    </row>
    <row r="29" spans="1:4" s="39" customFormat="1" ht="18" customHeight="1">
      <c r="A29" s="172" t="str">
        <f>报表格式!K49</f>
        <v xml:space="preserve">     投资活动产生的现金流量净额</v>
      </c>
      <c r="B29" s="164">
        <f>B23-B28</f>
        <v>0</v>
      </c>
      <c r="C29" s="164">
        <f>C23-C28</f>
        <v>-22310798.02</v>
      </c>
      <c r="D29" s="164">
        <f t="shared" si="0"/>
        <v>-22310798.02</v>
      </c>
    </row>
    <row r="30" spans="1:4" s="43" customFormat="1" ht="18" customHeight="1">
      <c r="A30" s="172" t="str">
        <f>报表格式!K50</f>
        <v>三、筹资活动产生的现金流量</v>
      </c>
      <c r="B30" s="163"/>
      <c r="C30" s="163"/>
      <c r="D30" s="163"/>
    </row>
    <row r="31" spans="1:4" s="39" customFormat="1" ht="18" customHeight="1">
      <c r="A31" s="170" t="str">
        <f>报表格式!K51</f>
        <v xml:space="preserve">     吸收投资所收到的现金</v>
      </c>
      <c r="B31" s="83"/>
      <c r="C31" s="83">
        <f>CF主表核查!C157-B31</f>
        <v>0</v>
      </c>
      <c r="D31" s="83">
        <f t="shared" si="0"/>
        <v>0</v>
      </c>
    </row>
    <row r="32" spans="1:4" s="39" customFormat="1" ht="18" customHeight="1">
      <c r="A32" s="170" t="str">
        <f>报表格式!K52</f>
        <v xml:space="preserve">     其中：子公司吸收少数股东投资收到的现金</v>
      </c>
      <c r="B32" s="83"/>
      <c r="C32" s="83"/>
      <c r="D32" s="83">
        <f t="shared" si="0"/>
        <v>0</v>
      </c>
    </row>
    <row r="33" spans="1:4" s="39" customFormat="1" ht="18" customHeight="1">
      <c r="A33" s="170" t="str">
        <f>报表格式!K53</f>
        <v xml:space="preserve">     取得借款收到的现金</v>
      </c>
      <c r="B33" s="83"/>
      <c r="C33" s="83">
        <f>CF主表核查!C164-B33</f>
        <v>0</v>
      </c>
      <c r="D33" s="83">
        <f t="shared" si="0"/>
        <v>0</v>
      </c>
    </row>
    <row r="34" spans="1:4" s="39" customFormat="1" ht="18" customHeight="1">
      <c r="A34" s="170" t="str">
        <f>报表格式!K55</f>
        <v xml:space="preserve">     收到的其他与筹资活动有关的现金</v>
      </c>
      <c r="B34" s="83"/>
      <c r="C34" s="83">
        <f>CF主表核查!C169-B34</f>
        <v>0</v>
      </c>
      <c r="D34" s="83">
        <f>SUM(B34:C34)</f>
        <v>0</v>
      </c>
    </row>
    <row r="35" spans="1:4" s="39" customFormat="1" ht="18" customHeight="1">
      <c r="A35" s="170">
        <f>报表格式!K56</f>
        <v>0</v>
      </c>
      <c r="B35" s="83"/>
      <c r="C35" s="83">
        <f>CF主表核查!C172-B35</f>
        <v>0</v>
      </c>
      <c r="D35" s="83">
        <f t="shared" si="0"/>
        <v>0</v>
      </c>
    </row>
    <row r="36" spans="1:4" s="39" customFormat="1" ht="18" customHeight="1">
      <c r="A36" s="184" t="str">
        <f>报表格式!K57</f>
        <v xml:space="preserve">     筹资活动现金流入小计</v>
      </c>
      <c r="B36" s="164">
        <f>SUM(B31,B33:B35)</f>
        <v>0</v>
      </c>
      <c r="C36" s="164">
        <f>SUM(C31,C33:C35)</f>
        <v>0</v>
      </c>
      <c r="D36" s="164">
        <f t="shared" si="0"/>
        <v>0</v>
      </c>
    </row>
    <row r="37" spans="1:4" s="39" customFormat="1" ht="18" customHeight="1">
      <c r="A37" s="170" t="str">
        <f>报表格式!K58</f>
        <v xml:space="preserve">     偿还债务支付的现金</v>
      </c>
      <c r="B37" s="83"/>
      <c r="C37" s="83">
        <f>CF主表核查!C174-B37</f>
        <v>0</v>
      </c>
      <c r="D37" s="83">
        <f t="shared" si="0"/>
        <v>0</v>
      </c>
    </row>
    <row r="38" spans="1:4" s="39" customFormat="1" ht="18" customHeight="1">
      <c r="A38" s="170" t="str">
        <f>报表格式!K59</f>
        <v xml:space="preserve">     分配股利、利润或偿付利息支付的现金</v>
      </c>
      <c r="B38" s="83"/>
      <c r="C38" s="83">
        <f>CF主表核查!C180-B38</f>
        <v>0</v>
      </c>
      <c r="D38" s="83">
        <f t="shared" si="0"/>
        <v>0</v>
      </c>
    </row>
    <row r="39" spans="1:4" s="39" customFormat="1" ht="18" customHeight="1">
      <c r="A39" s="170" t="str">
        <f>报表格式!K60</f>
        <v xml:space="preserve">      其中：子公司支付给少数股东的股利、利润</v>
      </c>
      <c r="B39" s="83"/>
      <c r="C39" s="83"/>
      <c r="D39" s="83">
        <f t="shared" si="0"/>
        <v>0</v>
      </c>
    </row>
    <row r="40" spans="1:4" s="39" customFormat="1" ht="18" customHeight="1">
      <c r="A40" s="170" t="str">
        <f>报表格式!K61</f>
        <v xml:space="preserve">     支付其他与筹资活动有关的现金</v>
      </c>
      <c r="B40" s="83"/>
      <c r="C40" s="83"/>
      <c r="D40" s="83">
        <f t="shared" si="0"/>
        <v>0</v>
      </c>
    </row>
    <row r="41" spans="1:4" s="39" customFormat="1" ht="18" customHeight="1">
      <c r="A41" s="170" t="str">
        <f>报表格式!K62</f>
        <v xml:space="preserve">      其中：子公司减资支付给少数股东的现金</v>
      </c>
      <c r="B41" s="83"/>
      <c r="C41" s="83" t="e">
        <f>CF主表核查!#REF!-B41</f>
        <v>#REF!</v>
      </c>
      <c r="D41" s="83" t="e">
        <f t="shared" si="0"/>
        <v>#REF!</v>
      </c>
    </row>
    <row r="42" spans="1:4" s="39" customFormat="1" ht="18" customHeight="1">
      <c r="A42" s="184" t="str">
        <f>报表格式!K63</f>
        <v xml:space="preserve">     筹资活动现金流出小计</v>
      </c>
      <c r="B42" s="164">
        <f>SUM(B37:B38,B40)</f>
        <v>0</v>
      </c>
      <c r="C42" s="164">
        <f>SUM(C37:C38,C40)</f>
        <v>0</v>
      </c>
      <c r="D42" s="164">
        <f t="shared" si="0"/>
        <v>0</v>
      </c>
    </row>
    <row r="43" spans="1:4" s="43" customFormat="1" ht="18" customHeight="1">
      <c r="A43" s="172" t="str">
        <f>报表格式!K64</f>
        <v xml:space="preserve">     筹资活动产生的现金流量净额</v>
      </c>
      <c r="B43" s="161">
        <f>B36-B42</f>
        <v>0</v>
      </c>
      <c r="C43" s="161">
        <f>C36-C42</f>
        <v>0</v>
      </c>
      <c r="D43" s="161">
        <f t="shared" si="0"/>
        <v>0</v>
      </c>
    </row>
    <row r="44" spans="1:4" s="39" customFormat="1" ht="18" customHeight="1">
      <c r="A44" s="173"/>
      <c r="B44" s="162"/>
      <c r="C44" s="162"/>
      <c r="D44" s="162">
        <f t="shared" si="0"/>
        <v>0</v>
      </c>
    </row>
    <row r="45" spans="1:4" s="39" customFormat="1" ht="18" customHeight="1">
      <c r="A45" s="41" t="str">
        <f>报表格式!K65</f>
        <v>四、汇率变动对现金及现金等价物的影响</v>
      </c>
      <c r="B45" s="83"/>
      <c r="C45" s="83"/>
      <c r="D45" s="61">
        <f t="shared" si="0"/>
        <v>0</v>
      </c>
    </row>
    <row r="46" spans="1:4" s="43" customFormat="1" ht="18" customHeight="1">
      <c r="A46" s="41" t="str">
        <f>报表格式!K66</f>
        <v>五、现金及现金等价物净增加额</v>
      </c>
      <c r="B46" s="183">
        <f>B16+B29+B43+B45</f>
        <v>0</v>
      </c>
      <c r="C46" s="183">
        <f>C16+C29+C43+C45</f>
        <v>-1412944.4200000018</v>
      </c>
      <c r="D46" s="181">
        <f t="shared" si="0"/>
        <v>-1412944.4200000018</v>
      </c>
    </row>
    <row r="47" spans="1:4" s="43" customFormat="1" ht="18" customHeight="1">
      <c r="A47" s="42" t="str">
        <f>报表格式!K67</f>
        <v xml:space="preserve">    加：期初现金及现金等价物余额</v>
      </c>
      <c r="B47" s="183"/>
      <c r="C47" s="183"/>
      <c r="D47" s="181">
        <f t="shared" si="0"/>
        <v>0</v>
      </c>
    </row>
    <row r="48" spans="1:4" s="43" customFormat="1" ht="18" customHeight="1">
      <c r="A48" s="182" t="str">
        <f>报表格式!K68</f>
        <v>六、期末现金及现金等价物余额</v>
      </c>
      <c r="B48" s="165">
        <f>B46+B47</f>
        <v>0</v>
      </c>
      <c r="C48" s="165">
        <f>C46+C47</f>
        <v>-1412944.4200000018</v>
      </c>
      <c r="D48" s="84">
        <f t="shared" si="0"/>
        <v>-1412944.4200000018</v>
      </c>
    </row>
    <row r="49" spans="1:4" s="43" customFormat="1" ht="18" customHeight="1">
      <c r="A49" s="44"/>
      <c r="B49" s="45"/>
      <c r="C49" s="45"/>
      <c r="D49" s="45"/>
    </row>
    <row r="50" spans="1:4" ht="21.75" customHeight="1">
      <c r="A50" s="166" t="str">
        <f>报表格式!N5</f>
        <v>1、将净利润调节为经营活动现金流量：</v>
      </c>
      <c r="B50" s="167"/>
      <c r="C50" s="167"/>
      <c r="D50" s="167"/>
    </row>
    <row r="51" spans="1:4" ht="21.75" customHeight="1">
      <c r="A51" s="41" t="str">
        <f>报表格式!N6</f>
        <v xml:space="preserve">     净利润</v>
      </c>
      <c r="B51" s="164"/>
      <c r="C51" s="164" t="e">
        <f>#REF!-#REF!</f>
        <v>#REF!</v>
      </c>
      <c r="D51" s="164" t="e">
        <f>SUM(B51:C51)</f>
        <v>#REF!</v>
      </c>
    </row>
    <row r="52" spans="1:4" ht="21.75" customHeight="1">
      <c r="A52" s="42" t="str">
        <f>报表格式!N9</f>
        <v>加：资产减值损失</v>
      </c>
      <c r="B52" s="83"/>
      <c r="C52" s="83">
        <f>CF附表核查!C11-B52</f>
        <v>0</v>
      </c>
      <c r="D52" s="83">
        <f t="shared" ref="D52:D67" si="1">SUM(B52:C52)</f>
        <v>0</v>
      </c>
    </row>
    <row r="53" spans="1:4" ht="21.75" customHeight="1">
      <c r="A53" s="42" t="str">
        <f>报表格式!N10</f>
        <v xml:space="preserve">        信用减值损失</v>
      </c>
      <c r="B53" s="83"/>
      <c r="C53" s="83">
        <f>CF附表核查!C15-B53</f>
        <v>0</v>
      </c>
      <c r="D53" s="83">
        <f t="shared" si="1"/>
        <v>0</v>
      </c>
    </row>
    <row r="54" spans="1:4" ht="21.75" customHeight="1">
      <c r="A54" s="42" t="str">
        <f>报表格式!N11</f>
        <v xml:space="preserve">     固定资产折旧、投资性房地产折旧、油气资产折耗、生产性生物资产折旧</v>
      </c>
      <c r="B54" s="83"/>
      <c r="C54" s="83">
        <f>CF附表核查!C24-B54</f>
        <v>0</v>
      </c>
      <c r="D54" s="83">
        <f t="shared" si="1"/>
        <v>0</v>
      </c>
    </row>
    <row r="55" spans="1:4" ht="21.75" customHeight="1">
      <c r="A55" s="42" t="str">
        <f>报表格式!N13</f>
        <v xml:space="preserve">     无形资产摊销</v>
      </c>
      <c r="B55" s="83"/>
      <c r="C55" s="83">
        <f>CF附表核查!C27-B55</f>
        <v>0</v>
      </c>
      <c r="D55" s="83">
        <f t="shared" si="1"/>
        <v>0</v>
      </c>
    </row>
    <row r="56" spans="1:4" ht="21.75" customHeight="1">
      <c r="A56" s="42" t="str">
        <f>报表格式!N14</f>
        <v xml:space="preserve">     长期待摊费用摊销</v>
      </c>
      <c r="B56" s="83"/>
      <c r="C56" s="83">
        <f>CF附表核查!C30-B56</f>
        <v>0</v>
      </c>
      <c r="D56" s="83">
        <f t="shared" si="1"/>
        <v>0</v>
      </c>
    </row>
    <row r="57" spans="1:4" ht="21.75" customHeight="1">
      <c r="A57" s="42" t="str">
        <f>报表格式!N15</f>
        <v xml:space="preserve">     处置固定资产、无形资产和其他长期资产的损失（收益以“－”号填列）</v>
      </c>
      <c r="B57" s="83"/>
      <c r="C57" s="83">
        <f>CF附表核查!C36-B57</f>
        <v>0</v>
      </c>
      <c r="D57" s="83">
        <f t="shared" si="1"/>
        <v>0</v>
      </c>
    </row>
    <row r="58" spans="1:4" ht="21.75" customHeight="1">
      <c r="A58" s="42" t="str">
        <f>报表格式!N16</f>
        <v xml:space="preserve">     固定资产报废损失（收益以“－”号填列）</v>
      </c>
      <c r="B58" s="83"/>
      <c r="C58" s="83">
        <f>CF附表核查!C39-B58</f>
        <v>0</v>
      </c>
      <c r="D58" s="83">
        <f t="shared" si="1"/>
        <v>0</v>
      </c>
    </row>
    <row r="59" spans="1:4" ht="21.75" customHeight="1">
      <c r="A59" s="42" t="str">
        <f>报表格式!N17</f>
        <v xml:space="preserve">     公允价值变动损失（收益以“－”号填列）</v>
      </c>
      <c r="B59" s="83"/>
      <c r="C59" s="83">
        <f>CF附表核查!C40-B59</f>
        <v>0</v>
      </c>
      <c r="D59" s="83">
        <f t="shared" si="1"/>
        <v>0</v>
      </c>
    </row>
    <row r="60" spans="1:4" ht="21.75" customHeight="1">
      <c r="A60" s="42" t="str">
        <f>报表格式!N18</f>
        <v xml:space="preserve">     财务费用（收益以“－”号填列）</v>
      </c>
      <c r="B60" s="83"/>
      <c r="C60" s="83" t="e">
        <f>#REF!-#REF!+#REF!-#REF!</f>
        <v>#REF!</v>
      </c>
      <c r="D60" s="83" t="e">
        <f>SUM(B60:C60)</f>
        <v>#REF!</v>
      </c>
    </row>
    <row r="61" spans="1:4" ht="21.75" customHeight="1">
      <c r="A61" s="42" t="str">
        <f>报表格式!N19</f>
        <v xml:space="preserve">     投资损失（收益以“－”号填列）</v>
      </c>
      <c r="B61" s="83"/>
      <c r="C61" s="83">
        <f>CF附表核查!C42-B61</f>
        <v>96633.9</v>
      </c>
      <c r="D61" s="83">
        <f t="shared" si="1"/>
        <v>96633.9</v>
      </c>
    </row>
    <row r="62" spans="1:4" ht="21.75" customHeight="1">
      <c r="A62" s="42" t="str">
        <f>报表格式!N20</f>
        <v xml:space="preserve">     递延所得税资产减少（增加以“－”号填列）</v>
      </c>
      <c r="B62" s="83"/>
      <c r="C62" s="83">
        <f>CF附表核查!C44-B62</f>
        <v>0</v>
      </c>
      <c r="D62" s="83">
        <f t="shared" si="1"/>
        <v>0</v>
      </c>
    </row>
    <row r="63" spans="1:4" ht="21.75" customHeight="1">
      <c r="A63" s="42" t="str">
        <f>报表格式!N21</f>
        <v xml:space="preserve">     递延所得税负债增加（减少以“－”号填列）</v>
      </c>
      <c r="B63" s="83"/>
      <c r="C63" s="83">
        <f>-TB!C26+TB!D26-TB!E26+TB!F26</f>
        <v>0</v>
      </c>
      <c r="D63" s="83">
        <f t="shared" si="1"/>
        <v>0</v>
      </c>
    </row>
    <row r="64" spans="1:4" ht="21.75" customHeight="1">
      <c r="A64" s="42" t="str">
        <f>报表格式!N22</f>
        <v xml:space="preserve">     存货的减少（增加以“－”号填列）</v>
      </c>
      <c r="B64" s="83"/>
      <c r="C64" s="83">
        <f>CF附表核查!C49-B64</f>
        <v>0</v>
      </c>
      <c r="D64" s="83">
        <f t="shared" si="1"/>
        <v>0</v>
      </c>
    </row>
    <row r="65" spans="1:4" ht="21.75" customHeight="1">
      <c r="A65" s="42" t="str">
        <f>报表格式!N23</f>
        <v xml:space="preserve">     经营性应收项目的减少（增加以“－”号填列）</v>
      </c>
      <c r="B65" s="83"/>
      <c r="C65" s="83">
        <f>CF附表核查!C61-B65</f>
        <v>15906635.779999999</v>
      </c>
      <c r="D65" s="83">
        <f t="shared" si="1"/>
        <v>15906635.779999999</v>
      </c>
    </row>
    <row r="66" spans="1:4" ht="21.75" customHeight="1">
      <c r="A66" s="42" t="str">
        <f>报表格式!N24</f>
        <v xml:space="preserve">     经营性应付项目的增加（减少以“－”号填列）</v>
      </c>
      <c r="B66" s="83"/>
      <c r="C66" s="83">
        <f>CF附表核查!C76-B66</f>
        <v>0</v>
      </c>
      <c r="D66" s="83">
        <f t="shared" si="1"/>
        <v>0</v>
      </c>
    </row>
    <row r="67" spans="1:4" ht="21.75" customHeight="1">
      <c r="A67" s="41" t="str">
        <f>报表格式!N27</f>
        <v xml:space="preserve">     经营活动产生的现金流量净额</v>
      </c>
      <c r="B67" s="164">
        <f>SUM(B51:B66)</f>
        <v>0</v>
      </c>
      <c r="C67" s="164" t="e">
        <f>SUM(C51:C66)</f>
        <v>#REF!</v>
      </c>
      <c r="D67" s="164" t="e">
        <f t="shared" si="1"/>
        <v>#REF!</v>
      </c>
    </row>
    <row r="68" spans="1:4" ht="21.75" customHeight="1">
      <c r="A68" s="46"/>
      <c r="B68" s="160"/>
      <c r="C68" s="160"/>
      <c r="D68" s="160"/>
    </row>
    <row r="69" spans="1:4" ht="21.75" customHeight="1">
      <c r="A69" s="47" t="str">
        <f>报表格式!N29</f>
        <v>2、不涉及现金收支的投资和筹资活动：</v>
      </c>
      <c r="B69" s="160"/>
      <c r="C69" s="160"/>
      <c r="D69" s="160"/>
    </row>
    <row r="70" spans="1:4" ht="21.75" customHeight="1">
      <c r="A70" s="46" t="str">
        <f>报表格式!N30</f>
        <v xml:space="preserve">     债务转为资本</v>
      </c>
      <c r="B70" s="160"/>
      <c r="C70" s="160"/>
      <c r="D70" s="160">
        <f>SUM(B70:C70)</f>
        <v>0</v>
      </c>
    </row>
    <row r="71" spans="1:4" ht="21.75" customHeight="1">
      <c r="A71" s="46" t="str">
        <f>报表格式!N31</f>
        <v xml:space="preserve">     一年内到期的可转换公司债券</v>
      </c>
      <c r="B71" s="160"/>
      <c r="C71" s="160"/>
      <c r="D71" s="160">
        <f>SUM(B71:C71)</f>
        <v>0</v>
      </c>
    </row>
    <row r="72" spans="1:4" ht="21.75" customHeight="1">
      <c r="A72" s="46" t="str">
        <f>报表格式!N32</f>
        <v xml:space="preserve">     融资租入固定资产</v>
      </c>
      <c r="B72" s="160"/>
      <c r="C72" s="160"/>
      <c r="D72" s="160">
        <f>SUM(B72:C72)</f>
        <v>0</v>
      </c>
    </row>
    <row r="73" spans="1:4" ht="21.75" customHeight="1">
      <c r="A73" s="46" t="str">
        <f>报表格式!N33</f>
        <v xml:space="preserve">    当期新增的使用权资产</v>
      </c>
      <c r="B73" s="160"/>
      <c r="C73" s="164"/>
      <c r="D73" s="160">
        <f>SUM(B73:C73)</f>
        <v>0</v>
      </c>
    </row>
    <row r="74" spans="1:4" ht="21.75" customHeight="1">
      <c r="A74" s="41" t="str">
        <f>报表格式!N36</f>
        <v>3、现金及现金等价物净变动情况：</v>
      </c>
      <c r="B74" s="162"/>
      <c r="C74" s="162"/>
      <c r="D74" s="162"/>
    </row>
    <row r="75" spans="1:4" ht="21.75" customHeight="1">
      <c r="A75" s="42" t="str">
        <f>报表格式!N37</f>
        <v xml:space="preserve">     现金的期末余额</v>
      </c>
      <c r="B75" s="160"/>
      <c r="C75" s="160">
        <f>TB!C8-TB!D8+TB!E8-TB!F8</f>
        <v>0</v>
      </c>
      <c r="D75" s="160">
        <f>SUM(B75:C75)</f>
        <v>0</v>
      </c>
    </row>
    <row r="76" spans="1:4" ht="21.75" customHeight="1">
      <c r="A76" s="42" t="str">
        <f>报表格式!N38</f>
        <v xml:space="preserve">     减：现金的期初余额</v>
      </c>
      <c r="B76" s="160"/>
      <c r="C76" s="160">
        <f>'TB(期初)'!C8-'TB(期初)'!D8+'TB(期初)'!E8-'TB(期初)'!F8</f>
        <v>0</v>
      </c>
      <c r="D76" s="160">
        <f>SUM(B76:C76)</f>
        <v>0</v>
      </c>
    </row>
    <row r="77" spans="1:4" ht="21.75" customHeight="1">
      <c r="A77" s="42" t="str">
        <f>报表格式!N39</f>
        <v xml:space="preserve">     加：现金等价物的期末余额</v>
      </c>
      <c r="B77" s="160"/>
      <c r="C77" s="160"/>
      <c r="D77" s="160">
        <f>SUM(B77:C77)</f>
        <v>0</v>
      </c>
    </row>
    <row r="78" spans="1:4" ht="21.75" customHeight="1">
      <c r="A78" s="42" t="str">
        <f>报表格式!N40</f>
        <v xml:space="preserve">     减：现金等价物的期初余额</v>
      </c>
      <c r="B78" s="160"/>
      <c r="C78" s="160"/>
      <c r="D78" s="160">
        <f>SUM(B78:C78)</f>
        <v>0</v>
      </c>
    </row>
    <row r="79" spans="1:4" ht="21.75" customHeight="1">
      <c r="A79" s="41" t="str">
        <f>报表格式!N43</f>
        <v xml:space="preserve">     现金及现金等价物净增加额</v>
      </c>
      <c r="B79" s="168">
        <f>B75-B76+B77-B78</f>
        <v>0</v>
      </c>
      <c r="C79" s="168">
        <f>C75-C76+C77-C78</f>
        <v>0</v>
      </c>
      <c r="D79" s="168">
        <f>D75-D76+D77-D78</f>
        <v>0</v>
      </c>
    </row>
    <row r="80" spans="1:4" ht="14.4">
      <c r="A80" s="44"/>
      <c r="B80" s="29"/>
      <c r="C80" s="29"/>
      <c r="D80" s="29"/>
    </row>
  </sheetData>
  <mergeCells count="5">
    <mergeCell ref="A4:A5"/>
    <mergeCell ref="B4:B5"/>
    <mergeCell ref="A1:D1"/>
    <mergeCell ref="D4:D5"/>
    <mergeCell ref="C4:C5"/>
  </mergeCells>
  <phoneticPr fontId="62" type="noConversion"/>
  <printOptions horizontalCentered="1" verticalCentered="1"/>
  <pageMargins left="0.47244094488188981" right="0.35433070866141736" top="0.59055118110236227" bottom="0.59055118110236227" header="0.51181102362204722" footer="0.51181102362204722"/>
  <pageSetup paperSize="9" scale="85" orientation="portrait" horizontalDpi="360" r:id="rId1"/>
  <headerFooter alignWithMargins="0">
    <oddFooter xml:space="preserve">&amp;L&amp;10被审计单位公章：&amp;C&amp;10法定代表人签字：&amp;R&amp;10财务负责人签字：   </oddFooter>
  </headerFooter>
  <rowBreaks count="1" manualBreakCount="1">
    <brk id="49"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rgb="FF92D050"/>
    <pageSetUpPr fitToPage="1"/>
  </sheetPr>
  <dimension ref="A1:G446"/>
  <sheetViews>
    <sheetView showZeros="0" view="pageBreakPreview" zoomScale="90" zoomScaleSheetLayoutView="90" workbookViewId="0">
      <pane xSplit="1" ySplit="6" topLeftCell="B388" activePane="bottomRight" state="frozen"/>
      <selection activeCell="B57" sqref="B57"/>
      <selection pane="topRight" activeCell="B57" sqref="B57"/>
      <selection pane="bottomLeft" activeCell="B57" sqref="B57"/>
      <selection pane="bottomRight" activeCell="E409" sqref="E409"/>
    </sheetView>
  </sheetViews>
  <sheetFormatPr defaultColWidth="8.69921875" defaultRowHeight="20.25" customHeight="1"/>
  <cols>
    <col min="1" max="1" width="48.69921875" style="415" customWidth="1"/>
    <col min="2" max="2" width="9.19921875" style="419" customWidth="1"/>
    <col min="3" max="3" width="21.3984375" style="415" customWidth="1"/>
    <col min="4" max="4" width="20.19921875" style="415" customWidth="1"/>
    <col min="5" max="16384" width="8.69921875" style="406"/>
  </cols>
  <sheetData>
    <row r="1" spans="1:4" ht="10.8">
      <c r="A1" s="1097" t="s">
        <v>1492</v>
      </c>
      <c r="B1" s="1098"/>
      <c r="C1" s="1098"/>
      <c r="D1" s="1098"/>
    </row>
    <row r="2" spans="1:4" ht="13.5" customHeight="1">
      <c r="A2" s="407"/>
      <c r="B2" s="417"/>
      <c r="C2" s="408"/>
      <c r="D2" s="409"/>
    </row>
    <row r="3" spans="1:4" ht="12">
      <c r="A3" s="1099" t="str">
        <f>IF(报表格式!E55="","    对不起，请到参数表中确定报表类型！",CONCATENATE(" 编制单位：",参数!D3))</f>
        <v xml:space="preserve"> 编制单位：二锅头</v>
      </c>
      <c r="B3" s="1099"/>
      <c r="C3" s="1099"/>
      <c r="D3" s="1016" t="str">
        <f>CONCATENATE("单位：",参数!$D$13)</f>
        <v>单位：人民币元</v>
      </c>
    </row>
    <row r="4" spans="1:4" ht="10.8">
      <c r="A4" s="411"/>
      <c r="B4" s="418"/>
      <c r="C4" s="411"/>
      <c r="D4" s="410"/>
    </row>
    <row r="5" spans="1:4" ht="10.8">
      <c r="A5" s="411"/>
      <c r="B5" s="418"/>
      <c r="C5" s="411"/>
      <c r="D5" s="410"/>
    </row>
    <row r="6" spans="1:4" ht="23.4" customHeight="1">
      <c r="A6" s="412" t="s">
        <v>636</v>
      </c>
      <c r="B6" s="420" t="s">
        <v>160</v>
      </c>
      <c r="C6" s="413">
        <f>参数!D12</f>
        <v>44926</v>
      </c>
      <c r="D6" s="413">
        <f>参数!D11</f>
        <v>44561</v>
      </c>
    </row>
    <row r="7" spans="1:4" ht="13.95" customHeight="1">
      <c r="A7" s="421" t="str">
        <f>未审报表!A7</f>
        <v>流动资产：</v>
      </c>
      <c r="B7" s="201">
        <f>未审报表!B7</f>
        <v>1</v>
      </c>
      <c r="C7" s="422"/>
      <c r="D7" s="422"/>
    </row>
    <row r="8" spans="1:4" ht="13.95" customHeight="1">
      <c r="A8" s="421" t="str">
        <f>未审报表!A8</f>
        <v>货币资金</v>
      </c>
      <c r="B8" s="201">
        <f>未审报表!B8</f>
        <v>2</v>
      </c>
      <c r="C8" s="643">
        <f>TB!I8</f>
        <v>17053592.640000001</v>
      </c>
      <c r="D8" s="643">
        <f>'TB(期初)'!I8</f>
        <v>645471.34999999928</v>
      </c>
    </row>
    <row r="9" spans="1:4" ht="13.95" customHeight="1">
      <c r="A9" s="421" t="str">
        <f>未审报表!A9</f>
        <v>结算备付金*</v>
      </c>
      <c r="B9" s="201">
        <f>未审报表!B9</f>
        <v>3</v>
      </c>
      <c r="C9" s="643">
        <f>TB!I9</f>
        <v>0</v>
      </c>
      <c r="D9" s="643">
        <f>'TB(期初)'!I9</f>
        <v>0</v>
      </c>
    </row>
    <row r="10" spans="1:4" ht="13.95" customHeight="1">
      <c r="A10" s="421" t="str">
        <f>未审报表!A10</f>
        <v>拆出资金原值*</v>
      </c>
      <c r="B10" s="201">
        <f>未审报表!B10</f>
        <v>4</v>
      </c>
      <c r="C10" s="643">
        <f>TB!I10</f>
        <v>0</v>
      </c>
      <c r="D10" s="643">
        <f>'TB(期初)'!I10</f>
        <v>0</v>
      </c>
    </row>
    <row r="11" spans="1:4" ht="13.95" customHeight="1">
      <c r="A11" s="421" t="str">
        <f>未审报表!A11</f>
        <v>拆出资金减值准备*</v>
      </c>
      <c r="B11" s="201">
        <f>未审报表!B11</f>
        <v>5</v>
      </c>
      <c r="C11" s="643">
        <f>TB!I11</f>
        <v>0</v>
      </c>
      <c r="D11" s="643">
        <f>'TB(期初)'!I11</f>
        <v>0</v>
      </c>
    </row>
    <row r="12" spans="1:4" ht="13.95" customHeight="1">
      <c r="A12" s="421" t="str">
        <f>未审报表!A12</f>
        <v>拆出资金*</v>
      </c>
      <c r="B12" s="201">
        <f>未审报表!B12</f>
        <v>6</v>
      </c>
      <c r="C12" s="643">
        <f>C10-C11</f>
        <v>0</v>
      </c>
      <c r="D12" s="643">
        <f>D10-D11</f>
        <v>0</v>
      </c>
    </row>
    <row r="13" spans="1:4" ht="13.95" customHeight="1">
      <c r="A13" s="421" t="str">
        <f>未审报表!A13</f>
        <v>交易性金融资产</v>
      </c>
      <c r="B13" s="201">
        <f>未审报表!B13</f>
        <v>7</v>
      </c>
      <c r="C13" s="643">
        <f>TB!I13</f>
        <v>0</v>
      </c>
      <c r="D13" s="643">
        <f>'TB(期初)'!I13</f>
        <v>0</v>
      </c>
    </row>
    <row r="14" spans="1:4" ht="13.95" customHeight="1">
      <c r="A14" s="421" t="str">
        <f>未审报表!A14</f>
        <v>衍生金融资产</v>
      </c>
      <c r="B14" s="201">
        <f>未审报表!B14</f>
        <v>8</v>
      </c>
      <c r="C14" s="643">
        <f>TB!I14</f>
        <v>0</v>
      </c>
      <c r="D14" s="643">
        <f>'TB(期初)'!I14</f>
        <v>0</v>
      </c>
    </row>
    <row r="15" spans="1:4" ht="13.95" customHeight="1">
      <c r="A15" s="421" t="str">
        <f>未审报表!A15</f>
        <v>应收票据原值</v>
      </c>
      <c r="B15" s="201">
        <f>未审报表!B15</f>
        <v>9</v>
      </c>
      <c r="C15" s="643">
        <f>TB!I15</f>
        <v>0</v>
      </c>
      <c r="D15" s="643">
        <f>'TB(期初)'!I15</f>
        <v>0</v>
      </c>
    </row>
    <row r="16" spans="1:4" ht="13.95" customHeight="1">
      <c r="A16" s="421" t="str">
        <f>未审报表!A16</f>
        <v>应收票据坏账准备</v>
      </c>
      <c r="B16" s="201">
        <f>未审报表!B16</f>
        <v>10</v>
      </c>
      <c r="C16" s="643">
        <f>TB!I16</f>
        <v>0</v>
      </c>
      <c r="D16" s="643">
        <f>'TB(期初)'!I16</f>
        <v>0</v>
      </c>
    </row>
    <row r="17" spans="1:4" ht="13.95" customHeight="1">
      <c r="A17" s="421" t="str">
        <f>未审报表!A17</f>
        <v>应收票据</v>
      </c>
      <c r="B17" s="201">
        <f>未审报表!B17</f>
        <v>11</v>
      </c>
      <c r="C17" s="643">
        <f>C15-C16</f>
        <v>0</v>
      </c>
      <c r="D17" s="643">
        <f>D15-D16</f>
        <v>0</v>
      </c>
    </row>
    <row r="18" spans="1:4" ht="13.95" customHeight="1">
      <c r="A18" s="421" t="str">
        <f>未审报表!A18</f>
        <v>应收账款原值</v>
      </c>
      <c r="B18" s="201">
        <f>未审报表!B18</f>
        <v>12</v>
      </c>
      <c r="C18" s="643">
        <f>TB!I18</f>
        <v>19311878</v>
      </c>
      <c r="D18" s="643">
        <f>'TB(期初)'!I18</f>
        <v>16718591.219999999</v>
      </c>
    </row>
    <row r="19" spans="1:4" ht="13.95" customHeight="1">
      <c r="A19" s="421" t="str">
        <f>未审报表!A19</f>
        <v>应收账款坏账准备</v>
      </c>
      <c r="B19" s="201">
        <f>未审报表!B19</f>
        <v>13</v>
      </c>
      <c r="C19" s="643">
        <f>TB!I19</f>
        <v>1631167.34</v>
      </c>
      <c r="D19" s="643">
        <f>'TB(期初)'!I19</f>
        <v>0</v>
      </c>
    </row>
    <row r="20" spans="1:4" ht="13.95" customHeight="1">
      <c r="A20" s="421" t="str">
        <f>未审报表!A20</f>
        <v>应收账款</v>
      </c>
      <c r="B20" s="201">
        <f>未审报表!B20</f>
        <v>14</v>
      </c>
      <c r="C20" s="643">
        <f>C18-C19</f>
        <v>17680710.66</v>
      </c>
      <c r="D20" s="643">
        <f>D18-D19</f>
        <v>16718591.219999999</v>
      </c>
    </row>
    <row r="21" spans="1:4" ht="13.95" customHeight="1">
      <c r="A21" s="421" t="str">
        <f>未审报表!A21</f>
        <v>应收款项融资原值</v>
      </c>
      <c r="B21" s="201">
        <f>未审报表!B21</f>
        <v>15</v>
      </c>
      <c r="C21" s="643">
        <f>TB!I21</f>
        <v>0</v>
      </c>
      <c r="D21" s="643">
        <f>'TB(期初)'!I21</f>
        <v>0</v>
      </c>
    </row>
    <row r="22" spans="1:4" ht="13.95" customHeight="1">
      <c r="A22" s="421" t="str">
        <f>未审报表!A22</f>
        <v>应收款项融资坏账准备</v>
      </c>
      <c r="B22" s="201">
        <f>未审报表!B22</f>
        <v>16</v>
      </c>
      <c r="C22" s="643">
        <f>TB!I22</f>
        <v>0</v>
      </c>
      <c r="D22" s="643">
        <f>'TB(期初)'!I22</f>
        <v>0</v>
      </c>
    </row>
    <row r="23" spans="1:4" ht="13.95" customHeight="1">
      <c r="A23" s="421" t="str">
        <f>未审报表!A23</f>
        <v>应收款项融资</v>
      </c>
      <c r="B23" s="201">
        <f>未审报表!B23</f>
        <v>17</v>
      </c>
      <c r="C23" s="643">
        <f>C21-C22</f>
        <v>0</v>
      </c>
      <c r="D23" s="643">
        <f>D21-D22</f>
        <v>0</v>
      </c>
    </row>
    <row r="24" spans="1:4" ht="13.95" customHeight="1">
      <c r="A24" s="421" t="str">
        <f>未审报表!A24</f>
        <v>预付款项原值</v>
      </c>
      <c r="B24" s="201">
        <f>未审报表!B24</f>
        <v>18</v>
      </c>
      <c r="C24" s="643">
        <f>TB!I24</f>
        <v>574623.4</v>
      </c>
      <c r="D24" s="643">
        <f>'TB(期初)'!I24</f>
        <v>1584.26</v>
      </c>
    </row>
    <row r="25" spans="1:4" ht="13.95" customHeight="1">
      <c r="A25" s="421" t="str">
        <f>未审报表!A25</f>
        <v>预付款项坏账准备</v>
      </c>
      <c r="B25" s="201">
        <f>未审报表!B25</f>
        <v>19</v>
      </c>
      <c r="C25" s="643">
        <f>TB!I25</f>
        <v>0</v>
      </c>
      <c r="D25" s="643">
        <f>'TB(期初)'!I25</f>
        <v>0</v>
      </c>
    </row>
    <row r="26" spans="1:4" ht="13.95" customHeight="1">
      <c r="A26" s="421" t="str">
        <f>未审报表!A26</f>
        <v>预付款项</v>
      </c>
      <c r="B26" s="201">
        <f>未审报表!B26</f>
        <v>20</v>
      </c>
      <c r="C26" s="643">
        <f>C24-C25</f>
        <v>574623.4</v>
      </c>
      <c r="D26" s="643">
        <f>D24-D25</f>
        <v>1584.26</v>
      </c>
    </row>
    <row r="27" spans="1:4" ht="13.95" customHeight="1">
      <c r="A27" s="421" t="str">
        <f>未审报表!A27</f>
        <v>应收保费原值*</v>
      </c>
      <c r="B27" s="201">
        <f>未审报表!B27</f>
        <v>21</v>
      </c>
      <c r="C27" s="643">
        <f>TB!I27</f>
        <v>0</v>
      </c>
      <c r="D27" s="643">
        <f>'TB(期初)'!I27</f>
        <v>0</v>
      </c>
    </row>
    <row r="28" spans="1:4" ht="13.95" customHeight="1">
      <c r="A28" s="421" t="str">
        <f>未审报表!A28</f>
        <v>应收保费坏账准备*</v>
      </c>
      <c r="B28" s="201">
        <f>未审报表!B28</f>
        <v>22</v>
      </c>
      <c r="C28" s="643">
        <f>TB!I28</f>
        <v>0</v>
      </c>
      <c r="D28" s="643">
        <f>'TB(期初)'!I28</f>
        <v>0</v>
      </c>
    </row>
    <row r="29" spans="1:4" ht="13.95" customHeight="1">
      <c r="A29" s="421" t="str">
        <f>未审报表!A29</f>
        <v>应收保费*</v>
      </c>
      <c r="B29" s="201">
        <f>未审报表!B29</f>
        <v>23</v>
      </c>
      <c r="C29" s="643">
        <f>C27-C28</f>
        <v>0</v>
      </c>
      <c r="D29" s="643">
        <f>D27-D28</f>
        <v>0</v>
      </c>
    </row>
    <row r="30" spans="1:4" ht="13.95" customHeight="1">
      <c r="A30" s="421" t="str">
        <f>未审报表!A30</f>
        <v>应收分保账款原值*</v>
      </c>
      <c r="B30" s="201">
        <f>未审报表!B30</f>
        <v>24</v>
      </c>
      <c r="C30" s="643">
        <f>TB!I30</f>
        <v>0</v>
      </c>
      <c r="D30" s="643">
        <f>'TB(期初)'!I30</f>
        <v>0</v>
      </c>
    </row>
    <row r="31" spans="1:4" ht="13.95" customHeight="1">
      <c r="A31" s="421" t="str">
        <f>未审报表!A31</f>
        <v>应收分保账款坏账准备*</v>
      </c>
      <c r="B31" s="201">
        <f>未审报表!B31</f>
        <v>25</v>
      </c>
      <c r="C31" s="643">
        <f>TB!I31</f>
        <v>0</v>
      </c>
      <c r="D31" s="643">
        <f>'TB(期初)'!I31</f>
        <v>0</v>
      </c>
    </row>
    <row r="32" spans="1:4" ht="13.95" customHeight="1">
      <c r="A32" s="421" t="str">
        <f>未审报表!A32</f>
        <v>应收分保账款*</v>
      </c>
      <c r="B32" s="201">
        <f>未审报表!B32</f>
        <v>26</v>
      </c>
      <c r="C32" s="643">
        <f>C30-C31</f>
        <v>0</v>
      </c>
      <c r="D32" s="643">
        <f>D30-D31</f>
        <v>0</v>
      </c>
    </row>
    <row r="33" spans="1:4" ht="13.95" customHeight="1">
      <c r="A33" s="421" t="str">
        <f>未审报表!A33</f>
        <v>应收分保合同准备金*</v>
      </c>
      <c r="B33" s="201">
        <f>未审报表!B33</f>
        <v>27</v>
      </c>
      <c r="C33" s="643">
        <f>TB!I33</f>
        <v>0</v>
      </c>
      <c r="D33" s="643">
        <f>'TB(期初)'!I33</f>
        <v>0</v>
      </c>
    </row>
    <row r="34" spans="1:4" ht="13.95" customHeight="1">
      <c r="A34" s="421" t="str">
        <f>未审报表!A34</f>
        <v>应收利息原值</v>
      </c>
      <c r="B34" s="201">
        <f>未审报表!B34</f>
        <v>28</v>
      </c>
      <c r="C34" s="643">
        <f>TB!I34</f>
        <v>0</v>
      </c>
      <c r="D34" s="643">
        <f>'TB(期初)'!I34</f>
        <v>0</v>
      </c>
    </row>
    <row r="35" spans="1:4" ht="13.95" customHeight="1">
      <c r="A35" s="421" t="str">
        <f>未审报表!A35</f>
        <v>应收利息坏账准备</v>
      </c>
      <c r="B35" s="201">
        <f>未审报表!B35</f>
        <v>29</v>
      </c>
      <c r="C35" s="643">
        <f>TB!I35</f>
        <v>0</v>
      </c>
      <c r="D35" s="643">
        <f>'TB(期初)'!I35</f>
        <v>0</v>
      </c>
    </row>
    <row r="36" spans="1:4" ht="13.95" customHeight="1">
      <c r="A36" s="421" t="str">
        <f>未审报表!A36</f>
        <v>应收利息</v>
      </c>
      <c r="B36" s="201">
        <f>未审报表!B36</f>
        <v>30</v>
      </c>
      <c r="C36" s="643">
        <f>C34-C35</f>
        <v>0</v>
      </c>
      <c r="D36" s="643">
        <f>D34-D35</f>
        <v>0</v>
      </c>
    </row>
    <row r="37" spans="1:4" ht="13.95" customHeight="1">
      <c r="A37" s="421" t="str">
        <f>未审报表!A37</f>
        <v>应收股利原值</v>
      </c>
      <c r="B37" s="201">
        <f>未审报表!B37</f>
        <v>31</v>
      </c>
      <c r="C37" s="643">
        <f>TB!I37</f>
        <v>32823183.23</v>
      </c>
      <c r="D37" s="643">
        <f>'TB(期初)'!I37</f>
        <v>10512385.210000001</v>
      </c>
    </row>
    <row r="38" spans="1:4" ht="13.95" customHeight="1">
      <c r="A38" s="421" t="str">
        <f>未审报表!A38</f>
        <v>应收股利坏账准备</v>
      </c>
      <c r="B38" s="201">
        <f>未审报表!B38</f>
        <v>32</v>
      </c>
      <c r="C38" s="643">
        <f>TB!I38</f>
        <v>0</v>
      </c>
      <c r="D38" s="643">
        <f>'TB(期初)'!I38</f>
        <v>0</v>
      </c>
    </row>
    <row r="39" spans="1:4" ht="13.95" customHeight="1">
      <c r="A39" s="421" t="str">
        <f>未审报表!A39</f>
        <v>应收股利</v>
      </c>
      <c r="B39" s="201">
        <f>未审报表!B39</f>
        <v>33</v>
      </c>
      <c r="C39" s="643">
        <f>C37-C38</f>
        <v>32823183.23</v>
      </c>
      <c r="D39" s="643">
        <f>D37-D38</f>
        <v>10512385.210000001</v>
      </c>
    </row>
    <row r="40" spans="1:4" ht="13.95" customHeight="1">
      <c r="A40" s="421" t="str">
        <f>未审报表!A40</f>
        <v>其他应收款原值</v>
      </c>
      <c r="B40" s="201">
        <f>未审报表!B40</f>
        <v>34</v>
      </c>
      <c r="C40" s="643">
        <f>TB!I40</f>
        <v>18020017.120000001</v>
      </c>
      <c r="D40" s="643">
        <f>'TB(期初)'!I40</f>
        <v>12543397.1</v>
      </c>
    </row>
    <row r="41" spans="1:4" ht="13.95" customHeight="1">
      <c r="A41" s="421" t="str">
        <f>未审报表!A41</f>
        <v>其他应收款坏账准备</v>
      </c>
      <c r="B41" s="201">
        <f>未审报表!B41</f>
        <v>35</v>
      </c>
      <c r="C41" s="643">
        <f>TB!I41</f>
        <v>86459.08</v>
      </c>
      <c r="D41" s="643">
        <f>'TB(期初)'!I41</f>
        <v>0</v>
      </c>
    </row>
    <row r="42" spans="1:4" ht="13.95" customHeight="1">
      <c r="A42" s="421" t="str">
        <f>未审报表!A42</f>
        <v>其他应收款</v>
      </c>
      <c r="B42" s="201">
        <f>未审报表!B42</f>
        <v>36</v>
      </c>
      <c r="C42" s="643">
        <f>C40-C41</f>
        <v>17933558.040000003</v>
      </c>
      <c r="D42" s="643">
        <f>D40-D41</f>
        <v>12543397.1</v>
      </c>
    </row>
    <row r="43" spans="1:4" ht="13.95" customHeight="1">
      <c r="A43" s="421" t="str">
        <f>未审报表!A43</f>
        <v>买入返售金融资产原值*</v>
      </c>
      <c r="B43" s="201">
        <f>未审报表!B43</f>
        <v>37</v>
      </c>
      <c r="C43" s="643">
        <f>TB!I43</f>
        <v>0</v>
      </c>
      <c r="D43" s="643">
        <f>'TB(期初)'!I43</f>
        <v>0</v>
      </c>
    </row>
    <row r="44" spans="1:4" ht="13.95" customHeight="1">
      <c r="A44" s="421" t="str">
        <f>未审报表!A44</f>
        <v>买入返售金融资产减值准备*</v>
      </c>
      <c r="B44" s="201">
        <f>未审报表!B44</f>
        <v>38</v>
      </c>
      <c r="C44" s="643">
        <f>TB!I44</f>
        <v>0</v>
      </c>
      <c r="D44" s="643">
        <f>'TB(期初)'!I44</f>
        <v>0</v>
      </c>
    </row>
    <row r="45" spans="1:4" ht="13.95" customHeight="1">
      <c r="A45" s="421" t="str">
        <f>未审报表!A45</f>
        <v>买入返售金融资产*</v>
      </c>
      <c r="B45" s="201">
        <f>未审报表!B45</f>
        <v>39</v>
      </c>
      <c r="C45" s="643">
        <f>C43-C44</f>
        <v>0</v>
      </c>
      <c r="D45" s="643">
        <f>D43-D44</f>
        <v>0</v>
      </c>
    </row>
    <row r="46" spans="1:4" ht="13.95" customHeight="1">
      <c r="A46" s="421" t="str">
        <f>未审报表!A46</f>
        <v>存货原值</v>
      </c>
      <c r="B46" s="201">
        <f>未审报表!B46</f>
        <v>40</v>
      </c>
      <c r="C46" s="643">
        <f>TB!I46</f>
        <v>8526796.3200000003</v>
      </c>
      <c r="D46" s="643">
        <f>'TB(期初)'!I46</f>
        <v>0</v>
      </c>
    </row>
    <row r="47" spans="1:4" ht="13.95" customHeight="1">
      <c r="A47" s="421" t="str">
        <f>未审报表!A47</f>
        <v>存货跌价准备</v>
      </c>
      <c r="B47" s="201">
        <f>未审报表!B47</f>
        <v>41</v>
      </c>
      <c r="C47" s="643">
        <f>TB!I47</f>
        <v>0</v>
      </c>
      <c r="D47" s="643">
        <f>'TB(期初)'!I47</f>
        <v>0</v>
      </c>
    </row>
    <row r="48" spans="1:4" ht="13.95" customHeight="1">
      <c r="A48" s="421" t="str">
        <f>未审报表!A48</f>
        <v>存货</v>
      </c>
      <c r="B48" s="201">
        <f>未审报表!B48</f>
        <v>42</v>
      </c>
      <c r="C48" s="643">
        <f>C46-C47</f>
        <v>8526796.3200000003</v>
      </c>
      <c r="D48" s="643">
        <f>D46-D47</f>
        <v>0</v>
      </c>
    </row>
    <row r="49" spans="1:4" ht="13.95" customHeight="1">
      <c r="A49" s="421" t="str">
        <f>未审报表!A49</f>
        <v xml:space="preserve"> 其中：原材料</v>
      </c>
      <c r="B49" s="201">
        <f>未审报表!B49</f>
        <v>43</v>
      </c>
      <c r="C49" s="643">
        <f>TB!I49</f>
        <v>708003</v>
      </c>
      <c r="D49" s="643">
        <f>'TB(期初)'!I49</f>
        <v>0</v>
      </c>
    </row>
    <row r="50" spans="1:4" ht="13.95" customHeight="1">
      <c r="A50" s="421" t="str">
        <f>未审报表!A50</f>
        <v xml:space="preserve">    库存商品（产成品）</v>
      </c>
      <c r="B50" s="201">
        <f>未审报表!B50</f>
        <v>44</v>
      </c>
      <c r="C50" s="643">
        <f>TB!I50</f>
        <v>6990000</v>
      </c>
      <c r="D50" s="643">
        <f>'TB(期初)'!I50</f>
        <v>0</v>
      </c>
    </row>
    <row r="51" spans="1:4" ht="13.95" customHeight="1">
      <c r="A51" s="421" t="str">
        <f>未审报表!A51</f>
        <v>合同资产原值</v>
      </c>
      <c r="B51" s="201">
        <f>未审报表!B51</f>
        <v>45</v>
      </c>
      <c r="C51" s="643">
        <f>TB!I51</f>
        <v>0</v>
      </c>
      <c r="D51" s="643">
        <f>'TB(期初)'!I51</f>
        <v>0</v>
      </c>
    </row>
    <row r="52" spans="1:4" ht="13.95" customHeight="1">
      <c r="A52" s="421" t="str">
        <f>未审报表!A52</f>
        <v>合同资产减值准备</v>
      </c>
      <c r="B52" s="201">
        <f>未审报表!B52</f>
        <v>46</v>
      </c>
      <c r="C52" s="643">
        <f>TB!I52</f>
        <v>0</v>
      </c>
      <c r="D52" s="643">
        <f>'TB(期初)'!I52</f>
        <v>0</v>
      </c>
    </row>
    <row r="53" spans="1:4" ht="13.95" customHeight="1">
      <c r="A53" s="421" t="str">
        <f>未审报表!A53</f>
        <v>合同资产</v>
      </c>
      <c r="B53" s="201">
        <f>未审报表!B53</f>
        <v>47</v>
      </c>
      <c r="C53" s="643">
        <f>C51-C52</f>
        <v>0</v>
      </c>
      <c r="D53" s="643">
        <f>D51-D52</f>
        <v>0</v>
      </c>
    </row>
    <row r="54" spans="1:4" ht="13.95" customHeight="1">
      <c r="A54" s="421" t="str">
        <f>未审报表!A54</f>
        <v>持有待售资产原值</v>
      </c>
      <c r="B54" s="201">
        <f>未审报表!B54</f>
        <v>48</v>
      </c>
      <c r="C54" s="643">
        <f>TB!I54</f>
        <v>0</v>
      </c>
      <c r="D54" s="643">
        <f>'TB(期初)'!I54</f>
        <v>0</v>
      </c>
    </row>
    <row r="55" spans="1:4" ht="13.95" customHeight="1">
      <c r="A55" s="421" t="str">
        <f>未审报表!A55</f>
        <v>持有待售资产减值准备</v>
      </c>
      <c r="B55" s="201">
        <f>未审报表!B55</f>
        <v>49</v>
      </c>
      <c r="C55" s="643">
        <f>TB!I55</f>
        <v>0</v>
      </c>
      <c r="D55" s="643">
        <f>'TB(期初)'!I55</f>
        <v>0</v>
      </c>
    </row>
    <row r="56" spans="1:4" ht="13.95" customHeight="1">
      <c r="A56" s="421" t="str">
        <f>未审报表!A56</f>
        <v>持有待售资产</v>
      </c>
      <c r="B56" s="201">
        <f>未审报表!B56</f>
        <v>50</v>
      </c>
      <c r="C56" s="643">
        <f>C54-C55</f>
        <v>0</v>
      </c>
      <c r="D56" s="643">
        <f>D54-D55</f>
        <v>0</v>
      </c>
    </row>
    <row r="57" spans="1:4" ht="13.95" customHeight="1">
      <c r="A57" s="421" t="str">
        <f>未审报表!A57</f>
        <v>一年内到期的非流动资产</v>
      </c>
      <c r="B57" s="201">
        <f>未审报表!B57</f>
        <v>51</v>
      </c>
      <c r="C57" s="643">
        <f>TB!I57</f>
        <v>0</v>
      </c>
      <c r="D57" s="643">
        <f>'TB(期初)'!I57</f>
        <v>0</v>
      </c>
    </row>
    <row r="58" spans="1:4" ht="13.95" customHeight="1">
      <c r="A58" s="421" t="str">
        <f>未审报表!A58</f>
        <v>其他流动资产</v>
      </c>
      <c r="B58" s="645">
        <f>未审报表!B58</f>
        <v>52</v>
      </c>
      <c r="C58" s="643">
        <f>TB!I58</f>
        <v>0</v>
      </c>
      <c r="D58" s="643">
        <f>'TB(期初)'!I58</f>
        <v>19000000</v>
      </c>
    </row>
    <row r="59" spans="1:4" ht="13.95" customHeight="1">
      <c r="A59" s="644" t="str">
        <f>未审报表!A59</f>
        <v>流动资产合计</v>
      </c>
      <c r="B59" s="645">
        <f>未审报表!B59</f>
        <v>53</v>
      </c>
      <c r="C59" s="634">
        <f>SUM(C8:C9,C12,C13:C14,C17,C20,C23,C26,C29,C32,C33,C36,C39,C42,C45,C48,C53,C56,C57:C58)</f>
        <v>94592464.289999992</v>
      </c>
      <c r="D59" s="634">
        <f>SUM(D8:D9,D12,D13:D14,D17,D20,D23,D26,D29,D32,D33,D36,D39,D42,D45,D48,D53,D56,D57:D58)</f>
        <v>59421429.140000001</v>
      </c>
    </row>
    <row r="60" spans="1:4" ht="13.95" customHeight="1">
      <c r="A60" s="421" t="str">
        <f>未审报表!A60</f>
        <v>非流动资产:</v>
      </c>
      <c r="B60" s="201">
        <f>未审报表!B60</f>
        <v>54</v>
      </c>
      <c r="C60" s="423"/>
      <c r="D60" s="423"/>
    </row>
    <row r="61" spans="1:4" ht="13.95" customHeight="1">
      <c r="A61" s="421" t="str">
        <f>未审报表!A61</f>
        <v>发放贷款和垫款原值*</v>
      </c>
      <c r="B61" s="201">
        <f>未审报表!B61</f>
        <v>55</v>
      </c>
      <c r="C61" s="643">
        <f>TB!I61</f>
        <v>0</v>
      </c>
      <c r="D61" s="643">
        <f>'TB(期初)'!I61</f>
        <v>0</v>
      </c>
    </row>
    <row r="62" spans="1:4" ht="13.95" customHeight="1">
      <c r="A62" s="421" t="str">
        <f>未审报表!A62</f>
        <v>发放贷款和垫款减值准备*</v>
      </c>
      <c r="B62" s="201">
        <f>未审报表!B62</f>
        <v>56</v>
      </c>
      <c r="C62" s="643">
        <f>TB!I62</f>
        <v>0</v>
      </c>
      <c r="D62" s="643">
        <f>'TB(期初)'!I62</f>
        <v>0</v>
      </c>
    </row>
    <row r="63" spans="1:4" ht="13.95" customHeight="1">
      <c r="A63" s="421" t="str">
        <f>未审报表!A63</f>
        <v>发放贷款和垫款*</v>
      </c>
      <c r="B63" s="201">
        <f>未审报表!B63</f>
        <v>57</v>
      </c>
      <c r="C63" s="643">
        <f>C61-C62</f>
        <v>0</v>
      </c>
      <c r="D63" s="643">
        <f>D61-D62</f>
        <v>0</v>
      </c>
    </row>
    <row r="64" spans="1:4" ht="13.95" customHeight="1">
      <c r="A64" s="421" t="str">
        <f>未审报表!A64</f>
        <v>债权投资原值</v>
      </c>
      <c r="B64" s="201">
        <f>未审报表!B64</f>
        <v>58</v>
      </c>
      <c r="C64" s="643">
        <f>TB!I64</f>
        <v>0</v>
      </c>
      <c r="D64" s="643">
        <f>'TB(期初)'!I64</f>
        <v>0</v>
      </c>
    </row>
    <row r="65" spans="1:4" ht="13.95" customHeight="1">
      <c r="A65" s="421" t="str">
        <f>未审报表!A65</f>
        <v>债权投资减值准备</v>
      </c>
      <c r="B65" s="201">
        <f>未审报表!B65</f>
        <v>59</v>
      </c>
      <c r="C65" s="643">
        <f>TB!I65</f>
        <v>0</v>
      </c>
      <c r="D65" s="643">
        <f>'TB(期初)'!I65</f>
        <v>0</v>
      </c>
    </row>
    <row r="66" spans="1:4" ht="13.95" customHeight="1">
      <c r="A66" s="421" t="str">
        <f>未审报表!A66</f>
        <v>债权投资</v>
      </c>
      <c r="B66" s="201">
        <f>未审报表!B66</f>
        <v>60</v>
      </c>
      <c r="C66" s="643">
        <f>C64-C65</f>
        <v>0</v>
      </c>
      <c r="D66" s="643">
        <f>D64-D65</f>
        <v>0</v>
      </c>
    </row>
    <row r="67" spans="1:4" ht="13.95" customHeight="1">
      <c r="A67" s="421" t="str">
        <f>未审报表!A67</f>
        <v>其他债权投资原值</v>
      </c>
      <c r="B67" s="201">
        <f>未审报表!B67</f>
        <v>61</v>
      </c>
      <c r="C67" s="643">
        <f>TB!I67</f>
        <v>0</v>
      </c>
      <c r="D67" s="643">
        <f>'TB(期初)'!I67</f>
        <v>0</v>
      </c>
    </row>
    <row r="68" spans="1:4" ht="13.95" customHeight="1">
      <c r="A68" s="421" t="str">
        <f>未审报表!A68</f>
        <v>其他债权投资减值准备</v>
      </c>
      <c r="B68" s="201">
        <f>未审报表!B68</f>
        <v>62</v>
      </c>
      <c r="C68" s="643">
        <f>TB!I68</f>
        <v>0</v>
      </c>
      <c r="D68" s="643">
        <f>'TB(期初)'!I68</f>
        <v>0</v>
      </c>
    </row>
    <row r="69" spans="1:4" ht="13.95" customHeight="1">
      <c r="A69" s="421" t="str">
        <f>未审报表!A69</f>
        <v>其他债权投资</v>
      </c>
      <c r="B69" s="201">
        <f>未审报表!B69</f>
        <v>63</v>
      </c>
      <c r="C69" s="643">
        <f>C67-C68</f>
        <v>0</v>
      </c>
      <c r="D69" s="643">
        <f>D67-D68</f>
        <v>0</v>
      </c>
    </row>
    <row r="70" spans="1:4" ht="13.95" customHeight="1">
      <c r="A70" s="421" t="str">
        <f>未审报表!A70</f>
        <v>长期应收款原值</v>
      </c>
      <c r="B70" s="201">
        <f>未审报表!B70</f>
        <v>64</v>
      </c>
      <c r="C70" s="643">
        <f>TB!I70</f>
        <v>0</v>
      </c>
      <c r="D70" s="643">
        <f>'TB(期初)'!I70</f>
        <v>0</v>
      </c>
    </row>
    <row r="71" spans="1:4" ht="13.95" customHeight="1">
      <c r="A71" s="421" t="str">
        <f>未审报表!A71</f>
        <v>长期应收款坏账准备</v>
      </c>
      <c r="B71" s="201">
        <f>未审报表!B71</f>
        <v>65</v>
      </c>
      <c r="C71" s="643">
        <f>TB!I71</f>
        <v>0</v>
      </c>
      <c r="D71" s="643">
        <f>'TB(期初)'!I71</f>
        <v>0</v>
      </c>
    </row>
    <row r="72" spans="1:4" ht="13.95" customHeight="1">
      <c r="A72" s="421" t="str">
        <f>未审报表!A72</f>
        <v>长期应收款</v>
      </c>
      <c r="B72" s="201">
        <f>未审报表!B72</f>
        <v>66</v>
      </c>
      <c r="C72" s="643">
        <f>C70-C71</f>
        <v>0</v>
      </c>
      <c r="D72" s="643">
        <f>D70-D71</f>
        <v>0</v>
      </c>
    </row>
    <row r="73" spans="1:4" ht="13.95" customHeight="1">
      <c r="A73" s="421" t="str">
        <f>未审报表!A73</f>
        <v>设定受益计划净资产</v>
      </c>
      <c r="B73" s="201">
        <f>未审报表!B73</f>
        <v>67</v>
      </c>
      <c r="C73" s="643">
        <f>TB!I73</f>
        <v>0</v>
      </c>
      <c r="D73" s="643">
        <f>'TB(期初)'!I73</f>
        <v>0</v>
      </c>
    </row>
    <row r="74" spans="1:4" ht="13.95" customHeight="1">
      <c r="A74" s="421" t="str">
        <f>未审报表!A74</f>
        <v>长期股权投资原值</v>
      </c>
      <c r="B74" s="201">
        <f>未审报表!B74</f>
        <v>68</v>
      </c>
      <c r="C74" s="643">
        <f>TB!I74</f>
        <v>32990039.890000001</v>
      </c>
      <c r="D74" s="643">
        <f>'TB(期初)'!I74</f>
        <v>11290037.73</v>
      </c>
    </row>
    <row r="75" spans="1:4" ht="13.95" customHeight="1">
      <c r="A75" s="421" t="str">
        <f>未审报表!A75</f>
        <v>长期股权投资减值准备</v>
      </c>
      <c r="B75" s="201">
        <f>未审报表!B75</f>
        <v>69</v>
      </c>
      <c r="C75" s="643">
        <f>TB!I75</f>
        <v>0</v>
      </c>
      <c r="D75" s="643">
        <f>'TB(期初)'!I75</f>
        <v>0</v>
      </c>
    </row>
    <row r="76" spans="1:4" ht="13.95" customHeight="1">
      <c r="A76" s="421" t="str">
        <f>未审报表!A76</f>
        <v>长期股权投资</v>
      </c>
      <c r="B76" s="201">
        <f>未审报表!B76</f>
        <v>70</v>
      </c>
      <c r="C76" s="643">
        <f>C74-C75</f>
        <v>32990039.890000001</v>
      </c>
      <c r="D76" s="643">
        <f>D74-D75</f>
        <v>11290037.73</v>
      </c>
    </row>
    <row r="77" spans="1:4" ht="13.95" customHeight="1">
      <c r="A77" s="421" t="str">
        <f>未审报表!A77</f>
        <v>其他权益工具投资</v>
      </c>
      <c r="B77" s="201">
        <f>未审报表!B77</f>
        <v>71</v>
      </c>
      <c r="C77" s="643">
        <f>TB!I77</f>
        <v>0</v>
      </c>
      <c r="D77" s="643">
        <f>'TB(期初)'!I77</f>
        <v>0</v>
      </c>
    </row>
    <row r="78" spans="1:4" ht="13.95" customHeight="1">
      <c r="A78" s="421" t="str">
        <f>未审报表!A78</f>
        <v>其他非流动金融资产</v>
      </c>
      <c r="B78" s="201">
        <f>未审报表!B78</f>
        <v>72</v>
      </c>
      <c r="C78" s="643">
        <f>TB!I78</f>
        <v>0</v>
      </c>
      <c r="D78" s="643">
        <f>'TB(期初)'!I78</f>
        <v>0</v>
      </c>
    </row>
    <row r="79" spans="1:4" ht="13.95" customHeight="1">
      <c r="A79" s="421" t="str">
        <f>未审报表!A79</f>
        <v>投资性房地产原值</v>
      </c>
      <c r="B79" s="201">
        <f>未审报表!B79</f>
        <v>73</v>
      </c>
      <c r="C79" s="643">
        <f>TB!I79</f>
        <v>0</v>
      </c>
      <c r="D79" s="643">
        <f>'TB(期初)'!I79</f>
        <v>0</v>
      </c>
    </row>
    <row r="80" spans="1:4" ht="13.95" customHeight="1">
      <c r="A80" s="421" t="str">
        <f>未审报表!A80</f>
        <v>投资性房地产累计折旧</v>
      </c>
      <c r="B80" s="201">
        <f>未审报表!B80</f>
        <v>74</v>
      </c>
      <c r="C80" s="643">
        <f>TB!I80</f>
        <v>0</v>
      </c>
      <c r="D80" s="643">
        <f>'TB(期初)'!I80</f>
        <v>0</v>
      </c>
    </row>
    <row r="81" spans="1:4" ht="13.95" customHeight="1">
      <c r="A81" s="421" t="str">
        <f>未审报表!A81</f>
        <v>投资性房地产净值</v>
      </c>
      <c r="B81" s="201">
        <f>未审报表!B81</f>
        <v>75</v>
      </c>
      <c r="C81" s="643">
        <f>C79-C80</f>
        <v>0</v>
      </c>
      <c r="D81" s="643">
        <f>D79-D80</f>
        <v>0</v>
      </c>
    </row>
    <row r="82" spans="1:4" ht="13.95" customHeight="1">
      <c r="A82" s="421" t="str">
        <f>未审报表!A82</f>
        <v>投资性房地产减值准备</v>
      </c>
      <c r="B82" s="201">
        <f>未审报表!B82</f>
        <v>76</v>
      </c>
      <c r="C82" s="643">
        <f>TB!I82</f>
        <v>0</v>
      </c>
      <c r="D82" s="643">
        <f>'TB(期初)'!I82</f>
        <v>0</v>
      </c>
    </row>
    <row r="83" spans="1:4" ht="13.95" customHeight="1">
      <c r="A83" s="421" t="str">
        <f>未审报表!A83</f>
        <v>投资性房地产</v>
      </c>
      <c r="B83" s="201">
        <f>未审报表!B83</f>
        <v>77</v>
      </c>
      <c r="C83" s="643">
        <f>C81-C82</f>
        <v>0</v>
      </c>
      <c r="D83" s="643">
        <f>D81-D82</f>
        <v>0</v>
      </c>
    </row>
    <row r="84" spans="1:4" ht="13.95" customHeight="1">
      <c r="A84" s="421" t="str">
        <f>未审报表!A84</f>
        <v>固定资产原值</v>
      </c>
      <c r="B84" s="201">
        <f>未审报表!B84</f>
        <v>78</v>
      </c>
      <c r="C84" s="643">
        <f>TB!I84</f>
        <v>114529.92</v>
      </c>
      <c r="D84" s="643">
        <f>'TB(期初)'!I84</f>
        <v>0</v>
      </c>
    </row>
    <row r="85" spans="1:4" ht="13.95" customHeight="1">
      <c r="A85" s="421" t="str">
        <f>未审报表!A85</f>
        <v>固定资产累计折旧</v>
      </c>
      <c r="B85" s="201">
        <f>未审报表!B85</f>
        <v>79</v>
      </c>
      <c r="C85" s="643">
        <f>TB!I85</f>
        <v>15907.1</v>
      </c>
      <c r="D85" s="643">
        <f>'TB(期初)'!I85</f>
        <v>0</v>
      </c>
    </row>
    <row r="86" spans="1:4" ht="13.95" customHeight="1">
      <c r="A86" s="421" t="str">
        <f>未审报表!A86</f>
        <v>固定资产净值</v>
      </c>
      <c r="B86" s="201">
        <f>未审报表!B86</f>
        <v>80</v>
      </c>
      <c r="C86" s="643">
        <f>C84-C85</f>
        <v>98622.819999999992</v>
      </c>
      <c r="D86" s="643">
        <f>D84-D85</f>
        <v>0</v>
      </c>
    </row>
    <row r="87" spans="1:4" ht="13.95" customHeight="1">
      <c r="A87" s="421" t="str">
        <f>未审报表!A87</f>
        <v>固定资产减值准备</v>
      </c>
      <c r="B87" s="201">
        <f>未审报表!B87</f>
        <v>81</v>
      </c>
      <c r="C87" s="643">
        <f>TB!I87</f>
        <v>0</v>
      </c>
      <c r="D87" s="643">
        <f>'TB(期初)'!I87</f>
        <v>0</v>
      </c>
    </row>
    <row r="88" spans="1:4" ht="13.95" customHeight="1">
      <c r="A88" s="421" t="str">
        <f>未审报表!A88</f>
        <v>固定资产</v>
      </c>
      <c r="B88" s="201">
        <f>未审报表!B88</f>
        <v>82</v>
      </c>
      <c r="C88" s="643">
        <f>C86-C87</f>
        <v>98622.819999999992</v>
      </c>
      <c r="D88" s="643">
        <f>D86-D87</f>
        <v>0</v>
      </c>
    </row>
    <row r="89" spans="1:4" ht="13.95" customHeight="1">
      <c r="A89" s="421" t="str">
        <f>未审报表!A89</f>
        <v>固定资产清理</v>
      </c>
      <c r="B89" s="201">
        <f>未审报表!B89</f>
        <v>83</v>
      </c>
      <c r="C89" s="643">
        <f>TB!I89</f>
        <v>0</v>
      </c>
      <c r="D89" s="643">
        <f>'TB(期初)'!I89</f>
        <v>0</v>
      </c>
    </row>
    <row r="90" spans="1:4" ht="13.95" customHeight="1">
      <c r="A90" s="421" t="str">
        <f>未审报表!A90</f>
        <v>在建工程原值</v>
      </c>
      <c r="B90" s="201">
        <f>未审报表!B90</f>
        <v>84</v>
      </c>
      <c r="C90" s="643">
        <f>TB!I90</f>
        <v>0</v>
      </c>
      <c r="D90" s="643">
        <f>'TB(期初)'!I90</f>
        <v>0</v>
      </c>
    </row>
    <row r="91" spans="1:4" ht="13.95" customHeight="1">
      <c r="A91" s="421" t="str">
        <f>未审报表!A91</f>
        <v>在建工程减值准备</v>
      </c>
      <c r="B91" s="201">
        <f>未审报表!B91</f>
        <v>85</v>
      </c>
      <c r="C91" s="643">
        <f>TB!I91</f>
        <v>0</v>
      </c>
      <c r="D91" s="643">
        <f>'TB(期初)'!I91</f>
        <v>0</v>
      </c>
    </row>
    <row r="92" spans="1:4" ht="13.95" customHeight="1">
      <c r="A92" s="421" t="str">
        <f>未审报表!A92</f>
        <v>在建工程</v>
      </c>
      <c r="B92" s="201">
        <f>未审报表!B92</f>
        <v>86</v>
      </c>
      <c r="C92" s="643">
        <f>C90-C91</f>
        <v>0</v>
      </c>
      <c r="D92" s="643">
        <f>D90-D91</f>
        <v>0</v>
      </c>
    </row>
    <row r="93" spans="1:4" ht="13.95" customHeight="1">
      <c r="A93" s="421" t="str">
        <f>未审报表!A93</f>
        <v>工程物资原值</v>
      </c>
      <c r="B93" s="201">
        <f>未审报表!B93</f>
        <v>87</v>
      </c>
      <c r="C93" s="643">
        <f>TB!I93</f>
        <v>0</v>
      </c>
      <c r="D93" s="643">
        <f>'TB(期初)'!I93</f>
        <v>0</v>
      </c>
    </row>
    <row r="94" spans="1:4" ht="13.95" customHeight="1">
      <c r="A94" s="421" t="str">
        <f>未审报表!A94</f>
        <v>工程物资减值准备</v>
      </c>
      <c r="B94" s="201">
        <f>未审报表!B94</f>
        <v>88</v>
      </c>
      <c r="C94" s="643">
        <f>TB!I94</f>
        <v>0</v>
      </c>
      <c r="D94" s="643">
        <f>'TB(期初)'!I94</f>
        <v>0</v>
      </c>
    </row>
    <row r="95" spans="1:4" ht="13.95" customHeight="1">
      <c r="A95" s="421" t="str">
        <f>未审报表!A95</f>
        <v>工程物资</v>
      </c>
      <c r="B95" s="201">
        <f>未审报表!B95</f>
        <v>89</v>
      </c>
      <c r="C95" s="643">
        <f>C93-C94</f>
        <v>0</v>
      </c>
      <c r="D95" s="643">
        <f>D93-D94</f>
        <v>0</v>
      </c>
    </row>
    <row r="96" spans="1:4" ht="13.95" customHeight="1">
      <c r="A96" s="421" t="str">
        <f>未审报表!A96</f>
        <v>生产性生物资产原值</v>
      </c>
      <c r="B96" s="201">
        <f>未审报表!B96</f>
        <v>90</v>
      </c>
      <c r="C96" s="643">
        <f>TB!I96</f>
        <v>0</v>
      </c>
      <c r="D96" s="643">
        <f>'TB(期初)'!I96</f>
        <v>0</v>
      </c>
    </row>
    <row r="97" spans="1:4" ht="13.95" customHeight="1">
      <c r="A97" s="421" t="str">
        <f>未审报表!A97</f>
        <v>生产性生物资产累计折旧</v>
      </c>
      <c r="B97" s="201">
        <f>未审报表!B97</f>
        <v>91</v>
      </c>
      <c r="C97" s="643">
        <f>TB!I97</f>
        <v>0</v>
      </c>
      <c r="D97" s="643">
        <f>'TB(期初)'!I97</f>
        <v>0</v>
      </c>
    </row>
    <row r="98" spans="1:4" ht="13.95" customHeight="1">
      <c r="A98" s="421" t="str">
        <f>未审报表!A98</f>
        <v>生产性生物资产净值</v>
      </c>
      <c r="B98" s="201">
        <f>未审报表!B98</f>
        <v>92</v>
      </c>
      <c r="C98" s="643">
        <f>C96-C97</f>
        <v>0</v>
      </c>
      <c r="D98" s="643">
        <f>D96-D97</f>
        <v>0</v>
      </c>
    </row>
    <row r="99" spans="1:4" ht="13.95" customHeight="1">
      <c r="A99" s="421" t="str">
        <f>未审报表!A99</f>
        <v>生产性生物资产减值准备</v>
      </c>
      <c r="B99" s="201">
        <f>未审报表!B99</f>
        <v>93</v>
      </c>
      <c r="C99" s="643">
        <f>TB!I99</f>
        <v>0</v>
      </c>
      <c r="D99" s="643">
        <f>'TB(期初)'!I99</f>
        <v>0</v>
      </c>
    </row>
    <row r="100" spans="1:4" ht="13.95" customHeight="1">
      <c r="A100" s="421" t="str">
        <f>未审报表!A100</f>
        <v>生产性生物资产</v>
      </c>
      <c r="B100" s="201">
        <f>未审报表!B100</f>
        <v>94</v>
      </c>
      <c r="C100" s="643">
        <f>C98-C99</f>
        <v>0</v>
      </c>
      <c r="D100" s="643">
        <f>D98-D99</f>
        <v>0</v>
      </c>
    </row>
    <row r="101" spans="1:4" ht="13.95" customHeight="1">
      <c r="A101" s="421" t="str">
        <f>未审报表!A101</f>
        <v>油气资产原值</v>
      </c>
      <c r="B101" s="201">
        <f>未审报表!B101</f>
        <v>95</v>
      </c>
      <c r="C101" s="643">
        <f>TB!I101</f>
        <v>0</v>
      </c>
      <c r="D101" s="643">
        <f>'TB(期初)'!I101</f>
        <v>0</v>
      </c>
    </row>
    <row r="102" spans="1:4" ht="13.95" customHeight="1">
      <c r="A102" s="421" t="str">
        <f>未审报表!A102</f>
        <v>油气资产累计折旧</v>
      </c>
      <c r="B102" s="201">
        <f>未审报表!B102</f>
        <v>96</v>
      </c>
      <c r="C102" s="643">
        <f>TB!I102</f>
        <v>0</v>
      </c>
      <c r="D102" s="643">
        <f>'TB(期初)'!I102</f>
        <v>0</v>
      </c>
    </row>
    <row r="103" spans="1:4" ht="13.95" customHeight="1">
      <c r="A103" s="421" t="str">
        <f>未审报表!A103</f>
        <v>油气资产净值</v>
      </c>
      <c r="B103" s="201">
        <f>未审报表!B103</f>
        <v>97</v>
      </c>
      <c r="C103" s="643">
        <f>C101-C102</f>
        <v>0</v>
      </c>
      <c r="D103" s="643">
        <f>D101-D102</f>
        <v>0</v>
      </c>
    </row>
    <row r="104" spans="1:4" ht="13.95" customHeight="1">
      <c r="A104" s="421" t="str">
        <f>未审报表!A104</f>
        <v>油气资产减值准备</v>
      </c>
      <c r="B104" s="201">
        <f>未审报表!B104</f>
        <v>98</v>
      </c>
      <c r="C104" s="643">
        <f>TB!I104</f>
        <v>0</v>
      </c>
      <c r="D104" s="643">
        <f>'TB(期初)'!I104</f>
        <v>0</v>
      </c>
    </row>
    <row r="105" spans="1:4" ht="13.95" customHeight="1">
      <c r="A105" s="421" t="str">
        <f>未审报表!A105</f>
        <v>油气资产</v>
      </c>
      <c r="B105" s="201">
        <f>未审报表!B105</f>
        <v>99</v>
      </c>
      <c r="C105" s="643">
        <f>C103-C104</f>
        <v>0</v>
      </c>
      <c r="D105" s="643">
        <f>D103-D104</f>
        <v>0</v>
      </c>
    </row>
    <row r="106" spans="1:4" ht="13.95" customHeight="1">
      <c r="A106" s="421" t="str">
        <f>未审报表!A106</f>
        <v>使用权资产原值</v>
      </c>
      <c r="B106" s="201">
        <f>未审报表!B106</f>
        <v>100</v>
      </c>
      <c r="C106" s="643">
        <f>TB!I106</f>
        <v>0</v>
      </c>
      <c r="D106" s="643">
        <f>'TB(期初)'!I106</f>
        <v>0</v>
      </c>
    </row>
    <row r="107" spans="1:4" ht="13.95" customHeight="1">
      <c r="A107" s="421" t="str">
        <f>未审报表!A107</f>
        <v>使用权资产累计折旧</v>
      </c>
      <c r="B107" s="201">
        <f>未审报表!B107</f>
        <v>101</v>
      </c>
      <c r="C107" s="643">
        <f>TB!I107</f>
        <v>0</v>
      </c>
      <c r="D107" s="643">
        <f>'TB(期初)'!I107</f>
        <v>0</v>
      </c>
    </row>
    <row r="108" spans="1:4" s="414" customFormat="1" ht="13.95" customHeight="1">
      <c r="A108" s="421" t="str">
        <f>未审报表!A108</f>
        <v>使用权资产净值</v>
      </c>
      <c r="B108" s="201">
        <f>未审报表!B108</f>
        <v>102</v>
      </c>
      <c r="C108" s="643">
        <f>C106-C107</f>
        <v>0</v>
      </c>
      <c r="D108" s="643">
        <f>D106-D107</f>
        <v>0</v>
      </c>
    </row>
    <row r="109" spans="1:4" s="414" customFormat="1" ht="13.95" customHeight="1">
      <c r="A109" s="421" t="str">
        <f>未审报表!A109</f>
        <v>使用权资产减值准备</v>
      </c>
      <c r="B109" s="201">
        <f>未审报表!B109</f>
        <v>103</v>
      </c>
      <c r="C109" s="643">
        <f>TB!I109</f>
        <v>0</v>
      </c>
      <c r="D109" s="643">
        <f>'TB(期初)'!I109</f>
        <v>0</v>
      </c>
    </row>
    <row r="110" spans="1:4" s="414" customFormat="1" ht="13.95" customHeight="1">
      <c r="A110" s="421" t="str">
        <f>未审报表!A110</f>
        <v>使用权资产</v>
      </c>
      <c r="B110" s="201">
        <f>未审报表!B110</f>
        <v>104</v>
      </c>
      <c r="C110" s="643">
        <f>C108-C109</f>
        <v>0</v>
      </c>
      <c r="D110" s="643">
        <f>D108-D109</f>
        <v>0</v>
      </c>
    </row>
    <row r="111" spans="1:4" s="414" customFormat="1" ht="13.95" customHeight="1">
      <c r="A111" s="421" t="str">
        <f>未审报表!A111</f>
        <v>无形资产原值</v>
      </c>
      <c r="B111" s="201">
        <f>未审报表!B111</f>
        <v>105</v>
      </c>
      <c r="C111" s="643">
        <f>TB!I111</f>
        <v>1690145.1300000001</v>
      </c>
      <c r="D111" s="643">
        <f>'TB(期初)'!I111</f>
        <v>454415.95</v>
      </c>
    </row>
    <row r="112" spans="1:4" s="414" customFormat="1" ht="13.95" customHeight="1">
      <c r="A112" s="421" t="str">
        <f>未审报表!A112</f>
        <v>无形资产累计摊销</v>
      </c>
      <c r="B112" s="201">
        <f>未审报表!B112</f>
        <v>106</v>
      </c>
      <c r="C112" s="643">
        <f>TB!I112</f>
        <v>-25239.48</v>
      </c>
      <c r="D112" s="643">
        <f>'TB(期初)'!I112</f>
        <v>0</v>
      </c>
    </row>
    <row r="113" spans="1:4" s="414" customFormat="1" ht="13.95" customHeight="1">
      <c r="A113" s="421" t="str">
        <f>未审报表!A113</f>
        <v>无形资产净值</v>
      </c>
      <c r="B113" s="201">
        <f>未审报表!B113</f>
        <v>107</v>
      </c>
      <c r="C113" s="643">
        <f>C111-C112</f>
        <v>1715384.61</v>
      </c>
      <c r="D113" s="643">
        <f>D111-D112</f>
        <v>454415.95</v>
      </c>
    </row>
    <row r="114" spans="1:4" s="414" customFormat="1" ht="13.95" customHeight="1">
      <c r="A114" s="421" t="str">
        <f>未审报表!A114</f>
        <v>无形资产减值准备</v>
      </c>
      <c r="B114" s="201">
        <f>未审报表!B114</f>
        <v>108</v>
      </c>
      <c r="C114" s="643">
        <f>TB!I114</f>
        <v>0</v>
      </c>
      <c r="D114" s="643">
        <f>'TB(期初)'!I114</f>
        <v>0</v>
      </c>
    </row>
    <row r="115" spans="1:4" s="414" customFormat="1" ht="13.95" customHeight="1">
      <c r="A115" s="421" t="str">
        <f>未审报表!A115</f>
        <v>无形资产</v>
      </c>
      <c r="B115" s="201">
        <f>未审报表!B115</f>
        <v>109</v>
      </c>
      <c r="C115" s="643">
        <f>C113-C114</f>
        <v>1715384.61</v>
      </c>
      <c r="D115" s="643">
        <f>D113-D114</f>
        <v>454415.95</v>
      </c>
    </row>
    <row r="116" spans="1:4" s="414" customFormat="1" ht="13.95" customHeight="1">
      <c r="A116" s="421" t="str">
        <f>未审报表!A116</f>
        <v>开发支出原值</v>
      </c>
      <c r="B116" s="201">
        <f>未审报表!B116</f>
        <v>110</v>
      </c>
      <c r="C116" s="643">
        <f>TB!I116</f>
        <v>0</v>
      </c>
      <c r="D116" s="643">
        <f>'TB(期初)'!I116</f>
        <v>0</v>
      </c>
    </row>
    <row r="117" spans="1:4" s="414" customFormat="1" ht="13.95" customHeight="1">
      <c r="A117" s="421" t="str">
        <f>未审报表!A117</f>
        <v>开发支出减值准备</v>
      </c>
      <c r="B117" s="201">
        <f>未审报表!B117</f>
        <v>111</v>
      </c>
      <c r="C117" s="643">
        <f>TB!I117</f>
        <v>0</v>
      </c>
      <c r="D117" s="643">
        <f>'TB(期初)'!I117</f>
        <v>0</v>
      </c>
    </row>
    <row r="118" spans="1:4" s="414" customFormat="1" ht="13.95" customHeight="1">
      <c r="A118" s="421" t="str">
        <f>未审报表!A118</f>
        <v>开发支出</v>
      </c>
      <c r="B118" s="201">
        <f>未审报表!B118</f>
        <v>112</v>
      </c>
      <c r="C118" s="643">
        <f>C116-C117</f>
        <v>0</v>
      </c>
      <c r="D118" s="643">
        <f>D116-D117</f>
        <v>0</v>
      </c>
    </row>
    <row r="119" spans="1:4" s="414" customFormat="1" ht="13.95" customHeight="1">
      <c r="A119" s="421" t="str">
        <f>未审报表!A119</f>
        <v>商誉原值</v>
      </c>
      <c r="B119" s="201">
        <f>未审报表!B119</f>
        <v>113</v>
      </c>
      <c r="C119" s="643">
        <f>TB!I119</f>
        <v>0</v>
      </c>
      <c r="D119" s="643">
        <f>'TB(期初)'!I119</f>
        <v>0</v>
      </c>
    </row>
    <row r="120" spans="1:4" s="414" customFormat="1" ht="13.95" customHeight="1">
      <c r="A120" s="421" t="str">
        <f>未审报表!A120</f>
        <v>商誉减值准备</v>
      </c>
      <c r="B120" s="201">
        <f>未审报表!B120</f>
        <v>114</v>
      </c>
      <c r="C120" s="643">
        <f>TB!I120</f>
        <v>0</v>
      </c>
      <c r="D120" s="643">
        <f>'TB(期初)'!I120</f>
        <v>0</v>
      </c>
    </row>
    <row r="121" spans="1:4" s="414" customFormat="1" ht="13.95" customHeight="1">
      <c r="A121" s="421" t="str">
        <f>未审报表!A121</f>
        <v>商誉</v>
      </c>
      <c r="B121" s="201">
        <f>未审报表!B121</f>
        <v>115</v>
      </c>
      <c r="C121" s="643">
        <f>C119-C120</f>
        <v>0</v>
      </c>
      <c r="D121" s="643">
        <f>D119-D120</f>
        <v>0</v>
      </c>
    </row>
    <row r="122" spans="1:4" s="414" customFormat="1" ht="13.95" customHeight="1">
      <c r="A122" s="421" t="str">
        <f>未审报表!A122</f>
        <v>长期待摊费用</v>
      </c>
      <c r="B122" s="201">
        <f>未审报表!B122</f>
        <v>116</v>
      </c>
      <c r="C122" s="643">
        <f>TB!I122</f>
        <v>0</v>
      </c>
      <c r="D122" s="643">
        <f>'TB(期初)'!I122</f>
        <v>0</v>
      </c>
    </row>
    <row r="123" spans="1:4" s="414" customFormat="1" ht="13.95" customHeight="1">
      <c r="A123" s="421" t="str">
        <f>未审报表!A123</f>
        <v>递延所得税资产</v>
      </c>
      <c r="B123" s="201">
        <f>未审报表!B123</f>
        <v>117</v>
      </c>
      <c r="C123" s="643">
        <f>TB!I123</f>
        <v>257643.96</v>
      </c>
      <c r="D123" s="643">
        <f>'TB(期初)'!I123</f>
        <v>354277.86</v>
      </c>
    </row>
    <row r="124" spans="1:4" s="414" customFormat="1" ht="13.95" customHeight="1">
      <c r="A124" s="421" t="str">
        <f>未审报表!A124</f>
        <v>其他非流动资产</v>
      </c>
      <c r="B124" s="201">
        <f>未审报表!B124</f>
        <v>118</v>
      </c>
      <c r="C124" s="643">
        <f>TB!I124</f>
        <v>0</v>
      </c>
      <c r="D124" s="643">
        <f>'TB(期初)'!I124</f>
        <v>0</v>
      </c>
    </row>
    <row r="125" spans="1:4" s="414" customFormat="1" ht="13.95" customHeight="1">
      <c r="A125" s="421" t="str">
        <f>未审报表!A125</f>
        <v xml:space="preserve"> 其中：特准储备物资</v>
      </c>
      <c r="B125" s="201">
        <f>未审报表!B125</f>
        <v>119</v>
      </c>
      <c r="C125" s="643">
        <f>TB!I125</f>
        <v>0</v>
      </c>
      <c r="D125" s="643">
        <f>'TB(期初)'!I125</f>
        <v>0</v>
      </c>
    </row>
    <row r="126" spans="1:4" s="414" customFormat="1" ht="13.95" customHeight="1">
      <c r="A126" s="644" t="str">
        <f>未审报表!A126</f>
        <v>非流动资产合计</v>
      </c>
      <c r="B126" s="645">
        <f>未审报表!B126</f>
        <v>120</v>
      </c>
      <c r="C126" s="634">
        <f>SUM(C63,C66,C69,C72,C73,C76,C77:C78,C83,C88,C92,C95,C100,C105,C110,C115,C118,C121,C122:C124)</f>
        <v>35061691.280000001</v>
      </c>
      <c r="D126" s="634">
        <f>SUM(D63,D66,D69,D72,D73,D76,D77:D78,D83,D88,D92,D95,D100,D105,D110,D115,D118,D121,D122:D124)</f>
        <v>12098731.539999999</v>
      </c>
    </row>
    <row r="127" spans="1:4" s="414" customFormat="1" ht="13.95" customHeight="1">
      <c r="A127" s="653" t="str">
        <f>未审报表!A127</f>
        <v>资 产 总 计</v>
      </c>
      <c r="B127" s="654">
        <f>未审报表!B127</f>
        <v>121</v>
      </c>
      <c r="C127" s="655">
        <f>SUM(C59,C126)</f>
        <v>129654155.56999999</v>
      </c>
      <c r="D127" s="656">
        <f>SUM(D59,D126)</f>
        <v>71520160.680000007</v>
      </c>
    </row>
    <row r="128" spans="1:4" s="414" customFormat="1" ht="13.95" customHeight="1">
      <c r="A128" s="412" t="str">
        <f>未审报表!A128</f>
        <v>负债及股东权益</v>
      </c>
      <c r="B128" s="412" t="str">
        <f>未审报表!B128</f>
        <v>行次</v>
      </c>
      <c r="C128" s="413">
        <f>C6</f>
        <v>44926</v>
      </c>
      <c r="D128" s="413">
        <f>D6</f>
        <v>44561</v>
      </c>
    </row>
    <row r="129" spans="1:4" s="414" customFormat="1" ht="13.95" customHeight="1">
      <c r="A129" s="766" t="str">
        <f>未审报表!A129</f>
        <v>流动负债：</v>
      </c>
      <c r="B129" s="648">
        <f>未审报表!B129</f>
        <v>122</v>
      </c>
      <c r="C129" s="649"/>
      <c r="D129" s="423"/>
    </row>
    <row r="130" spans="1:4" s="414" customFormat="1" ht="13.95" customHeight="1">
      <c r="A130" s="421" t="str">
        <f>未审报表!A130</f>
        <v>短期借款</v>
      </c>
      <c r="B130" s="201">
        <f>未审报表!B130</f>
        <v>123</v>
      </c>
      <c r="C130" s="643">
        <f>TB!I130</f>
        <v>0</v>
      </c>
      <c r="D130" s="643">
        <f>'TB(期初)'!I130</f>
        <v>0</v>
      </c>
    </row>
    <row r="131" spans="1:4" s="414" customFormat="1" ht="13.95" customHeight="1">
      <c r="A131" s="421" t="str">
        <f>未审报表!A131</f>
        <v>向中央银行借款*</v>
      </c>
      <c r="B131" s="201">
        <f>未审报表!B131</f>
        <v>124</v>
      </c>
      <c r="C131" s="643">
        <f>TB!I131</f>
        <v>0</v>
      </c>
      <c r="D131" s="643">
        <f>'TB(期初)'!I131</f>
        <v>0</v>
      </c>
    </row>
    <row r="132" spans="1:4" s="414" customFormat="1" ht="13.95" customHeight="1">
      <c r="A132" s="421" t="str">
        <f>未审报表!A132</f>
        <v>拆入资金*</v>
      </c>
      <c r="B132" s="201">
        <f>未审报表!B132</f>
        <v>125</v>
      </c>
      <c r="C132" s="643">
        <f>TB!I132</f>
        <v>0</v>
      </c>
      <c r="D132" s="643">
        <f>'TB(期初)'!I132</f>
        <v>0</v>
      </c>
    </row>
    <row r="133" spans="1:4" s="414" customFormat="1" ht="13.95" customHeight="1">
      <c r="A133" s="421" t="str">
        <f>未审报表!A133</f>
        <v>交易性金融负债</v>
      </c>
      <c r="B133" s="201">
        <f>未审报表!B133</f>
        <v>126</v>
      </c>
      <c r="C133" s="643">
        <f>TB!I133</f>
        <v>0</v>
      </c>
      <c r="D133" s="643">
        <f>'TB(期初)'!I133</f>
        <v>0</v>
      </c>
    </row>
    <row r="134" spans="1:4" s="414" customFormat="1" ht="13.95" customHeight="1">
      <c r="A134" s="421" t="str">
        <f>未审报表!A134</f>
        <v>衍生金融负债</v>
      </c>
      <c r="B134" s="201">
        <f>未审报表!B134</f>
        <v>127</v>
      </c>
      <c r="C134" s="643">
        <f>TB!I134</f>
        <v>0</v>
      </c>
      <c r="D134" s="643">
        <f>'TB(期初)'!I134</f>
        <v>0</v>
      </c>
    </row>
    <row r="135" spans="1:4" s="414" customFormat="1" ht="13.95" customHeight="1">
      <c r="A135" s="421" t="str">
        <f>未审报表!A135</f>
        <v>应付票据</v>
      </c>
      <c r="B135" s="201">
        <f>未审报表!B135</f>
        <v>128</v>
      </c>
      <c r="C135" s="643">
        <f>TB!I135</f>
        <v>0</v>
      </c>
      <c r="D135" s="643">
        <f>'TB(期初)'!I135</f>
        <v>0</v>
      </c>
    </row>
    <row r="136" spans="1:4" s="414" customFormat="1" ht="13.95" customHeight="1">
      <c r="A136" s="421" t="str">
        <f>未审报表!A136</f>
        <v>应付账款</v>
      </c>
      <c r="B136" s="201">
        <f>未审报表!B136</f>
        <v>129</v>
      </c>
      <c r="C136" s="643">
        <f>TB!I136</f>
        <v>11490174.18</v>
      </c>
      <c r="D136" s="643">
        <f>'TB(期初)'!I136</f>
        <v>2255558.0699999998</v>
      </c>
    </row>
    <row r="137" spans="1:4" s="414" customFormat="1" ht="13.95" customHeight="1">
      <c r="A137" s="421" t="str">
        <f>未审报表!A137</f>
        <v>预收款项</v>
      </c>
      <c r="B137" s="201">
        <f>未审报表!B137</f>
        <v>130</v>
      </c>
      <c r="C137" s="643">
        <f>TB!I137</f>
        <v>2271229.16</v>
      </c>
      <c r="D137" s="643">
        <f>'TB(期初)'!I137</f>
        <v>1282269.1599999999</v>
      </c>
    </row>
    <row r="138" spans="1:4" s="414" customFormat="1" ht="13.95" customHeight="1">
      <c r="A138" s="421" t="str">
        <f>未审报表!A138</f>
        <v>合同负债</v>
      </c>
      <c r="B138" s="201">
        <f>未审报表!B138</f>
        <v>131</v>
      </c>
      <c r="C138" s="643">
        <f>TB!I138</f>
        <v>0</v>
      </c>
      <c r="D138" s="643">
        <f>'TB(期初)'!I138</f>
        <v>0</v>
      </c>
    </row>
    <row r="139" spans="1:4" s="414" customFormat="1" ht="13.95" customHeight="1">
      <c r="A139" s="421" t="str">
        <f>未审报表!A139</f>
        <v>卖出回购金融资产款*</v>
      </c>
      <c r="B139" s="201">
        <f>未审报表!B139</f>
        <v>132</v>
      </c>
      <c r="C139" s="643">
        <f>TB!I139</f>
        <v>0</v>
      </c>
      <c r="D139" s="643">
        <f>'TB(期初)'!I139</f>
        <v>0</v>
      </c>
    </row>
    <row r="140" spans="1:4" s="414" customFormat="1" ht="13.95" customHeight="1">
      <c r="A140" s="421" t="str">
        <f>未审报表!A140</f>
        <v>吸收存款及同业存放*</v>
      </c>
      <c r="B140" s="201">
        <f>未审报表!B140</f>
        <v>133</v>
      </c>
      <c r="C140" s="643">
        <f>TB!I140</f>
        <v>0</v>
      </c>
      <c r="D140" s="643">
        <f>'TB(期初)'!I140</f>
        <v>0</v>
      </c>
    </row>
    <row r="141" spans="1:4" s="414" customFormat="1" ht="13.95" customHeight="1">
      <c r="A141" s="421" t="str">
        <f>未审报表!A141</f>
        <v>代理买卖证券款*</v>
      </c>
      <c r="B141" s="201">
        <f>未审报表!B141</f>
        <v>134</v>
      </c>
      <c r="C141" s="643">
        <f>TB!I141</f>
        <v>0</v>
      </c>
      <c r="D141" s="643">
        <f>'TB(期初)'!I141</f>
        <v>0</v>
      </c>
    </row>
    <row r="142" spans="1:4" s="414" customFormat="1" ht="13.95" customHeight="1">
      <c r="A142" s="421" t="str">
        <f>未审报表!A142</f>
        <v>代理承销证券款*</v>
      </c>
      <c r="B142" s="201">
        <f>未审报表!B142</f>
        <v>135</v>
      </c>
      <c r="C142" s="643">
        <f>TB!I142</f>
        <v>0</v>
      </c>
      <c r="D142" s="643">
        <f>'TB(期初)'!I142</f>
        <v>0</v>
      </c>
    </row>
    <row r="143" spans="1:4" s="414" customFormat="1" ht="13.95" customHeight="1">
      <c r="A143" s="421" t="str">
        <f>未审报表!A143</f>
        <v>应付职工薪酬</v>
      </c>
      <c r="B143" s="201">
        <f>未审报表!B143</f>
        <v>136</v>
      </c>
      <c r="C143" s="643">
        <f>TB!I143</f>
        <v>7036440.0999999996</v>
      </c>
      <c r="D143" s="643">
        <f>'TB(期初)'!I143</f>
        <v>0</v>
      </c>
    </row>
    <row r="144" spans="1:4" s="414" customFormat="1" ht="13.95" customHeight="1">
      <c r="A144" s="421" t="str">
        <f>未审报表!A144</f>
        <v xml:space="preserve">  其中：应付工资</v>
      </c>
      <c r="B144" s="201">
        <f>未审报表!B144</f>
        <v>137</v>
      </c>
      <c r="C144" s="643">
        <f>TB!I144</f>
        <v>6973454</v>
      </c>
      <c r="D144" s="643">
        <f>'TB(期初)'!I144</f>
        <v>0</v>
      </c>
    </row>
    <row r="145" spans="1:4" s="414" customFormat="1" ht="13.95" customHeight="1">
      <c r="A145" s="421" t="str">
        <f>未审报表!A145</f>
        <v xml:space="preserve">      应付福利费</v>
      </c>
      <c r="B145" s="201">
        <f>未审报表!B145</f>
        <v>138</v>
      </c>
      <c r="C145" s="643">
        <f>TB!I145</f>
        <v>8000</v>
      </c>
      <c r="D145" s="643">
        <f>'TB(期初)'!I145</f>
        <v>0</v>
      </c>
    </row>
    <row r="146" spans="1:4" s="414" customFormat="1" ht="13.95" customHeight="1">
      <c r="A146" s="421" t="str">
        <f>未审报表!A146</f>
        <v xml:space="preserve">     #其中：职工奖励及福利基金</v>
      </c>
      <c r="B146" s="201">
        <f>未审报表!B146</f>
        <v>139</v>
      </c>
      <c r="C146" s="643">
        <f>TB!I146</f>
        <v>10000</v>
      </c>
      <c r="D146" s="643">
        <f>'TB(期初)'!I146</f>
        <v>0</v>
      </c>
    </row>
    <row r="147" spans="1:4" s="414" customFormat="1" ht="13.95" customHeight="1">
      <c r="A147" s="421" t="str">
        <f>未审报表!A147</f>
        <v>应交税费</v>
      </c>
      <c r="B147" s="201">
        <f>未审报表!B147</f>
        <v>140</v>
      </c>
      <c r="C147" s="643">
        <f>TB!I147</f>
        <v>1623174.1199999999</v>
      </c>
      <c r="D147" s="643">
        <f>'TB(期初)'!I147</f>
        <v>4493249.99</v>
      </c>
    </row>
    <row r="148" spans="1:4" s="414" customFormat="1" ht="13.95" customHeight="1">
      <c r="A148" s="421" t="str">
        <f>未审报表!A148</f>
        <v xml:space="preserve"> 其中：应交税金</v>
      </c>
      <c r="B148" s="201">
        <f>未审报表!B148</f>
        <v>141</v>
      </c>
      <c r="C148" s="643">
        <f>TB!I148</f>
        <v>1551668.74</v>
      </c>
      <c r="D148" s="643">
        <f>'TB(期初)'!I148</f>
        <v>0</v>
      </c>
    </row>
    <row r="149" spans="1:4" s="414" customFormat="1" ht="13.95" customHeight="1">
      <c r="A149" s="421" t="str">
        <f>未审报表!A149</f>
        <v>其他应付款</v>
      </c>
      <c r="B149" s="201">
        <f>未审报表!B149</f>
        <v>142</v>
      </c>
      <c r="C149" s="643">
        <f>TB!I149</f>
        <v>2680920.2199999997</v>
      </c>
      <c r="D149" s="643">
        <f>'TB(期初)'!I149</f>
        <v>1164224.7800000005</v>
      </c>
    </row>
    <row r="150" spans="1:4" s="414" customFormat="1" ht="13.95" customHeight="1">
      <c r="A150" s="421" t="str">
        <f>未审报表!A150</f>
        <v xml:space="preserve">  其中：应付利息</v>
      </c>
      <c r="B150" s="201">
        <f>未审报表!B150</f>
        <v>143</v>
      </c>
      <c r="C150" s="643">
        <f>TB!I150</f>
        <v>612345</v>
      </c>
      <c r="D150" s="643">
        <f>'TB(期初)'!I150</f>
        <v>0</v>
      </c>
    </row>
    <row r="151" spans="1:4" s="414" customFormat="1" ht="13.95" customHeight="1">
      <c r="A151" s="421" t="str">
        <f>未审报表!A151</f>
        <v xml:space="preserve">        应付股利</v>
      </c>
      <c r="B151" s="201">
        <f>未审报表!B151</f>
        <v>144</v>
      </c>
      <c r="C151" s="643">
        <f>TB!I151</f>
        <v>1432</v>
      </c>
      <c r="D151" s="643">
        <f>'TB(期初)'!I151</f>
        <v>0</v>
      </c>
    </row>
    <row r="152" spans="1:4" s="414" customFormat="1" ht="13.95" customHeight="1">
      <c r="A152" s="421" t="str">
        <f>未审报表!A152</f>
        <v>应付手续费及佣金*</v>
      </c>
      <c r="B152" s="201">
        <f>未审报表!B152</f>
        <v>145</v>
      </c>
      <c r="C152" s="643">
        <f>TB!I152</f>
        <v>0</v>
      </c>
      <c r="D152" s="643">
        <f>'TB(期初)'!I152</f>
        <v>0</v>
      </c>
    </row>
    <row r="153" spans="1:4" s="414" customFormat="1" ht="13.95" customHeight="1">
      <c r="A153" s="421" t="str">
        <f>未审报表!A153</f>
        <v>应付分保账款*</v>
      </c>
      <c r="B153" s="201">
        <f>未审报表!B153</f>
        <v>146</v>
      </c>
      <c r="C153" s="643">
        <f>TB!I153</f>
        <v>0</v>
      </c>
      <c r="D153" s="643">
        <f>'TB(期初)'!I153</f>
        <v>0</v>
      </c>
    </row>
    <row r="154" spans="1:4" s="414" customFormat="1" ht="13.95" customHeight="1">
      <c r="A154" s="421" t="str">
        <f>未审报表!A154</f>
        <v>持有待售负债</v>
      </c>
      <c r="B154" s="201">
        <f>未审报表!B154</f>
        <v>147</v>
      </c>
      <c r="C154" s="643">
        <f>TB!I154</f>
        <v>0</v>
      </c>
      <c r="D154" s="643">
        <f>'TB(期初)'!I154</f>
        <v>0</v>
      </c>
    </row>
    <row r="155" spans="1:4" s="414" customFormat="1" ht="13.95" customHeight="1">
      <c r="A155" s="421" t="str">
        <f>未审报表!A155</f>
        <v>一年内到期的非流动负债</v>
      </c>
      <c r="B155" s="201">
        <f>未审报表!B155</f>
        <v>148</v>
      </c>
      <c r="C155" s="643">
        <f>TB!I155</f>
        <v>0</v>
      </c>
      <c r="D155" s="643">
        <f>'TB(期初)'!I155</f>
        <v>0</v>
      </c>
    </row>
    <row r="156" spans="1:4" s="414" customFormat="1" ht="13.95" customHeight="1">
      <c r="A156" s="421" t="str">
        <f>未审报表!A156</f>
        <v>其他流动负债</v>
      </c>
      <c r="B156" s="201">
        <f>未审报表!B156</f>
        <v>149</v>
      </c>
      <c r="C156" s="643">
        <f>TB!I156</f>
        <v>0</v>
      </c>
      <c r="D156" s="643">
        <f>'TB(期初)'!I156</f>
        <v>0</v>
      </c>
    </row>
    <row r="157" spans="1:4" s="414" customFormat="1" ht="13.95" customHeight="1">
      <c r="A157" s="421" t="str">
        <f>未审报表!A157</f>
        <v>保险合同准备金*</v>
      </c>
      <c r="B157" s="201">
        <f>未审报表!B157</f>
        <v>150</v>
      </c>
      <c r="C157" s="643">
        <f>TB!I157</f>
        <v>0</v>
      </c>
      <c r="D157" s="643">
        <f>'TB(期初)'!I157</f>
        <v>0</v>
      </c>
    </row>
    <row r="158" spans="1:4" s="414" customFormat="1" ht="13.95" customHeight="1">
      <c r="A158" s="644" t="str">
        <f>未审报表!A158</f>
        <v>流动负债合计</v>
      </c>
      <c r="B158" s="645">
        <f>未审报表!B158</f>
        <v>151</v>
      </c>
      <c r="C158" s="634">
        <f>SUM(C130:C143,C147,C149,C152:C157)</f>
        <v>25101937.779999997</v>
      </c>
      <c r="D158" s="634">
        <f>SUM(D130:D143,D147,D149,D152:D157)</f>
        <v>9195302</v>
      </c>
    </row>
    <row r="159" spans="1:4" s="414" customFormat="1" ht="13.95" customHeight="1">
      <c r="A159" s="644" t="str">
        <f>未审报表!A159</f>
        <v>非流动负债:</v>
      </c>
      <c r="B159" s="201">
        <f>未审报表!B159</f>
        <v>152</v>
      </c>
      <c r="C159" s="423"/>
      <c r="D159" s="423"/>
    </row>
    <row r="160" spans="1:4" s="414" customFormat="1" ht="13.95" customHeight="1">
      <c r="A160" s="421" t="str">
        <f>未审报表!A160</f>
        <v>长期借款</v>
      </c>
      <c r="B160" s="201">
        <f>未审报表!B160</f>
        <v>153</v>
      </c>
      <c r="C160" s="643">
        <f>TB!I160</f>
        <v>0</v>
      </c>
      <c r="D160" s="643">
        <f>'TB(期初)'!I160</f>
        <v>0</v>
      </c>
    </row>
    <row r="161" spans="1:4" s="414" customFormat="1" ht="13.95" customHeight="1">
      <c r="A161" s="421" t="str">
        <f>未审报表!A161</f>
        <v>应付债券</v>
      </c>
      <c r="B161" s="201">
        <f>未审报表!B161</f>
        <v>154</v>
      </c>
      <c r="C161" s="643">
        <f>TB!I161</f>
        <v>0</v>
      </c>
      <c r="D161" s="643">
        <f>'TB(期初)'!I161</f>
        <v>0</v>
      </c>
    </row>
    <row r="162" spans="1:4" s="414" customFormat="1" ht="13.95" customHeight="1">
      <c r="A162" s="421" t="str">
        <f>未审报表!A162</f>
        <v xml:space="preserve">  其中：优先股</v>
      </c>
      <c r="B162" s="201">
        <f>未审报表!B162</f>
        <v>155</v>
      </c>
      <c r="C162" s="643">
        <f>TB!I162</f>
        <v>0</v>
      </c>
      <c r="D162" s="643">
        <f>'TB(期初)'!I162</f>
        <v>0</v>
      </c>
    </row>
    <row r="163" spans="1:4" s="414" customFormat="1" ht="13.95" customHeight="1">
      <c r="A163" s="421" t="str">
        <f>未审报表!A163</f>
        <v xml:space="preserve">        永续债</v>
      </c>
      <c r="B163" s="201">
        <f>未审报表!B163</f>
        <v>156</v>
      </c>
      <c r="C163" s="643">
        <f>TB!I163</f>
        <v>0</v>
      </c>
      <c r="D163" s="643">
        <f>'TB(期初)'!I163</f>
        <v>0</v>
      </c>
    </row>
    <row r="164" spans="1:4" s="414" customFormat="1" ht="13.95" customHeight="1">
      <c r="A164" s="421" t="str">
        <f>未审报表!A164</f>
        <v>租赁负债</v>
      </c>
      <c r="B164" s="201">
        <f>未审报表!B164</f>
        <v>157</v>
      </c>
      <c r="C164" s="643">
        <f>TB!I164</f>
        <v>0</v>
      </c>
      <c r="D164" s="643">
        <f>'TB(期初)'!I164</f>
        <v>0</v>
      </c>
    </row>
    <row r="165" spans="1:4" s="414" customFormat="1" ht="13.95" customHeight="1">
      <c r="A165" s="421" t="str">
        <f>未审报表!A165</f>
        <v>长期应付款</v>
      </c>
      <c r="B165" s="201">
        <f>未审报表!B165</f>
        <v>158</v>
      </c>
      <c r="C165" s="643">
        <f>TB!I165</f>
        <v>0</v>
      </c>
      <c r="D165" s="643">
        <f>'TB(期初)'!I165</f>
        <v>0</v>
      </c>
    </row>
    <row r="166" spans="1:4" s="414" customFormat="1" ht="13.95" customHeight="1">
      <c r="A166" s="421" t="str">
        <f>未审报表!A166</f>
        <v>专项应付款</v>
      </c>
      <c r="B166" s="201">
        <f>未审报表!B166</f>
        <v>159</v>
      </c>
      <c r="C166" s="643">
        <f>TB!I166</f>
        <v>0</v>
      </c>
      <c r="D166" s="643">
        <f>'TB(期初)'!I166</f>
        <v>0</v>
      </c>
    </row>
    <row r="167" spans="1:4" s="414" customFormat="1" ht="13.95" customHeight="1">
      <c r="A167" s="421" t="str">
        <f>未审报表!A167</f>
        <v>长期应付职工薪酬</v>
      </c>
      <c r="B167" s="201">
        <f>未审报表!B167</f>
        <v>160</v>
      </c>
      <c r="C167" s="643">
        <f>TB!I167</f>
        <v>0</v>
      </c>
      <c r="D167" s="643">
        <f>'TB(期初)'!I167</f>
        <v>0</v>
      </c>
    </row>
    <row r="168" spans="1:4" s="414" customFormat="1" ht="13.95" customHeight="1">
      <c r="A168" s="421" t="str">
        <f>未审报表!A168</f>
        <v>预计负债</v>
      </c>
      <c r="B168" s="201">
        <f>未审报表!B168</f>
        <v>161</v>
      </c>
      <c r="C168" s="643">
        <f>TB!I168</f>
        <v>0</v>
      </c>
      <c r="D168" s="643">
        <f>'TB(期初)'!I168</f>
        <v>0</v>
      </c>
    </row>
    <row r="169" spans="1:4" s="414" customFormat="1" ht="13.95" customHeight="1">
      <c r="A169" s="421" t="str">
        <f>未审报表!A169</f>
        <v>递延收益</v>
      </c>
      <c r="B169" s="201">
        <f>未审报表!B169</f>
        <v>162</v>
      </c>
      <c r="C169" s="643">
        <f>TB!I169</f>
        <v>0</v>
      </c>
      <c r="D169" s="643">
        <f>'TB(期初)'!I169</f>
        <v>0</v>
      </c>
    </row>
    <row r="170" spans="1:4" s="414" customFormat="1" ht="13.95" customHeight="1">
      <c r="A170" s="421" t="str">
        <f>未审报表!A170</f>
        <v>递延所得税负债</v>
      </c>
      <c r="B170" s="201">
        <f>未审报表!B170</f>
        <v>163</v>
      </c>
      <c r="C170" s="643">
        <f>TB!I170</f>
        <v>0</v>
      </c>
      <c r="D170" s="643">
        <f>'TB(期初)'!I170</f>
        <v>0</v>
      </c>
    </row>
    <row r="171" spans="1:4" s="414" customFormat="1" ht="13.95" customHeight="1">
      <c r="A171" s="421" t="str">
        <f>未审报表!A171</f>
        <v>其他非流动负债</v>
      </c>
      <c r="B171" s="201">
        <f>未审报表!B171</f>
        <v>164</v>
      </c>
      <c r="C171" s="643">
        <f>TB!I171</f>
        <v>0</v>
      </c>
      <c r="D171" s="643">
        <f>'TB(期初)'!I171</f>
        <v>0</v>
      </c>
    </row>
    <row r="172" spans="1:4" s="414" customFormat="1" ht="13.95" customHeight="1">
      <c r="A172" s="421" t="str">
        <f>未审报表!A172</f>
        <v xml:space="preserve"> 其中：特准储备基金</v>
      </c>
      <c r="B172" s="201">
        <f>未审报表!B172</f>
        <v>165</v>
      </c>
      <c r="C172" s="643">
        <f>TB!I172</f>
        <v>0</v>
      </c>
      <c r="D172" s="643">
        <f>'TB(期初)'!I172</f>
        <v>0</v>
      </c>
    </row>
    <row r="173" spans="1:4" s="414" customFormat="1" ht="13.95" customHeight="1">
      <c r="A173" s="644" t="str">
        <f>未审报表!A173</f>
        <v>非流动负债合计</v>
      </c>
      <c r="B173" s="645">
        <f>未审报表!B173</f>
        <v>166</v>
      </c>
      <c r="C173" s="637">
        <f>SUM(C160:C161,C164:C171)</f>
        <v>0</v>
      </c>
      <c r="D173" s="637">
        <f>SUM(D160:D161,D164:D171)</f>
        <v>0</v>
      </c>
    </row>
    <row r="174" spans="1:4" s="414" customFormat="1" ht="13.95" customHeight="1">
      <c r="A174" s="644" t="str">
        <f>未审报表!A174</f>
        <v>负 债 合 计</v>
      </c>
      <c r="B174" s="645">
        <f>未审报表!B174</f>
        <v>167</v>
      </c>
      <c r="C174" s="637">
        <f>SUM(C158,C173)</f>
        <v>25101937.779999997</v>
      </c>
      <c r="D174" s="637">
        <f>SUM(D158,D173)</f>
        <v>9195302</v>
      </c>
    </row>
    <row r="175" spans="1:4" s="414" customFormat="1" ht="13.95" customHeight="1">
      <c r="A175" s="421" t="str">
        <f>未审报表!A175</f>
        <v>股东权益：</v>
      </c>
      <c r="B175" s="201">
        <f>未审报表!B175</f>
        <v>168</v>
      </c>
      <c r="C175" s="423"/>
      <c r="D175" s="423"/>
    </row>
    <row r="176" spans="1:4" s="414" customFormat="1" ht="13.95" customHeight="1">
      <c r="A176" s="421" t="str">
        <f>未审报表!A176</f>
        <v>实收资本（或股本）</v>
      </c>
      <c r="B176" s="201">
        <f>未审报表!B176</f>
        <v>169</v>
      </c>
      <c r="C176" s="643">
        <f>TB!I176</f>
        <v>54350000</v>
      </c>
      <c r="D176" s="643">
        <f>'TB(期初)'!I176</f>
        <v>51000000</v>
      </c>
    </row>
    <row r="177" spans="1:7" s="414" customFormat="1" ht="13.95" customHeight="1">
      <c r="A177" s="421" t="str">
        <f>未审报表!A177</f>
        <v>其他权益工具</v>
      </c>
      <c r="B177" s="201">
        <f>未审报表!B177</f>
        <v>170</v>
      </c>
      <c r="C177" s="643">
        <f>TB!I177</f>
        <v>0</v>
      </c>
      <c r="D177" s="643">
        <f>'TB(期初)'!I177</f>
        <v>0</v>
      </c>
    </row>
    <row r="178" spans="1:7" s="414" customFormat="1" ht="13.95" customHeight="1">
      <c r="A178" s="421" t="str">
        <f>未审报表!A178</f>
        <v xml:space="preserve">  其中：优先股</v>
      </c>
      <c r="B178" s="201">
        <f>未审报表!B178</f>
        <v>171</v>
      </c>
      <c r="C178" s="643">
        <f>TB!I178</f>
        <v>0</v>
      </c>
      <c r="D178" s="643">
        <f>'TB(期初)'!I178</f>
        <v>0</v>
      </c>
    </row>
    <row r="179" spans="1:7" s="414" customFormat="1" ht="13.95" customHeight="1">
      <c r="A179" s="421" t="str">
        <f>未审报表!A179</f>
        <v xml:space="preserve">        永续债</v>
      </c>
      <c r="B179" s="201">
        <f>未审报表!B179</f>
        <v>172</v>
      </c>
      <c r="C179" s="643">
        <f>TB!I179</f>
        <v>0</v>
      </c>
      <c r="D179" s="643">
        <f>'TB(期初)'!I179</f>
        <v>0</v>
      </c>
    </row>
    <row r="180" spans="1:7" s="414" customFormat="1" ht="13.95" customHeight="1">
      <c r="A180" s="421" t="str">
        <f>未审报表!A180</f>
        <v>资本公积</v>
      </c>
      <c r="B180" s="201">
        <f>未审报表!B180</f>
        <v>173</v>
      </c>
      <c r="C180" s="643">
        <f>TB!I180</f>
        <v>8953786.8000000007</v>
      </c>
      <c r="D180" s="643">
        <f>'TB(期初)'!I180</f>
        <v>2253786.7999999998</v>
      </c>
    </row>
    <row r="181" spans="1:7" s="414" customFormat="1" ht="13.95" customHeight="1">
      <c r="A181" s="421" t="str">
        <f>未审报表!A181</f>
        <v>减：库存股</v>
      </c>
      <c r="B181" s="201">
        <f>未审报表!B181</f>
        <v>174</v>
      </c>
      <c r="C181" s="643">
        <f>TB!I181</f>
        <v>0</v>
      </c>
      <c r="D181" s="643">
        <f>'TB(期初)'!I181</f>
        <v>0</v>
      </c>
    </row>
    <row r="182" spans="1:7" s="414" customFormat="1" ht="13.95" customHeight="1">
      <c r="A182" s="421" t="str">
        <f>未审报表!A182</f>
        <v>其他综合收益</v>
      </c>
      <c r="B182" s="201">
        <f>未审报表!B182</f>
        <v>175</v>
      </c>
      <c r="C182" s="643">
        <f>TB!I182</f>
        <v>0</v>
      </c>
      <c r="D182" s="643">
        <f>'TB(期初)'!I182</f>
        <v>0</v>
      </c>
    </row>
    <row r="183" spans="1:7" s="414" customFormat="1" ht="13.95" customHeight="1">
      <c r="A183" s="421" t="str">
        <f>未审报表!A183</f>
        <v>专项储备</v>
      </c>
      <c r="B183" s="201">
        <f>未审报表!B183</f>
        <v>176</v>
      </c>
      <c r="C183" s="643">
        <f>TB!I183</f>
        <v>0</v>
      </c>
      <c r="D183" s="643">
        <f>'TB(期初)'!I183</f>
        <v>0</v>
      </c>
    </row>
    <row r="184" spans="1:7" s="414" customFormat="1" ht="13.95" customHeight="1">
      <c r="A184" s="421" t="str">
        <f>未审报表!A184</f>
        <v>盈余公积</v>
      </c>
      <c r="B184" s="201">
        <f>未审报表!B184</f>
        <v>177</v>
      </c>
      <c r="C184" s="643">
        <f>TB!I184</f>
        <v>4124843.1</v>
      </c>
      <c r="D184" s="643">
        <f>'TB(期初)'!I184</f>
        <v>907107.19</v>
      </c>
    </row>
    <row r="185" spans="1:7" s="414" customFormat="1" ht="13.95" customHeight="1">
      <c r="A185" s="421" t="str">
        <f>未审报表!A185</f>
        <v>一般风险准备*</v>
      </c>
      <c r="B185" s="201">
        <f>未审报表!B185</f>
        <v>178</v>
      </c>
      <c r="C185" s="643">
        <f>TB!I185</f>
        <v>0</v>
      </c>
      <c r="D185" s="643">
        <f>'TB(期初)'!I185</f>
        <v>0</v>
      </c>
    </row>
    <row r="186" spans="1:7" s="414" customFormat="1" ht="13.95" customHeight="1">
      <c r="A186" s="421" t="str">
        <f>未审报表!A186</f>
        <v>未分配利润</v>
      </c>
      <c r="B186" s="201">
        <f>未审报表!B186</f>
        <v>179</v>
      </c>
      <c r="C186" s="643">
        <f>TB!I186</f>
        <v>37123587.890000001</v>
      </c>
      <c r="D186" s="643">
        <f>'TB(期初)'!I186</f>
        <v>8163964.6899999995</v>
      </c>
    </row>
    <row r="187" spans="1:7" s="414" customFormat="1" ht="13.95" customHeight="1">
      <c r="A187" s="644" t="str">
        <f>未审报表!A187</f>
        <v>归属于母公司所有者权益（或股东权益）合计</v>
      </c>
      <c r="B187" s="201">
        <f>未审报表!B187</f>
        <v>180</v>
      </c>
      <c r="C187" s="637">
        <f>SUM(C176:C177,C180,-C181,C182:C186)</f>
        <v>104552217.78999999</v>
      </c>
      <c r="D187" s="637">
        <f>SUM(D176:D177,D180,-D181,D182:D186)</f>
        <v>62324858.679999992</v>
      </c>
    </row>
    <row r="188" spans="1:7" s="414" customFormat="1" ht="13.95" customHeight="1">
      <c r="A188" s="421" t="str">
        <f>未审报表!A188</f>
        <v>少数股东权益</v>
      </c>
      <c r="B188" s="201">
        <f>未审报表!B188</f>
        <v>181</v>
      </c>
      <c r="C188" s="423">
        <f>TB!I188</f>
        <v>0</v>
      </c>
      <c r="D188" s="423">
        <f>'TB(期初)'!I188</f>
        <v>0</v>
      </c>
    </row>
    <row r="189" spans="1:7" s="414" customFormat="1" ht="13.95" customHeight="1">
      <c r="A189" s="644" t="str">
        <f>未审报表!A189</f>
        <v>所有者权益（或股东权益）合计</v>
      </c>
      <c r="B189" s="645">
        <f>未审报表!B189</f>
        <v>182</v>
      </c>
      <c r="C189" s="637">
        <f>SUM(C187:C188)</f>
        <v>104552217.78999999</v>
      </c>
      <c r="D189" s="637">
        <f>SUM(D187:D188)</f>
        <v>62324858.679999992</v>
      </c>
    </row>
    <row r="190" spans="1:7" s="414" customFormat="1" ht="13.95" customHeight="1">
      <c r="A190" s="650" t="str">
        <f>未审报表!A190</f>
        <v>负债和所有者权益（或股东权益）总计</v>
      </c>
      <c r="B190" s="651">
        <f>未审报表!B190</f>
        <v>183</v>
      </c>
      <c r="C190" s="656">
        <f>SUM(C174,C189)</f>
        <v>129654155.56999999</v>
      </c>
      <c r="D190" s="656">
        <f>SUM(D174,D189)</f>
        <v>71520160.679999992</v>
      </c>
      <c r="G190" s="767"/>
    </row>
    <row r="191" spans="1:7" s="414" customFormat="1" ht="13.95" customHeight="1">
      <c r="A191" s="768" t="str">
        <f>未审报表!A191</f>
        <v>损   益   类</v>
      </c>
      <c r="B191" s="771" t="str">
        <f>未审报表!B191</f>
        <v>行次</v>
      </c>
      <c r="C191" s="770" t="str">
        <f>参数!D10</f>
        <v>2022年度</v>
      </c>
      <c r="D191" s="770" t="str">
        <f>参数!D9</f>
        <v>2021年度</v>
      </c>
    </row>
    <row r="192" spans="1:7" s="414" customFormat="1" ht="13.95" customHeight="1">
      <c r="A192" s="644" t="str">
        <f>未审报表!A192</f>
        <v>一、营业总收入</v>
      </c>
      <c r="B192" s="645">
        <f>未审报表!B192</f>
        <v>1</v>
      </c>
      <c r="C192" s="637">
        <f>SUM(C193:C197)</f>
        <v>35656228.109999999</v>
      </c>
      <c r="D192" s="637">
        <f>SUM(D193:D197)</f>
        <v>22980342.579999998</v>
      </c>
    </row>
    <row r="193" spans="1:4" s="414" customFormat="1" ht="13.95" customHeight="1">
      <c r="A193" s="421" t="str">
        <f>未审报表!A193</f>
        <v xml:space="preserve">        其中：主营业务收入</v>
      </c>
      <c r="B193" s="201">
        <f>未审报表!B193</f>
        <v>2</v>
      </c>
      <c r="C193" s="643">
        <f>TB!I193</f>
        <v>35656228.109999999</v>
      </c>
      <c r="D193" s="643">
        <f>'TB(期初)'!I193</f>
        <v>22980342.579999998</v>
      </c>
    </row>
    <row r="194" spans="1:4" s="414" customFormat="1" ht="13.95" customHeight="1">
      <c r="A194" s="421" t="str">
        <f>未审报表!A194</f>
        <v xml:space="preserve">              其他业务收入</v>
      </c>
      <c r="B194" s="201">
        <f>未审报表!B194</f>
        <v>3</v>
      </c>
      <c r="C194" s="643">
        <f>TB!I194</f>
        <v>0</v>
      </c>
      <c r="D194" s="643">
        <f>'TB(期初)'!I194</f>
        <v>0</v>
      </c>
    </row>
    <row r="195" spans="1:4" s="414" customFormat="1" ht="13.95" customHeight="1">
      <c r="A195" s="421" t="str">
        <f>未审报表!A195</f>
        <v xml:space="preserve">           利息收入*</v>
      </c>
      <c r="B195" s="201">
        <f>未审报表!B195</f>
        <v>4</v>
      </c>
      <c r="C195" s="643">
        <f>TB!I195</f>
        <v>0</v>
      </c>
      <c r="D195" s="643">
        <f>'TB(期初)'!I195</f>
        <v>0</v>
      </c>
    </row>
    <row r="196" spans="1:4" s="414" customFormat="1" ht="13.95" customHeight="1">
      <c r="A196" s="421" t="str">
        <f>未审报表!A196</f>
        <v xml:space="preserve">           已赚保费*</v>
      </c>
      <c r="B196" s="201">
        <f>未审报表!B196</f>
        <v>5</v>
      </c>
      <c r="C196" s="643">
        <f>TB!I196</f>
        <v>0</v>
      </c>
      <c r="D196" s="643">
        <f>'TB(期初)'!I196</f>
        <v>0</v>
      </c>
    </row>
    <row r="197" spans="1:4" s="414" customFormat="1" ht="13.95" customHeight="1">
      <c r="A197" s="421" t="str">
        <f>未审报表!A197</f>
        <v xml:space="preserve">           手续费及佣金收入*</v>
      </c>
      <c r="B197" s="201">
        <f>未审报表!B197</f>
        <v>6</v>
      </c>
      <c r="C197" s="643">
        <f>TB!I197</f>
        <v>0</v>
      </c>
      <c r="D197" s="643">
        <f>'TB(期初)'!I197</f>
        <v>0</v>
      </c>
    </row>
    <row r="198" spans="1:4" s="414" customFormat="1" ht="13.95" customHeight="1">
      <c r="A198" s="644" t="str">
        <f>未审报表!A198</f>
        <v xml:space="preserve">    减：营业总成本</v>
      </c>
      <c r="B198" s="645">
        <f>未审报表!B198</f>
        <v>7</v>
      </c>
      <c r="C198" s="637">
        <f>SUM(C199:C212,C216)</f>
        <v>24817252.68</v>
      </c>
      <c r="D198" s="637">
        <f>SUM(D199:D212,D216)</f>
        <v>10426499.75</v>
      </c>
    </row>
    <row r="199" spans="1:4" s="414" customFormat="1" ht="13.95" customHeight="1">
      <c r="A199" s="421" t="str">
        <f>未审报表!A199</f>
        <v xml:space="preserve">        其中：主营业务成本</v>
      </c>
      <c r="B199" s="201">
        <f>未审报表!B199</f>
        <v>8</v>
      </c>
      <c r="C199" s="643">
        <f>TB!I199</f>
        <v>11533749.48</v>
      </c>
      <c r="D199" s="643">
        <f>'TB(期初)'!I199</f>
        <v>9866189.1400000006</v>
      </c>
    </row>
    <row r="200" spans="1:4" s="414" customFormat="1" ht="13.95" customHeight="1">
      <c r="A200" s="421" t="str">
        <f>未审报表!A200</f>
        <v xml:space="preserve">              其他业务成本</v>
      </c>
      <c r="B200" s="201">
        <f>未审报表!B200</f>
        <v>9</v>
      </c>
      <c r="C200" s="643">
        <f>TB!I200</f>
        <v>0</v>
      </c>
      <c r="D200" s="643">
        <f>'TB(期初)'!I200</f>
        <v>0</v>
      </c>
    </row>
    <row r="201" spans="1:4" s="414" customFormat="1" ht="13.95" customHeight="1">
      <c r="A201" s="421" t="str">
        <f>未审报表!A201</f>
        <v xml:space="preserve">        利息支出*</v>
      </c>
      <c r="B201" s="201">
        <f>未审报表!B201</f>
        <v>10</v>
      </c>
      <c r="C201" s="643">
        <f>TB!I201</f>
        <v>0</v>
      </c>
      <c r="D201" s="643">
        <f>'TB(期初)'!I201</f>
        <v>0</v>
      </c>
    </row>
    <row r="202" spans="1:4" s="414" customFormat="1" ht="13.95" customHeight="1">
      <c r="A202" s="421" t="str">
        <f>未审报表!A202</f>
        <v xml:space="preserve">        手续费及佣金支出*</v>
      </c>
      <c r="B202" s="201">
        <f>未审报表!B202</f>
        <v>11</v>
      </c>
      <c r="C202" s="643">
        <f>TB!I202</f>
        <v>0</v>
      </c>
      <c r="D202" s="643">
        <f>'TB(期初)'!I202</f>
        <v>0</v>
      </c>
    </row>
    <row r="203" spans="1:4" s="414" customFormat="1" ht="13.95" customHeight="1">
      <c r="A203" s="421" t="str">
        <f>未审报表!A203</f>
        <v xml:space="preserve">        退保金*</v>
      </c>
      <c r="B203" s="201">
        <f>未审报表!B203</f>
        <v>12</v>
      </c>
      <c r="C203" s="643">
        <f>TB!I203</f>
        <v>0</v>
      </c>
      <c r="D203" s="643">
        <f>'TB(期初)'!I203</f>
        <v>0</v>
      </c>
    </row>
    <row r="204" spans="1:4" s="414" customFormat="1" ht="13.95" customHeight="1">
      <c r="A204" s="421" t="str">
        <f>未审报表!A204</f>
        <v xml:space="preserve">        赔付支出净额*</v>
      </c>
      <c r="B204" s="201">
        <f>未审报表!B204</f>
        <v>13</v>
      </c>
      <c r="C204" s="643">
        <f>TB!I204</f>
        <v>0</v>
      </c>
      <c r="D204" s="643">
        <f>'TB(期初)'!I204</f>
        <v>0</v>
      </c>
    </row>
    <row r="205" spans="1:4" s="414" customFormat="1" ht="13.95" customHeight="1">
      <c r="A205" s="421" t="str">
        <f>未审报表!A205</f>
        <v xml:space="preserve">        提取保险责任准备金净额*</v>
      </c>
      <c r="B205" s="201">
        <f>未审报表!B205</f>
        <v>14</v>
      </c>
      <c r="C205" s="643">
        <f>TB!I205</f>
        <v>0</v>
      </c>
      <c r="D205" s="643">
        <f>'TB(期初)'!I205</f>
        <v>0</v>
      </c>
    </row>
    <row r="206" spans="1:4" s="414" customFormat="1" ht="13.95" customHeight="1">
      <c r="A206" s="421" t="str">
        <f>未审报表!A206</f>
        <v xml:space="preserve">        保单红利支出*</v>
      </c>
      <c r="B206" s="201">
        <f>未审报表!B206</f>
        <v>15</v>
      </c>
      <c r="C206" s="643">
        <f>TB!I206</f>
        <v>0</v>
      </c>
      <c r="D206" s="643">
        <f>'TB(期初)'!I206</f>
        <v>0</v>
      </c>
    </row>
    <row r="207" spans="1:4" s="414" customFormat="1" ht="13.95" customHeight="1">
      <c r="A207" s="421" t="str">
        <f>未审报表!A207</f>
        <v xml:space="preserve">        分保费用*</v>
      </c>
      <c r="B207" s="201">
        <f>未审报表!B207</f>
        <v>16</v>
      </c>
      <c r="C207" s="643">
        <f>TB!I207</f>
        <v>0</v>
      </c>
      <c r="D207" s="643">
        <f>'TB(期初)'!I207</f>
        <v>0</v>
      </c>
    </row>
    <row r="208" spans="1:4" s="414" customFormat="1" ht="13.95" customHeight="1">
      <c r="A208" s="421" t="str">
        <f>未审报表!A208</f>
        <v xml:space="preserve">        税金及附加</v>
      </c>
      <c r="B208" s="201">
        <f>未审报表!B208</f>
        <v>17</v>
      </c>
      <c r="C208" s="643">
        <f>TB!I208</f>
        <v>139506.91</v>
      </c>
      <c r="D208" s="643">
        <f>'TB(期初)'!I208</f>
        <v>112613.94</v>
      </c>
    </row>
    <row r="209" spans="1:4" s="414" customFormat="1" ht="13.95" customHeight="1">
      <c r="A209" s="421" t="str">
        <f>未审报表!A209</f>
        <v xml:space="preserve">        销售费用</v>
      </c>
      <c r="B209" s="201">
        <f>未审报表!B209</f>
        <v>18</v>
      </c>
      <c r="C209" s="643">
        <f>TB!I209</f>
        <v>0</v>
      </c>
      <c r="D209" s="643">
        <f>'TB(期初)'!I209</f>
        <v>0</v>
      </c>
    </row>
    <row r="210" spans="1:4" s="414" customFormat="1" ht="13.95" customHeight="1">
      <c r="A210" s="421" t="str">
        <f>未审报表!A210</f>
        <v xml:space="preserve">        管理费用</v>
      </c>
      <c r="B210" s="201">
        <f>未审报表!B210</f>
        <v>19</v>
      </c>
      <c r="C210" s="643">
        <f>TB!I210</f>
        <v>13154047.73</v>
      </c>
      <c r="D210" s="643">
        <f>'TB(期初)'!I210</f>
        <v>479456.63</v>
      </c>
    </row>
    <row r="211" spans="1:4" s="414" customFormat="1" ht="13.95" customHeight="1">
      <c r="A211" s="421" t="str">
        <f>未审报表!A211</f>
        <v xml:space="preserve">        研发费用</v>
      </c>
      <c r="B211" s="201">
        <f>未审报表!B211</f>
        <v>20</v>
      </c>
      <c r="C211" s="643">
        <f>TB!I211</f>
        <v>0</v>
      </c>
      <c r="D211" s="643">
        <f>'TB(期初)'!I211</f>
        <v>0</v>
      </c>
    </row>
    <row r="212" spans="1:4" s="414" customFormat="1" ht="13.95" customHeight="1">
      <c r="A212" s="421" t="str">
        <f>未审报表!A212</f>
        <v xml:space="preserve">        财务费用</v>
      </c>
      <c r="B212" s="201">
        <f>未审报表!B212</f>
        <v>21</v>
      </c>
      <c r="C212" s="643">
        <f>TB!I212</f>
        <v>-10051.44</v>
      </c>
      <c r="D212" s="643">
        <f>'TB(期初)'!I212</f>
        <v>-31759.960000000003</v>
      </c>
    </row>
    <row r="213" spans="1:4" s="414" customFormat="1" ht="13.95" customHeight="1">
      <c r="A213" s="421" t="str">
        <f>未审报表!A213</f>
        <v xml:space="preserve">        其中：利息费用</v>
      </c>
      <c r="B213" s="201">
        <f>未审报表!B213</f>
        <v>22</v>
      </c>
      <c r="C213" s="643">
        <f>TB!I213</f>
        <v>0</v>
      </c>
      <c r="D213" s="643">
        <f>'TB(期初)'!I213</f>
        <v>0</v>
      </c>
    </row>
    <row r="214" spans="1:4" s="414" customFormat="1" ht="13.95" customHeight="1">
      <c r="A214" s="421" t="str">
        <f>未审报表!A214</f>
        <v xml:space="preserve">              利息收入</v>
      </c>
      <c r="B214" s="201">
        <f>未审报表!B214</f>
        <v>23</v>
      </c>
      <c r="C214" s="643">
        <f>TB!I214</f>
        <v>0</v>
      </c>
      <c r="D214" s="643">
        <f>'TB(期初)'!I214</f>
        <v>-10000</v>
      </c>
    </row>
    <row r="215" spans="1:4" s="414" customFormat="1" ht="13.95" customHeight="1">
      <c r="A215" s="421" t="str">
        <f>未审报表!A215</f>
        <v xml:space="preserve">              汇兑净损失（净收益以“－”号填列）</v>
      </c>
      <c r="B215" s="201">
        <f>未审报表!B215</f>
        <v>24</v>
      </c>
      <c r="C215" s="643">
        <f>TB!I215</f>
        <v>-10234</v>
      </c>
      <c r="D215" s="643">
        <f>'TB(期初)'!I215</f>
        <v>-10000</v>
      </c>
    </row>
    <row r="216" spans="1:4" s="414" customFormat="1" ht="13.95" customHeight="1">
      <c r="A216" s="421" t="str">
        <f>未审报表!A216</f>
        <v xml:space="preserve">      其他</v>
      </c>
      <c r="B216" s="201">
        <f>未审报表!B216</f>
        <v>25</v>
      </c>
      <c r="C216" s="643">
        <f>TB!I216</f>
        <v>0</v>
      </c>
      <c r="D216" s="643">
        <f>'TB(期初)'!I216</f>
        <v>0</v>
      </c>
    </row>
    <row r="217" spans="1:4" s="414" customFormat="1" ht="13.95" customHeight="1">
      <c r="A217" s="421" t="str">
        <f>未审报表!A217</f>
        <v xml:space="preserve">    加：其他收益</v>
      </c>
      <c r="B217" s="201">
        <f>未审报表!B217</f>
        <v>26</v>
      </c>
      <c r="C217" s="643">
        <f>TB!I217</f>
        <v>0</v>
      </c>
      <c r="D217" s="643">
        <f>'TB(期初)'!I217</f>
        <v>0</v>
      </c>
    </row>
    <row r="218" spans="1:4" s="414" customFormat="1" ht="13.95" customHeight="1">
      <c r="A218" s="421" t="str">
        <f>未审报表!A218</f>
        <v xml:space="preserve">        投资收益（损失以“－”号填列）</v>
      </c>
      <c r="B218" s="201">
        <f>未审报表!B218</f>
        <v>27</v>
      </c>
      <c r="C218" s="643">
        <f>TB!I218</f>
        <v>23067226.620000001</v>
      </c>
      <c r="D218" s="643">
        <f>'TB(期初)'!I218</f>
        <v>10512385.210000001</v>
      </c>
    </row>
    <row r="219" spans="1:4" s="414" customFormat="1" ht="13.95" customHeight="1">
      <c r="A219" s="421" t="str">
        <f>未审报表!A219</f>
        <v xml:space="preserve">        其中：对联营企业和合营企业的投资收益</v>
      </c>
      <c r="B219" s="201">
        <f>未审报表!B219</f>
        <v>28</v>
      </c>
      <c r="C219" s="643">
        <f>TB!I219</f>
        <v>23067226.620000001</v>
      </c>
      <c r="D219" s="643">
        <f>'TB(期初)'!I219</f>
        <v>0</v>
      </c>
    </row>
    <row r="220" spans="1:4" s="414" customFormat="1" ht="13.95" customHeight="1">
      <c r="A220" s="421" t="str">
        <f>未审报表!A220</f>
        <v xml:space="preserve">              以摊余成本计量的金融资产终止确认收益（损失以“-”号填列）</v>
      </c>
      <c r="B220" s="201">
        <f>未审报表!B220</f>
        <v>29</v>
      </c>
      <c r="C220" s="643">
        <f>TB!I220</f>
        <v>0</v>
      </c>
      <c r="D220" s="643">
        <f>'TB(期初)'!I220</f>
        <v>0</v>
      </c>
    </row>
    <row r="221" spans="1:4" s="414" customFormat="1" ht="13.95" customHeight="1">
      <c r="A221" s="421" t="str">
        <f>未审报表!A221</f>
        <v xml:space="preserve">        汇兑收益（损失以“-”号填列）*</v>
      </c>
      <c r="B221" s="201">
        <f>未审报表!B221</f>
        <v>30</v>
      </c>
      <c r="C221" s="643">
        <f>TB!I221</f>
        <v>0</v>
      </c>
      <c r="D221" s="643">
        <f>'TB(期初)'!I221</f>
        <v>0</v>
      </c>
    </row>
    <row r="222" spans="1:4" s="414" customFormat="1" ht="13.95" customHeight="1">
      <c r="A222" s="421" t="str">
        <f>未审报表!A222</f>
        <v xml:space="preserve">        净敞口套期收益（损失以“-”号填列）</v>
      </c>
      <c r="B222" s="201">
        <f>未审报表!B222</f>
        <v>31</v>
      </c>
      <c r="C222" s="643">
        <f>TB!I222</f>
        <v>0</v>
      </c>
      <c r="D222" s="643">
        <f>'TB(期初)'!I222</f>
        <v>0</v>
      </c>
    </row>
    <row r="223" spans="1:4" s="414" customFormat="1" ht="13.95" customHeight="1">
      <c r="A223" s="421" t="str">
        <f>未审报表!A223</f>
        <v xml:space="preserve">        公允价值变动收益（损失以“－”号填列）</v>
      </c>
      <c r="B223" s="201">
        <f>未审报表!B223</f>
        <v>32</v>
      </c>
      <c r="C223" s="643">
        <f>TB!I223</f>
        <v>0</v>
      </c>
      <c r="D223" s="643">
        <f>'TB(期初)'!I223</f>
        <v>0</v>
      </c>
    </row>
    <row r="224" spans="1:4" s="414" customFormat="1" ht="13.95" customHeight="1">
      <c r="A224" s="421" t="str">
        <f>未审报表!A224</f>
        <v xml:space="preserve">        信用减值损失（损失以“-”号填列）</v>
      </c>
      <c r="B224" s="201">
        <f>未审报表!B224</f>
        <v>33</v>
      </c>
      <c r="C224" s="643">
        <f>TB!I224</f>
        <v>-300515.00999999995</v>
      </c>
      <c r="D224" s="643">
        <f>'TB(期初)'!I224</f>
        <v>1724647.26</v>
      </c>
    </row>
    <row r="225" spans="1:6" s="414" customFormat="1" ht="13.95" customHeight="1">
      <c r="A225" s="421" t="str">
        <f>未审报表!A225</f>
        <v xml:space="preserve">        资产减值损失（损失以“-”号填列）</v>
      </c>
      <c r="B225" s="201">
        <f>未审报表!B225</f>
        <v>34</v>
      </c>
      <c r="C225" s="643">
        <f>TB!I225</f>
        <v>0</v>
      </c>
      <c r="D225" s="643">
        <f>'TB(期初)'!I225</f>
        <v>0</v>
      </c>
    </row>
    <row r="226" spans="1:6" s="414" customFormat="1" ht="13.95" customHeight="1">
      <c r="A226" s="421" t="str">
        <f>未审报表!A226</f>
        <v xml:space="preserve">        资产处置收益（损失以“-”号填列）</v>
      </c>
      <c r="B226" s="201">
        <f>未审报表!B226</f>
        <v>35</v>
      </c>
      <c r="C226" s="643">
        <f>TB!I226</f>
        <v>0</v>
      </c>
      <c r="D226" s="643">
        <f>'TB(期初)'!I226</f>
        <v>0</v>
      </c>
    </row>
    <row r="227" spans="1:6" s="414" customFormat="1" ht="13.95" customHeight="1">
      <c r="A227" s="644" t="str">
        <f>未审报表!A227</f>
        <v>二、营业利润（亏损以“－”号填列）</v>
      </c>
      <c r="B227" s="645">
        <f>未审报表!B227</f>
        <v>36</v>
      </c>
      <c r="C227" s="637">
        <f>C192-C198+C217+C218+SUM(C221:C226)</f>
        <v>33605687.039999999</v>
      </c>
      <c r="D227" s="637">
        <f>D192-D198+D217+D218+SUM(D221:D226)</f>
        <v>24790875.300000001</v>
      </c>
    </row>
    <row r="228" spans="1:6" s="414" customFormat="1" ht="13.95" customHeight="1">
      <c r="A228" s="421" t="str">
        <f>未审报表!A228</f>
        <v xml:space="preserve">    加：营业外收入</v>
      </c>
      <c r="B228" s="201">
        <f>未审报表!B228</f>
        <v>37</v>
      </c>
      <c r="C228" s="643">
        <f>TB!I228</f>
        <v>3000</v>
      </c>
      <c r="D228" s="643">
        <f>'TB(期初)'!I228</f>
        <v>0</v>
      </c>
    </row>
    <row r="229" spans="1:6" s="414" customFormat="1" ht="13.95" customHeight="1">
      <c r="A229" s="421" t="str">
        <f>未审报表!A229</f>
        <v xml:space="preserve">                 其中：政府补助</v>
      </c>
      <c r="B229" s="201">
        <f>未审报表!B229</f>
        <v>38</v>
      </c>
      <c r="C229" s="643">
        <f>TB!I229</f>
        <v>1000</v>
      </c>
      <c r="D229" s="643">
        <f>'TB(期初)'!I229</f>
        <v>0</v>
      </c>
    </row>
    <row r="230" spans="1:6" s="414" customFormat="1" ht="13.95" customHeight="1">
      <c r="A230" s="421" t="str">
        <f>未审报表!A230</f>
        <v xml:space="preserve">    减：营业外支出</v>
      </c>
      <c r="B230" s="201">
        <f>未审报表!B230</f>
        <v>39</v>
      </c>
      <c r="C230" s="643">
        <f>TB!I230</f>
        <v>0</v>
      </c>
      <c r="D230" s="643">
        <f>'TB(期初)'!I230</f>
        <v>0</v>
      </c>
    </row>
    <row r="231" spans="1:6" s="414" customFormat="1" ht="13.95" customHeight="1">
      <c r="A231" s="644" t="str">
        <f>未审报表!A231</f>
        <v>三、利润总额（亏损总额以“－”号填列）</v>
      </c>
      <c r="B231" s="645">
        <f>未审报表!B231</f>
        <v>40</v>
      </c>
      <c r="C231" s="637">
        <f>C227+C228-C230</f>
        <v>33608687.039999999</v>
      </c>
      <c r="D231" s="637">
        <f>D227+D228-D230</f>
        <v>24790875.300000001</v>
      </c>
    </row>
    <row r="232" spans="1:6" s="414" customFormat="1" ht="13.95" customHeight="1">
      <c r="A232" s="421" t="str">
        <f>未审报表!A232</f>
        <v xml:space="preserve">    减：所得税费用</v>
      </c>
      <c r="B232" s="201">
        <f>未审报表!B232</f>
        <v>41</v>
      </c>
      <c r="C232" s="643">
        <f>TB!I232</f>
        <v>1431327.9300000002</v>
      </c>
      <c r="D232" s="643">
        <f>'TB(期初)'!I232</f>
        <v>3569622.5200000005</v>
      </c>
    </row>
    <row r="233" spans="1:6" s="414" customFormat="1" ht="13.95" customHeight="1">
      <c r="A233" s="644" t="str">
        <f>未审报表!A233</f>
        <v>四、净利润（净亏损以“－”号填列）</v>
      </c>
      <c r="B233" s="645">
        <f>未审报表!B233</f>
        <v>42</v>
      </c>
      <c r="C233" s="637">
        <f>C231-C232</f>
        <v>32177359.109999999</v>
      </c>
      <c r="D233" s="637">
        <f>D231-D232</f>
        <v>21221252.780000001</v>
      </c>
      <c r="F233" s="767"/>
    </row>
    <row r="234" spans="1:6" s="414" customFormat="1" ht="13.95" customHeight="1">
      <c r="A234" s="421" t="str">
        <f>未审报表!A234</f>
        <v>同一控制下企业合并的被合并方在合并前实现的净利润</v>
      </c>
      <c r="B234" s="201">
        <f>未审报表!B234</f>
        <v>43</v>
      </c>
      <c r="C234" s="643">
        <f>TB!I234</f>
        <v>0</v>
      </c>
      <c r="D234" s="643">
        <f>'TB(期初)'!I232</f>
        <v>3569622.5200000005</v>
      </c>
    </row>
    <row r="235" spans="1:6" s="414" customFormat="1" ht="13.95" customHeight="1">
      <c r="A235" s="421" t="str">
        <f>未审报表!A235</f>
        <v xml:space="preserve"> （一）按经营持续性分类</v>
      </c>
      <c r="B235" s="201">
        <f>未审报表!B235</f>
        <v>44</v>
      </c>
      <c r="C235" s="423"/>
      <c r="D235" s="423"/>
    </row>
    <row r="236" spans="1:6" s="414" customFormat="1" ht="13.95" customHeight="1">
      <c r="A236" s="421" t="str">
        <f>未审报表!A236</f>
        <v xml:space="preserve">     其中：持续经营净利润（净亏损以“-”号填列）</v>
      </c>
      <c r="B236" s="201">
        <f>未审报表!B236</f>
        <v>45</v>
      </c>
      <c r="C236" s="643">
        <f>TB!I236</f>
        <v>32167359.109999999</v>
      </c>
      <c r="D236" s="643">
        <f>'TB(期初)'!I236</f>
        <v>21211252.779999997</v>
      </c>
    </row>
    <row r="237" spans="1:6" s="414" customFormat="1" ht="13.95" customHeight="1">
      <c r="A237" s="421" t="str">
        <f>未审报表!A237</f>
        <v xml:space="preserve">                 终止经营净利润（净亏损以“-”号填列）</v>
      </c>
      <c r="B237" s="201">
        <f>未审报表!B237</f>
        <v>46</v>
      </c>
      <c r="C237" s="643">
        <f>TB!I237</f>
        <v>10000</v>
      </c>
      <c r="D237" s="643">
        <f>'TB(期初)'!I237</f>
        <v>10000</v>
      </c>
    </row>
    <row r="238" spans="1:6" s="414" customFormat="1" ht="13.95" customHeight="1">
      <c r="A238" s="421" t="str">
        <f>未审报表!A238</f>
        <v xml:space="preserve"> （二）按所有权归属分类</v>
      </c>
      <c r="B238" s="201">
        <f>未审报表!B238</f>
        <v>47</v>
      </c>
      <c r="C238" s="423"/>
      <c r="D238" s="423"/>
    </row>
    <row r="239" spans="1:6" s="414" customFormat="1" ht="13.95" customHeight="1">
      <c r="A239" s="421" t="str">
        <f>未审报表!A239</f>
        <v xml:space="preserve">     其中：归属于母公司所有者（或股东）的净利润（净亏损以“-”号填列）</v>
      </c>
      <c r="B239" s="201">
        <f>未审报表!B239</f>
        <v>48</v>
      </c>
      <c r="C239" s="643">
        <f>TB!I239</f>
        <v>32177359.109999999</v>
      </c>
      <c r="D239" s="643">
        <f>'TB(期初)'!I239</f>
        <v>21221252.779999997</v>
      </c>
    </row>
    <row r="240" spans="1:6" s="414" customFormat="1" ht="13.95" customHeight="1">
      <c r="A240" s="421" t="str">
        <f>未审报表!A240</f>
        <v xml:space="preserve">                 少数股东损益（净亏损以“-”号填列）</v>
      </c>
      <c r="B240" s="201">
        <f>未审报表!B240</f>
        <v>49</v>
      </c>
      <c r="C240" s="643">
        <f>TB!I240</f>
        <v>0</v>
      </c>
      <c r="D240" s="643">
        <f>'TB(期初)'!I240</f>
        <v>0</v>
      </c>
    </row>
    <row r="241" spans="1:4" s="414" customFormat="1" ht="13.95" customHeight="1">
      <c r="A241" s="644" t="str">
        <f>未审报表!A241</f>
        <v>五、其他综合收益的税后净额</v>
      </c>
      <c r="B241" s="645">
        <f>未审报表!B241</f>
        <v>50</v>
      </c>
      <c r="C241" s="637">
        <f>C242+C259</f>
        <v>0</v>
      </c>
      <c r="D241" s="637">
        <f>D242+D259</f>
        <v>0</v>
      </c>
    </row>
    <row r="242" spans="1:4" s="414" customFormat="1" ht="13.95" customHeight="1">
      <c r="A242" s="421" t="str">
        <f>未审报表!A242</f>
        <v>归属于母公司所有者（或股东）的其他综合收益的税后净额</v>
      </c>
      <c r="B242" s="201">
        <f>未审报表!B242</f>
        <v>51</v>
      </c>
      <c r="C242" s="614">
        <f>C243+C249</f>
        <v>0</v>
      </c>
      <c r="D242" s="614">
        <f>D243+D249</f>
        <v>0</v>
      </c>
    </row>
    <row r="243" spans="1:4" s="414" customFormat="1" ht="13.95" customHeight="1">
      <c r="A243" s="421" t="str">
        <f>未审报表!A243</f>
        <v xml:space="preserve">  （一）不能重分类进损益的其他综合收益</v>
      </c>
      <c r="B243" s="201">
        <f>未审报表!B243</f>
        <v>52</v>
      </c>
      <c r="C243" s="643">
        <f>TB!I243</f>
        <v>0</v>
      </c>
      <c r="D243" s="643">
        <f>'TB(期初)'!I243</f>
        <v>0</v>
      </c>
    </row>
    <row r="244" spans="1:4" s="414" customFormat="1" ht="13.95" customHeight="1">
      <c r="A244" s="421" t="str">
        <f>未审报表!A244</f>
        <v>1.重新计量设定受益计划变动额</v>
      </c>
      <c r="B244" s="201">
        <f>未审报表!B244</f>
        <v>53</v>
      </c>
      <c r="C244" s="643">
        <f>TB!I244</f>
        <v>0</v>
      </c>
      <c r="D244" s="643">
        <f>'TB(期初)'!I244</f>
        <v>0</v>
      </c>
    </row>
    <row r="245" spans="1:4" s="414" customFormat="1" ht="13.95" customHeight="1">
      <c r="A245" s="421" t="str">
        <f>未审报表!A245</f>
        <v>2.权益法下不能转损益的其他综合收益</v>
      </c>
      <c r="B245" s="201">
        <f>未审报表!B245</f>
        <v>54</v>
      </c>
      <c r="C245" s="643">
        <f>TB!I245</f>
        <v>0</v>
      </c>
      <c r="D245" s="643">
        <f>'TB(期初)'!I245</f>
        <v>0</v>
      </c>
    </row>
    <row r="246" spans="1:4" s="414" customFormat="1" ht="13.95" customHeight="1">
      <c r="A246" s="421" t="str">
        <f>未审报表!A246</f>
        <v xml:space="preserve">3.其他权益工具投资公允价值变动 </v>
      </c>
      <c r="B246" s="201">
        <f>未审报表!B246</f>
        <v>55</v>
      </c>
      <c r="C246" s="643">
        <f>TB!I246</f>
        <v>0</v>
      </c>
      <c r="D246" s="643">
        <f>'TB(期初)'!I246</f>
        <v>0</v>
      </c>
    </row>
    <row r="247" spans="1:4" s="414" customFormat="1" ht="13.95" customHeight="1">
      <c r="A247" s="421" t="str">
        <f>未审报表!A247</f>
        <v xml:space="preserve">4.企业自身信用风险公允价值变动 </v>
      </c>
      <c r="B247" s="201">
        <f>未审报表!B247</f>
        <v>56</v>
      </c>
      <c r="C247" s="643">
        <f>TB!I247</f>
        <v>0</v>
      </c>
      <c r="D247" s="643">
        <f>'TB(期初)'!I247</f>
        <v>0</v>
      </c>
    </row>
    <row r="248" spans="1:4" s="414" customFormat="1" ht="13.95" customHeight="1">
      <c r="A248" s="421" t="str">
        <f>未审报表!A248</f>
        <v>5.其他</v>
      </c>
      <c r="B248" s="201">
        <f>未审报表!B248</f>
        <v>57</v>
      </c>
      <c r="C248" s="643">
        <f>TB!I248</f>
        <v>0</v>
      </c>
      <c r="D248" s="643">
        <f>'TB(期初)'!I248</f>
        <v>0</v>
      </c>
    </row>
    <row r="249" spans="1:4" s="414" customFormat="1" ht="13.95" customHeight="1">
      <c r="A249" s="421" t="str">
        <f>未审报表!A249</f>
        <v xml:space="preserve">  （二）将重分类进损益的其他综合收益</v>
      </c>
      <c r="B249" s="201">
        <f>未审报表!B249</f>
        <v>58</v>
      </c>
      <c r="C249" s="643">
        <f>TB!I249</f>
        <v>0</v>
      </c>
      <c r="D249" s="643">
        <f>'TB(期初)'!I249</f>
        <v>0</v>
      </c>
    </row>
    <row r="250" spans="1:4" s="414" customFormat="1" ht="13.95" customHeight="1">
      <c r="A250" s="421" t="str">
        <f>未审报表!A250</f>
        <v>1.权益法下可转损益的其他综合收益</v>
      </c>
      <c r="B250" s="201">
        <f>未审报表!B250</f>
        <v>59</v>
      </c>
      <c r="C250" s="643">
        <f>TB!I250</f>
        <v>0</v>
      </c>
      <c r="D250" s="643">
        <f>'TB(期初)'!I250</f>
        <v>0</v>
      </c>
    </row>
    <row r="251" spans="1:4" s="414" customFormat="1" ht="13.95" customHeight="1">
      <c r="A251" s="421" t="str">
        <f>未审报表!A251</f>
        <v xml:space="preserve">2.其他债权投资公允价值变动 </v>
      </c>
      <c r="B251" s="201">
        <f>未审报表!B251</f>
        <v>60</v>
      </c>
      <c r="C251" s="643">
        <f>TB!I251</f>
        <v>0</v>
      </c>
      <c r="D251" s="643">
        <f>'TB(期初)'!I251</f>
        <v>0</v>
      </c>
    </row>
    <row r="252" spans="1:4" s="414" customFormat="1" ht="13.95" customHeight="1">
      <c r="A252" s="421" t="str">
        <f>未审报表!A252</f>
        <v xml:space="preserve">3.金融资产重分类计入其他综合收益的金额 </v>
      </c>
      <c r="B252" s="201">
        <f>未审报表!B252</f>
        <v>61</v>
      </c>
      <c r="C252" s="643">
        <f>TB!I252</f>
        <v>0</v>
      </c>
      <c r="D252" s="643">
        <f>'TB(期初)'!I252</f>
        <v>0</v>
      </c>
    </row>
    <row r="253" spans="1:4" s="414" customFormat="1" ht="13.95" customHeight="1">
      <c r="A253" s="421" t="str">
        <f>未审报表!A253</f>
        <v>4.其他债权投资信用减值准备</v>
      </c>
      <c r="B253" s="201">
        <f>未审报表!B253</f>
        <v>62</v>
      </c>
      <c r="C253" s="643">
        <f>TB!I253</f>
        <v>0</v>
      </c>
      <c r="D253" s="643">
        <f>'TB(期初)'!I253</f>
        <v>0</v>
      </c>
    </row>
    <row r="254" spans="1:4" s="414" customFormat="1" ht="13.95" customHeight="1">
      <c r="A254" s="421" t="str">
        <f>未审报表!A254</f>
        <v>5.现金流量套期储备</v>
      </c>
      <c r="B254" s="201">
        <f>未审报表!B254</f>
        <v>63</v>
      </c>
      <c r="C254" s="643">
        <f>TB!I254</f>
        <v>0</v>
      </c>
      <c r="D254" s="643">
        <f>'TB(期初)'!I254</f>
        <v>0</v>
      </c>
    </row>
    <row r="255" spans="1:4" s="414" customFormat="1" ht="13.95" customHeight="1">
      <c r="A255" s="421" t="str">
        <f>未审报表!A255</f>
        <v>6.外币财务报表折算差额</v>
      </c>
      <c r="B255" s="201">
        <f>未审报表!B255</f>
        <v>64</v>
      </c>
      <c r="C255" s="643">
        <f>TB!I255</f>
        <v>0</v>
      </c>
      <c r="D255" s="643">
        <f>'TB(期初)'!I255</f>
        <v>0</v>
      </c>
    </row>
    <row r="256" spans="1:4" s="414" customFormat="1" ht="13.95" customHeight="1">
      <c r="A256" s="421" t="str">
        <f>未审报表!A256</f>
        <v>7.自用房地产或作为存货的房地产转换为以公允价值计量的投资性房地产在转换日公允价值大于账面价值部分</v>
      </c>
      <c r="B256" s="201">
        <f>未审报表!B256</f>
        <v>65</v>
      </c>
      <c r="C256" s="643">
        <f>TB!I256</f>
        <v>0</v>
      </c>
      <c r="D256" s="643">
        <f>'TB(期初)'!I256</f>
        <v>0</v>
      </c>
    </row>
    <row r="257" spans="1:4" s="414" customFormat="1" ht="13.95" customHeight="1">
      <c r="A257" s="421" t="str">
        <f>未审报表!A257</f>
        <v>8.多次交易分步处置子公司股权构成一揽子交易的，丧失控制权之前各次交易处置价款与对应净资产账面价值份额的差额</v>
      </c>
      <c r="B257" s="201">
        <f>未审报表!B257</f>
        <v>66</v>
      </c>
      <c r="C257" s="643">
        <f>TB!I257</f>
        <v>0</v>
      </c>
      <c r="D257" s="643">
        <f>'TB(期初)'!I257</f>
        <v>0</v>
      </c>
    </row>
    <row r="258" spans="1:4" s="414" customFormat="1" ht="13.95" customHeight="1">
      <c r="A258" s="421" t="str">
        <f>未审报表!A258</f>
        <v>9.其他</v>
      </c>
      <c r="B258" s="201">
        <f>未审报表!B258</f>
        <v>67</v>
      </c>
      <c r="C258" s="643">
        <f>TB!I258</f>
        <v>0</v>
      </c>
      <c r="D258" s="643">
        <f>'TB(期初)'!I258</f>
        <v>0</v>
      </c>
    </row>
    <row r="259" spans="1:4" s="414" customFormat="1" ht="13.95" customHeight="1">
      <c r="A259" s="421" t="str">
        <f>未审报表!A259</f>
        <v>归属于少数股东的其他综合收益的税后净额</v>
      </c>
      <c r="B259" s="201">
        <f>未审报表!B259</f>
        <v>68</v>
      </c>
      <c r="C259" s="643">
        <f>TB!I259</f>
        <v>0</v>
      </c>
      <c r="D259" s="643">
        <f>'TB(期初)'!I259</f>
        <v>0</v>
      </c>
    </row>
    <row r="260" spans="1:4" s="414" customFormat="1" ht="13.95" customHeight="1">
      <c r="A260" s="644" t="str">
        <f>未审报表!A260</f>
        <v>六、综合收益总额</v>
      </c>
      <c r="B260" s="645">
        <f>未审报表!B260</f>
        <v>69</v>
      </c>
      <c r="C260" s="637">
        <f>C233+C241</f>
        <v>32177359.109999999</v>
      </c>
      <c r="D260" s="637">
        <f>D233+D241</f>
        <v>21221252.780000001</v>
      </c>
    </row>
    <row r="261" spans="1:4" s="414" customFormat="1" ht="13.95" customHeight="1">
      <c r="A261" s="421" t="str">
        <f>未审报表!A261</f>
        <v xml:space="preserve">     归属于母公司所有者（或股东）的综合收益总额</v>
      </c>
      <c r="B261" s="201">
        <f>未审报表!B261</f>
        <v>70</v>
      </c>
      <c r="C261" s="614">
        <f>C242+C239</f>
        <v>32177359.109999999</v>
      </c>
      <c r="D261" s="614">
        <f>D242+D239</f>
        <v>21221252.779999997</v>
      </c>
    </row>
    <row r="262" spans="1:4" s="414" customFormat="1" ht="13.95" customHeight="1">
      <c r="A262" s="421" t="str">
        <f>未审报表!A262</f>
        <v xml:space="preserve">     归属于少数股东的综合收益总额</v>
      </c>
      <c r="B262" s="201">
        <f>未审报表!B262</f>
        <v>71</v>
      </c>
      <c r="C262" s="614">
        <f>C259+C240</f>
        <v>0</v>
      </c>
      <c r="D262" s="614">
        <f>D259+D240</f>
        <v>0</v>
      </c>
    </row>
    <row r="263" spans="1:4" s="414" customFormat="1" ht="13.95" customHeight="1">
      <c r="A263" s="644" t="str">
        <f>未审报表!A263</f>
        <v>七、每股收益</v>
      </c>
      <c r="B263" s="645">
        <f>未审报表!B263</f>
        <v>72</v>
      </c>
      <c r="C263" s="432"/>
      <c r="D263" s="432"/>
    </row>
    <row r="264" spans="1:4" s="414" customFormat="1" ht="13.95" customHeight="1">
      <c r="A264" s="421" t="str">
        <f>未审报表!A264</f>
        <v xml:space="preserve">   （一）基本每股收益</v>
      </c>
      <c r="B264" s="201">
        <f>未审报表!B264</f>
        <v>73</v>
      </c>
      <c r="C264" s="643">
        <f>TB!I264</f>
        <v>0</v>
      </c>
      <c r="D264" s="643">
        <f>'TB(期初)'!I264</f>
        <v>0</v>
      </c>
    </row>
    <row r="265" spans="1:4" s="414" customFormat="1" ht="13.95" customHeight="1">
      <c r="A265" s="421" t="str">
        <f>未审报表!A265</f>
        <v xml:space="preserve">   （二）稀释每股收益</v>
      </c>
      <c r="B265" s="201">
        <f>未审报表!B265</f>
        <v>74</v>
      </c>
      <c r="C265" s="643">
        <f>TB!I265</f>
        <v>0</v>
      </c>
      <c r="D265" s="643">
        <f>'TB(期初)'!I265</f>
        <v>0</v>
      </c>
    </row>
    <row r="266" spans="1:4" s="414" customFormat="1" ht="13.95" customHeight="1">
      <c r="A266" s="421" t="str">
        <f>未审报表!A266</f>
        <v>加：年初未分配利润</v>
      </c>
      <c r="B266" s="201">
        <f>未审报表!B266</f>
        <v>75</v>
      </c>
      <c r="C266" s="643">
        <f>TB!I266</f>
        <v>8163964.6899999976</v>
      </c>
      <c r="D266" s="643">
        <f>'TB(期初)'!I266</f>
        <v>2588996.5500000003</v>
      </c>
    </row>
    <row r="267" spans="1:4" s="414" customFormat="1" ht="13.95" customHeight="1">
      <c r="A267" s="644" t="str">
        <f>未审报表!A267</f>
        <v>八、可供分配利润</v>
      </c>
      <c r="B267" s="645">
        <f>未审报表!B267</f>
        <v>76</v>
      </c>
      <c r="C267" s="773">
        <f>TB!I267</f>
        <v>40341323.799999997</v>
      </c>
      <c r="D267" s="643">
        <f>'TB(期初)'!I267</f>
        <v>23810249.329999998</v>
      </c>
    </row>
    <row r="268" spans="1:4" s="414" customFormat="1" ht="13.95" customHeight="1">
      <c r="A268" s="421" t="str">
        <f>未审报表!A268</f>
        <v xml:space="preserve">    1、提取法定盈余公积</v>
      </c>
      <c r="B268" s="201">
        <f>未审报表!B268</f>
        <v>77</v>
      </c>
      <c r="C268" s="643">
        <f>TB!I268</f>
        <v>3217735.91</v>
      </c>
      <c r="D268" s="643">
        <f>'TB(期初)'!I268</f>
        <v>907107.19</v>
      </c>
    </row>
    <row r="269" spans="1:4" s="414" customFormat="1" ht="13.95" customHeight="1">
      <c r="A269" s="421" t="str">
        <f>未审报表!A269</f>
        <v xml:space="preserve">    2、提取一般风险准备</v>
      </c>
      <c r="B269" s="201">
        <f>未审报表!B269</f>
        <v>78</v>
      </c>
      <c r="C269" s="643">
        <f>TB!I269</f>
        <v>0</v>
      </c>
      <c r="D269" s="643">
        <f>'TB(期初)'!I269</f>
        <v>0</v>
      </c>
    </row>
    <row r="270" spans="1:4" s="414" customFormat="1" ht="13.95" customHeight="1">
      <c r="A270" s="421" t="str">
        <f>未审报表!A270</f>
        <v xml:space="preserve">    3、提取其他</v>
      </c>
      <c r="B270" s="201">
        <f>未审报表!B270</f>
        <v>79</v>
      </c>
      <c r="C270" s="643">
        <f>TB!I270</f>
        <v>0</v>
      </c>
      <c r="D270" s="643">
        <f>'TB(期初)'!I270</f>
        <v>0</v>
      </c>
    </row>
    <row r="271" spans="1:4" s="414" customFormat="1" ht="13.95" customHeight="1">
      <c r="A271" s="644" t="str">
        <f>未审报表!A271</f>
        <v>九、可供投资者分配的利润</v>
      </c>
      <c r="B271" s="645">
        <f>未审报表!B271</f>
        <v>80</v>
      </c>
      <c r="C271" s="773">
        <f>TB!I271</f>
        <v>37123587.890000001</v>
      </c>
      <c r="D271" s="773">
        <f>'TB(期初)'!I271</f>
        <v>22903142.139999997</v>
      </c>
    </row>
    <row r="272" spans="1:4" s="414" customFormat="1" ht="13.95" customHeight="1">
      <c r="A272" s="421" t="str">
        <f>未审报表!A272</f>
        <v xml:space="preserve">    1、应付优先股股利</v>
      </c>
      <c r="B272" s="201">
        <f>未审报表!B272</f>
        <v>81</v>
      </c>
      <c r="C272" s="643">
        <f>TB!I272</f>
        <v>0</v>
      </c>
      <c r="D272" s="643">
        <f>'TB(期初)'!I272</f>
        <v>0</v>
      </c>
    </row>
    <row r="273" spans="1:4" s="414" customFormat="1" ht="13.95" customHeight="1">
      <c r="A273" s="421" t="str">
        <f>未审报表!A273</f>
        <v xml:space="preserve">    2、提取任意盈余公积</v>
      </c>
      <c r="B273" s="201">
        <f>未审报表!B273</f>
        <v>82</v>
      </c>
      <c r="C273" s="643">
        <f>TB!I273</f>
        <v>0</v>
      </c>
      <c r="D273" s="643">
        <f>'TB(期初)'!I273</f>
        <v>0</v>
      </c>
    </row>
    <row r="274" spans="1:4" s="414" customFormat="1" ht="13.95" customHeight="1">
      <c r="A274" s="421" t="str">
        <f>未审报表!A274</f>
        <v xml:space="preserve">    3、应付普通股股利（应付利润）</v>
      </c>
      <c r="B274" s="201">
        <f>未审报表!B274</f>
        <v>83</v>
      </c>
      <c r="C274" s="643">
        <f>TB!I274</f>
        <v>0</v>
      </c>
      <c r="D274" s="643">
        <f>'TB(期初)'!I274</f>
        <v>13971670.6</v>
      </c>
    </row>
    <row r="275" spans="1:4" s="414" customFormat="1" ht="13.95" customHeight="1">
      <c r="A275" s="421" t="str">
        <f>未审报表!A275</f>
        <v xml:space="preserve">    4、转作资本（或股本）的普通股股利</v>
      </c>
      <c r="B275" s="201">
        <f>未审报表!B275</f>
        <v>84</v>
      </c>
      <c r="C275" s="643">
        <f>TB!I275</f>
        <v>0</v>
      </c>
      <c r="D275" s="643">
        <f>'TB(期初)'!I275</f>
        <v>767506.85</v>
      </c>
    </row>
    <row r="276" spans="1:4" s="414" customFormat="1" ht="13.95" customHeight="1">
      <c r="A276" s="421" t="str">
        <f>未审报表!A276</f>
        <v xml:space="preserve">    5、其他</v>
      </c>
      <c r="B276" s="201">
        <f>未审报表!B276</f>
        <v>85</v>
      </c>
      <c r="C276" s="643">
        <f>TB!I276</f>
        <v>0</v>
      </c>
      <c r="D276" s="643">
        <f>'TB(期初)'!I276</f>
        <v>0</v>
      </c>
    </row>
    <row r="277" spans="1:4" s="414" customFormat="1" ht="13.95" customHeight="1">
      <c r="A277" s="650" t="str">
        <f>未审报表!A277</f>
        <v>十、未分配利润</v>
      </c>
      <c r="B277" s="651">
        <f>未审报表!B277</f>
        <v>86</v>
      </c>
      <c r="C277" s="652">
        <f>C271-C272-C273-C274-C275-C276</f>
        <v>37123587.890000001</v>
      </c>
      <c r="D277" s="652">
        <f>D271-D272-D273-D274-D275-D276</f>
        <v>8163964.6899999976</v>
      </c>
    </row>
    <row r="278" spans="1:4" s="414" customFormat="1" ht="13.95" customHeight="1">
      <c r="A278" s="768" t="str">
        <f>未审报表!A278</f>
        <v>现  金  流  量  表</v>
      </c>
      <c r="B278" s="769" t="str">
        <f>未审报表!B278</f>
        <v>行次</v>
      </c>
      <c r="C278" s="770" t="str">
        <f>参数!D10</f>
        <v>2022年度</v>
      </c>
      <c r="D278" s="770" t="str">
        <f>参数!D9</f>
        <v>2021年度</v>
      </c>
    </row>
    <row r="279" spans="1:4" s="414" customFormat="1" ht="13.95" customHeight="1">
      <c r="A279" s="644" t="str">
        <f>未审报表!A279</f>
        <v>一、经营活动产生的现金流量</v>
      </c>
      <c r="B279" s="645">
        <f>未审报表!B279</f>
        <v>1</v>
      </c>
      <c r="C279" s="432"/>
      <c r="D279" s="432"/>
    </row>
    <row r="280" spans="1:4" s="414" customFormat="1" ht="13.95" customHeight="1">
      <c r="A280" s="421" t="str">
        <f>未审报表!A280</f>
        <v xml:space="preserve">     销售商品、提供劳务收到的现金</v>
      </c>
      <c r="B280" s="201">
        <f>未审报表!B280</f>
        <v>2</v>
      </c>
      <c r="C280" s="643">
        <f>TB!I280</f>
        <v>0</v>
      </c>
      <c r="D280" s="643">
        <f>'TB(期初)'!I280</f>
        <v>0</v>
      </c>
    </row>
    <row r="281" spans="1:4" s="414" customFormat="1" ht="13.95" customHeight="1">
      <c r="A281" s="421" t="str">
        <f>未审报表!A281</f>
        <v xml:space="preserve">    客户存款和同业存放款项净增加额*</v>
      </c>
      <c r="B281" s="201">
        <f>未审报表!B281</f>
        <v>3</v>
      </c>
      <c r="C281" s="643">
        <f>TB!I281</f>
        <v>0</v>
      </c>
      <c r="D281" s="643">
        <f>'TB(期初)'!I281</f>
        <v>0</v>
      </c>
    </row>
    <row r="282" spans="1:4" s="414" customFormat="1" ht="13.95" customHeight="1">
      <c r="A282" s="421" t="str">
        <f>未审报表!A282</f>
        <v xml:space="preserve">     向中央银行借款净增加额*</v>
      </c>
      <c r="B282" s="201">
        <f>未审报表!B282</f>
        <v>4</v>
      </c>
      <c r="C282" s="643">
        <f>TB!I282</f>
        <v>0</v>
      </c>
      <c r="D282" s="643">
        <f>'TB(期初)'!I282</f>
        <v>0</v>
      </c>
    </row>
    <row r="283" spans="1:4" s="414" customFormat="1" ht="13.95" customHeight="1">
      <c r="A283" s="421" t="str">
        <f>未审报表!A283</f>
        <v xml:space="preserve">     向其他金融机构拆入资金净增加额*</v>
      </c>
      <c r="B283" s="201">
        <f>未审报表!B283</f>
        <v>5</v>
      </c>
      <c r="C283" s="643">
        <f>TB!I283</f>
        <v>0</v>
      </c>
      <c r="D283" s="643">
        <f>'TB(期初)'!I283</f>
        <v>0</v>
      </c>
    </row>
    <row r="284" spans="1:4" s="414" customFormat="1" ht="13.95" customHeight="1">
      <c r="A284" s="421" t="str">
        <f>未审报表!A284</f>
        <v xml:space="preserve">     收到原保险合同保费取得的现金*</v>
      </c>
      <c r="B284" s="201">
        <f>未审报表!B284</f>
        <v>6</v>
      </c>
      <c r="C284" s="643">
        <f>TB!I284</f>
        <v>0</v>
      </c>
      <c r="D284" s="643">
        <f>'TB(期初)'!I284</f>
        <v>0</v>
      </c>
    </row>
    <row r="285" spans="1:4" s="414" customFormat="1" ht="13.95" customHeight="1">
      <c r="A285" s="421" t="str">
        <f>未审报表!A285</f>
        <v xml:space="preserve">     收到再保业务现金净额*</v>
      </c>
      <c r="B285" s="201">
        <f>未审报表!B285</f>
        <v>7</v>
      </c>
      <c r="C285" s="643">
        <f>TB!I285</f>
        <v>0</v>
      </c>
      <c r="D285" s="643">
        <f>'TB(期初)'!I285</f>
        <v>0</v>
      </c>
    </row>
    <row r="286" spans="1:4" s="414" customFormat="1" ht="13.95" customHeight="1">
      <c r="A286" s="421" t="str">
        <f>未审报表!A286</f>
        <v xml:space="preserve">     保户储金及投资款净增加额*</v>
      </c>
      <c r="B286" s="201">
        <f>未审报表!B286</f>
        <v>8</v>
      </c>
      <c r="C286" s="643">
        <f>TB!I286</f>
        <v>0</v>
      </c>
      <c r="D286" s="643">
        <f>'TB(期初)'!I286</f>
        <v>0</v>
      </c>
    </row>
    <row r="287" spans="1:4" s="414" customFormat="1" ht="13.95" customHeight="1">
      <c r="A287" s="421" t="str">
        <f>未审报表!A287</f>
        <v xml:space="preserve">     收取利息、手续费及佣金的现金*</v>
      </c>
      <c r="B287" s="201">
        <f>未审报表!B287</f>
        <v>9</v>
      </c>
      <c r="C287" s="643">
        <f>TB!I287</f>
        <v>0</v>
      </c>
      <c r="D287" s="643">
        <f>'TB(期初)'!I287</f>
        <v>0</v>
      </c>
    </row>
    <row r="288" spans="1:4" s="414" customFormat="1" ht="13.95" customHeight="1">
      <c r="A288" s="421" t="str">
        <f>未审报表!A288</f>
        <v xml:space="preserve">     拆入资金净增加额*</v>
      </c>
      <c r="B288" s="201">
        <f>未审报表!B288</f>
        <v>10</v>
      </c>
      <c r="C288" s="643">
        <f>TB!I288</f>
        <v>0</v>
      </c>
      <c r="D288" s="643">
        <f>'TB(期初)'!I288</f>
        <v>0</v>
      </c>
    </row>
    <row r="289" spans="1:4" s="414" customFormat="1" ht="13.95" customHeight="1">
      <c r="A289" s="421" t="str">
        <f>未审报表!A289</f>
        <v xml:space="preserve">     回购业务资金净增加额*</v>
      </c>
      <c r="B289" s="201">
        <f>未审报表!B289</f>
        <v>11</v>
      </c>
      <c r="C289" s="643">
        <f>TB!I289</f>
        <v>0</v>
      </c>
      <c r="D289" s="643">
        <f>'TB(期初)'!I289</f>
        <v>0</v>
      </c>
    </row>
    <row r="290" spans="1:4" s="414" customFormat="1" ht="13.95" customHeight="1">
      <c r="A290" s="421" t="str">
        <f>未审报表!A290</f>
        <v xml:space="preserve">     代理买卖证券收到的现金净额*</v>
      </c>
      <c r="B290" s="201">
        <f>未审报表!B290</f>
        <v>12</v>
      </c>
      <c r="C290" s="643">
        <f>TB!I290</f>
        <v>0</v>
      </c>
      <c r="D290" s="643">
        <f>'TB(期初)'!I290</f>
        <v>0</v>
      </c>
    </row>
    <row r="291" spans="1:4" s="414" customFormat="1" ht="13.95" customHeight="1">
      <c r="A291" s="421" t="str">
        <f>未审报表!A291</f>
        <v xml:space="preserve">     收到的税费返还</v>
      </c>
      <c r="B291" s="201">
        <f>未审报表!B291</f>
        <v>13</v>
      </c>
      <c r="C291" s="643">
        <f>TB!I291</f>
        <v>0</v>
      </c>
      <c r="D291" s="643">
        <f>'TB(期初)'!I291</f>
        <v>0</v>
      </c>
    </row>
    <row r="292" spans="1:4" s="414" customFormat="1" ht="13.95" customHeight="1">
      <c r="A292" s="421" t="str">
        <f>未审报表!A292</f>
        <v xml:space="preserve">     收到的其他与经营活动有关的现金</v>
      </c>
      <c r="B292" s="201">
        <f>未审报表!B292</f>
        <v>14</v>
      </c>
      <c r="C292" s="643">
        <f>TB!I292</f>
        <v>0</v>
      </c>
      <c r="D292" s="643">
        <f>'TB(期初)'!I292</f>
        <v>0</v>
      </c>
    </row>
    <row r="293" spans="1:4" s="414" customFormat="1" ht="13.95" customHeight="1">
      <c r="A293" s="421">
        <f>未审报表!A293</f>
        <v>0</v>
      </c>
      <c r="B293" s="201">
        <f>未审报表!B293</f>
        <v>15</v>
      </c>
      <c r="C293" s="423"/>
      <c r="D293" s="423"/>
    </row>
    <row r="294" spans="1:4" s="414" customFormat="1" ht="13.95" customHeight="1">
      <c r="A294" s="644" t="str">
        <f>未审报表!A294</f>
        <v xml:space="preserve">     经营活动现金流入小计</v>
      </c>
      <c r="B294" s="645">
        <f>未审报表!B294</f>
        <v>16</v>
      </c>
      <c r="C294" s="646">
        <f>SUM(C280:C293)</f>
        <v>0</v>
      </c>
      <c r="D294" s="646">
        <f>SUM(D280:D293)</f>
        <v>0</v>
      </c>
    </row>
    <row r="295" spans="1:4" s="414" customFormat="1" ht="13.95" customHeight="1">
      <c r="A295" s="421" t="str">
        <f>未审报表!A295</f>
        <v xml:space="preserve">     购买商品、接受劳务支付的现金</v>
      </c>
      <c r="B295" s="201">
        <f>未审报表!B295</f>
        <v>17</v>
      </c>
      <c r="C295" s="643">
        <f>TB!I295</f>
        <v>0</v>
      </c>
      <c r="D295" s="643">
        <f>'TB(期初)'!I295</f>
        <v>0</v>
      </c>
    </row>
    <row r="296" spans="1:4" s="414" customFormat="1" ht="13.95" customHeight="1">
      <c r="A296" s="421" t="str">
        <f>未审报表!A296</f>
        <v xml:space="preserve">     客户贷款及垫款净增加额*</v>
      </c>
      <c r="B296" s="201">
        <f>未审报表!B296</f>
        <v>18</v>
      </c>
      <c r="C296" s="643">
        <f>TB!I296</f>
        <v>0</v>
      </c>
      <c r="D296" s="643">
        <f>'TB(期初)'!I296</f>
        <v>0</v>
      </c>
    </row>
    <row r="297" spans="1:4" s="414" customFormat="1" ht="13.95" customHeight="1">
      <c r="A297" s="421" t="str">
        <f>未审报表!A297</f>
        <v xml:space="preserve">     存放中央银行和同业款项净增加额*</v>
      </c>
      <c r="B297" s="201">
        <f>未审报表!B297</f>
        <v>19</v>
      </c>
      <c r="C297" s="643">
        <f>TB!I297</f>
        <v>0</v>
      </c>
      <c r="D297" s="643">
        <f>'TB(期初)'!I297</f>
        <v>0</v>
      </c>
    </row>
    <row r="298" spans="1:4" s="414" customFormat="1" ht="13.95" customHeight="1">
      <c r="A298" s="421" t="str">
        <f>未审报表!A298</f>
        <v xml:space="preserve">     支付原保险合同赔付款项的现金*</v>
      </c>
      <c r="B298" s="201">
        <f>未审报表!B298</f>
        <v>20</v>
      </c>
      <c r="C298" s="643">
        <f>TB!I298</f>
        <v>0</v>
      </c>
      <c r="D298" s="643">
        <f>'TB(期初)'!I298</f>
        <v>0</v>
      </c>
    </row>
    <row r="299" spans="1:4" s="414" customFormat="1" ht="13.95" customHeight="1">
      <c r="A299" s="421" t="str">
        <f>未审报表!A299</f>
        <v xml:space="preserve">     拆出资金净增加额*</v>
      </c>
      <c r="B299" s="201">
        <f>未审报表!B299</f>
        <v>21</v>
      </c>
      <c r="C299" s="643">
        <f>TB!I299</f>
        <v>0</v>
      </c>
      <c r="D299" s="643">
        <f>'TB(期初)'!I299</f>
        <v>0</v>
      </c>
    </row>
    <row r="300" spans="1:4" s="414" customFormat="1" ht="13.95" customHeight="1">
      <c r="A300" s="421" t="str">
        <f>未审报表!A300</f>
        <v xml:space="preserve">     支付利息、手续费及佣金的现金*</v>
      </c>
      <c r="B300" s="201">
        <f>未审报表!B300</f>
        <v>22</v>
      </c>
      <c r="C300" s="643">
        <f>TB!I300</f>
        <v>0</v>
      </c>
      <c r="D300" s="643">
        <f>'TB(期初)'!I300</f>
        <v>0</v>
      </c>
    </row>
    <row r="301" spans="1:4" s="414" customFormat="1" ht="13.95" customHeight="1">
      <c r="A301" s="421" t="str">
        <f>未审报表!A301</f>
        <v xml:space="preserve">     支付保单红利的现金*</v>
      </c>
      <c r="B301" s="201">
        <f>未审报表!B301</f>
        <v>23</v>
      </c>
      <c r="C301" s="643">
        <f>TB!I301</f>
        <v>0</v>
      </c>
      <c r="D301" s="643">
        <f>'TB(期初)'!I301</f>
        <v>0</v>
      </c>
    </row>
    <row r="302" spans="1:4" s="414" customFormat="1" ht="13.95" customHeight="1">
      <c r="A302" s="421" t="str">
        <f>未审报表!A302</f>
        <v xml:space="preserve">     支付给职工以及为职工支付的现金</v>
      </c>
      <c r="B302" s="201">
        <f>未审报表!B302</f>
        <v>24</v>
      </c>
      <c r="C302" s="643">
        <f>TB!I302</f>
        <v>0</v>
      </c>
      <c r="D302" s="643">
        <f>'TB(期初)'!I302</f>
        <v>0</v>
      </c>
    </row>
    <row r="303" spans="1:4" s="414" customFormat="1" ht="13.95" customHeight="1">
      <c r="A303" s="421" t="str">
        <f>未审报表!A303</f>
        <v xml:space="preserve">     支付各项税费</v>
      </c>
      <c r="B303" s="201">
        <f>未审报表!B303</f>
        <v>25</v>
      </c>
      <c r="C303" s="643">
        <f>TB!I303</f>
        <v>0</v>
      </c>
      <c r="D303" s="643">
        <f>'TB(期初)'!I303</f>
        <v>0</v>
      </c>
    </row>
    <row r="304" spans="1:4" s="414" customFormat="1" ht="13.95" customHeight="1">
      <c r="A304" s="421" t="str">
        <f>未审报表!A304</f>
        <v xml:space="preserve">     支付的其他与经营活动有关的现金</v>
      </c>
      <c r="B304" s="201">
        <f>未审报表!B304</f>
        <v>26</v>
      </c>
      <c r="C304" s="643">
        <f>TB!I304</f>
        <v>0</v>
      </c>
      <c r="D304" s="643">
        <f>'TB(期初)'!I304</f>
        <v>0</v>
      </c>
    </row>
    <row r="305" spans="1:4" s="414" customFormat="1" ht="13.95" customHeight="1">
      <c r="A305" s="421">
        <f>未审报表!A305</f>
        <v>0</v>
      </c>
      <c r="B305" s="201">
        <f>未审报表!B305</f>
        <v>27</v>
      </c>
      <c r="C305" s="423"/>
      <c r="D305" s="423"/>
    </row>
    <row r="306" spans="1:4" s="414" customFormat="1" ht="13.95" customHeight="1">
      <c r="A306" s="644" t="str">
        <f>未审报表!A306</f>
        <v xml:space="preserve">     经营活动现金流出小计</v>
      </c>
      <c r="B306" s="645">
        <f>未审报表!B306</f>
        <v>28</v>
      </c>
      <c r="C306" s="646">
        <f>SUM(C295:C305)</f>
        <v>0</v>
      </c>
      <c r="D306" s="646">
        <f>SUM(D295:D305)</f>
        <v>0</v>
      </c>
    </row>
    <row r="307" spans="1:4" s="414" customFormat="1" ht="13.95" customHeight="1">
      <c r="A307" s="644" t="str">
        <f>未审报表!A307</f>
        <v xml:space="preserve">     经营活动产生的现金流量净额</v>
      </c>
      <c r="B307" s="645">
        <f>未审报表!B307</f>
        <v>29</v>
      </c>
      <c r="C307" s="646">
        <f>C294-C306</f>
        <v>0</v>
      </c>
      <c r="D307" s="646">
        <f>D294-D306</f>
        <v>0</v>
      </c>
    </row>
    <row r="308" spans="1:4" s="414" customFormat="1" ht="13.95" customHeight="1">
      <c r="A308" s="644" t="str">
        <f>未审报表!A308</f>
        <v>二、投资活动产生的现金流量</v>
      </c>
      <c r="B308" s="645">
        <f>未审报表!B308</f>
        <v>30</v>
      </c>
      <c r="C308" s="432"/>
      <c r="D308" s="432"/>
    </row>
    <row r="309" spans="1:4" s="414" customFormat="1" ht="13.95" customHeight="1">
      <c r="A309" s="421" t="str">
        <f>未审报表!A309</f>
        <v xml:space="preserve">     收回投资所收到的现金</v>
      </c>
      <c r="B309" s="201">
        <f>未审报表!B309</f>
        <v>31</v>
      </c>
      <c r="C309" s="643">
        <f>TB!I309</f>
        <v>0</v>
      </c>
      <c r="D309" s="643">
        <f>'TB(期初)'!I309</f>
        <v>0</v>
      </c>
    </row>
    <row r="310" spans="1:4" s="414" customFormat="1" ht="13.95" customHeight="1">
      <c r="A310" s="421" t="str">
        <f>未审报表!A310</f>
        <v xml:space="preserve">     取得投资收益所收到的现金</v>
      </c>
      <c r="B310" s="201">
        <f>未审报表!B310</f>
        <v>32</v>
      </c>
      <c r="C310" s="643">
        <f>TB!I310</f>
        <v>0</v>
      </c>
      <c r="D310" s="643">
        <f>'TB(期初)'!I310</f>
        <v>0</v>
      </c>
    </row>
    <row r="311" spans="1:4" s="414" customFormat="1" ht="13.95" customHeight="1">
      <c r="A311" s="421" t="str">
        <f>未审报表!A311</f>
        <v xml:space="preserve">     处置固定资产、无形资产和其他长期资产而收到的现金净额</v>
      </c>
      <c r="B311" s="201">
        <f>未审报表!B311</f>
        <v>33</v>
      </c>
      <c r="C311" s="643">
        <f>TB!I311</f>
        <v>0</v>
      </c>
      <c r="D311" s="643">
        <f>'TB(期初)'!I311</f>
        <v>0</v>
      </c>
    </row>
    <row r="312" spans="1:4" s="414" customFormat="1" ht="13.95" customHeight="1">
      <c r="A312" s="421" t="str">
        <f>未审报表!A312</f>
        <v xml:space="preserve">     处置子公司及其他营业单位收到的现金净额</v>
      </c>
      <c r="B312" s="201">
        <f>未审报表!B312</f>
        <v>34</v>
      </c>
      <c r="C312" s="643">
        <f>TB!I312</f>
        <v>0</v>
      </c>
      <c r="D312" s="643">
        <f>'TB(期初)'!I312</f>
        <v>0</v>
      </c>
    </row>
    <row r="313" spans="1:4" s="414" customFormat="1" ht="13.95" customHeight="1">
      <c r="A313" s="421" t="str">
        <f>未审报表!A313</f>
        <v xml:space="preserve">     收到其他与投资活动有关的现金</v>
      </c>
      <c r="B313" s="201">
        <f>未审报表!B313</f>
        <v>35</v>
      </c>
      <c r="C313" s="643">
        <f>TB!I313</f>
        <v>0</v>
      </c>
      <c r="D313" s="643">
        <f>'TB(期初)'!I313</f>
        <v>0</v>
      </c>
    </row>
    <row r="314" spans="1:4" s="414" customFormat="1" ht="13.95" customHeight="1">
      <c r="A314" s="421">
        <f>未审报表!A314</f>
        <v>0</v>
      </c>
      <c r="B314" s="201">
        <f>未审报表!B314</f>
        <v>36</v>
      </c>
      <c r="C314" s="423"/>
      <c r="D314" s="423"/>
    </row>
    <row r="315" spans="1:4" s="414" customFormat="1" ht="13.95" customHeight="1">
      <c r="A315" s="644" t="str">
        <f>未审报表!A315</f>
        <v xml:space="preserve">     投资活动现金流入小计</v>
      </c>
      <c r="B315" s="645">
        <f>未审报表!B315</f>
        <v>37</v>
      </c>
      <c r="C315" s="634">
        <f>SUM(C309:C314)</f>
        <v>0</v>
      </c>
      <c r="D315" s="634">
        <f>SUM(D309:D313)</f>
        <v>0</v>
      </c>
    </row>
    <row r="316" spans="1:4" s="414" customFormat="1" ht="13.95" customHeight="1">
      <c r="A316" s="421" t="str">
        <f>未审报表!A316</f>
        <v xml:space="preserve">     购置固定资产、无形资产和其他长期资产所支付现金 </v>
      </c>
      <c r="B316" s="201">
        <f>未审报表!B316</f>
        <v>38</v>
      </c>
      <c r="C316" s="643">
        <f>TB!I316</f>
        <v>0</v>
      </c>
      <c r="D316" s="643">
        <f>'TB(期初)'!I316</f>
        <v>0</v>
      </c>
    </row>
    <row r="317" spans="1:4" s="414" customFormat="1" ht="13.95" customHeight="1">
      <c r="A317" s="421" t="str">
        <f>未审报表!A317</f>
        <v xml:space="preserve">     投资所支付的现金</v>
      </c>
      <c r="B317" s="201">
        <f>未审报表!B317</f>
        <v>39</v>
      </c>
      <c r="C317" s="643">
        <f>TB!I317</f>
        <v>0</v>
      </c>
      <c r="D317" s="643">
        <f>'TB(期初)'!I317</f>
        <v>0</v>
      </c>
    </row>
    <row r="318" spans="1:4" s="414" customFormat="1" ht="13.95" customHeight="1">
      <c r="A318" s="421" t="str">
        <f>未审报表!A318</f>
        <v xml:space="preserve">    质押贷款净增加额*</v>
      </c>
      <c r="B318" s="201">
        <f>未审报表!B318</f>
        <v>40</v>
      </c>
      <c r="C318" s="643">
        <f>TB!I318</f>
        <v>0</v>
      </c>
      <c r="D318" s="643">
        <f>'TB(期初)'!I318</f>
        <v>0</v>
      </c>
    </row>
    <row r="319" spans="1:4" s="414" customFormat="1" ht="13.95" customHeight="1">
      <c r="A319" s="421" t="str">
        <f>未审报表!A319</f>
        <v xml:space="preserve">     取得子公司及其他营业单位支付的现金净额</v>
      </c>
      <c r="B319" s="201">
        <f>未审报表!B319</f>
        <v>41</v>
      </c>
      <c r="C319" s="643">
        <f>TB!I319</f>
        <v>0</v>
      </c>
      <c r="D319" s="643">
        <f>'TB(期初)'!I319</f>
        <v>0</v>
      </c>
    </row>
    <row r="320" spans="1:4" s="414" customFormat="1" ht="13.95" customHeight="1">
      <c r="A320" s="421" t="str">
        <f>未审报表!A320</f>
        <v xml:space="preserve">     支付其他与投资活动有关的现金</v>
      </c>
      <c r="B320" s="201">
        <f>未审报表!B320</f>
        <v>42</v>
      </c>
      <c r="C320" s="643">
        <f>TB!I320</f>
        <v>0</v>
      </c>
      <c r="D320" s="643">
        <f>'TB(期初)'!I320</f>
        <v>0</v>
      </c>
    </row>
    <row r="321" spans="1:4" s="414" customFormat="1" ht="13.95" customHeight="1">
      <c r="A321" s="421">
        <f>未审报表!A321</f>
        <v>0</v>
      </c>
      <c r="B321" s="201">
        <f>未审报表!B321</f>
        <v>43</v>
      </c>
      <c r="C321" s="423"/>
      <c r="D321" s="423"/>
    </row>
    <row r="322" spans="1:4" s="414" customFormat="1" ht="13.95" customHeight="1">
      <c r="A322" s="644" t="str">
        <f>未审报表!A322</f>
        <v xml:space="preserve">      投资活动现金流出小计</v>
      </c>
      <c r="B322" s="645">
        <f>未审报表!B322</f>
        <v>44</v>
      </c>
      <c r="C322" s="634">
        <f>SUM(C316:C321)</f>
        <v>0</v>
      </c>
      <c r="D322" s="634">
        <f>SUM(D316:D320)</f>
        <v>0</v>
      </c>
    </row>
    <row r="323" spans="1:4" s="414" customFormat="1" ht="13.95" customHeight="1">
      <c r="A323" s="644" t="str">
        <f>未审报表!A323</f>
        <v xml:space="preserve">     投资活动产生的现金流量净额</v>
      </c>
      <c r="B323" s="645">
        <f>未审报表!B323</f>
        <v>45</v>
      </c>
      <c r="C323" s="634">
        <f>C315-C322</f>
        <v>0</v>
      </c>
      <c r="D323" s="634">
        <f>D315-D322</f>
        <v>0</v>
      </c>
    </row>
    <row r="324" spans="1:4" s="414" customFormat="1" ht="13.95" customHeight="1">
      <c r="A324" s="644" t="str">
        <f>未审报表!A324</f>
        <v>三、筹资活动产生的现金流量</v>
      </c>
      <c r="B324" s="645">
        <f>未审报表!B324</f>
        <v>46</v>
      </c>
      <c r="C324" s="432"/>
      <c r="D324" s="432"/>
    </row>
    <row r="325" spans="1:4" s="414" customFormat="1" ht="13.95" customHeight="1">
      <c r="A325" s="421" t="str">
        <f>未审报表!A325</f>
        <v xml:space="preserve">     吸收投资所收到的现金</v>
      </c>
      <c r="B325" s="201">
        <f>未审报表!B325</f>
        <v>47</v>
      </c>
      <c r="C325" s="643">
        <f>TB!I325</f>
        <v>0</v>
      </c>
      <c r="D325" s="643">
        <f>'TB(期初)'!I325</f>
        <v>0</v>
      </c>
    </row>
    <row r="326" spans="1:4" s="414" customFormat="1" ht="13.95" customHeight="1">
      <c r="A326" s="421" t="str">
        <f>未审报表!A326</f>
        <v xml:space="preserve">     其中：子公司吸收少数股东投资收到的现金</v>
      </c>
      <c r="B326" s="201">
        <f>未审报表!B326</f>
        <v>48</v>
      </c>
      <c r="C326" s="643">
        <f>TB!I326</f>
        <v>0</v>
      </c>
      <c r="D326" s="643">
        <f>'TB(期初)'!I326</f>
        <v>0</v>
      </c>
    </row>
    <row r="327" spans="1:4" s="414" customFormat="1" ht="13.95" customHeight="1">
      <c r="A327" s="421" t="str">
        <f>未审报表!A327</f>
        <v xml:space="preserve">     取得借款收到的现金</v>
      </c>
      <c r="B327" s="201">
        <f>未审报表!B327</f>
        <v>49</v>
      </c>
      <c r="C327" s="643">
        <f>TB!I327</f>
        <v>0</v>
      </c>
      <c r="D327" s="643">
        <f>'TB(期初)'!I327</f>
        <v>0</v>
      </c>
    </row>
    <row r="328" spans="1:4" s="414" customFormat="1" ht="13.95" customHeight="1">
      <c r="A328" s="421" t="str">
        <f>未审报表!A328</f>
        <v xml:space="preserve">     发行债券收到的现金</v>
      </c>
      <c r="B328" s="201">
        <f>未审报表!B328</f>
        <v>50</v>
      </c>
      <c r="C328" s="643">
        <f>TB!I328</f>
        <v>0</v>
      </c>
      <c r="D328" s="643">
        <f>'TB(期初)'!I328</f>
        <v>0</v>
      </c>
    </row>
    <row r="329" spans="1:4" s="414" customFormat="1" ht="13.95" customHeight="1">
      <c r="A329" s="421" t="str">
        <f>未审报表!A329</f>
        <v xml:space="preserve">     收到的其他与筹资活动有关的现金</v>
      </c>
      <c r="B329" s="201">
        <f>未审报表!B329</f>
        <v>51</v>
      </c>
      <c r="C329" s="643">
        <f>TB!I329</f>
        <v>0</v>
      </c>
      <c r="D329" s="643">
        <f>'TB(期初)'!I329</f>
        <v>0</v>
      </c>
    </row>
    <row r="330" spans="1:4" s="414" customFormat="1" ht="13.95" customHeight="1">
      <c r="A330" s="421">
        <f>未审报表!A330</f>
        <v>0</v>
      </c>
      <c r="B330" s="201">
        <f>未审报表!B330</f>
        <v>52</v>
      </c>
      <c r="C330" s="423"/>
      <c r="D330" s="423"/>
    </row>
    <row r="331" spans="1:4" s="414" customFormat="1" ht="13.95" customHeight="1">
      <c r="A331" s="644" t="str">
        <f>未审报表!A331</f>
        <v xml:space="preserve">     筹资活动现金流入小计</v>
      </c>
      <c r="B331" s="645">
        <f>未审报表!B331</f>
        <v>53</v>
      </c>
      <c r="C331" s="634">
        <f>SUM(C325:C330)</f>
        <v>0</v>
      </c>
      <c r="D331" s="634">
        <f>SUM(D325:D330)</f>
        <v>0</v>
      </c>
    </row>
    <row r="332" spans="1:4" s="414" customFormat="1" ht="13.95" customHeight="1">
      <c r="A332" s="421" t="str">
        <f>未审报表!A332</f>
        <v xml:space="preserve">     偿还债务支付的现金</v>
      </c>
      <c r="B332" s="201">
        <f>未审报表!B332</f>
        <v>54</v>
      </c>
      <c r="C332" s="643">
        <f>TB!I332</f>
        <v>0</v>
      </c>
      <c r="D332" s="643">
        <f>'TB(期初)'!I332</f>
        <v>0</v>
      </c>
    </row>
    <row r="333" spans="1:4" s="414" customFormat="1" ht="13.95" customHeight="1">
      <c r="A333" s="421" t="str">
        <f>未审报表!A333</f>
        <v xml:space="preserve">     分配股利、利润或偿付利息支付的现金</v>
      </c>
      <c r="B333" s="201">
        <f>未审报表!B333</f>
        <v>55</v>
      </c>
      <c r="C333" s="643">
        <f>TB!I333</f>
        <v>0</v>
      </c>
      <c r="D333" s="643">
        <f>'TB(期初)'!I333</f>
        <v>0</v>
      </c>
    </row>
    <row r="334" spans="1:4" s="414" customFormat="1" ht="13.95" customHeight="1">
      <c r="A334" s="421" t="str">
        <f>未审报表!A334</f>
        <v xml:space="preserve">      其中：子公司支付给少数股东的股利、利润</v>
      </c>
      <c r="B334" s="201">
        <f>未审报表!B334</f>
        <v>56</v>
      </c>
      <c r="C334" s="643">
        <f>TB!I334</f>
        <v>0</v>
      </c>
      <c r="D334" s="643">
        <f>'TB(期初)'!I334</f>
        <v>0</v>
      </c>
    </row>
    <row r="335" spans="1:4" s="414" customFormat="1" ht="13.95" customHeight="1">
      <c r="A335" s="421" t="str">
        <f>未审报表!A335</f>
        <v xml:space="preserve">     支付其他与筹资活动有关的现金</v>
      </c>
      <c r="B335" s="201">
        <f>未审报表!B335</f>
        <v>57</v>
      </c>
      <c r="C335" s="643">
        <f>TB!I335</f>
        <v>0</v>
      </c>
      <c r="D335" s="643">
        <f>'TB(期初)'!I335</f>
        <v>0</v>
      </c>
    </row>
    <row r="336" spans="1:4" s="414" customFormat="1" ht="13.95" customHeight="1">
      <c r="A336" s="421" t="str">
        <f>未审报表!A336</f>
        <v xml:space="preserve">      其中：子公司减资支付给少数股东的现金</v>
      </c>
      <c r="B336" s="201">
        <f>未审报表!B336</f>
        <v>58</v>
      </c>
      <c r="C336" s="643">
        <f>TB!I336</f>
        <v>0</v>
      </c>
      <c r="D336" s="643">
        <f>'TB(期初)'!I336</f>
        <v>0</v>
      </c>
    </row>
    <row r="337" spans="1:4" s="414" customFormat="1" ht="13.95" customHeight="1">
      <c r="A337" s="644" t="str">
        <f>未审报表!A337</f>
        <v xml:space="preserve">     筹资活动现金流出小计</v>
      </c>
      <c r="B337" s="645">
        <f>未审报表!B337</f>
        <v>59</v>
      </c>
      <c r="C337" s="634">
        <f>SUM(C331:C336)</f>
        <v>0</v>
      </c>
      <c r="D337" s="634">
        <f>SUM(D331:D336)</f>
        <v>0</v>
      </c>
    </row>
    <row r="338" spans="1:4" s="414" customFormat="1" ht="13.95" customHeight="1">
      <c r="A338" s="644" t="str">
        <f>未审报表!A338</f>
        <v xml:space="preserve">     筹资活动产生的现金流量净额</v>
      </c>
      <c r="B338" s="645">
        <f>未审报表!B338</f>
        <v>60</v>
      </c>
      <c r="C338" s="634">
        <f>C331-C337</f>
        <v>0</v>
      </c>
      <c r="D338" s="634">
        <f>D331-D337</f>
        <v>0</v>
      </c>
    </row>
    <row r="339" spans="1:4" s="414" customFormat="1" ht="13.95" customHeight="1">
      <c r="A339" s="644" t="str">
        <f>未审报表!A339</f>
        <v>四、汇率变动对现金及现金等价物的影响</v>
      </c>
      <c r="B339" s="645">
        <f>未审报表!B339</f>
        <v>61</v>
      </c>
      <c r="C339" s="773">
        <f>TB!I339</f>
        <v>0</v>
      </c>
      <c r="D339" s="643">
        <f>'TB(期初)'!I339</f>
        <v>0</v>
      </c>
    </row>
    <row r="340" spans="1:4" s="414" customFormat="1" ht="13.95" customHeight="1">
      <c r="A340" s="644" t="str">
        <f>未审报表!A340</f>
        <v>五、现金及现金等价物净增加额</v>
      </c>
      <c r="B340" s="645">
        <f>未审报表!B340</f>
        <v>62</v>
      </c>
      <c r="C340" s="634">
        <f>C339+C338+C306+C323</f>
        <v>0</v>
      </c>
      <c r="D340" s="634">
        <f>D339+D338+D306+D323</f>
        <v>0</v>
      </c>
    </row>
    <row r="341" spans="1:4" s="414" customFormat="1" ht="13.95" customHeight="1">
      <c r="A341" s="421" t="str">
        <f>未审报表!A341</f>
        <v xml:space="preserve">    加：期初现金及现金等价物余额</v>
      </c>
      <c r="B341" s="201">
        <f>未审报表!B341</f>
        <v>63</v>
      </c>
      <c r="C341" s="773">
        <f>TB!I341</f>
        <v>0</v>
      </c>
      <c r="D341" s="643">
        <f>'TB(期初)'!I341</f>
        <v>0</v>
      </c>
    </row>
    <row r="342" spans="1:4" s="414" customFormat="1" ht="13.95" customHeight="1">
      <c r="A342" s="212" t="str">
        <f>未审报表!A342</f>
        <v>六、期末现金及现金等价物余额</v>
      </c>
      <c r="B342" s="202">
        <f>未审报表!B342</f>
        <v>64</v>
      </c>
      <c r="C342" s="197">
        <f>C340+C341</f>
        <v>0</v>
      </c>
      <c r="D342" s="197">
        <f>D340+D341</f>
        <v>0</v>
      </c>
    </row>
    <row r="343" spans="1:4" s="414" customFormat="1" ht="13.95" customHeight="1">
      <c r="A343" s="772" t="str">
        <f>未审报表!A343</f>
        <v>补    充    资    料</v>
      </c>
      <c r="B343" s="769" t="str">
        <f>未审报表!B343</f>
        <v>行次</v>
      </c>
      <c r="C343" s="787" t="str">
        <f>参数!D10</f>
        <v>2022年度</v>
      </c>
      <c r="D343" s="840" t="str">
        <f>参数!D9</f>
        <v>2021年度</v>
      </c>
    </row>
    <row r="344" spans="1:4" s="414" customFormat="1" ht="13.95" customHeight="1">
      <c r="A344" s="421" t="str">
        <f>未审报表!A344</f>
        <v>1、将净利润调节为经营活动现金流量：</v>
      </c>
      <c r="B344" s="201">
        <f>未审报表!B344</f>
        <v>65</v>
      </c>
      <c r="C344" s="423"/>
      <c r="D344" s="423"/>
    </row>
    <row r="345" spans="1:4" s="414" customFormat="1" ht="13.95" customHeight="1">
      <c r="A345" s="421" t="str">
        <f>未审报表!A345</f>
        <v xml:space="preserve">     净利润</v>
      </c>
      <c r="B345" s="201">
        <f>未审报表!B345</f>
        <v>66</v>
      </c>
      <c r="C345" s="773">
        <f>TB!I345</f>
        <v>32177359.110000003</v>
      </c>
      <c r="D345" s="643">
        <f>'TB(期初)'!I345</f>
        <v>21221252.779999997</v>
      </c>
    </row>
    <row r="346" spans="1:4" s="414" customFormat="1" ht="13.95" customHeight="1">
      <c r="A346" s="421">
        <f>未审报表!A346</f>
        <v>0</v>
      </c>
      <c r="B346" s="201">
        <f>未审报表!B346</f>
        <v>67</v>
      </c>
      <c r="C346" s="423"/>
      <c r="D346" s="423"/>
    </row>
    <row r="347" spans="1:4" s="414" customFormat="1" ht="13.95" customHeight="1">
      <c r="A347" s="421">
        <f>未审报表!A347</f>
        <v>0</v>
      </c>
      <c r="B347" s="201">
        <f>未审报表!B347</f>
        <v>68</v>
      </c>
      <c r="C347" s="423"/>
      <c r="D347" s="423"/>
    </row>
    <row r="348" spans="1:4" s="414" customFormat="1" ht="13.95" customHeight="1">
      <c r="A348" s="421" t="str">
        <f>未审报表!A348</f>
        <v>加：资产减值损失</v>
      </c>
      <c r="B348" s="201">
        <f>未审报表!B348</f>
        <v>69</v>
      </c>
      <c r="C348" s="643">
        <f>TB!I348</f>
        <v>0</v>
      </c>
      <c r="D348" s="643">
        <f>'TB(期初)'!I348</f>
        <v>0</v>
      </c>
    </row>
    <row r="349" spans="1:4" s="414" customFormat="1" ht="13.95" customHeight="1">
      <c r="A349" s="421" t="str">
        <f>未审报表!A349</f>
        <v xml:space="preserve">        信用减值损失</v>
      </c>
      <c r="B349" s="201">
        <f>未审报表!B349</f>
        <v>70</v>
      </c>
      <c r="C349" s="643">
        <f>TB!I349</f>
        <v>300515.00999999995</v>
      </c>
      <c r="D349" s="643">
        <f>'TB(期初)'!I349</f>
        <v>0</v>
      </c>
    </row>
    <row r="350" spans="1:4" s="414" customFormat="1" ht="13.95" customHeight="1">
      <c r="A350" s="421" t="str">
        <f>未审报表!A350</f>
        <v xml:space="preserve">     固定资产折旧、投资性房地产折旧、油气资产折耗、生产性生物资产折旧</v>
      </c>
      <c r="B350" s="201">
        <f>未审报表!B350</f>
        <v>71</v>
      </c>
      <c r="C350" s="643">
        <f>TB!I350</f>
        <v>0</v>
      </c>
      <c r="D350" s="643">
        <f>'TB(期初)'!I350</f>
        <v>0</v>
      </c>
    </row>
    <row r="351" spans="1:4" s="414" customFormat="1" ht="13.95" customHeight="1">
      <c r="A351" s="421" t="str">
        <f>未审报表!A351</f>
        <v xml:space="preserve">    使用权资产折旧</v>
      </c>
      <c r="B351" s="201">
        <f>未审报表!B351</f>
        <v>72</v>
      </c>
      <c r="C351" s="643">
        <f>TB!I351</f>
        <v>0</v>
      </c>
      <c r="D351" s="643">
        <f>'TB(期初)'!I351</f>
        <v>0</v>
      </c>
    </row>
    <row r="352" spans="1:4" s="414" customFormat="1" ht="13.95" customHeight="1">
      <c r="A352" s="421" t="str">
        <f>未审报表!A352</f>
        <v xml:space="preserve">     无形资产摊销</v>
      </c>
      <c r="B352" s="201">
        <f>未审报表!B352</f>
        <v>73</v>
      </c>
      <c r="C352" s="643">
        <f>TB!I352</f>
        <v>0</v>
      </c>
      <c r="D352" s="643">
        <f>'TB(期初)'!I352</f>
        <v>0</v>
      </c>
    </row>
    <row r="353" spans="1:4" s="414" customFormat="1" ht="13.95" customHeight="1">
      <c r="A353" s="421" t="str">
        <f>未审报表!A353</f>
        <v xml:space="preserve">     长期待摊费用摊销</v>
      </c>
      <c r="B353" s="201">
        <f>未审报表!B353</f>
        <v>74</v>
      </c>
      <c r="C353" s="643">
        <f>TB!I353</f>
        <v>0</v>
      </c>
      <c r="D353" s="643">
        <f>'TB(期初)'!I353</f>
        <v>0</v>
      </c>
    </row>
    <row r="354" spans="1:4" s="414" customFormat="1" ht="13.95" customHeight="1">
      <c r="A354" s="421" t="str">
        <f>未审报表!A354</f>
        <v xml:space="preserve">     处置固定资产、无形资产和其他长期资产的损失（收益以“－”号填列）</v>
      </c>
      <c r="B354" s="201">
        <f>未审报表!B354</f>
        <v>75</v>
      </c>
      <c r="C354" s="643">
        <f>TB!I354</f>
        <v>0</v>
      </c>
      <c r="D354" s="643">
        <f>'TB(期初)'!I354</f>
        <v>0</v>
      </c>
    </row>
    <row r="355" spans="1:4" s="414" customFormat="1" ht="13.95" customHeight="1">
      <c r="A355" s="421" t="str">
        <f>未审报表!A355</f>
        <v xml:space="preserve">     固定资产报废损失（收益以“－”号填列）</v>
      </c>
      <c r="B355" s="201">
        <f>未审报表!B355</f>
        <v>76</v>
      </c>
      <c r="C355" s="643">
        <f>TB!I355</f>
        <v>0</v>
      </c>
      <c r="D355" s="643">
        <f>'TB(期初)'!I355</f>
        <v>0</v>
      </c>
    </row>
    <row r="356" spans="1:4" s="414" customFormat="1" ht="13.95" customHeight="1">
      <c r="A356" s="421" t="str">
        <f>未审报表!A356</f>
        <v xml:space="preserve">     公允价值变动损失（收益以“－”号填列）</v>
      </c>
      <c r="B356" s="201">
        <f>未审报表!B356</f>
        <v>77</v>
      </c>
      <c r="C356" s="643">
        <f>TB!I356</f>
        <v>0</v>
      </c>
      <c r="D356" s="643">
        <f>'TB(期初)'!I356</f>
        <v>0</v>
      </c>
    </row>
    <row r="357" spans="1:4" s="414" customFormat="1" ht="13.95" customHeight="1">
      <c r="A357" s="421" t="str">
        <f>未审报表!A357</f>
        <v xml:space="preserve">     财务费用（收益以“－”号填列）</v>
      </c>
      <c r="B357" s="201">
        <f>未审报表!B357</f>
        <v>78</v>
      </c>
      <c r="C357" s="643">
        <f>TB!I357</f>
        <v>0</v>
      </c>
      <c r="D357" s="643">
        <f>'TB(期初)'!I357</f>
        <v>0</v>
      </c>
    </row>
    <row r="358" spans="1:4" s="414" customFormat="1" ht="13.95" customHeight="1">
      <c r="A358" s="421" t="str">
        <f>未审报表!A358</f>
        <v xml:space="preserve">     投资损失（收益以“－”号填列）</v>
      </c>
      <c r="B358" s="201">
        <f>未审报表!B358</f>
        <v>79</v>
      </c>
      <c r="C358" s="643">
        <f>TB!I358</f>
        <v>0</v>
      </c>
      <c r="D358" s="643">
        <f>'TB(期初)'!I358</f>
        <v>0</v>
      </c>
    </row>
    <row r="359" spans="1:4" s="414" customFormat="1" ht="13.95" customHeight="1">
      <c r="A359" s="421" t="str">
        <f>未审报表!A359</f>
        <v xml:space="preserve">     递延所得税资产减少（增加以“－”号填列）</v>
      </c>
      <c r="B359" s="201">
        <f>未审报表!B359</f>
        <v>80</v>
      </c>
      <c r="C359" s="643">
        <f>TB!I359</f>
        <v>0</v>
      </c>
      <c r="D359" s="643">
        <f>'TB(期初)'!I359</f>
        <v>0</v>
      </c>
    </row>
    <row r="360" spans="1:4" s="414" customFormat="1" ht="13.95" customHeight="1">
      <c r="A360" s="421" t="str">
        <f>未审报表!A360</f>
        <v xml:space="preserve">     递延所得税负债增加（减少以“－”号填列）</v>
      </c>
      <c r="B360" s="201">
        <f>未审报表!B360</f>
        <v>81</v>
      </c>
      <c r="C360" s="643">
        <f>TB!I360</f>
        <v>0</v>
      </c>
      <c r="D360" s="643">
        <f>'TB(期初)'!I360</f>
        <v>0</v>
      </c>
    </row>
    <row r="361" spans="1:4" s="414" customFormat="1" ht="13.95" customHeight="1">
      <c r="A361" s="421" t="str">
        <f>未审报表!A361</f>
        <v xml:space="preserve">     存货的减少（增加以“－”号填列）</v>
      </c>
      <c r="B361" s="201">
        <f>未审报表!B361</f>
        <v>82</v>
      </c>
      <c r="C361" s="643">
        <f>TB!I361</f>
        <v>0</v>
      </c>
      <c r="D361" s="643">
        <f>'TB(期初)'!I361</f>
        <v>0</v>
      </c>
    </row>
    <row r="362" spans="1:4" s="414" customFormat="1" ht="13.95" customHeight="1">
      <c r="A362" s="421" t="str">
        <f>未审报表!A362</f>
        <v xml:space="preserve">     经营性应收项目的减少（增加以“－”号填列）</v>
      </c>
      <c r="B362" s="201">
        <f>未审报表!B362</f>
        <v>83</v>
      </c>
      <c r="C362" s="643">
        <f>TB!I362</f>
        <v>0</v>
      </c>
      <c r="D362" s="643">
        <f>'TB(期初)'!I362</f>
        <v>0</v>
      </c>
    </row>
    <row r="363" spans="1:4" s="414" customFormat="1" ht="13.95" customHeight="1">
      <c r="A363" s="421" t="str">
        <f>未审报表!A363</f>
        <v xml:space="preserve">     经营性应付项目的增加（减少以“－”号填列）</v>
      </c>
      <c r="B363" s="201">
        <f>未审报表!B363</f>
        <v>84</v>
      </c>
      <c r="C363" s="643">
        <f>TB!I363</f>
        <v>0</v>
      </c>
      <c r="D363" s="643">
        <f>'TB(期初)'!I363</f>
        <v>0</v>
      </c>
    </row>
    <row r="364" spans="1:4" s="414" customFormat="1" ht="13.95" customHeight="1">
      <c r="A364" s="421" t="str">
        <f>未审报表!A364</f>
        <v xml:space="preserve">     其他</v>
      </c>
      <c r="B364" s="201">
        <f>未审报表!B364</f>
        <v>85</v>
      </c>
      <c r="C364" s="643">
        <f>TB!I364</f>
        <v>0</v>
      </c>
      <c r="D364" s="643">
        <f>'TB(期初)'!I364</f>
        <v>0</v>
      </c>
    </row>
    <row r="365" spans="1:4" s="414" customFormat="1" ht="13.95" customHeight="1">
      <c r="A365" s="421">
        <f>未审报表!A365</f>
        <v>0</v>
      </c>
      <c r="B365" s="201">
        <f>未审报表!B365</f>
        <v>86</v>
      </c>
      <c r="C365" s="423"/>
      <c r="D365" s="423"/>
    </row>
    <row r="366" spans="1:4" s="414" customFormat="1" ht="13.95" customHeight="1">
      <c r="A366" s="644" t="str">
        <f>未审报表!A366</f>
        <v xml:space="preserve">     经营活动产生的现金流量净额</v>
      </c>
      <c r="B366" s="645">
        <f>未审报表!B366</f>
        <v>87</v>
      </c>
      <c r="C366" s="773">
        <f>SUM(C345:C364)</f>
        <v>32477874.120000005</v>
      </c>
      <c r="D366" s="773">
        <f>SUM(D345:D364)</f>
        <v>21221252.779999997</v>
      </c>
    </row>
    <row r="367" spans="1:4" s="414" customFormat="1" ht="13.95" customHeight="1">
      <c r="A367" s="421">
        <f>未审报表!A367</f>
        <v>0</v>
      </c>
      <c r="B367" s="201">
        <f>未审报表!B367</f>
        <v>88</v>
      </c>
      <c r="C367" s="423"/>
      <c r="D367" s="423"/>
    </row>
    <row r="368" spans="1:4" s="414" customFormat="1" ht="13.95" customHeight="1">
      <c r="A368" s="421" t="str">
        <f>未审报表!A368</f>
        <v>2、不涉及现金收支的投资和筹资活动：</v>
      </c>
      <c r="B368" s="201">
        <f>未审报表!B368</f>
        <v>89</v>
      </c>
      <c r="C368" s="423"/>
      <c r="D368" s="423"/>
    </row>
    <row r="369" spans="1:5" s="414" customFormat="1" ht="13.95" customHeight="1">
      <c r="A369" s="421" t="str">
        <f>未审报表!A369</f>
        <v xml:space="preserve">     债务转为资本</v>
      </c>
      <c r="B369" s="201">
        <f>未审报表!B369</f>
        <v>90</v>
      </c>
      <c r="C369" s="643">
        <f>TB!I369</f>
        <v>0</v>
      </c>
      <c r="D369" s="643">
        <f>'TB(期初)'!I369</f>
        <v>0</v>
      </c>
    </row>
    <row r="370" spans="1:5" s="414" customFormat="1" ht="13.95" customHeight="1">
      <c r="A370" s="421" t="str">
        <f>未审报表!A370</f>
        <v xml:space="preserve">     一年内到期的可转换公司债券</v>
      </c>
      <c r="B370" s="201">
        <f>未审报表!B370</f>
        <v>91</v>
      </c>
      <c r="C370" s="643">
        <f>TB!I370</f>
        <v>0</v>
      </c>
      <c r="D370" s="643">
        <f>'TB(期初)'!I370</f>
        <v>0</v>
      </c>
    </row>
    <row r="371" spans="1:5" s="414" customFormat="1" ht="13.95" customHeight="1">
      <c r="A371" s="421" t="str">
        <f>未审报表!A371</f>
        <v xml:space="preserve">     融资租入固定资产</v>
      </c>
      <c r="B371" s="201">
        <f>未审报表!B371</f>
        <v>92</v>
      </c>
      <c r="C371" s="643">
        <f>TB!I371</f>
        <v>0</v>
      </c>
      <c r="D371" s="643">
        <f>'TB(期初)'!I371</f>
        <v>0</v>
      </c>
    </row>
    <row r="372" spans="1:5" s="414" customFormat="1" ht="13.95" customHeight="1">
      <c r="A372" s="421" t="str">
        <f>未审报表!A372</f>
        <v xml:space="preserve">    当期新增的使用权资产</v>
      </c>
      <c r="B372" s="201">
        <f>未审报表!B372</f>
        <v>93</v>
      </c>
      <c r="C372" s="643">
        <f>TB!I372</f>
        <v>0</v>
      </c>
      <c r="D372" s="643">
        <f>'TB(期初)'!I372</f>
        <v>0</v>
      </c>
    </row>
    <row r="373" spans="1:5" s="414" customFormat="1" ht="13.95" customHeight="1">
      <c r="A373" s="421">
        <f>未审报表!A373</f>
        <v>0</v>
      </c>
      <c r="B373" s="201">
        <f>未审报表!B373</f>
        <v>94</v>
      </c>
      <c r="C373" s="423"/>
      <c r="D373" s="423"/>
    </row>
    <row r="374" spans="1:5" s="414" customFormat="1" ht="13.95" customHeight="1">
      <c r="A374" s="421">
        <f>未审报表!A374</f>
        <v>0</v>
      </c>
      <c r="B374" s="201">
        <f>未审报表!B374</f>
        <v>95</v>
      </c>
      <c r="C374" s="423"/>
      <c r="D374" s="423"/>
    </row>
    <row r="375" spans="1:5" s="414" customFormat="1" ht="13.95" customHeight="1">
      <c r="A375" s="421" t="str">
        <f>未审报表!A375</f>
        <v>3、现金及现金等价物净变动情况：</v>
      </c>
      <c r="B375" s="201">
        <f>未审报表!B375</f>
        <v>96</v>
      </c>
      <c r="C375" s="423"/>
      <c r="D375" s="423"/>
      <c r="E375" s="423"/>
    </row>
    <row r="376" spans="1:5" s="414" customFormat="1" ht="13.95" customHeight="1">
      <c r="A376" s="421" t="str">
        <f>未审报表!A376</f>
        <v xml:space="preserve">     现金的期末余额</v>
      </c>
      <c r="B376" s="201">
        <f>未审报表!B376</f>
        <v>97</v>
      </c>
      <c r="C376" s="643">
        <f>TB!I376</f>
        <v>0</v>
      </c>
      <c r="D376" s="643">
        <f>'TB(期初)'!I376</f>
        <v>0</v>
      </c>
    </row>
    <row r="377" spans="1:5" s="414" customFormat="1" ht="13.95" customHeight="1">
      <c r="A377" s="421" t="str">
        <f>未审报表!A377</f>
        <v xml:space="preserve">     减：现金的期初余额</v>
      </c>
      <c r="B377" s="201">
        <f>未审报表!B377</f>
        <v>98</v>
      </c>
      <c r="C377" s="643">
        <f>TB!I377</f>
        <v>0</v>
      </c>
      <c r="D377" s="643">
        <f>'TB(期初)'!I377</f>
        <v>0</v>
      </c>
    </row>
    <row r="378" spans="1:5" s="414" customFormat="1" ht="13.95" customHeight="1">
      <c r="A378" s="421" t="str">
        <f>未审报表!A378</f>
        <v xml:space="preserve">     加：现金等价物的期末余额</v>
      </c>
      <c r="B378" s="201">
        <f>未审报表!B378</f>
        <v>99</v>
      </c>
      <c r="C378" s="643">
        <f>TB!I378</f>
        <v>0</v>
      </c>
      <c r="D378" s="643">
        <f>'TB(期初)'!I378</f>
        <v>0</v>
      </c>
    </row>
    <row r="379" spans="1:5" ht="13.95" customHeight="1">
      <c r="A379" s="421" t="str">
        <f>未审报表!A379</f>
        <v xml:space="preserve">     减：现金等价物的期初余额</v>
      </c>
      <c r="B379" s="201">
        <f>未审报表!B379</f>
        <v>100</v>
      </c>
      <c r="C379" s="643">
        <f>TB!I379</f>
        <v>0</v>
      </c>
      <c r="D379" s="643">
        <f>'TB(期初)'!I379</f>
        <v>0</v>
      </c>
    </row>
    <row r="380" spans="1:5" ht="13.8">
      <c r="A380" s="421">
        <f>未审报表!A380</f>
        <v>0</v>
      </c>
      <c r="B380" s="201">
        <f>未审报表!B380</f>
        <v>101</v>
      </c>
      <c r="C380" s="423"/>
      <c r="D380" s="423"/>
    </row>
    <row r="381" spans="1:5" ht="13.8">
      <c r="A381" s="421">
        <f>未审报表!A381</f>
        <v>0</v>
      </c>
      <c r="B381" s="201">
        <f>未审报表!B381</f>
        <v>102</v>
      </c>
      <c r="C381" s="423"/>
      <c r="D381" s="423"/>
    </row>
    <row r="382" spans="1:5" ht="13.8">
      <c r="A382" s="421" t="str">
        <f>未审报表!A382</f>
        <v xml:space="preserve">     现金及现金等价物净增加额</v>
      </c>
      <c r="B382" s="201">
        <f>未审报表!B382</f>
        <v>103</v>
      </c>
      <c r="C382" s="643">
        <f>TB!I382</f>
        <v>0</v>
      </c>
      <c r="D382" s="643">
        <f>'TB(期初)'!I382</f>
        <v>0</v>
      </c>
    </row>
    <row r="383" spans="1:5" ht="13.8">
      <c r="A383" s="870"/>
      <c r="B383" s="871"/>
      <c r="C383" s="416"/>
    </row>
    <row r="384" spans="1:5" ht="13.8">
      <c r="A384" s="870"/>
      <c r="B384" s="871"/>
      <c r="C384" s="416"/>
    </row>
    <row r="385" spans="1:5" ht="13.8">
      <c r="A385" s="841" t="s">
        <v>1552</v>
      </c>
      <c r="B385" s="842"/>
      <c r="C385" s="843"/>
      <c r="D385" s="844"/>
      <c r="E385" s="843"/>
    </row>
    <row r="386" spans="1:5" ht="13.8">
      <c r="A386" s="845" t="s">
        <v>1534</v>
      </c>
      <c r="B386" s="846"/>
      <c r="C386" s="848">
        <f>C190-C127</f>
        <v>0</v>
      </c>
      <c r="D386" s="848">
        <f>D190-D127</f>
        <v>0</v>
      </c>
      <c r="E386" s="847"/>
    </row>
    <row r="387" spans="1:5" ht="13.8">
      <c r="A387" s="845" t="s">
        <v>1535</v>
      </c>
      <c r="B387" s="846"/>
      <c r="C387" s="848">
        <f>SUM(C8:C9,C12,C13,C14,C17,C20,C23,C26,C29,C32:C33,C36,C39,C42,C45,C48,C53,C56:C58,-C59)</f>
        <v>0</v>
      </c>
      <c r="D387" s="848">
        <f>SUM(D8:D9,D12,D13,D14,D17,D20,D23,D26,D29,D32:D33,D36,D39,D42,D45,D48,D53,D56:D58,-D59)</f>
        <v>0</v>
      </c>
      <c r="E387" s="847"/>
    </row>
    <row r="388" spans="1:5" ht="13.8">
      <c r="A388" s="845" t="s">
        <v>1536</v>
      </c>
      <c r="B388" s="846"/>
      <c r="C388" s="848">
        <f>SUM(C63,C66,C69,C72:C73,C76:C78,C83,C88:C89,C92,C95,C100,C105,C110,C115,C118,C121:C124,-C126)</f>
        <v>0</v>
      </c>
      <c r="D388" s="848">
        <f>SUM(D63,D66,D69,D72:D73,D76:D78,D83,D88:D89,D92,D95,D100,D105,D110,D115,D118,D121:D124,-D126)</f>
        <v>0</v>
      </c>
      <c r="E388" s="847"/>
    </row>
    <row r="389" spans="1:5" ht="13.8">
      <c r="A389" s="845" t="s">
        <v>1537</v>
      </c>
      <c r="B389" s="846"/>
      <c r="C389" s="848">
        <f>SUM(C126,C59,-C127)</f>
        <v>0</v>
      </c>
      <c r="D389" s="848">
        <f>SUM(D126,D59,-D127)</f>
        <v>0</v>
      </c>
      <c r="E389" s="847"/>
    </row>
    <row r="390" spans="1:5" ht="13.8">
      <c r="A390" s="845" t="s">
        <v>1538</v>
      </c>
      <c r="B390" s="846"/>
      <c r="C390" s="848">
        <f>SUM(C130:C157,-C151,-C150,-C148,-C146,-C145,-C144,-C158)</f>
        <v>0</v>
      </c>
      <c r="D390" s="848">
        <f>SUM(D130:D157,-D151,-D150,-D148,-D146,-D145,-D144,-D158)</f>
        <v>0</v>
      </c>
      <c r="E390" s="847"/>
    </row>
    <row r="391" spans="1:5" ht="13.8">
      <c r="A391" s="845" t="s">
        <v>1539</v>
      </c>
      <c r="B391" s="846"/>
      <c r="C391" s="848">
        <f>SUM(C160:C171,-C162,-C163,-C173)</f>
        <v>0</v>
      </c>
      <c r="D391" s="848">
        <f>SUM(D160:D171,-D162,-D163,-D173)</f>
        <v>0</v>
      </c>
      <c r="E391" s="847"/>
    </row>
    <row r="392" spans="1:5" ht="13.8">
      <c r="A392" s="845" t="s">
        <v>1540</v>
      </c>
      <c r="B392" s="846"/>
      <c r="C392" s="848">
        <f>SUM(C173,C158,-C174)</f>
        <v>0</v>
      </c>
      <c r="D392" s="848">
        <f>SUM(D173,D158,-D174)</f>
        <v>0</v>
      </c>
      <c r="E392" s="847"/>
    </row>
    <row r="393" spans="1:5" ht="13.8">
      <c r="A393" s="845" t="s">
        <v>1541</v>
      </c>
      <c r="B393" s="846"/>
      <c r="C393" s="848">
        <f>SUM(C176:C177,C180,-C181,C182:C186,-C187)</f>
        <v>0</v>
      </c>
      <c r="D393" s="848">
        <f>SUM(D176:D177,D180,-D181,D182:D186,-D187)</f>
        <v>0</v>
      </c>
      <c r="E393" s="847"/>
    </row>
    <row r="394" spans="1:5" ht="13.8">
      <c r="A394" s="845" t="s">
        <v>1542</v>
      </c>
      <c r="B394" s="846"/>
      <c r="C394" s="848">
        <f>SUM(C187,C188,-C189)</f>
        <v>0</v>
      </c>
      <c r="D394" s="848">
        <f>SUM(D187,D188,-D189)</f>
        <v>0</v>
      </c>
      <c r="E394" s="847"/>
    </row>
    <row r="395" spans="1:5" ht="13.8">
      <c r="A395" s="845" t="s">
        <v>1543</v>
      </c>
      <c r="B395" s="846"/>
      <c r="C395" s="848">
        <f>SUM(C190,-C189,-C174)</f>
        <v>3.7252902984619141E-9</v>
      </c>
      <c r="D395" s="848">
        <f>SUM(D190,-D189,-D174)</f>
        <v>0</v>
      </c>
      <c r="E395" s="847"/>
    </row>
    <row r="396" spans="1:5" ht="15.6">
      <c r="A396" s="841" t="s">
        <v>1553</v>
      </c>
      <c r="B396" s="849"/>
      <c r="C396" s="850"/>
      <c r="D396" s="850"/>
      <c r="E396" s="850"/>
    </row>
    <row r="397" spans="1:5" ht="13.8">
      <c r="A397" s="845" t="s">
        <v>1544</v>
      </c>
      <c r="B397" s="847"/>
      <c r="C397" s="848">
        <f>SUM(C192,-C198,C217:C218,C221:C226,-C227)</f>
        <v>0</v>
      </c>
      <c r="D397" s="848">
        <f>SUM(D192,-D198,D217:D218,D221:D226,-D227)</f>
        <v>0</v>
      </c>
      <c r="E397" s="847"/>
    </row>
    <row r="398" spans="1:5" ht="13.8">
      <c r="A398" s="845" t="s">
        <v>1545</v>
      </c>
      <c r="B398" s="847"/>
      <c r="C398" s="848">
        <f>SUM(C227,C228,-C230,-C231)</f>
        <v>0</v>
      </c>
      <c r="D398" s="848">
        <f>SUM(D227,D228,-D230,-D231)</f>
        <v>0</v>
      </c>
      <c r="E398" s="847"/>
    </row>
    <row r="399" spans="1:5" ht="20.25" customHeight="1">
      <c r="A399" s="845" t="s">
        <v>1546</v>
      </c>
      <c r="B399" s="847"/>
      <c r="C399" s="848">
        <f>SUM(C231,-C232,-C233)</f>
        <v>0</v>
      </c>
      <c r="D399" s="848">
        <f>SUM(D231,-D232,-D233)</f>
        <v>0</v>
      </c>
      <c r="E399" s="847"/>
    </row>
    <row r="400" spans="1:5" ht="20.25" customHeight="1">
      <c r="A400" s="845" t="s">
        <v>1547</v>
      </c>
      <c r="B400" s="847"/>
      <c r="C400" s="848">
        <f>SUM(C233,-C240,-C239)</f>
        <v>0</v>
      </c>
      <c r="D400" s="848">
        <f>SUM(D233,-D240,-D239)</f>
        <v>3.7252902984619141E-9</v>
      </c>
      <c r="E400" s="847"/>
    </row>
    <row r="401" spans="1:6" ht="20.25" customHeight="1">
      <c r="A401" s="845" t="s">
        <v>1548</v>
      </c>
      <c r="B401" s="847"/>
      <c r="C401" s="848">
        <f>SUM(C243,C249,-C242)</f>
        <v>0</v>
      </c>
      <c r="D401" s="848">
        <f>SUM(D243,D249,-D242)</f>
        <v>0</v>
      </c>
      <c r="E401" s="847"/>
    </row>
    <row r="402" spans="1:6" ht="20.25" customHeight="1">
      <c r="A402" s="845" t="s">
        <v>1549</v>
      </c>
      <c r="B402" s="847"/>
      <c r="C402" s="848">
        <f>SUM(C233,C241,-C260)</f>
        <v>0</v>
      </c>
      <c r="D402" s="848">
        <f>SUM(D233,D241,-D260)</f>
        <v>0</v>
      </c>
      <c r="E402" s="847"/>
    </row>
    <row r="403" spans="1:6" ht="20.25" customHeight="1">
      <c r="A403" s="845" t="s">
        <v>1550</v>
      </c>
      <c r="B403" s="847"/>
      <c r="C403" s="848">
        <f>SUM(C193:C197,-C192)</f>
        <v>0</v>
      </c>
      <c r="D403" s="848">
        <f>SUM(D193:D197,-D192)</f>
        <v>0</v>
      </c>
      <c r="E403" s="847"/>
    </row>
    <row r="404" spans="1:6" ht="20.25" customHeight="1">
      <c r="A404" s="845" t="s">
        <v>1551</v>
      </c>
      <c r="B404" s="847"/>
      <c r="C404" s="848">
        <f>SUM(C199:C212,C216,-C198)</f>
        <v>0</v>
      </c>
      <c r="D404" s="848">
        <f>SUM(D199:D212,D216,-D198)</f>
        <v>0</v>
      </c>
      <c r="E404" s="847"/>
    </row>
    <row r="405" spans="1:6" ht="20.25" customHeight="1">
      <c r="A405" s="841" t="s">
        <v>1591</v>
      </c>
      <c r="B405" s="851"/>
      <c r="C405" s="852"/>
      <c r="D405" s="852"/>
      <c r="E405" s="852"/>
      <c r="F405" s="40"/>
    </row>
    <row r="406" spans="1:6" ht="20.25" customHeight="1">
      <c r="A406" s="845" t="s">
        <v>1554</v>
      </c>
      <c r="B406" s="853"/>
      <c r="C406" s="848">
        <f>SUM(C294,-C306,-C307)</f>
        <v>0</v>
      </c>
      <c r="D406" s="848">
        <f>SUM(D294,-D306,-D307)</f>
        <v>0</v>
      </c>
      <c r="E406" s="854"/>
      <c r="F406" s="40"/>
    </row>
    <row r="407" spans="1:6" ht="20.25" customHeight="1">
      <c r="A407" s="845" t="s">
        <v>1555</v>
      </c>
      <c r="B407" s="853"/>
      <c r="C407" s="848">
        <f>SUM(C315,-C322,-C323)</f>
        <v>0</v>
      </c>
      <c r="D407" s="848">
        <f>SUM(D315,-D322,-D323)</f>
        <v>0</v>
      </c>
      <c r="E407" s="854"/>
      <c r="F407" s="40"/>
    </row>
    <row r="408" spans="1:6" ht="20.25" customHeight="1">
      <c r="A408" s="845" t="s">
        <v>1556</v>
      </c>
      <c r="B408" s="853"/>
      <c r="C408" s="848">
        <f>SUM(C331,-C337,-C338)</f>
        <v>0</v>
      </c>
      <c r="D408" s="848">
        <f>SUM(D331,-D337,-D338)</f>
        <v>0</v>
      </c>
      <c r="E408" s="854"/>
      <c r="F408" s="40"/>
    </row>
    <row r="409" spans="1:6" ht="20.25" customHeight="1">
      <c r="A409" s="845" t="s">
        <v>1557</v>
      </c>
      <c r="B409" s="853"/>
      <c r="C409" s="848">
        <f>SUM(C307,C323,C338,C339,-C340)</f>
        <v>0</v>
      </c>
      <c r="D409" s="848">
        <f>SUM(D307,D323,D338,D339,-D340)</f>
        <v>0</v>
      </c>
      <c r="E409" s="854"/>
      <c r="F409" s="40"/>
    </row>
    <row r="410" spans="1:6" ht="20.25" customHeight="1">
      <c r="A410" s="845" t="s">
        <v>1558</v>
      </c>
      <c r="B410" s="853"/>
      <c r="C410" s="848">
        <f>SUM(C340,C341,-C342)</f>
        <v>0</v>
      </c>
      <c r="D410" s="848">
        <f>SUM(D340,D341,-D342)</f>
        <v>0</v>
      </c>
      <c r="E410" s="854"/>
      <c r="F410" s="40"/>
    </row>
    <row r="411" spans="1:6" ht="20.25" customHeight="1">
      <c r="A411" s="855" t="s">
        <v>1559</v>
      </c>
      <c r="B411" s="853"/>
      <c r="C411" s="848">
        <f>SUM(C345:C364,-C366)</f>
        <v>0</v>
      </c>
      <c r="D411" s="848">
        <f>SUM(D345:D364,-D366)</f>
        <v>0</v>
      </c>
      <c r="E411" s="854"/>
      <c r="F411" s="40"/>
    </row>
    <row r="412" spans="1:6" ht="20.25" customHeight="1">
      <c r="A412" s="845" t="s">
        <v>1560</v>
      </c>
      <c r="B412" s="853"/>
      <c r="C412" s="848">
        <f>SUM(C376,-C377,C378,-C379,-C382)</f>
        <v>0</v>
      </c>
      <c r="D412" s="848">
        <f>SUM(D376,-D377,D378,-D379,-D382)</f>
        <v>0</v>
      </c>
      <c r="E412" s="854"/>
      <c r="F412" s="40"/>
    </row>
    <row r="413" spans="1:6" ht="20.25" customHeight="1">
      <c r="A413" s="845" t="s">
        <v>1561</v>
      </c>
      <c r="B413" s="853"/>
      <c r="C413" s="848">
        <f>SUM(C366,-C307)</f>
        <v>32477874.120000005</v>
      </c>
      <c r="D413" s="848">
        <f>SUM(D366,-D307)</f>
        <v>21221252.779999997</v>
      </c>
      <c r="E413" s="854"/>
      <c r="F413" s="40"/>
    </row>
    <row r="414" spans="1:6" ht="20.25" customHeight="1">
      <c r="A414" s="845" t="s">
        <v>1562</v>
      </c>
      <c r="B414" s="853"/>
      <c r="C414" s="848">
        <f>SUM(C382,-C340)</f>
        <v>0</v>
      </c>
      <c r="D414" s="848">
        <f>SUM(D382,-D340)</f>
        <v>0</v>
      </c>
      <c r="E414" s="854"/>
      <c r="F414" s="40"/>
    </row>
    <row r="415" spans="1:6" ht="20.25" customHeight="1">
      <c r="A415" s="845" t="s">
        <v>1563</v>
      </c>
      <c r="B415" s="853"/>
      <c r="C415" s="848">
        <f>SUM(C345,-C233)</f>
        <v>3.7252902984619141E-9</v>
      </c>
      <c r="D415" s="848">
        <f>SUM(D345,-D233)</f>
        <v>-3.7252902984619141E-9</v>
      </c>
      <c r="E415" s="854"/>
      <c r="F415" s="40"/>
    </row>
    <row r="416" spans="1:6" ht="20.25" customHeight="1">
      <c r="A416" s="845" t="s">
        <v>1593</v>
      </c>
      <c r="B416" s="853"/>
      <c r="C416" s="848">
        <f>SUM(C349,C224)</f>
        <v>0</v>
      </c>
      <c r="D416" s="848">
        <f>SUM(D349,D224)</f>
        <v>1724647.26</v>
      </c>
      <c r="E416" s="854"/>
      <c r="F416" s="40"/>
    </row>
    <row r="417" spans="1:6" ht="20.25" customHeight="1">
      <c r="A417" s="845" t="s">
        <v>1592</v>
      </c>
      <c r="B417" s="853"/>
      <c r="C417" s="848">
        <f>SUM(C348,C225)</f>
        <v>0</v>
      </c>
      <c r="D417" s="848">
        <f>SUM(D348,D225)</f>
        <v>0</v>
      </c>
      <c r="E417" s="854"/>
      <c r="F417" s="40"/>
    </row>
    <row r="418" spans="1:6" ht="20.25" customHeight="1">
      <c r="A418" s="845" t="s">
        <v>1564</v>
      </c>
      <c r="B418" s="853"/>
      <c r="C418" s="848">
        <f>SUM(C356,C223)</f>
        <v>0</v>
      </c>
      <c r="D418" s="848">
        <f>SUM(D356,D223)</f>
        <v>0</v>
      </c>
      <c r="E418" s="854"/>
      <c r="F418" s="40"/>
    </row>
    <row r="419" spans="1:6" ht="20.25" customHeight="1">
      <c r="A419" s="845" t="s">
        <v>1565</v>
      </c>
      <c r="B419" s="853"/>
      <c r="C419" s="848">
        <f>SUM(C358,C218)</f>
        <v>23067226.620000001</v>
      </c>
      <c r="D419" s="848"/>
      <c r="E419" s="854"/>
      <c r="F419" s="40"/>
    </row>
    <row r="420" spans="1:6" ht="20.25" customHeight="1">
      <c r="A420" s="845" t="s">
        <v>1566</v>
      </c>
      <c r="B420" s="853"/>
      <c r="C420" s="848">
        <f>SUM(C359,C123,-D123)</f>
        <v>-96633.9</v>
      </c>
      <c r="D420" s="848">
        <f>SUM(D359,D123,-E123)</f>
        <v>354277.86</v>
      </c>
      <c r="E420" s="854"/>
      <c r="F420" s="40"/>
    </row>
    <row r="421" spans="1:6" ht="20.25" customHeight="1">
      <c r="A421" s="845" t="s">
        <v>1567</v>
      </c>
      <c r="B421" s="853"/>
      <c r="C421" s="848">
        <f>SUM(C360,D170,-C170)</f>
        <v>0</v>
      </c>
      <c r="D421" s="848">
        <f>SUM(D360,E170,-D170)</f>
        <v>0</v>
      </c>
      <c r="E421" s="854"/>
      <c r="F421" s="40"/>
    </row>
    <row r="422" spans="1:6" ht="20.25" customHeight="1">
      <c r="A422" s="845" t="s">
        <v>1594</v>
      </c>
      <c r="B422" s="853"/>
      <c r="C422" s="848">
        <f>SUM(C361,C46,-D46)</f>
        <v>8526796.3200000003</v>
      </c>
      <c r="D422" s="848">
        <f>SUM(D361,D46,-E46)</f>
        <v>0</v>
      </c>
      <c r="E422" s="854"/>
      <c r="F422" s="40"/>
    </row>
    <row r="423" spans="1:6" ht="20.25" customHeight="1">
      <c r="A423" s="845" t="s">
        <v>1568</v>
      </c>
      <c r="B423" s="853"/>
      <c r="C423" s="848">
        <f>SUM(C376-C8)</f>
        <v>-17053592.640000001</v>
      </c>
      <c r="D423" s="848">
        <f>SUM(D376-D8)</f>
        <v>-645471.34999999928</v>
      </c>
      <c r="E423" s="854"/>
      <c r="F423" s="40"/>
    </row>
    <row r="424" spans="1:6" ht="20.25" customHeight="1">
      <c r="A424" s="845" t="s">
        <v>1569</v>
      </c>
      <c r="B424" s="853"/>
      <c r="C424" s="848">
        <f>SUM(C377,-D8)</f>
        <v>-645471.34999999928</v>
      </c>
      <c r="D424" s="848"/>
      <c r="E424" s="854"/>
      <c r="F424" s="40"/>
    </row>
    <row r="425" spans="1:6" ht="20.25" customHeight="1">
      <c r="A425" s="856" t="s">
        <v>1570</v>
      </c>
      <c r="B425" s="857"/>
      <c r="C425" s="872"/>
      <c r="D425" s="872"/>
      <c r="E425" s="857"/>
      <c r="F425" s="843"/>
    </row>
    <row r="426" spans="1:6" ht="20.25" customHeight="1">
      <c r="A426" s="858" t="s">
        <v>1571</v>
      </c>
      <c r="B426" s="859"/>
      <c r="C426" s="860"/>
      <c r="D426" s="859"/>
      <c r="E426" s="860"/>
      <c r="F426" s="40"/>
    </row>
    <row r="427" spans="1:6" ht="20.25" customHeight="1">
      <c r="A427" s="858" t="s">
        <v>1572</v>
      </c>
      <c r="B427" s="859"/>
      <c r="C427" s="860"/>
      <c r="D427" s="859"/>
      <c r="E427" s="860"/>
      <c r="F427" s="40"/>
    </row>
    <row r="428" spans="1:6" ht="20.25" customHeight="1">
      <c r="A428" s="858" t="s">
        <v>1573</v>
      </c>
      <c r="B428" s="859"/>
      <c r="C428" s="860"/>
      <c r="D428" s="859"/>
      <c r="E428" s="860"/>
      <c r="F428" s="40"/>
    </row>
    <row r="429" spans="1:6" ht="20.25" customHeight="1">
      <c r="A429" s="858" t="s">
        <v>1574</v>
      </c>
      <c r="B429" s="859"/>
      <c r="C429" s="860"/>
      <c r="D429" s="859"/>
      <c r="E429" s="860"/>
      <c r="F429" s="40"/>
    </row>
    <row r="430" spans="1:6" ht="20.25" customHeight="1">
      <c r="A430" s="858" t="s">
        <v>1575</v>
      </c>
      <c r="B430" s="859"/>
      <c r="C430" s="860"/>
      <c r="D430" s="859"/>
      <c r="E430" s="860"/>
      <c r="F430" s="40"/>
    </row>
    <row r="431" spans="1:6" ht="20.25" customHeight="1">
      <c r="A431" s="861" t="s">
        <v>1576</v>
      </c>
      <c r="B431" s="862"/>
      <c r="C431" s="862"/>
      <c r="D431" s="842"/>
      <c r="E431" s="862"/>
      <c r="F431" s="40"/>
    </row>
    <row r="432" spans="1:6" ht="20.25" customHeight="1">
      <c r="A432" s="863" t="s">
        <v>1577</v>
      </c>
      <c r="B432" s="864"/>
      <c r="C432" s="864"/>
      <c r="D432" s="864"/>
      <c r="E432" s="866"/>
      <c r="F432" s="867"/>
    </row>
    <row r="433" spans="1:6" ht="20.25" customHeight="1">
      <c r="A433" s="865" t="s">
        <v>1578</v>
      </c>
      <c r="B433" s="866"/>
      <c r="C433" s="866"/>
      <c r="D433" s="866"/>
      <c r="E433" s="866"/>
      <c r="F433" s="867"/>
    </row>
    <row r="434" spans="1:6" ht="20.25" customHeight="1">
      <c r="A434" s="865" t="s">
        <v>1579</v>
      </c>
      <c r="B434" s="866"/>
      <c r="C434" s="866"/>
      <c r="D434" s="866"/>
      <c r="E434" s="866"/>
      <c r="F434" s="867"/>
    </row>
    <row r="435" spans="1:6" ht="20.25" customHeight="1">
      <c r="A435" s="865" t="s">
        <v>1580</v>
      </c>
      <c r="B435" s="866"/>
      <c r="C435" s="866"/>
      <c r="D435" s="866"/>
      <c r="E435" s="866"/>
      <c r="F435" s="867"/>
    </row>
    <row r="436" spans="1:6" ht="20.25" customHeight="1">
      <c r="A436" s="865" t="s">
        <v>1581</v>
      </c>
      <c r="B436" s="866"/>
      <c r="C436" s="866"/>
      <c r="D436" s="866"/>
      <c r="E436" s="866"/>
      <c r="F436" s="867"/>
    </row>
    <row r="437" spans="1:6" ht="20.25" customHeight="1">
      <c r="A437" s="865" t="s">
        <v>1582</v>
      </c>
      <c r="B437" s="866"/>
      <c r="C437" s="866"/>
      <c r="D437" s="866"/>
      <c r="E437" s="866"/>
      <c r="F437" s="867"/>
    </row>
    <row r="438" spans="1:6" ht="20.25" customHeight="1">
      <c r="A438" s="868" t="s">
        <v>1583</v>
      </c>
      <c r="B438" s="869"/>
      <c r="C438" s="869"/>
      <c r="D438" s="869"/>
      <c r="E438" s="866"/>
      <c r="F438" s="867"/>
    </row>
    <row r="439" spans="1:6" ht="20.25" customHeight="1">
      <c r="A439" s="861" t="s">
        <v>1584</v>
      </c>
      <c r="B439" s="851"/>
      <c r="C439" s="852"/>
      <c r="D439" s="852"/>
      <c r="E439" s="852"/>
      <c r="F439" s="40"/>
    </row>
    <row r="440" spans="1:6" ht="20.25" customHeight="1">
      <c r="A440" s="858" t="s">
        <v>1585</v>
      </c>
      <c r="B440" s="859"/>
      <c r="C440" s="860"/>
      <c r="D440" s="859"/>
      <c r="E440" s="860"/>
      <c r="F440" s="860"/>
    </row>
    <row r="441" spans="1:6" ht="20.25" customHeight="1">
      <c r="A441" s="858" t="s">
        <v>1586</v>
      </c>
      <c r="B441" s="859"/>
      <c r="C441" s="860"/>
      <c r="D441" s="859"/>
      <c r="E441" s="860"/>
      <c r="F441" s="860"/>
    </row>
    <row r="442" spans="1:6" ht="20.25" customHeight="1">
      <c r="A442" s="858" t="s">
        <v>1587</v>
      </c>
      <c r="B442" s="859"/>
      <c r="C442" s="860"/>
      <c r="D442" s="859"/>
      <c r="E442" s="860"/>
      <c r="F442" s="860"/>
    </row>
    <row r="443" spans="1:6" ht="20.25" customHeight="1">
      <c r="A443" s="858" t="s">
        <v>1580</v>
      </c>
      <c r="B443" s="859"/>
      <c r="C443" s="860"/>
      <c r="D443" s="859"/>
      <c r="E443" s="860"/>
      <c r="F443" s="860"/>
    </row>
    <row r="444" spans="1:6" ht="20.25" customHeight="1">
      <c r="A444" s="858" t="s">
        <v>1588</v>
      </c>
      <c r="B444" s="859"/>
      <c r="C444" s="860"/>
      <c r="D444" s="859"/>
      <c r="E444" s="860"/>
      <c r="F444" s="860"/>
    </row>
    <row r="445" spans="1:6" ht="20.25" customHeight="1">
      <c r="A445" s="858" t="s">
        <v>1589</v>
      </c>
      <c r="B445" s="859"/>
      <c r="C445" s="860"/>
      <c r="D445" s="859"/>
      <c r="E445" s="860"/>
      <c r="F445" s="860"/>
    </row>
    <row r="446" spans="1:6" ht="20.25" customHeight="1">
      <c r="A446" s="858" t="s">
        <v>1590</v>
      </c>
      <c r="B446" s="859"/>
      <c r="C446" s="860"/>
      <c r="D446" s="859"/>
      <c r="E446" s="860"/>
      <c r="F446" s="860"/>
    </row>
  </sheetData>
  <sheetProtection formatCells="0" insertRows="0" autoFilter="0" pivotTables="0"/>
  <mergeCells count="2">
    <mergeCell ref="A1:D1"/>
    <mergeCell ref="A3:C3"/>
  </mergeCells>
  <phoneticPr fontId="4" type="noConversion"/>
  <printOptions horizontalCentered="1" verticalCentered="1"/>
  <pageMargins left="0.59055118110236227" right="0.39370078740157483" top="0.28999999999999998" bottom="0.27" header="0.22" footer="0.35"/>
  <pageSetup paperSize="9" scale="87" fitToHeight="0" orientation="portrait" horizontalDpi="360" r:id="rId1"/>
  <headerFooter alignWithMargins="0"/>
  <rowBreaks count="2" manualBreakCount="2">
    <brk id="277" max="3" man="1"/>
    <brk id="347" max="3" man="1"/>
  </row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dimension ref="A1:H265"/>
  <sheetViews>
    <sheetView view="pageBreakPreview" zoomScaleSheetLayoutView="100" workbookViewId="0">
      <selection activeCell="G208" sqref="G208"/>
    </sheetView>
  </sheetViews>
  <sheetFormatPr defaultColWidth="7" defaultRowHeight="13.2"/>
  <cols>
    <col min="1" max="1" width="41" style="227" customWidth="1"/>
    <col min="2" max="2" width="4.69921875" style="882" customWidth="1"/>
    <col min="3" max="3" width="15.09765625" style="277" customWidth="1"/>
    <col min="4" max="4" width="47.19921875" style="213" customWidth="1"/>
    <col min="5" max="5" width="14.69921875" style="261" customWidth="1"/>
    <col min="6" max="16384" width="7" style="213"/>
  </cols>
  <sheetData>
    <row r="1" spans="1:5" ht="16.5" customHeight="1">
      <c r="A1" s="1100" t="s">
        <v>162</v>
      </c>
      <c r="B1" s="1101"/>
      <c r="C1" s="1101"/>
      <c r="D1" s="1101"/>
      <c r="E1" s="1102"/>
    </row>
    <row r="2" spans="1:5" s="214" customFormat="1" ht="16.5" customHeight="1">
      <c r="A2" s="1103" t="s">
        <v>163</v>
      </c>
      <c r="B2" s="1104"/>
      <c r="C2" s="1104"/>
      <c r="D2" s="1104"/>
      <c r="E2" s="1104"/>
    </row>
    <row r="3" spans="1:5" s="214" customFormat="1" ht="16.5" customHeight="1">
      <c r="A3" s="70" t="str">
        <f>CONCATENATE("客户名称：",参数!D3)</f>
        <v>客户名称：二锅头</v>
      </c>
      <c r="B3" s="440" t="str">
        <f>CONCATENATE("编制：",参数!D17)</f>
        <v>编制：张</v>
      </c>
      <c r="C3" s="215"/>
      <c r="D3" s="73" t="str">
        <f ca="1">CONCATENATE("日期：",TEXT(NOW(),"yyyy.mm.dd"))</f>
        <v>日期：2025.11.06</v>
      </c>
      <c r="E3" s="319" t="s">
        <v>417</v>
      </c>
    </row>
    <row r="4" spans="1:5" s="214" customFormat="1" ht="16.5" customHeight="1">
      <c r="A4" s="135" t="str">
        <f>CONCATENATE("会计期间：",TEXT(参数!D10,"yyyy.mm.dd"))</f>
        <v>会计期间：2022年度</v>
      </c>
      <c r="B4" s="440" t="str">
        <f>CONCATENATE("复核：",参数!D18)</f>
        <v>复核：刘</v>
      </c>
      <c r="C4" s="215"/>
      <c r="D4" s="71" t="s">
        <v>13</v>
      </c>
      <c r="E4" s="217" t="s">
        <v>165</v>
      </c>
    </row>
    <row r="5" spans="1:5" s="220" customFormat="1" ht="24" customHeight="1">
      <c r="A5" s="1105" t="s">
        <v>166</v>
      </c>
      <c r="B5" s="875" t="s">
        <v>24</v>
      </c>
      <c r="C5" s="218" t="s">
        <v>167</v>
      </c>
      <c r="D5" s="218" t="s">
        <v>168</v>
      </c>
      <c r="E5" s="219"/>
    </row>
    <row r="6" spans="1:5" s="220" customFormat="1" ht="16.5" customHeight="1">
      <c r="A6" s="1106"/>
      <c r="B6" s="876"/>
      <c r="C6" s="221" t="s">
        <v>169</v>
      </c>
      <c r="D6" s="221" t="s">
        <v>170</v>
      </c>
      <c r="E6" s="222"/>
    </row>
    <row r="7" spans="1:5" s="227" customFormat="1" ht="16.5" customHeight="1">
      <c r="A7" s="223" t="s">
        <v>171</v>
      </c>
      <c r="B7" s="877">
        <f>审定报表!B279</f>
        <v>1</v>
      </c>
      <c r="C7" s="224"/>
      <c r="D7" s="225"/>
      <c r="E7" s="226"/>
    </row>
    <row r="8" spans="1:5" ht="16.5" customHeight="1">
      <c r="A8" s="228" t="s">
        <v>172</v>
      </c>
      <c r="B8" s="877">
        <f>审定报表!B280</f>
        <v>2</v>
      </c>
      <c r="C8" s="229">
        <f>E21</f>
        <v>34051901.329999998</v>
      </c>
      <c r="D8" s="230" t="s">
        <v>173</v>
      </c>
      <c r="E8" s="229">
        <f>审定报表!C193+审定报表!C194</f>
        <v>35656228.109999999</v>
      </c>
    </row>
    <row r="9" spans="1:5" ht="16.5" customHeight="1">
      <c r="A9" s="228"/>
      <c r="B9" s="878"/>
      <c r="C9" s="231"/>
      <c r="D9" s="230" t="s">
        <v>174</v>
      </c>
      <c r="E9" s="229">
        <f>审定报表!D18-审定报表!C18</f>
        <v>-2593286.7800000012</v>
      </c>
    </row>
    <row r="10" spans="1:5" ht="16.5" customHeight="1">
      <c r="A10" s="228"/>
      <c r="B10" s="878"/>
      <c r="C10" s="231"/>
      <c r="D10" s="230" t="s">
        <v>175</v>
      </c>
      <c r="E10" s="229">
        <f>审定报表!D15-审定报表!C15</f>
        <v>0</v>
      </c>
    </row>
    <row r="11" spans="1:5" ht="16.5" customHeight="1">
      <c r="A11" s="228"/>
      <c r="B11" s="878"/>
      <c r="C11" s="231"/>
      <c r="D11" s="230" t="s">
        <v>176</v>
      </c>
      <c r="E11" s="229">
        <f>审定报表!C137-审定报表!D137</f>
        <v>988960.00000000023</v>
      </c>
    </row>
    <row r="12" spans="1:5" ht="16.5" customHeight="1">
      <c r="A12" s="228"/>
      <c r="B12" s="878"/>
      <c r="C12" s="231"/>
      <c r="D12" s="241" t="s">
        <v>1595</v>
      </c>
      <c r="E12" s="229"/>
    </row>
    <row r="13" spans="1:5" ht="16.5" customHeight="1">
      <c r="A13" s="228"/>
      <c r="B13" s="878"/>
      <c r="C13" s="231"/>
      <c r="D13" s="241" t="s">
        <v>1596</v>
      </c>
      <c r="E13" s="229">
        <f>审定报表!D51-审定报表!C51</f>
        <v>0</v>
      </c>
    </row>
    <row r="14" spans="1:5" ht="16.5" customHeight="1">
      <c r="A14" s="228"/>
      <c r="B14" s="878"/>
      <c r="C14" s="231"/>
      <c r="D14" s="256" t="s">
        <v>1597</v>
      </c>
      <c r="E14" s="237">
        <f>审定报表!D70-审定报表!C70</f>
        <v>0</v>
      </c>
    </row>
    <row r="15" spans="1:5" ht="16.5" customHeight="1">
      <c r="A15" s="228"/>
      <c r="B15" s="878"/>
      <c r="C15" s="231"/>
      <c r="D15" s="230" t="s">
        <v>177</v>
      </c>
      <c r="E15" s="230"/>
    </row>
    <row r="16" spans="1:5" ht="16.5" customHeight="1">
      <c r="A16" s="228"/>
      <c r="B16" s="878"/>
      <c r="C16" s="231"/>
      <c r="D16" s="230" t="s">
        <v>178</v>
      </c>
      <c r="E16" s="230"/>
    </row>
    <row r="17" spans="1:5" ht="16.5" customHeight="1">
      <c r="A17" s="228"/>
      <c r="B17" s="878"/>
      <c r="C17" s="231"/>
      <c r="D17" s="230" t="s">
        <v>179</v>
      </c>
      <c r="E17" s="230"/>
    </row>
    <row r="18" spans="1:5" ht="16.5" customHeight="1">
      <c r="A18" s="228"/>
      <c r="B18" s="878"/>
      <c r="C18" s="231"/>
      <c r="D18" s="230" t="s">
        <v>180</v>
      </c>
      <c r="E18" s="230"/>
    </row>
    <row r="19" spans="1:5" ht="16.5" customHeight="1">
      <c r="A19" s="228"/>
      <c r="B19" s="878"/>
      <c r="C19" s="231"/>
      <c r="D19" s="230" t="s">
        <v>181</v>
      </c>
      <c r="E19" s="230"/>
    </row>
    <row r="20" spans="1:5" ht="16.5" customHeight="1">
      <c r="A20" s="228"/>
      <c r="B20" s="878"/>
      <c r="C20" s="231"/>
      <c r="D20" s="230" t="s">
        <v>182</v>
      </c>
      <c r="E20" s="230"/>
    </row>
    <row r="21" spans="1:5" ht="16.5" customHeight="1">
      <c r="A21" s="228"/>
      <c r="B21" s="878"/>
      <c r="C21" s="231"/>
      <c r="D21" s="232" t="s">
        <v>183</v>
      </c>
      <c r="E21" s="233">
        <f>SUM(E8:E15,-E16,-E17,-E18,E19,E20)</f>
        <v>34051901.329999998</v>
      </c>
    </row>
    <row r="22" spans="1:5" ht="16.5" customHeight="1">
      <c r="A22" s="657" t="s">
        <v>1214</v>
      </c>
      <c r="B22" s="878"/>
      <c r="C22" s="229">
        <f>C8-审定报表!C280</f>
        <v>34051901.329999998</v>
      </c>
      <c r="D22" s="230"/>
      <c r="E22" s="658">
        <f>E21-审定报表!C280</f>
        <v>34051901.329999998</v>
      </c>
    </row>
    <row r="23" spans="1:5" ht="16.5" customHeight="1">
      <c r="A23" s="234" t="s">
        <v>184</v>
      </c>
      <c r="B23" s="877">
        <f>审定报表!B291</f>
        <v>13</v>
      </c>
      <c r="C23" s="229">
        <f>E31</f>
        <v>0</v>
      </c>
      <c r="D23" s="236" t="s">
        <v>185</v>
      </c>
      <c r="E23" s="229">
        <f>E24+E25</f>
        <v>0</v>
      </c>
    </row>
    <row r="24" spans="1:5" ht="27" customHeight="1">
      <c r="A24" s="234"/>
      <c r="B24" s="878"/>
      <c r="C24" s="237"/>
      <c r="D24" s="238" t="s">
        <v>186</v>
      </c>
      <c r="E24" s="239"/>
    </row>
    <row r="25" spans="1:5" ht="16.5" customHeight="1">
      <c r="A25" s="234"/>
      <c r="B25" s="878"/>
      <c r="C25" s="237"/>
      <c r="D25" s="240" t="s">
        <v>187</v>
      </c>
      <c r="E25" s="239"/>
    </row>
    <row r="26" spans="1:5" ht="16.5" customHeight="1">
      <c r="A26" s="234"/>
      <c r="B26" s="878"/>
      <c r="C26" s="237"/>
      <c r="D26" s="241" t="s">
        <v>188</v>
      </c>
      <c r="E26" s="229">
        <f>E27</f>
        <v>0</v>
      </c>
    </row>
    <row r="27" spans="1:5" ht="16.5" customHeight="1">
      <c r="A27" s="234"/>
      <c r="B27" s="878"/>
      <c r="C27" s="237"/>
      <c r="D27" s="240" t="s">
        <v>189</v>
      </c>
      <c r="E27" s="239"/>
    </row>
    <row r="28" spans="1:5" ht="16.5" customHeight="1">
      <c r="A28" s="234"/>
      <c r="B28" s="878"/>
      <c r="C28" s="237"/>
      <c r="D28" s="241" t="s">
        <v>190</v>
      </c>
      <c r="E28" s="229">
        <f>E29</f>
        <v>0</v>
      </c>
    </row>
    <row r="29" spans="1:5" ht="16.5" customHeight="1">
      <c r="A29" s="234"/>
      <c r="B29" s="878"/>
      <c r="C29" s="237"/>
      <c r="D29" s="240" t="s">
        <v>191</v>
      </c>
      <c r="E29" s="239"/>
    </row>
    <row r="30" spans="1:5" ht="16.5" customHeight="1">
      <c r="A30" s="234"/>
      <c r="B30" s="878"/>
      <c r="C30" s="237"/>
      <c r="D30" s="230" t="s">
        <v>182</v>
      </c>
      <c r="E30" s="239"/>
    </row>
    <row r="31" spans="1:5" ht="16.5" customHeight="1">
      <c r="A31" s="228"/>
      <c r="B31" s="878"/>
      <c r="C31" s="231"/>
      <c r="D31" s="232" t="s">
        <v>183</v>
      </c>
      <c r="E31" s="233">
        <f>E23+E26+E28+E30</f>
        <v>0</v>
      </c>
    </row>
    <row r="32" spans="1:5" ht="16.5" customHeight="1">
      <c r="A32" s="657" t="s">
        <v>1214</v>
      </c>
      <c r="B32" s="878"/>
      <c r="C32" s="229">
        <f>C23-审定报表!C291</f>
        <v>0</v>
      </c>
      <c r="D32" s="241"/>
      <c r="E32" s="242">
        <f>E31-审定报表!C291</f>
        <v>0</v>
      </c>
    </row>
    <row r="33" spans="1:5" ht="16.5" customHeight="1">
      <c r="A33" s="234" t="s">
        <v>192</v>
      </c>
      <c r="B33" s="884">
        <f>审定报表!B292</f>
        <v>14</v>
      </c>
      <c r="C33" s="229">
        <f>E39</f>
        <v>0</v>
      </c>
      <c r="D33" s="241" t="s">
        <v>1598</v>
      </c>
      <c r="E33" s="239"/>
    </row>
    <row r="34" spans="1:5" ht="16.5" customHeight="1">
      <c r="A34" s="234"/>
      <c r="B34" s="878"/>
      <c r="C34" s="237"/>
      <c r="D34" s="241" t="s">
        <v>193</v>
      </c>
      <c r="E34" s="239"/>
    </row>
    <row r="35" spans="1:5" ht="16.5" customHeight="1">
      <c r="A35" s="234"/>
      <c r="B35" s="878"/>
      <c r="C35" s="237"/>
      <c r="D35" s="241" t="s">
        <v>194</v>
      </c>
      <c r="E35" s="239"/>
    </row>
    <row r="36" spans="1:5" ht="16.5" customHeight="1">
      <c r="A36" s="234"/>
      <c r="B36" s="878"/>
      <c r="C36" s="237"/>
      <c r="D36" s="241" t="s">
        <v>1599</v>
      </c>
      <c r="E36" s="239"/>
    </row>
    <row r="37" spans="1:5" ht="16.5" customHeight="1">
      <c r="A37" s="234"/>
      <c r="B37" s="878"/>
      <c r="C37" s="237"/>
      <c r="D37" s="241" t="s">
        <v>1600</v>
      </c>
      <c r="E37" s="239"/>
    </row>
    <row r="38" spans="1:5" ht="16.5" customHeight="1">
      <c r="A38" s="234"/>
      <c r="B38" s="878"/>
      <c r="C38" s="237"/>
      <c r="D38" s="230" t="s">
        <v>182</v>
      </c>
      <c r="E38" s="239"/>
    </row>
    <row r="39" spans="1:5" ht="16.5" customHeight="1">
      <c r="A39" s="234"/>
      <c r="B39" s="878"/>
      <c r="C39" s="237"/>
      <c r="D39" s="232" t="s">
        <v>183</v>
      </c>
      <c r="E39" s="233">
        <f>SUM(E33:E38)</f>
        <v>0</v>
      </c>
    </row>
    <row r="40" spans="1:5" ht="16.5" customHeight="1">
      <c r="A40" s="657" t="s">
        <v>1214</v>
      </c>
      <c r="B40" s="878"/>
      <c r="C40" s="229">
        <f>C33-审定报表!C292</f>
        <v>0</v>
      </c>
      <c r="D40" s="243"/>
      <c r="E40" s="242">
        <f>E39-审定报表!C292</f>
        <v>0</v>
      </c>
    </row>
    <row r="41" spans="1:5" s="227" customFormat="1" ht="16.5" customHeight="1">
      <c r="A41" s="244" t="s">
        <v>195</v>
      </c>
      <c r="B41" s="878">
        <f>审定报表!B294</f>
        <v>16</v>
      </c>
      <c r="C41" s="235">
        <f>C8+C23+C33</f>
        <v>34051901.329999998</v>
      </c>
      <c r="D41" s="245"/>
      <c r="E41" s="246"/>
    </row>
    <row r="42" spans="1:5" s="227" customFormat="1" ht="16.5" customHeight="1">
      <c r="A42" s="657" t="s">
        <v>1214</v>
      </c>
      <c r="B42" s="878"/>
      <c r="C42" s="659">
        <f>C41-审定报表!C294</f>
        <v>34051901.329999998</v>
      </c>
      <c r="D42" s="245"/>
      <c r="E42" s="246"/>
    </row>
    <row r="43" spans="1:5" ht="16.5" customHeight="1">
      <c r="A43" s="234" t="s">
        <v>196</v>
      </c>
      <c r="B43" s="878">
        <f>审定报表!B295</f>
        <v>17</v>
      </c>
      <c r="C43" s="229">
        <f>E60</f>
        <v>0</v>
      </c>
      <c r="D43" s="241" t="s">
        <v>197</v>
      </c>
      <c r="E43" s="242">
        <f>审定报表!C199+审定报表!C200</f>
        <v>11533749.48</v>
      </c>
    </row>
    <row r="44" spans="1:5" ht="16.5" customHeight="1">
      <c r="A44" s="234"/>
      <c r="B44" s="878"/>
      <c r="C44" s="231"/>
      <c r="D44" s="241" t="s">
        <v>1602</v>
      </c>
      <c r="E44" s="242">
        <f>审定报表!D46-审定报表!C46</f>
        <v>-8526796.3200000003</v>
      </c>
    </row>
    <row r="45" spans="1:5" ht="16.5" customHeight="1">
      <c r="A45" s="234"/>
      <c r="B45" s="878"/>
      <c r="C45" s="231"/>
      <c r="D45" s="241" t="s">
        <v>1842</v>
      </c>
      <c r="E45" s="242">
        <f>审定报表!C136-审定报表!D136</f>
        <v>9234616.1099999994</v>
      </c>
    </row>
    <row r="46" spans="1:5" ht="16.5" customHeight="1">
      <c r="A46" s="234"/>
      <c r="B46" s="878"/>
      <c r="C46" s="231"/>
      <c r="D46" s="241" t="s">
        <v>1601</v>
      </c>
      <c r="E46" s="242">
        <f>审定报表!C25-审定报表!D25</f>
        <v>0</v>
      </c>
    </row>
    <row r="47" spans="1:5" ht="16.5" customHeight="1">
      <c r="A47" s="234"/>
      <c r="B47" s="878"/>
      <c r="C47" s="231"/>
      <c r="D47" s="241" t="s">
        <v>1603</v>
      </c>
      <c r="E47" s="242">
        <f>审定报表!C135-审定报表!D135</f>
        <v>0</v>
      </c>
    </row>
    <row r="48" spans="1:5" ht="16.5" customHeight="1">
      <c r="A48" s="234"/>
      <c r="B48" s="878"/>
      <c r="C48" s="231"/>
      <c r="D48" s="241" t="s">
        <v>198</v>
      </c>
      <c r="E48" s="239"/>
    </row>
    <row r="49" spans="1:5" ht="16.5" customHeight="1">
      <c r="A49" s="234"/>
      <c r="B49" s="878"/>
      <c r="C49" s="231"/>
      <c r="D49" s="241" t="s">
        <v>199</v>
      </c>
      <c r="E49" s="239"/>
    </row>
    <row r="50" spans="1:5" ht="16.5" customHeight="1">
      <c r="A50" s="234"/>
      <c r="B50" s="878"/>
      <c r="C50" s="231"/>
      <c r="D50" s="241" t="s">
        <v>200</v>
      </c>
      <c r="E50" s="239"/>
    </row>
    <row r="51" spans="1:5" ht="16.5" customHeight="1">
      <c r="A51" s="234"/>
      <c r="B51" s="878"/>
      <c r="C51" s="231"/>
      <c r="D51" s="241" t="s">
        <v>1604</v>
      </c>
      <c r="E51" s="242">
        <f>CF附表核查!H62</f>
        <v>0</v>
      </c>
    </row>
    <row r="52" spans="1:5" ht="16.5" customHeight="1">
      <c r="A52" s="234"/>
      <c r="B52" s="878"/>
      <c r="C52" s="231"/>
      <c r="D52" s="241" t="s">
        <v>1843</v>
      </c>
      <c r="E52" s="242">
        <f>CF附表核查!H68</f>
        <v>0</v>
      </c>
    </row>
    <row r="53" spans="1:5" ht="16.5" customHeight="1">
      <c r="A53" s="234"/>
      <c r="B53" s="878"/>
      <c r="C53" s="231"/>
      <c r="D53" s="241" t="s">
        <v>201</v>
      </c>
      <c r="E53" s="239"/>
    </row>
    <row r="54" spans="1:5" ht="16.5" customHeight="1">
      <c r="A54" s="234"/>
      <c r="B54" s="878"/>
      <c r="C54" s="231"/>
      <c r="D54" s="241" t="s">
        <v>202</v>
      </c>
      <c r="E54" s="239"/>
    </row>
    <row r="55" spans="1:5" ht="16.5" customHeight="1">
      <c r="A55" s="234"/>
      <c r="B55" s="878"/>
      <c r="C55" s="231"/>
      <c r="D55" s="241" t="s">
        <v>203</v>
      </c>
      <c r="E55" s="239"/>
    </row>
    <row r="56" spans="1:5" ht="16.5" customHeight="1">
      <c r="A56" s="234"/>
      <c r="B56" s="878"/>
      <c r="C56" s="231"/>
      <c r="D56" s="241" t="s">
        <v>204</v>
      </c>
      <c r="E56" s="239"/>
    </row>
    <row r="57" spans="1:5" ht="16.5" customHeight="1">
      <c r="A57" s="234"/>
      <c r="B57" s="878"/>
      <c r="C57" s="231"/>
      <c r="D57" s="241" t="s">
        <v>205</v>
      </c>
      <c r="E57" s="239"/>
    </row>
    <row r="58" spans="1:5" ht="16.5" customHeight="1">
      <c r="A58" s="234"/>
      <c r="B58" s="878"/>
      <c r="C58" s="231"/>
      <c r="D58" s="241" t="s">
        <v>206</v>
      </c>
      <c r="E58" s="239"/>
    </row>
    <row r="59" spans="1:5" ht="16.5" customHeight="1">
      <c r="A59" s="234"/>
      <c r="B59" s="878"/>
      <c r="C59" s="231"/>
      <c r="D59" s="241" t="s">
        <v>183</v>
      </c>
      <c r="E59" s="233">
        <f>SUM(E43,-E44,-E45,E46,-E47,-E48,E49,-E50,E51,E52,-E53,-E54,-E55,E56,E57,E58)</f>
        <v>10825929.690000001</v>
      </c>
    </row>
    <row r="60" spans="1:5" ht="16.5" customHeight="1">
      <c r="A60" s="234"/>
      <c r="B60" s="878"/>
      <c r="C60" s="231"/>
      <c r="D60" s="247"/>
      <c r="E60" s="248"/>
    </row>
    <row r="61" spans="1:5" ht="16.5" customHeight="1">
      <c r="A61" s="234" t="s">
        <v>207</v>
      </c>
      <c r="B61" s="878">
        <f>审定报表!B302</f>
        <v>24</v>
      </c>
      <c r="C61" s="229">
        <f>E67</f>
        <v>0</v>
      </c>
      <c r="D61" s="241" t="s">
        <v>208</v>
      </c>
      <c r="E61" s="250"/>
    </row>
    <row r="62" spans="1:5" ht="25.5" customHeight="1">
      <c r="A62" s="234"/>
      <c r="B62" s="878"/>
      <c r="C62" s="237"/>
      <c r="D62" s="249" t="s">
        <v>209</v>
      </c>
      <c r="E62" s="250"/>
    </row>
    <row r="63" spans="1:5" ht="25.5" customHeight="1">
      <c r="A63" s="234"/>
      <c r="B63" s="878"/>
      <c r="C63" s="237"/>
      <c r="D63" s="249" t="s">
        <v>1605</v>
      </c>
      <c r="E63" s="250"/>
    </row>
    <row r="64" spans="1:5" ht="25.5" customHeight="1">
      <c r="A64" s="234"/>
      <c r="B64" s="878"/>
      <c r="C64" s="237"/>
      <c r="D64" s="249" t="s">
        <v>1606</v>
      </c>
      <c r="E64" s="250"/>
    </row>
    <row r="65" spans="1:5" ht="25.5" customHeight="1">
      <c r="A65" s="234"/>
      <c r="B65" s="878"/>
      <c r="C65" s="237"/>
      <c r="D65" s="249" t="s">
        <v>1607</v>
      </c>
      <c r="E65" s="250"/>
    </row>
    <row r="66" spans="1:5" ht="16.5" customHeight="1">
      <c r="A66" s="234"/>
      <c r="B66" s="878"/>
      <c r="C66" s="231"/>
      <c r="D66" s="241" t="s">
        <v>210</v>
      </c>
      <c r="E66" s="250"/>
    </row>
    <row r="67" spans="1:5" ht="16.5" customHeight="1">
      <c r="A67" s="234"/>
      <c r="B67" s="878"/>
      <c r="C67" s="231"/>
      <c r="D67" s="241" t="s">
        <v>211</v>
      </c>
      <c r="E67" s="233">
        <f>SUM(E61,-E62,E63,E64,E65,E66)</f>
        <v>0</v>
      </c>
    </row>
    <row r="68" spans="1:5" ht="16.5" customHeight="1">
      <c r="A68" s="234"/>
      <c r="B68" s="878"/>
      <c r="C68" s="231"/>
      <c r="D68" s="247"/>
      <c r="E68" s="248"/>
    </row>
    <row r="69" spans="1:5" ht="16.5" customHeight="1">
      <c r="A69" s="234" t="s">
        <v>212</v>
      </c>
      <c r="B69" s="878">
        <f>审定报表!B303</f>
        <v>25</v>
      </c>
      <c r="C69" s="229">
        <f>E72</f>
        <v>0</v>
      </c>
      <c r="D69" s="241" t="s">
        <v>213</v>
      </c>
      <c r="E69" s="248"/>
    </row>
    <row r="70" spans="1:5" ht="16.5" customHeight="1">
      <c r="A70" s="234"/>
      <c r="B70" s="878"/>
      <c r="C70" s="237"/>
      <c r="D70" s="241" t="s">
        <v>214</v>
      </c>
      <c r="E70" s="248"/>
    </row>
    <row r="71" spans="1:5" s="252" customFormat="1" ht="19.5" customHeight="1">
      <c r="A71" s="251"/>
      <c r="B71" s="879"/>
      <c r="C71" s="237"/>
      <c r="D71" s="241" t="s">
        <v>215</v>
      </c>
      <c r="E71" s="239"/>
    </row>
    <row r="72" spans="1:5" ht="16.5" customHeight="1">
      <c r="A72" s="234"/>
      <c r="B72" s="878"/>
      <c r="C72" s="231"/>
      <c r="D72" s="241" t="s">
        <v>183</v>
      </c>
      <c r="E72" s="233">
        <f>E69-E70+E71</f>
        <v>0</v>
      </c>
    </row>
    <row r="73" spans="1:5" ht="16.5" customHeight="1">
      <c r="A73" s="234"/>
      <c r="B73" s="878"/>
      <c r="C73" s="231"/>
      <c r="D73" s="247"/>
      <c r="E73" s="250"/>
    </row>
    <row r="74" spans="1:5" ht="19.5" customHeight="1">
      <c r="A74" s="234" t="s">
        <v>216</v>
      </c>
      <c r="B74" s="878">
        <f>审定报表!B304</f>
        <v>26</v>
      </c>
      <c r="C74" s="229">
        <f>E88</f>
        <v>13154047.73</v>
      </c>
      <c r="D74" s="249" t="s">
        <v>217</v>
      </c>
      <c r="E74" s="242">
        <f>审定报表!C210</f>
        <v>13154047.73</v>
      </c>
    </row>
    <row r="75" spans="1:5" ht="17.25" customHeight="1">
      <c r="A75" s="234"/>
      <c r="B75" s="878"/>
      <c r="C75" s="231"/>
      <c r="D75" s="249" t="s">
        <v>218</v>
      </c>
      <c r="E75" s="250"/>
    </row>
    <row r="76" spans="1:5" ht="17.25" customHeight="1">
      <c r="A76" s="234"/>
      <c r="B76" s="878"/>
      <c r="C76" s="231"/>
      <c r="D76" s="249" t="s">
        <v>219</v>
      </c>
      <c r="E76" s="250"/>
    </row>
    <row r="77" spans="1:5" ht="17.25" customHeight="1">
      <c r="A77" s="234"/>
      <c r="B77" s="878"/>
      <c r="C77" s="231"/>
      <c r="D77" s="249" t="s">
        <v>220</v>
      </c>
      <c r="E77" s="250"/>
    </row>
    <row r="78" spans="1:5" ht="17.25" customHeight="1">
      <c r="A78" s="234"/>
      <c r="B78" s="878"/>
      <c r="C78" s="231"/>
      <c r="D78" s="249" t="s">
        <v>221</v>
      </c>
      <c r="E78" s="242">
        <f>审定报表!C209</f>
        <v>0</v>
      </c>
    </row>
    <row r="79" spans="1:5" ht="17.25" customHeight="1">
      <c r="A79" s="234"/>
      <c r="B79" s="878"/>
      <c r="C79" s="231"/>
      <c r="D79" s="249" t="s">
        <v>222</v>
      </c>
      <c r="E79" s="250"/>
    </row>
    <row r="80" spans="1:5" ht="17.25" customHeight="1">
      <c r="A80" s="234"/>
      <c r="B80" s="878"/>
      <c r="C80" s="231"/>
      <c r="D80" s="249" t="s">
        <v>223</v>
      </c>
      <c r="E80" s="250"/>
    </row>
    <row r="81" spans="1:5" ht="17.25" customHeight="1">
      <c r="A81" s="234"/>
      <c r="B81" s="878"/>
      <c r="C81" s="231"/>
      <c r="D81" s="249" t="s">
        <v>224</v>
      </c>
      <c r="E81" s="250"/>
    </row>
    <row r="82" spans="1:5" s="252" customFormat="1" ht="17.25" customHeight="1">
      <c r="A82" s="251"/>
      <c r="B82" s="879"/>
      <c r="C82" s="237"/>
      <c r="D82" s="249" t="s">
        <v>225</v>
      </c>
      <c r="E82" s="239"/>
    </row>
    <row r="83" spans="1:5" s="252" customFormat="1" ht="17.25" customHeight="1">
      <c r="A83" s="251"/>
      <c r="B83" s="879"/>
      <c r="C83" s="237"/>
      <c r="D83" s="249" t="s">
        <v>1608</v>
      </c>
      <c r="E83" s="242">
        <f>审定报表!C211</f>
        <v>0</v>
      </c>
    </row>
    <row r="84" spans="1:5" s="252" customFormat="1" ht="17.25" customHeight="1">
      <c r="A84" s="251"/>
      <c r="B84" s="879"/>
      <c r="C84" s="237"/>
      <c r="D84" s="249" t="s">
        <v>1609</v>
      </c>
      <c r="E84" s="239"/>
    </row>
    <row r="85" spans="1:5" s="252" customFormat="1" ht="17.25" customHeight="1">
      <c r="A85" s="251"/>
      <c r="B85" s="879"/>
      <c r="C85" s="237"/>
      <c r="D85" s="249" t="s">
        <v>1610</v>
      </c>
      <c r="E85" s="239"/>
    </row>
    <row r="86" spans="1:5" s="252" customFormat="1" ht="17.25" customHeight="1">
      <c r="A86" s="251"/>
      <c r="B86" s="879"/>
      <c r="C86" s="237"/>
      <c r="D86" s="249" t="s">
        <v>1611</v>
      </c>
      <c r="E86" s="239"/>
    </row>
    <row r="87" spans="1:5" s="252" customFormat="1" ht="17.25" customHeight="1">
      <c r="A87" s="251"/>
      <c r="B87" s="879"/>
      <c r="C87" s="237"/>
      <c r="D87" s="241" t="s">
        <v>226</v>
      </c>
      <c r="E87" s="239"/>
    </row>
    <row r="88" spans="1:5" s="252" customFormat="1" ht="17.25" customHeight="1">
      <c r="A88" s="251"/>
      <c r="B88" s="879"/>
      <c r="C88" s="237"/>
      <c r="D88" s="241" t="s">
        <v>227</v>
      </c>
      <c r="E88" s="233">
        <f>SUM(E74,-E75,-E76,-E77,E78,-E79,-E80,-E81,E82,E83,-E84,-E85,-E86,-E87)</f>
        <v>13154047.73</v>
      </c>
    </row>
    <row r="89" spans="1:5" s="252" customFormat="1" ht="17.25" customHeight="1">
      <c r="A89" s="251"/>
      <c r="B89" s="879"/>
      <c r="C89" s="237"/>
      <c r="D89" s="243"/>
      <c r="E89" s="239"/>
    </row>
    <row r="90" spans="1:5" s="227" customFormat="1" ht="16.5" customHeight="1">
      <c r="A90" s="244" t="s">
        <v>228</v>
      </c>
      <c r="B90" s="878">
        <f>审定报表!B306</f>
        <v>28</v>
      </c>
      <c r="C90" s="253">
        <f>SUM(C43:C74)</f>
        <v>13154047.73</v>
      </c>
      <c r="D90" s="254"/>
      <c r="E90" s="226"/>
    </row>
    <row r="91" spans="1:5" s="227" customFormat="1" ht="16.5" customHeight="1">
      <c r="A91" s="260" t="s">
        <v>229</v>
      </c>
      <c r="B91" s="878">
        <f>审定报表!B307</f>
        <v>29</v>
      </c>
      <c r="C91" s="253">
        <f>SUM(-C90,C41)</f>
        <v>20897853.599999998</v>
      </c>
      <c r="D91" s="254"/>
      <c r="E91" s="226"/>
    </row>
    <row r="92" spans="1:5" s="227" customFormat="1" ht="16.5" customHeight="1">
      <c r="A92" s="223" t="s">
        <v>230</v>
      </c>
      <c r="B92" s="878">
        <f>审定报表!B308</f>
        <v>30</v>
      </c>
      <c r="C92" s="224"/>
      <c r="D92" s="254"/>
      <c r="E92" s="226"/>
    </row>
    <row r="93" spans="1:5" ht="16.5" customHeight="1">
      <c r="A93" s="234" t="s">
        <v>231</v>
      </c>
      <c r="B93" s="878">
        <f>审定报表!B309</f>
        <v>31</v>
      </c>
      <c r="C93" s="253">
        <f>E98</f>
        <v>0</v>
      </c>
      <c r="D93" s="241" t="s">
        <v>1612</v>
      </c>
      <c r="E93" s="250"/>
    </row>
    <row r="94" spans="1:5" s="252" customFormat="1" ht="16.5" customHeight="1">
      <c r="A94" s="251"/>
      <c r="B94" s="879"/>
      <c r="C94" s="237"/>
      <c r="D94" s="241" t="s">
        <v>232</v>
      </c>
      <c r="E94" s="239"/>
    </row>
    <row r="95" spans="1:5" s="252" customFormat="1" ht="27" customHeight="1">
      <c r="A95" s="251"/>
      <c r="B95" s="879"/>
      <c r="C95" s="237"/>
      <c r="D95" s="873" t="s">
        <v>233</v>
      </c>
      <c r="E95" s="239"/>
    </row>
    <row r="96" spans="1:5" s="252" customFormat="1" ht="16.5" customHeight="1">
      <c r="A96" s="251"/>
      <c r="B96" s="879"/>
      <c r="C96" s="237"/>
      <c r="D96" s="874" t="s">
        <v>234</v>
      </c>
      <c r="E96" s="239"/>
    </row>
    <row r="97" spans="1:5" s="252" customFormat="1" ht="16.5" customHeight="1">
      <c r="A97" s="251"/>
      <c r="B97" s="879"/>
      <c r="C97" s="237"/>
      <c r="D97" s="874" t="s">
        <v>235</v>
      </c>
      <c r="E97" s="239"/>
    </row>
    <row r="98" spans="1:5" s="252" customFormat="1" ht="16.5" customHeight="1">
      <c r="A98" s="251"/>
      <c r="B98" s="879"/>
      <c r="C98" s="237"/>
      <c r="D98" s="241" t="s">
        <v>211</v>
      </c>
      <c r="E98" s="233">
        <f>SUM(E93:E97)</f>
        <v>0</v>
      </c>
    </row>
    <row r="99" spans="1:5" s="252" customFormat="1" ht="16.5" customHeight="1">
      <c r="A99" s="251"/>
      <c r="B99" s="879"/>
      <c r="C99" s="237"/>
      <c r="D99" s="243"/>
      <c r="E99" s="239"/>
    </row>
    <row r="100" spans="1:5" ht="16.5" customHeight="1">
      <c r="A100" s="234" t="s">
        <v>236</v>
      </c>
      <c r="B100" s="878">
        <f>审定报表!B310</f>
        <v>32</v>
      </c>
      <c r="C100" s="229">
        <f>E106</f>
        <v>-22310798.02</v>
      </c>
      <c r="D100" s="241" t="s">
        <v>1614</v>
      </c>
      <c r="E100" s="239"/>
    </row>
    <row r="101" spans="1:5" ht="16.5" customHeight="1">
      <c r="A101" s="234"/>
      <c r="B101" s="878"/>
      <c r="C101" s="237"/>
      <c r="D101" s="241" t="s">
        <v>1615</v>
      </c>
      <c r="E101" s="239"/>
    </row>
    <row r="102" spans="1:5" ht="16.5" customHeight="1">
      <c r="A102" s="234"/>
      <c r="B102" s="878"/>
      <c r="C102" s="237"/>
      <c r="D102" s="241" t="s">
        <v>1616</v>
      </c>
      <c r="E102" s="239"/>
    </row>
    <row r="103" spans="1:5" ht="16.5" customHeight="1">
      <c r="A103" s="234"/>
      <c r="B103" s="878"/>
      <c r="C103" s="237"/>
      <c r="D103" s="241" t="s">
        <v>1617</v>
      </c>
      <c r="E103" s="239"/>
    </row>
    <row r="104" spans="1:5" s="252" customFormat="1" ht="15.6" customHeight="1">
      <c r="A104" s="251"/>
      <c r="B104" s="879"/>
      <c r="C104" s="237"/>
      <c r="D104" s="249" t="s">
        <v>1624</v>
      </c>
      <c r="E104" s="239">
        <f>审定报表!D37-审定报表!C37</f>
        <v>-22310798.02</v>
      </c>
    </row>
    <row r="105" spans="1:5" s="252" customFormat="1" ht="16.5" customHeight="1">
      <c r="A105" s="251"/>
      <c r="B105" s="879"/>
      <c r="C105" s="237"/>
      <c r="D105" s="241" t="s">
        <v>1625</v>
      </c>
      <c r="E105" s="239"/>
    </row>
    <row r="106" spans="1:5" s="252" customFormat="1" ht="16.5" customHeight="1">
      <c r="A106" s="251"/>
      <c r="B106" s="879"/>
      <c r="C106" s="237"/>
      <c r="D106" s="241" t="s">
        <v>211</v>
      </c>
      <c r="E106" s="233">
        <f>SUM(E100:E105)</f>
        <v>-22310798.02</v>
      </c>
    </row>
    <row r="107" spans="1:5" s="252" customFormat="1" ht="16.5" customHeight="1">
      <c r="A107" s="251"/>
      <c r="B107" s="879"/>
      <c r="C107" s="237"/>
      <c r="D107" s="243"/>
      <c r="E107" s="239"/>
    </row>
    <row r="108" spans="1:5" ht="16.5" customHeight="1">
      <c r="A108" s="234" t="s">
        <v>237</v>
      </c>
      <c r="B108" s="878">
        <f>审定报表!B311</f>
        <v>33</v>
      </c>
      <c r="C108" s="229">
        <f>E111</f>
        <v>0</v>
      </c>
      <c r="D108" s="247" t="s">
        <v>1618</v>
      </c>
      <c r="E108" s="250"/>
    </row>
    <row r="109" spans="1:5" s="252" customFormat="1" ht="16.5" customHeight="1">
      <c r="A109" s="251"/>
      <c r="B109" s="879"/>
      <c r="C109" s="237"/>
      <c r="D109" s="241" t="s">
        <v>1619</v>
      </c>
      <c r="E109" s="239"/>
    </row>
    <row r="110" spans="1:5" s="252" customFormat="1" ht="16.5" customHeight="1">
      <c r="A110" s="251"/>
      <c r="B110" s="879"/>
      <c r="C110" s="237"/>
      <c r="D110" s="243" t="s">
        <v>1620</v>
      </c>
      <c r="E110" s="239"/>
    </row>
    <row r="111" spans="1:5" s="252" customFormat="1" ht="16.5" customHeight="1">
      <c r="A111" s="251"/>
      <c r="B111" s="879"/>
      <c r="C111" s="237"/>
      <c r="D111" s="256" t="s">
        <v>1621</v>
      </c>
      <c r="E111" s="233">
        <f>SUM(E108:E110)</f>
        <v>0</v>
      </c>
    </row>
    <row r="112" spans="1:5" ht="16.5" customHeight="1">
      <c r="A112" s="885" t="s">
        <v>238</v>
      </c>
      <c r="B112" s="878">
        <f>审定报表!B312</f>
        <v>34</v>
      </c>
      <c r="C112" s="229">
        <f>E115</f>
        <v>0</v>
      </c>
      <c r="D112" s="247" t="s">
        <v>1622</v>
      </c>
      <c r="E112" s="250"/>
    </row>
    <row r="113" spans="1:5" ht="16.5" customHeight="1">
      <c r="A113" s="255"/>
      <c r="B113" s="878"/>
      <c r="C113" s="237"/>
      <c r="D113" s="241" t="s">
        <v>1626</v>
      </c>
      <c r="E113" s="250"/>
    </row>
    <row r="114" spans="1:5" ht="16.5" customHeight="1">
      <c r="A114" s="255"/>
      <c r="B114" s="878"/>
      <c r="C114" s="237"/>
      <c r="D114" s="241" t="s">
        <v>1627</v>
      </c>
      <c r="E114" s="250"/>
    </row>
    <row r="115" spans="1:5" ht="16.5" customHeight="1">
      <c r="A115" s="255"/>
      <c r="B115" s="878"/>
      <c r="C115" s="237"/>
      <c r="D115" s="241"/>
      <c r="E115" s="233">
        <f>SUM(E112,-E113,-E114)</f>
        <v>0</v>
      </c>
    </row>
    <row r="116" spans="1:5" ht="16.5" customHeight="1">
      <c r="A116" s="234" t="s">
        <v>239</v>
      </c>
      <c r="B116" s="878">
        <f>审定报表!B313</f>
        <v>35</v>
      </c>
      <c r="C116" s="229">
        <f>E120</f>
        <v>0</v>
      </c>
      <c r="D116" s="241" t="s">
        <v>1635</v>
      </c>
      <c r="E116" s="250"/>
    </row>
    <row r="117" spans="1:5" s="252" customFormat="1" ht="16.5" customHeight="1">
      <c r="A117" s="251"/>
      <c r="B117" s="879"/>
      <c r="C117" s="237"/>
      <c r="D117" s="256" t="s">
        <v>1636</v>
      </c>
      <c r="E117" s="239"/>
    </row>
    <row r="118" spans="1:5" s="252" customFormat="1" ht="16.5" customHeight="1">
      <c r="A118" s="251"/>
      <c r="B118" s="879"/>
      <c r="C118" s="237"/>
      <c r="D118" s="256" t="s">
        <v>1637</v>
      </c>
      <c r="E118" s="239"/>
    </row>
    <row r="119" spans="1:5" s="252" customFormat="1" ht="16.5" customHeight="1">
      <c r="A119" s="251"/>
      <c r="B119" s="879"/>
      <c r="C119" s="237"/>
      <c r="D119" s="243" t="s">
        <v>1638</v>
      </c>
      <c r="E119" s="239"/>
    </row>
    <row r="120" spans="1:5" s="252" customFormat="1" ht="16.5" customHeight="1">
      <c r="A120" s="251"/>
      <c r="B120" s="879"/>
      <c r="C120" s="237"/>
      <c r="D120" s="241" t="s">
        <v>240</v>
      </c>
      <c r="E120" s="233">
        <f>SUM(E116:E119)</f>
        <v>0</v>
      </c>
    </row>
    <row r="121" spans="1:5" s="252" customFormat="1" ht="16.5" customHeight="1">
      <c r="A121" s="251"/>
      <c r="B121" s="879"/>
      <c r="C121" s="237"/>
      <c r="D121" s="243"/>
      <c r="E121" s="239"/>
    </row>
    <row r="122" spans="1:5" s="227" customFormat="1" ht="16.5" customHeight="1">
      <c r="A122" s="244" t="s">
        <v>241</v>
      </c>
      <c r="B122" s="878">
        <f>审定报表!B315</f>
        <v>37</v>
      </c>
      <c r="C122" s="253">
        <f>SUM(C93:C116)</f>
        <v>-22310798.02</v>
      </c>
      <c r="D122" s="254"/>
      <c r="E122" s="226"/>
    </row>
    <row r="123" spans="1:5" ht="16.5" customHeight="1">
      <c r="A123" s="234" t="s">
        <v>242</v>
      </c>
      <c r="B123" s="878">
        <f>审定报表!B316</f>
        <v>38</v>
      </c>
      <c r="C123" s="229">
        <f>E135</f>
        <v>0</v>
      </c>
      <c r="D123" s="247" t="s">
        <v>243</v>
      </c>
      <c r="E123" s="250"/>
    </row>
    <row r="124" spans="1:5" ht="16.5" customHeight="1">
      <c r="A124" s="234"/>
      <c r="B124" s="878"/>
      <c r="C124" s="231"/>
      <c r="D124" s="241" t="s">
        <v>244</v>
      </c>
      <c r="E124" s="250"/>
    </row>
    <row r="125" spans="1:5" ht="17.25" customHeight="1">
      <c r="A125" s="234"/>
      <c r="B125" s="878"/>
      <c r="C125" s="231"/>
      <c r="D125" s="241" t="s">
        <v>245</v>
      </c>
      <c r="E125" s="250"/>
    </row>
    <row r="126" spans="1:5" ht="17.25" customHeight="1">
      <c r="A126" s="234"/>
      <c r="B126" s="878"/>
      <c r="C126" s="231"/>
      <c r="D126" s="241" t="s">
        <v>246</v>
      </c>
      <c r="E126" s="250"/>
    </row>
    <row r="127" spans="1:5" ht="16.5" customHeight="1">
      <c r="A127" s="234"/>
      <c r="B127" s="878"/>
      <c r="C127" s="231"/>
      <c r="D127" s="256" t="s">
        <v>247</v>
      </c>
      <c r="E127" s="250"/>
    </row>
    <row r="128" spans="1:5" ht="16.5" customHeight="1">
      <c r="A128" s="234"/>
      <c r="B128" s="878"/>
      <c r="C128" s="231"/>
      <c r="D128" s="256" t="s">
        <v>248</v>
      </c>
      <c r="E128" s="250"/>
    </row>
    <row r="129" spans="1:5" ht="16.5" customHeight="1">
      <c r="A129" s="234"/>
      <c r="B129" s="878"/>
      <c r="C129" s="231"/>
      <c r="D129" s="256" t="s">
        <v>249</v>
      </c>
      <c r="E129" s="250"/>
    </row>
    <row r="130" spans="1:5" ht="16.5" customHeight="1">
      <c r="A130" s="234"/>
      <c r="B130" s="878"/>
      <c r="C130" s="231"/>
      <c r="D130" s="256" t="s">
        <v>250</v>
      </c>
      <c r="E130" s="250"/>
    </row>
    <row r="131" spans="1:5" ht="16.5" customHeight="1">
      <c r="A131" s="234"/>
      <c r="B131" s="878"/>
      <c r="C131" s="231"/>
      <c r="D131" s="241" t="s">
        <v>251</v>
      </c>
      <c r="E131" s="250"/>
    </row>
    <row r="132" spans="1:5" ht="16.5" customHeight="1">
      <c r="A132" s="234"/>
      <c r="B132" s="878"/>
      <c r="C132" s="231"/>
      <c r="D132" s="256" t="s">
        <v>252</v>
      </c>
      <c r="E132" s="250"/>
    </row>
    <row r="133" spans="1:5" ht="16.5" customHeight="1">
      <c r="A133" s="234"/>
      <c r="B133" s="878"/>
      <c r="C133" s="231"/>
      <c r="D133" s="256" t="s">
        <v>253</v>
      </c>
      <c r="E133" s="250"/>
    </row>
    <row r="134" spans="1:5" ht="16.5" customHeight="1">
      <c r="A134" s="234"/>
      <c r="B134" s="878"/>
      <c r="C134" s="231"/>
      <c r="D134" s="256" t="s">
        <v>254</v>
      </c>
      <c r="E134" s="250"/>
    </row>
    <row r="135" spans="1:5" ht="16.5" customHeight="1">
      <c r="A135" s="234"/>
      <c r="B135" s="878"/>
      <c r="C135" s="231"/>
      <c r="D135" s="241" t="s">
        <v>227</v>
      </c>
      <c r="E135" s="233">
        <f>SUM(E123:E134)</f>
        <v>0</v>
      </c>
    </row>
    <row r="136" spans="1:5" ht="16.5" customHeight="1">
      <c r="A136" s="234"/>
      <c r="B136" s="878"/>
      <c r="C136" s="231"/>
      <c r="D136" s="241"/>
      <c r="E136" s="248"/>
    </row>
    <row r="137" spans="1:5" ht="16.5" customHeight="1">
      <c r="A137" s="234" t="s">
        <v>255</v>
      </c>
      <c r="B137" s="878">
        <f>审定报表!B317</f>
        <v>39</v>
      </c>
      <c r="C137" s="257">
        <f>E142</f>
        <v>0</v>
      </c>
      <c r="D137" s="258" t="s">
        <v>1628</v>
      </c>
      <c r="E137" s="250"/>
    </row>
    <row r="138" spans="1:5" s="252" customFormat="1" ht="16.5" customHeight="1">
      <c r="A138" s="251"/>
      <c r="B138" s="879"/>
      <c r="C138" s="259"/>
      <c r="D138" s="258" t="s">
        <v>1629</v>
      </c>
      <c r="E138" s="239"/>
    </row>
    <row r="139" spans="1:5" s="252" customFormat="1" ht="16.5" customHeight="1">
      <c r="A139" s="251"/>
      <c r="B139" s="879"/>
      <c r="C139" s="259"/>
      <c r="D139" s="258" t="s">
        <v>1630</v>
      </c>
      <c r="E139" s="239"/>
    </row>
    <row r="140" spans="1:5" s="252" customFormat="1" ht="16.5" customHeight="1">
      <c r="A140" s="251"/>
      <c r="B140" s="879"/>
      <c r="C140" s="259"/>
      <c r="D140" s="258" t="s">
        <v>1631</v>
      </c>
      <c r="E140" s="239"/>
    </row>
    <row r="141" spans="1:5" s="252" customFormat="1" ht="16.5" customHeight="1">
      <c r="A141" s="251"/>
      <c r="B141" s="879"/>
      <c r="C141" s="259"/>
      <c r="D141" s="258" t="s">
        <v>256</v>
      </c>
      <c r="E141" s="239"/>
    </row>
    <row r="142" spans="1:5" s="252" customFormat="1" ht="16.5" customHeight="1">
      <c r="A142" s="251"/>
      <c r="B142" s="879"/>
      <c r="C142" s="237"/>
      <c r="D142" s="241" t="s">
        <v>227</v>
      </c>
      <c r="E142" s="233">
        <f>SUM(E137:E141)</f>
        <v>0</v>
      </c>
    </row>
    <row r="143" spans="1:5" s="252" customFormat="1" ht="16.5" customHeight="1">
      <c r="A143" s="251"/>
      <c r="B143" s="879"/>
      <c r="C143" s="237"/>
      <c r="D143" s="243"/>
      <c r="E143" s="239"/>
    </row>
    <row r="144" spans="1:5" ht="16.5" customHeight="1">
      <c r="A144" s="885" t="s">
        <v>257</v>
      </c>
      <c r="B144" s="878">
        <f>审定报表!B319</f>
        <v>41</v>
      </c>
      <c r="C144" s="257">
        <f>E147</f>
        <v>0</v>
      </c>
      <c r="D144" s="258" t="s">
        <v>1632</v>
      </c>
      <c r="E144" s="250"/>
    </row>
    <row r="145" spans="1:5" ht="16.5" customHeight="1">
      <c r="A145" s="255"/>
      <c r="B145" s="878"/>
      <c r="C145" s="231"/>
      <c r="D145" s="247" t="s">
        <v>1633</v>
      </c>
      <c r="E145" s="250"/>
    </row>
    <row r="146" spans="1:5" ht="16.5" customHeight="1">
      <c r="A146" s="255"/>
      <c r="B146" s="878"/>
      <c r="C146" s="231"/>
      <c r="D146" s="247" t="s">
        <v>1634</v>
      </c>
      <c r="E146" s="250"/>
    </row>
    <row r="147" spans="1:5" ht="16.5" customHeight="1">
      <c r="A147" s="255"/>
      <c r="B147" s="878"/>
      <c r="C147" s="231"/>
      <c r="D147" s="247"/>
      <c r="E147" s="233">
        <f>SUM(E144,E145,-E146)</f>
        <v>0</v>
      </c>
    </row>
    <row r="148" spans="1:5" ht="16.5" customHeight="1">
      <c r="A148" s="234" t="s">
        <v>258</v>
      </c>
      <c r="B148" s="878">
        <f>审定报表!B320</f>
        <v>42</v>
      </c>
      <c r="C148" s="257">
        <f>E153</f>
        <v>0</v>
      </c>
      <c r="D148" s="241" t="s">
        <v>1639</v>
      </c>
      <c r="E148" s="886"/>
    </row>
    <row r="149" spans="1:5" s="252" customFormat="1" ht="16.5" customHeight="1">
      <c r="A149" s="251"/>
      <c r="B149" s="879"/>
      <c r="C149" s="259"/>
      <c r="D149" s="256" t="s">
        <v>1640</v>
      </c>
      <c r="E149" s="886"/>
    </row>
    <row r="150" spans="1:5" s="252" customFormat="1" ht="16.5" customHeight="1">
      <c r="A150" s="251"/>
      <c r="B150" s="879"/>
      <c r="C150" s="259"/>
      <c r="D150" s="256" t="s">
        <v>1641</v>
      </c>
      <c r="E150" s="886"/>
    </row>
    <row r="151" spans="1:5" ht="16.5" customHeight="1">
      <c r="A151" s="234"/>
      <c r="B151" s="878"/>
      <c r="C151" s="231"/>
      <c r="D151" s="241" t="s">
        <v>1642</v>
      </c>
      <c r="E151" s="886"/>
    </row>
    <row r="152" spans="1:5" ht="16.5" customHeight="1">
      <c r="A152" s="234"/>
      <c r="B152" s="878"/>
      <c r="C152" s="231"/>
      <c r="D152" s="258" t="s">
        <v>206</v>
      </c>
      <c r="E152" s="886"/>
    </row>
    <row r="153" spans="1:5" ht="16.5" customHeight="1">
      <c r="A153" s="234"/>
      <c r="B153" s="878"/>
      <c r="C153" s="231"/>
      <c r="D153" s="241" t="s">
        <v>1643</v>
      </c>
      <c r="E153" s="233">
        <f>SUM(E148:E152)</f>
        <v>0</v>
      </c>
    </row>
    <row r="154" spans="1:5" s="227" customFormat="1" ht="16.5" customHeight="1">
      <c r="A154" s="244" t="s">
        <v>259</v>
      </c>
      <c r="B154" s="878">
        <f>审定报表!B322</f>
        <v>44</v>
      </c>
      <c r="C154" s="253">
        <f>SUM(C123:C148)</f>
        <v>0</v>
      </c>
      <c r="D154" s="254"/>
      <c r="E154" s="226"/>
    </row>
    <row r="155" spans="1:5" s="227" customFormat="1" ht="16.5" customHeight="1">
      <c r="A155" s="260" t="s">
        <v>260</v>
      </c>
      <c r="B155" s="878">
        <f>审定报表!B323</f>
        <v>45</v>
      </c>
      <c r="C155" s="253">
        <f>SUM(-C154,C122)</f>
        <v>-22310798.02</v>
      </c>
      <c r="D155" s="254"/>
      <c r="E155" s="226"/>
    </row>
    <row r="156" spans="1:5" s="227" customFormat="1" ht="16.5" customHeight="1">
      <c r="A156" s="223" t="s">
        <v>261</v>
      </c>
      <c r="B156" s="878">
        <f>审定报表!B324</f>
        <v>46</v>
      </c>
      <c r="C156" s="224"/>
      <c r="D156" s="254"/>
      <c r="E156" s="226"/>
    </row>
    <row r="157" spans="1:5" ht="16.5" customHeight="1">
      <c r="A157" s="234" t="s">
        <v>262</v>
      </c>
      <c r="B157" s="878">
        <f>审定报表!B325</f>
        <v>47</v>
      </c>
      <c r="C157" s="229"/>
      <c r="D157" s="241" t="s">
        <v>263</v>
      </c>
      <c r="E157" s="242">
        <f>审定报表!C176-审定报表!D176</f>
        <v>3350000</v>
      </c>
    </row>
    <row r="158" spans="1:5" ht="16.5" customHeight="1">
      <c r="A158" s="234"/>
      <c r="B158" s="878"/>
      <c r="C158" s="231"/>
      <c r="D158" s="241" t="s">
        <v>264</v>
      </c>
      <c r="E158" s="239"/>
    </row>
    <row r="159" spans="1:5" ht="16.5" customHeight="1">
      <c r="A159" s="234"/>
      <c r="B159" s="878"/>
      <c r="C159" s="231"/>
      <c r="D159" s="241" t="s">
        <v>206</v>
      </c>
      <c r="E159" s="239"/>
    </row>
    <row r="160" spans="1:5" ht="16.5" customHeight="1">
      <c r="A160" s="234"/>
      <c r="B160" s="878"/>
      <c r="C160" s="231"/>
      <c r="D160" s="241"/>
    </row>
    <row r="161" spans="1:5" ht="16.5" customHeight="1">
      <c r="A161" s="234"/>
      <c r="B161" s="878"/>
      <c r="C161" s="231"/>
      <c r="D161" s="241" t="s">
        <v>183</v>
      </c>
      <c r="E161" s="233">
        <f>SUM(E157:E160)</f>
        <v>3350000</v>
      </c>
    </row>
    <row r="162" spans="1:5" ht="16.5" customHeight="1">
      <c r="A162" s="234"/>
      <c r="B162" s="878"/>
      <c r="C162" s="231"/>
      <c r="D162" s="241"/>
      <c r="E162" s="250"/>
    </row>
    <row r="163" spans="1:5" ht="16.5" customHeight="1">
      <c r="A163" s="255" t="s">
        <v>265</v>
      </c>
      <c r="B163" s="878">
        <f>审定报表!B326</f>
        <v>48</v>
      </c>
      <c r="C163" s="231"/>
      <c r="D163" s="241"/>
      <c r="E163" s="250"/>
    </row>
    <row r="164" spans="1:5" ht="16.5" customHeight="1">
      <c r="A164" s="234" t="s">
        <v>266</v>
      </c>
      <c r="B164" s="878">
        <f>审定报表!B327</f>
        <v>49</v>
      </c>
      <c r="C164" s="229">
        <f>E167</f>
        <v>0</v>
      </c>
      <c r="D164" s="241" t="s">
        <v>267</v>
      </c>
      <c r="E164" s="239"/>
    </row>
    <row r="165" spans="1:5" ht="16.5" customHeight="1">
      <c r="A165" s="234"/>
      <c r="B165" s="878"/>
      <c r="C165" s="237"/>
      <c r="D165" s="241" t="s">
        <v>268</v>
      </c>
      <c r="E165" s="239"/>
    </row>
    <row r="166" spans="1:5" ht="16.5" customHeight="1">
      <c r="A166" s="234"/>
      <c r="B166" s="878"/>
      <c r="C166" s="237"/>
      <c r="D166" s="241" t="s">
        <v>1623</v>
      </c>
      <c r="E166" s="239"/>
    </row>
    <row r="167" spans="1:5" ht="16.5" customHeight="1">
      <c r="A167" s="234"/>
      <c r="B167" s="878"/>
      <c r="C167" s="237"/>
      <c r="D167" s="241" t="s">
        <v>227</v>
      </c>
      <c r="E167" s="233">
        <f>SUM(E164:E166)</f>
        <v>0</v>
      </c>
    </row>
    <row r="168" spans="1:5" ht="16.5" customHeight="1">
      <c r="A168" s="234"/>
      <c r="B168" s="878"/>
      <c r="C168" s="237"/>
      <c r="D168" s="241"/>
      <c r="E168" s="250"/>
    </row>
    <row r="169" spans="1:5" ht="16.5" customHeight="1">
      <c r="A169" s="234" t="s">
        <v>414</v>
      </c>
      <c r="B169" s="878">
        <f>审定报表!B328</f>
        <v>50</v>
      </c>
      <c r="C169" s="229">
        <f>E171</f>
        <v>0</v>
      </c>
      <c r="D169" s="241" t="s">
        <v>270</v>
      </c>
      <c r="E169" s="239"/>
    </row>
    <row r="170" spans="1:5" s="252" customFormat="1" ht="16.5" customHeight="1">
      <c r="A170" s="251"/>
      <c r="B170" s="879"/>
      <c r="C170" s="237"/>
      <c r="D170" s="241" t="s">
        <v>206</v>
      </c>
      <c r="E170" s="239"/>
    </row>
    <row r="171" spans="1:5" s="252" customFormat="1" ht="16.5" customHeight="1">
      <c r="A171" s="251"/>
      <c r="B171" s="879"/>
      <c r="C171" s="237"/>
      <c r="D171" s="241" t="s">
        <v>183</v>
      </c>
      <c r="E171" s="233">
        <f>SUM(E169:E170)</f>
        <v>0</v>
      </c>
    </row>
    <row r="172" spans="1:5" s="252" customFormat="1" ht="16.5" customHeight="1">
      <c r="A172" s="234" t="s">
        <v>269</v>
      </c>
      <c r="B172" s="879">
        <f>审定报表!B329</f>
        <v>51</v>
      </c>
      <c r="C172" s="229"/>
      <c r="D172" s="243"/>
      <c r="E172" s="239"/>
    </row>
    <row r="173" spans="1:5" s="227" customFormat="1" ht="16.5" customHeight="1">
      <c r="A173" s="244" t="s">
        <v>271</v>
      </c>
      <c r="B173" s="878">
        <f>审定报表!B331</f>
        <v>53</v>
      </c>
      <c r="C173" s="253">
        <f>SUM(C157:C169)</f>
        <v>0</v>
      </c>
      <c r="D173" s="254"/>
      <c r="E173" s="226"/>
    </row>
    <row r="174" spans="1:5" ht="16.5" customHeight="1">
      <c r="A174" s="234" t="s">
        <v>272</v>
      </c>
      <c r="B174" s="878">
        <f>审定报表!B332</f>
        <v>54</v>
      </c>
      <c r="C174" s="229">
        <f>E177</f>
        <v>0</v>
      </c>
      <c r="D174" s="241" t="s">
        <v>412</v>
      </c>
      <c r="E174" s="250"/>
    </row>
    <row r="175" spans="1:5" ht="16.5" customHeight="1">
      <c r="A175" s="234"/>
      <c r="B175" s="878"/>
      <c r="C175" s="237"/>
      <c r="D175" s="241" t="s">
        <v>413</v>
      </c>
      <c r="E175" s="250"/>
    </row>
    <row r="176" spans="1:5" ht="16.5" customHeight="1">
      <c r="A176" s="234"/>
      <c r="B176" s="878"/>
      <c r="C176" s="237"/>
      <c r="D176" s="241" t="s">
        <v>1644</v>
      </c>
      <c r="E176" s="250"/>
    </row>
    <row r="177" spans="1:5" ht="16.5" customHeight="1">
      <c r="A177" s="234"/>
      <c r="B177" s="878"/>
      <c r="C177" s="237"/>
      <c r="D177" s="241" t="s">
        <v>273</v>
      </c>
      <c r="E177" s="233">
        <f>SUM(E174:E176)</f>
        <v>0</v>
      </c>
    </row>
    <row r="178" spans="1:5" ht="16.5" customHeight="1">
      <c r="A178" s="234"/>
      <c r="B178" s="878"/>
      <c r="C178" s="237"/>
      <c r="D178" s="241"/>
      <c r="E178" s="250"/>
    </row>
    <row r="179" spans="1:5" ht="16.5" customHeight="1">
      <c r="A179" s="234"/>
      <c r="B179" s="878"/>
      <c r="C179" s="237"/>
      <c r="D179" s="241"/>
      <c r="E179" s="250"/>
    </row>
    <row r="180" spans="1:5" ht="16.5" customHeight="1">
      <c r="A180" s="234" t="s">
        <v>274</v>
      </c>
      <c r="B180" s="878">
        <f>审定报表!B333</f>
        <v>55</v>
      </c>
      <c r="C180" s="229">
        <f>E183</f>
        <v>0</v>
      </c>
      <c r="D180" s="241" t="s">
        <v>1645</v>
      </c>
      <c r="E180" s="262"/>
    </row>
    <row r="181" spans="1:5" ht="16.5" customHeight="1">
      <c r="A181" s="234"/>
      <c r="B181" s="878"/>
      <c r="C181" s="237"/>
      <c r="D181" s="241" t="s">
        <v>1646</v>
      </c>
      <c r="E181" s="262"/>
    </row>
    <row r="182" spans="1:5" ht="16.5" customHeight="1">
      <c r="A182" s="234"/>
      <c r="B182" s="878"/>
      <c r="C182" s="237"/>
      <c r="D182" s="241" t="s">
        <v>1647</v>
      </c>
      <c r="E182" s="262"/>
    </row>
    <row r="183" spans="1:5" ht="16.5" customHeight="1">
      <c r="A183" s="234"/>
      <c r="B183" s="878"/>
      <c r="C183" s="237"/>
      <c r="D183" s="241" t="s">
        <v>1621</v>
      </c>
      <c r="E183" s="233">
        <f>SUM(E180:E182)</f>
        <v>0</v>
      </c>
    </row>
    <row r="184" spans="1:5" ht="16.5" customHeight="1">
      <c r="A184" s="255" t="s">
        <v>275</v>
      </c>
      <c r="B184" s="878">
        <f>审定报表!B334</f>
        <v>56</v>
      </c>
      <c r="C184" s="231"/>
      <c r="D184" s="241"/>
      <c r="E184" s="262"/>
    </row>
    <row r="185" spans="1:5" ht="16.5" customHeight="1">
      <c r="A185" s="234" t="s">
        <v>1613</v>
      </c>
      <c r="B185" s="878">
        <f>审定报表!B335</f>
        <v>57</v>
      </c>
      <c r="C185" s="231"/>
      <c r="D185" s="241" t="s">
        <v>1648</v>
      </c>
      <c r="E185" s="262"/>
    </row>
    <row r="186" spans="1:5" ht="16.5" customHeight="1">
      <c r="A186" s="234"/>
      <c r="B186" s="878"/>
      <c r="C186" s="231"/>
      <c r="D186" s="241" t="s">
        <v>1649</v>
      </c>
      <c r="E186" s="262"/>
    </row>
    <row r="187" spans="1:5" ht="16.5" customHeight="1">
      <c r="A187" s="234"/>
      <c r="B187" s="878"/>
      <c r="C187" s="231"/>
      <c r="D187" s="241" t="s">
        <v>1650</v>
      </c>
      <c r="E187" s="262"/>
    </row>
    <row r="188" spans="1:5" ht="16.5" customHeight="1">
      <c r="A188" s="234"/>
      <c r="B188" s="878"/>
      <c r="C188" s="231"/>
      <c r="D188" s="241" t="s">
        <v>1651</v>
      </c>
      <c r="E188" s="262"/>
    </row>
    <row r="189" spans="1:5" ht="16.5" customHeight="1">
      <c r="A189" s="234"/>
      <c r="B189" s="878"/>
      <c r="C189" s="231"/>
      <c r="D189" s="241"/>
      <c r="E189" s="233">
        <f>SUM(E185:E188)</f>
        <v>0</v>
      </c>
    </row>
    <row r="190" spans="1:5" ht="16.5" customHeight="1">
      <c r="A190" s="255" t="s">
        <v>276</v>
      </c>
      <c r="B190" s="878">
        <f>审定报表!B336</f>
        <v>58</v>
      </c>
      <c r="C190" s="231"/>
      <c r="D190" s="241"/>
      <c r="E190" s="263"/>
    </row>
    <row r="191" spans="1:5" s="227" customFormat="1" ht="16.5" customHeight="1">
      <c r="A191" s="244" t="s">
        <v>277</v>
      </c>
      <c r="B191" s="878">
        <f>审定报表!B337</f>
        <v>59</v>
      </c>
      <c r="C191" s="253">
        <f>SUM(C174:C190)</f>
        <v>0</v>
      </c>
      <c r="D191" s="254"/>
      <c r="E191" s="226"/>
    </row>
    <row r="192" spans="1:5" s="227" customFormat="1" ht="16.5" customHeight="1">
      <c r="A192" s="260" t="s">
        <v>278</v>
      </c>
      <c r="B192" s="878">
        <f>审定报表!B338</f>
        <v>60</v>
      </c>
      <c r="C192" s="253">
        <f>SUM(-C191,C173)</f>
        <v>0</v>
      </c>
      <c r="D192" s="254"/>
      <c r="E192" s="226"/>
    </row>
    <row r="193" spans="1:5" s="227" customFormat="1" ht="16.5" customHeight="1">
      <c r="A193" s="223" t="s">
        <v>279</v>
      </c>
      <c r="B193" s="878">
        <f>审定报表!B339</f>
        <v>61</v>
      </c>
      <c r="C193" s="224"/>
      <c r="D193" s="254"/>
      <c r="E193" s="226"/>
    </row>
    <row r="194" spans="1:5" s="227" customFormat="1" ht="16.5" customHeight="1">
      <c r="A194" s="264" t="s">
        <v>280</v>
      </c>
      <c r="B194" s="880">
        <f>审定报表!B340</f>
        <v>62</v>
      </c>
      <c r="C194" s="265">
        <f>SUM(C91,C155,C192,C193)</f>
        <v>-1412944.4200000018</v>
      </c>
      <c r="D194" s="266"/>
      <c r="E194" s="267"/>
    </row>
    <row r="195" spans="1:5" ht="16.5" customHeight="1">
      <c r="A195" s="234" t="s">
        <v>281</v>
      </c>
      <c r="B195" s="881">
        <f>审定报表!B341</f>
        <v>63</v>
      </c>
      <c r="C195" s="231"/>
      <c r="D195" s="247"/>
      <c r="E195" s="262"/>
    </row>
    <row r="196" spans="1:5" s="227" customFormat="1" ht="16.5" customHeight="1">
      <c r="A196" s="264" t="s">
        <v>282</v>
      </c>
      <c r="B196" s="880">
        <f>审定报表!B342</f>
        <v>64</v>
      </c>
      <c r="C196" s="265">
        <f>C194+C195</f>
        <v>-1412944.4200000018</v>
      </c>
      <c r="D196" s="266"/>
      <c r="E196" s="267"/>
    </row>
    <row r="197" spans="1:5" ht="16.5" customHeight="1">
      <c r="C197" s="304"/>
      <c r="D197" s="326">
        <v>0</v>
      </c>
    </row>
    <row r="198" spans="1:5" ht="16.5" customHeight="1">
      <c r="A198" s="1204" t="s">
        <v>1849</v>
      </c>
      <c r="C198" s="304"/>
      <c r="D198" s="326"/>
    </row>
    <row r="199" spans="1:5" ht="16.5" customHeight="1">
      <c r="A199" s="1213" t="s">
        <v>1850</v>
      </c>
      <c r="B199" s="1213"/>
      <c r="C199" s="1213"/>
      <c r="D199" s="1213" t="s">
        <v>1850</v>
      </c>
      <c r="E199" s="1213"/>
    </row>
    <row r="200" spans="1:5" s="1212" customFormat="1" ht="16.5" customHeight="1">
      <c r="A200" s="1205" t="s">
        <v>1855</v>
      </c>
      <c r="B200" s="1210" t="s">
        <v>1863</v>
      </c>
      <c r="C200" s="1210"/>
      <c r="D200" s="1205" t="s">
        <v>1855</v>
      </c>
      <c r="E200" s="1209" t="s">
        <v>1871</v>
      </c>
    </row>
    <row r="201" spans="1:5" ht="16.5" customHeight="1">
      <c r="A201" s="1206" t="s">
        <v>1856</v>
      </c>
      <c r="B201" s="1214">
        <f>B202+B203+B204</f>
        <v>0</v>
      </c>
      <c r="C201" s="1211"/>
      <c r="D201" s="1208" t="s">
        <v>1864</v>
      </c>
      <c r="E201" s="1216">
        <f>E202+E203+E204</f>
        <v>0</v>
      </c>
    </row>
    <row r="202" spans="1:5" ht="16.5" customHeight="1">
      <c r="A202" s="1207" t="s">
        <v>1857</v>
      </c>
      <c r="B202" s="1218">
        <f>审定报表!C294</f>
        <v>0</v>
      </c>
      <c r="C202" s="1219"/>
      <c r="D202" s="1207" t="s">
        <v>1857</v>
      </c>
      <c r="E202" s="1217">
        <f>审定报表!C306</f>
        <v>0</v>
      </c>
    </row>
    <row r="203" spans="1:5" ht="16.5" customHeight="1">
      <c r="A203" s="1207" t="s">
        <v>1851</v>
      </c>
      <c r="B203" s="1218">
        <f>审定报表!C331</f>
        <v>0</v>
      </c>
      <c r="C203" s="1219"/>
      <c r="D203" s="1207" t="s">
        <v>1865</v>
      </c>
      <c r="E203" s="1217">
        <f>审定报表!D337</f>
        <v>0</v>
      </c>
    </row>
    <row r="204" spans="1:5" ht="16.5" customHeight="1">
      <c r="A204" s="1207" t="s">
        <v>1852</v>
      </c>
      <c r="B204" s="1218">
        <f>审定报表!C315</f>
        <v>0</v>
      </c>
      <c r="C204" s="1219"/>
      <c r="D204" s="1207" t="s">
        <v>1858</v>
      </c>
      <c r="E204" s="1217">
        <f>审定报表!D322</f>
        <v>0</v>
      </c>
    </row>
    <row r="205" spans="1:5" ht="16.5" customHeight="1">
      <c r="A205" s="1208" t="s">
        <v>1859</v>
      </c>
      <c r="B205" s="1211"/>
      <c r="C205" s="1211"/>
      <c r="D205" s="1208" t="s">
        <v>1866</v>
      </c>
      <c r="E205" s="1216"/>
    </row>
    <row r="206" spans="1:5" ht="16.5" customHeight="1">
      <c r="A206" s="1207" t="s">
        <v>1853</v>
      </c>
      <c r="B206" s="1211"/>
      <c r="C206" s="1211"/>
      <c r="D206" s="1208" t="s">
        <v>1867</v>
      </c>
      <c r="E206" s="1216"/>
    </row>
    <row r="207" spans="1:5" ht="16.5" customHeight="1">
      <c r="A207" s="1207" t="s">
        <v>1854</v>
      </c>
      <c r="B207" s="1211"/>
      <c r="C207" s="1211"/>
      <c r="D207" s="1208" t="s">
        <v>1868</v>
      </c>
      <c r="E207" s="1216"/>
    </row>
    <row r="208" spans="1:5" ht="16.5" customHeight="1">
      <c r="A208" s="1207" t="s">
        <v>1860</v>
      </c>
      <c r="B208" s="1211"/>
      <c r="C208" s="1211"/>
      <c r="D208" s="1208" t="s">
        <v>1869</v>
      </c>
      <c r="E208" s="1216"/>
    </row>
    <row r="209" spans="1:8" ht="16.5" customHeight="1">
      <c r="A209" s="1207" t="s">
        <v>1861</v>
      </c>
      <c r="B209" s="1215">
        <f>B206-B207-B208</f>
        <v>0</v>
      </c>
      <c r="C209" s="1215"/>
      <c r="D209" s="1208" t="s">
        <v>1870</v>
      </c>
      <c r="E209" s="1216">
        <f>E206-E207-E208</f>
        <v>0</v>
      </c>
    </row>
    <row r="210" spans="1:8" ht="16.5" customHeight="1">
      <c r="A210" s="1208" t="s">
        <v>1862</v>
      </c>
      <c r="B210" s="1214">
        <f>B201-B209</f>
        <v>0</v>
      </c>
      <c r="C210" s="1211"/>
      <c r="D210" s="1208" t="s">
        <v>1862</v>
      </c>
      <c r="E210" s="1216">
        <f>E201-E209</f>
        <v>0</v>
      </c>
    </row>
    <row r="211" spans="1:8" ht="16.5" customHeight="1">
      <c r="A211" s="1204" t="s">
        <v>1872</v>
      </c>
      <c r="C211" s="304"/>
      <c r="D211" s="326"/>
    </row>
    <row r="212" spans="1:8" ht="16.5" customHeight="1">
      <c r="C212" s="304"/>
      <c r="D212" s="270"/>
    </row>
    <row r="213" spans="1:8" s="272" customFormat="1" ht="20.25" customHeight="1">
      <c r="A213" s="271" t="s">
        <v>283</v>
      </c>
      <c r="B213" s="883"/>
      <c r="D213" s="273"/>
      <c r="G213" s="274"/>
      <c r="H213" s="274"/>
    </row>
    <row r="214" spans="1:8" s="272" customFormat="1" ht="20.25" customHeight="1">
      <c r="A214" s="275" t="s">
        <v>284</v>
      </c>
      <c r="B214" s="883"/>
      <c r="D214" s="273"/>
      <c r="G214" s="274"/>
      <c r="H214" s="274"/>
    </row>
    <row r="215" spans="1:8" s="272" customFormat="1" ht="20.25" customHeight="1">
      <c r="A215" s="275" t="s">
        <v>285</v>
      </c>
      <c r="B215" s="883"/>
      <c r="D215" s="273"/>
      <c r="G215" s="274"/>
      <c r="H215" s="274"/>
    </row>
    <row r="216" spans="1:8" s="272" customFormat="1" ht="20.25" customHeight="1">
      <c r="A216" s="275"/>
      <c r="B216" s="883"/>
      <c r="D216" s="273"/>
      <c r="G216" s="274"/>
      <c r="H216" s="274"/>
    </row>
    <row r="217" spans="1:8" s="272" customFormat="1" ht="20.25" customHeight="1">
      <c r="A217" s="275" t="s">
        <v>286</v>
      </c>
      <c r="B217" s="883"/>
      <c r="D217" s="273"/>
      <c r="G217" s="274"/>
      <c r="H217" s="274"/>
    </row>
    <row r="218" spans="1:8" s="272" customFormat="1" ht="20.25" customHeight="1">
      <c r="A218" s="275" t="s">
        <v>287</v>
      </c>
      <c r="B218" s="883"/>
      <c r="D218" s="273"/>
      <c r="G218" s="274"/>
      <c r="H218" s="274"/>
    </row>
    <row r="219" spans="1:8" s="272" customFormat="1" ht="20.25" customHeight="1">
      <c r="A219" s="275" t="s">
        <v>288</v>
      </c>
      <c r="B219" s="883"/>
      <c r="D219" s="273"/>
      <c r="G219" s="274"/>
      <c r="H219" s="274"/>
    </row>
    <row r="220" spans="1:8" s="272" customFormat="1" ht="20.25" customHeight="1">
      <c r="A220" s="275" t="s">
        <v>289</v>
      </c>
      <c r="B220" s="883"/>
      <c r="D220" s="273"/>
      <c r="G220" s="274"/>
      <c r="H220" s="274"/>
    </row>
    <row r="221" spans="1:8" s="272" customFormat="1" ht="20.25" customHeight="1">
      <c r="A221" s="276" t="s">
        <v>290</v>
      </c>
      <c r="B221" s="883"/>
      <c r="D221" s="273"/>
      <c r="G221" s="274"/>
      <c r="H221" s="274"/>
    </row>
    <row r="222" spans="1:8" s="272" customFormat="1" ht="20.25" customHeight="1">
      <c r="A222" s="275" t="s">
        <v>291</v>
      </c>
      <c r="B222" s="883"/>
      <c r="D222" s="273"/>
      <c r="G222" s="274"/>
      <c r="H222" s="274"/>
    </row>
    <row r="223" spans="1:8" s="272" customFormat="1" ht="20.25" customHeight="1">
      <c r="A223" s="276" t="s">
        <v>292</v>
      </c>
      <c r="B223" s="883"/>
      <c r="D223" s="273"/>
      <c r="G223" s="274"/>
      <c r="H223" s="274"/>
    </row>
    <row r="224" spans="1:8" s="272" customFormat="1" ht="20.25" customHeight="1">
      <c r="A224" s="275"/>
      <c r="B224" s="883"/>
      <c r="D224" s="273"/>
      <c r="G224" s="274"/>
      <c r="H224" s="274"/>
    </row>
    <row r="225" spans="1:8" s="272" customFormat="1" ht="20.25" customHeight="1">
      <c r="A225" s="275" t="s">
        <v>293</v>
      </c>
      <c r="B225" s="883"/>
      <c r="D225" s="273"/>
      <c r="G225" s="274"/>
      <c r="H225" s="274"/>
    </row>
    <row r="226" spans="1:8" s="272" customFormat="1" ht="20.25" customHeight="1">
      <c r="A226" s="275" t="s">
        <v>294</v>
      </c>
      <c r="B226" s="883"/>
      <c r="D226" s="273"/>
      <c r="G226" s="274"/>
      <c r="H226" s="274"/>
    </row>
    <row r="227" spans="1:8" s="272" customFormat="1" ht="20.25" customHeight="1">
      <c r="A227" s="276" t="s">
        <v>295</v>
      </c>
      <c r="B227" s="883"/>
      <c r="D227" s="273"/>
      <c r="G227" s="274"/>
      <c r="H227" s="274"/>
    </row>
    <row r="228" spans="1:8" s="272" customFormat="1" ht="20.25" customHeight="1">
      <c r="A228" s="276" t="s">
        <v>296</v>
      </c>
      <c r="B228" s="883"/>
      <c r="D228" s="273"/>
      <c r="G228" s="274"/>
      <c r="H228" s="274"/>
    </row>
    <row r="229" spans="1:8" s="272" customFormat="1" ht="20.25" customHeight="1">
      <c r="A229" s="275" t="s">
        <v>297</v>
      </c>
      <c r="B229" s="883"/>
      <c r="D229" s="273"/>
      <c r="G229" s="274"/>
      <c r="H229" s="274"/>
    </row>
    <row r="230" spans="1:8" s="272" customFormat="1" ht="20.25" customHeight="1">
      <c r="A230" s="276" t="s">
        <v>298</v>
      </c>
      <c r="B230" s="883"/>
      <c r="D230" s="273"/>
      <c r="G230" s="274"/>
      <c r="H230" s="274"/>
    </row>
    <row r="231" spans="1:8" s="272" customFormat="1" ht="20.25" customHeight="1">
      <c r="A231" s="275" t="s">
        <v>299</v>
      </c>
      <c r="B231" s="883"/>
      <c r="D231" s="273"/>
      <c r="G231" s="274"/>
      <c r="H231" s="274"/>
    </row>
    <row r="232" spans="1:8" s="272" customFormat="1" ht="20.25" customHeight="1">
      <c r="A232" s="276" t="s">
        <v>300</v>
      </c>
      <c r="B232" s="883"/>
      <c r="D232" s="273"/>
      <c r="G232" s="274"/>
      <c r="H232" s="274"/>
    </row>
    <row r="233" spans="1:8" s="272" customFormat="1" ht="20.25" customHeight="1">
      <c r="A233" s="276" t="s">
        <v>301</v>
      </c>
      <c r="B233" s="883"/>
      <c r="D233" s="273"/>
      <c r="G233" s="274"/>
      <c r="H233" s="274"/>
    </row>
    <row r="234" spans="1:8" s="272" customFormat="1" ht="20.25" customHeight="1">
      <c r="A234" s="276" t="s">
        <v>302</v>
      </c>
      <c r="B234" s="883"/>
      <c r="D234" s="273"/>
      <c r="G234" s="274"/>
      <c r="H234" s="274"/>
    </row>
    <row r="235" spans="1:8" s="272" customFormat="1" ht="20.25" customHeight="1">
      <c r="A235" s="275" t="s">
        <v>303</v>
      </c>
      <c r="B235" s="883"/>
      <c r="D235" s="273"/>
      <c r="G235" s="274"/>
      <c r="H235" s="274"/>
    </row>
    <row r="236" spans="1:8" s="272" customFormat="1" ht="20.25" customHeight="1">
      <c r="A236" s="276" t="s">
        <v>304</v>
      </c>
      <c r="B236" s="883"/>
      <c r="D236" s="273"/>
      <c r="G236" s="274"/>
      <c r="H236" s="274"/>
    </row>
    <row r="237" spans="1:8" s="272" customFormat="1" ht="20.25" customHeight="1">
      <c r="A237" s="276" t="s">
        <v>305</v>
      </c>
      <c r="B237" s="883"/>
      <c r="D237" s="273"/>
      <c r="G237" s="274"/>
      <c r="H237" s="274"/>
    </row>
    <row r="238" spans="1:8" s="272" customFormat="1" ht="20.25" customHeight="1">
      <c r="A238" s="276" t="s">
        <v>306</v>
      </c>
      <c r="B238" s="883"/>
      <c r="D238" s="273"/>
      <c r="G238" s="274"/>
      <c r="H238" s="274"/>
    </row>
    <row r="239" spans="1:8" s="272" customFormat="1" ht="20.25" customHeight="1">
      <c r="A239" s="275"/>
      <c r="B239" s="883"/>
      <c r="D239" s="273"/>
      <c r="G239" s="274"/>
      <c r="H239" s="274"/>
    </row>
    <row r="240" spans="1:8" s="272" customFormat="1" ht="20.25" customHeight="1">
      <c r="A240" s="275" t="s">
        <v>307</v>
      </c>
      <c r="B240" s="883"/>
      <c r="D240" s="273"/>
      <c r="G240" s="274"/>
      <c r="H240" s="274"/>
    </row>
    <row r="241" spans="1:8" s="272" customFormat="1" ht="20.25" customHeight="1">
      <c r="A241" s="276" t="s">
        <v>308</v>
      </c>
      <c r="B241" s="883"/>
      <c r="D241" s="273"/>
      <c r="G241" s="274"/>
      <c r="H241" s="274"/>
    </row>
    <row r="242" spans="1:8" s="272" customFormat="1" ht="20.25" customHeight="1">
      <c r="A242" s="276" t="s">
        <v>309</v>
      </c>
      <c r="B242" s="883"/>
      <c r="D242" s="273"/>
      <c r="G242" s="274"/>
      <c r="H242" s="274"/>
    </row>
    <row r="243" spans="1:8" s="272" customFormat="1" ht="20.25" customHeight="1">
      <c r="A243" s="275" t="s">
        <v>310</v>
      </c>
      <c r="B243" s="883"/>
      <c r="D243" s="273"/>
      <c r="G243" s="274"/>
      <c r="H243" s="274"/>
    </row>
    <row r="244" spans="1:8" s="272" customFormat="1" ht="20.25" customHeight="1">
      <c r="A244" s="276" t="s">
        <v>311</v>
      </c>
      <c r="B244" s="883"/>
      <c r="D244" s="273"/>
      <c r="G244" s="274"/>
      <c r="H244" s="274"/>
    </row>
    <row r="245" spans="1:8" s="272" customFormat="1" ht="20.25" customHeight="1">
      <c r="A245" s="276" t="s">
        <v>312</v>
      </c>
      <c r="B245" s="883"/>
      <c r="D245" s="273"/>
      <c r="G245" s="274"/>
      <c r="H245" s="274"/>
    </row>
    <row r="246" spans="1:8" s="272" customFormat="1" ht="20.25" customHeight="1">
      <c r="A246" s="275" t="s">
        <v>313</v>
      </c>
      <c r="B246" s="883"/>
      <c r="D246" s="273"/>
      <c r="G246" s="274"/>
      <c r="H246" s="274"/>
    </row>
    <row r="247" spans="1:8" s="272" customFormat="1" ht="20.25" customHeight="1">
      <c r="A247" s="276" t="s">
        <v>314</v>
      </c>
      <c r="B247" s="883"/>
      <c r="D247" s="273"/>
      <c r="G247" s="274"/>
      <c r="H247" s="274"/>
    </row>
    <row r="248" spans="1:8" s="272" customFormat="1" ht="20.25" customHeight="1">
      <c r="A248" s="276" t="s">
        <v>315</v>
      </c>
      <c r="B248" s="883"/>
      <c r="D248" s="273"/>
      <c r="G248" s="274"/>
      <c r="H248" s="274"/>
    </row>
    <row r="249" spans="1:8" s="272" customFormat="1" ht="20.25" customHeight="1">
      <c r="A249" s="276" t="s">
        <v>316</v>
      </c>
      <c r="B249" s="883"/>
      <c r="D249" s="273"/>
      <c r="G249" s="274"/>
      <c r="H249" s="274"/>
    </row>
    <row r="250" spans="1:8" s="272" customFormat="1" ht="20.25" customHeight="1">
      <c r="A250" s="275"/>
      <c r="B250" s="883"/>
      <c r="D250" s="273"/>
      <c r="G250" s="274"/>
      <c r="H250" s="274"/>
    </row>
    <row r="251" spans="1:8" s="272" customFormat="1" ht="20.25" customHeight="1">
      <c r="A251" s="275" t="s">
        <v>317</v>
      </c>
      <c r="B251" s="883"/>
      <c r="D251" s="273"/>
      <c r="G251" s="274"/>
      <c r="H251" s="274"/>
    </row>
    <row r="252" spans="1:8" s="272" customFormat="1" ht="20.25" customHeight="1">
      <c r="A252" s="276" t="s">
        <v>318</v>
      </c>
      <c r="B252" s="883"/>
      <c r="D252" s="273"/>
      <c r="G252" s="274"/>
      <c r="H252" s="274"/>
    </row>
    <row r="253" spans="1:8" s="272" customFormat="1" ht="20.25" customHeight="1">
      <c r="A253" s="276" t="s">
        <v>319</v>
      </c>
      <c r="B253" s="883"/>
      <c r="D253" s="273"/>
      <c r="G253" s="274"/>
      <c r="H253" s="274"/>
    </row>
    <row r="254" spans="1:8" s="272" customFormat="1" ht="20.25" customHeight="1">
      <c r="A254" s="275" t="s">
        <v>320</v>
      </c>
      <c r="B254" s="883"/>
      <c r="D254" s="273"/>
      <c r="G254" s="274"/>
      <c r="H254" s="274"/>
    </row>
    <row r="255" spans="1:8" s="272" customFormat="1" ht="20.25" customHeight="1">
      <c r="A255" s="276" t="s">
        <v>321</v>
      </c>
      <c r="B255" s="883"/>
      <c r="D255" s="273"/>
      <c r="G255" s="274"/>
      <c r="H255" s="274"/>
    </row>
    <row r="256" spans="1:8" s="272" customFormat="1" ht="20.25" customHeight="1">
      <c r="A256" s="275" t="s">
        <v>322</v>
      </c>
      <c r="B256" s="883"/>
      <c r="D256" s="273"/>
      <c r="G256" s="274"/>
      <c r="H256" s="274"/>
    </row>
    <row r="257" spans="1:8" s="272" customFormat="1" ht="20.25" customHeight="1">
      <c r="A257" s="276" t="s">
        <v>321</v>
      </c>
      <c r="B257" s="883"/>
      <c r="D257" s="273"/>
      <c r="G257" s="274"/>
      <c r="H257" s="274"/>
    </row>
    <row r="258" spans="1:8" s="272" customFormat="1" ht="20.25" customHeight="1">
      <c r="A258" s="275" t="s">
        <v>323</v>
      </c>
      <c r="B258" s="883"/>
      <c r="D258" s="273"/>
      <c r="G258" s="274"/>
      <c r="H258" s="274"/>
    </row>
    <row r="259" spans="1:8" s="272" customFormat="1" ht="20.25" customHeight="1">
      <c r="A259" s="276" t="s">
        <v>324</v>
      </c>
      <c r="B259" s="883"/>
      <c r="D259" s="273"/>
      <c r="G259" s="274"/>
      <c r="H259" s="274"/>
    </row>
    <row r="260" spans="1:8" ht="16.5" customHeight="1">
      <c r="A260" s="275"/>
      <c r="D260" s="270"/>
    </row>
    <row r="261" spans="1:8" ht="16.5" customHeight="1">
      <c r="A261" s="275" t="s">
        <v>325</v>
      </c>
      <c r="D261" s="270"/>
    </row>
    <row r="262" spans="1:8" ht="16.5" customHeight="1">
      <c r="A262" s="275" t="s">
        <v>326</v>
      </c>
    </row>
    <row r="263" spans="1:8" ht="16.5" customHeight="1">
      <c r="A263" s="276" t="s">
        <v>327</v>
      </c>
    </row>
    <row r="264" spans="1:8" ht="16.5" customHeight="1">
      <c r="A264" s="276" t="s">
        <v>328</v>
      </c>
    </row>
    <row r="265" spans="1:8" ht="16.5" customHeight="1">
      <c r="A265" s="275"/>
    </row>
  </sheetData>
  <mergeCells count="16">
    <mergeCell ref="A199:C199"/>
    <mergeCell ref="D199:E199"/>
    <mergeCell ref="B202:C202"/>
    <mergeCell ref="B203:C203"/>
    <mergeCell ref="B204:C204"/>
    <mergeCell ref="B205:C205"/>
    <mergeCell ref="B206:C206"/>
    <mergeCell ref="B207:C207"/>
    <mergeCell ref="B208:C208"/>
    <mergeCell ref="B209:C209"/>
    <mergeCell ref="B210:C210"/>
    <mergeCell ref="B200:C200"/>
    <mergeCell ref="B201:C201"/>
    <mergeCell ref="A1:E1"/>
    <mergeCell ref="A2:E2"/>
    <mergeCell ref="A5:A6"/>
  </mergeCells>
  <phoneticPr fontId="4" type="noConversion"/>
  <pageMargins left="0.70866141732283472" right="0.70866141732283472" top="0.74803149606299213" bottom="0.74803149606299213" header="0.31496062992125984" footer="0.31496062992125984"/>
  <pageSetup paperSize="9" scale="65" orientation="portrait" blackAndWhite="1"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L101"/>
  <sheetViews>
    <sheetView view="pageBreakPreview" topLeftCell="A10" zoomScaleSheetLayoutView="100" workbookViewId="0">
      <selection activeCell="E3" sqref="E3"/>
    </sheetView>
  </sheetViews>
  <sheetFormatPr defaultColWidth="7" defaultRowHeight="13.2"/>
  <cols>
    <col min="1" max="1" width="50.19921875" style="312" customWidth="1"/>
    <col min="2" max="2" width="5.296875" style="269" customWidth="1"/>
    <col min="3" max="3" width="11.19921875" style="277" customWidth="1"/>
    <col min="4" max="4" width="36.5" style="270" customWidth="1"/>
    <col min="5" max="8" width="9.5" style="261" customWidth="1"/>
    <col min="9" max="9" width="16.69921875" style="261" customWidth="1"/>
    <col min="10" max="10" width="9.5" style="261" customWidth="1"/>
    <col min="11" max="11" width="10" style="277" customWidth="1"/>
    <col min="12" max="12" width="9.09765625" style="277" bestFit="1" customWidth="1"/>
    <col min="13" max="16384" width="7" style="277"/>
  </cols>
  <sheetData>
    <row r="1" spans="1:12" ht="18">
      <c r="A1" s="1107" t="s">
        <v>162</v>
      </c>
      <c r="B1" s="1108"/>
      <c r="C1" s="1108"/>
      <c r="D1" s="1108"/>
      <c r="E1" s="1108"/>
      <c r="F1" s="1108"/>
      <c r="G1" s="1108"/>
      <c r="H1" s="1108"/>
      <c r="I1" s="1108"/>
      <c r="J1" s="1108"/>
    </row>
    <row r="2" spans="1:12" s="278" customFormat="1" ht="19.5" customHeight="1">
      <c r="A2" s="1107" t="s">
        <v>329</v>
      </c>
      <c r="B2" s="1108"/>
      <c r="C2" s="1108"/>
      <c r="D2" s="1108"/>
      <c r="E2" s="1108"/>
      <c r="F2" s="1108"/>
      <c r="G2" s="1108"/>
      <c r="H2" s="1108"/>
      <c r="I2" s="1108"/>
      <c r="J2" s="1108"/>
    </row>
    <row r="3" spans="1:12" s="279" customFormat="1" ht="16.5" customHeight="1">
      <c r="A3" s="70" t="str">
        <f>CONCATENATE("客户名称：",参数!D3)</f>
        <v>客户名称：二锅头</v>
      </c>
      <c r="B3" s="440" t="str">
        <f>CONCATENATE("编制：",参数!D17)</f>
        <v>编制：张</v>
      </c>
      <c r="C3" s="215"/>
      <c r="D3" s="73"/>
      <c r="E3" s="73" t="str">
        <f ca="1">CONCATENATE("日期：",TEXT(NOW(),"yyyy.mm.dd"))</f>
        <v>日期：2025.11.06</v>
      </c>
      <c r="F3" s="214"/>
      <c r="G3" s="214"/>
      <c r="H3" s="214"/>
      <c r="I3" s="216" t="s">
        <v>164</v>
      </c>
      <c r="J3" s="319" t="s">
        <v>330</v>
      </c>
    </row>
    <row r="4" spans="1:12" s="279" customFormat="1" ht="16.5" customHeight="1">
      <c r="A4" s="135" t="str">
        <f>CONCATENATE("会计期间：",TEXT(参数!D10,"yyyy.mm.dd"))</f>
        <v>会计期间：2022年度</v>
      </c>
      <c r="B4" s="440" t="str">
        <f>CONCATENATE("复核：",参数!D18)</f>
        <v>复核：刘</v>
      </c>
      <c r="C4" s="215"/>
      <c r="D4" s="71"/>
      <c r="E4" s="71" t="s">
        <v>13</v>
      </c>
      <c r="F4" s="214"/>
      <c r="G4" s="214"/>
      <c r="H4" s="214"/>
      <c r="I4" s="216" t="s">
        <v>165</v>
      </c>
      <c r="J4" s="214"/>
    </row>
    <row r="5" spans="1:12" s="285" customFormat="1" ht="16.5" customHeight="1">
      <c r="A5" s="280" t="s">
        <v>331</v>
      </c>
      <c r="B5" s="281"/>
      <c r="C5" s="282"/>
      <c r="D5" s="283"/>
      <c r="E5" s="284"/>
      <c r="F5" s="282"/>
      <c r="G5" s="282"/>
      <c r="H5" s="282"/>
      <c r="I5" s="282"/>
      <c r="J5" s="282"/>
    </row>
    <row r="6" spans="1:12" s="287" customFormat="1" ht="24" customHeight="1">
      <c r="A6" s="1109" t="s">
        <v>332</v>
      </c>
      <c r="B6" s="1111" t="s">
        <v>24</v>
      </c>
      <c r="C6" s="286" t="s">
        <v>167</v>
      </c>
      <c r="D6" s="1113" t="s">
        <v>168</v>
      </c>
      <c r="E6" s="1114"/>
      <c r="F6" s="1114"/>
      <c r="G6" s="1114"/>
      <c r="H6" s="1114"/>
      <c r="I6" s="1114"/>
      <c r="J6" s="1114"/>
    </row>
    <row r="7" spans="1:12" ht="15.9" customHeight="1" thickBot="1">
      <c r="A7" s="1110"/>
      <c r="B7" s="1112"/>
      <c r="C7" s="288" t="s">
        <v>333</v>
      </c>
      <c r="D7" s="1115" t="s">
        <v>334</v>
      </c>
      <c r="E7" s="1115"/>
      <c r="F7" s="1115"/>
      <c r="G7" s="1115"/>
      <c r="H7" s="1115"/>
      <c r="I7" s="1115"/>
      <c r="J7" s="1115"/>
    </row>
    <row r="8" spans="1:12" ht="15.9" customHeight="1" thickTop="1">
      <c r="A8" s="289" t="s">
        <v>335</v>
      </c>
      <c r="B8" s="290"/>
      <c r="C8" s="291"/>
      <c r="D8" s="291"/>
      <c r="E8" s="291"/>
      <c r="F8" s="291"/>
      <c r="G8" s="291"/>
      <c r="H8" s="291"/>
      <c r="I8" s="291"/>
      <c r="J8" s="291"/>
    </row>
    <row r="9" spans="1:12" ht="13.8">
      <c r="A9" s="292" t="s">
        <v>336</v>
      </c>
      <c r="B9" s="877">
        <f>审定报表!B345</f>
        <v>66</v>
      </c>
      <c r="C9" s="231"/>
      <c r="D9" s="247"/>
      <c r="E9" s="231"/>
      <c r="F9" s="231"/>
      <c r="G9" s="231"/>
      <c r="H9" s="231"/>
      <c r="I9" s="231"/>
      <c r="J9" s="231"/>
    </row>
    <row r="10" spans="1:12" ht="13.8">
      <c r="A10" s="294"/>
      <c r="B10" s="295"/>
      <c r="C10" s="231"/>
      <c r="D10" s="247"/>
      <c r="E10" s="231"/>
      <c r="F10" s="231"/>
      <c r="G10" s="231"/>
      <c r="H10" s="231"/>
      <c r="I10" s="231"/>
      <c r="J10" s="231"/>
    </row>
    <row r="11" spans="1:12" ht="13.8">
      <c r="A11" s="294" t="s">
        <v>337</v>
      </c>
      <c r="B11" s="877">
        <f>审定报表!B348</f>
        <v>69</v>
      </c>
      <c r="C11" s="229">
        <f>E12</f>
        <v>0</v>
      </c>
      <c r="D11" s="241" t="s">
        <v>1652</v>
      </c>
      <c r="E11" s="229">
        <f>-审定报表!C225</f>
        <v>0</v>
      </c>
      <c r="F11" s="296"/>
      <c r="G11" s="296"/>
      <c r="H11" s="296"/>
      <c r="I11" s="231"/>
      <c r="J11" s="231"/>
    </row>
    <row r="12" spans="1:12" ht="15">
      <c r="A12" s="294"/>
      <c r="B12" s="888"/>
      <c r="C12" s="237"/>
      <c r="D12" s="317" t="s">
        <v>183</v>
      </c>
      <c r="E12" s="297">
        <f>E11</f>
        <v>0</v>
      </c>
      <c r="F12" s="296"/>
      <c r="G12" s="296"/>
      <c r="H12" s="296"/>
      <c r="I12" s="231"/>
      <c r="J12" s="231"/>
    </row>
    <row r="13" spans="1:12" ht="15.9" customHeight="1">
      <c r="A13" s="292" t="s">
        <v>1653</v>
      </c>
      <c r="B13" s="877">
        <f>审定报表!B349</f>
        <v>70</v>
      </c>
      <c r="C13" s="229">
        <f>E14</f>
        <v>300515.00999999995</v>
      </c>
      <c r="D13" s="241" t="s">
        <v>1652</v>
      </c>
      <c r="E13" s="229">
        <f>-审定报表!C224</f>
        <v>300515.00999999995</v>
      </c>
      <c r="F13" s="296"/>
      <c r="G13" s="296"/>
      <c r="H13" s="296"/>
      <c r="I13" s="231"/>
      <c r="J13" s="231"/>
    </row>
    <row r="14" spans="1:12" ht="15.9" customHeight="1">
      <c r="A14" s="294"/>
      <c r="B14" s="295"/>
      <c r="C14" s="231"/>
      <c r="D14" s="317" t="s">
        <v>183</v>
      </c>
      <c r="E14" s="297">
        <f>SUM(E11:E13)</f>
        <v>300515.00999999995</v>
      </c>
      <c r="F14" s="298"/>
      <c r="G14" s="298"/>
      <c r="H14" s="298"/>
      <c r="I14" s="298"/>
      <c r="J14" s="298"/>
      <c r="K14" s="299"/>
      <c r="L14" s="299"/>
    </row>
    <row r="15" spans="1:12" ht="18.75" customHeight="1">
      <c r="A15" s="887" t="s">
        <v>1654</v>
      </c>
      <c r="B15" s="877">
        <f>审定报表!B350</f>
        <v>71</v>
      </c>
      <c r="C15" s="229">
        <f>E20</f>
        <v>0</v>
      </c>
      <c r="D15" s="241" t="s">
        <v>338</v>
      </c>
      <c r="E15" s="237"/>
      <c r="F15" s="231"/>
      <c r="G15" s="231"/>
      <c r="H15" s="231"/>
      <c r="I15" s="231"/>
      <c r="J15" s="231"/>
    </row>
    <row r="16" spans="1:12" ht="15.9" customHeight="1">
      <c r="A16" s="294"/>
      <c r="B16" s="295"/>
      <c r="C16" s="231"/>
      <c r="D16" s="241" t="s">
        <v>339</v>
      </c>
      <c r="E16" s="237"/>
      <c r="F16" s="231"/>
      <c r="G16" s="231"/>
      <c r="H16" s="231"/>
      <c r="I16" s="231"/>
      <c r="J16" s="231"/>
    </row>
    <row r="17" spans="1:10" ht="15.9" customHeight="1">
      <c r="A17" s="294"/>
      <c r="B17" s="295"/>
      <c r="C17" s="231"/>
      <c r="D17" s="247" t="s">
        <v>340</v>
      </c>
      <c r="E17" s="237"/>
      <c r="F17" s="231"/>
      <c r="G17" s="231"/>
      <c r="H17" s="231"/>
      <c r="I17" s="231"/>
      <c r="J17" s="231"/>
    </row>
    <row r="18" spans="1:10" ht="15.9" customHeight="1">
      <c r="A18" s="294"/>
      <c r="B18" s="295"/>
      <c r="C18" s="231"/>
      <c r="D18" s="247" t="s">
        <v>1655</v>
      </c>
      <c r="E18" s="237"/>
      <c r="F18" s="231"/>
      <c r="G18" s="231"/>
      <c r="H18" s="231"/>
      <c r="I18" s="231"/>
      <c r="J18" s="231"/>
    </row>
    <row r="19" spans="1:10" ht="15.9" customHeight="1">
      <c r="A19" s="294"/>
      <c r="B19" s="295"/>
      <c r="C19" s="231"/>
      <c r="D19" s="247" t="s">
        <v>1658</v>
      </c>
      <c r="E19" s="237"/>
      <c r="F19" s="231"/>
      <c r="G19" s="231"/>
      <c r="H19" s="231"/>
      <c r="I19" s="231"/>
      <c r="J19" s="231"/>
    </row>
    <row r="20" spans="1:10" ht="15.9" customHeight="1">
      <c r="A20" s="294"/>
      <c r="B20" s="295"/>
      <c r="C20" s="231"/>
      <c r="D20" s="317" t="s">
        <v>183</v>
      </c>
      <c r="E20" s="297">
        <f>SUM(E15:E18,-E19)</f>
        <v>0</v>
      </c>
      <c r="F20" s="231"/>
      <c r="G20" s="231"/>
      <c r="H20" s="231"/>
      <c r="I20" s="231"/>
      <c r="J20" s="231"/>
    </row>
    <row r="21" spans="1:10" ht="15.9" customHeight="1">
      <c r="A21" s="292" t="s">
        <v>1656</v>
      </c>
      <c r="B21" s="877">
        <f>审定报表!B351</f>
        <v>72</v>
      </c>
      <c r="C21" s="229">
        <f>E23</f>
        <v>0</v>
      </c>
      <c r="D21" s="241" t="s">
        <v>1657</v>
      </c>
      <c r="E21" s="302"/>
      <c r="F21" s="302"/>
      <c r="G21" s="302"/>
      <c r="H21" s="302"/>
      <c r="I21" s="231"/>
      <c r="J21" s="231"/>
    </row>
    <row r="22" spans="1:10" ht="15.9" customHeight="1">
      <c r="A22" s="292"/>
      <c r="B22" s="888"/>
      <c r="C22" s="237"/>
      <c r="D22" s="247" t="s">
        <v>1659</v>
      </c>
      <c r="E22" s="302"/>
      <c r="F22" s="302"/>
      <c r="G22" s="302"/>
      <c r="H22" s="302"/>
      <c r="I22" s="231"/>
      <c r="J22" s="231"/>
    </row>
    <row r="23" spans="1:10" s="304" customFormat="1" ht="15.9" customHeight="1">
      <c r="A23" s="889"/>
      <c r="B23" s="888"/>
      <c r="C23" s="237"/>
      <c r="D23" s="317" t="s">
        <v>183</v>
      </c>
      <c r="E23" s="297">
        <f>SUM(E21,-E22)</f>
        <v>0</v>
      </c>
      <c r="F23" s="300"/>
      <c r="G23" s="300"/>
      <c r="H23" s="300"/>
      <c r="I23" s="237"/>
      <c r="J23" s="237"/>
    </row>
    <row r="24" spans="1:10" ht="15.9" customHeight="1">
      <c r="A24" s="294" t="s">
        <v>341</v>
      </c>
      <c r="B24" s="877">
        <f>审定报表!B352</f>
        <v>73</v>
      </c>
      <c r="C24" s="229">
        <f>E26</f>
        <v>0</v>
      </c>
      <c r="D24" s="241" t="s">
        <v>342</v>
      </c>
      <c r="E24" s="237"/>
      <c r="F24" s="231"/>
      <c r="G24" s="231"/>
      <c r="H24" s="231"/>
      <c r="I24" s="231"/>
      <c r="J24" s="231"/>
    </row>
    <row r="25" spans="1:10" ht="15.9" customHeight="1">
      <c r="A25" s="294"/>
      <c r="B25" s="888"/>
      <c r="C25" s="237"/>
      <c r="D25" s="247" t="s">
        <v>1659</v>
      </c>
      <c r="E25" s="237"/>
      <c r="F25" s="231"/>
      <c r="G25" s="231"/>
      <c r="H25" s="231"/>
      <c r="I25" s="231"/>
      <c r="J25" s="231"/>
    </row>
    <row r="26" spans="1:10" ht="15.9" customHeight="1">
      <c r="A26" s="294"/>
      <c r="B26" s="888"/>
      <c r="C26" s="237"/>
      <c r="D26" s="317" t="s">
        <v>183</v>
      </c>
      <c r="E26" s="297">
        <f>SUM(E24,-E25)</f>
        <v>0</v>
      </c>
      <c r="F26" s="231"/>
      <c r="G26" s="231"/>
      <c r="H26" s="231"/>
      <c r="I26" s="231"/>
      <c r="J26" s="231"/>
    </row>
    <row r="27" spans="1:10" ht="15.9" customHeight="1">
      <c r="A27" s="294" t="s">
        <v>343</v>
      </c>
      <c r="B27" s="877">
        <f>审定报表!B353</f>
        <v>74</v>
      </c>
      <c r="C27" s="229">
        <f>E29</f>
        <v>0</v>
      </c>
      <c r="D27" s="241" t="s">
        <v>344</v>
      </c>
      <c r="E27" s="237"/>
      <c r="F27" s="231"/>
      <c r="G27" s="231"/>
      <c r="H27" s="231"/>
      <c r="I27" s="231"/>
      <c r="J27" s="231"/>
    </row>
    <row r="28" spans="1:10" ht="15.9" customHeight="1">
      <c r="A28" s="294"/>
      <c r="B28" s="888"/>
      <c r="C28" s="237"/>
      <c r="D28" s="247" t="s">
        <v>1659</v>
      </c>
      <c r="E28" s="237"/>
      <c r="F28" s="231"/>
      <c r="G28" s="231"/>
      <c r="H28" s="231"/>
      <c r="I28" s="231"/>
      <c r="J28" s="231"/>
    </row>
    <row r="29" spans="1:10" ht="15.9" customHeight="1">
      <c r="A29" s="294"/>
      <c r="B29" s="888"/>
      <c r="C29" s="237"/>
      <c r="D29" s="317" t="s">
        <v>183</v>
      </c>
      <c r="E29" s="297">
        <f>SUM(E27,-E28)</f>
        <v>0</v>
      </c>
      <c r="F29" s="231"/>
      <c r="G29" s="231"/>
      <c r="H29" s="231"/>
      <c r="I29" s="231"/>
      <c r="J29" s="231"/>
    </row>
    <row r="30" spans="1:10" ht="16.5" customHeight="1">
      <c r="A30" s="301" t="s">
        <v>345</v>
      </c>
      <c r="B30" s="877">
        <f>审定报表!B354</f>
        <v>75</v>
      </c>
      <c r="C30" s="229">
        <f>J35</f>
        <v>0</v>
      </c>
      <c r="D30" s="247"/>
      <c r="E30" s="303" t="s">
        <v>346</v>
      </c>
      <c r="F30" s="303" t="s">
        <v>1</v>
      </c>
      <c r="G30" s="303" t="s">
        <v>347</v>
      </c>
      <c r="H30" s="303" t="s">
        <v>348</v>
      </c>
      <c r="I30" s="303" t="s">
        <v>349</v>
      </c>
      <c r="J30" s="303" t="s">
        <v>350</v>
      </c>
    </row>
    <row r="31" spans="1:10" ht="15.9" customHeight="1">
      <c r="A31" s="294"/>
      <c r="B31" s="295"/>
      <c r="C31" s="231"/>
      <c r="D31" s="247" t="s">
        <v>419</v>
      </c>
      <c r="E31" s="237"/>
      <c r="F31" s="237"/>
      <c r="G31" s="237"/>
      <c r="H31" s="229">
        <f>E31-F31-G31</f>
        <v>0</v>
      </c>
      <c r="I31" s="237"/>
      <c r="J31" s="229">
        <f>H31-I31</f>
        <v>0</v>
      </c>
    </row>
    <row r="32" spans="1:10" ht="15.9" customHeight="1">
      <c r="A32" s="294"/>
      <c r="B32" s="295"/>
      <c r="C32" s="231"/>
      <c r="D32" s="247" t="s">
        <v>351</v>
      </c>
      <c r="E32" s="237"/>
      <c r="F32" s="231"/>
      <c r="G32" s="231"/>
      <c r="H32" s="229">
        <f>E32-F32-G32</f>
        <v>0</v>
      </c>
      <c r="I32" s="231"/>
      <c r="J32" s="229">
        <f>H32-I32</f>
        <v>0</v>
      </c>
    </row>
    <row r="33" spans="1:11" ht="15.9" customHeight="1">
      <c r="A33" s="294"/>
      <c r="B33" s="295"/>
      <c r="C33" s="231"/>
      <c r="D33" s="247" t="s">
        <v>352</v>
      </c>
      <c r="E33" s="237"/>
      <c r="F33" s="231"/>
      <c r="G33" s="231"/>
      <c r="H33" s="229">
        <f>E33-F33-G33</f>
        <v>0</v>
      </c>
      <c r="I33" s="231"/>
      <c r="J33" s="229">
        <f>H33-I33</f>
        <v>0</v>
      </c>
    </row>
    <row r="34" spans="1:11" ht="15.9" customHeight="1">
      <c r="A34" s="294"/>
      <c r="B34" s="295"/>
      <c r="C34" s="231"/>
      <c r="D34" s="243" t="s">
        <v>411</v>
      </c>
      <c r="E34" s="237"/>
      <c r="F34" s="237"/>
      <c r="G34" s="237"/>
      <c r="H34" s="229">
        <f>E34-F34-G34</f>
        <v>0</v>
      </c>
      <c r="I34" s="237"/>
      <c r="J34" s="229">
        <f>H34-I34</f>
        <v>0</v>
      </c>
      <c r="K34" s="304"/>
    </row>
    <row r="35" spans="1:11" ht="15.9" customHeight="1">
      <c r="A35" s="294"/>
      <c r="B35" s="295"/>
      <c r="C35" s="231"/>
      <c r="D35" s="317" t="s">
        <v>183</v>
      </c>
      <c r="E35" s="297">
        <f t="shared" ref="E35:J35" si="0">SUM(E31:E34)</f>
        <v>0</v>
      </c>
      <c r="F35" s="297">
        <f t="shared" si="0"/>
        <v>0</v>
      </c>
      <c r="G35" s="297">
        <f t="shared" si="0"/>
        <v>0</v>
      </c>
      <c r="H35" s="297">
        <f>SUM(H31:H34)</f>
        <v>0</v>
      </c>
      <c r="I35" s="297">
        <f t="shared" si="0"/>
        <v>0</v>
      </c>
      <c r="J35" s="297">
        <f t="shared" si="0"/>
        <v>0</v>
      </c>
    </row>
    <row r="36" spans="1:11" ht="18" customHeight="1">
      <c r="A36" s="294" t="s">
        <v>353</v>
      </c>
      <c r="B36" s="877">
        <f>审定报表!B355</f>
        <v>76</v>
      </c>
      <c r="C36" s="229">
        <f>E38</f>
        <v>0</v>
      </c>
      <c r="D36" s="247" t="s">
        <v>1660</v>
      </c>
      <c r="E36" s="237"/>
      <c r="F36" s="237"/>
      <c r="G36" s="237"/>
      <c r="H36" s="237"/>
      <c r="I36" s="231"/>
      <c r="J36" s="237"/>
    </row>
    <row r="37" spans="1:11" ht="18" customHeight="1">
      <c r="A37" s="294"/>
      <c r="B37" s="888"/>
      <c r="C37" s="237"/>
      <c r="D37" s="241" t="s">
        <v>1661</v>
      </c>
      <c r="E37" s="237"/>
      <c r="F37" s="237"/>
      <c r="G37" s="237"/>
      <c r="H37" s="237"/>
      <c r="I37" s="231"/>
      <c r="J37" s="237"/>
    </row>
    <row r="38" spans="1:11" ht="18" customHeight="1">
      <c r="A38" s="294"/>
      <c r="B38" s="888"/>
      <c r="C38" s="237"/>
      <c r="D38" s="317" t="s">
        <v>183</v>
      </c>
      <c r="E38" s="297">
        <f>SUM(E36:E37)</f>
        <v>0</v>
      </c>
      <c r="F38" s="237"/>
      <c r="G38" s="237"/>
      <c r="H38" s="237"/>
      <c r="I38" s="231"/>
      <c r="J38" s="237"/>
    </row>
    <row r="39" spans="1:11" ht="18" customHeight="1">
      <c r="A39" s="294" t="s">
        <v>354</v>
      </c>
      <c r="B39" s="877">
        <f>审定报表!B356</f>
        <v>77</v>
      </c>
      <c r="C39" s="229">
        <f>E39</f>
        <v>0</v>
      </c>
      <c r="D39" s="247" t="s">
        <v>355</v>
      </c>
      <c r="E39" s="297">
        <f>-审定报表!C223</f>
        <v>0</v>
      </c>
      <c r="F39" s="237"/>
      <c r="G39" s="237"/>
      <c r="H39" s="237"/>
      <c r="I39" s="231"/>
      <c r="J39" s="231"/>
    </row>
    <row r="40" spans="1:11" ht="43.5" customHeight="1">
      <c r="A40" s="294" t="s">
        <v>356</v>
      </c>
      <c r="B40" s="877">
        <f>审定报表!B357</f>
        <v>78</v>
      </c>
      <c r="C40" s="229">
        <f>E40</f>
        <v>0</v>
      </c>
      <c r="D40" s="249" t="s">
        <v>357</v>
      </c>
      <c r="E40" s="231"/>
      <c r="F40" s="231"/>
      <c r="G40" s="231"/>
      <c r="H40" s="231"/>
      <c r="I40" s="231"/>
      <c r="J40" s="231"/>
    </row>
    <row r="41" spans="1:11" ht="15.9" customHeight="1">
      <c r="A41" s="294" t="s">
        <v>358</v>
      </c>
      <c r="B41" s="877">
        <f>审定报表!B358</f>
        <v>79</v>
      </c>
      <c r="C41" s="229">
        <f>E41</f>
        <v>-23067226.620000001</v>
      </c>
      <c r="D41" s="247" t="s">
        <v>359</v>
      </c>
      <c r="E41" s="297">
        <f>-审定报表!C218</f>
        <v>-23067226.620000001</v>
      </c>
      <c r="F41" s="231"/>
      <c r="G41" s="231"/>
      <c r="H41" s="231"/>
      <c r="I41" s="231"/>
      <c r="J41" s="231"/>
    </row>
    <row r="42" spans="1:11" ht="15.9" customHeight="1">
      <c r="A42" s="294" t="s">
        <v>360</v>
      </c>
      <c r="B42" s="877">
        <f>审定报表!B359</f>
        <v>80</v>
      </c>
      <c r="C42" s="229">
        <f>G43</f>
        <v>96633.9</v>
      </c>
      <c r="D42" s="247" t="s">
        <v>361</v>
      </c>
      <c r="E42" s="303" t="s">
        <v>362</v>
      </c>
      <c r="F42" s="303" t="s">
        <v>363</v>
      </c>
      <c r="G42" s="303" t="s">
        <v>364</v>
      </c>
      <c r="H42" s="303" t="s">
        <v>1662</v>
      </c>
      <c r="I42" s="303" t="s">
        <v>1664</v>
      </c>
      <c r="J42" s="305"/>
    </row>
    <row r="43" spans="1:11" ht="15.9" customHeight="1">
      <c r="A43" s="294"/>
      <c r="B43" s="295"/>
      <c r="C43" s="231"/>
      <c r="D43" s="247"/>
      <c r="E43" s="306">
        <f>审定报表!D123</f>
        <v>354277.86</v>
      </c>
      <c r="F43" s="306">
        <f>审定报表!C123</f>
        <v>257643.96</v>
      </c>
      <c r="G43" s="306">
        <f>E43-F43</f>
        <v>96633.9</v>
      </c>
      <c r="H43" s="890"/>
      <c r="I43" s="306">
        <f>G43-H43</f>
        <v>96633.9</v>
      </c>
      <c r="J43" s="305"/>
    </row>
    <row r="44" spans="1:11" ht="15.9" customHeight="1">
      <c r="A44" s="294" t="s">
        <v>365</v>
      </c>
      <c r="B44" s="877">
        <f>审定报表!B360</f>
        <v>81</v>
      </c>
      <c r="C44" s="229">
        <f>I45</f>
        <v>0</v>
      </c>
      <c r="D44" s="247" t="s">
        <v>366</v>
      </c>
      <c r="E44" s="303" t="s">
        <v>362</v>
      </c>
      <c r="F44" s="303" t="s">
        <v>363</v>
      </c>
      <c r="G44" s="303" t="s">
        <v>367</v>
      </c>
      <c r="H44" s="303" t="s">
        <v>1662</v>
      </c>
      <c r="I44" s="303" t="s">
        <v>1663</v>
      </c>
      <c r="J44" s="305"/>
    </row>
    <row r="45" spans="1:11" ht="15.9" customHeight="1">
      <c r="A45" s="294"/>
      <c r="B45" s="295"/>
      <c r="C45" s="231"/>
      <c r="D45" s="247"/>
      <c r="E45" s="306">
        <f>审定报表!D170</f>
        <v>0</v>
      </c>
      <c r="F45" s="306">
        <f>审定报表!C170</f>
        <v>0</v>
      </c>
      <c r="G45" s="306">
        <f>F45-E45</f>
        <v>0</v>
      </c>
      <c r="H45" s="890"/>
      <c r="I45" s="306">
        <f>G45-H45</f>
        <v>0</v>
      </c>
      <c r="J45" s="305"/>
    </row>
    <row r="46" spans="1:11" ht="15.9" customHeight="1">
      <c r="A46" s="294" t="s">
        <v>415</v>
      </c>
      <c r="B46" s="877">
        <f>审定报表!B361</f>
        <v>82</v>
      </c>
      <c r="C46" s="229">
        <f>J47</f>
        <v>0</v>
      </c>
      <c r="D46" s="249" t="s">
        <v>368</v>
      </c>
      <c r="E46" s="303" t="s">
        <v>362</v>
      </c>
      <c r="F46" s="303" t="s">
        <v>363</v>
      </c>
      <c r="G46" s="303" t="s">
        <v>364</v>
      </c>
      <c r="H46" s="303" t="s">
        <v>369</v>
      </c>
      <c r="I46" s="303" t="s">
        <v>370</v>
      </c>
      <c r="J46" s="891"/>
    </row>
    <row r="47" spans="1:11" ht="15.9" customHeight="1">
      <c r="A47" s="294"/>
      <c r="B47" s="295"/>
      <c r="E47" s="229">
        <f>审定报表!D46</f>
        <v>0</v>
      </c>
      <c r="F47" s="229">
        <f>审定报表!C46</f>
        <v>8526796.3200000003</v>
      </c>
      <c r="G47" s="229">
        <f>E47-F47</f>
        <v>-8526796.3200000003</v>
      </c>
      <c r="H47" s="305"/>
      <c r="I47" s="229">
        <f>G47-H47</f>
        <v>-8526796.3200000003</v>
      </c>
      <c r="J47" s="237"/>
    </row>
    <row r="48" spans="1:11" ht="15.9" customHeight="1">
      <c r="A48" s="294"/>
      <c r="B48" s="295"/>
      <c r="C48" s="231"/>
      <c r="D48" s="247"/>
      <c r="E48" s="231"/>
      <c r="F48" s="231"/>
      <c r="G48" s="305"/>
      <c r="H48" s="305"/>
      <c r="I48" s="231"/>
      <c r="J48" s="231"/>
    </row>
    <row r="49" spans="1:10" ht="15.9" customHeight="1">
      <c r="A49" s="294" t="s">
        <v>371</v>
      </c>
      <c r="B49" s="877">
        <f>审定报表!B362</f>
        <v>83</v>
      </c>
      <c r="C49" s="229">
        <f>J59</f>
        <v>0</v>
      </c>
      <c r="D49" s="247"/>
      <c r="E49" s="303" t="s">
        <v>362</v>
      </c>
      <c r="F49" s="303" t="s">
        <v>363</v>
      </c>
      <c r="G49" s="303" t="s">
        <v>364</v>
      </c>
      <c r="H49" s="303" t="s">
        <v>369</v>
      </c>
      <c r="I49" s="303" t="s">
        <v>372</v>
      </c>
      <c r="J49" s="891"/>
    </row>
    <row r="50" spans="1:10" ht="15.9" customHeight="1">
      <c r="A50" s="294"/>
      <c r="B50" s="295"/>
      <c r="C50" s="231"/>
      <c r="D50" s="241" t="s">
        <v>373</v>
      </c>
      <c r="E50" s="229">
        <f>审定报表!D15</f>
        <v>0</v>
      </c>
      <c r="F50" s="229">
        <f>审定报表!C15</f>
        <v>0</v>
      </c>
      <c r="G50" s="229">
        <f>E50-F50</f>
        <v>0</v>
      </c>
      <c r="H50" s="231"/>
      <c r="I50" s="229">
        <f>G50-H50</f>
        <v>0</v>
      </c>
      <c r="J50" s="237"/>
    </row>
    <row r="51" spans="1:10" ht="15.9" customHeight="1">
      <c r="A51" s="294"/>
      <c r="B51" s="295"/>
      <c r="C51" s="231"/>
      <c r="D51" s="241" t="s">
        <v>374</v>
      </c>
      <c r="E51" s="229">
        <f>审定报表!D18</f>
        <v>16718591.219999999</v>
      </c>
      <c r="F51" s="229">
        <f>审定报表!C18</f>
        <v>19311878</v>
      </c>
      <c r="G51" s="229">
        <f t="shared" ref="G51:G58" si="1">E51-F51</f>
        <v>-2593286.7800000012</v>
      </c>
      <c r="H51" s="231"/>
      <c r="I51" s="229">
        <f t="shared" ref="I51:I58" si="2">G51-H51</f>
        <v>-2593286.7800000012</v>
      </c>
      <c r="J51" s="237"/>
    </row>
    <row r="52" spans="1:10" ht="15.9" customHeight="1">
      <c r="A52" s="294"/>
      <c r="B52" s="295"/>
      <c r="C52" s="231"/>
      <c r="D52" s="241" t="s">
        <v>1665</v>
      </c>
      <c r="E52" s="229">
        <f>审定报表!D21</f>
        <v>0</v>
      </c>
      <c r="F52" s="229">
        <f>审定报表!C21</f>
        <v>0</v>
      </c>
      <c r="G52" s="229">
        <f t="shared" si="1"/>
        <v>0</v>
      </c>
      <c r="H52" s="231"/>
      <c r="I52" s="229">
        <f t="shared" si="2"/>
        <v>0</v>
      </c>
      <c r="J52" s="237"/>
    </row>
    <row r="53" spans="1:10" ht="15.9" customHeight="1">
      <c r="A53" s="294"/>
      <c r="B53" s="295"/>
      <c r="C53" s="231"/>
      <c r="D53" s="241" t="s">
        <v>375</v>
      </c>
      <c r="E53" s="229">
        <f>审定报表!D40</f>
        <v>12543397.1</v>
      </c>
      <c r="F53" s="229">
        <f>审定报表!C40</f>
        <v>18020017.120000001</v>
      </c>
      <c r="G53" s="229">
        <f t="shared" si="1"/>
        <v>-5476620.0200000014</v>
      </c>
      <c r="H53" s="231"/>
      <c r="I53" s="229">
        <f t="shared" si="2"/>
        <v>-5476620.0200000014</v>
      </c>
      <c r="J53" s="237"/>
    </row>
    <row r="54" spans="1:10" ht="15.9" customHeight="1">
      <c r="A54" s="294"/>
      <c r="B54" s="295"/>
      <c r="C54" s="231"/>
      <c r="D54" s="241" t="s">
        <v>376</v>
      </c>
      <c r="E54" s="229">
        <f>审定报表!D24</f>
        <v>1584.26</v>
      </c>
      <c r="F54" s="229">
        <f>审定报表!C24</f>
        <v>574623.4</v>
      </c>
      <c r="G54" s="229">
        <f t="shared" si="1"/>
        <v>-573039.14</v>
      </c>
      <c r="H54" s="231"/>
      <c r="I54" s="229">
        <f t="shared" si="2"/>
        <v>-573039.14</v>
      </c>
      <c r="J54" s="237"/>
    </row>
    <row r="55" spans="1:10" ht="15.9" customHeight="1">
      <c r="A55" s="294"/>
      <c r="B55" s="295"/>
      <c r="C55" s="231"/>
      <c r="D55" s="241" t="s">
        <v>1666</v>
      </c>
      <c r="E55" s="229">
        <f>审定报表!D51</f>
        <v>0</v>
      </c>
      <c r="F55" s="229">
        <f>审定报表!C51</f>
        <v>0</v>
      </c>
      <c r="G55" s="229">
        <f t="shared" si="1"/>
        <v>0</v>
      </c>
      <c r="H55" s="231"/>
      <c r="I55" s="229">
        <f t="shared" si="2"/>
        <v>0</v>
      </c>
      <c r="J55" s="237"/>
    </row>
    <row r="56" spans="1:10" ht="15.9" customHeight="1">
      <c r="A56" s="294"/>
      <c r="B56" s="295"/>
      <c r="C56" s="231"/>
      <c r="D56" s="241" t="s">
        <v>377</v>
      </c>
      <c r="E56" s="229">
        <f>审定报表!D57</f>
        <v>0</v>
      </c>
      <c r="F56" s="229">
        <f>审定报表!C57</f>
        <v>0</v>
      </c>
      <c r="G56" s="229">
        <f t="shared" si="1"/>
        <v>0</v>
      </c>
      <c r="H56" s="231"/>
      <c r="I56" s="229">
        <f t="shared" si="2"/>
        <v>0</v>
      </c>
      <c r="J56" s="237"/>
    </row>
    <row r="57" spans="1:10" ht="15.9" customHeight="1">
      <c r="A57" s="294"/>
      <c r="B57" s="295"/>
      <c r="C57" s="231"/>
      <c r="D57" s="241" t="s">
        <v>378</v>
      </c>
      <c r="E57" s="229">
        <f>审定报表!D58</f>
        <v>19000000</v>
      </c>
      <c r="F57" s="229">
        <f>审定报表!C58</f>
        <v>0</v>
      </c>
      <c r="G57" s="229">
        <f t="shared" si="1"/>
        <v>19000000</v>
      </c>
      <c r="H57" s="231"/>
      <c r="I57" s="229">
        <f t="shared" si="2"/>
        <v>19000000</v>
      </c>
      <c r="J57" s="237"/>
    </row>
    <row r="58" spans="1:10" ht="15.9" customHeight="1">
      <c r="A58" s="294"/>
      <c r="B58" s="295"/>
      <c r="C58" s="231"/>
      <c r="D58" s="241" t="s">
        <v>379</v>
      </c>
      <c r="E58" s="229">
        <f>审定报表!D70</f>
        <v>0</v>
      </c>
      <c r="F58" s="229">
        <f>审定报表!C70</f>
        <v>0</v>
      </c>
      <c r="G58" s="229">
        <f t="shared" si="1"/>
        <v>0</v>
      </c>
      <c r="H58" s="231"/>
      <c r="I58" s="229">
        <f t="shared" si="2"/>
        <v>0</v>
      </c>
      <c r="J58" s="237"/>
    </row>
    <row r="59" spans="1:10" ht="15.9" customHeight="1">
      <c r="A59" s="294"/>
      <c r="B59" s="295"/>
      <c r="C59" s="231"/>
      <c r="D59" s="241" t="s">
        <v>183</v>
      </c>
      <c r="E59" s="307"/>
      <c r="F59" s="307">
        <f>SUM(F50:F58)</f>
        <v>37906518.520000003</v>
      </c>
      <c r="G59" s="307">
        <f>SUM(G50:G58)</f>
        <v>10357054.059999997</v>
      </c>
      <c r="H59" s="307">
        <f>SUM(H50:H58)</f>
        <v>0</v>
      </c>
      <c r="I59" s="307">
        <f>SUM(I50:I58)</f>
        <v>10357054.059999997</v>
      </c>
      <c r="J59" s="892"/>
    </row>
    <row r="60" spans="1:10" ht="15.9" customHeight="1">
      <c r="A60" s="294"/>
      <c r="B60" s="295"/>
      <c r="C60" s="231"/>
      <c r="D60" s="241"/>
      <c r="E60" s="302"/>
      <c r="F60" s="302"/>
      <c r="G60" s="302"/>
      <c r="H60" s="302"/>
      <c r="I60" s="231"/>
      <c r="J60" s="237"/>
    </row>
    <row r="61" spans="1:10" ht="15.9" customHeight="1">
      <c r="A61" s="294" t="s">
        <v>380</v>
      </c>
      <c r="B61" s="877">
        <f>审定报表!B363</f>
        <v>84</v>
      </c>
      <c r="C61" s="293">
        <f>I75</f>
        <v>15906635.779999999</v>
      </c>
      <c r="D61" s="241" t="s">
        <v>381</v>
      </c>
      <c r="E61" s="303" t="s">
        <v>362</v>
      </c>
      <c r="F61" s="303" t="s">
        <v>363</v>
      </c>
      <c r="G61" s="303" t="s">
        <v>367</v>
      </c>
      <c r="H61" s="303" t="s">
        <v>369</v>
      </c>
      <c r="I61" s="303" t="s">
        <v>382</v>
      </c>
      <c r="J61" s="231"/>
    </row>
    <row r="62" spans="1:10" ht="15.9" customHeight="1">
      <c r="A62" s="294"/>
      <c r="B62" s="295"/>
      <c r="C62" s="231"/>
      <c r="D62" s="241" t="s">
        <v>383</v>
      </c>
      <c r="E62" s="229">
        <f>审定报表!D136</f>
        <v>2255558.0699999998</v>
      </c>
      <c r="F62" s="229">
        <f>审定报表!C136</f>
        <v>11490174.18</v>
      </c>
      <c r="G62" s="229">
        <f>F62-E62</f>
        <v>9234616.1099999994</v>
      </c>
      <c r="H62" s="231"/>
      <c r="I62" s="229">
        <f>G62-H62</f>
        <v>9234616.1099999994</v>
      </c>
      <c r="J62" s="231"/>
    </row>
    <row r="63" spans="1:10" ht="15.9" customHeight="1">
      <c r="A63" s="294"/>
      <c r="B63" s="295"/>
      <c r="C63" s="231"/>
      <c r="D63" s="241" t="s">
        <v>384</v>
      </c>
      <c r="E63" s="229">
        <f>审定报表!D135</f>
        <v>0</v>
      </c>
      <c r="F63" s="229">
        <f>审定报表!C135</f>
        <v>0</v>
      </c>
      <c r="G63" s="229">
        <f>F63-E63</f>
        <v>0</v>
      </c>
      <c r="H63" s="231"/>
      <c r="I63" s="229">
        <f t="shared" ref="I63:I74" si="3">G63-H63</f>
        <v>0</v>
      </c>
      <c r="J63" s="231"/>
    </row>
    <row r="64" spans="1:10" ht="15.9" customHeight="1">
      <c r="A64" s="294"/>
      <c r="B64" s="295"/>
      <c r="C64" s="231"/>
      <c r="D64" s="241" t="s">
        <v>385</v>
      </c>
      <c r="E64" s="229">
        <f>审定报表!D137</f>
        <v>1282269.1599999999</v>
      </c>
      <c r="F64" s="229">
        <f>审定报表!C137</f>
        <v>2271229.16</v>
      </c>
      <c r="G64" s="229">
        <f>F64-E64</f>
        <v>988960.00000000023</v>
      </c>
      <c r="H64" s="231"/>
      <c r="I64" s="229">
        <f t="shared" si="3"/>
        <v>988960.00000000023</v>
      </c>
      <c r="J64" s="231"/>
    </row>
    <row r="65" spans="1:10" ht="15.9" customHeight="1">
      <c r="A65" s="294"/>
      <c r="B65" s="295"/>
      <c r="C65" s="231"/>
      <c r="D65" s="241" t="s">
        <v>1667</v>
      </c>
      <c r="E65" s="229">
        <f>审定报表!D138</f>
        <v>0</v>
      </c>
      <c r="F65" s="229">
        <f>审定报表!C138</f>
        <v>0</v>
      </c>
      <c r="G65" s="229"/>
      <c r="H65" s="231"/>
      <c r="I65" s="229"/>
      <c r="J65" s="231"/>
    </row>
    <row r="66" spans="1:10" ht="15.9" customHeight="1">
      <c r="A66" s="294"/>
      <c r="B66" s="295"/>
      <c r="C66" s="231"/>
      <c r="D66" s="241" t="s">
        <v>386</v>
      </c>
      <c r="E66" s="229">
        <f>审定报表!D143</f>
        <v>0</v>
      </c>
      <c r="F66" s="229">
        <f>审定报表!C143</f>
        <v>7036440.0999999996</v>
      </c>
      <c r="G66" s="229">
        <f>F66-E66</f>
        <v>7036440.0999999996</v>
      </c>
      <c r="H66" s="231"/>
      <c r="I66" s="229">
        <f t="shared" si="3"/>
        <v>7036440.0999999996</v>
      </c>
      <c r="J66" s="231"/>
    </row>
    <row r="67" spans="1:10" ht="15.9" customHeight="1">
      <c r="A67" s="294"/>
      <c r="B67" s="295"/>
      <c r="C67" s="231"/>
      <c r="D67" s="241" t="s">
        <v>387</v>
      </c>
      <c r="E67" s="229">
        <f>审定报表!D147</f>
        <v>4493249.99</v>
      </c>
      <c r="F67" s="229">
        <f>审定报表!C147</f>
        <v>1623174.1199999999</v>
      </c>
      <c r="G67" s="229">
        <f t="shared" ref="G67:G74" si="4">F67-E67</f>
        <v>-2870075.87</v>
      </c>
      <c r="H67" s="231"/>
      <c r="I67" s="229">
        <f t="shared" si="3"/>
        <v>-2870075.87</v>
      </c>
      <c r="J67" s="231"/>
    </row>
    <row r="68" spans="1:10" ht="15.9" customHeight="1">
      <c r="A68" s="294"/>
      <c r="B68" s="295"/>
      <c r="C68" s="231"/>
      <c r="D68" s="241" t="s">
        <v>388</v>
      </c>
      <c r="E68" s="229">
        <f>审定报表!D149</f>
        <v>1164224.7800000005</v>
      </c>
      <c r="F68" s="229">
        <f>审定报表!C149</f>
        <v>2680920.2199999997</v>
      </c>
      <c r="G68" s="229">
        <f t="shared" si="4"/>
        <v>1516695.4399999992</v>
      </c>
      <c r="H68" s="231"/>
      <c r="I68" s="229">
        <f t="shared" si="3"/>
        <v>1516695.4399999992</v>
      </c>
      <c r="J68" s="231"/>
    </row>
    <row r="69" spans="1:10" ht="15.9" customHeight="1">
      <c r="A69" s="294"/>
      <c r="B69" s="295"/>
      <c r="C69" s="231"/>
      <c r="D69" s="241" t="s">
        <v>389</v>
      </c>
      <c r="E69" s="229">
        <f>审定报表!D155</f>
        <v>0</v>
      </c>
      <c r="F69" s="229">
        <f>审定报表!C155</f>
        <v>0</v>
      </c>
      <c r="G69" s="229">
        <f t="shared" si="4"/>
        <v>0</v>
      </c>
      <c r="H69" s="231"/>
      <c r="I69" s="229">
        <f t="shared" si="3"/>
        <v>0</v>
      </c>
      <c r="J69" s="231"/>
    </row>
    <row r="70" spans="1:10" ht="15.9" customHeight="1">
      <c r="A70" s="294"/>
      <c r="B70" s="295"/>
      <c r="C70" s="231"/>
      <c r="D70" s="241" t="s">
        <v>390</v>
      </c>
      <c r="E70" s="229">
        <f>审定报表!D156</f>
        <v>0</v>
      </c>
      <c r="F70" s="229">
        <f>审定报表!C156</f>
        <v>0</v>
      </c>
      <c r="G70" s="229">
        <f t="shared" si="4"/>
        <v>0</v>
      </c>
      <c r="H70" s="231"/>
      <c r="I70" s="229">
        <f t="shared" si="3"/>
        <v>0</v>
      </c>
      <c r="J70" s="231"/>
    </row>
    <row r="71" spans="1:10" ht="15.9" customHeight="1">
      <c r="A71" s="294"/>
      <c r="B71" s="295"/>
      <c r="C71" s="231"/>
      <c r="D71" s="241" t="s">
        <v>391</v>
      </c>
      <c r="E71" s="229">
        <f>审定报表!D165</f>
        <v>0</v>
      </c>
      <c r="F71" s="229">
        <f>审定报表!C165</f>
        <v>0</v>
      </c>
      <c r="G71" s="229">
        <f t="shared" si="4"/>
        <v>0</v>
      </c>
      <c r="H71" s="231"/>
      <c r="I71" s="229">
        <f t="shared" si="3"/>
        <v>0</v>
      </c>
      <c r="J71" s="231"/>
    </row>
    <row r="72" spans="1:10" ht="15.9" customHeight="1">
      <c r="A72" s="294"/>
      <c r="B72" s="295"/>
      <c r="C72" s="231"/>
      <c r="D72" s="241" t="s">
        <v>497</v>
      </c>
      <c r="E72" s="229">
        <f>审定报表!D167</f>
        <v>0</v>
      </c>
      <c r="F72" s="229">
        <f>审定报表!C167</f>
        <v>0</v>
      </c>
      <c r="G72" s="229">
        <f t="shared" si="4"/>
        <v>0</v>
      </c>
      <c r="H72" s="231"/>
      <c r="I72" s="229">
        <f t="shared" si="3"/>
        <v>0</v>
      </c>
      <c r="J72" s="231"/>
    </row>
    <row r="73" spans="1:10" ht="15.9" customHeight="1">
      <c r="A73" s="294"/>
      <c r="B73" s="295"/>
      <c r="C73" s="231"/>
      <c r="D73" s="241" t="s">
        <v>392</v>
      </c>
      <c r="E73" s="229">
        <f>审定报表!D168</f>
        <v>0</v>
      </c>
      <c r="F73" s="229">
        <f>审定报表!C168</f>
        <v>0</v>
      </c>
      <c r="G73" s="229">
        <f t="shared" si="4"/>
        <v>0</v>
      </c>
      <c r="H73" s="231"/>
      <c r="I73" s="229">
        <f t="shared" si="3"/>
        <v>0</v>
      </c>
      <c r="J73" s="231"/>
    </row>
    <row r="74" spans="1:10" ht="15.9" customHeight="1">
      <c r="A74" s="294"/>
      <c r="B74" s="295"/>
      <c r="C74" s="231"/>
      <c r="D74" s="241" t="s">
        <v>393</v>
      </c>
      <c r="E74" s="229">
        <f>审定报表!D171</f>
        <v>0</v>
      </c>
      <c r="F74" s="229">
        <f>审定报表!C171</f>
        <v>0</v>
      </c>
      <c r="G74" s="229">
        <f t="shared" si="4"/>
        <v>0</v>
      </c>
      <c r="H74" s="231"/>
      <c r="I74" s="229">
        <f t="shared" si="3"/>
        <v>0</v>
      </c>
      <c r="J74" s="231"/>
    </row>
    <row r="75" spans="1:10" ht="15.9" customHeight="1">
      <c r="A75" s="294"/>
      <c r="B75" s="295"/>
      <c r="C75" s="231"/>
      <c r="D75" s="308" t="s">
        <v>183</v>
      </c>
      <c r="E75" s="307">
        <f>SUM(E62:E74)</f>
        <v>9195302</v>
      </c>
      <c r="F75" s="307">
        <f>SUM(F62:F74)</f>
        <v>25101937.779999997</v>
      </c>
      <c r="G75" s="307">
        <f>SUM(G62:G74)</f>
        <v>15906635.779999999</v>
      </c>
      <c r="H75" s="307">
        <f>SUM(H62:H74)</f>
        <v>0</v>
      </c>
      <c r="I75" s="307">
        <f>SUM(I62:I74)</f>
        <v>15906635.779999999</v>
      </c>
      <c r="J75" s="231"/>
    </row>
    <row r="76" spans="1:10" ht="15.9" customHeight="1">
      <c r="A76" s="294" t="s">
        <v>394</v>
      </c>
      <c r="B76" s="877">
        <f>审定报表!B364</f>
        <v>85</v>
      </c>
      <c r="C76" s="231"/>
      <c r="D76" s="254"/>
      <c r="E76" s="231"/>
      <c r="F76" s="231"/>
      <c r="G76" s="231"/>
      <c r="H76" s="231"/>
      <c r="I76" s="231"/>
      <c r="J76" s="231"/>
    </row>
    <row r="77" spans="1:10" s="310" customFormat="1" ht="15.9" customHeight="1">
      <c r="A77" s="309" t="s">
        <v>229</v>
      </c>
      <c r="B77" s="877">
        <f>审定报表!B349</f>
        <v>70</v>
      </c>
      <c r="C77" s="253">
        <f>SUM(C9:C76)</f>
        <v>-6763441.9300000016</v>
      </c>
      <c r="D77" s="254"/>
      <c r="E77" s="224"/>
      <c r="F77" s="224"/>
      <c r="G77" s="224"/>
      <c r="H77" s="224"/>
      <c r="I77" s="224"/>
      <c r="J77" s="224"/>
    </row>
    <row r="78" spans="1:10" s="310" customFormat="1" ht="15.9" customHeight="1">
      <c r="A78" s="309" t="s">
        <v>395</v>
      </c>
      <c r="B78" s="877">
        <f>审定报表!B350</f>
        <v>71</v>
      </c>
      <c r="C78" s="224"/>
      <c r="D78" s="254"/>
      <c r="E78" s="224"/>
      <c r="F78" s="224"/>
      <c r="G78" s="224"/>
      <c r="H78" s="224"/>
      <c r="I78" s="224"/>
      <c r="J78" s="224"/>
    </row>
    <row r="79" spans="1:10" ht="15.9" customHeight="1">
      <c r="A79" s="294" t="s">
        <v>396</v>
      </c>
      <c r="B79" s="877">
        <f>审定报表!B351</f>
        <v>72</v>
      </c>
      <c r="C79" s="231"/>
      <c r="D79" s="247"/>
      <c r="E79" s="231"/>
      <c r="F79" s="231"/>
      <c r="G79" s="231"/>
      <c r="H79" s="231"/>
      <c r="I79" s="231"/>
      <c r="J79" s="231"/>
    </row>
    <row r="80" spans="1:10" ht="15.9" customHeight="1">
      <c r="A80" s="294" t="s">
        <v>397</v>
      </c>
      <c r="B80" s="877">
        <f>审定报表!B352</f>
        <v>73</v>
      </c>
      <c r="C80" s="231"/>
      <c r="D80" s="247"/>
      <c r="E80" s="231"/>
      <c r="F80" s="231"/>
      <c r="G80" s="231"/>
      <c r="H80" s="231"/>
      <c r="I80" s="231"/>
      <c r="J80" s="231"/>
    </row>
    <row r="81" spans="1:10" ht="15.9" customHeight="1">
      <c r="A81" s="294" t="s">
        <v>398</v>
      </c>
      <c r="B81" s="877">
        <f>审定报表!B353</f>
        <v>74</v>
      </c>
      <c r="C81" s="231"/>
      <c r="D81" s="247"/>
      <c r="E81" s="231"/>
      <c r="F81" s="231"/>
      <c r="G81" s="231"/>
      <c r="H81" s="231"/>
      <c r="I81" s="231"/>
      <c r="J81" s="231"/>
    </row>
    <row r="82" spans="1:10" s="310" customFormat="1" ht="15.9" customHeight="1">
      <c r="A82" s="309" t="s">
        <v>399</v>
      </c>
      <c r="B82" s="877">
        <f>审定报表!B354</f>
        <v>75</v>
      </c>
      <c r="C82" s="224"/>
      <c r="D82" s="254"/>
      <c r="E82" s="224"/>
      <c r="F82" s="224"/>
      <c r="G82" s="224"/>
      <c r="H82" s="224"/>
      <c r="I82" s="224"/>
      <c r="J82" s="224"/>
    </row>
    <row r="83" spans="1:10" ht="15.9" customHeight="1">
      <c r="A83" s="294" t="s">
        <v>400</v>
      </c>
      <c r="B83" s="877">
        <f>审定报表!B355</f>
        <v>76</v>
      </c>
      <c r="C83" s="231"/>
      <c r="D83" s="247"/>
      <c r="E83" s="231"/>
      <c r="F83" s="231"/>
      <c r="G83" s="231"/>
      <c r="H83" s="231"/>
      <c r="I83" s="231"/>
      <c r="J83" s="231"/>
    </row>
    <row r="84" spans="1:10" ht="15.9" customHeight="1">
      <c r="A84" s="294" t="s">
        <v>401</v>
      </c>
      <c r="B84" s="877">
        <f>审定报表!B356</f>
        <v>77</v>
      </c>
      <c r="C84" s="231"/>
      <c r="D84" s="247"/>
      <c r="E84" s="231"/>
      <c r="F84" s="231"/>
      <c r="G84" s="231"/>
      <c r="H84" s="231"/>
      <c r="I84" s="231"/>
      <c r="J84" s="231"/>
    </row>
    <row r="85" spans="1:10" ht="15.9" customHeight="1">
      <c r="A85" s="294" t="s">
        <v>402</v>
      </c>
      <c r="B85" s="877">
        <f>审定报表!B357</f>
        <v>78</v>
      </c>
      <c r="C85" s="231"/>
      <c r="D85" s="247"/>
      <c r="E85" s="231"/>
      <c r="F85" s="231"/>
      <c r="G85" s="231"/>
      <c r="H85" s="231"/>
      <c r="I85" s="231"/>
      <c r="J85" s="231"/>
    </row>
    <row r="86" spans="1:10" ht="15.9" customHeight="1">
      <c r="A86" s="294" t="s">
        <v>403</v>
      </c>
      <c r="B86" s="877">
        <f>审定报表!B358</f>
        <v>79</v>
      </c>
      <c r="C86" s="231"/>
      <c r="D86" s="247"/>
      <c r="E86" s="231"/>
      <c r="F86" s="231"/>
      <c r="G86" s="231"/>
      <c r="H86" s="231"/>
      <c r="I86" s="231"/>
      <c r="J86" s="231"/>
    </row>
    <row r="87" spans="1:10" s="310" customFormat="1" ht="15.9" customHeight="1">
      <c r="A87" s="311" t="s">
        <v>404</v>
      </c>
      <c r="B87" s="877">
        <f>审定报表!B359</f>
        <v>80</v>
      </c>
      <c r="C87" s="253">
        <f>C83-C84</f>
        <v>0</v>
      </c>
      <c r="D87" s="266"/>
      <c r="E87" s="268"/>
      <c r="F87" s="268"/>
      <c r="G87" s="268"/>
      <c r="H87" s="268"/>
      <c r="I87" s="268"/>
      <c r="J87" s="268"/>
    </row>
    <row r="90" spans="1:10">
      <c r="A90" s="313" t="s">
        <v>405</v>
      </c>
    </row>
    <row r="91" spans="1:10">
      <c r="A91" s="314" t="s">
        <v>406</v>
      </c>
    </row>
    <row r="92" spans="1:10">
      <c r="A92" s="315" t="s">
        <v>407</v>
      </c>
    </row>
    <row r="93" spans="1:10">
      <c r="A93" s="315" t="s">
        <v>408</v>
      </c>
    </row>
    <row r="94" spans="1:10">
      <c r="A94" s="277"/>
    </row>
    <row r="95" spans="1:10">
      <c r="A95" s="315" t="s">
        <v>409</v>
      </c>
    </row>
    <row r="96" spans="1:10">
      <c r="A96" s="315" t="s">
        <v>410</v>
      </c>
    </row>
    <row r="97" spans="1:1">
      <c r="A97" s="315"/>
    </row>
    <row r="98" spans="1:1">
      <c r="A98" s="315"/>
    </row>
    <row r="99" spans="1:1">
      <c r="A99" s="316"/>
    </row>
    <row r="100" spans="1:1">
      <c r="A100" s="316"/>
    </row>
    <row r="101" spans="1:1">
      <c r="A101" s="316"/>
    </row>
  </sheetData>
  <mergeCells count="6">
    <mergeCell ref="A1:J1"/>
    <mergeCell ref="A2:J2"/>
    <mergeCell ref="A6:A7"/>
    <mergeCell ref="B6:B7"/>
    <mergeCell ref="D6:J6"/>
    <mergeCell ref="D7:J7"/>
  </mergeCells>
  <phoneticPr fontId="4" type="noConversion"/>
  <pageMargins left="0.7" right="0.7" top="0.75" bottom="0.75" header="0.3" footer="0.3"/>
  <pageSetup paperSize="9" scale="3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92D050"/>
    <pageSetUpPr fitToPage="1"/>
  </sheetPr>
  <dimension ref="A1:M190"/>
  <sheetViews>
    <sheetView showZeros="0" view="pageBreakPreview" zoomScale="90" zoomScaleNormal="90" zoomScaleSheetLayoutView="90" workbookViewId="0">
      <pane xSplit="2" ySplit="6" topLeftCell="C7" activePane="bottomRight" state="frozen"/>
      <selection activeCell="B57" sqref="B57"/>
      <selection pane="topRight" activeCell="B57" sqref="B57"/>
      <selection pane="bottomLeft" activeCell="B57" sqref="B57"/>
      <selection pane="bottomRight" activeCell="L3" sqref="L3"/>
    </sheetView>
  </sheetViews>
  <sheetFormatPr defaultColWidth="9" defaultRowHeight="15.6"/>
  <cols>
    <col min="1" max="1" width="20.3984375" style="66" customWidth="1"/>
    <col min="2" max="2" width="2.59765625" style="66" customWidth="1"/>
    <col min="3" max="4" width="12.69921875" style="67" customWidth="1"/>
    <col min="5" max="6" width="14" style="67" customWidth="1"/>
    <col min="7" max="7" width="13.3984375" style="67" customWidth="1"/>
    <col min="8" max="8" width="15.5" style="67" customWidth="1"/>
    <col min="9" max="9" width="8.19921875" style="67" customWidth="1"/>
    <col min="10" max="10" width="12.19921875" style="67" customWidth="1"/>
    <col min="11" max="11" width="17.19921875" style="67" customWidth="1"/>
    <col min="12" max="16384" width="9" style="67"/>
  </cols>
  <sheetData>
    <row r="1" spans="1:13" ht="17.399999999999999">
      <c r="A1" s="1124" t="s">
        <v>635</v>
      </c>
      <c r="B1" s="1124"/>
      <c r="C1" s="1124"/>
      <c r="D1" s="1124"/>
      <c r="E1" s="1124"/>
      <c r="F1" s="1124"/>
      <c r="G1" s="1124"/>
      <c r="H1" s="1124"/>
      <c r="I1" s="1124"/>
      <c r="J1" s="1124"/>
    </row>
    <row r="2" spans="1:13" s="37" customFormat="1" ht="15" customHeight="1">
      <c r="A2" s="70" t="str">
        <f>CONCATENATE("客户名称：",参数!D3)</f>
        <v>客户名称：二锅头</v>
      </c>
      <c r="E2" s="74" t="str">
        <f>CONCATENATE("编制：",参数!D17)</f>
        <v>编制：张</v>
      </c>
      <c r="F2" s="74"/>
      <c r="G2" s="72"/>
      <c r="H2" s="73" t="str">
        <f ca="1">CONCATENATE("日期：",TEXT(NOW(),"yyyy.mm.dd"))</f>
        <v>日期：2025.11.06</v>
      </c>
      <c r="I2" s="73"/>
      <c r="J2" s="320"/>
      <c r="L2" s="320" t="s">
        <v>1844</v>
      </c>
    </row>
    <row r="3" spans="1:13" s="37" customFormat="1" ht="17.25" customHeight="1" thickBot="1">
      <c r="A3" s="73" t="str">
        <f>CONCATENATE("会计时点：",TEXT(参数!D12,"yyyy.mm.dd"))</f>
        <v>会计时点：2022.12.31</v>
      </c>
      <c r="E3" s="74" t="str">
        <f>CONCATENATE("复核：",参数!D18)</f>
        <v>复核：刘</v>
      </c>
      <c r="F3" s="74"/>
      <c r="G3" s="73"/>
      <c r="H3" s="71" t="s">
        <v>13</v>
      </c>
      <c r="I3" s="73"/>
      <c r="J3" s="71"/>
      <c r="L3" s="71" t="s">
        <v>14</v>
      </c>
    </row>
    <row r="4" spans="1:13">
      <c r="A4" s="1125" t="s">
        <v>57</v>
      </c>
      <c r="B4" s="1131" t="s">
        <v>52</v>
      </c>
      <c r="C4" s="1133" t="s">
        <v>53</v>
      </c>
      <c r="D4" s="1134"/>
      <c r="E4" s="1133" t="s">
        <v>54</v>
      </c>
      <c r="F4" s="1134"/>
      <c r="G4" s="899" t="s">
        <v>646</v>
      </c>
      <c r="H4" s="899"/>
      <c r="I4" s="1118" t="s">
        <v>71</v>
      </c>
      <c r="J4" s="1128" t="s">
        <v>72</v>
      </c>
      <c r="K4" s="1116" t="s">
        <v>647</v>
      </c>
      <c r="L4" s="1118" t="s">
        <v>71</v>
      </c>
      <c r="M4" s="1121" t="s">
        <v>72</v>
      </c>
    </row>
    <row r="5" spans="1:13">
      <c r="A5" s="1126"/>
      <c r="B5" s="1132"/>
      <c r="C5" s="900" t="s">
        <v>60</v>
      </c>
      <c r="D5" s="900" t="s">
        <v>644</v>
      </c>
      <c r="E5" s="900" t="s">
        <v>645</v>
      </c>
      <c r="F5" s="900" t="s">
        <v>644</v>
      </c>
      <c r="G5" s="901" t="s">
        <v>58</v>
      </c>
      <c r="H5" s="901" t="s">
        <v>59</v>
      </c>
      <c r="I5" s="1119"/>
      <c r="J5" s="1129"/>
      <c r="K5" s="1117"/>
      <c r="L5" s="1119"/>
      <c r="M5" s="1122"/>
    </row>
    <row r="6" spans="1:13">
      <c r="A6" s="1127"/>
      <c r="B6" s="1132"/>
      <c r="C6" s="902" t="s">
        <v>55</v>
      </c>
      <c r="D6" s="902" t="s">
        <v>56</v>
      </c>
      <c r="E6" s="902" t="s">
        <v>1669</v>
      </c>
      <c r="F6" s="902" t="s">
        <v>1671</v>
      </c>
      <c r="G6" s="902" t="s">
        <v>1673</v>
      </c>
      <c r="H6" s="902" t="s">
        <v>1675</v>
      </c>
      <c r="I6" s="1120"/>
      <c r="J6" s="1130"/>
      <c r="K6" s="903" t="s">
        <v>1676</v>
      </c>
      <c r="L6" s="1120"/>
      <c r="M6" s="1123"/>
    </row>
    <row r="7" spans="1:13" ht="13.95" customHeight="1">
      <c r="A7" s="904" t="str">
        <f>未审报表!A7</f>
        <v>流动资产：</v>
      </c>
      <c r="B7" s="444">
        <f>未审报表!B7</f>
        <v>1</v>
      </c>
      <c r="C7" s="404"/>
      <c r="D7" s="404"/>
      <c r="E7" s="120"/>
      <c r="F7" s="120"/>
      <c r="G7" s="121"/>
      <c r="H7" s="121"/>
      <c r="I7" s="121"/>
      <c r="J7" s="87"/>
    </row>
    <row r="8" spans="1:13" ht="13.95" customHeight="1">
      <c r="A8" s="904" t="str">
        <f>未审报表!A8</f>
        <v>货币资金</v>
      </c>
      <c r="B8" s="444">
        <f>未审报表!B8</f>
        <v>2</v>
      </c>
      <c r="C8" s="405">
        <f>未审报表!D8</f>
        <v>645471.34999999928</v>
      </c>
      <c r="D8" s="916">
        <f>IF(AND(C8&lt;&gt;0,$C$127&lt;&gt;0),C8/$C$127,"")</f>
        <v>9.0250265640202873E-3</v>
      </c>
      <c r="E8" s="122">
        <f>未审报表!C8</f>
        <v>17053592.640000001</v>
      </c>
      <c r="F8" s="124">
        <f>IF(AND(E8&lt;&gt;0,$E$127&lt;&gt;0),E8/$E$127,"")</f>
        <v>0.15700325091355571</v>
      </c>
      <c r="G8" s="122">
        <f>E8-C8</f>
        <v>16408121.290000001</v>
      </c>
      <c r="H8" s="433">
        <f>IF(AND(C8=0,E8=0),"",IF(C8=0,100%,IF(E8=0,-100%,G8/C8)))</f>
        <v>25.420371159773428</v>
      </c>
      <c r="I8" s="187" t="str">
        <f>IF(H8="","",IF(OR(ABS(H8)&gt;=30%,ABS(G8)&gt;=$E$127*5%,ABS(G8)&gt;=未审PL分析!$E$42*10%),"显著",IF(ABS(H8)&gt;=10%,"关注","")))</f>
        <v>显著</v>
      </c>
      <c r="J8" s="177"/>
      <c r="K8" s="915">
        <f>IF(AND(D8="",F8=""),"",IF(D8="",F8,IF(F8="",-D8,F8-D8)))</f>
        <v>0.14797822434953542</v>
      </c>
      <c r="L8" s="914" t="str">
        <f>IF(K8="","",IF(ABS(K8)&gt;=30%,"显著",IF(ABS(K8)&gt;=10%,"关注","")))</f>
        <v>关注</v>
      </c>
      <c r="M8" s="177"/>
    </row>
    <row r="9" spans="1:13" ht="13.95" customHeight="1">
      <c r="A9" s="904" t="str">
        <f>未审报表!A9</f>
        <v>结算备付金*</v>
      </c>
      <c r="B9" s="444">
        <f>未审报表!B9</f>
        <v>3</v>
      </c>
      <c r="C9" s="405">
        <f>未审报表!D9</f>
        <v>0</v>
      </c>
      <c r="D9" s="916" t="str">
        <f t="shared" ref="D9:D72" si="0">IF(AND(C9&lt;&gt;0,$C$127&lt;&gt;0),C9/$C$127,"")</f>
        <v/>
      </c>
      <c r="E9" s="122">
        <f>未审报表!C9</f>
        <v>0</v>
      </c>
      <c r="F9" s="124" t="str">
        <f t="shared" ref="F9:F72" si="1">IF(AND(E9&lt;&gt;0,$E$127&lt;&gt;0),E9/$E$127,"")</f>
        <v/>
      </c>
      <c r="G9" s="122">
        <f t="shared" ref="G9:G72" si="2">E9-C9</f>
        <v>0</v>
      </c>
      <c r="H9" s="433" t="str">
        <f t="shared" ref="H9:H72" si="3">IF(AND(C9=0,E9=0),"",IF(C9=0,100%,IF(E9=0,-100%,G9/C9)))</f>
        <v/>
      </c>
      <c r="I9" s="187" t="str">
        <f>IF(H9="","",IF(OR(ABS(H9)&gt;=30%,ABS(G9)&gt;=$E$127*5%,ABS(G9)&gt;=未审PL分析!$E$42*10%),"显著",IF(ABS(H9)&gt;=10%,"关注","")))</f>
        <v/>
      </c>
      <c r="J9" s="177"/>
      <c r="K9" s="915" t="str">
        <f t="shared" ref="K9:K72" si="4">IF(AND(D9="",F9=""),"",IF(D9="",F9,IF(F9="",-D9,F9-D9)))</f>
        <v/>
      </c>
      <c r="L9" s="914" t="str">
        <f t="shared" ref="L9:L72" si="5">IF(K9="","",IF(ABS(K9)&gt;=30%,"显著",IF(ABS(K9)&gt;=10%,"关注","")))</f>
        <v/>
      </c>
      <c r="M9" s="177"/>
    </row>
    <row r="10" spans="1:13" ht="13.95" customHeight="1">
      <c r="A10" s="904" t="str">
        <f>未审报表!A10</f>
        <v>拆出资金原值*</v>
      </c>
      <c r="B10" s="444">
        <f>未审报表!B10</f>
        <v>4</v>
      </c>
      <c r="C10" s="405">
        <f>未审报表!D10</f>
        <v>0</v>
      </c>
      <c r="D10" s="916" t="str">
        <f t="shared" si="0"/>
        <v/>
      </c>
      <c r="E10" s="122">
        <f>未审报表!C10</f>
        <v>0</v>
      </c>
      <c r="F10" s="124" t="str">
        <f t="shared" si="1"/>
        <v/>
      </c>
      <c r="G10" s="122">
        <f t="shared" si="2"/>
        <v>0</v>
      </c>
      <c r="H10" s="433" t="str">
        <f t="shared" si="3"/>
        <v/>
      </c>
      <c r="I10" s="187" t="str">
        <f>IF(H10="","",IF(OR(ABS(H10)&gt;=30%,ABS(G10)&gt;=$E$127*5%,ABS(G10)&gt;=未审PL分析!$E$42*10%),"显著",IF(ABS(H10)&gt;=10%,"关注","")))</f>
        <v/>
      </c>
      <c r="J10" s="177"/>
      <c r="K10" s="915" t="str">
        <f t="shared" si="4"/>
        <v/>
      </c>
      <c r="L10" s="914" t="str">
        <f t="shared" si="5"/>
        <v/>
      </c>
      <c r="M10" s="177"/>
    </row>
    <row r="11" spans="1:13" ht="13.95" customHeight="1">
      <c r="A11" s="904" t="str">
        <f>未审报表!A11</f>
        <v>拆出资金减值准备*</v>
      </c>
      <c r="B11" s="444">
        <f>未审报表!B11</f>
        <v>5</v>
      </c>
      <c r="C11" s="405">
        <f>未审报表!D11</f>
        <v>0</v>
      </c>
      <c r="D11" s="916" t="str">
        <f t="shared" si="0"/>
        <v/>
      </c>
      <c r="E11" s="122">
        <f>未审报表!C11</f>
        <v>0</v>
      </c>
      <c r="F11" s="124" t="str">
        <f t="shared" si="1"/>
        <v/>
      </c>
      <c r="G11" s="122">
        <f t="shared" si="2"/>
        <v>0</v>
      </c>
      <c r="H11" s="433" t="str">
        <f t="shared" si="3"/>
        <v/>
      </c>
      <c r="I11" s="187" t="str">
        <f>IF(H11="","",IF(OR(ABS(H11)&gt;=30%,ABS(G11)&gt;=$E$127*5%,ABS(G11)&gt;=未审PL分析!$E$42*10%),"显著",IF(ABS(H11)&gt;=10%,"关注","")))</f>
        <v/>
      </c>
      <c r="J11" s="177"/>
      <c r="K11" s="915" t="str">
        <f t="shared" si="4"/>
        <v/>
      </c>
      <c r="L11" s="914" t="str">
        <f t="shared" si="5"/>
        <v/>
      </c>
      <c r="M11" s="177"/>
    </row>
    <row r="12" spans="1:13" ht="13.95" customHeight="1">
      <c r="A12" s="904" t="str">
        <f>未审报表!A12</f>
        <v>拆出资金*</v>
      </c>
      <c r="B12" s="444">
        <f>未审报表!B12</f>
        <v>6</v>
      </c>
      <c r="C12" s="405">
        <f>未审报表!D12</f>
        <v>0</v>
      </c>
      <c r="D12" s="916" t="str">
        <f t="shared" si="0"/>
        <v/>
      </c>
      <c r="E12" s="122">
        <f>未审报表!C12</f>
        <v>0</v>
      </c>
      <c r="F12" s="124" t="str">
        <f t="shared" si="1"/>
        <v/>
      </c>
      <c r="G12" s="122">
        <f t="shared" si="2"/>
        <v>0</v>
      </c>
      <c r="H12" s="433" t="str">
        <f t="shared" si="3"/>
        <v/>
      </c>
      <c r="I12" s="187" t="str">
        <f>IF(H12="","",IF(OR(ABS(H12)&gt;=30%,ABS(G12)&gt;=$E$127*5%,ABS(G12)&gt;=未审PL分析!$E$42*10%),"显著",IF(ABS(H12)&gt;=10%,"关注","")))</f>
        <v/>
      </c>
      <c r="J12" s="177"/>
      <c r="K12" s="915" t="str">
        <f t="shared" si="4"/>
        <v/>
      </c>
      <c r="L12" s="914" t="str">
        <f t="shared" si="5"/>
        <v/>
      </c>
      <c r="M12" s="177"/>
    </row>
    <row r="13" spans="1:13" ht="13.95" customHeight="1">
      <c r="A13" s="904" t="str">
        <f>未审报表!A13</f>
        <v>交易性金融资产</v>
      </c>
      <c r="B13" s="444">
        <f>未审报表!B13</f>
        <v>7</v>
      </c>
      <c r="C13" s="405">
        <f>未审报表!D13</f>
        <v>0</v>
      </c>
      <c r="D13" s="916" t="str">
        <f t="shared" si="0"/>
        <v/>
      </c>
      <c r="E13" s="122">
        <f>未审报表!C13</f>
        <v>0</v>
      </c>
      <c r="F13" s="124" t="str">
        <f t="shared" si="1"/>
        <v/>
      </c>
      <c r="G13" s="122">
        <f t="shared" si="2"/>
        <v>0</v>
      </c>
      <c r="H13" s="433" t="str">
        <f t="shared" si="3"/>
        <v/>
      </c>
      <c r="I13" s="187" t="str">
        <f>IF(H13="","",IF(OR(ABS(H13)&gt;=30%,ABS(G13)&gt;=$E$127*5%,ABS(G13)&gt;=未审PL分析!$E$42*10%),"显著",IF(ABS(H13)&gt;=10%,"关注","")))</f>
        <v/>
      </c>
      <c r="J13" s="177"/>
      <c r="K13" s="915" t="str">
        <f t="shared" si="4"/>
        <v/>
      </c>
      <c r="L13" s="914" t="str">
        <f t="shared" si="5"/>
        <v/>
      </c>
      <c r="M13" s="177"/>
    </row>
    <row r="14" spans="1:13" ht="13.95" customHeight="1">
      <c r="A14" s="904" t="str">
        <f>未审报表!A14</f>
        <v>衍生金融资产</v>
      </c>
      <c r="B14" s="444">
        <f>未审报表!B14</f>
        <v>8</v>
      </c>
      <c r="C14" s="405">
        <f>未审报表!D14</f>
        <v>0</v>
      </c>
      <c r="D14" s="916" t="str">
        <f t="shared" si="0"/>
        <v/>
      </c>
      <c r="E14" s="122">
        <f>未审报表!C14</f>
        <v>0</v>
      </c>
      <c r="F14" s="124" t="str">
        <f t="shared" si="1"/>
        <v/>
      </c>
      <c r="G14" s="122">
        <f t="shared" si="2"/>
        <v>0</v>
      </c>
      <c r="H14" s="433" t="str">
        <f t="shared" si="3"/>
        <v/>
      </c>
      <c r="I14" s="187" t="str">
        <f>IF(H14="","",IF(OR(ABS(H14)&gt;=30%,ABS(G14)&gt;=$E$127*5%,ABS(G14)&gt;=未审PL分析!$E$42*10%),"显著",IF(ABS(H14)&gt;=10%,"关注","")))</f>
        <v/>
      </c>
      <c r="J14" s="177"/>
      <c r="K14" s="915" t="str">
        <f t="shared" si="4"/>
        <v/>
      </c>
      <c r="L14" s="914" t="str">
        <f t="shared" si="5"/>
        <v/>
      </c>
      <c r="M14" s="177"/>
    </row>
    <row r="15" spans="1:13" ht="13.95" customHeight="1">
      <c r="A15" s="904" t="str">
        <f>未审报表!A15</f>
        <v>应收票据原值</v>
      </c>
      <c r="B15" s="444">
        <f>未审报表!B15</f>
        <v>9</v>
      </c>
      <c r="C15" s="405">
        <f>未审报表!D15</f>
        <v>0</v>
      </c>
      <c r="D15" s="916" t="str">
        <f t="shared" si="0"/>
        <v/>
      </c>
      <c r="E15" s="122">
        <f>未审报表!C15</f>
        <v>0</v>
      </c>
      <c r="F15" s="124" t="str">
        <f t="shared" si="1"/>
        <v/>
      </c>
      <c r="G15" s="122">
        <f t="shared" si="2"/>
        <v>0</v>
      </c>
      <c r="H15" s="433" t="str">
        <f t="shared" si="3"/>
        <v/>
      </c>
      <c r="I15" s="187" t="str">
        <f>IF(H15="","",IF(OR(ABS(H15)&gt;=30%,ABS(G15)&gt;=$E$127*5%,ABS(G15)&gt;=未审PL分析!$E$42*10%),"显著",IF(ABS(H15)&gt;=10%,"关注","")))</f>
        <v/>
      </c>
      <c r="J15" s="177"/>
      <c r="K15" s="915" t="str">
        <f t="shared" si="4"/>
        <v/>
      </c>
      <c r="L15" s="914" t="str">
        <f t="shared" si="5"/>
        <v/>
      </c>
      <c r="M15" s="177"/>
    </row>
    <row r="16" spans="1:13" ht="13.95" customHeight="1">
      <c r="A16" s="904" t="str">
        <f>未审报表!A16</f>
        <v>应收票据坏账准备</v>
      </c>
      <c r="B16" s="444">
        <f>未审报表!B16</f>
        <v>10</v>
      </c>
      <c r="C16" s="405">
        <f>未审报表!D16</f>
        <v>0</v>
      </c>
      <c r="D16" s="916" t="str">
        <f t="shared" si="0"/>
        <v/>
      </c>
      <c r="E16" s="122">
        <f>未审报表!C16</f>
        <v>0</v>
      </c>
      <c r="F16" s="124" t="str">
        <f t="shared" si="1"/>
        <v/>
      </c>
      <c r="G16" s="122">
        <f t="shared" si="2"/>
        <v>0</v>
      </c>
      <c r="H16" s="433" t="str">
        <f t="shared" si="3"/>
        <v/>
      </c>
      <c r="I16" s="187" t="str">
        <f>IF(H16="","",IF(OR(ABS(H16)&gt;=30%,ABS(G16)&gt;=$E$127*5%,ABS(G16)&gt;=未审PL分析!$E$42*10%),"显著",IF(ABS(H16)&gt;=10%,"关注","")))</f>
        <v/>
      </c>
      <c r="J16" s="177"/>
      <c r="K16" s="915" t="str">
        <f t="shared" si="4"/>
        <v/>
      </c>
      <c r="L16" s="914" t="str">
        <f t="shared" si="5"/>
        <v/>
      </c>
      <c r="M16" s="177"/>
    </row>
    <row r="17" spans="1:13" ht="13.95" customHeight="1">
      <c r="A17" s="904" t="str">
        <f>未审报表!A17</f>
        <v>应收票据</v>
      </c>
      <c r="B17" s="444">
        <f>未审报表!B17</f>
        <v>11</v>
      </c>
      <c r="C17" s="405">
        <f>未审报表!D17</f>
        <v>0</v>
      </c>
      <c r="D17" s="916" t="str">
        <f t="shared" si="0"/>
        <v/>
      </c>
      <c r="E17" s="122">
        <f>未审报表!C17</f>
        <v>0</v>
      </c>
      <c r="F17" s="124" t="str">
        <f t="shared" si="1"/>
        <v/>
      </c>
      <c r="G17" s="122">
        <f t="shared" si="2"/>
        <v>0</v>
      </c>
      <c r="H17" s="433" t="str">
        <f t="shared" si="3"/>
        <v/>
      </c>
      <c r="I17" s="187" t="str">
        <f>IF(H17="","",IF(OR(ABS(H17)&gt;=30%,ABS(G17)&gt;=$E$127*5%,ABS(G17)&gt;=未审PL分析!$E$42*10%),"显著",IF(ABS(H17)&gt;=10%,"关注","")))</f>
        <v/>
      </c>
      <c r="J17" s="177"/>
      <c r="K17" s="915" t="str">
        <f t="shared" si="4"/>
        <v/>
      </c>
      <c r="L17" s="914" t="str">
        <f t="shared" si="5"/>
        <v/>
      </c>
      <c r="M17" s="177"/>
    </row>
    <row r="18" spans="1:13" ht="13.95" customHeight="1">
      <c r="A18" s="904" t="str">
        <f>未审报表!A18</f>
        <v>应收账款原值</v>
      </c>
      <c r="B18" s="444">
        <f>未审报表!B18</f>
        <v>12</v>
      </c>
      <c r="C18" s="405">
        <f>未审报表!D18</f>
        <v>16718591.219999999</v>
      </c>
      <c r="D18" s="916">
        <f t="shared" si="0"/>
        <v>0.23376053774268446</v>
      </c>
      <c r="E18" s="122">
        <f>未审报表!C18</f>
        <v>15449122.130000001</v>
      </c>
      <c r="F18" s="124">
        <f t="shared" si="1"/>
        <v>0.14223175429212997</v>
      </c>
      <c r="G18" s="122">
        <f t="shared" si="2"/>
        <v>-1269469.089999998</v>
      </c>
      <c r="H18" s="433">
        <f t="shared" si="3"/>
        <v>-7.5931582589408991E-2</v>
      </c>
      <c r="I18" s="187" t="str">
        <f>IF(H18="","",IF(OR(ABS(H18)&gt;=30%,ABS(G18)&gt;=$E$127*5%,ABS(G18)&gt;=未审PL分析!$E$42*10%),"显著",IF(ABS(H18)&gt;=10%,"关注","")))</f>
        <v/>
      </c>
      <c r="J18" s="177"/>
      <c r="K18" s="915">
        <f t="shared" si="4"/>
        <v>-9.1528783450554485E-2</v>
      </c>
      <c r="L18" s="914" t="str">
        <f t="shared" si="5"/>
        <v/>
      </c>
      <c r="M18" s="177"/>
    </row>
    <row r="19" spans="1:13" ht="13.95" customHeight="1">
      <c r="A19" s="904" t="str">
        <f>未审报表!A19</f>
        <v>应收账款坏账准备</v>
      </c>
      <c r="B19" s="444">
        <f>未审报表!B19</f>
        <v>13</v>
      </c>
      <c r="C19" s="405">
        <f>未审报表!D19</f>
        <v>0</v>
      </c>
      <c r="D19" s="916" t="str">
        <f t="shared" si="0"/>
        <v/>
      </c>
      <c r="E19" s="122">
        <f>未审报表!C19</f>
        <v>1423224.6</v>
      </c>
      <c r="F19" s="124">
        <f t="shared" si="1"/>
        <v>1.3102863056317556E-2</v>
      </c>
      <c r="G19" s="122">
        <f t="shared" si="2"/>
        <v>1423224.6</v>
      </c>
      <c r="H19" s="433">
        <f t="shared" si="3"/>
        <v>1</v>
      </c>
      <c r="I19" s="187" t="str">
        <f>IF(H19="","",IF(OR(ABS(H19)&gt;=30%,ABS(G19)&gt;=$E$127*5%,ABS(G19)&gt;=未审PL分析!$E$42*10%),"显著",IF(ABS(H19)&gt;=10%,"关注","")))</f>
        <v>显著</v>
      </c>
      <c r="J19" s="177"/>
      <c r="K19" s="915">
        <f t="shared" si="4"/>
        <v>1.3102863056317556E-2</v>
      </c>
      <c r="L19" s="914" t="str">
        <f t="shared" si="5"/>
        <v/>
      </c>
      <c r="M19" s="177"/>
    </row>
    <row r="20" spans="1:13" ht="13.95" customHeight="1">
      <c r="A20" s="904" t="str">
        <f>未审报表!A20</f>
        <v>应收账款</v>
      </c>
      <c r="B20" s="444">
        <f>未审报表!B20</f>
        <v>14</v>
      </c>
      <c r="C20" s="405">
        <f>未审报表!D20</f>
        <v>16718591.219999999</v>
      </c>
      <c r="D20" s="916">
        <f t="shared" si="0"/>
        <v>0.23376053774268446</v>
      </c>
      <c r="E20" s="122">
        <f>未审报表!C20</f>
        <v>14025897.530000001</v>
      </c>
      <c r="F20" s="124">
        <f t="shared" si="1"/>
        <v>0.12912889123581242</v>
      </c>
      <c r="G20" s="122">
        <f t="shared" si="2"/>
        <v>-2692693.6899999976</v>
      </c>
      <c r="H20" s="433">
        <f t="shared" si="3"/>
        <v>-0.16105984377312849</v>
      </c>
      <c r="I20" s="187" t="str">
        <f>IF(H20="","",IF(OR(ABS(H20)&gt;=30%,ABS(G20)&gt;=$E$127*5%,ABS(G20)&gt;=未审PL分析!$E$42*10%),"显著",IF(ABS(H20)&gt;=10%,"关注","")))</f>
        <v>关注</v>
      </c>
      <c r="J20" s="177"/>
      <c r="K20" s="915">
        <f t="shared" si="4"/>
        <v>-0.10463164650687204</v>
      </c>
      <c r="L20" s="914" t="str">
        <f t="shared" si="5"/>
        <v>关注</v>
      </c>
      <c r="M20" s="177"/>
    </row>
    <row r="21" spans="1:13" ht="13.95" customHeight="1">
      <c r="A21" s="904" t="str">
        <f>未审报表!A21</f>
        <v>应收款项融资原值</v>
      </c>
      <c r="B21" s="444">
        <f>未审报表!B21</f>
        <v>15</v>
      </c>
      <c r="C21" s="405">
        <f>未审报表!D21</f>
        <v>0</v>
      </c>
      <c r="D21" s="916" t="str">
        <f t="shared" si="0"/>
        <v/>
      </c>
      <c r="E21" s="122">
        <f>未审报表!C21</f>
        <v>0</v>
      </c>
      <c r="F21" s="124" t="str">
        <f t="shared" si="1"/>
        <v/>
      </c>
      <c r="G21" s="122">
        <f t="shared" si="2"/>
        <v>0</v>
      </c>
      <c r="H21" s="433" t="str">
        <f t="shared" si="3"/>
        <v/>
      </c>
      <c r="I21" s="187" t="str">
        <f>IF(H21="","",IF(OR(ABS(H21)&gt;=30%,ABS(G21)&gt;=$E$127*5%,ABS(G21)&gt;=未审PL分析!$E$42*10%),"显著",IF(ABS(H21)&gt;=10%,"关注","")))</f>
        <v/>
      </c>
      <c r="J21" s="177"/>
      <c r="K21" s="915" t="str">
        <f t="shared" si="4"/>
        <v/>
      </c>
      <c r="L21" s="914" t="str">
        <f t="shared" si="5"/>
        <v/>
      </c>
      <c r="M21" s="177"/>
    </row>
    <row r="22" spans="1:13" ht="13.95" customHeight="1">
      <c r="A22" s="904" t="str">
        <f>未审报表!A22</f>
        <v>应收款项融资坏账准备</v>
      </c>
      <c r="B22" s="444">
        <f>未审报表!B22</f>
        <v>16</v>
      </c>
      <c r="C22" s="405">
        <f>未审报表!D22</f>
        <v>0</v>
      </c>
      <c r="D22" s="916" t="str">
        <f t="shared" si="0"/>
        <v/>
      </c>
      <c r="E22" s="122">
        <f>未审报表!C22</f>
        <v>0</v>
      </c>
      <c r="F22" s="124" t="str">
        <f t="shared" si="1"/>
        <v/>
      </c>
      <c r="G22" s="122">
        <f t="shared" si="2"/>
        <v>0</v>
      </c>
      <c r="H22" s="433" t="str">
        <f t="shared" si="3"/>
        <v/>
      </c>
      <c r="I22" s="187" t="str">
        <f>IF(H22="","",IF(OR(ABS(H22)&gt;=30%,ABS(G22)&gt;=$E$127*5%,ABS(G22)&gt;=未审PL分析!$E$42*10%),"显著",IF(ABS(H22)&gt;=10%,"关注","")))</f>
        <v/>
      </c>
      <c r="J22" s="177"/>
      <c r="K22" s="915" t="str">
        <f t="shared" si="4"/>
        <v/>
      </c>
      <c r="L22" s="914" t="str">
        <f t="shared" si="5"/>
        <v/>
      </c>
      <c r="M22" s="177"/>
    </row>
    <row r="23" spans="1:13" ht="13.95" customHeight="1">
      <c r="A23" s="904" t="str">
        <f>未审报表!A23</f>
        <v>应收款项融资</v>
      </c>
      <c r="B23" s="444">
        <f>未审报表!B23</f>
        <v>17</v>
      </c>
      <c r="C23" s="405">
        <f>未审报表!D23</f>
        <v>0</v>
      </c>
      <c r="D23" s="916" t="str">
        <f t="shared" si="0"/>
        <v/>
      </c>
      <c r="E23" s="122">
        <f>未审报表!C23</f>
        <v>0</v>
      </c>
      <c r="F23" s="124" t="str">
        <f t="shared" si="1"/>
        <v/>
      </c>
      <c r="G23" s="122">
        <f t="shared" si="2"/>
        <v>0</v>
      </c>
      <c r="H23" s="433" t="str">
        <f t="shared" si="3"/>
        <v/>
      </c>
      <c r="I23" s="187" t="str">
        <f>IF(H23="","",IF(OR(ABS(H23)&gt;=30%,ABS(G23)&gt;=$E$127*5%,ABS(G23)&gt;=未审PL分析!$E$42*10%),"显著",IF(ABS(H23)&gt;=10%,"关注","")))</f>
        <v/>
      </c>
      <c r="J23" s="177"/>
      <c r="K23" s="915" t="str">
        <f t="shared" si="4"/>
        <v/>
      </c>
      <c r="L23" s="914" t="str">
        <f t="shared" si="5"/>
        <v/>
      </c>
      <c r="M23" s="177"/>
    </row>
    <row r="24" spans="1:13" ht="13.95" customHeight="1">
      <c r="A24" s="904" t="str">
        <f>未审报表!A24</f>
        <v>预付款项原值</v>
      </c>
      <c r="B24" s="444">
        <f>未审报表!B24</f>
        <v>18</v>
      </c>
      <c r="C24" s="405">
        <f>未审报表!D24</f>
        <v>1584.26</v>
      </c>
      <c r="D24" s="916">
        <f t="shared" si="0"/>
        <v>2.2151236587518245E-5</v>
      </c>
      <c r="E24" s="122">
        <f>未审报表!C24</f>
        <v>574623.4</v>
      </c>
      <c r="F24" s="124">
        <f t="shared" si="1"/>
        <v>5.2902484394631629E-3</v>
      </c>
      <c r="G24" s="122">
        <f t="shared" si="2"/>
        <v>573039.14</v>
      </c>
      <c r="H24" s="433">
        <f t="shared" si="3"/>
        <v>361.70776261472236</v>
      </c>
      <c r="I24" s="187" t="str">
        <f>IF(H24="","",IF(OR(ABS(H24)&gt;=30%,ABS(G24)&gt;=$E$127*5%,ABS(G24)&gt;=未审PL分析!$E$42*10%),"显著",IF(ABS(H24)&gt;=10%,"关注","")))</f>
        <v>显著</v>
      </c>
      <c r="J24" s="177"/>
      <c r="K24" s="915">
        <f t="shared" si="4"/>
        <v>5.2680972028756445E-3</v>
      </c>
      <c r="L24" s="914" t="str">
        <f t="shared" si="5"/>
        <v/>
      </c>
      <c r="M24" s="893"/>
    </row>
    <row r="25" spans="1:13" ht="13.95" customHeight="1">
      <c r="A25" s="904" t="str">
        <f>未审报表!A25</f>
        <v>预付款项坏账准备</v>
      </c>
      <c r="B25" s="444">
        <f>未审报表!B25</f>
        <v>19</v>
      </c>
      <c r="C25" s="405">
        <f>未审报表!D25</f>
        <v>0</v>
      </c>
      <c r="D25" s="916" t="str">
        <f t="shared" si="0"/>
        <v/>
      </c>
      <c r="E25" s="122">
        <f>未审报表!C25</f>
        <v>0</v>
      </c>
      <c r="F25" s="124" t="str">
        <f t="shared" si="1"/>
        <v/>
      </c>
      <c r="G25" s="122">
        <f t="shared" si="2"/>
        <v>0</v>
      </c>
      <c r="H25" s="433" t="str">
        <f t="shared" si="3"/>
        <v/>
      </c>
      <c r="I25" s="187" t="str">
        <f>IF(H25="","",IF(OR(ABS(H25)&gt;=30%,ABS(G25)&gt;=$E$127*5%,ABS(G25)&gt;=未审PL分析!$E$42*10%),"显著",IF(ABS(H25)&gt;=10%,"关注","")))</f>
        <v/>
      </c>
      <c r="J25" s="177"/>
      <c r="K25" s="915" t="str">
        <f t="shared" si="4"/>
        <v/>
      </c>
      <c r="L25" s="914" t="str">
        <f t="shared" si="5"/>
        <v/>
      </c>
      <c r="M25" s="893"/>
    </row>
    <row r="26" spans="1:13" ht="13.95" customHeight="1">
      <c r="A26" s="904" t="str">
        <f>未审报表!A26</f>
        <v>预付款项</v>
      </c>
      <c r="B26" s="444">
        <f>未审报表!B26</f>
        <v>20</v>
      </c>
      <c r="C26" s="405">
        <f>未审报表!D26</f>
        <v>1584.26</v>
      </c>
      <c r="D26" s="916">
        <f t="shared" si="0"/>
        <v>2.2151236587518245E-5</v>
      </c>
      <c r="E26" s="122">
        <f>未审报表!C26</f>
        <v>574623.4</v>
      </c>
      <c r="F26" s="124">
        <f t="shared" si="1"/>
        <v>5.2902484394631629E-3</v>
      </c>
      <c r="G26" s="122">
        <f t="shared" si="2"/>
        <v>573039.14</v>
      </c>
      <c r="H26" s="433">
        <f t="shared" si="3"/>
        <v>361.70776261472236</v>
      </c>
      <c r="I26" s="187" t="str">
        <f>IF(H26="","",IF(OR(ABS(H26)&gt;=30%,ABS(G26)&gt;=$E$127*5%,ABS(G26)&gt;=未审PL分析!$E$42*10%),"显著",IF(ABS(H26)&gt;=10%,"关注","")))</f>
        <v>显著</v>
      </c>
      <c r="J26" s="177"/>
      <c r="K26" s="915">
        <f t="shared" si="4"/>
        <v>5.2680972028756445E-3</v>
      </c>
      <c r="L26" s="914" t="str">
        <f t="shared" si="5"/>
        <v/>
      </c>
      <c r="M26" s="893"/>
    </row>
    <row r="27" spans="1:13" ht="13.95" customHeight="1">
      <c r="A27" s="904" t="str">
        <f>未审报表!A27</f>
        <v>应收保费原值*</v>
      </c>
      <c r="B27" s="444">
        <f>未审报表!B27</f>
        <v>21</v>
      </c>
      <c r="C27" s="405">
        <f>未审报表!D27</f>
        <v>0</v>
      </c>
      <c r="D27" s="916" t="str">
        <f t="shared" si="0"/>
        <v/>
      </c>
      <c r="E27" s="122">
        <f>未审报表!C27</f>
        <v>0</v>
      </c>
      <c r="F27" s="124" t="str">
        <f t="shared" si="1"/>
        <v/>
      </c>
      <c r="G27" s="122">
        <f t="shared" si="2"/>
        <v>0</v>
      </c>
      <c r="H27" s="433" t="str">
        <f t="shared" si="3"/>
        <v/>
      </c>
      <c r="I27" s="187" t="str">
        <f>IF(H27="","",IF(OR(ABS(H27)&gt;=30%,ABS(G27)&gt;=$E$127*5%,ABS(G27)&gt;=未审PL分析!$E$42*10%),"显著",IF(ABS(H27)&gt;=10%,"关注","")))</f>
        <v/>
      </c>
      <c r="J27" s="177"/>
      <c r="K27" s="915" t="str">
        <f t="shared" si="4"/>
        <v/>
      </c>
      <c r="L27" s="914" t="str">
        <f t="shared" si="5"/>
        <v/>
      </c>
      <c r="M27" s="893"/>
    </row>
    <row r="28" spans="1:13" ht="13.95" customHeight="1">
      <c r="A28" s="904" t="str">
        <f>未审报表!A28</f>
        <v>应收保费坏账准备*</v>
      </c>
      <c r="B28" s="444">
        <f>未审报表!B28</f>
        <v>22</v>
      </c>
      <c r="C28" s="405">
        <f>未审报表!D28</f>
        <v>0</v>
      </c>
      <c r="D28" s="916" t="str">
        <f t="shared" si="0"/>
        <v/>
      </c>
      <c r="E28" s="122">
        <f>未审报表!C28</f>
        <v>0</v>
      </c>
      <c r="F28" s="124" t="str">
        <f t="shared" si="1"/>
        <v/>
      </c>
      <c r="G28" s="122">
        <f t="shared" si="2"/>
        <v>0</v>
      </c>
      <c r="H28" s="433" t="str">
        <f t="shared" si="3"/>
        <v/>
      </c>
      <c r="I28" s="187" t="str">
        <f>IF(H28="","",IF(OR(ABS(H28)&gt;=30%,ABS(G28)&gt;=$E$127*5%,ABS(G28)&gt;=未审PL分析!$E$42*10%),"显著",IF(ABS(H28)&gt;=10%,"关注","")))</f>
        <v/>
      </c>
      <c r="J28" s="177"/>
      <c r="K28" s="915" t="str">
        <f t="shared" si="4"/>
        <v/>
      </c>
      <c r="L28" s="914" t="str">
        <f t="shared" si="5"/>
        <v/>
      </c>
      <c r="M28" s="893"/>
    </row>
    <row r="29" spans="1:13" ht="13.95" customHeight="1">
      <c r="A29" s="904" t="str">
        <f>未审报表!A29</f>
        <v>应收保费*</v>
      </c>
      <c r="B29" s="444">
        <f>未审报表!B29</f>
        <v>23</v>
      </c>
      <c r="C29" s="405">
        <f>未审报表!D29</f>
        <v>0</v>
      </c>
      <c r="D29" s="916" t="str">
        <f t="shared" si="0"/>
        <v/>
      </c>
      <c r="E29" s="122">
        <f>未审报表!C29</f>
        <v>0</v>
      </c>
      <c r="F29" s="124" t="str">
        <f t="shared" si="1"/>
        <v/>
      </c>
      <c r="G29" s="122">
        <f t="shared" si="2"/>
        <v>0</v>
      </c>
      <c r="H29" s="433" t="str">
        <f t="shared" si="3"/>
        <v/>
      </c>
      <c r="I29" s="187" t="str">
        <f>IF(H29="","",IF(OR(ABS(H29)&gt;=30%,ABS(G29)&gt;=$E$127*5%,ABS(G29)&gt;=未审PL分析!$E$42*10%),"显著",IF(ABS(H29)&gt;=10%,"关注","")))</f>
        <v/>
      </c>
      <c r="J29" s="177"/>
      <c r="K29" s="915" t="str">
        <f t="shared" si="4"/>
        <v/>
      </c>
      <c r="L29" s="914" t="str">
        <f t="shared" si="5"/>
        <v/>
      </c>
      <c r="M29" s="893"/>
    </row>
    <row r="30" spans="1:13" ht="13.95" customHeight="1">
      <c r="A30" s="904" t="str">
        <f>未审报表!A30</f>
        <v>应收分保账款原值*</v>
      </c>
      <c r="B30" s="444">
        <f>未审报表!B30</f>
        <v>24</v>
      </c>
      <c r="C30" s="405">
        <f>未审报表!D30</f>
        <v>0</v>
      </c>
      <c r="D30" s="916" t="str">
        <f t="shared" si="0"/>
        <v/>
      </c>
      <c r="E30" s="122">
        <f>未审报表!C30</f>
        <v>0</v>
      </c>
      <c r="F30" s="124" t="str">
        <f t="shared" si="1"/>
        <v/>
      </c>
      <c r="G30" s="122">
        <f t="shared" si="2"/>
        <v>0</v>
      </c>
      <c r="H30" s="433" t="str">
        <f t="shared" si="3"/>
        <v/>
      </c>
      <c r="I30" s="187" t="str">
        <f>IF(H30="","",IF(OR(ABS(H30)&gt;=30%,ABS(G30)&gt;=$E$127*5%,ABS(G30)&gt;=未审PL分析!$E$42*10%),"显著",IF(ABS(H30)&gt;=10%,"关注","")))</f>
        <v/>
      </c>
      <c r="J30" s="177"/>
      <c r="K30" s="915" t="str">
        <f t="shared" si="4"/>
        <v/>
      </c>
      <c r="L30" s="914" t="str">
        <f t="shared" si="5"/>
        <v/>
      </c>
      <c r="M30" s="893"/>
    </row>
    <row r="31" spans="1:13" ht="13.95" customHeight="1">
      <c r="A31" s="904" t="str">
        <f>未审报表!A31</f>
        <v>应收分保账款坏账准备*</v>
      </c>
      <c r="B31" s="444">
        <f>未审报表!B31</f>
        <v>25</v>
      </c>
      <c r="C31" s="405">
        <f>未审报表!D31</f>
        <v>0</v>
      </c>
      <c r="D31" s="916" t="str">
        <f t="shared" si="0"/>
        <v/>
      </c>
      <c r="E31" s="122">
        <f>未审报表!C31</f>
        <v>0</v>
      </c>
      <c r="F31" s="124" t="str">
        <f t="shared" si="1"/>
        <v/>
      </c>
      <c r="G31" s="122">
        <f t="shared" si="2"/>
        <v>0</v>
      </c>
      <c r="H31" s="433" t="str">
        <f t="shared" si="3"/>
        <v/>
      </c>
      <c r="I31" s="187" t="str">
        <f>IF(H31="","",IF(OR(ABS(H31)&gt;=30%,ABS(G31)&gt;=$E$127*5%,ABS(G31)&gt;=未审PL分析!$E$42*10%),"显著",IF(ABS(H31)&gt;=10%,"关注","")))</f>
        <v/>
      </c>
      <c r="J31" s="177"/>
      <c r="K31" s="915" t="str">
        <f t="shared" si="4"/>
        <v/>
      </c>
      <c r="L31" s="914" t="str">
        <f t="shared" si="5"/>
        <v/>
      </c>
      <c r="M31" s="893"/>
    </row>
    <row r="32" spans="1:13" ht="13.95" customHeight="1">
      <c r="A32" s="904" t="str">
        <f>未审报表!A32</f>
        <v>应收分保账款*</v>
      </c>
      <c r="B32" s="444">
        <f>未审报表!B32</f>
        <v>26</v>
      </c>
      <c r="C32" s="405">
        <f>未审报表!D32</f>
        <v>0</v>
      </c>
      <c r="D32" s="916" t="str">
        <f t="shared" si="0"/>
        <v/>
      </c>
      <c r="E32" s="122">
        <f>未审报表!C32</f>
        <v>0</v>
      </c>
      <c r="F32" s="124" t="str">
        <f t="shared" si="1"/>
        <v/>
      </c>
      <c r="G32" s="122">
        <f t="shared" si="2"/>
        <v>0</v>
      </c>
      <c r="H32" s="433" t="str">
        <f t="shared" si="3"/>
        <v/>
      </c>
      <c r="I32" s="187" t="str">
        <f>IF(H32="","",IF(OR(ABS(H32)&gt;=30%,ABS(G32)&gt;=$E$127*5%,ABS(G32)&gt;=未审PL分析!$E$42*10%),"显著",IF(ABS(H32)&gt;=10%,"关注","")))</f>
        <v/>
      </c>
      <c r="J32" s="177"/>
      <c r="K32" s="915" t="str">
        <f t="shared" si="4"/>
        <v/>
      </c>
      <c r="L32" s="914" t="str">
        <f t="shared" si="5"/>
        <v/>
      </c>
      <c r="M32" s="893"/>
    </row>
    <row r="33" spans="1:13" ht="13.95" customHeight="1">
      <c r="A33" s="904" t="str">
        <f>未审报表!A33</f>
        <v>应收分保合同准备金*</v>
      </c>
      <c r="B33" s="444">
        <f>未审报表!B33</f>
        <v>27</v>
      </c>
      <c r="C33" s="405">
        <f>未审报表!D33</f>
        <v>0</v>
      </c>
      <c r="D33" s="916" t="str">
        <f t="shared" si="0"/>
        <v/>
      </c>
      <c r="E33" s="122">
        <f>未审报表!C33</f>
        <v>0</v>
      </c>
      <c r="F33" s="124" t="str">
        <f t="shared" si="1"/>
        <v/>
      </c>
      <c r="G33" s="122">
        <f t="shared" si="2"/>
        <v>0</v>
      </c>
      <c r="H33" s="433" t="str">
        <f t="shared" si="3"/>
        <v/>
      </c>
      <c r="I33" s="187" t="str">
        <f>IF(H33="","",IF(OR(ABS(H33)&gt;=30%,ABS(G33)&gt;=$E$127*5%,ABS(G33)&gt;=未审PL分析!$E$42*10%),"显著",IF(ABS(H33)&gt;=10%,"关注","")))</f>
        <v/>
      </c>
      <c r="J33" s="177"/>
      <c r="K33" s="915" t="str">
        <f t="shared" si="4"/>
        <v/>
      </c>
      <c r="L33" s="914" t="str">
        <f t="shared" si="5"/>
        <v/>
      </c>
      <c r="M33" s="893"/>
    </row>
    <row r="34" spans="1:13" ht="13.95" customHeight="1">
      <c r="A34" s="904" t="str">
        <f>未审报表!A34</f>
        <v>应收利息原值</v>
      </c>
      <c r="B34" s="444">
        <f>未审报表!B34</f>
        <v>28</v>
      </c>
      <c r="C34" s="405">
        <f>未审报表!D34</f>
        <v>0</v>
      </c>
      <c r="D34" s="916" t="str">
        <f t="shared" si="0"/>
        <v/>
      </c>
      <c r="E34" s="122">
        <f>未审报表!C34</f>
        <v>0</v>
      </c>
      <c r="F34" s="124" t="str">
        <f t="shared" si="1"/>
        <v/>
      </c>
      <c r="G34" s="122">
        <f t="shared" si="2"/>
        <v>0</v>
      </c>
      <c r="H34" s="433" t="str">
        <f t="shared" si="3"/>
        <v/>
      </c>
      <c r="I34" s="187" t="str">
        <f>IF(H34="","",IF(OR(ABS(H34)&gt;=30%,ABS(G34)&gt;=$E$127*5%,ABS(G34)&gt;=未审PL分析!$E$42*10%),"显著",IF(ABS(H34)&gt;=10%,"关注","")))</f>
        <v/>
      </c>
      <c r="J34" s="177"/>
      <c r="K34" s="915" t="str">
        <f t="shared" si="4"/>
        <v/>
      </c>
      <c r="L34" s="914" t="str">
        <f t="shared" si="5"/>
        <v/>
      </c>
      <c r="M34" s="893"/>
    </row>
    <row r="35" spans="1:13" ht="13.95" customHeight="1">
      <c r="A35" s="904" t="str">
        <f>未审报表!A35</f>
        <v>应收利息坏账准备</v>
      </c>
      <c r="B35" s="444">
        <f>未审报表!B35</f>
        <v>29</v>
      </c>
      <c r="C35" s="405">
        <f>未审报表!D35</f>
        <v>0</v>
      </c>
      <c r="D35" s="916" t="str">
        <f t="shared" si="0"/>
        <v/>
      </c>
      <c r="E35" s="122">
        <f>未审报表!C35</f>
        <v>0</v>
      </c>
      <c r="F35" s="124" t="str">
        <f t="shared" si="1"/>
        <v/>
      </c>
      <c r="G35" s="122">
        <f t="shared" si="2"/>
        <v>0</v>
      </c>
      <c r="H35" s="433" t="str">
        <f t="shared" si="3"/>
        <v/>
      </c>
      <c r="I35" s="187" t="str">
        <f>IF(H35="","",IF(OR(ABS(H35)&gt;=30%,ABS(G35)&gt;=$E$127*5%,ABS(G35)&gt;=未审PL分析!$E$42*10%),"显著",IF(ABS(H35)&gt;=10%,"关注","")))</f>
        <v/>
      </c>
      <c r="J35" s="177"/>
      <c r="K35" s="915" t="str">
        <f t="shared" si="4"/>
        <v/>
      </c>
      <c r="L35" s="914" t="str">
        <f t="shared" si="5"/>
        <v/>
      </c>
      <c r="M35" s="893"/>
    </row>
    <row r="36" spans="1:13" ht="13.95" customHeight="1">
      <c r="A36" s="904" t="str">
        <f>未审报表!A36</f>
        <v>应收利息</v>
      </c>
      <c r="B36" s="444">
        <f>未审报表!B36</f>
        <v>30</v>
      </c>
      <c r="C36" s="405">
        <f>未审报表!D36</f>
        <v>0</v>
      </c>
      <c r="D36" s="916" t="str">
        <f t="shared" si="0"/>
        <v/>
      </c>
      <c r="E36" s="122">
        <f>未审报表!C36</f>
        <v>0</v>
      </c>
      <c r="F36" s="124" t="str">
        <f t="shared" si="1"/>
        <v/>
      </c>
      <c r="G36" s="122">
        <f t="shared" si="2"/>
        <v>0</v>
      </c>
      <c r="H36" s="433" t="str">
        <f t="shared" si="3"/>
        <v/>
      </c>
      <c r="I36" s="187" t="str">
        <f>IF(H36="","",IF(OR(ABS(H36)&gt;=30%,ABS(G36)&gt;=$E$127*5%,ABS(G36)&gt;=未审PL分析!$E$42*10%),"显著",IF(ABS(H36)&gt;=10%,"关注","")))</f>
        <v/>
      </c>
      <c r="J36" s="177"/>
      <c r="K36" s="915" t="str">
        <f t="shared" si="4"/>
        <v/>
      </c>
      <c r="L36" s="914" t="str">
        <f t="shared" si="5"/>
        <v/>
      </c>
      <c r="M36" s="893"/>
    </row>
    <row r="37" spans="1:13" ht="13.95" customHeight="1">
      <c r="A37" s="904" t="str">
        <f>未审报表!A37</f>
        <v>应收股利原值</v>
      </c>
      <c r="B37" s="444">
        <f>未审报表!B37</f>
        <v>31</v>
      </c>
      <c r="C37" s="405">
        <f>未审报表!D37</f>
        <v>10512385.210000001</v>
      </c>
      <c r="D37" s="916">
        <f t="shared" si="0"/>
        <v>0.14698492159483778</v>
      </c>
      <c r="E37" s="122">
        <f>未审报表!C37</f>
        <v>32823183.23</v>
      </c>
      <c r="F37" s="124">
        <f t="shared" si="1"/>
        <v>0.30218538587311439</v>
      </c>
      <c r="G37" s="122">
        <f t="shared" si="2"/>
        <v>22310798.02</v>
      </c>
      <c r="H37" s="433">
        <f t="shared" si="3"/>
        <v>2.1223345201217181</v>
      </c>
      <c r="I37" s="187" t="str">
        <f>IF(H37="","",IF(OR(ABS(H37)&gt;=30%,ABS(G37)&gt;=$E$127*5%,ABS(G37)&gt;=未审PL分析!$E$42*10%),"显著",IF(ABS(H37)&gt;=10%,"关注","")))</f>
        <v>显著</v>
      </c>
      <c r="J37" s="177"/>
      <c r="K37" s="915">
        <f t="shared" si="4"/>
        <v>0.15520046427827661</v>
      </c>
      <c r="L37" s="914" t="str">
        <f t="shared" si="5"/>
        <v>关注</v>
      </c>
      <c r="M37" s="893"/>
    </row>
    <row r="38" spans="1:13" ht="13.95" customHeight="1">
      <c r="A38" s="904" t="str">
        <f>未审报表!A38</f>
        <v>应收股利坏账准备</v>
      </c>
      <c r="B38" s="444">
        <f>未审报表!B38</f>
        <v>32</v>
      </c>
      <c r="C38" s="405">
        <f>未审报表!D38</f>
        <v>0</v>
      </c>
      <c r="D38" s="916" t="str">
        <f t="shared" si="0"/>
        <v/>
      </c>
      <c r="E38" s="122">
        <f>未审报表!C38</f>
        <v>0</v>
      </c>
      <c r="F38" s="124" t="str">
        <f t="shared" si="1"/>
        <v/>
      </c>
      <c r="G38" s="122">
        <f t="shared" si="2"/>
        <v>0</v>
      </c>
      <c r="H38" s="433" t="str">
        <f t="shared" si="3"/>
        <v/>
      </c>
      <c r="I38" s="187" t="str">
        <f>IF(H38="","",IF(OR(ABS(H38)&gt;=30%,ABS(G38)&gt;=$E$127*5%,ABS(G38)&gt;=未审PL分析!$E$42*10%),"显著",IF(ABS(H38)&gt;=10%,"关注","")))</f>
        <v/>
      </c>
      <c r="J38" s="177"/>
      <c r="K38" s="915" t="str">
        <f t="shared" si="4"/>
        <v/>
      </c>
      <c r="L38" s="914" t="str">
        <f t="shared" si="5"/>
        <v/>
      </c>
      <c r="M38" s="893"/>
    </row>
    <row r="39" spans="1:13" ht="13.95" customHeight="1">
      <c r="A39" s="904" t="str">
        <f>未审报表!A39</f>
        <v>应收股利</v>
      </c>
      <c r="B39" s="444">
        <f>未审报表!B39</f>
        <v>33</v>
      </c>
      <c r="C39" s="405">
        <f>未审报表!D39</f>
        <v>10512385.210000001</v>
      </c>
      <c r="D39" s="916">
        <f t="shared" si="0"/>
        <v>0.14698492159483778</v>
      </c>
      <c r="E39" s="122">
        <f>未审报表!C39</f>
        <v>32823183.23</v>
      </c>
      <c r="F39" s="124">
        <f t="shared" si="1"/>
        <v>0.30218538587311439</v>
      </c>
      <c r="G39" s="122">
        <f t="shared" si="2"/>
        <v>22310798.02</v>
      </c>
      <c r="H39" s="433">
        <f t="shared" si="3"/>
        <v>2.1223345201217181</v>
      </c>
      <c r="I39" s="187" t="str">
        <f>IF(H39="","",IF(OR(ABS(H39)&gt;=30%,ABS(G39)&gt;=$E$127*5%,ABS(G39)&gt;=未审PL分析!$E$42*10%),"显著",IF(ABS(H39)&gt;=10%,"关注","")))</f>
        <v>显著</v>
      </c>
      <c r="J39" s="177"/>
      <c r="K39" s="915">
        <f t="shared" si="4"/>
        <v>0.15520046427827661</v>
      </c>
      <c r="L39" s="914" t="str">
        <f t="shared" si="5"/>
        <v>关注</v>
      </c>
      <c r="M39" s="893"/>
    </row>
    <row r="40" spans="1:13" ht="13.95" customHeight="1">
      <c r="A40" s="904" t="str">
        <f>未审报表!A40</f>
        <v>其他应收款原值</v>
      </c>
      <c r="B40" s="444">
        <f>未审报表!B40</f>
        <v>34</v>
      </c>
      <c r="C40" s="405">
        <f>未审报表!D40</f>
        <v>12543397.1</v>
      </c>
      <c r="D40" s="916">
        <f t="shared" si="0"/>
        <v>0.17538267504910196</v>
      </c>
      <c r="E40" s="122">
        <f>未审报表!C40</f>
        <v>8096269.3899999997</v>
      </c>
      <c r="F40" s="124">
        <f t="shared" si="1"/>
        <v>7.4537995678423244E-2</v>
      </c>
      <c r="G40" s="122">
        <f t="shared" si="2"/>
        <v>-4447127.71</v>
      </c>
      <c r="H40" s="433">
        <f t="shared" si="3"/>
        <v>-0.35453933846995883</v>
      </c>
      <c r="I40" s="187" t="str">
        <f>IF(H40="","",IF(OR(ABS(H40)&gt;=30%,ABS(G40)&gt;=$E$127*5%,ABS(G40)&gt;=未审PL分析!$E$42*10%),"显著",IF(ABS(H40)&gt;=10%,"关注","")))</f>
        <v>显著</v>
      </c>
      <c r="J40" s="177"/>
      <c r="K40" s="915">
        <f t="shared" si="4"/>
        <v>-0.10084467937067872</v>
      </c>
      <c r="L40" s="914" t="str">
        <f t="shared" si="5"/>
        <v>关注</v>
      </c>
      <c r="M40" s="893"/>
    </row>
    <row r="41" spans="1:13" ht="13.95" customHeight="1">
      <c r="A41" s="904" t="str">
        <f>未审报表!A41</f>
        <v>其他应收款坏账准备</v>
      </c>
      <c r="B41" s="444">
        <f>未审报表!B41</f>
        <v>35</v>
      </c>
      <c r="C41" s="405">
        <f>未审报表!D41</f>
        <v>0</v>
      </c>
      <c r="D41" s="916" t="str">
        <f t="shared" si="0"/>
        <v/>
      </c>
      <c r="E41" s="122">
        <f>未审报表!C41</f>
        <v>13310.74</v>
      </c>
      <c r="F41" s="124">
        <f t="shared" si="1"/>
        <v>1.2254482068272874E-4</v>
      </c>
      <c r="G41" s="122">
        <f t="shared" si="2"/>
        <v>13310.74</v>
      </c>
      <c r="H41" s="433">
        <f t="shared" si="3"/>
        <v>1</v>
      </c>
      <c r="I41" s="187" t="str">
        <f>IF(H41="","",IF(OR(ABS(H41)&gt;=30%,ABS(G41)&gt;=$E$127*5%,ABS(G41)&gt;=未审PL分析!$E$42*10%),"显著",IF(ABS(H41)&gt;=10%,"关注","")))</f>
        <v>显著</v>
      </c>
      <c r="J41" s="177"/>
      <c r="K41" s="915">
        <f t="shared" si="4"/>
        <v>1.2254482068272874E-4</v>
      </c>
      <c r="L41" s="914" t="str">
        <f t="shared" si="5"/>
        <v/>
      </c>
    </row>
    <row r="42" spans="1:13" ht="13.95" customHeight="1">
      <c r="A42" s="904" t="str">
        <f>未审报表!A42</f>
        <v>其他应收款</v>
      </c>
      <c r="B42" s="444">
        <f>未审报表!B42</f>
        <v>36</v>
      </c>
      <c r="C42" s="405">
        <f>未审报表!D42</f>
        <v>12543397.1</v>
      </c>
      <c r="D42" s="916">
        <f t="shared" si="0"/>
        <v>0.17538267504910196</v>
      </c>
      <c r="E42" s="122">
        <f>未审报表!C42</f>
        <v>8082958.6499999994</v>
      </c>
      <c r="F42" s="124">
        <f t="shared" si="1"/>
        <v>7.4415450857740512E-2</v>
      </c>
      <c r="G42" s="122">
        <f t="shared" si="2"/>
        <v>-4460438.45</v>
      </c>
      <c r="H42" s="433">
        <f t="shared" si="3"/>
        <v>-0.35560051351639027</v>
      </c>
      <c r="I42" s="187" t="str">
        <f>IF(H42="","",IF(OR(ABS(H42)&gt;=30%,ABS(G42)&gt;=$E$127*5%,ABS(G42)&gt;=未审PL分析!$E$42*10%),"显著",IF(ABS(H42)&gt;=10%,"关注","")))</f>
        <v>显著</v>
      </c>
      <c r="J42" s="177"/>
      <c r="K42" s="915">
        <f t="shared" si="4"/>
        <v>-0.10096722419136145</v>
      </c>
      <c r="L42" s="914" t="str">
        <f t="shared" si="5"/>
        <v>关注</v>
      </c>
    </row>
    <row r="43" spans="1:13" ht="13.95" customHeight="1">
      <c r="A43" s="904" t="str">
        <f>未审报表!A43</f>
        <v>买入返售金融资产原值*</v>
      </c>
      <c r="B43" s="444">
        <f>未审报表!B43</f>
        <v>37</v>
      </c>
      <c r="C43" s="405">
        <f>未审报表!D43</f>
        <v>0</v>
      </c>
      <c r="D43" s="916" t="str">
        <f t="shared" si="0"/>
        <v/>
      </c>
      <c r="E43" s="122">
        <f>未审报表!C43</f>
        <v>0</v>
      </c>
      <c r="F43" s="124" t="str">
        <f t="shared" si="1"/>
        <v/>
      </c>
      <c r="G43" s="122">
        <f t="shared" si="2"/>
        <v>0</v>
      </c>
      <c r="H43" s="433" t="str">
        <f t="shared" si="3"/>
        <v/>
      </c>
      <c r="I43" s="187" t="str">
        <f>IF(H43="","",IF(OR(ABS(H43)&gt;=30%,ABS(G43)&gt;=$E$127*5%,ABS(G43)&gt;=未审PL分析!$E$42*10%),"显著",IF(ABS(H43)&gt;=10%,"关注","")))</f>
        <v/>
      </c>
      <c r="J43" s="177"/>
      <c r="K43" s="915" t="str">
        <f t="shared" si="4"/>
        <v/>
      </c>
      <c r="L43" s="914" t="str">
        <f t="shared" si="5"/>
        <v/>
      </c>
    </row>
    <row r="44" spans="1:13" ht="13.95" customHeight="1">
      <c r="A44" s="904" t="str">
        <f>未审报表!A44</f>
        <v>买入返售金融资产减值准备*</v>
      </c>
      <c r="B44" s="444">
        <f>未审报表!B44</f>
        <v>38</v>
      </c>
      <c r="C44" s="405">
        <f>未审报表!D44</f>
        <v>0</v>
      </c>
      <c r="D44" s="916" t="str">
        <f t="shared" si="0"/>
        <v/>
      </c>
      <c r="E44" s="122">
        <f>未审报表!C44</f>
        <v>0</v>
      </c>
      <c r="F44" s="124" t="str">
        <f t="shared" si="1"/>
        <v/>
      </c>
      <c r="G44" s="122">
        <f t="shared" si="2"/>
        <v>0</v>
      </c>
      <c r="H44" s="433" t="str">
        <f t="shared" si="3"/>
        <v/>
      </c>
      <c r="I44" s="187" t="str">
        <f>IF(H44="","",IF(OR(ABS(H44)&gt;=30%,ABS(G44)&gt;=$E$127*5%,ABS(G44)&gt;=未审PL分析!$E$42*10%),"显著",IF(ABS(H44)&gt;=10%,"关注","")))</f>
        <v/>
      </c>
      <c r="J44" s="177"/>
      <c r="K44" s="915" t="str">
        <f t="shared" si="4"/>
        <v/>
      </c>
      <c r="L44" s="914" t="str">
        <f t="shared" si="5"/>
        <v/>
      </c>
    </row>
    <row r="45" spans="1:13" ht="13.95" customHeight="1">
      <c r="A45" s="904" t="str">
        <f>未审报表!A45</f>
        <v>买入返售金融资产*</v>
      </c>
      <c r="B45" s="444">
        <f>未审报表!B45</f>
        <v>39</v>
      </c>
      <c r="C45" s="405">
        <f>未审报表!D45</f>
        <v>0</v>
      </c>
      <c r="D45" s="916" t="str">
        <f t="shared" si="0"/>
        <v/>
      </c>
      <c r="E45" s="122">
        <f>未审报表!C45</f>
        <v>0</v>
      </c>
      <c r="F45" s="124" t="str">
        <f t="shared" si="1"/>
        <v/>
      </c>
      <c r="G45" s="122">
        <f t="shared" si="2"/>
        <v>0</v>
      </c>
      <c r="H45" s="433" t="str">
        <f t="shared" si="3"/>
        <v/>
      </c>
      <c r="I45" s="187" t="str">
        <f>IF(H45="","",IF(OR(ABS(H45)&gt;=30%,ABS(G45)&gt;=$E$127*5%,ABS(G45)&gt;=未审PL分析!$E$42*10%),"显著",IF(ABS(H45)&gt;=10%,"关注","")))</f>
        <v/>
      </c>
      <c r="J45" s="177"/>
      <c r="K45" s="915" t="str">
        <f t="shared" si="4"/>
        <v/>
      </c>
      <c r="L45" s="914" t="str">
        <f t="shared" si="5"/>
        <v/>
      </c>
    </row>
    <row r="46" spans="1:13" ht="13.95" customHeight="1">
      <c r="A46" s="904" t="str">
        <f>未审报表!A46</f>
        <v>存货原值</v>
      </c>
      <c r="B46" s="444">
        <f>未审报表!B46</f>
        <v>40</v>
      </c>
      <c r="C46" s="405">
        <f>未审报表!D46</f>
        <v>0</v>
      </c>
      <c r="D46" s="916" t="str">
        <f t="shared" si="0"/>
        <v/>
      </c>
      <c r="E46" s="122">
        <f>未审报表!C46</f>
        <v>8526796.3200000003</v>
      </c>
      <c r="F46" s="124">
        <f t="shared" si="1"/>
        <v>7.8501625456777857E-2</v>
      </c>
      <c r="G46" s="122">
        <f t="shared" si="2"/>
        <v>8526796.3200000003</v>
      </c>
      <c r="H46" s="433">
        <f t="shared" si="3"/>
        <v>1</v>
      </c>
      <c r="I46" s="187" t="str">
        <f>IF(H46="","",IF(OR(ABS(H46)&gt;=30%,ABS(G46)&gt;=$E$127*5%,ABS(G46)&gt;=未审PL分析!$E$42*10%),"显著",IF(ABS(H46)&gt;=10%,"关注","")))</f>
        <v>显著</v>
      </c>
      <c r="J46" s="177"/>
      <c r="K46" s="915">
        <f t="shared" si="4"/>
        <v>7.8501625456777857E-2</v>
      </c>
      <c r="L46" s="914" t="str">
        <f t="shared" si="5"/>
        <v/>
      </c>
    </row>
    <row r="47" spans="1:13" ht="13.95" customHeight="1">
      <c r="A47" s="904" t="str">
        <f>未审报表!A47</f>
        <v>存货跌价准备</v>
      </c>
      <c r="B47" s="444">
        <f>未审报表!B47</f>
        <v>41</v>
      </c>
      <c r="C47" s="405">
        <f>未审报表!D47</f>
        <v>0</v>
      </c>
      <c r="D47" s="916" t="str">
        <f t="shared" si="0"/>
        <v/>
      </c>
      <c r="E47" s="122">
        <f>未审报表!C47</f>
        <v>0</v>
      </c>
      <c r="F47" s="124" t="str">
        <f t="shared" si="1"/>
        <v/>
      </c>
      <c r="G47" s="122">
        <f t="shared" si="2"/>
        <v>0</v>
      </c>
      <c r="H47" s="433" t="str">
        <f t="shared" si="3"/>
        <v/>
      </c>
      <c r="I47" s="187" t="str">
        <f>IF(H47="","",IF(OR(ABS(H47)&gt;=30%,ABS(G47)&gt;=$E$127*5%,ABS(G47)&gt;=未审PL分析!$E$42*10%),"显著",IF(ABS(H47)&gt;=10%,"关注","")))</f>
        <v/>
      </c>
      <c r="J47" s="177"/>
      <c r="K47" s="915" t="str">
        <f t="shared" si="4"/>
        <v/>
      </c>
      <c r="L47" s="914" t="str">
        <f t="shared" si="5"/>
        <v/>
      </c>
    </row>
    <row r="48" spans="1:13" ht="13.95" customHeight="1">
      <c r="A48" s="904" t="str">
        <f>未审报表!A48</f>
        <v>存货</v>
      </c>
      <c r="B48" s="444">
        <f>未审报表!B48</f>
        <v>42</v>
      </c>
      <c r="C48" s="405">
        <f>未审报表!D48</f>
        <v>0</v>
      </c>
      <c r="D48" s="916" t="str">
        <f t="shared" si="0"/>
        <v/>
      </c>
      <c r="E48" s="122">
        <f>未审报表!C48</f>
        <v>8526796.3200000003</v>
      </c>
      <c r="F48" s="124">
        <f t="shared" si="1"/>
        <v>7.8501625456777857E-2</v>
      </c>
      <c r="G48" s="122">
        <f t="shared" si="2"/>
        <v>8526796.3200000003</v>
      </c>
      <c r="H48" s="433">
        <f t="shared" si="3"/>
        <v>1</v>
      </c>
      <c r="I48" s="187" t="str">
        <f>IF(H48="","",IF(OR(ABS(H48)&gt;=30%,ABS(G48)&gt;=$E$127*5%,ABS(G48)&gt;=未审PL分析!$E$42*10%),"显著",IF(ABS(H48)&gt;=10%,"关注","")))</f>
        <v>显著</v>
      </c>
      <c r="J48" s="177"/>
      <c r="K48" s="915">
        <f t="shared" si="4"/>
        <v>7.8501625456777857E-2</v>
      </c>
      <c r="L48" s="914" t="str">
        <f t="shared" si="5"/>
        <v/>
      </c>
    </row>
    <row r="49" spans="1:12" ht="13.95" customHeight="1">
      <c r="A49" s="904" t="str">
        <f>未审报表!A49</f>
        <v xml:space="preserve"> 其中：原材料</v>
      </c>
      <c r="B49" s="444">
        <f>未审报表!B49</f>
        <v>43</v>
      </c>
      <c r="C49" s="405">
        <f>未审报表!D49</f>
        <v>0</v>
      </c>
      <c r="D49" s="916" t="str">
        <f t="shared" si="0"/>
        <v/>
      </c>
      <c r="E49" s="122">
        <f>未审报表!C49</f>
        <v>698003</v>
      </c>
      <c r="F49" s="124">
        <f t="shared" si="1"/>
        <v>6.4261380262109168E-3</v>
      </c>
      <c r="G49" s="122">
        <f t="shared" si="2"/>
        <v>698003</v>
      </c>
      <c r="H49" s="433">
        <f t="shared" si="3"/>
        <v>1</v>
      </c>
      <c r="I49" s="187" t="str">
        <f>IF(H49="","",IF(OR(ABS(H49)&gt;=30%,ABS(G49)&gt;=$E$127*5%,ABS(G49)&gt;=未审PL分析!$E$42*10%),"显著",IF(ABS(H49)&gt;=10%,"关注","")))</f>
        <v>显著</v>
      </c>
      <c r="J49" s="177"/>
      <c r="K49" s="915">
        <f t="shared" si="4"/>
        <v>6.4261380262109168E-3</v>
      </c>
      <c r="L49" s="914" t="str">
        <f t="shared" si="5"/>
        <v/>
      </c>
    </row>
    <row r="50" spans="1:12" ht="13.95" customHeight="1">
      <c r="A50" s="904" t="str">
        <f>未审报表!A50</f>
        <v xml:space="preserve">    库存商品（产成品）</v>
      </c>
      <c r="B50" s="444">
        <f>未审报表!B50</f>
        <v>44</v>
      </c>
      <c r="C50" s="405">
        <f>未审报表!D50</f>
        <v>0</v>
      </c>
      <c r="D50" s="916" t="str">
        <f t="shared" si="0"/>
        <v/>
      </c>
      <c r="E50" s="122">
        <f>未审报表!C50</f>
        <v>7000000</v>
      </c>
      <c r="F50" s="124">
        <f t="shared" si="1"/>
        <v>6.4445233306270056E-2</v>
      </c>
      <c r="G50" s="122">
        <f t="shared" si="2"/>
        <v>7000000</v>
      </c>
      <c r="H50" s="433">
        <f t="shared" si="3"/>
        <v>1</v>
      </c>
      <c r="I50" s="187" t="str">
        <f>IF(H50="","",IF(OR(ABS(H50)&gt;=30%,ABS(G50)&gt;=$E$127*5%,ABS(G50)&gt;=未审PL分析!$E$42*10%),"显著",IF(ABS(H50)&gt;=10%,"关注","")))</f>
        <v>显著</v>
      </c>
      <c r="J50" s="177"/>
      <c r="K50" s="915">
        <f t="shared" si="4"/>
        <v>6.4445233306270056E-2</v>
      </c>
      <c r="L50" s="914" t="str">
        <f t="shared" si="5"/>
        <v/>
      </c>
    </row>
    <row r="51" spans="1:12" ht="13.95" customHeight="1">
      <c r="A51" s="904" t="str">
        <f>未审报表!A51</f>
        <v>合同资产原值</v>
      </c>
      <c r="B51" s="444">
        <f>未审报表!B51</f>
        <v>45</v>
      </c>
      <c r="C51" s="405">
        <f>未审报表!D51</f>
        <v>0</v>
      </c>
      <c r="D51" s="916" t="str">
        <f t="shared" si="0"/>
        <v/>
      </c>
      <c r="E51" s="122">
        <f>未审报表!C51</f>
        <v>0</v>
      </c>
      <c r="F51" s="124" t="str">
        <f t="shared" si="1"/>
        <v/>
      </c>
      <c r="G51" s="122">
        <f t="shared" si="2"/>
        <v>0</v>
      </c>
      <c r="H51" s="433" t="str">
        <f t="shared" si="3"/>
        <v/>
      </c>
      <c r="I51" s="187" t="str">
        <f>IF(H51="","",IF(OR(ABS(H51)&gt;=30%,ABS(G51)&gt;=$E$127*5%,ABS(G51)&gt;=未审PL分析!$E$42*10%),"显著",IF(ABS(H51)&gt;=10%,"关注","")))</f>
        <v/>
      </c>
      <c r="J51" s="178"/>
      <c r="K51" s="915" t="str">
        <f t="shared" si="4"/>
        <v/>
      </c>
      <c r="L51" s="914" t="str">
        <f t="shared" si="5"/>
        <v/>
      </c>
    </row>
    <row r="52" spans="1:12" ht="13.95" customHeight="1">
      <c r="A52" s="904" t="str">
        <f>未审报表!A52</f>
        <v>合同资产减值准备</v>
      </c>
      <c r="B52" s="444">
        <f>未审报表!B52</f>
        <v>46</v>
      </c>
      <c r="C52" s="405">
        <f>未审报表!D52</f>
        <v>0</v>
      </c>
      <c r="D52" s="916" t="str">
        <f t="shared" si="0"/>
        <v/>
      </c>
      <c r="E52" s="122">
        <f>未审报表!C52</f>
        <v>0</v>
      </c>
      <c r="F52" s="124" t="str">
        <f t="shared" si="1"/>
        <v/>
      </c>
      <c r="G52" s="122">
        <f t="shared" si="2"/>
        <v>0</v>
      </c>
      <c r="H52" s="433" t="str">
        <f t="shared" si="3"/>
        <v/>
      </c>
      <c r="I52" s="187" t="str">
        <f>IF(H52="","",IF(OR(ABS(H52)&gt;=30%,ABS(G52)&gt;=$E$127*5%,ABS(G52)&gt;=未审PL分析!$E$42*10%),"显著",IF(ABS(H52)&gt;=10%,"关注","")))</f>
        <v/>
      </c>
      <c r="J52" s="178"/>
      <c r="K52" s="915" t="str">
        <f t="shared" si="4"/>
        <v/>
      </c>
      <c r="L52" s="914" t="str">
        <f t="shared" si="5"/>
        <v/>
      </c>
    </row>
    <row r="53" spans="1:12" ht="13.95" customHeight="1">
      <c r="A53" s="904" t="str">
        <f>未审报表!A53</f>
        <v>合同资产</v>
      </c>
      <c r="B53" s="444">
        <f>未审报表!B53</f>
        <v>47</v>
      </c>
      <c r="C53" s="405">
        <f>未审报表!D53</f>
        <v>0</v>
      </c>
      <c r="D53" s="916" t="str">
        <f t="shared" si="0"/>
        <v/>
      </c>
      <c r="E53" s="122">
        <f>未审报表!C53</f>
        <v>0</v>
      </c>
      <c r="F53" s="124" t="str">
        <f t="shared" si="1"/>
        <v/>
      </c>
      <c r="G53" s="122">
        <f t="shared" si="2"/>
        <v>0</v>
      </c>
      <c r="H53" s="433" t="str">
        <f t="shared" si="3"/>
        <v/>
      </c>
      <c r="I53" s="187" t="str">
        <f>IF(H53="","",IF(OR(ABS(H53)&gt;=30%,ABS(G53)&gt;=$E$127*5%,ABS(G53)&gt;=未审PL分析!$E$42*10%),"显著",IF(ABS(H53)&gt;=10%,"关注","")))</f>
        <v/>
      </c>
      <c r="J53" s="177"/>
      <c r="K53" s="915" t="str">
        <f t="shared" si="4"/>
        <v/>
      </c>
      <c r="L53" s="914" t="str">
        <f t="shared" si="5"/>
        <v/>
      </c>
    </row>
    <row r="54" spans="1:12" ht="13.95" customHeight="1">
      <c r="A54" s="904" t="str">
        <f>未审报表!A54</f>
        <v>持有待售资产原值</v>
      </c>
      <c r="B54" s="444">
        <f>未审报表!B54</f>
        <v>48</v>
      </c>
      <c r="C54" s="405">
        <f>未审报表!D54</f>
        <v>0</v>
      </c>
      <c r="D54" s="916" t="str">
        <f t="shared" si="0"/>
        <v/>
      </c>
      <c r="E54" s="122">
        <f>未审报表!C54</f>
        <v>0</v>
      </c>
      <c r="F54" s="124" t="str">
        <f t="shared" si="1"/>
        <v/>
      </c>
      <c r="G54" s="122">
        <f t="shared" si="2"/>
        <v>0</v>
      </c>
      <c r="H54" s="433" t="str">
        <f t="shared" si="3"/>
        <v/>
      </c>
      <c r="I54" s="187" t="str">
        <f>IF(H54="","",IF(OR(ABS(H54)&gt;=30%,ABS(G54)&gt;=$E$127*5%,ABS(G54)&gt;=未审PL分析!$E$42*10%),"显著",IF(ABS(H54)&gt;=10%,"关注","")))</f>
        <v/>
      </c>
      <c r="J54" s="177"/>
      <c r="K54" s="915" t="str">
        <f t="shared" si="4"/>
        <v/>
      </c>
      <c r="L54" s="914" t="str">
        <f t="shared" si="5"/>
        <v/>
      </c>
    </row>
    <row r="55" spans="1:12" ht="13.95" customHeight="1">
      <c r="A55" s="904" t="str">
        <f>未审报表!A55</f>
        <v>持有待售资产减值准备</v>
      </c>
      <c r="B55" s="444">
        <f>未审报表!B55</f>
        <v>49</v>
      </c>
      <c r="C55" s="405">
        <f>未审报表!D55</f>
        <v>0</v>
      </c>
      <c r="D55" s="916" t="str">
        <f t="shared" si="0"/>
        <v/>
      </c>
      <c r="E55" s="122">
        <f>未审报表!C55</f>
        <v>0</v>
      </c>
      <c r="F55" s="124" t="str">
        <f t="shared" si="1"/>
        <v/>
      </c>
      <c r="G55" s="122">
        <f t="shared" si="2"/>
        <v>0</v>
      </c>
      <c r="H55" s="433" t="str">
        <f t="shared" si="3"/>
        <v/>
      </c>
      <c r="I55" s="187" t="str">
        <f>IF(H55="","",IF(OR(ABS(H55)&gt;=30%,ABS(G55)&gt;=$E$127*5%,ABS(G55)&gt;=未审PL分析!$E$42*10%),"显著",IF(ABS(H55)&gt;=10%,"关注","")))</f>
        <v/>
      </c>
      <c r="J55" s="178"/>
      <c r="K55" s="915" t="str">
        <f t="shared" si="4"/>
        <v/>
      </c>
      <c r="L55" s="914" t="str">
        <f t="shared" si="5"/>
        <v/>
      </c>
    </row>
    <row r="56" spans="1:12" ht="13.95" customHeight="1">
      <c r="A56" s="904" t="str">
        <f>未审报表!A56</f>
        <v>持有待售资产</v>
      </c>
      <c r="B56" s="444">
        <f>未审报表!B56</f>
        <v>50</v>
      </c>
      <c r="C56" s="405">
        <f>未审报表!D56</f>
        <v>0</v>
      </c>
      <c r="D56" s="916" t="str">
        <f t="shared" si="0"/>
        <v/>
      </c>
      <c r="E56" s="122">
        <f>未审报表!C56</f>
        <v>0</v>
      </c>
      <c r="F56" s="124" t="str">
        <f t="shared" si="1"/>
        <v/>
      </c>
      <c r="G56" s="122">
        <f t="shared" si="2"/>
        <v>0</v>
      </c>
      <c r="H56" s="433" t="str">
        <f t="shared" si="3"/>
        <v/>
      </c>
      <c r="I56" s="187" t="str">
        <f>IF(H56="","",IF(OR(ABS(H56)&gt;=30%,ABS(G56)&gt;=$E$127*5%,ABS(G56)&gt;=未审PL分析!$E$42*10%),"显著",IF(ABS(H56)&gt;=10%,"关注","")))</f>
        <v/>
      </c>
      <c r="J56" s="177"/>
      <c r="K56" s="915" t="str">
        <f t="shared" si="4"/>
        <v/>
      </c>
      <c r="L56" s="914" t="str">
        <f t="shared" si="5"/>
        <v/>
      </c>
    </row>
    <row r="57" spans="1:12" ht="13.95" customHeight="1">
      <c r="A57" s="904" t="str">
        <f>未审报表!A57</f>
        <v>一年内到期的非流动资产</v>
      </c>
      <c r="B57" s="444">
        <f>未审报表!B57</f>
        <v>51</v>
      </c>
      <c r="C57" s="405">
        <f>未审报表!D57</f>
        <v>0</v>
      </c>
      <c r="D57" s="916" t="str">
        <f t="shared" si="0"/>
        <v/>
      </c>
      <c r="E57" s="122">
        <f>未审报表!C57</f>
        <v>0</v>
      </c>
      <c r="F57" s="124" t="str">
        <f t="shared" si="1"/>
        <v/>
      </c>
      <c r="G57" s="122">
        <f t="shared" si="2"/>
        <v>0</v>
      </c>
      <c r="H57" s="433" t="str">
        <f t="shared" si="3"/>
        <v/>
      </c>
      <c r="I57" s="187" t="str">
        <f>IF(H57="","",IF(OR(ABS(H57)&gt;=30%,ABS(G57)&gt;=$E$127*5%,ABS(G57)&gt;=未审PL分析!$E$42*10%),"显著",IF(ABS(H57)&gt;=10%,"关注","")))</f>
        <v/>
      </c>
      <c r="J57" s="178"/>
      <c r="K57" s="915" t="str">
        <f t="shared" si="4"/>
        <v/>
      </c>
      <c r="L57" s="914" t="str">
        <f t="shared" si="5"/>
        <v/>
      </c>
    </row>
    <row r="58" spans="1:12" ht="13.95" customHeight="1">
      <c r="A58" s="904" t="str">
        <f>未审报表!A58</f>
        <v>其他流动资产</v>
      </c>
      <c r="B58" s="444">
        <f>未审报表!B58</f>
        <v>52</v>
      </c>
      <c r="C58" s="405">
        <f>未审报表!D58</f>
        <v>19000000</v>
      </c>
      <c r="D58" s="916">
        <f t="shared" si="0"/>
        <v>0.26565935841518856</v>
      </c>
      <c r="E58" s="122">
        <f>未审报表!C58</f>
        <v>0</v>
      </c>
      <c r="F58" s="124" t="str">
        <f t="shared" si="1"/>
        <v/>
      </c>
      <c r="G58" s="122">
        <f t="shared" si="2"/>
        <v>-19000000</v>
      </c>
      <c r="H58" s="433">
        <f t="shared" si="3"/>
        <v>-1</v>
      </c>
      <c r="I58" s="187" t="str">
        <f>IF(H58="","",IF(OR(ABS(H58)&gt;=30%,ABS(G58)&gt;=$E$127*5%,ABS(G58)&gt;=未审PL分析!$E$42*10%),"显著",IF(ABS(H58)&gt;=10%,"关注","")))</f>
        <v>显著</v>
      </c>
      <c r="J58" s="177"/>
      <c r="K58" s="915">
        <f t="shared" si="4"/>
        <v>-0.26565935841518856</v>
      </c>
      <c r="L58" s="914" t="str">
        <f t="shared" si="5"/>
        <v>关注</v>
      </c>
    </row>
    <row r="59" spans="1:12" ht="13.95" customHeight="1">
      <c r="A59" s="904" t="str">
        <f>未审报表!A59</f>
        <v>流动资产合计</v>
      </c>
      <c r="B59" s="444">
        <f>未审报表!B59</f>
        <v>53</v>
      </c>
      <c r="C59" s="405">
        <f>未审报表!D59</f>
        <v>59421429.140000001</v>
      </c>
      <c r="D59" s="916">
        <f t="shared" si="0"/>
        <v>0.83083467060242067</v>
      </c>
      <c r="E59" s="122">
        <f>未审报表!C59</f>
        <v>81087051.770000011</v>
      </c>
      <c r="F59" s="124">
        <f t="shared" si="1"/>
        <v>0.74652485277646419</v>
      </c>
      <c r="G59" s="122">
        <f t="shared" si="2"/>
        <v>21665622.63000001</v>
      </c>
      <c r="H59" s="433">
        <f t="shared" si="3"/>
        <v>0.36460958518777237</v>
      </c>
      <c r="I59" s="187" t="str">
        <f>IF(H59="","",IF(OR(ABS(H59)&gt;=30%,ABS(G59)&gt;=$E$127*5%,ABS(G59)&gt;=未审PL分析!$E$42*10%),"显著",IF(ABS(H59)&gt;=10%,"关注","")))</f>
        <v>显著</v>
      </c>
      <c r="J59" s="177"/>
      <c r="K59" s="915">
        <f t="shared" si="4"/>
        <v>-8.4309817825956479E-2</v>
      </c>
      <c r="L59" s="914" t="str">
        <f t="shared" si="5"/>
        <v/>
      </c>
    </row>
    <row r="60" spans="1:12" ht="13.95" customHeight="1">
      <c r="A60" s="904" t="str">
        <f>未审报表!A60</f>
        <v>非流动资产:</v>
      </c>
      <c r="B60" s="444">
        <f>未审报表!B60</f>
        <v>54</v>
      </c>
      <c r="C60" s="405">
        <f>未审报表!D60</f>
        <v>0</v>
      </c>
      <c r="D60" s="916" t="str">
        <f t="shared" si="0"/>
        <v/>
      </c>
      <c r="E60" s="122">
        <f>未审报表!C60</f>
        <v>0</v>
      </c>
      <c r="F60" s="124" t="str">
        <f t="shared" si="1"/>
        <v/>
      </c>
      <c r="G60" s="122">
        <f t="shared" si="2"/>
        <v>0</v>
      </c>
      <c r="H60" s="433" t="str">
        <f t="shared" si="3"/>
        <v/>
      </c>
      <c r="I60" s="187" t="str">
        <f>IF(H60="","",IF(OR(ABS(H60)&gt;=30%,ABS(G60)&gt;=$E$127*5%,ABS(G60)&gt;=未审PL分析!$E$42*10%),"显著",IF(ABS(H60)&gt;=10%,"关注","")))</f>
        <v/>
      </c>
      <c r="J60" s="177"/>
      <c r="K60" s="915" t="str">
        <f t="shared" si="4"/>
        <v/>
      </c>
      <c r="L60" s="914" t="str">
        <f t="shared" si="5"/>
        <v/>
      </c>
    </row>
    <row r="61" spans="1:12" ht="13.95" customHeight="1">
      <c r="A61" s="904" t="str">
        <f>未审报表!A61</f>
        <v>发放贷款和垫款原值*</v>
      </c>
      <c r="B61" s="444">
        <f>未审报表!B61</f>
        <v>55</v>
      </c>
      <c r="C61" s="405">
        <f>未审报表!D61</f>
        <v>0</v>
      </c>
      <c r="D61" s="916" t="str">
        <f t="shared" si="0"/>
        <v/>
      </c>
      <c r="E61" s="122">
        <f>未审报表!C61</f>
        <v>0</v>
      </c>
      <c r="F61" s="124" t="str">
        <f t="shared" si="1"/>
        <v/>
      </c>
      <c r="G61" s="122">
        <f t="shared" si="2"/>
        <v>0</v>
      </c>
      <c r="H61" s="433" t="str">
        <f t="shared" si="3"/>
        <v/>
      </c>
      <c r="I61" s="187" t="str">
        <f>IF(H61="","",IF(OR(ABS(H61)&gt;=30%,ABS(G61)&gt;=$E$127*5%,ABS(G61)&gt;=未审PL分析!$E$42*10%),"显著",IF(ABS(H61)&gt;=10%,"关注","")))</f>
        <v/>
      </c>
      <c r="J61" s="177"/>
      <c r="K61" s="915" t="str">
        <f t="shared" si="4"/>
        <v/>
      </c>
      <c r="L61" s="914" t="str">
        <f t="shared" si="5"/>
        <v/>
      </c>
    </row>
    <row r="62" spans="1:12" ht="13.95" customHeight="1">
      <c r="A62" s="904" t="str">
        <f>未审报表!A62</f>
        <v>发放贷款和垫款减值准备*</v>
      </c>
      <c r="B62" s="444">
        <f>未审报表!B62</f>
        <v>56</v>
      </c>
      <c r="C62" s="405">
        <f>未审报表!D62</f>
        <v>0</v>
      </c>
      <c r="D62" s="916" t="str">
        <f t="shared" si="0"/>
        <v/>
      </c>
      <c r="E62" s="122">
        <f>未审报表!C62</f>
        <v>0</v>
      </c>
      <c r="F62" s="124" t="str">
        <f t="shared" si="1"/>
        <v/>
      </c>
      <c r="G62" s="122">
        <f t="shared" si="2"/>
        <v>0</v>
      </c>
      <c r="H62" s="433" t="str">
        <f t="shared" si="3"/>
        <v/>
      </c>
      <c r="I62" s="187" t="str">
        <f>IF(H62="","",IF(OR(ABS(H62)&gt;=30%,ABS(G62)&gt;=$E$127*5%,ABS(G62)&gt;=未审PL分析!$E$42*10%),"显著",IF(ABS(H62)&gt;=10%,"关注","")))</f>
        <v/>
      </c>
      <c r="J62" s="177"/>
      <c r="K62" s="915" t="str">
        <f t="shared" si="4"/>
        <v/>
      </c>
      <c r="L62" s="914" t="str">
        <f t="shared" si="5"/>
        <v/>
      </c>
    </row>
    <row r="63" spans="1:12" ht="13.95" customHeight="1">
      <c r="A63" s="904" t="str">
        <f>未审报表!A63</f>
        <v>发放贷款和垫款*</v>
      </c>
      <c r="B63" s="444">
        <f>未审报表!B63</f>
        <v>57</v>
      </c>
      <c r="C63" s="405">
        <f>未审报表!D63</f>
        <v>0</v>
      </c>
      <c r="D63" s="916" t="str">
        <f t="shared" si="0"/>
        <v/>
      </c>
      <c r="E63" s="122">
        <f>未审报表!C63</f>
        <v>0</v>
      </c>
      <c r="F63" s="124" t="str">
        <f t="shared" si="1"/>
        <v/>
      </c>
      <c r="G63" s="122">
        <f t="shared" si="2"/>
        <v>0</v>
      </c>
      <c r="H63" s="433" t="str">
        <f t="shared" si="3"/>
        <v/>
      </c>
      <c r="I63" s="187" t="str">
        <f>IF(H63="","",IF(OR(ABS(H63)&gt;=30%,ABS(G63)&gt;=$E$127*5%,ABS(G63)&gt;=未审PL分析!$E$42*10%),"显著",IF(ABS(H63)&gt;=10%,"关注","")))</f>
        <v/>
      </c>
      <c r="J63" s="177"/>
      <c r="K63" s="915" t="str">
        <f t="shared" si="4"/>
        <v/>
      </c>
      <c r="L63" s="914" t="str">
        <f t="shared" si="5"/>
        <v/>
      </c>
    </row>
    <row r="64" spans="1:12" ht="13.95" customHeight="1">
      <c r="A64" s="904" t="str">
        <f>未审报表!A64</f>
        <v>债权投资原值</v>
      </c>
      <c r="B64" s="444">
        <f>未审报表!B64</f>
        <v>58</v>
      </c>
      <c r="C64" s="405">
        <f>未审报表!D64</f>
        <v>0</v>
      </c>
      <c r="D64" s="916" t="str">
        <f t="shared" si="0"/>
        <v/>
      </c>
      <c r="E64" s="122">
        <f>未审报表!C64</f>
        <v>0</v>
      </c>
      <c r="F64" s="124" t="str">
        <f t="shared" si="1"/>
        <v/>
      </c>
      <c r="G64" s="122">
        <f t="shared" si="2"/>
        <v>0</v>
      </c>
      <c r="H64" s="433" t="str">
        <f t="shared" si="3"/>
        <v/>
      </c>
      <c r="I64" s="187" t="str">
        <f>IF(H64="","",IF(OR(ABS(H64)&gt;=30%,ABS(G64)&gt;=$E$127*5%,ABS(G64)&gt;=未审PL分析!$E$42*10%),"显著",IF(ABS(H64)&gt;=10%,"关注","")))</f>
        <v/>
      </c>
      <c r="J64" s="177"/>
      <c r="K64" s="915" t="str">
        <f t="shared" si="4"/>
        <v/>
      </c>
      <c r="L64" s="914" t="str">
        <f t="shared" si="5"/>
        <v/>
      </c>
    </row>
    <row r="65" spans="1:12" ht="13.95" customHeight="1">
      <c r="A65" s="904" t="str">
        <f>未审报表!A65</f>
        <v>债权投资减值准备</v>
      </c>
      <c r="B65" s="444">
        <f>未审报表!B65</f>
        <v>59</v>
      </c>
      <c r="C65" s="405">
        <f>未审报表!D65</f>
        <v>0</v>
      </c>
      <c r="D65" s="916" t="str">
        <f t="shared" si="0"/>
        <v/>
      </c>
      <c r="E65" s="122">
        <f>未审报表!C65</f>
        <v>0</v>
      </c>
      <c r="F65" s="124" t="str">
        <f t="shared" si="1"/>
        <v/>
      </c>
      <c r="G65" s="122">
        <f t="shared" si="2"/>
        <v>0</v>
      </c>
      <c r="H65" s="433" t="str">
        <f t="shared" si="3"/>
        <v/>
      </c>
      <c r="I65" s="187" t="str">
        <f>IF(H65="","",IF(OR(ABS(H65)&gt;=30%,ABS(G65)&gt;=$E$127*5%,ABS(G65)&gt;=未审PL分析!$E$42*10%),"显著",IF(ABS(H65)&gt;=10%,"关注","")))</f>
        <v/>
      </c>
      <c r="J65" s="177"/>
      <c r="K65" s="915" t="str">
        <f t="shared" si="4"/>
        <v/>
      </c>
      <c r="L65" s="914" t="str">
        <f t="shared" si="5"/>
        <v/>
      </c>
    </row>
    <row r="66" spans="1:12" ht="13.95" customHeight="1">
      <c r="A66" s="904" t="str">
        <f>未审报表!A66</f>
        <v>债权投资</v>
      </c>
      <c r="B66" s="444">
        <f>未审报表!B66</f>
        <v>60</v>
      </c>
      <c r="C66" s="405">
        <f>未审报表!D66</f>
        <v>0</v>
      </c>
      <c r="D66" s="916" t="str">
        <f t="shared" si="0"/>
        <v/>
      </c>
      <c r="E66" s="122">
        <f>未审报表!C66</f>
        <v>0</v>
      </c>
      <c r="F66" s="124" t="str">
        <f t="shared" si="1"/>
        <v/>
      </c>
      <c r="G66" s="122">
        <f t="shared" si="2"/>
        <v>0</v>
      </c>
      <c r="H66" s="433" t="str">
        <f t="shared" si="3"/>
        <v/>
      </c>
      <c r="I66" s="187" t="str">
        <f>IF(H66="","",IF(OR(ABS(H66)&gt;=30%,ABS(G66)&gt;=$E$127*5%,ABS(G66)&gt;=未审PL分析!$E$42*10%),"显著",IF(ABS(H66)&gt;=10%,"关注","")))</f>
        <v/>
      </c>
      <c r="J66" s="177"/>
      <c r="K66" s="915" t="str">
        <f t="shared" si="4"/>
        <v/>
      </c>
      <c r="L66" s="914" t="str">
        <f t="shared" si="5"/>
        <v/>
      </c>
    </row>
    <row r="67" spans="1:12" ht="13.95" customHeight="1">
      <c r="A67" s="904" t="str">
        <f>未审报表!A67</f>
        <v>其他债权投资原值</v>
      </c>
      <c r="B67" s="444">
        <f>未审报表!B67</f>
        <v>61</v>
      </c>
      <c r="C67" s="405">
        <f>未审报表!D67</f>
        <v>0</v>
      </c>
      <c r="D67" s="916" t="str">
        <f t="shared" si="0"/>
        <v/>
      </c>
      <c r="E67" s="122">
        <f>未审报表!C67</f>
        <v>0</v>
      </c>
      <c r="F67" s="124" t="str">
        <f t="shared" si="1"/>
        <v/>
      </c>
      <c r="G67" s="122">
        <f t="shared" si="2"/>
        <v>0</v>
      </c>
      <c r="H67" s="433" t="str">
        <f t="shared" si="3"/>
        <v/>
      </c>
      <c r="I67" s="187" t="str">
        <f>IF(H67="","",IF(OR(ABS(H67)&gt;=30%,ABS(G67)&gt;=$E$127*5%,ABS(G67)&gt;=未审PL分析!$E$42*10%),"显著",IF(ABS(H67)&gt;=10%,"关注","")))</f>
        <v/>
      </c>
      <c r="J67" s="177"/>
      <c r="K67" s="915" t="str">
        <f t="shared" si="4"/>
        <v/>
      </c>
      <c r="L67" s="914" t="str">
        <f t="shared" si="5"/>
        <v/>
      </c>
    </row>
    <row r="68" spans="1:12">
      <c r="A68" s="904" t="str">
        <f>未审报表!A68</f>
        <v>其他债权投资减值准备</v>
      </c>
      <c r="B68" s="444">
        <f>未审报表!B68</f>
        <v>62</v>
      </c>
      <c r="C68" s="405">
        <f>未审报表!D68</f>
        <v>0</v>
      </c>
      <c r="D68" s="916" t="str">
        <f t="shared" si="0"/>
        <v/>
      </c>
      <c r="E68" s="122">
        <f>未审报表!C68</f>
        <v>0</v>
      </c>
      <c r="F68" s="124" t="str">
        <f t="shared" si="1"/>
        <v/>
      </c>
      <c r="G68" s="122">
        <f t="shared" si="2"/>
        <v>0</v>
      </c>
      <c r="H68" s="433" t="str">
        <f t="shared" si="3"/>
        <v/>
      </c>
      <c r="I68" s="187" t="str">
        <f>IF(H68="","",IF(OR(ABS(H68)&gt;=30%,ABS(G68)&gt;=$E$127*5%,ABS(G68)&gt;=未审PL分析!$E$42*10%),"显著",IF(ABS(H68)&gt;=10%,"关注","")))</f>
        <v/>
      </c>
      <c r="J68" s="177"/>
      <c r="K68" s="915" t="str">
        <f t="shared" si="4"/>
        <v/>
      </c>
      <c r="L68" s="914" t="str">
        <f t="shared" si="5"/>
        <v/>
      </c>
    </row>
    <row r="69" spans="1:12">
      <c r="A69" s="904" t="str">
        <f>未审报表!A69</f>
        <v>其他债权投资</v>
      </c>
      <c r="B69" s="444">
        <f>未审报表!B69</f>
        <v>63</v>
      </c>
      <c r="C69" s="405">
        <f>未审报表!D69</f>
        <v>0</v>
      </c>
      <c r="D69" s="916" t="str">
        <f t="shared" si="0"/>
        <v/>
      </c>
      <c r="E69" s="122">
        <f>未审报表!C69</f>
        <v>0</v>
      </c>
      <c r="F69" s="124" t="str">
        <f t="shared" si="1"/>
        <v/>
      </c>
      <c r="G69" s="122">
        <f t="shared" si="2"/>
        <v>0</v>
      </c>
      <c r="H69" s="433" t="str">
        <f t="shared" si="3"/>
        <v/>
      </c>
      <c r="I69" s="187" t="str">
        <f>IF(H69="","",IF(OR(ABS(H69)&gt;=30%,ABS(G69)&gt;=$E$127*5%,ABS(G69)&gt;=未审PL分析!$E$42*10%),"显著",IF(ABS(H69)&gt;=10%,"关注","")))</f>
        <v/>
      </c>
      <c r="J69" s="177"/>
      <c r="K69" s="915" t="str">
        <f t="shared" si="4"/>
        <v/>
      </c>
      <c r="L69" s="914" t="str">
        <f t="shared" si="5"/>
        <v/>
      </c>
    </row>
    <row r="70" spans="1:12">
      <c r="A70" s="904" t="str">
        <f>未审报表!A70</f>
        <v>长期应收款原值</v>
      </c>
      <c r="B70" s="444">
        <f>未审报表!B70</f>
        <v>64</v>
      </c>
      <c r="C70" s="405">
        <f>未审报表!D70</f>
        <v>0</v>
      </c>
      <c r="D70" s="916" t="str">
        <f t="shared" si="0"/>
        <v/>
      </c>
      <c r="E70" s="122">
        <f>未审报表!C70</f>
        <v>0</v>
      </c>
      <c r="F70" s="124" t="str">
        <f t="shared" si="1"/>
        <v/>
      </c>
      <c r="G70" s="122">
        <f t="shared" si="2"/>
        <v>0</v>
      </c>
      <c r="H70" s="433" t="str">
        <f t="shared" si="3"/>
        <v/>
      </c>
      <c r="I70" s="187" t="str">
        <f>IF(H70="","",IF(OR(ABS(H70)&gt;=30%,ABS(G70)&gt;=$E$127*5%,ABS(G70)&gt;=未审PL分析!$E$42*10%),"显著",IF(ABS(H70)&gt;=10%,"关注","")))</f>
        <v/>
      </c>
      <c r="J70" s="177"/>
      <c r="K70" s="915" t="str">
        <f t="shared" si="4"/>
        <v/>
      </c>
      <c r="L70" s="914" t="str">
        <f t="shared" si="5"/>
        <v/>
      </c>
    </row>
    <row r="71" spans="1:12">
      <c r="A71" s="904" t="str">
        <f>未审报表!A71</f>
        <v>长期应收款坏账准备</v>
      </c>
      <c r="B71" s="444">
        <f>未审报表!B71</f>
        <v>65</v>
      </c>
      <c r="C71" s="405">
        <f>未审报表!D71</f>
        <v>0</v>
      </c>
      <c r="D71" s="916" t="str">
        <f t="shared" si="0"/>
        <v/>
      </c>
      <c r="E71" s="122">
        <f>未审报表!C71</f>
        <v>0</v>
      </c>
      <c r="F71" s="124" t="str">
        <f t="shared" si="1"/>
        <v/>
      </c>
      <c r="G71" s="122">
        <f t="shared" si="2"/>
        <v>0</v>
      </c>
      <c r="H71" s="433" t="str">
        <f t="shared" si="3"/>
        <v/>
      </c>
      <c r="I71" s="187" t="str">
        <f>IF(H71="","",IF(OR(ABS(H71)&gt;=30%,ABS(G71)&gt;=$E$127*5%,ABS(G71)&gt;=未审PL分析!$E$42*10%),"显著",IF(ABS(H71)&gt;=10%,"关注","")))</f>
        <v/>
      </c>
      <c r="J71" s="434"/>
      <c r="K71" s="915" t="str">
        <f t="shared" si="4"/>
        <v/>
      </c>
      <c r="L71" s="914" t="str">
        <f t="shared" si="5"/>
        <v/>
      </c>
    </row>
    <row r="72" spans="1:12">
      <c r="A72" s="904" t="str">
        <f>未审报表!A72</f>
        <v>长期应收款</v>
      </c>
      <c r="B72" s="444">
        <f>未审报表!B72</f>
        <v>66</v>
      </c>
      <c r="C72" s="405">
        <f>未审报表!D72</f>
        <v>0</v>
      </c>
      <c r="D72" s="916" t="str">
        <f t="shared" si="0"/>
        <v/>
      </c>
      <c r="E72" s="122">
        <f>未审报表!C72</f>
        <v>0</v>
      </c>
      <c r="F72" s="124" t="str">
        <f t="shared" si="1"/>
        <v/>
      </c>
      <c r="G72" s="122">
        <f t="shared" si="2"/>
        <v>0</v>
      </c>
      <c r="H72" s="433" t="str">
        <f t="shared" si="3"/>
        <v/>
      </c>
      <c r="I72" s="187" t="str">
        <f>IF(H72="","",IF(OR(ABS(H72)&gt;=30%,ABS(G72)&gt;=$E$127*5%,ABS(G72)&gt;=未审PL分析!$E$42*10%),"显著",IF(ABS(H72)&gt;=10%,"关注","")))</f>
        <v/>
      </c>
      <c r="J72" s="177"/>
      <c r="K72" s="915" t="str">
        <f t="shared" si="4"/>
        <v/>
      </c>
      <c r="L72" s="914" t="str">
        <f t="shared" si="5"/>
        <v/>
      </c>
    </row>
    <row r="73" spans="1:12">
      <c r="A73" s="904" t="str">
        <f>未审报表!A73</f>
        <v>设定受益计划净资产</v>
      </c>
      <c r="B73" s="444">
        <f>未审报表!B73</f>
        <v>67</v>
      </c>
      <c r="C73" s="405">
        <f>未审报表!D73</f>
        <v>0</v>
      </c>
      <c r="D73" s="916" t="str">
        <f t="shared" ref="D73:D136" si="6">IF(AND(C73&lt;&gt;0,$C$127&lt;&gt;0),C73/$C$127,"")</f>
        <v/>
      </c>
      <c r="E73" s="122">
        <f>未审报表!C73</f>
        <v>0</v>
      </c>
      <c r="F73" s="124" t="str">
        <f t="shared" ref="F73:F136" si="7">IF(AND(E73&lt;&gt;0,$E$127&lt;&gt;0),E73/$E$127,"")</f>
        <v/>
      </c>
      <c r="G73" s="122">
        <f t="shared" ref="G73:G136" si="8">E73-C73</f>
        <v>0</v>
      </c>
      <c r="H73" s="433" t="str">
        <f t="shared" ref="H73:H136" si="9">IF(AND(C73=0,E73=0),"",IF(C73=0,100%,IF(E73=0,-100%,G73/C73)))</f>
        <v/>
      </c>
      <c r="I73" s="187" t="str">
        <f>IF(H73="","",IF(OR(ABS(H73)&gt;=30%,ABS(G73)&gt;=$E$127*5%,ABS(G73)&gt;=未审PL分析!$E$42*10%),"显著",IF(ABS(H73)&gt;=10%,"关注","")))</f>
        <v/>
      </c>
      <c r="J73" s="177"/>
      <c r="K73" s="915" t="str">
        <f t="shared" ref="K73:K136" si="10">IF(AND(D73="",F73=""),"",IF(D73="",F73,IF(F73="",-D73,F73-D73)))</f>
        <v/>
      </c>
      <c r="L73" s="914" t="str">
        <f t="shared" ref="L73:L136" si="11">IF(K73="","",IF(ABS(K73)&gt;=30%,"显著",IF(ABS(K73)&gt;=10%,"关注","")))</f>
        <v/>
      </c>
    </row>
    <row r="74" spans="1:12">
      <c r="A74" s="904" t="str">
        <f>未审报表!A74</f>
        <v>长期股权投资原值</v>
      </c>
      <c r="B74" s="444">
        <f>未审报表!B74</f>
        <v>68</v>
      </c>
      <c r="C74" s="405">
        <f>未审报表!D74</f>
        <v>11290037.73</v>
      </c>
      <c r="D74" s="916">
        <f t="shared" si="6"/>
        <v>0.15785811472816169</v>
      </c>
      <c r="E74" s="122">
        <f>未审报表!C74</f>
        <v>23870037.73</v>
      </c>
      <c r="F74" s="124">
        <f t="shared" si="7"/>
        <v>0.21975859293418842</v>
      </c>
      <c r="G74" s="122">
        <f t="shared" si="8"/>
        <v>12580000</v>
      </c>
      <c r="H74" s="433">
        <f t="shared" si="9"/>
        <v>1.1142566837108347</v>
      </c>
      <c r="I74" s="187" t="str">
        <f>IF(H74="","",IF(OR(ABS(H74)&gt;=30%,ABS(G74)&gt;=$E$127*5%,ABS(G74)&gt;=未审PL分析!$E$42*10%),"显著",IF(ABS(H74)&gt;=10%,"关注","")))</f>
        <v>显著</v>
      </c>
      <c r="J74" s="177"/>
      <c r="K74" s="915">
        <f t="shared" si="10"/>
        <v>6.1900478206026732E-2</v>
      </c>
      <c r="L74" s="914" t="str">
        <f t="shared" si="11"/>
        <v/>
      </c>
    </row>
    <row r="75" spans="1:12">
      <c r="A75" s="904" t="str">
        <f>未审报表!A75</f>
        <v>长期股权投资减值准备</v>
      </c>
      <c r="B75" s="444">
        <f>未审报表!B75</f>
        <v>69</v>
      </c>
      <c r="C75" s="405">
        <f>未审报表!D75</f>
        <v>0</v>
      </c>
      <c r="D75" s="916" t="str">
        <f t="shared" si="6"/>
        <v/>
      </c>
      <c r="E75" s="122">
        <f>未审报表!C75</f>
        <v>0</v>
      </c>
      <c r="F75" s="124" t="str">
        <f t="shared" si="7"/>
        <v/>
      </c>
      <c r="G75" s="122">
        <f t="shared" si="8"/>
        <v>0</v>
      </c>
      <c r="H75" s="433" t="str">
        <f t="shared" si="9"/>
        <v/>
      </c>
      <c r="I75" s="187" t="str">
        <f>IF(H75="","",IF(OR(ABS(H75)&gt;=30%,ABS(G75)&gt;=$E$127*5%,ABS(G75)&gt;=未审PL分析!$E$42*10%),"显著",IF(ABS(H75)&gt;=10%,"关注","")))</f>
        <v/>
      </c>
      <c r="J75" s="177"/>
      <c r="K75" s="915" t="str">
        <f t="shared" si="10"/>
        <v/>
      </c>
      <c r="L75" s="914" t="str">
        <f t="shared" si="11"/>
        <v/>
      </c>
    </row>
    <row r="76" spans="1:12">
      <c r="A76" s="904" t="str">
        <f>未审报表!A76</f>
        <v>长期股权投资</v>
      </c>
      <c r="B76" s="444">
        <f>未审报表!B76</f>
        <v>70</v>
      </c>
      <c r="C76" s="405">
        <f>未审报表!D76</f>
        <v>11290037.73</v>
      </c>
      <c r="D76" s="916">
        <f t="shared" si="6"/>
        <v>0.15785811472816169</v>
      </c>
      <c r="E76" s="122">
        <f>未审报表!C76</f>
        <v>23870037.73</v>
      </c>
      <c r="F76" s="124">
        <f t="shared" si="7"/>
        <v>0.21975859293418842</v>
      </c>
      <c r="G76" s="122">
        <f t="shared" si="8"/>
        <v>12580000</v>
      </c>
      <c r="H76" s="433">
        <f t="shared" si="9"/>
        <v>1.1142566837108347</v>
      </c>
      <c r="I76" s="187" t="str">
        <f>IF(H76="","",IF(OR(ABS(H76)&gt;=30%,ABS(G76)&gt;=$E$127*5%,ABS(G76)&gt;=未审PL分析!$E$42*10%),"显著",IF(ABS(H76)&gt;=10%,"关注","")))</f>
        <v>显著</v>
      </c>
      <c r="J76" s="177"/>
      <c r="K76" s="915">
        <f t="shared" si="10"/>
        <v>6.1900478206026732E-2</v>
      </c>
      <c r="L76" s="914" t="str">
        <f t="shared" si="11"/>
        <v/>
      </c>
    </row>
    <row r="77" spans="1:12">
      <c r="A77" s="904" t="str">
        <f>未审报表!A77</f>
        <v>其他权益工具投资</v>
      </c>
      <c r="B77" s="444">
        <f>未审报表!B77</f>
        <v>71</v>
      </c>
      <c r="C77" s="405">
        <f>未审报表!D77</f>
        <v>0</v>
      </c>
      <c r="D77" s="916" t="str">
        <f t="shared" si="6"/>
        <v/>
      </c>
      <c r="E77" s="122">
        <f>未审报表!C77</f>
        <v>0</v>
      </c>
      <c r="F77" s="124" t="str">
        <f t="shared" si="7"/>
        <v/>
      </c>
      <c r="G77" s="122">
        <f t="shared" si="8"/>
        <v>0</v>
      </c>
      <c r="H77" s="433" t="str">
        <f t="shared" si="9"/>
        <v/>
      </c>
      <c r="I77" s="187" t="str">
        <f>IF(H77="","",IF(OR(ABS(H77)&gt;=30%,ABS(G77)&gt;=$E$127*5%,ABS(G77)&gt;=未审PL分析!$E$42*10%),"显著",IF(ABS(H77)&gt;=10%,"关注","")))</f>
        <v/>
      </c>
      <c r="J77" s="177"/>
      <c r="K77" s="915" t="str">
        <f t="shared" si="10"/>
        <v/>
      </c>
      <c r="L77" s="914" t="str">
        <f t="shared" si="11"/>
        <v/>
      </c>
    </row>
    <row r="78" spans="1:12">
      <c r="A78" s="904" t="str">
        <f>未审报表!A78</f>
        <v>其他非流动金融资产</v>
      </c>
      <c r="B78" s="444">
        <f>未审报表!B78</f>
        <v>72</v>
      </c>
      <c r="C78" s="405">
        <f>未审报表!D78</f>
        <v>0</v>
      </c>
      <c r="D78" s="916" t="str">
        <f t="shared" si="6"/>
        <v/>
      </c>
      <c r="E78" s="122">
        <f>未审报表!C78</f>
        <v>0</v>
      </c>
      <c r="F78" s="124" t="str">
        <f t="shared" si="7"/>
        <v/>
      </c>
      <c r="G78" s="122">
        <f t="shared" si="8"/>
        <v>0</v>
      </c>
      <c r="H78" s="433" t="str">
        <f t="shared" si="9"/>
        <v/>
      </c>
      <c r="I78" s="187" t="str">
        <f>IF(H78="","",IF(OR(ABS(H78)&gt;=30%,ABS(G78)&gt;=$E$127*5%,ABS(G78)&gt;=未审PL分析!$E$42*10%),"显著",IF(ABS(H78)&gt;=10%,"关注","")))</f>
        <v/>
      </c>
      <c r="J78" s="177"/>
      <c r="K78" s="915" t="str">
        <f t="shared" si="10"/>
        <v/>
      </c>
      <c r="L78" s="914" t="str">
        <f t="shared" si="11"/>
        <v/>
      </c>
    </row>
    <row r="79" spans="1:12">
      <c r="A79" s="904" t="str">
        <f>未审报表!A79</f>
        <v>投资性房地产原值</v>
      </c>
      <c r="B79" s="444">
        <f>未审报表!B79</f>
        <v>73</v>
      </c>
      <c r="C79" s="405">
        <f>未审报表!D79</f>
        <v>0</v>
      </c>
      <c r="D79" s="916" t="str">
        <f t="shared" si="6"/>
        <v/>
      </c>
      <c r="E79" s="122">
        <f>未审报表!C79</f>
        <v>0</v>
      </c>
      <c r="F79" s="124" t="str">
        <f t="shared" si="7"/>
        <v/>
      </c>
      <c r="G79" s="122">
        <f t="shared" si="8"/>
        <v>0</v>
      </c>
      <c r="H79" s="433" t="str">
        <f t="shared" si="9"/>
        <v/>
      </c>
      <c r="I79" s="187" t="str">
        <f>IF(H79="","",IF(OR(ABS(H79)&gt;=30%,ABS(G79)&gt;=$E$127*5%,ABS(G79)&gt;=未审PL分析!$E$42*10%),"显著",IF(ABS(H79)&gt;=10%,"关注","")))</f>
        <v/>
      </c>
      <c r="J79" s="177"/>
      <c r="K79" s="915" t="str">
        <f t="shared" si="10"/>
        <v/>
      </c>
      <c r="L79" s="914" t="str">
        <f t="shared" si="11"/>
        <v/>
      </c>
    </row>
    <row r="80" spans="1:12">
      <c r="A80" s="904" t="str">
        <f>未审报表!A80</f>
        <v>投资性房地产累计折旧</v>
      </c>
      <c r="B80" s="444">
        <f>未审报表!B80</f>
        <v>74</v>
      </c>
      <c r="C80" s="405">
        <f>未审报表!D80</f>
        <v>0</v>
      </c>
      <c r="D80" s="916" t="str">
        <f t="shared" si="6"/>
        <v/>
      </c>
      <c r="E80" s="122">
        <f>未审报表!C80</f>
        <v>0</v>
      </c>
      <c r="F80" s="124" t="str">
        <f t="shared" si="7"/>
        <v/>
      </c>
      <c r="G80" s="122">
        <f t="shared" si="8"/>
        <v>0</v>
      </c>
      <c r="H80" s="433" t="str">
        <f t="shared" si="9"/>
        <v/>
      </c>
      <c r="I80" s="187" t="str">
        <f>IF(H80="","",IF(OR(ABS(H80)&gt;=30%,ABS(G80)&gt;=$E$127*5%,ABS(G80)&gt;=未审PL分析!$E$42*10%),"显著",IF(ABS(H80)&gt;=10%,"关注","")))</f>
        <v/>
      </c>
      <c r="J80" s="177"/>
      <c r="K80" s="915" t="str">
        <f t="shared" si="10"/>
        <v/>
      </c>
      <c r="L80" s="914" t="str">
        <f t="shared" si="11"/>
        <v/>
      </c>
    </row>
    <row r="81" spans="1:12">
      <c r="A81" s="904" t="str">
        <f>未审报表!A81</f>
        <v>投资性房地产净值</v>
      </c>
      <c r="B81" s="444">
        <f>未审报表!B81</f>
        <v>75</v>
      </c>
      <c r="C81" s="405">
        <f>未审报表!D81</f>
        <v>0</v>
      </c>
      <c r="D81" s="916" t="str">
        <f t="shared" si="6"/>
        <v/>
      </c>
      <c r="E81" s="122">
        <f>未审报表!C81</f>
        <v>0</v>
      </c>
      <c r="F81" s="124" t="str">
        <f t="shared" si="7"/>
        <v/>
      </c>
      <c r="G81" s="122">
        <f t="shared" si="8"/>
        <v>0</v>
      </c>
      <c r="H81" s="433" t="str">
        <f t="shared" si="9"/>
        <v/>
      </c>
      <c r="I81" s="187" t="str">
        <f>IF(H81="","",IF(OR(ABS(H81)&gt;=30%,ABS(G81)&gt;=$E$127*5%,ABS(G81)&gt;=未审PL分析!$E$42*10%),"显著",IF(ABS(H81)&gt;=10%,"关注","")))</f>
        <v/>
      </c>
      <c r="J81" s="177"/>
      <c r="K81" s="915" t="str">
        <f t="shared" si="10"/>
        <v/>
      </c>
      <c r="L81" s="914" t="str">
        <f t="shared" si="11"/>
        <v/>
      </c>
    </row>
    <row r="82" spans="1:12">
      <c r="A82" s="904" t="str">
        <f>未审报表!A82</f>
        <v>投资性房地产减值准备</v>
      </c>
      <c r="B82" s="444">
        <f>未审报表!B82</f>
        <v>76</v>
      </c>
      <c r="C82" s="405">
        <f>未审报表!D82</f>
        <v>0</v>
      </c>
      <c r="D82" s="916" t="str">
        <f t="shared" si="6"/>
        <v/>
      </c>
      <c r="E82" s="122">
        <f>未审报表!C82</f>
        <v>0</v>
      </c>
      <c r="F82" s="124" t="str">
        <f t="shared" si="7"/>
        <v/>
      </c>
      <c r="G82" s="122">
        <f t="shared" si="8"/>
        <v>0</v>
      </c>
      <c r="H82" s="433" t="str">
        <f t="shared" si="9"/>
        <v/>
      </c>
      <c r="I82" s="187" t="str">
        <f>IF(H82="","",IF(OR(ABS(H82)&gt;=30%,ABS(G82)&gt;=$E$127*5%,ABS(G82)&gt;=未审PL分析!$E$42*10%),"显著",IF(ABS(H82)&gt;=10%,"关注","")))</f>
        <v/>
      </c>
      <c r="J82" s="177"/>
      <c r="K82" s="915" t="str">
        <f t="shared" si="10"/>
        <v/>
      </c>
      <c r="L82" s="914" t="str">
        <f t="shared" si="11"/>
        <v/>
      </c>
    </row>
    <row r="83" spans="1:12">
      <c r="A83" s="904" t="str">
        <f>未审报表!A83</f>
        <v>投资性房地产</v>
      </c>
      <c r="B83" s="444">
        <f>未审报表!B83</f>
        <v>77</v>
      </c>
      <c r="C83" s="405">
        <f>未审报表!D83</f>
        <v>0</v>
      </c>
      <c r="D83" s="916" t="str">
        <f t="shared" si="6"/>
        <v/>
      </c>
      <c r="E83" s="122">
        <f>未审报表!C83</f>
        <v>0</v>
      </c>
      <c r="F83" s="124" t="str">
        <f t="shared" si="7"/>
        <v/>
      </c>
      <c r="G83" s="122">
        <f t="shared" si="8"/>
        <v>0</v>
      </c>
      <c r="H83" s="433" t="str">
        <f t="shared" si="9"/>
        <v/>
      </c>
      <c r="I83" s="187" t="str">
        <f>IF(H83="","",IF(OR(ABS(H83)&gt;=30%,ABS(G83)&gt;=$E$127*5%,ABS(G83)&gt;=未审PL分析!$E$42*10%),"显著",IF(ABS(H83)&gt;=10%,"关注","")))</f>
        <v/>
      </c>
      <c r="J83" s="177"/>
      <c r="K83" s="915" t="str">
        <f t="shared" si="10"/>
        <v/>
      </c>
      <c r="L83" s="914" t="str">
        <f t="shared" si="11"/>
        <v/>
      </c>
    </row>
    <row r="84" spans="1:12">
      <c r="A84" s="904" t="str">
        <f>未审报表!A84</f>
        <v>固定资产原值</v>
      </c>
      <c r="B84" s="444">
        <f>未审报表!B84</f>
        <v>78</v>
      </c>
      <c r="C84" s="405">
        <f>未审报表!D84</f>
        <v>0</v>
      </c>
      <c r="D84" s="916" t="str">
        <f t="shared" si="6"/>
        <v/>
      </c>
      <c r="E84" s="122">
        <f>未审报表!C84</f>
        <v>114529.92</v>
      </c>
      <c r="F84" s="124">
        <f t="shared" si="7"/>
        <v>1.0544153449926351E-3</v>
      </c>
      <c r="G84" s="122">
        <f t="shared" si="8"/>
        <v>114529.92</v>
      </c>
      <c r="H84" s="433">
        <f t="shared" si="9"/>
        <v>1</v>
      </c>
      <c r="I84" s="187" t="str">
        <f>IF(H84="","",IF(OR(ABS(H84)&gt;=30%,ABS(G84)&gt;=$E$127*5%,ABS(G84)&gt;=未审PL分析!$E$42*10%),"显著",IF(ABS(H84)&gt;=10%,"关注","")))</f>
        <v>显著</v>
      </c>
      <c r="J84" s="177"/>
      <c r="K84" s="915">
        <f t="shared" si="10"/>
        <v>1.0544153449926351E-3</v>
      </c>
      <c r="L84" s="914" t="str">
        <f t="shared" si="11"/>
        <v/>
      </c>
    </row>
    <row r="85" spans="1:12">
      <c r="A85" s="904" t="str">
        <f>未审报表!A85</f>
        <v>固定资产累计折旧</v>
      </c>
      <c r="B85" s="444">
        <f>未审报表!B85</f>
        <v>79</v>
      </c>
      <c r="C85" s="405">
        <f>未审报表!D85</f>
        <v>0</v>
      </c>
      <c r="D85" s="916" t="str">
        <f t="shared" si="6"/>
        <v/>
      </c>
      <c r="E85" s="122">
        <f>未审报表!C85</f>
        <v>15907.1</v>
      </c>
      <c r="F85" s="124">
        <f t="shared" si="7"/>
        <v>1.4644811010373836E-4</v>
      </c>
      <c r="G85" s="122">
        <f t="shared" si="8"/>
        <v>15907.1</v>
      </c>
      <c r="H85" s="433">
        <f t="shared" si="9"/>
        <v>1</v>
      </c>
      <c r="I85" s="187" t="str">
        <f>IF(H85="","",IF(OR(ABS(H85)&gt;=30%,ABS(G85)&gt;=$E$127*5%,ABS(G85)&gt;=未审PL分析!$E$42*10%),"显著",IF(ABS(H85)&gt;=10%,"关注","")))</f>
        <v>显著</v>
      </c>
      <c r="J85" s="177"/>
      <c r="K85" s="915">
        <f t="shared" si="10"/>
        <v>1.4644811010373836E-4</v>
      </c>
      <c r="L85" s="914" t="str">
        <f t="shared" si="11"/>
        <v/>
      </c>
    </row>
    <row r="86" spans="1:12">
      <c r="A86" s="904" t="str">
        <f>未审报表!A86</f>
        <v>固定资产净值</v>
      </c>
      <c r="B86" s="444">
        <f>未审报表!B86</f>
        <v>80</v>
      </c>
      <c r="C86" s="405">
        <f>未审报表!D86</f>
        <v>0</v>
      </c>
      <c r="D86" s="916" t="str">
        <f t="shared" si="6"/>
        <v/>
      </c>
      <c r="E86" s="122">
        <f>未审报表!C86</f>
        <v>98622.819999999992</v>
      </c>
      <c r="F86" s="124">
        <f t="shared" si="7"/>
        <v>9.0796723488889661E-4</v>
      </c>
      <c r="G86" s="122">
        <f t="shared" si="8"/>
        <v>98622.819999999992</v>
      </c>
      <c r="H86" s="433">
        <f t="shared" si="9"/>
        <v>1</v>
      </c>
      <c r="I86" s="187" t="str">
        <f>IF(H86="","",IF(OR(ABS(H86)&gt;=30%,ABS(G86)&gt;=$E$127*5%,ABS(G86)&gt;=未审PL分析!$E$42*10%),"显著",IF(ABS(H86)&gt;=10%,"关注","")))</f>
        <v>显著</v>
      </c>
      <c r="J86" s="177"/>
      <c r="K86" s="915">
        <f t="shared" si="10"/>
        <v>9.0796723488889661E-4</v>
      </c>
      <c r="L86" s="914" t="str">
        <f t="shared" si="11"/>
        <v/>
      </c>
    </row>
    <row r="87" spans="1:12">
      <c r="A87" s="904" t="str">
        <f>未审报表!A87</f>
        <v>固定资产减值准备</v>
      </c>
      <c r="B87" s="444">
        <f>未审报表!B87</f>
        <v>81</v>
      </c>
      <c r="C87" s="405">
        <f>未审报表!D87</f>
        <v>0</v>
      </c>
      <c r="D87" s="916" t="str">
        <f t="shared" si="6"/>
        <v/>
      </c>
      <c r="E87" s="122">
        <f>未审报表!C87</f>
        <v>0</v>
      </c>
      <c r="F87" s="124" t="str">
        <f t="shared" si="7"/>
        <v/>
      </c>
      <c r="G87" s="122">
        <f t="shared" si="8"/>
        <v>0</v>
      </c>
      <c r="H87" s="433" t="str">
        <f t="shared" si="9"/>
        <v/>
      </c>
      <c r="I87" s="187" t="str">
        <f>IF(H87="","",IF(OR(ABS(H87)&gt;=30%,ABS(G87)&gt;=$E$127*5%,ABS(G87)&gt;=未审PL分析!$E$42*10%),"显著",IF(ABS(H87)&gt;=10%,"关注","")))</f>
        <v/>
      </c>
      <c r="J87" s="177"/>
      <c r="K87" s="915" t="str">
        <f t="shared" si="10"/>
        <v/>
      </c>
      <c r="L87" s="914" t="str">
        <f t="shared" si="11"/>
        <v/>
      </c>
    </row>
    <row r="88" spans="1:12">
      <c r="A88" s="904" t="str">
        <f>未审报表!A88</f>
        <v>固定资产</v>
      </c>
      <c r="B88" s="444">
        <f>未审报表!B88</f>
        <v>82</v>
      </c>
      <c r="C88" s="405">
        <f>未审报表!D88</f>
        <v>0</v>
      </c>
      <c r="D88" s="916" t="str">
        <f t="shared" si="6"/>
        <v/>
      </c>
      <c r="E88" s="122">
        <f>未审报表!C88</f>
        <v>98622.819999999992</v>
      </c>
      <c r="F88" s="124">
        <f t="shared" si="7"/>
        <v>9.0796723488889661E-4</v>
      </c>
      <c r="G88" s="122">
        <f t="shared" si="8"/>
        <v>98622.819999999992</v>
      </c>
      <c r="H88" s="433">
        <f t="shared" si="9"/>
        <v>1</v>
      </c>
      <c r="I88" s="187" t="str">
        <f>IF(H88="","",IF(OR(ABS(H88)&gt;=30%,ABS(G88)&gt;=$E$127*5%,ABS(G88)&gt;=未审PL分析!$E$42*10%),"显著",IF(ABS(H88)&gt;=10%,"关注","")))</f>
        <v>显著</v>
      </c>
      <c r="J88" s="177"/>
      <c r="K88" s="915">
        <f t="shared" si="10"/>
        <v>9.0796723488889661E-4</v>
      </c>
      <c r="L88" s="914" t="str">
        <f t="shared" si="11"/>
        <v/>
      </c>
    </row>
    <row r="89" spans="1:12">
      <c r="A89" s="904" t="str">
        <f>未审报表!A89</f>
        <v>固定资产清理</v>
      </c>
      <c r="B89" s="444">
        <f>未审报表!B89</f>
        <v>83</v>
      </c>
      <c r="C89" s="405">
        <f>未审报表!D89</f>
        <v>0</v>
      </c>
      <c r="D89" s="916" t="str">
        <f t="shared" si="6"/>
        <v/>
      </c>
      <c r="E89" s="122">
        <f>未审报表!C89</f>
        <v>0</v>
      </c>
      <c r="F89" s="124" t="str">
        <f t="shared" si="7"/>
        <v/>
      </c>
      <c r="G89" s="122">
        <f t="shared" si="8"/>
        <v>0</v>
      </c>
      <c r="H89" s="433" t="str">
        <f t="shared" si="9"/>
        <v/>
      </c>
      <c r="I89" s="187" t="str">
        <f>IF(H89="","",IF(OR(ABS(H89)&gt;=30%,ABS(G89)&gt;=$E$127*5%,ABS(G89)&gt;=未审PL分析!$E$42*10%),"显著",IF(ABS(H89)&gt;=10%,"关注","")))</f>
        <v/>
      </c>
      <c r="J89" s="177"/>
      <c r="K89" s="915" t="str">
        <f t="shared" si="10"/>
        <v/>
      </c>
      <c r="L89" s="914" t="str">
        <f t="shared" si="11"/>
        <v/>
      </c>
    </row>
    <row r="90" spans="1:12">
      <c r="A90" s="904" t="str">
        <f>未审报表!A90</f>
        <v>在建工程原值</v>
      </c>
      <c r="B90" s="444">
        <f>未审报表!B90</f>
        <v>84</v>
      </c>
      <c r="C90" s="405">
        <f>未审报表!D90</f>
        <v>0</v>
      </c>
      <c r="D90" s="916" t="str">
        <f t="shared" si="6"/>
        <v/>
      </c>
      <c r="E90" s="122">
        <f>未审报表!C90</f>
        <v>0</v>
      </c>
      <c r="F90" s="124" t="str">
        <f t="shared" si="7"/>
        <v/>
      </c>
      <c r="G90" s="122">
        <f t="shared" si="8"/>
        <v>0</v>
      </c>
      <c r="H90" s="433" t="str">
        <f t="shared" si="9"/>
        <v/>
      </c>
      <c r="I90" s="187" t="str">
        <f>IF(H90="","",IF(OR(ABS(H90)&gt;=30%,ABS(G90)&gt;=$E$127*5%,ABS(G90)&gt;=未审PL分析!$E$42*10%),"显著",IF(ABS(H90)&gt;=10%,"关注","")))</f>
        <v/>
      </c>
      <c r="J90" s="177"/>
      <c r="K90" s="915" t="str">
        <f t="shared" si="10"/>
        <v/>
      </c>
      <c r="L90" s="914" t="str">
        <f t="shared" si="11"/>
        <v/>
      </c>
    </row>
    <row r="91" spans="1:12">
      <c r="A91" s="904" t="str">
        <f>未审报表!A91</f>
        <v>在建工程减值准备</v>
      </c>
      <c r="B91" s="444">
        <f>未审报表!B91</f>
        <v>85</v>
      </c>
      <c r="C91" s="405">
        <f>未审报表!D91</f>
        <v>0</v>
      </c>
      <c r="D91" s="916" t="str">
        <f t="shared" si="6"/>
        <v/>
      </c>
      <c r="E91" s="122">
        <f>未审报表!C91</f>
        <v>0</v>
      </c>
      <c r="F91" s="124" t="str">
        <f t="shared" si="7"/>
        <v/>
      </c>
      <c r="G91" s="122">
        <f t="shared" si="8"/>
        <v>0</v>
      </c>
      <c r="H91" s="433" t="str">
        <f t="shared" si="9"/>
        <v/>
      </c>
      <c r="I91" s="187" t="str">
        <f>IF(H91="","",IF(OR(ABS(H91)&gt;=30%,ABS(G91)&gt;=$E$127*5%,ABS(G91)&gt;=未审PL分析!$E$42*10%),"显著",IF(ABS(H91)&gt;=10%,"关注","")))</f>
        <v/>
      </c>
      <c r="J91" s="177"/>
      <c r="K91" s="915" t="str">
        <f t="shared" si="10"/>
        <v/>
      </c>
      <c r="L91" s="914" t="str">
        <f t="shared" si="11"/>
        <v/>
      </c>
    </row>
    <row r="92" spans="1:12">
      <c r="A92" s="904" t="str">
        <f>未审报表!A92</f>
        <v>在建工程</v>
      </c>
      <c r="B92" s="444">
        <f>未审报表!B92</f>
        <v>86</v>
      </c>
      <c r="C92" s="405">
        <f>未审报表!D92</f>
        <v>0</v>
      </c>
      <c r="D92" s="916" t="str">
        <f t="shared" si="6"/>
        <v/>
      </c>
      <c r="E92" s="122">
        <f>未审报表!C92</f>
        <v>0</v>
      </c>
      <c r="F92" s="124" t="str">
        <f t="shared" si="7"/>
        <v/>
      </c>
      <c r="G92" s="122">
        <f t="shared" si="8"/>
        <v>0</v>
      </c>
      <c r="H92" s="433" t="str">
        <f t="shared" si="9"/>
        <v/>
      </c>
      <c r="I92" s="187" t="str">
        <f>IF(H92="","",IF(OR(ABS(H92)&gt;=30%,ABS(G92)&gt;=$E$127*5%,ABS(G92)&gt;=未审PL分析!$E$42*10%),"显著",IF(ABS(H92)&gt;=10%,"关注","")))</f>
        <v/>
      </c>
      <c r="J92" s="177"/>
      <c r="K92" s="915" t="str">
        <f t="shared" si="10"/>
        <v/>
      </c>
      <c r="L92" s="914" t="str">
        <f t="shared" si="11"/>
        <v/>
      </c>
    </row>
    <row r="93" spans="1:12">
      <c r="A93" s="904" t="str">
        <f>未审报表!A93</f>
        <v>工程物资原值</v>
      </c>
      <c r="B93" s="444">
        <f>未审报表!B93</f>
        <v>87</v>
      </c>
      <c r="C93" s="405">
        <f>未审报表!D93</f>
        <v>0</v>
      </c>
      <c r="D93" s="916" t="str">
        <f t="shared" si="6"/>
        <v/>
      </c>
      <c r="E93" s="122">
        <f>未审报表!C93</f>
        <v>0</v>
      </c>
      <c r="F93" s="124" t="str">
        <f t="shared" si="7"/>
        <v/>
      </c>
      <c r="G93" s="122">
        <f t="shared" si="8"/>
        <v>0</v>
      </c>
      <c r="H93" s="433" t="str">
        <f t="shared" si="9"/>
        <v/>
      </c>
      <c r="I93" s="187" t="str">
        <f>IF(H93="","",IF(OR(ABS(H93)&gt;=30%,ABS(G93)&gt;=$E$127*5%,ABS(G93)&gt;=未审PL分析!$E$42*10%),"显著",IF(ABS(H93)&gt;=10%,"关注","")))</f>
        <v/>
      </c>
      <c r="J93" s="177"/>
      <c r="K93" s="915" t="str">
        <f t="shared" si="10"/>
        <v/>
      </c>
      <c r="L93" s="914" t="str">
        <f t="shared" si="11"/>
        <v/>
      </c>
    </row>
    <row r="94" spans="1:12">
      <c r="A94" s="904" t="str">
        <f>未审报表!A94</f>
        <v>工程物资减值准备</v>
      </c>
      <c r="B94" s="444">
        <f>未审报表!B94</f>
        <v>88</v>
      </c>
      <c r="C94" s="405">
        <f>未审报表!D94</f>
        <v>0</v>
      </c>
      <c r="D94" s="916" t="str">
        <f t="shared" si="6"/>
        <v/>
      </c>
      <c r="E94" s="122">
        <f>未审报表!C94</f>
        <v>0</v>
      </c>
      <c r="F94" s="124" t="str">
        <f t="shared" si="7"/>
        <v/>
      </c>
      <c r="G94" s="122">
        <f t="shared" si="8"/>
        <v>0</v>
      </c>
      <c r="H94" s="433" t="str">
        <f t="shared" si="9"/>
        <v/>
      </c>
      <c r="I94" s="187" t="str">
        <f>IF(H94="","",IF(OR(ABS(H94)&gt;=30%,ABS(G94)&gt;=$E$127*5%,ABS(G94)&gt;=未审PL分析!$E$42*10%),"显著",IF(ABS(H94)&gt;=10%,"关注","")))</f>
        <v/>
      </c>
      <c r="J94" s="177"/>
      <c r="K94" s="915" t="str">
        <f t="shared" si="10"/>
        <v/>
      </c>
      <c r="L94" s="914" t="str">
        <f t="shared" si="11"/>
        <v/>
      </c>
    </row>
    <row r="95" spans="1:12">
      <c r="A95" s="904" t="str">
        <f>未审报表!A95</f>
        <v>工程物资</v>
      </c>
      <c r="B95" s="444">
        <f>未审报表!B95</f>
        <v>89</v>
      </c>
      <c r="C95" s="405">
        <f>未审报表!D95</f>
        <v>0</v>
      </c>
      <c r="D95" s="916" t="str">
        <f t="shared" si="6"/>
        <v/>
      </c>
      <c r="E95" s="122">
        <f>未审报表!C95</f>
        <v>0</v>
      </c>
      <c r="F95" s="124" t="str">
        <f t="shared" si="7"/>
        <v/>
      </c>
      <c r="G95" s="122">
        <f t="shared" si="8"/>
        <v>0</v>
      </c>
      <c r="H95" s="433" t="str">
        <f t="shared" si="9"/>
        <v/>
      </c>
      <c r="I95" s="187" t="str">
        <f>IF(H95="","",IF(OR(ABS(H95)&gt;=30%,ABS(G95)&gt;=$E$127*5%,ABS(G95)&gt;=未审PL分析!$E$42*10%),"显著",IF(ABS(H95)&gt;=10%,"关注","")))</f>
        <v/>
      </c>
      <c r="J95" s="177"/>
      <c r="K95" s="915" t="str">
        <f t="shared" si="10"/>
        <v/>
      </c>
      <c r="L95" s="914" t="str">
        <f t="shared" si="11"/>
        <v/>
      </c>
    </row>
    <row r="96" spans="1:12">
      <c r="A96" s="904" t="str">
        <f>未审报表!A96</f>
        <v>生产性生物资产原值</v>
      </c>
      <c r="B96" s="444">
        <f>未审报表!B96</f>
        <v>90</v>
      </c>
      <c r="C96" s="405">
        <f>未审报表!D96</f>
        <v>0</v>
      </c>
      <c r="D96" s="916" t="str">
        <f t="shared" si="6"/>
        <v/>
      </c>
      <c r="E96" s="122">
        <f>未审报表!C96</f>
        <v>0</v>
      </c>
      <c r="F96" s="124" t="str">
        <f t="shared" si="7"/>
        <v/>
      </c>
      <c r="G96" s="122">
        <f t="shared" si="8"/>
        <v>0</v>
      </c>
      <c r="H96" s="433" t="str">
        <f t="shared" si="9"/>
        <v/>
      </c>
      <c r="I96" s="187" t="str">
        <f>IF(H96="","",IF(OR(ABS(H96)&gt;=30%,ABS(G96)&gt;=$E$127*5%,ABS(G96)&gt;=未审PL分析!$E$42*10%),"显著",IF(ABS(H96)&gt;=10%,"关注","")))</f>
        <v/>
      </c>
      <c r="J96" s="177"/>
      <c r="K96" s="915" t="str">
        <f t="shared" si="10"/>
        <v/>
      </c>
      <c r="L96" s="914" t="str">
        <f t="shared" si="11"/>
        <v/>
      </c>
    </row>
    <row r="97" spans="1:12">
      <c r="A97" s="904" t="str">
        <f>未审报表!A97</f>
        <v>生产性生物资产累计折旧</v>
      </c>
      <c r="B97" s="444">
        <f>未审报表!B97</f>
        <v>91</v>
      </c>
      <c r="C97" s="405">
        <f>未审报表!D97</f>
        <v>0</v>
      </c>
      <c r="D97" s="916" t="str">
        <f t="shared" si="6"/>
        <v/>
      </c>
      <c r="E97" s="122">
        <f>未审报表!C97</f>
        <v>0</v>
      </c>
      <c r="F97" s="124" t="str">
        <f t="shared" si="7"/>
        <v/>
      </c>
      <c r="G97" s="122">
        <f t="shared" si="8"/>
        <v>0</v>
      </c>
      <c r="H97" s="433" t="str">
        <f t="shared" si="9"/>
        <v/>
      </c>
      <c r="I97" s="187" t="str">
        <f>IF(H97="","",IF(OR(ABS(H97)&gt;=30%,ABS(G97)&gt;=$E$127*5%,ABS(G97)&gt;=未审PL分析!$E$42*10%),"显著",IF(ABS(H97)&gt;=10%,"关注","")))</f>
        <v/>
      </c>
      <c r="J97" s="177"/>
      <c r="K97" s="915" t="str">
        <f t="shared" si="10"/>
        <v/>
      </c>
      <c r="L97" s="914" t="str">
        <f t="shared" si="11"/>
        <v/>
      </c>
    </row>
    <row r="98" spans="1:12">
      <c r="A98" s="904" t="str">
        <f>未审报表!A98</f>
        <v>生产性生物资产净值</v>
      </c>
      <c r="B98" s="444">
        <f>未审报表!B98</f>
        <v>92</v>
      </c>
      <c r="C98" s="405">
        <f>未审报表!D98</f>
        <v>0</v>
      </c>
      <c r="D98" s="916" t="str">
        <f t="shared" si="6"/>
        <v/>
      </c>
      <c r="E98" s="122">
        <f>未审报表!C98</f>
        <v>0</v>
      </c>
      <c r="F98" s="124" t="str">
        <f t="shared" si="7"/>
        <v/>
      </c>
      <c r="G98" s="122">
        <f t="shared" si="8"/>
        <v>0</v>
      </c>
      <c r="H98" s="433" t="str">
        <f t="shared" si="9"/>
        <v/>
      </c>
      <c r="I98" s="187" t="str">
        <f>IF(H98="","",IF(OR(ABS(H98)&gt;=30%,ABS(G98)&gt;=$E$127*5%,ABS(G98)&gt;=未审PL分析!$E$42*10%),"显著",IF(ABS(H98)&gt;=10%,"关注","")))</f>
        <v/>
      </c>
      <c r="J98" s="177"/>
      <c r="K98" s="915" t="str">
        <f t="shared" si="10"/>
        <v/>
      </c>
      <c r="L98" s="914" t="str">
        <f t="shared" si="11"/>
        <v/>
      </c>
    </row>
    <row r="99" spans="1:12">
      <c r="A99" s="904" t="str">
        <f>未审报表!A99</f>
        <v>生产性生物资产减值准备</v>
      </c>
      <c r="B99" s="444">
        <f>未审报表!B99</f>
        <v>93</v>
      </c>
      <c r="C99" s="405">
        <f>未审报表!D99</f>
        <v>0</v>
      </c>
      <c r="D99" s="916" t="str">
        <f t="shared" si="6"/>
        <v/>
      </c>
      <c r="E99" s="122">
        <f>未审报表!C99</f>
        <v>0</v>
      </c>
      <c r="F99" s="124" t="str">
        <f t="shared" si="7"/>
        <v/>
      </c>
      <c r="G99" s="122">
        <f t="shared" si="8"/>
        <v>0</v>
      </c>
      <c r="H99" s="433" t="str">
        <f t="shared" si="9"/>
        <v/>
      </c>
      <c r="I99" s="187" t="str">
        <f>IF(H99="","",IF(OR(ABS(H99)&gt;=30%,ABS(G99)&gt;=$E$127*5%,ABS(G99)&gt;=未审PL分析!$E$42*10%),"显著",IF(ABS(H99)&gt;=10%,"关注","")))</f>
        <v/>
      </c>
      <c r="J99" s="177"/>
      <c r="K99" s="915" t="str">
        <f t="shared" si="10"/>
        <v/>
      </c>
      <c r="L99" s="914" t="str">
        <f t="shared" si="11"/>
        <v/>
      </c>
    </row>
    <row r="100" spans="1:12">
      <c r="A100" s="904" t="str">
        <f>未审报表!A100</f>
        <v>生产性生物资产</v>
      </c>
      <c r="B100" s="444">
        <f>未审报表!B100</f>
        <v>94</v>
      </c>
      <c r="C100" s="405">
        <f>未审报表!D100</f>
        <v>0</v>
      </c>
      <c r="D100" s="916" t="str">
        <f t="shared" si="6"/>
        <v/>
      </c>
      <c r="E100" s="122">
        <f>未审报表!C100</f>
        <v>0</v>
      </c>
      <c r="F100" s="124" t="str">
        <f t="shared" si="7"/>
        <v/>
      </c>
      <c r="G100" s="122">
        <f t="shared" si="8"/>
        <v>0</v>
      </c>
      <c r="H100" s="433" t="str">
        <f t="shared" si="9"/>
        <v/>
      </c>
      <c r="I100" s="187" t="str">
        <f>IF(H100="","",IF(OR(ABS(H100)&gt;=30%,ABS(G100)&gt;=$E$127*5%,ABS(G100)&gt;=未审PL分析!$E$42*10%),"显著",IF(ABS(H100)&gt;=10%,"关注","")))</f>
        <v/>
      </c>
      <c r="J100" s="177"/>
      <c r="K100" s="915" t="str">
        <f t="shared" si="10"/>
        <v/>
      </c>
      <c r="L100" s="914" t="str">
        <f t="shared" si="11"/>
        <v/>
      </c>
    </row>
    <row r="101" spans="1:12">
      <c r="A101" s="904" t="str">
        <f>未审报表!A101</f>
        <v>油气资产原值</v>
      </c>
      <c r="B101" s="444">
        <f>未审报表!B101</f>
        <v>95</v>
      </c>
      <c r="C101" s="405">
        <f>未审报表!D101</f>
        <v>0</v>
      </c>
      <c r="D101" s="916" t="str">
        <f t="shared" si="6"/>
        <v/>
      </c>
      <c r="E101" s="122">
        <f>未审报表!C101</f>
        <v>0</v>
      </c>
      <c r="F101" s="124" t="str">
        <f t="shared" si="7"/>
        <v/>
      </c>
      <c r="G101" s="122">
        <f t="shared" si="8"/>
        <v>0</v>
      </c>
      <c r="H101" s="433" t="str">
        <f t="shared" si="9"/>
        <v/>
      </c>
      <c r="I101" s="187" t="str">
        <f>IF(H101="","",IF(OR(ABS(H101)&gt;=30%,ABS(G101)&gt;=$E$127*5%,ABS(G101)&gt;=未审PL分析!$E$42*10%),"显著",IF(ABS(H101)&gt;=10%,"关注","")))</f>
        <v/>
      </c>
      <c r="J101" s="177"/>
      <c r="K101" s="915" t="str">
        <f t="shared" si="10"/>
        <v/>
      </c>
      <c r="L101" s="914" t="str">
        <f t="shared" si="11"/>
        <v/>
      </c>
    </row>
    <row r="102" spans="1:12">
      <c r="A102" s="904" t="str">
        <f>未审报表!A102</f>
        <v>油气资产累计折旧</v>
      </c>
      <c r="B102" s="444">
        <f>未审报表!B102</f>
        <v>96</v>
      </c>
      <c r="C102" s="405">
        <f>未审报表!D102</f>
        <v>0</v>
      </c>
      <c r="D102" s="916" t="str">
        <f t="shared" si="6"/>
        <v/>
      </c>
      <c r="E102" s="122">
        <f>未审报表!C102</f>
        <v>0</v>
      </c>
      <c r="F102" s="124" t="str">
        <f t="shared" si="7"/>
        <v/>
      </c>
      <c r="G102" s="122">
        <f t="shared" si="8"/>
        <v>0</v>
      </c>
      <c r="H102" s="433" t="str">
        <f t="shared" si="9"/>
        <v/>
      </c>
      <c r="I102" s="187" t="str">
        <f>IF(H102="","",IF(OR(ABS(H102)&gt;=30%,ABS(G102)&gt;=$E$127*5%,ABS(G102)&gt;=未审PL分析!$E$42*10%),"显著",IF(ABS(H102)&gt;=10%,"关注","")))</f>
        <v/>
      </c>
      <c r="J102" s="177"/>
      <c r="K102" s="915" t="str">
        <f t="shared" si="10"/>
        <v/>
      </c>
      <c r="L102" s="914" t="str">
        <f t="shared" si="11"/>
        <v/>
      </c>
    </row>
    <row r="103" spans="1:12">
      <c r="A103" s="904" t="str">
        <f>未审报表!A103</f>
        <v>油气资产净值</v>
      </c>
      <c r="B103" s="444">
        <f>未审报表!B103</f>
        <v>97</v>
      </c>
      <c r="C103" s="405">
        <f>未审报表!D103</f>
        <v>0</v>
      </c>
      <c r="D103" s="916" t="str">
        <f t="shared" si="6"/>
        <v/>
      </c>
      <c r="E103" s="122">
        <f>未审报表!C103</f>
        <v>0</v>
      </c>
      <c r="F103" s="124" t="str">
        <f t="shared" si="7"/>
        <v/>
      </c>
      <c r="G103" s="122">
        <f t="shared" si="8"/>
        <v>0</v>
      </c>
      <c r="H103" s="433" t="str">
        <f t="shared" si="9"/>
        <v/>
      </c>
      <c r="I103" s="187" t="str">
        <f>IF(H103="","",IF(OR(ABS(H103)&gt;=30%,ABS(G103)&gt;=$E$127*5%,ABS(G103)&gt;=未审PL分析!$E$42*10%),"显著",IF(ABS(H103)&gt;=10%,"关注","")))</f>
        <v/>
      </c>
      <c r="J103" s="177"/>
      <c r="K103" s="915" t="str">
        <f t="shared" si="10"/>
        <v/>
      </c>
      <c r="L103" s="914" t="str">
        <f t="shared" si="11"/>
        <v/>
      </c>
    </row>
    <row r="104" spans="1:12">
      <c r="A104" s="904" t="str">
        <f>未审报表!A104</f>
        <v>油气资产减值准备</v>
      </c>
      <c r="B104" s="444">
        <f>未审报表!B104</f>
        <v>98</v>
      </c>
      <c r="C104" s="405">
        <f>未审报表!D104</f>
        <v>0</v>
      </c>
      <c r="D104" s="916" t="str">
        <f t="shared" si="6"/>
        <v/>
      </c>
      <c r="E104" s="122">
        <f>未审报表!C104</f>
        <v>0</v>
      </c>
      <c r="F104" s="124" t="str">
        <f t="shared" si="7"/>
        <v/>
      </c>
      <c r="G104" s="122">
        <f t="shared" si="8"/>
        <v>0</v>
      </c>
      <c r="H104" s="433" t="str">
        <f t="shared" si="9"/>
        <v/>
      </c>
      <c r="I104" s="187" t="str">
        <f>IF(H104="","",IF(OR(ABS(H104)&gt;=30%,ABS(G104)&gt;=$E$127*5%,ABS(G104)&gt;=未审PL分析!$E$42*10%),"显著",IF(ABS(H104)&gt;=10%,"关注","")))</f>
        <v/>
      </c>
      <c r="J104" s="177"/>
      <c r="K104" s="915" t="str">
        <f t="shared" si="10"/>
        <v/>
      </c>
      <c r="L104" s="914" t="str">
        <f t="shared" si="11"/>
        <v/>
      </c>
    </row>
    <row r="105" spans="1:12">
      <c r="A105" s="904" t="str">
        <f>未审报表!A105</f>
        <v>油气资产</v>
      </c>
      <c r="B105" s="444">
        <f>未审报表!B105</f>
        <v>99</v>
      </c>
      <c r="C105" s="405">
        <f>未审报表!D105</f>
        <v>0</v>
      </c>
      <c r="D105" s="916" t="str">
        <f t="shared" si="6"/>
        <v/>
      </c>
      <c r="E105" s="122">
        <f>未审报表!C105</f>
        <v>0</v>
      </c>
      <c r="F105" s="124" t="str">
        <f t="shared" si="7"/>
        <v/>
      </c>
      <c r="G105" s="122">
        <f t="shared" si="8"/>
        <v>0</v>
      </c>
      <c r="H105" s="433" t="str">
        <f t="shared" si="9"/>
        <v/>
      </c>
      <c r="I105" s="187" t="str">
        <f>IF(H105="","",IF(OR(ABS(H105)&gt;=30%,ABS(G105)&gt;=$E$127*5%,ABS(G105)&gt;=未审PL分析!$E$42*10%),"显著",IF(ABS(H105)&gt;=10%,"关注","")))</f>
        <v/>
      </c>
      <c r="J105" s="177"/>
      <c r="K105" s="915" t="str">
        <f t="shared" si="10"/>
        <v/>
      </c>
      <c r="L105" s="914" t="str">
        <f t="shared" si="11"/>
        <v/>
      </c>
    </row>
    <row r="106" spans="1:12">
      <c r="A106" s="904" t="str">
        <f>未审报表!A106</f>
        <v>使用权资产原值</v>
      </c>
      <c r="B106" s="444">
        <f>未审报表!B106</f>
        <v>100</v>
      </c>
      <c r="C106" s="405">
        <f>未审报表!D106</f>
        <v>0</v>
      </c>
      <c r="D106" s="916" t="str">
        <f t="shared" si="6"/>
        <v/>
      </c>
      <c r="E106" s="122">
        <f>未审报表!C106</f>
        <v>0</v>
      </c>
      <c r="F106" s="124" t="str">
        <f t="shared" si="7"/>
        <v/>
      </c>
      <c r="G106" s="122">
        <f t="shared" si="8"/>
        <v>0</v>
      </c>
      <c r="H106" s="433" t="str">
        <f t="shared" si="9"/>
        <v/>
      </c>
      <c r="I106" s="187" t="str">
        <f>IF(H106="","",IF(OR(ABS(H106)&gt;=30%,ABS(G106)&gt;=$E$127*5%,ABS(G106)&gt;=未审PL分析!$E$42*10%),"显著",IF(ABS(H106)&gt;=10%,"关注","")))</f>
        <v/>
      </c>
      <c r="J106" s="177"/>
      <c r="K106" s="915" t="str">
        <f t="shared" si="10"/>
        <v/>
      </c>
      <c r="L106" s="914" t="str">
        <f t="shared" si="11"/>
        <v/>
      </c>
    </row>
    <row r="107" spans="1:12">
      <c r="A107" s="904" t="str">
        <f>未审报表!A107</f>
        <v>使用权资产累计折旧</v>
      </c>
      <c r="B107" s="444">
        <f>未审报表!B107</f>
        <v>101</v>
      </c>
      <c r="C107" s="405">
        <f>未审报表!D107</f>
        <v>0</v>
      </c>
      <c r="D107" s="916" t="str">
        <f t="shared" si="6"/>
        <v/>
      </c>
      <c r="E107" s="122">
        <f>未审报表!C107</f>
        <v>0</v>
      </c>
      <c r="F107" s="124" t="str">
        <f t="shared" si="7"/>
        <v/>
      </c>
      <c r="G107" s="122">
        <f t="shared" si="8"/>
        <v>0</v>
      </c>
      <c r="H107" s="433" t="str">
        <f t="shared" si="9"/>
        <v/>
      </c>
      <c r="I107" s="187" t="str">
        <f>IF(H107="","",IF(OR(ABS(H107)&gt;=30%,ABS(G107)&gt;=$E$127*5%,ABS(G107)&gt;=未审PL分析!$E$42*10%),"显著",IF(ABS(H107)&gt;=10%,"关注","")))</f>
        <v/>
      </c>
      <c r="J107" s="177"/>
      <c r="K107" s="915" t="str">
        <f t="shared" si="10"/>
        <v/>
      </c>
      <c r="L107" s="914" t="str">
        <f t="shared" si="11"/>
        <v/>
      </c>
    </row>
    <row r="108" spans="1:12">
      <c r="A108" s="904" t="str">
        <f>未审报表!A108</f>
        <v>使用权资产净值</v>
      </c>
      <c r="B108" s="444">
        <f>未审报表!B108</f>
        <v>102</v>
      </c>
      <c r="C108" s="405">
        <f>未审报表!D108</f>
        <v>0</v>
      </c>
      <c r="D108" s="916" t="str">
        <f t="shared" si="6"/>
        <v/>
      </c>
      <c r="E108" s="122">
        <f>未审报表!C108</f>
        <v>0</v>
      </c>
      <c r="F108" s="124" t="str">
        <f t="shared" si="7"/>
        <v/>
      </c>
      <c r="G108" s="122">
        <f t="shared" si="8"/>
        <v>0</v>
      </c>
      <c r="H108" s="433" t="str">
        <f t="shared" si="9"/>
        <v/>
      </c>
      <c r="I108" s="187" t="str">
        <f>IF(H108="","",IF(OR(ABS(H108)&gt;=30%,ABS(G108)&gt;=$E$127*5%,ABS(G108)&gt;=未审PL分析!$E$42*10%),"显著",IF(ABS(H108)&gt;=10%,"关注","")))</f>
        <v/>
      </c>
      <c r="J108" s="177"/>
      <c r="K108" s="915" t="str">
        <f t="shared" si="10"/>
        <v/>
      </c>
      <c r="L108" s="914" t="str">
        <f t="shared" si="11"/>
        <v/>
      </c>
    </row>
    <row r="109" spans="1:12">
      <c r="A109" s="904" t="str">
        <f>未审报表!A109</f>
        <v>使用权资产减值准备</v>
      </c>
      <c r="B109" s="444">
        <f>未审报表!B109</f>
        <v>103</v>
      </c>
      <c r="C109" s="405">
        <f>未审报表!D109</f>
        <v>0</v>
      </c>
      <c r="D109" s="916" t="str">
        <f t="shared" si="6"/>
        <v/>
      </c>
      <c r="E109" s="122">
        <f>未审报表!C109</f>
        <v>0</v>
      </c>
      <c r="F109" s="124" t="str">
        <f t="shared" si="7"/>
        <v/>
      </c>
      <c r="G109" s="122">
        <f t="shared" si="8"/>
        <v>0</v>
      </c>
      <c r="H109" s="433" t="str">
        <f t="shared" si="9"/>
        <v/>
      </c>
      <c r="I109" s="187" t="str">
        <f>IF(H109="","",IF(OR(ABS(H109)&gt;=30%,ABS(G109)&gt;=$E$127*5%,ABS(G109)&gt;=未审PL分析!$E$42*10%),"显著",IF(ABS(H109)&gt;=10%,"关注","")))</f>
        <v/>
      </c>
      <c r="J109" s="177"/>
      <c r="K109" s="915" t="str">
        <f t="shared" si="10"/>
        <v/>
      </c>
      <c r="L109" s="914" t="str">
        <f t="shared" si="11"/>
        <v/>
      </c>
    </row>
    <row r="110" spans="1:12">
      <c r="A110" s="904" t="str">
        <f>未审报表!A110</f>
        <v>使用权资产</v>
      </c>
      <c r="B110" s="444">
        <f>未审报表!B110</f>
        <v>104</v>
      </c>
      <c r="C110" s="405">
        <f>未审报表!D110</f>
        <v>0</v>
      </c>
      <c r="D110" s="916" t="str">
        <f t="shared" si="6"/>
        <v/>
      </c>
      <c r="E110" s="122">
        <f>未审报表!C110</f>
        <v>0</v>
      </c>
      <c r="F110" s="124" t="str">
        <f t="shared" si="7"/>
        <v/>
      </c>
      <c r="G110" s="122">
        <f t="shared" si="8"/>
        <v>0</v>
      </c>
      <c r="H110" s="433" t="str">
        <f t="shared" si="9"/>
        <v/>
      </c>
      <c r="I110" s="187" t="str">
        <f>IF(H110="","",IF(OR(ABS(H110)&gt;=30%,ABS(G110)&gt;=$E$127*5%,ABS(G110)&gt;=未审PL分析!$E$42*10%),"显著",IF(ABS(H110)&gt;=10%,"关注","")))</f>
        <v/>
      </c>
      <c r="J110" s="177"/>
      <c r="K110" s="915" t="str">
        <f t="shared" si="10"/>
        <v/>
      </c>
      <c r="L110" s="914" t="str">
        <f t="shared" si="11"/>
        <v/>
      </c>
    </row>
    <row r="111" spans="1:12">
      <c r="A111" s="904" t="str">
        <f>未审报表!A111</f>
        <v>无形资产原值</v>
      </c>
      <c r="B111" s="444">
        <f>未审报表!B111</f>
        <v>105</v>
      </c>
      <c r="C111" s="405">
        <f>未审报表!D111</f>
        <v>454415.95</v>
      </c>
      <c r="D111" s="916">
        <f t="shared" si="6"/>
        <v>6.3536763016120218E-3</v>
      </c>
      <c r="E111" s="122">
        <f>未审报表!C111</f>
        <v>3204513.89</v>
      </c>
      <c r="F111" s="124">
        <f t="shared" si="7"/>
        <v>2.9502235039176147E-2</v>
      </c>
      <c r="G111" s="122">
        <f t="shared" si="8"/>
        <v>2750097.94</v>
      </c>
      <c r="H111" s="433">
        <f t="shared" si="9"/>
        <v>6.051939726147376</v>
      </c>
      <c r="I111" s="187" t="str">
        <f>IF(H111="","",IF(OR(ABS(H111)&gt;=30%,ABS(G111)&gt;=$E$127*5%,ABS(G111)&gt;=未审PL分析!$E$42*10%),"显著",IF(ABS(H111)&gt;=10%,"关注","")))</f>
        <v>显著</v>
      </c>
      <c r="J111" s="177"/>
      <c r="K111" s="915">
        <f t="shared" si="10"/>
        <v>2.3148558737564124E-2</v>
      </c>
      <c r="L111" s="914" t="str">
        <f t="shared" si="11"/>
        <v/>
      </c>
    </row>
    <row r="112" spans="1:12">
      <c r="A112" s="904" t="str">
        <f>未审报表!A112</f>
        <v>无形资产累计摊销</v>
      </c>
      <c r="B112" s="444">
        <f>未审报表!B112</f>
        <v>106</v>
      </c>
      <c r="C112" s="405">
        <f>未审报表!D112</f>
        <v>0</v>
      </c>
      <c r="D112" s="916" t="str">
        <f t="shared" si="6"/>
        <v/>
      </c>
      <c r="E112" s="122">
        <f>未审报表!C112</f>
        <v>0</v>
      </c>
      <c r="F112" s="124" t="str">
        <f t="shared" si="7"/>
        <v/>
      </c>
      <c r="G112" s="122">
        <f t="shared" si="8"/>
        <v>0</v>
      </c>
      <c r="H112" s="433" t="str">
        <f t="shared" si="9"/>
        <v/>
      </c>
      <c r="I112" s="187" t="str">
        <f>IF(H112="","",IF(OR(ABS(H112)&gt;=30%,ABS(G112)&gt;=$E$127*5%,ABS(G112)&gt;=未审PL分析!$E$42*10%),"显著",IF(ABS(H112)&gt;=10%,"关注","")))</f>
        <v/>
      </c>
      <c r="J112" s="177"/>
      <c r="K112" s="915" t="str">
        <f t="shared" si="10"/>
        <v/>
      </c>
      <c r="L112" s="914" t="str">
        <f t="shared" si="11"/>
        <v/>
      </c>
    </row>
    <row r="113" spans="1:13">
      <c r="A113" s="904" t="str">
        <f>未审报表!A113</f>
        <v>无形资产净值</v>
      </c>
      <c r="B113" s="444">
        <f>未审报表!B113</f>
        <v>107</v>
      </c>
      <c r="C113" s="405">
        <f>未审报表!D113</f>
        <v>454415.95</v>
      </c>
      <c r="D113" s="916">
        <f t="shared" si="6"/>
        <v>6.3536763016120218E-3</v>
      </c>
      <c r="E113" s="122">
        <f>未审报表!C113</f>
        <v>3204513.89</v>
      </c>
      <c r="F113" s="124">
        <f t="shared" si="7"/>
        <v>2.9502235039176147E-2</v>
      </c>
      <c r="G113" s="122">
        <f t="shared" si="8"/>
        <v>2750097.94</v>
      </c>
      <c r="H113" s="433">
        <f t="shared" si="9"/>
        <v>6.051939726147376</v>
      </c>
      <c r="I113" s="187" t="str">
        <f>IF(H113="","",IF(OR(ABS(H113)&gt;=30%,ABS(G113)&gt;=$E$127*5%,ABS(G113)&gt;=未审PL分析!$E$42*10%),"显著",IF(ABS(H113)&gt;=10%,"关注","")))</f>
        <v>显著</v>
      </c>
      <c r="J113" s="177"/>
      <c r="K113" s="915">
        <f t="shared" si="10"/>
        <v>2.3148558737564124E-2</v>
      </c>
      <c r="L113" s="914" t="str">
        <f t="shared" si="11"/>
        <v/>
      </c>
    </row>
    <row r="114" spans="1:13">
      <c r="A114" s="904" t="str">
        <f>未审报表!A114</f>
        <v>无形资产减值准备</v>
      </c>
      <c r="B114" s="444">
        <f>未审报表!B114</f>
        <v>108</v>
      </c>
      <c r="C114" s="405">
        <f>未审报表!D114</f>
        <v>0</v>
      </c>
      <c r="D114" s="916" t="str">
        <f t="shared" si="6"/>
        <v/>
      </c>
      <c r="E114" s="122">
        <f>未审报表!C114</f>
        <v>0</v>
      </c>
      <c r="F114" s="124" t="str">
        <f t="shared" si="7"/>
        <v/>
      </c>
      <c r="G114" s="122">
        <f t="shared" si="8"/>
        <v>0</v>
      </c>
      <c r="H114" s="433" t="str">
        <f t="shared" si="9"/>
        <v/>
      </c>
      <c r="I114" s="187" t="str">
        <f>IF(H114="","",IF(OR(ABS(H114)&gt;=30%,ABS(G114)&gt;=$E$127*5%,ABS(G114)&gt;=未审PL分析!$E$42*10%),"显著",IF(ABS(H114)&gt;=10%,"关注","")))</f>
        <v/>
      </c>
      <c r="J114" s="177"/>
      <c r="K114" s="915" t="str">
        <f t="shared" si="10"/>
        <v/>
      </c>
      <c r="L114" s="914" t="str">
        <f t="shared" si="11"/>
        <v/>
      </c>
    </row>
    <row r="115" spans="1:13">
      <c r="A115" s="904" t="str">
        <f>未审报表!A115</f>
        <v>无形资产</v>
      </c>
      <c r="B115" s="444">
        <f>未审报表!B115</f>
        <v>109</v>
      </c>
      <c r="C115" s="405">
        <f>未审报表!D115</f>
        <v>454415.95</v>
      </c>
      <c r="D115" s="916">
        <f t="shared" si="6"/>
        <v>6.3536763016120218E-3</v>
      </c>
      <c r="E115" s="122">
        <f>未审报表!C115</f>
        <v>3204513.89</v>
      </c>
      <c r="F115" s="124">
        <f t="shared" si="7"/>
        <v>2.9502235039176147E-2</v>
      </c>
      <c r="G115" s="122">
        <f t="shared" si="8"/>
        <v>2750097.94</v>
      </c>
      <c r="H115" s="433">
        <f t="shared" si="9"/>
        <v>6.051939726147376</v>
      </c>
      <c r="I115" s="187" t="str">
        <f>IF(H115="","",IF(OR(ABS(H115)&gt;=30%,ABS(G115)&gt;=$E$127*5%,ABS(G115)&gt;=未审PL分析!$E$42*10%),"显著",IF(ABS(H115)&gt;=10%,"关注","")))</f>
        <v>显著</v>
      </c>
      <c r="J115" s="177"/>
      <c r="K115" s="915">
        <f t="shared" si="10"/>
        <v>2.3148558737564124E-2</v>
      </c>
      <c r="L115" s="914" t="str">
        <f t="shared" si="11"/>
        <v/>
      </c>
    </row>
    <row r="116" spans="1:13">
      <c r="A116" s="904" t="str">
        <f>未审报表!A116</f>
        <v>开发支出原值</v>
      </c>
      <c r="B116" s="444">
        <f>未审报表!B116</f>
        <v>110</v>
      </c>
      <c r="C116" s="405">
        <f>未审报表!D116</f>
        <v>0</v>
      </c>
      <c r="D116" s="916" t="str">
        <f t="shared" si="6"/>
        <v/>
      </c>
      <c r="E116" s="122">
        <f>未审报表!C116</f>
        <v>0</v>
      </c>
      <c r="F116" s="124" t="str">
        <f t="shared" si="7"/>
        <v/>
      </c>
      <c r="G116" s="122">
        <f t="shared" si="8"/>
        <v>0</v>
      </c>
      <c r="H116" s="433" t="str">
        <f t="shared" si="9"/>
        <v/>
      </c>
      <c r="I116" s="187" t="str">
        <f>IF(H116="","",IF(OR(ABS(H116)&gt;=30%,ABS(G116)&gt;=$E$127*5%,ABS(G116)&gt;=未审PL分析!$E$42*10%),"显著",IF(ABS(H116)&gt;=10%,"关注","")))</f>
        <v/>
      </c>
      <c r="J116" s="177"/>
      <c r="K116" s="915" t="str">
        <f t="shared" si="10"/>
        <v/>
      </c>
      <c r="L116" s="914" t="str">
        <f t="shared" si="11"/>
        <v/>
      </c>
    </row>
    <row r="117" spans="1:13">
      <c r="A117" s="904" t="str">
        <f>未审报表!A117</f>
        <v>开发支出减值准备</v>
      </c>
      <c r="B117" s="444">
        <f>未审报表!B117</f>
        <v>111</v>
      </c>
      <c r="C117" s="405">
        <f>未审报表!D117</f>
        <v>0</v>
      </c>
      <c r="D117" s="916" t="str">
        <f t="shared" si="6"/>
        <v/>
      </c>
      <c r="E117" s="122">
        <f>未审报表!C117</f>
        <v>0</v>
      </c>
      <c r="F117" s="124" t="str">
        <f t="shared" si="7"/>
        <v/>
      </c>
      <c r="G117" s="122">
        <f t="shared" si="8"/>
        <v>0</v>
      </c>
      <c r="H117" s="433" t="str">
        <f t="shared" si="9"/>
        <v/>
      </c>
      <c r="I117" s="187" t="str">
        <f>IF(H117="","",IF(OR(ABS(H117)&gt;=30%,ABS(G117)&gt;=$E$127*5%,ABS(G117)&gt;=未审PL分析!$E$42*10%),"显著",IF(ABS(H117)&gt;=10%,"关注","")))</f>
        <v/>
      </c>
      <c r="J117" s="177"/>
      <c r="K117" s="915" t="str">
        <f t="shared" si="10"/>
        <v/>
      </c>
      <c r="L117" s="914" t="str">
        <f t="shared" si="11"/>
        <v/>
      </c>
    </row>
    <row r="118" spans="1:13">
      <c r="A118" s="904" t="str">
        <f>未审报表!A118</f>
        <v>开发支出</v>
      </c>
      <c r="B118" s="444">
        <f>未审报表!B118</f>
        <v>112</v>
      </c>
      <c r="C118" s="405">
        <f>未审报表!D118</f>
        <v>0</v>
      </c>
      <c r="D118" s="916" t="str">
        <f t="shared" si="6"/>
        <v/>
      </c>
      <c r="E118" s="122">
        <f>未审报表!C118</f>
        <v>0</v>
      </c>
      <c r="F118" s="124" t="str">
        <f t="shared" si="7"/>
        <v/>
      </c>
      <c r="G118" s="122">
        <f t="shared" si="8"/>
        <v>0</v>
      </c>
      <c r="H118" s="433" t="str">
        <f t="shared" si="9"/>
        <v/>
      </c>
      <c r="I118" s="187" t="str">
        <f>IF(H118="","",IF(OR(ABS(H118)&gt;=30%,ABS(G118)&gt;=$E$127*5%,ABS(G118)&gt;=未审PL分析!$E$42*10%),"显著",IF(ABS(H118)&gt;=10%,"关注","")))</f>
        <v/>
      </c>
      <c r="J118" s="177"/>
      <c r="K118" s="915" t="str">
        <f t="shared" si="10"/>
        <v/>
      </c>
      <c r="L118" s="914" t="str">
        <f t="shared" si="11"/>
        <v/>
      </c>
    </row>
    <row r="119" spans="1:13">
      <c r="A119" s="904" t="str">
        <f>未审报表!A119</f>
        <v>商誉原值</v>
      </c>
      <c r="B119" s="444">
        <f>未审报表!B119</f>
        <v>113</v>
      </c>
      <c r="C119" s="405">
        <f>未审报表!D119</f>
        <v>0</v>
      </c>
      <c r="D119" s="916" t="str">
        <f t="shared" si="6"/>
        <v/>
      </c>
      <c r="E119" s="122">
        <f>未审报表!C119</f>
        <v>0</v>
      </c>
      <c r="F119" s="124" t="str">
        <f t="shared" si="7"/>
        <v/>
      </c>
      <c r="G119" s="122">
        <f t="shared" si="8"/>
        <v>0</v>
      </c>
      <c r="H119" s="433" t="str">
        <f t="shared" si="9"/>
        <v/>
      </c>
      <c r="I119" s="187" t="str">
        <f>IF(H119="","",IF(OR(ABS(H119)&gt;=30%,ABS(G119)&gt;=$E$127*5%,ABS(G119)&gt;=未审PL分析!$E$42*10%),"显著",IF(ABS(H119)&gt;=10%,"关注","")))</f>
        <v/>
      </c>
      <c r="J119" s="177"/>
      <c r="K119" s="915" t="str">
        <f t="shared" si="10"/>
        <v/>
      </c>
      <c r="L119" s="914" t="str">
        <f t="shared" si="11"/>
        <v/>
      </c>
    </row>
    <row r="120" spans="1:13">
      <c r="A120" s="904" t="str">
        <f>未审报表!A120</f>
        <v>商誉减值准备</v>
      </c>
      <c r="B120" s="444">
        <f>未审报表!B120</f>
        <v>114</v>
      </c>
      <c r="C120" s="405">
        <f>未审报表!D120</f>
        <v>0</v>
      </c>
      <c r="D120" s="916" t="str">
        <f t="shared" si="6"/>
        <v/>
      </c>
      <c r="E120" s="122">
        <f>未审报表!C120</f>
        <v>0</v>
      </c>
      <c r="F120" s="124" t="str">
        <f t="shared" si="7"/>
        <v/>
      </c>
      <c r="G120" s="122">
        <f t="shared" si="8"/>
        <v>0</v>
      </c>
      <c r="H120" s="433" t="str">
        <f t="shared" si="9"/>
        <v/>
      </c>
      <c r="I120" s="187" t="str">
        <f>IF(H120="","",IF(OR(ABS(H120)&gt;=30%,ABS(G120)&gt;=$E$127*5%,ABS(G120)&gt;=未审PL分析!$E$42*10%),"显著",IF(ABS(H120)&gt;=10%,"关注","")))</f>
        <v/>
      </c>
      <c r="J120" s="177"/>
      <c r="K120" s="915" t="str">
        <f t="shared" si="10"/>
        <v/>
      </c>
      <c r="L120" s="914" t="str">
        <f t="shared" si="11"/>
        <v/>
      </c>
    </row>
    <row r="121" spans="1:13">
      <c r="A121" s="904" t="str">
        <f>未审报表!A121</f>
        <v>商誉</v>
      </c>
      <c r="B121" s="444">
        <f>未审报表!B121</f>
        <v>115</v>
      </c>
      <c r="C121" s="405">
        <f>未审报表!D121</f>
        <v>0</v>
      </c>
      <c r="D121" s="916" t="str">
        <f t="shared" si="6"/>
        <v/>
      </c>
      <c r="E121" s="122">
        <f>未审报表!C121</f>
        <v>0</v>
      </c>
      <c r="F121" s="124" t="str">
        <f t="shared" si="7"/>
        <v/>
      </c>
      <c r="G121" s="122">
        <f t="shared" si="8"/>
        <v>0</v>
      </c>
      <c r="H121" s="433" t="str">
        <f t="shared" si="9"/>
        <v/>
      </c>
      <c r="I121" s="187" t="str">
        <f>IF(H121="","",IF(OR(ABS(H121)&gt;=30%,ABS(G121)&gt;=$E$127*5%,ABS(G121)&gt;=未审PL分析!$E$42*10%),"显著",IF(ABS(H121)&gt;=10%,"关注","")))</f>
        <v/>
      </c>
      <c r="J121" s="177"/>
      <c r="K121" s="915" t="str">
        <f t="shared" si="10"/>
        <v/>
      </c>
      <c r="L121" s="914" t="str">
        <f t="shared" si="11"/>
        <v/>
      </c>
    </row>
    <row r="122" spans="1:13">
      <c r="A122" s="904" t="str">
        <f>未审报表!A122</f>
        <v>长期待摊费用</v>
      </c>
      <c r="B122" s="444">
        <f>未审报表!B122</f>
        <v>116</v>
      </c>
      <c r="C122" s="405">
        <f>未审报表!D122</f>
        <v>0</v>
      </c>
      <c r="D122" s="916" t="str">
        <f t="shared" si="6"/>
        <v/>
      </c>
      <c r="E122" s="122">
        <f>未审报表!C122</f>
        <v>0</v>
      </c>
      <c r="F122" s="124" t="str">
        <f t="shared" si="7"/>
        <v/>
      </c>
      <c r="G122" s="122">
        <f t="shared" si="8"/>
        <v>0</v>
      </c>
      <c r="H122" s="433" t="str">
        <f t="shared" si="9"/>
        <v/>
      </c>
      <c r="I122" s="187" t="str">
        <f>IF(H122="","",IF(OR(ABS(H122)&gt;=30%,ABS(G122)&gt;=$E$127*5%,ABS(G122)&gt;=未审PL分析!$E$42*10%),"显著",IF(ABS(H122)&gt;=10%,"关注","")))</f>
        <v/>
      </c>
      <c r="J122" s="177"/>
      <c r="K122" s="915" t="str">
        <f t="shared" si="10"/>
        <v/>
      </c>
      <c r="L122" s="914" t="str">
        <f t="shared" si="11"/>
        <v/>
      </c>
    </row>
    <row r="123" spans="1:13">
      <c r="A123" s="904" t="str">
        <f>未审报表!A123</f>
        <v>递延所得税资产</v>
      </c>
      <c r="B123" s="444">
        <f>未审报表!B123</f>
        <v>117</v>
      </c>
      <c r="C123" s="405">
        <f>未审报表!D123</f>
        <v>354277.86</v>
      </c>
      <c r="D123" s="916">
        <f t="shared" si="6"/>
        <v>4.9535383678055789E-3</v>
      </c>
      <c r="E123" s="122">
        <f>未审报表!C123</f>
        <v>359133.84</v>
      </c>
      <c r="F123" s="124">
        <f t="shared" si="7"/>
        <v>3.3063520152823806E-3</v>
      </c>
      <c r="G123" s="122">
        <f t="shared" si="8"/>
        <v>4855.9800000000396</v>
      </c>
      <c r="H123" s="433">
        <f t="shared" si="9"/>
        <v>1.3706699029964898E-2</v>
      </c>
      <c r="I123" s="187" t="str">
        <f>IF(H123="","",IF(OR(ABS(H123)&gt;=30%,ABS(G123)&gt;=$E$127*5%,ABS(G123)&gt;=未审PL分析!$E$42*10%),"显著",IF(ABS(H123)&gt;=10%,"关注","")))</f>
        <v/>
      </c>
      <c r="J123" s="177"/>
      <c r="K123" s="915">
        <f t="shared" si="10"/>
        <v>-1.6471863525231983E-3</v>
      </c>
      <c r="L123" s="914" t="str">
        <f t="shared" si="11"/>
        <v/>
      </c>
    </row>
    <row r="124" spans="1:13">
      <c r="A124" s="904" t="str">
        <f>未审报表!A124</f>
        <v>其他非流动资产</v>
      </c>
      <c r="B124" s="444">
        <f>未审报表!B124</f>
        <v>118</v>
      </c>
      <c r="C124" s="405">
        <f>未审报表!D124</f>
        <v>0</v>
      </c>
      <c r="D124" s="916" t="str">
        <f t="shared" si="6"/>
        <v/>
      </c>
      <c r="E124" s="122">
        <f>未审报表!C124</f>
        <v>0</v>
      </c>
      <c r="F124" s="124" t="str">
        <f t="shared" si="7"/>
        <v/>
      </c>
      <c r="G124" s="122">
        <f t="shared" si="8"/>
        <v>0</v>
      </c>
      <c r="H124" s="433" t="str">
        <f t="shared" si="9"/>
        <v/>
      </c>
      <c r="I124" s="187" t="str">
        <f>IF(H124="","",IF(OR(ABS(H124)&gt;=30%,ABS(G124)&gt;=$E$127*5%,ABS(G124)&gt;=未审PL分析!$E$42*10%),"显著",IF(ABS(H124)&gt;=10%,"关注","")))</f>
        <v/>
      </c>
      <c r="J124" s="177"/>
      <c r="K124" s="915" t="str">
        <f t="shared" si="10"/>
        <v/>
      </c>
      <c r="L124" s="914" t="str">
        <f t="shared" si="11"/>
        <v/>
      </c>
    </row>
    <row r="125" spans="1:13">
      <c r="A125" s="904" t="str">
        <f>未审报表!A125</f>
        <v xml:space="preserve"> 其中：特准储备物资</v>
      </c>
      <c r="B125" s="444">
        <f>未审报表!B125</f>
        <v>119</v>
      </c>
      <c r="C125" s="405">
        <f>未审报表!D125</f>
        <v>0</v>
      </c>
      <c r="D125" s="916" t="str">
        <f t="shared" si="6"/>
        <v/>
      </c>
      <c r="E125" s="122">
        <f>未审报表!C125</f>
        <v>0</v>
      </c>
      <c r="F125" s="124" t="str">
        <f t="shared" si="7"/>
        <v/>
      </c>
      <c r="G125" s="122">
        <f t="shared" si="8"/>
        <v>0</v>
      </c>
      <c r="H125" s="433" t="str">
        <f t="shared" si="9"/>
        <v/>
      </c>
      <c r="I125" s="187" t="str">
        <f>IF(H125="","",IF(OR(ABS(H125)&gt;=30%,ABS(G125)&gt;=$E$127*5%,ABS(G125)&gt;=未审PL分析!$E$42*10%),"显著",IF(ABS(H125)&gt;=10%,"关注","")))</f>
        <v/>
      </c>
      <c r="J125" s="177"/>
      <c r="K125" s="915" t="str">
        <f t="shared" si="10"/>
        <v/>
      </c>
      <c r="L125" s="914" t="str">
        <f t="shared" si="11"/>
        <v/>
      </c>
    </row>
    <row r="126" spans="1:13">
      <c r="A126" s="905" t="str">
        <f>未审报表!A126</f>
        <v>非流动资产合计</v>
      </c>
      <c r="B126" s="444">
        <f>未审报表!B126</f>
        <v>120</v>
      </c>
      <c r="C126" s="405">
        <f>未审报表!D126</f>
        <v>12098731.539999999</v>
      </c>
      <c r="D126" s="916">
        <f t="shared" si="6"/>
        <v>0.16916532939757928</v>
      </c>
      <c r="E126" s="122">
        <f>未审报表!C126</f>
        <v>27532308.280000001</v>
      </c>
      <c r="F126" s="124">
        <f t="shared" si="7"/>
        <v>0.25347514722353587</v>
      </c>
      <c r="G126" s="122">
        <f t="shared" si="8"/>
        <v>15433576.740000002</v>
      </c>
      <c r="H126" s="433">
        <f t="shared" si="9"/>
        <v>1.2756359366248078</v>
      </c>
      <c r="I126" s="187" t="str">
        <f>IF(H126="","",IF(OR(ABS(H126)&gt;=30%,ABS(G126)&gt;=$E$127*5%,ABS(G126)&gt;=未审PL分析!$E$42*10%),"显著",IF(ABS(H126)&gt;=10%,"关注","")))</f>
        <v>显著</v>
      </c>
      <c r="J126" s="898"/>
      <c r="K126" s="915">
        <f t="shared" si="10"/>
        <v>8.430981782595659E-2</v>
      </c>
      <c r="L126" s="914" t="str">
        <f t="shared" si="11"/>
        <v/>
      </c>
      <c r="M126" s="897"/>
    </row>
    <row r="127" spans="1:13">
      <c r="A127" s="905" t="str">
        <f>未审报表!A127</f>
        <v>资 产 总 计</v>
      </c>
      <c r="B127" s="444">
        <f>未审报表!B127</f>
        <v>121</v>
      </c>
      <c r="C127" s="405">
        <f>未审报表!D127</f>
        <v>71520160.680000007</v>
      </c>
      <c r="D127" s="916">
        <f t="shared" si="6"/>
        <v>1</v>
      </c>
      <c r="E127" s="122">
        <f>未审报表!C127</f>
        <v>108619360.05000001</v>
      </c>
      <c r="F127" s="124">
        <f t="shared" si="7"/>
        <v>1</v>
      </c>
      <c r="G127" s="122">
        <f t="shared" si="8"/>
        <v>37099199.370000005</v>
      </c>
      <c r="H127" s="433">
        <f t="shared" si="9"/>
        <v>0.51872365801849318</v>
      </c>
      <c r="I127" s="187" t="str">
        <f>IF(H127="","",IF(OR(ABS(H127)&gt;=30%,ABS(G127)&gt;=$E$127*5%,ABS(G127)&gt;=未审PL分析!$E$42*10%),"显著",IF(ABS(H127)&gt;=10%,"关注","")))</f>
        <v>显著</v>
      </c>
      <c r="J127" s="898"/>
      <c r="K127" s="915">
        <f t="shared" si="10"/>
        <v>0</v>
      </c>
      <c r="L127" s="914" t="str">
        <f t="shared" si="11"/>
        <v/>
      </c>
      <c r="M127" s="897"/>
    </row>
    <row r="128" spans="1:13">
      <c r="A128" s="904" t="str">
        <f>未审报表!A128</f>
        <v>负债及股东权益</v>
      </c>
      <c r="B128" s="444" t="str">
        <f>未审报表!B128</f>
        <v>行次</v>
      </c>
      <c r="C128" s="405">
        <f>未审报表!D128</f>
        <v>44561</v>
      </c>
      <c r="D128" s="916">
        <f t="shared" si="6"/>
        <v>6.2305508791259047E-4</v>
      </c>
      <c r="E128" s="122">
        <f>未审报表!C128</f>
        <v>44926</v>
      </c>
      <c r="F128" s="124">
        <f t="shared" si="7"/>
        <v>4.1360950735964123E-4</v>
      </c>
      <c r="G128" s="122">
        <f t="shared" si="8"/>
        <v>365</v>
      </c>
      <c r="H128" s="433">
        <f t="shared" si="9"/>
        <v>8.1910190525347273E-3</v>
      </c>
      <c r="I128" s="187" t="str">
        <f>IF(H128="","",IF(OR(ABS(H128)&gt;=30%,ABS(G128)&gt;=$E$127*5%,ABS(G128)&gt;=未审PL分析!$E$42*10%),"显著",IF(ABS(H128)&gt;=10%,"关注","")))</f>
        <v/>
      </c>
      <c r="J128" s="177"/>
      <c r="K128" s="915">
        <f t="shared" si="10"/>
        <v>-2.0944558055294925E-4</v>
      </c>
      <c r="L128" s="914" t="str">
        <f t="shared" si="11"/>
        <v/>
      </c>
    </row>
    <row r="129" spans="1:12">
      <c r="A129" s="904" t="str">
        <f>未审报表!A129</f>
        <v>流动负债：</v>
      </c>
      <c r="B129" s="444">
        <f>未审报表!B129</f>
        <v>122</v>
      </c>
      <c r="C129" s="405">
        <f>未审报表!D129</f>
        <v>0</v>
      </c>
      <c r="D129" s="916" t="str">
        <f t="shared" si="6"/>
        <v/>
      </c>
      <c r="E129" s="122">
        <f>未审报表!C129</f>
        <v>0</v>
      </c>
      <c r="F129" s="124" t="str">
        <f t="shared" si="7"/>
        <v/>
      </c>
      <c r="G129" s="122">
        <f t="shared" si="8"/>
        <v>0</v>
      </c>
      <c r="H129" s="433" t="str">
        <f t="shared" si="9"/>
        <v/>
      </c>
      <c r="I129" s="187" t="str">
        <f>IF(H129="","",IF(OR(ABS(H129)&gt;=30%,ABS(G129)&gt;=$E$127*5%,ABS(G129)&gt;=未审PL分析!$E$42*10%),"显著",IF(ABS(H129)&gt;=10%,"关注","")))</f>
        <v/>
      </c>
      <c r="J129" s="177"/>
      <c r="K129" s="915" t="str">
        <f t="shared" si="10"/>
        <v/>
      </c>
      <c r="L129" s="914" t="str">
        <f t="shared" si="11"/>
        <v/>
      </c>
    </row>
    <row r="130" spans="1:12">
      <c r="A130" s="904" t="str">
        <f>未审报表!A130</f>
        <v>短期借款</v>
      </c>
      <c r="B130" s="444">
        <f>未审报表!B130</f>
        <v>123</v>
      </c>
      <c r="C130" s="405">
        <f>未审报表!D130</f>
        <v>0</v>
      </c>
      <c r="D130" s="916" t="str">
        <f t="shared" si="6"/>
        <v/>
      </c>
      <c r="E130" s="122">
        <f>未审报表!C130</f>
        <v>0</v>
      </c>
      <c r="F130" s="124" t="str">
        <f t="shared" si="7"/>
        <v/>
      </c>
      <c r="G130" s="122">
        <f t="shared" si="8"/>
        <v>0</v>
      </c>
      <c r="H130" s="433" t="str">
        <f t="shared" si="9"/>
        <v/>
      </c>
      <c r="I130" s="187" t="str">
        <f>IF(H130="","",IF(OR(ABS(H130)&gt;=30%,ABS(G130)&gt;=$E$127*5%,ABS(G130)&gt;=未审PL分析!$E$42*10%),"显著",IF(ABS(H130)&gt;=10%,"关注","")))</f>
        <v/>
      </c>
      <c r="J130" s="177"/>
      <c r="K130" s="915" t="str">
        <f t="shared" si="10"/>
        <v/>
      </c>
      <c r="L130" s="914" t="str">
        <f t="shared" si="11"/>
        <v/>
      </c>
    </row>
    <row r="131" spans="1:12">
      <c r="A131" s="904" t="str">
        <f>未审报表!A131</f>
        <v>向中央银行借款*</v>
      </c>
      <c r="B131" s="444">
        <f>未审报表!B131</f>
        <v>124</v>
      </c>
      <c r="C131" s="405">
        <f>未审报表!D131</f>
        <v>0</v>
      </c>
      <c r="D131" s="916" t="str">
        <f t="shared" si="6"/>
        <v/>
      </c>
      <c r="E131" s="122">
        <f>未审报表!C131</f>
        <v>0</v>
      </c>
      <c r="F131" s="124" t="str">
        <f t="shared" si="7"/>
        <v/>
      </c>
      <c r="G131" s="122">
        <f t="shared" si="8"/>
        <v>0</v>
      </c>
      <c r="H131" s="433" t="str">
        <f t="shared" si="9"/>
        <v/>
      </c>
      <c r="I131" s="187" t="str">
        <f>IF(H131="","",IF(OR(ABS(H131)&gt;=30%,ABS(G131)&gt;=$E$127*5%,ABS(G131)&gt;=未审PL分析!$E$42*10%),"显著",IF(ABS(H131)&gt;=10%,"关注","")))</f>
        <v/>
      </c>
      <c r="J131" s="177"/>
      <c r="K131" s="915" t="str">
        <f t="shared" si="10"/>
        <v/>
      </c>
      <c r="L131" s="914" t="str">
        <f t="shared" si="11"/>
        <v/>
      </c>
    </row>
    <row r="132" spans="1:12">
      <c r="A132" s="904" t="str">
        <f>未审报表!A132</f>
        <v>拆入资金*</v>
      </c>
      <c r="B132" s="444">
        <f>未审报表!B132</f>
        <v>125</v>
      </c>
      <c r="C132" s="405">
        <f>未审报表!D132</f>
        <v>0</v>
      </c>
      <c r="D132" s="916" t="str">
        <f t="shared" si="6"/>
        <v/>
      </c>
      <c r="E132" s="122">
        <f>未审报表!C132</f>
        <v>0</v>
      </c>
      <c r="F132" s="124" t="str">
        <f t="shared" si="7"/>
        <v/>
      </c>
      <c r="G132" s="122">
        <f t="shared" si="8"/>
        <v>0</v>
      </c>
      <c r="H132" s="433" t="str">
        <f t="shared" si="9"/>
        <v/>
      </c>
      <c r="I132" s="187" t="str">
        <f>IF(H132="","",IF(OR(ABS(H132)&gt;=30%,ABS(G132)&gt;=$E$127*5%,ABS(G132)&gt;=未审PL分析!$E$42*10%),"显著",IF(ABS(H132)&gt;=10%,"关注","")))</f>
        <v/>
      </c>
      <c r="J132" s="439"/>
      <c r="K132" s="915" t="str">
        <f t="shared" si="10"/>
        <v/>
      </c>
      <c r="L132" s="914" t="str">
        <f t="shared" si="11"/>
        <v/>
      </c>
    </row>
    <row r="133" spans="1:12">
      <c r="A133" s="904" t="str">
        <f>未审报表!A133</f>
        <v>交易性金融负债</v>
      </c>
      <c r="B133" s="444">
        <f>未审报表!B133</f>
        <v>126</v>
      </c>
      <c r="C133" s="405">
        <f>未审报表!D133</f>
        <v>0</v>
      </c>
      <c r="D133" s="916" t="str">
        <f t="shared" si="6"/>
        <v/>
      </c>
      <c r="E133" s="122">
        <f>未审报表!C133</f>
        <v>0</v>
      </c>
      <c r="F133" s="124" t="str">
        <f t="shared" si="7"/>
        <v/>
      </c>
      <c r="G133" s="122">
        <f t="shared" si="8"/>
        <v>0</v>
      </c>
      <c r="H133" s="433" t="str">
        <f t="shared" si="9"/>
        <v/>
      </c>
      <c r="I133" s="187" t="str">
        <f>IF(H133="","",IF(OR(ABS(H133)&gt;=30%,ABS(G133)&gt;=$E$127*5%,ABS(G133)&gt;=未审PL分析!$E$42*10%),"显著",IF(ABS(H133)&gt;=10%,"关注","")))</f>
        <v/>
      </c>
      <c r="J133" s="439"/>
      <c r="K133" s="915" t="str">
        <f t="shared" si="10"/>
        <v/>
      </c>
      <c r="L133" s="914" t="str">
        <f t="shared" si="11"/>
        <v/>
      </c>
    </row>
    <row r="134" spans="1:12">
      <c r="A134" s="904" t="str">
        <f>未审报表!A134</f>
        <v>衍生金融负债</v>
      </c>
      <c r="B134" s="444">
        <f>未审报表!B134</f>
        <v>127</v>
      </c>
      <c r="C134" s="405">
        <f>未审报表!D134</f>
        <v>0</v>
      </c>
      <c r="D134" s="916" t="str">
        <f t="shared" si="6"/>
        <v/>
      </c>
      <c r="E134" s="122">
        <f>未审报表!C134</f>
        <v>0</v>
      </c>
      <c r="F134" s="124" t="str">
        <f t="shared" si="7"/>
        <v/>
      </c>
      <c r="G134" s="122">
        <f t="shared" si="8"/>
        <v>0</v>
      </c>
      <c r="H134" s="433" t="str">
        <f t="shared" si="9"/>
        <v/>
      </c>
      <c r="I134" s="187" t="str">
        <f>IF(H134="","",IF(OR(ABS(H134)&gt;=30%,ABS(G134)&gt;=$E$127*5%,ABS(G134)&gt;=未审PL分析!$E$42*10%),"显著",IF(ABS(H134)&gt;=10%,"关注","")))</f>
        <v/>
      </c>
      <c r="J134" s="439"/>
      <c r="K134" s="915" t="str">
        <f t="shared" si="10"/>
        <v/>
      </c>
      <c r="L134" s="914" t="str">
        <f t="shared" si="11"/>
        <v/>
      </c>
    </row>
    <row r="135" spans="1:12">
      <c r="A135" s="904" t="str">
        <f>未审报表!A135</f>
        <v>应付票据</v>
      </c>
      <c r="B135" s="444">
        <f>未审报表!B135</f>
        <v>128</v>
      </c>
      <c r="C135" s="405">
        <f>未审报表!D135</f>
        <v>0</v>
      </c>
      <c r="D135" s="916" t="str">
        <f t="shared" si="6"/>
        <v/>
      </c>
      <c r="E135" s="122">
        <f>未审报表!C135</f>
        <v>0</v>
      </c>
      <c r="F135" s="124" t="str">
        <f t="shared" si="7"/>
        <v/>
      </c>
      <c r="G135" s="122">
        <f t="shared" si="8"/>
        <v>0</v>
      </c>
      <c r="H135" s="433" t="str">
        <f t="shared" si="9"/>
        <v/>
      </c>
      <c r="I135" s="187" t="str">
        <f>IF(H135="","",IF(OR(ABS(H135)&gt;=30%,ABS(G135)&gt;=$E$127*5%,ABS(G135)&gt;=未审PL分析!$E$42*10%),"显著",IF(ABS(H135)&gt;=10%,"关注","")))</f>
        <v/>
      </c>
      <c r="J135" s="439"/>
      <c r="K135" s="915" t="str">
        <f t="shared" si="10"/>
        <v/>
      </c>
      <c r="L135" s="914" t="str">
        <f t="shared" si="11"/>
        <v/>
      </c>
    </row>
    <row r="136" spans="1:12">
      <c r="A136" s="904" t="str">
        <f>未审报表!A136</f>
        <v>应付账款</v>
      </c>
      <c r="B136" s="444">
        <f>未审报表!B136</f>
        <v>129</v>
      </c>
      <c r="C136" s="405">
        <f>未审报表!D136</f>
        <v>2255558.0699999998</v>
      </c>
      <c r="D136" s="916">
        <f t="shared" si="6"/>
        <v>3.1537374197073739E-2</v>
      </c>
      <c r="E136" s="122">
        <f>未审报表!C136</f>
        <v>9144644.7200000007</v>
      </c>
      <c r="F136" s="124">
        <f t="shared" si="7"/>
        <v>8.4189823211907239E-2</v>
      </c>
      <c r="G136" s="122">
        <f t="shared" si="8"/>
        <v>6889086.6500000004</v>
      </c>
      <c r="H136" s="433">
        <f t="shared" si="9"/>
        <v>3.0542714646225009</v>
      </c>
      <c r="I136" s="187" t="str">
        <f>IF(H136="","",IF(OR(ABS(H136)&gt;=30%,ABS(G136)&gt;=$E$127*5%,ABS(G136)&gt;=未审PL分析!$E$42*10%),"显著",IF(ABS(H136)&gt;=10%,"关注","")))</f>
        <v>显著</v>
      </c>
      <c r="J136" s="439"/>
      <c r="K136" s="915">
        <f t="shared" si="10"/>
        <v>5.2652449014833499E-2</v>
      </c>
      <c r="L136" s="914" t="str">
        <f t="shared" si="11"/>
        <v/>
      </c>
    </row>
    <row r="137" spans="1:12">
      <c r="A137" s="904" t="str">
        <f>未审报表!A137</f>
        <v>预收款项</v>
      </c>
      <c r="B137" s="444">
        <f>未审报表!B137</f>
        <v>130</v>
      </c>
      <c r="C137" s="405">
        <f>未审报表!D137</f>
        <v>1282269.1599999999</v>
      </c>
      <c r="D137" s="916">
        <f t="shared" ref="D137:D190" si="12">IF(AND(C137&lt;&gt;0,$C$127&lt;&gt;0),C137/$C$127,"")</f>
        <v>1.7928779071641199E-2</v>
      </c>
      <c r="E137" s="122">
        <f>未审报表!C137</f>
        <v>0</v>
      </c>
      <c r="F137" s="124" t="str">
        <f t="shared" ref="F137:F190" si="13">IF(AND(E137&lt;&gt;0,$E$127&lt;&gt;0),E137/$E$127,"")</f>
        <v/>
      </c>
      <c r="G137" s="122">
        <f t="shared" ref="G137:G190" si="14">E137-C137</f>
        <v>-1282269.1599999999</v>
      </c>
      <c r="H137" s="433">
        <f t="shared" ref="H137:H190" si="15">IF(AND(C137=0,E137=0),"",IF(C137=0,100%,IF(E137=0,-100%,G137/C137)))</f>
        <v>-1</v>
      </c>
      <c r="I137" s="187" t="str">
        <f>IF(H137="","",IF(OR(ABS(H137)&gt;=30%,ABS(G137)&gt;=$E$127*5%,ABS(G137)&gt;=未审PL分析!$E$42*10%),"显著",IF(ABS(H137)&gt;=10%,"关注","")))</f>
        <v>显著</v>
      </c>
      <c r="J137" s="439"/>
      <c r="K137" s="915">
        <f t="shared" ref="K137:K190" si="16">IF(AND(D137="",F137=""),"",IF(D137="",F137,IF(F137="",-D137,F137-D137)))</f>
        <v>-1.7928779071641199E-2</v>
      </c>
      <c r="L137" s="914" t="str">
        <f t="shared" ref="L137:L190" si="17">IF(K137="","",IF(ABS(K137)&gt;=30%,"显著",IF(ABS(K137)&gt;=10%,"关注","")))</f>
        <v/>
      </c>
    </row>
    <row r="138" spans="1:12">
      <c r="A138" s="904" t="str">
        <f>未审报表!A138</f>
        <v>合同负债</v>
      </c>
      <c r="B138" s="444">
        <f>未审报表!B138</f>
        <v>131</v>
      </c>
      <c r="C138" s="405">
        <f>未审报表!D138</f>
        <v>0</v>
      </c>
      <c r="D138" s="916" t="str">
        <f t="shared" si="12"/>
        <v/>
      </c>
      <c r="E138" s="122">
        <f>未审报表!C138</f>
        <v>0</v>
      </c>
      <c r="F138" s="124" t="str">
        <f t="shared" si="13"/>
        <v/>
      </c>
      <c r="G138" s="122">
        <f t="shared" si="14"/>
        <v>0</v>
      </c>
      <c r="H138" s="433" t="str">
        <f t="shared" si="15"/>
        <v/>
      </c>
      <c r="I138" s="187" t="str">
        <f>IF(H138="","",IF(OR(ABS(H138)&gt;=30%,ABS(G138)&gt;=$E$127*5%,ABS(G138)&gt;=未审PL分析!$E$42*10%),"显著",IF(ABS(H138)&gt;=10%,"关注","")))</f>
        <v/>
      </c>
      <c r="J138" s="439"/>
      <c r="K138" s="915" t="str">
        <f t="shared" si="16"/>
        <v/>
      </c>
      <c r="L138" s="914" t="str">
        <f t="shared" si="17"/>
        <v/>
      </c>
    </row>
    <row r="139" spans="1:12">
      <c r="A139" s="904" t="str">
        <f>未审报表!A139</f>
        <v>卖出回购金融资产款*</v>
      </c>
      <c r="B139" s="444">
        <f>未审报表!B139</f>
        <v>132</v>
      </c>
      <c r="C139" s="405">
        <f>未审报表!D139</f>
        <v>0</v>
      </c>
      <c r="D139" s="916" t="str">
        <f t="shared" si="12"/>
        <v/>
      </c>
      <c r="E139" s="122">
        <f>未审报表!C139</f>
        <v>0</v>
      </c>
      <c r="F139" s="124" t="str">
        <f t="shared" si="13"/>
        <v/>
      </c>
      <c r="G139" s="122">
        <f t="shared" si="14"/>
        <v>0</v>
      </c>
      <c r="H139" s="433" t="str">
        <f t="shared" si="15"/>
        <v/>
      </c>
      <c r="I139" s="187" t="str">
        <f>IF(H139="","",IF(OR(ABS(H139)&gt;=30%,ABS(G139)&gt;=$E$127*5%,ABS(G139)&gt;=未审PL分析!$E$42*10%),"显著",IF(ABS(H139)&gt;=10%,"关注","")))</f>
        <v/>
      </c>
      <c r="J139" s="439"/>
      <c r="K139" s="915" t="str">
        <f t="shared" si="16"/>
        <v/>
      </c>
      <c r="L139" s="914" t="str">
        <f t="shared" si="17"/>
        <v/>
      </c>
    </row>
    <row r="140" spans="1:12">
      <c r="A140" s="904" t="str">
        <f>未审报表!A140</f>
        <v>吸收存款及同业存放*</v>
      </c>
      <c r="B140" s="444">
        <f>未审报表!B140</f>
        <v>133</v>
      </c>
      <c r="C140" s="405">
        <f>未审报表!D140</f>
        <v>0</v>
      </c>
      <c r="D140" s="916" t="str">
        <f t="shared" si="12"/>
        <v/>
      </c>
      <c r="E140" s="122">
        <f>未审报表!C140</f>
        <v>0</v>
      </c>
      <c r="F140" s="124" t="str">
        <f t="shared" si="13"/>
        <v/>
      </c>
      <c r="G140" s="122">
        <f t="shared" si="14"/>
        <v>0</v>
      </c>
      <c r="H140" s="433" t="str">
        <f t="shared" si="15"/>
        <v/>
      </c>
      <c r="I140" s="187" t="str">
        <f>IF(H140="","",IF(OR(ABS(H140)&gt;=30%,ABS(G140)&gt;=$E$127*5%,ABS(G140)&gt;=未审PL分析!$E$42*10%),"显著",IF(ABS(H140)&gt;=10%,"关注","")))</f>
        <v/>
      </c>
      <c r="J140" s="439"/>
      <c r="K140" s="915" t="str">
        <f t="shared" si="16"/>
        <v/>
      </c>
      <c r="L140" s="914" t="str">
        <f t="shared" si="17"/>
        <v/>
      </c>
    </row>
    <row r="141" spans="1:12">
      <c r="A141" s="904" t="str">
        <f>未审报表!A141</f>
        <v>代理买卖证券款*</v>
      </c>
      <c r="B141" s="444">
        <f>未审报表!B141</f>
        <v>134</v>
      </c>
      <c r="C141" s="405">
        <f>未审报表!D141</f>
        <v>0</v>
      </c>
      <c r="D141" s="916" t="str">
        <f t="shared" si="12"/>
        <v/>
      </c>
      <c r="E141" s="122">
        <f>未审报表!C141</f>
        <v>0</v>
      </c>
      <c r="F141" s="124" t="str">
        <f t="shared" si="13"/>
        <v/>
      </c>
      <c r="G141" s="122">
        <f t="shared" si="14"/>
        <v>0</v>
      </c>
      <c r="H141" s="433" t="str">
        <f t="shared" si="15"/>
        <v/>
      </c>
      <c r="I141" s="187" t="str">
        <f>IF(H141="","",IF(OR(ABS(H141)&gt;=30%,ABS(G141)&gt;=$E$127*5%,ABS(G141)&gt;=未审PL分析!$E$42*10%),"显著",IF(ABS(H141)&gt;=10%,"关注","")))</f>
        <v/>
      </c>
      <c r="J141" s="439"/>
      <c r="K141" s="915" t="str">
        <f t="shared" si="16"/>
        <v/>
      </c>
      <c r="L141" s="914" t="str">
        <f t="shared" si="17"/>
        <v/>
      </c>
    </row>
    <row r="142" spans="1:12">
      <c r="A142" s="904" t="str">
        <f>未审报表!A142</f>
        <v>代理承销证券款*</v>
      </c>
      <c r="B142" s="444">
        <f>未审报表!B142</f>
        <v>135</v>
      </c>
      <c r="C142" s="405">
        <f>未审报表!D142</f>
        <v>0</v>
      </c>
      <c r="D142" s="916" t="str">
        <f t="shared" si="12"/>
        <v/>
      </c>
      <c r="E142" s="122">
        <f>未审报表!C142</f>
        <v>0</v>
      </c>
      <c r="F142" s="124" t="str">
        <f t="shared" si="13"/>
        <v/>
      </c>
      <c r="G142" s="122">
        <f t="shared" si="14"/>
        <v>0</v>
      </c>
      <c r="H142" s="433" t="str">
        <f t="shared" si="15"/>
        <v/>
      </c>
      <c r="I142" s="187" t="str">
        <f>IF(H142="","",IF(OR(ABS(H142)&gt;=30%,ABS(G142)&gt;=$E$127*5%,ABS(G142)&gt;=未审PL分析!$E$42*10%),"显著",IF(ABS(H142)&gt;=10%,"关注","")))</f>
        <v/>
      </c>
      <c r="J142" s="439"/>
      <c r="K142" s="915" t="str">
        <f t="shared" si="16"/>
        <v/>
      </c>
      <c r="L142" s="914" t="str">
        <f t="shared" si="17"/>
        <v/>
      </c>
    </row>
    <row r="143" spans="1:12">
      <c r="A143" s="904" t="str">
        <f>未审报表!A143</f>
        <v>应付职工薪酬</v>
      </c>
      <c r="B143" s="444">
        <f>未审报表!B143</f>
        <v>136</v>
      </c>
      <c r="C143" s="405">
        <f>未审报表!D143</f>
        <v>0</v>
      </c>
      <c r="D143" s="916" t="str">
        <f t="shared" si="12"/>
        <v/>
      </c>
      <c r="E143" s="122">
        <f>未审报表!C143</f>
        <v>7036440.0999999996</v>
      </c>
      <c r="F143" s="124">
        <f t="shared" si="13"/>
        <v>6.4780717698584886E-2</v>
      </c>
      <c r="G143" s="122">
        <f t="shared" si="14"/>
        <v>7036440.0999999996</v>
      </c>
      <c r="H143" s="433">
        <f t="shared" si="15"/>
        <v>1</v>
      </c>
      <c r="I143" s="187" t="str">
        <f>IF(H143="","",IF(OR(ABS(H143)&gt;=30%,ABS(G143)&gt;=$E$127*5%,ABS(G143)&gt;=未审PL分析!$E$42*10%),"显著",IF(ABS(H143)&gt;=10%,"关注","")))</f>
        <v>显著</v>
      </c>
      <c r="J143" s="439"/>
      <c r="K143" s="915">
        <f t="shared" si="16"/>
        <v>6.4780717698584886E-2</v>
      </c>
      <c r="L143" s="914" t="str">
        <f t="shared" si="17"/>
        <v/>
      </c>
    </row>
    <row r="144" spans="1:12">
      <c r="A144" s="904" t="str">
        <f>未审报表!A144</f>
        <v xml:space="preserve">  其中：应付工资</v>
      </c>
      <c r="B144" s="444">
        <f>未审报表!B144</f>
        <v>137</v>
      </c>
      <c r="C144" s="405">
        <f>未审报表!D144</f>
        <v>0</v>
      </c>
      <c r="D144" s="916" t="str">
        <f t="shared" si="12"/>
        <v/>
      </c>
      <c r="E144" s="122">
        <f>未审报表!C144</f>
        <v>6978454</v>
      </c>
      <c r="F144" s="124">
        <f t="shared" si="13"/>
        <v>6.4246870878153353E-2</v>
      </c>
      <c r="G144" s="122">
        <f t="shared" si="14"/>
        <v>6978454</v>
      </c>
      <c r="H144" s="433">
        <f t="shared" si="15"/>
        <v>1</v>
      </c>
      <c r="I144" s="187" t="str">
        <f>IF(H144="","",IF(OR(ABS(H144)&gt;=30%,ABS(G144)&gt;=$E$127*5%,ABS(G144)&gt;=未审PL分析!$E$42*10%),"显著",IF(ABS(H144)&gt;=10%,"关注","")))</f>
        <v>显著</v>
      </c>
      <c r="J144" s="439"/>
      <c r="K144" s="915">
        <f t="shared" si="16"/>
        <v>6.4246870878153353E-2</v>
      </c>
      <c r="L144" s="914" t="str">
        <f t="shared" si="17"/>
        <v/>
      </c>
    </row>
    <row r="145" spans="1:13">
      <c r="A145" s="904" t="str">
        <f>未审报表!A145</f>
        <v xml:space="preserve">      应付福利费</v>
      </c>
      <c r="B145" s="444">
        <f>未审报表!B145</f>
        <v>138</v>
      </c>
      <c r="C145" s="405">
        <f>未审报表!D145</f>
        <v>0</v>
      </c>
      <c r="D145" s="916" t="str">
        <f t="shared" si="12"/>
        <v/>
      </c>
      <c r="E145" s="122">
        <f>未审报表!C145</f>
        <v>3000</v>
      </c>
      <c r="F145" s="124">
        <f t="shared" si="13"/>
        <v>2.7619385702687167E-5</v>
      </c>
      <c r="G145" s="122">
        <f t="shared" si="14"/>
        <v>3000</v>
      </c>
      <c r="H145" s="433">
        <f t="shared" si="15"/>
        <v>1</v>
      </c>
      <c r="I145" s="187" t="str">
        <f>IF(H145="","",IF(OR(ABS(H145)&gt;=30%,ABS(G145)&gt;=$E$127*5%,ABS(G145)&gt;=未审PL分析!$E$42*10%),"显著",IF(ABS(H145)&gt;=10%,"关注","")))</f>
        <v>显著</v>
      </c>
      <c r="J145" s="439"/>
      <c r="K145" s="915">
        <f t="shared" si="16"/>
        <v>2.7619385702687167E-5</v>
      </c>
      <c r="L145" s="914" t="str">
        <f t="shared" si="17"/>
        <v/>
      </c>
    </row>
    <row r="146" spans="1:13">
      <c r="A146" s="904" t="str">
        <f>未审报表!A146</f>
        <v xml:space="preserve">     #其中：职工奖励及福利基金</v>
      </c>
      <c r="B146" s="444">
        <f>未审报表!B146</f>
        <v>139</v>
      </c>
      <c r="C146" s="405">
        <f>未审报表!D146</f>
        <v>0</v>
      </c>
      <c r="D146" s="916" t="str">
        <f t="shared" si="12"/>
        <v/>
      </c>
      <c r="E146" s="122">
        <f>未审报表!C146</f>
        <v>10000</v>
      </c>
      <c r="F146" s="124">
        <f t="shared" si="13"/>
        <v>9.2064619008957229E-5</v>
      </c>
      <c r="G146" s="122">
        <f t="shared" si="14"/>
        <v>10000</v>
      </c>
      <c r="H146" s="433">
        <f t="shared" si="15"/>
        <v>1</v>
      </c>
      <c r="I146" s="187" t="str">
        <f>IF(H146="","",IF(OR(ABS(H146)&gt;=30%,ABS(G146)&gt;=$E$127*5%,ABS(G146)&gt;=未审PL分析!$E$42*10%),"显著",IF(ABS(H146)&gt;=10%,"关注","")))</f>
        <v>显著</v>
      </c>
      <c r="J146" s="439"/>
      <c r="K146" s="915">
        <f t="shared" si="16"/>
        <v>9.2064619008957229E-5</v>
      </c>
      <c r="L146" s="914" t="str">
        <f t="shared" si="17"/>
        <v/>
      </c>
    </row>
    <row r="147" spans="1:13">
      <c r="A147" s="904" t="str">
        <f>未审报表!A147</f>
        <v>应交税费</v>
      </c>
      <c r="B147" s="444">
        <f>未审报表!B147</f>
        <v>140</v>
      </c>
      <c r="C147" s="405">
        <f>未审报表!D147</f>
        <v>4493249.99</v>
      </c>
      <c r="D147" s="916">
        <f t="shared" si="12"/>
        <v>6.2824942607497505E-2</v>
      </c>
      <c r="E147" s="122">
        <f>未审报表!C147</f>
        <v>2971505.38</v>
      </c>
      <c r="F147" s="124">
        <f t="shared" si="13"/>
        <v>2.7357051069276665E-2</v>
      </c>
      <c r="G147" s="122">
        <f t="shared" si="14"/>
        <v>-1521744.6100000003</v>
      </c>
      <c r="H147" s="433">
        <f t="shared" si="15"/>
        <v>-0.3386734798612886</v>
      </c>
      <c r="I147" s="187" t="str">
        <f>IF(H147="","",IF(OR(ABS(H147)&gt;=30%,ABS(G147)&gt;=$E$127*5%,ABS(G147)&gt;=未审PL分析!$E$42*10%),"显著",IF(ABS(H147)&gt;=10%,"关注","")))</f>
        <v>显著</v>
      </c>
      <c r="J147" s="439"/>
      <c r="K147" s="915">
        <f t="shared" si="16"/>
        <v>-3.5467891538220844E-2</v>
      </c>
      <c r="L147" s="914" t="str">
        <f t="shared" si="17"/>
        <v/>
      </c>
    </row>
    <row r="148" spans="1:13">
      <c r="A148" s="904" t="str">
        <f>未审报表!A148</f>
        <v xml:space="preserve"> 其中：应交税金</v>
      </c>
      <c r="B148" s="444">
        <f>未审报表!B148</f>
        <v>141</v>
      </c>
      <c r="C148" s="405">
        <f>未审报表!D148</f>
        <v>0</v>
      </c>
      <c r="D148" s="916" t="str">
        <f t="shared" si="12"/>
        <v/>
      </c>
      <c r="E148" s="122">
        <f>未审报表!C148</f>
        <v>2900000</v>
      </c>
      <c r="F148" s="124">
        <f t="shared" si="13"/>
        <v>2.6698739512597595E-2</v>
      </c>
      <c r="G148" s="122">
        <f t="shared" si="14"/>
        <v>2900000</v>
      </c>
      <c r="H148" s="433">
        <f t="shared" si="15"/>
        <v>1</v>
      </c>
      <c r="I148" s="187" t="str">
        <f>IF(H148="","",IF(OR(ABS(H148)&gt;=30%,ABS(G148)&gt;=$E$127*5%,ABS(G148)&gt;=未审PL分析!$E$42*10%),"显著",IF(ABS(H148)&gt;=10%,"关注","")))</f>
        <v>显著</v>
      </c>
      <c r="J148" s="439"/>
      <c r="K148" s="915">
        <f t="shared" si="16"/>
        <v>2.6698739512597595E-2</v>
      </c>
      <c r="L148" s="914" t="str">
        <f t="shared" si="17"/>
        <v/>
      </c>
    </row>
    <row r="149" spans="1:13">
      <c r="A149" s="904" t="str">
        <f>未审报表!A149</f>
        <v>其他应付款</v>
      </c>
      <c r="B149" s="444">
        <f>未审报表!B149</f>
        <v>142</v>
      </c>
      <c r="C149" s="405">
        <f>未审报表!D149</f>
        <v>1164224.7800000005</v>
      </c>
      <c r="D149" s="916">
        <f t="shared" si="12"/>
        <v>1.6278274110834958E-2</v>
      </c>
      <c r="E149" s="122">
        <f>未审报表!C149</f>
        <v>1361520.14</v>
      </c>
      <c r="F149" s="124">
        <f t="shared" si="13"/>
        <v>1.253478329621221E-2</v>
      </c>
      <c r="G149" s="122">
        <f t="shared" si="14"/>
        <v>197295.3599999994</v>
      </c>
      <c r="H149" s="433">
        <f t="shared" si="15"/>
        <v>0.16946500657716573</v>
      </c>
      <c r="I149" s="187" t="str">
        <f>IF(H149="","",IF(OR(ABS(H149)&gt;=30%,ABS(G149)&gt;=$E$127*5%,ABS(G149)&gt;=未审PL分析!$E$42*10%),"显著",IF(ABS(H149)&gt;=10%,"关注","")))</f>
        <v>关注</v>
      </c>
      <c r="J149" s="439"/>
      <c r="K149" s="915">
        <f t="shared" si="16"/>
        <v>-3.7434908146227481E-3</v>
      </c>
      <c r="L149" s="914" t="str">
        <f t="shared" si="17"/>
        <v/>
      </c>
    </row>
    <row r="150" spans="1:13">
      <c r="A150" s="904" t="str">
        <f>未审报表!A150</f>
        <v xml:space="preserve">  其中：应付利息</v>
      </c>
      <c r="B150" s="444">
        <f>未审报表!B150</f>
        <v>143</v>
      </c>
      <c r="C150" s="405">
        <f>未审报表!D150</f>
        <v>0</v>
      </c>
      <c r="D150" s="916" t="str">
        <f t="shared" si="12"/>
        <v/>
      </c>
      <c r="E150" s="122">
        <f>未审报表!C150</f>
        <v>612345</v>
      </c>
      <c r="F150" s="124">
        <f t="shared" si="13"/>
        <v>5.6375309127039913E-3</v>
      </c>
      <c r="G150" s="122">
        <f t="shared" si="14"/>
        <v>612345</v>
      </c>
      <c r="H150" s="433">
        <f t="shared" si="15"/>
        <v>1</v>
      </c>
      <c r="I150" s="187" t="str">
        <f>IF(H150="","",IF(OR(ABS(H150)&gt;=30%,ABS(G150)&gt;=$E$127*5%,ABS(G150)&gt;=未审PL分析!$E$42*10%),"显著",IF(ABS(H150)&gt;=10%,"关注","")))</f>
        <v>显著</v>
      </c>
      <c r="J150" s="439"/>
      <c r="K150" s="915">
        <f t="shared" si="16"/>
        <v>5.6375309127039913E-3</v>
      </c>
      <c r="L150" s="914" t="str">
        <f t="shared" si="17"/>
        <v/>
      </c>
    </row>
    <row r="151" spans="1:13">
      <c r="A151" s="904" t="str">
        <f>未审报表!A151</f>
        <v xml:space="preserve">        应付股利</v>
      </c>
      <c r="B151" s="444">
        <f>未审报表!B151</f>
        <v>144</v>
      </c>
      <c r="C151" s="405">
        <f>未审报表!D151</f>
        <v>0</v>
      </c>
      <c r="D151" s="916" t="str">
        <f t="shared" si="12"/>
        <v/>
      </c>
      <c r="E151" s="122">
        <f>未审报表!C151</f>
        <v>1432</v>
      </c>
      <c r="F151" s="124">
        <f t="shared" si="13"/>
        <v>1.3183653442082674E-5</v>
      </c>
      <c r="G151" s="122">
        <f t="shared" si="14"/>
        <v>1432</v>
      </c>
      <c r="H151" s="433">
        <f t="shared" si="15"/>
        <v>1</v>
      </c>
      <c r="I151" s="187" t="str">
        <f>IF(H151="","",IF(OR(ABS(H151)&gt;=30%,ABS(G151)&gt;=$E$127*5%,ABS(G151)&gt;=未审PL分析!$E$42*10%),"显著",IF(ABS(H151)&gt;=10%,"关注","")))</f>
        <v>显著</v>
      </c>
      <c r="J151" s="439"/>
      <c r="K151" s="915">
        <f t="shared" si="16"/>
        <v>1.3183653442082674E-5</v>
      </c>
      <c r="L151" s="914" t="str">
        <f t="shared" si="17"/>
        <v/>
      </c>
    </row>
    <row r="152" spans="1:13">
      <c r="A152" s="904" t="str">
        <f>未审报表!A152</f>
        <v>应付手续费及佣金*</v>
      </c>
      <c r="B152" s="444">
        <f>未审报表!B152</f>
        <v>145</v>
      </c>
      <c r="C152" s="405">
        <f>未审报表!D152</f>
        <v>0</v>
      </c>
      <c r="D152" s="916" t="str">
        <f t="shared" si="12"/>
        <v/>
      </c>
      <c r="E152" s="122">
        <f>未审报表!C152</f>
        <v>0</v>
      </c>
      <c r="F152" s="124" t="str">
        <f t="shared" si="13"/>
        <v/>
      </c>
      <c r="G152" s="122">
        <f t="shared" si="14"/>
        <v>0</v>
      </c>
      <c r="H152" s="433" t="str">
        <f t="shared" si="15"/>
        <v/>
      </c>
      <c r="I152" s="187" t="str">
        <f>IF(H152="","",IF(OR(ABS(H152)&gt;=30%,ABS(G152)&gt;=$E$127*5%,ABS(G152)&gt;=未审PL分析!$E$42*10%),"显著",IF(ABS(H152)&gt;=10%,"关注","")))</f>
        <v/>
      </c>
      <c r="J152" s="439"/>
      <c r="K152" s="915" t="str">
        <f t="shared" si="16"/>
        <v/>
      </c>
      <c r="L152" s="914" t="str">
        <f t="shared" si="17"/>
        <v/>
      </c>
    </row>
    <row r="153" spans="1:13">
      <c r="A153" s="904" t="str">
        <f>未审报表!A153</f>
        <v>应付分保账款*</v>
      </c>
      <c r="B153" s="444">
        <f>未审报表!B153</f>
        <v>146</v>
      </c>
      <c r="C153" s="405">
        <f>未审报表!D153</f>
        <v>0</v>
      </c>
      <c r="D153" s="916" t="str">
        <f t="shared" si="12"/>
        <v/>
      </c>
      <c r="E153" s="122">
        <f>未审报表!C153</f>
        <v>0</v>
      </c>
      <c r="F153" s="124" t="str">
        <f t="shared" si="13"/>
        <v/>
      </c>
      <c r="G153" s="122">
        <f t="shared" si="14"/>
        <v>0</v>
      </c>
      <c r="H153" s="433" t="str">
        <f t="shared" si="15"/>
        <v/>
      </c>
      <c r="I153" s="187" t="str">
        <f>IF(H153="","",IF(OR(ABS(H153)&gt;=30%,ABS(G153)&gt;=$E$127*5%,ABS(G153)&gt;=未审PL分析!$E$42*10%),"显著",IF(ABS(H153)&gt;=10%,"关注","")))</f>
        <v/>
      </c>
      <c r="J153" s="439"/>
      <c r="K153" s="915" t="str">
        <f t="shared" si="16"/>
        <v/>
      </c>
      <c r="L153" s="914" t="str">
        <f t="shared" si="17"/>
        <v/>
      </c>
    </row>
    <row r="154" spans="1:13">
      <c r="A154" s="904" t="str">
        <f>未审报表!A154</f>
        <v>持有待售负债</v>
      </c>
      <c r="B154" s="444">
        <f>未审报表!B154</f>
        <v>147</v>
      </c>
      <c r="C154" s="405">
        <f>未审报表!D154</f>
        <v>0</v>
      </c>
      <c r="D154" s="916" t="str">
        <f t="shared" si="12"/>
        <v/>
      </c>
      <c r="E154" s="122">
        <f>未审报表!C154</f>
        <v>0</v>
      </c>
      <c r="F154" s="124" t="str">
        <f t="shared" si="13"/>
        <v/>
      </c>
      <c r="G154" s="122">
        <f t="shared" si="14"/>
        <v>0</v>
      </c>
      <c r="H154" s="433" t="str">
        <f t="shared" si="15"/>
        <v/>
      </c>
      <c r="I154" s="187" t="str">
        <f>IF(H154="","",IF(OR(ABS(H154)&gt;=30%,ABS(G154)&gt;=$E$127*5%,ABS(G154)&gt;=未审PL分析!$E$42*10%),"显著",IF(ABS(H154)&gt;=10%,"关注","")))</f>
        <v/>
      </c>
      <c r="J154" s="439"/>
      <c r="K154" s="915" t="str">
        <f t="shared" si="16"/>
        <v/>
      </c>
      <c r="L154" s="914" t="str">
        <f t="shared" si="17"/>
        <v/>
      </c>
    </row>
    <row r="155" spans="1:13">
      <c r="A155" s="904" t="str">
        <f>未审报表!A155</f>
        <v>一年内到期的非流动负债</v>
      </c>
      <c r="B155" s="444">
        <f>未审报表!B155</f>
        <v>148</v>
      </c>
      <c r="C155" s="405">
        <f>未审报表!D155</f>
        <v>0</v>
      </c>
      <c r="D155" s="916" t="str">
        <f t="shared" si="12"/>
        <v/>
      </c>
      <c r="E155" s="122">
        <f>未审报表!C155</f>
        <v>0</v>
      </c>
      <c r="F155" s="124" t="str">
        <f t="shared" si="13"/>
        <v/>
      </c>
      <c r="G155" s="122">
        <f t="shared" si="14"/>
        <v>0</v>
      </c>
      <c r="H155" s="433" t="str">
        <f t="shared" si="15"/>
        <v/>
      </c>
      <c r="I155" s="187" t="str">
        <f>IF(H155="","",IF(OR(ABS(H155)&gt;=30%,ABS(G155)&gt;=$E$127*5%,ABS(G155)&gt;=未审PL分析!$E$42*10%),"显著",IF(ABS(H155)&gt;=10%,"关注","")))</f>
        <v/>
      </c>
      <c r="J155" s="439"/>
      <c r="K155" s="915" t="str">
        <f t="shared" si="16"/>
        <v/>
      </c>
      <c r="L155" s="914" t="str">
        <f t="shared" si="17"/>
        <v/>
      </c>
    </row>
    <row r="156" spans="1:13">
      <c r="A156" s="904" t="str">
        <f>未审报表!A156</f>
        <v>其他流动负债</v>
      </c>
      <c r="B156" s="444">
        <f>未审报表!B156</f>
        <v>149</v>
      </c>
      <c r="C156" s="405">
        <f>未审报表!D156</f>
        <v>0</v>
      </c>
      <c r="D156" s="916" t="str">
        <f t="shared" si="12"/>
        <v/>
      </c>
      <c r="E156" s="122">
        <f>未审报表!C156</f>
        <v>0</v>
      </c>
      <c r="F156" s="124" t="str">
        <f t="shared" si="13"/>
        <v/>
      </c>
      <c r="G156" s="122">
        <f t="shared" si="14"/>
        <v>0</v>
      </c>
      <c r="H156" s="433" t="str">
        <f t="shared" si="15"/>
        <v/>
      </c>
      <c r="I156" s="187" t="str">
        <f>IF(H156="","",IF(OR(ABS(H156)&gt;=30%,ABS(G156)&gt;=$E$127*5%,ABS(G156)&gt;=未审PL分析!$E$42*10%),"显著",IF(ABS(H156)&gt;=10%,"关注","")))</f>
        <v/>
      </c>
      <c r="J156" s="439"/>
      <c r="K156" s="915" t="str">
        <f t="shared" si="16"/>
        <v/>
      </c>
      <c r="L156" s="914" t="str">
        <f t="shared" si="17"/>
        <v/>
      </c>
    </row>
    <row r="157" spans="1:13">
      <c r="A157" s="904" t="str">
        <f>未审报表!A157</f>
        <v>保险合同准备金*</v>
      </c>
      <c r="B157" s="444">
        <f>未审报表!B157</f>
        <v>150</v>
      </c>
      <c r="C157" s="405">
        <f>未审报表!D157</f>
        <v>0</v>
      </c>
      <c r="D157" s="916" t="str">
        <f t="shared" si="12"/>
        <v/>
      </c>
      <c r="E157" s="122">
        <f>未审报表!C157</f>
        <v>0</v>
      </c>
      <c r="F157" s="124" t="str">
        <f t="shared" si="13"/>
        <v/>
      </c>
      <c r="G157" s="122">
        <f t="shared" si="14"/>
        <v>0</v>
      </c>
      <c r="H157" s="433" t="str">
        <f t="shared" si="15"/>
        <v/>
      </c>
      <c r="I157" s="187" t="str">
        <f>IF(H157="","",IF(OR(ABS(H157)&gt;=30%,ABS(G157)&gt;=$E$127*5%,ABS(G157)&gt;=未审PL分析!$E$42*10%),"显著",IF(ABS(H157)&gt;=10%,"关注","")))</f>
        <v/>
      </c>
      <c r="J157" s="439"/>
      <c r="K157" s="915" t="str">
        <f t="shared" si="16"/>
        <v/>
      </c>
      <c r="L157" s="914" t="str">
        <f t="shared" si="17"/>
        <v/>
      </c>
    </row>
    <row r="158" spans="1:13">
      <c r="A158" s="905" t="str">
        <f>未审报表!A158</f>
        <v>流动负债合计</v>
      </c>
      <c r="B158" s="444">
        <f>未审报表!B158</f>
        <v>151</v>
      </c>
      <c r="C158" s="405">
        <f>未审报表!D158</f>
        <v>9195302</v>
      </c>
      <c r="D158" s="916">
        <f t="shared" si="12"/>
        <v>0.1285693699870474</v>
      </c>
      <c r="E158" s="122">
        <f>未审报表!C158</f>
        <v>20514110.34</v>
      </c>
      <c r="F158" s="124">
        <f t="shared" si="13"/>
        <v>0.18886237527598099</v>
      </c>
      <c r="G158" s="122">
        <f t="shared" si="14"/>
        <v>11318808.34</v>
      </c>
      <c r="H158" s="433">
        <f t="shared" si="15"/>
        <v>1.2309338333857875</v>
      </c>
      <c r="I158" s="187" t="str">
        <f>IF(H158="","",IF(OR(ABS(H158)&gt;=30%,ABS(G158)&gt;=$E$127*5%,ABS(G158)&gt;=未审PL分析!$E$42*10%),"显著",IF(ABS(H158)&gt;=10%,"关注","")))</f>
        <v>显著</v>
      </c>
      <c r="J158" s="896"/>
      <c r="K158" s="915">
        <f t="shared" si="16"/>
        <v>6.0293005288933582E-2</v>
      </c>
      <c r="L158" s="914" t="str">
        <f t="shared" si="17"/>
        <v/>
      </c>
      <c r="M158" s="897"/>
    </row>
    <row r="159" spans="1:13">
      <c r="A159" s="904" t="str">
        <f>未审报表!A159</f>
        <v>非流动负债:</v>
      </c>
      <c r="B159" s="444">
        <f>未审报表!B159</f>
        <v>152</v>
      </c>
      <c r="C159" s="405">
        <f>未审报表!D159</f>
        <v>0</v>
      </c>
      <c r="D159" s="916" t="str">
        <f t="shared" si="12"/>
        <v/>
      </c>
      <c r="E159" s="122">
        <f>未审报表!C159</f>
        <v>0</v>
      </c>
      <c r="F159" s="124" t="str">
        <f t="shared" si="13"/>
        <v/>
      </c>
      <c r="G159" s="122">
        <f t="shared" si="14"/>
        <v>0</v>
      </c>
      <c r="H159" s="433" t="str">
        <f t="shared" si="15"/>
        <v/>
      </c>
      <c r="I159" s="187" t="str">
        <f>IF(H159="","",IF(OR(ABS(H159)&gt;=30%,ABS(G159)&gt;=$E$127*5%,ABS(G159)&gt;=未审PL分析!$E$42*10%),"显著",IF(ABS(H159)&gt;=10%,"关注","")))</f>
        <v/>
      </c>
      <c r="J159" s="439"/>
      <c r="K159" s="915" t="str">
        <f t="shared" si="16"/>
        <v/>
      </c>
      <c r="L159" s="914" t="str">
        <f t="shared" si="17"/>
        <v/>
      </c>
    </row>
    <row r="160" spans="1:13">
      <c r="A160" s="904" t="str">
        <f>未审报表!A160</f>
        <v>长期借款</v>
      </c>
      <c r="B160" s="444">
        <f>未审报表!B160</f>
        <v>153</v>
      </c>
      <c r="C160" s="405">
        <f>未审报表!D160</f>
        <v>0</v>
      </c>
      <c r="D160" s="916" t="str">
        <f t="shared" si="12"/>
        <v/>
      </c>
      <c r="E160" s="122">
        <f>未审报表!C160</f>
        <v>0</v>
      </c>
      <c r="F160" s="124" t="str">
        <f t="shared" si="13"/>
        <v/>
      </c>
      <c r="G160" s="122">
        <f t="shared" si="14"/>
        <v>0</v>
      </c>
      <c r="H160" s="433" t="str">
        <f t="shared" si="15"/>
        <v/>
      </c>
      <c r="I160" s="187" t="str">
        <f>IF(H160="","",IF(OR(ABS(H160)&gt;=30%,ABS(G160)&gt;=$E$127*5%,ABS(G160)&gt;=未审PL分析!$E$42*10%),"显著",IF(ABS(H160)&gt;=10%,"关注","")))</f>
        <v/>
      </c>
      <c r="J160" s="439"/>
      <c r="K160" s="915" t="str">
        <f t="shared" si="16"/>
        <v/>
      </c>
      <c r="L160" s="914" t="str">
        <f t="shared" si="17"/>
        <v/>
      </c>
    </row>
    <row r="161" spans="1:13">
      <c r="A161" s="904" t="str">
        <f>未审报表!A161</f>
        <v>应付债券</v>
      </c>
      <c r="B161" s="444">
        <f>未审报表!B161</f>
        <v>154</v>
      </c>
      <c r="C161" s="405">
        <f>未审报表!D161</f>
        <v>0</v>
      </c>
      <c r="D161" s="916" t="str">
        <f t="shared" si="12"/>
        <v/>
      </c>
      <c r="E161" s="122">
        <f>未审报表!C161</f>
        <v>0</v>
      </c>
      <c r="F161" s="124" t="str">
        <f t="shared" si="13"/>
        <v/>
      </c>
      <c r="G161" s="122">
        <f t="shared" si="14"/>
        <v>0</v>
      </c>
      <c r="H161" s="433" t="str">
        <f t="shared" si="15"/>
        <v/>
      </c>
      <c r="I161" s="187" t="str">
        <f>IF(H161="","",IF(OR(ABS(H161)&gt;=30%,ABS(G161)&gt;=$E$127*5%,ABS(G161)&gt;=未审PL分析!$E$42*10%),"显著",IF(ABS(H161)&gt;=10%,"关注","")))</f>
        <v/>
      </c>
      <c r="J161" s="439"/>
      <c r="K161" s="915" t="str">
        <f t="shared" si="16"/>
        <v/>
      </c>
      <c r="L161" s="914" t="str">
        <f t="shared" si="17"/>
        <v/>
      </c>
    </row>
    <row r="162" spans="1:13">
      <c r="A162" s="904" t="str">
        <f>未审报表!A162</f>
        <v xml:space="preserve">  其中：优先股</v>
      </c>
      <c r="B162" s="444">
        <f>未审报表!B162</f>
        <v>155</v>
      </c>
      <c r="C162" s="405">
        <f>未审报表!D162</f>
        <v>0</v>
      </c>
      <c r="D162" s="916" t="str">
        <f t="shared" si="12"/>
        <v/>
      </c>
      <c r="E162" s="122">
        <f>未审报表!C162</f>
        <v>0</v>
      </c>
      <c r="F162" s="124" t="str">
        <f t="shared" si="13"/>
        <v/>
      </c>
      <c r="G162" s="122">
        <f t="shared" si="14"/>
        <v>0</v>
      </c>
      <c r="H162" s="433" t="str">
        <f t="shared" si="15"/>
        <v/>
      </c>
      <c r="I162" s="187" t="str">
        <f>IF(H162="","",IF(OR(ABS(H162)&gt;=30%,ABS(G162)&gt;=$E$127*5%,ABS(G162)&gt;=未审PL分析!$E$42*10%),"显著",IF(ABS(H162)&gt;=10%,"关注","")))</f>
        <v/>
      </c>
      <c r="J162" s="439"/>
      <c r="K162" s="915" t="str">
        <f t="shared" si="16"/>
        <v/>
      </c>
      <c r="L162" s="914" t="str">
        <f t="shared" si="17"/>
        <v/>
      </c>
    </row>
    <row r="163" spans="1:13">
      <c r="A163" s="904" t="str">
        <f>未审报表!A163</f>
        <v xml:space="preserve">        永续债</v>
      </c>
      <c r="B163" s="444">
        <f>未审报表!B163</f>
        <v>156</v>
      </c>
      <c r="C163" s="405">
        <f>未审报表!D163</f>
        <v>0</v>
      </c>
      <c r="D163" s="916" t="str">
        <f t="shared" si="12"/>
        <v/>
      </c>
      <c r="E163" s="122">
        <f>未审报表!C163</f>
        <v>0</v>
      </c>
      <c r="F163" s="124" t="str">
        <f t="shared" si="13"/>
        <v/>
      </c>
      <c r="G163" s="122">
        <f t="shared" si="14"/>
        <v>0</v>
      </c>
      <c r="H163" s="433" t="str">
        <f t="shared" si="15"/>
        <v/>
      </c>
      <c r="I163" s="187" t="str">
        <f>IF(H163="","",IF(OR(ABS(H163)&gt;=30%,ABS(G163)&gt;=$E$127*5%,ABS(G163)&gt;=未审PL分析!$E$42*10%),"显著",IF(ABS(H163)&gt;=10%,"关注","")))</f>
        <v/>
      </c>
      <c r="J163" s="439"/>
      <c r="K163" s="915" t="str">
        <f t="shared" si="16"/>
        <v/>
      </c>
      <c r="L163" s="914" t="str">
        <f t="shared" si="17"/>
        <v/>
      </c>
    </row>
    <row r="164" spans="1:13">
      <c r="A164" s="904" t="str">
        <f>未审报表!A164</f>
        <v>租赁负债</v>
      </c>
      <c r="B164" s="444">
        <f>未审报表!B164</f>
        <v>157</v>
      </c>
      <c r="C164" s="405">
        <f>未审报表!D164</f>
        <v>0</v>
      </c>
      <c r="D164" s="916" t="str">
        <f t="shared" si="12"/>
        <v/>
      </c>
      <c r="E164" s="122">
        <f>未审报表!C164</f>
        <v>0</v>
      </c>
      <c r="F164" s="124" t="str">
        <f t="shared" si="13"/>
        <v/>
      </c>
      <c r="G164" s="122">
        <f t="shared" si="14"/>
        <v>0</v>
      </c>
      <c r="H164" s="433" t="str">
        <f t="shared" si="15"/>
        <v/>
      </c>
      <c r="I164" s="187" t="str">
        <f>IF(H164="","",IF(OR(ABS(H164)&gt;=30%,ABS(G164)&gt;=$E$127*5%,ABS(G164)&gt;=未审PL分析!$E$42*10%),"显著",IF(ABS(H164)&gt;=10%,"关注","")))</f>
        <v/>
      </c>
      <c r="J164" s="439"/>
      <c r="K164" s="915" t="str">
        <f t="shared" si="16"/>
        <v/>
      </c>
      <c r="L164" s="914" t="str">
        <f t="shared" si="17"/>
        <v/>
      </c>
    </row>
    <row r="165" spans="1:13">
      <c r="A165" s="904" t="str">
        <f>未审报表!A165</f>
        <v>长期应付款</v>
      </c>
      <c r="B165" s="444">
        <f>未审报表!B165</f>
        <v>158</v>
      </c>
      <c r="C165" s="405">
        <f>未审报表!D165</f>
        <v>0</v>
      </c>
      <c r="D165" s="916" t="str">
        <f t="shared" si="12"/>
        <v/>
      </c>
      <c r="E165" s="122">
        <f>未审报表!C165</f>
        <v>0</v>
      </c>
      <c r="F165" s="124" t="str">
        <f t="shared" si="13"/>
        <v/>
      </c>
      <c r="G165" s="122">
        <f t="shared" si="14"/>
        <v>0</v>
      </c>
      <c r="H165" s="433" t="str">
        <f t="shared" si="15"/>
        <v/>
      </c>
      <c r="I165" s="187" t="str">
        <f>IF(H165="","",IF(OR(ABS(H165)&gt;=30%,ABS(G165)&gt;=$E$127*5%,ABS(G165)&gt;=未审PL分析!$E$42*10%),"显著",IF(ABS(H165)&gt;=10%,"关注","")))</f>
        <v/>
      </c>
      <c r="J165" s="439"/>
      <c r="K165" s="915" t="str">
        <f t="shared" si="16"/>
        <v/>
      </c>
      <c r="L165" s="914" t="str">
        <f t="shared" si="17"/>
        <v/>
      </c>
    </row>
    <row r="166" spans="1:13">
      <c r="A166" s="904" t="str">
        <f>未审报表!A166</f>
        <v>专项应付款</v>
      </c>
      <c r="B166" s="444">
        <f>未审报表!B166</f>
        <v>159</v>
      </c>
      <c r="C166" s="405">
        <f>未审报表!D166</f>
        <v>0</v>
      </c>
      <c r="D166" s="916" t="str">
        <f t="shared" si="12"/>
        <v/>
      </c>
      <c r="E166" s="122">
        <f>未审报表!C166</f>
        <v>0</v>
      </c>
      <c r="F166" s="124" t="str">
        <f t="shared" si="13"/>
        <v/>
      </c>
      <c r="G166" s="122">
        <f t="shared" si="14"/>
        <v>0</v>
      </c>
      <c r="H166" s="433" t="str">
        <f t="shared" si="15"/>
        <v/>
      </c>
      <c r="I166" s="187" t="str">
        <f>IF(H166="","",IF(OR(ABS(H166)&gt;=30%,ABS(G166)&gt;=$E$127*5%,ABS(G166)&gt;=未审PL分析!$E$42*10%),"显著",IF(ABS(H166)&gt;=10%,"关注","")))</f>
        <v/>
      </c>
      <c r="J166" s="439"/>
      <c r="K166" s="915" t="str">
        <f t="shared" si="16"/>
        <v/>
      </c>
      <c r="L166" s="914" t="str">
        <f t="shared" si="17"/>
        <v/>
      </c>
    </row>
    <row r="167" spans="1:13">
      <c r="A167" s="904" t="str">
        <f>未审报表!A167</f>
        <v>长期应付职工薪酬</v>
      </c>
      <c r="B167" s="444">
        <f>未审报表!B167</f>
        <v>160</v>
      </c>
      <c r="C167" s="405">
        <f>未审报表!D167</f>
        <v>0</v>
      </c>
      <c r="D167" s="916" t="str">
        <f t="shared" si="12"/>
        <v/>
      </c>
      <c r="E167" s="122">
        <f>未审报表!C167</f>
        <v>0</v>
      </c>
      <c r="F167" s="124" t="str">
        <f t="shared" si="13"/>
        <v/>
      </c>
      <c r="G167" s="122">
        <f t="shared" si="14"/>
        <v>0</v>
      </c>
      <c r="H167" s="433" t="str">
        <f t="shared" si="15"/>
        <v/>
      </c>
      <c r="I167" s="187" t="str">
        <f>IF(H167="","",IF(OR(ABS(H167)&gt;=30%,ABS(G167)&gt;=$E$127*5%,ABS(G167)&gt;=未审PL分析!$E$42*10%),"显著",IF(ABS(H167)&gt;=10%,"关注","")))</f>
        <v/>
      </c>
      <c r="J167" s="439"/>
      <c r="K167" s="915" t="str">
        <f t="shared" si="16"/>
        <v/>
      </c>
      <c r="L167" s="914" t="str">
        <f t="shared" si="17"/>
        <v/>
      </c>
    </row>
    <row r="168" spans="1:13">
      <c r="A168" s="904" t="str">
        <f>未审报表!A168</f>
        <v>预计负债</v>
      </c>
      <c r="B168" s="444">
        <f>未审报表!B168</f>
        <v>161</v>
      </c>
      <c r="C168" s="405">
        <f>未审报表!D168</f>
        <v>0</v>
      </c>
      <c r="D168" s="916" t="str">
        <f t="shared" si="12"/>
        <v/>
      </c>
      <c r="E168" s="122">
        <f>未审报表!C168</f>
        <v>0</v>
      </c>
      <c r="F168" s="124" t="str">
        <f t="shared" si="13"/>
        <v/>
      </c>
      <c r="G168" s="122">
        <f t="shared" si="14"/>
        <v>0</v>
      </c>
      <c r="H168" s="433" t="str">
        <f t="shared" si="15"/>
        <v/>
      </c>
      <c r="I168" s="187" t="str">
        <f>IF(H168="","",IF(OR(ABS(H168)&gt;=30%,ABS(G168)&gt;=$E$127*5%,ABS(G168)&gt;=未审PL分析!$E$42*10%),"显著",IF(ABS(H168)&gt;=10%,"关注","")))</f>
        <v/>
      </c>
      <c r="J168" s="439"/>
      <c r="K168" s="915" t="str">
        <f t="shared" si="16"/>
        <v/>
      </c>
      <c r="L168" s="914" t="str">
        <f t="shared" si="17"/>
        <v/>
      </c>
    </row>
    <row r="169" spans="1:13">
      <c r="A169" s="904" t="str">
        <f>未审报表!A169</f>
        <v>递延收益</v>
      </c>
      <c r="B169" s="444">
        <f>未审报表!B169</f>
        <v>162</v>
      </c>
      <c r="C169" s="405">
        <f>未审报表!D169</f>
        <v>0</v>
      </c>
      <c r="D169" s="916" t="str">
        <f t="shared" si="12"/>
        <v/>
      </c>
      <c r="E169" s="122">
        <f>未审报表!C169</f>
        <v>0</v>
      </c>
      <c r="F169" s="124" t="str">
        <f t="shared" si="13"/>
        <v/>
      </c>
      <c r="G169" s="122">
        <f t="shared" si="14"/>
        <v>0</v>
      </c>
      <c r="H169" s="433" t="str">
        <f t="shared" si="15"/>
        <v/>
      </c>
      <c r="I169" s="187" t="str">
        <f>IF(H169="","",IF(OR(ABS(H169)&gt;=30%,ABS(G169)&gt;=$E$127*5%,ABS(G169)&gt;=未审PL分析!$E$42*10%),"显著",IF(ABS(H169)&gt;=10%,"关注","")))</f>
        <v/>
      </c>
      <c r="J169" s="439"/>
      <c r="K169" s="915" t="str">
        <f t="shared" si="16"/>
        <v/>
      </c>
      <c r="L169" s="914" t="str">
        <f t="shared" si="17"/>
        <v/>
      </c>
    </row>
    <row r="170" spans="1:13">
      <c r="A170" s="904" t="str">
        <f>未审报表!A170</f>
        <v>递延所得税负债</v>
      </c>
      <c r="B170" s="444">
        <f>未审报表!B170</f>
        <v>163</v>
      </c>
      <c r="C170" s="405">
        <f>未审报表!D170</f>
        <v>0</v>
      </c>
      <c r="D170" s="916" t="str">
        <f t="shared" si="12"/>
        <v/>
      </c>
      <c r="E170" s="122">
        <f>未审报表!C170</f>
        <v>0</v>
      </c>
      <c r="F170" s="124" t="str">
        <f t="shared" si="13"/>
        <v/>
      </c>
      <c r="G170" s="122">
        <f t="shared" si="14"/>
        <v>0</v>
      </c>
      <c r="H170" s="433" t="str">
        <f t="shared" si="15"/>
        <v/>
      </c>
      <c r="I170" s="187" t="str">
        <f>IF(H170="","",IF(OR(ABS(H170)&gt;=30%,ABS(G170)&gt;=$E$127*5%,ABS(G170)&gt;=未审PL分析!$E$42*10%),"显著",IF(ABS(H170)&gt;=10%,"关注","")))</f>
        <v/>
      </c>
      <c r="J170" s="439"/>
      <c r="K170" s="915" t="str">
        <f t="shared" si="16"/>
        <v/>
      </c>
      <c r="L170" s="914" t="str">
        <f t="shared" si="17"/>
        <v/>
      </c>
    </row>
    <row r="171" spans="1:13">
      <c r="A171" s="904" t="str">
        <f>未审报表!A171</f>
        <v>其他非流动负债</v>
      </c>
      <c r="B171" s="444">
        <f>未审报表!B171</f>
        <v>164</v>
      </c>
      <c r="C171" s="405">
        <f>未审报表!D171</f>
        <v>0</v>
      </c>
      <c r="D171" s="916" t="str">
        <f t="shared" si="12"/>
        <v/>
      </c>
      <c r="E171" s="122">
        <f>未审报表!C171</f>
        <v>0</v>
      </c>
      <c r="F171" s="124" t="str">
        <f t="shared" si="13"/>
        <v/>
      </c>
      <c r="G171" s="122">
        <f t="shared" si="14"/>
        <v>0</v>
      </c>
      <c r="H171" s="433" t="str">
        <f t="shared" si="15"/>
        <v/>
      </c>
      <c r="I171" s="187" t="str">
        <f>IF(H171="","",IF(OR(ABS(H171)&gt;=30%,ABS(G171)&gt;=$E$127*5%,ABS(G171)&gt;=未审PL分析!$E$42*10%),"显著",IF(ABS(H171)&gt;=10%,"关注","")))</f>
        <v/>
      </c>
      <c r="J171" s="439"/>
      <c r="K171" s="915" t="str">
        <f t="shared" si="16"/>
        <v/>
      </c>
      <c r="L171" s="914" t="str">
        <f t="shared" si="17"/>
        <v/>
      </c>
    </row>
    <row r="172" spans="1:13">
      <c r="A172" s="904" t="str">
        <f>未审报表!A172</f>
        <v xml:space="preserve"> 其中：特准储备基金</v>
      </c>
      <c r="B172" s="444">
        <f>未审报表!B172</f>
        <v>165</v>
      </c>
      <c r="C172" s="405">
        <f>未审报表!D172</f>
        <v>0</v>
      </c>
      <c r="D172" s="916" t="str">
        <f t="shared" si="12"/>
        <v/>
      </c>
      <c r="E172" s="122">
        <f>未审报表!C172</f>
        <v>0</v>
      </c>
      <c r="F172" s="124" t="str">
        <f t="shared" si="13"/>
        <v/>
      </c>
      <c r="G172" s="122">
        <f t="shared" si="14"/>
        <v>0</v>
      </c>
      <c r="H172" s="433" t="str">
        <f t="shared" si="15"/>
        <v/>
      </c>
      <c r="I172" s="187" t="str">
        <f>IF(H172="","",IF(OR(ABS(H172)&gt;=30%,ABS(G172)&gt;=$E$127*5%,ABS(G172)&gt;=未审PL分析!$E$42*10%),"显著",IF(ABS(H172)&gt;=10%,"关注","")))</f>
        <v/>
      </c>
      <c r="J172" s="439"/>
      <c r="K172" s="915" t="str">
        <f t="shared" si="16"/>
        <v/>
      </c>
      <c r="L172" s="914" t="str">
        <f t="shared" si="17"/>
        <v/>
      </c>
    </row>
    <row r="173" spans="1:13">
      <c r="A173" s="905" t="str">
        <f>未审报表!A173</f>
        <v>非流动负债合计</v>
      </c>
      <c r="B173" s="444">
        <f>未审报表!B173</f>
        <v>166</v>
      </c>
      <c r="C173" s="405">
        <f>未审报表!D173</f>
        <v>0</v>
      </c>
      <c r="D173" s="916" t="str">
        <f t="shared" si="12"/>
        <v/>
      </c>
      <c r="E173" s="122">
        <f>未审报表!C173</f>
        <v>0</v>
      </c>
      <c r="F173" s="124" t="str">
        <f t="shared" si="13"/>
        <v/>
      </c>
      <c r="G173" s="122">
        <f t="shared" si="14"/>
        <v>0</v>
      </c>
      <c r="H173" s="433" t="str">
        <f t="shared" si="15"/>
        <v/>
      </c>
      <c r="I173" s="187" t="str">
        <f>IF(H173="","",IF(OR(ABS(H173)&gt;=30%,ABS(G173)&gt;=$E$127*5%,ABS(G173)&gt;=未审PL分析!$E$42*10%),"显著",IF(ABS(H173)&gt;=10%,"关注","")))</f>
        <v/>
      </c>
      <c r="J173" s="896"/>
      <c r="K173" s="915" t="str">
        <f t="shared" si="16"/>
        <v/>
      </c>
      <c r="L173" s="914" t="str">
        <f t="shared" si="17"/>
        <v/>
      </c>
      <c r="M173" s="897"/>
    </row>
    <row r="174" spans="1:13">
      <c r="A174" s="905" t="str">
        <f>未审报表!A174</f>
        <v>负 债 合 计</v>
      </c>
      <c r="B174" s="444">
        <f>未审报表!B174</f>
        <v>167</v>
      </c>
      <c r="C174" s="405">
        <f>未审报表!D174</f>
        <v>9195302</v>
      </c>
      <c r="D174" s="916">
        <f t="shared" si="12"/>
        <v>0.1285693699870474</v>
      </c>
      <c r="E174" s="122">
        <f>未审报表!C174</f>
        <v>20514110.34</v>
      </c>
      <c r="F174" s="124">
        <f t="shared" si="13"/>
        <v>0.18886237527598099</v>
      </c>
      <c r="G174" s="122">
        <f t="shared" si="14"/>
        <v>11318808.34</v>
      </c>
      <c r="H174" s="433">
        <f t="shared" si="15"/>
        <v>1.2309338333857875</v>
      </c>
      <c r="I174" s="187" t="str">
        <f>IF(H174="","",IF(OR(ABS(H174)&gt;=30%,ABS(G174)&gt;=$E$127*5%,ABS(G174)&gt;=未审PL分析!$E$42*10%),"显著",IF(ABS(H174)&gt;=10%,"关注","")))</f>
        <v>显著</v>
      </c>
      <c r="J174" s="896"/>
      <c r="K174" s="915">
        <f t="shared" si="16"/>
        <v>6.0293005288933582E-2</v>
      </c>
      <c r="L174" s="914" t="str">
        <f t="shared" si="17"/>
        <v/>
      </c>
      <c r="M174" s="897"/>
    </row>
    <row r="175" spans="1:13">
      <c r="A175" s="904" t="str">
        <f>未审报表!A175</f>
        <v>股东权益：</v>
      </c>
      <c r="B175" s="444">
        <f>未审报表!B175</f>
        <v>168</v>
      </c>
      <c r="C175" s="405">
        <f>未审报表!D175</f>
        <v>0</v>
      </c>
      <c r="D175" s="916" t="str">
        <f t="shared" si="12"/>
        <v/>
      </c>
      <c r="E175" s="122">
        <f>未审报表!C175</f>
        <v>0</v>
      </c>
      <c r="F175" s="124" t="str">
        <f t="shared" si="13"/>
        <v/>
      </c>
      <c r="G175" s="122">
        <f t="shared" si="14"/>
        <v>0</v>
      </c>
      <c r="H175" s="433" t="str">
        <f t="shared" si="15"/>
        <v/>
      </c>
      <c r="I175" s="187" t="str">
        <f>IF(H175="","",IF(OR(ABS(H175)&gt;=30%,ABS(G175)&gt;=$E$127*5%,ABS(G175)&gt;=未审PL分析!$E$42*10%),"显著",IF(ABS(H175)&gt;=10%,"关注","")))</f>
        <v/>
      </c>
      <c r="J175" s="439"/>
      <c r="K175" s="915" t="str">
        <f t="shared" si="16"/>
        <v/>
      </c>
      <c r="L175" s="914" t="str">
        <f t="shared" si="17"/>
        <v/>
      </c>
    </row>
    <row r="176" spans="1:13">
      <c r="A176" s="904" t="str">
        <f>未审报表!A176</f>
        <v>实收资本（或股本）</v>
      </c>
      <c r="B176" s="444">
        <f>未审报表!B176</f>
        <v>169</v>
      </c>
      <c r="C176" s="405">
        <f>未审报表!D176</f>
        <v>51000000</v>
      </c>
      <c r="D176" s="916">
        <f t="shared" si="12"/>
        <v>0.71308564627234827</v>
      </c>
      <c r="E176" s="122">
        <f>未审报表!C176</f>
        <v>51350000</v>
      </c>
      <c r="F176" s="124">
        <f t="shared" si="13"/>
        <v>0.47275181861099536</v>
      </c>
      <c r="G176" s="122">
        <f t="shared" si="14"/>
        <v>350000</v>
      </c>
      <c r="H176" s="433">
        <f t="shared" si="15"/>
        <v>6.8627450980392156E-3</v>
      </c>
      <c r="I176" s="187" t="str">
        <f>IF(H176="","",IF(OR(ABS(H176)&gt;=30%,ABS(G176)&gt;=$E$127*5%,ABS(G176)&gt;=未审PL分析!$E$42*10%),"显著",IF(ABS(H176)&gt;=10%,"关注","")))</f>
        <v/>
      </c>
      <c r="J176" s="439"/>
      <c r="K176" s="915">
        <f t="shared" si="16"/>
        <v>-0.24033382766135292</v>
      </c>
      <c r="L176" s="914" t="str">
        <f t="shared" si="17"/>
        <v>关注</v>
      </c>
    </row>
    <row r="177" spans="1:13">
      <c r="A177" s="904" t="str">
        <f>未审报表!A177</f>
        <v>其他权益工具</v>
      </c>
      <c r="B177" s="444">
        <f>未审报表!B177</f>
        <v>170</v>
      </c>
      <c r="C177" s="405">
        <f>未审报表!D177</f>
        <v>0</v>
      </c>
      <c r="D177" s="916" t="str">
        <f t="shared" si="12"/>
        <v/>
      </c>
      <c r="E177" s="122">
        <f>未审报表!C177</f>
        <v>0</v>
      </c>
      <c r="F177" s="124" t="str">
        <f t="shared" si="13"/>
        <v/>
      </c>
      <c r="G177" s="122">
        <f t="shared" si="14"/>
        <v>0</v>
      </c>
      <c r="H177" s="433" t="str">
        <f t="shared" si="15"/>
        <v/>
      </c>
      <c r="I177" s="187" t="str">
        <f>IF(H177="","",IF(OR(ABS(H177)&gt;=30%,ABS(G177)&gt;=$E$127*5%,ABS(G177)&gt;=未审PL分析!$E$42*10%),"显著",IF(ABS(H177)&gt;=10%,"关注","")))</f>
        <v/>
      </c>
      <c r="J177" s="439"/>
      <c r="K177" s="915" t="str">
        <f t="shared" si="16"/>
        <v/>
      </c>
      <c r="L177" s="914" t="str">
        <f t="shared" si="17"/>
        <v/>
      </c>
    </row>
    <row r="178" spans="1:13">
      <c r="A178" s="904" t="str">
        <f>未审报表!A178</f>
        <v xml:space="preserve">  其中：优先股</v>
      </c>
      <c r="B178" s="444">
        <f>未审报表!B178</f>
        <v>171</v>
      </c>
      <c r="C178" s="405">
        <f>未审报表!D178</f>
        <v>0</v>
      </c>
      <c r="D178" s="916" t="str">
        <f t="shared" si="12"/>
        <v/>
      </c>
      <c r="E178" s="122">
        <f>未审报表!C178</f>
        <v>0</v>
      </c>
      <c r="F178" s="124" t="str">
        <f t="shared" si="13"/>
        <v/>
      </c>
      <c r="G178" s="122">
        <f t="shared" si="14"/>
        <v>0</v>
      </c>
      <c r="H178" s="433" t="str">
        <f t="shared" si="15"/>
        <v/>
      </c>
      <c r="I178" s="187" t="str">
        <f>IF(H178="","",IF(OR(ABS(H178)&gt;=30%,ABS(G178)&gt;=$E$127*5%,ABS(G178)&gt;=未审PL分析!$E$42*10%),"显著",IF(ABS(H178)&gt;=10%,"关注","")))</f>
        <v/>
      </c>
      <c r="J178" s="439"/>
      <c r="K178" s="915" t="str">
        <f t="shared" si="16"/>
        <v/>
      </c>
      <c r="L178" s="914" t="str">
        <f t="shared" si="17"/>
        <v/>
      </c>
    </row>
    <row r="179" spans="1:13">
      <c r="A179" s="904" t="str">
        <f>未审报表!A179</f>
        <v xml:space="preserve">        永续债</v>
      </c>
      <c r="B179" s="444">
        <f>未审报表!B179</f>
        <v>172</v>
      </c>
      <c r="C179" s="405">
        <f>未审报表!D179</f>
        <v>0</v>
      </c>
      <c r="D179" s="916" t="str">
        <f t="shared" si="12"/>
        <v/>
      </c>
      <c r="E179" s="122">
        <f>未审报表!C179</f>
        <v>0</v>
      </c>
      <c r="F179" s="124" t="str">
        <f t="shared" si="13"/>
        <v/>
      </c>
      <c r="G179" s="122">
        <f t="shared" si="14"/>
        <v>0</v>
      </c>
      <c r="H179" s="433" t="str">
        <f t="shared" si="15"/>
        <v/>
      </c>
      <c r="I179" s="187" t="str">
        <f>IF(H179="","",IF(OR(ABS(H179)&gt;=30%,ABS(G179)&gt;=$E$127*5%,ABS(G179)&gt;=未审PL分析!$E$42*10%),"显著",IF(ABS(H179)&gt;=10%,"关注","")))</f>
        <v/>
      </c>
      <c r="J179" s="439"/>
      <c r="K179" s="915" t="str">
        <f t="shared" si="16"/>
        <v/>
      </c>
      <c r="L179" s="914" t="str">
        <f t="shared" si="17"/>
        <v/>
      </c>
    </row>
    <row r="180" spans="1:13">
      <c r="A180" s="904" t="str">
        <f>未审报表!A180</f>
        <v>资本公积</v>
      </c>
      <c r="B180" s="444">
        <f>未审报表!B180</f>
        <v>173</v>
      </c>
      <c r="C180" s="405">
        <f>未审报表!D180</f>
        <v>2253786.7999999998</v>
      </c>
      <c r="D180" s="916">
        <f t="shared" si="12"/>
        <v>3.151260817329584E-2</v>
      </c>
      <c r="E180" s="122">
        <f>未审报表!C180</f>
        <v>2953786.8</v>
      </c>
      <c r="F180" s="124">
        <f t="shared" si="13"/>
        <v>2.7193925637568693E-2</v>
      </c>
      <c r="G180" s="122">
        <f t="shared" si="14"/>
        <v>700000</v>
      </c>
      <c r="H180" s="433">
        <f t="shared" si="15"/>
        <v>0.31058838395894417</v>
      </c>
      <c r="I180" s="187" t="str">
        <f>IF(H180="","",IF(OR(ABS(H180)&gt;=30%,ABS(G180)&gt;=$E$127*5%,ABS(G180)&gt;=未审PL分析!$E$42*10%),"显著",IF(ABS(H180)&gt;=10%,"关注","")))</f>
        <v>显著</v>
      </c>
      <c r="J180" s="439"/>
      <c r="K180" s="915">
        <f t="shared" si="16"/>
        <v>-4.3186825357271474E-3</v>
      </c>
      <c r="L180" s="914" t="str">
        <f t="shared" si="17"/>
        <v/>
      </c>
    </row>
    <row r="181" spans="1:13">
      <c r="A181" s="904" t="str">
        <f>未审报表!A181</f>
        <v>减：库存股</v>
      </c>
      <c r="B181" s="444">
        <f>未审报表!B181</f>
        <v>174</v>
      </c>
      <c r="C181" s="405">
        <f>未审报表!D181</f>
        <v>0</v>
      </c>
      <c r="D181" s="916" t="str">
        <f t="shared" si="12"/>
        <v/>
      </c>
      <c r="E181" s="122">
        <f>未审报表!C181</f>
        <v>0</v>
      </c>
      <c r="F181" s="124" t="str">
        <f t="shared" si="13"/>
        <v/>
      </c>
      <c r="G181" s="122">
        <f t="shared" si="14"/>
        <v>0</v>
      </c>
      <c r="H181" s="433" t="str">
        <f t="shared" si="15"/>
        <v/>
      </c>
      <c r="I181" s="187" t="str">
        <f>IF(H181="","",IF(OR(ABS(H181)&gt;=30%,ABS(G181)&gt;=$E$127*5%,ABS(G181)&gt;=未审PL分析!$E$42*10%),"显著",IF(ABS(H181)&gt;=10%,"关注","")))</f>
        <v/>
      </c>
      <c r="J181" s="439"/>
      <c r="K181" s="915" t="str">
        <f t="shared" si="16"/>
        <v/>
      </c>
      <c r="L181" s="914" t="str">
        <f t="shared" si="17"/>
        <v/>
      </c>
    </row>
    <row r="182" spans="1:13">
      <c r="A182" s="904" t="str">
        <f>未审报表!A182</f>
        <v>其他综合收益</v>
      </c>
      <c r="B182" s="444">
        <f>未审报表!B182</f>
        <v>175</v>
      </c>
      <c r="C182" s="405">
        <f>未审报表!D182</f>
        <v>0</v>
      </c>
      <c r="D182" s="916" t="str">
        <f t="shared" si="12"/>
        <v/>
      </c>
      <c r="E182" s="122">
        <f>未审报表!C182</f>
        <v>0</v>
      </c>
      <c r="F182" s="124" t="str">
        <f t="shared" si="13"/>
        <v/>
      </c>
      <c r="G182" s="122">
        <f t="shared" si="14"/>
        <v>0</v>
      </c>
      <c r="H182" s="433" t="str">
        <f t="shared" si="15"/>
        <v/>
      </c>
      <c r="I182" s="187" t="str">
        <f>IF(H182="","",IF(OR(ABS(H182)&gt;=30%,ABS(G182)&gt;=$E$127*5%,ABS(G182)&gt;=未审PL分析!$E$42*10%),"显著",IF(ABS(H182)&gt;=10%,"关注","")))</f>
        <v/>
      </c>
      <c r="J182" s="439"/>
      <c r="K182" s="915" t="str">
        <f t="shared" si="16"/>
        <v/>
      </c>
      <c r="L182" s="914" t="str">
        <f t="shared" si="17"/>
        <v/>
      </c>
    </row>
    <row r="183" spans="1:13">
      <c r="A183" s="904" t="str">
        <f>未审报表!A183</f>
        <v>专项储备</v>
      </c>
      <c r="B183" s="444">
        <f>未审报表!B183</f>
        <v>176</v>
      </c>
      <c r="C183" s="405">
        <f>未审报表!D183</f>
        <v>0</v>
      </c>
      <c r="D183" s="916" t="str">
        <f t="shared" si="12"/>
        <v/>
      </c>
      <c r="E183" s="122">
        <f>未审报表!C183</f>
        <v>0</v>
      </c>
      <c r="F183" s="124" t="str">
        <f t="shared" si="13"/>
        <v/>
      </c>
      <c r="G183" s="122">
        <f t="shared" si="14"/>
        <v>0</v>
      </c>
      <c r="H183" s="433" t="str">
        <f t="shared" si="15"/>
        <v/>
      </c>
      <c r="I183" s="187" t="str">
        <f>IF(H183="","",IF(OR(ABS(H183)&gt;=30%,ABS(G183)&gt;=$E$127*5%,ABS(G183)&gt;=未审PL分析!$E$42*10%),"显著",IF(ABS(H183)&gt;=10%,"关注","")))</f>
        <v/>
      </c>
      <c r="J183" s="439"/>
      <c r="K183" s="915" t="str">
        <f t="shared" si="16"/>
        <v/>
      </c>
      <c r="L183" s="914" t="str">
        <f t="shared" si="17"/>
        <v/>
      </c>
    </row>
    <row r="184" spans="1:13">
      <c r="A184" s="904" t="str">
        <f>未审报表!A184</f>
        <v>盈余公积</v>
      </c>
      <c r="B184" s="444">
        <f>未审报表!B184</f>
        <v>177</v>
      </c>
      <c r="C184" s="405">
        <f>未审报表!D184</f>
        <v>907107.19</v>
      </c>
      <c r="D184" s="916">
        <f t="shared" si="12"/>
        <v>1.2683237584694976E-2</v>
      </c>
      <c r="E184" s="122">
        <f>未审报表!C184</f>
        <v>907107.19</v>
      </c>
      <c r="F184" s="124">
        <f t="shared" si="13"/>
        <v>8.3512477847635762E-3</v>
      </c>
      <c r="G184" s="122">
        <f t="shared" si="14"/>
        <v>0</v>
      </c>
      <c r="H184" s="433">
        <f t="shared" si="15"/>
        <v>0</v>
      </c>
      <c r="I184" s="187" t="str">
        <f>IF(H184="","",IF(OR(ABS(H184)&gt;=30%,ABS(G184)&gt;=$E$127*5%,ABS(G184)&gt;=未审PL分析!$E$42*10%),"显著",IF(ABS(H184)&gt;=10%,"关注","")))</f>
        <v/>
      </c>
      <c r="J184" s="439"/>
      <c r="K184" s="915">
        <f t="shared" si="16"/>
        <v>-4.3319897999314003E-3</v>
      </c>
      <c r="L184" s="914" t="str">
        <f t="shared" si="17"/>
        <v/>
      </c>
    </row>
    <row r="185" spans="1:13">
      <c r="A185" s="904" t="str">
        <f>未审报表!A185</f>
        <v>一般风险准备*</v>
      </c>
      <c r="B185" s="444">
        <f>未审报表!B185</f>
        <v>178</v>
      </c>
      <c r="C185" s="405">
        <f>未审报表!D185</f>
        <v>0</v>
      </c>
      <c r="D185" s="916" t="str">
        <f t="shared" si="12"/>
        <v/>
      </c>
      <c r="E185" s="122">
        <f>未审报表!C185</f>
        <v>0</v>
      </c>
      <c r="F185" s="124" t="str">
        <f t="shared" si="13"/>
        <v/>
      </c>
      <c r="G185" s="122">
        <f t="shared" si="14"/>
        <v>0</v>
      </c>
      <c r="H185" s="433" t="str">
        <f t="shared" si="15"/>
        <v/>
      </c>
      <c r="I185" s="187" t="str">
        <f>IF(H185="","",IF(OR(ABS(H185)&gt;=30%,ABS(G185)&gt;=$E$127*5%,ABS(G185)&gt;=未审PL分析!$E$42*10%),"显著",IF(ABS(H185)&gt;=10%,"关注","")))</f>
        <v/>
      </c>
      <c r="J185" s="439"/>
      <c r="K185" s="915" t="str">
        <f t="shared" si="16"/>
        <v/>
      </c>
      <c r="L185" s="914" t="str">
        <f t="shared" si="17"/>
        <v/>
      </c>
    </row>
    <row r="186" spans="1:13">
      <c r="A186" s="904" t="str">
        <f>未审报表!A186</f>
        <v>未分配利润</v>
      </c>
      <c r="B186" s="444">
        <f>未审报表!B186</f>
        <v>179</v>
      </c>
      <c r="C186" s="405">
        <f>未审报表!D186</f>
        <v>8163964.6899999995</v>
      </c>
      <c r="D186" s="916">
        <f t="shared" si="12"/>
        <v>0.11414913798261336</v>
      </c>
      <c r="E186" s="122">
        <f>未审报表!C186</f>
        <v>32894355.719999999</v>
      </c>
      <c r="F186" s="124">
        <f t="shared" si="13"/>
        <v>0.30284063269069128</v>
      </c>
      <c r="G186" s="122">
        <f t="shared" si="14"/>
        <v>24730391.030000001</v>
      </c>
      <c r="H186" s="433">
        <f t="shared" si="15"/>
        <v>3.0292133747579943</v>
      </c>
      <c r="I186" s="187" t="str">
        <f>IF(H186="","",IF(OR(ABS(H186)&gt;=30%,ABS(G186)&gt;=$E$127*5%,ABS(G186)&gt;=未审PL分析!$E$42*10%),"显著",IF(ABS(H186)&gt;=10%,"关注","")))</f>
        <v>显著</v>
      </c>
      <c r="J186" s="439"/>
      <c r="K186" s="915">
        <f t="shared" si="16"/>
        <v>0.18869149470807792</v>
      </c>
      <c r="L186" s="914" t="str">
        <f t="shared" si="17"/>
        <v>关注</v>
      </c>
    </row>
    <row r="187" spans="1:13">
      <c r="A187" s="904" t="str">
        <f>未审报表!A187</f>
        <v>归属于母公司所有者权益（或股东权益）合计</v>
      </c>
      <c r="B187" s="444">
        <f>未审报表!B187</f>
        <v>180</v>
      </c>
      <c r="C187" s="405">
        <f>未审报表!D187</f>
        <v>62324858.679999992</v>
      </c>
      <c r="D187" s="916">
        <f t="shared" si="12"/>
        <v>0.8714306300129524</v>
      </c>
      <c r="E187" s="122">
        <f>未审报表!C187</f>
        <v>88105249.709999993</v>
      </c>
      <c r="F187" s="124">
        <f t="shared" si="13"/>
        <v>0.81113762472401885</v>
      </c>
      <c r="G187" s="122">
        <f t="shared" si="14"/>
        <v>25780391.030000001</v>
      </c>
      <c r="H187" s="433">
        <f t="shared" si="15"/>
        <v>0.41364539889880109</v>
      </c>
      <c r="I187" s="187" t="str">
        <f>IF(H187="","",IF(OR(ABS(H187)&gt;=30%,ABS(G187)&gt;=$E$127*5%,ABS(G187)&gt;=未审PL分析!$E$42*10%),"显著",IF(ABS(H187)&gt;=10%,"关注","")))</f>
        <v>显著</v>
      </c>
      <c r="J187" s="439"/>
      <c r="K187" s="915">
        <f t="shared" si="16"/>
        <v>-6.0293005288933554E-2</v>
      </c>
      <c r="L187" s="914" t="str">
        <f t="shared" si="17"/>
        <v/>
      </c>
    </row>
    <row r="188" spans="1:13">
      <c r="A188" s="904" t="str">
        <f>未审报表!A188</f>
        <v>少数股东权益</v>
      </c>
      <c r="B188" s="444">
        <f>未审报表!B188</f>
        <v>181</v>
      </c>
      <c r="C188" s="405">
        <f>未审报表!D188</f>
        <v>0</v>
      </c>
      <c r="D188" s="916" t="str">
        <f t="shared" si="12"/>
        <v/>
      </c>
      <c r="E188" s="122">
        <f>未审报表!C188</f>
        <v>0</v>
      </c>
      <c r="F188" s="124" t="str">
        <f t="shared" si="13"/>
        <v/>
      </c>
      <c r="G188" s="122">
        <f t="shared" si="14"/>
        <v>0</v>
      </c>
      <c r="H188" s="433" t="str">
        <f t="shared" si="15"/>
        <v/>
      </c>
      <c r="I188" s="187" t="str">
        <f>IF(H188="","",IF(OR(ABS(H188)&gt;=30%,ABS(G188)&gt;=$E$127*5%,ABS(G188)&gt;=未审PL分析!$E$42*10%),"显著",IF(ABS(H188)&gt;=10%,"关注","")))</f>
        <v/>
      </c>
      <c r="J188" s="439"/>
      <c r="K188" s="915" t="str">
        <f t="shared" si="16"/>
        <v/>
      </c>
      <c r="L188" s="914" t="str">
        <f t="shared" si="17"/>
        <v/>
      </c>
    </row>
    <row r="189" spans="1:13">
      <c r="A189" s="905" t="str">
        <f>未审报表!A189</f>
        <v>所有者权益（或股东权益）合计</v>
      </c>
      <c r="B189" s="444">
        <f>未审报表!B189</f>
        <v>182</v>
      </c>
      <c r="C189" s="405">
        <f>未审报表!D189</f>
        <v>62324858.679999992</v>
      </c>
      <c r="D189" s="916">
        <f t="shared" si="12"/>
        <v>0.8714306300129524</v>
      </c>
      <c r="E189" s="122">
        <f>未审报表!C189</f>
        <v>88105249.709999993</v>
      </c>
      <c r="F189" s="124">
        <f t="shared" si="13"/>
        <v>0.81113762472401885</v>
      </c>
      <c r="G189" s="122">
        <f t="shared" si="14"/>
        <v>25780391.030000001</v>
      </c>
      <c r="H189" s="433">
        <f t="shared" si="15"/>
        <v>0.41364539889880109</v>
      </c>
      <c r="I189" s="187" t="str">
        <f>IF(H189="","",IF(OR(ABS(H189)&gt;=30%,ABS(G189)&gt;=$E$127*5%,ABS(G189)&gt;=未审PL分析!$E$42*10%),"显著",IF(ABS(H189)&gt;=10%,"关注","")))</f>
        <v>显著</v>
      </c>
      <c r="J189" s="896"/>
      <c r="K189" s="915">
        <f t="shared" si="16"/>
        <v>-6.0293005288933554E-2</v>
      </c>
      <c r="L189" s="914" t="str">
        <f t="shared" si="17"/>
        <v/>
      </c>
      <c r="M189" s="897"/>
    </row>
    <row r="190" spans="1:13">
      <c r="A190" s="905" t="str">
        <f>未审报表!A190</f>
        <v>负债和所有者权益（或股东权益）总计</v>
      </c>
      <c r="B190" s="894">
        <f>未审报表!B190</f>
        <v>183</v>
      </c>
      <c r="C190" s="405">
        <f>未审报表!D190</f>
        <v>71520160.679999992</v>
      </c>
      <c r="D190" s="916">
        <f t="shared" si="12"/>
        <v>0.99999999999999978</v>
      </c>
      <c r="E190" s="122">
        <f>未审报表!C190</f>
        <v>108619360.05</v>
      </c>
      <c r="F190" s="124">
        <f t="shared" si="13"/>
        <v>0.99999999999999989</v>
      </c>
      <c r="G190" s="122">
        <f t="shared" si="14"/>
        <v>37099199.370000005</v>
      </c>
      <c r="H190" s="433">
        <f t="shared" si="15"/>
        <v>0.51872365801849329</v>
      </c>
      <c r="I190" s="187" t="str">
        <f>IF(H190="","",IF(OR(ABS(H190)&gt;=30%,ABS(G190)&gt;=$E$127*5%,ABS(G190)&gt;=未审PL分析!$E$42*10%),"显著",IF(ABS(H190)&gt;=10%,"关注","")))</f>
        <v>显著</v>
      </c>
      <c r="J190" s="896"/>
      <c r="K190" s="915">
        <f t="shared" si="16"/>
        <v>1.1102230246251565E-16</v>
      </c>
      <c r="L190" s="914" t="str">
        <f t="shared" si="17"/>
        <v/>
      </c>
      <c r="M190" s="897"/>
    </row>
  </sheetData>
  <sheetProtection formatCells="0" insertRows="0" autoFilter="0" pivotTables="0"/>
  <mergeCells count="10">
    <mergeCell ref="K4:K5"/>
    <mergeCell ref="L4:L6"/>
    <mergeCell ref="M4:M6"/>
    <mergeCell ref="A1:J1"/>
    <mergeCell ref="A4:A6"/>
    <mergeCell ref="I4:I6"/>
    <mergeCell ref="J4:J6"/>
    <mergeCell ref="B4:B6"/>
    <mergeCell ref="C4:D4"/>
    <mergeCell ref="E4:F4"/>
  </mergeCells>
  <phoneticPr fontId="4" type="noConversion"/>
  <conditionalFormatting sqref="I7">
    <cfRule type="cellIs" dxfId="56" priority="4" stopIfTrue="1" operator="equal">
      <formula>"异常"</formula>
    </cfRule>
  </conditionalFormatting>
  <conditionalFormatting sqref="I8:I190">
    <cfRule type="cellIs" dxfId="55" priority="5" stopIfTrue="1" operator="equal">
      <formula>"显著"</formula>
    </cfRule>
  </conditionalFormatting>
  <conditionalFormatting sqref="L8:L190">
    <cfRule type="cellIs" dxfId="54" priority="1" stopIfTrue="1" operator="equal">
      <formula>"显著"</formula>
    </cfRule>
  </conditionalFormatting>
  <printOptions horizontalCentered="1"/>
  <pageMargins left="0.35" right="0.23622047244094491" top="0.75" bottom="0.27" header="0.45" footer="0.2"/>
  <pageSetup paperSize="9" scale="28" orientation="portrait" blackAndWhite="1"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92D050"/>
    <pageSetUpPr fitToPage="1"/>
  </sheetPr>
  <dimension ref="A1:P92"/>
  <sheetViews>
    <sheetView showZeros="0" view="pageBreakPreview" zoomScale="90" zoomScaleNormal="100" zoomScaleSheetLayoutView="90" workbookViewId="0">
      <pane xSplit="2" ySplit="6" topLeftCell="C73" activePane="bottomRight" state="frozen"/>
      <selection activeCell="B57" sqref="B57"/>
      <selection pane="topRight" activeCell="B57" sqref="B57"/>
      <selection pane="bottomLeft" activeCell="B57" sqref="B57"/>
      <selection pane="bottomRight" activeCell="L3" sqref="L3"/>
    </sheetView>
  </sheetViews>
  <sheetFormatPr defaultColWidth="9" defaultRowHeight="13.2"/>
  <cols>
    <col min="1" max="1" width="42.59765625" style="203" customWidth="1"/>
    <col min="2" max="2" width="5.59765625" style="203" customWidth="1"/>
    <col min="3" max="4" width="10.59765625" style="203" customWidth="1"/>
    <col min="5" max="7" width="11.5" style="203" customWidth="1"/>
    <col min="8" max="8" width="8" style="203" customWidth="1"/>
    <col min="9" max="9" width="7.59765625" style="203" customWidth="1"/>
    <col min="10" max="10" width="12.8984375" style="203" customWidth="1"/>
    <col min="11" max="11" width="11.3984375" style="203" customWidth="1"/>
    <col min="12" max="16384" width="9" style="203"/>
  </cols>
  <sheetData>
    <row r="1" spans="1:16">
      <c r="A1" s="1141" t="s">
        <v>685</v>
      </c>
      <c r="B1" s="1141"/>
      <c r="C1" s="1141"/>
      <c r="D1" s="1141"/>
      <c r="E1" s="1141"/>
      <c r="F1" s="1141"/>
      <c r="G1" s="1141"/>
      <c r="H1" s="1141"/>
      <c r="I1" s="1141"/>
      <c r="J1" s="1141"/>
    </row>
    <row r="2" spans="1:16" s="38" customFormat="1" ht="15" customHeight="1">
      <c r="A2" s="135" t="str">
        <f>CONCATENATE("客户名称：",参数!D3)</f>
        <v>客户名称：二锅头</v>
      </c>
      <c r="B2" s="440" t="str">
        <f>CONCATENATE("编制：",参数!D17)</f>
        <v>编制：张</v>
      </c>
      <c r="G2" s="135" t="str">
        <f ca="1">CONCATENATE("日期：",TEXT(NOW(),"yyyy.mm.dd"))</f>
        <v>日期：2025.11.06</v>
      </c>
      <c r="J2" s="441"/>
      <c r="K2" s="442"/>
      <c r="L2" s="1029" t="s">
        <v>1845</v>
      </c>
      <c r="N2" s="75"/>
      <c r="O2" s="32"/>
      <c r="P2" s="75"/>
    </row>
    <row r="3" spans="1:16" s="38" customFormat="1" ht="17.25" customHeight="1" thickBot="1">
      <c r="A3" s="135" t="str">
        <f>CONCATENATE("会计期间：",TEXT(参数!D10,"yyyy.mm.dd"))</f>
        <v>会计期间：2022年度</v>
      </c>
      <c r="B3" s="440" t="str">
        <f>CONCATENATE("复核：",参数!D18)</f>
        <v>复核：刘</v>
      </c>
      <c r="G3" s="440" t="s">
        <v>686</v>
      </c>
      <c r="J3" s="440"/>
      <c r="K3" s="135"/>
      <c r="L3" s="440" t="s">
        <v>687</v>
      </c>
      <c r="N3" s="75"/>
      <c r="O3" s="32"/>
      <c r="P3" s="75"/>
    </row>
    <row r="4" spans="1:16" s="443" customFormat="1" ht="15.6" customHeight="1">
      <c r="A4" s="1135" t="s">
        <v>688</v>
      </c>
      <c r="B4" s="1138" t="s">
        <v>689</v>
      </c>
      <c r="C4" s="1156" t="s">
        <v>690</v>
      </c>
      <c r="D4" s="1157"/>
      <c r="E4" s="1156" t="s">
        <v>691</v>
      </c>
      <c r="F4" s="1157"/>
      <c r="G4" s="917" t="s">
        <v>1678</v>
      </c>
      <c r="H4" s="906"/>
      <c r="I4" s="1142" t="s">
        <v>693</v>
      </c>
      <c r="J4" s="1145" t="s">
        <v>694</v>
      </c>
      <c r="K4" s="1148" t="s">
        <v>1679</v>
      </c>
      <c r="L4" s="1150" t="s">
        <v>698</v>
      </c>
      <c r="M4" s="1153" t="s">
        <v>699</v>
      </c>
    </row>
    <row r="5" spans="1:16" s="443" customFormat="1" ht="15.6" customHeight="1">
      <c r="A5" s="1136"/>
      <c r="B5" s="1139"/>
      <c r="C5" s="907" t="s">
        <v>700</v>
      </c>
      <c r="D5" s="908" t="s">
        <v>701</v>
      </c>
      <c r="E5" s="907" t="s">
        <v>702</v>
      </c>
      <c r="F5" s="908" t="s">
        <v>701</v>
      </c>
      <c r="G5" s="909" t="s">
        <v>695</v>
      </c>
      <c r="H5" s="909" t="s">
        <v>696</v>
      </c>
      <c r="I5" s="1143"/>
      <c r="J5" s="1146"/>
      <c r="K5" s="1149"/>
      <c r="L5" s="1151"/>
      <c r="M5" s="1154"/>
    </row>
    <row r="6" spans="1:16" s="443" customFormat="1">
      <c r="A6" s="1137"/>
      <c r="B6" s="1140"/>
      <c r="C6" s="902" t="s">
        <v>55</v>
      </c>
      <c r="D6" s="902" t="s">
        <v>56</v>
      </c>
      <c r="E6" s="902" t="s">
        <v>1669</v>
      </c>
      <c r="F6" s="902" t="s">
        <v>1671</v>
      </c>
      <c r="G6" s="902" t="s">
        <v>1673</v>
      </c>
      <c r="H6" s="902" t="s">
        <v>1675</v>
      </c>
      <c r="I6" s="1144"/>
      <c r="J6" s="1147"/>
      <c r="K6" s="903" t="s">
        <v>1676</v>
      </c>
      <c r="L6" s="1152"/>
      <c r="M6" s="1155"/>
    </row>
    <row r="7" spans="1:16" s="443" customFormat="1">
      <c r="A7" s="911" t="str">
        <f>审定报表!A192</f>
        <v>一、营业总收入</v>
      </c>
      <c r="B7" s="444">
        <f>报表格式!I5</f>
        <v>1</v>
      </c>
      <c r="C7" s="445">
        <f>未审报表!D192</f>
        <v>22980342.579999998</v>
      </c>
      <c r="D7" s="445"/>
      <c r="E7" s="445">
        <f>未审报表!C192</f>
        <v>34154787.82</v>
      </c>
      <c r="F7" s="124">
        <f t="shared" ref="F7:F49" si="0">IF(AND(E7&lt;&gt;0,$E$7&lt;&gt;0),E7/$E$7,"")</f>
        <v>1</v>
      </c>
      <c r="G7" s="445">
        <f>E7-C7</f>
        <v>11174445.240000002</v>
      </c>
      <c r="H7" s="186">
        <f>IF(AND(C7=0,E7=0),"",IF(C7=0,100%,IF(E7=0,-100%,G7/C7)))</f>
        <v>0.48626103815028521</v>
      </c>
      <c r="I7" s="187" t="str">
        <f>IF(H7="","",IF(OR(ABS(H7)&gt;=30%,ABS(G7)&gt;=未审BS分析!$E$127*5%,ABS(G7)&gt;=$E$42*10%),"显著",IF(ABS(H7)&gt;=10%,"关注","")))</f>
        <v>显著</v>
      </c>
      <c r="J7" s="446"/>
      <c r="K7" s="915">
        <f>IF(AND(D7="",F7=""),"",IF(D7="",F7,IF(F7="",-D7,F7-D7)))</f>
        <v>1</v>
      </c>
      <c r="L7" s="914" t="str">
        <f>IF(K7="","",IF(ABS(K7)&gt;=30%,"显著",IF(ABS(K7)&gt;=10%,"关注","")))</f>
        <v>显著</v>
      </c>
      <c r="M7" s="914"/>
    </row>
    <row r="8" spans="1:16" s="443" customFormat="1">
      <c r="A8" s="912" t="str">
        <f>报表格式!H6</f>
        <v xml:space="preserve">        其中：主营业务收入</v>
      </c>
      <c r="B8" s="444">
        <f>报表格式!I6</f>
        <v>2</v>
      </c>
      <c r="C8" s="445">
        <f>未审报表!D193</f>
        <v>22980342.579999998</v>
      </c>
      <c r="D8" s="124">
        <f t="shared" ref="D8:D71" si="1">IF(AND(C8&lt;&gt;0,$C$7&lt;&gt;0),C8/$C$7,"")</f>
        <v>1</v>
      </c>
      <c r="E8" s="445">
        <f>未审报表!C193</f>
        <v>34154787.82</v>
      </c>
      <c r="F8" s="124">
        <f t="shared" si="0"/>
        <v>1</v>
      </c>
      <c r="G8" s="447">
        <f t="shared" ref="G8:G41" si="2">E8-C8</f>
        <v>11174445.240000002</v>
      </c>
      <c r="H8" s="123">
        <f t="shared" ref="H8:H41" si="3">IF(AND(C8=0,E8=0),"",IF(C8=0,100%,IF(E8=0,-100%,G8/C8)))</f>
        <v>0.48626103815028521</v>
      </c>
      <c r="I8" s="187" t="str">
        <f>IF(H8="","",IF(OR(ABS(H8)&gt;=30%,ABS(G8)&gt;=未审BS分析!$E$127*5%,ABS(G8)&gt;=$E$42*10%),"显著",IF(ABS(H8)&gt;=10%,"关注","")))</f>
        <v>显著</v>
      </c>
      <c r="J8" s="448"/>
      <c r="K8" s="915">
        <f t="shared" ref="K8:K70" si="4">IF(AND(D8="",F8=""),"",IF(D8="",F8,IF(F8="",-D8,F8-D8)))</f>
        <v>0</v>
      </c>
      <c r="L8" s="914" t="str">
        <f t="shared" ref="L8:L71" si="5">IF(K8="","",IF(ABS(K8)&gt;=30%,"显著",IF(ABS(K8)&gt;=10%,"关注","")))</f>
        <v/>
      </c>
      <c r="M8" s="914"/>
    </row>
    <row r="9" spans="1:16" s="443" customFormat="1">
      <c r="A9" s="912" t="str">
        <f>报表格式!H7</f>
        <v xml:space="preserve">              其他业务收入</v>
      </c>
      <c r="B9" s="444">
        <f>报表格式!I7</f>
        <v>3</v>
      </c>
      <c r="C9" s="445">
        <f>未审报表!D194</f>
        <v>0</v>
      </c>
      <c r="D9" s="124" t="str">
        <f t="shared" si="1"/>
        <v/>
      </c>
      <c r="E9" s="445">
        <f>未审报表!C194</f>
        <v>0</v>
      </c>
      <c r="F9" s="124" t="str">
        <f t="shared" si="0"/>
        <v/>
      </c>
      <c r="G9" s="447">
        <f t="shared" si="2"/>
        <v>0</v>
      </c>
      <c r="H9" s="123" t="str">
        <f t="shared" si="3"/>
        <v/>
      </c>
      <c r="I9" s="187" t="str">
        <f>IF(H9="","",IF(OR(ABS(H9)&gt;=30%,ABS(G9)&gt;=未审BS分析!$E$127*5%,ABS(G9)&gt;=$E$42*10%),"显著",IF(ABS(H9)&gt;=10%,"关注","")))</f>
        <v/>
      </c>
      <c r="J9" s="449"/>
      <c r="K9" s="915" t="str">
        <f t="shared" si="4"/>
        <v/>
      </c>
      <c r="L9" s="914" t="str">
        <f t="shared" si="5"/>
        <v/>
      </c>
      <c r="M9" s="914"/>
    </row>
    <row r="10" spans="1:16" s="443" customFormat="1">
      <c r="A10" s="912" t="str">
        <f>报表格式!H8</f>
        <v xml:space="preserve">           利息收入*</v>
      </c>
      <c r="B10" s="444">
        <f>报表格式!I8</f>
        <v>4</v>
      </c>
      <c r="C10" s="445">
        <f>未审报表!D195</f>
        <v>0</v>
      </c>
      <c r="D10" s="124" t="str">
        <f t="shared" si="1"/>
        <v/>
      </c>
      <c r="E10" s="445">
        <f>未审报表!C195</f>
        <v>0</v>
      </c>
      <c r="F10" s="124" t="str">
        <f t="shared" si="0"/>
        <v/>
      </c>
      <c r="G10" s="447">
        <f t="shared" si="2"/>
        <v>0</v>
      </c>
      <c r="H10" s="123" t="str">
        <f t="shared" si="3"/>
        <v/>
      </c>
      <c r="I10" s="187" t="str">
        <f>IF(H10="","",IF(OR(ABS(H10)&gt;=30%,ABS(G10)&gt;=未审BS分析!$E$127*5%,ABS(G10)&gt;=$E$42*10%),"显著",IF(ABS(H10)&gt;=10%,"关注","")))</f>
        <v/>
      </c>
      <c r="J10" s="449"/>
      <c r="K10" s="915" t="str">
        <f t="shared" si="4"/>
        <v/>
      </c>
      <c r="L10" s="914" t="str">
        <f t="shared" si="5"/>
        <v/>
      </c>
      <c r="M10" s="914"/>
    </row>
    <row r="11" spans="1:16" s="443" customFormat="1">
      <c r="A11" s="912" t="str">
        <f>报表格式!H9</f>
        <v xml:space="preserve">           已赚保费*</v>
      </c>
      <c r="B11" s="444">
        <f>报表格式!I9</f>
        <v>5</v>
      </c>
      <c r="C11" s="445">
        <f>未审报表!D196</f>
        <v>0</v>
      </c>
      <c r="D11" s="124" t="str">
        <f t="shared" si="1"/>
        <v/>
      </c>
      <c r="E11" s="445">
        <f>未审报表!C196</f>
        <v>0</v>
      </c>
      <c r="F11" s="124" t="str">
        <f t="shared" si="0"/>
        <v/>
      </c>
      <c r="G11" s="447">
        <f t="shared" si="2"/>
        <v>0</v>
      </c>
      <c r="H11" s="123" t="str">
        <f t="shared" si="3"/>
        <v/>
      </c>
      <c r="I11" s="187" t="str">
        <f>IF(H11="","",IF(OR(ABS(H11)&gt;=30%,ABS(G11)&gt;=未审BS分析!$E$127*5%,ABS(G11)&gt;=$E$42*10%),"显著",IF(ABS(H11)&gt;=10%,"关注","")))</f>
        <v/>
      </c>
      <c r="J11" s="449"/>
      <c r="K11" s="915" t="str">
        <f t="shared" si="4"/>
        <v/>
      </c>
      <c r="L11" s="914" t="str">
        <f t="shared" si="5"/>
        <v/>
      </c>
      <c r="M11" s="914"/>
    </row>
    <row r="12" spans="1:16" s="443" customFormat="1">
      <c r="A12" s="912" t="str">
        <f>报表格式!H10</f>
        <v xml:space="preserve">           手续费及佣金收入*</v>
      </c>
      <c r="B12" s="444">
        <f>报表格式!I10</f>
        <v>6</v>
      </c>
      <c r="C12" s="445">
        <f>未审报表!D197</f>
        <v>0</v>
      </c>
      <c r="D12" s="124" t="str">
        <f t="shared" si="1"/>
        <v/>
      </c>
      <c r="E12" s="445">
        <f>未审报表!C197</f>
        <v>0</v>
      </c>
      <c r="F12" s="124" t="str">
        <f t="shared" si="0"/>
        <v/>
      </c>
      <c r="G12" s="447">
        <f t="shared" si="2"/>
        <v>0</v>
      </c>
      <c r="H12" s="123" t="str">
        <f t="shared" si="3"/>
        <v/>
      </c>
      <c r="I12" s="187" t="str">
        <f>IF(H12="","",IF(OR(ABS(H12)&gt;=30%,ABS(G12)&gt;=未审BS分析!$E$127*5%,ABS(G12)&gt;=$E$42*10%),"显著",IF(ABS(H12)&gt;=10%,"关注","")))</f>
        <v/>
      </c>
      <c r="J12" s="449"/>
      <c r="K12" s="915" t="str">
        <f t="shared" si="4"/>
        <v/>
      </c>
      <c r="L12" s="914" t="str">
        <f t="shared" si="5"/>
        <v/>
      </c>
      <c r="M12" s="914"/>
    </row>
    <row r="13" spans="1:16" s="443" customFormat="1">
      <c r="A13" s="912" t="str">
        <f>报表格式!H11</f>
        <v xml:space="preserve">    减：营业总成本</v>
      </c>
      <c r="B13" s="444">
        <f>报表格式!I11</f>
        <v>7</v>
      </c>
      <c r="C13" s="445">
        <f>未审报表!D198</f>
        <v>10426499.75</v>
      </c>
      <c r="D13" s="124">
        <f t="shared" si="1"/>
        <v>0.45371385190202856</v>
      </c>
      <c r="E13" s="445">
        <f>未审报表!C198</f>
        <v>29586941.59</v>
      </c>
      <c r="F13" s="124">
        <f t="shared" si="0"/>
        <v>0.86626044190134865</v>
      </c>
      <c r="G13" s="447">
        <f t="shared" si="2"/>
        <v>19160441.84</v>
      </c>
      <c r="H13" s="123">
        <f t="shared" si="3"/>
        <v>1.8376677024329282</v>
      </c>
      <c r="I13" s="187" t="str">
        <f>IF(H13="","",IF(OR(ABS(H13)&gt;=30%,ABS(G13)&gt;=未审BS分析!$E$127*5%,ABS(G13)&gt;=$E$42*10%),"显著",IF(ABS(H13)&gt;=10%,"关注","")))</f>
        <v>显著</v>
      </c>
      <c r="J13" s="449"/>
      <c r="K13" s="915">
        <f t="shared" si="4"/>
        <v>0.41254658999932009</v>
      </c>
      <c r="L13" s="914" t="str">
        <f t="shared" si="5"/>
        <v>显著</v>
      </c>
      <c r="M13" s="914"/>
    </row>
    <row r="14" spans="1:16" s="443" customFormat="1">
      <c r="A14" s="912" t="str">
        <f>报表格式!H12</f>
        <v xml:space="preserve">        其中：主营业务成本</v>
      </c>
      <c r="B14" s="444">
        <f>报表格式!I12</f>
        <v>8</v>
      </c>
      <c r="C14" s="445">
        <f>未审报表!D199</f>
        <v>9866189.1400000006</v>
      </c>
      <c r="D14" s="124">
        <f t="shared" si="1"/>
        <v>0.42933168231297975</v>
      </c>
      <c r="E14" s="445">
        <f>未审报表!C199</f>
        <v>18745916.609999999</v>
      </c>
      <c r="F14" s="124">
        <f t="shared" si="0"/>
        <v>0.54885179520930771</v>
      </c>
      <c r="G14" s="447">
        <f t="shared" si="2"/>
        <v>8879727.4699999988</v>
      </c>
      <c r="H14" s="123">
        <f t="shared" si="3"/>
        <v>0.90001593766324228</v>
      </c>
      <c r="I14" s="187" t="str">
        <f>IF(H14="","",IF(OR(ABS(H14)&gt;=30%,ABS(G14)&gt;=未审BS分析!$E$127*5%,ABS(G14)&gt;=$E$42*10%),"显著",IF(ABS(H14)&gt;=10%,"关注","")))</f>
        <v>显著</v>
      </c>
      <c r="J14" s="449"/>
      <c r="K14" s="915">
        <f t="shared" si="4"/>
        <v>0.11952011289632797</v>
      </c>
      <c r="L14" s="914" t="str">
        <f t="shared" si="5"/>
        <v>关注</v>
      </c>
      <c r="M14" s="914"/>
    </row>
    <row r="15" spans="1:16" s="443" customFormat="1">
      <c r="A15" s="912" t="str">
        <f>报表格式!H13</f>
        <v xml:space="preserve">              其他业务成本</v>
      </c>
      <c r="B15" s="444">
        <f>报表格式!I13</f>
        <v>9</v>
      </c>
      <c r="C15" s="445">
        <f>未审报表!D200</f>
        <v>0</v>
      </c>
      <c r="D15" s="124" t="str">
        <f t="shared" si="1"/>
        <v/>
      </c>
      <c r="E15" s="445">
        <f>未审报表!C200</f>
        <v>0</v>
      </c>
      <c r="F15" s="124" t="str">
        <f t="shared" si="0"/>
        <v/>
      </c>
      <c r="G15" s="447">
        <f t="shared" si="2"/>
        <v>0</v>
      </c>
      <c r="H15" s="123" t="str">
        <f t="shared" si="3"/>
        <v/>
      </c>
      <c r="I15" s="187" t="str">
        <f>IF(H15="","",IF(OR(ABS(H15)&gt;=30%,ABS(G15)&gt;=未审BS分析!$E$127*5%,ABS(G15)&gt;=$E$42*10%),"显著",IF(ABS(H15)&gt;=10%,"关注","")))</f>
        <v/>
      </c>
      <c r="J15" s="449"/>
      <c r="K15" s="915" t="str">
        <f t="shared" si="4"/>
        <v/>
      </c>
      <c r="L15" s="914" t="str">
        <f t="shared" si="5"/>
        <v/>
      </c>
      <c r="M15" s="914"/>
    </row>
    <row r="16" spans="1:16" s="443" customFormat="1">
      <c r="A16" s="912" t="str">
        <f>报表格式!H14</f>
        <v xml:space="preserve">        利息支出*</v>
      </c>
      <c r="B16" s="444">
        <f>报表格式!I14</f>
        <v>10</v>
      </c>
      <c r="C16" s="445">
        <f>未审报表!D201</f>
        <v>0</v>
      </c>
      <c r="D16" s="124" t="str">
        <f t="shared" si="1"/>
        <v/>
      </c>
      <c r="E16" s="445">
        <f>未审报表!C201</f>
        <v>0</v>
      </c>
      <c r="F16" s="124" t="str">
        <f t="shared" si="0"/>
        <v/>
      </c>
      <c r="G16" s="447">
        <f t="shared" si="2"/>
        <v>0</v>
      </c>
      <c r="H16" s="123" t="str">
        <f t="shared" si="3"/>
        <v/>
      </c>
      <c r="I16" s="187" t="str">
        <f>IF(H16="","",IF(OR(ABS(H16)&gt;=30%,ABS(G16)&gt;=未审BS分析!$E$127*5%,ABS(G16)&gt;=$E$42*10%),"显著",IF(ABS(H16)&gt;=10%,"关注","")))</f>
        <v/>
      </c>
      <c r="J16" s="449"/>
      <c r="K16" s="915" t="str">
        <f t="shared" si="4"/>
        <v/>
      </c>
      <c r="L16" s="914" t="str">
        <f t="shared" si="5"/>
        <v/>
      </c>
      <c r="M16" s="914"/>
    </row>
    <row r="17" spans="1:13" s="443" customFormat="1">
      <c r="A17" s="912" t="str">
        <f>报表格式!H15</f>
        <v xml:space="preserve">        手续费及佣金支出*</v>
      </c>
      <c r="B17" s="444">
        <f>报表格式!I15</f>
        <v>11</v>
      </c>
      <c r="C17" s="445">
        <f>未审报表!D202</f>
        <v>0</v>
      </c>
      <c r="D17" s="124" t="str">
        <f t="shared" si="1"/>
        <v/>
      </c>
      <c r="E17" s="445">
        <f>未审报表!C202</f>
        <v>0</v>
      </c>
      <c r="F17" s="124" t="str">
        <f t="shared" si="0"/>
        <v/>
      </c>
      <c r="G17" s="447">
        <f t="shared" si="2"/>
        <v>0</v>
      </c>
      <c r="H17" s="123" t="str">
        <f t="shared" si="3"/>
        <v/>
      </c>
      <c r="I17" s="187" t="str">
        <f>IF(H17="","",IF(OR(ABS(H17)&gt;=30%,ABS(G17)&gt;=未审BS分析!$E$127*5%,ABS(G17)&gt;=$E$42*10%),"显著",IF(ABS(H17)&gt;=10%,"关注","")))</f>
        <v/>
      </c>
      <c r="J17" s="449"/>
      <c r="K17" s="915" t="str">
        <f t="shared" si="4"/>
        <v/>
      </c>
      <c r="L17" s="914" t="str">
        <f t="shared" si="5"/>
        <v/>
      </c>
      <c r="M17" s="914"/>
    </row>
    <row r="18" spans="1:13" s="443" customFormat="1">
      <c r="A18" s="912" t="str">
        <f>报表格式!H16</f>
        <v xml:space="preserve">        退保金*</v>
      </c>
      <c r="B18" s="444">
        <f>报表格式!I16</f>
        <v>12</v>
      </c>
      <c r="C18" s="445">
        <f>未审报表!D203</f>
        <v>0</v>
      </c>
      <c r="D18" s="124" t="str">
        <f t="shared" si="1"/>
        <v/>
      </c>
      <c r="E18" s="445">
        <f>未审报表!C203</f>
        <v>0</v>
      </c>
      <c r="F18" s="124" t="str">
        <f t="shared" si="0"/>
        <v/>
      </c>
      <c r="G18" s="447">
        <f t="shared" si="2"/>
        <v>0</v>
      </c>
      <c r="H18" s="123" t="str">
        <f t="shared" si="3"/>
        <v/>
      </c>
      <c r="I18" s="187" t="str">
        <f>IF(H18="","",IF(OR(ABS(H18)&gt;=30%,ABS(G18)&gt;=未审BS分析!$E$127*5%,ABS(G18)&gt;=$E$42*10%),"显著",IF(ABS(H18)&gt;=10%,"关注","")))</f>
        <v/>
      </c>
      <c r="J18" s="449"/>
      <c r="K18" s="915" t="str">
        <f t="shared" si="4"/>
        <v/>
      </c>
      <c r="L18" s="914" t="str">
        <f t="shared" si="5"/>
        <v/>
      </c>
      <c r="M18" s="914"/>
    </row>
    <row r="19" spans="1:13" s="443" customFormat="1">
      <c r="A19" s="912" t="str">
        <f>报表格式!H17</f>
        <v xml:space="preserve">        赔付支出净额*</v>
      </c>
      <c r="B19" s="444">
        <f>报表格式!I17</f>
        <v>13</v>
      </c>
      <c r="C19" s="445">
        <f>未审报表!D204</f>
        <v>0</v>
      </c>
      <c r="D19" s="124" t="str">
        <f t="shared" si="1"/>
        <v/>
      </c>
      <c r="E19" s="445">
        <f>未审报表!C204</f>
        <v>0</v>
      </c>
      <c r="F19" s="124" t="str">
        <f t="shared" si="0"/>
        <v/>
      </c>
      <c r="G19" s="447">
        <f t="shared" si="2"/>
        <v>0</v>
      </c>
      <c r="H19" s="123" t="str">
        <f t="shared" si="3"/>
        <v/>
      </c>
      <c r="I19" s="187" t="str">
        <f>IF(H19="","",IF(OR(ABS(H19)&gt;=30%,ABS(G19)&gt;=未审BS分析!$E$127*5%,ABS(G19)&gt;=$E$42*10%),"显著",IF(ABS(H19)&gt;=10%,"关注","")))</f>
        <v/>
      </c>
      <c r="J19" s="449"/>
      <c r="K19" s="915" t="str">
        <f t="shared" si="4"/>
        <v/>
      </c>
      <c r="L19" s="914" t="str">
        <f t="shared" si="5"/>
        <v/>
      </c>
      <c r="M19" s="914"/>
    </row>
    <row r="20" spans="1:13" s="443" customFormat="1">
      <c r="A20" s="912" t="str">
        <f>报表格式!H18</f>
        <v xml:space="preserve">        提取保险责任准备金净额*</v>
      </c>
      <c r="B20" s="444">
        <f>报表格式!I18</f>
        <v>14</v>
      </c>
      <c r="C20" s="445">
        <f>未审报表!D205</f>
        <v>0</v>
      </c>
      <c r="D20" s="124" t="str">
        <f t="shared" si="1"/>
        <v/>
      </c>
      <c r="E20" s="445">
        <f>未审报表!C205</f>
        <v>0</v>
      </c>
      <c r="F20" s="124" t="str">
        <f t="shared" si="0"/>
        <v/>
      </c>
      <c r="G20" s="447">
        <f t="shared" si="2"/>
        <v>0</v>
      </c>
      <c r="H20" s="123" t="str">
        <f t="shared" si="3"/>
        <v/>
      </c>
      <c r="I20" s="187" t="str">
        <f>IF(H20="","",IF(OR(ABS(H20)&gt;=30%,ABS(G20)&gt;=未审BS分析!$E$127*5%,ABS(G20)&gt;=$E$42*10%),"显著",IF(ABS(H20)&gt;=10%,"关注","")))</f>
        <v/>
      </c>
      <c r="J20" s="449"/>
      <c r="K20" s="915" t="str">
        <f t="shared" si="4"/>
        <v/>
      </c>
      <c r="L20" s="914" t="str">
        <f t="shared" si="5"/>
        <v/>
      </c>
      <c r="M20" s="914"/>
    </row>
    <row r="21" spans="1:13" s="443" customFormat="1">
      <c r="A21" s="912" t="str">
        <f>报表格式!H19</f>
        <v xml:space="preserve">        保单红利支出*</v>
      </c>
      <c r="B21" s="444">
        <f>报表格式!I19</f>
        <v>15</v>
      </c>
      <c r="C21" s="445">
        <f>未审报表!D206</f>
        <v>0</v>
      </c>
      <c r="D21" s="124" t="str">
        <f t="shared" si="1"/>
        <v/>
      </c>
      <c r="E21" s="445">
        <f>未审报表!C206</f>
        <v>0</v>
      </c>
      <c r="F21" s="124" t="str">
        <f t="shared" si="0"/>
        <v/>
      </c>
      <c r="G21" s="447">
        <f t="shared" si="2"/>
        <v>0</v>
      </c>
      <c r="H21" s="123" t="str">
        <f t="shared" si="3"/>
        <v/>
      </c>
      <c r="I21" s="187" t="str">
        <f>IF(H21="","",IF(OR(ABS(H21)&gt;=30%,ABS(G21)&gt;=未审BS分析!$E$127*5%,ABS(G21)&gt;=$E$42*10%),"显著",IF(ABS(H21)&gt;=10%,"关注","")))</f>
        <v/>
      </c>
      <c r="J21" s="449"/>
      <c r="K21" s="915" t="str">
        <f t="shared" si="4"/>
        <v/>
      </c>
      <c r="L21" s="914" t="str">
        <f t="shared" si="5"/>
        <v/>
      </c>
      <c r="M21" s="914"/>
    </row>
    <row r="22" spans="1:13" s="443" customFormat="1">
      <c r="A22" s="912" t="str">
        <f>报表格式!H20</f>
        <v xml:space="preserve">        分保费用*</v>
      </c>
      <c r="B22" s="444">
        <f>报表格式!I20</f>
        <v>16</v>
      </c>
      <c r="C22" s="445">
        <f>未审报表!D207</f>
        <v>0</v>
      </c>
      <c r="D22" s="124" t="str">
        <f t="shared" si="1"/>
        <v/>
      </c>
      <c r="E22" s="445">
        <f>未审报表!C207</f>
        <v>0</v>
      </c>
      <c r="F22" s="124" t="str">
        <f t="shared" si="0"/>
        <v/>
      </c>
      <c r="G22" s="447">
        <f t="shared" si="2"/>
        <v>0</v>
      </c>
      <c r="H22" s="123" t="str">
        <f t="shared" si="3"/>
        <v/>
      </c>
      <c r="I22" s="187" t="str">
        <f>IF(H22="","",IF(OR(ABS(H22)&gt;=30%,ABS(G22)&gt;=未审BS分析!$E$127*5%,ABS(G22)&gt;=$E$42*10%),"显著",IF(ABS(H22)&gt;=10%,"关注","")))</f>
        <v/>
      </c>
      <c r="J22" s="449"/>
      <c r="K22" s="915" t="str">
        <f t="shared" si="4"/>
        <v/>
      </c>
      <c r="L22" s="914" t="str">
        <f t="shared" si="5"/>
        <v/>
      </c>
      <c r="M22" s="914"/>
    </row>
    <row r="23" spans="1:13" s="443" customFormat="1">
      <c r="A23" s="912" t="str">
        <f>报表格式!H21</f>
        <v xml:space="preserve">        税金及附加</v>
      </c>
      <c r="B23" s="444">
        <f>报表格式!I21</f>
        <v>17</v>
      </c>
      <c r="C23" s="445">
        <f>未审报表!D208</f>
        <v>112613.94</v>
      </c>
      <c r="D23" s="124">
        <f t="shared" si="1"/>
        <v>4.9004465276339679E-3</v>
      </c>
      <c r="E23" s="445">
        <f>未审报表!C208</f>
        <v>139506.91</v>
      </c>
      <c r="F23" s="124">
        <f t="shared" si="0"/>
        <v>4.0845491629231852E-3</v>
      </c>
      <c r="G23" s="447">
        <f t="shared" si="2"/>
        <v>26892.97</v>
      </c>
      <c r="H23" s="123">
        <f t="shared" si="3"/>
        <v>0.23880675873697343</v>
      </c>
      <c r="I23" s="187" t="str">
        <f>IF(H23="","",IF(OR(ABS(H23)&gt;=30%,ABS(G23)&gt;=未审BS分析!$E$127*5%,ABS(G23)&gt;=$E$42*10%),"显著",IF(ABS(H23)&gt;=10%,"关注","")))</f>
        <v>关注</v>
      </c>
      <c r="J23" s="449"/>
      <c r="K23" s="915">
        <f t="shared" si="4"/>
        <v>-8.1589736471078273E-4</v>
      </c>
      <c r="L23" s="914" t="str">
        <f t="shared" si="5"/>
        <v/>
      </c>
      <c r="M23" s="914"/>
    </row>
    <row r="24" spans="1:13" s="443" customFormat="1">
      <c r="A24" s="912" t="str">
        <f>报表格式!H22</f>
        <v xml:space="preserve">        销售费用</v>
      </c>
      <c r="B24" s="444">
        <f>报表格式!I22</f>
        <v>18</v>
      </c>
      <c r="C24" s="445">
        <f>未审报表!D209</f>
        <v>0</v>
      </c>
      <c r="D24" s="124" t="str">
        <f t="shared" si="1"/>
        <v/>
      </c>
      <c r="E24" s="445">
        <f>未审报表!C209</f>
        <v>0</v>
      </c>
      <c r="F24" s="124" t="str">
        <f t="shared" si="0"/>
        <v/>
      </c>
      <c r="G24" s="447">
        <f t="shared" si="2"/>
        <v>0</v>
      </c>
      <c r="H24" s="123" t="str">
        <f t="shared" si="3"/>
        <v/>
      </c>
      <c r="I24" s="187" t="str">
        <f>IF(H24="","",IF(OR(ABS(H24)&gt;=30%,ABS(G24)&gt;=未审BS分析!$E$127*5%,ABS(G24)&gt;=$E$42*10%),"显著",IF(ABS(H24)&gt;=10%,"关注","")))</f>
        <v/>
      </c>
      <c r="J24" s="449"/>
      <c r="K24" s="915" t="str">
        <f t="shared" si="4"/>
        <v/>
      </c>
      <c r="L24" s="914" t="str">
        <f t="shared" si="5"/>
        <v/>
      </c>
      <c r="M24" s="914"/>
    </row>
    <row r="25" spans="1:13" s="443" customFormat="1">
      <c r="A25" s="912" t="str">
        <f>报表格式!H23</f>
        <v xml:space="preserve">        管理费用</v>
      </c>
      <c r="B25" s="444">
        <f>报表格式!I23</f>
        <v>19</v>
      </c>
      <c r="C25" s="445">
        <f>未审报表!D210</f>
        <v>479456.63</v>
      </c>
      <c r="D25" s="124">
        <f t="shared" si="1"/>
        <v>2.0863772083940798E-2</v>
      </c>
      <c r="E25" s="445">
        <f>未审报表!C210</f>
        <v>10711569.51</v>
      </c>
      <c r="F25" s="124">
        <f t="shared" si="0"/>
        <v>0.31361838833405464</v>
      </c>
      <c r="G25" s="447">
        <f t="shared" si="2"/>
        <v>10232112.879999999</v>
      </c>
      <c r="H25" s="123">
        <f t="shared" si="3"/>
        <v>21.341060358264311</v>
      </c>
      <c r="I25" s="187" t="str">
        <f>IF(H25="","",IF(OR(ABS(H25)&gt;=30%,ABS(G25)&gt;=未审BS分析!$E$127*5%,ABS(G25)&gt;=$E$42*10%),"显著",IF(ABS(H25)&gt;=10%,"关注","")))</f>
        <v>显著</v>
      </c>
      <c r="J25" s="449"/>
      <c r="K25" s="915">
        <f t="shared" si="4"/>
        <v>0.29275461625011384</v>
      </c>
      <c r="L25" s="914" t="str">
        <f t="shared" si="5"/>
        <v>关注</v>
      </c>
      <c r="M25" s="914"/>
    </row>
    <row r="26" spans="1:13" s="443" customFormat="1">
      <c r="A26" s="912" t="str">
        <f>报表格式!H24</f>
        <v xml:space="preserve">        研发费用</v>
      </c>
      <c r="B26" s="444">
        <f>报表格式!I24</f>
        <v>20</v>
      </c>
      <c r="C26" s="445">
        <f>未审报表!D211</f>
        <v>0</v>
      </c>
      <c r="D26" s="124" t="str">
        <f t="shared" si="1"/>
        <v/>
      </c>
      <c r="E26" s="445">
        <f>未审报表!C211</f>
        <v>0</v>
      </c>
      <c r="F26" s="124" t="str">
        <f t="shared" si="0"/>
        <v/>
      </c>
      <c r="G26" s="447">
        <f t="shared" si="2"/>
        <v>0</v>
      </c>
      <c r="H26" s="123" t="str">
        <f t="shared" si="3"/>
        <v/>
      </c>
      <c r="I26" s="187" t="str">
        <f>IF(H26="","",IF(OR(ABS(H26)&gt;=30%,ABS(G26)&gt;=未审BS分析!$E$127*5%,ABS(G26)&gt;=$E$42*10%),"显著",IF(ABS(H26)&gt;=10%,"关注","")))</f>
        <v/>
      </c>
      <c r="J26" s="449"/>
      <c r="K26" s="915" t="str">
        <f t="shared" si="4"/>
        <v/>
      </c>
      <c r="L26" s="914" t="str">
        <f t="shared" si="5"/>
        <v/>
      </c>
      <c r="M26" s="914"/>
    </row>
    <row r="27" spans="1:13" s="443" customFormat="1">
      <c r="A27" s="912" t="str">
        <f>报表格式!H25</f>
        <v xml:space="preserve">        财务费用</v>
      </c>
      <c r="B27" s="444">
        <f>报表格式!I25</f>
        <v>21</v>
      </c>
      <c r="C27" s="445">
        <f>未审报表!D212</f>
        <v>-31759.960000000003</v>
      </c>
      <c r="D27" s="124">
        <f t="shared" si="1"/>
        <v>-1.3820490225259299E-3</v>
      </c>
      <c r="E27" s="445">
        <f>未审报表!C212</f>
        <v>-10051.44</v>
      </c>
      <c r="F27" s="124">
        <f t="shared" si="0"/>
        <v>-2.9429080493699288E-4</v>
      </c>
      <c r="G27" s="447">
        <f>E27-C27</f>
        <v>21708.520000000004</v>
      </c>
      <c r="H27" s="123">
        <f t="shared" si="3"/>
        <v>-0.68351849309633894</v>
      </c>
      <c r="I27" s="187" t="str">
        <f>IF(H27="","",IF(OR(ABS(H27)&gt;=30%,ABS(G27)&gt;=未审BS分析!$E$127*5%,ABS(G27)&gt;=$E$42*10%),"显著",IF(ABS(H27)&gt;=10%,"关注","")))</f>
        <v>显著</v>
      </c>
      <c r="J27" s="449"/>
      <c r="K27" s="915">
        <f t="shared" si="4"/>
        <v>1.087758217588937E-3</v>
      </c>
      <c r="L27" s="914" t="str">
        <f t="shared" si="5"/>
        <v/>
      </c>
      <c r="M27" s="914"/>
    </row>
    <row r="28" spans="1:13" s="443" customFormat="1">
      <c r="A28" s="912" t="str">
        <f>报表格式!H26</f>
        <v xml:space="preserve">        其中：利息费用</v>
      </c>
      <c r="B28" s="444">
        <f>报表格式!I26</f>
        <v>22</v>
      </c>
      <c r="C28" s="445">
        <f>未审报表!D213</f>
        <v>0</v>
      </c>
      <c r="D28" s="124" t="str">
        <f t="shared" si="1"/>
        <v/>
      </c>
      <c r="E28" s="445">
        <f>未审报表!C213</f>
        <v>0</v>
      </c>
      <c r="F28" s="124" t="str">
        <f t="shared" si="0"/>
        <v/>
      </c>
      <c r="G28" s="447">
        <f>E28-C28</f>
        <v>0</v>
      </c>
      <c r="H28" s="123" t="str">
        <f>IF(AND(C28=0,E28=0),"",IF(C28=0,100%,IF(E28=0,-100%,G28/C28)))</f>
        <v/>
      </c>
      <c r="I28" s="187" t="str">
        <f>IF(H28="","",IF(OR(ABS(H28)&gt;=30%,ABS(G28)&gt;=未审BS分析!$E$127*5%,ABS(G28)&gt;=$E$42*10%),"显著",IF(ABS(H28)&gt;=10%,"关注","")))</f>
        <v/>
      </c>
      <c r="J28" s="449"/>
      <c r="K28" s="915" t="str">
        <f t="shared" si="4"/>
        <v/>
      </c>
      <c r="L28" s="914" t="str">
        <f t="shared" si="5"/>
        <v/>
      </c>
      <c r="M28" s="914"/>
    </row>
    <row r="29" spans="1:13" s="443" customFormat="1">
      <c r="A29" s="912" t="str">
        <f>报表格式!H27</f>
        <v xml:space="preserve">              利息收入</v>
      </c>
      <c r="B29" s="444">
        <f>报表格式!I27</f>
        <v>23</v>
      </c>
      <c r="C29" s="445">
        <f>未审报表!D214</f>
        <v>0</v>
      </c>
      <c r="D29" s="124" t="str">
        <f t="shared" si="1"/>
        <v/>
      </c>
      <c r="E29" s="445">
        <f>未审报表!C214</f>
        <v>10000</v>
      </c>
      <c r="F29" s="124">
        <f t="shared" si="0"/>
        <v>2.9278472033558662E-4</v>
      </c>
      <c r="G29" s="450">
        <f t="shared" si="2"/>
        <v>10000</v>
      </c>
      <c r="H29" s="186">
        <f t="shared" si="3"/>
        <v>1</v>
      </c>
      <c r="I29" s="187" t="str">
        <f>IF(H29="","",IF(OR(ABS(H29)&gt;=30%,ABS(G29)&gt;=未审BS分析!$E$127*5%,ABS(G29)&gt;=$E$42*10%),"显著",IF(ABS(H29)&gt;=10%,"关注","")))</f>
        <v>显著</v>
      </c>
      <c r="J29" s="449"/>
      <c r="K29" s="915">
        <f t="shared" si="4"/>
        <v>2.9278472033558662E-4</v>
      </c>
      <c r="L29" s="914" t="str">
        <f t="shared" si="5"/>
        <v/>
      </c>
      <c r="M29" s="914"/>
    </row>
    <row r="30" spans="1:13" s="443" customFormat="1">
      <c r="A30" s="912" t="str">
        <f>报表格式!H28</f>
        <v xml:space="preserve">              汇兑净损失（净收益以“－”号填列）</v>
      </c>
      <c r="B30" s="444">
        <f>报表格式!I28</f>
        <v>24</v>
      </c>
      <c r="C30" s="445">
        <f>未审报表!D215</f>
        <v>0</v>
      </c>
      <c r="D30" s="124" t="str">
        <f t="shared" si="1"/>
        <v/>
      </c>
      <c r="E30" s="445">
        <f>未审报表!C215</f>
        <v>-234</v>
      </c>
      <c r="F30" s="124">
        <f t="shared" si="0"/>
        <v>-6.8511624558527263E-6</v>
      </c>
      <c r="G30" s="447">
        <f t="shared" si="2"/>
        <v>-234</v>
      </c>
      <c r="H30" s="123">
        <f t="shared" si="3"/>
        <v>1</v>
      </c>
      <c r="I30" s="187" t="str">
        <f>IF(H30="","",IF(OR(ABS(H30)&gt;=30%,ABS(G30)&gt;=未审BS分析!$E$127*5%,ABS(G30)&gt;=$E$42*10%),"显著",IF(ABS(H30)&gt;=10%,"关注","")))</f>
        <v>显著</v>
      </c>
      <c r="J30" s="449"/>
      <c r="K30" s="915">
        <f t="shared" si="4"/>
        <v>-6.8511624558527263E-6</v>
      </c>
      <c r="L30" s="914" t="str">
        <f t="shared" si="5"/>
        <v/>
      </c>
      <c r="M30" s="914"/>
    </row>
    <row r="31" spans="1:13" s="443" customFormat="1">
      <c r="A31" s="912" t="str">
        <f>报表格式!H29</f>
        <v xml:space="preserve">      其他</v>
      </c>
      <c r="B31" s="444">
        <f>报表格式!I29</f>
        <v>25</v>
      </c>
      <c r="C31" s="445">
        <f>未审报表!D216</f>
        <v>0</v>
      </c>
      <c r="D31" s="124" t="str">
        <f t="shared" si="1"/>
        <v/>
      </c>
      <c r="E31" s="445">
        <f>未审报表!C216</f>
        <v>0</v>
      </c>
      <c r="F31" s="124" t="str">
        <f t="shared" si="0"/>
        <v/>
      </c>
      <c r="G31" s="447">
        <f t="shared" si="2"/>
        <v>0</v>
      </c>
      <c r="H31" s="123" t="str">
        <f t="shared" si="3"/>
        <v/>
      </c>
      <c r="I31" s="187" t="str">
        <f>IF(H31="","",IF(OR(ABS(H31)&gt;=30%,ABS(G31)&gt;=未审BS分析!$E$127*5%,ABS(G31)&gt;=$E$42*10%),"显著",IF(ABS(H31)&gt;=10%,"关注","")))</f>
        <v/>
      </c>
      <c r="J31" s="449"/>
      <c r="K31" s="915" t="str">
        <f t="shared" si="4"/>
        <v/>
      </c>
      <c r="L31" s="914" t="str">
        <f t="shared" si="5"/>
        <v/>
      </c>
      <c r="M31" s="914"/>
    </row>
    <row r="32" spans="1:13" s="443" customFormat="1">
      <c r="A32" s="912" t="str">
        <f>报表格式!H30</f>
        <v xml:space="preserve">    加：其他收益</v>
      </c>
      <c r="B32" s="444">
        <f>报表格式!I30</f>
        <v>26</v>
      </c>
      <c r="C32" s="445">
        <f>未审报表!D217</f>
        <v>0</v>
      </c>
      <c r="D32" s="124" t="str">
        <f t="shared" si="1"/>
        <v/>
      </c>
      <c r="E32" s="445">
        <f>未审报表!C217</f>
        <v>0</v>
      </c>
      <c r="F32" s="124" t="str">
        <f t="shared" si="0"/>
        <v/>
      </c>
      <c r="G32" s="450">
        <f t="shared" si="2"/>
        <v>0</v>
      </c>
      <c r="H32" s="186" t="str">
        <f t="shared" si="3"/>
        <v/>
      </c>
      <c r="I32" s="187" t="str">
        <f>IF(H32="","",IF(OR(ABS(H32)&gt;=30%,ABS(G32)&gt;=未审BS分析!$E$127*5%,ABS(G32)&gt;=$E$42*10%),"显著",IF(ABS(H32)&gt;=10%,"关注","")))</f>
        <v/>
      </c>
      <c r="J32" s="449"/>
      <c r="K32" s="915" t="str">
        <f t="shared" si="4"/>
        <v/>
      </c>
      <c r="L32" s="914" t="str">
        <f t="shared" si="5"/>
        <v/>
      </c>
      <c r="M32" s="914"/>
    </row>
    <row r="33" spans="1:13" s="443" customFormat="1">
      <c r="A33" s="912" t="str">
        <f>报表格式!H31</f>
        <v xml:space="preserve">        投资收益（损失以“－”号填列）</v>
      </c>
      <c r="B33" s="444">
        <f>报表格式!I31</f>
        <v>27</v>
      </c>
      <c r="C33" s="445">
        <f>未审报表!D218</f>
        <v>10512385.210000001</v>
      </c>
      <c r="D33" s="124">
        <f t="shared" si="1"/>
        <v>0.4574511965347734</v>
      </c>
      <c r="E33" s="445">
        <f>未审报表!C218</f>
        <v>22947224.460000001</v>
      </c>
      <c r="F33" s="124">
        <f t="shared" si="0"/>
        <v>0.67185966959990329</v>
      </c>
      <c r="G33" s="447">
        <f t="shared" si="2"/>
        <v>12434839.25</v>
      </c>
      <c r="H33" s="123">
        <f t="shared" si="3"/>
        <v>1.1828751516992781</v>
      </c>
      <c r="I33" s="187" t="str">
        <f>IF(H33="","",IF(OR(ABS(H33)&gt;=30%,ABS(G33)&gt;=未审BS分析!$E$127*5%,ABS(G33)&gt;=$E$42*10%),"显著",IF(ABS(H33)&gt;=10%,"关注","")))</f>
        <v>显著</v>
      </c>
      <c r="J33" s="449"/>
      <c r="K33" s="915">
        <f t="shared" si="4"/>
        <v>0.21440847306512989</v>
      </c>
      <c r="L33" s="914" t="str">
        <f t="shared" si="5"/>
        <v>关注</v>
      </c>
      <c r="M33" s="914"/>
    </row>
    <row r="34" spans="1:13" s="443" customFormat="1">
      <c r="A34" s="912" t="str">
        <f>报表格式!H32</f>
        <v xml:space="preserve">        其中：对联营企业和合营企业的投资收益</v>
      </c>
      <c r="B34" s="444">
        <f>报表格式!I32</f>
        <v>28</v>
      </c>
      <c r="C34" s="445">
        <f>未审报表!D219</f>
        <v>0</v>
      </c>
      <c r="D34" s="124" t="str">
        <f t="shared" si="1"/>
        <v/>
      </c>
      <c r="E34" s="445">
        <f>未审报表!C219</f>
        <v>22947224.460000001</v>
      </c>
      <c r="F34" s="124">
        <f t="shared" si="0"/>
        <v>0.67185966959990329</v>
      </c>
      <c r="G34" s="447">
        <f t="shared" si="2"/>
        <v>22947224.460000001</v>
      </c>
      <c r="H34" s="123">
        <f t="shared" si="3"/>
        <v>1</v>
      </c>
      <c r="I34" s="187" t="str">
        <f>IF(H34="","",IF(OR(ABS(H34)&gt;=30%,ABS(G34)&gt;=未审BS分析!$E$127*5%,ABS(G34)&gt;=$E$42*10%),"显著",IF(ABS(H34)&gt;=10%,"关注","")))</f>
        <v>显著</v>
      </c>
      <c r="J34" s="449"/>
      <c r="K34" s="915">
        <f t="shared" si="4"/>
        <v>0.67185966959990329</v>
      </c>
      <c r="L34" s="914" t="str">
        <f t="shared" si="5"/>
        <v>显著</v>
      </c>
      <c r="M34" s="914"/>
    </row>
    <row r="35" spans="1:13" s="443" customFormat="1">
      <c r="A35" s="912" t="str">
        <f>报表格式!H33</f>
        <v xml:space="preserve">              以摊余成本计量的金融资产终止确认收益（损失以“-”号填列）</v>
      </c>
      <c r="B35" s="444">
        <f>报表格式!I33</f>
        <v>29</v>
      </c>
      <c r="C35" s="445">
        <f>未审报表!D220</f>
        <v>0</v>
      </c>
      <c r="D35" s="124" t="str">
        <f t="shared" si="1"/>
        <v/>
      </c>
      <c r="E35" s="445">
        <f>未审报表!C220</f>
        <v>0</v>
      </c>
      <c r="F35" s="124" t="str">
        <f t="shared" si="0"/>
        <v/>
      </c>
      <c r="G35" s="450">
        <f t="shared" si="2"/>
        <v>0</v>
      </c>
      <c r="H35" s="186" t="str">
        <f t="shared" si="3"/>
        <v/>
      </c>
      <c r="I35" s="187" t="str">
        <f>IF(H35="","",IF(OR(ABS(H35)&gt;=30%,ABS(G35)&gt;=未审BS分析!$E$127*5%,ABS(G35)&gt;=$E$42*10%),"显著",IF(ABS(H35)&gt;=10%,"关注","")))</f>
        <v/>
      </c>
      <c r="J35" s="449"/>
      <c r="K35" s="915" t="str">
        <f t="shared" si="4"/>
        <v/>
      </c>
      <c r="L35" s="914" t="str">
        <f t="shared" si="5"/>
        <v/>
      </c>
      <c r="M35" s="914"/>
    </row>
    <row r="36" spans="1:13" s="443" customFormat="1">
      <c r="A36" s="912" t="str">
        <f>报表格式!H34</f>
        <v xml:space="preserve">        汇兑收益（损失以“-”号填列）*</v>
      </c>
      <c r="B36" s="444">
        <f>报表格式!I34</f>
        <v>30</v>
      </c>
      <c r="C36" s="445">
        <f>未审报表!D221</f>
        <v>0</v>
      </c>
      <c r="D36" s="124" t="str">
        <f t="shared" si="1"/>
        <v/>
      </c>
      <c r="E36" s="445">
        <f>未审报表!C221</f>
        <v>0</v>
      </c>
      <c r="F36" s="124" t="str">
        <f t="shared" si="0"/>
        <v/>
      </c>
      <c r="G36" s="450"/>
      <c r="H36" s="186"/>
      <c r="I36" s="187" t="str">
        <f>IF(H36="","",IF(OR(ABS(H36)&gt;=30%,ABS(G36)&gt;=未审BS分析!$E$127*5%,ABS(G36)&gt;=$E$42*10%),"显著",IF(ABS(H36)&gt;=10%,"关注","")))</f>
        <v/>
      </c>
      <c r="J36" s="449"/>
      <c r="K36" s="915" t="str">
        <f t="shared" si="4"/>
        <v/>
      </c>
      <c r="L36" s="914" t="str">
        <f t="shared" si="5"/>
        <v/>
      </c>
      <c r="M36" s="914"/>
    </row>
    <row r="37" spans="1:13" s="443" customFormat="1">
      <c r="A37" s="912" t="str">
        <f>报表格式!H35</f>
        <v xml:space="preserve">        净敞口套期收益（损失以“-”号填列）</v>
      </c>
      <c r="B37" s="444">
        <f>报表格式!I35</f>
        <v>31</v>
      </c>
      <c r="C37" s="445">
        <f>未审报表!D222</f>
        <v>0</v>
      </c>
      <c r="D37" s="124" t="str">
        <f t="shared" si="1"/>
        <v/>
      </c>
      <c r="E37" s="445">
        <f>未审报表!C222</f>
        <v>0</v>
      </c>
      <c r="F37" s="124" t="str">
        <f t="shared" si="0"/>
        <v/>
      </c>
      <c r="G37" s="447">
        <f>E37-C37</f>
        <v>0</v>
      </c>
      <c r="H37" s="186"/>
      <c r="I37" s="187" t="str">
        <f>IF(H37="","",IF(OR(ABS(H37)&gt;=30%,ABS(G37)&gt;=未审BS分析!$E$127*5%,ABS(G37)&gt;=$E$42*10%),"显著",IF(ABS(H37)&gt;=10%,"关注","")))</f>
        <v/>
      </c>
      <c r="J37" s="449"/>
      <c r="K37" s="915" t="str">
        <f t="shared" si="4"/>
        <v/>
      </c>
      <c r="L37" s="914" t="str">
        <f t="shared" si="5"/>
        <v/>
      </c>
      <c r="M37" s="914"/>
    </row>
    <row r="38" spans="1:13" s="443" customFormat="1">
      <c r="A38" s="912" t="str">
        <f>报表格式!H36</f>
        <v xml:space="preserve">        公允价值变动收益（损失以“－”号填列）</v>
      </c>
      <c r="B38" s="444">
        <f>报表格式!I36</f>
        <v>32</v>
      </c>
      <c r="C38" s="445">
        <f>未审报表!D223</f>
        <v>0</v>
      </c>
      <c r="D38" s="124" t="str">
        <f t="shared" si="1"/>
        <v/>
      </c>
      <c r="E38" s="445">
        <f>未审报表!C223</f>
        <v>0</v>
      </c>
      <c r="F38" s="124" t="str">
        <f t="shared" si="0"/>
        <v/>
      </c>
      <c r="G38" s="447">
        <f>E38-C38</f>
        <v>0</v>
      </c>
      <c r="H38" s="186"/>
      <c r="I38" s="187" t="str">
        <f>IF(H38="","",IF(OR(ABS(H38)&gt;=30%,ABS(G38)&gt;=未审BS分析!$E$127*5%,ABS(G38)&gt;=$E$42*10%),"显著",IF(ABS(H38)&gt;=10%,"关注","")))</f>
        <v/>
      </c>
      <c r="J38" s="449"/>
      <c r="K38" s="915" t="str">
        <f t="shared" si="4"/>
        <v/>
      </c>
      <c r="L38" s="914" t="str">
        <f t="shared" si="5"/>
        <v/>
      </c>
      <c r="M38" s="914"/>
    </row>
    <row r="39" spans="1:13" s="443" customFormat="1">
      <c r="A39" s="912" t="str">
        <f>报表格式!H37</f>
        <v xml:space="preserve">        信用减值损失（损失以“-”号填列）</v>
      </c>
      <c r="B39" s="444">
        <f>报表格式!I37</f>
        <v>33</v>
      </c>
      <c r="C39" s="445">
        <f>未审报表!D224</f>
        <v>1724647.26</v>
      </c>
      <c r="D39" s="124">
        <f t="shared" si="1"/>
        <v>7.5048805473464791E-2</v>
      </c>
      <c r="E39" s="445">
        <f>未审报表!C224</f>
        <v>-19423.93</v>
      </c>
      <c r="F39" s="124">
        <f t="shared" si="0"/>
        <v>-5.6870299128680105E-4</v>
      </c>
      <c r="G39" s="447"/>
      <c r="H39" s="123">
        <f>IF(AND(C39=0,E39=0),"",IF(C39=0,100%,IF(E39=0,-100%,G39/C39)))</f>
        <v>0</v>
      </c>
      <c r="I39" s="187" t="str">
        <f>IF(H39="","",IF(OR(ABS(H39)&gt;=30%,ABS(G39)&gt;=未审BS分析!$E$127*5%,ABS(G39)&gt;=$E$42*10%),"显著",IF(ABS(H39)&gt;=10%,"关注","")))</f>
        <v/>
      </c>
      <c r="J39" s="449"/>
      <c r="K39" s="915">
        <f t="shared" si="4"/>
        <v>-7.5617508464751598E-2</v>
      </c>
      <c r="L39" s="914" t="str">
        <f t="shared" si="5"/>
        <v/>
      </c>
      <c r="M39" s="914"/>
    </row>
    <row r="40" spans="1:13" s="443" customFormat="1">
      <c r="A40" s="912" t="str">
        <f>报表格式!H38</f>
        <v xml:space="preserve">        资产减值损失（损失以“-”号填列）</v>
      </c>
      <c r="B40" s="444">
        <f>报表格式!I38</f>
        <v>34</v>
      </c>
      <c r="C40" s="445">
        <f>未审报表!D225</f>
        <v>0</v>
      </c>
      <c r="D40" s="124" t="str">
        <f t="shared" si="1"/>
        <v/>
      </c>
      <c r="E40" s="445">
        <f>未审报表!C225</f>
        <v>0</v>
      </c>
      <c r="F40" s="124" t="str">
        <f t="shared" si="0"/>
        <v/>
      </c>
      <c r="G40" s="447">
        <f t="shared" si="2"/>
        <v>0</v>
      </c>
      <c r="H40" s="123" t="str">
        <f t="shared" si="3"/>
        <v/>
      </c>
      <c r="I40" s="187" t="str">
        <f>IF(H40="","",IF(OR(ABS(H40)&gt;=30%,ABS(G40)&gt;=未审BS分析!$E$127*5%,ABS(G40)&gt;=$E$42*10%),"显著",IF(ABS(H40)&gt;=10%,"关注","")))</f>
        <v/>
      </c>
      <c r="J40" s="449"/>
      <c r="K40" s="915" t="str">
        <f t="shared" si="4"/>
        <v/>
      </c>
      <c r="L40" s="914" t="str">
        <f t="shared" si="5"/>
        <v/>
      </c>
      <c r="M40" s="914"/>
    </row>
    <row r="41" spans="1:13" s="443" customFormat="1">
      <c r="A41" s="912" t="str">
        <f>报表格式!H39</f>
        <v xml:space="preserve">        资产处置收益（损失以“-”号填列）</v>
      </c>
      <c r="B41" s="444">
        <f>报表格式!I39</f>
        <v>35</v>
      </c>
      <c r="C41" s="445">
        <f>未审报表!D226</f>
        <v>0</v>
      </c>
      <c r="D41" s="124" t="str">
        <f t="shared" si="1"/>
        <v/>
      </c>
      <c r="E41" s="445">
        <f>未审报表!C226</f>
        <v>0</v>
      </c>
      <c r="F41" s="124" t="str">
        <f t="shared" si="0"/>
        <v/>
      </c>
      <c r="G41" s="447">
        <f t="shared" si="2"/>
        <v>0</v>
      </c>
      <c r="H41" s="123" t="str">
        <f t="shared" si="3"/>
        <v/>
      </c>
      <c r="I41" s="187" t="str">
        <f>IF(H41="","",IF(OR(ABS(H41)&gt;=30%,ABS(G41)&gt;=未审BS分析!$E$127*5%,ABS(G41)&gt;=$E$42*10%),"显著",IF(ABS(H41)&gt;=10%,"关注","")))</f>
        <v/>
      </c>
      <c r="J41" s="449"/>
      <c r="K41" s="915" t="str">
        <f t="shared" si="4"/>
        <v/>
      </c>
      <c r="L41" s="914" t="str">
        <f t="shared" si="5"/>
        <v/>
      </c>
      <c r="M41" s="914"/>
    </row>
    <row r="42" spans="1:13" s="443" customFormat="1">
      <c r="A42" s="911" t="str">
        <f>报表格式!H40</f>
        <v>二、营业利润（亏损以“－”号填列）</v>
      </c>
      <c r="B42" s="444">
        <f>报表格式!I40</f>
        <v>36</v>
      </c>
      <c r="C42" s="445">
        <f>未审报表!D227</f>
        <v>24790875.299999997</v>
      </c>
      <c r="D42" s="124">
        <f t="shared" si="1"/>
        <v>1.0787861501062095</v>
      </c>
      <c r="E42" s="445">
        <f>未审报表!C227</f>
        <v>27495646.760000002</v>
      </c>
      <c r="F42" s="124">
        <f t="shared" si="0"/>
        <v>0.80503052470726788</v>
      </c>
      <c r="G42" s="447">
        <f t="shared" ref="G42:G63" si="6">E42-C42</f>
        <v>2704771.4600000046</v>
      </c>
      <c r="H42" s="123">
        <f t="shared" ref="H42:H63" si="7">IF(AND(C42=0,E42=0),"",IF(C42=0,100%,IF(E42=0,-100%,G42/C42)))</f>
        <v>0.10910350793463129</v>
      </c>
      <c r="I42" s="187" t="str">
        <f>IF(H42="","",IF(OR(ABS(H42)&gt;=30%,ABS(G42)&gt;=未审BS分析!$E$127*5%,ABS(G42)&gt;=$E$42*10%),"显著",IF(ABS(H42)&gt;=10%,"关注","")))</f>
        <v>关注</v>
      </c>
      <c r="J42" s="449"/>
      <c r="K42" s="915">
        <f t="shared" si="4"/>
        <v>-0.2737556253989416</v>
      </c>
      <c r="L42" s="914" t="str">
        <f t="shared" si="5"/>
        <v>关注</v>
      </c>
      <c r="M42" s="914"/>
    </row>
    <row r="43" spans="1:13" s="443" customFormat="1">
      <c r="A43" s="912" t="str">
        <f>报表格式!H41</f>
        <v xml:space="preserve">    加：营业外收入</v>
      </c>
      <c r="B43" s="444">
        <f>报表格式!I41</f>
        <v>37</v>
      </c>
      <c r="C43" s="445">
        <f>未审报表!D228</f>
        <v>0</v>
      </c>
      <c r="D43" s="124" t="str">
        <f t="shared" si="1"/>
        <v/>
      </c>
      <c r="E43" s="445">
        <f>未审报表!C228</f>
        <v>3000</v>
      </c>
      <c r="F43" s="124">
        <f t="shared" si="0"/>
        <v>8.7835416100675985E-5</v>
      </c>
      <c r="G43" s="447">
        <f t="shared" si="6"/>
        <v>3000</v>
      </c>
      <c r="H43" s="123">
        <f t="shared" si="7"/>
        <v>1</v>
      </c>
      <c r="I43" s="187" t="str">
        <f>IF(H43="","",IF(OR(ABS(H43)&gt;=30%,ABS(G43)&gt;=未审BS分析!$E$127*5%,ABS(G43)&gt;=$E$42*10%),"显著",IF(ABS(H43)&gt;=10%,"关注","")))</f>
        <v>显著</v>
      </c>
      <c r="J43" s="449"/>
      <c r="K43" s="915">
        <f t="shared" si="4"/>
        <v>8.7835416100675985E-5</v>
      </c>
      <c r="L43" s="914" t="str">
        <f t="shared" si="5"/>
        <v/>
      </c>
      <c r="M43" s="914"/>
    </row>
    <row r="44" spans="1:13" s="443" customFormat="1">
      <c r="A44" s="912" t="str">
        <f>报表格式!H42</f>
        <v xml:space="preserve">                 其中：政府补助</v>
      </c>
      <c r="B44" s="444">
        <f>报表格式!I42</f>
        <v>38</v>
      </c>
      <c r="C44" s="445">
        <f>未审报表!D229</f>
        <v>0</v>
      </c>
      <c r="D44" s="124" t="str">
        <f t="shared" si="1"/>
        <v/>
      </c>
      <c r="E44" s="445">
        <f>未审报表!C229</f>
        <v>1000</v>
      </c>
      <c r="F44" s="124">
        <f t="shared" si="0"/>
        <v>2.927847203355866E-5</v>
      </c>
      <c r="G44" s="447">
        <f t="shared" si="6"/>
        <v>1000</v>
      </c>
      <c r="H44" s="123">
        <f t="shared" si="7"/>
        <v>1</v>
      </c>
      <c r="I44" s="187" t="str">
        <f>IF(H44="","",IF(OR(ABS(H44)&gt;=30%,ABS(G44)&gt;=未审BS分析!$E$127*5%,ABS(G44)&gt;=$E$42*10%),"显著",IF(ABS(H44)&gt;=10%,"关注","")))</f>
        <v>显著</v>
      </c>
      <c r="J44" s="449"/>
      <c r="K44" s="915">
        <f t="shared" si="4"/>
        <v>2.927847203355866E-5</v>
      </c>
      <c r="L44" s="914" t="str">
        <f t="shared" si="5"/>
        <v/>
      </c>
      <c r="M44" s="914"/>
    </row>
    <row r="45" spans="1:13" s="443" customFormat="1">
      <c r="A45" s="912" t="str">
        <f>报表格式!H43</f>
        <v xml:space="preserve">    减：营业外支出</v>
      </c>
      <c r="B45" s="444">
        <f>报表格式!I43</f>
        <v>39</v>
      </c>
      <c r="C45" s="445">
        <f>未审报表!D230</f>
        <v>0</v>
      </c>
      <c r="D45" s="124" t="str">
        <f t="shared" si="1"/>
        <v/>
      </c>
      <c r="E45" s="445">
        <f>未审报表!C230</f>
        <v>0</v>
      </c>
      <c r="F45" s="124" t="str">
        <f t="shared" si="0"/>
        <v/>
      </c>
      <c r="G45" s="447">
        <f t="shared" si="6"/>
        <v>0</v>
      </c>
      <c r="H45" s="123" t="str">
        <f t="shared" si="7"/>
        <v/>
      </c>
      <c r="I45" s="187" t="str">
        <f>IF(H45="","",IF(OR(ABS(H45)&gt;=30%,ABS(G45)&gt;=未审BS分析!$E$127*5%,ABS(G45)&gt;=$E$42*10%),"显著",IF(ABS(H45)&gt;=10%,"关注","")))</f>
        <v/>
      </c>
      <c r="J45" s="449"/>
      <c r="K45" s="915" t="str">
        <f t="shared" si="4"/>
        <v/>
      </c>
      <c r="L45" s="914" t="str">
        <f t="shared" si="5"/>
        <v/>
      </c>
      <c r="M45" s="914"/>
    </row>
    <row r="46" spans="1:13" s="443" customFormat="1">
      <c r="A46" s="911" t="str">
        <f>报表格式!H44</f>
        <v>三、利润总额（亏损总额以“－”号填列）</v>
      </c>
      <c r="B46" s="444">
        <f>报表格式!I44</f>
        <v>40</v>
      </c>
      <c r="C46" s="445">
        <f>未审报表!D231</f>
        <v>24790875.299999997</v>
      </c>
      <c r="D46" s="124">
        <f t="shared" si="1"/>
        <v>1.0787861501062095</v>
      </c>
      <c r="E46" s="445">
        <f>未审报表!C231</f>
        <v>27498646.760000002</v>
      </c>
      <c r="F46" s="124">
        <f t="shared" si="0"/>
        <v>0.80511836012336857</v>
      </c>
      <c r="G46" s="447">
        <f t="shared" si="6"/>
        <v>2707771.4600000046</v>
      </c>
      <c r="H46" s="123">
        <f t="shared" si="7"/>
        <v>0.10922452020078553</v>
      </c>
      <c r="I46" s="187" t="str">
        <f>IF(H46="","",IF(OR(ABS(H46)&gt;=30%,ABS(G46)&gt;=未审BS分析!$E$127*5%,ABS(G46)&gt;=$E$42*10%),"显著",IF(ABS(H46)&gt;=10%,"关注","")))</f>
        <v>关注</v>
      </c>
      <c r="J46" s="449"/>
      <c r="K46" s="915">
        <f t="shared" si="4"/>
        <v>-0.27366778998284091</v>
      </c>
      <c r="L46" s="914" t="str">
        <f t="shared" si="5"/>
        <v>关注</v>
      </c>
      <c r="M46" s="914"/>
    </row>
    <row r="47" spans="1:13" s="443" customFormat="1">
      <c r="A47" s="912" t="str">
        <f>报表格式!H45</f>
        <v xml:space="preserve">    减：所得税费用</v>
      </c>
      <c r="B47" s="444">
        <f>报表格式!I45</f>
        <v>41</v>
      </c>
      <c r="C47" s="445">
        <f>未审报表!D232</f>
        <v>3569622.5200000005</v>
      </c>
      <c r="D47" s="124">
        <f t="shared" si="1"/>
        <v>0.15533373828407046</v>
      </c>
      <c r="E47" s="445">
        <f>未审报表!C232</f>
        <v>2768255.73</v>
      </c>
      <c r="F47" s="124">
        <f t="shared" si="0"/>
        <v>8.1050297972543511E-2</v>
      </c>
      <c r="G47" s="447">
        <f t="shared" si="6"/>
        <v>-801366.7900000005</v>
      </c>
      <c r="H47" s="123">
        <f t="shared" si="7"/>
        <v>-0.22449622768516161</v>
      </c>
      <c r="I47" s="187" t="str">
        <f>IF(H47="","",IF(OR(ABS(H47)&gt;=30%,ABS(G47)&gt;=未审BS分析!$E$127*5%,ABS(G47)&gt;=$E$42*10%),"显著",IF(ABS(H47)&gt;=10%,"关注","")))</f>
        <v>关注</v>
      </c>
      <c r="J47" s="449"/>
      <c r="K47" s="915">
        <f t="shared" si="4"/>
        <v>-7.4283440311526949E-2</v>
      </c>
      <c r="L47" s="914" t="str">
        <f t="shared" si="5"/>
        <v/>
      </c>
      <c r="M47" s="914"/>
    </row>
    <row r="48" spans="1:13" s="443" customFormat="1">
      <c r="A48" s="911" t="str">
        <f>报表格式!H46</f>
        <v>四、净利润（净亏损以“－”号填列）</v>
      </c>
      <c r="B48" s="444">
        <f>报表格式!I46</f>
        <v>42</v>
      </c>
      <c r="C48" s="445">
        <f>未审报表!D233</f>
        <v>21221252.779999997</v>
      </c>
      <c r="D48" s="124">
        <f t="shared" si="1"/>
        <v>0.92345241182213911</v>
      </c>
      <c r="E48" s="445">
        <f>未审报表!C233</f>
        <v>24730391.030000001</v>
      </c>
      <c r="F48" s="124">
        <f t="shared" si="0"/>
        <v>0.72406806215082498</v>
      </c>
      <c r="G48" s="447">
        <f t="shared" si="6"/>
        <v>3509138.2500000037</v>
      </c>
      <c r="H48" s="123">
        <f t="shared" si="7"/>
        <v>0.16535961785004497</v>
      </c>
      <c r="I48" s="187" t="str">
        <f>IF(H48="","",IF(OR(ABS(H48)&gt;=30%,ABS(G48)&gt;=未审BS分析!$E$127*5%,ABS(G48)&gt;=$E$42*10%),"显著",IF(ABS(H48)&gt;=10%,"关注","")))</f>
        <v>显著</v>
      </c>
      <c r="J48" s="449"/>
      <c r="K48" s="915">
        <f t="shared" si="4"/>
        <v>-0.19938434967131413</v>
      </c>
      <c r="L48" s="914" t="str">
        <f t="shared" si="5"/>
        <v>关注</v>
      </c>
      <c r="M48" s="914"/>
    </row>
    <row r="49" spans="1:13" s="443" customFormat="1">
      <c r="A49" s="912" t="str">
        <f>报表格式!H47</f>
        <v>同一控制下企业合并的被合并方在合并前实现的净利润</v>
      </c>
      <c r="B49" s="444">
        <f>报表格式!I47</f>
        <v>43</v>
      </c>
      <c r="C49" s="445">
        <f>未审报表!D234</f>
        <v>0</v>
      </c>
      <c r="D49" s="124" t="str">
        <f t="shared" si="1"/>
        <v/>
      </c>
      <c r="E49" s="445">
        <f>未审报表!C234</f>
        <v>0</v>
      </c>
      <c r="F49" s="124" t="str">
        <f t="shared" si="0"/>
        <v/>
      </c>
      <c r="G49" s="447">
        <f t="shared" si="6"/>
        <v>0</v>
      </c>
      <c r="H49" s="123" t="str">
        <f t="shared" si="7"/>
        <v/>
      </c>
      <c r="I49" s="187" t="str">
        <f>IF(H49="","",IF(OR(ABS(H49)&gt;=30%,ABS(G49)&gt;=未审BS分析!$E$127*5%,ABS(G49)&gt;=$E$42*10%),"显著",IF(ABS(H49)&gt;=10%,"关注","")))</f>
        <v/>
      </c>
      <c r="J49" s="449"/>
      <c r="K49" s="915" t="str">
        <f t="shared" si="4"/>
        <v/>
      </c>
      <c r="L49" s="914" t="str">
        <f t="shared" si="5"/>
        <v/>
      </c>
      <c r="M49" s="914"/>
    </row>
    <row r="50" spans="1:13" s="443" customFormat="1">
      <c r="A50" s="912" t="str">
        <f>报表格式!H48</f>
        <v xml:space="preserve"> （一）按经营持续性分类</v>
      </c>
      <c r="B50" s="444">
        <f>报表格式!I48</f>
        <v>44</v>
      </c>
      <c r="C50" s="445"/>
      <c r="D50" s="447"/>
      <c r="E50" s="445">
        <f>未审报表!C235</f>
        <v>0</v>
      </c>
      <c r="F50" s="447"/>
      <c r="G50" s="447">
        <f t="shared" si="6"/>
        <v>0</v>
      </c>
      <c r="H50" s="123" t="str">
        <f t="shared" si="7"/>
        <v/>
      </c>
      <c r="I50" s="187" t="str">
        <f>IF(H50="","",IF(OR(ABS(H50)&gt;=30%,ABS(G50)&gt;=未审BS分析!$E$127*5%,ABS(G50)&gt;=$E$42*10%),"显著",IF(ABS(H50)&gt;=10%,"关注","")))</f>
        <v/>
      </c>
      <c r="J50" s="449"/>
      <c r="K50" s="915" t="str">
        <f t="shared" si="4"/>
        <v/>
      </c>
      <c r="L50" s="914" t="str">
        <f t="shared" si="5"/>
        <v/>
      </c>
      <c r="M50" s="914"/>
    </row>
    <row r="51" spans="1:13" s="443" customFormat="1">
      <c r="A51" s="912" t="str">
        <f>报表格式!H49</f>
        <v xml:space="preserve">     其中：持续经营净利润（净亏损以“-”号填列）</v>
      </c>
      <c r="B51" s="444">
        <f>报表格式!I49</f>
        <v>45</v>
      </c>
      <c r="C51" s="445">
        <f>未审报表!D236</f>
        <v>0</v>
      </c>
      <c r="D51" s="124" t="str">
        <f t="shared" si="1"/>
        <v/>
      </c>
      <c r="E51" s="445">
        <f>未审报表!C236</f>
        <v>24730391.030000001</v>
      </c>
      <c r="F51" s="124">
        <f>IF(AND(E51&lt;&gt;0,$E$7&lt;&gt;0),E51/$E$7,"")</f>
        <v>0.72406806215082498</v>
      </c>
      <c r="G51" s="447">
        <f t="shared" si="6"/>
        <v>24730391.030000001</v>
      </c>
      <c r="H51" s="123">
        <f t="shared" si="7"/>
        <v>1</v>
      </c>
      <c r="I51" s="187" t="str">
        <f>IF(H51="","",IF(OR(ABS(H51)&gt;=30%,ABS(G51)&gt;=未审BS分析!$E$127*5%,ABS(G51)&gt;=$E$42*10%),"显著",IF(ABS(H51)&gt;=10%,"关注","")))</f>
        <v>显著</v>
      </c>
      <c r="J51" s="449"/>
      <c r="K51" s="915">
        <f t="shared" si="4"/>
        <v>0.72406806215082498</v>
      </c>
      <c r="L51" s="914" t="str">
        <f t="shared" si="5"/>
        <v>显著</v>
      </c>
      <c r="M51" s="914"/>
    </row>
    <row r="52" spans="1:13" s="443" customFormat="1">
      <c r="A52" s="912" t="str">
        <f>报表格式!H50</f>
        <v xml:space="preserve">                 终止经营净利润（净亏损以“-”号填列）</v>
      </c>
      <c r="B52" s="444">
        <f>报表格式!I50</f>
        <v>46</v>
      </c>
      <c r="C52" s="445">
        <f>未审报表!D237</f>
        <v>0</v>
      </c>
      <c r="D52" s="124" t="str">
        <f t="shared" si="1"/>
        <v/>
      </c>
      <c r="E52" s="445">
        <f>未审报表!C237</f>
        <v>0</v>
      </c>
      <c r="F52" s="124" t="str">
        <f>IF(AND(E52&lt;&gt;0,$E$7&lt;&gt;0),E52/$E$7,"")</f>
        <v/>
      </c>
      <c r="G52" s="447">
        <f t="shared" si="6"/>
        <v>0</v>
      </c>
      <c r="H52" s="123" t="str">
        <f t="shared" si="7"/>
        <v/>
      </c>
      <c r="I52" s="187" t="str">
        <f>IF(H52="","",IF(OR(ABS(H52)&gt;=30%,ABS(G52)&gt;=未审BS分析!$E$127*5%,ABS(G52)&gt;=$E$42*10%),"显著",IF(ABS(H52)&gt;=10%,"关注","")))</f>
        <v/>
      </c>
      <c r="J52" s="449"/>
      <c r="K52" s="915" t="str">
        <f t="shared" si="4"/>
        <v/>
      </c>
      <c r="L52" s="914" t="str">
        <f t="shared" si="5"/>
        <v/>
      </c>
      <c r="M52" s="914"/>
    </row>
    <row r="53" spans="1:13" s="443" customFormat="1">
      <c r="A53" s="912" t="str">
        <f>报表格式!H51</f>
        <v xml:space="preserve"> （二）按所有权归属分类</v>
      </c>
      <c r="B53" s="444">
        <f>报表格式!I51</f>
        <v>47</v>
      </c>
      <c r="C53" s="445"/>
      <c r="D53" s="447"/>
      <c r="E53" s="445">
        <f>未审报表!C238</f>
        <v>0</v>
      </c>
      <c r="F53" s="447"/>
      <c r="G53" s="447">
        <f t="shared" si="6"/>
        <v>0</v>
      </c>
      <c r="H53" s="123" t="str">
        <f t="shared" si="7"/>
        <v/>
      </c>
      <c r="I53" s="187" t="str">
        <f>IF(H53="","",IF(OR(ABS(H53)&gt;=30%,ABS(G53)&gt;=未审BS分析!$E$127*5%,ABS(G53)&gt;=$E$42*10%),"显著",IF(ABS(H53)&gt;=10%,"关注","")))</f>
        <v/>
      </c>
      <c r="J53" s="449"/>
      <c r="K53" s="915" t="str">
        <f t="shared" si="4"/>
        <v/>
      </c>
      <c r="L53" s="914" t="str">
        <f t="shared" si="5"/>
        <v/>
      </c>
      <c r="M53" s="914"/>
    </row>
    <row r="54" spans="1:13" s="443" customFormat="1">
      <c r="A54" s="912" t="str">
        <f>报表格式!H52</f>
        <v xml:space="preserve">     其中：归属于母公司所有者（或股东）的净利润（净亏损以“-”号填列）</v>
      </c>
      <c r="B54" s="444">
        <f>报表格式!I52</f>
        <v>48</v>
      </c>
      <c r="C54" s="445">
        <f>未审报表!D239</f>
        <v>21221252.779999997</v>
      </c>
      <c r="D54" s="124">
        <f t="shared" si="1"/>
        <v>0.92345241182213911</v>
      </c>
      <c r="E54" s="445">
        <f>未审报表!C239</f>
        <v>24730391.030000001</v>
      </c>
      <c r="F54" s="124">
        <f t="shared" ref="F54:F92" si="8">IF(AND(E54&lt;&gt;0,$E$7&lt;&gt;0),E54/$E$7,"")</f>
        <v>0.72406806215082498</v>
      </c>
      <c r="G54" s="447">
        <f t="shared" si="6"/>
        <v>3509138.2500000037</v>
      </c>
      <c r="H54" s="123">
        <f t="shared" si="7"/>
        <v>0.16535961785004497</v>
      </c>
      <c r="I54" s="187" t="str">
        <f>IF(H54="","",IF(OR(ABS(H54)&gt;=30%,ABS(G54)&gt;=未审BS分析!$E$127*5%,ABS(G54)&gt;=$E$42*10%),"显著",IF(ABS(H54)&gt;=10%,"关注","")))</f>
        <v>显著</v>
      </c>
      <c r="J54" s="449"/>
      <c r="K54" s="915">
        <f t="shared" si="4"/>
        <v>-0.19938434967131413</v>
      </c>
      <c r="L54" s="914" t="str">
        <f t="shared" si="5"/>
        <v>关注</v>
      </c>
      <c r="M54" s="914"/>
    </row>
    <row r="55" spans="1:13" s="443" customFormat="1">
      <c r="A55" s="912" t="str">
        <f>报表格式!H53</f>
        <v xml:space="preserve">                 少数股东损益（净亏损以“-”号填列）</v>
      </c>
      <c r="B55" s="444">
        <f>报表格式!I53</f>
        <v>49</v>
      </c>
      <c r="C55" s="445">
        <f>未审报表!D240</f>
        <v>0</v>
      </c>
      <c r="D55" s="124" t="str">
        <f t="shared" si="1"/>
        <v/>
      </c>
      <c r="E55" s="445">
        <f>未审报表!C240</f>
        <v>0</v>
      </c>
      <c r="F55" s="124" t="str">
        <f t="shared" si="8"/>
        <v/>
      </c>
      <c r="G55" s="447">
        <f t="shared" si="6"/>
        <v>0</v>
      </c>
      <c r="H55" s="123" t="str">
        <f t="shared" si="7"/>
        <v/>
      </c>
      <c r="I55" s="187" t="str">
        <f>IF(H55="","",IF(OR(ABS(H55)&gt;=30%,ABS(G55)&gt;=未审BS分析!$E$127*5%,ABS(G55)&gt;=$E$42*10%),"显著",IF(ABS(H55)&gt;=10%,"关注","")))</f>
        <v/>
      </c>
      <c r="J55" s="449"/>
      <c r="K55" s="915" t="str">
        <f t="shared" si="4"/>
        <v/>
      </c>
      <c r="L55" s="914" t="str">
        <f t="shared" si="5"/>
        <v/>
      </c>
      <c r="M55" s="914"/>
    </row>
    <row r="56" spans="1:13" s="443" customFormat="1">
      <c r="A56" s="911" t="str">
        <f>报表格式!H54</f>
        <v>五、其他综合收益的税后净额</v>
      </c>
      <c r="B56" s="444">
        <f>报表格式!I54</f>
        <v>50</v>
      </c>
      <c r="C56" s="445">
        <f>未审报表!D241</f>
        <v>0</v>
      </c>
      <c r="D56" s="124" t="str">
        <f t="shared" si="1"/>
        <v/>
      </c>
      <c r="E56" s="445">
        <f>未审报表!C241</f>
        <v>0</v>
      </c>
      <c r="F56" s="124" t="str">
        <f t="shared" si="8"/>
        <v/>
      </c>
      <c r="G56" s="447">
        <f t="shared" si="6"/>
        <v>0</v>
      </c>
      <c r="H56" s="123" t="str">
        <f t="shared" si="7"/>
        <v/>
      </c>
      <c r="I56" s="187" t="str">
        <f>IF(H56="","",IF(OR(ABS(H56)&gt;=30%,ABS(G56)&gt;=未审BS分析!$E$127*5%,ABS(G56)&gt;=$E$42*10%),"显著",IF(ABS(H56)&gt;=10%,"关注","")))</f>
        <v/>
      </c>
      <c r="J56" s="449"/>
      <c r="K56" s="915" t="str">
        <f t="shared" si="4"/>
        <v/>
      </c>
      <c r="L56" s="914" t="str">
        <f t="shared" si="5"/>
        <v/>
      </c>
      <c r="M56" s="914"/>
    </row>
    <row r="57" spans="1:13" s="443" customFormat="1">
      <c r="A57" s="912" t="str">
        <f>报表格式!H55</f>
        <v>归属于母公司所有者（或股东）的其他综合收益的税后净额</v>
      </c>
      <c r="B57" s="444">
        <f>报表格式!I55</f>
        <v>51</v>
      </c>
      <c r="C57" s="445">
        <f>未审报表!D242</f>
        <v>0</v>
      </c>
      <c r="D57" s="124" t="str">
        <f t="shared" si="1"/>
        <v/>
      </c>
      <c r="E57" s="445">
        <f>未审报表!C242</f>
        <v>0</v>
      </c>
      <c r="F57" s="124" t="str">
        <f t="shared" si="8"/>
        <v/>
      </c>
      <c r="G57" s="447">
        <f t="shared" si="6"/>
        <v>0</v>
      </c>
      <c r="H57" s="123" t="str">
        <f t="shared" si="7"/>
        <v/>
      </c>
      <c r="I57" s="187" t="str">
        <f>IF(H57="","",IF(OR(ABS(H57)&gt;=30%,ABS(G57)&gt;=未审BS分析!$E$127*5%,ABS(G57)&gt;=$E$42*10%),"显著",IF(ABS(H57)&gt;=10%,"关注","")))</f>
        <v/>
      </c>
      <c r="J57" s="449"/>
      <c r="K57" s="915" t="str">
        <f t="shared" si="4"/>
        <v/>
      </c>
      <c r="L57" s="914" t="str">
        <f t="shared" si="5"/>
        <v/>
      </c>
      <c r="M57" s="914"/>
    </row>
    <row r="58" spans="1:13" s="443" customFormat="1">
      <c r="A58" s="912" t="str">
        <f>报表格式!H56</f>
        <v xml:space="preserve">  （一）不能重分类进损益的其他综合收益</v>
      </c>
      <c r="B58" s="444">
        <f>报表格式!I56</f>
        <v>52</v>
      </c>
      <c r="C58" s="445">
        <f>未审报表!D243</f>
        <v>0</v>
      </c>
      <c r="D58" s="124" t="str">
        <f t="shared" si="1"/>
        <v/>
      </c>
      <c r="E58" s="445">
        <f>未审报表!C243</f>
        <v>0</v>
      </c>
      <c r="F58" s="124" t="str">
        <f t="shared" si="8"/>
        <v/>
      </c>
      <c r="G58" s="447">
        <f t="shared" si="6"/>
        <v>0</v>
      </c>
      <c r="H58" s="123" t="str">
        <f t="shared" si="7"/>
        <v/>
      </c>
      <c r="I58" s="187" t="str">
        <f>IF(H58="","",IF(OR(ABS(H58)&gt;=30%,ABS(G58)&gt;=未审BS分析!$E$127*5%,ABS(G58)&gt;=$E$42*10%),"显著",IF(ABS(H58)&gt;=10%,"关注","")))</f>
        <v/>
      </c>
      <c r="J58" s="449"/>
      <c r="K58" s="915" t="str">
        <f t="shared" si="4"/>
        <v/>
      </c>
      <c r="L58" s="914" t="str">
        <f t="shared" si="5"/>
        <v/>
      </c>
      <c r="M58" s="914"/>
    </row>
    <row r="59" spans="1:13" s="443" customFormat="1">
      <c r="A59" s="912" t="str">
        <f>报表格式!H57</f>
        <v>1.重新计量设定受益计划变动额</v>
      </c>
      <c r="B59" s="444">
        <f>报表格式!I57</f>
        <v>53</v>
      </c>
      <c r="C59" s="445">
        <f>未审报表!D244</f>
        <v>0</v>
      </c>
      <c r="D59" s="124" t="str">
        <f t="shared" si="1"/>
        <v/>
      </c>
      <c r="E59" s="445">
        <f>未审报表!C244</f>
        <v>0</v>
      </c>
      <c r="F59" s="124" t="str">
        <f t="shared" si="8"/>
        <v/>
      </c>
      <c r="G59" s="447">
        <f t="shared" si="6"/>
        <v>0</v>
      </c>
      <c r="H59" s="123" t="str">
        <f t="shared" si="7"/>
        <v/>
      </c>
      <c r="I59" s="187" t="str">
        <f>IF(H59="","",IF(OR(ABS(H59)&gt;=30%,ABS(G59)&gt;=未审BS分析!$E$127*5%,ABS(G59)&gt;=$E$42*10%),"显著",IF(ABS(H59)&gt;=10%,"关注","")))</f>
        <v/>
      </c>
      <c r="J59" s="449"/>
      <c r="K59" s="915" t="str">
        <f t="shared" si="4"/>
        <v/>
      </c>
      <c r="L59" s="914" t="str">
        <f t="shared" si="5"/>
        <v/>
      </c>
      <c r="M59" s="914"/>
    </row>
    <row r="60" spans="1:13">
      <c r="A60" s="912" t="str">
        <f>报表格式!H58</f>
        <v>2.权益法下不能转损益的其他综合收益</v>
      </c>
      <c r="B60" s="444">
        <f>报表格式!I58</f>
        <v>54</v>
      </c>
      <c r="C60" s="445">
        <f>未审报表!D245</f>
        <v>0</v>
      </c>
      <c r="D60" s="124" t="str">
        <f t="shared" si="1"/>
        <v/>
      </c>
      <c r="E60" s="445">
        <f>未审报表!C245</f>
        <v>0</v>
      </c>
      <c r="F60" s="124" t="str">
        <f t="shared" si="8"/>
        <v/>
      </c>
      <c r="G60" s="447">
        <f t="shared" si="6"/>
        <v>0</v>
      </c>
      <c r="H60" s="123" t="str">
        <f t="shared" si="7"/>
        <v/>
      </c>
      <c r="I60" s="187" t="str">
        <f>IF(H60="","",IF(OR(ABS(H60)&gt;=30%,ABS(G60)&gt;=未审BS分析!$E$127*5%,ABS(G60)&gt;=$E$42*10%),"显著",IF(ABS(H60)&gt;=10%,"关注","")))</f>
        <v/>
      </c>
      <c r="J60" s="449"/>
      <c r="K60" s="915" t="str">
        <f t="shared" si="4"/>
        <v/>
      </c>
      <c r="L60" s="914" t="str">
        <f t="shared" si="5"/>
        <v/>
      </c>
      <c r="M60" s="914"/>
    </row>
    <row r="61" spans="1:13">
      <c r="A61" s="912" t="str">
        <f>报表格式!H59</f>
        <v xml:space="preserve">3.其他权益工具投资公允价值变动 </v>
      </c>
      <c r="B61" s="444">
        <f>报表格式!I59</f>
        <v>55</v>
      </c>
      <c r="C61" s="445">
        <f>未审报表!D246</f>
        <v>0</v>
      </c>
      <c r="D61" s="124" t="str">
        <f t="shared" si="1"/>
        <v/>
      </c>
      <c r="E61" s="445">
        <f>未审报表!C246</f>
        <v>0</v>
      </c>
      <c r="F61" s="124" t="str">
        <f t="shared" si="8"/>
        <v/>
      </c>
      <c r="G61" s="447">
        <f t="shared" si="6"/>
        <v>0</v>
      </c>
      <c r="H61" s="123" t="str">
        <f t="shared" si="7"/>
        <v/>
      </c>
      <c r="I61" s="187" t="str">
        <f>IF(H61="","",IF(OR(ABS(H61)&gt;=30%,ABS(G61)&gt;=未审BS分析!$E$127*5%,ABS(G61)&gt;=$E$42*10%),"显著",IF(ABS(H61)&gt;=10%,"关注","")))</f>
        <v/>
      </c>
      <c r="J61" s="449"/>
      <c r="K61" s="915" t="str">
        <f t="shared" si="4"/>
        <v/>
      </c>
      <c r="L61" s="914" t="str">
        <f t="shared" si="5"/>
        <v/>
      </c>
      <c r="M61" s="914"/>
    </row>
    <row r="62" spans="1:13">
      <c r="A62" s="912" t="str">
        <f>报表格式!H60</f>
        <v xml:space="preserve">4.企业自身信用风险公允价值变动 </v>
      </c>
      <c r="B62" s="444">
        <f>报表格式!I60</f>
        <v>56</v>
      </c>
      <c r="C62" s="445">
        <f>未审报表!D247</f>
        <v>0</v>
      </c>
      <c r="D62" s="124" t="str">
        <f t="shared" si="1"/>
        <v/>
      </c>
      <c r="E62" s="445">
        <f>未审报表!C247</f>
        <v>0</v>
      </c>
      <c r="F62" s="124" t="str">
        <f t="shared" si="8"/>
        <v/>
      </c>
      <c r="G62" s="447">
        <f t="shared" si="6"/>
        <v>0</v>
      </c>
      <c r="H62" s="123" t="str">
        <f t="shared" si="7"/>
        <v/>
      </c>
      <c r="I62" s="187" t="str">
        <f>IF(H62="","",IF(OR(ABS(H62)&gt;=30%,ABS(G62)&gt;=未审BS分析!$E$127*5%,ABS(G62)&gt;=$E$42*10%),"显著",IF(ABS(H62)&gt;=10%,"关注","")))</f>
        <v/>
      </c>
      <c r="J62" s="449"/>
      <c r="K62" s="915" t="str">
        <f t="shared" si="4"/>
        <v/>
      </c>
      <c r="L62" s="914" t="str">
        <f t="shared" si="5"/>
        <v/>
      </c>
      <c r="M62" s="914"/>
    </row>
    <row r="63" spans="1:13">
      <c r="A63" s="912" t="str">
        <f>报表格式!H61</f>
        <v>5.其他</v>
      </c>
      <c r="B63" s="444">
        <f>报表格式!I61</f>
        <v>57</v>
      </c>
      <c r="C63" s="445">
        <f>未审报表!D248</f>
        <v>0</v>
      </c>
      <c r="D63" s="124" t="str">
        <f t="shared" si="1"/>
        <v/>
      </c>
      <c r="E63" s="445">
        <f>未审报表!C248</f>
        <v>0</v>
      </c>
      <c r="F63" s="124" t="str">
        <f t="shared" si="8"/>
        <v/>
      </c>
      <c r="G63" s="450">
        <f t="shared" si="6"/>
        <v>0</v>
      </c>
      <c r="H63" s="186" t="str">
        <f t="shared" si="7"/>
        <v/>
      </c>
      <c r="I63" s="187" t="str">
        <f>IF(H63="","",IF(OR(ABS(H63)&gt;=30%,ABS(G63)&gt;=未审BS分析!$E$127*5%,ABS(G63)&gt;=$E$42*10%),"显著",IF(ABS(H63)&gt;=10%,"关注","")))</f>
        <v/>
      </c>
      <c r="J63" s="447"/>
      <c r="K63" s="915" t="str">
        <f t="shared" si="4"/>
        <v/>
      </c>
      <c r="L63" s="914" t="str">
        <f t="shared" si="5"/>
        <v/>
      </c>
      <c r="M63" s="914"/>
    </row>
    <row r="64" spans="1:13">
      <c r="A64" s="912" t="str">
        <f>报表格式!H62</f>
        <v xml:space="preserve">  （二）将重分类进损益的其他综合收益</v>
      </c>
      <c r="B64" s="444">
        <f>报表格式!I62</f>
        <v>58</v>
      </c>
      <c r="C64" s="445">
        <f>未审报表!D249</f>
        <v>0</v>
      </c>
      <c r="D64" s="124" t="str">
        <f t="shared" si="1"/>
        <v/>
      </c>
      <c r="E64" s="445">
        <f>未审报表!C249</f>
        <v>0</v>
      </c>
      <c r="F64" s="124" t="str">
        <f t="shared" si="8"/>
        <v/>
      </c>
      <c r="G64" s="447">
        <f>E64-C64</f>
        <v>0</v>
      </c>
      <c r="H64" s="123" t="str">
        <f>IF(AND(C64=0,E64=0),"",IF(C64=0,100%,IF(E64=0,-100%,G64/C64)))</f>
        <v/>
      </c>
      <c r="I64" s="187" t="str">
        <f>IF(H64="","",IF(OR(ABS(H64)&gt;=30%,ABS(G64)&gt;=未审BS分析!$E$127*5%,ABS(G64)&gt;=$E$42*10%),"显著",IF(ABS(H64)&gt;=10%,"关注","")))</f>
        <v/>
      </c>
      <c r="J64" s="447"/>
      <c r="K64" s="915" t="str">
        <f t="shared" si="4"/>
        <v/>
      </c>
      <c r="L64" s="914" t="str">
        <f t="shared" si="5"/>
        <v/>
      </c>
      <c r="M64" s="914"/>
    </row>
    <row r="65" spans="1:13">
      <c r="A65" s="912" t="str">
        <f>报表格式!H63</f>
        <v>1.权益法下可转损益的其他综合收益</v>
      </c>
      <c r="B65" s="444">
        <f>报表格式!I63</f>
        <v>59</v>
      </c>
      <c r="C65" s="445">
        <f>未审报表!D250</f>
        <v>0</v>
      </c>
      <c r="D65" s="124" t="str">
        <f t="shared" si="1"/>
        <v/>
      </c>
      <c r="E65" s="445">
        <f>未审报表!C250</f>
        <v>0</v>
      </c>
      <c r="F65" s="124" t="str">
        <f t="shared" si="8"/>
        <v/>
      </c>
      <c r="G65" s="447">
        <f>E65-C65</f>
        <v>0</v>
      </c>
      <c r="H65" s="123" t="str">
        <f>IF(AND(C65=0,E65=0),"",IF(C65=0,100%,IF(E65=0,-100%,G65/C65)))</f>
        <v/>
      </c>
      <c r="I65" s="187" t="str">
        <f>IF(H65="","",IF(OR(ABS(H65)&gt;=30%,ABS(G65)&gt;=未审BS分析!$E$127*5%,ABS(G65)&gt;=$E$42*10%),"显著",IF(ABS(H65)&gt;=10%,"关注","")))</f>
        <v/>
      </c>
      <c r="J65" s="447"/>
      <c r="K65" s="915" t="str">
        <f t="shared" si="4"/>
        <v/>
      </c>
      <c r="L65" s="914" t="str">
        <f t="shared" si="5"/>
        <v/>
      </c>
      <c r="M65" s="914"/>
    </row>
    <row r="66" spans="1:13">
      <c r="A66" s="912" t="str">
        <f>报表格式!H64</f>
        <v xml:space="preserve">2.其他债权投资公允价值变动 </v>
      </c>
      <c r="B66" s="444">
        <f>报表格式!I64</f>
        <v>60</v>
      </c>
      <c r="C66" s="445">
        <f>未审报表!D251</f>
        <v>0</v>
      </c>
      <c r="D66" s="124" t="str">
        <f t="shared" si="1"/>
        <v/>
      </c>
      <c r="E66" s="445">
        <f>未审报表!C251</f>
        <v>0</v>
      </c>
      <c r="F66" s="124" t="str">
        <f t="shared" si="8"/>
        <v/>
      </c>
      <c r="G66" s="447">
        <f>E66-C66</f>
        <v>0</v>
      </c>
      <c r="H66" s="123" t="str">
        <f>IF(AND(C66=0,E66=0),"",IF(C66=0,100%,IF(E66=0,-100%,G66/C66)))</f>
        <v/>
      </c>
      <c r="I66" s="187" t="str">
        <f>IF(H66="","",IF(OR(ABS(H66)&gt;=30%,ABS(G66)&gt;=未审BS分析!$E$127*5%,ABS(G66)&gt;=$E$42*10%),"显著",IF(ABS(H66)&gt;=10%,"关注","")))</f>
        <v/>
      </c>
      <c r="J66" s="447"/>
      <c r="K66" s="915" t="str">
        <f t="shared" si="4"/>
        <v/>
      </c>
      <c r="L66" s="914" t="str">
        <f t="shared" si="5"/>
        <v/>
      </c>
      <c r="M66" s="914"/>
    </row>
    <row r="67" spans="1:13">
      <c r="A67" s="912" t="str">
        <f>报表格式!H65</f>
        <v xml:space="preserve">3.金融资产重分类计入其他综合收益的金额 </v>
      </c>
      <c r="B67" s="444">
        <f>报表格式!I65</f>
        <v>61</v>
      </c>
      <c r="C67" s="445">
        <f>未审报表!D252</f>
        <v>0</v>
      </c>
      <c r="D67" s="124" t="str">
        <f t="shared" si="1"/>
        <v/>
      </c>
      <c r="E67" s="445">
        <f>未审报表!C252</f>
        <v>0</v>
      </c>
      <c r="F67" s="124" t="str">
        <f t="shared" si="8"/>
        <v/>
      </c>
      <c r="G67" s="447"/>
      <c r="H67" s="123"/>
      <c r="I67" s="187" t="str">
        <f>IF(H67="","",IF(OR(ABS(H67)&gt;=30%,ABS(G67)&gt;=未审BS分析!$E$127*5%,ABS(G67)&gt;=$E$42*10%),"显著",IF(ABS(H67)&gt;=10%,"关注","")))</f>
        <v/>
      </c>
      <c r="J67" s="447"/>
      <c r="K67" s="915" t="str">
        <f t="shared" si="4"/>
        <v/>
      </c>
      <c r="L67" s="914" t="str">
        <f t="shared" si="5"/>
        <v/>
      </c>
      <c r="M67" s="914"/>
    </row>
    <row r="68" spans="1:13">
      <c r="A68" s="912" t="str">
        <f>报表格式!H66</f>
        <v>4.其他债权投资信用减值准备</v>
      </c>
      <c r="B68" s="444">
        <f>报表格式!I66</f>
        <v>62</v>
      </c>
      <c r="C68" s="445">
        <f>未审报表!D253</f>
        <v>0</v>
      </c>
      <c r="D68" s="124" t="str">
        <f t="shared" si="1"/>
        <v/>
      </c>
      <c r="E68" s="445">
        <f>未审报表!C253</f>
        <v>0</v>
      </c>
      <c r="F68" s="124" t="str">
        <f t="shared" si="8"/>
        <v/>
      </c>
      <c r="G68" s="447"/>
      <c r="H68" s="123"/>
      <c r="I68" s="187" t="str">
        <f>IF(H68="","",IF(OR(ABS(H68)&gt;=30%,ABS(G68)&gt;=未审BS分析!$E$127*5%,ABS(G68)&gt;=$E$42*10%),"显著",IF(ABS(H68)&gt;=10%,"关注","")))</f>
        <v/>
      </c>
      <c r="J68" s="447"/>
      <c r="K68" s="915" t="str">
        <f t="shared" si="4"/>
        <v/>
      </c>
      <c r="L68" s="914" t="str">
        <f t="shared" si="5"/>
        <v/>
      </c>
      <c r="M68" s="914"/>
    </row>
    <row r="69" spans="1:13">
      <c r="A69" s="912" t="str">
        <f>报表格式!H67</f>
        <v>5.现金流量套期储备</v>
      </c>
      <c r="B69" s="444">
        <f>报表格式!I67</f>
        <v>63</v>
      </c>
      <c r="C69" s="445">
        <f>未审报表!D254</f>
        <v>0</v>
      </c>
      <c r="D69" s="124" t="str">
        <f t="shared" si="1"/>
        <v/>
      </c>
      <c r="E69" s="445">
        <f>未审报表!C254</f>
        <v>0</v>
      </c>
      <c r="F69" s="124" t="str">
        <f t="shared" si="8"/>
        <v/>
      </c>
      <c r="G69" s="447"/>
      <c r="H69" s="123"/>
      <c r="I69" s="187" t="str">
        <f>IF(H69="","",IF(OR(ABS(H69)&gt;=30%,ABS(G69)&gt;=未审BS分析!$E$127*5%,ABS(G69)&gt;=$E$42*10%),"显著",IF(ABS(H69)&gt;=10%,"关注","")))</f>
        <v/>
      </c>
      <c r="J69" s="447"/>
      <c r="K69" s="915" t="str">
        <f t="shared" si="4"/>
        <v/>
      </c>
      <c r="L69" s="914" t="str">
        <f t="shared" si="5"/>
        <v/>
      </c>
      <c r="M69" s="914"/>
    </row>
    <row r="70" spans="1:13">
      <c r="A70" s="912" t="str">
        <f>报表格式!H68</f>
        <v>6.外币财务报表折算差额</v>
      </c>
      <c r="B70" s="444">
        <f>报表格式!I68</f>
        <v>64</v>
      </c>
      <c r="C70" s="445">
        <f>未审报表!D255</f>
        <v>0</v>
      </c>
      <c r="D70" s="124" t="str">
        <f t="shared" si="1"/>
        <v/>
      </c>
      <c r="E70" s="445">
        <f>未审报表!C255</f>
        <v>0</v>
      </c>
      <c r="F70" s="124" t="str">
        <f t="shared" si="8"/>
        <v/>
      </c>
      <c r="G70" s="447"/>
      <c r="H70" s="123"/>
      <c r="I70" s="187" t="str">
        <f>IF(H70="","",IF(OR(ABS(H70)&gt;=30%,ABS(G70)&gt;=未审BS分析!$E$127*5%,ABS(G70)&gt;=$E$42*10%),"显著",IF(ABS(H70)&gt;=10%,"关注","")))</f>
        <v/>
      </c>
      <c r="J70" s="447"/>
      <c r="K70" s="915" t="str">
        <f t="shared" si="4"/>
        <v/>
      </c>
      <c r="L70" s="914" t="str">
        <f t="shared" si="5"/>
        <v/>
      </c>
      <c r="M70" s="914"/>
    </row>
    <row r="71" spans="1:13">
      <c r="A71" s="912" t="str">
        <f>报表格式!H69</f>
        <v>7.自用房地产或作为存货的房地产转换为以公允价值计量的投资性房地产在转换日公允价值大于账面价值部分</v>
      </c>
      <c r="B71" s="444">
        <f>报表格式!I69</f>
        <v>65</v>
      </c>
      <c r="C71" s="445">
        <f>未审报表!D256</f>
        <v>0</v>
      </c>
      <c r="D71" s="124" t="str">
        <f t="shared" si="1"/>
        <v/>
      </c>
      <c r="E71" s="445">
        <f>未审报表!C256</f>
        <v>0</v>
      </c>
      <c r="F71" s="124" t="str">
        <f t="shared" si="8"/>
        <v/>
      </c>
      <c r="G71" s="447"/>
      <c r="H71" s="123"/>
      <c r="I71" s="187" t="str">
        <f>IF(H71="","",IF(OR(ABS(H71)&gt;=30%,ABS(G71)&gt;=未审BS分析!$E$127*5%,ABS(G71)&gt;=$E$42*10%),"显著",IF(ABS(H71)&gt;=10%,"关注","")))</f>
        <v/>
      </c>
      <c r="J71" s="447"/>
      <c r="K71" s="915" t="str">
        <f t="shared" ref="K71:K92" si="9">IF(AND(D71="",F71=""),"",IF(D71="",F71,IF(F71="",-D71,F71-D71)))</f>
        <v/>
      </c>
      <c r="L71" s="914" t="str">
        <f t="shared" si="5"/>
        <v/>
      </c>
      <c r="M71" s="914"/>
    </row>
    <row r="72" spans="1:13">
      <c r="A72" s="912" t="str">
        <f>报表格式!H70</f>
        <v>8.多次交易分步处置子公司股权构成一揽子交易的，丧失控制权之前各次交易处置价款与对应净资产账面价值份额的差额</v>
      </c>
      <c r="B72" s="444">
        <f>报表格式!I70</f>
        <v>66</v>
      </c>
      <c r="C72" s="445">
        <f>未审报表!D257</f>
        <v>0</v>
      </c>
      <c r="D72" s="124" t="str">
        <f t="shared" ref="D72:D92" si="10">IF(AND(C72&lt;&gt;0,$C$7&lt;&gt;0),C72/$C$7,"")</f>
        <v/>
      </c>
      <c r="E72" s="445">
        <f>未审报表!C257</f>
        <v>0</v>
      </c>
      <c r="F72" s="124" t="str">
        <f t="shared" si="8"/>
        <v/>
      </c>
      <c r="G72" s="447"/>
      <c r="H72" s="123"/>
      <c r="I72" s="187" t="str">
        <f>IF(H72="","",IF(OR(ABS(H72)&gt;=30%,ABS(G72)&gt;=未审BS分析!$E$127*5%,ABS(G72)&gt;=$E$42*10%),"显著",IF(ABS(H72)&gt;=10%,"关注","")))</f>
        <v/>
      </c>
      <c r="J72" s="447"/>
      <c r="K72" s="915" t="str">
        <f t="shared" si="9"/>
        <v/>
      </c>
      <c r="L72" s="914" t="str">
        <f t="shared" ref="L72:L92" si="11">IF(K72="","",IF(ABS(K72)&gt;=30%,"显著",IF(ABS(K72)&gt;=10%,"关注","")))</f>
        <v/>
      </c>
      <c r="M72" s="914"/>
    </row>
    <row r="73" spans="1:13">
      <c r="A73" s="912" t="str">
        <f>报表格式!H71</f>
        <v>9.其他</v>
      </c>
      <c r="B73" s="444">
        <f>报表格式!I71</f>
        <v>67</v>
      </c>
      <c r="C73" s="445">
        <f>未审报表!D258</f>
        <v>0</v>
      </c>
      <c r="D73" s="124" t="str">
        <f t="shared" si="10"/>
        <v/>
      </c>
      <c r="E73" s="445">
        <f>未审报表!C258</f>
        <v>0</v>
      </c>
      <c r="F73" s="124" t="str">
        <f t="shared" si="8"/>
        <v/>
      </c>
      <c r="G73" s="447"/>
      <c r="H73" s="123"/>
      <c r="I73" s="187" t="str">
        <f>IF(H73="","",IF(OR(ABS(H73)&gt;=30%,ABS(G73)&gt;=未审BS分析!$E$127*5%,ABS(G73)&gt;=$E$42*10%),"显著",IF(ABS(H73)&gt;=10%,"关注","")))</f>
        <v/>
      </c>
      <c r="J73" s="447"/>
      <c r="K73" s="915" t="str">
        <f t="shared" si="9"/>
        <v/>
      </c>
      <c r="L73" s="914" t="str">
        <f t="shared" si="11"/>
        <v/>
      </c>
      <c r="M73" s="914"/>
    </row>
    <row r="74" spans="1:13">
      <c r="A74" s="912" t="str">
        <f>报表格式!H72</f>
        <v>归属于少数股东的其他综合收益的税后净额</v>
      </c>
      <c r="B74" s="444">
        <f>报表格式!I72</f>
        <v>68</v>
      </c>
      <c r="C74" s="445">
        <f>未审报表!D259</f>
        <v>0</v>
      </c>
      <c r="D74" s="124" t="str">
        <f t="shared" si="10"/>
        <v/>
      </c>
      <c r="E74" s="445">
        <f>未审报表!C259</f>
        <v>0</v>
      </c>
      <c r="F74" s="124" t="str">
        <f t="shared" si="8"/>
        <v/>
      </c>
      <c r="G74" s="447"/>
      <c r="H74" s="123"/>
      <c r="I74" s="187" t="str">
        <f>IF(H74="","",IF(OR(ABS(H74)&gt;=30%,ABS(G74)&gt;=未审BS分析!$E$127*5%,ABS(G74)&gt;=$E$42*10%),"显著",IF(ABS(H74)&gt;=10%,"关注","")))</f>
        <v/>
      </c>
      <c r="J74" s="447"/>
      <c r="K74" s="915" t="str">
        <f t="shared" si="9"/>
        <v/>
      </c>
      <c r="L74" s="914" t="str">
        <f t="shared" si="11"/>
        <v/>
      </c>
      <c r="M74" s="914"/>
    </row>
    <row r="75" spans="1:13">
      <c r="A75" s="911" t="str">
        <f>报表格式!H73</f>
        <v>六、综合收益总额</v>
      </c>
      <c r="B75" s="444">
        <f>报表格式!I73</f>
        <v>69</v>
      </c>
      <c r="C75" s="445">
        <f>未审报表!D260</f>
        <v>21221252.779999997</v>
      </c>
      <c r="D75" s="124">
        <f t="shared" si="10"/>
        <v>0.92345241182213911</v>
      </c>
      <c r="E75" s="445">
        <f>未审报表!C260</f>
        <v>24730391.030000001</v>
      </c>
      <c r="F75" s="124">
        <f t="shared" si="8"/>
        <v>0.72406806215082498</v>
      </c>
      <c r="G75" s="447"/>
      <c r="H75" s="123"/>
      <c r="I75" s="187" t="str">
        <f>IF(H75="","",IF(OR(ABS(H75)&gt;=30%,ABS(G75)&gt;=未审BS分析!$E$127*5%,ABS(G75)&gt;=$E$42*10%),"显著",IF(ABS(H75)&gt;=10%,"关注","")))</f>
        <v/>
      </c>
      <c r="J75" s="447"/>
      <c r="K75" s="915">
        <f t="shared" si="9"/>
        <v>-0.19938434967131413</v>
      </c>
      <c r="L75" s="914" t="str">
        <f t="shared" si="11"/>
        <v>关注</v>
      </c>
      <c r="M75" s="914"/>
    </row>
    <row r="76" spans="1:13">
      <c r="A76" s="912" t="str">
        <f>报表格式!H74</f>
        <v xml:space="preserve">     归属于母公司所有者（或股东）的综合收益总额</v>
      </c>
      <c r="B76" s="444">
        <f>报表格式!I74</f>
        <v>70</v>
      </c>
      <c r="C76" s="445">
        <f>未审报表!D261</f>
        <v>21221252.779999997</v>
      </c>
      <c r="D76" s="124">
        <f t="shared" si="10"/>
        <v>0.92345241182213911</v>
      </c>
      <c r="E76" s="445">
        <f>未审报表!C261</f>
        <v>24730391.030000001</v>
      </c>
      <c r="F76" s="124">
        <f t="shared" si="8"/>
        <v>0.72406806215082498</v>
      </c>
      <c r="G76" s="447"/>
      <c r="H76" s="123"/>
      <c r="I76" s="187" t="str">
        <f>IF(H76="","",IF(OR(ABS(H76)&gt;=30%,ABS(G76)&gt;=未审BS分析!$E$127*5%,ABS(G76)&gt;=$E$42*10%),"显著",IF(ABS(H76)&gt;=10%,"关注","")))</f>
        <v/>
      </c>
      <c r="J76" s="447"/>
      <c r="K76" s="915">
        <f t="shared" si="9"/>
        <v>-0.19938434967131413</v>
      </c>
      <c r="L76" s="914" t="str">
        <f t="shared" si="11"/>
        <v>关注</v>
      </c>
      <c r="M76" s="914"/>
    </row>
    <row r="77" spans="1:13">
      <c r="A77" s="912" t="str">
        <f>报表格式!H75</f>
        <v xml:space="preserve">     归属于少数股东的综合收益总额</v>
      </c>
      <c r="B77" s="444">
        <f>报表格式!I75</f>
        <v>71</v>
      </c>
      <c r="C77" s="445">
        <f>未审报表!D262</f>
        <v>0</v>
      </c>
      <c r="D77" s="124" t="str">
        <f t="shared" si="10"/>
        <v/>
      </c>
      <c r="E77" s="445">
        <f>未审报表!C262</f>
        <v>0</v>
      </c>
      <c r="F77" s="124" t="str">
        <f t="shared" si="8"/>
        <v/>
      </c>
      <c r="G77" s="447"/>
      <c r="H77" s="123"/>
      <c r="I77" s="187" t="str">
        <f>IF(H77="","",IF(OR(ABS(H77)&gt;=30%,ABS(G77)&gt;=未审BS分析!$E$127*5%,ABS(G77)&gt;=$E$42*10%),"显著",IF(ABS(H77)&gt;=10%,"关注","")))</f>
        <v/>
      </c>
      <c r="J77" s="447"/>
      <c r="K77" s="915" t="str">
        <f t="shared" si="9"/>
        <v/>
      </c>
      <c r="L77" s="914" t="str">
        <f t="shared" si="11"/>
        <v/>
      </c>
      <c r="M77" s="914"/>
    </row>
    <row r="78" spans="1:13">
      <c r="A78" s="911" t="str">
        <f>报表格式!H76</f>
        <v>七、每股收益</v>
      </c>
      <c r="B78" s="444">
        <f>报表格式!I76</f>
        <v>72</v>
      </c>
      <c r="C78" s="445">
        <f>未审报表!D263</f>
        <v>0</v>
      </c>
      <c r="D78" s="124" t="str">
        <f t="shared" si="10"/>
        <v/>
      </c>
      <c r="E78" s="445">
        <f>未审报表!C263</f>
        <v>0</v>
      </c>
      <c r="F78" s="124" t="str">
        <f t="shared" si="8"/>
        <v/>
      </c>
      <c r="G78" s="447"/>
      <c r="H78" s="123"/>
      <c r="I78" s="187" t="str">
        <f>IF(H78="","",IF(OR(ABS(H78)&gt;=30%,ABS(G78)&gt;=未审BS分析!$E$127*5%,ABS(G78)&gt;=$E$42*10%),"显著",IF(ABS(H78)&gt;=10%,"关注","")))</f>
        <v/>
      </c>
      <c r="J78" s="447"/>
      <c r="K78" s="915" t="str">
        <f t="shared" si="9"/>
        <v/>
      </c>
      <c r="L78" s="914" t="str">
        <f t="shared" si="11"/>
        <v/>
      </c>
      <c r="M78" s="914"/>
    </row>
    <row r="79" spans="1:13">
      <c r="A79" s="912" t="str">
        <f>报表格式!H77</f>
        <v xml:space="preserve">   （一）基本每股收益</v>
      </c>
      <c r="B79" s="444">
        <f>报表格式!I77</f>
        <v>73</v>
      </c>
      <c r="C79" s="445">
        <f>未审报表!D264</f>
        <v>0</v>
      </c>
      <c r="D79" s="124" t="str">
        <f t="shared" si="10"/>
        <v/>
      </c>
      <c r="E79" s="445">
        <f>未审报表!C264</f>
        <v>0</v>
      </c>
      <c r="F79" s="124" t="str">
        <f t="shared" si="8"/>
        <v/>
      </c>
      <c r="G79" s="447"/>
      <c r="H79" s="123"/>
      <c r="I79" s="187" t="str">
        <f>IF(H79="","",IF(OR(ABS(H79)&gt;=30%,ABS(G79)&gt;=未审BS分析!$E$127*5%,ABS(G79)&gt;=$E$42*10%),"显著",IF(ABS(H79)&gt;=10%,"关注","")))</f>
        <v/>
      </c>
      <c r="J79" s="447"/>
      <c r="K79" s="915" t="str">
        <f t="shared" si="9"/>
        <v/>
      </c>
      <c r="L79" s="914" t="str">
        <f t="shared" si="11"/>
        <v/>
      </c>
      <c r="M79" s="914"/>
    </row>
    <row r="80" spans="1:13">
      <c r="A80" s="912" t="str">
        <f>报表格式!H78</f>
        <v xml:space="preserve">   （二）稀释每股收益</v>
      </c>
      <c r="B80" s="444">
        <f>报表格式!I78</f>
        <v>74</v>
      </c>
      <c r="C80" s="445">
        <f>未审报表!D265</f>
        <v>0</v>
      </c>
      <c r="D80" s="124" t="str">
        <f t="shared" si="10"/>
        <v/>
      </c>
      <c r="E80" s="445">
        <f>未审报表!C265</f>
        <v>0</v>
      </c>
      <c r="F80" s="124" t="str">
        <f t="shared" si="8"/>
        <v/>
      </c>
      <c r="G80" s="447"/>
      <c r="H80" s="123"/>
      <c r="I80" s="187" t="str">
        <f>IF(H80="","",IF(OR(ABS(H80)&gt;=30%,ABS(G80)&gt;=未审BS分析!$E$127*5%,ABS(G80)&gt;=$E$42*10%),"显著",IF(ABS(H80)&gt;=10%,"关注","")))</f>
        <v/>
      </c>
      <c r="J80" s="447"/>
      <c r="K80" s="915" t="str">
        <f t="shared" si="9"/>
        <v/>
      </c>
      <c r="L80" s="914" t="str">
        <f t="shared" si="11"/>
        <v/>
      </c>
      <c r="M80" s="914"/>
    </row>
    <row r="81" spans="1:13">
      <c r="A81" s="911" t="str">
        <f>报表格式!H79</f>
        <v>加：年初未分配利润</v>
      </c>
      <c r="B81" s="444">
        <f>报表格式!I79</f>
        <v>75</v>
      </c>
      <c r="C81" s="445">
        <f>未审报表!D266</f>
        <v>2588996.5500000003</v>
      </c>
      <c r="D81" s="124">
        <f t="shared" si="10"/>
        <v>0.11266135572118179</v>
      </c>
      <c r="E81" s="445">
        <f>未审报表!C266</f>
        <v>8163964.6899999976</v>
      </c>
      <c r="F81" s="124">
        <f t="shared" si="8"/>
        <v>0.23902841185912532</v>
      </c>
      <c r="G81" s="447"/>
      <c r="H81" s="123"/>
      <c r="I81" s="187" t="str">
        <f>IF(H81="","",IF(OR(ABS(H81)&gt;=30%,ABS(G81)&gt;=未审BS分析!$E$127*5%,ABS(G81)&gt;=$E$42*10%),"显著",IF(ABS(H81)&gt;=10%,"关注","")))</f>
        <v/>
      </c>
      <c r="J81" s="447"/>
      <c r="K81" s="915">
        <f t="shared" si="9"/>
        <v>0.12636705613794352</v>
      </c>
      <c r="L81" s="914" t="str">
        <f t="shared" si="11"/>
        <v>关注</v>
      </c>
      <c r="M81" s="914"/>
    </row>
    <row r="82" spans="1:13">
      <c r="A82" s="912" t="str">
        <f>报表格式!H80</f>
        <v>八、可供分配利润</v>
      </c>
      <c r="B82" s="444">
        <f>报表格式!I80</f>
        <v>76</v>
      </c>
      <c r="C82" s="445">
        <f>未审报表!D267</f>
        <v>23810249.329999998</v>
      </c>
      <c r="D82" s="124">
        <f t="shared" si="10"/>
        <v>1.036113767543321</v>
      </c>
      <c r="E82" s="445">
        <f>未审报表!C267</f>
        <v>32894355.719999999</v>
      </c>
      <c r="F82" s="124">
        <f t="shared" si="8"/>
        <v>0.96309647400995035</v>
      </c>
      <c r="G82" s="447"/>
      <c r="H82" s="123"/>
      <c r="I82" s="187" t="str">
        <f>IF(H82="","",IF(OR(ABS(H82)&gt;=30%,ABS(G82)&gt;=未审BS分析!$E$127*5%,ABS(G82)&gt;=$E$42*10%),"显著",IF(ABS(H82)&gt;=10%,"关注","")))</f>
        <v/>
      </c>
      <c r="J82" s="447"/>
      <c r="K82" s="915">
        <f t="shared" si="9"/>
        <v>-7.3017293533370609E-2</v>
      </c>
      <c r="L82" s="914" t="str">
        <f t="shared" si="11"/>
        <v/>
      </c>
      <c r="M82" s="914"/>
    </row>
    <row r="83" spans="1:13">
      <c r="A83" s="912" t="str">
        <f>报表格式!H81</f>
        <v xml:space="preserve">    1、提取法定盈余公积</v>
      </c>
      <c r="B83" s="444">
        <f>报表格式!I81</f>
        <v>77</v>
      </c>
      <c r="C83" s="445">
        <f>未审报表!D268</f>
        <v>907107.19</v>
      </c>
      <c r="D83" s="124">
        <f t="shared" si="10"/>
        <v>3.9473179603051856E-2</v>
      </c>
      <c r="E83" s="445">
        <f>未审报表!C268</f>
        <v>0</v>
      </c>
      <c r="F83" s="124" t="str">
        <f t="shared" si="8"/>
        <v/>
      </c>
      <c r="G83" s="447"/>
      <c r="H83" s="123"/>
      <c r="I83" s="187" t="str">
        <f>IF(H83="","",IF(OR(ABS(H83)&gt;=30%,ABS(G83)&gt;=未审BS分析!$E$127*5%,ABS(G83)&gt;=$E$42*10%),"显著",IF(ABS(H83)&gt;=10%,"关注","")))</f>
        <v/>
      </c>
      <c r="J83" s="447"/>
      <c r="K83" s="915">
        <f t="shared" si="9"/>
        <v>-3.9473179603051856E-2</v>
      </c>
      <c r="L83" s="914" t="str">
        <f t="shared" si="11"/>
        <v/>
      </c>
      <c r="M83" s="914"/>
    </row>
    <row r="84" spans="1:13">
      <c r="A84" s="912" t="str">
        <f>报表格式!H82</f>
        <v xml:space="preserve">    2、提取一般风险准备</v>
      </c>
      <c r="B84" s="444">
        <f>报表格式!I82</f>
        <v>78</v>
      </c>
      <c r="C84" s="445">
        <f>未审报表!D269</f>
        <v>0</v>
      </c>
      <c r="D84" s="124" t="str">
        <f t="shared" si="10"/>
        <v/>
      </c>
      <c r="E84" s="445">
        <f>未审报表!C269</f>
        <v>0</v>
      </c>
      <c r="F84" s="124" t="str">
        <f t="shared" si="8"/>
        <v/>
      </c>
      <c r="G84" s="447"/>
      <c r="H84" s="123"/>
      <c r="I84" s="187" t="str">
        <f>IF(H84="","",IF(OR(ABS(H84)&gt;=30%,ABS(G84)&gt;=未审BS分析!$E$127*5%,ABS(G84)&gt;=$E$42*10%),"显著",IF(ABS(H84)&gt;=10%,"关注","")))</f>
        <v/>
      </c>
      <c r="J84" s="447"/>
      <c r="K84" s="915" t="str">
        <f t="shared" si="9"/>
        <v/>
      </c>
      <c r="L84" s="914" t="str">
        <f t="shared" si="11"/>
        <v/>
      </c>
      <c r="M84" s="914"/>
    </row>
    <row r="85" spans="1:13">
      <c r="A85" s="912" t="str">
        <f>报表格式!H83</f>
        <v xml:space="preserve">    3、提取其他</v>
      </c>
      <c r="B85" s="444">
        <f>报表格式!I83</f>
        <v>79</v>
      </c>
      <c r="C85" s="445">
        <f>未审报表!D270</f>
        <v>0</v>
      </c>
      <c r="D85" s="124" t="str">
        <f t="shared" si="10"/>
        <v/>
      </c>
      <c r="E85" s="445">
        <f>未审报表!C270</f>
        <v>0</v>
      </c>
      <c r="F85" s="124" t="str">
        <f t="shared" si="8"/>
        <v/>
      </c>
      <c r="G85" s="447"/>
      <c r="H85" s="123"/>
      <c r="I85" s="187" t="str">
        <f>IF(H85="","",IF(OR(ABS(H85)&gt;=30%,ABS(G85)&gt;=未审BS分析!$E$127*5%,ABS(G85)&gt;=$E$42*10%),"显著",IF(ABS(H85)&gt;=10%,"关注","")))</f>
        <v/>
      </c>
      <c r="J85" s="447"/>
      <c r="K85" s="915" t="str">
        <f t="shared" si="9"/>
        <v/>
      </c>
      <c r="L85" s="914" t="str">
        <f t="shared" si="11"/>
        <v/>
      </c>
      <c r="M85" s="914"/>
    </row>
    <row r="86" spans="1:13">
      <c r="A86" s="912" t="str">
        <f>报表格式!H84</f>
        <v>九、可供投资者分配的利润</v>
      </c>
      <c r="B86" s="444">
        <f>报表格式!I84</f>
        <v>80</v>
      </c>
      <c r="C86" s="445">
        <f>未审报表!D271</f>
        <v>22903142.139999997</v>
      </c>
      <c r="D86" s="124">
        <f t="shared" si="10"/>
        <v>0.996640587940269</v>
      </c>
      <c r="E86" s="445">
        <f>未审报表!C271</f>
        <v>32894355.719999999</v>
      </c>
      <c r="F86" s="124">
        <f t="shared" si="8"/>
        <v>0.96309647400995035</v>
      </c>
      <c r="G86" s="447"/>
      <c r="H86" s="123"/>
      <c r="I86" s="187" t="str">
        <f>IF(H86="","",IF(OR(ABS(H86)&gt;=30%,ABS(G86)&gt;=未审BS分析!$E$127*5%,ABS(G86)&gt;=$E$42*10%),"显著",IF(ABS(H86)&gt;=10%,"关注","")))</f>
        <v/>
      </c>
      <c r="J86" s="447"/>
      <c r="K86" s="915">
        <f t="shared" si="9"/>
        <v>-3.3544113930318642E-2</v>
      </c>
      <c r="L86" s="914" t="str">
        <f t="shared" si="11"/>
        <v/>
      </c>
      <c r="M86" s="914"/>
    </row>
    <row r="87" spans="1:13">
      <c r="A87" s="912" t="str">
        <f>报表格式!H85</f>
        <v xml:space="preserve">    1、应付优先股股利</v>
      </c>
      <c r="B87" s="444">
        <f>报表格式!I85</f>
        <v>81</v>
      </c>
      <c r="C87" s="445">
        <f>未审报表!D272</f>
        <v>0</v>
      </c>
      <c r="D87" s="124" t="str">
        <f t="shared" si="10"/>
        <v/>
      </c>
      <c r="E87" s="445">
        <f>未审报表!C272</f>
        <v>0</v>
      </c>
      <c r="F87" s="124" t="str">
        <f t="shared" si="8"/>
        <v/>
      </c>
      <c r="G87" s="447"/>
      <c r="H87" s="123"/>
      <c r="I87" s="187" t="str">
        <f>IF(H87="","",IF(OR(ABS(H87)&gt;=30%,ABS(G87)&gt;=未审BS分析!$E$127*5%,ABS(G87)&gt;=$E$42*10%),"显著",IF(ABS(H87)&gt;=10%,"关注","")))</f>
        <v/>
      </c>
      <c r="J87" s="447"/>
      <c r="K87" s="915" t="str">
        <f t="shared" si="9"/>
        <v/>
      </c>
      <c r="L87" s="914" t="str">
        <f t="shared" si="11"/>
        <v/>
      </c>
      <c r="M87" s="914"/>
    </row>
    <row r="88" spans="1:13">
      <c r="A88" s="912" t="str">
        <f>报表格式!H86</f>
        <v xml:space="preserve">    2、提取任意盈余公积</v>
      </c>
      <c r="B88" s="444">
        <f>报表格式!I86</f>
        <v>82</v>
      </c>
      <c r="C88" s="445">
        <f>未审报表!D273</f>
        <v>0</v>
      </c>
      <c r="D88" s="124" t="str">
        <f t="shared" si="10"/>
        <v/>
      </c>
      <c r="E88" s="445">
        <f>未审报表!C273</f>
        <v>0</v>
      </c>
      <c r="F88" s="124" t="str">
        <f t="shared" si="8"/>
        <v/>
      </c>
      <c r="G88" s="447"/>
      <c r="H88" s="123"/>
      <c r="I88" s="187" t="str">
        <f>IF(H88="","",IF(OR(ABS(H88)&gt;=30%,ABS(G88)&gt;=未审BS分析!$E$127*5%,ABS(G88)&gt;=$E$42*10%),"显著",IF(ABS(H88)&gt;=10%,"关注","")))</f>
        <v/>
      </c>
      <c r="J88" s="447"/>
      <c r="K88" s="915" t="str">
        <f t="shared" si="9"/>
        <v/>
      </c>
      <c r="L88" s="914" t="str">
        <f t="shared" si="11"/>
        <v/>
      </c>
      <c r="M88" s="914"/>
    </row>
    <row r="89" spans="1:13">
      <c r="A89" s="912" t="str">
        <f>报表格式!H87</f>
        <v xml:space="preserve">    3、应付普通股股利（应付利润）</v>
      </c>
      <c r="B89" s="444">
        <f>报表格式!I87</f>
        <v>83</v>
      </c>
      <c r="C89" s="445">
        <f>未审报表!D274</f>
        <v>13971670.6</v>
      </c>
      <c r="D89" s="124">
        <f t="shared" si="10"/>
        <v>0.6079835647080245</v>
      </c>
      <c r="E89" s="445">
        <f>未审报表!C274</f>
        <v>0</v>
      </c>
      <c r="F89" s="124" t="str">
        <f t="shared" si="8"/>
        <v/>
      </c>
      <c r="G89" s="447"/>
      <c r="H89" s="123"/>
      <c r="I89" s="187" t="str">
        <f>IF(H89="","",IF(OR(ABS(H89)&gt;=30%,ABS(G89)&gt;=未审BS分析!$E$127*5%,ABS(G89)&gt;=$E$42*10%),"显著",IF(ABS(H89)&gt;=10%,"关注","")))</f>
        <v/>
      </c>
      <c r="J89" s="447"/>
      <c r="K89" s="915">
        <f t="shared" si="9"/>
        <v>-0.6079835647080245</v>
      </c>
      <c r="L89" s="914" t="str">
        <f t="shared" si="11"/>
        <v>显著</v>
      </c>
      <c r="M89" s="914"/>
    </row>
    <row r="90" spans="1:13">
      <c r="A90" s="912" t="str">
        <f>报表格式!H88</f>
        <v xml:space="preserve">    4、转作资本（或股本）的普通股股利</v>
      </c>
      <c r="B90" s="444">
        <f>报表格式!I88</f>
        <v>84</v>
      </c>
      <c r="C90" s="445">
        <f>未审报表!D275</f>
        <v>767506.85</v>
      </c>
      <c r="D90" s="124">
        <f t="shared" si="10"/>
        <v>3.3398407675086977E-2</v>
      </c>
      <c r="E90" s="445">
        <f>未审报表!C275</f>
        <v>0</v>
      </c>
      <c r="F90" s="124" t="str">
        <f t="shared" si="8"/>
        <v/>
      </c>
      <c r="G90" s="447"/>
      <c r="H90" s="123"/>
      <c r="I90" s="187" t="str">
        <f>IF(H90="","",IF(OR(ABS(H90)&gt;=30%,ABS(G90)&gt;=未审BS分析!$E$127*5%,ABS(G90)&gt;=$E$42*10%),"显著",IF(ABS(H90)&gt;=10%,"关注","")))</f>
        <v/>
      </c>
      <c r="J90" s="447"/>
      <c r="K90" s="915">
        <f t="shared" si="9"/>
        <v>-3.3398407675086977E-2</v>
      </c>
      <c r="L90" s="914" t="str">
        <f t="shared" si="11"/>
        <v/>
      </c>
      <c r="M90" s="914"/>
    </row>
    <row r="91" spans="1:13">
      <c r="A91" s="912" t="str">
        <f>报表格式!H89</f>
        <v xml:space="preserve">    5、其他</v>
      </c>
      <c r="B91" s="444">
        <f>报表格式!I89</f>
        <v>85</v>
      </c>
      <c r="C91" s="445">
        <f>未审报表!D276</f>
        <v>0</v>
      </c>
      <c r="D91" s="124" t="str">
        <f t="shared" si="10"/>
        <v/>
      </c>
      <c r="E91" s="445">
        <f>未审报表!C276</f>
        <v>0</v>
      </c>
      <c r="F91" s="124" t="str">
        <f t="shared" si="8"/>
        <v/>
      </c>
      <c r="G91" s="447"/>
      <c r="H91" s="123"/>
      <c r="I91" s="187" t="str">
        <f>IF(H91="","",IF(OR(ABS(H91)&gt;=30%,ABS(G91)&gt;=未审BS分析!$E$127*5%,ABS(G91)&gt;=$E$42*10%),"显著",IF(ABS(H91)&gt;=10%,"关注","")))</f>
        <v/>
      </c>
      <c r="J91" s="447"/>
      <c r="K91" s="915" t="str">
        <f t="shared" si="9"/>
        <v/>
      </c>
      <c r="L91" s="914" t="str">
        <f t="shared" si="11"/>
        <v/>
      </c>
      <c r="M91" s="914"/>
    </row>
    <row r="92" spans="1:13">
      <c r="A92" s="913" t="str">
        <f>报表格式!H90</f>
        <v>十、未分配利润</v>
      </c>
      <c r="B92" s="596">
        <f>报表格式!I90</f>
        <v>86</v>
      </c>
      <c r="C92" s="445">
        <f>未审报表!D277</f>
        <v>8163964.6899999976</v>
      </c>
      <c r="D92" s="124">
        <f t="shared" si="10"/>
        <v>0.35525861555715754</v>
      </c>
      <c r="E92" s="445">
        <f>未审报表!C277</f>
        <v>32894355.719999999</v>
      </c>
      <c r="F92" s="124">
        <f t="shared" si="8"/>
        <v>0.96309647400995035</v>
      </c>
      <c r="G92" s="597"/>
      <c r="H92" s="595"/>
      <c r="I92" s="187" t="str">
        <f>IF(H92="","",IF(OR(ABS(H92)&gt;=30%,ABS(G92)&gt;=未审BS分析!$E$127*5%,ABS(G92)&gt;=$E$42*10%),"显著",IF(ABS(H92)&gt;=10%,"关注","")))</f>
        <v/>
      </c>
      <c r="J92" s="597"/>
      <c r="K92" s="915">
        <f t="shared" si="9"/>
        <v>0.60783785845279281</v>
      </c>
      <c r="L92" s="914" t="str">
        <f t="shared" si="11"/>
        <v>显著</v>
      </c>
      <c r="M92" s="914"/>
    </row>
  </sheetData>
  <sheetProtection insertRows="0"/>
  <mergeCells count="10">
    <mergeCell ref="K4:K5"/>
    <mergeCell ref="L4:L6"/>
    <mergeCell ref="M4:M6"/>
    <mergeCell ref="C4:D4"/>
    <mergeCell ref="E4:F4"/>
    <mergeCell ref="A4:A6"/>
    <mergeCell ref="B4:B6"/>
    <mergeCell ref="A1:J1"/>
    <mergeCell ref="I4:I6"/>
    <mergeCell ref="J4:J6"/>
  </mergeCells>
  <phoneticPr fontId="4" type="noConversion"/>
  <conditionalFormatting sqref="J8">
    <cfRule type="cellIs" dxfId="53" priority="4" stopIfTrue="1" operator="equal">
      <formula>"异常"</formula>
    </cfRule>
  </conditionalFormatting>
  <conditionalFormatting sqref="I7:I92">
    <cfRule type="cellIs" dxfId="52" priority="5" stopIfTrue="1" operator="equal">
      <formula>"显著"</formula>
    </cfRule>
  </conditionalFormatting>
  <conditionalFormatting sqref="L7:L92">
    <cfRule type="cellIs" dxfId="51" priority="2" stopIfTrue="1" operator="equal">
      <formula>"显著"</formula>
    </cfRule>
  </conditionalFormatting>
  <conditionalFormatting sqref="M7:M92">
    <cfRule type="cellIs" dxfId="50" priority="1" stopIfTrue="1" operator="equal">
      <formula>"显著"</formula>
    </cfRule>
  </conditionalFormatting>
  <printOptions horizontalCentered="1"/>
  <pageMargins left="0.71" right="0.23622047244094491" top="0.68" bottom="0.25" header="0.38" footer="0.2"/>
  <pageSetup paperSize="9" scale="54" orientation="portrait" blackAndWhite="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92D050"/>
  </sheetPr>
  <dimension ref="A1:P398"/>
  <sheetViews>
    <sheetView showZeros="0" view="pageBreakPreview" zoomScale="130" zoomScaleNormal="100" zoomScaleSheetLayoutView="130" workbookViewId="0">
      <pane xSplit="2" ySplit="6" topLeftCell="C7" activePane="bottomRight" state="frozen"/>
      <selection activeCell="B57" sqref="B57"/>
      <selection pane="topRight" activeCell="B57" sqref="B57"/>
      <selection pane="bottomLeft" activeCell="B57" sqref="B57"/>
      <selection pane="bottomRight" activeCell="I3" sqref="I3"/>
    </sheetView>
  </sheetViews>
  <sheetFormatPr defaultColWidth="9" defaultRowHeight="10.8"/>
  <cols>
    <col min="1" max="1" width="18.69921875" style="102" customWidth="1"/>
    <col min="2" max="2" width="41.3984375" style="118" customWidth="1"/>
    <col min="3" max="3" width="10.59765625" style="106" customWidth="1"/>
    <col min="4" max="4" width="10.69921875" style="106" customWidth="1"/>
    <col min="5" max="5" width="8" style="102" customWidth="1"/>
    <col min="6" max="6" width="11.69921875" style="106" customWidth="1"/>
    <col min="7" max="7" width="11.09765625" style="106" customWidth="1"/>
    <col min="8" max="8" width="8" style="102" customWidth="1"/>
    <col min="9" max="9" width="7.09765625" style="102" customWidth="1"/>
    <col min="10" max="10" width="7.3984375" style="102" customWidth="1"/>
    <col min="11" max="11" width="6.8984375" style="102" customWidth="1"/>
    <col min="12" max="16384" width="9" style="102"/>
  </cols>
  <sheetData>
    <row r="1" spans="1:16" ht="17.399999999999999">
      <c r="A1" s="1167" t="s">
        <v>68</v>
      </c>
      <c r="B1" s="1167"/>
      <c r="C1" s="1167"/>
      <c r="D1" s="1167"/>
      <c r="E1" s="1167"/>
      <c r="F1" s="1167"/>
      <c r="G1" s="1167"/>
      <c r="H1" s="1167"/>
      <c r="I1" s="1167"/>
      <c r="J1" s="1167"/>
    </row>
    <row r="2" spans="1:16" s="93" customFormat="1" ht="13.8">
      <c r="A2" s="92" t="str">
        <f>CONCATENATE("客户名称：",参数!D3)</f>
        <v>客户名称：二锅头</v>
      </c>
      <c r="B2" s="111"/>
      <c r="C2" s="99" t="str">
        <f>CONCATENATE("编制：",参数!D17)</f>
        <v>编制：张</v>
      </c>
      <c r="F2" s="95" t="str">
        <f ca="1">CONCATENATE("日期：",TEXT(NOW(),"yyyy.mm.dd"))</f>
        <v>日期：2025.11.06</v>
      </c>
      <c r="I2" s="1030" t="s">
        <v>1846</v>
      </c>
      <c r="J2" s="95"/>
      <c r="K2" s="96"/>
      <c r="N2" s="97"/>
      <c r="O2" s="98"/>
      <c r="P2" s="76"/>
    </row>
    <row r="3" spans="1:16" s="93" customFormat="1" ht="14.4" thickBot="1">
      <c r="A3" s="95" t="str">
        <f>CONCATENATE("会计期间：",TEXT(参数!D10,"yyyy.mm.dd"))</f>
        <v>会计期间：2022年度</v>
      </c>
      <c r="B3" s="111"/>
      <c r="C3" s="99" t="str">
        <f>CONCATENATE("复核：",参数!D18)</f>
        <v>复核：刘</v>
      </c>
      <c r="F3" s="94" t="s">
        <v>13</v>
      </c>
      <c r="I3" s="94" t="s">
        <v>61</v>
      </c>
      <c r="J3" s="95"/>
      <c r="K3" s="95"/>
      <c r="N3" s="97"/>
      <c r="O3" s="98"/>
      <c r="P3" s="76"/>
    </row>
    <row r="4" spans="1:16" s="109" customFormat="1" ht="12" customHeight="1">
      <c r="A4" s="1173" t="s">
        <v>1696</v>
      </c>
      <c r="B4" s="1175" t="s">
        <v>70</v>
      </c>
      <c r="C4" s="1168" t="str">
        <f>CONCATENATE(参数!D9,"已审数")</f>
        <v>2021年度已审数</v>
      </c>
      <c r="D4" s="1168"/>
      <c r="E4" s="1168"/>
      <c r="F4" s="1168" t="str">
        <f>CONCATENATE(参数!D10,"未审数")</f>
        <v>2022年度未审数</v>
      </c>
      <c r="G4" s="1168"/>
      <c r="H4" s="1168"/>
      <c r="I4" s="1169" t="s">
        <v>64</v>
      </c>
      <c r="J4" s="1171" t="s">
        <v>65</v>
      </c>
    </row>
    <row r="5" spans="1:16" s="109" customFormat="1" ht="12" customHeight="1">
      <c r="A5" s="1174"/>
      <c r="B5" s="1176"/>
      <c r="C5" s="973" t="s">
        <v>62</v>
      </c>
      <c r="D5" s="973" t="s">
        <v>63</v>
      </c>
      <c r="E5" s="974" t="s">
        <v>69</v>
      </c>
      <c r="F5" s="973" t="s">
        <v>62</v>
      </c>
      <c r="G5" s="973" t="s">
        <v>63</v>
      </c>
      <c r="H5" s="974" t="s">
        <v>69</v>
      </c>
      <c r="I5" s="1170"/>
      <c r="J5" s="1172"/>
    </row>
    <row r="6" spans="1:16" ht="12.75" customHeight="1">
      <c r="A6" s="1006" t="s">
        <v>66</v>
      </c>
      <c r="B6" s="112"/>
      <c r="C6" s="107"/>
      <c r="D6" s="107"/>
      <c r="E6" s="108"/>
      <c r="F6" s="107"/>
      <c r="G6" s="107"/>
      <c r="H6" s="108"/>
      <c r="I6" s="108"/>
      <c r="J6" s="1007"/>
      <c r="K6" s="101"/>
    </row>
    <row r="7" spans="1:16" ht="12" customHeight="1">
      <c r="A7" s="993" t="s">
        <v>1680</v>
      </c>
      <c r="B7" s="113" t="s">
        <v>1687</v>
      </c>
      <c r="C7" s="971">
        <f>未审报表!D193+未审报表!D194-未审报表!D199-未审报表!D200</f>
        <v>13114153.439999998</v>
      </c>
      <c r="D7" s="971">
        <f>未审报表!D193+未审报表!D194</f>
        <v>22980342.579999998</v>
      </c>
      <c r="E7" s="972">
        <f>C7/D7</f>
        <v>0.5706683176870202</v>
      </c>
      <c r="F7" s="971">
        <f>未审报表!C193+未审报表!C194-未审报表!C199-未审报表!C200</f>
        <v>15408871.210000001</v>
      </c>
      <c r="G7" s="971">
        <f>未审报表!C193+未审报表!C194</f>
        <v>34154787.82</v>
      </c>
      <c r="H7" s="972">
        <f>F7/G7</f>
        <v>0.45114820479069223</v>
      </c>
      <c r="I7" s="975">
        <f>H7-E7</f>
        <v>-0.11952011289632797</v>
      </c>
      <c r="J7" s="994"/>
      <c r="K7" s="101"/>
    </row>
    <row r="8" spans="1:16" ht="12" customHeight="1">
      <c r="A8" s="993" t="s">
        <v>1681</v>
      </c>
      <c r="B8" s="113" t="s">
        <v>1688</v>
      </c>
      <c r="C8" s="971">
        <f>未审报表!D233</f>
        <v>21221252.779999997</v>
      </c>
      <c r="D8" s="971">
        <f>未审报表!D193+未审报表!D194</f>
        <v>22980342.579999998</v>
      </c>
      <c r="E8" s="972">
        <f>C8/D8</f>
        <v>0.92345241182213911</v>
      </c>
      <c r="F8" s="971">
        <f>未审报表!C233</f>
        <v>24730391.030000001</v>
      </c>
      <c r="G8" s="971">
        <f>未审报表!C193+未审报表!C194</f>
        <v>34154787.82</v>
      </c>
      <c r="H8" s="972">
        <f>F8/G8</f>
        <v>0.72406806215082498</v>
      </c>
      <c r="I8" s="975">
        <f t="shared" ref="I8:I16" si="0">H8-E8</f>
        <v>-0.19938434967131413</v>
      </c>
      <c r="J8" s="994"/>
      <c r="K8" s="101"/>
    </row>
    <row r="9" spans="1:16" ht="12" customHeight="1">
      <c r="A9" s="995" t="s">
        <v>1816</v>
      </c>
      <c r="B9" s="113" t="s">
        <v>1689</v>
      </c>
      <c r="C9" s="971">
        <f>未审报表!D227</f>
        <v>24790875.299999997</v>
      </c>
      <c r="D9" s="971">
        <f>未审报表!D209+未审报表!D210+未审报表!D211+未审报表!D212+未审报表!D199+未审报表!D200</f>
        <v>10313885.810000001</v>
      </c>
      <c r="E9" s="972">
        <f>C9/D9</f>
        <v>2.4036406604350407</v>
      </c>
      <c r="F9" s="971">
        <f>未审报表!C227</f>
        <v>27495646.760000002</v>
      </c>
      <c r="G9" s="971">
        <f>未审报表!C209+未审报表!C210+未审报表!C211+未审报表!C212+未审报表!C199+未审报表!C200</f>
        <v>29447434.68</v>
      </c>
      <c r="H9" s="972">
        <f>F9/G9</f>
        <v>0.93371959421220463</v>
      </c>
      <c r="I9" s="975">
        <f t="shared" si="0"/>
        <v>-1.4699210662228359</v>
      </c>
      <c r="J9" s="994"/>
      <c r="K9" s="101"/>
    </row>
    <row r="10" spans="1:16" ht="12" customHeight="1">
      <c r="A10" s="993" t="s">
        <v>1682</v>
      </c>
      <c r="B10" s="113" t="s">
        <v>1690</v>
      </c>
      <c r="C10" s="971">
        <f>未审报表!D209+未审报表!D210+未审报表!D211+未审报表!D212</f>
        <v>447696.67</v>
      </c>
      <c r="D10" s="971">
        <f>未审报表!D193+未审报表!D194</f>
        <v>22980342.579999998</v>
      </c>
      <c r="E10" s="972">
        <f t="shared" ref="E10:E14" si="1">C10/D10</f>
        <v>1.9481723061414866E-2</v>
      </c>
      <c r="F10" s="971">
        <f>未审报表!C209+未审报表!C210+未审报表!C211+未审报表!C212</f>
        <v>10701518.07</v>
      </c>
      <c r="G10" s="971">
        <f>未审报表!C193+未审报表!C194</f>
        <v>34154787.82</v>
      </c>
      <c r="H10" s="972">
        <f>F10/G10</f>
        <v>0.31332409752911766</v>
      </c>
      <c r="I10" s="975">
        <f t="shared" si="0"/>
        <v>0.29384237446770278</v>
      </c>
      <c r="J10" s="994"/>
      <c r="K10" s="101"/>
    </row>
    <row r="11" spans="1:16" ht="12" customHeight="1">
      <c r="A11" s="993" t="s">
        <v>1683</v>
      </c>
      <c r="B11" s="113" t="s">
        <v>1691</v>
      </c>
      <c r="C11" s="971">
        <f>未审报表!D209</f>
        <v>0</v>
      </c>
      <c r="D11" s="971">
        <f>未审报表!D193+未审报表!D194</f>
        <v>22980342.579999998</v>
      </c>
      <c r="E11" s="972">
        <f t="shared" si="1"/>
        <v>0</v>
      </c>
      <c r="F11" s="971">
        <f>未审报表!C209</f>
        <v>0</v>
      </c>
      <c r="G11" s="971">
        <f>未审报表!C193+未审报表!C194</f>
        <v>34154787.82</v>
      </c>
      <c r="H11" s="972">
        <f t="shared" ref="H11:H14" si="2">F11/G11</f>
        <v>0</v>
      </c>
      <c r="I11" s="975">
        <f t="shared" si="0"/>
        <v>0</v>
      </c>
      <c r="J11" s="994"/>
      <c r="K11" s="101"/>
    </row>
    <row r="12" spans="1:16" ht="12" customHeight="1">
      <c r="A12" s="993" t="s">
        <v>1684</v>
      </c>
      <c r="B12" s="113" t="s">
        <v>1692</v>
      </c>
      <c r="C12" s="971">
        <f>未审报表!D210</f>
        <v>479456.63</v>
      </c>
      <c r="D12" s="971">
        <f>未审报表!D193+未审报表!D194</f>
        <v>22980342.579999998</v>
      </c>
      <c r="E12" s="972">
        <f t="shared" si="1"/>
        <v>2.0863772083940798E-2</v>
      </c>
      <c r="F12" s="971">
        <f>未审报表!C210</f>
        <v>10711569.51</v>
      </c>
      <c r="G12" s="971">
        <f>未审报表!C193+未审报表!C194</f>
        <v>34154787.82</v>
      </c>
      <c r="H12" s="972">
        <f t="shared" si="2"/>
        <v>0.31361838833405464</v>
      </c>
      <c r="I12" s="975">
        <f t="shared" si="0"/>
        <v>0.29275461625011384</v>
      </c>
      <c r="J12" s="994"/>
      <c r="K12" s="101"/>
    </row>
    <row r="13" spans="1:16" ht="12" customHeight="1">
      <c r="A13" s="993" t="s">
        <v>1685</v>
      </c>
      <c r="B13" s="113" t="s">
        <v>1693</v>
      </c>
      <c r="C13" s="971">
        <f>未审报表!D211</f>
        <v>0</v>
      </c>
      <c r="D13" s="971">
        <f>未审报表!D193+未审报表!D194</f>
        <v>22980342.579999998</v>
      </c>
      <c r="E13" s="972">
        <f t="shared" si="1"/>
        <v>0</v>
      </c>
      <c r="F13" s="971">
        <f>未审报表!C211</f>
        <v>0</v>
      </c>
      <c r="G13" s="971">
        <f>未审报表!C193+未审报表!C194</f>
        <v>34154787.82</v>
      </c>
      <c r="H13" s="972">
        <f t="shared" si="2"/>
        <v>0</v>
      </c>
      <c r="I13" s="975">
        <f t="shared" si="0"/>
        <v>0</v>
      </c>
      <c r="J13" s="994"/>
      <c r="K13" s="101"/>
    </row>
    <row r="14" spans="1:16" ht="12" customHeight="1">
      <c r="A14" s="993" t="s">
        <v>1686</v>
      </c>
      <c r="B14" s="113" t="s">
        <v>1694</v>
      </c>
      <c r="C14" s="971">
        <f>未审报表!D212</f>
        <v>-31759.960000000003</v>
      </c>
      <c r="D14" s="971">
        <f>未审报表!D193+未审报表!D194</f>
        <v>22980342.579999998</v>
      </c>
      <c r="E14" s="972">
        <f t="shared" si="1"/>
        <v>-1.3820490225259299E-3</v>
      </c>
      <c r="F14" s="971">
        <f>未审报表!C212</f>
        <v>-10051.44</v>
      </c>
      <c r="G14" s="971">
        <f>未审报表!C193+未审报表!C194</f>
        <v>34154787.82</v>
      </c>
      <c r="H14" s="972">
        <f t="shared" si="2"/>
        <v>-2.9429080493699288E-4</v>
      </c>
      <c r="I14" s="975">
        <f t="shared" si="0"/>
        <v>1.087758217588937E-3</v>
      </c>
      <c r="J14" s="994"/>
      <c r="K14" s="101"/>
    </row>
    <row r="15" spans="1:16" ht="13.05" customHeight="1">
      <c r="A15" s="996" t="s">
        <v>1720</v>
      </c>
      <c r="B15" s="918" t="s">
        <v>1721</v>
      </c>
      <c r="C15" s="125"/>
      <c r="D15" s="125"/>
      <c r="E15" s="189"/>
      <c r="F15" s="125"/>
      <c r="G15" s="125"/>
      <c r="H15" s="189"/>
      <c r="I15" s="126">
        <f t="shared" si="0"/>
        <v>0</v>
      </c>
      <c r="J15" s="994"/>
      <c r="K15" s="101"/>
    </row>
    <row r="16" spans="1:16" ht="13.05" customHeight="1">
      <c r="A16" s="996" t="s">
        <v>1722</v>
      </c>
      <c r="B16" s="918" t="s">
        <v>1723</v>
      </c>
      <c r="C16" s="125"/>
      <c r="D16" s="125"/>
      <c r="E16" s="189"/>
      <c r="F16" s="125"/>
      <c r="G16" s="125"/>
      <c r="H16" s="189"/>
      <c r="I16" s="126">
        <f t="shared" si="0"/>
        <v>0</v>
      </c>
      <c r="J16" s="994"/>
      <c r="K16" s="101"/>
    </row>
    <row r="17" spans="1:11" ht="12" customHeight="1">
      <c r="A17" s="991" t="s">
        <v>1695</v>
      </c>
      <c r="B17" s="114"/>
      <c r="C17" s="127"/>
      <c r="D17" s="127"/>
      <c r="E17" s="128"/>
      <c r="F17" s="127"/>
      <c r="G17" s="127"/>
      <c r="H17" s="128"/>
      <c r="I17" s="128"/>
      <c r="J17" s="992"/>
      <c r="K17" s="101"/>
    </row>
    <row r="18" spans="1:11" ht="12" customHeight="1">
      <c r="A18" s="997" t="s">
        <v>1697</v>
      </c>
      <c r="B18" s="113" t="s">
        <v>1703</v>
      </c>
      <c r="C18" s="971">
        <f>未审报表!D199+未审报表!D200</f>
        <v>9866189.1400000006</v>
      </c>
      <c r="D18" s="125"/>
      <c r="E18" s="977" t="e">
        <f t="shared" ref="E18:E23" si="3">C18/D18</f>
        <v>#DIV/0!</v>
      </c>
      <c r="F18" s="971">
        <f>未审报表!C199+未审报表!C200</f>
        <v>18745916.609999999</v>
      </c>
      <c r="G18" s="971">
        <f>(未审报表!C46+未审报表!D46)/2</f>
        <v>4263398.16</v>
      </c>
      <c r="H18" s="978">
        <f t="shared" ref="H18:H23" si="4">F18/G18</f>
        <v>4.3969425107600077</v>
      </c>
      <c r="I18" s="975" t="e">
        <f>H18-E18</f>
        <v>#DIV/0!</v>
      </c>
      <c r="J18" s="994"/>
      <c r="K18" s="101"/>
    </row>
    <row r="19" spans="1:11" ht="12" customHeight="1">
      <c r="A19" s="997" t="s">
        <v>1698</v>
      </c>
      <c r="B19" s="113" t="s">
        <v>1704</v>
      </c>
      <c r="C19" s="971">
        <v>365</v>
      </c>
      <c r="D19" s="976" t="e">
        <f>E18</f>
        <v>#DIV/0!</v>
      </c>
      <c r="E19" s="977" t="e">
        <f t="shared" si="3"/>
        <v>#DIV/0!</v>
      </c>
      <c r="F19" s="971">
        <v>365</v>
      </c>
      <c r="G19" s="976">
        <f>H18</f>
        <v>4.3969425107600077</v>
      </c>
      <c r="H19" s="978">
        <f t="shared" si="4"/>
        <v>83.012229317710606</v>
      </c>
      <c r="I19" s="975" t="e">
        <f t="shared" ref="I19:I23" si="5">H19-E19</f>
        <v>#DIV/0!</v>
      </c>
      <c r="J19" s="994"/>
      <c r="K19" s="101"/>
    </row>
    <row r="20" spans="1:11" ht="12" customHeight="1">
      <c r="A20" s="997" t="s">
        <v>1699</v>
      </c>
      <c r="B20" s="113" t="s">
        <v>1705</v>
      </c>
      <c r="C20" s="971">
        <f>未审报表!D193+未审报表!D194</f>
        <v>22980342.579999998</v>
      </c>
      <c r="D20" s="125"/>
      <c r="E20" s="977" t="e">
        <f t="shared" si="3"/>
        <v>#DIV/0!</v>
      </c>
      <c r="F20" s="971">
        <f>未审报表!C193+未审报表!C194</f>
        <v>34154787.82</v>
      </c>
      <c r="G20" s="971">
        <f>(未审报表!C15+未审报表!D15+未审报表!C18+未审报表!D18+未审报表!C21+未审报表!D21)/2</f>
        <v>16083856.675000001</v>
      </c>
      <c r="H20" s="978">
        <f t="shared" si="4"/>
        <v>2.1235446516436953</v>
      </c>
      <c r="I20" s="975" t="e">
        <f t="shared" si="5"/>
        <v>#DIV/0!</v>
      </c>
      <c r="J20" s="994"/>
      <c r="K20" s="101"/>
    </row>
    <row r="21" spans="1:11" ht="12" customHeight="1">
      <c r="A21" s="997" t="s">
        <v>1700</v>
      </c>
      <c r="B21" s="113" t="s">
        <v>1817</v>
      </c>
      <c r="C21" s="125">
        <v>365</v>
      </c>
      <c r="D21" s="976" t="e">
        <f>E20</f>
        <v>#DIV/0!</v>
      </c>
      <c r="E21" s="977" t="e">
        <f t="shared" si="3"/>
        <v>#DIV/0!</v>
      </c>
      <c r="F21" s="971">
        <v>365</v>
      </c>
      <c r="G21" s="971">
        <f>H20</f>
        <v>2.1235446516436953</v>
      </c>
      <c r="H21" s="978">
        <f t="shared" si="4"/>
        <v>171.88242296552497</v>
      </c>
      <c r="I21" s="975" t="e">
        <f t="shared" si="5"/>
        <v>#DIV/0!</v>
      </c>
      <c r="J21" s="994"/>
      <c r="K21" s="101"/>
    </row>
    <row r="22" spans="1:11" ht="12" customHeight="1">
      <c r="A22" s="997" t="s">
        <v>1701</v>
      </c>
      <c r="B22" s="113" t="s">
        <v>1707</v>
      </c>
      <c r="C22" s="971">
        <f>未审报表!D193+未审报表!D194</f>
        <v>22980342.579999998</v>
      </c>
      <c r="D22" s="125"/>
      <c r="E22" s="977" t="e">
        <f t="shared" si="3"/>
        <v>#DIV/0!</v>
      </c>
      <c r="F22" s="971">
        <f>未审报表!C193+未审报表!C194</f>
        <v>34154787.82</v>
      </c>
      <c r="G22" s="971">
        <f>(未审报表!C15+未审报表!D15+未审报表!C18+未审报表!D18+未审报表!C21+未审报表!D21+未审报表!C51+未审报表!D51)/2</f>
        <v>16083856.675000001</v>
      </c>
      <c r="H22" s="978">
        <f t="shared" si="4"/>
        <v>2.1235446516436953</v>
      </c>
      <c r="I22" s="975" t="e">
        <f t="shared" si="5"/>
        <v>#DIV/0!</v>
      </c>
      <c r="J22" s="994"/>
      <c r="K22" s="101"/>
    </row>
    <row r="23" spans="1:11" ht="12" customHeight="1">
      <c r="A23" s="997" t="s">
        <v>1702</v>
      </c>
      <c r="B23" s="113" t="s">
        <v>1706</v>
      </c>
      <c r="C23" s="125">
        <v>365</v>
      </c>
      <c r="D23" s="971" t="e">
        <f>E22</f>
        <v>#DIV/0!</v>
      </c>
      <c r="E23" s="977" t="e">
        <f t="shared" si="3"/>
        <v>#DIV/0!</v>
      </c>
      <c r="F23" s="971">
        <v>365</v>
      </c>
      <c r="G23" s="971">
        <f>H22</f>
        <v>2.1235446516436953</v>
      </c>
      <c r="H23" s="978">
        <f t="shared" si="4"/>
        <v>171.88242296552497</v>
      </c>
      <c r="I23" s="975" t="e">
        <f t="shared" si="5"/>
        <v>#DIV/0!</v>
      </c>
      <c r="J23" s="994"/>
      <c r="K23" s="101"/>
    </row>
    <row r="24" spans="1:11" ht="12" customHeight="1">
      <c r="A24" s="991" t="s">
        <v>1708</v>
      </c>
      <c r="B24" s="115"/>
      <c r="C24" s="127"/>
      <c r="D24" s="127"/>
      <c r="E24" s="128"/>
      <c r="F24" s="127"/>
      <c r="G24" s="127"/>
      <c r="H24" s="128"/>
      <c r="I24" s="128"/>
      <c r="J24" s="992" t="str">
        <f>IF(ABS(I24)&lt;20%,"",IF(ABS(I24)&lt;50%,"关注","异常"))</f>
        <v/>
      </c>
      <c r="K24" s="101"/>
    </row>
    <row r="25" spans="1:11" ht="12" customHeight="1">
      <c r="A25" s="997" t="s">
        <v>1709</v>
      </c>
      <c r="B25" s="113" t="s">
        <v>1711</v>
      </c>
      <c r="C25" s="971">
        <f>未审报表!D59</f>
        <v>59421429.140000001</v>
      </c>
      <c r="D25" s="971">
        <f>未审报表!D158</f>
        <v>9195302</v>
      </c>
      <c r="E25" s="979">
        <f>C25/D25</f>
        <v>6.4621509048859949</v>
      </c>
      <c r="F25" s="971">
        <f>未审报表!C59</f>
        <v>81087051.770000011</v>
      </c>
      <c r="G25" s="971">
        <f>未审报表!C158</f>
        <v>20514110.34</v>
      </c>
      <c r="H25" s="979">
        <f>F25/G25</f>
        <v>3.9527452288238014</v>
      </c>
      <c r="I25" s="975">
        <f>H25-E25</f>
        <v>-2.5094056760621934</v>
      </c>
      <c r="J25" s="994"/>
      <c r="K25" s="101"/>
    </row>
    <row r="26" spans="1:11" ht="12" customHeight="1">
      <c r="A26" s="997" t="s">
        <v>1710</v>
      </c>
      <c r="B26" s="113" t="s">
        <v>1712</v>
      </c>
      <c r="C26" s="971">
        <f>未审报表!D59-未审报表!D48</f>
        <v>59421429.140000001</v>
      </c>
      <c r="D26" s="971">
        <f>未审报表!D158</f>
        <v>9195302</v>
      </c>
      <c r="E26" s="979">
        <f>C26/D26</f>
        <v>6.4621509048859949</v>
      </c>
      <c r="F26" s="971">
        <f>未审报表!C59-未审报表!C48</f>
        <v>72560255.450000018</v>
      </c>
      <c r="G26" s="971">
        <f>未审报表!C158</f>
        <v>20514110.34</v>
      </c>
      <c r="H26" s="979">
        <f>F26/G26</f>
        <v>3.5370900442373276</v>
      </c>
      <c r="I26" s="975">
        <f>H26-E26</f>
        <v>-2.9250608606486672</v>
      </c>
      <c r="J26" s="994"/>
      <c r="K26" s="101"/>
    </row>
    <row r="27" spans="1:11" ht="12" customHeight="1">
      <c r="A27" s="991" t="s">
        <v>1719</v>
      </c>
      <c r="B27" s="115"/>
      <c r="C27" s="127"/>
      <c r="D27" s="127"/>
      <c r="E27" s="128"/>
      <c r="F27" s="127"/>
      <c r="G27" s="127"/>
      <c r="H27" s="128"/>
      <c r="I27" s="128"/>
      <c r="J27" s="992" t="str">
        <f>IF(ABS(I27)&lt;20%,"",IF(ABS(I27)&lt;50%,"关注","异常"))</f>
        <v/>
      </c>
      <c r="K27" s="101"/>
    </row>
    <row r="28" spans="1:11" ht="12" customHeight="1">
      <c r="A28" s="993" t="s">
        <v>1713</v>
      </c>
      <c r="B28" s="113" t="s">
        <v>1716</v>
      </c>
      <c r="C28" s="971">
        <f>未审报表!D174</f>
        <v>9195302</v>
      </c>
      <c r="D28" s="971">
        <f>未审报表!D127</f>
        <v>71520160.680000007</v>
      </c>
      <c r="E28" s="972">
        <f>C28/D28</f>
        <v>0.1285693699870474</v>
      </c>
      <c r="F28" s="971">
        <f>未审报表!C174</f>
        <v>20514110.34</v>
      </c>
      <c r="G28" s="971">
        <f>未审报表!C127</f>
        <v>108619360.05000001</v>
      </c>
      <c r="H28" s="972">
        <f t="shared" ref="H28:H30" si="6">IF(G28=0,0,F28/G28)</f>
        <v>0.18886237527598099</v>
      </c>
      <c r="I28" s="975">
        <f t="shared" ref="I28:I30" si="7">IF(E28=0,0,(H28-E28)/E28)</f>
        <v>0.46895310519922234</v>
      </c>
      <c r="J28" s="994"/>
      <c r="K28" s="101"/>
    </row>
    <row r="29" spans="1:11" ht="12" customHeight="1">
      <c r="A29" s="993" t="s">
        <v>1714</v>
      </c>
      <c r="B29" s="113" t="s">
        <v>1717</v>
      </c>
      <c r="C29" s="125"/>
      <c r="D29" s="125"/>
      <c r="E29" s="189">
        <f t="shared" ref="E29:E30" si="8">IF(D29=0,0,C29/D29)</f>
        <v>0</v>
      </c>
      <c r="F29" s="125"/>
      <c r="G29" s="125"/>
      <c r="H29" s="189">
        <f t="shared" si="6"/>
        <v>0</v>
      </c>
      <c r="I29" s="126">
        <f t="shared" si="7"/>
        <v>0</v>
      </c>
      <c r="J29" s="994" t="str">
        <f>IF(AND(ABS(I29)&lt;20%,H29&lt;=100%),"",IF(OR(ABS(I29)&gt;=50%,H29&gt;=150%),"显著","关注"))</f>
        <v/>
      </c>
      <c r="K29" s="101"/>
    </row>
    <row r="30" spans="1:11" ht="12" customHeight="1">
      <c r="A30" s="993" t="s">
        <v>1715</v>
      </c>
      <c r="B30" s="113" t="s">
        <v>1718</v>
      </c>
      <c r="C30" s="125"/>
      <c r="D30" s="125"/>
      <c r="E30" s="189">
        <f t="shared" si="8"/>
        <v>0</v>
      </c>
      <c r="F30" s="125"/>
      <c r="G30" s="125"/>
      <c r="H30" s="189">
        <f t="shared" si="6"/>
        <v>0</v>
      </c>
      <c r="I30" s="126">
        <f t="shared" si="7"/>
        <v>0</v>
      </c>
      <c r="J30" s="994" t="str">
        <f>IF(AND(ABS(I30)&lt;20%,H30&lt;=150%),"",IF(OR(ABS(I30)&gt;=50%,H30&gt;=200%),"显著","关注"))</f>
        <v/>
      </c>
      <c r="K30" s="101"/>
    </row>
    <row r="31" spans="1:11" ht="12" customHeight="1">
      <c r="A31" s="991" t="s">
        <v>1738</v>
      </c>
      <c r="B31" s="114"/>
      <c r="C31" s="127"/>
      <c r="D31" s="127"/>
      <c r="E31" s="128"/>
      <c r="F31" s="127"/>
      <c r="G31" s="127"/>
      <c r="H31" s="128"/>
      <c r="I31" s="128"/>
      <c r="J31" s="992"/>
      <c r="K31" s="101"/>
    </row>
    <row r="32" spans="1:11" ht="12" customHeight="1">
      <c r="A32" s="993" t="s">
        <v>1724</v>
      </c>
      <c r="B32" s="113" t="s">
        <v>1725</v>
      </c>
      <c r="C32" s="125"/>
      <c r="D32" s="125"/>
      <c r="E32" s="189"/>
      <c r="F32" s="125"/>
      <c r="G32" s="125"/>
      <c r="H32" s="189"/>
      <c r="I32" s="126"/>
      <c r="J32" s="994"/>
      <c r="K32" s="101"/>
    </row>
    <row r="33" spans="1:11" ht="12" customHeight="1">
      <c r="A33" s="993" t="s">
        <v>1726</v>
      </c>
      <c r="B33" s="113" t="s">
        <v>1727</v>
      </c>
      <c r="C33" s="971">
        <f>未审报表!D307</f>
        <v>0</v>
      </c>
      <c r="D33" s="971">
        <f>未审报表!D176</f>
        <v>51000000</v>
      </c>
      <c r="E33" s="972">
        <f>C33/D33</f>
        <v>0</v>
      </c>
      <c r="F33" s="971">
        <f>未审报表!C307</f>
        <v>0</v>
      </c>
      <c r="G33" s="971">
        <f>未审报表!C176</f>
        <v>51350000</v>
      </c>
      <c r="H33" s="972">
        <f>F33/G33</f>
        <v>0</v>
      </c>
      <c r="I33" s="975">
        <f>H33-E33</f>
        <v>0</v>
      </c>
      <c r="J33" s="994"/>
      <c r="K33" s="101"/>
    </row>
    <row r="34" spans="1:11" ht="12" customHeight="1">
      <c r="A34" s="993" t="s">
        <v>1728</v>
      </c>
      <c r="B34" s="113" t="s">
        <v>1729</v>
      </c>
      <c r="C34" s="971">
        <f>未审报表!D340</f>
        <v>0</v>
      </c>
      <c r="D34" s="971">
        <f>未审报表!D176</f>
        <v>51000000</v>
      </c>
      <c r="E34" s="972">
        <f>C34/D34</f>
        <v>0</v>
      </c>
      <c r="F34" s="125">
        <f>未审报表!C340</f>
        <v>0</v>
      </c>
      <c r="G34" s="125">
        <f>未审报表!C176</f>
        <v>51350000</v>
      </c>
      <c r="H34" s="972">
        <f>F34/G34</f>
        <v>0</v>
      </c>
      <c r="I34" s="975">
        <f>H34-E34</f>
        <v>0</v>
      </c>
      <c r="J34" s="994"/>
      <c r="K34" s="101"/>
    </row>
    <row r="35" spans="1:11" ht="12" customHeight="1">
      <c r="A35" s="993" t="s">
        <v>1730</v>
      </c>
      <c r="B35" s="987" t="s">
        <v>1734</v>
      </c>
      <c r="C35" s="125"/>
      <c r="D35" s="125"/>
      <c r="E35" s="189"/>
      <c r="F35" s="125"/>
      <c r="G35" s="125"/>
      <c r="H35" s="189"/>
      <c r="I35" s="126"/>
      <c r="J35" s="994"/>
      <c r="K35" s="101"/>
    </row>
    <row r="36" spans="1:11" ht="12" customHeight="1">
      <c r="A36" s="993" t="s">
        <v>1731</v>
      </c>
      <c r="B36" s="987" t="s">
        <v>1735</v>
      </c>
      <c r="C36" s="125"/>
      <c r="D36" s="125"/>
      <c r="E36" s="189"/>
      <c r="F36" s="125"/>
      <c r="G36" s="125"/>
      <c r="H36" s="189"/>
      <c r="I36" s="126"/>
      <c r="J36" s="994"/>
      <c r="K36" s="101"/>
    </row>
    <row r="37" spans="1:11" ht="12" customHeight="1">
      <c r="A37" s="993" t="s">
        <v>1732</v>
      </c>
      <c r="B37" s="987" t="s">
        <v>1736</v>
      </c>
      <c r="C37" s="125"/>
      <c r="D37" s="125"/>
      <c r="E37" s="189"/>
      <c r="F37" s="125"/>
      <c r="G37" s="125"/>
      <c r="H37" s="189"/>
      <c r="I37" s="126"/>
      <c r="J37" s="994"/>
      <c r="K37" s="101"/>
    </row>
    <row r="38" spans="1:11" ht="12" customHeight="1">
      <c r="A38" s="993" t="s">
        <v>1733</v>
      </c>
      <c r="B38" s="987" t="s">
        <v>1737</v>
      </c>
      <c r="C38" s="125"/>
      <c r="D38" s="125"/>
      <c r="E38" s="189"/>
      <c r="F38" s="125"/>
      <c r="G38" s="125"/>
      <c r="H38" s="189"/>
      <c r="I38" s="126"/>
      <c r="J38" s="994"/>
      <c r="K38" s="101"/>
    </row>
    <row r="39" spans="1:11" ht="12" customHeight="1">
      <c r="A39" s="991" t="s">
        <v>1790</v>
      </c>
      <c r="B39" s="114"/>
      <c r="C39" s="127"/>
      <c r="D39" s="127"/>
      <c r="E39" s="128"/>
      <c r="F39" s="127"/>
      <c r="G39" s="127"/>
      <c r="H39" s="128"/>
      <c r="I39" s="128"/>
      <c r="J39" s="992"/>
      <c r="K39" s="101"/>
    </row>
    <row r="40" spans="1:11" ht="12" customHeight="1">
      <c r="A40" s="993" t="s">
        <v>1739</v>
      </c>
      <c r="B40" s="985" t="s">
        <v>1740</v>
      </c>
      <c r="C40" s="985"/>
      <c r="D40" s="985"/>
      <c r="E40" s="985">
        <f>IF(D40=0,0,C40/D40)</f>
        <v>0</v>
      </c>
      <c r="F40" s="985"/>
      <c r="G40" s="985"/>
      <c r="H40" s="985">
        <f>IF(G40=0,0,F40/G40)</f>
        <v>0</v>
      </c>
      <c r="I40" s="985">
        <f t="shared" ref="I40" si="9">IF(E40=0,0,(H40-E40)/E40)</f>
        <v>0</v>
      </c>
      <c r="J40" s="998" t="str">
        <f t="shared" ref="J40" si="10">IF(ABS(I40)&lt;20%,"",IF(ABS(I40)&lt;50%,"关注","显著"))</f>
        <v/>
      </c>
      <c r="K40" s="101"/>
    </row>
    <row r="41" spans="1:11" ht="13.8" thickBot="1">
      <c r="A41" s="1017" t="s">
        <v>1741</v>
      </c>
      <c r="B41" s="980" t="s">
        <v>1742</v>
      </c>
      <c r="C41" s="981"/>
      <c r="D41" s="981"/>
      <c r="E41" s="982">
        <f>IF(D41=0,0,C41/D41)</f>
        <v>0</v>
      </c>
      <c r="F41" s="983"/>
      <c r="G41" s="983"/>
      <c r="H41" s="982">
        <f>IF(G41=0,0,F41/G41)</f>
        <v>0</v>
      </c>
      <c r="I41" s="984">
        <f>IF(E41=0,0,(H41-E41)/E41)</f>
        <v>0</v>
      </c>
      <c r="J41" s="1018" t="str">
        <f>IF(ABS(I41)&lt;20%,"",IF(ABS(I41)&lt;50%,"关注","显著"))</f>
        <v/>
      </c>
      <c r="K41" s="101"/>
    </row>
    <row r="42" spans="1:11">
      <c r="A42" s="101"/>
      <c r="B42" s="117"/>
      <c r="C42" s="104"/>
      <c r="D42" s="104"/>
      <c r="E42" s="103"/>
      <c r="F42" s="104"/>
      <c r="G42" s="104"/>
      <c r="H42" s="101"/>
      <c r="I42" s="101"/>
      <c r="J42" s="101"/>
      <c r="K42" s="101"/>
    </row>
    <row r="43" spans="1:11">
      <c r="A43" s="101"/>
      <c r="B43" s="117"/>
      <c r="C43" s="104"/>
      <c r="D43" s="104"/>
      <c r="E43" s="103"/>
      <c r="F43" s="104"/>
      <c r="G43" s="104"/>
      <c r="H43" s="101"/>
      <c r="I43" s="101"/>
      <c r="J43" s="101"/>
      <c r="K43" s="101"/>
    </row>
    <row r="44" spans="1:11" ht="12">
      <c r="A44" s="105"/>
      <c r="B44" s="117"/>
      <c r="C44" s="104"/>
      <c r="D44" s="104"/>
      <c r="E44" s="103"/>
      <c r="F44" s="104"/>
      <c r="G44" s="104"/>
      <c r="H44" s="101"/>
      <c r="I44" s="101"/>
      <c r="J44" s="101"/>
      <c r="K44" s="101"/>
    </row>
    <row r="45" spans="1:11" ht="11.4" thickBot="1">
      <c r="A45" s="101"/>
      <c r="B45" s="117"/>
      <c r="C45" s="104"/>
      <c r="D45" s="104"/>
      <c r="E45" s="103"/>
      <c r="F45" s="104"/>
      <c r="G45" s="104"/>
      <c r="H45" s="101"/>
      <c r="I45" s="101"/>
      <c r="J45" s="101"/>
      <c r="K45" s="101"/>
    </row>
    <row r="46" spans="1:11" ht="13.2">
      <c r="A46" s="1160" t="s">
        <v>1743</v>
      </c>
      <c r="B46" s="1162" t="s">
        <v>70</v>
      </c>
      <c r="C46" s="1164" t="str">
        <f>C4</f>
        <v>2021年度已审数</v>
      </c>
      <c r="D46" s="1164"/>
      <c r="E46" s="1164"/>
      <c r="F46" s="1164" t="str">
        <f>F4</f>
        <v>2022年度未审数</v>
      </c>
      <c r="G46" s="1164"/>
      <c r="H46" s="1164"/>
      <c r="I46" s="1165" t="s">
        <v>64</v>
      </c>
      <c r="J46" s="1158" t="s">
        <v>65</v>
      </c>
      <c r="K46" s="101"/>
    </row>
    <row r="47" spans="1:11">
      <c r="A47" s="1161"/>
      <c r="B47" s="1163"/>
      <c r="C47" s="110" t="s">
        <v>62</v>
      </c>
      <c r="D47" s="110" t="s">
        <v>63</v>
      </c>
      <c r="E47" s="726" t="s">
        <v>69</v>
      </c>
      <c r="F47" s="110" t="s">
        <v>62</v>
      </c>
      <c r="G47" s="110" t="s">
        <v>63</v>
      </c>
      <c r="H47" s="726" t="s">
        <v>69</v>
      </c>
      <c r="I47" s="1166"/>
      <c r="J47" s="1159"/>
      <c r="K47" s="101"/>
    </row>
    <row r="48" spans="1:11" ht="12">
      <c r="A48" s="1006" t="s">
        <v>66</v>
      </c>
      <c r="B48" s="112"/>
      <c r="C48" s="107"/>
      <c r="D48" s="107"/>
      <c r="E48" s="108"/>
      <c r="F48" s="107"/>
      <c r="G48" s="107"/>
      <c r="H48" s="108"/>
      <c r="I48" s="108"/>
      <c r="J48" s="1007"/>
      <c r="K48" s="101"/>
    </row>
    <row r="49" spans="1:11" ht="13.2">
      <c r="A49" s="993" t="s">
        <v>1744</v>
      </c>
      <c r="B49" s="113" t="s">
        <v>1744</v>
      </c>
      <c r="C49" s="125"/>
      <c r="D49" s="125"/>
      <c r="E49" s="189"/>
      <c r="F49" s="125"/>
      <c r="G49" s="125"/>
      <c r="H49" s="189"/>
      <c r="I49" s="126"/>
      <c r="J49" s="994"/>
      <c r="K49" s="101"/>
    </row>
    <row r="50" spans="1:11" ht="13.2">
      <c r="A50" s="993" t="s">
        <v>1745</v>
      </c>
      <c r="B50" s="113" t="s">
        <v>1746</v>
      </c>
      <c r="C50" s="971">
        <f>未审报表!D233</f>
        <v>21221252.779999997</v>
      </c>
      <c r="D50" s="125"/>
      <c r="E50" s="972" t="e">
        <f>C50/D50</f>
        <v>#DIV/0!</v>
      </c>
      <c r="F50" s="971">
        <f>未审报表!C233</f>
        <v>24730391.030000001</v>
      </c>
      <c r="G50" s="971">
        <f>(未审报表!C127+未审报表!D127)/2</f>
        <v>90069760.36500001</v>
      </c>
      <c r="H50" s="972">
        <f>F50/G50</f>
        <v>0.27456929972703609</v>
      </c>
      <c r="I50" s="975" t="e">
        <f>H50-E50</f>
        <v>#DIV/0!</v>
      </c>
      <c r="J50" s="994"/>
      <c r="K50" s="101"/>
    </row>
    <row r="51" spans="1:11" ht="13.2">
      <c r="A51" s="993" t="s">
        <v>1747</v>
      </c>
      <c r="B51" s="113" t="s">
        <v>1748</v>
      </c>
      <c r="C51" s="125"/>
      <c r="D51" s="125"/>
      <c r="E51" s="189"/>
      <c r="F51" s="125"/>
      <c r="G51" s="125"/>
      <c r="H51" s="189"/>
      <c r="I51" s="126"/>
      <c r="J51" s="994"/>
      <c r="K51" s="101"/>
    </row>
    <row r="52" spans="1:11" ht="13.2">
      <c r="A52" s="993" t="s">
        <v>1749</v>
      </c>
      <c r="B52" s="113" t="s">
        <v>1750</v>
      </c>
      <c r="C52" s="971">
        <f>未审报表!D239</f>
        <v>21221252.779999997</v>
      </c>
      <c r="D52" s="971">
        <f>未审报表!D194+未审报表!D193</f>
        <v>22980342.579999998</v>
      </c>
      <c r="E52" s="972">
        <f>C52/D52</f>
        <v>0.92345241182213911</v>
      </c>
      <c r="F52" s="971">
        <f>未审报表!C239</f>
        <v>24730391.030000001</v>
      </c>
      <c r="G52" s="971">
        <f>未审报表!C193+未审报表!C194</f>
        <v>34154787.82</v>
      </c>
      <c r="H52" s="972">
        <f>F52/G52</f>
        <v>0.72406806215082498</v>
      </c>
      <c r="I52" s="975">
        <f>H52-E52</f>
        <v>-0.19938434967131413</v>
      </c>
      <c r="J52" s="994"/>
      <c r="K52" s="101"/>
    </row>
    <row r="53" spans="1:11" ht="13.2">
      <c r="A53" s="993" t="s">
        <v>1751</v>
      </c>
      <c r="B53" s="113" t="s">
        <v>1752</v>
      </c>
      <c r="C53" s="125"/>
      <c r="D53" s="125"/>
      <c r="E53" s="189"/>
      <c r="F53" s="125"/>
      <c r="G53" s="125"/>
      <c r="H53" s="189"/>
      <c r="I53" s="126"/>
      <c r="J53" s="994"/>
      <c r="K53" s="101"/>
    </row>
    <row r="54" spans="1:11" ht="13.2">
      <c r="A54" s="993" t="s">
        <v>1753</v>
      </c>
      <c r="B54" s="113" t="s">
        <v>1753</v>
      </c>
      <c r="C54" s="125"/>
      <c r="D54" s="125"/>
      <c r="E54" s="189"/>
      <c r="F54" s="125"/>
      <c r="G54" s="125"/>
      <c r="H54" s="189"/>
      <c r="I54" s="126"/>
      <c r="J54" s="994"/>
      <c r="K54" s="101"/>
    </row>
    <row r="55" spans="1:11" ht="13.2">
      <c r="A55" s="993" t="s">
        <v>1809</v>
      </c>
      <c r="B55" s="113" t="s">
        <v>1810</v>
      </c>
      <c r="C55" s="971">
        <f>未审报表!D239</f>
        <v>21221252.779999997</v>
      </c>
      <c r="D55" s="125"/>
      <c r="E55" s="972" t="e">
        <f>C55/D55</f>
        <v>#DIV/0!</v>
      </c>
      <c r="F55" s="971">
        <f>未审报表!C239</f>
        <v>24730391.030000001</v>
      </c>
      <c r="G55" s="971">
        <f>(未审报表!C187+未审报表!D187)/2</f>
        <v>75215054.194999993</v>
      </c>
      <c r="H55" s="972">
        <f>F55/G55</f>
        <v>0.32879576162884666</v>
      </c>
      <c r="I55" s="975" t="e">
        <f>H55-E55</f>
        <v>#DIV/0!</v>
      </c>
      <c r="J55" s="994"/>
      <c r="K55" s="101"/>
    </row>
    <row r="56" spans="1:11" ht="13.2">
      <c r="A56" s="993" t="s">
        <v>1811</v>
      </c>
      <c r="B56" s="113" t="s">
        <v>1812</v>
      </c>
      <c r="C56" s="125"/>
      <c r="D56" s="125"/>
      <c r="E56" s="189"/>
      <c r="F56" s="125"/>
      <c r="G56" s="125"/>
      <c r="H56" s="189"/>
      <c r="I56" s="126"/>
      <c r="J56" s="994"/>
      <c r="K56" s="101"/>
    </row>
    <row r="57" spans="1:11" ht="13.2">
      <c r="A57" s="991" t="s">
        <v>1757</v>
      </c>
      <c r="B57" s="114"/>
      <c r="C57" s="127"/>
      <c r="D57" s="127"/>
      <c r="E57" s="128"/>
      <c r="F57" s="127"/>
      <c r="G57" s="127"/>
      <c r="H57" s="128"/>
      <c r="I57" s="128"/>
      <c r="J57" s="992"/>
      <c r="K57" s="101"/>
    </row>
    <row r="58" spans="1:11" ht="13.2">
      <c r="A58" s="997" t="s">
        <v>1758</v>
      </c>
      <c r="B58" s="113" t="s">
        <v>1759</v>
      </c>
      <c r="C58" s="971">
        <f>未审报表!D194+未审报表!D193</f>
        <v>22980342.579999998</v>
      </c>
      <c r="D58" s="125"/>
      <c r="E58" s="975" t="e">
        <f>C58/D58</f>
        <v>#DIV/0!</v>
      </c>
      <c r="F58" s="125">
        <f>未审报表!C193+未审报表!C194</f>
        <v>34154787.82</v>
      </c>
      <c r="G58" s="125">
        <f>(未审报表!C127+未审报表!D127)/2</f>
        <v>90069760.36500001</v>
      </c>
      <c r="H58" s="972">
        <f>F58/G58</f>
        <v>0.37920371589299939</v>
      </c>
      <c r="I58" s="975" t="e">
        <f>H58-E58</f>
        <v>#DIV/0!</v>
      </c>
      <c r="J58" s="994"/>
      <c r="K58" s="101"/>
    </row>
    <row r="59" spans="1:11" ht="13.2">
      <c r="A59" s="997" t="s">
        <v>1760</v>
      </c>
      <c r="B59" s="113" t="s">
        <v>1761</v>
      </c>
      <c r="C59" s="971">
        <f>未审报表!D193+未审报表!D194</f>
        <v>22980342.579999998</v>
      </c>
      <c r="D59" s="125"/>
      <c r="E59" s="975" t="e">
        <f t="shared" ref="E59:E64" si="11">C59/D59</f>
        <v>#DIV/0!</v>
      </c>
      <c r="F59" s="125">
        <f>未审报表!C194+未审报表!C193</f>
        <v>34154787.82</v>
      </c>
      <c r="G59" s="125">
        <f>(未审报表!C59+未审报表!D59)/2</f>
        <v>70254240.455000013</v>
      </c>
      <c r="H59" s="972">
        <f t="shared" ref="H59:H86" si="12">F59/G59</f>
        <v>0.48615980471495079</v>
      </c>
      <c r="I59" s="975" t="e">
        <f t="shared" ref="I59:I86" si="13">H59-E59</f>
        <v>#DIV/0!</v>
      </c>
      <c r="J59" s="994"/>
      <c r="K59" s="101"/>
    </row>
    <row r="60" spans="1:11" ht="13.2">
      <c r="A60" s="997" t="s">
        <v>1762</v>
      </c>
      <c r="B60" s="113" t="s">
        <v>1763</v>
      </c>
      <c r="C60" s="971">
        <f>未审报表!D194+未审报表!D193</f>
        <v>22980342.579999998</v>
      </c>
      <c r="D60" s="125"/>
      <c r="E60" s="975" t="e">
        <f t="shared" si="11"/>
        <v>#DIV/0!</v>
      </c>
      <c r="F60" s="125">
        <f>未审报表!C193+未审报表!C194</f>
        <v>34154787.82</v>
      </c>
      <c r="G60" s="125">
        <f>(未审报表!C88+未审报表!C89+未审报表!D88+未审报表!D89)/2</f>
        <v>49311.409999999996</v>
      </c>
      <c r="H60" s="972">
        <f t="shared" si="12"/>
        <v>692.63458132712094</v>
      </c>
      <c r="I60" s="975" t="e">
        <f t="shared" si="13"/>
        <v>#DIV/0!</v>
      </c>
      <c r="J60" s="994"/>
      <c r="K60" s="101"/>
    </row>
    <row r="61" spans="1:11" ht="13.2">
      <c r="A61" s="997" t="s">
        <v>1764</v>
      </c>
      <c r="B61" s="113" t="s">
        <v>1765</v>
      </c>
      <c r="C61" s="971">
        <f>未审报表!D199+未审报表!D200</f>
        <v>9866189.1400000006</v>
      </c>
      <c r="D61" s="125"/>
      <c r="E61" s="975" t="e">
        <f t="shared" si="11"/>
        <v>#DIV/0!</v>
      </c>
      <c r="F61" s="125">
        <f>未审报表!C200+未审报表!C199</f>
        <v>18745916.609999999</v>
      </c>
      <c r="G61" s="125">
        <f>(未审报表!C136+未审报表!D136)/2</f>
        <v>5700101.3950000005</v>
      </c>
      <c r="H61" s="972">
        <f t="shared" si="12"/>
        <v>3.2886987986640892</v>
      </c>
      <c r="I61" s="975" t="e">
        <f t="shared" si="13"/>
        <v>#DIV/0!</v>
      </c>
      <c r="J61" s="994"/>
      <c r="K61" s="101"/>
    </row>
    <row r="62" spans="1:11" ht="13.2">
      <c r="A62" s="997" t="s">
        <v>1766</v>
      </c>
      <c r="B62" s="113" t="s">
        <v>1767</v>
      </c>
      <c r="C62" s="971">
        <f>未审报表!D199+未审报表!D200</f>
        <v>9866189.1400000006</v>
      </c>
      <c r="D62" s="125"/>
      <c r="E62" s="975" t="e">
        <f t="shared" si="11"/>
        <v>#DIV/0!</v>
      </c>
      <c r="F62" s="125">
        <f>未审报表!C199+未审报表!C200</f>
        <v>18745916.609999999</v>
      </c>
      <c r="G62" s="125">
        <f>(未审报表!C135+未审报表!C136+未审报表!D135+未审报表!D136)/2</f>
        <v>5700101.3950000005</v>
      </c>
      <c r="H62" s="972">
        <f t="shared" si="12"/>
        <v>3.2886987986640892</v>
      </c>
      <c r="I62" s="975" t="e">
        <f t="shared" si="13"/>
        <v>#DIV/0!</v>
      </c>
      <c r="J62" s="994"/>
      <c r="K62" s="101"/>
    </row>
    <row r="63" spans="1:11" ht="13.2">
      <c r="A63" s="997" t="s">
        <v>1768</v>
      </c>
      <c r="B63" s="113" t="s">
        <v>1769</v>
      </c>
      <c r="C63" s="971">
        <f>未审报表!D193+未审报表!D194</f>
        <v>22980342.579999998</v>
      </c>
      <c r="D63" s="125"/>
      <c r="E63" s="975" t="e">
        <f t="shared" si="11"/>
        <v>#DIV/0!</v>
      </c>
      <c r="F63" s="125">
        <f>未审报表!C193+未审报表!C194</f>
        <v>34154787.82</v>
      </c>
      <c r="G63" s="125">
        <f>(未审报表!C137+未审报表!C138+未审报表!D137+未审报表!D138)/2</f>
        <v>641134.57999999996</v>
      </c>
      <c r="H63" s="972">
        <f t="shared" si="12"/>
        <v>53.272415629180387</v>
      </c>
      <c r="I63" s="975" t="e">
        <f t="shared" si="13"/>
        <v>#DIV/0!</v>
      </c>
      <c r="J63" s="994"/>
      <c r="K63" s="101"/>
    </row>
    <row r="64" spans="1:11" ht="13.2">
      <c r="A64" s="995" t="s">
        <v>1770</v>
      </c>
      <c r="B64" s="970" t="s">
        <v>1771</v>
      </c>
      <c r="C64" s="971">
        <f>未审报表!D199+未审报表!D200</f>
        <v>9866189.1400000006</v>
      </c>
      <c r="D64" s="125"/>
      <c r="E64" s="975" t="e">
        <f t="shared" si="11"/>
        <v>#DIV/0!</v>
      </c>
      <c r="F64" s="125">
        <f>未审报表!C199+未审报表!C200</f>
        <v>18745916.609999999</v>
      </c>
      <c r="G64" s="125">
        <f>(未审报表!C26+未审报表!D26)/2</f>
        <v>288103.83</v>
      </c>
      <c r="H64" s="972">
        <f t="shared" si="12"/>
        <v>65.06653038940857</v>
      </c>
      <c r="I64" s="975" t="e">
        <f t="shared" si="13"/>
        <v>#DIV/0!</v>
      </c>
      <c r="J64" s="994"/>
      <c r="K64" s="101"/>
    </row>
    <row r="65" spans="1:11" ht="13.2">
      <c r="A65" s="991" t="s">
        <v>1772</v>
      </c>
      <c r="B65" s="115"/>
      <c r="C65" s="127"/>
      <c r="D65" s="127"/>
      <c r="E65" s="128"/>
      <c r="F65" s="127"/>
      <c r="G65" s="127"/>
      <c r="H65" s="128"/>
      <c r="I65" s="128"/>
      <c r="J65" s="992" t="str">
        <f>IF(ABS(I65)&lt;20%,"",IF(ABS(I65)&lt;50%,"关注","异常"))</f>
        <v/>
      </c>
      <c r="K65" s="101"/>
    </row>
    <row r="66" spans="1:11" ht="13.2">
      <c r="A66" s="995" t="s">
        <v>1773</v>
      </c>
      <c r="B66" s="970" t="s">
        <v>1774</v>
      </c>
      <c r="C66" s="971">
        <f>未审报表!D13+未审报表!D8</f>
        <v>645471.34999999928</v>
      </c>
      <c r="D66" s="971">
        <f>未审报表!D158</f>
        <v>9195302</v>
      </c>
      <c r="E66" s="975">
        <f>C66/D66</f>
        <v>7.0195774972915445E-2</v>
      </c>
      <c r="F66" s="971">
        <f>未审报表!C8+未审报表!C13</f>
        <v>17053592.640000001</v>
      </c>
      <c r="G66" s="971">
        <f>未审报表!C158</f>
        <v>20514110.34</v>
      </c>
      <c r="H66" s="972">
        <f t="shared" si="12"/>
        <v>0.83131036917294854</v>
      </c>
      <c r="I66" s="975">
        <f t="shared" si="13"/>
        <v>0.76111459420003313</v>
      </c>
      <c r="J66" s="994"/>
      <c r="K66" s="101"/>
    </row>
    <row r="67" spans="1:11" ht="13.2">
      <c r="A67" s="995" t="s">
        <v>1775</v>
      </c>
      <c r="B67" s="970" t="s">
        <v>1776</v>
      </c>
      <c r="C67" s="971">
        <f>未审报表!D307</f>
        <v>0</v>
      </c>
      <c r="D67" s="971">
        <f>未审报表!D158</f>
        <v>9195302</v>
      </c>
      <c r="E67" s="975">
        <f>C67/D67</f>
        <v>0</v>
      </c>
      <c r="F67" s="971">
        <f>未审报表!C307</f>
        <v>0</v>
      </c>
      <c r="G67" s="971">
        <f>未审报表!C158</f>
        <v>20514110.34</v>
      </c>
      <c r="H67" s="972">
        <f t="shared" si="12"/>
        <v>0</v>
      </c>
      <c r="I67" s="975">
        <f t="shared" si="13"/>
        <v>0</v>
      </c>
      <c r="J67" s="994"/>
      <c r="K67" s="101"/>
    </row>
    <row r="68" spans="1:11" ht="13.2">
      <c r="A68" s="991" t="s">
        <v>1777</v>
      </c>
      <c r="B68" s="114"/>
      <c r="C68" s="127"/>
      <c r="D68" s="127"/>
      <c r="E68" s="128"/>
      <c r="F68" s="127"/>
      <c r="G68" s="127"/>
      <c r="H68" s="128"/>
      <c r="I68" s="128"/>
      <c r="J68" s="992"/>
      <c r="K68" s="101"/>
    </row>
    <row r="69" spans="1:11" ht="13.2">
      <c r="A69" s="993" t="s">
        <v>1778</v>
      </c>
      <c r="B69" s="113" t="s">
        <v>1779</v>
      </c>
      <c r="C69" s="971">
        <f>未审报表!D174</f>
        <v>9195302</v>
      </c>
      <c r="D69" s="971">
        <f>未审报表!D189</f>
        <v>62324858.679999992</v>
      </c>
      <c r="E69" s="975">
        <f>C69/D69</f>
        <v>0.14753827276548268</v>
      </c>
      <c r="F69" s="971">
        <f>未审报表!C174</f>
        <v>20514110.34</v>
      </c>
      <c r="G69" s="971">
        <f>未审报表!C189</f>
        <v>88105249.709999993</v>
      </c>
      <c r="H69" s="972">
        <f t="shared" si="12"/>
        <v>0.23283641335246835</v>
      </c>
      <c r="I69" s="975">
        <f t="shared" si="13"/>
        <v>8.5298140586985677E-2</v>
      </c>
      <c r="J69" s="994"/>
      <c r="K69" s="101"/>
    </row>
    <row r="70" spans="1:11" ht="13.2">
      <c r="A70" s="993" t="s">
        <v>1780</v>
      </c>
      <c r="B70" s="113" t="s">
        <v>1781</v>
      </c>
      <c r="C70" s="971">
        <f>未审报表!D173</f>
        <v>0</v>
      </c>
      <c r="D70" s="971">
        <f>未审报表!D173+未审报表!D189</f>
        <v>62324858.679999992</v>
      </c>
      <c r="E70" s="975">
        <f>C70/D70</f>
        <v>0</v>
      </c>
      <c r="F70" s="971">
        <f>未审报表!C173</f>
        <v>0</v>
      </c>
      <c r="G70" s="971">
        <f>未审报表!C173+未审报表!C189</f>
        <v>88105249.709999993</v>
      </c>
      <c r="H70" s="972">
        <f t="shared" si="12"/>
        <v>0</v>
      </c>
      <c r="I70" s="975">
        <f t="shared" si="13"/>
        <v>0</v>
      </c>
      <c r="J70" s="994"/>
      <c r="K70" s="101"/>
    </row>
    <row r="71" spans="1:11" ht="13.2">
      <c r="A71" s="993" t="s">
        <v>1782</v>
      </c>
      <c r="B71" s="113" t="s">
        <v>1783</v>
      </c>
      <c r="C71" s="971">
        <f>未审报表!D307</f>
        <v>0</v>
      </c>
      <c r="D71" s="971">
        <f>未审报表!D174</f>
        <v>9195302</v>
      </c>
      <c r="E71" s="975">
        <f>C71/D71</f>
        <v>0</v>
      </c>
      <c r="F71" s="971">
        <f>未审报表!C307</f>
        <v>0</v>
      </c>
      <c r="G71" s="971">
        <f>未审报表!C174</f>
        <v>20514110.34</v>
      </c>
      <c r="H71" s="972">
        <f t="shared" si="12"/>
        <v>0</v>
      </c>
      <c r="I71" s="975">
        <f t="shared" si="13"/>
        <v>0</v>
      </c>
      <c r="J71" s="994"/>
      <c r="K71" s="101"/>
    </row>
    <row r="72" spans="1:11" ht="13.2">
      <c r="A72" s="993" t="s">
        <v>1784</v>
      </c>
      <c r="B72" s="919" t="s">
        <v>1785</v>
      </c>
      <c r="C72" s="971">
        <f>未审报表!D59-未审报表!D158</f>
        <v>50226127.140000001</v>
      </c>
      <c r="D72" s="971">
        <f>未审报表!D173</f>
        <v>0</v>
      </c>
      <c r="E72" s="975" t="e">
        <f>C72/D72</f>
        <v>#DIV/0!</v>
      </c>
      <c r="F72" s="971">
        <f>未审报表!C59-未审报表!C158</f>
        <v>60572941.430000007</v>
      </c>
      <c r="G72" s="971">
        <f>未审报表!C173</f>
        <v>0</v>
      </c>
      <c r="H72" s="972" t="e">
        <f t="shared" si="12"/>
        <v>#DIV/0!</v>
      </c>
      <c r="I72" s="975" t="e">
        <f t="shared" si="13"/>
        <v>#DIV/0!</v>
      </c>
      <c r="J72" s="994"/>
      <c r="K72" s="101"/>
    </row>
    <row r="73" spans="1:11" ht="13.2">
      <c r="A73" s="993" t="s">
        <v>1786</v>
      </c>
      <c r="B73" s="919" t="s">
        <v>1787</v>
      </c>
      <c r="C73" s="971">
        <f>未审报表!D173</f>
        <v>0</v>
      </c>
      <c r="D73" s="971">
        <f>未审报表!C174</f>
        <v>20514110.34</v>
      </c>
      <c r="E73" s="975">
        <f t="shared" ref="E73:E86" si="14">C73/D73</f>
        <v>0</v>
      </c>
      <c r="F73" s="971">
        <f>未审报表!C173</f>
        <v>0</v>
      </c>
      <c r="G73" s="971">
        <f>未审报表!C174</f>
        <v>20514110.34</v>
      </c>
      <c r="H73" s="972">
        <f t="shared" si="12"/>
        <v>0</v>
      </c>
      <c r="I73" s="975">
        <f t="shared" si="13"/>
        <v>0</v>
      </c>
      <c r="J73" s="994"/>
      <c r="K73" s="101"/>
    </row>
    <row r="74" spans="1:11" ht="13.2">
      <c r="A74" s="993" t="s">
        <v>1788</v>
      </c>
      <c r="B74" s="919" t="s">
        <v>1789</v>
      </c>
      <c r="C74" s="971">
        <f>未审报表!D173</f>
        <v>0</v>
      </c>
      <c r="D74" s="971">
        <f>未审报表!D173+未审报表!D187</f>
        <v>62324858.679999992</v>
      </c>
      <c r="E74" s="975">
        <f t="shared" si="14"/>
        <v>0</v>
      </c>
      <c r="F74" s="971">
        <f>未审报表!C173</f>
        <v>0</v>
      </c>
      <c r="G74" s="971">
        <f>未审报表!C173+未审报表!C187</f>
        <v>88105249.709999993</v>
      </c>
      <c r="H74" s="972">
        <f t="shared" si="12"/>
        <v>0</v>
      </c>
      <c r="I74" s="975">
        <f t="shared" si="13"/>
        <v>0</v>
      </c>
      <c r="J74" s="994"/>
      <c r="K74" s="101"/>
    </row>
    <row r="75" spans="1:11" ht="13.2">
      <c r="A75" s="991" t="s">
        <v>1791</v>
      </c>
      <c r="B75" s="114"/>
      <c r="C75" s="127"/>
      <c r="D75" s="127"/>
      <c r="E75" s="128"/>
      <c r="F75" s="127"/>
      <c r="G75" s="127"/>
      <c r="H75" s="128"/>
      <c r="I75" s="128"/>
      <c r="J75" s="992"/>
      <c r="K75" s="101"/>
    </row>
    <row r="76" spans="1:11" ht="13.2">
      <c r="A76" s="993" t="s">
        <v>1792</v>
      </c>
      <c r="B76" s="919" t="s">
        <v>1793</v>
      </c>
      <c r="C76" s="971">
        <f>未审报表!D307</f>
        <v>0</v>
      </c>
      <c r="D76" s="971">
        <f>未审报表!D193+未审报表!D194</f>
        <v>22980342.579999998</v>
      </c>
      <c r="E76" s="975">
        <f t="shared" si="14"/>
        <v>0</v>
      </c>
      <c r="F76" s="971">
        <f>未审报表!C307</f>
        <v>0</v>
      </c>
      <c r="G76" s="971">
        <f>未审报表!C194+未审报表!C193</f>
        <v>34154787.82</v>
      </c>
      <c r="H76" s="972">
        <f t="shared" si="12"/>
        <v>0</v>
      </c>
      <c r="I76" s="975">
        <f t="shared" si="13"/>
        <v>0</v>
      </c>
      <c r="J76" s="994"/>
      <c r="K76" s="101"/>
    </row>
    <row r="77" spans="1:11" ht="13.2">
      <c r="A77" s="993" t="s">
        <v>1794</v>
      </c>
      <c r="B77" s="919" t="s">
        <v>1795</v>
      </c>
      <c r="C77" s="971">
        <f>未审报表!D280</f>
        <v>0</v>
      </c>
      <c r="D77" s="971">
        <f>未审报表!D193+未审报表!D194</f>
        <v>22980342.579999998</v>
      </c>
      <c r="E77" s="975">
        <f t="shared" si="14"/>
        <v>0</v>
      </c>
      <c r="F77" s="971">
        <f>未审报表!C280</f>
        <v>0</v>
      </c>
      <c r="G77" s="971">
        <f>未审报表!C193+未审报表!C194</f>
        <v>34154787.82</v>
      </c>
      <c r="H77" s="972">
        <f t="shared" si="12"/>
        <v>0</v>
      </c>
      <c r="I77" s="975">
        <f t="shared" si="13"/>
        <v>0</v>
      </c>
      <c r="J77" s="994"/>
      <c r="K77" s="101"/>
    </row>
    <row r="78" spans="1:11" ht="13.2">
      <c r="A78" s="993" t="s">
        <v>1796</v>
      </c>
      <c r="B78" s="919" t="s">
        <v>1797</v>
      </c>
      <c r="C78" s="971">
        <f>未审报表!D307</f>
        <v>0</v>
      </c>
      <c r="D78" s="971">
        <f>未审报表!D233</f>
        <v>21221252.779999997</v>
      </c>
      <c r="E78" s="975">
        <f t="shared" si="14"/>
        <v>0</v>
      </c>
      <c r="F78" s="971">
        <f>未审报表!C307</f>
        <v>0</v>
      </c>
      <c r="G78" s="971">
        <f>未审报表!C233</f>
        <v>24730391.030000001</v>
      </c>
      <c r="H78" s="972">
        <f t="shared" si="12"/>
        <v>0</v>
      </c>
      <c r="I78" s="975">
        <f t="shared" si="13"/>
        <v>0</v>
      </c>
      <c r="J78" s="994"/>
      <c r="K78" s="101"/>
    </row>
    <row r="79" spans="1:11" ht="13.2">
      <c r="A79" s="993" t="s">
        <v>1798</v>
      </c>
      <c r="B79" s="919" t="s">
        <v>1799</v>
      </c>
      <c r="C79" s="971">
        <f>未审报表!D307</f>
        <v>0</v>
      </c>
      <c r="D79" s="125"/>
      <c r="E79" s="975" t="e">
        <f t="shared" si="14"/>
        <v>#DIV/0!</v>
      </c>
      <c r="F79" s="971">
        <f>未审报表!C307</f>
        <v>0</v>
      </c>
      <c r="G79" s="125"/>
      <c r="H79" s="972" t="e">
        <f t="shared" si="12"/>
        <v>#DIV/0!</v>
      </c>
      <c r="I79" s="975" t="e">
        <f t="shared" si="13"/>
        <v>#DIV/0!</v>
      </c>
      <c r="J79" s="994"/>
      <c r="K79" s="101"/>
    </row>
    <row r="80" spans="1:11" ht="13.2">
      <c r="A80" s="993" t="s">
        <v>1800</v>
      </c>
      <c r="B80" s="919" t="s">
        <v>1801</v>
      </c>
      <c r="C80" s="971">
        <f>未审报表!D307</f>
        <v>0</v>
      </c>
      <c r="D80" s="125"/>
      <c r="E80" s="975" t="e">
        <f t="shared" si="14"/>
        <v>#DIV/0!</v>
      </c>
      <c r="F80" s="971">
        <f>未审报表!C307</f>
        <v>0</v>
      </c>
      <c r="G80" s="125"/>
      <c r="H80" s="972" t="e">
        <f t="shared" si="12"/>
        <v>#DIV/0!</v>
      </c>
      <c r="I80" s="975" t="e">
        <f t="shared" si="13"/>
        <v>#DIV/0!</v>
      </c>
      <c r="J80" s="994"/>
      <c r="K80" s="101"/>
    </row>
    <row r="81" spans="1:11" ht="13.2">
      <c r="A81" s="991" t="s">
        <v>1808</v>
      </c>
      <c r="B81" s="114"/>
      <c r="C81" s="127"/>
      <c r="D81" s="127"/>
      <c r="E81" s="128"/>
      <c r="F81" s="127"/>
      <c r="G81" s="127"/>
      <c r="H81" s="128"/>
      <c r="I81" s="128"/>
      <c r="J81" s="992"/>
      <c r="K81" s="101"/>
    </row>
    <row r="82" spans="1:11" ht="13.2">
      <c r="A82" s="995" t="s">
        <v>1802</v>
      </c>
      <c r="B82" s="113" t="s">
        <v>1803</v>
      </c>
      <c r="C82" s="125"/>
      <c r="D82" s="125"/>
      <c r="E82" s="975" t="e">
        <f t="shared" si="14"/>
        <v>#DIV/0!</v>
      </c>
      <c r="F82" s="125"/>
      <c r="G82" s="125"/>
      <c r="H82" s="972" t="e">
        <f t="shared" si="12"/>
        <v>#DIV/0!</v>
      </c>
      <c r="I82" s="975" t="e">
        <f t="shared" si="13"/>
        <v>#DIV/0!</v>
      </c>
      <c r="J82" s="994"/>
      <c r="K82" s="101"/>
    </row>
    <row r="83" spans="1:11" ht="13.2">
      <c r="A83" s="995" t="s">
        <v>1804</v>
      </c>
      <c r="B83" s="113" t="s">
        <v>1805</v>
      </c>
      <c r="C83" s="971">
        <f>未审报表!D180</f>
        <v>2253786.7999999998</v>
      </c>
      <c r="D83" s="971">
        <f>未审报表!D176</f>
        <v>51000000</v>
      </c>
      <c r="E83" s="975">
        <f t="shared" ref="E83" si="15">C83/D83</f>
        <v>4.419189803921568E-2</v>
      </c>
      <c r="F83" s="971">
        <f>未审报表!C180</f>
        <v>2953786.8</v>
      </c>
      <c r="G83" s="971">
        <f>未审报表!C176</f>
        <v>51350000</v>
      </c>
      <c r="H83" s="972">
        <f t="shared" si="12"/>
        <v>5.7522625121713723E-2</v>
      </c>
      <c r="I83" s="975">
        <f t="shared" si="13"/>
        <v>1.3330727082498044E-2</v>
      </c>
      <c r="J83" s="994"/>
      <c r="K83" s="101"/>
    </row>
    <row r="84" spans="1:11" ht="13.2">
      <c r="A84" s="995" t="s">
        <v>1806</v>
      </c>
      <c r="B84" s="113" t="s">
        <v>1807</v>
      </c>
      <c r="C84" s="971">
        <f>未审报表!D186</f>
        <v>8163964.6899999995</v>
      </c>
      <c r="D84" s="971">
        <f>未审报表!D176</f>
        <v>51000000</v>
      </c>
      <c r="E84" s="975">
        <f t="shared" si="14"/>
        <v>0.16007773901960784</v>
      </c>
      <c r="F84" s="125">
        <f>未审报表!C186</f>
        <v>32894355.719999999</v>
      </c>
      <c r="G84" s="125">
        <f>未审报表!C176</f>
        <v>51350000</v>
      </c>
      <c r="H84" s="972">
        <f t="shared" si="12"/>
        <v>0.64059115326192795</v>
      </c>
      <c r="I84" s="975">
        <f t="shared" si="13"/>
        <v>0.48051341424232008</v>
      </c>
      <c r="J84" s="994"/>
      <c r="K84" s="101"/>
    </row>
    <row r="85" spans="1:11" ht="13.2">
      <c r="A85" s="991" t="s">
        <v>1815</v>
      </c>
      <c r="B85" s="114"/>
      <c r="C85" s="127"/>
      <c r="D85" s="127"/>
      <c r="E85" s="128"/>
      <c r="F85" s="127"/>
      <c r="G85" s="127"/>
      <c r="H85" s="128"/>
      <c r="I85" s="128"/>
      <c r="J85" s="992"/>
      <c r="K85" s="101"/>
    </row>
    <row r="86" spans="1:11" ht="13.2">
      <c r="A86" s="996" t="s">
        <v>1813</v>
      </c>
      <c r="B86" s="986" t="s">
        <v>1814</v>
      </c>
      <c r="C86" s="971">
        <f>未审报表!D189</f>
        <v>62324858.679999992</v>
      </c>
      <c r="D86" s="125"/>
      <c r="E86" s="975" t="e">
        <f t="shared" si="14"/>
        <v>#DIV/0!</v>
      </c>
      <c r="F86" s="125">
        <f>未审报表!C189</f>
        <v>88105249.709999993</v>
      </c>
      <c r="G86" s="125">
        <f>未审报表!D189</f>
        <v>62324858.679999992</v>
      </c>
      <c r="H86" s="972">
        <f t="shared" si="12"/>
        <v>1.4136453988988011</v>
      </c>
      <c r="I86" s="975" t="e">
        <f t="shared" si="13"/>
        <v>#DIV/0!</v>
      </c>
      <c r="J86" s="994"/>
      <c r="K86" s="101"/>
    </row>
    <row r="87" spans="1:11" ht="13.2">
      <c r="A87" s="1008"/>
      <c r="B87" s="920"/>
      <c r="C87" s="125"/>
      <c r="D87" s="125"/>
      <c r="E87" s="189">
        <f>IF(D87=0,0,C87/D87)</f>
        <v>0</v>
      </c>
      <c r="F87" s="125"/>
      <c r="G87" s="125"/>
      <c r="H87" s="189">
        <f>IF(G87=0,0,F87/G87)</f>
        <v>0</v>
      </c>
      <c r="I87" s="126">
        <f t="shared" ref="I87" si="16">IF(E87=0,0,(H87-E87)/E87)</f>
        <v>0</v>
      </c>
      <c r="J87" s="994" t="str">
        <f t="shared" ref="J87" si="17">IF(ABS(I87)&lt;20%,"",IF(ABS(I87)&lt;50%,"关注","显著"))</f>
        <v/>
      </c>
      <c r="K87" s="101"/>
    </row>
    <row r="88" spans="1:11" ht="13.8" thickBot="1">
      <c r="A88" s="1009"/>
      <c r="B88" s="116"/>
      <c r="C88" s="129"/>
      <c r="D88" s="129"/>
      <c r="E88" s="190">
        <f>IF(D88=0,0,C88/D88)</f>
        <v>0</v>
      </c>
      <c r="F88" s="131"/>
      <c r="G88" s="131"/>
      <c r="H88" s="190">
        <f>IF(G88=0,0,F88/G88)</f>
        <v>0</v>
      </c>
      <c r="I88" s="130">
        <f>IF(E88=0,0,(H88-E88)/E88)</f>
        <v>0</v>
      </c>
      <c r="J88" s="1010" t="str">
        <f>IF(ABS(I88)&lt;20%,"",IF(ABS(I88)&lt;50%,"关注","显著"))</f>
        <v/>
      </c>
      <c r="K88" s="101"/>
    </row>
    <row r="89" spans="1:11">
      <c r="A89" s="101"/>
      <c r="B89" s="117"/>
      <c r="C89" s="104"/>
      <c r="D89" s="104"/>
      <c r="E89" s="103"/>
      <c r="F89" s="104"/>
      <c r="G89" s="104"/>
      <c r="H89" s="101"/>
      <c r="I89" s="101"/>
      <c r="J89" s="101"/>
      <c r="K89" s="101"/>
    </row>
    <row r="90" spans="1:11">
      <c r="A90" s="101"/>
      <c r="B90" s="117"/>
      <c r="C90" s="104"/>
      <c r="D90" s="104"/>
      <c r="E90" s="103"/>
      <c r="F90" s="104"/>
      <c r="G90" s="104"/>
      <c r="H90" s="101"/>
      <c r="I90" s="101"/>
      <c r="J90" s="101"/>
      <c r="K90" s="101"/>
    </row>
    <row r="91" spans="1:11">
      <c r="A91" s="101"/>
      <c r="B91" s="117"/>
      <c r="C91" s="104"/>
      <c r="D91" s="104"/>
      <c r="E91" s="103"/>
      <c r="F91" s="104"/>
      <c r="G91" s="104"/>
      <c r="H91" s="101"/>
      <c r="I91" s="101"/>
      <c r="J91" s="101"/>
      <c r="K91" s="101"/>
    </row>
    <row r="92" spans="1:11">
      <c r="A92" s="101" t="s">
        <v>67</v>
      </c>
      <c r="B92" s="117"/>
      <c r="C92" s="104"/>
      <c r="D92" s="104"/>
      <c r="E92" s="103"/>
      <c r="F92" s="104"/>
      <c r="G92" s="104"/>
      <c r="H92" s="101"/>
      <c r="I92" s="101"/>
      <c r="J92" s="101"/>
      <c r="K92" s="101"/>
    </row>
    <row r="93" spans="1:11" ht="12">
      <c r="A93" s="105" t="s">
        <v>76</v>
      </c>
      <c r="B93" s="117"/>
      <c r="C93" s="104"/>
      <c r="D93" s="104"/>
      <c r="E93" s="103"/>
      <c r="F93" s="104"/>
      <c r="G93" s="104"/>
      <c r="H93" s="101"/>
      <c r="I93" s="101"/>
      <c r="J93" s="101"/>
      <c r="K93" s="101"/>
    </row>
    <row r="94" spans="1:11" ht="12">
      <c r="A94" s="105" t="s">
        <v>92</v>
      </c>
      <c r="B94" s="117"/>
      <c r="C94" s="104"/>
      <c r="D94" s="104"/>
      <c r="E94" s="103"/>
      <c r="F94" s="104"/>
      <c r="G94" s="104"/>
      <c r="H94" s="101"/>
      <c r="I94" s="101"/>
      <c r="J94" s="101"/>
      <c r="K94" s="101"/>
    </row>
    <row r="95" spans="1:11" ht="12">
      <c r="A95" s="105" t="s">
        <v>75</v>
      </c>
      <c r="B95" s="117"/>
      <c r="C95" s="104"/>
      <c r="D95" s="104"/>
      <c r="E95" s="103"/>
      <c r="F95" s="104"/>
      <c r="G95" s="104"/>
      <c r="H95" s="101"/>
      <c r="I95" s="101"/>
      <c r="J95" s="101"/>
      <c r="K95" s="101"/>
    </row>
    <row r="96" spans="1:11" ht="12">
      <c r="A96" s="105"/>
      <c r="B96" s="117"/>
      <c r="C96" s="104"/>
      <c r="D96" s="104"/>
      <c r="E96" s="103"/>
      <c r="F96" s="104"/>
      <c r="G96" s="104"/>
      <c r="H96" s="101"/>
      <c r="I96" s="101"/>
      <c r="J96" s="101"/>
      <c r="K96" s="101"/>
    </row>
    <row r="97" spans="1:11" ht="12">
      <c r="A97" s="105"/>
      <c r="B97" s="117"/>
      <c r="C97" s="104"/>
      <c r="D97" s="104"/>
      <c r="E97" s="103"/>
      <c r="F97" s="104"/>
      <c r="G97" s="104"/>
      <c r="H97" s="101"/>
      <c r="I97" s="101"/>
      <c r="J97" s="101"/>
      <c r="K97" s="101"/>
    </row>
    <row r="98" spans="1:11" ht="12">
      <c r="A98" s="105"/>
      <c r="B98" s="117"/>
      <c r="C98" s="104"/>
      <c r="D98" s="104"/>
      <c r="E98" s="103"/>
      <c r="F98" s="104"/>
      <c r="G98" s="104"/>
      <c r="H98" s="101"/>
      <c r="I98" s="101"/>
      <c r="J98" s="101"/>
      <c r="K98" s="101"/>
    </row>
    <row r="99" spans="1:11">
      <c r="A99" s="101"/>
      <c r="B99" s="117"/>
      <c r="C99" s="104"/>
      <c r="D99" s="104"/>
      <c r="E99" s="103"/>
      <c r="F99" s="104"/>
      <c r="G99" s="104"/>
      <c r="H99" s="101"/>
      <c r="I99" s="101"/>
      <c r="J99" s="101"/>
      <c r="K99" s="101"/>
    </row>
    <row r="100" spans="1:11">
      <c r="A100" s="101"/>
      <c r="B100" s="117"/>
      <c r="C100" s="104"/>
      <c r="D100" s="104"/>
      <c r="E100" s="103"/>
      <c r="F100" s="104"/>
      <c r="G100" s="104"/>
      <c r="H100" s="101"/>
      <c r="I100" s="101"/>
      <c r="J100" s="101"/>
      <c r="K100" s="101"/>
    </row>
    <row r="101" spans="1:11">
      <c r="A101" s="101"/>
      <c r="B101" s="117"/>
      <c r="C101" s="104"/>
      <c r="D101" s="104"/>
      <c r="E101" s="103"/>
      <c r="F101" s="104"/>
      <c r="G101" s="104"/>
      <c r="H101" s="101"/>
      <c r="I101" s="101"/>
      <c r="J101" s="101"/>
      <c r="K101" s="101"/>
    </row>
    <row r="102" spans="1:11">
      <c r="A102" s="101"/>
      <c r="B102" s="117"/>
      <c r="C102" s="104"/>
      <c r="D102" s="104"/>
      <c r="E102" s="103"/>
      <c r="F102" s="104"/>
      <c r="G102" s="104"/>
      <c r="H102" s="101"/>
      <c r="I102" s="101"/>
      <c r="J102" s="101"/>
      <c r="K102" s="101"/>
    </row>
    <row r="103" spans="1:11">
      <c r="A103" s="101"/>
      <c r="B103" s="117"/>
      <c r="C103" s="104"/>
      <c r="D103" s="104"/>
      <c r="E103" s="103"/>
      <c r="F103" s="104"/>
      <c r="G103" s="104"/>
      <c r="H103" s="101"/>
      <c r="I103" s="101"/>
      <c r="J103" s="101"/>
      <c r="K103" s="101"/>
    </row>
    <row r="104" spans="1:11">
      <c r="A104" s="101"/>
      <c r="B104" s="117"/>
      <c r="C104" s="104"/>
      <c r="D104" s="104"/>
      <c r="E104" s="103"/>
      <c r="F104" s="104"/>
      <c r="G104" s="104"/>
      <c r="H104" s="101"/>
      <c r="I104" s="101"/>
      <c r="J104" s="101"/>
      <c r="K104" s="101"/>
    </row>
    <row r="105" spans="1:11">
      <c r="A105" s="101"/>
      <c r="B105" s="117"/>
      <c r="C105" s="104"/>
      <c r="D105" s="104"/>
      <c r="E105" s="103"/>
      <c r="F105" s="104"/>
      <c r="G105" s="104"/>
      <c r="H105" s="101"/>
      <c r="I105" s="101"/>
      <c r="J105" s="101"/>
      <c r="K105" s="101"/>
    </row>
    <row r="106" spans="1:11">
      <c r="A106" s="101"/>
      <c r="B106" s="117"/>
      <c r="C106" s="104"/>
      <c r="D106" s="104"/>
      <c r="E106" s="103"/>
      <c r="F106" s="104"/>
      <c r="G106" s="104"/>
      <c r="H106" s="101"/>
      <c r="I106" s="101"/>
      <c r="J106" s="101"/>
      <c r="K106" s="101"/>
    </row>
    <row r="107" spans="1:11">
      <c r="A107" s="101"/>
      <c r="B107" s="117"/>
      <c r="C107" s="104"/>
      <c r="D107" s="104"/>
      <c r="E107" s="103"/>
      <c r="F107" s="104"/>
      <c r="G107" s="104"/>
      <c r="H107" s="101"/>
      <c r="I107" s="101"/>
      <c r="J107" s="101"/>
      <c r="K107" s="101"/>
    </row>
    <row r="108" spans="1:11">
      <c r="A108" s="101"/>
      <c r="B108" s="117"/>
      <c r="C108" s="104"/>
      <c r="D108" s="104"/>
      <c r="E108" s="103"/>
      <c r="F108" s="104"/>
      <c r="G108" s="104"/>
      <c r="H108" s="101"/>
      <c r="I108" s="101"/>
      <c r="J108" s="101"/>
      <c r="K108" s="101"/>
    </row>
    <row r="109" spans="1:11">
      <c r="A109" s="101"/>
      <c r="B109" s="117"/>
      <c r="C109" s="104"/>
      <c r="D109" s="104"/>
      <c r="E109" s="103"/>
      <c r="F109" s="104"/>
      <c r="G109" s="104"/>
      <c r="H109" s="101"/>
      <c r="I109" s="101"/>
      <c r="J109" s="101"/>
      <c r="K109" s="101"/>
    </row>
    <row r="110" spans="1:11">
      <c r="A110" s="101"/>
      <c r="B110" s="117"/>
      <c r="C110" s="104"/>
      <c r="D110" s="104"/>
      <c r="E110" s="103"/>
      <c r="F110" s="104"/>
      <c r="G110" s="104"/>
      <c r="H110" s="101"/>
      <c r="I110" s="101"/>
      <c r="J110" s="101"/>
      <c r="K110" s="101"/>
    </row>
    <row r="111" spans="1:11">
      <c r="A111" s="101"/>
      <c r="B111" s="117"/>
      <c r="C111" s="104"/>
      <c r="D111" s="104"/>
      <c r="E111" s="103"/>
      <c r="F111" s="104"/>
      <c r="G111" s="104"/>
      <c r="H111" s="101"/>
      <c r="I111" s="101"/>
      <c r="J111" s="101"/>
      <c r="K111" s="101"/>
    </row>
    <row r="112" spans="1:11">
      <c r="A112" s="101"/>
      <c r="B112" s="117"/>
      <c r="C112" s="104"/>
      <c r="D112" s="104"/>
      <c r="E112" s="103"/>
      <c r="F112" s="104"/>
      <c r="G112" s="104"/>
      <c r="H112" s="101"/>
      <c r="I112" s="101"/>
      <c r="J112" s="101"/>
      <c r="K112" s="101"/>
    </row>
    <row r="113" spans="1:11">
      <c r="A113" s="101"/>
      <c r="B113" s="117"/>
      <c r="C113" s="104"/>
      <c r="D113" s="104"/>
      <c r="E113" s="103"/>
      <c r="F113" s="104"/>
      <c r="G113" s="104"/>
      <c r="H113" s="101"/>
      <c r="I113" s="101"/>
      <c r="J113" s="101"/>
      <c r="K113" s="101"/>
    </row>
    <row r="114" spans="1:11">
      <c r="A114" s="101"/>
      <c r="B114" s="117"/>
      <c r="C114" s="104"/>
      <c r="D114" s="104"/>
      <c r="E114" s="103"/>
      <c r="F114" s="104"/>
      <c r="G114" s="104"/>
      <c r="H114" s="101"/>
      <c r="I114" s="101"/>
      <c r="J114" s="101"/>
      <c r="K114" s="101"/>
    </row>
    <row r="115" spans="1:11">
      <c r="A115" s="101"/>
      <c r="B115" s="117"/>
      <c r="C115" s="104"/>
      <c r="D115" s="104"/>
      <c r="E115" s="103"/>
      <c r="F115" s="104"/>
      <c r="G115" s="104"/>
      <c r="H115" s="101"/>
      <c r="I115" s="101"/>
      <c r="J115" s="101"/>
      <c r="K115" s="101"/>
    </row>
    <row r="116" spans="1:11">
      <c r="A116" s="101"/>
      <c r="B116" s="117"/>
      <c r="C116" s="104"/>
      <c r="D116" s="104"/>
      <c r="E116" s="103"/>
      <c r="F116" s="104"/>
      <c r="G116" s="104"/>
      <c r="H116" s="101"/>
      <c r="I116" s="101"/>
      <c r="J116" s="101"/>
      <c r="K116" s="101"/>
    </row>
    <row r="117" spans="1:11">
      <c r="E117" s="103"/>
      <c r="F117" s="104"/>
      <c r="G117" s="104"/>
      <c r="H117" s="101"/>
      <c r="I117" s="101"/>
      <c r="J117" s="101"/>
    </row>
    <row r="118" spans="1:11">
      <c r="E118" s="103"/>
      <c r="F118" s="104"/>
      <c r="G118" s="104"/>
      <c r="H118" s="101"/>
      <c r="I118" s="101"/>
      <c r="J118" s="101"/>
    </row>
    <row r="119" spans="1:11">
      <c r="E119" s="103"/>
      <c r="F119" s="104"/>
      <c r="G119" s="104"/>
      <c r="H119" s="101"/>
      <c r="I119" s="101"/>
      <c r="J119" s="101"/>
    </row>
    <row r="120" spans="1:11">
      <c r="E120" s="103"/>
      <c r="F120" s="104"/>
      <c r="G120" s="104"/>
      <c r="H120" s="101"/>
      <c r="I120" s="101"/>
      <c r="J120" s="101"/>
    </row>
    <row r="121" spans="1:11">
      <c r="E121" s="103"/>
      <c r="F121" s="104"/>
      <c r="G121" s="104"/>
      <c r="H121" s="101"/>
      <c r="I121" s="101"/>
      <c r="J121" s="101"/>
    </row>
    <row r="122" spans="1:11">
      <c r="E122" s="103"/>
      <c r="F122" s="104"/>
      <c r="G122" s="104"/>
      <c r="H122" s="101"/>
      <c r="I122" s="101"/>
      <c r="J122" s="101"/>
    </row>
    <row r="123" spans="1:11">
      <c r="E123" s="103"/>
      <c r="F123" s="104"/>
      <c r="G123" s="104"/>
      <c r="H123" s="101"/>
      <c r="I123" s="101"/>
      <c r="J123" s="101"/>
    </row>
    <row r="124" spans="1:11">
      <c r="E124" s="103"/>
      <c r="F124" s="104"/>
      <c r="G124" s="104"/>
      <c r="H124" s="101"/>
      <c r="I124" s="101"/>
      <c r="J124" s="101"/>
    </row>
    <row r="125" spans="1:11">
      <c r="E125" s="103"/>
      <c r="F125" s="104"/>
      <c r="G125" s="104"/>
      <c r="H125" s="101"/>
      <c r="I125" s="101"/>
      <c r="J125" s="101"/>
    </row>
    <row r="126" spans="1:11">
      <c r="E126" s="103"/>
      <c r="F126" s="104"/>
      <c r="G126" s="104"/>
      <c r="H126" s="101"/>
      <c r="I126" s="101"/>
      <c r="J126" s="101"/>
    </row>
    <row r="127" spans="1:11">
      <c r="E127" s="103"/>
      <c r="F127" s="104"/>
      <c r="G127" s="104"/>
      <c r="H127" s="101"/>
      <c r="I127" s="101"/>
      <c r="J127" s="101"/>
    </row>
    <row r="128" spans="1:11">
      <c r="E128" s="103"/>
      <c r="F128" s="104"/>
      <c r="G128" s="104"/>
      <c r="H128" s="101"/>
      <c r="I128" s="101"/>
      <c r="J128" s="101"/>
    </row>
    <row r="129" spans="5:10">
      <c r="E129" s="103"/>
      <c r="F129" s="104"/>
      <c r="G129" s="104"/>
      <c r="H129" s="101"/>
      <c r="I129" s="101"/>
      <c r="J129" s="101"/>
    </row>
    <row r="130" spans="5:10">
      <c r="E130" s="103"/>
      <c r="F130" s="104"/>
      <c r="G130" s="104"/>
      <c r="H130" s="101"/>
      <c r="I130" s="101"/>
      <c r="J130" s="101"/>
    </row>
    <row r="131" spans="5:10">
      <c r="E131" s="103"/>
      <c r="F131" s="104"/>
      <c r="G131" s="104"/>
      <c r="H131" s="101"/>
      <c r="I131" s="101"/>
      <c r="J131" s="101"/>
    </row>
    <row r="132" spans="5:10">
      <c r="E132" s="103"/>
      <c r="F132" s="104"/>
      <c r="G132" s="104"/>
      <c r="H132" s="101"/>
      <c r="I132" s="101"/>
      <c r="J132" s="101"/>
    </row>
    <row r="133" spans="5:10">
      <c r="E133" s="103"/>
      <c r="F133" s="104"/>
      <c r="G133" s="104"/>
      <c r="H133" s="101"/>
      <c r="I133" s="101"/>
      <c r="J133" s="101"/>
    </row>
    <row r="134" spans="5:10">
      <c r="E134" s="103"/>
      <c r="F134" s="104"/>
      <c r="G134" s="104"/>
      <c r="H134" s="101"/>
      <c r="I134" s="101"/>
      <c r="J134" s="101"/>
    </row>
    <row r="135" spans="5:10">
      <c r="E135" s="103"/>
      <c r="F135" s="104"/>
      <c r="G135" s="104"/>
      <c r="H135" s="101"/>
      <c r="I135" s="101"/>
      <c r="J135" s="101"/>
    </row>
    <row r="136" spans="5:10">
      <c r="E136" s="103"/>
      <c r="F136" s="104"/>
      <c r="G136" s="104"/>
      <c r="H136" s="101"/>
      <c r="I136" s="101"/>
      <c r="J136" s="101"/>
    </row>
    <row r="137" spans="5:10">
      <c r="E137" s="103"/>
      <c r="F137" s="104"/>
      <c r="G137" s="104"/>
      <c r="H137" s="101"/>
      <c r="I137" s="101"/>
      <c r="J137" s="101"/>
    </row>
    <row r="138" spans="5:10">
      <c r="E138" s="103"/>
      <c r="F138" s="104"/>
      <c r="G138" s="104"/>
      <c r="H138" s="101"/>
      <c r="I138" s="101"/>
      <c r="J138" s="101"/>
    </row>
    <row r="139" spans="5:10">
      <c r="E139" s="103"/>
      <c r="F139" s="104"/>
      <c r="G139" s="104"/>
      <c r="H139" s="101"/>
      <c r="I139" s="101"/>
      <c r="J139" s="101"/>
    </row>
    <row r="140" spans="5:10">
      <c r="E140" s="103"/>
      <c r="F140" s="104"/>
      <c r="G140" s="104"/>
      <c r="H140" s="101"/>
      <c r="I140" s="101"/>
      <c r="J140" s="101"/>
    </row>
    <row r="141" spans="5:10">
      <c r="E141" s="103"/>
      <c r="F141" s="104"/>
      <c r="G141" s="104"/>
      <c r="H141" s="101"/>
      <c r="I141" s="101"/>
      <c r="J141" s="101"/>
    </row>
    <row r="142" spans="5:10">
      <c r="E142" s="103"/>
      <c r="F142" s="104"/>
      <c r="G142" s="104"/>
      <c r="H142" s="101"/>
      <c r="I142" s="101"/>
      <c r="J142" s="101"/>
    </row>
    <row r="143" spans="5:10">
      <c r="E143" s="103"/>
      <c r="F143" s="104"/>
      <c r="G143" s="104"/>
      <c r="H143" s="101"/>
      <c r="I143" s="101"/>
      <c r="J143" s="101"/>
    </row>
    <row r="144" spans="5:10">
      <c r="E144" s="103"/>
      <c r="F144" s="104"/>
      <c r="G144" s="104"/>
      <c r="H144" s="101"/>
      <c r="I144" s="101"/>
      <c r="J144" s="101"/>
    </row>
    <row r="145" spans="5:10">
      <c r="E145" s="103"/>
      <c r="F145" s="104"/>
      <c r="G145" s="104"/>
      <c r="H145" s="101"/>
      <c r="I145" s="101"/>
      <c r="J145" s="101"/>
    </row>
    <row r="146" spans="5:10">
      <c r="E146" s="103"/>
      <c r="F146" s="104"/>
      <c r="G146" s="104"/>
      <c r="H146" s="101"/>
      <c r="I146" s="101"/>
      <c r="J146" s="101"/>
    </row>
    <row r="147" spans="5:10">
      <c r="E147" s="103"/>
      <c r="F147" s="104"/>
      <c r="G147" s="104"/>
      <c r="H147" s="101"/>
      <c r="I147" s="101"/>
      <c r="J147" s="101"/>
    </row>
    <row r="148" spans="5:10">
      <c r="E148" s="103"/>
      <c r="F148" s="104"/>
      <c r="G148" s="104"/>
      <c r="H148" s="101"/>
      <c r="I148" s="101"/>
      <c r="J148" s="101"/>
    </row>
    <row r="149" spans="5:10">
      <c r="E149" s="103"/>
      <c r="F149" s="104"/>
      <c r="G149" s="104"/>
      <c r="H149" s="101"/>
      <c r="I149" s="101"/>
      <c r="J149" s="101"/>
    </row>
    <row r="150" spans="5:10">
      <c r="E150" s="103"/>
      <c r="F150" s="104"/>
      <c r="G150" s="104"/>
      <c r="H150" s="101"/>
      <c r="I150" s="101"/>
      <c r="J150" s="101"/>
    </row>
    <row r="151" spans="5:10">
      <c r="E151" s="103"/>
      <c r="F151" s="104"/>
      <c r="G151" s="104"/>
      <c r="H151" s="101"/>
      <c r="I151" s="101"/>
      <c r="J151" s="101"/>
    </row>
    <row r="152" spans="5:10">
      <c r="E152" s="103"/>
      <c r="F152" s="104"/>
      <c r="G152" s="104"/>
      <c r="H152" s="101"/>
      <c r="I152" s="101"/>
      <c r="J152" s="101"/>
    </row>
    <row r="153" spans="5:10">
      <c r="E153" s="103"/>
      <c r="F153" s="104"/>
      <c r="G153" s="104"/>
      <c r="H153" s="101"/>
      <c r="I153" s="101"/>
      <c r="J153" s="101"/>
    </row>
    <row r="154" spans="5:10">
      <c r="E154" s="103"/>
      <c r="F154" s="104"/>
      <c r="G154" s="104"/>
      <c r="H154" s="101"/>
      <c r="I154" s="101"/>
      <c r="J154" s="101"/>
    </row>
    <row r="155" spans="5:10">
      <c r="E155" s="103"/>
      <c r="F155" s="104"/>
      <c r="G155" s="104"/>
      <c r="H155" s="101"/>
      <c r="I155" s="101"/>
      <c r="J155" s="101"/>
    </row>
    <row r="156" spans="5:10">
      <c r="E156" s="103"/>
      <c r="F156" s="104"/>
      <c r="G156" s="104"/>
      <c r="H156" s="101"/>
      <c r="I156" s="101"/>
      <c r="J156" s="101"/>
    </row>
    <row r="157" spans="5:10">
      <c r="E157" s="103"/>
      <c r="F157" s="104"/>
      <c r="G157" s="104"/>
      <c r="H157" s="101"/>
      <c r="I157" s="101"/>
      <c r="J157" s="101"/>
    </row>
    <row r="158" spans="5:10">
      <c r="E158" s="103"/>
      <c r="F158" s="104"/>
      <c r="G158" s="104"/>
      <c r="H158" s="101"/>
      <c r="I158" s="101"/>
      <c r="J158" s="101"/>
    </row>
    <row r="159" spans="5:10">
      <c r="E159" s="103"/>
      <c r="F159" s="104"/>
      <c r="G159" s="104"/>
      <c r="H159" s="101"/>
      <c r="I159" s="101"/>
      <c r="J159" s="101"/>
    </row>
    <row r="160" spans="5:10">
      <c r="E160" s="103"/>
      <c r="F160" s="104"/>
      <c r="G160" s="104"/>
      <c r="H160" s="101"/>
      <c r="I160" s="101"/>
      <c r="J160" s="101"/>
    </row>
    <row r="161" spans="5:10">
      <c r="E161" s="103"/>
      <c r="F161" s="104"/>
      <c r="G161" s="104"/>
      <c r="H161" s="101"/>
      <c r="I161" s="101"/>
      <c r="J161" s="101"/>
    </row>
    <row r="162" spans="5:10">
      <c r="E162" s="103"/>
      <c r="F162" s="104"/>
      <c r="G162" s="104"/>
      <c r="H162" s="101"/>
      <c r="I162" s="101"/>
      <c r="J162" s="101"/>
    </row>
    <row r="163" spans="5:10">
      <c r="E163" s="103"/>
      <c r="F163" s="104"/>
      <c r="G163" s="104"/>
      <c r="H163" s="101"/>
      <c r="I163" s="101"/>
      <c r="J163" s="101"/>
    </row>
    <row r="164" spans="5:10">
      <c r="E164" s="103"/>
      <c r="F164" s="104"/>
      <c r="G164" s="104"/>
      <c r="H164" s="101"/>
      <c r="I164" s="101"/>
      <c r="J164" s="101"/>
    </row>
    <row r="165" spans="5:10">
      <c r="E165" s="103"/>
      <c r="F165" s="104"/>
      <c r="G165" s="104"/>
      <c r="H165" s="101"/>
      <c r="I165" s="101"/>
      <c r="J165" s="101"/>
    </row>
    <row r="166" spans="5:10">
      <c r="E166" s="103"/>
      <c r="F166" s="104"/>
      <c r="G166" s="104"/>
      <c r="H166" s="101"/>
      <c r="I166" s="101"/>
      <c r="J166" s="101"/>
    </row>
    <row r="167" spans="5:10">
      <c r="E167" s="103"/>
      <c r="F167" s="104"/>
      <c r="G167" s="104"/>
      <c r="H167" s="101"/>
      <c r="I167" s="101"/>
      <c r="J167" s="101"/>
    </row>
    <row r="168" spans="5:10">
      <c r="E168" s="103"/>
      <c r="F168" s="104"/>
      <c r="G168" s="104"/>
      <c r="H168" s="101"/>
      <c r="I168" s="101"/>
      <c r="J168" s="101"/>
    </row>
    <row r="169" spans="5:10">
      <c r="E169" s="103"/>
      <c r="F169" s="104"/>
      <c r="G169" s="104"/>
      <c r="H169" s="101"/>
      <c r="I169" s="101"/>
      <c r="J169" s="101"/>
    </row>
    <row r="170" spans="5:10">
      <c r="E170" s="103"/>
      <c r="F170" s="104"/>
      <c r="G170" s="104"/>
      <c r="H170" s="101"/>
      <c r="I170" s="101"/>
      <c r="J170" s="101"/>
    </row>
    <row r="171" spans="5:10">
      <c r="E171" s="103"/>
      <c r="F171" s="104"/>
      <c r="G171" s="104"/>
      <c r="H171" s="101"/>
      <c r="I171" s="101"/>
      <c r="J171" s="101"/>
    </row>
    <row r="172" spans="5:10">
      <c r="E172" s="103"/>
      <c r="F172" s="104"/>
      <c r="G172" s="104"/>
      <c r="H172" s="101"/>
      <c r="I172" s="101"/>
      <c r="J172" s="101"/>
    </row>
    <row r="173" spans="5:10">
      <c r="E173" s="103"/>
      <c r="F173" s="104"/>
      <c r="G173" s="104"/>
      <c r="H173" s="101"/>
      <c r="I173" s="101"/>
      <c r="J173" s="101"/>
    </row>
    <row r="174" spans="5:10">
      <c r="E174" s="103"/>
      <c r="F174" s="104"/>
      <c r="G174" s="104"/>
      <c r="H174" s="101"/>
      <c r="I174" s="101"/>
      <c r="J174" s="101"/>
    </row>
    <row r="175" spans="5:10">
      <c r="E175" s="103"/>
      <c r="F175" s="104"/>
      <c r="G175" s="104"/>
      <c r="H175" s="101"/>
      <c r="I175" s="101"/>
      <c r="J175" s="101"/>
    </row>
    <row r="176" spans="5:10">
      <c r="E176" s="103"/>
      <c r="F176" s="104"/>
      <c r="G176" s="104"/>
      <c r="H176" s="101"/>
      <c r="I176" s="101"/>
      <c r="J176" s="101"/>
    </row>
    <row r="177" spans="5:10">
      <c r="E177" s="103"/>
      <c r="F177" s="104"/>
      <c r="G177" s="104"/>
      <c r="H177" s="101"/>
      <c r="I177" s="101"/>
      <c r="J177" s="101"/>
    </row>
    <row r="178" spans="5:10">
      <c r="E178" s="103"/>
      <c r="F178" s="104"/>
      <c r="G178" s="104"/>
      <c r="H178" s="101"/>
      <c r="I178" s="101"/>
      <c r="J178" s="101"/>
    </row>
    <row r="179" spans="5:10">
      <c r="E179" s="103"/>
      <c r="F179" s="104"/>
      <c r="G179" s="104"/>
      <c r="H179" s="101"/>
      <c r="I179" s="101"/>
      <c r="J179" s="101"/>
    </row>
    <row r="180" spans="5:10">
      <c r="E180" s="103"/>
      <c r="F180" s="104"/>
      <c r="G180" s="104"/>
      <c r="H180" s="101"/>
      <c r="I180" s="101"/>
      <c r="J180" s="101"/>
    </row>
    <row r="181" spans="5:10">
      <c r="E181" s="103"/>
      <c r="F181" s="104"/>
      <c r="G181" s="104"/>
      <c r="H181" s="101"/>
      <c r="I181" s="101"/>
      <c r="J181" s="101"/>
    </row>
    <row r="182" spans="5:10">
      <c r="E182" s="103"/>
      <c r="F182" s="104"/>
      <c r="G182" s="104"/>
      <c r="H182" s="101"/>
      <c r="I182" s="101"/>
      <c r="J182" s="101"/>
    </row>
    <row r="183" spans="5:10">
      <c r="E183" s="103"/>
      <c r="F183" s="104"/>
      <c r="G183" s="104"/>
      <c r="H183" s="101"/>
      <c r="I183" s="101"/>
      <c r="J183" s="101"/>
    </row>
    <row r="184" spans="5:10">
      <c r="E184" s="103"/>
      <c r="F184" s="104"/>
      <c r="G184" s="104"/>
      <c r="H184" s="101"/>
      <c r="I184" s="101"/>
      <c r="J184" s="101"/>
    </row>
    <row r="185" spans="5:10">
      <c r="E185" s="103"/>
      <c r="F185" s="104"/>
      <c r="G185" s="104"/>
      <c r="H185" s="101"/>
      <c r="I185" s="101"/>
      <c r="J185" s="101"/>
    </row>
    <row r="186" spans="5:10">
      <c r="E186" s="103"/>
      <c r="F186" s="104"/>
      <c r="G186" s="104"/>
      <c r="H186" s="101"/>
      <c r="I186" s="101"/>
      <c r="J186" s="101"/>
    </row>
    <row r="187" spans="5:10">
      <c r="E187" s="103"/>
      <c r="F187" s="104"/>
      <c r="G187" s="104"/>
      <c r="H187" s="101"/>
      <c r="I187" s="101"/>
      <c r="J187" s="101"/>
    </row>
    <row r="188" spans="5:10">
      <c r="E188" s="103"/>
      <c r="F188" s="104"/>
      <c r="G188" s="104"/>
      <c r="H188" s="101"/>
      <c r="I188" s="101"/>
      <c r="J188" s="101"/>
    </row>
    <row r="189" spans="5:10">
      <c r="E189" s="103"/>
      <c r="F189" s="104"/>
      <c r="G189" s="104"/>
      <c r="H189" s="101"/>
      <c r="I189" s="101"/>
      <c r="J189" s="101"/>
    </row>
    <row r="190" spans="5:10">
      <c r="E190" s="103"/>
      <c r="F190" s="104"/>
      <c r="G190" s="104"/>
      <c r="H190" s="101"/>
      <c r="I190" s="101"/>
      <c r="J190" s="101"/>
    </row>
    <row r="191" spans="5:10">
      <c r="E191" s="103"/>
      <c r="F191" s="104"/>
      <c r="G191" s="104"/>
      <c r="H191" s="101"/>
      <c r="I191" s="101"/>
      <c r="J191" s="101"/>
    </row>
    <row r="192" spans="5:10">
      <c r="E192" s="103"/>
      <c r="F192" s="104"/>
      <c r="G192" s="104"/>
      <c r="H192" s="101"/>
      <c r="I192" s="101"/>
      <c r="J192" s="101"/>
    </row>
    <row r="193" spans="5:10">
      <c r="E193" s="103"/>
      <c r="F193" s="104"/>
      <c r="G193" s="104"/>
      <c r="H193" s="101"/>
      <c r="I193" s="101"/>
      <c r="J193" s="101"/>
    </row>
    <row r="194" spans="5:10">
      <c r="E194" s="103"/>
      <c r="F194" s="104"/>
      <c r="G194" s="104"/>
      <c r="H194" s="101"/>
      <c r="I194" s="101"/>
      <c r="J194" s="101"/>
    </row>
    <row r="195" spans="5:10">
      <c r="E195" s="103"/>
      <c r="F195" s="104"/>
      <c r="G195" s="104"/>
      <c r="H195" s="101"/>
      <c r="I195" s="101"/>
      <c r="J195" s="101"/>
    </row>
    <row r="196" spans="5:10">
      <c r="E196" s="103"/>
      <c r="F196" s="104"/>
      <c r="G196" s="104"/>
      <c r="H196" s="101"/>
      <c r="I196" s="101"/>
      <c r="J196" s="101"/>
    </row>
    <row r="197" spans="5:10">
      <c r="E197" s="103"/>
      <c r="F197" s="104"/>
      <c r="G197" s="104"/>
      <c r="H197" s="101"/>
      <c r="I197" s="101"/>
      <c r="J197" s="101"/>
    </row>
    <row r="198" spans="5:10">
      <c r="E198" s="103"/>
      <c r="F198" s="104"/>
      <c r="G198" s="104"/>
      <c r="H198" s="101"/>
      <c r="I198" s="101"/>
      <c r="J198" s="101"/>
    </row>
    <row r="199" spans="5:10">
      <c r="E199" s="103"/>
      <c r="F199" s="104"/>
      <c r="G199" s="104"/>
      <c r="H199" s="101"/>
      <c r="I199" s="101"/>
      <c r="J199" s="101"/>
    </row>
    <row r="200" spans="5:10">
      <c r="E200" s="103"/>
      <c r="F200" s="104"/>
      <c r="G200" s="104"/>
      <c r="H200" s="101"/>
      <c r="I200" s="101"/>
      <c r="J200" s="101"/>
    </row>
    <row r="201" spans="5:10">
      <c r="E201" s="103"/>
      <c r="F201" s="104"/>
      <c r="G201" s="104"/>
      <c r="H201" s="101"/>
      <c r="I201" s="101"/>
      <c r="J201" s="101"/>
    </row>
    <row r="202" spans="5:10">
      <c r="E202" s="103"/>
      <c r="F202" s="104"/>
      <c r="G202" s="104"/>
      <c r="H202" s="101"/>
      <c r="I202" s="101"/>
      <c r="J202" s="101"/>
    </row>
    <row r="203" spans="5:10">
      <c r="E203" s="103"/>
      <c r="F203" s="104"/>
      <c r="G203" s="104"/>
      <c r="H203" s="101"/>
      <c r="I203" s="101"/>
      <c r="J203" s="101"/>
    </row>
    <row r="204" spans="5:10">
      <c r="E204" s="103"/>
      <c r="F204" s="104"/>
      <c r="G204" s="104"/>
      <c r="H204" s="101"/>
      <c r="I204" s="101"/>
      <c r="J204" s="101"/>
    </row>
    <row r="205" spans="5:10">
      <c r="E205" s="103"/>
      <c r="F205" s="104"/>
      <c r="G205" s="104"/>
      <c r="H205" s="101"/>
      <c r="I205" s="101"/>
      <c r="J205" s="101"/>
    </row>
    <row r="206" spans="5:10">
      <c r="E206" s="103"/>
      <c r="F206" s="104"/>
      <c r="G206" s="104"/>
      <c r="H206" s="101"/>
      <c r="I206" s="101"/>
      <c r="J206" s="101"/>
    </row>
    <row r="207" spans="5:10">
      <c r="E207" s="103"/>
      <c r="F207" s="104"/>
      <c r="G207" s="104"/>
      <c r="H207" s="101"/>
      <c r="I207" s="101"/>
      <c r="J207" s="101"/>
    </row>
    <row r="208" spans="5:10">
      <c r="E208" s="103"/>
      <c r="F208" s="104"/>
      <c r="G208" s="104"/>
      <c r="H208" s="101"/>
      <c r="I208" s="101"/>
      <c r="J208" s="101"/>
    </row>
    <row r="209" spans="5:10">
      <c r="E209" s="103"/>
      <c r="F209" s="104"/>
      <c r="G209" s="104"/>
      <c r="H209" s="101"/>
      <c r="I209" s="101"/>
      <c r="J209" s="101"/>
    </row>
    <row r="210" spans="5:10">
      <c r="E210" s="103"/>
      <c r="F210" s="104"/>
      <c r="G210" s="104"/>
      <c r="H210" s="101"/>
      <c r="I210" s="101"/>
      <c r="J210" s="101"/>
    </row>
    <row r="211" spans="5:10">
      <c r="E211" s="103"/>
      <c r="F211" s="104"/>
      <c r="G211" s="104"/>
      <c r="H211" s="101"/>
      <c r="I211" s="101"/>
      <c r="J211" s="101"/>
    </row>
    <row r="212" spans="5:10">
      <c r="E212" s="103"/>
      <c r="F212" s="104"/>
      <c r="G212" s="104"/>
      <c r="H212" s="101"/>
      <c r="I212" s="101"/>
      <c r="J212" s="101"/>
    </row>
    <row r="213" spans="5:10">
      <c r="E213" s="103"/>
      <c r="F213" s="104"/>
      <c r="G213" s="104"/>
      <c r="H213" s="101"/>
      <c r="I213" s="101"/>
      <c r="J213" s="101"/>
    </row>
    <row r="214" spans="5:10">
      <c r="E214" s="103"/>
      <c r="F214" s="104"/>
      <c r="G214" s="104"/>
      <c r="H214" s="101"/>
      <c r="I214" s="101"/>
      <c r="J214" s="101"/>
    </row>
    <row r="215" spans="5:10">
      <c r="E215" s="103"/>
      <c r="F215" s="104"/>
      <c r="G215" s="104"/>
      <c r="H215" s="101"/>
      <c r="I215" s="101"/>
      <c r="J215" s="101"/>
    </row>
    <row r="216" spans="5:10">
      <c r="E216" s="103"/>
      <c r="F216" s="104"/>
      <c r="G216" s="104"/>
      <c r="H216" s="101"/>
      <c r="I216" s="101"/>
      <c r="J216" s="101"/>
    </row>
    <row r="217" spans="5:10">
      <c r="E217" s="103"/>
      <c r="F217" s="104"/>
      <c r="G217" s="104"/>
      <c r="H217" s="101"/>
      <c r="I217" s="101"/>
      <c r="J217" s="101"/>
    </row>
    <row r="218" spans="5:10">
      <c r="E218" s="103"/>
      <c r="F218" s="104"/>
      <c r="G218" s="104"/>
      <c r="H218" s="101"/>
      <c r="I218" s="101"/>
      <c r="J218" s="101"/>
    </row>
    <row r="219" spans="5:10">
      <c r="E219" s="103"/>
      <c r="F219" s="104"/>
      <c r="G219" s="104"/>
      <c r="H219" s="101"/>
      <c r="I219" s="101"/>
      <c r="J219" s="101"/>
    </row>
    <row r="220" spans="5:10">
      <c r="E220" s="103"/>
      <c r="F220" s="104"/>
      <c r="G220" s="104"/>
      <c r="H220" s="101"/>
      <c r="I220" s="101"/>
      <c r="J220" s="101"/>
    </row>
    <row r="221" spans="5:10">
      <c r="E221" s="103"/>
      <c r="F221" s="104"/>
      <c r="G221" s="104"/>
      <c r="H221" s="101"/>
      <c r="I221" s="101"/>
      <c r="J221" s="101"/>
    </row>
    <row r="222" spans="5:10">
      <c r="E222" s="103"/>
      <c r="F222" s="104"/>
      <c r="G222" s="104"/>
      <c r="H222" s="101"/>
      <c r="I222" s="101"/>
      <c r="J222" s="101"/>
    </row>
    <row r="223" spans="5:10">
      <c r="E223" s="103"/>
      <c r="F223" s="104"/>
      <c r="G223" s="104"/>
      <c r="H223" s="101"/>
      <c r="I223" s="101"/>
      <c r="J223" s="101"/>
    </row>
    <row r="224" spans="5:10">
      <c r="E224" s="103"/>
      <c r="F224" s="104"/>
      <c r="G224" s="104"/>
      <c r="H224" s="101"/>
      <c r="I224" s="101"/>
      <c r="J224" s="101"/>
    </row>
    <row r="225" spans="5:10">
      <c r="E225" s="103"/>
      <c r="F225" s="104"/>
      <c r="G225" s="104"/>
      <c r="H225" s="101"/>
      <c r="I225" s="101"/>
      <c r="J225" s="101"/>
    </row>
    <row r="226" spans="5:10">
      <c r="E226" s="103"/>
      <c r="F226" s="104"/>
      <c r="G226" s="104"/>
      <c r="H226" s="101"/>
      <c r="I226" s="101"/>
      <c r="J226" s="101"/>
    </row>
    <row r="227" spans="5:10">
      <c r="E227" s="103"/>
      <c r="F227" s="104"/>
      <c r="G227" s="104"/>
      <c r="H227" s="101"/>
      <c r="I227" s="101"/>
      <c r="J227" s="101"/>
    </row>
    <row r="228" spans="5:10">
      <c r="E228" s="103"/>
      <c r="F228" s="104"/>
      <c r="G228" s="104"/>
      <c r="H228" s="101"/>
      <c r="I228" s="101"/>
      <c r="J228" s="101"/>
    </row>
    <row r="229" spans="5:10">
      <c r="E229" s="103"/>
      <c r="F229" s="104"/>
      <c r="G229" s="104"/>
      <c r="H229" s="101"/>
      <c r="I229" s="101"/>
      <c r="J229" s="101"/>
    </row>
    <row r="230" spans="5:10">
      <c r="E230" s="103"/>
      <c r="F230" s="104"/>
      <c r="G230" s="104"/>
      <c r="H230" s="101"/>
      <c r="I230" s="101"/>
      <c r="J230" s="101"/>
    </row>
    <row r="231" spans="5:10">
      <c r="E231" s="103"/>
      <c r="F231" s="104"/>
      <c r="G231" s="104"/>
      <c r="H231" s="101"/>
      <c r="I231" s="101"/>
      <c r="J231" s="101"/>
    </row>
    <row r="232" spans="5:10">
      <c r="E232" s="103"/>
      <c r="F232" s="104"/>
      <c r="G232" s="104"/>
      <c r="H232" s="101"/>
      <c r="I232" s="101"/>
      <c r="J232" s="101"/>
    </row>
    <row r="233" spans="5:10">
      <c r="E233" s="103"/>
      <c r="F233" s="104"/>
      <c r="G233" s="104"/>
      <c r="H233" s="101"/>
      <c r="I233" s="101"/>
      <c r="J233" s="101"/>
    </row>
    <row r="234" spans="5:10">
      <c r="E234" s="103"/>
      <c r="F234" s="104"/>
      <c r="G234" s="104"/>
      <c r="H234" s="101"/>
      <c r="I234" s="101"/>
      <c r="J234" s="101"/>
    </row>
    <row r="235" spans="5:10">
      <c r="E235" s="103"/>
      <c r="F235" s="104"/>
      <c r="G235" s="104"/>
      <c r="H235" s="101"/>
      <c r="I235" s="101"/>
      <c r="J235" s="101"/>
    </row>
    <row r="236" spans="5:10">
      <c r="E236" s="103"/>
      <c r="F236" s="104"/>
      <c r="G236" s="104"/>
      <c r="H236" s="101"/>
      <c r="I236" s="101"/>
      <c r="J236" s="101"/>
    </row>
    <row r="237" spans="5:10">
      <c r="E237" s="103"/>
      <c r="F237" s="104"/>
      <c r="G237" s="104"/>
      <c r="H237" s="101"/>
      <c r="I237" s="101"/>
      <c r="J237" s="101"/>
    </row>
    <row r="238" spans="5:10">
      <c r="E238" s="103"/>
      <c r="F238" s="104"/>
      <c r="G238" s="104"/>
      <c r="H238" s="101"/>
      <c r="I238" s="101"/>
      <c r="J238" s="101"/>
    </row>
    <row r="239" spans="5:10">
      <c r="E239" s="103"/>
      <c r="F239" s="104"/>
      <c r="G239" s="104"/>
      <c r="H239" s="101"/>
      <c r="I239" s="101"/>
      <c r="J239" s="101"/>
    </row>
    <row r="240" spans="5:10">
      <c r="E240" s="103"/>
      <c r="F240" s="104"/>
      <c r="G240" s="104"/>
      <c r="H240" s="101"/>
      <c r="I240" s="101"/>
      <c r="J240" s="101"/>
    </row>
    <row r="241" spans="5:10">
      <c r="E241" s="103"/>
      <c r="F241" s="104"/>
      <c r="G241" s="104"/>
      <c r="H241" s="101"/>
      <c r="I241" s="101"/>
      <c r="J241" s="101"/>
    </row>
    <row r="242" spans="5:10">
      <c r="E242" s="103"/>
      <c r="F242" s="104"/>
      <c r="G242" s="104"/>
      <c r="H242" s="101"/>
      <c r="I242" s="101"/>
      <c r="J242" s="101"/>
    </row>
    <row r="243" spans="5:10">
      <c r="E243" s="103"/>
      <c r="F243" s="104"/>
      <c r="G243" s="104"/>
      <c r="H243" s="101"/>
      <c r="I243" s="101"/>
      <c r="J243" s="101"/>
    </row>
    <row r="244" spans="5:10">
      <c r="E244" s="103"/>
      <c r="F244" s="104"/>
      <c r="G244" s="104"/>
      <c r="H244" s="101"/>
      <c r="I244" s="101"/>
      <c r="J244" s="101"/>
    </row>
    <row r="245" spans="5:10">
      <c r="E245" s="103"/>
      <c r="F245" s="104"/>
      <c r="G245" s="104"/>
      <c r="H245" s="101"/>
      <c r="I245" s="101"/>
      <c r="J245" s="101"/>
    </row>
    <row r="246" spans="5:10">
      <c r="E246" s="103"/>
      <c r="F246" s="104"/>
      <c r="G246" s="104"/>
      <c r="H246" s="101"/>
      <c r="I246" s="101"/>
      <c r="J246" s="101"/>
    </row>
    <row r="247" spans="5:10">
      <c r="E247" s="103"/>
      <c r="F247" s="104"/>
      <c r="G247" s="104"/>
      <c r="H247" s="101"/>
      <c r="I247" s="101"/>
      <c r="J247" s="101"/>
    </row>
    <row r="248" spans="5:10">
      <c r="E248" s="103"/>
      <c r="F248" s="104"/>
      <c r="G248" s="104"/>
      <c r="H248" s="101"/>
      <c r="I248" s="101"/>
      <c r="J248" s="101"/>
    </row>
    <row r="249" spans="5:10">
      <c r="E249" s="103"/>
      <c r="F249" s="104"/>
      <c r="G249" s="104"/>
      <c r="H249" s="101"/>
      <c r="I249" s="101"/>
      <c r="J249" s="101"/>
    </row>
    <row r="250" spans="5:10">
      <c r="E250" s="103"/>
      <c r="F250" s="104"/>
      <c r="G250" s="104"/>
      <c r="H250" s="101"/>
      <c r="I250" s="101"/>
      <c r="J250" s="101"/>
    </row>
    <row r="251" spans="5:10">
      <c r="E251" s="103"/>
      <c r="F251" s="104"/>
      <c r="G251" s="104"/>
      <c r="H251" s="101"/>
      <c r="I251" s="101"/>
      <c r="J251" s="101"/>
    </row>
    <row r="252" spans="5:10">
      <c r="E252" s="103"/>
      <c r="F252" s="104"/>
      <c r="G252" s="104"/>
      <c r="H252" s="101"/>
      <c r="I252" s="101"/>
      <c r="J252" s="101"/>
    </row>
    <row r="253" spans="5:10">
      <c r="E253" s="103"/>
      <c r="F253" s="104"/>
      <c r="G253" s="104"/>
      <c r="H253" s="101"/>
      <c r="I253" s="101"/>
      <c r="J253" s="101"/>
    </row>
    <row r="254" spans="5:10">
      <c r="E254" s="103"/>
      <c r="F254" s="104"/>
      <c r="G254" s="104"/>
      <c r="H254" s="101"/>
      <c r="I254" s="101"/>
      <c r="J254" s="101"/>
    </row>
    <row r="255" spans="5:10">
      <c r="E255" s="103"/>
      <c r="F255" s="104"/>
      <c r="G255" s="104"/>
      <c r="H255" s="101"/>
      <c r="I255" s="101"/>
      <c r="J255" s="101"/>
    </row>
    <row r="256" spans="5:10">
      <c r="E256" s="103"/>
      <c r="F256" s="104"/>
      <c r="G256" s="104"/>
      <c r="H256" s="101"/>
      <c r="I256" s="101"/>
      <c r="J256" s="101"/>
    </row>
    <row r="257" spans="5:10">
      <c r="E257" s="103"/>
      <c r="F257" s="104"/>
      <c r="G257" s="104"/>
      <c r="H257" s="101"/>
      <c r="I257" s="101"/>
      <c r="J257" s="101"/>
    </row>
    <row r="258" spans="5:10">
      <c r="E258" s="103"/>
      <c r="F258" s="104"/>
      <c r="G258" s="104"/>
      <c r="H258" s="101"/>
      <c r="I258" s="101"/>
      <c r="J258" s="101"/>
    </row>
    <row r="259" spans="5:10">
      <c r="E259" s="103"/>
      <c r="F259" s="104"/>
      <c r="G259" s="104"/>
      <c r="H259" s="101"/>
      <c r="I259" s="101"/>
      <c r="J259" s="101"/>
    </row>
    <row r="260" spans="5:10">
      <c r="E260" s="103"/>
      <c r="F260" s="104"/>
      <c r="G260" s="104"/>
      <c r="H260" s="101"/>
      <c r="I260" s="101"/>
      <c r="J260" s="101"/>
    </row>
    <row r="261" spans="5:10">
      <c r="E261" s="103"/>
      <c r="F261" s="104"/>
      <c r="G261" s="104"/>
      <c r="H261" s="101"/>
      <c r="I261" s="101"/>
      <c r="J261" s="101"/>
    </row>
    <row r="262" spans="5:10">
      <c r="E262" s="103"/>
      <c r="F262" s="104"/>
      <c r="G262" s="104"/>
      <c r="H262" s="101"/>
      <c r="I262" s="101"/>
      <c r="J262" s="101"/>
    </row>
    <row r="263" spans="5:10">
      <c r="E263" s="103"/>
      <c r="F263" s="104"/>
      <c r="G263" s="104"/>
      <c r="H263" s="101"/>
      <c r="I263" s="101"/>
      <c r="J263" s="101"/>
    </row>
    <row r="264" spans="5:10">
      <c r="E264" s="103"/>
      <c r="F264" s="104"/>
      <c r="G264" s="104"/>
      <c r="H264" s="101"/>
      <c r="I264" s="101"/>
      <c r="J264" s="101"/>
    </row>
    <row r="265" spans="5:10">
      <c r="E265" s="103"/>
      <c r="F265" s="104"/>
      <c r="G265" s="104"/>
      <c r="H265" s="101"/>
      <c r="I265" s="101"/>
      <c r="J265" s="101"/>
    </row>
    <row r="266" spans="5:10">
      <c r="E266" s="103"/>
      <c r="F266" s="104"/>
      <c r="G266" s="104"/>
      <c r="H266" s="101"/>
      <c r="I266" s="101"/>
      <c r="J266" s="101"/>
    </row>
    <row r="267" spans="5:10">
      <c r="E267" s="103"/>
      <c r="F267" s="104"/>
      <c r="G267" s="104"/>
      <c r="H267" s="101"/>
      <c r="I267" s="101"/>
      <c r="J267" s="101"/>
    </row>
    <row r="268" spans="5:10">
      <c r="E268" s="103"/>
      <c r="F268" s="104"/>
      <c r="G268" s="104"/>
      <c r="H268" s="101"/>
      <c r="I268" s="101"/>
      <c r="J268" s="101"/>
    </row>
    <row r="269" spans="5:10">
      <c r="E269" s="103"/>
      <c r="F269" s="104"/>
      <c r="G269" s="104"/>
      <c r="H269" s="101"/>
      <c r="I269" s="101"/>
      <c r="J269" s="101"/>
    </row>
    <row r="270" spans="5:10">
      <c r="E270" s="103"/>
      <c r="F270" s="104"/>
      <c r="G270" s="104"/>
      <c r="H270" s="101"/>
      <c r="I270" s="101"/>
      <c r="J270" s="101"/>
    </row>
    <row r="271" spans="5:10">
      <c r="E271" s="103"/>
      <c r="F271" s="104"/>
      <c r="G271" s="104"/>
      <c r="H271" s="101"/>
      <c r="I271" s="101"/>
      <c r="J271" s="101"/>
    </row>
    <row r="272" spans="5:10">
      <c r="E272" s="103"/>
      <c r="F272" s="104"/>
      <c r="G272" s="104"/>
      <c r="H272" s="101"/>
      <c r="I272" s="101"/>
      <c r="J272" s="101"/>
    </row>
    <row r="273" spans="5:10">
      <c r="E273" s="103"/>
      <c r="F273" s="104"/>
      <c r="G273" s="104"/>
      <c r="H273" s="101"/>
      <c r="I273" s="101"/>
      <c r="J273" s="101"/>
    </row>
    <row r="274" spans="5:10">
      <c r="E274" s="103"/>
      <c r="F274" s="104"/>
      <c r="G274" s="104"/>
      <c r="H274" s="101"/>
      <c r="I274" s="101"/>
      <c r="J274" s="101"/>
    </row>
    <row r="275" spans="5:10">
      <c r="E275" s="103"/>
      <c r="F275" s="104"/>
      <c r="G275" s="104"/>
      <c r="H275" s="101"/>
      <c r="I275" s="101"/>
      <c r="J275" s="101"/>
    </row>
    <row r="276" spans="5:10">
      <c r="E276" s="103"/>
      <c r="F276" s="104"/>
      <c r="G276" s="104"/>
      <c r="H276" s="101"/>
      <c r="I276" s="101"/>
      <c r="J276" s="101"/>
    </row>
    <row r="277" spans="5:10">
      <c r="E277" s="103"/>
      <c r="F277" s="104"/>
      <c r="G277" s="104"/>
      <c r="H277" s="101"/>
      <c r="I277" s="101"/>
      <c r="J277" s="101"/>
    </row>
    <row r="278" spans="5:10">
      <c r="E278" s="103"/>
      <c r="F278" s="104"/>
      <c r="G278" s="104"/>
      <c r="H278" s="101"/>
      <c r="I278" s="101"/>
      <c r="J278" s="101"/>
    </row>
    <row r="279" spans="5:10">
      <c r="E279" s="103"/>
      <c r="F279" s="104"/>
      <c r="G279" s="104"/>
      <c r="H279" s="101"/>
      <c r="I279" s="101"/>
      <c r="J279" s="101"/>
    </row>
    <row r="280" spans="5:10">
      <c r="E280" s="103"/>
      <c r="F280" s="104"/>
      <c r="G280" s="104"/>
      <c r="H280" s="101"/>
      <c r="I280" s="101"/>
      <c r="J280" s="101"/>
    </row>
    <row r="281" spans="5:10">
      <c r="E281" s="103"/>
      <c r="F281" s="104"/>
      <c r="G281" s="104"/>
      <c r="H281" s="101"/>
      <c r="I281" s="101"/>
      <c r="J281" s="101"/>
    </row>
    <row r="282" spans="5:10">
      <c r="E282" s="103"/>
      <c r="F282" s="104"/>
      <c r="G282" s="104"/>
      <c r="H282" s="101"/>
      <c r="I282" s="101"/>
      <c r="J282" s="101"/>
    </row>
    <row r="283" spans="5:10">
      <c r="E283" s="103"/>
      <c r="F283" s="104"/>
      <c r="G283" s="104"/>
      <c r="H283" s="101"/>
      <c r="I283" s="101"/>
      <c r="J283" s="101"/>
    </row>
    <row r="284" spans="5:10">
      <c r="E284" s="103"/>
      <c r="F284" s="104"/>
      <c r="G284" s="104"/>
      <c r="H284" s="101"/>
      <c r="I284" s="101"/>
      <c r="J284" s="101"/>
    </row>
    <row r="285" spans="5:10">
      <c r="E285" s="103"/>
      <c r="F285" s="104"/>
      <c r="G285" s="104"/>
      <c r="H285" s="101"/>
      <c r="I285" s="101"/>
      <c r="J285" s="101"/>
    </row>
    <row r="286" spans="5:10">
      <c r="E286" s="103"/>
      <c r="F286" s="104"/>
      <c r="G286" s="104"/>
      <c r="H286" s="101"/>
      <c r="I286" s="101"/>
      <c r="J286" s="101"/>
    </row>
    <row r="287" spans="5:10">
      <c r="E287" s="103"/>
      <c r="F287" s="104"/>
      <c r="G287" s="104"/>
      <c r="H287" s="101"/>
      <c r="I287" s="101"/>
      <c r="J287" s="101"/>
    </row>
    <row r="288" spans="5:10">
      <c r="E288" s="103"/>
      <c r="F288" s="104"/>
      <c r="G288" s="104"/>
      <c r="H288" s="101"/>
      <c r="I288" s="101"/>
      <c r="J288" s="101"/>
    </row>
    <row r="289" spans="5:10">
      <c r="E289" s="103"/>
      <c r="F289" s="104"/>
      <c r="G289" s="104"/>
      <c r="H289" s="101"/>
      <c r="I289" s="101"/>
      <c r="J289" s="101"/>
    </row>
    <row r="290" spans="5:10">
      <c r="E290" s="103"/>
      <c r="F290" s="104"/>
      <c r="G290" s="104"/>
      <c r="H290" s="101"/>
      <c r="I290" s="101"/>
      <c r="J290" s="101"/>
    </row>
    <row r="291" spans="5:10">
      <c r="E291" s="103"/>
      <c r="F291" s="104"/>
      <c r="G291" s="104"/>
      <c r="H291" s="101"/>
      <c r="I291" s="101"/>
      <c r="J291" s="101"/>
    </row>
    <row r="292" spans="5:10">
      <c r="E292" s="103"/>
      <c r="F292" s="104"/>
      <c r="G292" s="104"/>
      <c r="H292" s="101"/>
      <c r="I292" s="101"/>
      <c r="J292" s="101"/>
    </row>
    <row r="293" spans="5:10">
      <c r="E293" s="103"/>
      <c r="F293" s="104"/>
      <c r="G293" s="104"/>
      <c r="H293" s="101"/>
      <c r="I293" s="101"/>
      <c r="J293" s="101"/>
    </row>
    <row r="294" spans="5:10">
      <c r="E294" s="103"/>
      <c r="F294" s="104"/>
      <c r="G294" s="104"/>
      <c r="H294" s="101"/>
      <c r="I294" s="101"/>
      <c r="J294" s="101"/>
    </row>
    <row r="295" spans="5:10">
      <c r="E295" s="103"/>
      <c r="F295" s="104"/>
      <c r="G295" s="104"/>
      <c r="H295" s="101"/>
      <c r="I295" s="101"/>
      <c r="J295" s="101"/>
    </row>
    <row r="296" spans="5:10">
      <c r="E296" s="103"/>
      <c r="F296" s="104"/>
      <c r="G296" s="104"/>
      <c r="H296" s="101"/>
      <c r="I296" s="101"/>
      <c r="J296" s="101"/>
    </row>
    <row r="297" spans="5:10">
      <c r="E297" s="103"/>
      <c r="F297" s="104"/>
      <c r="G297" s="104"/>
      <c r="H297" s="101"/>
      <c r="I297" s="101"/>
      <c r="J297" s="101"/>
    </row>
    <row r="298" spans="5:10">
      <c r="E298" s="103"/>
      <c r="F298" s="104"/>
      <c r="G298" s="104"/>
      <c r="H298" s="101"/>
      <c r="I298" s="101"/>
      <c r="J298" s="101"/>
    </row>
    <row r="299" spans="5:10">
      <c r="E299" s="103"/>
      <c r="F299" s="104"/>
      <c r="G299" s="104"/>
      <c r="H299" s="101"/>
      <c r="I299" s="101"/>
      <c r="J299" s="101"/>
    </row>
    <row r="300" spans="5:10">
      <c r="E300" s="103"/>
      <c r="F300" s="104"/>
      <c r="G300" s="104"/>
      <c r="H300" s="101"/>
      <c r="I300" s="101"/>
      <c r="J300" s="101"/>
    </row>
    <row r="301" spans="5:10">
      <c r="E301" s="103"/>
      <c r="F301" s="104"/>
      <c r="G301" s="104"/>
      <c r="H301" s="101"/>
      <c r="I301" s="101"/>
      <c r="J301" s="101"/>
    </row>
    <row r="302" spans="5:10">
      <c r="E302" s="103"/>
      <c r="F302" s="104"/>
      <c r="G302" s="104"/>
      <c r="H302" s="101"/>
      <c r="I302" s="101"/>
      <c r="J302" s="101"/>
    </row>
    <row r="303" spans="5:10">
      <c r="E303" s="103"/>
      <c r="F303" s="104"/>
      <c r="G303" s="104"/>
      <c r="H303" s="101"/>
      <c r="I303" s="101"/>
      <c r="J303" s="101"/>
    </row>
    <row r="304" spans="5:10">
      <c r="E304" s="103"/>
      <c r="F304" s="104"/>
      <c r="G304" s="104"/>
      <c r="H304" s="101"/>
      <c r="I304" s="101"/>
      <c r="J304" s="101"/>
    </row>
    <row r="305" spans="5:10">
      <c r="E305" s="103"/>
      <c r="F305" s="104"/>
      <c r="G305" s="104"/>
      <c r="H305" s="101"/>
      <c r="I305" s="101"/>
      <c r="J305" s="101"/>
    </row>
    <row r="306" spans="5:10">
      <c r="E306" s="103"/>
      <c r="F306" s="104"/>
      <c r="G306" s="104"/>
      <c r="H306" s="101"/>
      <c r="I306" s="101"/>
      <c r="J306" s="101"/>
    </row>
    <row r="307" spans="5:10">
      <c r="E307" s="103"/>
      <c r="F307" s="104"/>
      <c r="G307" s="104"/>
      <c r="H307" s="101"/>
      <c r="I307" s="101"/>
      <c r="J307" s="101"/>
    </row>
    <row r="308" spans="5:10">
      <c r="E308" s="103"/>
      <c r="F308" s="104"/>
      <c r="G308" s="104"/>
      <c r="H308" s="101"/>
      <c r="I308" s="101"/>
      <c r="J308" s="101"/>
    </row>
    <row r="309" spans="5:10">
      <c r="E309" s="103"/>
      <c r="F309" s="104"/>
      <c r="G309" s="104"/>
      <c r="H309" s="101"/>
      <c r="I309" s="101"/>
      <c r="J309" s="101"/>
    </row>
    <row r="310" spans="5:10">
      <c r="E310" s="103"/>
      <c r="F310" s="104"/>
      <c r="G310" s="104"/>
      <c r="H310" s="101"/>
      <c r="I310" s="101"/>
      <c r="J310" s="101"/>
    </row>
    <row r="311" spans="5:10">
      <c r="E311" s="103"/>
      <c r="F311" s="104"/>
      <c r="G311" s="104"/>
      <c r="H311" s="101"/>
      <c r="I311" s="101"/>
      <c r="J311" s="101"/>
    </row>
    <row r="312" spans="5:10">
      <c r="E312" s="103"/>
      <c r="F312" s="104"/>
      <c r="G312" s="104"/>
      <c r="H312" s="101"/>
      <c r="I312" s="101"/>
      <c r="J312" s="101"/>
    </row>
    <row r="313" spans="5:10">
      <c r="E313" s="103"/>
      <c r="F313" s="104"/>
      <c r="G313" s="104"/>
      <c r="H313" s="101"/>
      <c r="I313" s="101"/>
      <c r="J313" s="101"/>
    </row>
    <row r="314" spans="5:10">
      <c r="E314" s="103"/>
      <c r="F314" s="104"/>
      <c r="G314" s="104"/>
      <c r="H314" s="101"/>
      <c r="I314" s="101"/>
      <c r="J314" s="101"/>
    </row>
    <row r="315" spans="5:10">
      <c r="E315" s="103"/>
      <c r="F315" s="104"/>
      <c r="G315" s="104"/>
      <c r="H315" s="101"/>
      <c r="I315" s="101"/>
      <c r="J315" s="101"/>
    </row>
    <row r="316" spans="5:10">
      <c r="E316" s="103"/>
      <c r="F316" s="104"/>
      <c r="G316" s="104"/>
      <c r="H316" s="101"/>
      <c r="I316" s="101"/>
      <c r="J316" s="101"/>
    </row>
    <row r="317" spans="5:10">
      <c r="E317" s="103"/>
      <c r="F317" s="104"/>
      <c r="G317" s="104"/>
      <c r="H317" s="101"/>
      <c r="I317" s="101"/>
      <c r="J317" s="101"/>
    </row>
    <row r="318" spans="5:10">
      <c r="E318" s="103"/>
      <c r="F318" s="104"/>
      <c r="G318" s="104"/>
      <c r="H318" s="101"/>
      <c r="I318" s="101"/>
      <c r="J318" s="101"/>
    </row>
    <row r="319" spans="5:10">
      <c r="E319" s="103"/>
      <c r="F319" s="104"/>
      <c r="G319" s="104"/>
      <c r="H319" s="101"/>
      <c r="I319" s="101"/>
      <c r="J319" s="101"/>
    </row>
    <row r="320" spans="5:10">
      <c r="E320" s="103"/>
      <c r="F320" s="104"/>
      <c r="G320" s="104"/>
      <c r="H320" s="101"/>
      <c r="I320" s="101"/>
      <c r="J320" s="101"/>
    </row>
    <row r="321" spans="5:10">
      <c r="E321" s="103"/>
      <c r="F321" s="104"/>
      <c r="G321" s="104"/>
      <c r="H321" s="101"/>
      <c r="I321" s="101"/>
      <c r="J321" s="101"/>
    </row>
    <row r="322" spans="5:10">
      <c r="E322" s="103"/>
      <c r="F322" s="104"/>
      <c r="G322" s="104"/>
      <c r="H322" s="101"/>
      <c r="I322" s="101"/>
      <c r="J322" s="101"/>
    </row>
    <row r="323" spans="5:10">
      <c r="E323" s="103"/>
      <c r="F323" s="104"/>
      <c r="G323" s="104"/>
      <c r="H323" s="101"/>
      <c r="I323" s="101"/>
      <c r="J323" s="101"/>
    </row>
    <row r="324" spans="5:10">
      <c r="E324" s="103"/>
      <c r="F324" s="104"/>
      <c r="G324" s="104"/>
      <c r="H324" s="101"/>
      <c r="I324" s="101"/>
      <c r="J324" s="101"/>
    </row>
    <row r="325" spans="5:10">
      <c r="E325" s="103"/>
      <c r="F325" s="104"/>
      <c r="G325" s="104"/>
      <c r="H325" s="101"/>
      <c r="I325" s="101"/>
      <c r="J325" s="101"/>
    </row>
    <row r="326" spans="5:10">
      <c r="E326" s="103"/>
      <c r="F326" s="104"/>
      <c r="G326" s="104"/>
      <c r="H326" s="101"/>
      <c r="I326" s="101"/>
      <c r="J326" s="101"/>
    </row>
    <row r="327" spans="5:10">
      <c r="E327" s="103"/>
      <c r="F327" s="104"/>
      <c r="G327" s="104"/>
      <c r="H327" s="101"/>
      <c r="I327" s="101"/>
      <c r="J327" s="101"/>
    </row>
    <row r="328" spans="5:10">
      <c r="E328" s="103"/>
      <c r="F328" s="104"/>
      <c r="G328" s="104"/>
      <c r="H328" s="101"/>
      <c r="I328" s="101"/>
      <c r="J328" s="101"/>
    </row>
    <row r="329" spans="5:10">
      <c r="E329" s="103"/>
      <c r="F329" s="104"/>
      <c r="G329" s="104"/>
      <c r="H329" s="101"/>
      <c r="I329" s="101"/>
      <c r="J329" s="101"/>
    </row>
    <row r="330" spans="5:10">
      <c r="E330" s="103"/>
      <c r="F330" s="104"/>
      <c r="G330" s="104"/>
      <c r="H330" s="101"/>
      <c r="I330" s="101"/>
      <c r="J330" s="101"/>
    </row>
    <row r="331" spans="5:10">
      <c r="E331" s="103"/>
      <c r="F331" s="104"/>
      <c r="G331" s="104"/>
      <c r="H331" s="101"/>
      <c r="I331" s="101"/>
      <c r="J331" s="101"/>
    </row>
    <row r="332" spans="5:10">
      <c r="E332" s="103"/>
      <c r="F332" s="104"/>
      <c r="G332" s="104"/>
      <c r="H332" s="101"/>
      <c r="I332" s="101"/>
      <c r="J332" s="101"/>
    </row>
    <row r="333" spans="5:10">
      <c r="E333" s="103"/>
      <c r="F333" s="104"/>
      <c r="G333" s="104"/>
      <c r="H333" s="101"/>
      <c r="I333" s="101"/>
      <c r="J333" s="101"/>
    </row>
    <row r="334" spans="5:10">
      <c r="E334" s="103"/>
      <c r="F334" s="104"/>
      <c r="G334" s="104"/>
      <c r="H334" s="101"/>
      <c r="I334" s="101"/>
      <c r="J334" s="101"/>
    </row>
    <row r="335" spans="5:10">
      <c r="E335" s="103"/>
      <c r="F335" s="104"/>
      <c r="G335" s="104"/>
      <c r="H335" s="101"/>
      <c r="I335" s="101"/>
      <c r="J335" s="101"/>
    </row>
    <row r="336" spans="5:10">
      <c r="E336" s="103"/>
      <c r="F336" s="104"/>
      <c r="G336" s="104"/>
      <c r="H336" s="101"/>
      <c r="I336" s="101"/>
      <c r="J336" s="101"/>
    </row>
    <row r="337" spans="5:10">
      <c r="E337" s="103"/>
      <c r="F337" s="104"/>
      <c r="G337" s="104"/>
      <c r="H337" s="101"/>
      <c r="I337" s="101"/>
      <c r="J337" s="101"/>
    </row>
    <row r="338" spans="5:10">
      <c r="E338" s="103"/>
      <c r="F338" s="104"/>
      <c r="G338" s="104"/>
      <c r="H338" s="101"/>
      <c r="I338" s="101"/>
      <c r="J338" s="101"/>
    </row>
    <row r="339" spans="5:10">
      <c r="E339" s="103"/>
      <c r="F339" s="104"/>
      <c r="G339" s="104"/>
      <c r="H339" s="101"/>
      <c r="I339" s="101"/>
      <c r="J339" s="101"/>
    </row>
    <row r="340" spans="5:10">
      <c r="E340" s="103"/>
      <c r="F340" s="104"/>
      <c r="G340" s="104"/>
      <c r="H340" s="101"/>
      <c r="I340" s="101"/>
      <c r="J340" s="101"/>
    </row>
    <row r="341" spans="5:10">
      <c r="E341" s="103"/>
      <c r="F341" s="104"/>
      <c r="G341" s="104"/>
      <c r="H341" s="101"/>
      <c r="I341" s="101"/>
      <c r="J341" s="101"/>
    </row>
    <row r="342" spans="5:10">
      <c r="E342" s="103"/>
      <c r="F342" s="104"/>
      <c r="G342" s="104"/>
      <c r="H342" s="101"/>
      <c r="I342" s="101"/>
      <c r="J342" s="101"/>
    </row>
    <row r="343" spans="5:10">
      <c r="E343" s="103"/>
      <c r="F343" s="104"/>
      <c r="G343" s="104"/>
      <c r="H343" s="101"/>
      <c r="I343" s="101"/>
      <c r="J343" s="101"/>
    </row>
    <row r="344" spans="5:10">
      <c r="E344" s="103"/>
      <c r="F344" s="104"/>
      <c r="G344" s="104"/>
      <c r="H344" s="101"/>
      <c r="I344" s="101"/>
      <c r="J344" s="101"/>
    </row>
    <row r="345" spans="5:10">
      <c r="E345" s="103"/>
      <c r="F345" s="104"/>
      <c r="G345" s="104"/>
      <c r="H345" s="101"/>
      <c r="I345" s="101"/>
      <c r="J345" s="101"/>
    </row>
    <row r="346" spans="5:10">
      <c r="E346" s="103"/>
      <c r="F346" s="104"/>
      <c r="G346" s="104"/>
      <c r="H346" s="101"/>
      <c r="I346" s="101"/>
      <c r="J346" s="101"/>
    </row>
    <row r="347" spans="5:10">
      <c r="E347" s="103"/>
      <c r="F347" s="104"/>
      <c r="G347" s="104"/>
      <c r="H347" s="101"/>
      <c r="I347" s="101"/>
      <c r="J347" s="101"/>
    </row>
    <row r="348" spans="5:10">
      <c r="E348" s="103"/>
      <c r="F348" s="104"/>
      <c r="G348" s="104"/>
      <c r="H348" s="101"/>
      <c r="I348" s="101"/>
      <c r="J348" s="101"/>
    </row>
    <row r="349" spans="5:10">
      <c r="E349" s="103"/>
      <c r="F349" s="104"/>
      <c r="G349" s="104"/>
      <c r="H349" s="101"/>
      <c r="I349" s="101"/>
      <c r="J349" s="101"/>
    </row>
    <row r="350" spans="5:10">
      <c r="E350" s="103"/>
      <c r="F350" s="104"/>
      <c r="G350" s="104"/>
      <c r="H350" s="101"/>
      <c r="I350" s="101"/>
      <c r="J350" s="101"/>
    </row>
    <row r="351" spans="5:10">
      <c r="E351" s="103"/>
      <c r="F351" s="104"/>
      <c r="G351" s="104"/>
      <c r="H351" s="101"/>
      <c r="I351" s="101"/>
      <c r="J351" s="101"/>
    </row>
    <row r="352" spans="5:10">
      <c r="E352" s="103"/>
      <c r="F352" s="104"/>
      <c r="G352" s="104"/>
      <c r="H352" s="101"/>
      <c r="I352" s="101"/>
      <c r="J352" s="101"/>
    </row>
    <row r="353" spans="5:10">
      <c r="E353" s="103"/>
      <c r="F353" s="104"/>
      <c r="G353" s="104"/>
      <c r="H353" s="101"/>
      <c r="I353" s="101"/>
      <c r="J353" s="101"/>
    </row>
    <row r="354" spans="5:10">
      <c r="E354" s="103"/>
      <c r="F354" s="104"/>
      <c r="G354" s="104"/>
      <c r="H354" s="101"/>
      <c r="I354" s="101"/>
      <c r="J354" s="101"/>
    </row>
    <row r="355" spans="5:10">
      <c r="E355" s="103"/>
      <c r="F355" s="104"/>
      <c r="G355" s="104"/>
      <c r="H355" s="101"/>
      <c r="I355" s="101"/>
      <c r="J355" s="101"/>
    </row>
    <row r="356" spans="5:10">
      <c r="E356" s="103"/>
      <c r="F356" s="104"/>
      <c r="G356" s="104"/>
      <c r="H356" s="101"/>
      <c r="I356" s="101"/>
      <c r="J356" s="101"/>
    </row>
    <row r="357" spans="5:10">
      <c r="E357" s="103"/>
      <c r="F357" s="104"/>
      <c r="G357" s="104"/>
      <c r="H357" s="101"/>
      <c r="I357" s="101"/>
      <c r="J357" s="101"/>
    </row>
    <row r="358" spans="5:10">
      <c r="E358" s="103"/>
      <c r="F358" s="104"/>
      <c r="G358" s="104"/>
      <c r="H358" s="101"/>
      <c r="I358" s="101"/>
      <c r="J358" s="101"/>
    </row>
    <row r="359" spans="5:10">
      <c r="E359" s="103"/>
      <c r="F359" s="104"/>
      <c r="G359" s="104"/>
      <c r="H359" s="101"/>
      <c r="I359" s="101"/>
      <c r="J359" s="101"/>
    </row>
    <row r="360" spans="5:10">
      <c r="E360" s="103"/>
      <c r="F360" s="104"/>
      <c r="G360" s="104"/>
      <c r="H360" s="101"/>
      <c r="I360" s="101"/>
      <c r="J360" s="101"/>
    </row>
    <row r="361" spans="5:10">
      <c r="E361" s="103"/>
      <c r="F361" s="104"/>
      <c r="G361" s="104"/>
      <c r="H361" s="101"/>
      <c r="I361" s="101"/>
      <c r="J361" s="101"/>
    </row>
    <row r="362" spans="5:10">
      <c r="E362" s="103"/>
      <c r="F362" s="104"/>
      <c r="G362" s="104"/>
      <c r="H362" s="101"/>
      <c r="I362" s="101"/>
      <c r="J362" s="101"/>
    </row>
    <row r="363" spans="5:10">
      <c r="E363" s="103"/>
      <c r="F363" s="104"/>
      <c r="G363" s="104"/>
      <c r="H363" s="101"/>
      <c r="I363" s="101"/>
      <c r="J363" s="101"/>
    </row>
    <row r="364" spans="5:10">
      <c r="E364" s="103"/>
      <c r="F364" s="104"/>
      <c r="G364" s="104"/>
      <c r="H364" s="101"/>
      <c r="I364" s="101"/>
      <c r="J364" s="101"/>
    </row>
    <row r="365" spans="5:10">
      <c r="E365" s="103"/>
      <c r="F365" s="104"/>
      <c r="G365" s="104"/>
      <c r="H365" s="101"/>
      <c r="I365" s="101"/>
      <c r="J365" s="101"/>
    </row>
    <row r="366" spans="5:10">
      <c r="E366" s="103"/>
      <c r="F366" s="104"/>
      <c r="G366" s="104"/>
      <c r="H366" s="101"/>
      <c r="I366" s="101"/>
      <c r="J366" s="101"/>
    </row>
    <row r="367" spans="5:10">
      <c r="E367" s="103"/>
      <c r="F367" s="104"/>
      <c r="G367" s="104"/>
      <c r="H367" s="101"/>
      <c r="I367" s="101"/>
      <c r="J367" s="101"/>
    </row>
    <row r="368" spans="5:10">
      <c r="E368" s="103"/>
      <c r="F368" s="104"/>
      <c r="G368" s="104"/>
      <c r="H368" s="101"/>
      <c r="I368" s="101"/>
      <c r="J368" s="101"/>
    </row>
    <row r="369" spans="5:10">
      <c r="E369" s="103"/>
      <c r="F369" s="104"/>
      <c r="G369" s="104"/>
      <c r="H369" s="101"/>
      <c r="I369" s="101"/>
      <c r="J369" s="101"/>
    </row>
    <row r="370" spans="5:10">
      <c r="E370" s="103"/>
      <c r="F370" s="104"/>
      <c r="G370" s="104"/>
      <c r="H370" s="101"/>
      <c r="I370" s="101"/>
      <c r="J370" s="101"/>
    </row>
    <row r="371" spans="5:10">
      <c r="E371" s="103"/>
      <c r="F371" s="104"/>
      <c r="G371" s="104"/>
      <c r="H371" s="101"/>
      <c r="I371" s="101"/>
      <c r="J371" s="101"/>
    </row>
    <row r="372" spans="5:10">
      <c r="E372" s="103"/>
      <c r="F372" s="104"/>
      <c r="G372" s="104"/>
      <c r="H372" s="101"/>
      <c r="I372" s="101"/>
      <c r="J372" s="101"/>
    </row>
    <row r="373" spans="5:10">
      <c r="E373" s="103"/>
      <c r="F373" s="104"/>
      <c r="G373" s="104"/>
      <c r="H373" s="101"/>
      <c r="I373" s="101"/>
      <c r="J373" s="101"/>
    </row>
    <row r="374" spans="5:10">
      <c r="E374" s="103"/>
      <c r="F374" s="104"/>
      <c r="G374" s="104"/>
      <c r="H374" s="101"/>
      <c r="I374" s="101"/>
      <c r="J374" s="101"/>
    </row>
    <row r="375" spans="5:10">
      <c r="E375" s="103"/>
      <c r="F375" s="104"/>
      <c r="G375" s="104"/>
      <c r="H375" s="101"/>
      <c r="I375" s="101"/>
      <c r="J375" s="101"/>
    </row>
    <row r="376" spans="5:10">
      <c r="E376" s="103"/>
      <c r="F376" s="104"/>
      <c r="G376" s="104"/>
      <c r="H376" s="101"/>
      <c r="I376" s="101"/>
      <c r="J376" s="101"/>
    </row>
    <row r="377" spans="5:10">
      <c r="E377" s="103"/>
      <c r="F377" s="104"/>
      <c r="G377" s="104"/>
      <c r="H377" s="101"/>
      <c r="I377" s="101"/>
      <c r="J377" s="101"/>
    </row>
    <row r="378" spans="5:10">
      <c r="E378" s="103"/>
      <c r="F378" s="104"/>
      <c r="G378" s="104"/>
      <c r="H378" s="101"/>
      <c r="I378" s="101"/>
      <c r="J378" s="101"/>
    </row>
    <row r="379" spans="5:10">
      <c r="E379" s="103"/>
      <c r="F379" s="104"/>
      <c r="G379" s="104"/>
      <c r="H379" s="101"/>
      <c r="I379" s="101"/>
      <c r="J379" s="101"/>
    </row>
    <row r="380" spans="5:10">
      <c r="E380" s="103"/>
      <c r="F380" s="104"/>
      <c r="G380" s="104"/>
      <c r="H380" s="101"/>
      <c r="I380" s="101"/>
      <c r="J380" s="101"/>
    </row>
    <row r="381" spans="5:10">
      <c r="E381" s="103"/>
      <c r="F381" s="104"/>
      <c r="G381" s="104"/>
      <c r="H381" s="101"/>
      <c r="I381" s="101"/>
      <c r="J381" s="101"/>
    </row>
    <row r="382" spans="5:10">
      <c r="E382" s="103"/>
      <c r="F382" s="104"/>
      <c r="G382" s="104"/>
      <c r="H382" s="101"/>
      <c r="I382" s="101"/>
      <c r="J382" s="101"/>
    </row>
    <row r="383" spans="5:10">
      <c r="E383" s="103"/>
      <c r="F383" s="104"/>
      <c r="G383" s="104"/>
      <c r="H383" s="101"/>
      <c r="I383" s="101"/>
      <c r="J383" s="101"/>
    </row>
    <row r="384" spans="5:10">
      <c r="E384" s="103"/>
      <c r="F384" s="104"/>
      <c r="G384" s="104"/>
      <c r="H384" s="101"/>
      <c r="I384" s="101"/>
      <c r="J384" s="101"/>
    </row>
    <row r="385" spans="5:10">
      <c r="E385" s="103"/>
      <c r="F385" s="104"/>
      <c r="G385" s="104"/>
      <c r="H385" s="101"/>
      <c r="I385" s="101"/>
      <c r="J385" s="101"/>
    </row>
    <row r="386" spans="5:10">
      <c r="E386" s="103"/>
      <c r="F386" s="104"/>
      <c r="G386" s="104"/>
      <c r="H386" s="101"/>
      <c r="I386" s="101"/>
      <c r="J386" s="101"/>
    </row>
    <row r="387" spans="5:10">
      <c r="E387" s="103"/>
      <c r="F387" s="104"/>
      <c r="G387" s="104"/>
      <c r="H387" s="101"/>
      <c r="I387" s="101"/>
      <c r="J387" s="101"/>
    </row>
    <row r="388" spans="5:10">
      <c r="E388" s="103"/>
      <c r="F388" s="104"/>
      <c r="G388" s="104"/>
      <c r="H388" s="101"/>
      <c r="I388" s="101"/>
      <c r="J388" s="101"/>
    </row>
    <row r="389" spans="5:10">
      <c r="E389" s="103"/>
      <c r="F389" s="104"/>
      <c r="G389" s="104"/>
      <c r="H389" s="101"/>
      <c r="I389" s="101"/>
      <c r="J389" s="101"/>
    </row>
    <row r="390" spans="5:10">
      <c r="E390" s="103"/>
      <c r="F390" s="104"/>
      <c r="G390" s="104"/>
      <c r="H390" s="101"/>
      <c r="I390" s="101"/>
      <c r="J390" s="101"/>
    </row>
    <row r="391" spans="5:10">
      <c r="E391" s="103"/>
      <c r="F391" s="104"/>
      <c r="G391" s="104"/>
      <c r="H391" s="101"/>
      <c r="I391" s="101"/>
      <c r="J391" s="101"/>
    </row>
    <row r="392" spans="5:10">
      <c r="E392" s="100"/>
    </row>
    <row r="393" spans="5:10">
      <c r="E393" s="100"/>
    </row>
    <row r="394" spans="5:10">
      <c r="E394" s="100"/>
    </row>
    <row r="395" spans="5:10">
      <c r="E395" s="100"/>
    </row>
    <row r="396" spans="5:10">
      <c r="E396" s="100"/>
    </row>
    <row r="397" spans="5:10">
      <c r="E397" s="100"/>
    </row>
    <row r="398" spans="5:10">
      <c r="E398" s="100"/>
    </row>
  </sheetData>
  <mergeCells count="13">
    <mergeCell ref="A1:J1"/>
    <mergeCell ref="C4:E4"/>
    <mergeCell ref="F4:H4"/>
    <mergeCell ref="I4:I5"/>
    <mergeCell ref="J4:J5"/>
    <mergeCell ref="A4:A5"/>
    <mergeCell ref="B4:B5"/>
    <mergeCell ref="J46:J47"/>
    <mergeCell ref="A46:A47"/>
    <mergeCell ref="B46:B47"/>
    <mergeCell ref="C46:E46"/>
    <mergeCell ref="F46:H46"/>
    <mergeCell ref="I46:I47"/>
  </mergeCells>
  <phoneticPr fontId="4" type="noConversion"/>
  <conditionalFormatting sqref="J1:J23 J25:J30 J32:J39 J49:J63 J65:J67 J76:J84 J86:J1048576 J41:J45">
    <cfRule type="cellIs" dxfId="49" priority="25" stopIfTrue="1" operator="equal">
      <formula>"显著"</formula>
    </cfRule>
    <cfRule type="cellIs" dxfId="48" priority="26" stopIfTrue="1" operator="equal">
      <formula>"关注"</formula>
    </cfRule>
  </conditionalFormatting>
  <conditionalFormatting sqref="J24">
    <cfRule type="cellIs" dxfId="47" priority="23" stopIfTrue="1" operator="equal">
      <formula>"显著"</formula>
    </cfRule>
    <cfRule type="cellIs" dxfId="46" priority="24" stopIfTrue="1" operator="equal">
      <formula>"关注"</formula>
    </cfRule>
  </conditionalFormatting>
  <conditionalFormatting sqref="J31">
    <cfRule type="cellIs" dxfId="45" priority="21" stopIfTrue="1" operator="equal">
      <formula>"显著"</formula>
    </cfRule>
    <cfRule type="cellIs" dxfId="44" priority="22" stopIfTrue="1" operator="equal">
      <formula>"关注"</formula>
    </cfRule>
  </conditionalFormatting>
  <conditionalFormatting sqref="A15:A16">
    <cfRule type="duplicateValues" dxfId="43" priority="20"/>
  </conditionalFormatting>
  <conditionalFormatting sqref="J46:J48">
    <cfRule type="cellIs" dxfId="42" priority="17" stopIfTrue="1" operator="equal">
      <formula>"显著"</formula>
    </cfRule>
    <cfRule type="cellIs" dxfId="41" priority="18" stopIfTrue="1" operator="equal">
      <formula>"关注"</formula>
    </cfRule>
  </conditionalFormatting>
  <conditionalFormatting sqref="J68">
    <cfRule type="cellIs" dxfId="40" priority="7" stopIfTrue="1" operator="equal">
      <formula>"显著"</formula>
    </cfRule>
    <cfRule type="cellIs" dxfId="39" priority="8" stopIfTrue="1" operator="equal">
      <formula>"关注"</formula>
    </cfRule>
  </conditionalFormatting>
  <conditionalFormatting sqref="J69:J74">
    <cfRule type="cellIs" dxfId="38" priority="11" stopIfTrue="1" operator="equal">
      <formula>"显著"</formula>
    </cfRule>
    <cfRule type="cellIs" dxfId="37" priority="12" stopIfTrue="1" operator="equal">
      <formula>"关注"</formula>
    </cfRule>
  </conditionalFormatting>
  <conditionalFormatting sqref="J64">
    <cfRule type="cellIs" dxfId="36" priority="9" stopIfTrue="1" operator="equal">
      <formula>"显著"</formula>
    </cfRule>
    <cfRule type="cellIs" dxfId="35" priority="10" stopIfTrue="1" operator="equal">
      <formula>"关注"</formula>
    </cfRule>
  </conditionalFormatting>
  <conditionalFormatting sqref="A87">
    <cfRule type="duplicateValues" dxfId="34" priority="13"/>
  </conditionalFormatting>
  <conditionalFormatting sqref="J75">
    <cfRule type="cellIs" dxfId="33" priority="4" stopIfTrue="1" operator="equal">
      <formula>"显著"</formula>
    </cfRule>
    <cfRule type="cellIs" dxfId="32" priority="5" stopIfTrue="1" operator="equal">
      <formula>"关注"</formula>
    </cfRule>
  </conditionalFormatting>
  <conditionalFormatting sqref="J85">
    <cfRule type="cellIs" dxfId="31" priority="2" stopIfTrue="1" operator="equal">
      <formula>"显著"</formula>
    </cfRule>
    <cfRule type="cellIs" dxfId="30" priority="3" stopIfTrue="1" operator="equal">
      <formula>"关注"</formula>
    </cfRule>
  </conditionalFormatting>
  <conditionalFormatting sqref="A86">
    <cfRule type="duplicateValues" dxfId="29" priority="1"/>
  </conditionalFormatting>
  <printOptions horizontalCentered="1" verticalCentered="1"/>
  <pageMargins left="0.43307086614173229" right="0.31496062992125984" top="0.43307086614173229" bottom="0.25" header="0.39370078740157483" footer="0.21"/>
  <pageSetup paperSize="9" scale="90" orientation="landscape" blackAndWhite="1" horizontalDpi="180" verticalDpi="18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92D050"/>
    <pageSetUpPr fitToPage="1"/>
  </sheetPr>
  <dimension ref="A1:M190"/>
  <sheetViews>
    <sheetView showZeros="0" workbookViewId="0">
      <pane xSplit="2" ySplit="6" topLeftCell="C163" activePane="bottomRight" state="frozen"/>
      <selection activeCell="B57" sqref="B57"/>
      <selection pane="topRight" activeCell="B57" sqref="B57"/>
      <selection pane="bottomLeft" activeCell="B57" sqref="B57"/>
      <selection pane="bottomRight" activeCell="L3" sqref="L3"/>
    </sheetView>
  </sheetViews>
  <sheetFormatPr defaultColWidth="9" defaultRowHeight="13.2"/>
  <cols>
    <col min="1" max="1" width="20.3984375" style="203" bestFit="1" customWidth="1"/>
    <col min="2" max="2" width="3.5" style="203" customWidth="1"/>
    <col min="3" max="4" width="12.19921875" style="203" customWidth="1"/>
    <col min="5" max="6" width="14" style="203" customWidth="1"/>
    <col min="7" max="7" width="10.69921875" style="203" customWidth="1"/>
    <col min="8" max="8" width="7.5" style="203" bestFit="1" customWidth="1"/>
    <col min="9" max="9" width="8.59765625" style="203" customWidth="1"/>
    <col min="10" max="10" width="15" style="203" customWidth="1"/>
    <col min="11" max="16384" width="9" style="203"/>
  </cols>
  <sheetData>
    <row r="1" spans="1:13">
      <c r="A1" s="1177" t="s">
        <v>711</v>
      </c>
      <c r="B1" s="1141"/>
      <c r="C1" s="1141"/>
      <c r="D1" s="1141"/>
      <c r="E1" s="1141"/>
      <c r="F1" s="1141"/>
      <c r="G1" s="1141"/>
      <c r="H1" s="1141"/>
      <c r="I1" s="1141"/>
      <c r="J1" s="1141"/>
    </row>
    <row r="2" spans="1:13" s="38" customFormat="1" ht="15" customHeight="1">
      <c r="A2" s="135" t="str">
        <f>CONCATENATE("客户名称：",参数!D3)</f>
        <v>客户名称：二锅头</v>
      </c>
      <c r="E2" s="440" t="str">
        <f>CONCATENATE("编制：",参数!D17)</f>
        <v>编制：张</v>
      </c>
      <c r="F2" s="440"/>
      <c r="G2" s="451"/>
      <c r="H2" s="135" t="str">
        <f ca="1">CONCATENATE("日期：",TEXT(NOW(),"yyyy.mm.dd"))</f>
        <v>日期：2025.11.06</v>
      </c>
      <c r="I2" s="135"/>
      <c r="J2" s="441"/>
      <c r="L2" s="441" t="s">
        <v>1847</v>
      </c>
    </row>
    <row r="3" spans="1:13" s="38" customFormat="1" ht="17.25" customHeight="1" thickBot="1">
      <c r="A3" s="135" t="str">
        <f>CONCATENATE("会计时点：",TEXT(参数!D12,"yyyy.mm.dd"))</f>
        <v>会计时点：2022.12.31</v>
      </c>
      <c r="E3" s="440" t="str">
        <f>CONCATENATE("复核：",参数!D18)</f>
        <v>复核：刘</v>
      </c>
      <c r="F3" s="440"/>
      <c r="G3" s="135"/>
      <c r="H3" s="440" t="s">
        <v>686</v>
      </c>
      <c r="I3" s="135"/>
      <c r="J3" s="440"/>
      <c r="L3" s="440" t="s">
        <v>708</v>
      </c>
    </row>
    <row r="4" spans="1:13">
      <c r="A4" s="1183" t="s">
        <v>1754</v>
      </c>
      <c r="B4" s="1188" t="s">
        <v>703</v>
      </c>
      <c r="C4" s="1156" t="s">
        <v>690</v>
      </c>
      <c r="D4" s="1157"/>
      <c r="E4" s="1156" t="s">
        <v>704</v>
      </c>
      <c r="F4" s="1157"/>
      <c r="G4" s="922" t="s">
        <v>692</v>
      </c>
      <c r="H4" s="922"/>
      <c r="I4" s="1185" t="s">
        <v>693</v>
      </c>
      <c r="J4" s="1185" t="s">
        <v>694</v>
      </c>
      <c r="K4" s="1178" t="s">
        <v>705</v>
      </c>
      <c r="L4" s="1142" t="s">
        <v>693</v>
      </c>
      <c r="M4" s="1180" t="s">
        <v>694</v>
      </c>
    </row>
    <row r="5" spans="1:13">
      <c r="A5" s="1184"/>
      <c r="B5" s="1189"/>
      <c r="C5" s="921" t="s">
        <v>706</v>
      </c>
      <c r="D5" s="921" t="s">
        <v>709</v>
      </c>
      <c r="E5" s="921" t="s">
        <v>707</v>
      </c>
      <c r="F5" s="921" t="s">
        <v>709</v>
      </c>
      <c r="G5" s="921" t="s">
        <v>695</v>
      </c>
      <c r="H5" s="921" t="s">
        <v>696</v>
      </c>
      <c r="I5" s="1186"/>
      <c r="J5" s="1186"/>
      <c r="K5" s="1179"/>
      <c r="L5" s="1143"/>
      <c r="M5" s="1181"/>
    </row>
    <row r="6" spans="1:13">
      <c r="A6" s="1184"/>
      <c r="B6" s="1189"/>
      <c r="C6" s="910" t="s">
        <v>1677</v>
      </c>
      <c r="D6" s="910" t="s">
        <v>56</v>
      </c>
      <c r="E6" s="910" t="s">
        <v>1668</v>
      </c>
      <c r="F6" s="910" t="s">
        <v>1670</v>
      </c>
      <c r="G6" s="910" t="s">
        <v>1672</v>
      </c>
      <c r="H6" s="910" t="s">
        <v>1674</v>
      </c>
      <c r="I6" s="1187"/>
      <c r="J6" s="1187"/>
      <c r="K6" s="910" t="s">
        <v>1755</v>
      </c>
      <c r="L6" s="1144"/>
      <c r="M6" s="1182"/>
    </row>
    <row r="7" spans="1:13" ht="13.95" customHeight="1">
      <c r="A7" s="938" t="str">
        <f>未审报表!A7</f>
        <v>流动资产：</v>
      </c>
      <c r="B7" s="460">
        <f>未审报表!B7</f>
        <v>1</v>
      </c>
      <c r="C7" s="458"/>
      <c r="D7" s="452"/>
      <c r="E7" s="452"/>
      <c r="F7" s="452"/>
      <c r="G7" s="453"/>
      <c r="H7" s="453"/>
      <c r="I7" s="453"/>
      <c r="J7" s="454"/>
      <c r="K7" s="928"/>
      <c r="L7" s="928"/>
      <c r="M7" s="929"/>
    </row>
    <row r="8" spans="1:13" ht="13.95" customHeight="1">
      <c r="A8" s="938" t="str">
        <f>未审报表!A8</f>
        <v>货币资金</v>
      </c>
      <c r="B8" s="460">
        <f>未审报表!B8</f>
        <v>2</v>
      </c>
      <c r="C8" s="405">
        <f>审定报表!D8</f>
        <v>645471.34999999928</v>
      </c>
      <c r="D8" s="916">
        <f>IF(AND(C8&lt;&gt;0,$C$127&lt;&gt;0),C8/$C$127,"")</f>
        <v>9.0250265640202873E-3</v>
      </c>
      <c r="E8" s="122">
        <f>审定报表!C8</f>
        <v>17053592.640000001</v>
      </c>
      <c r="F8" s="124">
        <f>IF(AND(E8&lt;&gt;0,$E$127&lt;&gt;0),E8/$E$127,"")</f>
        <v>0.13153140032440228</v>
      </c>
      <c r="G8" s="122">
        <f>E8-C8</f>
        <v>16408121.290000001</v>
      </c>
      <c r="H8" s="123">
        <f>IF(AND(C8=0,E8=0),"",IF(C8=0,100%,IF(E8=0,-100%,G8/C8)))</f>
        <v>25.420371159773428</v>
      </c>
      <c r="I8" s="187" t="str">
        <f>IF(H8="","",IF(OR(ABS(H8)&gt;=30%,ABS(G8)&gt;=$E$127*5%,ABS(G8)&gt;=已审PL分析!$E$42*10%),"显著",IF(ABS(H8)&gt;=10%,"关注","")))</f>
        <v>显著</v>
      </c>
      <c r="J8" s="455"/>
      <c r="K8" s="915">
        <f>IF(AND(D8="",F8=""),"",IF(D8="",F8,IF(F8="",-D8,F8-D8)))</f>
        <v>0.12250637376038198</v>
      </c>
      <c r="L8" s="914" t="str">
        <f>IF(K8="","",IF(ABS(K8)&gt;=30%,"显著",IF(ABS(K8)&gt;=10%,"关注","")))</f>
        <v>关注</v>
      </c>
      <c r="M8" s="930"/>
    </row>
    <row r="9" spans="1:13" ht="13.95" customHeight="1">
      <c r="A9" s="938" t="str">
        <f>未审报表!A9</f>
        <v>结算备付金*</v>
      </c>
      <c r="B9" s="460">
        <f>未审报表!B9</f>
        <v>3</v>
      </c>
      <c r="C9" s="405">
        <f>审定报表!D9</f>
        <v>0</v>
      </c>
      <c r="D9" s="916" t="str">
        <f t="shared" ref="D9:D72" si="0">IF(AND(C9&lt;&gt;0,$C$127&lt;&gt;0),C9/$C$127,"")</f>
        <v/>
      </c>
      <c r="E9" s="122">
        <f>审定报表!C9</f>
        <v>0</v>
      </c>
      <c r="F9" s="124" t="str">
        <f t="shared" ref="F9:F72" si="1">IF(AND(E9&lt;&gt;0,$E$127&lt;&gt;0),E9/$E$127,"")</f>
        <v/>
      </c>
      <c r="G9" s="122">
        <f t="shared" ref="G9:G72" si="2">E9-C9</f>
        <v>0</v>
      </c>
      <c r="H9" s="123" t="str">
        <f t="shared" ref="H9:H72" si="3">IF(AND(C9=0,E9=0),"",IF(C9=0,100%,IF(E9=0,-100%,G9/C9)))</f>
        <v/>
      </c>
      <c r="I9" s="187" t="str">
        <f>IF(H9="","",IF(OR(ABS(H9)&gt;=30%,ABS(G9)&gt;=$E$127*5%,ABS(G9)&gt;=已审PL分析!$E$42*10%),"显著",IF(ABS(H9)&gt;=10%,"关注","")))</f>
        <v/>
      </c>
      <c r="J9" s="455"/>
      <c r="K9" s="915" t="str">
        <f t="shared" ref="K9:K72" si="4">IF(AND(D9="",F9=""),"",IF(D9="",F9,IF(F9="",-D9,F9-D9)))</f>
        <v/>
      </c>
      <c r="L9" s="914" t="str">
        <f t="shared" ref="L9:L72" si="5">IF(K9="","",IF(ABS(K9)&gt;=30%,"显著",IF(ABS(K9)&gt;=10%,"关注","")))</f>
        <v/>
      </c>
      <c r="M9" s="930"/>
    </row>
    <row r="10" spans="1:13" ht="13.95" customHeight="1">
      <c r="A10" s="938" t="str">
        <f>未审报表!A10</f>
        <v>拆出资金原值*</v>
      </c>
      <c r="B10" s="460">
        <f>未审报表!B10</f>
        <v>4</v>
      </c>
      <c r="C10" s="405">
        <f>审定报表!D10</f>
        <v>0</v>
      </c>
      <c r="D10" s="916" t="str">
        <f t="shared" si="0"/>
        <v/>
      </c>
      <c r="E10" s="122">
        <f>审定报表!C10</f>
        <v>0</v>
      </c>
      <c r="F10" s="124" t="str">
        <f t="shared" si="1"/>
        <v/>
      </c>
      <c r="G10" s="122">
        <f t="shared" si="2"/>
        <v>0</v>
      </c>
      <c r="H10" s="123" t="str">
        <f t="shared" si="3"/>
        <v/>
      </c>
      <c r="I10" s="187" t="str">
        <f>IF(H10="","",IF(OR(ABS(H10)&gt;=30%,ABS(G10)&gt;=$E$127*5%,ABS(G10)&gt;=已审PL分析!$E$42*10%),"显著",IF(ABS(H10)&gt;=10%,"关注","")))</f>
        <v/>
      </c>
      <c r="J10" s="455"/>
      <c r="K10" s="915" t="str">
        <f t="shared" si="4"/>
        <v/>
      </c>
      <c r="L10" s="914" t="str">
        <f t="shared" si="5"/>
        <v/>
      </c>
      <c r="M10" s="930"/>
    </row>
    <row r="11" spans="1:13" ht="13.95" customHeight="1">
      <c r="A11" s="938" t="str">
        <f>未审报表!A11</f>
        <v>拆出资金减值准备*</v>
      </c>
      <c r="B11" s="460">
        <f>未审报表!B11</f>
        <v>5</v>
      </c>
      <c r="C11" s="405">
        <f>审定报表!D11</f>
        <v>0</v>
      </c>
      <c r="D11" s="916" t="str">
        <f t="shared" si="0"/>
        <v/>
      </c>
      <c r="E11" s="122">
        <f>审定报表!C11</f>
        <v>0</v>
      </c>
      <c r="F11" s="124" t="str">
        <f t="shared" si="1"/>
        <v/>
      </c>
      <c r="G11" s="122">
        <f t="shared" si="2"/>
        <v>0</v>
      </c>
      <c r="H11" s="123" t="str">
        <f t="shared" si="3"/>
        <v/>
      </c>
      <c r="I11" s="187" t="str">
        <f>IF(H11="","",IF(OR(ABS(H11)&gt;=30%,ABS(G11)&gt;=$E$127*5%,ABS(G11)&gt;=已审PL分析!$E$42*10%),"显著",IF(ABS(H11)&gt;=10%,"关注","")))</f>
        <v/>
      </c>
      <c r="J11" s="455"/>
      <c r="K11" s="915" t="str">
        <f t="shared" si="4"/>
        <v/>
      </c>
      <c r="L11" s="914" t="str">
        <f t="shared" si="5"/>
        <v/>
      </c>
      <c r="M11" s="930"/>
    </row>
    <row r="12" spans="1:13" ht="13.95" customHeight="1">
      <c r="A12" s="938" t="str">
        <f>未审报表!A12</f>
        <v>拆出资金*</v>
      </c>
      <c r="B12" s="460">
        <f>未审报表!B12</f>
        <v>6</v>
      </c>
      <c r="C12" s="405">
        <f>审定报表!D12</f>
        <v>0</v>
      </c>
      <c r="D12" s="916" t="str">
        <f t="shared" si="0"/>
        <v/>
      </c>
      <c r="E12" s="122">
        <f>审定报表!C12</f>
        <v>0</v>
      </c>
      <c r="F12" s="124" t="str">
        <f t="shared" si="1"/>
        <v/>
      </c>
      <c r="G12" s="122">
        <f t="shared" si="2"/>
        <v>0</v>
      </c>
      <c r="H12" s="123" t="str">
        <f t="shared" si="3"/>
        <v/>
      </c>
      <c r="I12" s="187" t="str">
        <f>IF(H12="","",IF(OR(ABS(H12)&gt;=30%,ABS(G12)&gt;=$E$127*5%,ABS(G12)&gt;=已审PL分析!$E$42*10%),"显著",IF(ABS(H12)&gt;=10%,"关注","")))</f>
        <v/>
      </c>
      <c r="J12" s="455"/>
      <c r="K12" s="915" t="str">
        <f t="shared" si="4"/>
        <v/>
      </c>
      <c r="L12" s="914" t="str">
        <f t="shared" si="5"/>
        <v/>
      </c>
      <c r="M12" s="930"/>
    </row>
    <row r="13" spans="1:13" ht="13.95" customHeight="1">
      <c r="A13" s="938" t="str">
        <f>未审报表!A13</f>
        <v>交易性金融资产</v>
      </c>
      <c r="B13" s="460">
        <f>未审报表!B13</f>
        <v>7</v>
      </c>
      <c r="C13" s="405">
        <f>审定报表!D13</f>
        <v>0</v>
      </c>
      <c r="D13" s="916" t="str">
        <f t="shared" si="0"/>
        <v/>
      </c>
      <c r="E13" s="122">
        <f>审定报表!C13</f>
        <v>0</v>
      </c>
      <c r="F13" s="124" t="str">
        <f t="shared" si="1"/>
        <v/>
      </c>
      <c r="G13" s="122">
        <f t="shared" si="2"/>
        <v>0</v>
      </c>
      <c r="H13" s="123" t="str">
        <f t="shared" si="3"/>
        <v/>
      </c>
      <c r="I13" s="187" t="str">
        <f>IF(H13="","",IF(OR(ABS(H13)&gt;=30%,ABS(G13)&gt;=$E$127*5%,ABS(G13)&gt;=已审PL分析!$E$42*10%),"显著",IF(ABS(H13)&gt;=10%,"关注","")))</f>
        <v/>
      </c>
      <c r="J13" s="455"/>
      <c r="K13" s="915" t="str">
        <f t="shared" si="4"/>
        <v/>
      </c>
      <c r="L13" s="914" t="str">
        <f t="shared" si="5"/>
        <v/>
      </c>
      <c r="M13" s="930"/>
    </row>
    <row r="14" spans="1:13" ht="13.95" customHeight="1">
      <c r="A14" s="938" t="str">
        <f>未审报表!A14</f>
        <v>衍生金融资产</v>
      </c>
      <c r="B14" s="460">
        <f>未审报表!B14</f>
        <v>8</v>
      </c>
      <c r="C14" s="405">
        <f>审定报表!D14</f>
        <v>0</v>
      </c>
      <c r="D14" s="916" t="str">
        <f t="shared" si="0"/>
        <v/>
      </c>
      <c r="E14" s="122">
        <f>审定报表!C14</f>
        <v>0</v>
      </c>
      <c r="F14" s="124" t="str">
        <f t="shared" si="1"/>
        <v/>
      </c>
      <c r="G14" s="122">
        <f t="shared" si="2"/>
        <v>0</v>
      </c>
      <c r="H14" s="123" t="str">
        <f t="shared" si="3"/>
        <v/>
      </c>
      <c r="I14" s="187" t="str">
        <f>IF(H14="","",IF(OR(ABS(H14)&gt;=30%,ABS(G14)&gt;=$E$127*5%,ABS(G14)&gt;=已审PL分析!$E$42*10%),"显著",IF(ABS(H14)&gt;=10%,"关注","")))</f>
        <v/>
      </c>
      <c r="J14" s="455"/>
      <c r="K14" s="915" t="str">
        <f t="shared" si="4"/>
        <v/>
      </c>
      <c r="L14" s="914" t="str">
        <f t="shared" si="5"/>
        <v/>
      </c>
      <c r="M14" s="930"/>
    </row>
    <row r="15" spans="1:13" ht="13.95" customHeight="1">
      <c r="A15" s="938" t="str">
        <f>未审报表!A15</f>
        <v>应收票据原值</v>
      </c>
      <c r="B15" s="460">
        <f>未审报表!B15</f>
        <v>9</v>
      </c>
      <c r="C15" s="405">
        <f>审定报表!D15</f>
        <v>0</v>
      </c>
      <c r="D15" s="916" t="str">
        <f t="shared" si="0"/>
        <v/>
      </c>
      <c r="E15" s="122">
        <f>审定报表!C15</f>
        <v>0</v>
      </c>
      <c r="F15" s="124" t="str">
        <f t="shared" si="1"/>
        <v/>
      </c>
      <c r="G15" s="122">
        <f t="shared" si="2"/>
        <v>0</v>
      </c>
      <c r="H15" s="123" t="str">
        <f t="shared" si="3"/>
        <v/>
      </c>
      <c r="I15" s="187" t="str">
        <f>IF(H15="","",IF(OR(ABS(H15)&gt;=30%,ABS(G15)&gt;=$E$127*5%,ABS(G15)&gt;=已审PL分析!$E$42*10%),"显著",IF(ABS(H15)&gt;=10%,"关注","")))</f>
        <v/>
      </c>
      <c r="J15" s="455"/>
      <c r="K15" s="915" t="str">
        <f t="shared" si="4"/>
        <v/>
      </c>
      <c r="L15" s="914" t="str">
        <f t="shared" si="5"/>
        <v/>
      </c>
      <c r="M15" s="930"/>
    </row>
    <row r="16" spans="1:13" ht="13.95" customHeight="1">
      <c r="A16" s="938" t="str">
        <f>未审报表!A16</f>
        <v>应收票据坏账准备</v>
      </c>
      <c r="B16" s="460">
        <f>未审报表!B16</f>
        <v>10</v>
      </c>
      <c r="C16" s="405">
        <f>审定报表!D16</f>
        <v>0</v>
      </c>
      <c r="D16" s="916" t="str">
        <f t="shared" si="0"/>
        <v/>
      </c>
      <c r="E16" s="122">
        <f>审定报表!C16</f>
        <v>0</v>
      </c>
      <c r="F16" s="124" t="str">
        <f t="shared" si="1"/>
        <v/>
      </c>
      <c r="G16" s="122">
        <f t="shared" si="2"/>
        <v>0</v>
      </c>
      <c r="H16" s="123" t="str">
        <f t="shared" si="3"/>
        <v/>
      </c>
      <c r="I16" s="187" t="str">
        <f>IF(H16="","",IF(OR(ABS(H16)&gt;=30%,ABS(G16)&gt;=$E$127*5%,ABS(G16)&gt;=已审PL分析!$E$42*10%),"显著",IF(ABS(H16)&gt;=10%,"关注","")))</f>
        <v/>
      </c>
      <c r="J16" s="455"/>
      <c r="K16" s="915" t="str">
        <f t="shared" si="4"/>
        <v/>
      </c>
      <c r="L16" s="914" t="str">
        <f t="shared" si="5"/>
        <v/>
      </c>
      <c r="M16" s="930"/>
    </row>
    <row r="17" spans="1:13" ht="13.95" customHeight="1">
      <c r="A17" s="938" t="str">
        <f>未审报表!A17</f>
        <v>应收票据</v>
      </c>
      <c r="B17" s="460">
        <f>未审报表!B17</f>
        <v>11</v>
      </c>
      <c r="C17" s="405">
        <f>审定报表!D17</f>
        <v>0</v>
      </c>
      <c r="D17" s="916" t="str">
        <f t="shared" si="0"/>
        <v/>
      </c>
      <c r="E17" s="122">
        <f>审定报表!C17</f>
        <v>0</v>
      </c>
      <c r="F17" s="124" t="str">
        <f t="shared" si="1"/>
        <v/>
      </c>
      <c r="G17" s="122">
        <f t="shared" si="2"/>
        <v>0</v>
      </c>
      <c r="H17" s="123" t="str">
        <f t="shared" si="3"/>
        <v/>
      </c>
      <c r="I17" s="187" t="str">
        <f>IF(H17="","",IF(OR(ABS(H17)&gt;=30%,ABS(G17)&gt;=$E$127*5%,ABS(G17)&gt;=已审PL分析!$E$42*10%),"显著",IF(ABS(H17)&gt;=10%,"关注","")))</f>
        <v/>
      </c>
      <c r="J17" s="455"/>
      <c r="K17" s="915" t="str">
        <f t="shared" si="4"/>
        <v/>
      </c>
      <c r="L17" s="914" t="str">
        <f t="shared" si="5"/>
        <v/>
      </c>
      <c r="M17" s="930"/>
    </row>
    <row r="18" spans="1:13" ht="13.95" customHeight="1">
      <c r="A18" s="938" t="str">
        <f>未审报表!A18</f>
        <v>应收账款原值</v>
      </c>
      <c r="B18" s="460">
        <f>未审报表!B18</f>
        <v>12</v>
      </c>
      <c r="C18" s="405">
        <f>审定报表!D18</f>
        <v>16718591.219999999</v>
      </c>
      <c r="D18" s="916">
        <f t="shared" si="0"/>
        <v>0.23376053774268446</v>
      </c>
      <c r="E18" s="122">
        <f>审定报表!C18</f>
        <v>19311878</v>
      </c>
      <c r="F18" s="124">
        <f t="shared" si="1"/>
        <v>0.1489491633731212</v>
      </c>
      <c r="G18" s="122">
        <f t="shared" si="2"/>
        <v>2593286.7800000012</v>
      </c>
      <c r="H18" s="123">
        <f t="shared" si="3"/>
        <v>0.15511395343512691</v>
      </c>
      <c r="I18" s="187" t="str">
        <f>IF(H18="","",IF(OR(ABS(H18)&gt;=30%,ABS(G18)&gt;=$E$127*5%,ABS(G18)&gt;=已审PL分析!$E$42*10%),"显著",IF(ABS(H18)&gt;=10%,"关注","")))</f>
        <v>关注</v>
      </c>
      <c r="J18" s="455"/>
      <c r="K18" s="915">
        <f t="shared" si="4"/>
        <v>-8.4811374369563264E-2</v>
      </c>
      <c r="L18" s="914" t="str">
        <f t="shared" si="5"/>
        <v/>
      </c>
      <c r="M18" s="930"/>
    </row>
    <row r="19" spans="1:13" ht="13.95" customHeight="1">
      <c r="A19" s="938" t="str">
        <f>未审报表!A19</f>
        <v>应收账款坏账准备</v>
      </c>
      <c r="B19" s="460">
        <f>未审报表!B19</f>
        <v>13</v>
      </c>
      <c r="C19" s="405">
        <f>审定报表!D19</f>
        <v>0</v>
      </c>
      <c r="D19" s="916" t="str">
        <f t="shared" si="0"/>
        <v/>
      </c>
      <c r="E19" s="122">
        <f>审定报表!C19</f>
        <v>1631167.34</v>
      </c>
      <c r="F19" s="124">
        <f t="shared" si="1"/>
        <v>1.2580910598884248E-2</v>
      </c>
      <c r="G19" s="122">
        <f t="shared" si="2"/>
        <v>1631167.34</v>
      </c>
      <c r="H19" s="123">
        <f t="shared" si="3"/>
        <v>1</v>
      </c>
      <c r="I19" s="187" t="str">
        <f>IF(H19="","",IF(OR(ABS(H19)&gt;=30%,ABS(G19)&gt;=$E$127*5%,ABS(G19)&gt;=已审PL分析!$E$42*10%),"显著",IF(ABS(H19)&gt;=10%,"关注","")))</f>
        <v>显著</v>
      </c>
      <c r="J19" s="455"/>
      <c r="K19" s="915">
        <f t="shared" si="4"/>
        <v>1.2580910598884248E-2</v>
      </c>
      <c r="L19" s="914" t="str">
        <f t="shared" si="5"/>
        <v/>
      </c>
      <c r="M19" s="930"/>
    </row>
    <row r="20" spans="1:13" ht="13.95" customHeight="1">
      <c r="A20" s="938" t="str">
        <f>未审报表!A20</f>
        <v>应收账款</v>
      </c>
      <c r="B20" s="460">
        <f>未审报表!B20</f>
        <v>14</v>
      </c>
      <c r="C20" s="405">
        <f>审定报表!D20</f>
        <v>16718591.219999999</v>
      </c>
      <c r="D20" s="916">
        <f t="shared" si="0"/>
        <v>0.23376053774268446</v>
      </c>
      <c r="E20" s="122">
        <f>审定报表!C20</f>
        <v>17680710.66</v>
      </c>
      <c r="F20" s="124">
        <f t="shared" si="1"/>
        <v>0.13636825277423695</v>
      </c>
      <c r="G20" s="122">
        <f t="shared" si="2"/>
        <v>962119.44000000134</v>
      </c>
      <c r="H20" s="123">
        <f t="shared" si="3"/>
        <v>5.7547877529838989E-2</v>
      </c>
      <c r="I20" s="187" t="str">
        <f>IF(H20="","",IF(OR(ABS(H20)&gt;=30%,ABS(G20)&gt;=$E$127*5%,ABS(G20)&gt;=已审PL分析!$E$42*10%),"显著",IF(ABS(H20)&gt;=10%,"关注","")))</f>
        <v/>
      </c>
      <c r="J20" s="455"/>
      <c r="K20" s="915">
        <f t="shared" si="4"/>
        <v>-9.7392284968447512E-2</v>
      </c>
      <c r="L20" s="914" t="str">
        <f t="shared" si="5"/>
        <v/>
      </c>
      <c r="M20" s="930"/>
    </row>
    <row r="21" spans="1:13" ht="13.95" customHeight="1">
      <c r="A21" s="938" t="str">
        <f>未审报表!A21</f>
        <v>应收款项融资原值</v>
      </c>
      <c r="B21" s="460">
        <f>未审报表!B21</f>
        <v>15</v>
      </c>
      <c r="C21" s="405">
        <f>审定报表!D21</f>
        <v>0</v>
      </c>
      <c r="D21" s="916" t="str">
        <f t="shared" si="0"/>
        <v/>
      </c>
      <c r="E21" s="122">
        <f>审定报表!C21</f>
        <v>0</v>
      </c>
      <c r="F21" s="124" t="str">
        <f t="shared" si="1"/>
        <v/>
      </c>
      <c r="G21" s="122">
        <f t="shared" si="2"/>
        <v>0</v>
      </c>
      <c r="H21" s="123" t="str">
        <f t="shared" si="3"/>
        <v/>
      </c>
      <c r="I21" s="187" t="str">
        <f>IF(H21="","",IF(OR(ABS(H21)&gt;=30%,ABS(G21)&gt;=$E$127*5%,ABS(G21)&gt;=已审PL分析!$E$42*10%),"显著",IF(ABS(H21)&gt;=10%,"关注","")))</f>
        <v/>
      </c>
      <c r="J21" s="455"/>
      <c r="K21" s="915" t="str">
        <f t="shared" si="4"/>
        <v/>
      </c>
      <c r="L21" s="914" t="str">
        <f t="shared" si="5"/>
        <v/>
      </c>
      <c r="M21" s="930"/>
    </row>
    <row r="22" spans="1:13" ht="13.95" customHeight="1">
      <c r="A22" s="938" t="str">
        <f>未审报表!A22</f>
        <v>应收款项融资坏账准备</v>
      </c>
      <c r="B22" s="460">
        <f>未审报表!B22</f>
        <v>16</v>
      </c>
      <c r="C22" s="405">
        <f>审定报表!D22</f>
        <v>0</v>
      </c>
      <c r="D22" s="916" t="str">
        <f t="shared" si="0"/>
        <v/>
      </c>
      <c r="E22" s="122">
        <f>审定报表!C22</f>
        <v>0</v>
      </c>
      <c r="F22" s="124" t="str">
        <f t="shared" si="1"/>
        <v/>
      </c>
      <c r="G22" s="122">
        <f t="shared" si="2"/>
        <v>0</v>
      </c>
      <c r="H22" s="123" t="str">
        <f t="shared" si="3"/>
        <v/>
      </c>
      <c r="I22" s="187" t="str">
        <f>IF(H22="","",IF(OR(ABS(H22)&gt;=30%,ABS(G22)&gt;=$E$127*5%,ABS(G22)&gt;=已审PL分析!$E$42*10%),"显著",IF(ABS(H22)&gt;=10%,"关注","")))</f>
        <v/>
      </c>
      <c r="J22" s="455"/>
      <c r="K22" s="915" t="str">
        <f t="shared" si="4"/>
        <v/>
      </c>
      <c r="L22" s="914" t="str">
        <f t="shared" si="5"/>
        <v/>
      </c>
      <c r="M22" s="930"/>
    </row>
    <row r="23" spans="1:13" ht="13.95" customHeight="1">
      <c r="A23" s="938" t="str">
        <f>未审报表!A23</f>
        <v>应收款项融资</v>
      </c>
      <c r="B23" s="460">
        <f>未审报表!B23</f>
        <v>17</v>
      </c>
      <c r="C23" s="405">
        <f>审定报表!D23</f>
        <v>0</v>
      </c>
      <c r="D23" s="916" t="str">
        <f t="shared" si="0"/>
        <v/>
      </c>
      <c r="E23" s="122">
        <f>审定报表!C23</f>
        <v>0</v>
      </c>
      <c r="F23" s="124" t="str">
        <f t="shared" si="1"/>
        <v/>
      </c>
      <c r="G23" s="122">
        <f t="shared" si="2"/>
        <v>0</v>
      </c>
      <c r="H23" s="123" t="str">
        <f t="shared" si="3"/>
        <v/>
      </c>
      <c r="I23" s="187" t="str">
        <f>IF(H23="","",IF(OR(ABS(H23)&gt;=30%,ABS(G23)&gt;=$E$127*5%,ABS(G23)&gt;=已审PL分析!$E$42*10%),"显著",IF(ABS(H23)&gt;=10%,"关注","")))</f>
        <v/>
      </c>
      <c r="J23" s="455"/>
      <c r="K23" s="915" t="str">
        <f t="shared" si="4"/>
        <v/>
      </c>
      <c r="L23" s="914" t="str">
        <f t="shared" si="5"/>
        <v/>
      </c>
      <c r="M23" s="930"/>
    </row>
    <row r="24" spans="1:13" ht="13.95" customHeight="1">
      <c r="A24" s="938" t="str">
        <f>未审报表!A24</f>
        <v>预付款项原值</v>
      </c>
      <c r="B24" s="460">
        <f>未审报表!B24</f>
        <v>18</v>
      </c>
      <c r="C24" s="405">
        <f>审定报表!D24</f>
        <v>1584.26</v>
      </c>
      <c r="D24" s="916">
        <f t="shared" si="0"/>
        <v>2.2151236587518245E-5</v>
      </c>
      <c r="E24" s="122">
        <f>审定报表!C24</f>
        <v>574623.4</v>
      </c>
      <c r="F24" s="124">
        <f t="shared" si="1"/>
        <v>4.4319705563911687E-3</v>
      </c>
      <c r="G24" s="122">
        <f t="shared" si="2"/>
        <v>573039.14</v>
      </c>
      <c r="H24" s="123">
        <f t="shared" si="3"/>
        <v>361.70776261472236</v>
      </c>
      <c r="I24" s="187" t="str">
        <f>IF(H24="","",IF(OR(ABS(H24)&gt;=30%,ABS(G24)&gt;=$E$127*5%,ABS(G24)&gt;=已审PL分析!$E$42*10%),"显著",IF(ABS(H24)&gt;=10%,"关注","")))</f>
        <v>显著</v>
      </c>
      <c r="J24" s="455"/>
      <c r="K24" s="915">
        <f t="shared" si="4"/>
        <v>4.4098193198036503E-3</v>
      </c>
      <c r="L24" s="914" t="str">
        <f t="shared" si="5"/>
        <v/>
      </c>
      <c r="M24" s="930"/>
    </row>
    <row r="25" spans="1:13" ht="13.95" customHeight="1">
      <c r="A25" s="938" t="str">
        <f>未审报表!A25</f>
        <v>预付款项坏账准备</v>
      </c>
      <c r="B25" s="460">
        <f>未审报表!B25</f>
        <v>19</v>
      </c>
      <c r="C25" s="405">
        <f>审定报表!D25</f>
        <v>0</v>
      </c>
      <c r="D25" s="916" t="str">
        <f t="shared" si="0"/>
        <v/>
      </c>
      <c r="E25" s="122">
        <f>审定报表!C25</f>
        <v>0</v>
      </c>
      <c r="F25" s="124" t="str">
        <f t="shared" si="1"/>
        <v/>
      </c>
      <c r="G25" s="122">
        <f t="shared" si="2"/>
        <v>0</v>
      </c>
      <c r="H25" s="123" t="str">
        <f t="shared" si="3"/>
        <v/>
      </c>
      <c r="I25" s="187" t="str">
        <f>IF(H25="","",IF(OR(ABS(H25)&gt;=30%,ABS(G25)&gt;=$E$127*5%,ABS(G25)&gt;=已审PL分析!$E$42*10%),"显著",IF(ABS(H25)&gt;=10%,"关注","")))</f>
        <v/>
      </c>
      <c r="J25" s="456"/>
      <c r="K25" s="915" t="str">
        <f t="shared" si="4"/>
        <v/>
      </c>
      <c r="L25" s="914" t="str">
        <f t="shared" si="5"/>
        <v/>
      </c>
      <c r="M25" s="930"/>
    </row>
    <row r="26" spans="1:13" ht="13.95" customHeight="1">
      <c r="A26" s="938" t="str">
        <f>未审报表!A26</f>
        <v>预付款项</v>
      </c>
      <c r="B26" s="460">
        <f>未审报表!B26</f>
        <v>20</v>
      </c>
      <c r="C26" s="405">
        <f>审定报表!D26</f>
        <v>1584.26</v>
      </c>
      <c r="D26" s="916">
        <f t="shared" si="0"/>
        <v>2.2151236587518245E-5</v>
      </c>
      <c r="E26" s="122">
        <f>审定报表!C26</f>
        <v>574623.4</v>
      </c>
      <c r="F26" s="124">
        <f t="shared" si="1"/>
        <v>4.4319705563911687E-3</v>
      </c>
      <c r="G26" s="122">
        <f t="shared" si="2"/>
        <v>573039.14</v>
      </c>
      <c r="H26" s="123">
        <f t="shared" si="3"/>
        <v>361.70776261472236</v>
      </c>
      <c r="I26" s="187" t="str">
        <f>IF(H26="","",IF(OR(ABS(H26)&gt;=30%,ABS(G26)&gt;=$E$127*5%,ABS(G26)&gt;=已审PL分析!$E$42*10%),"显著",IF(ABS(H26)&gt;=10%,"关注","")))</f>
        <v>显著</v>
      </c>
      <c r="J26" s="457"/>
      <c r="K26" s="915">
        <f t="shared" si="4"/>
        <v>4.4098193198036503E-3</v>
      </c>
      <c r="L26" s="914" t="str">
        <f t="shared" si="5"/>
        <v/>
      </c>
      <c r="M26" s="930"/>
    </row>
    <row r="27" spans="1:13" ht="13.95" customHeight="1">
      <c r="A27" s="938" t="str">
        <f>未审报表!A27</f>
        <v>应收保费原值*</v>
      </c>
      <c r="B27" s="460">
        <f>未审报表!B27</f>
        <v>21</v>
      </c>
      <c r="C27" s="405">
        <f>审定报表!D27</f>
        <v>0</v>
      </c>
      <c r="D27" s="916" t="str">
        <f t="shared" si="0"/>
        <v/>
      </c>
      <c r="E27" s="122">
        <f>审定报表!C27</f>
        <v>0</v>
      </c>
      <c r="F27" s="124" t="str">
        <f t="shared" si="1"/>
        <v/>
      </c>
      <c r="G27" s="122">
        <f t="shared" si="2"/>
        <v>0</v>
      </c>
      <c r="H27" s="123" t="str">
        <f t="shared" si="3"/>
        <v/>
      </c>
      <c r="I27" s="187" t="str">
        <f>IF(H27="","",IF(OR(ABS(H27)&gt;=30%,ABS(G27)&gt;=$E$127*5%,ABS(G27)&gt;=已审PL分析!$E$42*10%),"显著",IF(ABS(H27)&gt;=10%,"关注","")))</f>
        <v/>
      </c>
      <c r="J27" s="455"/>
      <c r="K27" s="915" t="str">
        <f t="shared" si="4"/>
        <v/>
      </c>
      <c r="L27" s="914" t="str">
        <f t="shared" si="5"/>
        <v/>
      </c>
      <c r="M27" s="930"/>
    </row>
    <row r="28" spans="1:13" ht="13.95" customHeight="1">
      <c r="A28" s="938" t="str">
        <f>未审报表!A28</f>
        <v>应收保费坏账准备*</v>
      </c>
      <c r="B28" s="460">
        <f>未审报表!B28</f>
        <v>22</v>
      </c>
      <c r="C28" s="405">
        <f>审定报表!D28</f>
        <v>0</v>
      </c>
      <c r="D28" s="916" t="str">
        <f t="shared" si="0"/>
        <v/>
      </c>
      <c r="E28" s="122">
        <f>审定报表!C28</f>
        <v>0</v>
      </c>
      <c r="F28" s="124" t="str">
        <f t="shared" si="1"/>
        <v/>
      </c>
      <c r="G28" s="122">
        <f t="shared" si="2"/>
        <v>0</v>
      </c>
      <c r="H28" s="123" t="str">
        <f t="shared" si="3"/>
        <v/>
      </c>
      <c r="I28" s="187" t="str">
        <f>IF(H28="","",IF(OR(ABS(H28)&gt;=30%,ABS(G28)&gt;=$E$127*5%,ABS(G28)&gt;=已审PL分析!$E$42*10%),"显著",IF(ABS(H28)&gt;=10%,"关注","")))</f>
        <v/>
      </c>
      <c r="J28" s="455"/>
      <c r="K28" s="915" t="str">
        <f t="shared" si="4"/>
        <v/>
      </c>
      <c r="L28" s="914" t="str">
        <f t="shared" si="5"/>
        <v/>
      </c>
      <c r="M28" s="930"/>
    </row>
    <row r="29" spans="1:13" ht="13.95" customHeight="1">
      <c r="A29" s="938" t="str">
        <f>未审报表!A29</f>
        <v>应收保费*</v>
      </c>
      <c r="B29" s="460">
        <f>未审报表!B29</f>
        <v>23</v>
      </c>
      <c r="C29" s="405">
        <f>审定报表!D29</f>
        <v>0</v>
      </c>
      <c r="D29" s="916" t="str">
        <f t="shared" si="0"/>
        <v/>
      </c>
      <c r="E29" s="122">
        <f>审定报表!C29</f>
        <v>0</v>
      </c>
      <c r="F29" s="124" t="str">
        <f t="shared" si="1"/>
        <v/>
      </c>
      <c r="G29" s="122">
        <f t="shared" si="2"/>
        <v>0</v>
      </c>
      <c r="H29" s="123" t="str">
        <f t="shared" si="3"/>
        <v/>
      </c>
      <c r="I29" s="187" t="str">
        <f>IF(H29="","",IF(OR(ABS(H29)&gt;=30%,ABS(G29)&gt;=$E$127*5%,ABS(G29)&gt;=已审PL分析!$E$42*10%),"显著",IF(ABS(H29)&gt;=10%,"关注","")))</f>
        <v/>
      </c>
      <c r="J29" s="455"/>
      <c r="K29" s="915" t="str">
        <f t="shared" si="4"/>
        <v/>
      </c>
      <c r="L29" s="914" t="str">
        <f t="shared" si="5"/>
        <v/>
      </c>
      <c r="M29" s="930"/>
    </row>
    <row r="30" spans="1:13" ht="13.95" customHeight="1">
      <c r="A30" s="938" t="str">
        <f>未审报表!A30</f>
        <v>应收分保账款原值*</v>
      </c>
      <c r="B30" s="460">
        <f>未审报表!B30</f>
        <v>24</v>
      </c>
      <c r="C30" s="405">
        <f>审定报表!D30</f>
        <v>0</v>
      </c>
      <c r="D30" s="916" t="str">
        <f t="shared" si="0"/>
        <v/>
      </c>
      <c r="E30" s="122">
        <f>审定报表!C30</f>
        <v>0</v>
      </c>
      <c r="F30" s="124" t="str">
        <f t="shared" si="1"/>
        <v/>
      </c>
      <c r="G30" s="122">
        <f t="shared" si="2"/>
        <v>0</v>
      </c>
      <c r="H30" s="123" t="str">
        <f t="shared" si="3"/>
        <v/>
      </c>
      <c r="I30" s="187" t="str">
        <f>IF(H30="","",IF(OR(ABS(H30)&gt;=30%,ABS(G30)&gt;=$E$127*5%,ABS(G30)&gt;=已审PL分析!$E$42*10%),"显著",IF(ABS(H30)&gt;=10%,"关注","")))</f>
        <v/>
      </c>
      <c r="J30" s="455"/>
      <c r="K30" s="915" t="str">
        <f t="shared" si="4"/>
        <v/>
      </c>
      <c r="L30" s="914" t="str">
        <f t="shared" si="5"/>
        <v/>
      </c>
      <c r="M30" s="930"/>
    </row>
    <row r="31" spans="1:13" ht="13.95" customHeight="1">
      <c r="A31" s="938" t="str">
        <f>未审报表!A31</f>
        <v>应收分保账款坏账准备*</v>
      </c>
      <c r="B31" s="460">
        <f>未审报表!B31</f>
        <v>25</v>
      </c>
      <c r="C31" s="405">
        <f>审定报表!D31</f>
        <v>0</v>
      </c>
      <c r="D31" s="916" t="str">
        <f t="shared" si="0"/>
        <v/>
      </c>
      <c r="E31" s="122">
        <f>审定报表!C31</f>
        <v>0</v>
      </c>
      <c r="F31" s="124" t="str">
        <f t="shared" si="1"/>
        <v/>
      </c>
      <c r="G31" s="122">
        <f t="shared" si="2"/>
        <v>0</v>
      </c>
      <c r="H31" s="123" t="str">
        <f t="shared" si="3"/>
        <v/>
      </c>
      <c r="I31" s="187" t="str">
        <f>IF(H31="","",IF(OR(ABS(H31)&gt;=30%,ABS(G31)&gt;=$E$127*5%,ABS(G31)&gt;=已审PL分析!$E$42*10%),"显著",IF(ABS(H31)&gt;=10%,"关注","")))</f>
        <v/>
      </c>
      <c r="J31" s="455"/>
      <c r="K31" s="915" t="str">
        <f t="shared" si="4"/>
        <v/>
      </c>
      <c r="L31" s="914" t="str">
        <f t="shared" si="5"/>
        <v/>
      </c>
      <c r="M31" s="930"/>
    </row>
    <row r="32" spans="1:13" ht="13.95" customHeight="1">
      <c r="A32" s="938" t="str">
        <f>未审报表!A32</f>
        <v>应收分保账款*</v>
      </c>
      <c r="B32" s="460">
        <f>未审报表!B32</f>
        <v>26</v>
      </c>
      <c r="C32" s="405">
        <f>审定报表!D32</f>
        <v>0</v>
      </c>
      <c r="D32" s="916" t="str">
        <f t="shared" si="0"/>
        <v/>
      </c>
      <c r="E32" s="122">
        <f>审定报表!C32</f>
        <v>0</v>
      </c>
      <c r="F32" s="124" t="str">
        <f t="shared" si="1"/>
        <v/>
      </c>
      <c r="G32" s="122">
        <f t="shared" si="2"/>
        <v>0</v>
      </c>
      <c r="H32" s="123" t="str">
        <f t="shared" si="3"/>
        <v/>
      </c>
      <c r="I32" s="187" t="str">
        <f>IF(H32="","",IF(OR(ABS(H32)&gt;=30%,ABS(G32)&gt;=$E$127*5%,ABS(G32)&gt;=已审PL分析!$E$42*10%),"显著",IF(ABS(H32)&gt;=10%,"关注","")))</f>
        <v/>
      </c>
      <c r="J32" s="455"/>
      <c r="K32" s="915" t="str">
        <f t="shared" si="4"/>
        <v/>
      </c>
      <c r="L32" s="914" t="str">
        <f t="shared" si="5"/>
        <v/>
      </c>
      <c r="M32" s="930"/>
    </row>
    <row r="33" spans="1:13" ht="13.95" customHeight="1">
      <c r="A33" s="938" t="str">
        <f>未审报表!A33</f>
        <v>应收分保合同准备金*</v>
      </c>
      <c r="B33" s="460">
        <f>未审报表!B33</f>
        <v>27</v>
      </c>
      <c r="C33" s="405">
        <f>审定报表!D33</f>
        <v>0</v>
      </c>
      <c r="D33" s="916" t="str">
        <f t="shared" si="0"/>
        <v/>
      </c>
      <c r="E33" s="122">
        <f>审定报表!C33</f>
        <v>0</v>
      </c>
      <c r="F33" s="124" t="str">
        <f t="shared" si="1"/>
        <v/>
      </c>
      <c r="G33" s="122">
        <f t="shared" si="2"/>
        <v>0</v>
      </c>
      <c r="H33" s="123" t="str">
        <f t="shared" si="3"/>
        <v/>
      </c>
      <c r="I33" s="187" t="str">
        <f>IF(H33="","",IF(OR(ABS(H33)&gt;=30%,ABS(G33)&gt;=$E$127*5%,ABS(G33)&gt;=已审PL分析!$E$42*10%),"显著",IF(ABS(H33)&gt;=10%,"关注","")))</f>
        <v/>
      </c>
      <c r="J33" s="455"/>
      <c r="K33" s="915" t="str">
        <f t="shared" si="4"/>
        <v/>
      </c>
      <c r="L33" s="914" t="str">
        <f t="shared" si="5"/>
        <v/>
      </c>
      <c r="M33" s="930"/>
    </row>
    <row r="34" spans="1:13" ht="13.95" customHeight="1">
      <c r="A34" s="938" t="str">
        <f>未审报表!A34</f>
        <v>应收利息原值</v>
      </c>
      <c r="B34" s="460">
        <f>未审报表!B34</f>
        <v>28</v>
      </c>
      <c r="C34" s="405">
        <f>审定报表!D34</f>
        <v>0</v>
      </c>
      <c r="D34" s="916" t="str">
        <f t="shared" si="0"/>
        <v/>
      </c>
      <c r="E34" s="122">
        <f>审定报表!C34</f>
        <v>0</v>
      </c>
      <c r="F34" s="124" t="str">
        <f t="shared" si="1"/>
        <v/>
      </c>
      <c r="G34" s="122">
        <f t="shared" si="2"/>
        <v>0</v>
      </c>
      <c r="H34" s="123" t="str">
        <f t="shared" si="3"/>
        <v/>
      </c>
      <c r="I34" s="187" t="str">
        <f>IF(H34="","",IF(OR(ABS(H34)&gt;=30%,ABS(G34)&gt;=$E$127*5%,ABS(G34)&gt;=已审PL分析!$E$42*10%),"显著",IF(ABS(H34)&gt;=10%,"关注","")))</f>
        <v/>
      </c>
      <c r="J34" s="457"/>
      <c r="K34" s="915" t="str">
        <f t="shared" si="4"/>
        <v/>
      </c>
      <c r="L34" s="914" t="str">
        <f t="shared" si="5"/>
        <v/>
      </c>
      <c r="M34" s="930"/>
    </row>
    <row r="35" spans="1:13" ht="13.95" customHeight="1">
      <c r="A35" s="938" t="str">
        <f>未审报表!A35</f>
        <v>应收利息坏账准备</v>
      </c>
      <c r="B35" s="460">
        <f>未审报表!B35</f>
        <v>29</v>
      </c>
      <c r="C35" s="405">
        <f>审定报表!D35</f>
        <v>0</v>
      </c>
      <c r="D35" s="916" t="str">
        <f t="shared" si="0"/>
        <v/>
      </c>
      <c r="E35" s="122">
        <f>审定报表!C35</f>
        <v>0</v>
      </c>
      <c r="F35" s="124" t="str">
        <f t="shared" si="1"/>
        <v/>
      </c>
      <c r="G35" s="122">
        <f t="shared" si="2"/>
        <v>0</v>
      </c>
      <c r="H35" s="123" t="str">
        <f t="shared" si="3"/>
        <v/>
      </c>
      <c r="I35" s="187" t="str">
        <f>IF(H35="","",IF(OR(ABS(H35)&gt;=30%,ABS(G35)&gt;=$E$127*5%,ABS(G35)&gt;=已审PL分析!$E$42*10%),"显著",IF(ABS(H35)&gt;=10%,"关注","")))</f>
        <v/>
      </c>
      <c r="J35" s="457"/>
      <c r="K35" s="915" t="str">
        <f t="shared" si="4"/>
        <v/>
      </c>
      <c r="L35" s="914" t="str">
        <f t="shared" si="5"/>
        <v/>
      </c>
      <c r="M35" s="930"/>
    </row>
    <row r="36" spans="1:13" ht="13.95" customHeight="1">
      <c r="A36" s="938" t="str">
        <f>未审报表!A36</f>
        <v>应收利息</v>
      </c>
      <c r="B36" s="460">
        <f>未审报表!B36</f>
        <v>30</v>
      </c>
      <c r="C36" s="405">
        <f>审定报表!D36</f>
        <v>0</v>
      </c>
      <c r="D36" s="916" t="str">
        <f t="shared" si="0"/>
        <v/>
      </c>
      <c r="E36" s="122">
        <f>审定报表!C36</f>
        <v>0</v>
      </c>
      <c r="F36" s="124" t="str">
        <f t="shared" si="1"/>
        <v/>
      </c>
      <c r="G36" s="122">
        <f t="shared" si="2"/>
        <v>0</v>
      </c>
      <c r="H36" s="123" t="str">
        <f t="shared" si="3"/>
        <v/>
      </c>
      <c r="I36" s="187" t="str">
        <f>IF(H36="","",IF(OR(ABS(H36)&gt;=30%,ABS(G36)&gt;=$E$127*5%,ABS(G36)&gt;=已审PL分析!$E$42*10%),"显著",IF(ABS(H36)&gt;=10%,"关注","")))</f>
        <v/>
      </c>
      <c r="J36" s="455"/>
      <c r="K36" s="915" t="str">
        <f t="shared" si="4"/>
        <v/>
      </c>
      <c r="L36" s="914" t="str">
        <f t="shared" si="5"/>
        <v/>
      </c>
      <c r="M36" s="930"/>
    </row>
    <row r="37" spans="1:13" ht="13.95" customHeight="1">
      <c r="A37" s="938" t="str">
        <f>未审报表!A37</f>
        <v>应收股利原值</v>
      </c>
      <c r="B37" s="460">
        <f>未审报表!B37</f>
        <v>31</v>
      </c>
      <c r="C37" s="405">
        <f>审定报表!D37</f>
        <v>10512385.210000001</v>
      </c>
      <c r="D37" s="916">
        <f t="shared" si="0"/>
        <v>0.14698492159483778</v>
      </c>
      <c r="E37" s="122">
        <f>审定报表!C37</f>
        <v>32823183.23</v>
      </c>
      <c r="F37" s="124">
        <f t="shared" si="1"/>
        <v>0.25315951567999556</v>
      </c>
      <c r="G37" s="122">
        <f t="shared" si="2"/>
        <v>22310798.02</v>
      </c>
      <c r="H37" s="123">
        <f t="shared" si="3"/>
        <v>2.1223345201217181</v>
      </c>
      <c r="I37" s="187" t="str">
        <f>IF(H37="","",IF(OR(ABS(H37)&gt;=30%,ABS(G37)&gt;=$E$127*5%,ABS(G37)&gt;=已审PL分析!$E$42*10%),"显著",IF(ABS(H37)&gt;=10%,"关注","")))</f>
        <v>显著</v>
      </c>
      <c r="J37" s="455"/>
      <c r="K37" s="915">
        <f t="shared" si="4"/>
        <v>0.10617459408515778</v>
      </c>
      <c r="L37" s="914" t="str">
        <f t="shared" si="5"/>
        <v>关注</v>
      </c>
      <c r="M37" s="930"/>
    </row>
    <row r="38" spans="1:13" ht="13.95" customHeight="1">
      <c r="A38" s="938" t="str">
        <f>未审报表!A38</f>
        <v>应收股利坏账准备</v>
      </c>
      <c r="B38" s="460">
        <f>未审报表!B38</f>
        <v>32</v>
      </c>
      <c r="C38" s="405">
        <f>审定报表!D38</f>
        <v>0</v>
      </c>
      <c r="D38" s="916" t="str">
        <f t="shared" si="0"/>
        <v/>
      </c>
      <c r="E38" s="122">
        <f>审定报表!C38</f>
        <v>0</v>
      </c>
      <c r="F38" s="124" t="str">
        <f t="shared" si="1"/>
        <v/>
      </c>
      <c r="G38" s="122">
        <f t="shared" si="2"/>
        <v>0</v>
      </c>
      <c r="H38" s="123" t="str">
        <f t="shared" si="3"/>
        <v/>
      </c>
      <c r="I38" s="187" t="str">
        <f>IF(H38="","",IF(OR(ABS(H38)&gt;=30%,ABS(G38)&gt;=$E$127*5%,ABS(G38)&gt;=已审PL分析!$E$42*10%),"显著",IF(ABS(H38)&gt;=10%,"关注","")))</f>
        <v/>
      </c>
      <c r="J38" s="457"/>
      <c r="K38" s="915" t="str">
        <f t="shared" si="4"/>
        <v/>
      </c>
      <c r="L38" s="914" t="str">
        <f t="shared" si="5"/>
        <v/>
      </c>
      <c r="M38" s="930"/>
    </row>
    <row r="39" spans="1:13" ht="13.95" customHeight="1">
      <c r="A39" s="938" t="str">
        <f>未审报表!A39</f>
        <v>应收股利</v>
      </c>
      <c r="B39" s="460">
        <f>未审报表!B39</f>
        <v>33</v>
      </c>
      <c r="C39" s="405">
        <f>审定报表!D39</f>
        <v>10512385.210000001</v>
      </c>
      <c r="D39" s="916">
        <f t="shared" si="0"/>
        <v>0.14698492159483778</v>
      </c>
      <c r="E39" s="122">
        <f>审定报表!C39</f>
        <v>32823183.23</v>
      </c>
      <c r="F39" s="124">
        <f t="shared" si="1"/>
        <v>0.25315951567999556</v>
      </c>
      <c r="G39" s="122">
        <f t="shared" si="2"/>
        <v>22310798.02</v>
      </c>
      <c r="H39" s="123">
        <f t="shared" si="3"/>
        <v>2.1223345201217181</v>
      </c>
      <c r="I39" s="187" t="str">
        <f>IF(H39="","",IF(OR(ABS(H39)&gt;=30%,ABS(G39)&gt;=$E$127*5%,ABS(G39)&gt;=已审PL分析!$E$42*10%),"显著",IF(ABS(H39)&gt;=10%,"关注","")))</f>
        <v>显著</v>
      </c>
      <c r="J39" s="455"/>
      <c r="K39" s="915">
        <f t="shared" si="4"/>
        <v>0.10617459408515778</v>
      </c>
      <c r="L39" s="914" t="str">
        <f t="shared" si="5"/>
        <v>关注</v>
      </c>
      <c r="M39" s="930"/>
    </row>
    <row r="40" spans="1:13" ht="13.95" customHeight="1">
      <c r="A40" s="938" t="str">
        <f>未审报表!A40</f>
        <v>其他应收款原值</v>
      </c>
      <c r="B40" s="460">
        <f>未审报表!B40</f>
        <v>34</v>
      </c>
      <c r="C40" s="405">
        <f>审定报表!D40</f>
        <v>12543397.1</v>
      </c>
      <c r="D40" s="916">
        <f t="shared" si="0"/>
        <v>0.17538267504910196</v>
      </c>
      <c r="E40" s="122">
        <f>审定报表!C40</f>
        <v>18020017.120000001</v>
      </c>
      <c r="F40" s="124">
        <f t="shared" si="1"/>
        <v>0.13898526461244842</v>
      </c>
      <c r="G40" s="122">
        <f t="shared" si="2"/>
        <v>5476620.0200000014</v>
      </c>
      <c r="H40" s="123">
        <f t="shared" si="3"/>
        <v>0.43661377985075522</v>
      </c>
      <c r="I40" s="187" t="str">
        <f>IF(H40="","",IF(OR(ABS(H40)&gt;=30%,ABS(G40)&gt;=$E$127*5%,ABS(G40)&gt;=已审PL分析!$E$42*10%),"显著",IF(ABS(H40)&gt;=10%,"关注","")))</f>
        <v>显著</v>
      </c>
      <c r="J40" s="457"/>
      <c r="K40" s="915">
        <f t="shared" si="4"/>
        <v>-3.6397410436653538E-2</v>
      </c>
      <c r="L40" s="914" t="str">
        <f t="shared" si="5"/>
        <v/>
      </c>
      <c r="M40" s="930"/>
    </row>
    <row r="41" spans="1:13" ht="13.95" customHeight="1">
      <c r="A41" s="938" t="str">
        <f>未审报表!A41</f>
        <v>其他应收款坏账准备</v>
      </c>
      <c r="B41" s="460">
        <f>未审报表!B41</f>
        <v>35</v>
      </c>
      <c r="C41" s="405">
        <f>审定报表!D41</f>
        <v>0</v>
      </c>
      <c r="D41" s="916" t="str">
        <f t="shared" si="0"/>
        <v/>
      </c>
      <c r="E41" s="122">
        <f>审定报表!C41</f>
        <v>86459.08</v>
      </c>
      <c r="F41" s="124">
        <f t="shared" si="1"/>
        <v>6.6684387877811546E-4</v>
      </c>
      <c r="G41" s="122">
        <f t="shared" si="2"/>
        <v>86459.08</v>
      </c>
      <c r="H41" s="123">
        <f t="shared" si="3"/>
        <v>1</v>
      </c>
      <c r="I41" s="187" t="str">
        <f>IF(H41="","",IF(OR(ABS(H41)&gt;=30%,ABS(G41)&gt;=$E$127*5%,ABS(G41)&gt;=已审PL分析!$E$42*10%),"显著",IF(ABS(H41)&gt;=10%,"关注","")))</f>
        <v>显著</v>
      </c>
      <c r="J41" s="455"/>
      <c r="K41" s="915">
        <f t="shared" si="4"/>
        <v>6.6684387877811546E-4</v>
      </c>
      <c r="L41" s="914" t="str">
        <f t="shared" si="5"/>
        <v/>
      </c>
      <c r="M41" s="930"/>
    </row>
    <row r="42" spans="1:13" ht="13.95" customHeight="1">
      <c r="A42" s="938" t="str">
        <f>未审报表!A42</f>
        <v>其他应收款</v>
      </c>
      <c r="B42" s="460">
        <f>未审报表!B42</f>
        <v>36</v>
      </c>
      <c r="C42" s="405">
        <f>审定报表!D42</f>
        <v>12543397.1</v>
      </c>
      <c r="D42" s="916">
        <f t="shared" si="0"/>
        <v>0.17538267504910196</v>
      </c>
      <c r="E42" s="122">
        <f>审定报表!C42</f>
        <v>17933558.040000003</v>
      </c>
      <c r="F42" s="124">
        <f t="shared" si="1"/>
        <v>0.13831842073367032</v>
      </c>
      <c r="G42" s="122">
        <f t="shared" si="2"/>
        <v>5390160.9400000032</v>
      </c>
      <c r="H42" s="123">
        <f t="shared" si="3"/>
        <v>0.42972098364007016</v>
      </c>
      <c r="I42" s="187" t="str">
        <f>IF(H42="","",IF(OR(ABS(H42)&gt;=30%,ABS(G42)&gt;=$E$127*5%,ABS(G42)&gt;=已审PL分析!$E$42*10%),"显著",IF(ABS(H42)&gt;=10%,"关注","")))</f>
        <v>显著</v>
      </c>
      <c r="J42" s="455"/>
      <c r="K42" s="915">
        <f t="shared" si="4"/>
        <v>-3.7064254315431644E-2</v>
      </c>
      <c r="L42" s="914" t="str">
        <f t="shared" si="5"/>
        <v/>
      </c>
      <c r="M42" s="930"/>
    </row>
    <row r="43" spans="1:13" ht="13.95" customHeight="1">
      <c r="A43" s="938" t="str">
        <f>未审报表!A43</f>
        <v>买入返售金融资产原值*</v>
      </c>
      <c r="B43" s="460">
        <f>未审报表!B43</f>
        <v>37</v>
      </c>
      <c r="C43" s="405">
        <f>审定报表!D43</f>
        <v>0</v>
      </c>
      <c r="D43" s="916" t="str">
        <f t="shared" si="0"/>
        <v/>
      </c>
      <c r="E43" s="122">
        <f>审定报表!C43</f>
        <v>0</v>
      </c>
      <c r="F43" s="124" t="str">
        <f t="shared" si="1"/>
        <v/>
      </c>
      <c r="G43" s="122">
        <f t="shared" si="2"/>
        <v>0</v>
      </c>
      <c r="H43" s="123" t="str">
        <f t="shared" si="3"/>
        <v/>
      </c>
      <c r="I43" s="187" t="str">
        <f>IF(H43="","",IF(OR(ABS(H43)&gt;=30%,ABS(G43)&gt;=$E$127*5%,ABS(G43)&gt;=已审PL分析!$E$42*10%),"显著",IF(ABS(H43)&gt;=10%,"关注","")))</f>
        <v/>
      </c>
      <c r="J43" s="455"/>
      <c r="K43" s="915" t="str">
        <f t="shared" si="4"/>
        <v/>
      </c>
      <c r="L43" s="914" t="str">
        <f t="shared" si="5"/>
        <v/>
      </c>
      <c r="M43" s="930"/>
    </row>
    <row r="44" spans="1:13" ht="13.95" customHeight="1">
      <c r="A44" s="938" t="str">
        <f>未审报表!A44</f>
        <v>买入返售金融资产减值准备*</v>
      </c>
      <c r="B44" s="460">
        <f>未审报表!B44</f>
        <v>38</v>
      </c>
      <c r="C44" s="405">
        <f>审定报表!D44</f>
        <v>0</v>
      </c>
      <c r="D44" s="916" t="str">
        <f t="shared" si="0"/>
        <v/>
      </c>
      <c r="E44" s="122">
        <f>审定报表!C44</f>
        <v>0</v>
      </c>
      <c r="F44" s="124" t="str">
        <f t="shared" si="1"/>
        <v/>
      </c>
      <c r="G44" s="122">
        <f t="shared" si="2"/>
        <v>0</v>
      </c>
      <c r="H44" s="123" t="str">
        <f t="shared" si="3"/>
        <v/>
      </c>
      <c r="I44" s="187" t="str">
        <f>IF(H44="","",IF(OR(ABS(H44)&gt;=30%,ABS(G44)&gt;=$E$127*5%,ABS(G44)&gt;=已审PL分析!$E$42*10%),"显著",IF(ABS(H44)&gt;=10%,"关注","")))</f>
        <v/>
      </c>
      <c r="J44" s="455"/>
      <c r="K44" s="915" t="str">
        <f t="shared" si="4"/>
        <v/>
      </c>
      <c r="L44" s="914" t="str">
        <f t="shared" si="5"/>
        <v/>
      </c>
      <c r="M44" s="930"/>
    </row>
    <row r="45" spans="1:13" ht="13.95" customHeight="1">
      <c r="A45" s="938" t="str">
        <f>未审报表!A45</f>
        <v>买入返售金融资产*</v>
      </c>
      <c r="B45" s="460">
        <f>未审报表!B45</f>
        <v>39</v>
      </c>
      <c r="C45" s="405">
        <f>审定报表!D45</f>
        <v>0</v>
      </c>
      <c r="D45" s="916" t="str">
        <f t="shared" si="0"/>
        <v/>
      </c>
      <c r="E45" s="122">
        <f>审定报表!C45</f>
        <v>0</v>
      </c>
      <c r="F45" s="124" t="str">
        <f t="shared" si="1"/>
        <v/>
      </c>
      <c r="G45" s="122">
        <f t="shared" si="2"/>
        <v>0</v>
      </c>
      <c r="H45" s="123" t="str">
        <f t="shared" si="3"/>
        <v/>
      </c>
      <c r="I45" s="187" t="str">
        <f>IF(H45="","",IF(OR(ABS(H45)&gt;=30%,ABS(G45)&gt;=$E$127*5%,ABS(G45)&gt;=已审PL分析!$E$42*10%),"显著",IF(ABS(H45)&gt;=10%,"关注","")))</f>
        <v/>
      </c>
      <c r="J45" s="455"/>
      <c r="K45" s="915" t="str">
        <f t="shared" si="4"/>
        <v/>
      </c>
      <c r="L45" s="914" t="str">
        <f t="shared" si="5"/>
        <v/>
      </c>
      <c r="M45" s="930"/>
    </row>
    <row r="46" spans="1:13" ht="13.95" customHeight="1">
      <c r="A46" s="938" t="str">
        <f>未审报表!A46</f>
        <v>存货原值</v>
      </c>
      <c r="B46" s="460">
        <f>未审报表!B46</f>
        <v>40</v>
      </c>
      <c r="C46" s="405">
        <f>审定报表!D46</f>
        <v>0</v>
      </c>
      <c r="D46" s="916" t="str">
        <f t="shared" si="0"/>
        <v/>
      </c>
      <c r="E46" s="122">
        <f>审定报表!C46</f>
        <v>8526796.3200000003</v>
      </c>
      <c r="F46" s="124">
        <f t="shared" si="1"/>
        <v>6.5765700162201138E-2</v>
      </c>
      <c r="G46" s="122">
        <f t="shared" si="2"/>
        <v>8526796.3200000003</v>
      </c>
      <c r="H46" s="123">
        <f t="shared" si="3"/>
        <v>1</v>
      </c>
      <c r="I46" s="187" t="str">
        <f>IF(H46="","",IF(OR(ABS(H46)&gt;=30%,ABS(G46)&gt;=$E$127*5%,ABS(G46)&gt;=已审PL分析!$E$42*10%),"显著",IF(ABS(H46)&gt;=10%,"关注","")))</f>
        <v>显著</v>
      </c>
      <c r="J46" s="455"/>
      <c r="K46" s="915">
        <f t="shared" si="4"/>
        <v>6.5765700162201138E-2</v>
      </c>
      <c r="L46" s="914" t="str">
        <f t="shared" si="5"/>
        <v/>
      </c>
      <c r="M46" s="930"/>
    </row>
    <row r="47" spans="1:13" ht="13.95" customHeight="1">
      <c r="A47" s="938" t="str">
        <f>未审报表!A47</f>
        <v>存货跌价准备</v>
      </c>
      <c r="B47" s="460">
        <f>未审报表!B47</f>
        <v>41</v>
      </c>
      <c r="C47" s="405">
        <f>审定报表!D47</f>
        <v>0</v>
      </c>
      <c r="D47" s="916" t="str">
        <f t="shared" si="0"/>
        <v/>
      </c>
      <c r="E47" s="122">
        <f>审定报表!C47</f>
        <v>0</v>
      </c>
      <c r="F47" s="124" t="str">
        <f t="shared" si="1"/>
        <v/>
      </c>
      <c r="G47" s="122">
        <f t="shared" si="2"/>
        <v>0</v>
      </c>
      <c r="H47" s="123" t="str">
        <f t="shared" si="3"/>
        <v/>
      </c>
      <c r="I47" s="187" t="str">
        <f>IF(H47="","",IF(OR(ABS(H47)&gt;=30%,ABS(G47)&gt;=$E$127*5%,ABS(G47)&gt;=已审PL分析!$E$42*10%),"显著",IF(ABS(H47)&gt;=10%,"关注","")))</f>
        <v/>
      </c>
      <c r="J47" s="455"/>
      <c r="K47" s="915" t="str">
        <f t="shared" si="4"/>
        <v/>
      </c>
      <c r="L47" s="914" t="str">
        <f t="shared" si="5"/>
        <v/>
      </c>
      <c r="M47" s="930"/>
    </row>
    <row r="48" spans="1:13" ht="13.95" customHeight="1">
      <c r="A48" s="938" t="str">
        <f>未审报表!A48</f>
        <v>存货</v>
      </c>
      <c r="B48" s="460">
        <f>未审报表!B48</f>
        <v>42</v>
      </c>
      <c r="C48" s="405">
        <f>审定报表!D48</f>
        <v>0</v>
      </c>
      <c r="D48" s="916" t="str">
        <f t="shared" si="0"/>
        <v/>
      </c>
      <c r="E48" s="122">
        <f>审定报表!C48</f>
        <v>8526796.3200000003</v>
      </c>
      <c r="F48" s="124">
        <f t="shared" si="1"/>
        <v>6.5765700162201138E-2</v>
      </c>
      <c r="G48" s="122">
        <f t="shared" si="2"/>
        <v>8526796.3200000003</v>
      </c>
      <c r="H48" s="123">
        <f t="shared" si="3"/>
        <v>1</v>
      </c>
      <c r="I48" s="187" t="str">
        <f>IF(H48="","",IF(OR(ABS(H48)&gt;=30%,ABS(G48)&gt;=$E$127*5%,ABS(G48)&gt;=已审PL分析!$E$42*10%),"显著",IF(ABS(H48)&gt;=10%,"关注","")))</f>
        <v>显著</v>
      </c>
      <c r="J48" s="455"/>
      <c r="K48" s="915">
        <f t="shared" si="4"/>
        <v>6.5765700162201138E-2</v>
      </c>
      <c r="L48" s="914" t="str">
        <f t="shared" si="5"/>
        <v/>
      </c>
      <c r="M48" s="930"/>
    </row>
    <row r="49" spans="1:13" ht="13.95" customHeight="1">
      <c r="A49" s="938" t="str">
        <f>未审报表!A49</f>
        <v xml:space="preserve"> 其中：原材料</v>
      </c>
      <c r="B49" s="460">
        <f>未审报表!B49</f>
        <v>43</v>
      </c>
      <c r="C49" s="405">
        <f>审定报表!D49</f>
        <v>0</v>
      </c>
      <c r="D49" s="916" t="str">
        <f t="shared" si="0"/>
        <v/>
      </c>
      <c r="E49" s="122">
        <f>审定报表!C49</f>
        <v>708003</v>
      </c>
      <c r="F49" s="124">
        <f t="shared" si="1"/>
        <v>5.4607042627164443E-3</v>
      </c>
      <c r="G49" s="122">
        <f t="shared" si="2"/>
        <v>708003</v>
      </c>
      <c r="H49" s="123">
        <f t="shared" si="3"/>
        <v>1</v>
      </c>
      <c r="I49" s="187" t="str">
        <f>IF(H49="","",IF(OR(ABS(H49)&gt;=30%,ABS(G49)&gt;=$E$127*5%,ABS(G49)&gt;=已审PL分析!$E$42*10%),"显著",IF(ABS(H49)&gt;=10%,"关注","")))</f>
        <v>显著</v>
      </c>
      <c r="J49" s="455"/>
      <c r="K49" s="915">
        <f t="shared" si="4"/>
        <v>5.4607042627164443E-3</v>
      </c>
      <c r="L49" s="914" t="str">
        <f t="shared" si="5"/>
        <v/>
      </c>
      <c r="M49" s="930"/>
    </row>
    <row r="50" spans="1:13" ht="13.95" customHeight="1">
      <c r="A50" s="938" t="str">
        <f>未审报表!A50</f>
        <v xml:space="preserve">    库存商品（产成品）</v>
      </c>
      <c r="B50" s="460">
        <f>未审报表!B50</f>
        <v>44</v>
      </c>
      <c r="C50" s="405">
        <f>审定报表!D50</f>
        <v>0</v>
      </c>
      <c r="D50" s="916" t="str">
        <f t="shared" si="0"/>
        <v/>
      </c>
      <c r="E50" s="122">
        <f>审定报表!C50</f>
        <v>6990000</v>
      </c>
      <c r="F50" s="124">
        <f t="shared" si="1"/>
        <v>5.3912656862171414E-2</v>
      </c>
      <c r="G50" s="122">
        <f t="shared" si="2"/>
        <v>6990000</v>
      </c>
      <c r="H50" s="123">
        <f t="shared" si="3"/>
        <v>1</v>
      </c>
      <c r="I50" s="187" t="str">
        <f>IF(H50="","",IF(OR(ABS(H50)&gt;=30%,ABS(G50)&gt;=$E$127*5%,ABS(G50)&gt;=已审PL分析!$E$42*10%),"显著",IF(ABS(H50)&gt;=10%,"关注","")))</f>
        <v>显著</v>
      </c>
      <c r="J50" s="456"/>
      <c r="K50" s="915">
        <f t="shared" si="4"/>
        <v>5.3912656862171414E-2</v>
      </c>
      <c r="L50" s="914" t="str">
        <f t="shared" si="5"/>
        <v/>
      </c>
      <c r="M50" s="930"/>
    </row>
    <row r="51" spans="1:13" ht="13.95" customHeight="1">
      <c r="A51" s="938" t="str">
        <f>未审报表!A51</f>
        <v>合同资产原值</v>
      </c>
      <c r="B51" s="460">
        <f>未审报表!B51</f>
        <v>45</v>
      </c>
      <c r="C51" s="405">
        <f>审定报表!D51</f>
        <v>0</v>
      </c>
      <c r="D51" s="916" t="str">
        <f t="shared" si="0"/>
        <v/>
      </c>
      <c r="E51" s="122">
        <f>审定报表!C51</f>
        <v>0</v>
      </c>
      <c r="F51" s="124" t="str">
        <f t="shared" si="1"/>
        <v/>
      </c>
      <c r="G51" s="122">
        <f t="shared" si="2"/>
        <v>0</v>
      </c>
      <c r="H51" s="123" t="str">
        <f t="shared" si="3"/>
        <v/>
      </c>
      <c r="I51" s="187" t="str">
        <f>IF(H51="","",IF(OR(ABS(H51)&gt;=30%,ABS(G51)&gt;=$E$127*5%,ABS(G51)&gt;=已审PL分析!$E$42*10%),"显著",IF(ABS(H51)&gt;=10%,"关注","")))</f>
        <v/>
      </c>
      <c r="J51" s="461"/>
      <c r="K51" s="915" t="str">
        <f t="shared" si="4"/>
        <v/>
      </c>
      <c r="L51" s="914" t="str">
        <f t="shared" si="5"/>
        <v/>
      </c>
      <c r="M51" s="930"/>
    </row>
    <row r="52" spans="1:13" ht="13.95" customHeight="1">
      <c r="A52" s="938" t="str">
        <f>未审报表!A52</f>
        <v>合同资产减值准备</v>
      </c>
      <c r="B52" s="460">
        <f>未审报表!B52</f>
        <v>46</v>
      </c>
      <c r="C52" s="405">
        <f>审定报表!D52</f>
        <v>0</v>
      </c>
      <c r="D52" s="916" t="str">
        <f t="shared" si="0"/>
        <v/>
      </c>
      <c r="E52" s="122">
        <f>审定报表!C52</f>
        <v>0</v>
      </c>
      <c r="F52" s="124" t="str">
        <f t="shared" si="1"/>
        <v/>
      </c>
      <c r="G52" s="122">
        <f t="shared" si="2"/>
        <v>0</v>
      </c>
      <c r="H52" s="123" t="str">
        <f t="shared" si="3"/>
        <v/>
      </c>
      <c r="I52" s="187" t="str">
        <f>IF(H52="","",IF(OR(ABS(H52)&gt;=30%,ABS(G52)&gt;=$E$127*5%,ABS(G52)&gt;=已审PL分析!$E$42*10%),"显著",IF(ABS(H52)&gt;=10%,"关注","")))</f>
        <v/>
      </c>
      <c r="J52" s="461"/>
      <c r="K52" s="915" t="str">
        <f t="shared" si="4"/>
        <v/>
      </c>
      <c r="L52" s="914" t="str">
        <f t="shared" si="5"/>
        <v/>
      </c>
      <c r="M52" s="930"/>
    </row>
    <row r="53" spans="1:13" ht="13.95" customHeight="1">
      <c r="A53" s="938" t="str">
        <f>未审报表!A53</f>
        <v>合同资产</v>
      </c>
      <c r="B53" s="460">
        <f>未审报表!B53</f>
        <v>47</v>
      </c>
      <c r="C53" s="405">
        <f>审定报表!D53</f>
        <v>0</v>
      </c>
      <c r="D53" s="916" t="str">
        <f t="shared" si="0"/>
        <v/>
      </c>
      <c r="E53" s="122">
        <f>审定报表!C53</f>
        <v>0</v>
      </c>
      <c r="F53" s="124" t="str">
        <f t="shared" si="1"/>
        <v/>
      </c>
      <c r="G53" s="122">
        <f t="shared" si="2"/>
        <v>0</v>
      </c>
      <c r="H53" s="123" t="str">
        <f t="shared" si="3"/>
        <v/>
      </c>
      <c r="I53" s="187" t="str">
        <f>IF(H53="","",IF(OR(ABS(H53)&gt;=30%,ABS(G53)&gt;=$E$127*5%,ABS(G53)&gt;=已审PL分析!$E$42*10%),"显著",IF(ABS(H53)&gt;=10%,"关注","")))</f>
        <v/>
      </c>
      <c r="J53" s="461"/>
      <c r="K53" s="915" t="str">
        <f t="shared" si="4"/>
        <v/>
      </c>
      <c r="L53" s="914" t="str">
        <f t="shared" si="5"/>
        <v/>
      </c>
      <c r="M53" s="930"/>
    </row>
    <row r="54" spans="1:13" ht="13.95" customHeight="1">
      <c r="A54" s="938" t="str">
        <f>未审报表!A54</f>
        <v>持有待售资产原值</v>
      </c>
      <c r="B54" s="460">
        <f>未审报表!B54</f>
        <v>48</v>
      </c>
      <c r="C54" s="405">
        <f>审定报表!D54</f>
        <v>0</v>
      </c>
      <c r="D54" s="916" t="str">
        <f t="shared" si="0"/>
        <v/>
      </c>
      <c r="E54" s="122">
        <f>审定报表!C54</f>
        <v>0</v>
      </c>
      <c r="F54" s="124" t="str">
        <f t="shared" si="1"/>
        <v/>
      </c>
      <c r="G54" s="122">
        <f t="shared" si="2"/>
        <v>0</v>
      </c>
      <c r="H54" s="123" t="str">
        <f t="shared" si="3"/>
        <v/>
      </c>
      <c r="I54" s="187" t="str">
        <f>IF(H54="","",IF(OR(ABS(H54)&gt;=30%,ABS(G54)&gt;=$E$127*5%,ABS(G54)&gt;=已审PL分析!$E$42*10%),"显著",IF(ABS(H54)&gt;=10%,"关注","")))</f>
        <v/>
      </c>
      <c r="J54" s="461"/>
      <c r="K54" s="915" t="str">
        <f t="shared" si="4"/>
        <v/>
      </c>
      <c r="L54" s="914" t="str">
        <f t="shared" si="5"/>
        <v/>
      </c>
      <c r="M54" s="930"/>
    </row>
    <row r="55" spans="1:13" ht="13.95" customHeight="1">
      <c r="A55" s="938" t="str">
        <f>未审报表!A55</f>
        <v>持有待售资产减值准备</v>
      </c>
      <c r="B55" s="460">
        <f>未审报表!B55</f>
        <v>49</v>
      </c>
      <c r="C55" s="405">
        <f>审定报表!D55</f>
        <v>0</v>
      </c>
      <c r="D55" s="916" t="str">
        <f t="shared" si="0"/>
        <v/>
      </c>
      <c r="E55" s="122">
        <f>审定报表!C55</f>
        <v>0</v>
      </c>
      <c r="F55" s="124" t="str">
        <f t="shared" si="1"/>
        <v/>
      </c>
      <c r="G55" s="122">
        <f t="shared" si="2"/>
        <v>0</v>
      </c>
      <c r="H55" s="123" t="str">
        <f t="shared" si="3"/>
        <v/>
      </c>
      <c r="I55" s="187" t="str">
        <f>IF(H55="","",IF(OR(ABS(H55)&gt;=30%,ABS(G55)&gt;=$E$127*5%,ABS(G55)&gt;=已审PL分析!$E$42*10%),"显著",IF(ABS(H55)&gt;=10%,"关注","")))</f>
        <v/>
      </c>
      <c r="J55" s="461"/>
      <c r="K55" s="915" t="str">
        <f t="shared" si="4"/>
        <v/>
      </c>
      <c r="L55" s="914" t="str">
        <f t="shared" si="5"/>
        <v/>
      </c>
      <c r="M55" s="930"/>
    </row>
    <row r="56" spans="1:13" ht="13.95" customHeight="1">
      <c r="A56" s="938" t="str">
        <f>未审报表!A56</f>
        <v>持有待售资产</v>
      </c>
      <c r="B56" s="460">
        <f>未审报表!B56</f>
        <v>50</v>
      </c>
      <c r="C56" s="405">
        <f>审定报表!D56</f>
        <v>0</v>
      </c>
      <c r="D56" s="916" t="str">
        <f t="shared" si="0"/>
        <v/>
      </c>
      <c r="E56" s="122">
        <f>审定报表!C56</f>
        <v>0</v>
      </c>
      <c r="F56" s="124" t="str">
        <f t="shared" si="1"/>
        <v/>
      </c>
      <c r="G56" s="122">
        <f t="shared" si="2"/>
        <v>0</v>
      </c>
      <c r="H56" s="123" t="str">
        <f t="shared" si="3"/>
        <v/>
      </c>
      <c r="I56" s="187" t="str">
        <f>IF(H56="","",IF(OR(ABS(H56)&gt;=30%,ABS(G56)&gt;=$E$127*5%,ABS(G56)&gt;=已审PL分析!$E$42*10%),"显著",IF(ABS(H56)&gt;=10%,"关注","")))</f>
        <v/>
      </c>
      <c r="J56" s="461"/>
      <c r="K56" s="915" t="str">
        <f t="shared" si="4"/>
        <v/>
      </c>
      <c r="L56" s="914" t="str">
        <f t="shared" si="5"/>
        <v/>
      </c>
      <c r="M56" s="930"/>
    </row>
    <row r="57" spans="1:13" ht="13.95" customHeight="1">
      <c r="A57" s="938" t="str">
        <f>未审报表!A57</f>
        <v>一年内到期的非流动资产</v>
      </c>
      <c r="B57" s="460">
        <f>未审报表!B57</f>
        <v>51</v>
      </c>
      <c r="C57" s="405">
        <f>审定报表!D57</f>
        <v>0</v>
      </c>
      <c r="D57" s="916" t="str">
        <f t="shared" si="0"/>
        <v/>
      </c>
      <c r="E57" s="122">
        <f>审定报表!C57</f>
        <v>0</v>
      </c>
      <c r="F57" s="124" t="str">
        <f t="shared" si="1"/>
        <v/>
      </c>
      <c r="G57" s="122">
        <f t="shared" si="2"/>
        <v>0</v>
      </c>
      <c r="H57" s="123" t="str">
        <f t="shared" si="3"/>
        <v/>
      </c>
      <c r="I57" s="187" t="str">
        <f>IF(H57="","",IF(OR(ABS(H57)&gt;=30%,ABS(G57)&gt;=$E$127*5%,ABS(G57)&gt;=已审PL分析!$E$42*10%),"显著",IF(ABS(H57)&gt;=10%,"关注","")))</f>
        <v/>
      </c>
      <c r="J57" s="461"/>
      <c r="K57" s="915" t="str">
        <f t="shared" si="4"/>
        <v/>
      </c>
      <c r="L57" s="914" t="str">
        <f t="shared" si="5"/>
        <v/>
      </c>
      <c r="M57" s="930"/>
    </row>
    <row r="58" spans="1:13" ht="13.95" customHeight="1">
      <c r="A58" s="939" t="str">
        <f>未审报表!A58</f>
        <v>其他流动资产</v>
      </c>
      <c r="B58" s="460">
        <f>未审报表!B58</f>
        <v>52</v>
      </c>
      <c r="C58" s="405">
        <f>审定报表!D58</f>
        <v>19000000</v>
      </c>
      <c r="D58" s="916">
        <f t="shared" si="0"/>
        <v>0.26565935841518856</v>
      </c>
      <c r="E58" s="122">
        <f>审定报表!C58</f>
        <v>0</v>
      </c>
      <c r="F58" s="124" t="str">
        <f t="shared" si="1"/>
        <v/>
      </c>
      <c r="G58" s="122">
        <f t="shared" si="2"/>
        <v>-19000000</v>
      </c>
      <c r="H58" s="123">
        <f t="shared" si="3"/>
        <v>-1</v>
      </c>
      <c r="I58" s="187" t="str">
        <f>IF(H58="","",IF(OR(ABS(H58)&gt;=30%,ABS(G58)&gt;=$E$127*5%,ABS(G58)&gt;=已审PL分析!$E$42*10%),"显著",IF(ABS(H58)&gt;=10%,"关注","")))</f>
        <v>显著</v>
      </c>
      <c r="J58" s="925"/>
      <c r="K58" s="915">
        <f t="shared" si="4"/>
        <v>-0.26565935841518856</v>
      </c>
      <c r="L58" s="914" t="str">
        <f t="shared" si="5"/>
        <v>关注</v>
      </c>
      <c r="M58" s="931"/>
    </row>
    <row r="59" spans="1:13" ht="13.95" customHeight="1">
      <c r="A59" s="939" t="str">
        <f>未审报表!A59</f>
        <v>流动资产合计</v>
      </c>
      <c r="B59" s="460">
        <f>未审报表!B59</f>
        <v>53</v>
      </c>
      <c r="C59" s="405">
        <f>审定报表!D59</f>
        <v>59421429.140000001</v>
      </c>
      <c r="D59" s="916">
        <f t="shared" si="0"/>
        <v>0.83083467060242067</v>
      </c>
      <c r="E59" s="122">
        <f>审定报表!C59</f>
        <v>94592464.289999992</v>
      </c>
      <c r="F59" s="124">
        <f t="shared" si="1"/>
        <v>0.72957526023089736</v>
      </c>
      <c r="G59" s="122">
        <f t="shared" si="2"/>
        <v>35171035.149999991</v>
      </c>
      <c r="H59" s="123">
        <f t="shared" si="3"/>
        <v>0.59189143813985334</v>
      </c>
      <c r="I59" s="187" t="str">
        <f>IF(H59="","",IF(OR(ABS(H59)&gt;=30%,ABS(G59)&gt;=$E$127*5%,ABS(G59)&gt;=已审PL分析!$E$42*10%),"显著",IF(ABS(H59)&gt;=10%,"关注","")))</f>
        <v>显著</v>
      </c>
      <c r="J59" s="925"/>
      <c r="K59" s="915">
        <f t="shared" si="4"/>
        <v>-0.10125941037152331</v>
      </c>
      <c r="L59" s="914" t="str">
        <f t="shared" si="5"/>
        <v>关注</v>
      </c>
      <c r="M59" s="931"/>
    </row>
    <row r="60" spans="1:13" ht="13.95" customHeight="1">
      <c r="A60" s="938" t="str">
        <f>未审报表!A60</f>
        <v>非流动资产:</v>
      </c>
      <c r="B60" s="460">
        <f>未审报表!B60</f>
        <v>54</v>
      </c>
      <c r="C60" s="405">
        <f>审定报表!D60</f>
        <v>0</v>
      </c>
      <c r="D60" s="916" t="str">
        <f t="shared" si="0"/>
        <v/>
      </c>
      <c r="E60" s="122">
        <f>审定报表!C60</f>
        <v>0</v>
      </c>
      <c r="F60" s="124" t="str">
        <f t="shared" si="1"/>
        <v/>
      </c>
      <c r="G60" s="122">
        <f t="shared" si="2"/>
        <v>0</v>
      </c>
      <c r="H60" s="123" t="str">
        <f t="shared" si="3"/>
        <v/>
      </c>
      <c r="I60" s="187" t="str">
        <f>IF(H60="","",IF(OR(ABS(H60)&gt;=30%,ABS(G60)&gt;=$E$127*5%,ABS(G60)&gt;=已审PL分析!$E$42*10%),"显著",IF(ABS(H60)&gt;=10%,"关注","")))</f>
        <v/>
      </c>
      <c r="J60" s="461"/>
      <c r="K60" s="915" t="str">
        <f t="shared" si="4"/>
        <v/>
      </c>
      <c r="L60" s="914" t="str">
        <f t="shared" si="5"/>
        <v/>
      </c>
      <c r="M60" s="930"/>
    </row>
    <row r="61" spans="1:13" ht="13.95" customHeight="1">
      <c r="A61" s="938" t="str">
        <f>未审报表!A61</f>
        <v>发放贷款和垫款原值*</v>
      </c>
      <c r="B61" s="460">
        <f>未审报表!B61</f>
        <v>55</v>
      </c>
      <c r="C61" s="405">
        <f>审定报表!D61</f>
        <v>0</v>
      </c>
      <c r="D61" s="916" t="str">
        <f t="shared" si="0"/>
        <v/>
      </c>
      <c r="E61" s="122">
        <f>审定报表!C61</f>
        <v>0</v>
      </c>
      <c r="F61" s="124" t="str">
        <f t="shared" si="1"/>
        <v/>
      </c>
      <c r="G61" s="122">
        <f t="shared" si="2"/>
        <v>0</v>
      </c>
      <c r="H61" s="123" t="str">
        <f t="shared" si="3"/>
        <v/>
      </c>
      <c r="I61" s="187" t="str">
        <f>IF(H61="","",IF(OR(ABS(H61)&gt;=30%,ABS(G61)&gt;=$E$127*5%,ABS(G61)&gt;=已审PL分析!$E$42*10%),"显著",IF(ABS(H61)&gt;=10%,"关注","")))</f>
        <v/>
      </c>
      <c r="J61" s="461"/>
      <c r="K61" s="915" t="str">
        <f t="shared" si="4"/>
        <v/>
      </c>
      <c r="L61" s="914" t="str">
        <f t="shared" si="5"/>
        <v/>
      </c>
      <c r="M61" s="930"/>
    </row>
    <row r="62" spans="1:13" ht="13.95" customHeight="1">
      <c r="A62" s="938" t="str">
        <f>未审报表!A62</f>
        <v>发放贷款和垫款减值准备*</v>
      </c>
      <c r="B62" s="460">
        <f>未审报表!B62</f>
        <v>56</v>
      </c>
      <c r="C62" s="405">
        <f>审定报表!D62</f>
        <v>0</v>
      </c>
      <c r="D62" s="916" t="str">
        <f t="shared" si="0"/>
        <v/>
      </c>
      <c r="E62" s="122">
        <f>审定报表!C62</f>
        <v>0</v>
      </c>
      <c r="F62" s="124" t="str">
        <f t="shared" si="1"/>
        <v/>
      </c>
      <c r="G62" s="122">
        <f t="shared" si="2"/>
        <v>0</v>
      </c>
      <c r="H62" s="123" t="str">
        <f t="shared" si="3"/>
        <v/>
      </c>
      <c r="I62" s="187" t="str">
        <f>IF(H62="","",IF(OR(ABS(H62)&gt;=30%,ABS(G62)&gt;=$E$127*5%,ABS(G62)&gt;=已审PL分析!$E$42*10%),"显著",IF(ABS(H62)&gt;=10%,"关注","")))</f>
        <v/>
      </c>
      <c r="J62" s="461"/>
      <c r="K62" s="915" t="str">
        <f t="shared" si="4"/>
        <v/>
      </c>
      <c r="L62" s="914" t="str">
        <f t="shared" si="5"/>
        <v/>
      </c>
      <c r="M62" s="930"/>
    </row>
    <row r="63" spans="1:13" ht="13.95" customHeight="1">
      <c r="A63" s="938" t="str">
        <f>未审报表!A63</f>
        <v>发放贷款和垫款*</v>
      </c>
      <c r="B63" s="460">
        <f>未审报表!B63</f>
        <v>57</v>
      </c>
      <c r="C63" s="405">
        <f>审定报表!D63</f>
        <v>0</v>
      </c>
      <c r="D63" s="916" t="str">
        <f t="shared" si="0"/>
        <v/>
      </c>
      <c r="E63" s="122">
        <f>审定报表!C63</f>
        <v>0</v>
      </c>
      <c r="F63" s="124" t="str">
        <f t="shared" si="1"/>
        <v/>
      </c>
      <c r="G63" s="122">
        <f t="shared" si="2"/>
        <v>0</v>
      </c>
      <c r="H63" s="123" t="str">
        <f t="shared" si="3"/>
        <v/>
      </c>
      <c r="I63" s="187" t="str">
        <f>IF(H63="","",IF(OR(ABS(H63)&gt;=30%,ABS(G63)&gt;=$E$127*5%,ABS(G63)&gt;=已审PL分析!$E$42*10%),"显著",IF(ABS(H63)&gt;=10%,"关注","")))</f>
        <v/>
      </c>
      <c r="J63" s="461"/>
      <c r="K63" s="915" t="str">
        <f t="shared" si="4"/>
        <v/>
      </c>
      <c r="L63" s="914" t="str">
        <f t="shared" si="5"/>
        <v/>
      </c>
      <c r="M63" s="930"/>
    </row>
    <row r="64" spans="1:13" ht="13.95" customHeight="1">
      <c r="A64" s="938" t="str">
        <f>未审报表!A64</f>
        <v>债权投资原值</v>
      </c>
      <c r="B64" s="460">
        <f>未审报表!B64</f>
        <v>58</v>
      </c>
      <c r="C64" s="405">
        <f>审定报表!D64</f>
        <v>0</v>
      </c>
      <c r="D64" s="916" t="str">
        <f t="shared" si="0"/>
        <v/>
      </c>
      <c r="E64" s="122">
        <f>审定报表!C64</f>
        <v>0</v>
      </c>
      <c r="F64" s="124" t="str">
        <f t="shared" si="1"/>
        <v/>
      </c>
      <c r="G64" s="122">
        <f t="shared" si="2"/>
        <v>0</v>
      </c>
      <c r="H64" s="123" t="str">
        <f t="shared" si="3"/>
        <v/>
      </c>
      <c r="I64" s="187" t="str">
        <f>IF(H64="","",IF(OR(ABS(H64)&gt;=30%,ABS(G64)&gt;=$E$127*5%,ABS(G64)&gt;=已审PL分析!$E$42*10%),"显著",IF(ABS(H64)&gt;=10%,"关注","")))</f>
        <v/>
      </c>
      <c r="J64" s="122"/>
      <c r="K64" s="915" t="str">
        <f t="shared" si="4"/>
        <v/>
      </c>
      <c r="L64" s="914" t="str">
        <f t="shared" si="5"/>
        <v/>
      </c>
      <c r="M64" s="930"/>
    </row>
    <row r="65" spans="1:13" ht="13.95" customHeight="1">
      <c r="A65" s="938" t="str">
        <f>未审报表!A65</f>
        <v>债权投资减值准备</v>
      </c>
      <c r="B65" s="460">
        <f>未审报表!B65</f>
        <v>59</v>
      </c>
      <c r="C65" s="405">
        <f>审定报表!D65</f>
        <v>0</v>
      </c>
      <c r="D65" s="916" t="str">
        <f t="shared" si="0"/>
        <v/>
      </c>
      <c r="E65" s="122">
        <f>审定报表!C65</f>
        <v>0</v>
      </c>
      <c r="F65" s="124" t="str">
        <f t="shared" si="1"/>
        <v/>
      </c>
      <c r="G65" s="122">
        <f t="shared" si="2"/>
        <v>0</v>
      </c>
      <c r="H65" s="123" t="str">
        <f t="shared" si="3"/>
        <v/>
      </c>
      <c r="I65" s="187" t="str">
        <f>IF(H65="","",IF(OR(ABS(H65)&gt;=30%,ABS(G65)&gt;=$E$127*5%,ABS(G65)&gt;=已审PL分析!$E$42*10%),"显著",IF(ABS(H65)&gt;=10%,"关注","")))</f>
        <v/>
      </c>
      <c r="J65" s="122"/>
      <c r="K65" s="915" t="str">
        <f t="shared" si="4"/>
        <v/>
      </c>
      <c r="L65" s="914" t="str">
        <f t="shared" si="5"/>
        <v/>
      </c>
      <c r="M65" s="930"/>
    </row>
    <row r="66" spans="1:13" ht="13.95" customHeight="1">
      <c r="A66" s="938" t="str">
        <f>未审报表!A66</f>
        <v>债权投资</v>
      </c>
      <c r="B66" s="460">
        <f>未审报表!B66</f>
        <v>60</v>
      </c>
      <c r="C66" s="405">
        <f>审定报表!D66</f>
        <v>0</v>
      </c>
      <c r="D66" s="916" t="str">
        <f t="shared" si="0"/>
        <v/>
      </c>
      <c r="E66" s="122">
        <f>审定报表!C66</f>
        <v>0</v>
      </c>
      <c r="F66" s="124" t="str">
        <f t="shared" si="1"/>
        <v/>
      </c>
      <c r="G66" s="122">
        <f t="shared" si="2"/>
        <v>0</v>
      </c>
      <c r="H66" s="123" t="str">
        <f t="shared" si="3"/>
        <v/>
      </c>
      <c r="I66" s="187" t="str">
        <f>IF(H66="","",IF(OR(ABS(H66)&gt;=30%,ABS(G66)&gt;=$E$127*5%,ABS(G66)&gt;=已审PL分析!$E$42*10%),"显著",IF(ABS(H66)&gt;=10%,"关注","")))</f>
        <v/>
      </c>
      <c r="J66" s="122"/>
      <c r="K66" s="915" t="str">
        <f t="shared" si="4"/>
        <v/>
      </c>
      <c r="L66" s="914" t="str">
        <f t="shared" si="5"/>
        <v/>
      </c>
      <c r="M66" s="930"/>
    </row>
    <row r="67" spans="1:13" ht="13.95" customHeight="1">
      <c r="A67" s="938" t="str">
        <f>未审报表!A67</f>
        <v>其他债权投资原值</v>
      </c>
      <c r="B67" s="460">
        <f>未审报表!B67</f>
        <v>61</v>
      </c>
      <c r="C67" s="405">
        <f>审定报表!D67</f>
        <v>0</v>
      </c>
      <c r="D67" s="916" t="str">
        <f t="shared" si="0"/>
        <v/>
      </c>
      <c r="E67" s="122">
        <f>审定报表!C67</f>
        <v>0</v>
      </c>
      <c r="F67" s="124" t="str">
        <f t="shared" si="1"/>
        <v/>
      </c>
      <c r="G67" s="122">
        <f t="shared" si="2"/>
        <v>0</v>
      </c>
      <c r="H67" s="123" t="str">
        <f t="shared" si="3"/>
        <v/>
      </c>
      <c r="I67" s="187" t="str">
        <f>IF(H67="","",IF(OR(ABS(H67)&gt;=30%,ABS(G67)&gt;=$E$127*5%,ABS(G67)&gt;=已审PL分析!$E$42*10%),"显著",IF(ABS(H67)&gt;=10%,"关注","")))</f>
        <v/>
      </c>
      <c r="J67" s="122"/>
      <c r="K67" s="915" t="str">
        <f t="shared" si="4"/>
        <v/>
      </c>
      <c r="L67" s="914" t="str">
        <f t="shared" si="5"/>
        <v/>
      </c>
      <c r="M67" s="930"/>
    </row>
    <row r="68" spans="1:13" ht="13.95" customHeight="1">
      <c r="A68" s="938" t="str">
        <f>未审报表!A68</f>
        <v>其他债权投资减值准备</v>
      </c>
      <c r="B68" s="460">
        <f>未审报表!B68</f>
        <v>62</v>
      </c>
      <c r="C68" s="405">
        <f>审定报表!D68</f>
        <v>0</v>
      </c>
      <c r="D68" s="916" t="str">
        <f t="shared" si="0"/>
        <v/>
      </c>
      <c r="E68" s="122">
        <f>审定报表!C68</f>
        <v>0</v>
      </c>
      <c r="F68" s="124" t="str">
        <f t="shared" si="1"/>
        <v/>
      </c>
      <c r="G68" s="122">
        <f t="shared" si="2"/>
        <v>0</v>
      </c>
      <c r="H68" s="123" t="str">
        <f t="shared" si="3"/>
        <v/>
      </c>
      <c r="I68" s="187" t="str">
        <f>IF(H68="","",IF(OR(ABS(H68)&gt;=30%,ABS(G68)&gt;=$E$127*5%,ABS(G68)&gt;=已审PL分析!$E$42*10%),"显著",IF(ABS(H68)&gt;=10%,"关注","")))</f>
        <v/>
      </c>
      <c r="J68" s="122"/>
      <c r="K68" s="915" t="str">
        <f t="shared" si="4"/>
        <v/>
      </c>
      <c r="L68" s="914" t="str">
        <f t="shared" si="5"/>
        <v/>
      </c>
      <c r="M68" s="930"/>
    </row>
    <row r="69" spans="1:13" ht="13.95" customHeight="1">
      <c r="A69" s="938" t="str">
        <f>未审报表!A69</f>
        <v>其他债权投资</v>
      </c>
      <c r="B69" s="460">
        <f>未审报表!B69</f>
        <v>63</v>
      </c>
      <c r="C69" s="405">
        <f>审定报表!D69</f>
        <v>0</v>
      </c>
      <c r="D69" s="916" t="str">
        <f t="shared" si="0"/>
        <v/>
      </c>
      <c r="E69" s="122">
        <f>审定报表!C69</f>
        <v>0</v>
      </c>
      <c r="F69" s="124" t="str">
        <f t="shared" si="1"/>
        <v/>
      </c>
      <c r="G69" s="122">
        <f t="shared" si="2"/>
        <v>0</v>
      </c>
      <c r="H69" s="123" t="str">
        <f t="shared" si="3"/>
        <v/>
      </c>
      <c r="I69" s="187" t="str">
        <f>IF(H69="","",IF(OR(ABS(H69)&gt;=30%,ABS(G69)&gt;=$E$127*5%,ABS(G69)&gt;=已审PL分析!$E$42*10%),"显著",IF(ABS(H69)&gt;=10%,"关注","")))</f>
        <v/>
      </c>
      <c r="J69" s="122"/>
      <c r="K69" s="915" t="str">
        <f t="shared" si="4"/>
        <v/>
      </c>
      <c r="L69" s="914" t="str">
        <f t="shared" si="5"/>
        <v/>
      </c>
      <c r="M69" s="930"/>
    </row>
    <row r="70" spans="1:13" ht="13.95" customHeight="1">
      <c r="A70" s="938" t="str">
        <f>未审报表!A70</f>
        <v>长期应收款原值</v>
      </c>
      <c r="B70" s="460">
        <f>未审报表!B70</f>
        <v>64</v>
      </c>
      <c r="C70" s="405">
        <f>审定报表!D70</f>
        <v>0</v>
      </c>
      <c r="D70" s="916" t="str">
        <f t="shared" si="0"/>
        <v/>
      </c>
      <c r="E70" s="122">
        <f>审定报表!C70</f>
        <v>0</v>
      </c>
      <c r="F70" s="124" t="str">
        <f t="shared" si="1"/>
        <v/>
      </c>
      <c r="G70" s="122">
        <f t="shared" si="2"/>
        <v>0</v>
      </c>
      <c r="H70" s="123" t="str">
        <f t="shared" si="3"/>
        <v/>
      </c>
      <c r="I70" s="187" t="str">
        <f>IF(H70="","",IF(OR(ABS(H70)&gt;=30%,ABS(G70)&gt;=$E$127*5%,ABS(G70)&gt;=已审PL分析!$E$42*10%),"显著",IF(ABS(H70)&gt;=10%,"关注","")))</f>
        <v/>
      </c>
      <c r="J70" s="122"/>
      <c r="K70" s="915" t="str">
        <f t="shared" si="4"/>
        <v/>
      </c>
      <c r="L70" s="914" t="str">
        <f t="shared" si="5"/>
        <v/>
      </c>
      <c r="M70" s="930"/>
    </row>
    <row r="71" spans="1:13" ht="13.95" customHeight="1">
      <c r="A71" s="938" t="str">
        <f>未审报表!A71</f>
        <v>长期应收款坏账准备</v>
      </c>
      <c r="B71" s="460">
        <f>未审报表!B71</f>
        <v>65</v>
      </c>
      <c r="C71" s="405">
        <f>审定报表!D71</f>
        <v>0</v>
      </c>
      <c r="D71" s="916" t="str">
        <f t="shared" si="0"/>
        <v/>
      </c>
      <c r="E71" s="122">
        <f>审定报表!C71</f>
        <v>0</v>
      </c>
      <c r="F71" s="124" t="str">
        <f t="shared" si="1"/>
        <v/>
      </c>
      <c r="G71" s="122">
        <f t="shared" si="2"/>
        <v>0</v>
      </c>
      <c r="H71" s="123" t="str">
        <f t="shared" si="3"/>
        <v/>
      </c>
      <c r="I71" s="187" t="str">
        <f>IF(H71="","",IF(OR(ABS(H71)&gt;=30%,ABS(G71)&gt;=$E$127*5%,ABS(G71)&gt;=已审PL分析!$E$42*10%),"显著",IF(ABS(H71)&gt;=10%,"关注","")))</f>
        <v/>
      </c>
      <c r="J71" s="122"/>
      <c r="K71" s="915" t="str">
        <f t="shared" si="4"/>
        <v/>
      </c>
      <c r="L71" s="914" t="str">
        <f t="shared" si="5"/>
        <v/>
      </c>
      <c r="M71" s="930"/>
    </row>
    <row r="72" spans="1:13" ht="13.95" customHeight="1">
      <c r="A72" s="938" t="str">
        <f>未审报表!A72</f>
        <v>长期应收款</v>
      </c>
      <c r="B72" s="460">
        <f>未审报表!B72</f>
        <v>66</v>
      </c>
      <c r="C72" s="405">
        <f>审定报表!D72</f>
        <v>0</v>
      </c>
      <c r="D72" s="916" t="str">
        <f t="shared" si="0"/>
        <v/>
      </c>
      <c r="E72" s="122">
        <f>审定报表!C72</f>
        <v>0</v>
      </c>
      <c r="F72" s="124" t="str">
        <f t="shared" si="1"/>
        <v/>
      </c>
      <c r="G72" s="122">
        <f t="shared" si="2"/>
        <v>0</v>
      </c>
      <c r="H72" s="123" t="str">
        <f t="shared" si="3"/>
        <v/>
      </c>
      <c r="I72" s="187" t="str">
        <f>IF(H72="","",IF(OR(ABS(H72)&gt;=30%,ABS(G72)&gt;=$E$127*5%,ABS(G72)&gt;=已审PL分析!$E$42*10%),"显著",IF(ABS(H72)&gt;=10%,"关注","")))</f>
        <v/>
      </c>
      <c r="J72" s="122"/>
      <c r="K72" s="915" t="str">
        <f t="shared" si="4"/>
        <v/>
      </c>
      <c r="L72" s="914" t="str">
        <f t="shared" si="5"/>
        <v/>
      </c>
      <c r="M72" s="930"/>
    </row>
    <row r="73" spans="1:13" ht="13.95" customHeight="1">
      <c r="A73" s="938" t="str">
        <f>未审报表!A73</f>
        <v>设定受益计划净资产</v>
      </c>
      <c r="B73" s="460">
        <f>未审报表!B73</f>
        <v>67</v>
      </c>
      <c r="C73" s="405">
        <f>审定报表!D73</f>
        <v>0</v>
      </c>
      <c r="D73" s="916" t="str">
        <f t="shared" ref="D73:D136" si="6">IF(AND(C73&lt;&gt;0,$C$127&lt;&gt;0),C73/$C$127,"")</f>
        <v/>
      </c>
      <c r="E73" s="122">
        <f>审定报表!C73</f>
        <v>0</v>
      </c>
      <c r="F73" s="124" t="str">
        <f t="shared" ref="F73:F136" si="7">IF(AND(E73&lt;&gt;0,$E$127&lt;&gt;0),E73/$E$127,"")</f>
        <v/>
      </c>
      <c r="G73" s="122">
        <f t="shared" ref="G73:G136" si="8">E73-C73</f>
        <v>0</v>
      </c>
      <c r="H73" s="123" t="str">
        <f t="shared" ref="H73:H136" si="9">IF(AND(C73=0,E73=0),"",IF(C73=0,100%,IF(E73=0,-100%,G73/C73)))</f>
        <v/>
      </c>
      <c r="I73" s="187" t="str">
        <f>IF(H73="","",IF(OR(ABS(H73)&gt;=30%,ABS(G73)&gt;=$E$127*5%,ABS(G73)&gt;=已审PL分析!$E$42*10%),"显著",IF(ABS(H73)&gt;=10%,"关注","")))</f>
        <v/>
      </c>
      <c r="J73" s="122"/>
      <c r="K73" s="915" t="str">
        <f t="shared" ref="K73:K136" si="10">IF(AND(D73="",F73=""),"",IF(D73="",F73,IF(F73="",-D73,F73-D73)))</f>
        <v/>
      </c>
      <c r="L73" s="914" t="str">
        <f t="shared" ref="L73:L136" si="11">IF(K73="","",IF(ABS(K73)&gt;=30%,"显著",IF(ABS(K73)&gt;=10%,"关注","")))</f>
        <v/>
      </c>
      <c r="M73" s="930"/>
    </row>
    <row r="74" spans="1:13" ht="13.95" customHeight="1">
      <c r="A74" s="938" t="str">
        <f>未审报表!A74</f>
        <v>长期股权投资原值</v>
      </c>
      <c r="B74" s="460">
        <f>未审报表!B74</f>
        <v>68</v>
      </c>
      <c r="C74" s="405">
        <f>审定报表!D74</f>
        <v>11290037.73</v>
      </c>
      <c r="D74" s="916">
        <f t="shared" si="6"/>
        <v>0.15785811472816169</v>
      </c>
      <c r="E74" s="122">
        <f>审定报表!C74</f>
        <v>32990039.890000001</v>
      </c>
      <c r="F74" s="124">
        <f t="shared" si="7"/>
        <v>0.25444645214004535</v>
      </c>
      <c r="G74" s="122">
        <f t="shared" si="8"/>
        <v>21700002.16</v>
      </c>
      <c r="H74" s="123">
        <f t="shared" si="9"/>
        <v>1.9220486838886763</v>
      </c>
      <c r="I74" s="187" t="str">
        <f>IF(H74="","",IF(OR(ABS(H74)&gt;=30%,ABS(G74)&gt;=$E$127*5%,ABS(G74)&gt;=已审PL分析!$E$42*10%),"显著",IF(ABS(H74)&gt;=10%,"关注","")))</f>
        <v>显著</v>
      </c>
      <c r="J74" s="122"/>
      <c r="K74" s="915">
        <f t="shared" si="10"/>
        <v>9.6588337411883662E-2</v>
      </c>
      <c r="L74" s="914" t="str">
        <f t="shared" si="11"/>
        <v/>
      </c>
      <c r="M74" s="930"/>
    </row>
    <row r="75" spans="1:13" ht="13.95" customHeight="1">
      <c r="A75" s="938" t="str">
        <f>未审报表!A75</f>
        <v>长期股权投资减值准备</v>
      </c>
      <c r="B75" s="460">
        <f>未审报表!B75</f>
        <v>69</v>
      </c>
      <c r="C75" s="405">
        <f>审定报表!D75</f>
        <v>0</v>
      </c>
      <c r="D75" s="916" t="str">
        <f t="shared" si="6"/>
        <v/>
      </c>
      <c r="E75" s="122">
        <f>审定报表!C75</f>
        <v>0</v>
      </c>
      <c r="F75" s="124" t="str">
        <f t="shared" si="7"/>
        <v/>
      </c>
      <c r="G75" s="122">
        <f t="shared" si="8"/>
        <v>0</v>
      </c>
      <c r="H75" s="123" t="str">
        <f t="shared" si="9"/>
        <v/>
      </c>
      <c r="I75" s="187" t="str">
        <f>IF(H75="","",IF(OR(ABS(H75)&gt;=30%,ABS(G75)&gt;=$E$127*5%,ABS(G75)&gt;=已审PL分析!$E$42*10%),"显著",IF(ABS(H75)&gt;=10%,"关注","")))</f>
        <v/>
      </c>
      <c r="J75" s="122"/>
      <c r="K75" s="915" t="str">
        <f t="shared" si="10"/>
        <v/>
      </c>
      <c r="L75" s="914" t="str">
        <f t="shared" si="11"/>
        <v/>
      </c>
      <c r="M75" s="930"/>
    </row>
    <row r="76" spans="1:13" ht="13.95" customHeight="1">
      <c r="A76" s="938" t="str">
        <f>未审报表!A76</f>
        <v>长期股权投资</v>
      </c>
      <c r="B76" s="460">
        <f>未审报表!B76</f>
        <v>70</v>
      </c>
      <c r="C76" s="405">
        <f>审定报表!D76</f>
        <v>11290037.73</v>
      </c>
      <c r="D76" s="916">
        <f t="shared" si="6"/>
        <v>0.15785811472816169</v>
      </c>
      <c r="E76" s="122">
        <f>审定报表!C76</f>
        <v>32990039.890000001</v>
      </c>
      <c r="F76" s="124">
        <f t="shared" si="7"/>
        <v>0.25444645214004535</v>
      </c>
      <c r="G76" s="122">
        <f t="shared" si="8"/>
        <v>21700002.16</v>
      </c>
      <c r="H76" s="123">
        <f t="shared" si="9"/>
        <v>1.9220486838886763</v>
      </c>
      <c r="I76" s="187" t="str">
        <f>IF(H76="","",IF(OR(ABS(H76)&gt;=30%,ABS(G76)&gt;=$E$127*5%,ABS(G76)&gt;=已审PL分析!$E$42*10%),"显著",IF(ABS(H76)&gt;=10%,"关注","")))</f>
        <v>显著</v>
      </c>
      <c r="J76" s="122"/>
      <c r="K76" s="915">
        <f t="shared" si="10"/>
        <v>9.6588337411883662E-2</v>
      </c>
      <c r="L76" s="914" t="str">
        <f t="shared" si="11"/>
        <v/>
      </c>
      <c r="M76" s="930"/>
    </row>
    <row r="77" spans="1:13" ht="13.95" customHeight="1">
      <c r="A77" s="938" t="str">
        <f>未审报表!A77</f>
        <v>其他权益工具投资</v>
      </c>
      <c r="B77" s="460">
        <f>未审报表!B77</f>
        <v>71</v>
      </c>
      <c r="C77" s="405">
        <f>审定报表!D77</f>
        <v>0</v>
      </c>
      <c r="D77" s="916" t="str">
        <f t="shared" si="6"/>
        <v/>
      </c>
      <c r="E77" s="122">
        <f>审定报表!C77</f>
        <v>0</v>
      </c>
      <c r="F77" s="124" t="str">
        <f t="shared" si="7"/>
        <v/>
      </c>
      <c r="G77" s="122">
        <f t="shared" si="8"/>
        <v>0</v>
      </c>
      <c r="H77" s="123" t="str">
        <f t="shared" si="9"/>
        <v/>
      </c>
      <c r="I77" s="187" t="str">
        <f>IF(H77="","",IF(OR(ABS(H77)&gt;=30%,ABS(G77)&gt;=$E$127*5%,ABS(G77)&gt;=已审PL分析!$E$42*10%),"显著",IF(ABS(H77)&gt;=10%,"关注","")))</f>
        <v/>
      </c>
      <c r="J77" s="122"/>
      <c r="K77" s="915" t="str">
        <f t="shared" si="10"/>
        <v/>
      </c>
      <c r="L77" s="914" t="str">
        <f t="shared" si="11"/>
        <v/>
      </c>
      <c r="M77" s="930"/>
    </row>
    <row r="78" spans="1:13" ht="13.95" customHeight="1">
      <c r="A78" s="938" t="str">
        <f>未审报表!A78</f>
        <v>其他非流动金融资产</v>
      </c>
      <c r="B78" s="460">
        <f>未审报表!B78</f>
        <v>72</v>
      </c>
      <c r="C78" s="405">
        <f>审定报表!D78</f>
        <v>0</v>
      </c>
      <c r="D78" s="916" t="str">
        <f t="shared" si="6"/>
        <v/>
      </c>
      <c r="E78" s="122">
        <f>审定报表!C78</f>
        <v>0</v>
      </c>
      <c r="F78" s="124" t="str">
        <f t="shared" si="7"/>
        <v/>
      </c>
      <c r="G78" s="122">
        <f t="shared" si="8"/>
        <v>0</v>
      </c>
      <c r="H78" s="123" t="str">
        <f t="shared" si="9"/>
        <v/>
      </c>
      <c r="I78" s="187" t="str">
        <f>IF(H78="","",IF(OR(ABS(H78)&gt;=30%,ABS(G78)&gt;=$E$127*5%,ABS(G78)&gt;=已审PL分析!$E$42*10%),"显著",IF(ABS(H78)&gt;=10%,"关注","")))</f>
        <v/>
      </c>
      <c r="J78" s="122"/>
      <c r="K78" s="915" t="str">
        <f t="shared" si="10"/>
        <v/>
      </c>
      <c r="L78" s="914" t="str">
        <f t="shared" si="11"/>
        <v/>
      </c>
      <c r="M78" s="930"/>
    </row>
    <row r="79" spans="1:13" ht="13.95" customHeight="1">
      <c r="A79" s="938" t="str">
        <f>未审报表!A79</f>
        <v>投资性房地产原值</v>
      </c>
      <c r="B79" s="460">
        <f>未审报表!B79</f>
        <v>73</v>
      </c>
      <c r="C79" s="405">
        <f>审定报表!D79</f>
        <v>0</v>
      </c>
      <c r="D79" s="916" t="str">
        <f t="shared" si="6"/>
        <v/>
      </c>
      <c r="E79" s="122">
        <f>审定报表!C79</f>
        <v>0</v>
      </c>
      <c r="F79" s="124" t="str">
        <f t="shared" si="7"/>
        <v/>
      </c>
      <c r="G79" s="122">
        <f t="shared" si="8"/>
        <v>0</v>
      </c>
      <c r="H79" s="123" t="str">
        <f t="shared" si="9"/>
        <v/>
      </c>
      <c r="I79" s="187" t="str">
        <f>IF(H79="","",IF(OR(ABS(H79)&gt;=30%,ABS(G79)&gt;=$E$127*5%,ABS(G79)&gt;=已审PL分析!$E$42*10%),"显著",IF(ABS(H79)&gt;=10%,"关注","")))</f>
        <v/>
      </c>
      <c r="J79" s="122"/>
      <c r="K79" s="915" t="str">
        <f t="shared" si="10"/>
        <v/>
      </c>
      <c r="L79" s="914" t="str">
        <f t="shared" si="11"/>
        <v/>
      </c>
      <c r="M79" s="930"/>
    </row>
    <row r="80" spans="1:13" ht="13.95" customHeight="1">
      <c r="A80" s="938" t="str">
        <f>未审报表!A80</f>
        <v>投资性房地产累计折旧</v>
      </c>
      <c r="B80" s="460">
        <f>未审报表!B80</f>
        <v>74</v>
      </c>
      <c r="C80" s="405">
        <f>审定报表!D80</f>
        <v>0</v>
      </c>
      <c r="D80" s="916" t="str">
        <f t="shared" si="6"/>
        <v/>
      </c>
      <c r="E80" s="122">
        <f>审定报表!C80</f>
        <v>0</v>
      </c>
      <c r="F80" s="124" t="str">
        <f t="shared" si="7"/>
        <v/>
      </c>
      <c r="G80" s="122">
        <f t="shared" si="8"/>
        <v>0</v>
      </c>
      <c r="H80" s="123" t="str">
        <f t="shared" si="9"/>
        <v/>
      </c>
      <c r="I80" s="187" t="str">
        <f>IF(H80="","",IF(OR(ABS(H80)&gt;=30%,ABS(G80)&gt;=$E$127*5%,ABS(G80)&gt;=已审PL分析!$E$42*10%),"显著",IF(ABS(H80)&gt;=10%,"关注","")))</f>
        <v/>
      </c>
      <c r="J80" s="122"/>
      <c r="K80" s="915" t="str">
        <f t="shared" si="10"/>
        <v/>
      </c>
      <c r="L80" s="914" t="str">
        <f t="shared" si="11"/>
        <v/>
      </c>
      <c r="M80" s="930"/>
    </row>
    <row r="81" spans="1:13" ht="13.95" customHeight="1">
      <c r="A81" s="938" t="str">
        <f>未审报表!A81</f>
        <v>投资性房地产净值</v>
      </c>
      <c r="B81" s="460">
        <f>未审报表!B81</f>
        <v>75</v>
      </c>
      <c r="C81" s="405">
        <f>审定报表!D81</f>
        <v>0</v>
      </c>
      <c r="D81" s="916" t="str">
        <f t="shared" si="6"/>
        <v/>
      </c>
      <c r="E81" s="122">
        <f>审定报表!C81</f>
        <v>0</v>
      </c>
      <c r="F81" s="124" t="str">
        <f t="shared" si="7"/>
        <v/>
      </c>
      <c r="G81" s="122">
        <f t="shared" si="8"/>
        <v>0</v>
      </c>
      <c r="H81" s="123" t="str">
        <f t="shared" si="9"/>
        <v/>
      </c>
      <c r="I81" s="187" t="str">
        <f>IF(H81="","",IF(OR(ABS(H81)&gt;=30%,ABS(G81)&gt;=$E$127*5%,ABS(G81)&gt;=已审PL分析!$E$42*10%),"显著",IF(ABS(H81)&gt;=10%,"关注","")))</f>
        <v/>
      </c>
      <c r="J81" s="122"/>
      <c r="K81" s="915" t="str">
        <f t="shared" si="10"/>
        <v/>
      </c>
      <c r="L81" s="914" t="str">
        <f t="shared" si="11"/>
        <v/>
      </c>
      <c r="M81" s="930"/>
    </row>
    <row r="82" spans="1:13" ht="13.95" customHeight="1">
      <c r="A82" s="938" t="str">
        <f>未审报表!A82</f>
        <v>投资性房地产减值准备</v>
      </c>
      <c r="B82" s="460">
        <f>未审报表!B82</f>
        <v>76</v>
      </c>
      <c r="C82" s="405">
        <f>审定报表!D82</f>
        <v>0</v>
      </c>
      <c r="D82" s="916" t="str">
        <f t="shared" si="6"/>
        <v/>
      </c>
      <c r="E82" s="122">
        <f>审定报表!C82</f>
        <v>0</v>
      </c>
      <c r="F82" s="124" t="str">
        <f t="shared" si="7"/>
        <v/>
      </c>
      <c r="G82" s="122">
        <f t="shared" si="8"/>
        <v>0</v>
      </c>
      <c r="H82" s="123" t="str">
        <f t="shared" si="9"/>
        <v/>
      </c>
      <c r="I82" s="187" t="str">
        <f>IF(H82="","",IF(OR(ABS(H82)&gt;=30%,ABS(G82)&gt;=$E$127*5%,ABS(G82)&gt;=已审PL分析!$E$42*10%),"显著",IF(ABS(H82)&gt;=10%,"关注","")))</f>
        <v/>
      </c>
      <c r="J82" s="122"/>
      <c r="K82" s="915" t="str">
        <f t="shared" si="10"/>
        <v/>
      </c>
      <c r="L82" s="914" t="str">
        <f t="shared" si="11"/>
        <v/>
      </c>
      <c r="M82" s="930"/>
    </row>
    <row r="83" spans="1:13" ht="13.95" customHeight="1">
      <c r="A83" s="938" t="str">
        <f>未审报表!A83</f>
        <v>投资性房地产</v>
      </c>
      <c r="B83" s="460">
        <f>未审报表!B83</f>
        <v>77</v>
      </c>
      <c r="C83" s="405">
        <f>审定报表!D83</f>
        <v>0</v>
      </c>
      <c r="D83" s="916" t="str">
        <f t="shared" si="6"/>
        <v/>
      </c>
      <c r="E83" s="122">
        <f>审定报表!C83</f>
        <v>0</v>
      </c>
      <c r="F83" s="124" t="str">
        <f t="shared" si="7"/>
        <v/>
      </c>
      <c r="G83" s="122">
        <f t="shared" si="8"/>
        <v>0</v>
      </c>
      <c r="H83" s="123" t="str">
        <f t="shared" si="9"/>
        <v/>
      </c>
      <c r="I83" s="187" t="str">
        <f>IF(H83="","",IF(OR(ABS(H83)&gt;=30%,ABS(G83)&gt;=$E$127*5%,ABS(G83)&gt;=已审PL分析!$E$42*10%),"显著",IF(ABS(H83)&gt;=10%,"关注","")))</f>
        <v/>
      </c>
      <c r="J83" s="122"/>
      <c r="K83" s="915" t="str">
        <f t="shared" si="10"/>
        <v/>
      </c>
      <c r="L83" s="914" t="str">
        <f t="shared" si="11"/>
        <v/>
      </c>
      <c r="M83" s="930"/>
    </row>
    <row r="84" spans="1:13" ht="13.95" customHeight="1">
      <c r="A84" s="938" t="str">
        <f>未审报表!A84</f>
        <v>固定资产原值</v>
      </c>
      <c r="B84" s="460">
        <f>未审报表!B84</f>
        <v>78</v>
      </c>
      <c r="C84" s="405">
        <f>审定报表!D84</f>
        <v>0</v>
      </c>
      <c r="D84" s="916" t="str">
        <f t="shared" si="6"/>
        <v/>
      </c>
      <c r="E84" s="122">
        <f>审定报表!C84</f>
        <v>114529.92</v>
      </c>
      <c r="F84" s="124">
        <f t="shared" si="7"/>
        <v>8.8334939591014914E-4</v>
      </c>
      <c r="G84" s="122">
        <f t="shared" si="8"/>
        <v>114529.92</v>
      </c>
      <c r="H84" s="123">
        <f t="shared" si="9"/>
        <v>1</v>
      </c>
      <c r="I84" s="187" t="str">
        <f>IF(H84="","",IF(OR(ABS(H84)&gt;=30%,ABS(G84)&gt;=$E$127*5%,ABS(G84)&gt;=已审PL分析!$E$42*10%),"显著",IF(ABS(H84)&gt;=10%,"关注","")))</f>
        <v>显著</v>
      </c>
      <c r="J84" s="122"/>
      <c r="K84" s="915">
        <f t="shared" si="10"/>
        <v>8.8334939591014914E-4</v>
      </c>
      <c r="L84" s="914" t="str">
        <f t="shared" si="11"/>
        <v/>
      </c>
      <c r="M84" s="930"/>
    </row>
    <row r="85" spans="1:13" ht="13.95" customHeight="1">
      <c r="A85" s="938" t="str">
        <f>未审报表!A85</f>
        <v>固定资产累计折旧</v>
      </c>
      <c r="B85" s="460">
        <f>未审报表!B85</f>
        <v>79</v>
      </c>
      <c r="C85" s="405">
        <f>审定报表!D85</f>
        <v>0</v>
      </c>
      <c r="D85" s="916" t="str">
        <f t="shared" si="6"/>
        <v/>
      </c>
      <c r="E85" s="122">
        <f>审定报表!C85</f>
        <v>15907.1</v>
      </c>
      <c r="F85" s="124">
        <f t="shared" si="7"/>
        <v>1.2268870156970628E-4</v>
      </c>
      <c r="G85" s="122">
        <f t="shared" si="8"/>
        <v>15907.1</v>
      </c>
      <c r="H85" s="123">
        <f t="shared" si="9"/>
        <v>1</v>
      </c>
      <c r="I85" s="187" t="str">
        <f>IF(H85="","",IF(OR(ABS(H85)&gt;=30%,ABS(G85)&gt;=$E$127*5%,ABS(G85)&gt;=已审PL分析!$E$42*10%),"显著",IF(ABS(H85)&gt;=10%,"关注","")))</f>
        <v>显著</v>
      </c>
      <c r="J85" s="122"/>
      <c r="K85" s="915">
        <f t="shared" si="10"/>
        <v>1.2268870156970628E-4</v>
      </c>
      <c r="L85" s="914" t="str">
        <f t="shared" si="11"/>
        <v/>
      </c>
      <c r="M85" s="930"/>
    </row>
    <row r="86" spans="1:13" ht="13.95" customHeight="1">
      <c r="A86" s="938" t="str">
        <f>未审报表!A86</f>
        <v>固定资产净值</v>
      </c>
      <c r="B86" s="460">
        <f>未审报表!B86</f>
        <v>80</v>
      </c>
      <c r="C86" s="405">
        <f>审定报表!D86</f>
        <v>0</v>
      </c>
      <c r="D86" s="916" t="str">
        <f t="shared" si="6"/>
        <v/>
      </c>
      <c r="E86" s="122">
        <f>审定报表!C86</f>
        <v>98622.819999999992</v>
      </c>
      <c r="F86" s="124">
        <f t="shared" si="7"/>
        <v>7.6066069434044291E-4</v>
      </c>
      <c r="G86" s="122">
        <f t="shared" si="8"/>
        <v>98622.819999999992</v>
      </c>
      <c r="H86" s="123">
        <f t="shared" si="9"/>
        <v>1</v>
      </c>
      <c r="I86" s="187" t="str">
        <f>IF(H86="","",IF(OR(ABS(H86)&gt;=30%,ABS(G86)&gt;=$E$127*5%,ABS(G86)&gt;=已审PL分析!$E$42*10%),"显著",IF(ABS(H86)&gt;=10%,"关注","")))</f>
        <v>显著</v>
      </c>
      <c r="J86" s="122"/>
      <c r="K86" s="915">
        <f t="shared" si="10"/>
        <v>7.6066069434044291E-4</v>
      </c>
      <c r="L86" s="914" t="str">
        <f t="shared" si="11"/>
        <v/>
      </c>
      <c r="M86" s="930"/>
    </row>
    <row r="87" spans="1:13" ht="13.95" customHeight="1">
      <c r="A87" s="938" t="str">
        <f>未审报表!A87</f>
        <v>固定资产减值准备</v>
      </c>
      <c r="B87" s="460">
        <f>未审报表!B87</f>
        <v>81</v>
      </c>
      <c r="C87" s="405">
        <f>审定报表!D87</f>
        <v>0</v>
      </c>
      <c r="D87" s="916" t="str">
        <f t="shared" si="6"/>
        <v/>
      </c>
      <c r="E87" s="122">
        <f>审定报表!C87</f>
        <v>0</v>
      </c>
      <c r="F87" s="124" t="str">
        <f t="shared" si="7"/>
        <v/>
      </c>
      <c r="G87" s="122">
        <f t="shared" si="8"/>
        <v>0</v>
      </c>
      <c r="H87" s="123" t="str">
        <f t="shared" si="9"/>
        <v/>
      </c>
      <c r="I87" s="187" t="str">
        <f>IF(H87="","",IF(OR(ABS(H87)&gt;=30%,ABS(G87)&gt;=$E$127*5%,ABS(G87)&gt;=已审PL分析!$E$42*10%),"显著",IF(ABS(H87)&gt;=10%,"关注","")))</f>
        <v/>
      </c>
      <c r="J87" s="122"/>
      <c r="K87" s="915" t="str">
        <f t="shared" si="10"/>
        <v/>
      </c>
      <c r="L87" s="914" t="str">
        <f t="shared" si="11"/>
        <v/>
      </c>
      <c r="M87" s="930"/>
    </row>
    <row r="88" spans="1:13" ht="13.95" customHeight="1">
      <c r="A88" s="938" t="str">
        <f>未审报表!A88</f>
        <v>固定资产</v>
      </c>
      <c r="B88" s="460">
        <f>未审报表!B88</f>
        <v>82</v>
      </c>
      <c r="C88" s="405">
        <f>审定报表!D88</f>
        <v>0</v>
      </c>
      <c r="D88" s="916" t="str">
        <f t="shared" si="6"/>
        <v/>
      </c>
      <c r="E88" s="122">
        <f>审定报表!C88</f>
        <v>98622.819999999992</v>
      </c>
      <c r="F88" s="124">
        <f t="shared" si="7"/>
        <v>7.6066069434044291E-4</v>
      </c>
      <c r="G88" s="122">
        <f t="shared" si="8"/>
        <v>98622.819999999992</v>
      </c>
      <c r="H88" s="123">
        <f t="shared" si="9"/>
        <v>1</v>
      </c>
      <c r="I88" s="187" t="str">
        <f>IF(H88="","",IF(OR(ABS(H88)&gt;=30%,ABS(G88)&gt;=$E$127*5%,ABS(G88)&gt;=已审PL分析!$E$42*10%),"显著",IF(ABS(H88)&gt;=10%,"关注","")))</f>
        <v>显著</v>
      </c>
      <c r="J88" s="122"/>
      <c r="K88" s="915">
        <f t="shared" si="10"/>
        <v>7.6066069434044291E-4</v>
      </c>
      <c r="L88" s="914" t="str">
        <f t="shared" si="11"/>
        <v/>
      </c>
      <c r="M88" s="930"/>
    </row>
    <row r="89" spans="1:13" ht="13.95" customHeight="1">
      <c r="A89" s="938" t="str">
        <f>未审报表!A89</f>
        <v>固定资产清理</v>
      </c>
      <c r="B89" s="460">
        <f>未审报表!B89</f>
        <v>83</v>
      </c>
      <c r="C89" s="405">
        <f>审定报表!D89</f>
        <v>0</v>
      </c>
      <c r="D89" s="916" t="str">
        <f t="shared" si="6"/>
        <v/>
      </c>
      <c r="E89" s="122">
        <f>审定报表!C89</f>
        <v>0</v>
      </c>
      <c r="F89" s="124" t="str">
        <f t="shared" si="7"/>
        <v/>
      </c>
      <c r="G89" s="122">
        <f t="shared" si="8"/>
        <v>0</v>
      </c>
      <c r="H89" s="123" t="str">
        <f t="shared" si="9"/>
        <v/>
      </c>
      <c r="I89" s="187" t="str">
        <f>IF(H89="","",IF(OR(ABS(H89)&gt;=30%,ABS(G89)&gt;=$E$127*5%,ABS(G89)&gt;=已审PL分析!$E$42*10%),"显著",IF(ABS(H89)&gt;=10%,"关注","")))</f>
        <v/>
      </c>
      <c r="J89" s="122"/>
      <c r="K89" s="915" t="str">
        <f t="shared" si="10"/>
        <v/>
      </c>
      <c r="L89" s="914" t="str">
        <f t="shared" si="11"/>
        <v/>
      </c>
      <c r="M89" s="930"/>
    </row>
    <row r="90" spans="1:13" ht="13.95" customHeight="1">
      <c r="A90" s="938" t="str">
        <f>未审报表!A90</f>
        <v>在建工程原值</v>
      </c>
      <c r="B90" s="460">
        <f>未审报表!B90</f>
        <v>84</v>
      </c>
      <c r="C90" s="405">
        <f>审定报表!D90</f>
        <v>0</v>
      </c>
      <c r="D90" s="916" t="str">
        <f t="shared" si="6"/>
        <v/>
      </c>
      <c r="E90" s="122">
        <f>审定报表!C90</f>
        <v>0</v>
      </c>
      <c r="F90" s="124" t="str">
        <f t="shared" si="7"/>
        <v/>
      </c>
      <c r="G90" s="122">
        <f t="shared" si="8"/>
        <v>0</v>
      </c>
      <c r="H90" s="123" t="str">
        <f t="shared" si="9"/>
        <v/>
      </c>
      <c r="I90" s="187" t="str">
        <f>IF(H90="","",IF(OR(ABS(H90)&gt;=30%,ABS(G90)&gt;=$E$127*5%,ABS(G90)&gt;=已审PL分析!$E$42*10%),"显著",IF(ABS(H90)&gt;=10%,"关注","")))</f>
        <v/>
      </c>
      <c r="J90" s="122"/>
      <c r="K90" s="915" t="str">
        <f t="shared" si="10"/>
        <v/>
      </c>
      <c r="L90" s="914" t="str">
        <f t="shared" si="11"/>
        <v/>
      </c>
      <c r="M90" s="930"/>
    </row>
    <row r="91" spans="1:13" ht="13.95" customHeight="1">
      <c r="A91" s="938" t="str">
        <f>未审报表!A91</f>
        <v>在建工程减值准备</v>
      </c>
      <c r="B91" s="460">
        <f>未审报表!B91</f>
        <v>85</v>
      </c>
      <c r="C91" s="405">
        <f>审定报表!D91</f>
        <v>0</v>
      </c>
      <c r="D91" s="916" t="str">
        <f t="shared" si="6"/>
        <v/>
      </c>
      <c r="E91" s="122">
        <f>审定报表!C91</f>
        <v>0</v>
      </c>
      <c r="F91" s="124" t="str">
        <f t="shared" si="7"/>
        <v/>
      </c>
      <c r="G91" s="122">
        <f t="shared" si="8"/>
        <v>0</v>
      </c>
      <c r="H91" s="123" t="str">
        <f t="shared" si="9"/>
        <v/>
      </c>
      <c r="I91" s="187" t="str">
        <f>IF(H91="","",IF(OR(ABS(H91)&gt;=30%,ABS(G91)&gt;=$E$127*5%,ABS(G91)&gt;=已审PL分析!$E$42*10%),"显著",IF(ABS(H91)&gt;=10%,"关注","")))</f>
        <v/>
      </c>
      <c r="J91" s="122"/>
      <c r="K91" s="915" t="str">
        <f t="shared" si="10"/>
        <v/>
      </c>
      <c r="L91" s="914" t="str">
        <f t="shared" si="11"/>
        <v/>
      </c>
      <c r="M91" s="930"/>
    </row>
    <row r="92" spans="1:13" ht="13.95" customHeight="1">
      <c r="A92" s="938" t="str">
        <f>未审报表!A92</f>
        <v>在建工程</v>
      </c>
      <c r="B92" s="460">
        <f>未审报表!B92</f>
        <v>86</v>
      </c>
      <c r="C92" s="405">
        <f>审定报表!D92</f>
        <v>0</v>
      </c>
      <c r="D92" s="916" t="str">
        <f t="shared" si="6"/>
        <v/>
      </c>
      <c r="E92" s="122">
        <f>审定报表!C92</f>
        <v>0</v>
      </c>
      <c r="F92" s="124" t="str">
        <f t="shared" si="7"/>
        <v/>
      </c>
      <c r="G92" s="122">
        <f t="shared" si="8"/>
        <v>0</v>
      </c>
      <c r="H92" s="123" t="str">
        <f t="shared" si="9"/>
        <v/>
      </c>
      <c r="I92" s="187" t="str">
        <f>IF(H92="","",IF(OR(ABS(H92)&gt;=30%,ABS(G92)&gt;=$E$127*5%,ABS(G92)&gt;=已审PL分析!$E$42*10%),"显著",IF(ABS(H92)&gt;=10%,"关注","")))</f>
        <v/>
      </c>
      <c r="J92" s="122"/>
      <c r="K92" s="915" t="str">
        <f t="shared" si="10"/>
        <v/>
      </c>
      <c r="L92" s="914" t="str">
        <f t="shared" si="11"/>
        <v/>
      </c>
      <c r="M92" s="930"/>
    </row>
    <row r="93" spans="1:13" ht="13.95" customHeight="1">
      <c r="A93" s="938" t="str">
        <f>未审报表!A93</f>
        <v>工程物资原值</v>
      </c>
      <c r="B93" s="460">
        <f>未审报表!B93</f>
        <v>87</v>
      </c>
      <c r="C93" s="405">
        <f>审定报表!D93</f>
        <v>0</v>
      </c>
      <c r="D93" s="916" t="str">
        <f t="shared" si="6"/>
        <v/>
      </c>
      <c r="E93" s="122">
        <f>审定报表!C93</f>
        <v>0</v>
      </c>
      <c r="F93" s="124" t="str">
        <f t="shared" si="7"/>
        <v/>
      </c>
      <c r="G93" s="122">
        <f t="shared" si="8"/>
        <v>0</v>
      </c>
      <c r="H93" s="123" t="str">
        <f t="shared" si="9"/>
        <v/>
      </c>
      <c r="I93" s="187" t="str">
        <f>IF(H93="","",IF(OR(ABS(H93)&gt;=30%,ABS(G93)&gt;=$E$127*5%,ABS(G93)&gt;=已审PL分析!$E$42*10%),"显著",IF(ABS(H93)&gt;=10%,"关注","")))</f>
        <v/>
      </c>
      <c r="J93" s="122"/>
      <c r="K93" s="915" t="str">
        <f t="shared" si="10"/>
        <v/>
      </c>
      <c r="L93" s="914" t="str">
        <f t="shared" si="11"/>
        <v/>
      </c>
      <c r="M93" s="930"/>
    </row>
    <row r="94" spans="1:13" ht="13.95" customHeight="1">
      <c r="A94" s="938" t="str">
        <f>未审报表!A94</f>
        <v>工程物资减值准备</v>
      </c>
      <c r="B94" s="460">
        <f>未审报表!B94</f>
        <v>88</v>
      </c>
      <c r="C94" s="405">
        <f>审定报表!D94</f>
        <v>0</v>
      </c>
      <c r="D94" s="916" t="str">
        <f t="shared" si="6"/>
        <v/>
      </c>
      <c r="E94" s="122">
        <f>审定报表!C94</f>
        <v>0</v>
      </c>
      <c r="F94" s="124" t="str">
        <f t="shared" si="7"/>
        <v/>
      </c>
      <c r="G94" s="122">
        <f t="shared" si="8"/>
        <v>0</v>
      </c>
      <c r="H94" s="123" t="str">
        <f t="shared" si="9"/>
        <v/>
      </c>
      <c r="I94" s="187" t="str">
        <f>IF(H94="","",IF(OR(ABS(H94)&gt;=30%,ABS(G94)&gt;=$E$127*5%,ABS(G94)&gt;=已审PL分析!$E$42*10%),"显著",IF(ABS(H94)&gt;=10%,"关注","")))</f>
        <v/>
      </c>
      <c r="J94" s="122"/>
      <c r="K94" s="915" t="str">
        <f t="shared" si="10"/>
        <v/>
      </c>
      <c r="L94" s="914" t="str">
        <f t="shared" si="11"/>
        <v/>
      </c>
      <c r="M94" s="930"/>
    </row>
    <row r="95" spans="1:13" ht="13.95" customHeight="1">
      <c r="A95" s="938" t="str">
        <f>未审报表!A95</f>
        <v>工程物资</v>
      </c>
      <c r="B95" s="460">
        <f>未审报表!B95</f>
        <v>89</v>
      </c>
      <c r="C95" s="405">
        <f>审定报表!D95</f>
        <v>0</v>
      </c>
      <c r="D95" s="916" t="str">
        <f t="shared" si="6"/>
        <v/>
      </c>
      <c r="E95" s="122">
        <f>审定报表!C95</f>
        <v>0</v>
      </c>
      <c r="F95" s="124" t="str">
        <f t="shared" si="7"/>
        <v/>
      </c>
      <c r="G95" s="122">
        <f t="shared" si="8"/>
        <v>0</v>
      </c>
      <c r="H95" s="123" t="str">
        <f t="shared" si="9"/>
        <v/>
      </c>
      <c r="I95" s="187" t="str">
        <f>IF(H95="","",IF(OR(ABS(H95)&gt;=30%,ABS(G95)&gt;=$E$127*5%,ABS(G95)&gt;=已审PL分析!$E$42*10%),"显著",IF(ABS(H95)&gt;=10%,"关注","")))</f>
        <v/>
      </c>
      <c r="J95" s="122"/>
      <c r="K95" s="915" t="str">
        <f t="shared" si="10"/>
        <v/>
      </c>
      <c r="L95" s="914" t="str">
        <f t="shared" si="11"/>
        <v/>
      </c>
      <c r="M95" s="930"/>
    </row>
    <row r="96" spans="1:13" ht="13.95" customHeight="1">
      <c r="A96" s="938" t="str">
        <f>未审报表!A96</f>
        <v>生产性生物资产原值</v>
      </c>
      <c r="B96" s="460">
        <f>未审报表!B96</f>
        <v>90</v>
      </c>
      <c r="C96" s="405">
        <f>审定报表!D96</f>
        <v>0</v>
      </c>
      <c r="D96" s="916" t="str">
        <f t="shared" si="6"/>
        <v/>
      </c>
      <c r="E96" s="122">
        <f>审定报表!C96</f>
        <v>0</v>
      </c>
      <c r="F96" s="124" t="str">
        <f t="shared" si="7"/>
        <v/>
      </c>
      <c r="G96" s="122">
        <f t="shared" si="8"/>
        <v>0</v>
      </c>
      <c r="H96" s="123" t="str">
        <f t="shared" si="9"/>
        <v/>
      </c>
      <c r="I96" s="187" t="str">
        <f>IF(H96="","",IF(OR(ABS(H96)&gt;=30%,ABS(G96)&gt;=$E$127*5%,ABS(G96)&gt;=已审PL分析!$E$42*10%),"显著",IF(ABS(H96)&gt;=10%,"关注","")))</f>
        <v/>
      </c>
      <c r="J96" s="122"/>
      <c r="K96" s="915" t="str">
        <f t="shared" si="10"/>
        <v/>
      </c>
      <c r="L96" s="914" t="str">
        <f t="shared" si="11"/>
        <v/>
      </c>
      <c r="M96" s="930"/>
    </row>
    <row r="97" spans="1:13" ht="13.95" customHeight="1">
      <c r="A97" s="938" t="str">
        <f>未审报表!A97</f>
        <v>生产性生物资产累计折旧</v>
      </c>
      <c r="B97" s="460">
        <f>未审报表!B97</f>
        <v>91</v>
      </c>
      <c r="C97" s="405">
        <f>审定报表!D97</f>
        <v>0</v>
      </c>
      <c r="D97" s="916" t="str">
        <f t="shared" si="6"/>
        <v/>
      </c>
      <c r="E97" s="122">
        <f>审定报表!C97</f>
        <v>0</v>
      </c>
      <c r="F97" s="124" t="str">
        <f t="shared" si="7"/>
        <v/>
      </c>
      <c r="G97" s="122">
        <f t="shared" si="8"/>
        <v>0</v>
      </c>
      <c r="H97" s="123" t="str">
        <f t="shared" si="9"/>
        <v/>
      </c>
      <c r="I97" s="187" t="str">
        <f>IF(H97="","",IF(OR(ABS(H97)&gt;=30%,ABS(G97)&gt;=$E$127*5%,ABS(G97)&gt;=已审PL分析!$E$42*10%),"显著",IF(ABS(H97)&gt;=10%,"关注","")))</f>
        <v/>
      </c>
      <c r="J97" s="122"/>
      <c r="K97" s="915" t="str">
        <f t="shared" si="10"/>
        <v/>
      </c>
      <c r="L97" s="914" t="str">
        <f t="shared" si="11"/>
        <v/>
      </c>
      <c r="M97" s="930"/>
    </row>
    <row r="98" spans="1:13" ht="13.95" customHeight="1">
      <c r="A98" s="938" t="str">
        <f>未审报表!A98</f>
        <v>生产性生物资产净值</v>
      </c>
      <c r="B98" s="460">
        <f>未审报表!B98</f>
        <v>92</v>
      </c>
      <c r="C98" s="405">
        <f>审定报表!D98</f>
        <v>0</v>
      </c>
      <c r="D98" s="916" t="str">
        <f t="shared" si="6"/>
        <v/>
      </c>
      <c r="E98" s="122">
        <f>审定报表!C98</f>
        <v>0</v>
      </c>
      <c r="F98" s="124" t="str">
        <f t="shared" si="7"/>
        <v/>
      </c>
      <c r="G98" s="122">
        <f t="shared" si="8"/>
        <v>0</v>
      </c>
      <c r="H98" s="123" t="str">
        <f t="shared" si="9"/>
        <v/>
      </c>
      <c r="I98" s="187" t="str">
        <f>IF(H98="","",IF(OR(ABS(H98)&gt;=30%,ABS(G98)&gt;=$E$127*5%,ABS(G98)&gt;=已审PL分析!$E$42*10%),"显著",IF(ABS(H98)&gt;=10%,"关注","")))</f>
        <v/>
      </c>
      <c r="J98" s="122"/>
      <c r="K98" s="915" t="str">
        <f t="shared" si="10"/>
        <v/>
      </c>
      <c r="L98" s="914" t="str">
        <f t="shared" si="11"/>
        <v/>
      </c>
      <c r="M98" s="930"/>
    </row>
    <row r="99" spans="1:13" ht="13.95" customHeight="1">
      <c r="A99" s="938" t="str">
        <f>未审报表!A99</f>
        <v>生产性生物资产减值准备</v>
      </c>
      <c r="B99" s="460">
        <f>未审报表!B99</f>
        <v>93</v>
      </c>
      <c r="C99" s="405">
        <f>审定报表!D99</f>
        <v>0</v>
      </c>
      <c r="D99" s="916" t="str">
        <f t="shared" si="6"/>
        <v/>
      </c>
      <c r="E99" s="122">
        <f>审定报表!C99</f>
        <v>0</v>
      </c>
      <c r="F99" s="124" t="str">
        <f t="shared" si="7"/>
        <v/>
      </c>
      <c r="G99" s="122">
        <f t="shared" si="8"/>
        <v>0</v>
      </c>
      <c r="H99" s="123" t="str">
        <f t="shared" si="9"/>
        <v/>
      </c>
      <c r="I99" s="187" t="str">
        <f>IF(H99="","",IF(OR(ABS(H99)&gt;=30%,ABS(G99)&gt;=$E$127*5%,ABS(G99)&gt;=已审PL分析!$E$42*10%),"显著",IF(ABS(H99)&gt;=10%,"关注","")))</f>
        <v/>
      </c>
      <c r="J99" s="122"/>
      <c r="K99" s="915" t="str">
        <f t="shared" si="10"/>
        <v/>
      </c>
      <c r="L99" s="914" t="str">
        <f t="shared" si="11"/>
        <v/>
      </c>
      <c r="M99" s="930"/>
    </row>
    <row r="100" spans="1:13" ht="13.95" customHeight="1">
      <c r="A100" s="938" t="str">
        <f>未审报表!A100</f>
        <v>生产性生物资产</v>
      </c>
      <c r="B100" s="460">
        <f>未审报表!B100</f>
        <v>94</v>
      </c>
      <c r="C100" s="405">
        <f>审定报表!D100</f>
        <v>0</v>
      </c>
      <c r="D100" s="916" t="str">
        <f t="shared" si="6"/>
        <v/>
      </c>
      <c r="E100" s="122">
        <f>审定报表!C100</f>
        <v>0</v>
      </c>
      <c r="F100" s="124" t="str">
        <f t="shared" si="7"/>
        <v/>
      </c>
      <c r="G100" s="122">
        <f t="shared" si="8"/>
        <v>0</v>
      </c>
      <c r="H100" s="123" t="str">
        <f t="shared" si="9"/>
        <v/>
      </c>
      <c r="I100" s="187" t="str">
        <f>IF(H100="","",IF(OR(ABS(H100)&gt;=30%,ABS(G100)&gt;=$E$127*5%,ABS(G100)&gt;=已审PL分析!$E$42*10%),"显著",IF(ABS(H100)&gt;=10%,"关注","")))</f>
        <v/>
      </c>
      <c r="J100" s="122"/>
      <c r="K100" s="915" t="str">
        <f t="shared" si="10"/>
        <v/>
      </c>
      <c r="L100" s="914" t="str">
        <f t="shared" si="11"/>
        <v/>
      </c>
      <c r="M100" s="930"/>
    </row>
    <row r="101" spans="1:13" ht="13.95" customHeight="1">
      <c r="A101" s="938" t="str">
        <f>未审报表!A101</f>
        <v>油气资产原值</v>
      </c>
      <c r="B101" s="460">
        <f>未审报表!B101</f>
        <v>95</v>
      </c>
      <c r="C101" s="405">
        <f>审定报表!D101</f>
        <v>0</v>
      </c>
      <c r="D101" s="916" t="str">
        <f t="shared" si="6"/>
        <v/>
      </c>
      <c r="E101" s="122">
        <f>审定报表!C101</f>
        <v>0</v>
      </c>
      <c r="F101" s="124" t="str">
        <f t="shared" si="7"/>
        <v/>
      </c>
      <c r="G101" s="122">
        <f t="shared" si="8"/>
        <v>0</v>
      </c>
      <c r="H101" s="123" t="str">
        <f t="shared" si="9"/>
        <v/>
      </c>
      <c r="I101" s="187" t="str">
        <f>IF(H101="","",IF(OR(ABS(H101)&gt;=30%,ABS(G101)&gt;=$E$127*5%,ABS(G101)&gt;=已审PL分析!$E$42*10%),"显著",IF(ABS(H101)&gt;=10%,"关注","")))</f>
        <v/>
      </c>
      <c r="J101" s="122"/>
      <c r="K101" s="915" t="str">
        <f t="shared" si="10"/>
        <v/>
      </c>
      <c r="L101" s="914" t="str">
        <f t="shared" si="11"/>
        <v/>
      </c>
      <c r="M101" s="930"/>
    </row>
    <row r="102" spans="1:13" ht="13.95" customHeight="1">
      <c r="A102" s="938" t="str">
        <f>未审报表!A102</f>
        <v>油气资产累计折旧</v>
      </c>
      <c r="B102" s="460">
        <f>未审报表!B102</f>
        <v>96</v>
      </c>
      <c r="C102" s="405">
        <f>审定报表!D102</f>
        <v>0</v>
      </c>
      <c r="D102" s="916" t="str">
        <f t="shared" si="6"/>
        <v/>
      </c>
      <c r="E102" s="122">
        <f>审定报表!C102</f>
        <v>0</v>
      </c>
      <c r="F102" s="124" t="str">
        <f t="shared" si="7"/>
        <v/>
      </c>
      <c r="G102" s="122">
        <f t="shared" si="8"/>
        <v>0</v>
      </c>
      <c r="H102" s="123" t="str">
        <f t="shared" si="9"/>
        <v/>
      </c>
      <c r="I102" s="187" t="str">
        <f>IF(H102="","",IF(OR(ABS(H102)&gt;=30%,ABS(G102)&gt;=$E$127*5%,ABS(G102)&gt;=已审PL分析!$E$42*10%),"显著",IF(ABS(H102)&gt;=10%,"关注","")))</f>
        <v/>
      </c>
      <c r="J102" s="122"/>
      <c r="K102" s="915" t="str">
        <f t="shared" si="10"/>
        <v/>
      </c>
      <c r="L102" s="914" t="str">
        <f t="shared" si="11"/>
        <v/>
      </c>
      <c r="M102" s="930"/>
    </row>
    <row r="103" spans="1:13" ht="13.95" customHeight="1">
      <c r="A103" s="938" t="str">
        <f>未审报表!A103</f>
        <v>油气资产净值</v>
      </c>
      <c r="B103" s="460">
        <f>未审报表!B103</f>
        <v>97</v>
      </c>
      <c r="C103" s="405">
        <f>审定报表!D103</f>
        <v>0</v>
      </c>
      <c r="D103" s="916" t="str">
        <f t="shared" si="6"/>
        <v/>
      </c>
      <c r="E103" s="122">
        <f>审定报表!C103</f>
        <v>0</v>
      </c>
      <c r="F103" s="124" t="str">
        <f t="shared" si="7"/>
        <v/>
      </c>
      <c r="G103" s="122">
        <f t="shared" si="8"/>
        <v>0</v>
      </c>
      <c r="H103" s="123" t="str">
        <f t="shared" si="9"/>
        <v/>
      </c>
      <c r="I103" s="187" t="str">
        <f>IF(H103="","",IF(OR(ABS(H103)&gt;=30%,ABS(G103)&gt;=$E$127*5%,ABS(G103)&gt;=已审PL分析!$E$42*10%),"显著",IF(ABS(H103)&gt;=10%,"关注","")))</f>
        <v/>
      </c>
      <c r="J103" s="122"/>
      <c r="K103" s="915" t="str">
        <f t="shared" si="10"/>
        <v/>
      </c>
      <c r="L103" s="914" t="str">
        <f t="shared" si="11"/>
        <v/>
      </c>
      <c r="M103" s="930"/>
    </row>
    <row r="104" spans="1:13" ht="13.95" customHeight="1">
      <c r="A104" s="938" t="str">
        <f>未审报表!A104</f>
        <v>油气资产减值准备</v>
      </c>
      <c r="B104" s="460">
        <f>未审报表!B104</f>
        <v>98</v>
      </c>
      <c r="C104" s="405">
        <f>审定报表!D104</f>
        <v>0</v>
      </c>
      <c r="D104" s="916" t="str">
        <f t="shared" si="6"/>
        <v/>
      </c>
      <c r="E104" s="122">
        <f>审定报表!C104</f>
        <v>0</v>
      </c>
      <c r="F104" s="124" t="str">
        <f t="shared" si="7"/>
        <v/>
      </c>
      <c r="G104" s="122">
        <f t="shared" si="8"/>
        <v>0</v>
      </c>
      <c r="H104" s="123" t="str">
        <f t="shared" si="9"/>
        <v/>
      </c>
      <c r="I104" s="187" t="str">
        <f>IF(H104="","",IF(OR(ABS(H104)&gt;=30%,ABS(G104)&gt;=$E$127*5%,ABS(G104)&gt;=已审PL分析!$E$42*10%),"显著",IF(ABS(H104)&gt;=10%,"关注","")))</f>
        <v/>
      </c>
      <c r="J104" s="122"/>
      <c r="K104" s="915" t="str">
        <f t="shared" si="10"/>
        <v/>
      </c>
      <c r="L104" s="914" t="str">
        <f t="shared" si="11"/>
        <v/>
      </c>
      <c r="M104" s="930"/>
    </row>
    <row r="105" spans="1:13" ht="13.95" customHeight="1">
      <c r="A105" s="938" t="str">
        <f>未审报表!A105</f>
        <v>油气资产</v>
      </c>
      <c r="B105" s="460">
        <f>未审报表!B105</f>
        <v>99</v>
      </c>
      <c r="C105" s="405">
        <f>审定报表!D105</f>
        <v>0</v>
      </c>
      <c r="D105" s="916" t="str">
        <f t="shared" si="6"/>
        <v/>
      </c>
      <c r="E105" s="122">
        <f>审定报表!C105</f>
        <v>0</v>
      </c>
      <c r="F105" s="124" t="str">
        <f t="shared" si="7"/>
        <v/>
      </c>
      <c r="G105" s="122">
        <f t="shared" si="8"/>
        <v>0</v>
      </c>
      <c r="H105" s="123" t="str">
        <f t="shared" si="9"/>
        <v/>
      </c>
      <c r="I105" s="187" t="str">
        <f>IF(H105="","",IF(OR(ABS(H105)&gt;=30%,ABS(G105)&gt;=$E$127*5%,ABS(G105)&gt;=已审PL分析!$E$42*10%),"显著",IF(ABS(H105)&gt;=10%,"关注","")))</f>
        <v/>
      </c>
      <c r="J105" s="122"/>
      <c r="K105" s="915" t="str">
        <f t="shared" si="10"/>
        <v/>
      </c>
      <c r="L105" s="914" t="str">
        <f t="shared" si="11"/>
        <v/>
      </c>
      <c r="M105" s="930"/>
    </row>
    <row r="106" spans="1:13" ht="13.95" customHeight="1">
      <c r="A106" s="938" t="str">
        <f>未审报表!A106</f>
        <v>使用权资产原值</v>
      </c>
      <c r="B106" s="460">
        <f>未审报表!B106</f>
        <v>100</v>
      </c>
      <c r="C106" s="405">
        <f>审定报表!D106</f>
        <v>0</v>
      </c>
      <c r="D106" s="916" t="str">
        <f t="shared" si="6"/>
        <v/>
      </c>
      <c r="E106" s="122">
        <f>审定报表!C106</f>
        <v>0</v>
      </c>
      <c r="F106" s="124" t="str">
        <f t="shared" si="7"/>
        <v/>
      </c>
      <c r="G106" s="122">
        <f t="shared" si="8"/>
        <v>0</v>
      </c>
      <c r="H106" s="123" t="str">
        <f t="shared" si="9"/>
        <v/>
      </c>
      <c r="I106" s="187" t="str">
        <f>IF(H106="","",IF(OR(ABS(H106)&gt;=30%,ABS(G106)&gt;=$E$127*5%,ABS(G106)&gt;=已审PL分析!$E$42*10%),"显著",IF(ABS(H106)&gt;=10%,"关注","")))</f>
        <v/>
      </c>
      <c r="J106" s="122"/>
      <c r="K106" s="915" t="str">
        <f t="shared" si="10"/>
        <v/>
      </c>
      <c r="L106" s="914" t="str">
        <f t="shared" si="11"/>
        <v/>
      </c>
      <c r="M106" s="930"/>
    </row>
    <row r="107" spans="1:13" ht="13.95" customHeight="1">
      <c r="A107" s="938" t="str">
        <f>未审报表!A107</f>
        <v>使用权资产累计折旧</v>
      </c>
      <c r="B107" s="460">
        <f>未审报表!B107</f>
        <v>101</v>
      </c>
      <c r="C107" s="405">
        <f>审定报表!D107</f>
        <v>0</v>
      </c>
      <c r="D107" s="916" t="str">
        <f t="shared" si="6"/>
        <v/>
      </c>
      <c r="E107" s="122">
        <f>审定报表!C107</f>
        <v>0</v>
      </c>
      <c r="F107" s="124" t="str">
        <f t="shared" si="7"/>
        <v/>
      </c>
      <c r="G107" s="122">
        <f t="shared" si="8"/>
        <v>0</v>
      </c>
      <c r="H107" s="123" t="str">
        <f t="shared" si="9"/>
        <v/>
      </c>
      <c r="I107" s="187" t="str">
        <f>IF(H107="","",IF(OR(ABS(H107)&gt;=30%,ABS(G107)&gt;=$E$127*5%,ABS(G107)&gt;=已审PL分析!$E$42*10%),"显著",IF(ABS(H107)&gt;=10%,"关注","")))</f>
        <v/>
      </c>
      <c r="J107" s="122"/>
      <c r="K107" s="915" t="str">
        <f t="shared" si="10"/>
        <v/>
      </c>
      <c r="L107" s="914" t="str">
        <f t="shared" si="11"/>
        <v/>
      </c>
      <c r="M107" s="930"/>
    </row>
    <row r="108" spans="1:13" ht="13.95" customHeight="1">
      <c r="A108" s="938" t="str">
        <f>未审报表!A108</f>
        <v>使用权资产净值</v>
      </c>
      <c r="B108" s="460">
        <f>未审报表!B108</f>
        <v>102</v>
      </c>
      <c r="C108" s="405">
        <f>审定报表!D108</f>
        <v>0</v>
      </c>
      <c r="D108" s="916" t="str">
        <f t="shared" si="6"/>
        <v/>
      </c>
      <c r="E108" s="122">
        <f>审定报表!C108</f>
        <v>0</v>
      </c>
      <c r="F108" s="124" t="str">
        <f t="shared" si="7"/>
        <v/>
      </c>
      <c r="G108" s="122">
        <f t="shared" si="8"/>
        <v>0</v>
      </c>
      <c r="H108" s="123" t="str">
        <f t="shared" si="9"/>
        <v/>
      </c>
      <c r="I108" s="187" t="str">
        <f>IF(H108="","",IF(OR(ABS(H108)&gt;=30%,ABS(G108)&gt;=$E$127*5%,ABS(G108)&gt;=已审PL分析!$E$42*10%),"显著",IF(ABS(H108)&gt;=10%,"关注","")))</f>
        <v/>
      </c>
      <c r="J108" s="122"/>
      <c r="K108" s="915" t="str">
        <f t="shared" si="10"/>
        <v/>
      </c>
      <c r="L108" s="914" t="str">
        <f t="shared" si="11"/>
        <v/>
      </c>
      <c r="M108" s="930"/>
    </row>
    <row r="109" spans="1:13" ht="13.95" customHeight="1">
      <c r="A109" s="938" t="str">
        <f>未审报表!A109</f>
        <v>使用权资产减值准备</v>
      </c>
      <c r="B109" s="460">
        <f>未审报表!B109</f>
        <v>103</v>
      </c>
      <c r="C109" s="405">
        <f>审定报表!D109</f>
        <v>0</v>
      </c>
      <c r="D109" s="916" t="str">
        <f t="shared" si="6"/>
        <v/>
      </c>
      <c r="E109" s="122">
        <f>审定报表!C109</f>
        <v>0</v>
      </c>
      <c r="F109" s="124" t="str">
        <f t="shared" si="7"/>
        <v/>
      </c>
      <c r="G109" s="122">
        <f t="shared" si="8"/>
        <v>0</v>
      </c>
      <c r="H109" s="123" t="str">
        <f t="shared" si="9"/>
        <v/>
      </c>
      <c r="I109" s="187" t="str">
        <f>IF(H109="","",IF(OR(ABS(H109)&gt;=30%,ABS(G109)&gt;=$E$127*5%,ABS(G109)&gt;=已审PL分析!$E$42*10%),"显著",IF(ABS(H109)&gt;=10%,"关注","")))</f>
        <v/>
      </c>
      <c r="J109" s="122"/>
      <c r="K109" s="915" t="str">
        <f t="shared" si="10"/>
        <v/>
      </c>
      <c r="L109" s="914" t="str">
        <f t="shared" si="11"/>
        <v/>
      </c>
      <c r="M109" s="930"/>
    </row>
    <row r="110" spans="1:13" ht="13.95" customHeight="1">
      <c r="A110" s="938" t="str">
        <f>未审报表!A110</f>
        <v>使用权资产</v>
      </c>
      <c r="B110" s="460">
        <f>未审报表!B110</f>
        <v>104</v>
      </c>
      <c r="C110" s="405">
        <f>审定报表!D110</f>
        <v>0</v>
      </c>
      <c r="D110" s="916" t="str">
        <f t="shared" si="6"/>
        <v/>
      </c>
      <c r="E110" s="122">
        <f>审定报表!C110</f>
        <v>0</v>
      </c>
      <c r="F110" s="124" t="str">
        <f t="shared" si="7"/>
        <v/>
      </c>
      <c r="G110" s="122">
        <f t="shared" si="8"/>
        <v>0</v>
      </c>
      <c r="H110" s="123" t="str">
        <f t="shared" si="9"/>
        <v/>
      </c>
      <c r="I110" s="187" t="str">
        <f>IF(H110="","",IF(OR(ABS(H110)&gt;=30%,ABS(G110)&gt;=$E$127*5%,ABS(G110)&gt;=已审PL分析!$E$42*10%),"显著",IF(ABS(H110)&gt;=10%,"关注","")))</f>
        <v/>
      </c>
      <c r="J110" s="122"/>
      <c r="K110" s="915" t="str">
        <f t="shared" si="10"/>
        <v/>
      </c>
      <c r="L110" s="914" t="str">
        <f t="shared" si="11"/>
        <v/>
      </c>
      <c r="M110" s="930"/>
    </row>
    <row r="111" spans="1:13" ht="13.95" customHeight="1">
      <c r="A111" s="938" t="str">
        <f>未审报表!A111</f>
        <v>无形资产原值</v>
      </c>
      <c r="B111" s="460">
        <f>未审报表!B111</f>
        <v>105</v>
      </c>
      <c r="C111" s="405">
        <f>审定报表!D111</f>
        <v>454415.95</v>
      </c>
      <c r="D111" s="916">
        <f t="shared" si="6"/>
        <v>6.3536763016120218E-3</v>
      </c>
      <c r="E111" s="122">
        <f>审定报表!C111</f>
        <v>1690145.1300000001</v>
      </c>
      <c r="F111" s="124">
        <f t="shared" si="7"/>
        <v>1.3035796057361959E-2</v>
      </c>
      <c r="G111" s="122">
        <f t="shared" si="8"/>
        <v>1235729.1800000002</v>
      </c>
      <c r="H111" s="123">
        <f t="shared" si="9"/>
        <v>2.7193789742635577</v>
      </c>
      <c r="I111" s="187" t="str">
        <f>IF(H111="","",IF(OR(ABS(H111)&gt;=30%,ABS(G111)&gt;=$E$127*5%,ABS(G111)&gt;=已审PL分析!$E$42*10%),"显著",IF(ABS(H111)&gt;=10%,"关注","")))</f>
        <v>显著</v>
      </c>
      <c r="J111" s="122"/>
      <c r="K111" s="915">
        <f t="shared" si="10"/>
        <v>6.6821197557499377E-3</v>
      </c>
      <c r="L111" s="914" t="str">
        <f t="shared" si="11"/>
        <v/>
      </c>
      <c r="M111" s="930"/>
    </row>
    <row r="112" spans="1:13" ht="13.95" customHeight="1">
      <c r="A112" s="938" t="str">
        <f>未审报表!A112</f>
        <v>无形资产累计摊销</v>
      </c>
      <c r="B112" s="460">
        <f>未审报表!B112</f>
        <v>106</v>
      </c>
      <c r="C112" s="405">
        <f>审定报表!D112</f>
        <v>0</v>
      </c>
      <c r="D112" s="916" t="str">
        <f t="shared" si="6"/>
        <v/>
      </c>
      <c r="E112" s="122">
        <f>审定报表!C112</f>
        <v>-25239.48</v>
      </c>
      <c r="F112" s="124">
        <f t="shared" si="7"/>
        <v>-1.9466772884401117E-4</v>
      </c>
      <c r="G112" s="122">
        <f t="shared" si="8"/>
        <v>-25239.48</v>
      </c>
      <c r="H112" s="123">
        <f t="shared" si="9"/>
        <v>1</v>
      </c>
      <c r="I112" s="187" t="str">
        <f>IF(H112="","",IF(OR(ABS(H112)&gt;=30%,ABS(G112)&gt;=$E$127*5%,ABS(G112)&gt;=已审PL分析!$E$42*10%),"显著",IF(ABS(H112)&gt;=10%,"关注","")))</f>
        <v>显著</v>
      </c>
      <c r="J112" s="122"/>
      <c r="K112" s="915">
        <f t="shared" si="10"/>
        <v>-1.9466772884401117E-4</v>
      </c>
      <c r="L112" s="914" t="str">
        <f t="shared" si="11"/>
        <v/>
      </c>
      <c r="M112" s="930"/>
    </row>
    <row r="113" spans="1:13" ht="13.95" customHeight="1">
      <c r="A113" s="938" t="str">
        <f>未审报表!A113</f>
        <v>无形资产净值</v>
      </c>
      <c r="B113" s="460">
        <f>未审报表!B113</f>
        <v>107</v>
      </c>
      <c r="C113" s="405">
        <f>审定报表!D113</f>
        <v>454415.95</v>
      </c>
      <c r="D113" s="916">
        <f t="shared" si="6"/>
        <v>6.3536763016120218E-3</v>
      </c>
      <c r="E113" s="122">
        <f>审定报表!C113</f>
        <v>1715384.61</v>
      </c>
      <c r="F113" s="124">
        <f t="shared" si="7"/>
        <v>1.3230463786205971E-2</v>
      </c>
      <c r="G113" s="122">
        <f t="shared" si="8"/>
        <v>1260968.6600000001</v>
      </c>
      <c r="H113" s="123">
        <f t="shared" si="9"/>
        <v>2.7749216549287059</v>
      </c>
      <c r="I113" s="187" t="str">
        <f>IF(H113="","",IF(OR(ABS(H113)&gt;=30%,ABS(G113)&gt;=$E$127*5%,ABS(G113)&gt;=已审PL分析!$E$42*10%),"显著",IF(ABS(H113)&gt;=10%,"关注","")))</f>
        <v>显著</v>
      </c>
      <c r="J113" s="122"/>
      <c r="K113" s="915">
        <f t="shared" si="10"/>
        <v>6.8767874845939497E-3</v>
      </c>
      <c r="L113" s="914" t="str">
        <f t="shared" si="11"/>
        <v/>
      </c>
      <c r="M113" s="930"/>
    </row>
    <row r="114" spans="1:13" ht="13.95" customHeight="1">
      <c r="A114" s="938" t="str">
        <f>未审报表!A114</f>
        <v>无形资产减值准备</v>
      </c>
      <c r="B114" s="460">
        <f>未审报表!B114</f>
        <v>108</v>
      </c>
      <c r="C114" s="405">
        <f>审定报表!D114</f>
        <v>0</v>
      </c>
      <c r="D114" s="916" t="str">
        <f t="shared" si="6"/>
        <v/>
      </c>
      <c r="E114" s="122">
        <f>审定报表!C114</f>
        <v>0</v>
      </c>
      <c r="F114" s="124" t="str">
        <f t="shared" si="7"/>
        <v/>
      </c>
      <c r="G114" s="122">
        <f t="shared" si="8"/>
        <v>0</v>
      </c>
      <c r="H114" s="123" t="str">
        <f t="shared" si="9"/>
        <v/>
      </c>
      <c r="I114" s="187" t="str">
        <f>IF(H114="","",IF(OR(ABS(H114)&gt;=30%,ABS(G114)&gt;=$E$127*5%,ABS(G114)&gt;=已审PL分析!$E$42*10%),"显著",IF(ABS(H114)&gt;=10%,"关注","")))</f>
        <v/>
      </c>
      <c r="J114" s="122"/>
      <c r="K114" s="915" t="str">
        <f t="shared" si="10"/>
        <v/>
      </c>
      <c r="L114" s="914" t="str">
        <f t="shared" si="11"/>
        <v/>
      </c>
      <c r="M114" s="930"/>
    </row>
    <row r="115" spans="1:13" ht="13.95" customHeight="1">
      <c r="A115" s="938" t="str">
        <f>未审报表!A115</f>
        <v>无形资产</v>
      </c>
      <c r="B115" s="460">
        <f>未审报表!B115</f>
        <v>109</v>
      </c>
      <c r="C115" s="405">
        <f>审定报表!D115</f>
        <v>454415.95</v>
      </c>
      <c r="D115" s="916">
        <f t="shared" si="6"/>
        <v>6.3536763016120218E-3</v>
      </c>
      <c r="E115" s="122">
        <f>审定报表!C115</f>
        <v>1715384.61</v>
      </c>
      <c r="F115" s="124">
        <f t="shared" si="7"/>
        <v>1.3230463786205971E-2</v>
      </c>
      <c r="G115" s="122">
        <f t="shared" si="8"/>
        <v>1260968.6600000001</v>
      </c>
      <c r="H115" s="123">
        <f t="shared" si="9"/>
        <v>2.7749216549287059</v>
      </c>
      <c r="I115" s="187" t="str">
        <f>IF(H115="","",IF(OR(ABS(H115)&gt;=30%,ABS(G115)&gt;=$E$127*5%,ABS(G115)&gt;=已审PL分析!$E$42*10%),"显著",IF(ABS(H115)&gt;=10%,"关注","")))</f>
        <v>显著</v>
      </c>
      <c r="J115" s="122"/>
      <c r="K115" s="915">
        <f t="shared" si="10"/>
        <v>6.8767874845939497E-3</v>
      </c>
      <c r="L115" s="914" t="str">
        <f t="shared" si="11"/>
        <v/>
      </c>
      <c r="M115" s="930"/>
    </row>
    <row r="116" spans="1:13" ht="13.95" customHeight="1">
      <c r="A116" s="938" t="str">
        <f>未审报表!A116</f>
        <v>开发支出原值</v>
      </c>
      <c r="B116" s="460">
        <f>未审报表!B116</f>
        <v>110</v>
      </c>
      <c r="C116" s="405">
        <f>审定报表!D116</f>
        <v>0</v>
      </c>
      <c r="D116" s="916" t="str">
        <f t="shared" si="6"/>
        <v/>
      </c>
      <c r="E116" s="122">
        <f>审定报表!C116</f>
        <v>0</v>
      </c>
      <c r="F116" s="124" t="str">
        <f t="shared" si="7"/>
        <v/>
      </c>
      <c r="G116" s="122">
        <f t="shared" si="8"/>
        <v>0</v>
      </c>
      <c r="H116" s="123" t="str">
        <f t="shared" si="9"/>
        <v/>
      </c>
      <c r="I116" s="187" t="str">
        <f>IF(H116="","",IF(OR(ABS(H116)&gt;=30%,ABS(G116)&gt;=$E$127*5%,ABS(G116)&gt;=已审PL分析!$E$42*10%),"显著",IF(ABS(H116)&gt;=10%,"关注","")))</f>
        <v/>
      </c>
      <c r="J116" s="122"/>
      <c r="K116" s="915" t="str">
        <f t="shared" si="10"/>
        <v/>
      </c>
      <c r="L116" s="914" t="str">
        <f t="shared" si="11"/>
        <v/>
      </c>
      <c r="M116" s="930"/>
    </row>
    <row r="117" spans="1:13" ht="13.95" customHeight="1">
      <c r="A117" s="938" t="str">
        <f>未审报表!A117</f>
        <v>开发支出减值准备</v>
      </c>
      <c r="B117" s="460">
        <f>未审报表!B117</f>
        <v>111</v>
      </c>
      <c r="C117" s="405">
        <f>审定报表!D117</f>
        <v>0</v>
      </c>
      <c r="D117" s="916" t="str">
        <f t="shared" si="6"/>
        <v/>
      </c>
      <c r="E117" s="122">
        <f>审定报表!C117</f>
        <v>0</v>
      </c>
      <c r="F117" s="124" t="str">
        <f t="shared" si="7"/>
        <v/>
      </c>
      <c r="G117" s="122">
        <f t="shared" si="8"/>
        <v>0</v>
      </c>
      <c r="H117" s="123" t="str">
        <f t="shared" si="9"/>
        <v/>
      </c>
      <c r="I117" s="187" t="str">
        <f>IF(H117="","",IF(OR(ABS(H117)&gt;=30%,ABS(G117)&gt;=$E$127*5%,ABS(G117)&gt;=已审PL分析!$E$42*10%),"显著",IF(ABS(H117)&gt;=10%,"关注","")))</f>
        <v/>
      </c>
      <c r="J117" s="122"/>
      <c r="K117" s="915" t="str">
        <f t="shared" si="10"/>
        <v/>
      </c>
      <c r="L117" s="914" t="str">
        <f t="shared" si="11"/>
        <v/>
      </c>
      <c r="M117" s="930"/>
    </row>
    <row r="118" spans="1:13" ht="13.95" customHeight="1">
      <c r="A118" s="938" t="str">
        <f>未审报表!A118</f>
        <v>开发支出</v>
      </c>
      <c r="B118" s="460">
        <f>未审报表!B118</f>
        <v>112</v>
      </c>
      <c r="C118" s="405">
        <f>审定报表!D118</f>
        <v>0</v>
      </c>
      <c r="D118" s="916" t="str">
        <f t="shared" si="6"/>
        <v/>
      </c>
      <c r="E118" s="122">
        <f>审定报表!C118</f>
        <v>0</v>
      </c>
      <c r="F118" s="124" t="str">
        <f t="shared" si="7"/>
        <v/>
      </c>
      <c r="G118" s="122">
        <f t="shared" si="8"/>
        <v>0</v>
      </c>
      <c r="H118" s="123" t="str">
        <f t="shared" si="9"/>
        <v/>
      </c>
      <c r="I118" s="187" t="str">
        <f>IF(H118="","",IF(OR(ABS(H118)&gt;=30%,ABS(G118)&gt;=$E$127*5%,ABS(G118)&gt;=已审PL分析!$E$42*10%),"显著",IF(ABS(H118)&gt;=10%,"关注","")))</f>
        <v/>
      </c>
      <c r="J118" s="122"/>
      <c r="K118" s="915" t="str">
        <f t="shared" si="10"/>
        <v/>
      </c>
      <c r="L118" s="914" t="str">
        <f t="shared" si="11"/>
        <v/>
      </c>
      <c r="M118" s="930"/>
    </row>
    <row r="119" spans="1:13" ht="13.95" customHeight="1">
      <c r="A119" s="938" t="str">
        <f>未审报表!A119</f>
        <v>商誉原值</v>
      </c>
      <c r="B119" s="460">
        <f>未审报表!B119</f>
        <v>113</v>
      </c>
      <c r="C119" s="405">
        <f>审定报表!D119</f>
        <v>0</v>
      </c>
      <c r="D119" s="916" t="str">
        <f t="shared" si="6"/>
        <v/>
      </c>
      <c r="E119" s="122">
        <f>审定报表!C119</f>
        <v>0</v>
      </c>
      <c r="F119" s="124" t="str">
        <f t="shared" si="7"/>
        <v/>
      </c>
      <c r="G119" s="122">
        <f t="shared" si="8"/>
        <v>0</v>
      </c>
      <c r="H119" s="123" t="str">
        <f t="shared" si="9"/>
        <v/>
      </c>
      <c r="I119" s="187" t="str">
        <f>IF(H119="","",IF(OR(ABS(H119)&gt;=30%,ABS(G119)&gt;=$E$127*5%,ABS(G119)&gt;=已审PL分析!$E$42*10%),"显著",IF(ABS(H119)&gt;=10%,"关注","")))</f>
        <v/>
      </c>
      <c r="J119" s="122"/>
      <c r="K119" s="915" t="str">
        <f t="shared" si="10"/>
        <v/>
      </c>
      <c r="L119" s="914" t="str">
        <f t="shared" si="11"/>
        <v/>
      </c>
      <c r="M119" s="930"/>
    </row>
    <row r="120" spans="1:13" ht="13.95" customHeight="1">
      <c r="A120" s="938" t="str">
        <f>未审报表!A120</f>
        <v>商誉减值准备</v>
      </c>
      <c r="B120" s="460">
        <f>未审报表!B120</f>
        <v>114</v>
      </c>
      <c r="C120" s="405">
        <f>审定报表!D120</f>
        <v>0</v>
      </c>
      <c r="D120" s="916" t="str">
        <f t="shared" si="6"/>
        <v/>
      </c>
      <c r="E120" s="122">
        <f>审定报表!C120</f>
        <v>0</v>
      </c>
      <c r="F120" s="124" t="str">
        <f t="shared" si="7"/>
        <v/>
      </c>
      <c r="G120" s="122">
        <f t="shared" si="8"/>
        <v>0</v>
      </c>
      <c r="H120" s="123" t="str">
        <f t="shared" si="9"/>
        <v/>
      </c>
      <c r="I120" s="187" t="str">
        <f>IF(H120="","",IF(OR(ABS(H120)&gt;=30%,ABS(G120)&gt;=$E$127*5%,ABS(G120)&gt;=已审PL分析!$E$42*10%),"显著",IF(ABS(H120)&gt;=10%,"关注","")))</f>
        <v/>
      </c>
      <c r="J120" s="122"/>
      <c r="K120" s="915" t="str">
        <f t="shared" si="10"/>
        <v/>
      </c>
      <c r="L120" s="914" t="str">
        <f t="shared" si="11"/>
        <v/>
      </c>
      <c r="M120" s="930"/>
    </row>
    <row r="121" spans="1:13" ht="13.95" customHeight="1">
      <c r="A121" s="938" t="str">
        <f>未审报表!A121</f>
        <v>商誉</v>
      </c>
      <c r="B121" s="460">
        <f>未审报表!B121</f>
        <v>115</v>
      </c>
      <c r="C121" s="405">
        <f>审定报表!D121</f>
        <v>0</v>
      </c>
      <c r="D121" s="916" t="str">
        <f t="shared" si="6"/>
        <v/>
      </c>
      <c r="E121" s="122">
        <f>审定报表!C121</f>
        <v>0</v>
      </c>
      <c r="F121" s="124" t="str">
        <f t="shared" si="7"/>
        <v/>
      </c>
      <c r="G121" s="122">
        <f t="shared" si="8"/>
        <v>0</v>
      </c>
      <c r="H121" s="123" t="str">
        <f t="shared" si="9"/>
        <v/>
      </c>
      <c r="I121" s="187" t="str">
        <f>IF(H121="","",IF(OR(ABS(H121)&gt;=30%,ABS(G121)&gt;=$E$127*5%,ABS(G121)&gt;=已审PL分析!$E$42*10%),"显著",IF(ABS(H121)&gt;=10%,"关注","")))</f>
        <v/>
      </c>
      <c r="J121" s="122"/>
      <c r="K121" s="915" t="str">
        <f t="shared" si="10"/>
        <v/>
      </c>
      <c r="L121" s="914" t="str">
        <f t="shared" si="11"/>
        <v/>
      </c>
      <c r="M121" s="930"/>
    </row>
    <row r="122" spans="1:13" ht="13.95" customHeight="1">
      <c r="A122" s="938" t="str">
        <f>未审报表!A122</f>
        <v>长期待摊费用</v>
      </c>
      <c r="B122" s="460">
        <f>未审报表!B122</f>
        <v>116</v>
      </c>
      <c r="C122" s="405">
        <f>审定报表!D122</f>
        <v>0</v>
      </c>
      <c r="D122" s="916" t="str">
        <f t="shared" si="6"/>
        <v/>
      </c>
      <c r="E122" s="122">
        <f>审定报表!C122</f>
        <v>0</v>
      </c>
      <c r="F122" s="124" t="str">
        <f t="shared" si="7"/>
        <v/>
      </c>
      <c r="G122" s="122">
        <f t="shared" si="8"/>
        <v>0</v>
      </c>
      <c r="H122" s="123" t="str">
        <f t="shared" si="9"/>
        <v/>
      </c>
      <c r="I122" s="187" t="str">
        <f>IF(H122="","",IF(OR(ABS(H122)&gt;=30%,ABS(G122)&gt;=$E$127*5%,ABS(G122)&gt;=已审PL分析!$E$42*10%),"显著",IF(ABS(H122)&gt;=10%,"关注","")))</f>
        <v/>
      </c>
      <c r="J122" s="122"/>
      <c r="K122" s="915" t="str">
        <f t="shared" si="10"/>
        <v/>
      </c>
      <c r="L122" s="914" t="str">
        <f t="shared" si="11"/>
        <v/>
      </c>
      <c r="M122" s="930"/>
    </row>
    <row r="123" spans="1:13" ht="13.95" customHeight="1">
      <c r="A123" s="938" t="str">
        <f>未审报表!A123</f>
        <v>递延所得税资产</v>
      </c>
      <c r="B123" s="460">
        <f>未审报表!B123</f>
        <v>117</v>
      </c>
      <c r="C123" s="405">
        <f>审定报表!D123</f>
        <v>354277.86</v>
      </c>
      <c r="D123" s="916">
        <f t="shared" si="6"/>
        <v>4.9535383678055789E-3</v>
      </c>
      <c r="E123" s="122">
        <f>审定报表!C123</f>
        <v>257643.96</v>
      </c>
      <c r="F123" s="124">
        <f t="shared" si="7"/>
        <v>1.9871631485108752E-3</v>
      </c>
      <c r="G123" s="122">
        <f t="shared" si="8"/>
        <v>-96633.9</v>
      </c>
      <c r="H123" s="123">
        <f t="shared" si="9"/>
        <v>-0.27276302278669062</v>
      </c>
      <c r="I123" s="187" t="str">
        <f>IF(H123="","",IF(OR(ABS(H123)&gt;=30%,ABS(G123)&gt;=$E$127*5%,ABS(G123)&gt;=已审PL分析!$E$42*10%),"显著",IF(ABS(H123)&gt;=10%,"关注","")))</f>
        <v>关注</v>
      </c>
      <c r="J123" s="122"/>
      <c r="K123" s="915">
        <f t="shared" si="10"/>
        <v>-2.9663752192947038E-3</v>
      </c>
      <c r="L123" s="914" t="str">
        <f t="shared" si="11"/>
        <v/>
      </c>
      <c r="M123" s="930"/>
    </row>
    <row r="124" spans="1:13" ht="13.95" customHeight="1">
      <c r="A124" s="938" t="str">
        <f>未审报表!A124</f>
        <v>其他非流动资产</v>
      </c>
      <c r="B124" s="460">
        <f>未审报表!B124</f>
        <v>118</v>
      </c>
      <c r="C124" s="405">
        <f>审定报表!D124</f>
        <v>0</v>
      </c>
      <c r="D124" s="916" t="str">
        <f t="shared" si="6"/>
        <v/>
      </c>
      <c r="E124" s="122">
        <f>审定报表!C124</f>
        <v>0</v>
      </c>
      <c r="F124" s="124" t="str">
        <f t="shared" si="7"/>
        <v/>
      </c>
      <c r="G124" s="122">
        <f t="shared" si="8"/>
        <v>0</v>
      </c>
      <c r="H124" s="123" t="str">
        <f t="shared" si="9"/>
        <v/>
      </c>
      <c r="I124" s="187" t="str">
        <f>IF(H124="","",IF(OR(ABS(H124)&gt;=30%,ABS(G124)&gt;=$E$127*5%,ABS(G124)&gt;=已审PL分析!$E$42*10%),"显著",IF(ABS(H124)&gt;=10%,"关注","")))</f>
        <v/>
      </c>
      <c r="J124" s="122"/>
      <c r="K124" s="915" t="str">
        <f t="shared" si="10"/>
        <v/>
      </c>
      <c r="L124" s="914" t="str">
        <f t="shared" si="11"/>
        <v/>
      </c>
      <c r="M124" s="930"/>
    </row>
    <row r="125" spans="1:13" ht="13.95" customHeight="1">
      <c r="A125" s="938" t="str">
        <f>未审报表!A125</f>
        <v xml:space="preserve"> 其中：特准储备物资</v>
      </c>
      <c r="B125" s="460">
        <f>未审报表!B125</f>
        <v>119</v>
      </c>
      <c r="C125" s="405">
        <f>审定报表!D125</f>
        <v>0</v>
      </c>
      <c r="D125" s="916" t="str">
        <f t="shared" si="6"/>
        <v/>
      </c>
      <c r="E125" s="122">
        <f>审定报表!C125</f>
        <v>0</v>
      </c>
      <c r="F125" s="124" t="str">
        <f t="shared" si="7"/>
        <v/>
      </c>
      <c r="G125" s="122">
        <f t="shared" si="8"/>
        <v>0</v>
      </c>
      <c r="H125" s="123" t="str">
        <f t="shared" si="9"/>
        <v/>
      </c>
      <c r="I125" s="187" t="str">
        <f>IF(H125="","",IF(OR(ABS(H125)&gt;=30%,ABS(G125)&gt;=$E$127*5%,ABS(G125)&gt;=已审PL分析!$E$42*10%),"显著",IF(ABS(H125)&gt;=10%,"关注","")))</f>
        <v/>
      </c>
      <c r="J125" s="122"/>
      <c r="K125" s="915" t="str">
        <f t="shared" si="10"/>
        <v/>
      </c>
      <c r="L125" s="914" t="str">
        <f t="shared" si="11"/>
        <v/>
      </c>
      <c r="M125" s="930"/>
    </row>
    <row r="126" spans="1:13" s="924" customFormat="1" ht="13.95" customHeight="1">
      <c r="A126" s="939" t="str">
        <f>未审报表!A126</f>
        <v>非流动资产合计</v>
      </c>
      <c r="B126" s="923">
        <f>未审报表!B126</f>
        <v>120</v>
      </c>
      <c r="C126" s="459">
        <f>审定报表!D126</f>
        <v>12098731.539999999</v>
      </c>
      <c r="D126" s="942">
        <f t="shared" si="6"/>
        <v>0.16916532939757928</v>
      </c>
      <c r="E126" s="185">
        <f>审定报表!C126</f>
        <v>35061691.280000001</v>
      </c>
      <c r="F126" s="895">
        <f t="shared" si="7"/>
        <v>0.27042473976910264</v>
      </c>
      <c r="G126" s="185">
        <f t="shared" si="8"/>
        <v>22962959.740000002</v>
      </c>
      <c r="H126" s="186">
        <f t="shared" si="9"/>
        <v>1.8979642340258096</v>
      </c>
      <c r="I126" s="188" t="str">
        <f>IF(H126="","",IF(OR(ABS(H126)&gt;=30%,ABS(G126)&gt;=$E$127*5%,ABS(G126)&gt;=已审PL分析!$E$42*10%),"显著",IF(ABS(H126)&gt;=10%,"关注","")))</f>
        <v>显著</v>
      </c>
      <c r="J126" s="185"/>
      <c r="K126" s="943">
        <f t="shared" si="10"/>
        <v>0.10125941037152336</v>
      </c>
      <c r="L126" s="944" t="str">
        <f t="shared" si="11"/>
        <v>关注</v>
      </c>
      <c r="M126" s="932"/>
    </row>
    <row r="127" spans="1:13" s="924" customFormat="1" ht="13.95" customHeight="1">
      <c r="A127" s="939" t="str">
        <f>未审报表!A127</f>
        <v>资 产 总 计</v>
      </c>
      <c r="B127" s="923">
        <f>未审报表!B127</f>
        <v>121</v>
      </c>
      <c r="C127" s="459">
        <f>审定报表!D127</f>
        <v>71520160.680000007</v>
      </c>
      <c r="D127" s="942">
        <f t="shared" si="6"/>
        <v>1</v>
      </c>
      <c r="E127" s="185">
        <f>审定报表!C127</f>
        <v>129654155.56999999</v>
      </c>
      <c r="F127" s="895">
        <f t="shared" si="7"/>
        <v>1</v>
      </c>
      <c r="G127" s="185">
        <f t="shared" si="8"/>
        <v>58133994.889999986</v>
      </c>
      <c r="H127" s="186">
        <f t="shared" si="9"/>
        <v>0.81283367287311836</v>
      </c>
      <c r="I127" s="188" t="str">
        <f>IF(H127="","",IF(OR(ABS(H127)&gt;=30%,ABS(G127)&gt;=$E$127*5%,ABS(G127)&gt;=已审PL分析!$E$42*10%),"显著",IF(ABS(H127)&gt;=10%,"关注","")))</f>
        <v>显著</v>
      </c>
      <c r="J127" s="185"/>
      <c r="K127" s="943">
        <f t="shared" si="10"/>
        <v>0</v>
      </c>
      <c r="L127" s="944" t="str">
        <f t="shared" si="11"/>
        <v/>
      </c>
      <c r="M127" s="932"/>
    </row>
    <row r="128" spans="1:13" s="924" customFormat="1" ht="13.95" customHeight="1">
      <c r="A128" s="939" t="str">
        <f>未审报表!A128</f>
        <v>负债及股东权益</v>
      </c>
      <c r="B128" s="923" t="str">
        <f>未审报表!B128</f>
        <v>行次</v>
      </c>
      <c r="C128" s="459">
        <f>审定报表!D128</f>
        <v>44561</v>
      </c>
      <c r="D128" s="942">
        <f t="shared" si="6"/>
        <v>6.2305508791259047E-4</v>
      </c>
      <c r="E128" s="185">
        <f>审定报表!C128</f>
        <v>44926</v>
      </c>
      <c r="F128" s="895">
        <f t="shared" si="7"/>
        <v>3.4650644094276294E-4</v>
      </c>
      <c r="G128" s="185">
        <f t="shared" si="8"/>
        <v>365</v>
      </c>
      <c r="H128" s="186">
        <f t="shared" si="9"/>
        <v>8.1910190525347273E-3</v>
      </c>
      <c r="I128" s="188" t="str">
        <f>IF(H128="","",IF(OR(ABS(H128)&gt;=30%,ABS(G128)&gt;=$E$127*5%,ABS(G128)&gt;=已审PL分析!$E$42*10%),"显著",IF(ABS(H128)&gt;=10%,"关注","")))</f>
        <v/>
      </c>
      <c r="J128" s="185"/>
      <c r="K128" s="943">
        <f t="shared" si="10"/>
        <v>-2.7654864696982753E-4</v>
      </c>
      <c r="L128" s="944" t="str">
        <f t="shared" si="11"/>
        <v/>
      </c>
      <c r="M128" s="932"/>
    </row>
    <row r="129" spans="1:13" ht="13.95" customHeight="1">
      <c r="A129" s="938" t="str">
        <f>未审报表!A129</f>
        <v>流动负债：</v>
      </c>
      <c r="B129" s="460">
        <f>未审报表!B129</f>
        <v>122</v>
      </c>
      <c r="C129" s="405">
        <f>审定报表!D129</f>
        <v>0</v>
      </c>
      <c r="D129" s="916" t="str">
        <f t="shared" si="6"/>
        <v/>
      </c>
      <c r="E129" s="122">
        <f>审定报表!C129</f>
        <v>0</v>
      </c>
      <c r="F129" s="124" t="str">
        <f t="shared" si="7"/>
        <v/>
      </c>
      <c r="G129" s="122">
        <f t="shared" si="8"/>
        <v>0</v>
      </c>
      <c r="H129" s="123" t="str">
        <f t="shared" si="9"/>
        <v/>
      </c>
      <c r="I129" s="187" t="str">
        <f>IF(H129="","",IF(OR(ABS(H129)&gt;=30%,ABS(G129)&gt;=$E$127*5%,ABS(G129)&gt;=已审PL分析!$E$42*10%),"显著",IF(ABS(H129)&gt;=10%,"关注","")))</f>
        <v/>
      </c>
      <c r="J129" s="122"/>
      <c r="K129" s="915" t="str">
        <f t="shared" si="10"/>
        <v/>
      </c>
      <c r="L129" s="914" t="str">
        <f t="shared" si="11"/>
        <v/>
      </c>
      <c r="M129" s="930"/>
    </row>
    <row r="130" spans="1:13" ht="13.95" customHeight="1">
      <c r="A130" s="938" t="str">
        <f>未审报表!A130</f>
        <v>短期借款</v>
      </c>
      <c r="B130" s="460">
        <f>未审报表!B130</f>
        <v>123</v>
      </c>
      <c r="C130" s="405">
        <f>审定报表!D130</f>
        <v>0</v>
      </c>
      <c r="D130" s="916" t="str">
        <f t="shared" si="6"/>
        <v/>
      </c>
      <c r="E130" s="122">
        <f>审定报表!C130</f>
        <v>0</v>
      </c>
      <c r="F130" s="124" t="str">
        <f t="shared" si="7"/>
        <v/>
      </c>
      <c r="G130" s="122">
        <f t="shared" si="8"/>
        <v>0</v>
      </c>
      <c r="H130" s="123" t="str">
        <f t="shared" si="9"/>
        <v/>
      </c>
      <c r="I130" s="187" t="str">
        <f>IF(H130="","",IF(OR(ABS(H130)&gt;=30%,ABS(G130)&gt;=$E$127*5%,ABS(G130)&gt;=已审PL分析!$E$42*10%),"显著",IF(ABS(H130)&gt;=10%,"关注","")))</f>
        <v/>
      </c>
      <c r="J130" s="122"/>
      <c r="K130" s="915" t="str">
        <f t="shared" si="10"/>
        <v/>
      </c>
      <c r="L130" s="914" t="str">
        <f t="shared" si="11"/>
        <v/>
      </c>
      <c r="M130" s="930"/>
    </row>
    <row r="131" spans="1:13" ht="13.95" customHeight="1">
      <c r="A131" s="938" t="str">
        <f>未审报表!A131</f>
        <v>向中央银行借款*</v>
      </c>
      <c r="B131" s="460">
        <f>未审报表!B131</f>
        <v>124</v>
      </c>
      <c r="C131" s="405">
        <f>审定报表!D131</f>
        <v>0</v>
      </c>
      <c r="D131" s="916" t="str">
        <f t="shared" si="6"/>
        <v/>
      </c>
      <c r="E131" s="122">
        <f>审定报表!C131</f>
        <v>0</v>
      </c>
      <c r="F131" s="124" t="str">
        <f t="shared" si="7"/>
        <v/>
      </c>
      <c r="G131" s="122">
        <f t="shared" si="8"/>
        <v>0</v>
      </c>
      <c r="H131" s="123" t="str">
        <f t="shared" si="9"/>
        <v/>
      </c>
      <c r="I131" s="187" t="str">
        <f>IF(H131="","",IF(OR(ABS(H131)&gt;=30%,ABS(G131)&gt;=$E$127*5%,ABS(G131)&gt;=已审PL分析!$E$42*10%),"显著",IF(ABS(H131)&gt;=10%,"关注","")))</f>
        <v/>
      </c>
      <c r="J131" s="122"/>
      <c r="K131" s="915" t="str">
        <f t="shared" si="10"/>
        <v/>
      </c>
      <c r="L131" s="914" t="str">
        <f t="shared" si="11"/>
        <v/>
      </c>
      <c r="M131" s="930"/>
    </row>
    <row r="132" spans="1:13" ht="13.95" customHeight="1">
      <c r="A132" s="938" t="str">
        <f>未审报表!A132</f>
        <v>拆入资金*</v>
      </c>
      <c r="B132" s="460">
        <f>未审报表!B132</f>
        <v>125</v>
      </c>
      <c r="C132" s="405">
        <f>审定报表!D132</f>
        <v>0</v>
      </c>
      <c r="D132" s="916" t="str">
        <f t="shared" si="6"/>
        <v/>
      </c>
      <c r="E132" s="122">
        <f>审定报表!C132</f>
        <v>0</v>
      </c>
      <c r="F132" s="124" t="str">
        <f t="shared" si="7"/>
        <v/>
      </c>
      <c r="G132" s="122">
        <f t="shared" si="8"/>
        <v>0</v>
      </c>
      <c r="H132" s="123" t="str">
        <f t="shared" si="9"/>
        <v/>
      </c>
      <c r="I132" s="187" t="str">
        <f>IF(H132="","",IF(OR(ABS(H132)&gt;=30%,ABS(G132)&gt;=$E$127*5%,ABS(G132)&gt;=已审PL分析!$E$42*10%),"显著",IF(ABS(H132)&gt;=10%,"关注","")))</f>
        <v/>
      </c>
      <c r="J132" s="122"/>
      <c r="K132" s="915" t="str">
        <f t="shared" si="10"/>
        <v/>
      </c>
      <c r="L132" s="914" t="str">
        <f t="shared" si="11"/>
        <v/>
      </c>
      <c r="M132" s="930"/>
    </row>
    <row r="133" spans="1:13" ht="13.95" customHeight="1">
      <c r="A133" s="938" t="str">
        <f>未审报表!A133</f>
        <v>交易性金融负债</v>
      </c>
      <c r="B133" s="460">
        <f>未审报表!B133</f>
        <v>126</v>
      </c>
      <c r="C133" s="405">
        <f>审定报表!D133</f>
        <v>0</v>
      </c>
      <c r="D133" s="916" t="str">
        <f t="shared" si="6"/>
        <v/>
      </c>
      <c r="E133" s="122">
        <f>审定报表!C133</f>
        <v>0</v>
      </c>
      <c r="F133" s="124" t="str">
        <f t="shared" si="7"/>
        <v/>
      </c>
      <c r="G133" s="122">
        <f t="shared" si="8"/>
        <v>0</v>
      </c>
      <c r="H133" s="123" t="str">
        <f t="shared" si="9"/>
        <v/>
      </c>
      <c r="I133" s="187" t="str">
        <f>IF(H133="","",IF(OR(ABS(H133)&gt;=30%,ABS(G133)&gt;=$E$127*5%,ABS(G133)&gt;=已审PL分析!$E$42*10%),"显著",IF(ABS(H133)&gt;=10%,"关注","")))</f>
        <v/>
      </c>
      <c r="J133" s="122"/>
      <c r="K133" s="915" t="str">
        <f t="shared" si="10"/>
        <v/>
      </c>
      <c r="L133" s="914" t="str">
        <f t="shared" si="11"/>
        <v/>
      </c>
      <c r="M133" s="930"/>
    </row>
    <row r="134" spans="1:13" ht="13.95" customHeight="1">
      <c r="A134" s="938" t="str">
        <f>未审报表!A134</f>
        <v>衍生金融负债</v>
      </c>
      <c r="B134" s="460">
        <f>未审报表!B134</f>
        <v>127</v>
      </c>
      <c r="C134" s="405">
        <f>审定报表!D134</f>
        <v>0</v>
      </c>
      <c r="D134" s="916" t="str">
        <f t="shared" si="6"/>
        <v/>
      </c>
      <c r="E134" s="122">
        <f>审定报表!C134</f>
        <v>0</v>
      </c>
      <c r="F134" s="124" t="str">
        <f t="shared" si="7"/>
        <v/>
      </c>
      <c r="G134" s="122">
        <f t="shared" si="8"/>
        <v>0</v>
      </c>
      <c r="H134" s="123" t="str">
        <f t="shared" si="9"/>
        <v/>
      </c>
      <c r="I134" s="187" t="str">
        <f>IF(H134="","",IF(OR(ABS(H134)&gt;=30%,ABS(G134)&gt;=$E$127*5%,ABS(G134)&gt;=已审PL分析!$E$42*10%),"显著",IF(ABS(H134)&gt;=10%,"关注","")))</f>
        <v/>
      </c>
      <c r="J134" s="122"/>
      <c r="K134" s="915" t="str">
        <f t="shared" si="10"/>
        <v/>
      </c>
      <c r="L134" s="914" t="str">
        <f t="shared" si="11"/>
        <v/>
      </c>
      <c r="M134" s="930"/>
    </row>
    <row r="135" spans="1:13" ht="13.95" customHeight="1">
      <c r="A135" s="938" t="str">
        <f>未审报表!A135</f>
        <v>应付票据</v>
      </c>
      <c r="B135" s="460">
        <f>未审报表!B135</f>
        <v>128</v>
      </c>
      <c r="C135" s="405">
        <f>审定报表!D135</f>
        <v>0</v>
      </c>
      <c r="D135" s="916" t="str">
        <f t="shared" si="6"/>
        <v/>
      </c>
      <c r="E135" s="122">
        <f>审定报表!C135</f>
        <v>0</v>
      </c>
      <c r="F135" s="124" t="str">
        <f t="shared" si="7"/>
        <v/>
      </c>
      <c r="G135" s="122">
        <f t="shared" si="8"/>
        <v>0</v>
      </c>
      <c r="H135" s="123" t="str">
        <f t="shared" si="9"/>
        <v/>
      </c>
      <c r="I135" s="187" t="str">
        <f>IF(H135="","",IF(OR(ABS(H135)&gt;=30%,ABS(G135)&gt;=$E$127*5%,ABS(G135)&gt;=已审PL分析!$E$42*10%),"显著",IF(ABS(H135)&gt;=10%,"关注","")))</f>
        <v/>
      </c>
      <c r="J135" s="122"/>
      <c r="K135" s="915" t="str">
        <f t="shared" si="10"/>
        <v/>
      </c>
      <c r="L135" s="914" t="str">
        <f t="shared" si="11"/>
        <v/>
      </c>
      <c r="M135" s="930"/>
    </row>
    <row r="136" spans="1:13" ht="13.95" customHeight="1">
      <c r="A136" s="938" t="str">
        <f>未审报表!A136</f>
        <v>应付账款</v>
      </c>
      <c r="B136" s="460">
        <f>未审报表!B136</f>
        <v>129</v>
      </c>
      <c r="C136" s="405">
        <f>审定报表!D136</f>
        <v>2255558.0699999998</v>
      </c>
      <c r="D136" s="916">
        <f t="shared" si="6"/>
        <v>3.1537374197073739E-2</v>
      </c>
      <c r="E136" s="122">
        <f>审定报表!C136</f>
        <v>11490174.18</v>
      </c>
      <c r="F136" s="124">
        <f t="shared" si="7"/>
        <v>8.8621719292263493E-2</v>
      </c>
      <c r="G136" s="122">
        <f t="shared" si="8"/>
        <v>9234616.1099999994</v>
      </c>
      <c r="H136" s="123">
        <f t="shared" si="9"/>
        <v>4.0941602137514463</v>
      </c>
      <c r="I136" s="187" t="str">
        <f>IF(H136="","",IF(OR(ABS(H136)&gt;=30%,ABS(G136)&gt;=$E$127*5%,ABS(G136)&gt;=已审PL分析!$E$42*10%),"显著",IF(ABS(H136)&gt;=10%,"关注","")))</f>
        <v>显著</v>
      </c>
      <c r="J136" s="122"/>
      <c r="K136" s="915">
        <f t="shared" si="10"/>
        <v>5.7084345095189754E-2</v>
      </c>
      <c r="L136" s="914" t="str">
        <f t="shared" si="11"/>
        <v/>
      </c>
      <c r="M136" s="930"/>
    </row>
    <row r="137" spans="1:13" ht="13.95" customHeight="1">
      <c r="A137" s="938" t="str">
        <f>未审报表!A137</f>
        <v>预收款项</v>
      </c>
      <c r="B137" s="460">
        <f>未审报表!B137</f>
        <v>130</v>
      </c>
      <c r="C137" s="405">
        <f>审定报表!D137</f>
        <v>1282269.1599999999</v>
      </c>
      <c r="D137" s="916">
        <f t="shared" ref="D137:D190" si="12">IF(AND(C137&lt;&gt;0,$C$127&lt;&gt;0),C137/$C$127,"")</f>
        <v>1.7928779071641199E-2</v>
      </c>
      <c r="E137" s="122">
        <f>审定报表!C137</f>
        <v>2271229.16</v>
      </c>
      <c r="F137" s="124">
        <f t="shared" ref="F137:F190" si="13">IF(AND(E137&lt;&gt;0,$E$127&lt;&gt;0),E137/$E$127,"")</f>
        <v>1.7517596331679229E-2</v>
      </c>
      <c r="G137" s="122">
        <f t="shared" ref="G137:G190" si="14">E137-C137</f>
        <v>988960.00000000023</v>
      </c>
      <c r="H137" s="123">
        <f t="shared" ref="H137:H190" si="15">IF(AND(C137=0,E137=0),"",IF(C137=0,100%,IF(E137=0,-100%,G137/C137)))</f>
        <v>0.77125772875953769</v>
      </c>
      <c r="I137" s="187" t="str">
        <f>IF(H137="","",IF(OR(ABS(H137)&gt;=30%,ABS(G137)&gt;=$E$127*5%,ABS(G137)&gt;=已审PL分析!$E$42*10%),"显著",IF(ABS(H137)&gt;=10%,"关注","")))</f>
        <v>显著</v>
      </c>
      <c r="J137" s="122"/>
      <c r="K137" s="915">
        <f t="shared" ref="K137:K190" si="16">IF(AND(D137="",F137=""),"",IF(D137="",F137,IF(F137="",-D137,F137-D137)))</f>
        <v>-4.1118273996196969E-4</v>
      </c>
      <c r="L137" s="914" t="str">
        <f t="shared" ref="L137:L190" si="17">IF(K137="","",IF(ABS(K137)&gt;=30%,"显著",IF(ABS(K137)&gt;=10%,"关注","")))</f>
        <v/>
      </c>
      <c r="M137" s="930"/>
    </row>
    <row r="138" spans="1:13" ht="13.95" customHeight="1">
      <c r="A138" s="938" t="str">
        <f>未审报表!A138</f>
        <v>合同负债</v>
      </c>
      <c r="B138" s="460">
        <f>未审报表!B138</f>
        <v>131</v>
      </c>
      <c r="C138" s="405">
        <f>审定报表!D138</f>
        <v>0</v>
      </c>
      <c r="D138" s="916" t="str">
        <f t="shared" si="12"/>
        <v/>
      </c>
      <c r="E138" s="122">
        <f>审定报表!C138</f>
        <v>0</v>
      </c>
      <c r="F138" s="124" t="str">
        <f t="shared" si="13"/>
        <v/>
      </c>
      <c r="G138" s="122">
        <f t="shared" si="14"/>
        <v>0</v>
      </c>
      <c r="H138" s="123" t="str">
        <f t="shared" si="15"/>
        <v/>
      </c>
      <c r="I138" s="187" t="str">
        <f>IF(H138="","",IF(OR(ABS(H138)&gt;=30%,ABS(G138)&gt;=$E$127*5%,ABS(G138)&gt;=已审PL分析!$E$42*10%),"显著",IF(ABS(H138)&gt;=10%,"关注","")))</f>
        <v/>
      </c>
      <c r="J138" s="122"/>
      <c r="K138" s="915" t="str">
        <f t="shared" si="16"/>
        <v/>
      </c>
      <c r="L138" s="914" t="str">
        <f t="shared" si="17"/>
        <v/>
      </c>
      <c r="M138" s="930"/>
    </row>
    <row r="139" spans="1:13" ht="13.95" customHeight="1">
      <c r="A139" s="938" t="str">
        <f>未审报表!A139</f>
        <v>卖出回购金融资产款*</v>
      </c>
      <c r="B139" s="460">
        <f>未审报表!B139</f>
        <v>132</v>
      </c>
      <c r="C139" s="405">
        <f>审定报表!D139</f>
        <v>0</v>
      </c>
      <c r="D139" s="916" t="str">
        <f t="shared" si="12"/>
        <v/>
      </c>
      <c r="E139" s="122">
        <f>审定报表!C139</f>
        <v>0</v>
      </c>
      <c r="F139" s="124" t="str">
        <f t="shared" si="13"/>
        <v/>
      </c>
      <c r="G139" s="122">
        <f t="shared" si="14"/>
        <v>0</v>
      </c>
      <c r="H139" s="123" t="str">
        <f t="shared" si="15"/>
        <v/>
      </c>
      <c r="I139" s="187" t="str">
        <f>IF(H139="","",IF(OR(ABS(H139)&gt;=30%,ABS(G139)&gt;=$E$127*5%,ABS(G139)&gt;=已审PL分析!$E$42*10%),"显著",IF(ABS(H139)&gt;=10%,"关注","")))</f>
        <v/>
      </c>
      <c r="J139" s="122"/>
      <c r="K139" s="915" t="str">
        <f t="shared" si="16"/>
        <v/>
      </c>
      <c r="L139" s="914" t="str">
        <f t="shared" si="17"/>
        <v/>
      </c>
      <c r="M139" s="930"/>
    </row>
    <row r="140" spans="1:13" ht="13.95" customHeight="1">
      <c r="A140" s="938" t="str">
        <f>未审报表!A140</f>
        <v>吸收存款及同业存放*</v>
      </c>
      <c r="B140" s="460">
        <f>未审报表!B140</f>
        <v>133</v>
      </c>
      <c r="C140" s="405">
        <f>审定报表!D140</f>
        <v>0</v>
      </c>
      <c r="D140" s="916" t="str">
        <f t="shared" si="12"/>
        <v/>
      </c>
      <c r="E140" s="122">
        <f>审定报表!C140</f>
        <v>0</v>
      </c>
      <c r="F140" s="124" t="str">
        <f t="shared" si="13"/>
        <v/>
      </c>
      <c r="G140" s="122">
        <f t="shared" si="14"/>
        <v>0</v>
      </c>
      <c r="H140" s="123" t="str">
        <f t="shared" si="15"/>
        <v/>
      </c>
      <c r="I140" s="187" t="str">
        <f>IF(H140="","",IF(OR(ABS(H140)&gt;=30%,ABS(G140)&gt;=$E$127*5%,ABS(G140)&gt;=已审PL分析!$E$42*10%),"显著",IF(ABS(H140)&gt;=10%,"关注","")))</f>
        <v/>
      </c>
      <c r="J140" s="122"/>
      <c r="K140" s="915" t="str">
        <f t="shared" si="16"/>
        <v/>
      </c>
      <c r="L140" s="914" t="str">
        <f t="shared" si="17"/>
        <v/>
      </c>
      <c r="M140" s="930"/>
    </row>
    <row r="141" spans="1:13" ht="13.95" customHeight="1">
      <c r="A141" s="938" t="str">
        <f>未审报表!A141</f>
        <v>代理买卖证券款*</v>
      </c>
      <c r="B141" s="460">
        <f>未审报表!B141</f>
        <v>134</v>
      </c>
      <c r="C141" s="405">
        <f>审定报表!D141</f>
        <v>0</v>
      </c>
      <c r="D141" s="916" t="str">
        <f t="shared" si="12"/>
        <v/>
      </c>
      <c r="E141" s="122">
        <f>审定报表!C141</f>
        <v>0</v>
      </c>
      <c r="F141" s="124" t="str">
        <f t="shared" si="13"/>
        <v/>
      </c>
      <c r="G141" s="122">
        <f t="shared" si="14"/>
        <v>0</v>
      </c>
      <c r="H141" s="123" t="str">
        <f t="shared" si="15"/>
        <v/>
      </c>
      <c r="I141" s="187" t="str">
        <f>IF(H141="","",IF(OR(ABS(H141)&gt;=30%,ABS(G141)&gt;=$E$127*5%,ABS(G141)&gt;=已审PL分析!$E$42*10%),"显著",IF(ABS(H141)&gt;=10%,"关注","")))</f>
        <v/>
      </c>
      <c r="J141" s="122"/>
      <c r="K141" s="915" t="str">
        <f t="shared" si="16"/>
        <v/>
      </c>
      <c r="L141" s="914" t="str">
        <f t="shared" si="17"/>
        <v/>
      </c>
      <c r="M141" s="930"/>
    </row>
    <row r="142" spans="1:13" ht="13.95" customHeight="1">
      <c r="A142" s="938" t="str">
        <f>未审报表!A142</f>
        <v>代理承销证券款*</v>
      </c>
      <c r="B142" s="460">
        <f>未审报表!B142</f>
        <v>135</v>
      </c>
      <c r="C142" s="405">
        <f>审定报表!D142</f>
        <v>0</v>
      </c>
      <c r="D142" s="916" t="str">
        <f t="shared" si="12"/>
        <v/>
      </c>
      <c r="E142" s="122">
        <f>审定报表!C142</f>
        <v>0</v>
      </c>
      <c r="F142" s="124" t="str">
        <f t="shared" si="13"/>
        <v/>
      </c>
      <c r="G142" s="122">
        <f t="shared" si="14"/>
        <v>0</v>
      </c>
      <c r="H142" s="123" t="str">
        <f t="shared" si="15"/>
        <v/>
      </c>
      <c r="I142" s="187" t="str">
        <f>IF(H142="","",IF(OR(ABS(H142)&gt;=30%,ABS(G142)&gt;=$E$127*5%,ABS(G142)&gt;=已审PL分析!$E$42*10%),"显著",IF(ABS(H142)&gt;=10%,"关注","")))</f>
        <v/>
      </c>
      <c r="J142" s="122"/>
      <c r="K142" s="915" t="str">
        <f t="shared" si="16"/>
        <v/>
      </c>
      <c r="L142" s="914" t="str">
        <f t="shared" si="17"/>
        <v/>
      </c>
      <c r="M142" s="930"/>
    </row>
    <row r="143" spans="1:13" ht="13.95" customHeight="1">
      <c r="A143" s="938" t="str">
        <f>未审报表!A143</f>
        <v>应付职工薪酬</v>
      </c>
      <c r="B143" s="460">
        <f>未审报表!B143</f>
        <v>136</v>
      </c>
      <c r="C143" s="405">
        <f>审定报表!D143</f>
        <v>0</v>
      </c>
      <c r="D143" s="916" t="str">
        <f t="shared" si="12"/>
        <v/>
      </c>
      <c r="E143" s="122">
        <f>审定报表!C143</f>
        <v>7036440.0999999996</v>
      </c>
      <c r="F143" s="124">
        <f t="shared" si="13"/>
        <v>5.4270841293637066E-2</v>
      </c>
      <c r="G143" s="122">
        <f t="shared" si="14"/>
        <v>7036440.0999999996</v>
      </c>
      <c r="H143" s="123">
        <f t="shared" si="15"/>
        <v>1</v>
      </c>
      <c r="I143" s="187" t="str">
        <f>IF(H143="","",IF(OR(ABS(H143)&gt;=30%,ABS(G143)&gt;=$E$127*5%,ABS(G143)&gt;=已审PL分析!$E$42*10%),"显著",IF(ABS(H143)&gt;=10%,"关注","")))</f>
        <v>显著</v>
      </c>
      <c r="J143" s="122"/>
      <c r="K143" s="915">
        <f t="shared" si="16"/>
        <v>5.4270841293637066E-2</v>
      </c>
      <c r="L143" s="914" t="str">
        <f t="shared" si="17"/>
        <v/>
      </c>
      <c r="M143" s="930"/>
    </row>
    <row r="144" spans="1:13" ht="13.95" customHeight="1">
      <c r="A144" s="938" t="str">
        <f>未审报表!A144</f>
        <v xml:space="preserve">  其中：应付工资</v>
      </c>
      <c r="B144" s="460">
        <f>未审报表!B144</f>
        <v>137</v>
      </c>
      <c r="C144" s="405">
        <f>审定报表!D144</f>
        <v>0</v>
      </c>
      <c r="D144" s="916" t="str">
        <f t="shared" si="12"/>
        <v/>
      </c>
      <c r="E144" s="122">
        <f>审定报表!C144</f>
        <v>6973454</v>
      </c>
      <c r="F144" s="124">
        <f t="shared" si="13"/>
        <v>5.3785040435784935E-2</v>
      </c>
      <c r="G144" s="122">
        <f t="shared" si="14"/>
        <v>6973454</v>
      </c>
      <c r="H144" s="123">
        <f t="shared" si="15"/>
        <v>1</v>
      </c>
      <c r="I144" s="187" t="str">
        <f>IF(H144="","",IF(OR(ABS(H144)&gt;=30%,ABS(G144)&gt;=$E$127*5%,ABS(G144)&gt;=已审PL分析!$E$42*10%),"显著",IF(ABS(H144)&gt;=10%,"关注","")))</f>
        <v>显著</v>
      </c>
      <c r="J144" s="122"/>
      <c r="K144" s="915">
        <f t="shared" si="16"/>
        <v>5.3785040435784935E-2</v>
      </c>
      <c r="L144" s="914" t="str">
        <f t="shared" si="17"/>
        <v/>
      </c>
      <c r="M144" s="930"/>
    </row>
    <row r="145" spans="1:13" ht="13.95" customHeight="1">
      <c r="A145" s="938" t="str">
        <f>未审报表!A145</f>
        <v xml:space="preserve">      应付福利费</v>
      </c>
      <c r="B145" s="460">
        <f>未审报表!B145</f>
        <v>138</v>
      </c>
      <c r="C145" s="405">
        <f>审定报表!D145</f>
        <v>0</v>
      </c>
      <c r="D145" s="916" t="str">
        <f t="shared" si="12"/>
        <v/>
      </c>
      <c r="E145" s="122">
        <f>审定报表!C145</f>
        <v>8000</v>
      </c>
      <c r="F145" s="124">
        <f t="shared" si="13"/>
        <v>6.1702611573300614E-5</v>
      </c>
      <c r="G145" s="122">
        <f t="shared" si="14"/>
        <v>8000</v>
      </c>
      <c r="H145" s="123">
        <f t="shared" si="15"/>
        <v>1</v>
      </c>
      <c r="I145" s="187" t="str">
        <f>IF(H145="","",IF(OR(ABS(H145)&gt;=30%,ABS(G145)&gt;=$E$127*5%,ABS(G145)&gt;=已审PL分析!$E$42*10%),"显著",IF(ABS(H145)&gt;=10%,"关注","")))</f>
        <v>显著</v>
      </c>
      <c r="J145" s="122"/>
      <c r="K145" s="915">
        <f t="shared" si="16"/>
        <v>6.1702611573300614E-5</v>
      </c>
      <c r="L145" s="914" t="str">
        <f t="shared" si="17"/>
        <v/>
      </c>
      <c r="M145" s="930"/>
    </row>
    <row r="146" spans="1:13" ht="13.95" customHeight="1">
      <c r="A146" s="938" t="str">
        <f>未审报表!A146</f>
        <v xml:space="preserve">     #其中：职工奖励及福利基金</v>
      </c>
      <c r="B146" s="460">
        <f>未审报表!B146</f>
        <v>139</v>
      </c>
      <c r="C146" s="405">
        <f>审定报表!D146</f>
        <v>0</v>
      </c>
      <c r="D146" s="916" t="str">
        <f t="shared" si="12"/>
        <v/>
      </c>
      <c r="E146" s="122">
        <f>审定报表!C146</f>
        <v>10000</v>
      </c>
      <c r="F146" s="124">
        <f t="shared" si="13"/>
        <v>7.7128264466625775E-5</v>
      </c>
      <c r="G146" s="122">
        <f t="shared" si="14"/>
        <v>10000</v>
      </c>
      <c r="H146" s="123">
        <f t="shared" si="15"/>
        <v>1</v>
      </c>
      <c r="I146" s="187" t="str">
        <f>IF(H146="","",IF(OR(ABS(H146)&gt;=30%,ABS(G146)&gt;=$E$127*5%,ABS(G146)&gt;=已审PL分析!$E$42*10%),"显著",IF(ABS(H146)&gt;=10%,"关注","")))</f>
        <v>显著</v>
      </c>
      <c r="J146" s="122"/>
      <c r="K146" s="915">
        <f t="shared" si="16"/>
        <v>7.7128264466625775E-5</v>
      </c>
      <c r="L146" s="914" t="str">
        <f t="shared" si="17"/>
        <v/>
      </c>
      <c r="M146" s="930"/>
    </row>
    <row r="147" spans="1:13" ht="13.95" customHeight="1">
      <c r="A147" s="938" t="str">
        <f>未审报表!A147</f>
        <v>应交税费</v>
      </c>
      <c r="B147" s="460">
        <f>未审报表!B147</f>
        <v>140</v>
      </c>
      <c r="C147" s="405">
        <f>审定报表!D147</f>
        <v>4493249.99</v>
      </c>
      <c r="D147" s="916">
        <f t="shared" si="12"/>
        <v>6.2824942607497505E-2</v>
      </c>
      <c r="E147" s="122">
        <f>审定报表!C147</f>
        <v>1623174.1199999999</v>
      </c>
      <c r="F147" s="124">
        <f t="shared" si="13"/>
        <v>1.2519260280274254E-2</v>
      </c>
      <c r="G147" s="122">
        <f t="shared" si="14"/>
        <v>-2870075.87</v>
      </c>
      <c r="H147" s="123">
        <f t="shared" si="15"/>
        <v>-0.63875276834975303</v>
      </c>
      <c r="I147" s="187" t="str">
        <f>IF(H147="","",IF(OR(ABS(H147)&gt;=30%,ABS(G147)&gt;=$E$127*5%,ABS(G147)&gt;=已审PL分析!$E$42*10%),"显著",IF(ABS(H147)&gt;=10%,"关注","")))</f>
        <v>显著</v>
      </c>
      <c r="J147" s="122"/>
      <c r="K147" s="915">
        <f t="shared" si="16"/>
        <v>-5.0305682327223253E-2</v>
      </c>
      <c r="L147" s="914" t="str">
        <f t="shared" si="17"/>
        <v/>
      </c>
      <c r="M147" s="930"/>
    </row>
    <row r="148" spans="1:13" ht="13.95" customHeight="1">
      <c r="A148" s="938" t="str">
        <f>未审报表!A148</f>
        <v xml:space="preserve"> 其中：应交税金</v>
      </c>
      <c r="B148" s="460">
        <f>未审报表!B148</f>
        <v>141</v>
      </c>
      <c r="C148" s="405">
        <f>审定报表!D148</f>
        <v>0</v>
      </c>
      <c r="D148" s="916" t="str">
        <f t="shared" si="12"/>
        <v/>
      </c>
      <c r="E148" s="122">
        <f>审定报表!C148</f>
        <v>1551668.74</v>
      </c>
      <c r="F148" s="124">
        <f t="shared" si="13"/>
        <v>1.1967751694331598E-2</v>
      </c>
      <c r="G148" s="122">
        <f t="shared" si="14"/>
        <v>1551668.74</v>
      </c>
      <c r="H148" s="123">
        <f t="shared" si="15"/>
        <v>1</v>
      </c>
      <c r="I148" s="187" t="str">
        <f>IF(H148="","",IF(OR(ABS(H148)&gt;=30%,ABS(G148)&gt;=$E$127*5%,ABS(G148)&gt;=已审PL分析!$E$42*10%),"显著",IF(ABS(H148)&gt;=10%,"关注","")))</f>
        <v>显著</v>
      </c>
      <c r="J148" s="122"/>
      <c r="K148" s="915">
        <f t="shared" si="16"/>
        <v>1.1967751694331598E-2</v>
      </c>
      <c r="L148" s="914" t="str">
        <f t="shared" si="17"/>
        <v/>
      </c>
      <c r="M148" s="930"/>
    </row>
    <row r="149" spans="1:13" ht="13.95" customHeight="1">
      <c r="A149" s="938" t="str">
        <f>未审报表!A149</f>
        <v>其他应付款</v>
      </c>
      <c r="B149" s="460">
        <f>未审报表!B149</f>
        <v>142</v>
      </c>
      <c r="C149" s="405">
        <f>审定报表!D149</f>
        <v>1164224.7800000005</v>
      </c>
      <c r="D149" s="916">
        <f t="shared" si="12"/>
        <v>1.6278274110834958E-2</v>
      </c>
      <c r="E149" s="122">
        <f>审定报表!C149</f>
        <v>2680920.2199999997</v>
      </c>
      <c r="F149" s="124">
        <f t="shared" si="13"/>
        <v>2.0677472374208451E-2</v>
      </c>
      <c r="G149" s="122">
        <f t="shared" si="14"/>
        <v>1516695.4399999992</v>
      </c>
      <c r="H149" s="123">
        <f t="shared" si="15"/>
        <v>1.3027513810520324</v>
      </c>
      <c r="I149" s="187" t="str">
        <f>IF(H149="","",IF(OR(ABS(H149)&gt;=30%,ABS(G149)&gt;=$E$127*5%,ABS(G149)&gt;=已审PL分析!$E$42*10%),"显著",IF(ABS(H149)&gt;=10%,"关注","")))</f>
        <v>显著</v>
      </c>
      <c r="J149" s="122"/>
      <c r="K149" s="915">
        <f t="shared" si="16"/>
        <v>4.3991982633734932E-3</v>
      </c>
      <c r="L149" s="914" t="str">
        <f t="shared" si="17"/>
        <v/>
      </c>
      <c r="M149" s="930"/>
    </row>
    <row r="150" spans="1:13" ht="13.95" customHeight="1">
      <c r="A150" s="938" t="str">
        <f>未审报表!A150</f>
        <v xml:space="preserve">  其中：应付利息</v>
      </c>
      <c r="B150" s="460">
        <f>未审报表!B150</f>
        <v>143</v>
      </c>
      <c r="C150" s="405">
        <f>审定报表!D150</f>
        <v>0</v>
      </c>
      <c r="D150" s="916" t="str">
        <f t="shared" si="12"/>
        <v/>
      </c>
      <c r="E150" s="122">
        <f>审定报表!C150</f>
        <v>612345</v>
      </c>
      <c r="F150" s="124">
        <f t="shared" si="13"/>
        <v>4.7229107104815957E-3</v>
      </c>
      <c r="G150" s="122">
        <f t="shared" si="14"/>
        <v>612345</v>
      </c>
      <c r="H150" s="123">
        <f t="shared" si="15"/>
        <v>1</v>
      </c>
      <c r="I150" s="187" t="str">
        <f>IF(H150="","",IF(OR(ABS(H150)&gt;=30%,ABS(G150)&gt;=$E$127*5%,ABS(G150)&gt;=已审PL分析!$E$42*10%),"显著",IF(ABS(H150)&gt;=10%,"关注","")))</f>
        <v>显著</v>
      </c>
      <c r="J150" s="122"/>
      <c r="K150" s="915">
        <f t="shared" si="16"/>
        <v>4.7229107104815957E-3</v>
      </c>
      <c r="L150" s="914" t="str">
        <f t="shared" si="17"/>
        <v/>
      </c>
      <c r="M150" s="930"/>
    </row>
    <row r="151" spans="1:13" ht="13.95" customHeight="1">
      <c r="A151" s="938" t="str">
        <f>未审报表!A151</f>
        <v xml:space="preserve">        应付股利</v>
      </c>
      <c r="B151" s="460">
        <f>未审报表!B151</f>
        <v>144</v>
      </c>
      <c r="C151" s="405">
        <f>审定报表!D151</f>
        <v>0</v>
      </c>
      <c r="D151" s="916" t="str">
        <f t="shared" si="12"/>
        <v/>
      </c>
      <c r="E151" s="122">
        <f>审定报表!C151</f>
        <v>1432</v>
      </c>
      <c r="F151" s="124">
        <f t="shared" si="13"/>
        <v>1.1044767471620811E-5</v>
      </c>
      <c r="G151" s="122">
        <f t="shared" si="14"/>
        <v>1432</v>
      </c>
      <c r="H151" s="123">
        <f t="shared" si="15"/>
        <v>1</v>
      </c>
      <c r="I151" s="187" t="str">
        <f>IF(H151="","",IF(OR(ABS(H151)&gt;=30%,ABS(G151)&gt;=$E$127*5%,ABS(G151)&gt;=已审PL分析!$E$42*10%),"显著",IF(ABS(H151)&gt;=10%,"关注","")))</f>
        <v>显著</v>
      </c>
      <c r="J151" s="122"/>
      <c r="K151" s="915">
        <f t="shared" si="16"/>
        <v>1.1044767471620811E-5</v>
      </c>
      <c r="L151" s="914" t="str">
        <f t="shared" si="17"/>
        <v/>
      </c>
      <c r="M151" s="930"/>
    </row>
    <row r="152" spans="1:13" ht="13.95" customHeight="1">
      <c r="A152" s="938" t="str">
        <f>未审报表!A152</f>
        <v>应付手续费及佣金*</v>
      </c>
      <c r="B152" s="460">
        <f>未审报表!B152</f>
        <v>145</v>
      </c>
      <c r="C152" s="405">
        <f>审定报表!D152</f>
        <v>0</v>
      </c>
      <c r="D152" s="916" t="str">
        <f t="shared" si="12"/>
        <v/>
      </c>
      <c r="E152" s="122">
        <f>审定报表!C152</f>
        <v>0</v>
      </c>
      <c r="F152" s="124" t="str">
        <f t="shared" si="13"/>
        <v/>
      </c>
      <c r="G152" s="122">
        <f t="shared" si="14"/>
        <v>0</v>
      </c>
      <c r="H152" s="123" t="str">
        <f t="shared" si="15"/>
        <v/>
      </c>
      <c r="I152" s="187" t="str">
        <f>IF(H152="","",IF(OR(ABS(H152)&gt;=30%,ABS(G152)&gt;=$E$127*5%,ABS(G152)&gt;=已审PL分析!$E$42*10%),"显著",IF(ABS(H152)&gt;=10%,"关注","")))</f>
        <v/>
      </c>
      <c r="J152" s="122"/>
      <c r="K152" s="915" t="str">
        <f t="shared" si="16"/>
        <v/>
      </c>
      <c r="L152" s="914" t="str">
        <f t="shared" si="17"/>
        <v/>
      </c>
      <c r="M152" s="930"/>
    </row>
    <row r="153" spans="1:13" ht="13.95" customHeight="1">
      <c r="A153" s="938" t="str">
        <f>未审报表!A153</f>
        <v>应付分保账款*</v>
      </c>
      <c r="B153" s="460">
        <f>未审报表!B153</f>
        <v>146</v>
      </c>
      <c r="C153" s="405">
        <f>审定报表!D153</f>
        <v>0</v>
      </c>
      <c r="D153" s="916" t="str">
        <f t="shared" si="12"/>
        <v/>
      </c>
      <c r="E153" s="122">
        <f>审定报表!C153</f>
        <v>0</v>
      </c>
      <c r="F153" s="124" t="str">
        <f t="shared" si="13"/>
        <v/>
      </c>
      <c r="G153" s="122">
        <f t="shared" si="14"/>
        <v>0</v>
      </c>
      <c r="H153" s="123" t="str">
        <f t="shared" si="15"/>
        <v/>
      </c>
      <c r="I153" s="187" t="str">
        <f>IF(H153="","",IF(OR(ABS(H153)&gt;=30%,ABS(G153)&gt;=$E$127*5%,ABS(G153)&gt;=已审PL分析!$E$42*10%),"显著",IF(ABS(H153)&gt;=10%,"关注","")))</f>
        <v/>
      </c>
      <c r="J153" s="122"/>
      <c r="K153" s="915" t="str">
        <f t="shared" si="16"/>
        <v/>
      </c>
      <c r="L153" s="914" t="str">
        <f t="shared" si="17"/>
        <v/>
      </c>
      <c r="M153" s="930"/>
    </row>
    <row r="154" spans="1:13" ht="13.95" customHeight="1">
      <c r="A154" s="938" t="str">
        <f>未审报表!A154</f>
        <v>持有待售负债</v>
      </c>
      <c r="B154" s="460">
        <f>未审报表!B154</f>
        <v>147</v>
      </c>
      <c r="C154" s="405">
        <f>审定报表!D154</f>
        <v>0</v>
      </c>
      <c r="D154" s="916" t="str">
        <f t="shared" si="12"/>
        <v/>
      </c>
      <c r="E154" s="122">
        <f>审定报表!C154</f>
        <v>0</v>
      </c>
      <c r="F154" s="124" t="str">
        <f t="shared" si="13"/>
        <v/>
      </c>
      <c r="G154" s="122">
        <f t="shared" si="14"/>
        <v>0</v>
      </c>
      <c r="H154" s="123" t="str">
        <f t="shared" si="15"/>
        <v/>
      </c>
      <c r="I154" s="187" t="str">
        <f>IF(H154="","",IF(OR(ABS(H154)&gt;=30%,ABS(G154)&gt;=$E$127*5%,ABS(G154)&gt;=已审PL分析!$E$42*10%),"显著",IF(ABS(H154)&gt;=10%,"关注","")))</f>
        <v/>
      </c>
      <c r="J154" s="122"/>
      <c r="K154" s="915" t="str">
        <f t="shared" si="16"/>
        <v/>
      </c>
      <c r="L154" s="914" t="str">
        <f t="shared" si="17"/>
        <v/>
      </c>
      <c r="M154" s="930"/>
    </row>
    <row r="155" spans="1:13" ht="13.95" customHeight="1">
      <c r="A155" s="938" t="str">
        <f>未审报表!A155</f>
        <v>一年内到期的非流动负债</v>
      </c>
      <c r="B155" s="460">
        <f>未审报表!B155</f>
        <v>148</v>
      </c>
      <c r="C155" s="405">
        <f>审定报表!D155</f>
        <v>0</v>
      </c>
      <c r="D155" s="916" t="str">
        <f t="shared" si="12"/>
        <v/>
      </c>
      <c r="E155" s="122">
        <f>审定报表!C155</f>
        <v>0</v>
      </c>
      <c r="F155" s="124" t="str">
        <f t="shared" si="13"/>
        <v/>
      </c>
      <c r="G155" s="122">
        <f t="shared" si="14"/>
        <v>0</v>
      </c>
      <c r="H155" s="123" t="str">
        <f t="shared" si="15"/>
        <v/>
      </c>
      <c r="I155" s="187" t="str">
        <f>IF(H155="","",IF(OR(ABS(H155)&gt;=30%,ABS(G155)&gt;=$E$127*5%,ABS(G155)&gt;=已审PL分析!$E$42*10%),"显著",IF(ABS(H155)&gt;=10%,"关注","")))</f>
        <v/>
      </c>
      <c r="J155" s="122"/>
      <c r="K155" s="915" t="str">
        <f t="shared" si="16"/>
        <v/>
      </c>
      <c r="L155" s="914" t="str">
        <f t="shared" si="17"/>
        <v/>
      </c>
      <c r="M155" s="930"/>
    </row>
    <row r="156" spans="1:13" ht="13.95" customHeight="1">
      <c r="A156" s="938" t="str">
        <f>未审报表!A156</f>
        <v>其他流动负债</v>
      </c>
      <c r="B156" s="460">
        <f>未审报表!B156</f>
        <v>149</v>
      </c>
      <c r="C156" s="405">
        <f>审定报表!D156</f>
        <v>0</v>
      </c>
      <c r="D156" s="916" t="str">
        <f t="shared" si="12"/>
        <v/>
      </c>
      <c r="E156" s="122">
        <f>审定报表!C156</f>
        <v>0</v>
      </c>
      <c r="F156" s="124" t="str">
        <f t="shared" si="13"/>
        <v/>
      </c>
      <c r="G156" s="122">
        <f t="shared" si="14"/>
        <v>0</v>
      </c>
      <c r="H156" s="123" t="str">
        <f t="shared" si="15"/>
        <v/>
      </c>
      <c r="I156" s="187" t="str">
        <f>IF(H156="","",IF(OR(ABS(H156)&gt;=30%,ABS(G156)&gt;=$E$127*5%,ABS(G156)&gt;=已审PL分析!$E$42*10%),"显著",IF(ABS(H156)&gt;=10%,"关注","")))</f>
        <v/>
      </c>
      <c r="J156" s="122"/>
      <c r="K156" s="915" t="str">
        <f t="shared" si="16"/>
        <v/>
      </c>
      <c r="L156" s="914" t="str">
        <f t="shared" si="17"/>
        <v/>
      </c>
      <c r="M156" s="930"/>
    </row>
    <row r="157" spans="1:13" ht="13.95" customHeight="1">
      <c r="A157" s="938" t="str">
        <f>未审报表!A157</f>
        <v>保险合同准备金*</v>
      </c>
      <c r="B157" s="460">
        <f>未审报表!B157</f>
        <v>150</v>
      </c>
      <c r="C157" s="405">
        <f>审定报表!D157</f>
        <v>0</v>
      </c>
      <c r="D157" s="916" t="str">
        <f t="shared" si="12"/>
        <v/>
      </c>
      <c r="E157" s="122">
        <f>审定报表!C157</f>
        <v>0</v>
      </c>
      <c r="F157" s="124" t="str">
        <f t="shared" si="13"/>
        <v/>
      </c>
      <c r="G157" s="122">
        <f t="shared" si="14"/>
        <v>0</v>
      </c>
      <c r="H157" s="123" t="str">
        <f t="shared" si="15"/>
        <v/>
      </c>
      <c r="I157" s="187" t="str">
        <f>IF(H157="","",IF(OR(ABS(H157)&gt;=30%,ABS(G157)&gt;=$E$127*5%,ABS(G157)&gt;=已审PL分析!$E$42*10%),"显著",IF(ABS(H157)&gt;=10%,"关注","")))</f>
        <v/>
      </c>
      <c r="J157" s="122"/>
      <c r="K157" s="915" t="str">
        <f t="shared" si="16"/>
        <v/>
      </c>
      <c r="L157" s="914" t="str">
        <f t="shared" si="17"/>
        <v/>
      </c>
      <c r="M157" s="930"/>
    </row>
    <row r="158" spans="1:13" ht="13.95" customHeight="1">
      <c r="A158" s="938" t="str">
        <f>未审报表!A158</f>
        <v>流动负债合计</v>
      </c>
      <c r="B158" s="460">
        <f>未审报表!B158</f>
        <v>151</v>
      </c>
      <c r="C158" s="405">
        <f>审定报表!D158</f>
        <v>9195302</v>
      </c>
      <c r="D158" s="916">
        <f t="shared" si="12"/>
        <v>0.1285693699870474</v>
      </c>
      <c r="E158" s="122">
        <f>审定报表!C158</f>
        <v>25101937.779999997</v>
      </c>
      <c r="F158" s="124">
        <f t="shared" si="13"/>
        <v>0.19360688957206248</v>
      </c>
      <c r="G158" s="122">
        <f t="shared" si="14"/>
        <v>15906635.779999997</v>
      </c>
      <c r="H158" s="123">
        <f t="shared" si="15"/>
        <v>1.7298655095830455</v>
      </c>
      <c r="I158" s="187" t="str">
        <f>IF(H158="","",IF(OR(ABS(H158)&gt;=30%,ABS(G158)&gt;=$E$127*5%,ABS(G158)&gt;=已审PL分析!$E$42*10%),"显著",IF(ABS(H158)&gt;=10%,"关注","")))</f>
        <v>显著</v>
      </c>
      <c r="J158" s="122"/>
      <c r="K158" s="915">
        <f t="shared" si="16"/>
        <v>6.503751958501508E-2</v>
      </c>
      <c r="L158" s="914" t="str">
        <f t="shared" si="17"/>
        <v/>
      </c>
      <c r="M158" s="930"/>
    </row>
    <row r="159" spans="1:13" ht="13.95" customHeight="1">
      <c r="A159" s="938" t="str">
        <f>未审报表!A159</f>
        <v>非流动负债:</v>
      </c>
      <c r="B159" s="460">
        <f>未审报表!B159</f>
        <v>152</v>
      </c>
      <c r="C159" s="405">
        <f>审定报表!D159</f>
        <v>0</v>
      </c>
      <c r="D159" s="916" t="str">
        <f t="shared" si="12"/>
        <v/>
      </c>
      <c r="E159" s="122">
        <f>审定报表!C159</f>
        <v>0</v>
      </c>
      <c r="F159" s="124" t="str">
        <f t="shared" si="13"/>
        <v/>
      </c>
      <c r="G159" s="122">
        <f t="shared" si="14"/>
        <v>0</v>
      </c>
      <c r="H159" s="123" t="str">
        <f t="shared" si="15"/>
        <v/>
      </c>
      <c r="I159" s="187" t="str">
        <f>IF(H159="","",IF(OR(ABS(H159)&gt;=30%,ABS(G159)&gt;=$E$127*5%,ABS(G159)&gt;=已审PL分析!$E$42*10%),"显著",IF(ABS(H159)&gt;=10%,"关注","")))</f>
        <v/>
      </c>
      <c r="J159" s="122"/>
      <c r="K159" s="915" t="str">
        <f t="shared" si="16"/>
        <v/>
      </c>
      <c r="L159" s="914" t="str">
        <f t="shared" si="17"/>
        <v/>
      </c>
      <c r="M159" s="930"/>
    </row>
    <row r="160" spans="1:13" ht="13.95" customHeight="1">
      <c r="A160" s="938" t="str">
        <f>未审报表!A160</f>
        <v>长期借款</v>
      </c>
      <c r="B160" s="460">
        <f>未审报表!B160</f>
        <v>153</v>
      </c>
      <c r="C160" s="405">
        <f>审定报表!D160</f>
        <v>0</v>
      </c>
      <c r="D160" s="916" t="str">
        <f t="shared" si="12"/>
        <v/>
      </c>
      <c r="E160" s="122">
        <f>审定报表!C160</f>
        <v>0</v>
      </c>
      <c r="F160" s="124" t="str">
        <f t="shared" si="13"/>
        <v/>
      </c>
      <c r="G160" s="122">
        <f t="shared" si="14"/>
        <v>0</v>
      </c>
      <c r="H160" s="123" t="str">
        <f t="shared" si="15"/>
        <v/>
      </c>
      <c r="I160" s="187" t="str">
        <f>IF(H160="","",IF(OR(ABS(H160)&gt;=30%,ABS(G160)&gt;=$E$127*5%,ABS(G160)&gt;=已审PL分析!$E$42*10%),"显著",IF(ABS(H160)&gt;=10%,"关注","")))</f>
        <v/>
      </c>
      <c r="J160" s="122"/>
      <c r="K160" s="915" t="str">
        <f t="shared" si="16"/>
        <v/>
      </c>
      <c r="L160" s="914" t="str">
        <f t="shared" si="17"/>
        <v/>
      </c>
      <c r="M160" s="930"/>
    </row>
    <row r="161" spans="1:13" ht="13.95" customHeight="1">
      <c r="A161" s="938" t="str">
        <f>未审报表!A161</f>
        <v>应付债券</v>
      </c>
      <c r="B161" s="460">
        <f>未审报表!B161</f>
        <v>154</v>
      </c>
      <c r="C161" s="405">
        <f>审定报表!D161</f>
        <v>0</v>
      </c>
      <c r="D161" s="916" t="str">
        <f t="shared" si="12"/>
        <v/>
      </c>
      <c r="E161" s="122">
        <f>审定报表!C161</f>
        <v>0</v>
      </c>
      <c r="F161" s="124" t="str">
        <f t="shared" si="13"/>
        <v/>
      </c>
      <c r="G161" s="122">
        <f t="shared" si="14"/>
        <v>0</v>
      </c>
      <c r="H161" s="123" t="str">
        <f t="shared" si="15"/>
        <v/>
      </c>
      <c r="I161" s="187" t="str">
        <f>IF(H161="","",IF(OR(ABS(H161)&gt;=30%,ABS(G161)&gt;=$E$127*5%,ABS(G161)&gt;=已审PL分析!$E$42*10%),"显著",IF(ABS(H161)&gt;=10%,"关注","")))</f>
        <v/>
      </c>
      <c r="J161" s="122"/>
      <c r="K161" s="915" t="str">
        <f t="shared" si="16"/>
        <v/>
      </c>
      <c r="L161" s="914" t="str">
        <f t="shared" si="17"/>
        <v/>
      </c>
      <c r="M161" s="930"/>
    </row>
    <row r="162" spans="1:13" ht="13.95" customHeight="1">
      <c r="A162" s="938" t="str">
        <f>未审报表!A162</f>
        <v xml:space="preserve">  其中：优先股</v>
      </c>
      <c r="B162" s="460">
        <f>未审报表!B162</f>
        <v>155</v>
      </c>
      <c r="C162" s="405">
        <f>审定报表!D162</f>
        <v>0</v>
      </c>
      <c r="D162" s="916" t="str">
        <f t="shared" si="12"/>
        <v/>
      </c>
      <c r="E162" s="122">
        <f>审定报表!C162</f>
        <v>0</v>
      </c>
      <c r="F162" s="124" t="str">
        <f t="shared" si="13"/>
        <v/>
      </c>
      <c r="G162" s="122">
        <f t="shared" si="14"/>
        <v>0</v>
      </c>
      <c r="H162" s="123" t="str">
        <f t="shared" si="15"/>
        <v/>
      </c>
      <c r="I162" s="187" t="str">
        <f>IF(H162="","",IF(OR(ABS(H162)&gt;=30%,ABS(G162)&gt;=$E$127*5%,ABS(G162)&gt;=已审PL分析!$E$42*10%),"显著",IF(ABS(H162)&gt;=10%,"关注","")))</f>
        <v/>
      </c>
      <c r="J162" s="122"/>
      <c r="K162" s="915" t="str">
        <f t="shared" si="16"/>
        <v/>
      </c>
      <c r="L162" s="914" t="str">
        <f t="shared" si="17"/>
        <v/>
      </c>
      <c r="M162" s="930"/>
    </row>
    <row r="163" spans="1:13" ht="13.95" customHeight="1">
      <c r="A163" s="938" t="str">
        <f>未审报表!A163</f>
        <v xml:space="preserve">        永续债</v>
      </c>
      <c r="B163" s="460">
        <f>未审报表!B163</f>
        <v>156</v>
      </c>
      <c r="C163" s="405">
        <f>审定报表!D163</f>
        <v>0</v>
      </c>
      <c r="D163" s="916" t="str">
        <f t="shared" si="12"/>
        <v/>
      </c>
      <c r="E163" s="122">
        <f>审定报表!C163</f>
        <v>0</v>
      </c>
      <c r="F163" s="124" t="str">
        <f t="shared" si="13"/>
        <v/>
      </c>
      <c r="G163" s="122">
        <f t="shared" si="14"/>
        <v>0</v>
      </c>
      <c r="H163" s="123" t="str">
        <f t="shared" si="15"/>
        <v/>
      </c>
      <c r="I163" s="187" t="str">
        <f>IF(H163="","",IF(OR(ABS(H163)&gt;=30%,ABS(G163)&gt;=$E$127*5%,ABS(G163)&gt;=已审PL分析!$E$42*10%),"显著",IF(ABS(H163)&gt;=10%,"关注","")))</f>
        <v/>
      </c>
      <c r="J163" s="122"/>
      <c r="K163" s="915" t="str">
        <f t="shared" si="16"/>
        <v/>
      </c>
      <c r="L163" s="914" t="str">
        <f t="shared" si="17"/>
        <v/>
      </c>
      <c r="M163" s="930"/>
    </row>
    <row r="164" spans="1:13" ht="13.95" customHeight="1">
      <c r="A164" s="938" t="str">
        <f>未审报表!A164</f>
        <v>租赁负债</v>
      </c>
      <c r="B164" s="460">
        <f>未审报表!B164</f>
        <v>157</v>
      </c>
      <c r="C164" s="405">
        <f>审定报表!D164</f>
        <v>0</v>
      </c>
      <c r="D164" s="916" t="str">
        <f t="shared" si="12"/>
        <v/>
      </c>
      <c r="E164" s="122">
        <f>审定报表!C164</f>
        <v>0</v>
      </c>
      <c r="F164" s="124" t="str">
        <f t="shared" si="13"/>
        <v/>
      </c>
      <c r="G164" s="122">
        <f t="shared" si="14"/>
        <v>0</v>
      </c>
      <c r="H164" s="123" t="str">
        <f t="shared" si="15"/>
        <v/>
      </c>
      <c r="I164" s="187" t="str">
        <f>IF(H164="","",IF(OR(ABS(H164)&gt;=30%,ABS(G164)&gt;=$E$127*5%,ABS(G164)&gt;=已审PL分析!$E$42*10%),"显著",IF(ABS(H164)&gt;=10%,"关注","")))</f>
        <v/>
      </c>
      <c r="J164" s="122"/>
      <c r="K164" s="915" t="str">
        <f t="shared" si="16"/>
        <v/>
      </c>
      <c r="L164" s="914" t="str">
        <f t="shared" si="17"/>
        <v/>
      </c>
      <c r="M164" s="930"/>
    </row>
    <row r="165" spans="1:13" ht="13.95" customHeight="1">
      <c r="A165" s="938" t="str">
        <f>未审报表!A165</f>
        <v>长期应付款</v>
      </c>
      <c r="B165" s="460">
        <f>未审报表!B165</f>
        <v>158</v>
      </c>
      <c r="C165" s="405">
        <f>审定报表!D165</f>
        <v>0</v>
      </c>
      <c r="D165" s="916" t="str">
        <f t="shared" si="12"/>
        <v/>
      </c>
      <c r="E165" s="122">
        <f>审定报表!C165</f>
        <v>0</v>
      </c>
      <c r="F165" s="124" t="str">
        <f t="shared" si="13"/>
        <v/>
      </c>
      <c r="G165" s="122">
        <f t="shared" si="14"/>
        <v>0</v>
      </c>
      <c r="H165" s="123" t="str">
        <f t="shared" si="15"/>
        <v/>
      </c>
      <c r="I165" s="187" t="str">
        <f>IF(H165="","",IF(OR(ABS(H165)&gt;=30%,ABS(G165)&gt;=$E$127*5%,ABS(G165)&gt;=已审PL分析!$E$42*10%),"显著",IF(ABS(H165)&gt;=10%,"关注","")))</f>
        <v/>
      </c>
      <c r="J165" s="122"/>
      <c r="K165" s="915" t="str">
        <f t="shared" si="16"/>
        <v/>
      </c>
      <c r="L165" s="914" t="str">
        <f t="shared" si="17"/>
        <v/>
      </c>
      <c r="M165" s="930"/>
    </row>
    <row r="166" spans="1:13" ht="13.95" customHeight="1">
      <c r="A166" s="938" t="str">
        <f>未审报表!A166</f>
        <v>专项应付款</v>
      </c>
      <c r="B166" s="460">
        <f>未审报表!B166</f>
        <v>159</v>
      </c>
      <c r="C166" s="405">
        <f>审定报表!D166</f>
        <v>0</v>
      </c>
      <c r="D166" s="916" t="str">
        <f t="shared" si="12"/>
        <v/>
      </c>
      <c r="E166" s="122">
        <f>审定报表!C166</f>
        <v>0</v>
      </c>
      <c r="F166" s="124" t="str">
        <f t="shared" si="13"/>
        <v/>
      </c>
      <c r="G166" s="122">
        <f t="shared" si="14"/>
        <v>0</v>
      </c>
      <c r="H166" s="123" t="str">
        <f t="shared" si="15"/>
        <v/>
      </c>
      <c r="I166" s="187" t="str">
        <f>IF(H166="","",IF(OR(ABS(H166)&gt;=30%,ABS(G166)&gt;=$E$127*5%,ABS(G166)&gt;=已审PL分析!$E$42*10%),"显著",IF(ABS(H166)&gt;=10%,"关注","")))</f>
        <v/>
      </c>
      <c r="J166" s="122"/>
      <c r="K166" s="915" t="str">
        <f t="shared" si="16"/>
        <v/>
      </c>
      <c r="L166" s="914" t="str">
        <f t="shared" si="17"/>
        <v/>
      </c>
      <c r="M166" s="930"/>
    </row>
    <row r="167" spans="1:13" ht="13.95" customHeight="1">
      <c r="A167" s="938" t="str">
        <f>未审报表!A167</f>
        <v>长期应付职工薪酬</v>
      </c>
      <c r="B167" s="460">
        <f>未审报表!B167</f>
        <v>160</v>
      </c>
      <c r="C167" s="405">
        <f>审定报表!D167</f>
        <v>0</v>
      </c>
      <c r="D167" s="916" t="str">
        <f t="shared" si="12"/>
        <v/>
      </c>
      <c r="E167" s="122">
        <f>审定报表!C167</f>
        <v>0</v>
      </c>
      <c r="F167" s="124" t="str">
        <f t="shared" si="13"/>
        <v/>
      </c>
      <c r="G167" s="122">
        <f t="shared" si="14"/>
        <v>0</v>
      </c>
      <c r="H167" s="123" t="str">
        <f t="shared" si="15"/>
        <v/>
      </c>
      <c r="I167" s="187" t="str">
        <f>IF(H167="","",IF(OR(ABS(H167)&gt;=30%,ABS(G167)&gt;=$E$127*5%,ABS(G167)&gt;=已审PL分析!$E$42*10%),"显著",IF(ABS(H167)&gt;=10%,"关注","")))</f>
        <v/>
      </c>
      <c r="J167" s="122"/>
      <c r="K167" s="915" t="str">
        <f t="shared" si="16"/>
        <v/>
      </c>
      <c r="L167" s="914" t="str">
        <f t="shared" si="17"/>
        <v/>
      </c>
      <c r="M167" s="930"/>
    </row>
    <row r="168" spans="1:13" ht="13.95" customHeight="1">
      <c r="A168" s="938" t="str">
        <f>未审报表!A168</f>
        <v>预计负债</v>
      </c>
      <c r="B168" s="460">
        <f>未审报表!B168</f>
        <v>161</v>
      </c>
      <c r="C168" s="405">
        <f>审定报表!D168</f>
        <v>0</v>
      </c>
      <c r="D168" s="916" t="str">
        <f t="shared" si="12"/>
        <v/>
      </c>
      <c r="E168" s="122">
        <f>审定报表!C168</f>
        <v>0</v>
      </c>
      <c r="F168" s="124" t="str">
        <f t="shared" si="13"/>
        <v/>
      </c>
      <c r="G168" s="122">
        <f t="shared" si="14"/>
        <v>0</v>
      </c>
      <c r="H168" s="123" t="str">
        <f t="shared" si="15"/>
        <v/>
      </c>
      <c r="I168" s="187" t="str">
        <f>IF(H168="","",IF(OR(ABS(H168)&gt;=30%,ABS(G168)&gt;=$E$127*5%,ABS(G168)&gt;=已审PL分析!$E$42*10%),"显著",IF(ABS(H168)&gt;=10%,"关注","")))</f>
        <v/>
      </c>
      <c r="J168" s="122"/>
      <c r="K168" s="915" t="str">
        <f t="shared" si="16"/>
        <v/>
      </c>
      <c r="L168" s="914" t="str">
        <f t="shared" si="17"/>
        <v/>
      </c>
      <c r="M168" s="930"/>
    </row>
    <row r="169" spans="1:13" ht="13.95" customHeight="1">
      <c r="A169" s="938" t="str">
        <f>未审报表!A169</f>
        <v>递延收益</v>
      </c>
      <c r="B169" s="460">
        <f>未审报表!B169</f>
        <v>162</v>
      </c>
      <c r="C169" s="405">
        <f>审定报表!D169</f>
        <v>0</v>
      </c>
      <c r="D169" s="916" t="str">
        <f t="shared" si="12"/>
        <v/>
      </c>
      <c r="E169" s="122">
        <f>审定报表!C169</f>
        <v>0</v>
      </c>
      <c r="F169" s="124" t="str">
        <f t="shared" si="13"/>
        <v/>
      </c>
      <c r="G169" s="122">
        <f t="shared" si="14"/>
        <v>0</v>
      </c>
      <c r="H169" s="123" t="str">
        <f t="shared" si="15"/>
        <v/>
      </c>
      <c r="I169" s="187" t="str">
        <f>IF(H169="","",IF(OR(ABS(H169)&gt;=30%,ABS(G169)&gt;=$E$127*5%,ABS(G169)&gt;=已审PL分析!$E$42*10%),"显著",IF(ABS(H169)&gt;=10%,"关注","")))</f>
        <v/>
      </c>
      <c r="J169" s="122"/>
      <c r="K169" s="915" t="str">
        <f t="shared" si="16"/>
        <v/>
      </c>
      <c r="L169" s="914" t="str">
        <f t="shared" si="17"/>
        <v/>
      </c>
      <c r="M169" s="930"/>
    </row>
    <row r="170" spans="1:13" ht="13.95" customHeight="1">
      <c r="A170" s="938" t="str">
        <f>未审报表!A170</f>
        <v>递延所得税负债</v>
      </c>
      <c r="B170" s="460">
        <f>未审报表!B170</f>
        <v>163</v>
      </c>
      <c r="C170" s="405">
        <f>审定报表!D170</f>
        <v>0</v>
      </c>
      <c r="D170" s="916" t="str">
        <f t="shared" si="12"/>
        <v/>
      </c>
      <c r="E170" s="122">
        <f>审定报表!C170</f>
        <v>0</v>
      </c>
      <c r="F170" s="124" t="str">
        <f t="shared" si="13"/>
        <v/>
      </c>
      <c r="G170" s="122">
        <f t="shared" si="14"/>
        <v>0</v>
      </c>
      <c r="H170" s="123" t="str">
        <f t="shared" si="15"/>
        <v/>
      </c>
      <c r="I170" s="187" t="str">
        <f>IF(H170="","",IF(OR(ABS(H170)&gt;=30%,ABS(G170)&gt;=$E$127*5%,ABS(G170)&gt;=已审PL分析!$E$42*10%),"显著",IF(ABS(H170)&gt;=10%,"关注","")))</f>
        <v/>
      </c>
      <c r="J170" s="122"/>
      <c r="K170" s="915" t="str">
        <f t="shared" si="16"/>
        <v/>
      </c>
      <c r="L170" s="914" t="str">
        <f t="shared" si="17"/>
        <v/>
      </c>
      <c r="M170" s="930"/>
    </row>
    <row r="171" spans="1:13" ht="13.95" customHeight="1">
      <c r="A171" s="938" t="str">
        <f>未审报表!A171</f>
        <v>其他非流动负债</v>
      </c>
      <c r="B171" s="460">
        <f>未审报表!B171</f>
        <v>164</v>
      </c>
      <c r="C171" s="405">
        <f>审定报表!D171</f>
        <v>0</v>
      </c>
      <c r="D171" s="916" t="str">
        <f t="shared" si="12"/>
        <v/>
      </c>
      <c r="E171" s="122">
        <f>审定报表!C171</f>
        <v>0</v>
      </c>
      <c r="F171" s="124" t="str">
        <f t="shared" si="13"/>
        <v/>
      </c>
      <c r="G171" s="122">
        <f t="shared" si="14"/>
        <v>0</v>
      </c>
      <c r="H171" s="123" t="str">
        <f t="shared" si="15"/>
        <v/>
      </c>
      <c r="I171" s="187" t="str">
        <f>IF(H171="","",IF(OR(ABS(H171)&gt;=30%,ABS(G171)&gt;=$E$127*5%,ABS(G171)&gt;=已审PL分析!$E$42*10%),"显著",IF(ABS(H171)&gt;=10%,"关注","")))</f>
        <v/>
      </c>
      <c r="J171" s="122"/>
      <c r="K171" s="915" t="str">
        <f t="shared" si="16"/>
        <v/>
      </c>
      <c r="L171" s="914" t="str">
        <f t="shared" si="17"/>
        <v/>
      </c>
      <c r="M171" s="930"/>
    </row>
    <row r="172" spans="1:13" ht="13.95" customHeight="1">
      <c r="A172" s="938" t="str">
        <f>未审报表!A172</f>
        <v xml:space="preserve"> 其中：特准储备基金</v>
      </c>
      <c r="B172" s="460">
        <f>未审报表!B172</f>
        <v>165</v>
      </c>
      <c r="C172" s="405">
        <f>审定报表!D172</f>
        <v>0</v>
      </c>
      <c r="D172" s="916" t="str">
        <f t="shared" si="12"/>
        <v/>
      </c>
      <c r="E172" s="122">
        <f>审定报表!C172</f>
        <v>0</v>
      </c>
      <c r="F172" s="124" t="str">
        <f t="shared" si="13"/>
        <v/>
      </c>
      <c r="G172" s="122">
        <f t="shared" si="14"/>
        <v>0</v>
      </c>
      <c r="H172" s="123" t="str">
        <f t="shared" si="15"/>
        <v/>
      </c>
      <c r="I172" s="187" t="str">
        <f>IF(H172="","",IF(OR(ABS(H172)&gt;=30%,ABS(G172)&gt;=$E$127*5%,ABS(G172)&gt;=已审PL分析!$E$42*10%),"显著",IF(ABS(H172)&gt;=10%,"关注","")))</f>
        <v/>
      </c>
      <c r="J172" s="122"/>
      <c r="K172" s="915" t="str">
        <f t="shared" si="16"/>
        <v/>
      </c>
      <c r="L172" s="914" t="str">
        <f t="shared" si="17"/>
        <v/>
      </c>
      <c r="M172" s="930"/>
    </row>
    <row r="173" spans="1:13" ht="13.95" customHeight="1">
      <c r="A173" s="939" t="str">
        <f>未审报表!A173</f>
        <v>非流动负债合计</v>
      </c>
      <c r="B173" s="460">
        <f>未审报表!B173</f>
        <v>166</v>
      </c>
      <c r="C173" s="405">
        <f>审定报表!D173</f>
        <v>0</v>
      </c>
      <c r="D173" s="916" t="str">
        <f t="shared" si="12"/>
        <v/>
      </c>
      <c r="E173" s="122">
        <f>审定报表!C173</f>
        <v>0</v>
      </c>
      <c r="F173" s="124" t="str">
        <f t="shared" si="13"/>
        <v/>
      </c>
      <c r="G173" s="122">
        <f t="shared" si="14"/>
        <v>0</v>
      </c>
      <c r="H173" s="123" t="str">
        <f t="shared" si="15"/>
        <v/>
      </c>
      <c r="I173" s="187" t="str">
        <f>IF(H173="","",IF(OR(ABS(H173)&gt;=30%,ABS(G173)&gt;=$E$127*5%,ABS(G173)&gt;=已审PL分析!$E$42*10%),"显著",IF(ABS(H173)&gt;=10%,"关注","")))</f>
        <v/>
      </c>
      <c r="J173" s="122"/>
      <c r="K173" s="915" t="str">
        <f t="shared" si="16"/>
        <v/>
      </c>
      <c r="L173" s="914" t="str">
        <f t="shared" si="17"/>
        <v/>
      </c>
      <c r="M173" s="930"/>
    </row>
    <row r="174" spans="1:13" ht="13.95" customHeight="1">
      <c r="A174" s="939" t="str">
        <f>未审报表!A174</f>
        <v>负 债 合 计</v>
      </c>
      <c r="B174" s="460">
        <f>未审报表!B174</f>
        <v>167</v>
      </c>
      <c r="C174" s="405">
        <f>审定报表!D174</f>
        <v>9195302</v>
      </c>
      <c r="D174" s="916">
        <f t="shared" si="12"/>
        <v>0.1285693699870474</v>
      </c>
      <c r="E174" s="122">
        <f>审定报表!C174</f>
        <v>25101937.779999997</v>
      </c>
      <c r="F174" s="124">
        <f t="shared" si="13"/>
        <v>0.19360688957206248</v>
      </c>
      <c r="G174" s="122">
        <f t="shared" si="14"/>
        <v>15906635.779999997</v>
      </c>
      <c r="H174" s="123">
        <f t="shared" si="15"/>
        <v>1.7298655095830455</v>
      </c>
      <c r="I174" s="187" t="str">
        <f>IF(H174="","",IF(OR(ABS(H174)&gt;=30%,ABS(G174)&gt;=$E$127*5%,ABS(G174)&gt;=已审PL分析!$E$42*10%),"显著",IF(ABS(H174)&gt;=10%,"关注","")))</f>
        <v>显著</v>
      </c>
      <c r="J174" s="122"/>
      <c r="K174" s="915">
        <f t="shared" si="16"/>
        <v>6.503751958501508E-2</v>
      </c>
      <c r="L174" s="914" t="str">
        <f t="shared" si="17"/>
        <v/>
      </c>
      <c r="M174" s="930"/>
    </row>
    <row r="175" spans="1:13" ht="13.95" customHeight="1">
      <c r="A175" s="938" t="str">
        <f>未审报表!A175</f>
        <v>股东权益：</v>
      </c>
      <c r="B175" s="460">
        <f>未审报表!B175</f>
        <v>168</v>
      </c>
      <c r="C175" s="405">
        <f>审定报表!D175</f>
        <v>0</v>
      </c>
      <c r="D175" s="916" t="str">
        <f t="shared" si="12"/>
        <v/>
      </c>
      <c r="E175" s="122">
        <f>审定报表!C175</f>
        <v>0</v>
      </c>
      <c r="F175" s="124" t="str">
        <f t="shared" si="13"/>
        <v/>
      </c>
      <c r="G175" s="122">
        <f t="shared" si="14"/>
        <v>0</v>
      </c>
      <c r="H175" s="123" t="str">
        <f t="shared" si="15"/>
        <v/>
      </c>
      <c r="I175" s="187" t="str">
        <f>IF(H175="","",IF(OR(ABS(H175)&gt;=30%,ABS(G175)&gt;=$E$127*5%,ABS(G175)&gt;=已审PL分析!$E$42*10%),"显著",IF(ABS(H175)&gt;=10%,"关注","")))</f>
        <v/>
      </c>
      <c r="J175" s="122"/>
      <c r="K175" s="915" t="str">
        <f t="shared" si="16"/>
        <v/>
      </c>
      <c r="L175" s="914" t="str">
        <f t="shared" si="17"/>
        <v/>
      </c>
      <c r="M175" s="930"/>
    </row>
    <row r="176" spans="1:13" ht="13.95" customHeight="1">
      <c r="A176" s="938" t="str">
        <f>未审报表!A176</f>
        <v>实收资本（或股本）</v>
      </c>
      <c r="B176" s="460">
        <f>未审报表!B176</f>
        <v>169</v>
      </c>
      <c r="C176" s="405">
        <f>审定报表!D176</f>
        <v>51000000</v>
      </c>
      <c r="D176" s="916">
        <f t="shared" si="12"/>
        <v>0.71308564627234827</v>
      </c>
      <c r="E176" s="122">
        <f>审定报表!C176</f>
        <v>54350000</v>
      </c>
      <c r="F176" s="124">
        <f t="shared" si="13"/>
        <v>0.41919211737611106</v>
      </c>
      <c r="G176" s="122">
        <f t="shared" si="14"/>
        <v>3350000</v>
      </c>
      <c r="H176" s="123">
        <f t="shared" si="15"/>
        <v>6.5686274509803924E-2</v>
      </c>
      <c r="I176" s="187" t="str">
        <f>IF(H176="","",IF(OR(ABS(H176)&gt;=30%,ABS(G176)&gt;=$E$127*5%,ABS(G176)&gt;=已审PL分析!$E$42*10%),"显著",IF(ABS(H176)&gt;=10%,"关注","")))</f>
        <v/>
      </c>
      <c r="J176" s="122"/>
      <c r="K176" s="915">
        <f t="shared" si="16"/>
        <v>-0.29389352889623721</v>
      </c>
      <c r="L176" s="914" t="str">
        <f t="shared" si="17"/>
        <v>关注</v>
      </c>
      <c r="M176" s="930"/>
    </row>
    <row r="177" spans="1:13" ht="13.95" customHeight="1">
      <c r="A177" s="938" t="str">
        <f>未审报表!A177</f>
        <v>其他权益工具</v>
      </c>
      <c r="B177" s="460">
        <f>未审报表!B177</f>
        <v>170</v>
      </c>
      <c r="C177" s="405">
        <f>审定报表!D177</f>
        <v>0</v>
      </c>
      <c r="D177" s="916" t="str">
        <f t="shared" si="12"/>
        <v/>
      </c>
      <c r="E177" s="122">
        <f>审定报表!C177</f>
        <v>0</v>
      </c>
      <c r="F177" s="124" t="str">
        <f t="shared" si="13"/>
        <v/>
      </c>
      <c r="G177" s="122">
        <f t="shared" si="14"/>
        <v>0</v>
      </c>
      <c r="H177" s="123" t="str">
        <f t="shared" si="15"/>
        <v/>
      </c>
      <c r="I177" s="187" t="str">
        <f>IF(H177="","",IF(OR(ABS(H177)&gt;=30%,ABS(G177)&gt;=$E$127*5%,ABS(G177)&gt;=已审PL分析!$E$42*10%),"显著",IF(ABS(H177)&gt;=10%,"关注","")))</f>
        <v/>
      </c>
      <c r="J177" s="122"/>
      <c r="K177" s="915" t="str">
        <f t="shared" si="16"/>
        <v/>
      </c>
      <c r="L177" s="914" t="str">
        <f t="shared" si="17"/>
        <v/>
      </c>
      <c r="M177" s="930"/>
    </row>
    <row r="178" spans="1:13" ht="13.95" customHeight="1">
      <c r="A178" s="938" t="str">
        <f>未审报表!A178</f>
        <v xml:space="preserve">  其中：优先股</v>
      </c>
      <c r="B178" s="460">
        <f>未审报表!B178</f>
        <v>171</v>
      </c>
      <c r="C178" s="405">
        <f>审定报表!D178</f>
        <v>0</v>
      </c>
      <c r="D178" s="916" t="str">
        <f t="shared" si="12"/>
        <v/>
      </c>
      <c r="E178" s="122">
        <f>审定报表!C178</f>
        <v>0</v>
      </c>
      <c r="F178" s="124" t="str">
        <f t="shared" si="13"/>
        <v/>
      </c>
      <c r="G178" s="122">
        <f t="shared" si="14"/>
        <v>0</v>
      </c>
      <c r="H178" s="123" t="str">
        <f t="shared" si="15"/>
        <v/>
      </c>
      <c r="I178" s="187" t="str">
        <f>IF(H178="","",IF(OR(ABS(H178)&gt;=30%,ABS(G178)&gt;=$E$127*5%,ABS(G178)&gt;=已审PL分析!$E$42*10%),"显著",IF(ABS(H178)&gt;=10%,"关注","")))</f>
        <v/>
      </c>
      <c r="J178" s="122"/>
      <c r="K178" s="915" t="str">
        <f t="shared" si="16"/>
        <v/>
      </c>
      <c r="L178" s="914" t="str">
        <f t="shared" si="17"/>
        <v/>
      </c>
      <c r="M178" s="930"/>
    </row>
    <row r="179" spans="1:13" ht="13.95" customHeight="1">
      <c r="A179" s="938" t="str">
        <f>未审报表!A179</f>
        <v xml:space="preserve">        永续债</v>
      </c>
      <c r="B179" s="460">
        <f>未审报表!B179</f>
        <v>172</v>
      </c>
      <c r="C179" s="405">
        <f>审定报表!D179</f>
        <v>0</v>
      </c>
      <c r="D179" s="916" t="str">
        <f t="shared" si="12"/>
        <v/>
      </c>
      <c r="E179" s="122">
        <f>审定报表!C179</f>
        <v>0</v>
      </c>
      <c r="F179" s="124" t="str">
        <f t="shared" si="13"/>
        <v/>
      </c>
      <c r="G179" s="122">
        <f t="shared" si="14"/>
        <v>0</v>
      </c>
      <c r="H179" s="123" t="str">
        <f t="shared" si="15"/>
        <v/>
      </c>
      <c r="I179" s="187" t="str">
        <f>IF(H179="","",IF(OR(ABS(H179)&gt;=30%,ABS(G179)&gt;=$E$127*5%,ABS(G179)&gt;=已审PL分析!$E$42*10%),"显著",IF(ABS(H179)&gt;=10%,"关注","")))</f>
        <v/>
      </c>
      <c r="J179" s="122"/>
      <c r="K179" s="915" t="str">
        <f t="shared" si="16"/>
        <v/>
      </c>
      <c r="L179" s="914" t="str">
        <f t="shared" si="17"/>
        <v/>
      </c>
      <c r="M179" s="930"/>
    </row>
    <row r="180" spans="1:13" ht="13.95" customHeight="1">
      <c r="A180" s="938" t="str">
        <f>未审报表!A180</f>
        <v>资本公积</v>
      </c>
      <c r="B180" s="460">
        <f>未审报表!B180</f>
        <v>173</v>
      </c>
      <c r="C180" s="405">
        <f>审定报表!D180</f>
        <v>2253786.7999999998</v>
      </c>
      <c r="D180" s="916">
        <f t="shared" si="12"/>
        <v>3.151260817329584E-2</v>
      </c>
      <c r="E180" s="122">
        <f>审定报表!C180</f>
        <v>8953786.8000000007</v>
      </c>
      <c r="F180" s="124">
        <f t="shared" si="13"/>
        <v>6.9059003628818297E-2</v>
      </c>
      <c r="G180" s="122">
        <f t="shared" si="14"/>
        <v>6700000.0000000009</v>
      </c>
      <c r="H180" s="123">
        <f t="shared" si="15"/>
        <v>2.972774532178466</v>
      </c>
      <c r="I180" s="187" t="str">
        <f>IF(H180="","",IF(OR(ABS(H180)&gt;=30%,ABS(G180)&gt;=$E$127*5%,ABS(G180)&gt;=已审PL分析!$E$42*10%),"显著",IF(ABS(H180)&gt;=10%,"关注","")))</f>
        <v>显著</v>
      </c>
      <c r="J180" s="122"/>
      <c r="K180" s="915">
        <f t="shared" si="16"/>
        <v>3.7546395455522456E-2</v>
      </c>
      <c r="L180" s="914" t="str">
        <f t="shared" si="17"/>
        <v/>
      </c>
      <c r="M180" s="930"/>
    </row>
    <row r="181" spans="1:13" ht="13.95" customHeight="1">
      <c r="A181" s="938" t="str">
        <f>未审报表!A181</f>
        <v>减：库存股</v>
      </c>
      <c r="B181" s="460">
        <f>未审报表!B181</f>
        <v>174</v>
      </c>
      <c r="C181" s="405">
        <f>审定报表!D181</f>
        <v>0</v>
      </c>
      <c r="D181" s="916" t="str">
        <f t="shared" si="12"/>
        <v/>
      </c>
      <c r="E181" s="122">
        <f>审定报表!C181</f>
        <v>0</v>
      </c>
      <c r="F181" s="124" t="str">
        <f t="shared" si="13"/>
        <v/>
      </c>
      <c r="G181" s="122">
        <f t="shared" si="14"/>
        <v>0</v>
      </c>
      <c r="H181" s="123" t="str">
        <f t="shared" si="15"/>
        <v/>
      </c>
      <c r="I181" s="187" t="str">
        <f>IF(H181="","",IF(OR(ABS(H181)&gt;=30%,ABS(G181)&gt;=$E$127*5%,ABS(G181)&gt;=已审PL分析!$E$42*10%),"显著",IF(ABS(H181)&gt;=10%,"关注","")))</f>
        <v/>
      </c>
      <c r="J181" s="122"/>
      <c r="K181" s="915" t="str">
        <f t="shared" si="16"/>
        <v/>
      </c>
      <c r="L181" s="914" t="str">
        <f t="shared" si="17"/>
        <v/>
      </c>
      <c r="M181" s="930"/>
    </row>
    <row r="182" spans="1:13" ht="13.95" customHeight="1">
      <c r="A182" s="938" t="str">
        <f>未审报表!A182</f>
        <v>其他综合收益</v>
      </c>
      <c r="B182" s="460">
        <f>未审报表!B182</f>
        <v>175</v>
      </c>
      <c r="C182" s="405">
        <f>审定报表!D182</f>
        <v>0</v>
      </c>
      <c r="D182" s="916" t="str">
        <f t="shared" si="12"/>
        <v/>
      </c>
      <c r="E182" s="122">
        <f>审定报表!C182</f>
        <v>0</v>
      </c>
      <c r="F182" s="124" t="str">
        <f t="shared" si="13"/>
        <v/>
      </c>
      <c r="G182" s="122">
        <f t="shared" si="14"/>
        <v>0</v>
      </c>
      <c r="H182" s="123" t="str">
        <f t="shared" si="15"/>
        <v/>
      </c>
      <c r="I182" s="187" t="str">
        <f>IF(H182="","",IF(OR(ABS(H182)&gt;=30%,ABS(G182)&gt;=$E$127*5%,ABS(G182)&gt;=已审PL分析!$E$42*10%),"显著",IF(ABS(H182)&gt;=10%,"关注","")))</f>
        <v/>
      </c>
      <c r="J182" s="122"/>
      <c r="K182" s="915" t="str">
        <f t="shared" si="16"/>
        <v/>
      </c>
      <c r="L182" s="914" t="str">
        <f t="shared" si="17"/>
        <v/>
      </c>
      <c r="M182" s="930"/>
    </row>
    <row r="183" spans="1:13" ht="13.95" customHeight="1">
      <c r="A183" s="938" t="str">
        <f>未审报表!A183</f>
        <v>专项储备</v>
      </c>
      <c r="B183" s="460">
        <f>未审报表!B183</f>
        <v>176</v>
      </c>
      <c r="C183" s="405">
        <f>审定报表!D183</f>
        <v>0</v>
      </c>
      <c r="D183" s="916" t="str">
        <f t="shared" si="12"/>
        <v/>
      </c>
      <c r="E183" s="122">
        <f>审定报表!C183</f>
        <v>0</v>
      </c>
      <c r="F183" s="124" t="str">
        <f t="shared" si="13"/>
        <v/>
      </c>
      <c r="G183" s="122">
        <f t="shared" si="14"/>
        <v>0</v>
      </c>
      <c r="H183" s="123" t="str">
        <f t="shared" si="15"/>
        <v/>
      </c>
      <c r="I183" s="187" t="str">
        <f>IF(H183="","",IF(OR(ABS(H183)&gt;=30%,ABS(G183)&gt;=$E$127*5%,ABS(G183)&gt;=已审PL分析!$E$42*10%),"显著",IF(ABS(H183)&gt;=10%,"关注","")))</f>
        <v/>
      </c>
      <c r="J183" s="122"/>
      <c r="K183" s="915" t="str">
        <f t="shared" si="16"/>
        <v/>
      </c>
      <c r="L183" s="914" t="str">
        <f t="shared" si="17"/>
        <v/>
      </c>
      <c r="M183" s="930"/>
    </row>
    <row r="184" spans="1:13" ht="13.95" customHeight="1">
      <c r="A184" s="938" t="str">
        <f>未审报表!A184</f>
        <v>盈余公积</v>
      </c>
      <c r="B184" s="460">
        <f>未审报表!B184</f>
        <v>177</v>
      </c>
      <c r="C184" s="405">
        <f>审定报表!D184</f>
        <v>907107.19</v>
      </c>
      <c r="D184" s="916">
        <f t="shared" si="12"/>
        <v>1.2683237584694976E-2</v>
      </c>
      <c r="E184" s="122">
        <f>审定报表!C184</f>
        <v>4124843.1</v>
      </c>
      <c r="F184" s="124">
        <f t="shared" si="13"/>
        <v>3.1814198950013646E-2</v>
      </c>
      <c r="G184" s="122">
        <f t="shared" si="14"/>
        <v>3217735.91</v>
      </c>
      <c r="H184" s="123">
        <f t="shared" si="15"/>
        <v>3.5472499231320174</v>
      </c>
      <c r="I184" s="187" t="str">
        <f>IF(H184="","",IF(OR(ABS(H184)&gt;=30%,ABS(G184)&gt;=$E$127*5%,ABS(G184)&gt;=已审PL分析!$E$42*10%),"显著",IF(ABS(H184)&gt;=10%,"关注","")))</f>
        <v>显著</v>
      </c>
      <c r="J184" s="122"/>
      <c r="K184" s="915">
        <f t="shared" si="16"/>
        <v>1.913096136531867E-2</v>
      </c>
      <c r="L184" s="914" t="str">
        <f t="shared" si="17"/>
        <v/>
      </c>
      <c r="M184" s="933"/>
    </row>
    <row r="185" spans="1:13" ht="13.95" customHeight="1">
      <c r="A185" s="938" t="str">
        <f>未审报表!A185</f>
        <v>一般风险准备*</v>
      </c>
      <c r="B185" s="460">
        <f>未审报表!B185</f>
        <v>178</v>
      </c>
      <c r="C185" s="405">
        <f>审定报表!D185</f>
        <v>0</v>
      </c>
      <c r="D185" s="916" t="str">
        <f t="shared" si="12"/>
        <v/>
      </c>
      <c r="E185" s="122">
        <f>审定报表!C185</f>
        <v>0</v>
      </c>
      <c r="F185" s="124" t="str">
        <f t="shared" si="13"/>
        <v/>
      </c>
      <c r="G185" s="122">
        <f t="shared" si="14"/>
        <v>0</v>
      </c>
      <c r="H185" s="123" t="str">
        <f t="shared" si="15"/>
        <v/>
      </c>
      <c r="I185" s="187" t="str">
        <f>IF(H185="","",IF(OR(ABS(H185)&gt;=30%,ABS(G185)&gt;=$E$127*5%,ABS(G185)&gt;=已审PL分析!$E$42*10%),"显著",IF(ABS(H185)&gt;=10%,"关注","")))</f>
        <v/>
      </c>
      <c r="J185" s="122"/>
      <c r="K185" s="915" t="str">
        <f t="shared" si="16"/>
        <v/>
      </c>
      <c r="L185" s="914" t="str">
        <f t="shared" si="17"/>
        <v/>
      </c>
      <c r="M185" s="933"/>
    </row>
    <row r="186" spans="1:13" ht="13.95" customHeight="1">
      <c r="A186" s="938" t="str">
        <f>未审报表!A186</f>
        <v>未分配利润</v>
      </c>
      <c r="B186" s="460">
        <f>未审报表!B186</f>
        <v>179</v>
      </c>
      <c r="C186" s="405">
        <f>审定报表!D186</f>
        <v>8163964.6899999995</v>
      </c>
      <c r="D186" s="916">
        <f t="shared" si="12"/>
        <v>0.11414913798261336</v>
      </c>
      <c r="E186" s="122">
        <f>审定报表!C186</f>
        <v>37123587.890000001</v>
      </c>
      <c r="F186" s="124">
        <f t="shared" si="13"/>
        <v>0.28632779047299456</v>
      </c>
      <c r="G186" s="122">
        <f t="shared" si="14"/>
        <v>28959623.200000003</v>
      </c>
      <c r="H186" s="123">
        <f t="shared" si="15"/>
        <v>3.5472499330469307</v>
      </c>
      <c r="I186" s="187" t="str">
        <f>IF(H186="","",IF(OR(ABS(H186)&gt;=30%,ABS(G186)&gt;=$E$127*5%,ABS(G186)&gt;=已审PL分析!$E$42*10%),"显著",IF(ABS(H186)&gt;=10%,"关注","")))</f>
        <v>显著</v>
      </c>
      <c r="J186" s="122"/>
      <c r="K186" s="915">
        <f t="shared" si="16"/>
        <v>0.1721786524903812</v>
      </c>
      <c r="L186" s="914" t="str">
        <f t="shared" si="17"/>
        <v>关注</v>
      </c>
      <c r="M186" s="933"/>
    </row>
    <row r="187" spans="1:13" ht="13.95" customHeight="1">
      <c r="A187" s="940" t="str">
        <f>未审报表!A187</f>
        <v>归属于母公司所有者权益（或股东权益）合计</v>
      </c>
      <c r="B187" s="460">
        <f>未审报表!B187</f>
        <v>180</v>
      </c>
      <c r="C187" s="405">
        <f>审定报表!D187</f>
        <v>62324858.679999992</v>
      </c>
      <c r="D187" s="916">
        <f t="shared" si="12"/>
        <v>0.8714306300129524</v>
      </c>
      <c r="E187" s="122">
        <f>审定报表!C187</f>
        <v>104552217.78999999</v>
      </c>
      <c r="F187" s="124">
        <f t="shared" si="13"/>
        <v>0.80639311042793749</v>
      </c>
      <c r="G187" s="122">
        <f t="shared" si="14"/>
        <v>42227359.109999999</v>
      </c>
      <c r="H187" s="123">
        <f t="shared" si="15"/>
        <v>0.67753637961397783</v>
      </c>
      <c r="I187" s="187" t="str">
        <f>IF(H187="","",IF(OR(ABS(H187)&gt;=30%,ABS(G187)&gt;=$E$127*5%,ABS(G187)&gt;=已审PL分析!$E$42*10%),"显著",IF(ABS(H187)&gt;=10%,"关注","")))</f>
        <v>显著</v>
      </c>
      <c r="J187" s="122"/>
      <c r="K187" s="915">
        <f t="shared" si="16"/>
        <v>-6.5037519585014913E-2</v>
      </c>
      <c r="L187" s="914" t="str">
        <f t="shared" si="17"/>
        <v/>
      </c>
      <c r="M187" s="933"/>
    </row>
    <row r="188" spans="1:13" ht="13.95" customHeight="1">
      <c r="A188" s="938" t="str">
        <f>未审报表!A188</f>
        <v>少数股东权益</v>
      </c>
      <c r="B188" s="460">
        <f>未审报表!B188</f>
        <v>181</v>
      </c>
      <c r="C188" s="405">
        <f>审定报表!D188</f>
        <v>0</v>
      </c>
      <c r="D188" s="916" t="str">
        <f t="shared" si="12"/>
        <v/>
      </c>
      <c r="E188" s="122">
        <f>审定报表!C188</f>
        <v>0</v>
      </c>
      <c r="F188" s="124" t="str">
        <f t="shared" si="13"/>
        <v/>
      </c>
      <c r="G188" s="122">
        <f t="shared" si="14"/>
        <v>0</v>
      </c>
      <c r="H188" s="123" t="str">
        <f t="shared" si="15"/>
        <v/>
      </c>
      <c r="I188" s="187" t="str">
        <f>IF(H188="","",IF(OR(ABS(H188)&gt;=30%,ABS(G188)&gt;=$E$127*5%,ABS(G188)&gt;=已审PL分析!$E$42*10%),"显著",IF(ABS(H188)&gt;=10%,"关注","")))</f>
        <v/>
      </c>
      <c r="J188" s="122"/>
      <c r="K188" s="915" t="str">
        <f t="shared" si="16"/>
        <v/>
      </c>
      <c r="L188" s="914" t="str">
        <f t="shared" si="17"/>
        <v/>
      </c>
      <c r="M188" s="933"/>
    </row>
    <row r="189" spans="1:13" ht="13.95" customHeight="1">
      <c r="A189" s="940" t="str">
        <f>未审报表!A189</f>
        <v>所有者权益（或股东权益）合计</v>
      </c>
      <c r="B189" s="460">
        <f>未审报表!B189</f>
        <v>182</v>
      </c>
      <c r="C189" s="405">
        <f>审定报表!D189</f>
        <v>62324858.679999992</v>
      </c>
      <c r="D189" s="916">
        <f t="shared" si="12"/>
        <v>0.8714306300129524</v>
      </c>
      <c r="E189" s="122">
        <f>审定报表!C189</f>
        <v>104552217.78999999</v>
      </c>
      <c r="F189" s="124">
        <f t="shared" si="13"/>
        <v>0.80639311042793749</v>
      </c>
      <c r="G189" s="122">
        <f t="shared" si="14"/>
        <v>42227359.109999999</v>
      </c>
      <c r="H189" s="123">
        <f t="shared" si="15"/>
        <v>0.67753637961397783</v>
      </c>
      <c r="I189" s="187" t="str">
        <f>IF(H189="","",IF(OR(ABS(H189)&gt;=30%,ABS(G189)&gt;=$E$127*5%,ABS(G189)&gt;=已审PL分析!$E$42*10%),"显著",IF(ABS(H189)&gt;=10%,"关注","")))</f>
        <v>显著</v>
      </c>
      <c r="J189" s="122"/>
      <c r="K189" s="915">
        <f t="shared" si="16"/>
        <v>-6.5037519585014913E-2</v>
      </c>
      <c r="L189" s="914" t="str">
        <f t="shared" si="17"/>
        <v/>
      </c>
      <c r="M189" s="933"/>
    </row>
    <row r="190" spans="1:13" ht="13.95" customHeight="1" thickBot="1">
      <c r="A190" s="941" t="str">
        <f>未审报表!A190</f>
        <v>负债和所有者权益（或股东权益）总计</v>
      </c>
      <c r="B190" s="926">
        <v>183</v>
      </c>
      <c r="C190" s="327">
        <f>审定报表!D190</f>
        <v>71520160.679999992</v>
      </c>
      <c r="D190" s="462">
        <f t="shared" si="12"/>
        <v>0.99999999999999978</v>
      </c>
      <c r="E190" s="598">
        <f>审定报表!C190</f>
        <v>129654155.56999999</v>
      </c>
      <c r="F190" s="927">
        <f t="shared" si="13"/>
        <v>1</v>
      </c>
      <c r="G190" s="598">
        <f t="shared" si="14"/>
        <v>58133994.890000001</v>
      </c>
      <c r="H190" s="934">
        <f t="shared" si="15"/>
        <v>0.8128336728731187</v>
      </c>
      <c r="I190" s="935" t="str">
        <f>IF(H190="","",IF(OR(ABS(H190)&gt;=30%,ABS(G190)&gt;=$E$127*5%,ABS(G190)&gt;=已审PL分析!$E$42*10%),"显著",IF(ABS(H190)&gt;=10%,"关注","")))</f>
        <v>显著</v>
      </c>
      <c r="J190" s="599"/>
      <c r="K190" s="936">
        <f t="shared" si="16"/>
        <v>2.2204460492503131E-16</v>
      </c>
      <c r="L190" s="935" t="str">
        <f t="shared" si="17"/>
        <v/>
      </c>
      <c r="M190" s="937"/>
    </row>
  </sheetData>
  <sheetProtection formatCells="0" insertRows="0" autoFilter="0" pivotTables="0"/>
  <mergeCells count="10">
    <mergeCell ref="M4:M6"/>
    <mergeCell ref="A4:A6"/>
    <mergeCell ref="I4:I6"/>
    <mergeCell ref="J4:J6"/>
    <mergeCell ref="B4:B6"/>
    <mergeCell ref="A1:J1"/>
    <mergeCell ref="K4:K5"/>
    <mergeCell ref="C4:D4"/>
    <mergeCell ref="E4:F4"/>
    <mergeCell ref="L4:L6"/>
  </mergeCells>
  <phoneticPr fontId="4" type="noConversion"/>
  <conditionalFormatting sqref="I7">
    <cfRule type="cellIs" dxfId="28" priority="7" stopIfTrue="1" operator="equal">
      <formula>"异常"</formula>
    </cfRule>
  </conditionalFormatting>
  <conditionalFormatting sqref="I8:I190">
    <cfRule type="cellIs" dxfId="27" priority="3" stopIfTrue="1" operator="equal">
      <formula>"显著"</formula>
    </cfRule>
  </conditionalFormatting>
  <conditionalFormatting sqref="L8:L189">
    <cfRule type="cellIs" dxfId="26" priority="2" stopIfTrue="1" operator="equal">
      <formula>"显著"</formula>
    </cfRule>
  </conditionalFormatting>
  <conditionalFormatting sqref="L190">
    <cfRule type="cellIs" dxfId="25" priority="1" stopIfTrue="1" operator="equal">
      <formula>"显著"</formula>
    </cfRule>
  </conditionalFormatting>
  <printOptions horizontalCentered="1"/>
  <pageMargins left="0.35" right="0.23622047244094491" top="0.74" bottom="0.27" header="0.38" footer="0.2"/>
  <pageSetup paperSize="9" scale="63" fitToHeight="0" orientation="portrait" blackAndWhite="1"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92D050"/>
    <pageSetUpPr fitToPage="1"/>
  </sheetPr>
  <dimension ref="A1:N92"/>
  <sheetViews>
    <sheetView showZeros="0" view="pageBreakPreview" zoomScale="85" zoomScaleNormal="90" zoomScaleSheetLayoutView="85" workbookViewId="0">
      <pane xSplit="2" ySplit="6" topLeftCell="C7" activePane="bottomRight" state="frozen"/>
      <selection activeCell="B57" sqref="B57"/>
      <selection pane="topRight" activeCell="B57" sqref="B57"/>
      <selection pane="bottomLeft" activeCell="B57" sqref="B57"/>
      <selection pane="bottomRight" activeCell="L3" sqref="L3"/>
    </sheetView>
  </sheetViews>
  <sheetFormatPr defaultColWidth="9" defaultRowHeight="15.6"/>
  <cols>
    <col min="1" max="1" width="42.59765625" style="67" customWidth="1"/>
    <col min="2" max="2" width="4.8984375" style="67" customWidth="1"/>
    <col min="3" max="3" width="9" style="951"/>
    <col min="4" max="4" width="9" style="67"/>
    <col min="5" max="5" width="15.296875" style="958" bestFit="1" customWidth="1"/>
    <col min="6" max="6" width="9" style="67"/>
    <col min="7" max="7" width="9" style="958"/>
    <col min="8" max="16384" width="9" style="67"/>
  </cols>
  <sheetData>
    <row r="1" spans="1:14" ht="17.399999999999999">
      <c r="A1" s="1194" t="s">
        <v>710</v>
      </c>
      <c r="B1" s="1194"/>
      <c r="C1" s="1194"/>
      <c r="D1" s="1194"/>
      <c r="E1" s="1194"/>
      <c r="F1" s="1194"/>
      <c r="G1" s="1194"/>
      <c r="H1" s="1194"/>
      <c r="I1" s="1194"/>
      <c r="J1" s="1194"/>
      <c r="K1" s="1194"/>
      <c r="L1" s="1194"/>
      <c r="M1" s="1194"/>
    </row>
    <row r="2" spans="1:14" s="37" customFormat="1" ht="15" customHeight="1">
      <c r="A2" s="88" t="str">
        <f>CONCATENATE("客户名称：",参数!D3)</f>
        <v>客户名称：二锅头</v>
      </c>
      <c r="C2" s="948" t="str">
        <f>CONCATENATE("编制：",参数!D17)</f>
        <v>编制：张</v>
      </c>
      <c r="D2" s="90"/>
      <c r="E2" s="843"/>
      <c r="F2" s="91" t="str">
        <f ca="1">CONCATENATE("日期：",TEXT(NOW(),"yyyy.mm.dd"))</f>
        <v>日期：2025.11.06</v>
      </c>
      <c r="G2" s="843"/>
      <c r="H2" s="90"/>
      <c r="I2" s="321"/>
      <c r="L2" s="1031" t="s">
        <v>1848</v>
      </c>
    </row>
    <row r="3" spans="1:14" s="37" customFormat="1" ht="17.25" customHeight="1" thickBot="1">
      <c r="A3" s="91" t="str">
        <f>CONCATENATE("会计期间：",TEXT(参数!D10,"yyyy.mm.dd"))</f>
        <v>会计期间：2022年度</v>
      </c>
      <c r="C3" s="948" t="str">
        <f>CONCATENATE("复核：",参数!D18)</f>
        <v>复核：刘</v>
      </c>
      <c r="D3" s="90"/>
      <c r="E3" s="843"/>
      <c r="F3" s="89" t="s">
        <v>13</v>
      </c>
      <c r="G3" s="843"/>
      <c r="H3" s="90"/>
      <c r="I3" s="89"/>
      <c r="L3" s="89" t="s">
        <v>61</v>
      </c>
    </row>
    <row r="4" spans="1:14" s="85" customFormat="1" ht="13.2">
      <c r="A4" s="1198" t="s">
        <v>3</v>
      </c>
      <c r="B4" s="1201" t="s">
        <v>4</v>
      </c>
      <c r="C4" s="1156" t="s">
        <v>690</v>
      </c>
      <c r="D4" s="1157"/>
      <c r="E4" s="1156" t="s">
        <v>691</v>
      </c>
      <c r="F4" s="1157"/>
      <c r="G4" s="959" t="s">
        <v>692</v>
      </c>
      <c r="H4" s="906"/>
      <c r="I4" s="1142" t="s">
        <v>693</v>
      </c>
      <c r="J4" s="1145" t="s">
        <v>694</v>
      </c>
      <c r="K4" s="1197" t="s">
        <v>697</v>
      </c>
      <c r="L4" s="1150" t="s">
        <v>698</v>
      </c>
      <c r="M4" s="1191" t="s">
        <v>699</v>
      </c>
      <c r="N4" s="443"/>
    </row>
    <row r="5" spans="1:14" s="85" customFormat="1" ht="15">
      <c r="A5" s="1199"/>
      <c r="B5" s="1202"/>
      <c r="C5" s="949" t="s">
        <v>700</v>
      </c>
      <c r="D5" s="908" t="s">
        <v>701</v>
      </c>
      <c r="E5" s="955" t="s">
        <v>1756</v>
      </c>
      <c r="F5" s="908" t="s">
        <v>701</v>
      </c>
      <c r="G5" s="960" t="s">
        <v>695</v>
      </c>
      <c r="H5" s="909" t="s">
        <v>696</v>
      </c>
      <c r="I5" s="1143"/>
      <c r="J5" s="1146"/>
      <c r="K5" s="1149"/>
      <c r="L5" s="1151"/>
      <c r="M5" s="1192"/>
      <c r="N5" s="443"/>
    </row>
    <row r="6" spans="1:14" s="85" customFormat="1" ht="13.2">
      <c r="A6" s="1200"/>
      <c r="B6" s="1203"/>
      <c r="C6" s="952" t="s">
        <v>55</v>
      </c>
      <c r="D6" s="953" t="s">
        <v>56</v>
      </c>
      <c r="E6" s="956" t="s">
        <v>1669</v>
      </c>
      <c r="F6" s="953" t="s">
        <v>1671</v>
      </c>
      <c r="G6" s="956" t="s">
        <v>1673</v>
      </c>
      <c r="H6" s="953" t="s">
        <v>1675</v>
      </c>
      <c r="I6" s="1195"/>
      <c r="J6" s="1196"/>
      <c r="K6" s="954" t="s">
        <v>1676</v>
      </c>
      <c r="L6" s="1190"/>
      <c r="M6" s="1193"/>
      <c r="N6" s="443"/>
    </row>
    <row r="7" spans="1:14" s="85" customFormat="1" ht="13.95" customHeight="1">
      <c r="A7" s="945" t="str">
        <f>报表格式!H5</f>
        <v>一、营业总收入</v>
      </c>
      <c r="B7" s="86">
        <f>报表格式!I5</f>
        <v>1</v>
      </c>
      <c r="C7" s="950">
        <f>审定报表!D192</f>
        <v>22980342.579999998</v>
      </c>
      <c r="D7" s="961"/>
      <c r="E7" s="447">
        <f>审定报表!C192</f>
        <v>35656228.109999999</v>
      </c>
      <c r="F7" s="124">
        <f>IF(AND(E7&lt;&gt;0,$E$7&lt;&gt;0),E7/$E$7,"")</f>
        <v>1</v>
      </c>
      <c r="G7" s="447">
        <f>E7-C7</f>
        <v>12675885.530000001</v>
      </c>
      <c r="H7" s="186">
        <f>IF(AND(C7=0,E7=0),"",IF(C7=0,100%,IF(E7=0,-100%,G7/C7)))</f>
        <v>0.55159689138106849</v>
      </c>
      <c r="I7" s="187" t="str">
        <f>IF(H7="","",IF(OR(ABS(H7)&gt;=30%,ABS(G7)&gt;=已审BS分析!$E$127*5%,ABS(G7)&gt;=$E$42*10%),"显著",IF(ABS(H7)&gt;=10%,"关注","")))</f>
        <v>显著</v>
      </c>
      <c r="J7" s="961"/>
      <c r="K7" s="915">
        <f>IF(AND(D7="",F7=""),"",IF(D7="",F7,IF(F7="",-D7,F7-D7)))</f>
        <v>1</v>
      </c>
      <c r="L7" s="914" t="str">
        <f>IF(K7="","",IF(ABS(K7)&gt;=30%,"显著",IF(ABS(K7)&gt;=10%,"关注","")))</f>
        <v>显著</v>
      </c>
      <c r="M7" s="964"/>
    </row>
    <row r="8" spans="1:14" s="85" customFormat="1" ht="13.95" customHeight="1">
      <c r="A8" s="945" t="str">
        <f>报表格式!H6</f>
        <v xml:space="preserve">        其中：主营业务收入</v>
      </c>
      <c r="B8" s="86">
        <f>报表格式!I6</f>
        <v>2</v>
      </c>
      <c r="C8" s="950">
        <f>审定报表!D193</f>
        <v>22980342.579999998</v>
      </c>
      <c r="D8" s="124">
        <f t="shared" ref="D8:D71" si="0">IF(AND(C8&lt;&gt;0,$C$7&lt;&gt;0),C8/$C$7,"")</f>
        <v>1</v>
      </c>
      <c r="E8" s="447">
        <f>审定报表!C193</f>
        <v>35656228.109999999</v>
      </c>
      <c r="F8" s="124">
        <f>IF(AND(E8&lt;&gt;0,$E$7&lt;&gt;0),E8/$E$7,"")</f>
        <v>1</v>
      </c>
      <c r="G8" s="447">
        <f t="shared" ref="G8:G71" si="1">E8-C8</f>
        <v>12675885.530000001</v>
      </c>
      <c r="H8" s="186">
        <f t="shared" ref="H8:H71" si="2">IF(AND(C8=0,E8=0),"",IF(C8=0,100%,IF(E8=0,-100%,G8/C8)))</f>
        <v>0.55159689138106849</v>
      </c>
      <c r="I8" s="187" t="str">
        <f>IF(H8="","",IF(OR(ABS(H8)&gt;=30%,ABS(G8)&gt;=已审BS分析!$E$127*5%,ABS(G8)&gt;=$E$42*10%),"显著",IF(ABS(H8)&gt;=10%,"关注","")))</f>
        <v>显著</v>
      </c>
      <c r="J8" s="961"/>
      <c r="K8" s="915">
        <f t="shared" ref="K8:K71" si="3">IF(AND(D8="",F8=""),"",IF(D8="",F8,IF(F8="",-D8,F8-D8)))</f>
        <v>0</v>
      </c>
      <c r="L8" s="914" t="str">
        <f t="shared" ref="L8:L71" si="4">IF(K8="","",IF(ABS(K8)&gt;=30%,"显著",IF(ABS(K8)&gt;=10%,"关注","")))</f>
        <v/>
      </c>
      <c r="M8" s="964"/>
    </row>
    <row r="9" spans="1:14" s="85" customFormat="1" ht="13.95" customHeight="1">
      <c r="A9" s="945" t="str">
        <f>报表格式!H7</f>
        <v xml:space="preserve">              其他业务收入</v>
      </c>
      <c r="B9" s="86">
        <f>报表格式!I7</f>
        <v>3</v>
      </c>
      <c r="C9" s="950">
        <f>审定报表!D194</f>
        <v>0</v>
      </c>
      <c r="D9" s="124" t="str">
        <f t="shared" si="0"/>
        <v/>
      </c>
      <c r="E9" s="447">
        <f>审定报表!C194</f>
        <v>0</v>
      </c>
      <c r="F9" s="124" t="str">
        <f t="shared" ref="F9:F72" si="5">IF(AND(E9&lt;&gt;0,$E$7&lt;&gt;0),E9/$E$7,"")</f>
        <v/>
      </c>
      <c r="G9" s="447">
        <f t="shared" si="1"/>
        <v>0</v>
      </c>
      <c r="H9" s="186" t="str">
        <f t="shared" si="2"/>
        <v/>
      </c>
      <c r="I9" s="187" t="str">
        <f>IF(H9="","",IF(OR(ABS(H9)&gt;=30%,ABS(G9)&gt;=已审BS分析!$E$127*5%,ABS(G9)&gt;=$E$42*10%),"显著",IF(ABS(H9)&gt;=10%,"关注","")))</f>
        <v/>
      </c>
      <c r="J9" s="961"/>
      <c r="K9" s="915" t="str">
        <f t="shared" si="3"/>
        <v/>
      </c>
      <c r="L9" s="914" t="str">
        <f t="shared" si="4"/>
        <v/>
      </c>
      <c r="M9" s="964"/>
    </row>
    <row r="10" spans="1:14" s="85" customFormat="1" ht="13.95" customHeight="1">
      <c r="A10" s="945" t="str">
        <f>报表格式!H8</f>
        <v xml:space="preserve">           利息收入*</v>
      </c>
      <c r="B10" s="86">
        <f>报表格式!I8</f>
        <v>4</v>
      </c>
      <c r="C10" s="950">
        <f>审定报表!D195</f>
        <v>0</v>
      </c>
      <c r="D10" s="124" t="str">
        <f t="shared" si="0"/>
        <v/>
      </c>
      <c r="E10" s="447">
        <f>审定报表!C195</f>
        <v>0</v>
      </c>
      <c r="F10" s="124" t="str">
        <f t="shared" si="5"/>
        <v/>
      </c>
      <c r="G10" s="447">
        <f t="shared" si="1"/>
        <v>0</v>
      </c>
      <c r="H10" s="186" t="str">
        <f t="shared" si="2"/>
        <v/>
      </c>
      <c r="I10" s="187" t="str">
        <f>IF(H10="","",IF(OR(ABS(H10)&gt;=30%,ABS(G10)&gt;=已审BS分析!$E$127*5%,ABS(G10)&gt;=$E$42*10%),"显著",IF(ABS(H10)&gt;=10%,"关注","")))</f>
        <v/>
      </c>
      <c r="J10" s="961"/>
      <c r="K10" s="915" t="str">
        <f t="shared" si="3"/>
        <v/>
      </c>
      <c r="L10" s="914" t="str">
        <f t="shared" si="4"/>
        <v/>
      </c>
      <c r="M10" s="964"/>
    </row>
    <row r="11" spans="1:14" s="85" customFormat="1" ht="13.95" customHeight="1">
      <c r="A11" s="945" t="str">
        <f>报表格式!H9</f>
        <v xml:space="preserve">           已赚保费*</v>
      </c>
      <c r="B11" s="86">
        <f>报表格式!I9</f>
        <v>5</v>
      </c>
      <c r="C11" s="950">
        <f>审定报表!D196</f>
        <v>0</v>
      </c>
      <c r="D11" s="124" t="str">
        <f t="shared" si="0"/>
        <v/>
      </c>
      <c r="E11" s="447">
        <f>审定报表!C196</f>
        <v>0</v>
      </c>
      <c r="F11" s="124" t="str">
        <f t="shared" si="5"/>
        <v/>
      </c>
      <c r="G11" s="447">
        <f t="shared" si="1"/>
        <v>0</v>
      </c>
      <c r="H11" s="186" t="str">
        <f t="shared" si="2"/>
        <v/>
      </c>
      <c r="I11" s="187" t="str">
        <f>IF(H11="","",IF(OR(ABS(H11)&gt;=30%,ABS(G11)&gt;=已审BS分析!$E$127*5%,ABS(G11)&gt;=$E$42*10%),"显著",IF(ABS(H11)&gt;=10%,"关注","")))</f>
        <v/>
      </c>
      <c r="J11" s="961"/>
      <c r="K11" s="915" t="str">
        <f t="shared" si="3"/>
        <v/>
      </c>
      <c r="L11" s="914" t="str">
        <f t="shared" si="4"/>
        <v/>
      </c>
      <c r="M11" s="964"/>
    </row>
    <row r="12" spans="1:14" s="85" customFormat="1" ht="13.95" customHeight="1">
      <c r="A12" s="945" t="str">
        <f>报表格式!H10</f>
        <v xml:space="preserve">           手续费及佣金收入*</v>
      </c>
      <c r="B12" s="86">
        <f>报表格式!I10</f>
        <v>6</v>
      </c>
      <c r="C12" s="950">
        <f>审定报表!D197</f>
        <v>0</v>
      </c>
      <c r="D12" s="124" t="str">
        <f t="shared" si="0"/>
        <v/>
      </c>
      <c r="E12" s="447">
        <f>审定报表!C197</f>
        <v>0</v>
      </c>
      <c r="F12" s="124" t="str">
        <f t="shared" si="5"/>
        <v/>
      </c>
      <c r="G12" s="447">
        <f t="shared" si="1"/>
        <v>0</v>
      </c>
      <c r="H12" s="186" t="str">
        <f t="shared" si="2"/>
        <v/>
      </c>
      <c r="I12" s="187" t="str">
        <f>IF(H12="","",IF(OR(ABS(H12)&gt;=30%,ABS(G12)&gt;=已审BS分析!$E$127*5%,ABS(G12)&gt;=$E$42*10%),"显著",IF(ABS(H12)&gt;=10%,"关注","")))</f>
        <v/>
      </c>
      <c r="J12" s="961"/>
      <c r="K12" s="915" t="str">
        <f t="shared" si="3"/>
        <v/>
      </c>
      <c r="L12" s="914" t="str">
        <f t="shared" si="4"/>
        <v/>
      </c>
      <c r="M12" s="964"/>
    </row>
    <row r="13" spans="1:14" s="85" customFormat="1" ht="13.95" customHeight="1">
      <c r="A13" s="945" t="str">
        <f>报表格式!H11</f>
        <v xml:space="preserve">    减：营业总成本</v>
      </c>
      <c r="B13" s="86">
        <f>报表格式!I11</f>
        <v>7</v>
      </c>
      <c r="C13" s="950">
        <f>审定报表!D198</f>
        <v>10426499.75</v>
      </c>
      <c r="D13" s="124">
        <f t="shared" si="0"/>
        <v>0.45371385190202856</v>
      </c>
      <c r="E13" s="447">
        <f>审定报表!C198</f>
        <v>24817252.68</v>
      </c>
      <c r="F13" s="124">
        <f t="shared" si="5"/>
        <v>0.6960145252447455</v>
      </c>
      <c r="G13" s="447">
        <f t="shared" si="1"/>
        <v>14390752.93</v>
      </c>
      <c r="H13" s="186">
        <f t="shared" si="2"/>
        <v>1.3802093967345082</v>
      </c>
      <c r="I13" s="187" t="str">
        <f>IF(H13="","",IF(OR(ABS(H13)&gt;=30%,ABS(G13)&gt;=已审BS分析!$E$127*5%,ABS(G13)&gt;=$E$42*10%),"显著",IF(ABS(H13)&gt;=10%,"关注","")))</f>
        <v>显著</v>
      </c>
      <c r="J13" s="961"/>
      <c r="K13" s="915">
        <f t="shared" si="3"/>
        <v>0.24230067334271693</v>
      </c>
      <c r="L13" s="914" t="str">
        <f t="shared" si="4"/>
        <v>关注</v>
      </c>
      <c r="M13" s="964"/>
    </row>
    <row r="14" spans="1:14" s="85" customFormat="1" ht="13.95" customHeight="1">
      <c r="A14" s="945" t="str">
        <f>报表格式!H12</f>
        <v xml:space="preserve">        其中：主营业务成本</v>
      </c>
      <c r="B14" s="86">
        <f>报表格式!I12</f>
        <v>8</v>
      </c>
      <c r="C14" s="950">
        <f>审定报表!D199</f>
        <v>9866189.1400000006</v>
      </c>
      <c r="D14" s="124">
        <f t="shared" si="0"/>
        <v>0.42933168231297975</v>
      </c>
      <c r="E14" s="447">
        <f>审定报表!C199</f>
        <v>11533749.48</v>
      </c>
      <c r="F14" s="124">
        <f t="shared" si="5"/>
        <v>0.32347082379039671</v>
      </c>
      <c r="G14" s="447">
        <f t="shared" si="1"/>
        <v>1667560.3399999999</v>
      </c>
      <c r="H14" s="186">
        <f t="shared" si="2"/>
        <v>0.16901767403173865</v>
      </c>
      <c r="I14" s="187" t="str">
        <f>IF(H14="","",IF(OR(ABS(H14)&gt;=30%,ABS(G14)&gt;=已审BS分析!$E$127*5%,ABS(G14)&gt;=$E$42*10%),"显著",IF(ABS(H14)&gt;=10%,"关注","")))</f>
        <v>关注</v>
      </c>
      <c r="J14" s="961"/>
      <c r="K14" s="915">
        <f t="shared" si="3"/>
        <v>-0.10586085852258303</v>
      </c>
      <c r="L14" s="914" t="str">
        <f t="shared" si="4"/>
        <v>关注</v>
      </c>
      <c r="M14" s="964"/>
    </row>
    <row r="15" spans="1:14" s="85" customFormat="1" ht="13.95" customHeight="1">
      <c r="A15" s="945" t="str">
        <f>报表格式!H13</f>
        <v xml:space="preserve">              其他业务成本</v>
      </c>
      <c r="B15" s="86">
        <f>报表格式!I13</f>
        <v>9</v>
      </c>
      <c r="C15" s="950">
        <f>审定报表!D200</f>
        <v>0</v>
      </c>
      <c r="D15" s="124" t="str">
        <f t="shared" si="0"/>
        <v/>
      </c>
      <c r="E15" s="447">
        <f>审定报表!C200</f>
        <v>0</v>
      </c>
      <c r="F15" s="124" t="str">
        <f t="shared" si="5"/>
        <v/>
      </c>
      <c r="G15" s="447">
        <f t="shared" si="1"/>
        <v>0</v>
      </c>
      <c r="H15" s="186" t="str">
        <f t="shared" si="2"/>
        <v/>
      </c>
      <c r="I15" s="187" t="str">
        <f>IF(H15="","",IF(OR(ABS(H15)&gt;=30%,ABS(G15)&gt;=已审BS分析!$E$127*5%,ABS(G15)&gt;=$E$42*10%),"显著",IF(ABS(H15)&gt;=10%,"关注","")))</f>
        <v/>
      </c>
      <c r="J15" s="961"/>
      <c r="K15" s="915" t="str">
        <f t="shared" si="3"/>
        <v/>
      </c>
      <c r="L15" s="914" t="str">
        <f t="shared" si="4"/>
        <v/>
      </c>
      <c r="M15" s="964"/>
    </row>
    <row r="16" spans="1:14" s="85" customFormat="1" ht="13.95" customHeight="1">
      <c r="A16" s="945" t="str">
        <f>报表格式!H14</f>
        <v xml:space="preserve">        利息支出*</v>
      </c>
      <c r="B16" s="86">
        <f>报表格式!I14</f>
        <v>10</v>
      </c>
      <c r="C16" s="950">
        <f>审定报表!D201</f>
        <v>0</v>
      </c>
      <c r="D16" s="124" t="str">
        <f t="shared" si="0"/>
        <v/>
      </c>
      <c r="E16" s="447">
        <f>审定报表!C201</f>
        <v>0</v>
      </c>
      <c r="F16" s="124" t="str">
        <f t="shared" si="5"/>
        <v/>
      </c>
      <c r="G16" s="447">
        <f t="shared" si="1"/>
        <v>0</v>
      </c>
      <c r="H16" s="186" t="str">
        <f t="shared" si="2"/>
        <v/>
      </c>
      <c r="I16" s="187" t="str">
        <f>IF(H16="","",IF(OR(ABS(H16)&gt;=30%,ABS(G16)&gt;=已审BS分析!$E$127*5%,ABS(G16)&gt;=$E$42*10%),"显著",IF(ABS(H16)&gt;=10%,"关注","")))</f>
        <v/>
      </c>
      <c r="J16" s="961"/>
      <c r="K16" s="915" t="str">
        <f t="shared" si="3"/>
        <v/>
      </c>
      <c r="L16" s="914" t="str">
        <f t="shared" si="4"/>
        <v/>
      </c>
      <c r="M16" s="964"/>
    </row>
    <row r="17" spans="1:13" s="85" customFormat="1" ht="13.95" customHeight="1">
      <c r="A17" s="945" t="str">
        <f>报表格式!H15</f>
        <v xml:space="preserve">        手续费及佣金支出*</v>
      </c>
      <c r="B17" s="86">
        <f>报表格式!I15</f>
        <v>11</v>
      </c>
      <c r="C17" s="950">
        <f>审定报表!D202</f>
        <v>0</v>
      </c>
      <c r="D17" s="124" t="str">
        <f t="shared" si="0"/>
        <v/>
      </c>
      <c r="E17" s="447">
        <f>审定报表!C202</f>
        <v>0</v>
      </c>
      <c r="F17" s="124" t="str">
        <f t="shared" si="5"/>
        <v/>
      </c>
      <c r="G17" s="447">
        <f t="shared" si="1"/>
        <v>0</v>
      </c>
      <c r="H17" s="186" t="str">
        <f t="shared" si="2"/>
        <v/>
      </c>
      <c r="I17" s="187" t="str">
        <f>IF(H17="","",IF(OR(ABS(H17)&gt;=30%,ABS(G17)&gt;=已审BS分析!$E$127*5%,ABS(G17)&gt;=$E$42*10%),"显著",IF(ABS(H17)&gt;=10%,"关注","")))</f>
        <v/>
      </c>
      <c r="J17" s="961"/>
      <c r="K17" s="915" t="str">
        <f t="shared" si="3"/>
        <v/>
      </c>
      <c r="L17" s="914" t="str">
        <f t="shared" si="4"/>
        <v/>
      </c>
      <c r="M17" s="964"/>
    </row>
    <row r="18" spans="1:13" s="85" customFormat="1" ht="13.95" customHeight="1">
      <c r="A18" s="945" t="str">
        <f>报表格式!H16</f>
        <v xml:space="preserve">        退保金*</v>
      </c>
      <c r="B18" s="86">
        <f>报表格式!I16</f>
        <v>12</v>
      </c>
      <c r="C18" s="950">
        <f>审定报表!D203</f>
        <v>0</v>
      </c>
      <c r="D18" s="124" t="str">
        <f t="shared" si="0"/>
        <v/>
      </c>
      <c r="E18" s="447">
        <f>审定报表!C203</f>
        <v>0</v>
      </c>
      <c r="F18" s="124" t="str">
        <f t="shared" si="5"/>
        <v/>
      </c>
      <c r="G18" s="447">
        <f t="shared" si="1"/>
        <v>0</v>
      </c>
      <c r="H18" s="186" t="str">
        <f t="shared" si="2"/>
        <v/>
      </c>
      <c r="I18" s="187" t="str">
        <f>IF(H18="","",IF(OR(ABS(H18)&gt;=30%,ABS(G18)&gt;=已审BS分析!$E$127*5%,ABS(G18)&gt;=$E$42*10%),"显著",IF(ABS(H18)&gt;=10%,"关注","")))</f>
        <v/>
      </c>
      <c r="J18" s="961"/>
      <c r="K18" s="915" t="str">
        <f t="shared" si="3"/>
        <v/>
      </c>
      <c r="L18" s="914" t="str">
        <f t="shared" si="4"/>
        <v/>
      </c>
      <c r="M18" s="964"/>
    </row>
    <row r="19" spans="1:13" s="85" customFormat="1" ht="13.95" customHeight="1">
      <c r="A19" s="945" t="str">
        <f>报表格式!H17</f>
        <v xml:space="preserve">        赔付支出净额*</v>
      </c>
      <c r="B19" s="86">
        <f>报表格式!I17</f>
        <v>13</v>
      </c>
      <c r="C19" s="950">
        <f>审定报表!D204</f>
        <v>0</v>
      </c>
      <c r="D19" s="124" t="str">
        <f t="shared" si="0"/>
        <v/>
      </c>
      <c r="E19" s="447">
        <f>审定报表!C204</f>
        <v>0</v>
      </c>
      <c r="F19" s="124" t="str">
        <f t="shared" si="5"/>
        <v/>
      </c>
      <c r="G19" s="447">
        <f t="shared" si="1"/>
        <v>0</v>
      </c>
      <c r="H19" s="186" t="str">
        <f t="shared" si="2"/>
        <v/>
      </c>
      <c r="I19" s="187" t="str">
        <f>IF(H19="","",IF(OR(ABS(H19)&gt;=30%,ABS(G19)&gt;=已审BS分析!$E$127*5%,ABS(G19)&gt;=$E$42*10%),"显著",IF(ABS(H19)&gt;=10%,"关注","")))</f>
        <v/>
      </c>
      <c r="J19" s="961"/>
      <c r="K19" s="915" t="str">
        <f t="shared" si="3"/>
        <v/>
      </c>
      <c r="L19" s="914" t="str">
        <f t="shared" si="4"/>
        <v/>
      </c>
      <c r="M19" s="964"/>
    </row>
    <row r="20" spans="1:13" s="85" customFormat="1" ht="13.95" customHeight="1">
      <c r="A20" s="945" t="str">
        <f>报表格式!H18</f>
        <v xml:space="preserve">        提取保险责任准备金净额*</v>
      </c>
      <c r="B20" s="86">
        <f>报表格式!I18</f>
        <v>14</v>
      </c>
      <c r="C20" s="950">
        <f>审定报表!D205</f>
        <v>0</v>
      </c>
      <c r="D20" s="124" t="str">
        <f t="shared" si="0"/>
        <v/>
      </c>
      <c r="E20" s="447">
        <f>审定报表!C205</f>
        <v>0</v>
      </c>
      <c r="F20" s="124" t="str">
        <f t="shared" si="5"/>
        <v/>
      </c>
      <c r="G20" s="447">
        <f t="shared" si="1"/>
        <v>0</v>
      </c>
      <c r="H20" s="186" t="str">
        <f t="shared" si="2"/>
        <v/>
      </c>
      <c r="I20" s="187" t="str">
        <f>IF(H20="","",IF(OR(ABS(H20)&gt;=30%,ABS(G20)&gt;=已审BS分析!$E$127*5%,ABS(G20)&gt;=$E$42*10%),"显著",IF(ABS(H20)&gt;=10%,"关注","")))</f>
        <v/>
      </c>
      <c r="J20" s="961"/>
      <c r="K20" s="915" t="str">
        <f t="shared" si="3"/>
        <v/>
      </c>
      <c r="L20" s="914" t="str">
        <f t="shared" si="4"/>
        <v/>
      </c>
      <c r="M20" s="964"/>
    </row>
    <row r="21" spans="1:13" s="85" customFormat="1" ht="13.95" customHeight="1">
      <c r="A21" s="945" t="str">
        <f>报表格式!H19</f>
        <v xml:space="preserve">        保单红利支出*</v>
      </c>
      <c r="B21" s="86">
        <f>报表格式!I19</f>
        <v>15</v>
      </c>
      <c r="C21" s="950">
        <f>审定报表!D206</f>
        <v>0</v>
      </c>
      <c r="D21" s="124" t="str">
        <f t="shared" si="0"/>
        <v/>
      </c>
      <c r="E21" s="447">
        <f>审定报表!C206</f>
        <v>0</v>
      </c>
      <c r="F21" s="124" t="str">
        <f t="shared" si="5"/>
        <v/>
      </c>
      <c r="G21" s="447">
        <f t="shared" si="1"/>
        <v>0</v>
      </c>
      <c r="H21" s="186" t="str">
        <f t="shared" si="2"/>
        <v/>
      </c>
      <c r="I21" s="187" t="str">
        <f>IF(H21="","",IF(OR(ABS(H21)&gt;=30%,ABS(G21)&gt;=已审BS分析!$E$127*5%,ABS(G21)&gt;=$E$42*10%),"显著",IF(ABS(H21)&gt;=10%,"关注","")))</f>
        <v/>
      </c>
      <c r="J21" s="961"/>
      <c r="K21" s="915" t="str">
        <f t="shared" si="3"/>
        <v/>
      </c>
      <c r="L21" s="914" t="str">
        <f t="shared" si="4"/>
        <v/>
      </c>
      <c r="M21" s="964"/>
    </row>
    <row r="22" spans="1:13" s="85" customFormat="1" ht="13.95" customHeight="1">
      <c r="A22" s="945" t="str">
        <f>报表格式!H20</f>
        <v xml:space="preserve">        分保费用*</v>
      </c>
      <c r="B22" s="86">
        <f>报表格式!I20</f>
        <v>16</v>
      </c>
      <c r="C22" s="950">
        <f>审定报表!D207</f>
        <v>0</v>
      </c>
      <c r="D22" s="124" t="str">
        <f t="shared" si="0"/>
        <v/>
      </c>
      <c r="E22" s="447">
        <f>审定报表!C207</f>
        <v>0</v>
      </c>
      <c r="F22" s="124" t="str">
        <f t="shared" si="5"/>
        <v/>
      </c>
      <c r="G22" s="447">
        <f t="shared" si="1"/>
        <v>0</v>
      </c>
      <c r="H22" s="186" t="str">
        <f t="shared" si="2"/>
        <v/>
      </c>
      <c r="I22" s="187" t="str">
        <f>IF(H22="","",IF(OR(ABS(H22)&gt;=30%,ABS(G22)&gt;=已审BS分析!$E$127*5%,ABS(G22)&gt;=$E$42*10%),"显著",IF(ABS(H22)&gt;=10%,"关注","")))</f>
        <v/>
      </c>
      <c r="J22" s="961"/>
      <c r="K22" s="915" t="str">
        <f t="shared" si="3"/>
        <v/>
      </c>
      <c r="L22" s="914" t="str">
        <f t="shared" si="4"/>
        <v/>
      </c>
      <c r="M22" s="964"/>
    </row>
    <row r="23" spans="1:13" s="85" customFormat="1" ht="13.95" customHeight="1">
      <c r="A23" s="945" t="str">
        <f>报表格式!H21</f>
        <v xml:space="preserve">        税金及附加</v>
      </c>
      <c r="B23" s="86">
        <f>报表格式!I21</f>
        <v>17</v>
      </c>
      <c r="C23" s="950">
        <f>审定报表!D208</f>
        <v>112613.94</v>
      </c>
      <c r="D23" s="124">
        <f t="shared" si="0"/>
        <v>4.9004465276339679E-3</v>
      </c>
      <c r="E23" s="447">
        <f>审定报表!C208</f>
        <v>139506.91</v>
      </c>
      <c r="F23" s="124">
        <f t="shared" si="5"/>
        <v>3.9125537779716654E-3</v>
      </c>
      <c r="G23" s="447">
        <f t="shared" si="1"/>
        <v>26892.97</v>
      </c>
      <c r="H23" s="186">
        <f t="shared" si="2"/>
        <v>0.23880675873697343</v>
      </c>
      <c r="I23" s="187" t="str">
        <f>IF(H23="","",IF(OR(ABS(H23)&gt;=30%,ABS(G23)&gt;=已审BS分析!$E$127*5%,ABS(G23)&gt;=$E$42*10%),"显著",IF(ABS(H23)&gt;=10%,"关注","")))</f>
        <v>关注</v>
      </c>
      <c r="J23" s="961"/>
      <c r="K23" s="915">
        <f t="shared" si="3"/>
        <v>-9.8789274966230248E-4</v>
      </c>
      <c r="L23" s="914" t="str">
        <f t="shared" si="4"/>
        <v/>
      </c>
      <c r="M23" s="964"/>
    </row>
    <row r="24" spans="1:13" s="85" customFormat="1" ht="13.95" customHeight="1">
      <c r="A24" s="945" t="str">
        <f>报表格式!H22</f>
        <v xml:space="preserve">        销售费用</v>
      </c>
      <c r="B24" s="86">
        <f>报表格式!I22</f>
        <v>18</v>
      </c>
      <c r="C24" s="950">
        <f>审定报表!D209</f>
        <v>0</v>
      </c>
      <c r="D24" s="124" t="str">
        <f t="shared" si="0"/>
        <v/>
      </c>
      <c r="E24" s="447">
        <f>审定报表!C209</f>
        <v>0</v>
      </c>
      <c r="F24" s="124" t="str">
        <f t="shared" si="5"/>
        <v/>
      </c>
      <c r="G24" s="447">
        <f t="shared" si="1"/>
        <v>0</v>
      </c>
      <c r="H24" s="186" t="str">
        <f t="shared" si="2"/>
        <v/>
      </c>
      <c r="I24" s="187" t="str">
        <f>IF(H24="","",IF(OR(ABS(H24)&gt;=30%,ABS(G24)&gt;=已审BS分析!$E$127*5%,ABS(G24)&gt;=$E$42*10%),"显著",IF(ABS(H24)&gt;=10%,"关注","")))</f>
        <v/>
      </c>
      <c r="J24" s="961"/>
      <c r="K24" s="915" t="str">
        <f t="shared" si="3"/>
        <v/>
      </c>
      <c r="L24" s="914" t="str">
        <f t="shared" si="4"/>
        <v/>
      </c>
      <c r="M24" s="964"/>
    </row>
    <row r="25" spans="1:13" s="85" customFormat="1" ht="13.95" customHeight="1">
      <c r="A25" s="945" t="str">
        <f>报表格式!H23</f>
        <v xml:space="preserve">        管理费用</v>
      </c>
      <c r="B25" s="86">
        <f>报表格式!I23</f>
        <v>19</v>
      </c>
      <c r="C25" s="950">
        <f>审定报表!D210</f>
        <v>479456.63</v>
      </c>
      <c r="D25" s="124">
        <f t="shared" si="0"/>
        <v>2.0863772083940798E-2</v>
      </c>
      <c r="E25" s="447">
        <f>审定报表!C210</f>
        <v>13154047.73</v>
      </c>
      <c r="F25" s="124">
        <f t="shared" si="5"/>
        <v>0.36891304625434762</v>
      </c>
      <c r="G25" s="447">
        <f t="shared" si="1"/>
        <v>12674591.1</v>
      </c>
      <c r="H25" s="186">
        <f t="shared" si="2"/>
        <v>26.435323461894768</v>
      </c>
      <c r="I25" s="187" t="str">
        <f>IF(H25="","",IF(OR(ABS(H25)&gt;=30%,ABS(G25)&gt;=已审BS分析!$E$127*5%,ABS(G25)&gt;=$E$42*10%),"显著",IF(ABS(H25)&gt;=10%,"关注","")))</f>
        <v>显著</v>
      </c>
      <c r="J25" s="961"/>
      <c r="K25" s="915">
        <f t="shared" si="3"/>
        <v>0.34804927417040682</v>
      </c>
      <c r="L25" s="914" t="str">
        <f t="shared" si="4"/>
        <v>显著</v>
      </c>
      <c r="M25" s="964"/>
    </row>
    <row r="26" spans="1:13" s="85" customFormat="1" ht="13.95" customHeight="1">
      <c r="A26" s="945" t="str">
        <f>报表格式!H24</f>
        <v xml:space="preserve">        研发费用</v>
      </c>
      <c r="B26" s="86">
        <f>报表格式!I24</f>
        <v>20</v>
      </c>
      <c r="C26" s="950">
        <f>审定报表!D211</f>
        <v>0</v>
      </c>
      <c r="D26" s="124" t="str">
        <f t="shared" si="0"/>
        <v/>
      </c>
      <c r="E26" s="447">
        <f>审定报表!C211</f>
        <v>0</v>
      </c>
      <c r="F26" s="124" t="str">
        <f t="shared" si="5"/>
        <v/>
      </c>
      <c r="G26" s="447">
        <f t="shared" si="1"/>
        <v>0</v>
      </c>
      <c r="H26" s="186" t="str">
        <f t="shared" si="2"/>
        <v/>
      </c>
      <c r="I26" s="187" t="str">
        <f>IF(H26="","",IF(OR(ABS(H26)&gt;=30%,ABS(G26)&gt;=已审BS分析!$E$127*5%,ABS(G26)&gt;=$E$42*10%),"显著",IF(ABS(H26)&gt;=10%,"关注","")))</f>
        <v/>
      </c>
      <c r="J26" s="961"/>
      <c r="K26" s="915" t="str">
        <f t="shared" si="3"/>
        <v/>
      </c>
      <c r="L26" s="914" t="str">
        <f t="shared" si="4"/>
        <v/>
      </c>
      <c r="M26" s="964"/>
    </row>
    <row r="27" spans="1:13" s="85" customFormat="1" ht="13.95" customHeight="1">
      <c r="A27" s="945" t="str">
        <f>报表格式!H25</f>
        <v xml:space="preserve">        财务费用</v>
      </c>
      <c r="B27" s="86">
        <f>报表格式!I25</f>
        <v>21</v>
      </c>
      <c r="C27" s="950">
        <f>审定报表!D212</f>
        <v>-31759.960000000003</v>
      </c>
      <c r="D27" s="124">
        <f t="shared" si="0"/>
        <v>-1.3820490225259299E-3</v>
      </c>
      <c r="E27" s="447">
        <f>审定报表!C212</f>
        <v>-10051.44</v>
      </c>
      <c r="F27" s="124">
        <f t="shared" si="5"/>
        <v>-2.8189857797047843E-4</v>
      </c>
      <c r="G27" s="447">
        <f t="shared" si="1"/>
        <v>21708.520000000004</v>
      </c>
      <c r="H27" s="186">
        <f t="shared" si="2"/>
        <v>-0.68351849309633894</v>
      </c>
      <c r="I27" s="187" t="str">
        <f>IF(H27="","",IF(OR(ABS(H27)&gt;=30%,ABS(G27)&gt;=已审BS分析!$E$127*5%,ABS(G27)&gt;=$E$42*10%),"显著",IF(ABS(H27)&gt;=10%,"关注","")))</f>
        <v>显著</v>
      </c>
      <c r="J27" s="961"/>
      <c r="K27" s="915">
        <f t="shared" si="3"/>
        <v>1.1001504445554515E-3</v>
      </c>
      <c r="L27" s="914" t="str">
        <f t="shared" si="4"/>
        <v/>
      </c>
      <c r="M27" s="964"/>
    </row>
    <row r="28" spans="1:13" s="85" customFormat="1" ht="13.95" customHeight="1">
      <c r="A28" s="945" t="str">
        <f>报表格式!H26</f>
        <v xml:space="preserve">        其中：利息费用</v>
      </c>
      <c r="B28" s="86">
        <f>报表格式!I26</f>
        <v>22</v>
      </c>
      <c r="C28" s="950">
        <f>审定报表!D213</f>
        <v>0</v>
      </c>
      <c r="D28" s="124" t="str">
        <f t="shared" si="0"/>
        <v/>
      </c>
      <c r="E28" s="447">
        <f>审定报表!C213</f>
        <v>0</v>
      </c>
      <c r="F28" s="124" t="str">
        <f t="shared" si="5"/>
        <v/>
      </c>
      <c r="G28" s="447">
        <f t="shared" si="1"/>
        <v>0</v>
      </c>
      <c r="H28" s="186" t="str">
        <f t="shared" si="2"/>
        <v/>
      </c>
      <c r="I28" s="187" t="str">
        <f>IF(H28="","",IF(OR(ABS(H28)&gt;=30%,ABS(G28)&gt;=已审BS分析!$E$127*5%,ABS(G28)&gt;=$E$42*10%),"显著",IF(ABS(H28)&gt;=10%,"关注","")))</f>
        <v/>
      </c>
      <c r="J28" s="961"/>
      <c r="K28" s="915" t="str">
        <f t="shared" si="3"/>
        <v/>
      </c>
      <c r="L28" s="914" t="str">
        <f t="shared" si="4"/>
        <v/>
      </c>
      <c r="M28" s="964"/>
    </row>
    <row r="29" spans="1:13" s="85" customFormat="1" ht="13.95" customHeight="1">
      <c r="A29" s="945" t="str">
        <f>报表格式!H27</f>
        <v xml:space="preserve">              利息收入</v>
      </c>
      <c r="B29" s="86">
        <f>报表格式!I27</f>
        <v>23</v>
      </c>
      <c r="C29" s="950">
        <f>审定报表!D214</f>
        <v>-10000</v>
      </c>
      <c r="D29" s="124">
        <f t="shared" si="0"/>
        <v>-4.3515452240050988E-4</v>
      </c>
      <c r="E29" s="447">
        <f>审定报表!C214</f>
        <v>0</v>
      </c>
      <c r="F29" s="124" t="str">
        <f t="shared" si="5"/>
        <v/>
      </c>
      <c r="G29" s="447">
        <f t="shared" si="1"/>
        <v>10000</v>
      </c>
      <c r="H29" s="186">
        <f t="shared" si="2"/>
        <v>-1</v>
      </c>
      <c r="I29" s="187" t="str">
        <f>IF(H29="","",IF(OR(ABS(H29)&gt;=30%,ABS(G29)&gt;=已审BS分析!$E$127*5%,ABS(G29)&gt;=$E$42*10%),"显著",IF(ABS(H29)&gt;=10%,"关注","")))</f>
        <v>显著</v>
      </c>
      <c r="J29" s="961"/>
      <c r="K29" s="915">
        <f t="shared" si="3"/>
        <v>4.3515452240050988E-4</v>
      </c>
      <c r="L29" s="914" t="str">
        <f t="shared" si="4"/>
        <v/>
      </c>
      <c r="M29" s="964"/>
    </row>
    <row r="30" spans="1:13" s="85" customFormat="1" ht="13.95" customHeight="1">
      <c r="A30" s="945" t="str">
        <f>报表格式!H28</f>
        <v xml:space="preserve">              汇兑净损失（净收益以“－”号填列）</v>
      </c>
      <c r="B30" s="86">
        <f>报表格式!I28</f>
        <v>24</v>
      </c>
      <c r="C30" s="950">
        <f>审定报表!D215</f>
        <v>-10000</v>
      </c>
      <c r="D30" s="124">
        <f t="shared" si="0"/>
        <v>-4.3515452240050988E-4</v>
      </c>
      <c r="E30" s="447">
        <f>审定报表!C215</f>
        <v>-10234</v>
      </c>
      <c r="F30" s="124">
        <f t="shared" si="5"/>
        <v>-2.8701858111373856E-4</v>
      </c>
      <c r="G30" s="447">
        <f t="shared" si="1"/>
        <v>-234</v>
      </c>
      <c r="H30" s="186">
        <f t="shared" si="2"/>
        <v>2.3400000000000001E-2</v>
      </c>
      <c r="I30" s="187" t="str">
        <f>IF(H30="","",IF(OR(ABS(H30)&gt;=30%,ABS(G30)&gt;=已审BS分析!$E$127*5%,ABS(G30)&gt;=$E$42*10%),"显著",IF(ABS(H30)&gt;=10%,"关注","")))</f>
        <v/>
      </c>
      <c r="J30" s="961"/>
      <c r="K30" s="915">
        <f t="shared" si="3"/>
        <v>1.4813594128677132E-4</v>
      </c>
      <c r="L30" s="914" t="str">
        <f t="shared" si="4"/>
        <v/>
      </c>
      <c r="M30" s="964"/>
    </row>
    <row r="31" spans="1:13" s="85" customFormat="1" ht="13.95" customHeight="1">
      <c r="A31" s="945" t="str">
        <f>报表格式!H29</f>
        <v xml:space="preserve">      其他</v>
      </c>
      <c r="B31" s="86">
        <f>报表格式!I29</f>
        <v>25</v>
      </c>
      <c r="C31" s="950">
        <f>审定报表!D216</f>
        <v>0</v>
      </c>
      <c r="D31" s="124" t="str">
        <f t="shared" si="0"/>
        <v/>
      </c>
      <c r="E31" s="447">
        <f>审定报表!C216</f>
        <v>0</v>
      </c>
      <c r="F31" s="124" t="str">
        <f t="shared" si="5"/>
        <v/>
      </c>
      <c r="G31" s="447">
        <f t="shared" si="1"/>
        <v>0</v>
      </c>
      <c r="H31" s="186" t="str">
        <f t="shared" si="2"/>
        <v/>
      </c>
      <c r="I31" s="187" t="str">
        <f>IF(H31="","",IF(OR(ABS(H31)&gt;=30%,ABS(G31)&gt;=已审BS分析!$E$127*5%,ABS(G31)&gt;=$E$42*10%),"显著",IF(ABS(H31)&gt;=10%,"关注","")))</f>
        <v/>
      </c>
      <c r="J31" s="961"/>
      <c r="K31" s="915" t="str">
        <f t="shared" si="3"/>
        <v/>
      </c>
      <c r="L31" s="914" t="str">
        <f t="shared" si="4"/>
        <v/>
      </c>
      <c r="M31" s="964"/>
    </row>
    <row r="32" spans="1:13" s="85" customFormat="1" ht="13.95" customHeight="1">
      <c r="A32" s="945" t="str">
        <f>报表格式!H30</f>
        <v xml:space="preserve">    加：其他收益</v>
      </c>
      <c r="B32" s="86">
        <f>报表格式!I30</f>
        <v>26</v>
      </c>
      <c r="C32" s="950">
        <f>审定报表!D217</f>
        <v>0</v>
      </c>
      <c r="D32" s="124" t="str">
        <f t="shared" si="0"/>
        <v/>
      </c>
      <c r="E32" s="447">
        <f>审定报表!C217</f>
        <v>0</v>
      </c>
      <c r="F32" s="124" t="str">
        <f t="shared" si="5"/>
        <v/>
      </c>
      <c r="G32" s="447">
        <f t="shared" si="1"/>
        <v>0</v>
      </c>
      <c r="H32" s="186" t="str">
        <f t="shared" si="2"/>
        <v/>
      </c>
      <c r="I32" s="187" t="str">
        <f>IF(H32="","",IF(OR(ABS(H32)&gt;=30%,ABS(G32)&gt;=已审BS分析!$E$127*5%,ABS(G32)&gt;=$E$42*10%),"显著",IF(ABS(H32)&gt;=10%,"关注","")))</f>
        <v/>
      </c>
      <c r="J32" s="961"/>
      <c r="K32" s="915" t="str">
        <f t="shared" si="3"/>
        <v/>
      </c>
      <c r="L32" s="914" t="str">
        <f t="shared" si="4"/>
        <v/>
      </c>
      <c r="M32" s="964"/>
    </row>
    <row r="33" spans="1:13" s="85" customFormat="1" ht="13.95" customHeight="1">
      <c r="A33" s="945" t="str">
        <f>报表格式!H31</f>
        <v xml:space="preserve">        投资收益（损失以“－”号填列）</v>
      </c>
      <c r="B33" s="86">
        <f>报表格式!I31</f>
        <v>27</v>
      </c>
      <c r="C33" s="950">
        <f>审定报表!D218</f>
        <v>10512385.210000001</v>
      </c>
      <c r="D33" s="124">
        <f t="shared" si="0"/>
        <v>0.4574511965347734</v>
      </c>
      <c r="E33" s="447">
        <f>审定报表!C218</f>
        <v>23067226.620000001</v>
      </c>
      <c r="F33" s="124">
        <f t="shared" si="5"/>
        <v>0.64693400964446546</v>
      </c>
      <c r="G33" s="447">
        <f t="shared" si="1"/>
        <v>12554841.41</v>
      </c>
      <c r="H33" s="186">
        <f t="shared" si="2"/>
        <v>1.1942904639811995</v>
      </c>
      <c r="I33" s="187" t="str">
        <f>IF(H33="","",IF(OR(ABS(H33)&gt;=30%,ABS(G33)&gt;=已审BS分析!$E$127*5%,ABS(G33)&gt;=$E$42*10%),"显著",IF(ABS(H33)&gt;=10%,"关注","")))</f>
        <v>显著</v>
      </c>
      <c r="J33" s="961"/>
      <c r="K33" s="915">
        <f t="shared" si="3"/>
        <v>0.18948281310969206</v>
      </c>
      <c r="L33" s="914" t="str">
        <f t="shared" si="4"/>
        <v>关注</v>
      </c>
      <c r="M33" s="964"/>
    </row>
    <row r="34" spans="1:13" s="85" customFormat="1" ht="13.95" customHeight="1">
      <c r="A34" s="945" t="str">
        <f>报表格式!H32</f>
        <v xml:space="preserve">        其中：对联营企业和合营企业的投资收益</v>
      </c>
      <c r="B34" s="86">
        <f>报表格式!I32</f>
        <v>28</v>
      </c>
      <c r="C34" s="950">
        <f>审定报表!D219</f>
        <v>0</v>
      </c>
      <c r="D34" s="124" t="str">
        <f t="shared" si="0"/>
        <v/>
      </c>
      <c r="E34" s="447">
        <f>审定报表!C219</f>
        <v>23067226.620000001</v>
      </c>
      <c r="F34" s="124">
        <f t="shared" si="5"/>
        <v>0.64693400964446546</v>
      </c>
      <c r="G34" s="447">
        <f t="shared" si="1"/>
        <v>23067226.620000001</v>
      </c>
      <c r="H34" s="186">
        <f t="shared" si="2"/>
        <v>1</v>
      </c>
      <c r="I34" s="187" t="str">
        <f>IF(H34="","",IF(OR(ABS(H34)&gt;=30%,ABS(G34)&gt;=已审BS分析!$E$127*5%,ABS(G34)&gt;=$E$42*10%),"显著",IF(ABS(H34)&gt;=10%,"关注","")))</f>
        <v>显著</v>
      </c>
      <c r="J34" s="961"/>
      <c r="K34" s="915">
        <f t="shared" si="3"/>
        <v>0.64693400964446546</v>
      </c>
      <c r="L34" s="914" t="str">
        <f t="shared" si="4"/>
        <v>显著</v>
      </c>
      <c r="M34" s="964"/>
    </row>
    <row r="35" spans="1:13" s="85" customFormat="1" ht="13.95" customHeight="1">
      <c r="A35" s="945" t="str">
        <f>报表格式!H33</f>
        <v xml:space="preserve">              以摊余成本计量的金融资产终止确认收益（损失以“-”号填列）</v>
      </c>
      <c r="B35" s="86">
        <f>报表格式!I33</f>
        <v>29</v>
      </c>
      <c r="C35" s="950">
        <f>审定报表!D220</f>
        <v>0</v>
      </c>
      <c r="D35" s="124" t="str">
        <f t="shared" si="0"/>
        <v/>
      </c>
      <c r="E35" s="447">
        <f>审定报表!C220</f>
        <v>0</v>
      </c>
      <c r="F35" s="124" t="str">
        <f t="shared" si="5"/>
        <v/>
      </c>
      <c r="G35" s="447">
        <f t="shared" si="1"/>
        <v>0</v>
      </c>
      <c r="H35" s="186" t="str">
        <f t="shared" si="2"/>
        <v/>
      </c>
      <c r="I35" s="187" t="str">
        <f>IF(H35="","",IF(OR(ABS(H35)&gt;=30%,ABS(G35)&gt;=已审BS分析!$E$127*5%,ABS(G35)&gt;=$E$42*10%),"显著",IF(ABS(H35)&gt;=10%,"关注","")))</f>
        <v/>
      </c>
      <c r="J35" s="961"/>
      <c r="K35" s="915" t="str">
        <f t="shared" si="3"/>
        <v/>
      </c>
      <c r="L35" s="914" t="str">
        <f t="shared" si="4"/>
        <v/>
      </c>
      <c r="M35" s="964"/>
    </row>
    <row r="36" spans="1:13" s="85" customFormat="1" ht="13.95" customHeight="1">
      <c r="A36" s="945" t="str">
        <f>报表格式!H34</f>
        <v xml:space="preserve">        汇兑收益（损失以“-”号填列）*</v>
      </c>
      <c r="B36" s="86">
        <f>报表格式!I34</f>
        <v>30</v>
      </c>
      <c r="C36" s="950">
        <f>审定报表!D221</f>
        <v>0</v>
      </c>
      <c r="D36" s="124" t="str">
        <f t="shared" si="0"/>
        <v/>
      </c>
      <c r="E36" s="447">
        <f>审定报表!C221</f>
        <v>0</v>
      </c>
      <c r="F36" s="124" t="str">
        <f t="shared" si="5"/>
        <v/>
      </c>
      <c r="G36" s="447">
        <f t="shared" si="1"/>
        <v>0</v>
      </c>
      <c r="H36" s="186" t="str">
        <f t="shared" si="2"/>
        <v/>
      </c>
      <c r="I36" s="187" t="str">
        <f>IF(H36="","",IF(OR(ABS(H36)&gt;=30%,ABS(G36)&gt;=已审BS分析!$E$127*5%,ABS(G36)&gt;=$E$42*10%),"显著",IF(ABS(H36)&gt;=10%,"关注","")))</f>
        <v/>
      </c>
      <c r="J36" s="961"/>
      <c r="K36" s="915" t="str">
        <f t="shared" si="3"/>
        <v/>
      </c>
      <c r="L36" s="914" t="str">
        <f t="shared" si="4"/>
        <v/>
      </c>
      <c r="M36" s="964"/>
    </row>
    <row r="37" spans="1:13" s="85" customFormat="1" ht="13.95" customHeight="1">
      <c r="A37" s="945" t="str">
        <f>报表格式!H35</f>
        <v xml:space="preserve">        净敞口套期收益（损失以“-”号填列）</v>
      </c>
      <c r="B37" s="86">
        <f>报表格式!I35</f>
        <v>31</v>
      </c>
      <c r="C37" s="950">
        <f>审定报表!D222</f>
        <v>0</v>
      </c>
      <c r="D37" s="124" t="str">
        <f t="shared" si="0"/>
        <v/>
      </c>
      <c r="E37" s="447">
        <f>审定报表!C222</f>
        <v>0</v>
      </c>
      <c r="F37" s="124" t="str">
        <f t="shared" si="5"/>
        <v/>
      </c>
      <c r="G37" s="447">
        <f t="shared" si="1"/>
        <v>0</v>
      </c>
      <c r="H37" s="186" t="str">
        <f t="shared" si="2"/>
        <v/>
      </c>
      <c r="I37" s="187" t="str">
        <f>IF(H37="","",IF(OR(ABS(H37)&gt;=30%,ABS(G37)&gt;=已审BS分析!$E$127*5%,ABS(G37)&gt;=$E$42*10%),"显著",IF(ABS(H37)&gt;=10%,"关注","")))</f>
        <v/>
      </c>
      <c r="J37" s="961"/>
      <c r="K37" s="915" t="str">
        <f t="shared" si="3"/>
        <v/>
      </c>
      <c r="L37" s="914" t="str">
        <f t="shared" si="4"/>
        <v/>
      </c>
      <c r="M37" s="964"/>
    </row>
    <row r="38" spans="1:13" s="85" customFormat="1" ht="13.95" customHeight="1">
      <c r="A38" s="945" t="str">
        <f>报表格式!H36</f>
        <v xml:space="preserve">        公允价值变动收益（损失以“－”号填列）</v>
      </c>
      <c r="B38" s="86">
        <f>报表格式!I36</f>
        <v>32</v>
      </c>
      <c r="C38" s="950">
        <f>审定报表!D223</f>
        <v>0</v>
      </c>
      <c r="D38" s="124" t="str">
        <f t="shared" si="0"/>
        <v/>
      </c>
      <c r="E38" s="447">
        <f>审定报表!C223</f>
        <v>0</v>
      </c>
      <c r="F38" s="124" t="str">
        <f t="shared" si="5"/>
        <v/>
      </c>
      <c r="G38" s="447">
        <f t="shared" si="1"/>
        <v>0</v>
      </c>
      <c r="H38" s="186" t="str">
        <f t="shared" si="2"/>
        <v/>
      </c>
      <c r="I38" s="187" t="str">
        <f>IF(H38="","",IF(OR(ABS(H38)&gt;=30%,ABS(G38)&gt;=已审BS分析!$E$127*5%,ABS(G38)&gt;=$E$42*10%),"显著",IF(ABS(H38)&gt;=10%,"关注","")))</f>
        <v/>
      </c>
      <c r="J38" s="961"/>
      <c r="K38" s="915" t="str">
        <f t="shared" si="3"/>
        <v/>
      </c>
      <c r="L38" s="914" t="str">
        <f t="shared" si="4"/>
        <v/>
      </c>
      <c r="M38" s="964"/>
    </row>
    <row r="39" spans="1:13" s="85" customFormat="1" ht="13.95" customHeight="1">
      <c r="A39" s="945" t="str">
        <f>报表格式!H37</f>
        <v xml:space="preserve">        信用减值损失（损失以“-”号填列）</v>
      </c>
      <c r="B39" s="86">
        <f>报表格式!I37</f>
        <v>33</v>
      </c>
      <c r="C39" s="950">
        <f>审定报表!D224</f>
        <v>1724647.26</v>
      </c>
      <c r="D39" s="124">
        <f t="shared" si="0"/>
        <v>7.5048805473464791E-2</v>
      </c>
      <c r="E39" s="447">
        <f>审定报表!C224</f>
        <v>-300515.00999999995</v>
      </c>
      <c r="F39" s="124">
        <f t="shared" si="5"/>
        <v>-8.4281211426207678E-3</v>
      </c>
      <c r="G39" s="447">
        <f t="shared" si="1"/>
        <v>-2025162.27</v>
      </c>
      <c r="H39" s="186">
        <f t="shared" si="2"/>
        <v>-1.1742472312860079</v>
      </c>
      <c r="I39" s="187" t="str">
        <f>IF(H39="","",IF(OR(ABS(H39)&gt;=30%,ABS(G39)&gt;=已审BS分析!$E$127*5%,ABS(G39)&gt;=$E$42*10%),"显著",IF(ABS(H39)&gt;=10%,"关注","")))</f>
        <v>显著</v>
      </c>
      <c r="J39" s="961"/>
      <c r="K39" s="915">
        <f t="shared" si="3"/>
        <v>-8.3476926616085564E-2</v>
      </c>
      <c r="L39" s="914" t="str">
        <f t="shared" si="4"/>
        <v/>
      </c>
      <c r="M39" s="964"/>
    </row>
    <row r="40" spans="1:13" s="85" customFormat="1" ht="13.95" customHeight="1">
      <c r="A40" s="945" t="str">
        <f>报表格式!H38</f>
        <v xml:space="preserve">        资产减值损失（损失以“-”号填列）</v>
      </c>
      <c r="B40" s="86">
        <f>报表格式!I38</f>
        <v>34</v>
      </c>
      <c r="C40" s="950">
        <f>审定报表!D225</f>
        <v>0</v>
      </c>
      <c r="D40" s="124" t="str">
        <f t="shared" si="0"/>
        <v/>
      </c>
      <c r="E40" s="447">
        <f>审定报表!C225</f>
        <v>0</v>
      </c>
      <c r="F40" s="124" t="str">
        <f t="shared" si="5"/>
        <v/>
      </c>
      <c r="G40" s="447">
        <f t="shared" si="1"/>
        <v>0</v>
      </c>
      <c r="H40" s="186" t="str">
        <f t="shared" si="2"/>
        <v/>
      </c>
      <c r="I40" s="187" t="str">
        <f>IF(H40="","",IF(OR(ABS(H40)&gt;=30%,ABS(G40)&gt;=已审BS分析!$E$127*5%,ABS(G40)&gt;=$E$42*10%),"显著",IF(ABS(H40)&gt;=10%,"关注","")))</f>
        <v/>
      </c>
      <c r="J40" s="961"/>
      <c r="K40" s="915" t="str">
        <f t="shared" si="3"/>
        <v/>
      </c>
      <c r="L40" s="914" t="str">
        <f t="shared" si="4"/>
        <v/>
      </c>
      <c r="M40" s="964"/>
    </row>
    <row r="41" spans="1:13" s="85" customFormat="1" ht="13.95" customHeight="1">
      <c r="A41" s="945" t="str">
        <f>报表格式!H39</f>
        <v xml:space="preserve">        资产处置收益（损失以“-”号填列）</v>
      </c>
      <c r="B41" s="86">
        <f>报表格式!I39</f>
        <v>35</v>
      </c>
      <c r="C41" s="950">
        <f>审定报表!D226</f>
        <v>0</v>
      </c>
      <c r="D41" s="124" t="str">
        <f t="shared" si="0"/>
        <v/>
      </c>
      <c r="E41" s="447">
        <f>审定报表!C226</f>
        <v>0</v>
      </c>
      <c r="F41" s="124" t="str">
        <f t="shared" si="5"/>
        <v/>
      </c>
      <c r="G41" s="447">
        <f t="shared" si="1"/>
        <v>0</v>
      </c>
      <c r="H41" s="186" t="str">
        <f t="shared" si="2"/>
        <v/>
      </c>
      <c r="I41" s="187" t="str">
        <f>IF(H41="","",IF(OR(ABS(H41)&gt;=30%,ABS(G41)&gt;=已审BS分析!$E$127*5%,ABS(G41)&gt;=$E$42*10%),"显著",IF(ABS(H41)&gt;=10%,"关注","")))</f>
        <v/>
      </c>
      <c r="J41" s="961"/>
      <c r="K41" s="915" t="str">
        <f t="shared" si="3"/>
        <v/>
      </c>
      <c r="L41" s="914" t="str">
        <f t="shared" si="4"/>
        <v/>
      </c>
      <c r="M41" s="964"/>
    </row>
    <row r="42" spans="1:13" s="85" customFormat="1" ht="13.95" customHeight="1">
      <c r="A42" s="945" t="str">
        <f>报表格式!H40</f>
        <v>二、营业利润（亏损以“－”号填列）</v>
      </c>
      <c r="B42" s="86">
        <f>报表格式!I40</f>
        <v>36</v>
      </c>
      <c r="C42" s="950">
        <f>审定报表!D227</f>
        <v>24790875.300000001</v>
      </c>
      <c r="D42" s="124">
        <f t="shared" si="0"/>
        <v>1.0787861501062097</v>
      </c>
      <c r="E42" s="447">
        <f>审定报表!C227</f>
        <v>33605687.039999999</v>
      </c>
      <c r="F42" s="124">
        <f t="shared" si="5"/>
        <v>0.94249136325709915</v>
      </c>
      <c r="G42" s="447">
        <f t="shared" si="1"/>
        <v>8814811.7399999984</v>
      </c>
      <c r="H42" s="186">
        <f t="shared" si="2"/>
        <v>0.35556678146011239</v>
      </c>
      <c r="I42" s="187" t="str">
        <f>IF(H42="","",IF(OR(ABS(H42)&gt;=30%,ABS(G42)&gt;=已审BS分析!$E$127*5%,ABS(G42)&gt;=$E$42*10%),"显著",IF(ABS(H42)&gt;=10%,"关注","")))</f>
        <v>显著</v>
      </c>
      <c r="J42" s="961"/>
      <c r="K42" s="915">
        <f t="shared" si="3"/>
        <v>-0.13629478684911056</v>
      </c>
      <c r="L42" s="914" t="str">
        <f t="shared" si="4"/>
        <v>关注</v>
      </c>
      <c r="M42" s="964"/>
    </row>
    <row r="43" spans="1:13" s="85" customFormat="1" ht="13.95" customHeight="1">
      <c r="A43" s="945" t="str">
        <f>报表格式!H41</f>
        <v xml:space="preserve">    加：营业外收入</v>
      </c>
      <c r="B43" s="86">
        <f>报表格式!I41</f>
        <v>37</v>
      </c>
      <c r="C43" s="950">
        <f>审定报表!D228</f>
        <v>0</v>
      </c>
      <c r="D43" s="124" t="str">
        <f t="shared" si="0"/>
        <v/>
      </c>
      <c r="E43" s="447">
        <f>审定报表!C228</f>
        <v>3000</v>
      </c>
      <c r="F43" s="124">
        <f t="shared" si="5"/>
        <v>8.4136773826579605E-5</v>
      </c>
      <c r="G43" s="447">
        <f t="shared" si="1"/>
        <v>3000</v>
      </c>
      <c r="H43" s="186">
        <f t="shared" si="2"/>
        <v>1</v>
      </c>
      <c r="I43" s="187" t="str">
        <f>IF(H43="","",IF(OR(ABS(H43)&gt;=30%,ABS(G43)&gt;=已审BS分析!$E$127*5%,ABS(G43)&gt;=$E$42*10%),"显著",IF(ABS(H43)&gt;=10%,"关注","")))</f>
        <v>显著</v>
      </c>
      <c r="J43" s="961"/>
      <c r="K43" s="915">
        <f t="shared" si="3"/>
        <v>8.4136773826579605E-5</v>
      </c>
      <c r="L43" s="914" t="str">
        <f t="shared" si="4"/>
        <v/>
      </c>
      <c r="M43" s="964"/>
    </row>
    <row r="44" spans="1:13" s="85" customFormat="1" ht="13.95" customHeight="1">
      <c r="A44" s="945" t="str">
        <f>报表格式!H42</f>
        <v xml:space="preserve">                 其中：政府补助</v>
      </c>
      <c r="B44" s="86">
        <f>报表格式!I42</f>
        <v>38</v>
      </c>
      <c r="C44" s="950">
        <f>审定报表!D229</f>
        <v>0</v>
      </c>
      <c r="D44" s="124" t="str">
        <f t="shared" si="0"/>
        <v/>
      </c>
      <c r="E44" s="447">
        <f>审定报表!C229</f>
        <v>1000</v>
      </c>
      <c r="F44" s="124">
        <f t="shared" si="5"/>
        <v>2.8045591275526536E-5</v>
      </c>
      <c r="G44" s="447">
        <f t="shared" si="1"/>
        <v>1000</v>
      </c>
      <c r="H44" s="186">
        <f t="shared" si="2"/>
        <v>1</v>
      </c>
      <c r="I44" s="187" t="str">
        <f>IF(H44="","",IF(OR(ABS(H44)&gt;=30%,ABS(G44)&gt;=已审BS分析!$E$127*5%,ABS(G44)&gt;=$E$42*10%),"显著",IF(ABS(H44)&gt;=10%,"关注","")))</f>
        <v>显著</v>
      </c>
      <c r="J44" s="961"/>
      <c r="K44" s="915">
        <f t="shared" si="3"/>
        <v>2.8045591275526536E-5</v>
      </c>
      <c r="L44" s="914" t="str">
        <f t="shared" si="4"/>
        <v/>
      </c>
      <c r="M44" s="964"/>
    </row>
    <row r="45" spans="1:13" s="85" customFormat="1" ht="13.95" customHeight="1">
      <c r="A45" s="945" t="str">
        <f>报表格式!H43</f>
        <v xml:space="preserve">    减：营业外支出</v>
      </c>
      <c r="B45" s="86">
        <f>报表格式!I43</f>
        <v>39</v>
      </c>
      <c r="C45" s="950">
        <f>审定报表!D230</f>
        <v>0</v>
      </c>
      <c r="D45" s="124" t="str">
        <f t="shared" si="0"/>
        <v/>
      </c>
      <c r="E45" s="447">
        <f>审定报表!C230</f>
        <v>0</v>
      </c>
      <c r="F45" s="124" t="str">
        <f t="shared" si="5"/>
        <v/>
      </c>
      <c r="G45" s="447">
        <f t="shared" si="1"/>
        <v>0</v>
      </c>
      <c r="H45" s="186" t="str">
        <f t="shared" si="2"/>
        <v/>
      </c>
      <c r="I45" s="187" t="str">
        <f>IF(H45="","",IF(OR(ABS(H45)&gt;=30%,ABS(G45)&gt;=已审BS分析!$E$127*5%,ABS(G45)&gt;=$E$42*10%),"显著",IF(ABS(H45)&gt;=10%,"关注","")))</f>
        <v/>
      </c>
      <c r="J45" s="961"/>
      <c r="K45" s="915" t="str">
        <f t="shared" si="3"/>
        <v/>
      </c>
      <c r="L45" s="914" t="str">
        <f t="shared" si="4"/>
        <v/>
      </c>
      <c r="M45" s="964"/>
    </row>
    <row r="46" spans="1:13" s="85" customFormat="1" ht="13.95" customHeight="1">
      <c r="A46" s="945" t="str">
        <f>报表格式!H44</f>
        <v>三、利润总额（亏损总额以“－”号填列）</v>
      </c>
      <c r="B46" s="86">
        <f>报表格式!I44</f>
        <v>40</v>
      </c>
      <c r="C46" s="950">
        <f>审定报表!D231</f>
        <v>24790875.300000001</v>
      </c>
      <c r="D46" s="124">
        <f t="shared" si="0"/>
        <v>1.0787861501062097</v>
      </c>
      <c r="E46" s="447">
        <f>审定报表!C231</f>
        <v>33608687.039999999</v>
      </c>
      <c r="F46" s="124">
        <f t="shared" si="5"/>
        <v>0.94257550003092572</v>
      </c>
      <c r="G46" s="447">
        <f t="shared" si="1"/>
        <v>8817811.7399999984</v>
      </c>
      <c r="H46" s="186">
        <f t="shared" si="2"/>
        <v>0.35568779372626663</v>
      </c>
      <c r="I46" s="187" t="str">
        <f>IF(H46="","",IF(OR(ABS(H46)&gt;=30%,ABS(G46)&gt;=已审BS分析!$E$127*5%,ABS(G46)&gt;=$E$42*10%),"显著",IF(ABS(H46)&gt;=10%,"关注","")))</f>
        <v>显著</v>
      </c>
      <c r="J46" s="961"/>
      <c r="K46" s="915">
        <f t="shared" si="3"/>
        <v>-0.13621065007528399</v>
      </c>
      <c r="L46" s="914" t="str">
        <f t="shared" si="4"/>
        <v>关注</v>
      </c>
      <c r="M46" s="964"/>
    </row>
    <row r="47" spans="1:13" s="85" customFormat="1" ht="13.95" customHeight="1">
      <c r="A47" s="945" t="str">
        <f>报表格式!H45</f>
        <v xml:space="preserve">    减：所得税费用</v>
      </c>
      <c r="B47" s="86">
        <f>报表格式!I45</f>
        <v>41</v>
      </c>
      <c r="C47" s="950">
        <f>审定报表!D232</f>
        <v>3569622.5200000005</v>
      </c>
      <c r="D47" s="124">
        <f t="shared" si="0"/>
        <v>0.15533373828407046</v>
      </c>
      <c r="E47" s="447">
        <f>审定报表!C232</f>
        <v>1431327.9300000002</v>
      </c>
      <c r="F47" s="124">
        <f t="shared" si="5"/>
        <v>4.0142438106025462E-2</v>
      </c>
      <c r="G47" s="447">
        <f t="shared" si="1"/>
        <v>-2138294.5900000003</v>
      </c>
      <c r="H47" s="186">
        <f t="shared" si="2"/>
        <v>-0.5990254089947864</v>
      </c>
      <c r="I47" s="187" t="str">
        <f>IF(H47="","",IF(OR(ABS(H47)&gt;=30%,ABS(G47)&gt;=已审BS分析!$E$127*5%,ABS(G47)&gt;=$E$42*10%),"显著",IF(ABS(H47)&gt;=10%,"关注","")))</f>
        <v>显著</v>
      </c>
      <c r="J47" s="961"/>
      <c r="K47" s="915">
        <f t="shared" si="3"/>
        <v>-0.11519130017804499</v>
      </c>
      <c r="L47" s="914" t="str">
        <f t="shared" si="4"/>
        <v>关注</v>
      </c>
      <c r="M47" s="964"/>
    </row>
    <row r="48" spans="1:13" s="85" customFormat="1" ht="13.95" customHeight="1">
      <c r="A48" s="945" t="str">
        <f>报表格式!H46</f>
        <v>四、净利润（净亏损以“－”号填列）</v>
      </c>
      <c r="B48" s="86">
        <f>报表格式!I46</f>
        <v>42</v>
      </c>
      <c r="C48" s="950">
        <f>审定报表!D233</f>
        <v>21221252.780000001</v>
      </c>
      <c r="D48" s="124">
        <f t="shared" si="0"/>
        <v>0.92345241182213933</v>
      </c>
      <c r="E48" s="447">
        <f>审定报表!C233</f>
        <v>32177359.109999999</v>
      </c>
      <c r="F48" s="124">
        <f t="shared" si="5"/>
        <v>0.90243306192490025</v>
      </c>
      <c r="G48" s="447">
        <f t="shared" si="1"/>
        <v>10956106.329999998</v>
      </c>
      <c r="H48" s="186">
        <f t="shared" si="2"/>
        <v>0.51627990315093908</v>
      </c>
      <c r="I48" s="187" t="str">
        <f>IF(H48="","",IF(OR(ABS(H48)&gt;=30%,ABS(G48)&gt;=已审BS分析!$E$127*5%,ABS(G48)&gt;=$E$42*10%),"显著",IF(ABS(H48)&gt;=10%,"关注","")))</f>
        <v>显著</v>
      </c>
      <c r="J48" s="961"/>
      <c r="K48" s="915">
        <f t="shared" si="3"/>
        <v>-2.1019349897239081E-2</v>
      </c>
      <c r="L48" s="914" t="str">
        <f t="shared" si="4"/>
        <v/>
      </c>
      <c r="M48" s="964"/>
    </row>
    <row r="49" spans="1:13" s="85" customFormat="1" ht="13.95" customHeight="1">
      <c r="A49" s="945" t="str">
        <f>报表格式!H47</f>
        <v>同一控制下企业合并的被合并方在合并前实现的净利润</v>
      </c>
      <c r="B49" s="86">
        <f>报表格式!I47</f>
        <v>43</v>
      </c>
      <c r="C49" s="950">
        <f>审定报表!D234</f>
        <v>3569622.5200000005</v>
      </c>
      <c r="D49" s="124">
        <f t="shared" si="0"/>
        <v>0.15533373828407046</v>
      </c>
      <c r="E49" s="447">
        <f>审定报表!C234</f>
        <v>0</v>
      </c>
      <c r="F49" s="124" t="str">
        <f t="shared" si="5"/>
        <v/>
      </c>
      <c r="G49" s="447">
        <f t="shared" si="1"/>
        <v>-3569622.5200000005</v>
      </c>
      <c r="H49" s="186">
        <f t="shared" si="2"/>
        <v>-1</v>
      </c>
      <c r="I49" s="187" t="str">
        <f>IF(H49="","",IF(OR(ABS(H49)&gt;=30%,ABS(G49)&gt;=已审BS分析!$E$127*5%,ABS(G49)&gt;=$E$42*10%),"显著",IF(ABS(H49)&gt;=10%,"关注","")))</f>
        <v>显著</v>
      </c>
      <c r="J49" s="961"/>
      <c r="K49" s="915">
        <f t="shared" si="3"/>
        <v>-0.15533373828407046</v>
      </c>
      <c r="L49" s="914" t="str">
        <f t="shared" si="4"/>
        <v>关注</v>
      </c>
      <c r="M49" s="964"/>
    </row>
    <row r="50" spans="1:13" s="85" customFormat="1" ht="13.95" customHeight="1">
      <c r="A50" s="945" t="str">
        <f>报表格式!H48</f>
        <v xml:space="preserve"> （一）按经营持续性分类</v>
      </c>
      <c r="B50" s="86">
        <f>报表格式!I48</f>
        <v>44</v>
      </c>
      <c r="C50" s="950"/>
      <c r="D50" s="124"/>
      <c r="E50" s="447"/>
      <c r="F50" s="124"/>
      <c r="G50" s="447"/>
      <c r="H50" s="186"/>
      <c r="I50" s="187"/>
      <c r="J50" s="961"/>
      <c r="K50" s="915"/>
      <c r="L50" s="914"/>
      <c r="M50" s="964"/>
    </row>
    <row r="51" spans="1:13" s="85" customFormat="1" ht="13.95" customHeight="1">
      <c r="A51" s="945" t="str">
        <f>报表格式!H49</f>
        <v xml:space="preserve">     其中：持续经营净利润（净亏损以“-”号填列）</v>
      </c>
      <c r="B51" s="86">
        <f>报表格式!I49</f>
        <v>45</v>
      </c>
      <c r="C51" s="950">
        <f>审定报表!D236</f>
        <v>21211252.779999997</v>
      </c>
      <c r="D51" s="124">
        <f t="shared" si="0"/>
        <v>0.9230172572997386</v>
      </c>
      <c r="E51" s="447">
        <f>审定报表!C236</f>
        <v>32167359.109999999</v>
      </c>
      <c r="F51" s="124">
        <f t="shared" si="5"/>
        <v>0.90215260601214498</v>
      </c>
      <c r="G51" s="447">
        <f t="shared" si="1"/>
        <v>10956106.330000002</v>
      </c>
      <c r="H51" s="186">
        <f t="shared" si="2"/>
        <v>0.51652330221298715</v>
      </c>
      <c r="I51" s="187" t="str">
        <f>IF(H51="","",IF(OR(ABS(H51)&gt;=30%,ABS(G51)&gt;=已审BS分析!$E$127*5%,ABS(G51)&gt;=$E$42*10%),"显著",IF(ABS(H51)&gt;=10%,"关注","")))</f>
        <v>显著</v>
      </c>
      <c r="J51" s="961"/>
      <c r="K51" s="915">
        <f t="shared" si="3"/>
        <v>-2.0864651287593627E-2</v>
      </c>
      <c r="L51" s="914" t="str">
        <f t="shared" si="4"/>
        <v/>
      </c>
      <c r="M51" s="964"/>
    </row>
    <row r="52" spans="1:13" s="85" customFormat="1" ht="13.95" customHeight="1">
      <c r="A52" s="945" t="str">
        <f>报表格式!H50</f>
        <v xml:space="preserve">                 终止经营净利润（净亏损以“-”号填列）</v>
      </c>
      <c r="B52" s="86">
        <f>报表格式!I50</f>
        <v>46</v>
      </c>
      <c r="C52" s="950">
        <f>审定报表!D237</f>
        <v>10000</v>
      </c>
      <c r="D52" s="124">
        <f t="shared" si="0"/>
        <v>4.3515452240050988E-4</v>
      </c>
      <c r="E52" s="447">
        <f>审定报表!C237</f>
        <v>10000</v>
      </c>
      <c r="F52" s="124">
        <f t="shared" si="5"/>
        <v>2.8045591275526534E-4</v>
      </c>
      <c r="G52" s="447">
        <f t="shared" si="1"/>
        <v>0</v>
      </c>
      <c r="H52" s="186">
        <f t="shared" si="2"/>
        <v>0</v>
      </c>
      <c r="I52" s="187" t="str">
        <f>IF(H52="","",IF(OR(ABS(H52)&gt;=30%,ABS(G52)&gt;=已审BS分析!$E$127*5%,ABS(G52)&gt;=$E$42*10%),"显著",IF(ABS(H52)&gt;=10%,"关注","")))</f>
        <v/>
      </c>
      <c r="J52" s="961"/>
      <c r="K52" s="915">
        <f t="shared" si="3"/>
        <v>-1.5469860964524454E-4</v>
      </c>
      <c r="L52" s="914" t="str">
        <f t="shared" si="4"/>
        <v/>
      </c>
      <c r="M52" s="964"/>
    </row>
    <row r="53" spans="1:13" s="85" customFormat="1" ht="13.95" customHeight="1">
      <c r="A53" s="945" t="str">
        <f>报表格式!H51</f>
        <v xml:space="preserve"> （二）按所有权归属分类</v>
      </c>
      <c r="B53" s="86">
        <f>报表格式!I51</f>
        <v>47</v>
      </c>
      <c r="C53" s="950"/>
      <c r="D53" s="124"/>
      <c r="E53" s="447"/>
      <c r="F53" s="124"/>
      <c r="G53" s="447"/>
      <c r="H53" s="186"/>
      <c r="I53" s="187"/>
      <c r="J53" s="961"/>
      <c r="K53" s="915"/>
      <c r="L53" s="914"/>
      <c r="M53" s="964"/>
    </row>
    <row r="54" spans="1:13" s="85" customFormat="1" ht="13.95" customHeight="1">
      <c r="A54" s="945" t="str">
        <f>报表格式!H52</f>
        <v xml:space="preserve">     其中：归属于母公司所有者（或股东）的净利润（净亏损以“-”号填列）</v>
      </c>
      <c r="B54" s="86">
        <f>报表格式!I52</f>
        <v>48</v>
      </c>
      <c r="C54" s="950">
        <f>审定报表!D239</f>
        <v>21221252.779999997</v>
      </c>
      <c r="D54" s="124">
        <f t="shared" si="0"/>
        <v>0.92345241182213911</v>
      </c>
      <c r="E54" s="447">
        <f>审定报表!C239</f>
        <v>32177359.109999999</v>
      </c>
      <c r="F54" s="124">
        <f t="shared" si="5"/>
        <v>0.90243306192490025</v>
      </c>
      <c r="G54" s="447">
        <f t="shared" si="1"/>
        <v>10956106.330000002</v>
      </c>
      <c r="H54" s="186">
        <f t="shared" si="2"/>
        <v>0.51627990315093941</v>
      </c>
      <c r="I54" s="187" t="str">
        <f>IF(H54="","",IF(OR(ABS(H54)&gt;=30%,ABS(G54)&gt;=已审BS分析!$E$127*5%,ABS(G54)&gt;=$E$42*10%),"显著",IF(ABS(H54)&gt;=10%,"关注","")))</f>
        <v>显著</v>
      </c>
      <c r="J54" s="961"/>
      <c r="K54" s="915">
        <f t="shared" si="3"/>
        <v>-2.1019349897238859E-2</v>
      </c>
      <c r="L54" s="914" t="str">
        <f t="shared" si="4"/>
        <v/>
      </c>
      <c r="M54" s="964"/>
    </row>
    <row r="55" spans="1:13" s="85" customFormat="1" ht="13.95" customHeight="1">
      <c r="A55" s="945" t="str">
        <f>报表格式!H53</f>
        <v xml:space="preserve">                 少数股东损益（净亏损以“-”号填列）</v>
      </c>
      <c r="B55" s="86">
        <f>报表格式!I53</f>
        <v>49</v>
      </c>
      <c r="C55" s="950">
        <f>审定报表!D240</f>
        <v>0</v>
      </c>
      <c r="D55" s="124" t="str">
        <f t="shared" si="0"/>
        <v/>
      </c>
      <c r="E55" s="447">
        <f>审定报表!C240</f>
        <v>0</v>
      </c>
      <c r="F55" s="124" t="str">
        <f t="shared" si="5"/>
        <v/>
      </c>
      <c r="G55" s="447">
        <f t="shared" si="1"/>
        <v>0</v>
      </c>
      <c r="H55" s="186" t="str">
        <f t="shared" si="2"/>
        <v/>
      </c>
      <c r="I55" s="187" t="str">
        <f>IF(H55="","",IF(OR(ABS(H55)&gt;=30%,ABS(G55)&gt;=已审BS分析!$E$127*5%,ABS(G55)&gt;=$E$42*10%),"显著",IF(ABS(H55)&gt;=10%,"关注","")))</f>
        <v/>
      </c>
      <c r="J55" s="961"/>
      <c r="K55" s="915" t="str">
        <f t="shared" si="3"/>
        <v/>
      </c>
      <c r="L55" s="914" t="str">
        <f t="shared" si="4"/>
        <v/>
      </c>
      <c r="M55" s="964"/>
    </row>
    <row r="56" spans="1:13" s="85" customFormat="1" ht="13.95" customHeight="1">
      <c r="A56" s="945" t="str">
        <f>报表格式!H54</f>
        <v>五、其他综合收益的税后净额</v>
      </c>
      <c r="B56" s="86">
        <f>报表格式!I54</f>
        <v>50</v>
      </c>
      <c r="C56" s="950">
        <f>审定报表!D241</f>
        <v>0</v>
      </c>
      <c r="D56" s="124" t="str">
        <f t="shared" si="0"/>
        <v/>
      </c>
      <c r="E56" s="447">
        <f>审定报表!C241</f>
        <v>0</v>
      </c>
      <c r="F56" s="124" t="str">
        <f t="shared" si="5"/>
        <v/>
      </c>
      <c r="G56" s="447">
        <f t="shared" si="1"/>
        <v>0</v>
      </c>
      <c r="H56" s="186" t="str">
        <f t="shared" si="2"/>
        <v/>
      </c>
      <c r="I56" s="187" t="str">
        <f>IF(H56="","",IF(OR(ABS(H56)&gt;=30%,ABS(G56)&gt;=已审BS分析!$E$127*5%,ABS(G56)&gt;=$E$42*10%),"显著",IF(ABS(H56)&gt;=10%,"关注","")))</f>
        <v/>
      </c>
      <c r="J56" s="961"/>
      <c r="K56" s="915" t="str">
        <f t="shared" si="3"/>
        <v/>
      </c>
      <c r="L56" s="914" t="str">
        <f t="shared" si="4"/>
        <v/>
      </c>
      <c r="M56" s="964"/>
    </row>
    <row r="57" spans="1:13" s="85" customFormat="1" ht="13.95" customHeight="1">
      <c r="A57" s="945" t="str">
        <f>报表格式!H55</f>
        <v>归属于母公司所有者（或股东）的其他综合收益的税后净额</v>
      </c>
      <c r="B57" s="86">
        <f>报表格式!I55</f>
        <v>51</v>
      </c>
      <c r="C57" s="950">
        <f>审定报表!D242</f>
        <v>0</v>
      </c>
      <c r="D57" s="124" t="str">
        <f t="shared" si="0"/>
        <v/>
      </c>
      <c r="E57" s="447">
        <f>审定报表!C242</f>
        <v>0</v>
      </c>
      <c r="F57" s="124" t="str">
        <f t="shared" si="5"/>
        <v/>
      </c>
      <c r="G57" s="447">
        <f t="shared" si="1"/>
        <v>0</v>
      </c>
      <c r="H57" s="186" t="str">
        <f t="shared" si="2"/>
        <v/>
      </c>
      <c r="I57" s="187" t="str">
        <f>IF(H57="","",IF(OR(ABS(H57)&gt;=30%,ABS(G57)&gt;=已审BS分析!$E$127*5%,ABS(G57)&gt;=$E$42*10%),"显著",IF(ABS(H57)&gt;=10%,"关注","")))</f>
        <v/>
      </c>
      <c r="J57" s="961"/>
      <c r="K57" s="915" t="str">
        <f t="shared" si="3"/>
        <v/>
      </c>
      <c r="L57" s="914" t="str">
        <f t="shared" si="4"/>
        <v/>
      </c>
      <c r="M57" s="964"/>
    </row>
    <row r="58" spans="1:13" s="85" customFormat="1" ht="13.95" customHeight="1">
      <c r="A58" s="945" t="str">
        <f>报表格式!H56</f>
        <v xml:space="preserve">  （一）不能重分类进损益的其他综合收益</v>
      </c>
      <c r="B58" s="86">
        <f>报表格式!I56</f>
        <v>52</v>
      </c>
      <c r="C58" s="950">
        <f>审定报表!D243</f>
        <v>0</v>
      </c>
      <c r="D58" s="124" t="str">
        <f t="shared" si="0"/>
        <v/>
      </c>
      <c r="E58" s="447">
        <f>审定报表!C243</f>
        <v>0</v>
      </c>
      <c r="F58" s="124" t="str">
        <f t="shared" si="5"/>
        <v/>
      </c>
      <c r="G58" s="447">
        <f t="shared" si="1"/>
        <v>0</v>
      </c>
      <c r="H58" s="186" t="str">
        <f t="shared" si="2"/>
        <v/>
      </c>
      <c r="I58" s="187" t="str">
        <f>IF(H58="","",IF(OR(ABS(H58)&gt;=30%,ABS(G58)&gt;=已审BS分析!$E$127*5%,ABS(G58)&gt;=$E$42*10%),"显著",IF(ABS(H58)&gt;=10%,"关注","")))</f>
        <v/>
      </c>
      <c r="J58" s="961"/>
      <c r="K58" s="915" t="str">
        <f t="shared" si="3"/>
        <v/>
      </c>
      <c r="L58" s="914" t="str">
        <f t="shared" si="4"/>
        <v/>
      </c>
      <c r="M58" s="964"/>
    </row>
    <row r="59" spans="1:13" s="85" customFormat="1" ht="13.95" customHeight="1">
      <c r="A59" s="945" t="str">
        <f>报表格式!H57</f>
        <v>1.重新计量设定受益计划变动额</v>
      </c>
      <c r="B59" s="86">
        <f>报表格式!I57</f>
        <v>53</v>
      </c>
      <c r="C59" s="950">
        <f>审定报表!D244</f>
        <v>0</v>
      </c>
      <c r="D59" s="124" t="str">
        <f t="shared" si="0"/>
        <v/>
      </c>
      <c r="E59" s="447">
        <f>审定报表!C244</f>
        <v>0</v>
      </c>
      <c r="F59" s="124" t="str">
        <f t="shared" si="5"/>
        <v/>
      </c>
      <c r="G59" s="447">
        <f t="shared" si="1"/>
        <v>0</v>
      </c>
      <c r="H59" s="186" t="str">
        <f t="shared" si="2"/>
        <v/>
      </c>
      <c r="I59" s="187" t="str">
        <f>IF(H59="","",IF(OR(ABS(H59)&gt;=30%,ABS(G59)&gt;=已审BS分析!$E$127*5%,ABS(G59)&gt;=$E$42*10%),"显著",IF(ABS(H59)&gt;=10%,"关注","")))</f>
        <v/>
      </c>
      <c r="J59" s="961"/>
      <c r="K59" s="915" t="str">
        <f t="shared" si="3"/>
        <v/>
      </c>
      <c r="L59" s="914" t="str">
        <f t="shared" si="4"/>
        <v/>
      </c>
      <c r="M59" s="964"/>
    </row>
    <row r="60" spans="1:13" ht="13.95" customHeight="1">
      <c r="A60" s="945" t="str">
        <f>报表格式!H58</f>
        <v>2.权益法下不能转损益的其他综合收益</v>
      </c>
      <c r="B60" s="86">
        <f>报表格式!I58</f>
        <v>54</v>
      </c>
      <c r="C60" s="950">
        <f>审定报表!D245</f>
        <v>0</v>
      </c>
      <c r="D60" s="124" t="str">
        <f t="shared" si="0"/>
        <v/>
      </c>
      <c r="E60" s="447">
        <f>审定报表!C245</f>
        <v>0</v>
      </c>
      <c r="F60" s="124" t="str">
        <f t="shared" si="5"/>
        <v/>
      </c>
      <c r="G60" s="447">
        <f t="shared" si="1"/>
        <v>0</v>
      </c>
      <c r="H60" s="186" t="str">
        <f t="shared" si="2"/>
        <v/>
      </c>
      <c r="I60" s="187" t="str">
        <f>IF(H60="","",IF(OR(ABS(H60)&gt;=30%,ABS(G60)&gt;=已审BS分析!$E$127*5%,ABS(G60)&gt;=$E$42*10%),"显著",IF(ABS(H60)&gt;=10%,"关注","")))</f>
        <v/>
      </c>
      <c r="J60" s="963"/>
      <c r="K60" s="915" t="str">
        <f t="shared" si="3"/>
        <v/>
      </c>
      <c r="L60" s="914" t="str">
        <f t="shared" si="4"/>
        <v/>
      </c>
      <c r="M60" s="965"/>
    </row>
    <row r="61" spans="1:13" ht="13.95" customHeight="1">
      <c r="A61" s="945" t="str">
        <f>报表格式!H59</f>
        <v xml:space="preserve">3.其他权益工具投资公允价值变动 </v>
      </c>
      <c r="B61" s="86">
        <f>报表格式!I59</f>
        <v>55</v>
      </c>
      <c r="C61" s="950">
        <f>审定报表!D246</f>
        <v>0</v>
      </c>
      <c r="D61" s="124" t="str">
        <f t="shared" si="0"/>
        <v/>
      </c>
      <c r="E61" s="447">
        <f>审定报表!C246</f>
        <v>0</v>
      </c>
      <c r="F61" s="124" t="str">
        <f t="shared" si="5"/>
        <v/>
      </c>
      <c r="G61" s="447">
        <f t="shared" si="1"/>
        <v>0</v>
      </c>
      <c r="H61" s="186" t="str">
        <f t="shared" si="2"/>
        <v/>
      </c>
      <c r="I61" s="187" t="str">
        <f>IF(H61="","",IF(OR(ABS(H61)&gt;=30%,ABS(G61)&gt;=已审BS分析!$E$127*5%,ABS(G61)&gt;=$E$42*10%),"显著",IF(ABS(H61)&gt;=10%,"关注","")))</f>
        <v/>
      </c>
      <c r="J61" s="963"/>
      <c r="K61" s="915" t="str">
        <f t="shared" si="3"/>
        <v/>
      </c>
      <c r="L61" s="914" t="str">
        <f t="shared" si="4"/>
        <v/>
      </c>
      <c r="M61" s="965"/>
    </row>
    <row r="62" spans="1:13" ht="13.95" customHeight="1">
      <c r="A62" s="945" t="str">
        <f>报表格式!H60</f>
        <v xml:space="preserve">4.企业自身信用风险公允价值变动 </v>
      </c>
      <c r="B62" s="86">
        <f>报表格式!I60</f>
        <v>56</v>
      </c>
      <c r="C62" s="950">
        <f>审定报表!D247</f>
        <v>0</v>
      </c>
      <c r="D62" s="124" t="str">
        <f t="shared" si="0"/>
        <v/>
      </c>
      <c r="E62" s="447">
        <f>审定报表!C247</f>
        <v>0</v>
      </c>
      <c r="F62" s="124" t="str">
        <f t="shared" si="5"/>
        <v/>
      </c>
      <c r="G62" s="447">
        <f t="shared" si="1"/>
        <v>0</v>
      </c>
      <c r="H62" s="186" t="str">
        <f t="shared" si="2"/>
        <v/>
      </c>
      <c r="I62" s="187" t="str">
        <f>IF(H62="","",IF(OR(ABS(H62)&gt;=30%,ABS(G62)&gt;=已审BS分析!$E$127*5%,ABS(G62)&gt;=$E$42*10%),"显著",IF(ABS(H62)&gt;=10%,"关注","")))</f>
        <v/>
      </c>
      <c r="J62" s="963"/>
      <c r="K62" s="915" t="str">
        <f t="shared" si="3"/>
        <v/>
      </c>
      <c r="L62" s="914" t="str">
        <f t="shared" si="4"/>
        <v/>
      </c>
      <c r="M62" s="965"/>
    </row>
    <row r="63" spans="1:13" ht="13.95" customHeight="1">
      <c r="A63" s="945" t="str">
        <f>报表格式!H61</f>
        <v>5.其他</v>
      </c>
      <c r="B63" s="86">
        <f>报表格式!I61</f>
        <v>57</v>
      </c>
      <c r="C63" s="950">
        <f>审定报表!D248</f>
        <v>0</v>
      </c>
      <c r="D63" s="124" t="str">
        <f t="shared" si="0"/>
        <v/>
      </c>
      <c r="E63" s="447">
        <f>审定报表!C248</f>
        <v>0</v>
      </c>
      <c r="F63" s="124" t="str">
        <f t="shared" si="5"/>
        <v/>
      </c>
      <c r="G63" s="447">
        <f t="shared" si="1"/>
        <v>0</v>
      </c>
      <c r="H63" s="186" t="str">
        <f t="shared" si="2"/>
        <v/>
      </c>
      <c r="I63" s="187" t="str">
        <f>IF(H63="","",IF(OR(ABS(H63)&gt;=30%,ABS(G63)&gt;=已审BS分析!$E$127*5%,ABS(G63)&gt;=$E$42*10%),"显著",IF(ABS(H63)&gt;=10%,"关注","")))</f>
        <v/>
      </c>
      <c r="J63" s="963"/>
      <c r="K63" s="915" t="str">
        <f t="shared" si="3"/>
        <v/>
      </c>
      <c r="L63" s="914" t="str">
        <f t="shared" si="4"/>
        <v/>
      </c>
      <c r="M63" s="965"/>
    </row>
    <row r="64" spans="1:13" ht="13.95" customHeight="1">
      <c r="A64" s="945" t="str">
        <f>报表格式!H62</f>
        <v xml:space="preserve">  （二）将重分类进损益的其他综合收益</v>
      </c>
      <c r="B64" s="86">
        <f>报表格式!I62</f>
        <v>58</v>
      </c>
      <c r="C64" s="950">
        <f>审定报表!D249</f>
        <v>0</v>
      </c>
      <c r="D64" s="124" t="str">
        <f t="shared" si="0"/>
        <v/>
      </c>
      <c r="E64" s="447">
        <f>审定报表!C249</f>
        <v>0</v>
      </c>
      <c r="F64" s="124" t="str">
        <f t="shared" si="5"/>
        <v/>
      </c>
      <c r="G64" s="447">
        <f t="shared" si="1"/>
        <v>0</v>
      </c>
      <c r="H64" s="186" t="str">
        <f t="shared" si="2"/>
        <v/>
      </c>
      <c r="I64" s="187" t="str">
        <f>IF(H64="","",IF(OR(ABS(H64)&gt;=30%,ABS(G64)&gt;=已审BS分析!$E$127*5%,ABS(G64)&gt;=$E$42*10%),"显著",IF(ABS(H64)&gt;=10%,"关注","")))</f>
        <v/>
      </c>
      <c r="J64" s="963"/>
      <c r="K64" s="915" t="str">
        <f t="shared" si="3"/>
        <v/>
      </c>
      <c r="L64" s="914" t="str">
        <f t="shared" si="4"/>
        <v/>
      </c>
      <c r="M64" s="965"/>
    </row>
    <row r="65" spans="1:13" ht="13.95" customHeight="1">
      <c r="A65" s="945" t="str">
        <f>报表格式!H63</f>
        <v>1.权益法下可转损益的其他综合收益</v>
      </c>
      <c r="B65" s="86">
        <f>报表格式!I63</f>
        <v>59</v>
      </c>
      <c r="C65" s="950">
        <f>审定报表!D250</f>
        <v>0</v>
      </c>
      <c r="D65" s="124" t="str">
        <f t="shared" si="0"/>
        <v/>
      </c>
      <c r="E65" s="447">
        <f>审定报表!C250</f>
        <v>0</v>
      </c>
      <c r="F65" s="124" t="str">
        <f t="shared" si="5"/>
        <v/>
      </c>
      <c r="G65" s="447">
        <f t="shared" si="1"/>
        <v>0</v>
      </c>
      <c r="H65" s="186" t="str">
        <f t="shared" si="2"/>
        <v/>
      </c>
      <c r="I65" s="187" t="str">
        <f>IF(H65="","",IF(OR(ABS(H65)&gt;=30%,ABS(G65)&gt;=已审BS分析!$E$127*5%,ABS(G65)&gt;=$E$42*10%),"显著",IF(ABS(H65)&gt;=10%,"关注","")))</f>
        <v/>
      </c>
      <c r="J65" s="963"/>
      <c r="K65" s="915" t="str">
        <f t="shared" si="3"/>
        <v/>
      </c>
      <c r="L65" s="914" t="str">
        <f t="shared" si="4"/>
        <v/>
      </c>
      <c r="M65" s="965"/>
    </row>
    <row r="66" spans="1:13" ht="13.95" customHeight="1">
      <c r="A66" s="945" t="str">
        <f>报表格式!H64</f>
        <v xml:space="preserve">2.其他债权投资公允价值变动 </v>
      </c>
      <c r="B66" s="86">
        <f>报表格式!I64</f>
        <v>60</v>
      </c>
      <c r="C66" s="950">
        <f>审定报表!D251</f>
        <v>0</v>
      </c>
      <c r="D66" s="124" t="str">
        <f t="shared" si="0"/>
        <v/>
      </c>
      <c r="E66" s="962">
        <f>审定报表!C251</f>
        <v>0</v>
      </c>
      <c r="F66" s="124" t="str">
        <f t="shared" si="5"/>
        <v/>
      </c>
      <c r="G66" s="447">
        <f t="shared" si="1"/>
        <v>0</v>
      </c>
      <c r="H66" s="186" t="str">
        <f t="shared" si="2"/>
        <v/>
      </c>
      <c r="I66" s="187" t="str">
        <f>IF(H66="","",IF(OR(ABS(H66)&gt;=30%,ABS(G66)&gt;=已审BS分析!$E$127*5%,ABS(G66)&gt;=$E$42*10%),"显著",IF(ABS(H66)&gt;=10%,"关注","")))</f>
        <v/>
      </c>
      <c r="J66" s="963"/>
      <c r="K66" s="915" t="str">
        <f t="shared" si="3"/>
        <v/>
      </c>
      <c r="L66" s="914" t="str">
        <f t="shared" si="4"/>
        <v/>
      </c>
      <c r="M66" s="965"/>
    </row>
    <row r="67" spans="1:13" ht="13.95" customHeight="1">
      <c r="A67" s="945" t="str">
        <f>报表格式!H65</f>
        <v xml:space="preserve">3.金融资产重分类计入其他综合收益的金额 </v>
      </c>
      <c r="B67" s="86">
        <f>报表格式!I65</f>
        <v>61</v>
      </c>
      <c r="C67" s="950">
        <f>审定报表!D252</f>
        <v>0</v>
      </c>
      <c r="D67" s="124" t="str">
        <f t="shared" si="0"/>
        <v/>
      </c>
      <c r="E67" s="962">
        <f>审定报表!C252</f>
        <v>0</v>
      </c>
      <c r="F67" s="124" t="str">
        <f t="shared" si="5"/>
        <v/>
      </c>
      <c r="G67" s="447">
        <f t="shared" si="1"/>
        <v>0</v>
      </c>
      <c r="H67" s="186" t="str">
        <f t="shared" si="2"/>
        <v/>
      </c>
      <c r="I67" s="187" t="str">
        <f>IF(H67="","",IF(OR(ABS(H67)&gt;=30%,ABS(G67)&gt;=已审BS分析!$E$127*5%,ABS(G67)&gt;=$E$42*10%),"显著",IF(ABS(H67)&gt;=10%,"关注","")))</f>
        <v/>
      </c>
      <c r="J67" s="963"/>
      <c r="K67" s="915" t="str">
        <f t="shared" si="3"/>
        <v/>
      </c>
      <c r="L67" s="914" t="str">
        <f t="shared" si="4"/>
        <v/>
      </c>
      <c r="M67" s="965"/>
    </row>
    <row r="68" spans="1:13" ht="13.95" customHeight="1">
      <c r="A68" s="945" t="str">
        <f>报表格式!H66</f>
        <v>4.其他债权投资信用减值准备</v>
      </c>
      <c r="B68" s="86">
        <f>报表格式!I66</f>
        <v>62</v>
      </c>
      <c r="C68" s="950">
        <f>审定报表!D253</f>
        <v>0</v>
      </c>
      <c r="D68" s="124" t="str">
        <f t="shared" si="0"/>
        <v/>
      </c>
      <c r="E68" s="962">
        <f>审定报表!C253</f>
        <v>0</v>
      </c>
      <c r="F68" s="124" t="str">
        <f t="shared" si="5"/>
        <v/>
      </c>
      <c r="G68" s="447">
        <f t="shared" si="1"/>
        <v>0</v>
      </c>
      <c r="H68" s="186" t="str">
        <f t="shared" si="2"/>
        <v/>
      </c>
      <c r="I68" s="187" t="str">
        <f>IF(H68="","",IF(OR(ABS(H68)&gt;=30%,ABS(G68)&gt;=已审BS分析!$E$127*5%,ABS(G68)&gt;=$E$42*10%),"显著",IF(ABS(H68)&gt;=10%,"关注","")))</f>
        <v/>
      </c>
      <c r="J68" s="963"/>
      <c r="K68" s="915" t="str">
        <f t="shared" si="3"/>
        <v/>
      </c>
      <c r="L68" s="914" t="str">
        <f t="shared" si="4"/>
        <v/>
      </c>
      <c r="M68" s="965"/>
    </row>
    <row r="69" spans="1:13" ht="13.95" customHeight="1">
      <c r="A69" s="945" t="str">
        <f>报表格式!H67</f>
        <v>5.现金流量套期储备</v>
      </c>
      <c r="B69" s="86">
        <f>报表格式!I67</f>
        <v>63</v>
      </c>
      <c r="C69" s="950">
        <f>审定报表!D254</f>
        <v>0</v>
      </c>
      <c r="D69" s="124" t="str">
        <f t="shared" si="0"/>
        <v/>
      </c>
      <c r="E69" s="962">
        <f>审定报表!C254</f>
        <v>0</v>
      </c>
      <c r="F69" s="124" t="str">
        <f t="shared" si="5"/>
        <v/>
      </c>
      <c r="G69" s="447">
        <f t="shared" si="1"/>
        <v>0</v>
      </c>
      <c r="H69" s="186" t="str">
        <f t="shared" si="2"/>
        <v/>
      </c>
      <c r="I69" s="187" t="str">
        <f>IF(H69="","",IF(OR(ABS(H69)&gt;=30%,ABS(G69)&gt;=已审BS分析!$E$127*5%,ABS(G69)&gt;=$E$42*10%),"显著",IF(ABS(H69)&gt;=10%,"关注","")))</f>
        <v/>
      </c>
      <c r="J69" s="963"/>
      <c r="K69" s="915" t="str">
        <f t="shared" si="3"/>
        <v/>
      </c>
      <c r="L69" s="914" t="str">
        <f t="shared" si="4"/>
        <v/>
      </c>
      <c r="M69" s="965"/>
    </row>
    <row r="70" spans="1:13" ht="13.95" customHeight="1">
      <c r="A70" s="945" t="str">
        <f>报表格式!H68</f>
        <v>6.外币财务报表折算差额</v>
      </c>
      <c r="B70" s="86">
        <f>报表格式!I68</f>
        <v>64</v>
      </c>
      <c r="C70" s="950">
        <f>审定报表!D255</f>
        <v>0</v>
      </c>
      <c r="D70" s="124" t="str">
        <f t="shared" si="0"/>
        <v/>
      </c>
      <c r="E70" s="962">
        <f>审定报表!C255</f>
        <v>0</v>
      </c>
      <c r="F70" s="124" t="str">
        <f t="shared" si="5"/>
        <v/>
      </c>
      <c r="G70" s="447">
        <f t="shared" si="1"/>
        <v>0</v>
      </c>
      <c r="H70" s="186" t="str">
        <f t="shared" si="2"/>
        <v/>
      </c>
      <c r="I70" s="187" t="str">
        <f>IF(H70="","",IF(OR(ABS(H70)&gt;=30%,ABS(G70)&gt;=已审BS分析!$E$127*5%,ABS(G70)&gt;=$E$42*10%),"显著",IF(ABS(H70)&gt;=10%,"关注","")))</f>
        <v/>
      </c>
      <c r="J70" s="963"/>
      <c r="K70" s="915" t="str">
        <f t="shared" si="3"/>
        <v/>
      </c>
      <c r="L70" s="914" t="str">
        <f t="shared" si="4"/>
        <v/>
      </c>
      <c r="M70" s="965"/>
    </row>
    <row r="71" spans="1:13" ht="13.95" customHeight="1">
      <c r="A71" s="945" t="str">
        <f>报表格式!H69</f>
        <v>7.自用房地产或作为存货的房地产转换为以公允价值计量的投资性房地产在转换日公允价值大于账面价值部分</v>
      </c>
      <c r="B71" s="86">
        <f>报表格式!I69</f>
        <v>65</v>
      </c>
      <c r="C71" s="950">
        <f>审定报表!D256</f>
        <v>0</v>
      </c>
      <c r="D71" s="124" t="str">
        <f t="shared" si="0"/>
        <v/>
      </c>
      <c r="E71" s="962">
        <f>审定报表!C256</f>
        <v>0</v>
      </c>
      <c r="F71" s="124" t="str">
        <f t="shared" si="5"/>
        <v/>
      </c>
      <c r="G71" s="447">
        <f t="shared" si="1"/>
        <v>0</v>
      </c>
      <c r="H71" s="186" t="str">
        <f t="shared" si="2"/>
        <v/>
      </c>
      <c r="I71" s="187" t="str">
        <f>IF(H71="","",IF(OR(ABS(H71)&gt;=30%,ABS(G71)&gt;=已审BS分析!$E$127*5%,ABS(G71)&gt;=$E$42*10%),"显著",IF(ABS(H71)&gt;=10%,"关注","")))</f>
        <v/>
      </c>
      <c r="J71" s="963"/>
      <c r="K71" s="915" t="str">
        <f t="shared" si="3"/>
        <v/>
      </c>
      <c r="L71" s="914" t="str">
        <f t="shared" si="4"/>
        <v/>
      </c>
      <c r="M71" s="965"/>
    </row>
    <row r="72" spans="1:13" ht="13.95" customHeight="1">
      <c r="A72" s="945" t="str">
        <f>报表格式!H70</f>
        <v>8.多次交易分步处置子公司股权构成一揽子交易的，丧失控制权之前各次交易处置价款与对应净资产账面价值份额的差额</v>
      </c>
      <c r="B72" s="86">
        <f>报表格式!I70</f>
        <v>66</v>
      </c>
      <c r="C72" s="950">
        <f>审定报表!D257</f>
        <v>0</v>
      </c>
      <c r="D72" s="124" t="str">
        <f t="shared" ref="D72:D92" si="6">IF(AND(C72&lt;&gt;0,$C$7&lt;&gt;0),C72/$C$7,"")</f>
        <v/>
      </c>
      <c r="E72" s="962">
        <f>审定报表!C257</f>
        <v>0</v>
      </c>
      <c r="F72" s="124" t="str">
        <f t="shared" si="5"/>
        <v/>
      </c>
      <c r="G72" s="447">
        <f t="shared" ref="G72:G92" si="7">E72-C72</f>
        <v>0</v>
      </c>
      <c r="H72" s="186" t="str">
        <f t="shared" ref="H72:H92" si="8">IF(AND(C72=0,E72=0),"",IF(C72=0,100%,IF(E72=0,-100%,G72/C72)))</f>
        <v/>
      </c>
      <c r="I72" s="187" t="str">
        <f>IF(H72="","",IF(OR(ABS(H72)&gt;=30%,ABS(G72)&gt;=已审BS分析!$E$127*5%,ABS(G72)&gt;=$E$42*10%),"显著",IF(ABS(H72)&gt;=10%,"关注","")))</f>
        <v/>
      </c>
      <c r="J72" s="963"/>
      <c r="K72" s="915" t="str">
        <f t="shared" ref="K72:K92" si="9">IF(AND(D72="",F72=""),"",IF(D72="",F72,IF(F72="",-D72,F72-D72)))</f>
        <v/>
      </c>
      <c r="L72" s="914" t="str">
        <f t="shared" ref="L72:L92" si="10">IF(K72="","",IF(ABS(K72)&gt;=30%,"显著",IF(ABS(K72)&gt;=10%,"关注","")))</f>
        <v/>
      </c>
      <c r="M72" s="965"/>
    </row>
    <row r="73" spans="1:13" ht="13.95" customHeight="1">
      <c r="A73" s="945" t="str">
        <f>报表格式!H71</f>
        <v>9.其他</v>
      </c>
      <c r="B73" s="86">
        <f>报表格式!I71</f>
        <v>67</v>
      </c>
      <c r="C73" s="950">
        <f>审定报表!D258</f>
        <v>0</v>
      </c>
      <c r="D73" s="124" t="str">
        <f t="shared" si="6"/>
        <v/>
      </c>
      <c r="E73" s="962">
        <f>审定报表!C258</f>
        <v>0</v>
      </c>
      <c r="F73" s="124" t="str">
        <f t="shared" ref="F73:F92" si="11">IF(AND(E73&lt;&gt;0,$E$7&lt;&gt;0),E73/$E$7,"")</f>
        <v/>
      </c>
      <c r="G73" s="447">
        <f t="shared" si="7"/>
        <v>0</v>
      </c>
      <c r="H73" s="186" t="str">
        <f t="shared" si="8"/>
        <v/>
      </c>
      <c r="I73" s="187" t="str">
        <f>IF(H73="","",IF(OR(ABS(H73)&gt;=30%,ABS(G73)&gt;=已审BS分析!$E$127*5%,ABS(G73)&gt;=$E$42*10%),"显著",IF(ABS(H73)&gt;=10%,"关注","")))</f>
        <v/>
      </c>
      <c r="J73" s="963"/>
      <c r="K73" s="915" t="str">
        <f t="shared" si="9"/>
        <v/>
      </c>
      <c r="L73" s="914" t="str">
        <f t="shared" si="10"/>
        <v/>
      </c>
      <c r="M73" s="965"/>
    </row>
    <row r="74" spans="1:13" ht="13.95" customHeight="1">
      <c r="A74" s="945" t="str">
        <f>报表格式!H72</f>
        <v>归属于少数股东的其他综合收益的税后净额</v>
      </c>
      <c r="B74" s="86">
        <f>报表格式!I72</f>
        <v>68</v>
      </c>
      <c r="C74" s="950">
        <f>审定报表!D259</f>
        <v>0</v>
      </c>
      <c r="D74" s="124" t="str">
        <f t="shared" si="6"/>
        <v/>
      </c>
      <c r="E74" s="957">
        <f>审定报表!C259</f>
        <v>0</v>
      </c>
      <c r="F74" s="124" t="str">
        <f t="shared" si="11"/>
        <v/>
      </c>
      <c r="G74" s="447">
        <f t="shared" si="7"/>
        <v>0</v>
      </c>
      <c r="H74" s="186" t="str">
        <f t="shared" si="8"/>
        <v/>
      </c>
      <c r="I74" s="187" t="str">
        <f>IF(H74="","",IF(OR(ABS(H74)&gt;=30%,ABS(G74)&gt;=已审BS分析!$E$127*5%,ABS(G74)&gt;=$E$42*10%),"显著",IF(ABS(H74)&gt;=10%,"关注","")))</f>
        <v/>
      </c>
      <c r="J74" s="963"/>
      <c r="K74" s="915" t="str">
        <f t="shared" si="9"/>
        <v/>
      </c>
      <c r="L74" s="914" t="str">
        <f t="shared" si="10"/>
        <v/>
      </c>
      <c r="M74" s="965"/>
    </row>
    <row r="75" spans="1:13" ht="13.95" customHeight="1">
      <c r="A75" s="945" t="str">
        <f>报表格式!H73</f>
        <v>六、综合收益总额</v>
      </c>
      <c r="B75" s="86">
        <f>报表格式!I73</f>
        <v>69</v>
      </c>
      <c r="C75" s="950">
        <f>审定报表!D260</f>
        <v>21221252.780000001</v>
      </c>
      <c r="D75" s="124">
        <f t="shared" si="6"/>
        <v>0.92345241182213933</v>
      </c>
      <c r="E75" s="957">
        <f>审定报表!C260</f>
        <v>32177359.109999999</v>
      </c>
      <c r="F75" s="124">
        <f t="shared" si="11"/>
        <v>0.90243306192490025</v>
      </c>
      <c r="G75" s="447">
        <f t="shared" si="7"/>
        <v>10956106.329999998</v>
      </c>
      <c r="H75" s="186">
        <f t="shared" si="8"/>
        <v>0.51627990315093908</v>
      </c>
      <c r="I75" s="187" t="str">
        <f>IF(H75="","",IF(OR(ABS(H75)&gt;=30%,ABS(G75)&gt;=已审BS分析!$E$127*5%,ABS(G75)&gt;=$E$42*10%),"显著",IF(ABS(H75)&gt;=10%,"关注","")))</f>
        <v>显著</v>
      </c>
      <c r="J75" s="963"/>
      <c r="K75" s="915">
        <f t="shared" si="9"/>
        <v>-2.1019349897239081E-2</v>
      </c>
      <c r="L75" s="914" t="str">
        <f t="shared" si="10"/>
        <v/>
      </c>
      <c r="M75" s="965"/>
    </row>
    <row r="76" spans="1:13" ht="13.95" customHeight="1">
      <c r="A76" s="945" t="str">
        <f>报表格式!H74</f>
        <v xml:space="preserve">     归属于母公司所有者（或股东）的综合收益总额</v>
      </c>
      <c r="B76" s="86">
        <f>报表格式!I74</f>
        <v>70</v>
      </c>
      <c r="C76" s="950">
        <f>审定报表!D261</f>
        <v>21221252.779999997</v>
      </c>
      <c r="D76" s="124">
        <f t="shared" si="6"/>
        <v>0.92345241182213911</v>
      </c>
      <c r="E76" s="957">
        <f>审定报表!C261</f>
        <v>32177359.109999999</v>
      </c>
      <c r="F76" s="124">
        <f t="shared" si="11"/>
        <v>0.90243306192490025</v>
      </c>
      <c r="G76" s="447">
        <f t="shared" si="7"/>
        <v>10956106.330000002</v>
      </c>
      <c r="H76" s="186">
        <f t="shared" si="8"/>
        <v>0.51627990315093941</v>
      </c>
      <c r="I76" s="187" t="str">
        <f>IF(H76="","",IF(OR(ABS(H76)&gt;=30%,ABS(G76)&gt;=已审BS分析!$E$127*5%,ABS(G76)&gt;=$E$42*10%),"显著",IF(ABS(H76)&gt;=10%,"关注","")))</f>
        <v>显著</v>
      </c>
      <c r="J76" s="963"/>
      <c r="K76" s="915">
        <f t="shared" si="9"/>
        <v>-2.1019349897238859E-2</v>
      </c>
      <c r="L76" s="914" t="str">
        <f t="shared" si="10"/>
        <v/>
      </c>
      <c r="M76" s="965"/>
    </row>
    <row r="77" spans="1:13" ht="13.95" customHeight="1">
      <c r="A77" s="945" t="str">
        <f>报表格式!H75</f>
        <v xml:space="preserve">     归属于少数股东的综合收益总额</v>
      </c>
      <c r="B77" s="86">
        <f>报表格式!I75</f>
        <v>71</v>
      </c>
      <c r="C77" s="950">
        <f>审定报表!D262</f>
        <v>0</v>
      </c>
      <c r="D77" s="124" t="str">
        <f t="shared" si="6"/>
        <v/>
      </c>
      <c r="E77" s="957">
        <f>审定报表!C262</f>
        <v>0</v>
      </c>
      <c r="F77" s="124" t="str">
        <f t="shared" si="11"/>
        <v/>
      </c>
      <c r="G77" s="447">
        <f t="shared" si="7"/>
        <v>0</v>
      </c>
      <c r="H77" s="186" t="str">
        <f t="shared" si="8"/>
        <v/>
      </c>
      <c r="I77" s="187" t="str">
        <f>IF(H77="","",IF(OR(ABS(H77)&gt;=30%,ABS(G77)&gt;=已审BS分析!$E$127*5%,ABS(G77)&gt;=$E$42*10%),"显著",IF(ABS(H77)&gt;=10%,"关注","")))</f>
        <v/>
      </c>
      <c r="J77" s="963"/>
      <c r="K77" s="915" t="str">
        <f t="shared" si="9"/>
        <v/>
      </c>
      <c r="L77" s="914" t="str">
        <f t="shared" si="10"/>
        <v/>
      </c>
      <c r="M77" s="965"/>
    </row>
    <row r="78" spans="1:13" ht="13.95" customHeight="1">
      <c r="A78" s="945" t="str">
        <f>报表格式!H76</f>
        <v>七、每股收益</v>
      </c>
      <c r="B78" s="86">
        <f>报表格式!I76</f>
        <v>72</v>
      </c>
      <c r="C78" s="950">
        <f>审定报表!D263</f>
        <v>0</v>
      </c>
      <c r="D78" s="124" t="str">
        <f t="shared" si="6"/>
        <v/>
      </c>
      <c r="E78" s="957">
        <f>审定报表!C263</f>
        <v>0</v>
      </c>
      <c r="F78" s="124" t="str">
        <f t="shared" si="11"/>
        <v/>
      </c>
      <c r="G78" s="957">
        <f t="shared" si="7"/>
        <v>0</v>
      </c>
      <c r="H78" s="124" t="str">
        <f t="shared" si="8"/>
        <v/>
      </c>
      <c r="I78" s="124" t="str">
        <f>IF(H78="","",IF(OR(ABS(H78)&gt;=30%,ABS(G78)&gt;=已审BS分析!$E$127*5%,ABS(G78)&gt;=$E$42*10%),"显著",IF(ABS(H78)&gt;=10%,"关注","")))</f>
        <v/>
      </c>
      <c r="J78" s="124"/>
      <c r="K78" s="124" t="str">
        <f t="shared" si="9"/>
        <v/>
      </c>
      <c r="L78" s="124" t="str">
        <f t="shared" si="10"/>
        <v/>
      </c>
      <c r="M78" s="966"/>
    </row>
    <row r="79" spans="1:13" ht="13.95" customHeight="1">
      <c r="A79" s="945" t="str">
        <f>报表格式!H77</f>
        <v xml:space="preserve">   （一）基本每股收益</v>
      </c>
      <c r="B79" s="86">
        <f>报表格式!I77</f>
        <v>73</v>
      </c>
      <c r="C79" s="950">
        <f>审定报表!D264</f>
        <v>0</v>
      </c>
      <c r="D79" s="124" t="str">
        <f t="shared" si="6"/>
        <v/>
      </c>
      <c r="E79" s="957">
        <f>审定报表!C264</f>
        <v>0</v>
      </c>
      <c r="F79" s="124" t="str">
        <f t="shared" si="11"/>
        <v/>
      </c>
      <c r="G79" s="957">
        <f t="shared" si="7"/>
        <v>0</v>
      </c>
      <c r="H79" s="124" t="str">
        <f t="shared" si="8"/>
        <v/>
      </c>
      <c r="I79" s="124" t="str">
        <f>IF(H79="","",IF(OR(ABS(H79)&gt;=30%,ABS(G79)&gt;=已审BS分析!$E$127*5%,ABS(G79)&gt;=$E$42*10%),"显著",IF(ABS(H79)&gt;=10%,"关注","")))</f>
        <v/>
      </c>
      <c r="J79" s="124"/>
      <c r="K79" s="124" t="str">
        <f t="shared" si="9"/>
        <v/>
      </c>
      <c r="L79" s="124" t="str">
        <f t="shared" si="10"/>
        <v/>
      </c>
      <c r="M79" s="966"/>
    </row>
    <row r="80" spans="1:13" ht="13.95" customHeight="1">
      <c r="A80" s="945" t="str">
        <f>报表格式!H78</f>
        <v xml:space="preserve">   （二）稀释每股收益</v>
      </c>
      <c r="B80" s="86">
        <f>报表格式!I78</f>
        <v>74</v>
      </c>
      <c r="C80" s="950">
        <f>审定报表!D265</f>
        <v>0</v>
      </c>
      <c r="D80" s="124" t="str">
        <f t="shared" si="6"/>
        <v/>
      </c>
      <c r="E80" s="957">
        <f>审定报表!C265</f>
        <v>0</v>
      </c>
      <c r="F80" s="124" t="str">
        <f t="shared" si="11"/>
        <v/>
      </c>
      <c r="G80" s="957">
        <f t="shared" si="7"/>
        <v>0</v>
      </c>
      <c r="H80" s="124" t="str">
        <f t="shared" si="8"/>
        <v/>
      </c>
      <c r="I80" s="124" t="str">
        <f>IF(H80="","",IF(OR(ABS(H80)&gt;=30%,ABS(G80)&gt;=已审BS分析!$E$127*5%,ABS(G80)&gt;=$E$42*10%),"显著",IF(ABS(H80)&gt;=10%,"关注","")))</f>
        <v/>
      </c>
      <c r="J80" s="124"/>
      <c r="K80" s="124" t="str">
        <f t="shared" si="9"/>
        <v/>
      </c>
      <c r="L80" s="124" t="str">
        <f t="shared" si="10"/>
        <v/>
      </c>
      <c r="M80" s="966"/>
    </row>
    <row r="81" spans="1:13" ht="13.95" customHeight="1">
      <c r="A81" s="945" t="str">
        <f>报表格式!H79</f>
        <v>加：年初未分配利润</v>
      </c>
      <c r="B81" s="86">
        <f>报表格式!I79</f>
        <v>75</v>
      </c>
      <c r="C81" s="950">
        <f>审定报表!D266</f>
        <v>2588996.5500000003</v>
      </c>
      <c r="D81" s="124">
        <f t="shared" si="6"/>
        <v>0.11266135572118179</v>
      </c>
      <c r="E81" s="957">
        <f>审定报表!C266</f>
        <v>8163964.6899999976</v>
      </c>
      <c r="F81" s="124">
        <f t="shared" si="11"/>
        <v>0.22896321688357063</v>
      </c>
      <c r="G81" s="957">
        <f t="shared" si="7"/>
        <v>5574968.1399999969</v>
      </c>
      <c r="H81" s="124">
        <f t="shared" si="8"/>
        <v>2.1533316218594405</v>
      </c>
      <c r="I81" s="124" t="str">
        <f>IF(H81="","",IF(OR(ABS(H81)&gt;=30%,ABS(G81)&gt;=已审BS分析!$E$127*5%,ABS(G81)&gt;=$E$42*10%),"显著",IF(ABS(H81)&gt;=10%,"关注","")))</f>
        <v>显著</v>
      </c>
      <c r="J81" s="124"/>
      <c r="K81" s="124">
        <f t="shared" si="9"/>
        <v>0.11630186116238884</v>
      </c>
      <c r="L81" s="124" t="str">
        <f t="shared" si="10"/>
        <v>关注</v>
      </c>
      <c r="M81" s="966"/>
    </row>
    <row r="82" spans="1:13" ht="13.95" customHeight="1">
      <c r="A82" s="945" t="str">
        <f>报表格式!H80</f>
        <v>八、可供分配利润</v>
      </c>
      <c r="B82" s="86">
        <f>报表格式!I80</f>
        <v>76</v>
      </c>
      <c r="C82" s="950">
        <f>审定报表!D267</f>
        <v>23810249.329999998</v>
      </c>
      <c r="D82" s="124">
        <f t="shared" si="6"/>
        <v>1.036113767543321</v>
      </c>
      <c r="E82" s="957">
        <f>审定报表!C267</f>
        <v>40341323.799999997</v>
      </c>
      <c r="F82" s="124">
        <f t="shared" si="11"/>
        <v>1.1313962788084708</v>
      </c>
      <c r="G82" s="957">
        <f t="shared" si="7"/>
        <v>16531074.469999999</v>
      </c>
      <c r="H82" s="124">
        <f t="shared" si="8"/>
        <v>0.69428397161601663</v>
      </c>
      <c r="I82" s="124" t="str">
        <f>IF(H82="","",IF(OR(ABS(H82)&gt;=30%,ABS(G82)&gt;=已审BS分析!$E$127*5%,ABS(G82)&gt;=$E$42*10%),"显著",IF(ABS(H82)&gt;=10%,"关注","")))</f>
        <v>显著</v>
      </c>
      <c r="J82" s="124"/>
      <c r="K82" s="124">
        <f t="shared" si="9"/>
        <v>9.5282511265149861E-2</v>
      </c>
      <c r="L82" s="124" t="str">
        <f t="shared" si="10"/>
        <v/>
      </c>
      <c r="M82" s="966"/>
    </row>
    <row r="83" spans="1:13" ht="13.95" customHeight="1">
      <c r="A83" s="945" t="str">
        <f>报表格式!H81</f>
        <v xml:space="preserve">    1、提取法定盈余公积</v>
      </c>
      <c r="B83" s="86">
        <f>报表格式!I81</f>
        <v>77</v>
      </c>
      <c r="C83" s="950">
        <f>审定报表!D268</f>
        <v>907107.19</v>
      </c>
      <c r="D83" s="124">
        <f t="shared" si="6"/>
        <v>3.9473179603051856E-2</v>
      </c>
      <c r="E83" s="957">
        <f>审定报表!C268</f>
        <v>3217735.91</v>
      </c>
      <c r="F83" s="124">
        <f t="shared" si="11"/>
        <v>9.024330616444444E-2</v>
      </c>
      <c r="G83" s="957">
        <f t="shared" si="7"/>
        <v>2310628.7200000002</v>
      </c>
      <c r="H83" s="124">
        <f t="shared" si="8"/>
        <v>2.5472499231320174</v>
      </c>
      <c r="I83" s="124" t="str">
        <f>IF(H83="","",IF(OR(ABS(H83)&gt;=30%,ABS(G83)&gt;=已审BS分析!$E$127*5%,ABS(G83)&gt;=$E$42*10%),"显著",IF(ABS(H83)&gt;=10%,"关注","")))</f>
        <v>显著</v>
      </c>
      <c r="J83" s="124"/>
      <c r="K83" s="124">
        <f t="shared" si="9"/>
        <v>5.0770126561392584E-2</v>
      </c>
      <c r="L83" s="124" t="str">
        <f t="shared" si="10"/>
        <v/>
      </c>
      <c r="M83" s="966"/>
    </row>
    <row r="84" spans="1:13" ht="13.95" customHeight="1">
      <c r="A84" s="945" t="str">
        <f>报表格式!H82</f>
        <v xml:space="preserve">    2、提取一般风险准备</v>
      </c>
      <c r="B84" s="86">
        <f>报表格式!I82</f>
        <v>78</v>
      </c>
      <c r="C84" s="950">
        <f>审定报表!D269</f>
        <v>0</v>
      </c>
      <c r="D84" s="124" t="str">
        <f t="shared" si="6"/>
        <v/>
      </c>
      <c r="E84" s="957">
        <f>审定报表!C269</f>
        <v>0</v>
      </c>
      <c r="F84" s="124" t="str">
        <f t="shared" si="11"/>
        <v/>
      </c>
      <c r="G84" s="957">
        <f t="shared" si="7"/>
        <v>0</v>
      </c>
      <c r="H84" s="124" t="str">
        <f t="shared" si="8"/>
        <v/>
      </c>
      <c r="I84" s="124" t="str">
        <f>IF(H84="","",IF(OR(ABS(H84)&gt;=30%,ABS(G84)&gt;=已审BS分析!$E$127*5%,ABS(G84)&gt;=$E$42*10%),"显著",IF(ABS(H84)&gt;=10%,"关注","")))</f>
        <v/>
      </c>
      <c r="J84" s="124"/>
      <c r="K84" s="124" t="str">
        <f t="shared" si="9"/>
        <v/>
      </c>
      <c r="L84" s="124" t="str">
        <f t="shared" si="10"/>
        <v/>
      </c>
      <c r="M84" s="966"/>
    </row>
    <row r="85" spans="1:13" ht="13.95" customHeight="1">
      <c r="A85" s="945" t="str">
        <f>报表格式!H83</f>
        <v xml:space="preserve">    3、提取其他</v>
      </c>
      <c r="B85" s="86">
        <f>报表格式!I83</f>
        <v>79</v>
      </c>
      <c r="C85" s="950">
        <f>审定报表!D270</f>
        <v>0</v>
      </c>
      <c r="D85" s="124" t="str">
        <f t="shared" si="6"/>
        <v/>
      </c>
      <c r="E85" s="957">
        <f>审定报表!C270</f>
        <v>0</v>
      </c>
      <c r="F85" s="124" t="str">
        <f t="shared" si="11"/>
        <v/>
      </c>
      <c r="G85" s="957">
        <f t="shared" si="7"/>
        <v>0</v>
      </c>
      <c r="H85" s="124" t="str">
        <f t="shared" si="8"/>
        <v/>
      </c>
      <c r="I85" s="124" t="str">
        <f>IF(H85="","",IF(OR(ABS(H85)&gt;=30%,ABS(G85)&gt;=已审BS分析!$E$127*5%,ABS(G85)&gt;=$E$42*10%),"显著",IF(ABS(H85)&gt;=10%,"关注","")))</f>
        <v/>
      </c>
      <c r="J85" s="124"/>
      <c r="K85" s="124" t="str">
        <f t="shared" si="9"/>
        <v/>
      </c>
      <c r="L85" s="124" t="str">
        <f t="shared" si="10"/>
        <v/>
      </c>
      <c r="M85" s="966"/>
    </row>
    <row r="86" spans="1:13" ht="13.95" customHeight="1">
      <c r="A86" s="945" t="str">
        <f>报表格式!H84</f>
        <v>九、可供投资者分配的利润</v>
      </c>
      <c r="B86" s="86">
        <f>报表格式!I84</f>
        <v>80</v>
      </c>
      <c r="C86" s="950">
        <f>审定报表!D271</f>
        <v>22903142.139999997</v>
      </c>
      <c r="D86" s="124">
        <f t="shared" si="6"/>
        <v>0.996640587940269</v>
      </c>
      <c r="E86" s="957">
        <f>审定报表!C271</f>
        <v>37123587.890000001</v>
      </c>
      <c r="F86" s="124">
        <f t="shared" si="11"/>
        <v>1.0411529726440265</v>
      </c>
      <c r="G86" s="957">
        <f t="shared" si="7"/>
        <v>14220445.750000004</v>
      </c>
      <c r="H86" s="124">
        <f t="shared" si="8"/>
        <v>0.6208949699161237</v>
      </c>
      <c r="I86" s="124" t="str">
        <f>IF(H86="","",IF(OR(ABS(H86)&gt;=30%,ABS(G86)&gt;=已审BS分析!$E$127*5%,ABS(G86)&gt;=$E$42*10%),"显著",IF(ABS(H86)&gt;=10%,"关注","")))</f>
        <v>显著</v>
      </c>
      <c r="J86" s="124"/>
      <c r="K86" s="124">
        <f t="shared" si="9"/>
        <v>4.4512384703757513E-2</v>
      </c>
      <c r="L86" s="124" t="str">
        <f t="shared" si="10"/>
        <v/>
      </c>
      <c r="M86" s="966"/>
    </row>
    <row r="87" spans="1:13" ht="13.95" customHeight="1">
      <c r="A87" s="945" t="str">
        <f>报表格式!H85</f>
        <v xml:space="preserve">    1、应付优先股股利</v>
      </c>
      <c r="B87" s="86">
        <f>报表格式!I85</f>
        <v>81</v>
      </c>
      <c r="C87" s="950">
        <f>审定报表!D272</f>
        <v>0</v>
      </c>
      <c r="D87" s="124" t="str">
        <f t="shared" si="6"/>
        <v/>
      </c>
      <c r="E87" s="957">
        <f>审定报表!C272</f>
        <v>0</v>
      </c>
      <c r="F87" s="124" t="str">
        <f t="shared" si="11"/>
        <v/>
      </c>
      <c r="G87" s="957">
        <f t="shared" si="7"/>
        <v>0</v>
      </c>
      <c r="H87" s="124" t="str">
        <f t="shared" si="8"/>
        <v/>
      </c>
      <c r="I87" s="124" t="str">
        <f>IF(H87="","",IF(OR(ABS(H87)&gt;=30%,ABS(G87)&gt;=已审BS分析!$E$127*5%,ABS(G87)&gt;=$E$42*10%),"显著",IF(ABS(H87)&gt;=10%,"关注","")))</f>
        <v/>
      </c>
      <c r="J87" s="124"/>
      <c r="K87" s="124" t="str">
        <f t="shared" si="9"/>
        <v/>
      </c>
      <c r="L87" s="124" t="str">
        <f t="shared" si="10"/>
        <v/>
      </c>
      <c r="M87" s="966"/>
    </row>
    <row r="88" spans="1:13" ht="13.95" customHeight="1">
      <c r="A88" s="945" t="str">
        <f>报表格式!H86</f>
        <v xml:space="preserve">    2、提取任意盈余公积</v>
      </c>
      <c r="B88" s="86">
        <f>报表格式!I86</f>
        <v>82</v>
      </c>
      <c r="C88" s="950">
        <f>审定报表!D273</f>
        <v>0</v>
      </c>
      <c r="D88" s="124" t="str">
        <f t="shared" si="6"/>
        <v/>
      </c>
      <c r="E88" s="957">
        <f>审定报表!C273</f>
        <v>0</v>
      </c>
      <c r="F88" s="124" t="str">
        <f t="shared" si="11"/>
        <v/>
      </c>
      <c r="G88" s="957">
        <f t="shared" si="7"/>
        <v>0</v>
      </c>
      <c r="H88" s="124" t="str">
        <f t="shared" si="8"/>
        <v/>
      </c>
      <c r="I88" s="124" t="str">
        <f>IF(H88="","",IF(OR(ABS(H88)&gt;=30%,ABS(G88)&gt;=已审BS分析!$E$127*5%,ABS(G88)&gt;=$E$42*10%),"显著",IF(ABS(H88)&gt;=10%,"关注","")))</f>
        <v/>
      </c>
      <c r="J88" s="124"/>
      <c r="K88" s="124" t="str">
        <f t="shared" si="9"/>
        <v/>
      </c>
      <c r="L88" s="124" t="str">
        <f t="shared" si="10"/>
        <v/>
      </c>
      <c r="M88" s="966"/>
    </row>
    <row r="89" spans="1:13" ht="13.95" customHeight="1">
      <c r="A89" s="945" t="str">
        <f>报表格式!H87</f>
        <v xml:space="preserve">    3、应付普通股股利（应付利润）</v>
      </c>
      <c r="B89" s="86">
        <f>报表格式!I87</f>
        <v>83</v>
      </c>
      <c r="C89" s="950">
        <f>审定报表!D274</f>
        <v>13971670.6</v>
      </c>
      <c r="D89" s="124">
        <f t="shared" si="6"/>
        <v>0.6079835647080245</v>
      </c>
      <c r="E89" s="957">
        <f>审定报表!C274</f>
        <v>0</v>
      </c>
      <c r="F89" s="124" t="str">
        <f t="shared" si="11"/>
        <v/>
      </c>
      <c r="G89" s="957">
        <f t="shared" si="7"/>
        <v>-13971670.6</v>
      </c>
      <c r="H89" s="124">
        <f t="shared" si="8"/>
        <v>-1</v>
      </c>
      <c r="I89" s="124" t="str">
        <f>IF(H89="","",IF(OR(ABS(H89)&gt;=30%,ABS(G89)&gt;=已审BS分析!$E$127*5%,ABS(G89)&gt;=$E$42*10%),"显著",IF(ABS(H89)&gt;=10%,"关注","")))</f>
        <v>显著</v>
      </c>
      <c r="J89" s="124"/>
      <c r="K89" s="124">
        <f t="shared" si="9"/>
        <v>-0.6079835647080245</v>
      </c>
      <c r="L89" s="124" t="str">
        <f t="shared" si="10"/>
        <v>显著</v>
      </c>
      <c r="M89" s="966"/>
    </row>
    <row r="90" spans="1:13" ht="13.95" customHeight="1">
      <c r="A90" s="945" t="str">
        <f>报表格式!H88</f>
        <v xml:space="preserve">    4、转作资本（或股本）的普通股股利</v>
      </c>
      <c r="B90" s="86">
        <f>报表格式!I88</f>
        <v>84</v>
      </c>
      <c r="C90" s="950">
        <f>审定报表!D275</f>
        <v>767506.85</v>
      </c>
      <c r="D90" s="124">
        <f t="shared" si="6"/>
        <v>3.3398407675086977E-2</v>
      </c>
      <c r="E90" s="957">
        <f>审定报表!C275</f>
        <v>0</v>
      </c>
      <c r="F90" s="124" t="str">
        <f t="shared" si="11"/>
        <v/>
      </c>
      <c r="G90" s="957">
        <f t="shared" si="7"/>
        <v>-767506.85</v>
      </c>
      <c r="H90" s="124">
        <f t="shared" si="8"/>
        <v>-1</v>
      </c>
      <c r="I90" s="124" t="str">
        <f>IF(H90="","",IF(OR(ABS(H90)&gt;=30%,ABS(G90)&gt;=已审BS分析!$E$127*5%,ABS(G90)&gt;=$E$42*10%),"显著",IF(ABS(H90)&gt;=10%,"关注","")))</f>
        <v>显著</v>
      </c>
      <c r="J90" s="124"/>
      <c r="K90" s="124">
        <f t="shared" si="9"/>
        <v>-3.3398407675086977E-2</v>
      </c>
      <c r="L90" s="124" t="str">
        <f t="shared" si="10"/>
        <v/>
      </c>
      <c r="M90" s="966"/>
    </row>
    <row r="91" spans="1:13" ht="13.95" customHeight="1">
      <c r="A91" s="945" t="str">
        <f>报表格式!H89</f>
        <v xml:space="preserve">    5、其他</v>
      </c>
      <c r="B91" s="86">
        <f>报表格式!I89</f>
        <v>85</v>
      </c>
      <c r="C91" s="950">
        <f>审定报表!D276</f>
        <v>0</v>
      </c>
      <c r="D91" s="124" t="str">
        <f t="shared" si="6"/>
        <v/>
      </c>
      <c r="E91" s="957">
        <f>审定报表!C276</f>
        <v>0</v>
      </c>
      <c r="F91" s="124" t="str">
        <f t="shared" si="11"/>
        <v/>
      </c>
      <c r="G91" s="957">
        <f t="shared" si="7"/>
        <v>0</v>
      </c>
      <c r="H91" s="124" t="str">
        <f t="shared" si="8"/>
        <v/>
      </c>
      <c r="I91" s="124" t="str">
        <f>IF(H91="","",IF(OR(ABS(H91)&gt;=30%,ABS(G91)&gt;=已审BS分析!$E$127*5%,ABS(G91)&gt;=$E$42*10%),"显著",IF(ABS(H91)&gt;=10%,"关注","")))</f>
        <v/>
      </c>
      <c r="J91" s="124"/>
      <c r="K91" s="124" t="str">
        <f t="shared" si="9"/>
        <v/>
      </c>
      <c r="L91" s="124" t="str">
        <f t="shared" si="10"/>
        <v/>
      </c>
      <c r="M91" s="966"/>
    </row>
    <row r="92" spans="1:13" ht="13.95" customHeight="1" thickBot="1">
      <c r="A92" s="946" t="str">
        <f>报表格式!H90</f>
        <v>十、未分配利润</v>
      </c>
      <c r="B92" s="463">
        <f>报表格式!I90</f>
        <v>86</v>
      </c>
      <c r="C92" s="967">
        <f>审定报表!D277</f>
        <v>8163964.6899999976</v>
      </c>
      <c r="D92" s="947">
        <f t="shared" si="6"/>
        <v>0.35525861555715754</v>
      </c>
      <c r="E92" s="968">
        <f>审定报表!C277</f>
        <v>37123587.890000001</v>
      </c>
      <c r="F92" s="947">
        <f t="shared" si="11"/>
        <v>1.0411529726440265</v>
      </c>
      <c r="G92" s="968">
        <f t="shared" si="7"/>
        <v>28959623.200000003</v>
      </c>
      <c r="H92" s="947">
        <f t="shared" si="8"/>
        <v>3.5472499330469311</v>
      </c>
      <c r="I92" s="947" t="str">
        <f>IF(H92="","",IF(OR(ABS(H92)&gt;=30%,ABS(G92)&gt;=已审BS分析!$E$127*5%,ABS(G92)&gt;=$E$42*10%),"显著",IF(ABS(H92)&gt;=10%,"关注","")))</f>
        <v>显著</v>
      </c>
      <c r="J92" s="947"/>
      <c r="K92" s="947">
        <f t="shared" si="9"/>
        <v>0.68589435708686897</v>
      </c>
      <c r="L92" s="947" t="str">
        <f t="shared" si="10"/>
        <v>显著</v>
      </c>
      <c r="M92" s="969"/>
    </row>
  </sheetData>
  <sheetProtection insertRows="0"/>
  <mergeCells count="10">
    <mergeCell ref="L4:L6"/>
    <mergeCell ref="M4:M6"/>
    <mergeCell ref="A1:M1"/>
    <mergeCell ref="C4:D4"/>
    <mergeCell ref="E4:F4"/>
    <mergeCell ref="I4:I6"/>
    <mergeCell ref="J4:J6"/>
    <mergeCell ref="K4:K5"/>
    <mergeCell ref="A4:A6"/>
    <mergeCell ref="B4:B6"/>
  </mergeCells>
  <phoneticPr fontId="4" type="noConversion"/>
  <conditionalFormatting sqref="I7:I92">
    <cfRule type="cellIs" dxfId="24" priority="2" stopIfTrue="1" operator="equal">
      <formula>"显著"</formula>
    </cfRule>
  </conditionalFormatting>
  <conditionalFormatting sqref="L7:L92">
    <cfRule type="cellIs" dxfId="23" priority="1" stopIfTrue="1" operator="equal">
      <formula>"显著"</formula>
    </cfRule>
  </conditionalFormatting>
  <printOptions horizontalCentered="1"/>
  <pageMargins left="0.67" right="0.23622047244094491" top="0.36" bottom="0.25" header="0.2" footer="0.2"/>
  <pageSetup paperSize="9" scale="57" orientation="portrait" blackAndWhite="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397"/>
  <sheetViews>
    <sheetView showZeros="0" view="pageBreakPreview" zoomScaleNormal="100" zoomScaleSheetLayoutView="100" workbookViewId="0">
      <pane xSplit="2" ySplit="6" topLeftCell="C70" activePane="bottomRight" state="frozen"/>
      <selection activeCell="B57" sqref="B57"/>
      <selection pane="topRight" activeCell="B57" sqref="B57"/>
      <selection pane="bottomLeft" activeCell="B57" sqref="B57"/>
      <selection pane="bottomRight" activeCell="N82" sqref="N82"/>
    </sheetView>
  </sheetViews>
  <sheetFormatPr defaultColWidth="9" defaultRowHeight="10.8"/>
  <cols>
    <col min="1" max="1" width="18.69921875" style="102" customWidth="1"/>
    <col min="2" max="2" width="41.3984375" style="118" customWidth="1"/>
    <col min="3" max="3" width="10.59765625" style="106" customWidth="1"/>
    <col min="4" max="4" width="10.69921875" style="106" customWidth="1"/>
    <col min="5" max="5" width="8" style="102" customWidth="1"/>
    <col min="6" max="6" width="11.69921875" style="106" customWidth="1"/>
    <col min="7" max="7" width="11.09765625" style="106" customWidth="1"/>
    <col min="8" max="8" width="8" style="102" customWidth="1"/>
    <col min="9" max="9" width="7.09765625" style="102" customWidth="1"/>
    <col min="10" max="10" width="7.3984375" style="102" customWidth="1"/>
    <col min="11" max="11" width="6.8984375" style="102" customWidth="1"/>
    <col min="12" max="16384" width="9" style="102"/>
  </cols>
  <sheetData>
    <row r="1" spans="1:16" ht="17.399999999999999">
      <c r="A1" s="1167" t="s">
        <v>1818</v>
      </c>
      <c r="B1" s="1167"/>
      <c r="C1" s="1167"/>
      <c r="D1" s="1167"/>
      <c r="E1" s="1167"/>
      <c r="F1" s="1167"/>
      <c r="G1" s="1167"/>
      <c r="H1" s="1167"/>
      <c r="I1" s="1167"/>
      <c r="J1" s="1167"/>
    </row>
    <row r="2" spans="1:16" s="93" customFormat="1" ht="13.8">
      <c r="A2" s="92" t="str">
        <f>CONCATENATE("客户名称：",参数!D3)</f>
        <v>客户名称：二锅头</v>
      </c>
      <c r="B2" s="111"/>
      <c r="C2" s="99" t="str">
        <f>CONCATENATE("编制：",参数!D17)</f>
        <v>编制：张</v>
      </c>
      <c r="F2" s="95" t="str">
        <f ca="1">CONCATENATE("日期：",TEXT(NOW(),"yyyy.mm.dd"))</f>
        <v>日期：2025.11.06</v>
      </c>
      <c r="I2" s="321" t="s">
        <v>418</v>
      </c>
      <c r="J2" s="95"/>
      <c r="K2" s="96"/>
      <c r="N2" s="97"/>
      <c r="O2" s="98"/>
      <c r="P2" s="76"/>
    </row>
    <row r="3" spans="1:16" s="93" customFormat="1" ht="14.4" thickBot="1">
      <c r="A3" s="95" t="str">
        <f>CONCATENATE("会计期间：",TEXT(参数!D10,"yyyy.mm.dd"))</f>
        <v>会计期间：2022年度</v>
      </c>
      <c r="B3" s="111"/>
      <c r="C3" s="99" t="str">
        <f>CONCATENATE("复核：",参数!D18)</f>
        <v>复核：刘</v>
      </c>
      <c r="F3" s="94" t="s">
        <v>13</v>
      </c>
      <c r="I3" s="94" t="s">
        <v>61</v>
      </c>
      <c r="J3" s="95"/>
      <c r="K3" s="95"/>
      <c r="N3" s="97"/>
      <c r="O3" s="98"/>
      <c r="P3" s="76"/>
    </row>
    <row r="4" spans="1:16" s="109" customFormat="1" ht="12" customHeight="1">
      <c r="A4" s="1173" t="s">
        <v>1696</v>
      </c>
      <c r="B4" s="1175" t="s">
        <v>70</v>
      </c>
      <c r="C4" s="1168" t="str">
        <f>CONCATENATE(参数!D9,"已审数")</f>
        <v>2021年度已审数</v>
      </c>
      <c r="D4" s="1168"/>
      <c r="E4" s="1168"/>
      <c r="F4" s="1168" t="str">
        <f>CONCATENATE(参数!D10,"未审数")</f>
        <v>2022年度未审数</v>
      </c>
      <c r="G4" s="1168"/>
      <c r="H4" s="1168"/>
      <c r="I4" s="1169" t="s">
        <v>1822</v>
      </c>
      <c r="J4" s="1171" t="s">
        <v>65</v>
      </c>
    </row>
    <row r="5" spans="1:16" s="109" customFormat="1" ht="12" customHeight="1">
      <c r="A5" s="1174"/>
      <c r="B5" s="1176"/>
      <c r="C5" s="973" t="s">
        <v>62</v>
      </c>
      <c r="D5" s="973" t="s">
        <v>1819</v>
      </c>
      <c r="E5" s="973" t="s">
        <v>1820</v>
      </c>
      <c r="F5" s="973" t="s">
        <v>62</v>
      </c>
      <c r="G5" s="973" t="s">
        <v>1821</v>
      </c>
      <c r="H5" s="973" t="s">
        <v>69</v>
      </c>
      <c r="I5" s="1170"/>
      <c r="J5" s="1172"/>
    </row>
    <row r="6" spans="1:16" ht="12.75" customHeight="1">
      <c r="A6" s="991" t="s">
        <v>66</v>
      </c>
      <c r="B6" s="988"/>
      <c r="C6" s="989"/>
      <c r="D6" s="989"/>
      <c r="E6" s="990"/>
      <c r="F6" s="989"/>
      <c r="G6" s="989"/>
      <c r="H6" s="990"/>
      <c r="I6" s="990"/>
      <c r="J6" s="992"/>
      <c r="K6" s="101"/>
    </row>
    <row r="7" spans="1:16" ht="12" customHeight="1">
      <c r="A7" s="993" t="s">
        <v>1680</v>
      </c>
      <c r="B7" s="113" t="s">
        <v>1687</v>
      </c>
      <c r="C7" s="971">
        <f>审定报表!D193+审定报表!D194-审定报表!D199-审定报表!D200</f>
        <v>13114153.439999998</v>
      </c>
      <c r="D7" s="971">
        <f>审定报表!D193+审定报表!D194</f>
        <v>22980342.579999998</v>
      </c>
      <c r="E7" s="972">
        <f>C7/D7</f>
        <v>0.5706683176870202</v>
      </c>
      <c r="F7" s="971">
        <f>审定报表!C193+审定报表!C194-审定报表!C199-审定报表!C200</f>
        <v>24122478.629999999</v>
      </c>
      <c r="G7" s="971">
        <f>审定报表!C193+审定报表!C194</f>
        <v>35656228.109999999</v>
      </c>
      <c r="H7" s="972">
        <f>F7/G7</f>
        <v>0.67652917620960329</v>
      </c>
      <c r="I7" s="975">
        <f>H7-E7</f>
        <v>0.10586085852258309</v>
      </c>
      <c r="J7" s="994"/>
      <c r="K7" s="101"/>
    </row>
    <row r="8" spans="1:16" ht="12" customHeight="1">
      <c r="A8" s="993" t="s">
        <v>1681</v>
      </c>
      <c r="B8" s="113" t="s">
        <v>1688</v>
      </c>
      <c r="C8" s="971">
        <f>审定报表!D233</f>
        <v>21221252.780000001</v>
      </c>
      <c r="D8" s="971">
        <f>审定报表!D193+审定报表!D194</f>
        <v>22980342.579999998</v>
      </c>
      <c r="E8" s="972">
        <f>C8/D8</f>
        <v>0.92345241182213933</v>
      </c>
      <c r="F8" s="971">
        <f>审定报表!C233</f>
        <v>32177359.109999999</v>
      </c>
      <c r="G8" s="971">
        <f>审定报表!C193+审定报表!C194</f>
        <v>35656228.109999999</v>
      </c>
      <c r="H8" s="972">
        <f>F8/G8</f>
        <v>0.90243306192490025</v>
      </c>
      <c r="I8" s="975">
        <f t="shared" ref="I8:I16" si="0">H8-E8</f>
        <v>-2.1019349897239081E-2</v>
      </c>
      <c r="J8" s="994"/>
      <c r="K8" s="101"/>
    </row>
    <row r="9" spans="1:16" ht="12" customHeight="1">
      <c r="A9" s="995" t="s">
        <v>1816</v>
      </c>
      <c r="B9" s="113" t="s">
        <v>1689</v>
      </c>
      <c r="C9" s="971">
        <f>审定报表!D227</f>
        <v>24790875.300000001</v>
      </c>
      <c r="D9" s="971">
        <f>审定报表!D209+审定报表!D210+审定报表!D211+审定报表!D212+审定报表!D199+审定报表!D200</f>
        <v>10313885.810000001</v>
      </c>
      <c r="E9" s="972">
        <f>C9/D9</f>
        <v>2.4036406604350411</v>
      </c>
      <c r="F9" s="971">
        <f>审定报表!C227</f>
        <v>33605687.039999999</v>
      </c>
      <c r="G9" s="971">
        <f>审定报表!C209+审定报表!C210+审定报表!C211+审定报表!C212+审定报表!C199+审定报表!C200</f>
        <v>24677745.770000003</v>
      </c>
      <c r="H9" s="972">
        <f>F9/G9</f>
        <v>1.3617810700057307</v>
      </c>
      <c r="I9" s="975">
        <f t="shared" si="0"/>
        <v>-1.0418595904293104</v>
      </c>
      <c r="J9" s="994"/>
      <c r="K9" s="101"/>
    </row>
    <row r="10" spans="1:16" ht="12" customHeight="1">
      <c r="A10" s="993" t="s">
        <v>1682</v>
      </c>
      <c r="B10" s="113" t="s">
        <v>1690</v>
      </c>
      <c r="C10" s="971">
        <f>审定报表!D209+审定报表!D210+审定报表!D211+审定报表!D212</f>
        <v>447696.67</v>
      </c>
      <c r="D10" s="971">
        <f>审定报表!D193+审定报表!D194</f>
        <v>22980342.579999998</v>
      </c>
      <c r="E10" s="972">
        <f t="shared" ref="E10:E14" si="1">C10/D10</f>
        <v>1.9481723061414866E-2</v>
      </c>
      <c r="F10" s="971">
        <f>审定报表!C209+审定报表!C210+审定报表!C211+审定报表!C212</f>
        <v>13143996.290000001</v>
      </c>
      <c r="G10" s="971">
        <f>审定报表!C193+审定报表!C194</f>
        <v>35656228.109999999</v>
      </c>
      <c r="H10" s="972">
        <f>F10/G10</f>
        <v>0.36863114767637717</v>
      </c>
      <c r="I10" s="975">
        <f t="shared" si="0"/>
        <v>0.34914942461496229</v>
      </c>
      <c r="J10" s="994"/>
      <c r="K10" s="101"/>
    </row>
    <row r="11" spans="1:16" ht="12" customHeight="1">
      <c r="A11" s="993" t="s">
        <v>1683</v>
      </c>
      <c r="B11" s="113" t="s">
        <v>1691</v>
      </c>
      <c r="C11" s="971">
        <f>审定报表!D209</f>
        <v>0</v>
      </c>
      <c r="D11" s="971">
        <f>审定报表!D193+审定报表!D194</f>
        <v>22980342.579999998</v>
      </c>
      <c r="E11" s="972">
        <f t="shared" si="1"/>
        <v>0</v>
      </c>
      <c r="F11" s="971">
        <f>审定报表!C209</f>
        <v>0</v>
      </c>
      <c r="G11" s="971">
        <f>审定报表!C193+审定报表!C194</f>
        <v>35656228.109999999</v>
      </c>
      <c r="H11" s="972">
        <f t="shared" ref="H11:H14" si="2">F11/G11</f>
        <v>0</v>
      </c>
      <c r="I11" s="975">
        <f t="shared" si="0"/>
        <v>0</v>
      </c>
      <c r="J11" s="994"/>
      <c r="K11" s="101"/>
    </row>
    <row r="12" spans="1:16" ht="12" customHeight="1">
      <c r="A12" s="993" t="s">
        <v>1684</v>
      </c>
      <c r="B12" s="113" t="s">
        <v>1692</v>
      </c>
      <c r="C12" s="971">
        <f>审定报表!D210</f>
        <v>479456.63</v>
      </c>
      <c r="D12" s="971">
        <f>审定报表!D193+审定报表!D194</f>
        <v>22980342.579999998</v>
      </c>
      <c r="E12" s="972">
        <f t="shared" si="1"/>
        <v>2.0863772083940798E-2</v>
      </c>
      <c r="F12" s="971">
        <f>审定报表!C210</f>
        <v>13154047.73</v>
      </c>
      <c r="G12" s="971">
        <f>审定报表!C193+审定报表!C194</f>
        <v>35656228.109999999</v>
      </c>
      <c r="H12" s="972">
        <f t="shared" si="2"/>
        <v>0.36891304625434762</v>
      </c>
      <c r="I12" s="975">
        <f t="shared" si="0"/>
        <v>0.34804927417040682</v>
      </c>
      <c r="J12" s="994"/>
      <c r="K12" s="101"/>
    </row>
    <row r="13" spans="1:16" ht="12" customHeight="1">
      <c r="A13" s="993" t="s">
        <v>1685</v>
      </c>
      <c r="B13" s="113" t="s">
        <v>1693</v>
      </c>
      <c r="C13" s="971">
        <f>审定报表!D211</f>
        <v>0</v>
      </c>
      <c r="D13" s="971">
        <f>审定报表!D193+审定报表!D194</f>
        <v>22980342.579999998</v>
      </c>
      <c r="E13" s="972">
        <f t="shared" si="1"/>
        <v>0</v>
      </c>
      <c r="F13" s="971">
        <f>审定报表!C211</f>
        <v>0</v>
      </c>
      <c r="G13" s="971">
        <f>审定报表!C193+审定报表!C194</f>
        <v>35656228.109999999</v>
      </c>
      <c r="H13" s="972">
        <f t="shared" si="2"/>
        <v>0</v>
      </c>
      <c r="I13" s="975">
        <f t="shared" si="0"/>
        <v>0</v>
      </c>
      <c r="J13" s="994"/>
      <c r="K13" s="101"/>
    </row>
    <row r="14" spans="1:16" ht="12" customHeight="1">
      <c r="A14" s="993" t="s">
        <v>1686</v>
      </c>
      <c r="B14" s="113" t="s">
        <v>1694</v>
      </c>
      <c r="C14" s="971">
        <f>审定报表!D212</f>
        <v>-31759.960000000003</v>
      </c>
      <c r="D14" s="971">
        <f>审定报表!D193+审定报表!D194</f>
        <v>22980342.579999998</v>
      </c>
      <c r="E14" s="972">
        <f t="shared" si="1"/>
        <v>-1.3820490225259299E-3</v>
      </c>
      <c r="F14" s="971">
        <f>审定报表!C212</f>
        <v>-10051.44</v>
      </c>
      <c r="G14" s="971">
        <f>审定报表!C193+审定报表!C194</f>
        <v>35656228.109999999</v>
      </c>
      <c r="H14" s="972">
        <f t="shared" si="2"/>
        <v>-2.8189857797047843E-4</v>
      </c>
      <c r="I14" s="975">
        <f t="shared" si="0"/>
        <v>1.1001504445554515E-3</v>
      </c>
      <c r="J14" s="994"/>
      <c r="K14" s="101"/>
    </row>
    <row r="15" spans="1:16" ht="13.05" customHeight="1">
      <c r="A15" s="996" t="s">
        <v>1720</v>
      </c>
      <c r="B15" s="918" t="s">
        <v>1721</v>
      </c>
      <c r="C15" s="125"/>
      <c r="D15" s="125"/>
      <c r="E15" s="189"/>
      <c r="F15" s="125"/>
      <c r="G15" s="125"/>
      <c r="H15" s="189"/>
      <c r="I15" s="126">
        <f t="shared" si="0"/>
        <v>0</v>
      </c>
      <c r="J15" s="994"/>
      <c r="K15" s="101"/>
    </row>
    <row r="16" spans="1:16" ht="13.05" customHeight="1">
      <c r="A16" s="996" t="s">
        <v>1722</v>
      </c>
      <c r="B16" s="918" t="s">
        <v>1723</v>
      </c>
      <c r="C16" s="125"/>
      <c r="D16" s="125"/>
      <c r="E16" s="189"/>
      <c r="F16" s="125"/>
      <c r="G16" s="125"/>
      <c r="H16" s="189"/>
      <c r="I16" s="126">
        <f t="shared" si="0"/>
        <v>0</v>
      </c>
      <c r="J16" s="994"/>
      <c r="K16" s="101"/>
    </row>
    <row r="17" spans="1:11" ht="12" customHeight="1">
      <c r="A17" s="991" t="s">
        <v>1695</v>
      </c>
      <c r="B17" s="114"/>
      <c r="C17" s="127"/>
      <c r="D17" s="127"/>
      <c r="E17" s="128"/>
      <c r="F17" s="127"/>
      <c r="G17" s="127"/>
      <c r="H17" s="128"/>
      <c r="I17" s="128"/>
      <c r="J17" s="992"/>
      <c r="K17" s="101"/>
    </row>
    <row r="18" spans="1:11" ht="12" customHeight="1">
      <c r="A18" s="997" t="s">
        <v>1697</v>
      </c>
      <c r="B18" s="113" t="s">
        <v>1703</v>
      </c>
      <c r="C18" s="971">
        <f>审定报表!D199+审定报表!D200</f>
        <v>9866189.1400000006</v>
      </c>
      <c r="D18" s="125"/>
      <c r="E18" s="977" t="e">
        <f t="shared" ref="E18:E23" si="3">C18/D18</f>
        <v>#DIV/0!</v>
      </c>
      <c r="F18" s="971">
        <f>审定报表!C199+审定报表!C200</f>
        <v>11533749.48</v>
      </c>
      <c r="G18" s="971">
        <f>(审定报表!C46+审定报表!D46)/2</f>
        <v>4263398.16</v>
      </c>
      <c r="H18" s="978">
        <f t="shared" ref="H18:H23" si="4">F18/G18</f>
        <v>2.7052949424737753</v>
      </c>
      <c r="I18" s="975" t="e">
        <f>H18-E18</f>
        <v>#DIV/0!</v>
      </c>
      <c r="J18" s="994"/>
      <c r="K18" s="101"/>
    </row>
    <row r="19" spans="1:11" ht="12" customHeight="1">
      <c r="A19" s="997" t="s">
        <v>1698</v>
      </c>
      <c r="B19" s="113" t="s">
        <v>1704</v>
      </c>
      <c r="C19" s="971">
        <v>365</v>
      </c>
      <c r="D19" s="976" t="e">
        <f>E18</f>
        <v>#DIV/0!</v>
      </c>
      <c r="E19" s="977" t="e">
        <f t="shared" si="3"/>
        <v>#DIV/0!</v>
      </c>
      <c r="F19" s="971">
        <v>365</v>
      </c>
      <c r="G19" s="976">
        <f>H18</f>
        <v>2.7052949424737753</v>
      </c>
      <c r="H19" s="978">
        <f t="shared" si="4"/>
        <v>134.92059378421666</v>
      </c>
      <c r="I19" s="975" t="e">
        <f t="shared" ref="I19:I23" si="5">H19-E19</f>
        <v>#DIV/0!</v>
      </c>
      <c r="J19" s="994"/>
      <c r="K19" s="101"/>
    </row>
    <row r="20" spans="1:11" ht="12" customHeight="1">
      <c r="A20" s="997" t="s">
        <v>1699</v>
      </c>
      <c r="B20" s="113" t="s">
        <v>1705</v>
      </c>
      <c r="C20" s="971">
        <f>审定报表!D193+审定报表!D194</f>
        <v>22980342.579999998</v>
      </c>
      <c r="D20" s="125"/>
      <c r="E20" s="977" t="e">
        <f t="shared" si="3"/>
        <v>#DIV/0!</v>
      </c>
      <c r="F20" s="971">
        <f>审定报表!C193+审定报表!C194</f>
        <v>35656228.109999999</v>
      </c>
      <c r="G20" s="971">
        <f>(审定报表!C15+审定报表!D15+审定报表!C18+审定报表!D18+审定报表!C21+审定报表!D21)/2</f>
        <v>18015234.609999999</v>
      </c>
      <c r="H20" s="978">
        <f t="shared" si="4"/>
        <v>1.9792264093084715</v>
      </c>
      <c r="I20" s="975" t="e">
        <f t="shared" si="5"/>
        <v>#DIV/0!</v>
      </c>
      <c r="J20" s="994"/>
      <c r="K20" s="101"/>
    </row>
    <row r="21" spans="1:11" ht="12" customHeight="1">
      <c r="A21" s="997" t="s">
        <v>1700</v>
      </c>
      <c r="B21" s="113" t="s">
        <v>1817</v>
      </c>
      <c r="C21" s="125">
        <v>365</v>
      </c>
      <c r="D21" s="976" t="e">
        <f>E20</f>
        <v>#DIV/0!</v>
      </c>
      <c r="E21" s="977" t="e">
        <f t="shared" si="3"/>
        <v>#DIV/0!</v>
      </c>
      <c r="F21" s="971">
        <v>365</v>
      </c>
      <c r="G21" s="971">
        <f>H20</f>
        <v>1.9792264093084715</v>
      </c>
      <c r="H21" s="978">
        <f t="shared" si="4"/>
        <v>184.41548591074456</v>
      </c>
      <c r="I21" s="975" t="e">
        <f t="shared" si="5"/>
        <v>#DIV/0!</v>
      </c>
      <c r="J21" s="994"/>
      <c r="K21" s="101"/>
    </row>
    <row r="22" spans="1:11" ht="12" customHeight="1">
      <c r="A22" s="997" t="s">
        <v>1701</v>
      </c>
      <c r="B22" s="113" t="s">
        <v>1707</v>
      </c>
      <c r="C22" s="971">
        <f>审定报表!D193+审定报表!D194</f>
        <v>22980342.579999998</v>
      </c>
      <c r="D22" s="125"/>
      <c r="E22" s="977" t="e">
        <f t="shared" si="3"/>
        <v>#DIV/0!</v>
      </c>
      <c r="F22" s="971">
        <f>审定报表!C193+审定报表!C194</f>
        <v>35656228.109999999</v>
      </c>
      <c r="G22" s="971">
        <f>(审定报表!C15+审定报表!D15+审定报表!C18+审定报表!D18+审定报表!C21+审定报表!D21+审定报表!C51+审定报表!D51)/2</f>
        <v>18015234.609999999</v>
      </c>
      <c r="H22" s="978">
        <f t="shared" si="4"/>
        <v>1.9792264093084715</v>
      </c>
      <c r="I22" s="975" t="e">
        <f t="shared" si="5"/>
        <v>#DIV/0!</v>
      </c>
      <c r="J22" s="994"/>
      <c r="K22" s="101"/>
    </row>
    <row r="23" spans="1:11" ht="12" customHeight="1">
      <c r="A23" s="997" t="s">
        <v>1702</v>
      </c>
      <c r="B23" s="113" t="s">
        <v>1706</v>
      </c>
      <c r="C23" s="125">
        <v>365</v>
      </c>
      <c r="D23" s="971" t="e">
        <f>E22</f>
        <v>#DIV/0!</v>
      </c>
      <c r="E23" s="977" t="e">
        <f t="shared" si="3"/>
        <v>#DIV/0!</v>
      </c>
      <c r="F23" s="971">
        <v>365</v>
      </c>
      <c r="G23" s="971">
        <f>H22</f>
        <v>1.9792264093084715</v>
      </c>
      <c r="H23" s="978">
        <f t="shared" si="4"/>
        <v>184.41548591074456</v>
      </c>
      <c r="I23" s="975" t="e">
        <f t="shared" si="5"/>
        <v>#DIV/0!</v>
      </c>
      <c r="J23" s="994"/>
      <c r="K23" s="101"/>
    </row>
    <row r="24" spans="1:11" ht="12" customHeight="1">
      <c r="A24" s="991" t="s">
        <v>1708</v>
      </c>
      <c r="B24" s="115"/>
      <c r="C24" s="127"/>
      <c r="D24" s="127"/>
      <c r="E24" s="128"/>
      <c r="F24" s="127"/>
      <c r="G24" s="127"/>
      <c r="H24" s="128"/>
      <c r="I24" s="128"/>
      <c r="J24" s="992" t="str">
        <f>IF(ABS(I24)&lt;20%,"",IF(ABS(I24)&lt;50%,"关注","异常"))</f>
        <v/>
      </c>
      <c r="K24" s="101"/>
    </row>
    <row r="25" spans="1:11" ht="12" customHeight="1">
      <c r="A25" s="997" t="s">
        <v>1709</v>
      </c>
      <c r="B25" s="113" t="s">
        <v>1711</v>
      </c>
      <c r="C25" s="971">
        <f>审定报表!D59</f>
        <v>59421429.140000001</v>
      </c>
      <c r="D25" s="971">
        <f>审定报表!D158</f>
        <v>9195302</v>
      </c>
      <c r="E25" s="979">
        <f>C25/D25</f>
        <v>6.4621509048859949</v>
      </c>
      <c r="F25" s="971">
        <f>审定报表!C59</f>
        <v>94592464.289999992</v>
      </c>
      <c r="G25" s="971">
        <f>审定报表!C158</f>
        <v>25101937.779999997</v>
      </c>
      <c r="H25" s="979">
        <f>F25/G25</f>
        <v>3.7683331509715821</v>
      </c>
      <c r="I25" s="975">
        <f>H25-E25</f>
        <v>-2.6938177539144128</v>
      </c>
      <c r="J25" s="994"/>
      <c r="K25" s="101"/>
    </row>
    <row r="26" spans="1:11" ht="12" customHeight="1">
      <c r="A26" s="997" t="s">
        <v>1710</v>
      </c>
      <c r="B26" s="113" t="s">
        <v>1712</v>
      </c>
      <c r="C26" s="971">
        <f>审定报表!D59-审定报表!D48</f>
        <v>59421429.140000001</v>
      </c>
      <c r="D26" s="971">
        <f>审定报表!D158</f>
        <v>9195302</v>
      </c>
      <c r="E26" s="979">
        <f>C26/D26</f>
        <v>6.4621509048859949</v>
      </c>
      <c r="F26" s="971">
        <f>审定报表!C59-审定报表!C48</f>
        <v>86065667.969999999</v>
      </c>
      <c r="G26" s="971">
        <f>审定报表!C158</f>
        <v>25101937.779999997</v>
      </c>
      <c r="H26" s="979">
        <f>F26/G26</f>
        <v>3.42864637480589</v>
      </c>
      <c r="I26" s="975">
        <f>H26-E26</f>
        <v>-3.0335045300801049</v>
      </c>
      <c r="J26" s="994"/>
      <c r="K26" s="101"/>
    </row>
    <row r="27" spans="1:11" ht="12" customHeight="1">
      <c r="A27" s="991" t="s">
        <v>1719</v>
      </c>
      <c r="B27" s="115"/>
      <c r="C27" s="127"/>
      <c r="D27" s="127"/>
      <c r="E27" s="128"/>
      <c r="F27" s="127"/>
      <c r="G27" s="127"/>
      <c r="H27" s="128"/>
      <c r="I27" s="128"/>
      <c r="J27" s="992" t="str">
        <f>IF(ABS(I27)&lt;20%,"",IF(ABS(I27)&lt;50%,"关注","异常"))</f>
        <v/>
      </c>
      <c r="K27" s="101"/>
    </row>
    <row r="28" spans="1:11" ht="12" customHeight="1">
      <c r="A28" s="993" t="s">
        <v>1713</v>
      </c>
      <c r="B28" s="113" t="s">
        <v>1716</v>
      </c>
      <c r="C28" s="971">
        <f>审定报表!D174</f>
        <v>9195302</v>
      </c>
      <c r="D28" s="971">
        <f>审定报表!D127</f>
        <v>71520160.680000007</v>
      </c>
      <c r="E28" s="972">
        <f>C28/D28</f>
        <v>0.1285693699870474</v>
      </c>
      <c r="F28" s="971">
        <f>审定报表!C174</f>
        <v>25101937.779999997</v>
      </c>
      <c r="G28" s="971">
        <f>审定报表!C127</f>
        <v>129654155.56999999</v>
      </c>
      <c r="H28" s="972">
        <f t="shared" ref="H28:H30" si="6">IF(G28=0,0,F28/G28)</f>
        <v>0.19360688957206248</v>
      </c>
      <c r="I28" s="975">
        <f t="shared" ref="I28:I30" si="7">IF(E28=0,0,(H28-E28)/E28)</f>
        <v>0.50585547390927732</v>
      </c>
      <c r="J28" s="994"/>
      <c r="K28" s="101"/>
    </row>
    <row r="29" spans="1:11" ht="12" customHeight="1">
      <c r="A29" s="993" t="s">
        <v>1714</v>
      </c>
      <c r="B29" s="113" t="s">
        <v>1717</v>
      </c>
      <c r="C29" s="125"/>
      <c r="D29" s="125"/>
      <c r="E29" s="189">
        <f t="shared" ref="E29:E30" si="8">IF(D29=0,0,C29/D29)</f>
        <v>0</v>
      </c>
      <c r="F29" s="125"/>
      <c r="G29" s="125"/>
      <c r="H29" s="189">
        <f t="shared" si="6"/>
        <v>0</v>
      </c>
      <c r="I29" s="126">
        <f t="shared" si="7"/>
        <v>0</v>
      </c>
      <c r="J29" s="994" t="str">
        <f>IF(AND(ABS(I29)&lt;20%,H29&lt;=100%),"",IF(OR(ABS(I29)&gt;=50%,H29&gt;=150%),"显著","关注"))</f>
        <v/>
      </c>
      <c r="K29" s="101"/>
    </row>
    <row r="30" spans="1:11" ht="12" customHeight="1">
      <c r="A30" s="993" t="s">
        <v>1715</v>
      </c>
      <c r="B30" s="113" t="s">
        <v>1718</v>
      </c>
      <c r="C30" s="125"/>
      <c r="D30" s="125"/>
      <c r="E30" s="189">
        <f t="shared" si="8"/>
        <v>0</v>
      </c>
      <c r="F30" s="125"/>
      <c r="G30" s="125"/>
      <c r="H30" s="189">
        <f t="shared" si="6"/>
        <v>0</v>
      </c>
      <c r="I30" s="126">
        <f t="shared" si="7"/>
        <v>0</v>
      </c>
      <c r="J30" s="994" t="str">
        <f>IF(AND(ABS(I30)&lt;20%,H30&lt;=150%),"",IF(OR(ABS(I30)&gt;=50%,H30&gt;=200%),"显著","关注"))</f>
        <v/>
      </c>
      <c r="K30" s="101"/>
    </row>
    <row r="31" spans="1:11" ht="12" customHeight="1">
      <c r="A31" s="991" t="s">
        <v>1738</v>
      </c>
      <c r="B31" s="114"/>
      <c r="C31" s="127"/>
      <c r="D31" s="127"/>
      <c r="E31" s="128"/>
      <c r="F31" s="127"/>
      <c r="G31" s="127"/>
      <c r="H31" s="128"/>
      <c r="I31" s="128"/>
      <c r="J31" s="992"/>
      <c r="K31" s="101"/>
    </row>
    <row r="32" spans="1:11" ht="12" customHeight="1">
      <c r="A32" s="993" t="s">
        <v>1724</v>
      </c>
      <c r="B32" s="113" t="s">
        <v>1725</v>
      </c>
      <c r="C32" s="125"/>
      <c r="D32" s="125"/>
      <c r="E32" s="189"/>
      <c r="F32" s="125"/>
      <c r="G32" s="125"/>
      <c r="H32" s="189"/>
      <c r="I32" s="126"/>
      <c r="J32" s="994"/>
      <c r="K32" s="101"/>
    </row>
    <row r="33" spans="1:11" ht="12" customHeight="1">
      <c r="A33" s="993" t="s">
        <v>1726</v>
      </c>
      <c r="B33" s="113" t="s">
        <v>1727</v>
      </c>
      <c r="C33" s="971">
        <f>审定报表!D307</f>
        <v>0</v>
      </c>
      <c r="D33" s="971">
        <f>审定报表!D176</f>
        <v>51000000</v>
      </c>
      <c r="E33" s="972">
        <f>C33/D33</f>
        <v>0</v>
      </c>
      <c r="F33" s="971">
        <f>审定报表!C307</f>
        <v>0</v>
      </c>
      <c r="G33" s="971">
        <f>审定报表!C176</f>
        <v>54350000</v>
      </c>
      <c r="H33" s="972">
        <f>F33/G33</f>
        <v>0</v>
      </c>
      <c r="I33" s="975">
        <f>H33-E33</f>
        <v>0</v>
      </c>
      <c r="J33" s="994"/>
      <c r="K33" s="101"/>
    </row>
    <row r="34" spans="1:11" ht="12" customHeight="1">
      <c r="A34" s="993" t="s">
        <v>1728</v>
      </c>
      <c r="B34" s="113" t="s">
        <v>1729</v>
      </c>
      <c r="C34" s="971">
        <f>审定报表!D340</f>
        <v>0</v>
      </c>
      <c r="D34" s="971">
        <f>审定报表!D176</f>
        <v>51000000</v>
      </c>
      <c r="E34" s="972">
        <f>C34/D34</f>
        <v>0</v>
      </c>
      <c r="F34" s="125">
        <f>审定报表!C340</f>
        <v>0</v>
      </c>
      <c r="G34" s="125">
        <f>审定报表!C176</f>
        <v>54350000</v>
      </c>
      <c r="H34" s="972">
        <f>F34/G34</f>
        <v>0</v>
      </c>
      <c r="I34" s="975">
        <f>H34-E34</f>
        <v>0</v>
      </c>
      <c r="J34" s="994"/>
      <c r="K34" s="101"/>
    </row>
    <row r="35" spans="1:11" ht="12" customHeight="1">
      <c r="A35" s="993" t="s">
        <v>1730</v>
      </c>
      <c r="B35" s="987" t="s">
        <v>1734</v>
      </c>
      <c r="C35" s="125"/>
      <c r="D35" s="125"/>
      <c r="E35" s="189"/>
      <c r="F35" s="125"/>
      <c r="G35" s="125"/>
      <c r="H35" s="189"/>
      <c r="I35" s="126"/>
      <c r="J35" s="994"/>
      <c r="K35" s="101"/>
    </row>
    <row r="36" spans="1:11" ht="12" customHeight="1">
      <c r="A36" s="993" t="s">
        <v>1731</v>
      </c>
      <c r="B36" s="987" t="s">
        <v>1735</v>
      </c>
      <c r="C36" s="125"/>
      <c r="D36" s="125"/>
      <c r="E36" s="189"/>
      <c r="F36" s="125"/>
      <c r="G36" s="125"/>
      <c r="H36" s="189"/>
      <c r="I36" s="126"/>
      <c r="J36" s="994"/>
      <c r="K36" s="101"/>
    </row>
    <row r="37" spans="1:11" ht="12" customHeight="1">
      <c r="A37" s="993" t="s">
        <v>1732</v>
      </c>
      <c r="B37" s="987" t="s">
        <v>1736</v>
      </c>
      <c r="C37" s="125"/>
      <c r="D37" s="125"/>
      <c r="E37" s="189"/>
      <c r="F37" s="125"/>
      <c r="G37" s="125"/>
      <c r="H37" s="189"/>
      <c r="I37" s="126"/>
      <c r="J37" s="994"/>
      <c r="K37" s="101"/>
    </row>
    <row r="38" spans="1:11" ht="12" customHeight="1">
      <c r="A38" s="993" t="s">
        <v>1733</v>
      </c>
      <c r="B38" s="987" t="s">
        <v>1737</v>
      </c>
      <c r="C38" s="125"/>
      <c r="D38" s="125"/>
      <c r="E38" s="189"/>
      <c r="F38" s="125"/>
      <c r="G38" s="125"/>
      <c r="H38" s="189"/>
      <c r="I38" s="126"/>
      <c r="J38" s="994"/>
      <c r="K38" s="101"/>
    </row>
    <row r="39" spans="1:11" ht="12" customHeight="1">
      <c r="A39" s="991" t="s">
        <v>1790</v>
      </c>
      <c r="B39" s="114"/>
      <c r="C39" s="127"/>
      <c r="D39" s="127"/>
      <c r="E39" s="128"/>
      <c r="F39" s="127"/>
      <c r="G39" s="127"/>
      <c r="H39" s="128"/>
      <c r="I39" s="128"/>
      <c r="J39" s="992"/>
      <c r="K39" s="101"/>
    </row>
    <row r="40" spans="1:11" ht="12" customHeight="1">
      <c r="A40" s="993" t="s">
        <v>1739</v>
      </c>
      <c r="B40" s="985" t="s">
        <v>1740</v>
      </c>
      <c r="C40" s="985"/>
      <c r="D40" s="985"/>
      <c r="E40" s="985">
        <f>IF(D40=0,0,C40/D40)</f>
        <v>0</v>
      </c>
      <c r="F40" s="985"/>
      <c r="G40" s="985"/>
      <c r="H40" s="985">
        <f>IF(G40=0,0,F40/G40)</f>
        <v>0</v>
      </c>
      <c r="I40" s="985">
        <f t="shared" ref="I40" si="9">IF(E40=0,0,(H40-E40)/E40)</f>
        <v>0</v>
      </c>
      <c r="J40" s="998" t="str">
        <f t="shared" ref="J40" si="10">IF(ABS(I40)&lt;20%,"",IF(ABS(I40)&lt;50%,"关注","显著"))</f>
        <v/>
      </c>
      <c r="K40" s="101"/>
    </row>
    <row r="41" spans="1:11" ht="13.8" thickBot="1">
      <c r="A41" s="999" t="s">
        <v>1741</v>
      </c>
      <c r="B41" s="1000" t="s">
        <v>1742</v>
      </c>
      <c r="C41" s="1001"/>
      <c r="D41" s="1001"/>
      <c r="E41" s="1002">
        <f>IF(D41=0,0,C41/D41)</f>
        <v>0</v>
      </c>
      <c r="F41" s="1003"/>
      <c r="G41" s="1003"/>
      <c r="H41" s="1002">
        <f>IF(G41=0,0,F41/G41)</f>
        <v>0</v>
      </c>
      <c r="I41" s="1004">
        <f>IF(E41=0,0,(H41-E41)/E41)</f>
        <v>0</v>
      </c>
      <c r="J41" s="1005" t="str">
        <f>IF(ABS(I41)&lt;20%,"",IF(ABS(I41)&lt;50%,"关注","显著"))</f>
        <v/>
      </c>
      <c r="K41" s="101"/>
    </row>
    <row r="42" spans="1:11">
      <c r="A42" s="101"/>
      <c r="B42" s="117"/>
      <c r="C42" s="104"/>
      <c r="D42" s="104"/>
      <c r="E42" s="103"/>
      <c r="F42" s="104"/>
      <c r="G42" s="104"/>
      <c r="H42" s="101"/>
      <c r="I42" s="101"/>
      <c r="J42" s="101"/>
      <c r="K42" s="101"/>
    </row>
    <row r="43" spans="1:11" ht="12">
      <c r="A43" s="105"/>
      <c r="B43" s="117"/>
      <c r="C43" s="104"/>
      <c r="D43" s="104"/>
      <c r="E43" s="103"/>
      <c r="F43" s="104"/>
      <c r="G43" s="104"/>
      <c r="H43" s="101"/>
      <c r="I43" s="101"/>
      <c r="J43" s="101"/>
      <c r="K43" s="101"/>
    </row>
    <row r="44" spans="1:11" ht="11.4" thickBot="1">
      <c r="A44" s="101"/>
      <c r="B44" s="117"/>
      <c r="C44" s="104"/>
      <c r="D44" s="104"/>
      <c r="E44" s="103"/>
      <c r="F44" s="104"/>
      <c r="G44" s="104"/>
      <c r="H44" s="101"/>
      <c r="I44" s="101"/>
      <c r="J44" s="101"/>
      <c r="K44" s="101"/>
    </row>
    <row r="45" spans="1:11" ht="13.2">
      <c r="A45" s="1173" t="s">
        <v>1743</v>
      </c>
      <c r="B45" s="1175" t="s">
        <v>70</v>
      </c>
      <c r="C45" s="1168" t="str">
        <f>C4</f>
        <v>2021年度已审数</v>
      </c>
      <c r="D45" s="1168"/>
      <c r="E45" s="1168"/>
      <c r="F45" s="1168" t="str">
        <f>F4</f>
        <v>2022年度未审数</v>
      </c>
      <c r="G45" s="1168"/>
      <c r="H45" s="1168"/>
      <c r="I45" s="1169" t="s">
        <v>64</v>
      </c>
      <c r="J45" s="1171" t="s">
        <v>65</v>
      </c>
      <c r="K45" s="101"/>
    </row>
    <row r="46" spans="1:11">
      <c r="A46" s="1174"/>
      <c r="B46" s="1176"/>
      <c r="C46" s="973" t="s">
        <v>62</v>
      </c>
      <c r="D46" s="973" t="s">
        <v>63</v>
      </c>
      <c r="E46" s="974" t="s">
        <v>69</v>
      </c>
      <c r="F46" s="973" t="s">
        <v>62</v>
      </c>
      <c r="G46" s="973" t="s">
        <v>63</v>
      </c>
      <c r="H46" s="974" t="s">
        <v>69</v>
      </c>
      <c r="I46" s="1170"/>
      <c r="J46" s="1172"/>
      <c r="K46" s="101"/>
    </row>
    <row r="47" spans="1:11" ht="12">
      <c r="A47" s="1006" t="s">
        <v>66</v>
      </c>
      <c r="B47" s="112"/>
      <c r="C47" s="107"/>
      <c r="D47" s="107"/>
      <c r="E47" s="108"/>
      <c r="F47" s="107"/>
      <c r="G47" s="107"/>
      <c r="H47" s="108"/>
      <c r="I47" s="108"/>
      <c r="J47" s="1007"/>
      <c r="K47" s="101"/>
    </row>
    <row r="48" spans="1:11" ht="13.2">
      <c r="A48" s="993" t="s">
        <v>1744</v>
      </c>
      <c r="B48" s="113" t="s">
        <v>1744</v>
      </c>
      <c r="C48" s="125"/>
      <c r="D48" s="125"/>
      <c r="E48" s="189"/>
      <c r="F48" s="125"/>
      <c r="G48" s="125"/>
      <c r="H48" s="189"/>
      <c r="I48" s="126"/>
      <c r="J48" s="994"/>
      <c r="K48" s="101"/>
    </row>
    <row r="49" spans="1:11" ht="13.2">
      <c r="A49" s="993" t="s">
        <v>1745</v>
      </c>
      <c r="B49" s="113" t="s">
        <v>1746</v>
      </c>
      <c r="C49" s="971">
        <f>审定报表!D233</f>
        <v>21221252.780000001</v>
      </c>
      <c r="D49" s="125"/>
      <c r="E49" s="972" t="e">
        <f>C49/D49</f>
        <v>#DIV/0!</v>
      </c>
      <c r="F49" s="971">
        <f>审定报表!C233</f>
        <v>32177359.109999999</v>
      </c>
      <c r="G49" s="971">
        <f>(审定报表!C127+审定报表!D127)/2</f>
        <v>100587158.125</v>
      </c>
      <c r="H49" s="972">
        <f>F49/G49</f>
        <v>0.31989529985540588</v>
      </c>
      <c r="I49" s="975" t="e">
        <f>H49-E49</f>
        <v>#DIV/0!</v>
      </c>
      <c r="J49" s="994"/>
      <c r="K49" s="101"/>
    </row>
    <row r="50" spans="1:11" ht="13.2">
      <c r="A50" s="993" t="s">
        <v>1747</v>
      </c>
      <c r="B50" s="113" t="s">
        <v>1748</v>
      </c>
      <c r="C50" s="125"/>
      <c r="D50" s="125"/>
      <c r="E50" s="189"/>
      <c r="F50" s="125"/>
      <c r="G50" s="125"/>
      <c r="H50" s="189"/>
      <c r="I50" s="126"/>
      <c r="J50" s="994"/>
      <c r="K50" s="101"/>
    </row>
    <row r="51" spans="1:11" ht="13.2">
      <c r="A51" s="993" t="s">
        <v>1749</v>
      </c>
      <c r="B51" s="113" t="s">
        <v>1750</v>
      </c>
      <c r="C51" s="971">
        <f>审定报表!D239</f>
        <v>21221252.779999997</v>
      </c>
      <c r="D51" s="971">
        <f>审定报表!D194+审定报表!D193</f>
        <v>22980342.579999998</v>
      </c>
      <c r="E51" s="972">
        <f>C51/D51</f>
        <v>0.92345241182213911</v>
      </c>
      <c r="F51" s="971">
        <f>审定报表!C239</f>
        <v>32177359.109999999</v>
      </c>
      <c r="G51" s="971">
        <f>审定报表!C193+审定报表!C194</f>
        <v>35656228.109999999</v>
      </c>
      <c r="H51" s="972">
        <f>F51/G51</f>
        <v>0.90243306192490025</v>
      </c>
      <c r="I51" s="975">
        <f>H51-E51</f>
        <v>-2.1019349897238859E-2</v>
      </c>
      <c r="J51" s="994"/>
      <c r="K51" s="101"/>
    </row>
    <row r="52" spans="1:11" ht="13.2">
      <c r="A52" s="993" t="s">
        <v>1751</v>
      </c>
      <c r="B52" s="113" t="s">
        <v>1752</v>
      </c>
      <c r="C52" s="125"/>
      <c r="D52" s="125"/>
      <c r="E52" s="189"/>
      <c r="F52" s="125"/>
      <c r="G52" s="125"/>
      <c r="H52" s="189"/>
      <c r="I52" s="126"/>
      <c r="J52" s="994"/>
      <c r="K52" s="101"/>
    </row>
    <row r="53" spans="1:11" ht="13.2">
      <c r="A53" s="993" t="s">
        <v>1753</v>
      </c>
      <c r="B53" s="113" t="s">
        <v>1753</v>
      </c>
      <c r="C53" s="125"/>
      <c r="D53" s="125"/>
      <c r="E53" s="189"/>
      <c r="F53" s="125"/>
      <c r="G53" s="125"/>
      <c r="H53" s="189"/>
      <c r="I53" s="126"/>
      <c r="J53" s="994"/>
      <c r="K53" s="101"/>
    </row>
    <row r="54" spans="1:11" ht="13.2">
      <c r="A54" s="993" t="s">
        <v>1809</v>
      </c>
      <c r="B54" s="113" t="s">
        <v>1810</v>
      </c>
      <c r="C54" s="971">
        <f>审定报表!D239</f>
        <v>21221252.779999997</v>
      </c>
      <c r="D54" s="125"/>
      <c r="E54" s="972" t="e">
        <f>C54/D54</f>
        <v>#DIV/0!</v>
      </c>
      <c r="F54" s="971">
        <f>审定报表!C239</f>
        <v>32177359.109999999</v>
      </c>
      <c r="G54" s="971">
        <f>(审定报表!C187+审定报表!D187)/2</f>
        <v>83438538.234999985</v>
      </c>
      <c r="H54" s="972">
        <f>F54/G54</f>
        <v>0.38564145286647117</v>
      </c>
      <c r="I54" s="975" t="e">
        <f>H54-E54</f>
        <v>#DIV/0!</v>
      </c>
      <c r="J54" s="994"/>
      <c r="K54" s="101"/>
    </row>
    <row r="55" spans="1:11" ht="13.2">
      <c r="A55" s="993" t="s">
        <v>1811</v>
      </c>
      <c r="B55" s="113" t="s">
        <v>1812</v>
      </c>
      <c r="C55" s="125"/>
      <c r="D55" s="125"/>
      <c r="E55" s="189"/>
      <c r="F55" s="125"/>
      <c r="G55" s="125"/>
      <c r="H55" s="189"/>
      <c r="I55" s="126"/>
      <c r="J55" s="994"/>
      <c r="K55" s="101"/>
    </row>
    <row r="56" spans="1:11" ht="13.2">
      <c r="A56" s="991" t="s">
        <v>1757</v>
      </c>
      <c r="B56" s="114"/>
      <c r="C56" s="127"/>
      <c r="D56" s="127"/>
      <c r="E56" s="128"/>
      <c r="F56" s="127"/>
      <c r="G56" s="127"/>
      <c r="H56" s="128"/>
      <c r="I56" s="128"/>
      <c r="J56" s="992"/>
      <c r="K56" s="101"/>
    </row>
    <row r="57" spans="1:11" ht="13.2">
      <c r="A57" s="997" t="s">
        <v>1758</v>
      </c>
      <c r="B57" s="113" t="s">
        <v>1759</v>
      </c>
      <c r="C57" s="971">
        <f>审定报表!D194+审定报表!D193</f>
        <v>22980342.579999998</v>
      </c>
      <c r="D57" s="125"/>
      <c r="E57" s="975" t="e">
        <f>C57/D57</f>
        <v>#DIV/0!</v>
      </c>
      <c r="F57" s="125">
        <f>审定报表!C193+审定报表!C194</f>
        <v>35656228.109999999</v>
      </c>
      <c r="G57" s="125">
        <f>(审定报表!C127+审定报表!D127)/2</f>
        <v>100587158.125</v>
      </c>
      <c r="H57" s="972">
        <f>F57/G57</f>
        <v>0.35448091759079109</v>
      </c>
      <c r="I57" s="975" t="e">
        <f>H57-E57</f>
        <v>#DIV/0!</v>
      </c>
      <c r="J57" s="994"/>
      <c r="K57" s="101"/>
    </row>
    <row r="58" spans="1:11" ht="13.2">
      <c r="A58" s="997" t="s">
        <v>1760</v>
      </c>
      <c r="B58" s="113" t="s">
        <v>1761</v>
      </c>
      <c r="C58" s="971">
        <f>审定报表!D193+审定报表!D194</f>
        <v>22980342.579999998</v>
      </c>
      <c r="D58" s="125"/>
      <c r="E58" s="975" t="e">
        <f t="shared" ref="E58:E63" si="11">C58/D58</f>
        <v>#DIV/0!</v>
      </c>
      <c r="F58" s="125">
        <f>审定报表!C194+审定报表!C193</f>
        <v>35656228.109999999</v>
      </c>
      <c r="G58" s="125">
        <f>(审定报表!C59+审定报表!D59)/2</f>
        <v>77006946.715000004</v>
      </c>
      <c r="H58" s="972">
        <f t="shared" ref="H58:H85" si="12">F58/G58</f>
        <v>0.46302612466849835</v>
      </c>
      <c r="I58" s="975" t="e">
        <f t="shared" ref="I58:I85" si="13">H58-E58</f>
        <v>#DIV/0!</v>
      </c>
      <c r="J58" s="994"/>
      <c r="K58" s="101"/>
    </row>
    <row r="59" spans="1:11" ht="13.2">
      <c r="A59" s="997" t="s">
        <v>1762</v>
      </c>
      <c r="B59" s="113" t="s">
        <v>1763</v>
      </c>
      <c r="C59" s="971">
        <f>审定报表!D194+审定报表!D193</f>
        <v>22980342.579999998</v>
      </c>
      <c r="D59" s="125"/>
      <c r="E59" s="975" t="e">
        <f t="shared" si="11"/>
        <v>#DIV/0!</v>
      </c>
      <c r="F59" s="125">
        <f>审定报表!C193+审定报表!C194</f>
        <v>35656228.109999999</v>
      </c>
      <c r="G59" s="125">
        <f>(审定报表!C88+审定报表!C89+审定报表!D88+审定报表!D89)/2</f>
        <v>49311.409999999996</v>
      </c>
      <c r="H59" s="972">
        <f t="shared" si="12"/>
        <v>723.08271270280045</v>
      </c>
      <c r="I59" s="975" t="e">
        <f t="shared" si="13"/>
        <v>#DIV/0!</v>
      </c>
      <c r="J59" s="994"/>
      <c r="K59" s="101"/>
    </row>
    <row r="60" spans="1:11" ht="13.2">
      <c r="A60" s="997" t="s">
        <v>1764</v>
      </c>
      <c r="B60" s="113" t="s">
        <v>1765</v>
      </c>
      <c r="C60" s="971">
        <f>审定报表!D199+审定报表!D200</f>
        <v>9866189.1400000006</v>
      </c>
      <c r="D60" s="125"/>
      <c r="E60" s="975" t="e">
        <f t="shared" si="11"/>
        <v>#DIV/0!</v>
      </c>
      <c r="F60" s="125">
        <f>审定报表!C200+审定报表!C199</f>
        <v>11533749.48</v>
      </c>
      <c r="G60" s="125">
        <f>(审定报表!C136+审定报表!D136)/2</f>
        <v>6872866.125</v>
      </c>
      <c r="H60" s="972">
        <f t="shared" si="12"/>
        <v>1.6781571574697303</v>
      </c>
      <c r="I60" s="975" t="e">
        <f t="shared" si="13"/>
        <v>#DIV/0!</v>
      </c>
      <c r="J60" s="994"/>
      <c r="K60" s="101"/>
    </row>
    <row r="61" spans="1:11" ht="13.2">
      <c r="A61" s="997" t="s">
        <v>1766</v>
      </c>
      <c r="B61" s="113" t="s">
        <v>1767</v>
      </c>
      <c r="C61" s="971">
        <f>审定报表!D199+审定报表!D200</f>
        <v>9866189.1400000006</v>
      </c>
      <c r="D61" s="125"/>
      <c r="E61" s="975" t="e">
        <f t="shared" si="11"/>
        <v>#DIV/0!</v>
      </c>
      <c r="F61" s="125">
        <f>审定报表!C199+审定报表!C200</f>
        <v>11533749.48</v>
      </c>
      <c r="G61" s="125">
        <f>(审定报表!C135+审定报表!C136+审定报表!D135+审定报表!D136)/2</f>
        <v>6872866.125</v>
      </c>
      <c r="H61" s="972">
        <f t="shared" si="12"/>
        <v>1.6781571574697303</v>
      </c>
      <c r="I61" s="975" t="e">
        <f t="shared" si="13"/>
        <v>#DIV/0!</v>
      </c>
      <c r="J61" s="994"/>
      <c r="K61" s="101"/>
    </row>
    <row r="62" spans="1:11" ht="13.2">
      <c r="A62" s="997" t="s">
        <v>1768</v>
      </c>
      <c r="B62" s="113" t="s">
        <v>1769</v>
      </c>
      <c r="C62" s="971">
        <f>审定报表!D193+审定报表!D194</f>
        <v>22980342.579999998</v>
      </c>
      <c r="D62" s="125"/>
      <c r="E62" s="975" t="e">
        <f t="shared" si="11"/>
        <v>#DIV/0!</v>
      </c>
      <c r="F62" s="125">
        <f>审定报表!C193+审定报表!C194</f>
        <v>35656228.109999999</v>
      </c>
      <c r="G62" s="125">
        <f>(审定报表!C137+审定报表!C138+审定报表!D137+审定报表!D138)/2</f>
        <v>1776749.1600000001</v>
      </c>
      <c r="H62" s="972">
        <f t="shared" si="12"/>
        <v>20.068239745220982</v>
      </c>
      <c r="I62" s="975" t="e">
        <f t="shared" si="13"/>
        <v>#DIV/0!</v>
      </c>
      <c r="J62" s="994"/>
      <c r="K62" s="101"/>
    </row>
    <row r="63" spans="1:11" ht="13.2">
      <c r="A63" s="995" t="s">
        <v>1770</v>
      </c>
      <c r="B63" s="970" t="s">
        <v>1771</v>
      </c>
      <c r="C63" s="971">
        <f>审定报表!D199+审定报表!D200</f>
        <v>9866189.1400000006</v>
      </c>
      <c r="D63" s="125"/>
      <c r="E63" s="975" t="e">
        <f t="shared" si="11"/>
        <v>#DIV/0!</v>
      </c>
      <c r="F63" s="125">
        <f>审定报表!C199+审定报表!C200</f>
        <v>11533749.48</v>
      </c>
      <c r="G63" s="125">
        <f>(审定报表!C26+审定报表!D26)/2</f>
        <v>288103.83</v>
      </c>
      <c r="H63" s="972">
        <f t="shared" si="12"/>
        <v>40.033308408291553</v>
      </c>
      <c r="I63" s="975" t="e">
        <f t="shared" si="13"/>
        <v>#DIV/0!</v>
      </c>
      <c r="J63" s="994"/>
      <c r="K63" s="101"/>
    </row>
    <row r="64" spans="1:11" ht="13.2">
      <c r="A64" s="991" t="s">
        <v>1772</v>
      </c>
      <c r="B64" s="115"/>
      <c r="C64" s="127"/>
      <c r="D64" s="127"/>
      <c r="E64" s="128"/>
      <c r="F64" s="127"/>
      <c r="G64" s="127"/>
      <c r="H64" s="128"/>
      <c r="I64" s="128"/>
      <c r="J64" s="992" t="str">
        <f>IF(ABS(I64)&lt;20%,"",IF(ABS(I64)&lt;50%,"关注","异常"))</f>
        <v/>
      </c>
      <c r="K64" s="101"/>
    </row>
    <row r="65" spans="1:11" ht="13.2">
      <c r="A65" s="995" t="s">
        <v>1773</v>
      </c>
      <c r="B65" s="970" t="s">
        <v>1774</v>
      </c>
      <c r="C65" s="971">
        <f>审定报表!D13+审定报表!D8</f>
        <v>645471.34999999928</v>
      </c>
      <c r="D65" s="971">
        <f>审定报表!D158</f>
        <v>9195302</v>
      </c>
      <c r="E65" s="975">
        <f>C65/D65</f>
        <v>7.0195774972915445E-2</v>
      </c>
      <c r="F65" s="971">
        <f>审定报表!C8+审定报表!C13</f>
        <v>17053592.640000001</v>
      </c>
      <c r="G65" s="971">
        <f>审定报表!C158</f>
        <v>25101937.779999997</v>
      </c>
      <c r="H65" s="972">
        <f t="shared" si="12"/>
        <v>0.67937355233138508</v>
      </c>
      <c r="I65" s="975">
        <f t="shared" si="13"/>
        <v>0.60917777735846967</v>
      </c>
      <c r="J65" s="994"/>
      <c r="K65" s="101"/>
    </row>
    <row r="66" spans="1:11" ht="13.2">
      <c r="A66" s="995" t="s">
        <v>1775</v>
      </c>
      <c r="B66" s="970" t="s">
        <v>1776</v>
      </c>
      <c r="C66" s="971">
        <f>审定报表!D307</f>
        <v>0</v>
      </c>
      <c r="D66" s="971">
        <f>审定报表!D158</f>
        <v>9195302</v>
      </c>
      <c r="E66" s="975">
        <f>C66/D66</f>
        <v>0</v>
      </c>
      <c r="F66" s="971">
        <f>审定报表!C307</f>
        <v>0</v>
      </c>
      <c r="G66" s="971">
        <f>审定报表!C158</f>
        <v>25101937.779999997</v>
      </c>
      <c r="H66" s="972">
        <f t="shared" si="12"/>
        <v>0</v>
      </c>
      <c r="I66" s="975">
        <f t="shared" si="13"/>
        <v>0</v>
      </c>
      <c r="J66" s="994"/>
      <c r="K66" s="101"/>
    </row>
    <row r="67" spans="1:11" ht="13.2">
      <c r="A67" s="991" t="s">
        <v>1777</v>
      </c>
      <c r="B67" s="114"/>
      <c r="C67" s="127"/>
      <c r="D67" s="127"/>
      <c r="E67" s="128"/>
      <c r="F67" s="127"/>
      <c r="G67" s="127"/>
      <c r="H67" s="128"/>
      <c r="I67" s="128"/>
      <c r="J67" s="992"/>
      <c r="K67" s="101"/>
    </row>
    <row r="68" spans="1:11" ht="13.2">
      <c r="A68" s="993" t="s">
        <v>1778</v>
      </c>
      <c r="B68" s="113" t="s">
        <v>1779</v>
      </c>
      <c r="C68" s="971">
        <f>审定报表!D174</f>
        <v>9195302</v>
      </c>
      <c r="D68" s="971">
        <f>审定报表!D189</f>
        <v>62324858.679999992</v>
      </c>
      <c r="E68" s="975">
        <f>C68/D68</f>
        <v>0.14753827276548268</v>
      </c>
      <c r="F68" s="971">
        <f>审定报表!C174</f>
        <v>25101937.779999997</v>
      </c>
      <c r="G68" s="971">
        <f>审定报表!C189</f>
        <v>104552217.78999999</v>
      </c>
      <c r="H68" s="972">
        <f t="shared" si="12"/>
        <v>0.24008995993197285</v>
      </c>
      <c r="I68" s="975">
        <f t="shared" si="13"/>
        <v>9.2551687166490176E-2</v>
      </c>
      <c r="J68" s="994"/>
      <c r="K68" s="101"/>
    </row>
    <row r="69" spans="1:11" ht="13.2">
      <c r="A69" s="993" t="s">
        <v>1780</v>
      </c>
      <c r="B69" s="113" t="s">
        <v>1781</v>
      </c>
      <c r="C69" s="971">
        <f>审定报表!D173</f>
        <v>0</v>
      </c>
      <c r="D69" s="971">
        <f>审定报表!D173+审定报表!D189</f>
        <v>62324858.679999992</v>
      </c>
      <c r="E69" s="975">
        <f>C69/D69</f>
        <v>0</v>
      </c>
      <c r="F69" s="971">
        <f>审定报表!C173</f>
        <v>0</v>
      </c>
      <c r="G69" s="971">
        <f>审定报表!C173+审定报表!C189</f>
        <v>104552217.78999999</v>
      </c>
      <c r="H69" s="972">
        <f t="shared" si="12"/>
        <v>0</v>
      </c>
      <c r="I69" s="975">
        <f t="shared" si="13"/>
        <v>0</v>
      </c>
      <c r="J69" s="994"/>
      <c r="K69" s="101"/>
    </row>
    <row r="70" spans="1:11" ht="13.2">
      <c r="A70" s="993" t="s">
        <v>1782</v>
      </c>
      <c r="B70" s="113" t="s">
        <v>1783</v>
      </c>
      <c r="C70" s="971">
        <f>审定报表!D307</f>
        <v>0</v>
      </c>
      <c r="D70" s="971">
        <f>审定报表!D174</f>
        <v>9195302</v>
      </c>
      <c r="E70" s="975">
        <f>C70/D70</f>
        <v>0</v>
      </c>
      <c r="F70" s="971">
        <f>审定报表!C307</f>
        <v>0</v>
      </c>
      <c r="G70" s="971">
        <f>审定报表!C174</f>
        <v>25101937.779999997</v>
      </c>
      <c r="H70" s="972">
        <f t="shared" si="12"/>
        <v>0</v>
      </c>
      <c r="I70" s="975">
        <f t="shared" si="13"/>
        <v>0</v>
      </c>
      <c r="J70" s="994"/>
      <c r="K70" s="101"/>
    </row>
    <row r="71" spans="1:11" ht="13.2">
      <c r="A71" s="993" t="s">
        <v>1784</v>
      </c>
      <c r="B71" s="919" t="s">
        <v>1785</v>
      </c>
      <c r="C71" s="971">
        <f>审定报表!D59-审定报表!D158</f>
        <v>50226127.140000001</v>
      </c>
      <c r="D71" s="971">
        <f>审定报表!D173</f>
        <v>0</v>
      </c>
      <c r="E71" s="975" t="e">
        <f>C71/D71</f>
        <v>#DIV/0!</v>
      </c>
      <c r="F71" s="971">
        <f>审定报表!C59-审定报表!C158</f>
        <v>69490526.50999999</v>
      </c>
      <c r="G71" s="971">
        <f>审定报表!C173</f>
        <v>0</v>
      </c>
      <c r="H71" s="972" t="e">
        <f t="shared" si="12"/>
        <v>#DIV/0!</v>
      </c>
      <c r="I71" s="975" t="e">
        <f t="shared" si="13"/>
        <v>#DIV/0!</v>
      </c>
      <c r="J71" s="994"/>
      <c r="K71" s="101"/>
    </row>
    <row r="72" spans="1:11" ht="13.2">
      <c r="A72" s="993" t="s">
        <v>1786</v>
      </c>
      <c r="B72" s="919" t="s">
        <v>1787</v>
      </c>
      <c r="C72" s="971">
        <f>审定报表!D173</f>
        <v>0</v>
      </c>
      <c r="D72" s="971">
        <f>审定报表!C174</f>
        <v>25101937.779999997</v>
      </c>
      <c r="E72" s="975">
        <f t="shared" ref="E72:E85" si="14">C72/D72</f>
        <v>0</v>
      </c>
      <c r="F72" s="971">
        <f>审定报表!C173</f>
        <v>0</v>
      </c>
      <c r="G72" s="971">
        <f>审定报表!C174</f>
        <v>25101937.779999997</v>
      </c>
      <c r="H72" s="972">
        <f t="shared" si="12"/>
        <v>0</v>
      </c>
      <c r="I72" s="975">
        <f t="shared" si="13"/>
        <v>0</v>
      </c>
      <c r="J72" s="994"/>
      <c r="K72" s="101"/>
    </row>
    <row r="73" spans="1:11" ht="13.2">
      <c r="A73" s="993" t="s">
        <v>1788</v>
      </c>
      <c r="B73" s="919" t="s">
        <v>1789</v>
      </c>
      <c r="C73" s="971">
        <f>审定报表!D173</f>
        <v>0</v>
      </c>
      <c r="D73" s="971">
        <f>审定报表!D173+审定报表!D187</f>
        <v>62324858.679999992</v>
      </c>
      <c r="E73" s="975">
        <f t="shared" si="14"/>
        <v>0</v>
      </c>
      <c r="F73" s="971">
        <f>审定报表!C173</f>
        <v>0</v>
      </c>
      <c r="G73" s="971">
        <f>审定报表!C173+审定报表!C187</f>
        <v>104552217.78999999</v>
      </c>
      <c r="H73" s="972">
        <f t="shared" si="12"/>
        <v>0</v>
      </c>
      <c r="I73" s="975">
        <f t="shared" si="13"/>
        <v>0</v>
      </c>
      <c r="J73" s="994"/>
      <c r="K73" s="101"/>
    </row>
    <row r="74" spans="1:11" ht="13.2">
      <c r="A74" s="991" t="s">
        <v>1791</v>
      </c>
      <c r="B74" s="114"/>
      <c r="C74" s="127"/>
      <c r="D74" s="127"/>
      <c r="E74" s="128"/>
      <c r="F74" s="127"/>
      <c r="G74" s="127"/>
      <c r="H74" s="128"/>
      <c r="I74" s="128"/>
      <c r="J74" s="992"/>
      <c r="K74" s="101"/>
    </row>
    <row r="75" spans="1:11" ht="13.2">
      <c r="A75" s="993" t="s">
        <v>1792</v>
      </c>
      <c r="B75" s="919" t="s">
        <v>1793</v>
      </c>
      <c r="C75" s="971">
        <f>审定报表!D307</f>
        <v>0</v>
      </c>
      <c r="D75" s="971">
        <f>审定报表!D193+审定报表!D194</f>
        <v>22980342.579999998</v>
      </c>
      <c r="E75" s="975">
        <f t="shared" si="14"/>
        <v>0</v>
      </c>
      <c r="F75" s="971">
        <f>审定报表!C307</f>
        <v>0</v>
      </c>
      <c r="G75" s="971">
        <f>审定报表!C194+审定报表!C193</f>
        <v>35656228.109999999</v>
      </c>
      <c r="H75" s="972">
        <f t="shared" si="12"/>
        <v>0</v>
      </c>
      <c r="I75" s="975">
        <f t="shared" si="13"/>
        <v>0</v>
      </c>
      <c r="J75" s="994"/>
      <c r="K75" s="101"/>
    </row>
    <row r="76" spans="1:11" ht="13.2">
      <c r="A76" s="993" t="s">
        <v>1794</v>
      </c>
      <c r="B76" s="919" t="s">
        <v>1795</v>
      </c>
      <c r="C76" s="971">
        <f>审定报表!D280</f>
        <v>0</v>
      </c>
      <c r="D76" s="971">
        <f>审定报表!D193+审定报表!D194</f>
        <v>22980342.579999998</v>
      </c>
      <c r="E76" s="975">
        <f t="shared" si="14"/>
        <v>0</v>
      </c>
      <c r="F76" s="971">
        <f>审定报表!C280</f>
        <v>0</v>
      </c>
      <c r="G76" s="971">
        <f>审定报表!C193+审定报表!C194</f>
        <v>35656228.109999999</v>
      </c>
      <c r="H76" s="972">
        <f t="shared" si="12"/>
        <v>0</v>
      </c>
      <c r="I76" s="975">
        <f t="shared" si="13"/>
        <v>0</v>
      </c>
      <c r="J76" s="994"/>
      <c r="K76" s="101"/>
    </row>
    <row r="77" spans="1:11" ht="13.2">
      <c r="A77" s="993" t="s">
        <v>1796</v>
      </c>
      <c r="B77" s="919" t="s">
        <v>1797</v>
      </c>
      <c r="C77" s="971">
        <f>审定报表!D307</f>
        <v>0</v>
      </c>
      <c r="D77" s="971">
        <f>审定报表!D233</f>
        <v>21221252.780000001</v>
      </c>
      <c r="E77" s="975">
        <f t="shared" si="14"/>
        <v>0</v>
      </c>
      <c r="F77" s="971">
        <f>审定报表!C307</f>
        <v>0</v>
      </c>
      <c r="G77" s="971">
        <f>审定报表!C233</f>
        <v>32177359.109999999</v>
      </c>
      <c r="H77" s="972">
        <f t="shared" si="12"/>
        <v>0</v>
      </c>
      <c r="I77" s="975">
        <f t="shared" si="13"/>
        <v>0</v>
      </c>
      <c r="J77" s="994"/>
      <c r="K77" s="101"/>
    </row>
    <row r="78" spans="1:11" ht="13.2">
      <c r="A78" s="993" t="s">
        <v>1798</v>
      </c>
      <c r="B78" s="919" t="s">
        <v>1799</v>
      </c>
      <c r="C78" s="971">
        <f>审定报表!D307</f>
        <v>0</v>
      </c>
      <c r="D78" s="125"/>
      <c r="E78" s="975" t="e">
        <f t="shared" si="14"/>
        <v>#DIV/0!</v>
      </c>
      <c r="F78" s="971">
        <f>审定报表!C307</f>
        <v>0</v>
      </c>
      <c r="G78" s="125"/>
      <c r="H78" s="972" t="e">
        <f t="shared" si="12"/>
        <v>#DIV/0!</v>
      </c>
      <c r="I78" s="975" t="e">
        <f t="shared" si="13"/>
        <v>#DIV/0!</v>
      </c>
      <c r="J78" s="994"/>
      <c r="K78" s="101"/>
    </row>
    <row r="79" spans="1:11" ht="13.2">
      <c r="A79" s="993" t="s">
        <v>1800</v>
      </c>
      <c r="B79" s="919" t="s">
        <v>1801</v>
      </c>
      <c r="C79" s="971">
        <f>审定报表!D307</f>
        <v>0</v>
      </c>
      <c r="D79" s="125"/>
      <c r="E79" s="975" t="e">
        <f t="shared" si="14"/>
        <v>#DIV/0!</v>
      </c>
      <c r="F79" s="971">
        <f>审定报表!C307</f>
        <v>0</v>
      </c>
      <c r="G79" s="125"/>
      <c r="H79" s="972" t="e">
        <f t="shared" si="12"/>
        <v>#DIV/0!</v>
      </c>
      <c r="I79" s="975" t="e">
        <f t="shared" si="13"/>
        <v>#DIV/0!</v>
      </c>
      <c r="J79" s="994"/>
      <c r="K79" s="101"/>
    </row>
    <row r="80" spans="1:11" ht="13.2">
      <c r="A80" s="991" t="s">
        <v>1808</v>
      </c>
      <c r="B80" s="114"/>
      <c r="C80" s="127"/>
      <c r="D80" s="127"/>
      <c r="E80" s="128"/>
      <c r="F80" s="127"/>
      <c r="G80" s="127"/>
      <c r="H80" s="128"/>
      <c r="I80" s="128"/>
      <c r="J80" s="992"/>
      <c r="K80" s="101"/>
    </row>
    <row r="81" spans="1:11" ht="13.2">
      <c r="A81" s="995" t="s">
        <v>1802</v>
      </c>
      <c r="B81" s="113" t="s">
        <v>1803</v>
      </c>
      <c r="C81" s="125"/>
      <c r="D81" s="125"/>
      <c r="E81" s="975" t="e">
        <f t="shared" si="14"/>
        <v>#DIV/0!</v>
      </c>
      <c r="F81" s="125"/>
      <c r="G81" s="125"/>
      <c r="H81" s="972" t="e">
        <f t="shared" si="12"/>
        <v>#DIV/0!</v>
      </c>
      <c r="I81" s="975" t="e">
        <f t="shared" si="13"/>
        <v>#DIV/0!</v>
      </c>
      <c r="J81" s="994"/>
      <c r="K81" s="101"/>
    </row>
    <row r="82" spans="1:11" ht="13.2">
      <c r="A82" s="995" t="s">
        <v>1804</v>
      </c>
      <c r="B82" s="113" t="s">
        <v>1805</v>
      </c>
      <c r="C82" s="971">
        <f>审定报表!D180</f>
        <v>2253786.7999999998</v>
      </c>
      <c r="D82" s="971">
        <f>审定报表!D176</f>
        <v>51000000</v>
      </c>
      <c r="E82" s="975">
        <f t="shared" si="14"/>
        <v>4.419189803921568E-2</v>
      </c>
      <c r="F82" s="971">
        <f>审定报表!C180</f>
        <v>8953786.8000000007</v>
      </c>
      <c r="G82" s="971">
        <f>审定报表!C176</f>
        <v>54350000</v>
      </c>
      <c r="H82" s="972">
        <f t="shared" si="12"/>
        <v>0.16474308739650415</v>
      </c>
      <c r="I82" s="975">
        <f t="shared" si="13"/>
        <v>0.12055118935728847</v>
      </c>
      <c r="J82" s="994"/>
      <c r="K82" s="101"/>
    </row>
    <row r="83" spans="1:11" ht="13.2">
      <c r="A83" s="995" t="s">
        <v>1806</v>
      </c>
      <c r="B83" s="113" t="s">
        <v>1807</v>
      </c>
      <c r="C83" s="971">
        <f>审定报表!D186</f>
        <v>8163964.6899999995</v>
      </c>
      <c r="D83" s="971">
        <f>审定报表!D176</f>
        <v>51000000</v>
      </c>
      <c r="E83" s="975">
        <f t="shared" si="14"/>
        <v>0.16007773901960784</v>
      </c>
      <c r="F83" s="125">
        <f>审定报表!C186</f>
        <v>37123587.890000001</v>
      </c>
      <c r="G83" s="125">
        <f>审定报表!C176</f>
        <v>54350000</v>
      </c>
      <c r="H83" s="972">
        <f t="shared" si="12"/>
        <v>0.68304669530818773</v>
      </c>
      <c r="I83" s="975">
        <f t="shared" si="13"/>
        <v>0.52296895628857987</v>
      </c>
      <c r="J83" s="994"/>
      <c r="K83" s="101"/>
    </row>
    <row r="84" spans="1:11" ht="13.2">
      <c r="A84" s="991" t="s">
        <v>1815</v>
      </c>
      <c r="B84" s="114"/>
      <c r="C84" s="127"/>
      <c r="D84" s="127"/>
      <c r="E84" s="128"/>
      <c r="F84" s="127"/>
      <c r="G84" s="127"/>
      <c r="H84" s="128"/>
      <c r="I84" s="128"/>
      <c r="J84" s="992"/>
      <c r="K84" s="101"/>
    </row>
    <row r="85" spans="1:11" ht="13.2">
      <c r="A85" s="996" t="s">
        <v>1813</v>
      </c>
      <c r="B85" s="986" t="s">
        <v>1814</v>
      </c>
      <c r="C85" s="971">
        <f>审定报表!D189</f>
        <v>62324858.679999992</v>
      </c>
      <c r="D85" s="125"/>
      <c r="E85" s="975" t="e">
        <f t="shared" si="14"/>
        <v>#DIV/0!</v>
      </c>
      <c r="F85" s="125">
        <f>审定报表!C189</f>
        <v>104552217.78999999</v>
      </c>
      <c r="G85" s="125">
        <f>审定报表!D189</f>
        <v>62324858.679999992</v>
      </c>
      <c r="H85" s="972">
        <f t="shared" si="12"/>
        <v>1.6775363796139779</v>
      </c>
      <c r="I85" s="975" t="e">
        <f t="shared" si="13"/>
        <v>#DIV/0!</v>
      </c>
      <c r="J85" s="994"/>
      <c r="K85" s="101"/>
    </row>
    <row r="86" spans="1:11" ht="13.2">
      <c r="A86" s="1008"/>
      <c r="B86" s="920"/>
      <c r="C86" s="125"/>
      <c r="D86" s="125"/>
      <c r="E86" s="189">
        <f>IF(D86=0,0,C86/D86)</f>
        <v>0</v>
      </c>
      <c r="F86" s="125"/>
      <c r="G86" s="125"/>
      <c r="H86" s="189">
        <f>IF(G86=0,0,F86/G86)</f>
        <v>0</v>
      </c>
      <c r="I86" s="126">
        <f t="shared" ref="I86" si="15">IF(E86=0,0,(H86-E86)/E86)</f>
        <v>0</v>
      </c>
      <c r="J86" s="994" t="str">
        <f t="shared" ref="J86" si="16">IF(ABS(I86)&lt;20%,"",IF(ABS(I86)&lt;50%,"关注","显著"))</f>
        <v/>
      </c>
      <c r="K86" s="101"/>
    </row>
    <row r="87" spans="1:11" ht="13.8" thickBot="1">
      <c r="A87" s="1009"/>
      <c r="B87" s="116"/>
      <c r="C87" s="129"/>
      <c r="D87" s="129"/>
      <c r="E87" s="190">
        <f>IF(D87=0,0,C87/D87)</f>
        <v>0</v>
      </c>
      <c r="F87" s="131"/>
      <c r="G87" s="131"/>
      <c r="H87" s="190">
        <f>IF(G87=0,0,F87/G87)</f>
        <v>0</v>
      </c>
      <c r="I87" s="130">
        <f>IF(E87=0,0,(H87-E87)/E87)</f>
        <v>0</v>
      </c>
      <c r="J87" s="1010" t="str">
        <f>IF(ABS(I87)&lt;20%,"",IF(ABS(I87)&lt;50%,"关注","显著"))</f>
        <v/>
      </c>
      <c r="K87" s="101"/>
    </row>
    <row r="88" spans="1:11">
      <c r="A88" s="101"/>
      <c r="B88" s="117"/>
      <c r="C88" s="104"/>
      <c r="D88" s="104"/>
      <c r="E88" s="103"/>
      <c r="F88" s="104"/>
      <c r="G88" s="104"/>
      <c r="H88" s="101"/>
      <c r="I88" s="101"/>
      <c r="J88" s="101"/>
      <c r="K88" s="101"/>
    </row>
    <row r="89" spans="1:11">
      <c r="A89" s="101"/>
      <c r="B89" s="117"/>
      <c r="C89" s="104"/>
      <c r="D89" s="104"/>
      <c r="E89" s="103"/>
      <c r="F89" s="104"/>
      <c r="G89" s="104"/>
      <c r="H89" s="101"/>
      <c r="I89" s="101"/>
      <c r="J89" s="101"/>
      <c r="K89" s="101"/>
    </row>
    <row r="90" spans="1:11">
      <c r="A90" s="101"/>
      <c r="B90" s="117"/>
      <c r="C90" s="104"/>
      <c r="D90" s="104"/>
      <c r="E90" s="103"/>
      <c r="F90" s="104"/>
      <c r="G90" s="104"/>
      <c r="H90" s="101"/>
      <c r="I90" s="101"/>
      <c r="J90" s="101"/>
      <c r="K90" s="101"/>
    </row>
    <row r="91" spans="1:11">
      <c r="A91" s="101"/>
      <c r="B91" s="117"/>
      <c r="C91" s="104"/>
      <c r="D91" s="104"/>
      <c r="E91" s="103"/>
      <c r="F91" s="104"/>
      <c r="G91" s="104"/>
      <c r="H91" s="101"/>
      <c r="I91" s="101"/>
      <c r="J91" s="101"/>
      <c r="K91" s="101"/>
    </row>
    <row r="92" spans="1:11">
      <c r="A92" s="101"/>
      <c r="B92" s="117"/>
      <c r="C92" s="104"/>
      <c r="D92" s="104"/>
      <c r="E92" s="103"/>
      <c r="F92" s="104"/>
      <c r="G92" s="104"/>
      <c r="H92" s="101"/>
      <c r="I92" s="101"/>
      <c r="J92" s="101"/>
      <c r="K92" s="101"/>
    </row>
    <row r="93" spans="1:11">
      <c r="A93" s="101"/>
      <c r="B93" s="117"/>
      <c r="C93" s="104"/>
      <c r="D93" s="104"/>
      <c r="E93" s="103"/>
      <c r="F93" s="104"/>
      <c r="G93" s="104"/>
      <c r="H93" s="101"/>
      <c r="I93" s="101"/>
      <c r="J93" s="101"/>
      <c r="K93" s="101"/>
    </row>
    <row r="94" spans="1:11">
      <c r="A94" s="101" t="s">
        <v>67</v>
      </c>
      <c r="B94" s="117"/>
      <c r="C94" s="104"/>
      <c r="D94" s="104"/>
      <c r="E94" s="103"/>
      <c r="F94" s="104"/>
      <c r="G94" s="104"/>
      <c r="H94" s="101"/>
      <c r="I94" s="101"/>
      <c r="J94" s="101"/>
      <c r="K94" s="101"/>
    </row>
    <row r="95" spans="1:11" ht="12">
      <c r="A95" s="105" t="s">
        <v>76</v>
      </c>
      <c r="B95" s="117"/>
      <c r="C95" s="104"/>
      <c r="D95" s="104"/>
      <c r="E95" s="103"/>
      <c r="F95" s="104"/>
      <c r="G95" s="104"/>
      <c r="H95" s="101"/>
      <c r="I95" s="101"/>
      <c r="J95" s="101"/>
      <c r="K95" s="101"/>
    </row>
    <row r="96" spans="1:11" ht="12">
      <c r="A96" s="105" t="s">
        <v>92</v>
      </c>
      <c r="B96" s="117"/>
      <c r="C96" s="104"/>
      <c r="D96" s="104"/>
      <c r="E96" s="103"/>
      <c r="F96" s="104"/>
      <c r="G96" s="104"/>
      <c r="H96" s="101"/>
      <c r="I96" s="101"/>
      <c r="J96" s="101"/>
      <c r="K96" s="101"/>
    </row>
    <row r="97" spans="1:11" ht="12">
      <c r="A97" s="105" t="s">
        <v>75</v>
      </c>
      <c r="B97" s="117"/>
      <c r="C97" s="104"/>
      <c r="D97" s="104"/>
      <c r="E97" s="103"/>
      <c r="F97" s="104"/>
      <c r="G97" s="104"/>
      <c r="H97" s="101"/>
      <c r="I97" s="101"/>
      <c r="J97" s="101"/>
      <c r="K97" s="101"/>
    </row>
    <row r="98" spans="1:11">
      <c r="A98" s="101"/>
      <c r="B98" s="117"/>
      <c r="C98" s="104"/>
      <c r="D98" s="104"/>
      <c r="E98" s="103"/>
      <c r="F98" s="104"/>
      <c r="G98" s="104"/>
      <c r="H98" s="101"/>
      <c r="I98" s="101"/>
      <c r="J98" s="101"/>
      <c r="K98" s="101"/>
    </row>
    <row r="99" spans="1:11">
      <c r="A99" s="101"/>
      <c r="B99" s="117"/>
      <c r="C99" s="104"/>
      <c r="D99" s="104"/>
      <c r="E99" s="103"/>
      <c r="F99" s="104"/>
      <c r="G99" s="104"/>
      <c r="H99" s="101"/>
      <c r="I99" s="101"/>
      <c r="J99" s="101"/>
      <c r="K99" s="101"/>
    </row>
    <row r="100" spans="1:11">
      <c r="A100" s="101"/>
      <c r="B100" s="117"/>
      <c r="C100" s="104"/>
      <c r="D100" s="104"/>
      <c r="E100" s="103"/>
      <c r="F100" s="104"/>
      <c r="G100" s="104"/>
      <c r="H100" s="101"/>
      <c r="I100" s="101"/>
      <c r="J100" s="101"/>
      <c r="K100" s="101"/>
    </row>
    <row r="101" spans="1:11">
      <c r="A101" s="101"/>
      <c r="B101" s="117"/>
      <c r="C101" s="104"/>
      <c r="D101" s="104"/>
      <c r="E101" s="103"/>
      <c r="F101" s="104"/>
      <c r="G101" s="104"/>
      <c r="H101" s="101"/>
      <c r="I101" s="101"/>
      <c r="J101" s="101"/>
      <c r="K101" s="101"/>
    </row>
    <row r="102" spans="1:11">
      <c r="A102" s="101"/>
      <c r="B102" s="117"/>
      <c r="C102" s="104"/>
      <c r="D102" s="104"/>
      <c r="E102" s="103"/>
      <c r="F102" s="104"/>
      <c r="G102" s="104"/>
      <c r="H102" s="101"/>
      <c r="I102" s="101"/>
      <c r="J102" s="101"/>
      <c r="K102" s="101"/>
    </row>
    <row r="103" spans="1:11">
      <c r="A103" s="101"/>
      <c r="B103" s="117"/>
      <c r="C103" s="104"/>
      <c r="D103" s="104"/>
      <c r="E103" s="103"/>
      <c r="F103" s="104"/>
      <c r="G103" s="104"/>
      <c r="H103" s="101"/>
      <c r="I103" s="101"/>
      <c r="J103" s="101"/>
      <c r="K103" s="101"/>
    </row>
    <row r="104" spans="1:11">
      <c r="A104" s="101"/>
      <c r="B104" s="117"/>
      <c r="C104" s="104"/>
      <c r="D104" s="104"/>
      <c r="E104" s="103"/>
      <c r="F104" s="104"/>
      <c r="G104" s="104"/>
      <c r="H104" s="101"/>
      <c r="I104" s="101"/>
      <c r="J104" s="101"/>
      <c r="K104" s="101"/>
    </row>
    <row r="105" spans="1:11">
      <c r="A105" s="101"/>
      <c r="B105" s="117"/>
      <c r="C105" s="104"/>
      <c r="D105" s="104"/>
      <c r="E105" s="103"/>
      <c r="F105" s="104"/>
      <c r="G105" s="104"/>
      <c r="H105" s="101"/>
      <c r="I105" s="101"/>
      <c r="J105" s="101"/>
      <c r="K105" s="101"/>
    </row>
    <row r="106" spans="1:11">
      <c r="A106" s="101"/>
      <c r="B106" s="117"/>
      <c r="C106" s="104"/>
      <c r="D106" s="104"/>
      <c r="E106" s="103"/>
      <c r="F106" s="104"/>
      <c r="G106" s="104"/>
      <c r="H106" s="101"/>
      <c r="I106" s="101"/>
      <c r="J106" s="101"/>
      <c r="K106" s="101"/>
    </row>
    <row r="107" spans="1:11">
      <c r="A107" s="101"/>
      <c r="B107" s="117"/>
      <c r="C107" s="104"/>
      <c r="D107" s="104"/>
      <c r="E107" s="103"/>
      <c r="F107" s="104"/>
      <c r="G107" s="104"/>
      <c r="H107" s="101"/>
      <c r="I107" s="101"/>
      <c r="J107" s="101"/>
      <c r="K107" s="101"/>
    </row>
    <row r="108" spans="1:11">
      <c r="A108" s="101"/>
      <c r="B108" s="117"/>
      <c r="C108" s="104"/>
      <c r="D108" s="104"/>
      <c r="E108" s="103"/>
      <c r="F108" s="104"/>
      <c r="G108" s="104"/>
      <c r="H108" s="101"/>
      <c r="I108" s="101"/>
      <c r="J108" s="101"/>
      <c r="K108" s="101"/>
    </row>
    <row r="109" spans="1:11">
      <c r="A109" s="101"/>
      <c r="B109" s="117"/>
      <c r="C109" s="104"/>
      <c r="D109" s="104"/>
      <c r="E109" s="103"/>
      <c r="F109" s="104"/>
      <c r="G109" s="104"/>
      <c r="H109" s="101"/>
      <c r="I109" s="101"/>
      <c r="J109" s="101"/>
      <c r="K109" s="101"/>
    </row>
    <row r="110" spans="1:11">
      <c r="A110" s="101"/>
      <c r="B110" s="117"/>
      <c r="C110" s="104"/>
      <c r="D110" s="104"/>
      <c r="E110" s="103"/>
      <c r="F110" s="104"/>
      <c r="G110" s="104"/>
      <c r="H110" s="101"/>
      <c r="I110" s="101"/>
      <c r="J110" s="101"/>
      <c r="K110" s="101"/>
    </row>
    <row r="111" spans="1:11">
      <c r="A111" s="101"/>
      <c r="B111" s="117"/>
      <c r="C111" s="104"/>
      <c r="D111" s="104"/>
      <c r="E111" s="103"/>
      <c r="F111" s="104"/>
      <c r="G111" s="104"/>
      <c r="H111" s="101"/>
      <c r="I111" s="101"/>
      <c r="J111" s="101"/>
      <c r="K111" s="101"/>
    </row>
    <row r="112" spans="1:11">
      <c r="A112" s="101"/>
      <c r="B112" s="117"/>
      <c r="C112" s="104"/>
      <c r="D112" s="104"/>
      <c r="E112" s="103"/>
      <c r="F112" s="104"/>
      <c r="G112" s="104"/>
      <c r="H112" s="101"/>
      <c r="I112" s="101"/>
      <c r="J112" s="101"/>
      <c r="K112" s="101"/>
    </row>
    <row r="113" spans="1:11">
      <c r="A113" s="101"/>
      <c r="B113" s="117"/>
      <c r="C113" s="104"/>
      <c r="D113" s="104"/>
      <c r="E113" s="103"/>
      <c r="F113" s="104"/>
      <c r="G113" s="104"/>
      <c r="H113" s="101"/>
      <c r="I113" s="101"/>
      <c r="J113" s="101"/>
      <c r="K113" s="101"/>
    </row>
    <row r="114" spans="1:11">
      <c r="A114" s="101"/>
      <c r="B114" s="117"/>
      <c r="C114" s="104"/>
      <c r="D114" s="104"/>
      <c r="E114" s="103"/>
      <c r="F114" s="104"/>
      <c r="G114" s="104"/>
      <c r="H114" s="101"/>
      <c r="I114" s="101"/>
      <c r="J114" s="101"/>
      <c r="K114" s="101"/>
    </row>
    <row r="115" spans="1:11">
      <c r="A115" s="101"/>
      <c r="B115" s="117"/>
      <c r="C115" s="104"/>
      <c r="D115" s="104"/>
      <c r="E115" s="103"/>
      <c r="F115" s="104"/>
      <c r="G115" s="104"/>
      <c r="H115" s="101"/>
      <c r="I115" s="101"/>
      <c r="J115" s="101"/>
      <c r="K115" s="101"/>
    </row>
    <row r="116" spans="1:11">
      <c r="E116" s="103"/>
      <c r="F116" s="104"/>
      <c r="G116" s="104"/>
      <c r="H116" s="101"/>
      <c r="I116" s="101"/>
      <c r="J116" s="101"/>
    </row>
    <row r="117" spans="1:11">
      <c r="E117" s="103"/>
      <c r="F117" s="104"/>
      <c r="G117" s="104"/>
      <c r="H117" s="101"/>
      <c r="I117" s="101"/>
      <c r="J117" s="101"/>
    </row>
    <row r="118" spans="1:11">
      <c r="E118" s="103"/>
      <c r="F118" s="104"/>
      <c r="G118" s="104"/>
      <c r="H118" s="101"/>
      <c r="I118" s="101"/>
      <c r="J118" s="101"/>
    </row>
    <row r="119" spans="1:11">
      <c r="E119" s="103"/>
      <c r="F119" s="104"/>
      <c r="G119" s="104"/>
      <c r="H119" s="101"/>
      <c r="I119" s="101"/>
      <c r="J119" s="101"/>
    </row>
    <row r="120" spans="1:11">
      <c r="E120" s="103"/>
      <c r="F120" s="104"/>
      <c r="G120" s="104"/>
      <c r="H120" s="101"/>
      <c r="I120" s="101"/>
      <c r="J120" s="101"/>
    </row>
    <row r="121" spans="1:11">
      <c r="E121" s="103"/>
      <c r="F121" s="104"/>
      <c r="G121" s="104"/>
      <c r="H121" s="101"/>
      <c r="I121" s="101"/>
      <c r="J121" s="101"/>
    </row>
    <row r="122" spans="1:11">
      <c r="E122" s="103"/>
      <c r="F122" s="104"/>
      <c r="G122" s="104"/>
      <c r="H122" s="101"/>
      <c r="I122" s="101"/>
      <c r="J122" s="101"/>
    </row>
    <row r="123" spans="1:11">
      <c r="E123" s="103"/>
      <c r="F123" s="104"/>
      <c r="G123" s="104"/>
      <c r="H123" s="101"/>
      <c r="I123" s="101"/>
      <c r="J123" s="101"/>
    </row>
    <row r="124" spans="1:11">
      <c r="E124" s="103"/>
      <c r="F124" s="104"/>
      <c r="G124" s="104"/>
      <c r="H124" s="101"/>
      <c r="I124" s="101"/>
      <c r="J124" s="101"/>
    </row>
    <row r="125" spans="1:11">
      <c r="E125" s="103"/>
      <c r="F125" s="104"/>
      <c r="G125" s="104"/>
      <c r="H125" s="101"/>
      <c r="I125" s="101"/>
      <c r="J125" s="101"/>
    </row>
    <row r="126" spans="1:11">
      <c r="E126" s="103"/>
      <c r="F126" s="104"/>
      <c r="G126" s="104"/>
      <c r="H126" s="101"/>
      <c r="I126" s="101"/>
      <c r="J126" s="101"/>
    </row>
    <row r="127" spans="1:11">
      <c r="E127" s="103"/>
      <c r="F127" s="104"/>
      <c r="G127" s="104"/>
      <c r="H127" s="101"/>
      <c r="I127" s="101"/>
      <c r="J127" s="101"/>
    </row>
    <row r="128" spans="1:11">
      <c r="E128" s="103"/>
      <c r="F128" s="104"/>
      <c r="G128" s="104"/>
      <c r="H128" s="101"/>
      <c r="I128" s="101"/>
      <c r="J128" s="101"/>
    </row>
    <row r="129" spans="5:10">
      <c r="E129" s="103"/>
      <c r="F129" s="104"/>
      <c r="G129" s="104"/>
      <c r="H129" s="101"/>
      <c r="I129" s="101"/>
      <c r="J129" s="101"/>
    </row>
    <row r="130" spans="5:10">
      <c r="E130" s="103"/>
      <c r="F130" s="104"/>
      <c r="G130" s="104"/>
      <c r="H130" s="101"/>
      <c r="I130" s="101"/>
      <c r="J130" s="101"/>
    </row>
    <row r="131" spans="5:10">
      <c r="E131" s="103"/>
      <c r="F131" s="104"/>
      <c r="G131" s="104"/>
      <c r="H131" s="101"/>
      <c r="I131" s="101"/>
      <c r="J131" s="101"/>
    </row>
    <row r="132" spans="5:10">
      <c r="E132" s="103"/>
      <c r="F132" s="104"/>
      <c r="G132" s="104"/>
      <c r="H132" s="101"/>
      <c r="I132" s="101"/>
      <c r="J132" s="101"/>
    </row>
    <row r="133" spans="5:10">
      <c r="E133" s="103"/>
      <c r="F133" s="104"/>
      <c r="G133" s="104"/>
      <c r="H133" s="101"/>
      <c r="I133" s="101"/>
      <c r="J133" s="101"/>
    </row>
    <row r="134" spans="5:10">
      <c r="E134" s="103"/>
      <c r="F134" s="104"/>
      <c r="G134" s="104"/>
      <c r="H134" s="101"/>
      <c r="I134" s="101"/>
      <c r="J134" s="101"/>
    </row>
    <row r="135" spans="5:10">
      <c r="E135" s="103"/>
      <c r="F135" s="104"/>
      <c r="G135" s="104"/>
      <c r="H135" s="101"/>
      <c r="I135" s="101"/>
      <c r="J135" s="101"/>
    </row>
    <row r="136" spans="5:10">
      <c r="E136" s="103"/>
      <c r="F136" s="104"/>
      <c r="G136" s="104"/>
      <c r="H136" s="101"/>
      <c r="I136" s="101"/>
      <c r="J136" s="101"/>
    </row>
    <row r="137" spans="5:10">
      <c r="E137" s="103"/>
      <c r="F137" s="104"/>
      <c r="G137" s="104"/>
      <c r="H137" s="101"/>
      <c r="I137" s="101"/>
      <c r="J137" s="101"/>
    </row>
    <row r="138" spans="5:10">
      <c r="E138" s="103"/>
      <c r="F138" s="104"/>
      <c r="G138" s="104"/>
      <c r="H138" s="101"/>
      <c r="I138" s="101"/>
      <c r="J138" s="101"/>
    </row>
    <row r="139" spans="5:10">
      <c r="E139" s="103"/>
      <c r="F139" s="104"/>
      <c r="G139" s="104"/>
      <c r="H139" s="101"/>
      <c r="I139" s="101"/>
      <c r="J139" s="101"/>
    </row>
    <row r="140" spans="5:10">
      <c r="E140" s="103"/>
      <c r="F140" s="104"/>
      <c r="G140" s="104"/>
      <c r="H140" s="101"/>
      <c r="I140" s="101"/>
      <c r="J140" s="101"/>
    </row>
    <row r="141" spans="5:10">
      <c r="E141" s="103"/>
      <c r="F141" s="104"/>
      <c r="G141" s="104"/>
      <c r="H141" s="101"/>
      <c r="I141" s="101"/>
      <c r="J141" s="101"/>
    </row>
    <row r="142" spans="5:10">
      <c r="E142" s="103"/>
      <c r="F142" s="104"/>
      <c r="G142" s="104"/>
      <c r="H142" s="101"/>
      <c r="I142" s="101"/>
      <c r="J142" s="101"/>
    </row>
    <row r="143" spans="5:10">
      <c r="E143" s="103"/>
      <c r="F143" s="104"/>
      <c r="G143" s="104"/>
      <c r="H143" s="101"/>
      <c r="I143" s="101"/>
      <c r="J143" s="101"/>
    </row>
    <row r="144" spans="5:10">
      <c r="E144" s="103"/>
      <c r="F144" s="104"/>
      <c r="G144" s="104"/>
      <c r="H144" s="101"/>
      <c r="I144" s="101"/>
      <c r="J144" s="101"/>
    </row>
    <row r="145" spans="5:10">
      <c r="E145" s="103"/>
      <c r="F145" s="104"/>
      <c r="G145" s="104"/>
      <c r="H145" s="101"/>
      <c r="I145" s="101"/>
      <c r="J145" s="101"/>
    </row>
    <row r="146" spans="5:10">
      <c r="E146" s="103"/>
      <c r="F146" s="104"/>
      <c r="G146" s="104"/>
      <c r="H146" s="101"/>
      <c r="I146" s="101"/>
      <c r="J146" s="101"/>
    </row>
    <row r="147" spans="5:10">
      <c r="E147" s="103"/>
      <c r="F147" s="104"/>
      <c r="G147" s="104"/>
      <c r="H147" s="101"/>
      <c r="I147" s="101"/>
      <c r="J147" s="101"/>
    </row>
    <row r="148" spans="5:10">
      <c r="E148" s="103"/>
      <c r="F148" s="104"/>
      <c r="G148" s="104"/>
      <c r="H148" s="101"/>
      <c r="I148" s="101"/>
      <c r="J148" s="101"/>
    </row>
    <row r="149" spans="5:10">
      <c r="E149" s="103"/>
      <c r="F149" s="104"/>
      <c r="G149" s="104"/>
      <c r="H149" s="101"/>
      <c r="I149" s="101"/>
      <c r="J149" s="101"/>
    </row>
    <row r="150" spans="5:10">
      <c r="E150" s="103"/>
      <c r="F150" s="104"/>
      <c r="G150" s="104"/>
      <c r="H150" s="101"/>
      <c r="I150" s="101"/>
      <c r="J150" s="101"/>
    </row>
    <row r="151" spans="5:10">
      <c r="E151" s="103"/>
      <c r="F151" s="104"/>
      <c r="G151" s="104"/>
      <c r="H151" s="101"/>
      <c r="I151" s="101"/>
      <c r="J151" s="101"/>
    </row>
    <row r="152" spans="5:10">
      <c r="E152" s="103"/>
      <c r="F152" s="104"/>
      <c r="G152" s="104"/>
      <c r="H152" s="101"/>
      <c r="I152" s="101"/>
      <c r="J152" s="101"/>
    </row>
    <row r="153" spans="5:10">
      <c r="E153" s="103"/>
      <c r="F153" s="104"/>
      <c r="G153" s="104"/>
      <c r="H153" s="101"/>
      <c r="I153" s="101"/>
      <c r="J153" s="101"/>
    </row>
    <row r="154" spans="5:10">
      <c r="E154" s="103"/>
      <c r="F154" s="104"/>
      <c r="G154" s="104"/>
      <c r="H154" s="101"/>
      <c r="I154" s="101"/>
      <c r="J154" s="101"/>
    </row>
    <row r="155" spans="5:10">
      <c r="E155" s="103"/>
      <c r="F155" s="104"/>
      <c r="G155" s="104"/>
      <c r="H155" s="101"/>
      <c r="I155" s="101"/>
      <c r="J155" s="101"/>
    </row>
    <row r="156" spans="5:10">
      <c r="E156" s="103"/>
      <c r="F156" s="104"/>
      <c r="G156" s="104"/>
      <c r="H156" s="101"/>
      <c r="I156" s="101"/>
      <c r="J156" s="101"/>
    </row>
    <row r="157" spans="5:10">
      <c r="E157" s="103"/>
      <c r="F157" s="104"/>
      <c r="G157" s="104"/>
      <c r="H157" s="101"/>
      <c r="I157" s="101"/>
      <c r="J157" s="101"/>
    </row>
    <row r="158" spans="5:10">
      <c r="E158" s="103"/>
      <c r="F158" s="104"/>
      <c r="G158" s="104"/>
      <c r="H158" s="101"/>
      <c r="I158" s="101"/>
      <c r="J158" s="101"/>
    </row>
    <row r="159" spans="5:10">
      <c r="E159" s="103"/>
      <c r="F159" s="104"/>
      <c r="G159" s="104"/>
      <c r="H159" s="101"/>
      <c r="I159" s="101"/>
      <c r="J159" s="101"/>
    </row>
    <row r="160" spans="5:10">
      <c r="E160" s="103"/>
      <c r="F160" s="104"/>
      <c r="G160" s="104"/>
      <c r="H160" s="101"/>
      <c r="I160" s="101"/>
      <c r="J160" s="101"/>
    </row>
    <row r="161" spans="5:10">
      <c r="E161" s="103"/>
      <c r="F161" s="104"/>
      <c r="G161" s="104"/>
      <c r="H161" s="101"/>
      <c r="I161" s="101"/>
      <c r="J161" s="101"/>
    </row>
    <row r="162" spans="5:10">
      <c r="E162" s="103"/>
      <c r="F162" s="104"/>
      <c r="G162" s="104"/>
      <c r="H162" s="101"/>
      <c r="I162" s="101"/>
      <c r="J162" s="101"/>
    </row>
    <row r="163" spans="5:10">
      <c r="E163" s="103"/>
      <c r="F163" s="104"/>
      <c r="G163" s="104"/>
      <c r="H163" s="101"/>
      <c r="I163" s="101"/>
      <c r="J163" s="101"/>
    </row>
    <row r="164" spans="5:10">
      <c r="E164" s="103"/>
      <c r="F164" s="104"/>
      <c r="G164" s="104"/>
      <c r="H164" s="101"/>
      <c r="I164" s="101"/>
      <c r="J164" s="101"/>
    </row>
    <row r="165" spans="5:10">
      <c r="E165" s="103"/>
      <c r="F165" s="104"/>
      <c r="G165" s="104"/>
      <c r="H165" s="101"/>
      <c r="I165" s="101"/>
      <c r="J165" s="101"/>
    </row>
    <row r="166" spans="5:10">
      <c r="E166" s="103"/>
      <c r="F166" s="104"/>
      <c r="G166" s="104"/>
      <c r="H166" s="101"/>
      <c r="I166" s="101"/>
      <c r="J166" s="101"/>
    </row>
    <row r="167" spans="5:10">
      <c r="E167" s="103"/>
      <c r="F167" s="104"/>
      <c r="G167" s="104"/>
      <c r="H167" s="101"/>
      <c r="I167" s="101"/>
      <c r="J167" s="101"/>
    </row>
    <row r="168" spans="5:10">
      <c r="E168" s="103"/>
      <c r="F168" s="104"/>
      <c r="G168" s="104"/>
      <c r="H168" s="101"/>
      <c r="I168" s="101"/>
      <c r="J168" s="101"/>
    </row>
    <row r="169" spans="5:10">
      <c r="E169" s="103"/>
      <c r="F169" s="104"/>
      <c r="G169" s="104"/>
      <c r="H169" s="101"/>
      <c r="I169" s="101"/>
      <c r="J169" s="101"/>
    </row>
    <row r="170" spans="5:10">
      <c r="E170" s="103"/>
      <c r="F170" s="104"/>
      <c r="G170" s="104"/>
      <c r="H170" s="101"/>
      <c r="I170" s="101"/>
      <c r="J170" s="101"/>
    </row>
    <row r="171" spans="5:10">
      <c r="E171" s="103"/>
      <c r="F171" s="104"/>
      <c r="G171" s="104"/>
      <c r="H171" s="101"/>
      <c r="I171" s="101"/>
      <c r="J171" s="101"/>
    </row>
    <row r="172" spans="5:10">
      <c r="E172" s="103"/>
      <c r="F172" s="104"/>
      <c r="G172" s="104"/>
      <c r="H172" s="101"/>
      <c r="I172" s="101"/>
      <c r="J172" s="101"/>
    </row>
    <row r="173" spans="5:10">
      <c r="E173" s="103"/>
      <c r="F173" s="104"/>
      <c r="G173" s="104"/>
      <c r="H173" s="101"/>
      <c r="I173" s="101"/>
      <c r="J173" s="101"/>
    </row>
    <row r="174" spans="5:10">
      <c r="E174" s="103"/>
      <c r="F174" s="104"/>
      <c r="G174" s="104"/>
      <c r="H174" s="101"/>
      <c r="I174" s="101"/>
      <c r="J174" s="101"/>
    </row>
    <row r="175" spans="5:10">
      <c r="E175" s="103"/>
      <c r="F175" s="104"/>
      <c r="G175" s="104"/>
      <c r="H175" s="101"/>
      <c r="I175" s="101"/>
      <c r="J175" s="101"/>
    </row>
    <row r="176" spans="5:10">
      <c r="E176" s="103"/>
      <c r="F176" s="104"/>
      <c r="G176" s="104"/>
      <c r="H176" s="101"/>
      <c r="I176" s="101"/>
      <c r="J176" s="101"/>
    </row>
    <row r="177" spans="5:10">
      <c r="E177" s="103"/>
      <c r="F177" s="104"/>
      <c r="G177" s="104"/>
      <c r="H177" s="101"/>
      <c r="I177" s="101"/>
      <c r="J177" s="101"/>
    </row>
    <row r="178" spans="5:10">
      <c r="E178" s="103"/>
      <c r="F178" s="104"/>
      <c r="G178" s="104"/>
      <c r="H178" s="101"/>
      <c r="I178" s="101"/>
      <c r="J178" s="101"/>
    </row>
    <row r="179" spans="5:10">
      <c r="E179" s="103"/>
      <c r="F179" s="104"/>
      <c r="G179" s="104"/>
      <c r="H179" s="101"/>
      <c r="I179" s="101"/>
      <c r="J179" s="101"/>
    </row>
    <row r="180" spans="5:10">
      <c r="E180" s="103"/>
      <c r="F180" s="104"/>
      <c r="G180" s="104"/>
      <c r="H180" s="101"/>
      <c r="I180" s="101"/>
      <c r="J180" s="101"/>
    </row>
    <row r="181" spans="5:10">
      <c r="E181" s="103"/>
      <c r="F181" s="104"/>
      <c r="G181" s="104"/>
      <c r="H181" s="101"/>
      <c r="I181" s="101"/>
      <c r="J181" s="101"/>
    </row>
    <row r="182" spans="5:10">
      <c r="E182" s="103"/>
      <c r="F182" s="104"/>
      <c r="G182" s="104"/>
      <c r="H182" s="101"/>
      <c r="I182" s="101"/>
      <c r="J182" s="101"/>
    </row>
    <row r="183" spans="5:10">
      <c r="E183" s="103"/>
      <c r="F183" s="104"/>
      <c r="G183" s="104"/>
      <c r="H183" s="101"/>
      <c r="I183" s="101"/>
      <c r="J183" s="101"/>
    </row>
    <row r="184" spans="5:10">
      <c r="E184" s="103"/>
      <c r="F184" s="104"/>
      <c r="G184" s="104"/>
      <c r="H184" s="101"/>
      <c r="I184" s="101"/>
      <c r="J184" s="101"/>
    </row>
    <row r="185" spans="5:10">
      <c r="E185" s="103"/>
      <c r="F185" s="104"/>
      <c r="G185" s="104"/>
      <c r="H185" s="101"/>
      <c r="I185" s="101"/>
      <c r="J185" s="101"/>
    </row>
    <row r="186" spans="5:10">
      <c r="E186" s="103"/>
      <c r="F186" s="104"/>
      <c r="G186" s="104"/>
      <c r="H186" s="101"/>
      <c r="I186" s="101"/>
      <c r="J186" s="101"/>
    </row>
    <row r="187" spans="5:10">
      <c r="E187" s="103"/>
      <c r="F187" s="104"/>
      <c r="G187" s="104"/>
      <c r="H187" s="101"/>
      <c r="I187" s="101"/>
      <c r="J187" s="101"/>
    </row>
    <row r="188" spans="5:10">
      <c r="E188" s="103"/>
      <c r="F188" s="104"/>
      <c r="G188" s="104"/>
      <c r="H188" s="101"/>
      <c r="I188" s="101"/>
      <c r="J188" s="101"/>
    </row>
    <row r="189" spans="5:10">
      <c r="E189" s="103"/>
      <c r="F189" s="104"/>
      <c r="G189" s="104"/>
      <c r="H189" s="101"/>
      <c r="I189" s="101"/>
      <c r="J189" s="101"/>
    </row>
    <row r="190" spans="5:10">
      <c r="E190" s="103"/>
      <c r="F190" s="104"/>
      <c r="G190" s="104"/>
      <c r="H190" s="101"/>
      <c r="I190" s="101"/>
      <c r="J190" s="101"/>
    </row>
    <row r="191" spans="5:10">
      <c r="E191" s="103"/>
      <c r="F191" s="104"/>
      <c r="G191" s="104"/>
      <c r="H191" s="101"/>
      <c r="I191" s="101"/>
      <c r="J191" s="101"/>
    </row>
    <row r="192" spans="5:10">
      <c r="E192" s="103"/>
      <c r="F192" s="104"/>
      <c r="G192" s="104"/>
      <c r="H192" s="101"/>
      <c r="I192" s="101"/>
      <c r="J192" s="101"/>
    </row>
    <row r="193" spans="5:10">
      <c r="E193" s="103"/>
      <c r="F193" s="104"/>
      <c r="G193" s="104"/>
      <c r="H193" s="101"/>
      <c r="I193" s="101"/>
      <c r="J193" s="101"/>
    </row>
    <row r="194" spans="5:10">
      <c r="E194" s="103"/>
      <c r="F194" s="104"/>
      <c r="G194" s="104"/>
      <c r="H194" s="101"/>
      <c r="I194" s="101"/>
      <c r="J194" s="101"/>
    </row>
    <row r="195" spans="5:10">
      <c r="E195" s="103"/>
      <c r="F195" s="104"/>
      <c r="G195" s="104"/>
      <c r="H195" s="101"/>
      <c r="I195" s="101"/>
      <c r="J195" s="101"/>
    </row>
    <row r="196" spans="5:10">
      <c r="E196" s="103"/>
      <c r="F196" s="104"/>
      <c r="G196" s="104"/>
      <c r="H196" s="101"/>
      <c r="I196" s="101"/>
      <c r="J196" s="101"/>
    </row>
    <row r="197" spans="5:10">
      <c r="E197" s="103"/>
      <c r="F197" s="104"/>
      <c r="G197" s="104"/>
      <c r="H197" s="101"/>
      <c r="I197" s="101"/>
      <c r="J197" s="101"/>
    </row>
    <row r="198" spans="5:10">
      <c r="E198" s="103"/>
      <c r="F198" s="104"/>
      <c r="G198" s="104"/>
      <c r="H198" s="101"/>
      <c r="I198" s="101"/>
      <c r="J198" s="101"/>
    </row>
    <row r="199" spans="5:10">
      <c r="E199" s="103"/>
      <c r="F199" s="104"/>
      <c r="G199" s="104"/>
      <c r="H199" s="101"/>
      <c r="I199" s="101"/>
      <c r="J199" s="101"/>
    </row>
    <row r="200" spans="5:10">
      <c r="E200" s="103"/>
      <c r="F200" s="104"/>
      <c r="G200" s="104"/>
      <c r="H200" s="101"/>
      <c r="I200" s="101"/>
      <c r="J200" s="101"/>
    </row>
    <row r="201" spans="5:10">
      <c r="E201" s="103"/>
      <c r="F201" s="104"/>
      <c r="G201" s="104"/>
      <c r="H201" s="101"/>
      <c r="I201" s="101"/>
      <c r="J201" s="101"/>
    </row>
    <row r="202" spans="5:10">
      <c r="E202" s="103"/>
      <c r="F202" s="104"/>
      <c r="G202" s="104"/>
      <c r="H202" s="101"/>
      <c r="I202" s="101"/>
      <c r="J202" s="101"/>
    </row>
    <row r="203" spans="5:10">
      <c r="E203" s="103"/>
      <c r="F203" s="104"/>
      <c r="G203" s="104"/>
      <c r="H203" s="101"/>
      <c r="I203" s="101"/>
      <c r="J203" s="101"/>
    </row>
    <row r="204" spans="5:10">
      <c r="E204" s="103"/>
      <c r="F204" s="104"/>
      <c r="G204" s="104"/>
      <c r="H204" s="101"/>
      <c r="I204" s="101"/>
      <c r="J204" s="101"/>
    </row>
    <row r="205" spans="5:10">
      <c r="E205" s="103"/>
      <c r="F205" s="104"/>
      <c r="G205" s="104"/>
      <c r="H205" s="101"/>
      <c r="I205" s="101"/>
      <c r="J205" s="101"/>
    </row>
    <row r="206" spans="5:10">
      <c r="E206" s="103"/>
      <c r="F206" s="104"/>
      <c r="G206" s="104"/>
      <c r="H206" s="101"/>
      <c r="I206" s="101"/>
      <c r="J206" s="101"/>
    </row>
    <row r="207" spans="5:10">
      <c r="E207" s="103"/>
      <c r="F207" s="104"/>
      <c r="G207" s="104"/>
      <c r="H207" s="101"/>
      <c r="I207" s="101"/>
      <c r="J207" s="101"/>
    </row>
    <row r="208" spans="5:10">
      <c r="E208" s="103"/>
      <c r="F208" s="104"/>
      <c r="G208" s="104"/>
      <c r="H208" s="101"/>
      <c r="I208" s="101"/>
      <c r="J208" s="101"/>
    </row>
    <row r="209" spans="5:10">
      <c r="E209" s="103"/>
      <c r="F209" s="104"/>
      <c r="G209" s="104"/>
      <c r="H209" s="101"/>
      <c r="I209" s="101"/>
      <c r="J209" s="101"/>
    </row>
    <row r="210" spans="5:10">
      <c r="E210" s="103"/>
      <c r="F210" s="104"/>
      <c r="G210" s="104"/>
      <c r="H210" s="101"/>
      <c r="I210" s="101"/>
      <c r="J210" s="101"/>
    </row>
    <row r="211" spans="5:10">
      <c r="E211" s="103"/>
      <c r="F211" s="104"/>
      <c r="G211" s="104"/>
      <c r="H211" s="101"/>
      <c r="I211" s="101"/>
      <c r="J211" s="101"/>
    </row>
    <row r="212" spans="5:10">
      <c r="E212" s="103"/>
      <c r="F212" s="104"/>
      <c r="G212" s="104"/>
      <c r="H212" s="101"/>
      <c r="I212" s="101"/>
      <c r="J212" s="101"/>
    </row>
    <row r="213" spans="5:10">
      <c r="E213" s="103"/>
      <c r="F213" s="104"/>
      <c r="G213" s="104"/>
      <c r="H213" s="101"/>
      <c r="I213" s="101"/>
      <c r="J213" s="101"/>
    </row>
    <row r="214" spans="5:10">
      <c r="E214" s="103"/>
      <c r="F214" s="104"/>
      <c r="G214" s="104"/>
      <c r="H214" s="101"/>
      <c r="I214" s="101"/>
      <c r="J214" s="101"/>
    </row>
    <row r="215" spans="5:10">
      <c r="E215" s="103"/>
      <c r="F215" s="104"/>
      <c r="G215" s="104"/>
      <c r="H215" s="101"/>
      <c r="I215" s="101"/>
      <c r="J215" s="101"/>
    </row>
    <row r="216" spans="5:10">
      <c r="E216" s="103"/>
      <c r="F216" s="104"/>
      <c r="G216" s="104"/>
      <c r="H216" s="101"/>
      <c r="I216" s="101"/>
      <c r="J216" s="101"/>
    </row>
    <row r="217" spans="5:10">
      <c r="E217" s="103"/>
      <c r="F217" s="104"/>
      <c r="G217" s="104"/>
      <c r="H217" s="101"/>
      <c r="I217" s="101"/>
      <c r="J217" s="101"/>
    </row>
    <row r="218" spans="5:10">
      <c r="E218" s="103"/>
      <c r="F218" s="104"/>
      <c r="G218" s="104"/>
      <c r="H218" s="101"/>
      <c r="I218" s="101"/>
      <c r="J218" s="101"/>
    </row>
    <row r="219" spans="5:10">
      <c r="E219" s="103"/>
      <c r="F219" s="104"/>
      <c r="G219" s="104"/>
      <c r="H219" s="101"/>
      <c r="I219" s="101"/>
      <c r="J219" s="101"/>
    </row>
    <row r="220" spans="5:10">
      <c r="E220" s="103"/>
      <c r="F220" s="104"/>
      <c r="G220" s="104"/>
      <c r="H220" s="101"/>
      <c r="I220" s="101"/>
      <c r="J220" s="101"/>
    </row>
    <row r="221" spans="5:10">
      <c r="E221" s="103"/>
      <c r="F221" s="104"/>
      <c r="G221" s="104"/>
      <c r="H221" s="101"/>
      <c r="I221" s="101"/>
      <c r="J221" s="101"/>
    </row>
    <row r="222" spans="5:10">
      <c r="E222" s="103"/>
      <c r="F222" s="104"/>
      <c r="G222" s="104"/>
      <c r="H222" s="101"/>
      <c r="I222" s="101"/>
      <c r="J222" s="101"/>
    </row>
    <row r="223" spans="5:10">
      <c r="E223" s="103"/>
      <c r="F223" s="104"/>
      <c r="G223" s="104"/>
      <c r="H223" s="101"/>
      <c r="I223" s="101"/>
      <c r="J223" s="101"/>
    </row>
    <row r="224" spans="5:10">
      <c r="E224" s="103"/>
      <c r="F224" s="104"/>
      <c r="G224" s="104"/>
      <c r="H224" s="101"/>
      <c r="I224" s="101"/>
      <c r="J224" s="101"/>
    </row>
    <row r="225" spans="5:10">
      <c r="E225" s="103"/>
      <c r="F225" s="104"/>
      <c r="G225" s="104"/>
      <c r="H225" s="101"/>
      <c r="I225" s="101"/>
      <c r="J225" s="101"/>
    </row>
    <row r="226" spans="5:10">
      <c r="E226" s="103"/>
      <c r="F226" s="104"/>
      <c r="G226" s="104"/>
      <c r="H226" s="101"/>
      <c r="I226" s="101"/>
      <c r="J226" s="101"/>
    </row>
    <row r="227" spans="5:10">
      <c r="E227" s="103"/>
      <c r="F227" s="104"/>
      <c r="G227" s="104"/>
      <c r="H227" s="101"/>
      <c r="I227" s="101"/>
      <c r="J227" s="101"/>
    </row>
    <row r="228" spans="5:10">
      <c r="E228" s="103"/>
      <c r="F228" s="104"/>
      <c r="G228" s="104"/>
      <c r="H228" s="101"/>
      <c r="I228" s="101"/>
      <c r="J228" s="101"/>
    </row>
    <row r="229" spans="5:10">
      <c r="E229" s="103"/>
      <c r="F229" s="104"/>
      <c r="G229" s="104"/>
      <c r="H229" s="101"/>
      <c r="I229" s="101"/>
      <c r="J229" s="101"/>
    </row>
    <row r="230" spans="5:10">
      <c r="E230" s="103"/>
      <c r="F230" s="104"/>
      <c r="G230" s="104"/>
      <c r="H230" s="101"/>
      <c r="I230" s="101"/>
      <c r="J230" s="101"/>
    </row>
    <row r="231" spans="5:10">
      <c r="E231" s="103"/>
      <c r="F231" s="104"/>
      <c r="G231" s="104"/>
      <c r="H231" s="101"/>
      <c r="I231" s="101"/>
      <c r="J231" s="101"/>
    </row>
    <row r="232" spans="5:10">
      <c r="E232" s="103"/>
      <c r="F232" s="104"/>
      <c r="G232" s="104"/>
      <c r="H232" s="101"/>
      <c r="I232" s="101"/>
      <c r="J232" s="101"/>
    </row>
    <row r="233" spans="5:10">
      <c r="E233" s="103"/>
      <c r="F233" s="104"/>
      <c r="G233" s="104"/>
      <c r="H233" s="101"/>
      <c r="I233" s="101"/>
      <c r="J233" s="101"/>
    </row>
    <row r="234" spans="5:10">
      <c r="E234" s="103"/>
      <c r="F234" s="104"/>
      <c r="G234" s="104"/>
      <c r="H234" s="101"/>
      <c r="I234" s="101"/>
      <c r="J234" s="101"/>
    </row>
    <row r="235" spans="5:10">
      <c r="E235" s="103"/>
      <c r="F235" s="104"/>
      <c r="G235" s="104"/>
      <c r="H235" s="101"/>
      <c r="I235" s="101"/>
      <c r="J235" s="101"/>
    </row>
    <row r="236" spans="5:10">
      <c r="E236" s="103"/>
      <c r="F236" s="104"/>
      <c r="G236" s="104"/>
      <c r="H236" s="101"/>
      <c r="I236" s="101"/>
      <c r="J236" s="101"/>
    </row>
    <row r="237" spans="5:10">
      <c r="E237" s="103"/>
      <c r="F237" s="104"/>
      <c r="G237" s="104"/>
      <c r="H237" s="101"/>
      <c r="I237" s="101"/>
      <c r="J237" s="101"/>
    </row>
    <row r="238" spans="5:10">
      <c r="E238" s="103"/>
      <c r="F238" s="104"/>
      <c r="G238" s="104"/>
      <c r="H238" s="101"/>
      <c r="I238" s="101"/>
      <c r="J238" s="101"/>
    </row>
    <row r="239" spans="5:10">
      <c r="E239" s="103"/>
      <c r="F239" s="104"/>
      <c r="G239" s="104"/>
      <c r="H239" s="101"/>
      <c r="I239" s="101"/>
      <c r="J239" s="101"/>
    </row>
    <row r="240" spans="5:10">
      <c r="E240" s="103"/>
      <c r="F240" s="104"/>
      <c r="G240" s="104"/>
      <c r="H240" s="101"/>
      <c r="I240" s="101"/>
      <c r="J240" s="101"/>
    </row>
    <row r="241" spans="5:10">
      <c r="E241" s="103"/>
      <c r="F241" s="104"/>
      <c r="G241" s="104"/>
      <c r="H241" s="101"/>
      <c r="I241" s="101"/>
      <c r="J241" s="101"/>
    </row>
    <row r="242" spans="5:10">
      <c r="E242" s="103"/>
      <c r="F242" s="104"/>
      <c r="G242" s="104"/>
      <c r="H242" s="101"/>
      <c r="I242" s="101"/>
      <c r="J242" s="101"/>
    </row>
    <row r="243" spans="5:10">
      <c r="E243" s="103"/>
      <c r="F243" s="104"/>
      <c r="G243" s="104"/>
      <c r="H243" s="101"/>
      <c r="I243" s="101"/>
      <c r="J243" s="101"/>
    </row>
    <row r="244" spans="5:10">
      <c r="E244" s="103"/>
      <c r="F244" s="104"/>
      <c r="G244" s="104"/>
      <c r="H244" s="101"/>
      <c r="I244" s="101"/>
      <c r="J244" s="101"/>
    </row>
    <row r="245" spans="5:10">
      <c r="E245" s="103"/>
      <c r="F245" s="104"/>
      <c r="G245" s="104"/>
      <c r="H245" s="101"/>
      <c r="I245" s="101"/>
      <c r="J245" s="101"/>
    </row>
    <row r="246" spans="5:10">
      <c r="E246" s="103"/>
      <c r="F246" s="104"/>
      <c r="G246" s="104"/>
      <c r="H246" s="101"/>
      <c r="I246" s="101"/>
      <c r="J246" s="101"/>
    </row>
    <row r="247" spans="5:10">
      <c r="E247" s="103"/>
      <c r="F247" s="104"/>
      <c r="G247" s="104"/>
      <c r="H247" s="101"/>
      <c r="I247" s="101"/>
      <c r="J247" s="101"/>
    </row>
    <row r="248" spans="5:10">
      <c r="E248" s="103"/>
      <c r="F248" s="104"/>
      <c r="G248" s="104"/>
      <c r="H248" s="101"/>
      <c r="I248" s="101"/>
      <c r="J248" s="101"/>
    </row>
    <row r="249" spans="5:10">
      <c r="E249" s="103"/>
      <c r="F249" s="104"/>
      <c r="G249" s="104"/>
      <c r="H249" s="101"/>
      <c r="I249" s="101"/>
      <c r="J249" s="101"/>
    </row>
    <row r="250" spans="5:10">
      <c r="E250" s="103"/>
      <c r="F250" s="104"/>
      <c r="G250" s="104"/>
      <c r="H250" s="101"/>
      <c r="I250" s="101"/>
      <c r="J250" s="101"/>
    </row>
    <row r="251" spans="5:10">
      <c r="E251" s="103"/>
      <c r="F251" s="104"/>
      <c r="G251" s="104"/>
      <c r="H251" s="101"/>
      <c r="I251" s="101"/>
      <c r="J251" s="101"/>
    </row>
    <row r="252" spans="5:10">
      <c r="E252" s="103"/>
      <c r="F252" s="104"/>
      <c r="G252" s="104"/>
      <c r="H252" s="101"/>
      <c r="I252" s="101"/>
      <c r="J252" s="101"/>
    </row>
    <row r="253" spans="5:10">
      <c r="E253" s="103"/>
      <c r="F253" s="104"/>
      <c r="G253" s="104"/>
      <c r="H253" s="101"/>
      <c r="I253" s="101"/>
      <c r="J253" s="101"/>
    </row>
    <row r="254" spans="5:10">
      <c r="E254" s="103"/>
      <c r="F254" s="104"/>
      <c r="G254" s="104"/>
      <c r="H254" s="101"/>
      <c r="I254" s="101"/>
      <c r="J254" s="101"/>
    </row>
    <row r="255" spans="5:10">
      <c r="E255" s="103"/>
      <c r="F255" s="104"/>
      <c r="G255" s="104"/>
      <c r="H255" s="101"/>
      <c r="I255" s="101"/>
      <c r="J255" s="101"/>
    </row>
    <row r="256" spans="5:10">
      <c r="E256" s="103"/>
      <c r="F256" s="104"/>
      <c r="G256" s="104"/>
      <c r="H256" s="101"/>
      <c r="I256" s="101"/>
      <c r="J256" s="101"/>
    </row>
    <row r="257" spans="5:10">
      <c r="E257" s="103"/>
      <c r="F257" s="104"/>
      <c r="G257" s="104"/>
      <c r="H257" s="101"/>
      <c r="I257" s="101"/>
      <c r="J257" s="101"/>
    </row>
    <row r="258" spans="5:10">
      <c r="E258" s="103"/>
      <c r="F258" s="104"/>
      <c r="G258" s="104"/>
      <c r="H258" s="101"/>
      <c r="I258" s="101"/>
      <c r="J258" s="101"/>
    </row>
    <row r="259" spans="5:10">
      <c r="E259" s="103"/>
      <c r="F259" s="104"/>
      <c r="G259" s="104"/>
      <c r="H259" s="101"/>
      <c r="I259" s="101"/>
      <c r="J259" s="101"/>
    </row>
    <row r="260" spans="5:10">
      <c r="E260" s="103"/>
      <c r="F260" s="104"/>
      <c r="G260" s="104"/>
      <c r="H260" s="101"/>
      <c r="I260" s="101"/>
      <c r="J260" s="101"/>
    </row>
    <row r="261" spans="5:10">
      <c r="E261" s="103"/>
      <c r="F261" s="104"/>
      <c r="G261" s="104"/>
      <c r="H261" s="101"/>
      <c r="I261" s="101"/>
      <c r="J261" s="101"/>
    </row>
    <row r="262" spans="5:10">
      <c r="E262" s="103"/>
      <c r="F262" s="104"/>
      <c r="G262" s="104"/>
      <c r="H262" s="101"/>
      <c r="I262" s="101"/>
      <c r="J262" s="101"/>
    </row>
    <row r="263" spans="5:10">
      <c r="E263" s="103"/>
      <c r="F263" s="104"/>
      <c r="G263" s="104"/>
      <c r="H263" s="101"/>
      <c r="I263" s="101"/>
      <c r="J263" s="101"/>
    </row>
    <row r="264" spans="5:10">
      <c r="E264" s="103"/>
      <c r="F264" s="104"/>
      <c r="G264" s="104"/>
      <c r="H264" s="101"/>
      <c r="I264" s="101"/>
      <c r="J264" s="101"/>
    </row>
    <row r="265" spans="5:10">
      <c r="E265" s="103"/>
      <c r="F265" s="104"/>
      <c r="G265" s="104"/>
      <c r="H265" s="101"/>
      <c r="I265" s="101"/>
      <c r="J265" s="101"/>
    </row>
    <row r="266" spans="5:10">
      <c r="E266" s="103"/>
      <c r="F266" s="104"/>
      <c r="G266" s="104"/>
      <c r="H266" s="101"/>
      <c r="I266" s="101"/>
      <c r="J266" s="101"/>
    </row>
    <row r="267" spans="5:10">
      <c r="E267" s="103"/>
      <c r="F267" s="104"/>
      <c r="G267" s="104"/>
      <c r="H267" s="101"/>
      <c r="I267" s="101"/>
      <c r="J267" s="101"/>
    </row>
    <row r="268" spans="5:10">
      <c r="E268" s="103"/>
      <c r="F268" s="104"/>
      <c r="G268" s="104"/>
      <c r="H268" s="101"/>
      <c r="I268" s="101"/>
      <c r="J268" s="101"/>
    </row>
    <row r="269" spans="5:10">
      <c r="E269" s="103"/>
      <c r="F269" s="104"/>
      <c r="G269" s="104"/>
      <c r="H269" s="101"/>
      <c r="I269" s="101"/>
      <c r="J269" s="101"/>
    </row>
    <row r="270" spans="5:10">
      <c r="E270" s="103"/>
      <c r="F270" s="104"/>
      <c r="G270" s="104"/>
      <c r="H270" s="101"/>
      <c r="I270" s="101"/>
      <c r="J270" s="101"/>
    </row>
    <row r="271" spans="5:10">
      <c r="E271" s="103"/>
      <c r="F271" s="104"/>
      <c r="G271" s="104"/>
      <c r="H271" s="101"/>
      <c r="I271" s="101"/>
      <c r="J271" s="101"/>
    </row>
    <row r="272" spans="5:10">
      <c r="E272" s="103"/>
      <c r="F272" s="104"/>
      <c r="G272" s="104"/>
      <c r="H272" s="101"/>
      <c r="I272" s="101"/>
      <c r="J272" s="101"/>
    </row>
    <row r="273" spans="5:10">
      <c r="E273" s="103"/>
      <c r="F273" s="104"/>
      <c r="G273" s="104"/>
      <c r="H273" s="101"/>
      <c r="I273" s="101"/>
      <c r="J273" s="101"/>
    </row>
    <row r="274" spans="5:10">
      <c r="E274" s="103"/>
      <c r="F274" s="104"/>
      <c r="G274" s="104"/>
      <c r="H274" s="101"/>
      <c r="I274" s="101"/>
      <c r="J274" s="101"/>
    </row>
    <row r="275" spans="5:10">
      <c r="E275" s="103"/>
      <c r="F275" s="104"/>
      <c r="G275" s="104"/>
      <c r="H275" s="101"/>
      <c r="I275" s="101"/>
      <c r="J275" s="101"/>
    </row>
    <row r="276" spans="5:10">
      <c r="E276" s="103"/>
      <c r="F276" s="104"/>
      <c r="G276" s="104"/>
      <c r="H276" s="101"/>
      <c r="I276" s="101"/>
      <c r="J276" s="101"/>
    </row>
    <row r="277" spans="5:10">
      <c r="E277" s="103"/>
      <c r="F277" s="104"/>
      <c r="G277" s="104"/>
      <c r="H277" s="101"/>
      <c r="I277" s="101"/>
      <c r="J277" s="101"/>
    </row>
    <row r="278" spans="5:10">
      <c r="E278" s="103"/>
      <c r="F278" s="104"/>
      <c r="G278" s="104"/>
      <c r="H278" s="101"/>
      <c r="I278" s="101"/>
      <c r="J278" s="101"/>
    </row>
    <row r="279" spans="5:10">
      <c r="E279" s="103"/>
      <c r="F279" s="104"/>
      <c r="G279" s="104"/>
      <c r="H279" s="101"/>
      <c r="I279" s="101"/>
      <c r="J279" s="101"/>
    </row>
    <row r="280" spans="5:10">
      <c r="E280" s="103"/>
      <c r="F280" s="104"/>
      <c r="G280" s="104"/>
      <c r="H280" s="101"/>
      <c r="I280" s="101"/>
      <c r="J280" s="101"/>
    </row>
    <row r="281" spans="5:10">
      <c r="E281" s="103"/>
      <c r="F281" s="104"/>
      <c r="G281" s="104"/>
      <c r="H281" s="101"/>
      <c r="I281" s="101"/>
      <c r="J281" s="101"/>
    </row>
    <row r="282" spans="5:10">
      <c r="E282" s="103"/>
      <c r="F282" s="104"/>
      <c r="G282" s="104"/>
      <c r="H282" s="101"/>
      <c r="I282" s="101"/>
      <c r="J282" s="101"/>
    </row>
    <row r="283" spans="5:10">
      <c r="E283" s="103"/>
      <c r="F283" s="104"/>
      <c r="G283" s="104"/>
      <c r="H283" s="101"/>
      <c r="I283" s="101"/>
      <c r="J283" s="101"/>
    </row>
    <row r="284" spans="5:10">
      <c r="E284" s="103"/>
      <c r="F284" s="104"/>
      <c r="G284" s="104"/>
      <c r="H284" s="101"/>
      <c r="I284" s="101"/>
      <c r="J284" s="101"/>
    </row>
    <row r="285" spans="5:10">
      <c r="E285" s="103"/>
      <c r="F285" s="104"/>
      <c r="G285" s="104"/>
      <c r="H285" s="101"/>
      <c r="I285" s="101"/>
      <c r="J285" s="101"/>
    </row>
    <row r="286" spans="5:10">
      <c r="E286" s="103"/>
      <c r="F286" s="104"/>
      <c r="G286" s="104"/>
      <c r="H286" s="101"/>
      <c r="I286" s="101"/>
      <c r="J286" s="101"/>
    </row>
    <row r="287" spans="5:10">
      <c r="E287" s="103"/>
      <c r="F287" s="104"/>
      <c r="G287" s="104"/>
      <c r="H287" s="101"/>
      <c r="I287" s="101"/>
      <c r="J287" s="101"/>
    </row>
    <row r="288" spans="5:10">
      <c r="E288" s="103"/>
      <c r="F288" s="104"/>
      <c r="G288" s="104"/>
      <c r="H288" s="101"/>
      <c r="I288" s="101"/>
      <c r="J288" s="101"/>
    </row>
    <row r="289" spans="5:10">
      <c r="E289" s="103"/>
      <c r="F289" s="104"/>
      <c r="G289" s="104"/>
      <c r="H289" s="101"/>
      <c r="I289" s="101"/>
      <c r="J289" s="101"/>
    </row>
    <row r="290" spans="5:10">
      <c r="E290" s="103"/>
      <c r="F290" s="104"/>
      <c r="G290" s="104"/>
      <c r="H290" s="101"/>
      <c r="I290" s="101"/>
      <c r="J290" s="101"/>
    </row>
    <row r="291" spans="5:10">
      <c r="E291" s="103"/>
      <c r="F291" s="104"/>
      <c r="G291" s="104"/>
      <c r="H291" s="101"/>
      <c r="I291" s="101"/>
      <c r="J291" s="101"/>
    </row>
    <row r="292" spans="5:10">
      <c r="E292" s="103"/>
      <c r="F292" s="104"/>
      <c r="G292" s="104"/>
      <c r="H292" s="101"/>
      <c r="I292" s="101"/>
      <c r="J292" s="101"/>
    </row>
    <row r="293" spans="5:10">
      <c r="E293" s="103"/>
      <c r="F293" s="104"/>
      <c r="G293" s="104"/>
      <c r="H293" s="101"/>
      <c r="I293" s="101"/>
      <c r="J293" s="101"/>
    </row>
    <row r="294" spans="5:10">
      <c r="E294" s="103"/>
      <c r="F294" s="104"/>
      <c r="G294" s="104"/>
      <c r="H294" s="101"/>
      <c r="I294" s="101"/>
      <c r="J294" s="101"/>
    </row>
    <row r="295" spans="5:10">
      <c r="E295" s="103"/>
      <c r="F295" s="104"/>
      <c r="G295" s="104"/>
      <c r="H295" s="101"/>
      <c r="I295" s="101"/>
      <c r="J295" s="101"/>
    </row>
    <row r="296" spans="5:10">
      <c r="E296" s="103"/>
      <c r="F296" s="104"/>
      <c r="G296" s="104"/>
      <c r="H296" s="101"/>
      <c r="I296" s="101"/>
      <c r="J296" s="101"/>
    </row>
    <row r="297" spans="5:10">
      <c r="E297" s="103"/>
      <c r="F297" s="104"/>
      <c r="G297" s="104"/>
      <c r="H297" s="101"/>
      <c r="I297" s="101"/>
      <c r="J297" s="101"/>
    </row>
    <row r="298" spans="5:10">
      <c r="E298" s="103"/>
      <c r="F298" s="104"/>
      <c r="G298" s="104"/>
      <c r="H298" s="101"/>
      <c r="I298" s="101"/>
      <c r="J298" s="101"/>
    </row>
    <row r="299" spans="5:10">
      <c r="E299" s="103"/>
      <c r="F299" s="104"/>
      <c r="G299" s="104"/>
      <c r="H299" s="101"/>
      <c r="I299" s="101"/>
      <c r="J299" s="101"/>
    </row>
    <row r="300" spans="5:10">
      <c r="E300" s="103"/>
      <c r="F300" s="104"/>
      <c r="G300" s="104"/>
      <c r="H300" s="101"/>
      <c r="I300" s="101"/>
      <c r="J300" s="101"/>
    </row>
    <row r="301" spans="5:10">
      <c r="E301" s="103"/>
      <c r="F301" s="104"/>
      <c r="G301" s="104"/>
      <c r="H301" s="101"/>
      <c r="I301" s="101"/>
      <c r="J301" s="101"/>
    </row>
    <row r="302" spans="5:10">
      <c r="E302" s="103"/>
      <c r="F302" s="104"/>
      <c r="G302" s="104"/>
      <c r="H302" s="101"/>
      <c r="I302" s="101"/>
      <c r="J302" s="101"/>
    </row>
    <row r="303" spans="5:10">
      <c r="E303" s="103"/>
      <c r="F303" s="104"/>
      <c r="G303" s="104"/>
      <c r="H303" s="101"/>
      <c r="I303" s="101"/>
      <c r="J303" s="101"/>
    </row>
    <row r="304" spans="5:10">
      <c r="E304" s="103"/>
      <c r="F304" s="104"/>
      <c r="G304" s="104"/>
      <c r="H304" s="101"/>
      <c r="I304" s="101"/>
      <c r="J304" s="101"/>
    </row>
    <row r="305" spans="5:10">
      <c r="E305" s="103"/>
      <c r="F305" s="104"/>
      <c r="G305" s="104"/>
      <c r="H305" s="101"/>
      <c r="I305" s="101"/>
      <c r="J305" s="101"/>
    </row>
    <row r="306" spans="5:10">
      <c r="E306" s="103"/>
      <c r="F306" s="104"/>
      <c r="G306" s="104"/>
      <c r="H306" s="101"/>
      <c r="I306" s="101"/>
      <c r="J306" s="101"/>
    </row>
    <row r="307" spans="5:10">
      <c r="E307" s="103"/>
      <c r="F307" s="104"/>
      <c r="G307" s="104"/>
      <c r="H307" s="101"/>
      <c r="I307" s="101"/>
      <c r="J307" s="101"/>
    </row>
    <row r="308" spans="5:10">
      <c r="E308" s="103"/>
      <c r="F308" s="104"/>
      <c r="G308" s="104"/>
      <c r="H308" s="101"/>
      <c r="I308" s="101"/>
      <c r="J308" s="101"/>
    </row>
    <row r="309" spans="5:10">
      <c r="E309" s="103"/>
      <c r="F309" s="104"/>
      <c r="G309" s="104"/>
      <c r="H309" s="101"/>
      <c r="I309" s="101"/>
      <c r="J309" s="101"/>
    </row>
    <row r="310" spans="5:10">
      <c r="E310" s="103"/>
      <c r="F310" s="104"/>
      <c r="G310" s="104"/>
      <c r="H310" s="101"/>
      <c r="I310" s="101"/>
      <c r="J310" s="101"/>
    </row>
    <row r="311" spans="5:10">
      <c r="E311" s="103"/>
      <c r="F311" s="104"/>
      <c r="G311" s="104"/>
      <c r="H311" s="101"/>
      <c r="I311" s="101"/>
      <c r="J311" s="101"/>
    </row>
    <row r="312" spans="5:10">
      <c r="E312" s="103"/>
      <c r="F312" s="104"/>
      <c r="G312" s="104"/>
      <c r="H312" s="101"/>
      <c r="I312" s="101"/>
      <c r="J312" s="101"/>
    </row>
    <row r="313" spans="5:10">
      <c r="E313" s="103"/>
      <c r="F313" s="104"/>
      <c r="G313" s="104"/>
      <c r="H313" s="101"/>
      <c r="I313" s="101"/>
      <c r="J313" s="101"/>
    </row>
    <row r="314" spans="5:10">
      <c r="E314" s="103"/>
      <c r="F314" s="104"/>
      <c r="G314" s="104"/>
      <c r="H314" s="101"/>
      <c r="I314" s="101"/>
      <c r="J314" s="101"/>
    </row>
    <row r="315" spans="5:10">
      <c r="E315" s="103"/>
      <c r="F315" s="104"/>
      <c r="G315" s="104"/>
      <c r="H315" s="101"/>
      <c r="I315" s="101"/>
      <c r="J315" s="101"/>
    </row>
    <row r="316" spans="5:10">
      <c r="E316" s="103"/>
      <c r="F316" s="104"/>
      <c r="G316" s="104"/>
      <c r="H316" s="101"/>
      <c r="I316" s="101"/>
      <c r="J316" s="101"/>
    </row>
    <row r="317" spans="5:10">
      <c r="E317" s="103"/>
      <c r="F317" s="104"/>
      <c r="G317" s="104"/>
      <c r="H317" s="101"/>
      <c r="I317" s="101"/>
      <c r="J317" s="101"/>
    </row>
    <row r="318" spans="5:10">
      <c r="E318" s="103"/>
      <c r="F318" s="104"/>
      <c r="G318" s="104"/>
      <c r="H318" s="101"/>
      <c r="I318" s="101"/>
      <c r="J318" s="101"/>
    </row>
    <row r="319" spans="5:10">
      <c r="E319" s="103"/>
      <c r="F319" s="104"/>
      <c r="G319" s="104"/>
      <c r="H319" s="101"/>
      <c r="I319" s="101"/>
      <c r="J319" s="101"/>
    </row>
    <row r="320" spans="5:10">
      <c r="E320" s="103"/>
      <c r="F320" s="104"/>
      <c r="G320" s="104"/>
      <c r="H320" s="101"/>
      <c r="I320" s="101"/>
      <c r="J320" s="101"/>
    </row>
    <row r="321" spans="5:10">
      <c r="E321" s="103"/>
      <c r="F321" s="104"/>
      <c r="G321" s="104"/>
      <c r="H321" s="101"/>
      <c r="I321" s="101"/>
      <c r="J321" s="101"/>
    </row>
    <row r="322" spans="5:10">
      <c r="E322" s="103"/>
      <c r="F322" s="104"/>
      <c r="G322" s="104"/>
      <c r="H322" s="101"/>
      <c r="I322" s="101"/>
      <c r="J322" s="101"/>
    </row>
    <row r="323" spans="5:10">
      <c r="E323" s="103"/>
      <c r="F323" s="104"/>
      <c r="G323" s="104"/>
      <c r="H323" s="101"/>
      <c r="I323" s="101"/>
      <c r="J323" s="101"/>
    </row>
    <row r="324" spans="5:10">
      <c r="E324" s="103"/>
      <c r="F324" s="104"/>
      <c r="G324" s="104"/>
      <c r="H324" s="101"/>
      <c r="I324" s="101"/>
      <c r="J324" s="101"/>
    </row>
    <row r="325" spans="5:10">
      <c r="E325" s="103"/>
      <c r="F325" s="104"/>
      <c r="G325" s="104"/>
      <c r="H325" s="101"/>
      <c r="I325" s="101"/>
      <c r="J325" s="101"/>
    </row>
    <row r="326" spans="5:10">
      <c r="E326" s="103"/>
      <c r="F326" s="104"/>
      <c r="G326" s="104"/>
      <c r="H326" s="101"/>
      <c r="I326" s="101"/>
      <c r="J326" s="101"/>
    </row>
    <row r="327" spans="5:10">
      <c r="E327" s="103"/>
      <c r="F327" s="104"/>
      <c r="G327" s="104"/>
      <c r="H327" s="101"/>
      <c r="I327" s="101"/>
      <c r="J327" s="101"/>
    </row>
    <row r="328" spans="5:10">
      <c r="E328" s="103"/>
      <c r="F328" s="104"/>
      <c r="G328" s="104"/>
      <c r="H328" s="101"/>
      <c r="I328" s="101"/>
      <c r="J328" s="101"/>
    </row>
    <row r="329" spans="5:10">
      <c r="E329" s="103"/>
      <c r="F329" s="104"/>
      <c r="G329" s="104"/>
      <c r="H329" s="101"/>
      <c r="I329" s="101"/>
      <c r="J329" s="101"/>
    </row>
    <row r="330" spans="5:10">
      <c r="E330" s="103"/>
      <c r="F330" s="104"/>
      <c r="G330" s="104"/>
      <c r="H330" s="101"/>
      <c r="I330" s="101"/>
      <c r="J330" s="101"/>
    </row>
    <row r="331" spans="5:10">
      <c r="E331" s="103"/>
      <c r="F331" s="104"/>
      <c r="G331" s="104"/>
      <c r="H331" s="101"/>
      <c r="I331" s="101"/>
      <c r="J331" s="101"/>
    </row>
    <row r="332" spans="5:10">
      <c r="E332" s="103"/>
      <c r="F332" s="104"/>
      <c r="G332" s="104"/>
      <c r="H332" s="101"/>
      <c r="I332" s="101"/>
      <c r="J332" s="101"/>
    </row>
    <row r="333" spans="5:10">
      <c r="E333" s="103"/>
      <c r="F333" s="104"/>
      <c r="G333" s="104"/>
      <c r="H333" s="101"/>
      <c r="I333" s="101"/>
      <c r="J333" s="101"/>
    </row>
    <row r="334" spans="5:10">
      <c r="E334" s="103"/>
      <c r="F334" s="104"/>
      <c r="G334" s="104"/>
      <c r="H334" s="101"/>
      <c r="I334" s="101"/>
      <c r="J334" s="101"/>
    </row>
    <row r="335" spans="5:10">
      <c r="E335" s="103"/>
      <c r="F335" s="104"/>
      <c r="G335" s="104"/>
      <c r="H335" s="101"/>
      <c r="I335" s="101"/>
      <c r="J335" s="101"/>
    </row>
    <row r="336" spans="5:10">
      <c r="E336" s="103"/>
      <c r="F336" s="104"/>
      <c r="G336" s="104"/>
      <c r="H336" s="101"/>
      <c r="I336" s="101"/>
      <c r="J336" s="101"/>
    </row>
    <row r="337" spans="5:10">
      <c r="E337" s="103"/>
      <c r="F337" s="104"/>
      <c r="G337" s="104"/>
      <c r="H337" s="101"/>
      <c r="I337" s="101"/>
      <c r="J337" s="101"/>
    </row>
    <row r="338" spans="5:10">
      <c r="E338" s="103"/>
      <c r="F338" s="104"/>
      <c r="G338" s="104"/>
      <c r="H338" s="101"/>
      <c r="I338" s="101"/>
      <c r="J338" s="101"/>
    </row>
    <row r="339" spans="5:10">
      <c r="E339" s="103"/>
      <c r="F339" s="104"/>
      <c r="G339" s="104"/>
      <c r="H339" s="101"/>
      <c r="I339" s="101"/>
      <c r="J339" s="101"/>
    </row>
    <row r="340" spans="5:10">
      <c r="E340" s="103"/>
      <c r="F340" s="104"/>
      <c r="G340" s="104"/>
      <c r="H340" s="101"/>
      <c r="I340" s="101"/>
      <c r="J340" s="101"/>
    </row>
    <row r="341" spans="5:10">
      <c r="E341" s="103"/>
      <c r="F341" s="104"/>
      <c r="G341" s="104"/>
      <c r="H341" s="101"/>
      <c r="I341" s="101"/>
      <c r="J341" s="101"/>
    </row>
    <row r="342" spans="5:10">
      <c r="E342" s="103"/>
      <c r="F342" s="104"/>
      <c r="G342" s="104"/>
      <c r="H342" s="101"/>
      <c r="I342" s="101"/>
      <c r="J342" s="101"/>
    </row>
    <row r="343" spans="5:10">
      <c r="E343" s="103"/>
      <c r="F343" s="104"/>
      <c r="G343" s="104"/>
      <c r="H343" s="101"/>
      <c r="I343" s="101"/>
      <c r="J343" s="101"/>
    </row>
    <row r="344" spans="5:10">
      <c r="E344" s="103"/>
      <c r="F344" s="104"/>
      <c r="G344" s="104"/>
      <c r="H344" s="101"/>
      <c r="I344" s="101"/>
      <c r="J344" s="101"/>
    </row>
    <row r="345" spans="5:10">
      <c r="E345" s="103"/>
      <c r="F345" s="104"/>
      <c r="G345" s="104"/>
      <c r="H345" s="101"/>
      <c r="I345" s="101"/>
      <c r="J345" s="101"/>
    </row>
    <row r="346" spans="5:10">
      <c r="E346" s="103"/>
      <c r="F346" s="104"/>
      <c r="G346" s="104"/>
      <c r="H346" s="101"/>
      <c r="I346" s="101"/>
      <c r="J346" s="101"/>
    </row>
    <row r="347" spans="5:10">
      <c r="E347" s="103"/>
      <c r="F347" s="104"/>
      <c r="G347" s="104"/>
      <c r="H347" s="101"/>
      <c r="I347" s="101"/>
      <c r="J347" s="101"/>
    </row>
    <row r="348" spans="5:10">
      <c r="E348" s="103"/>
      <c r="F348" s="104"/>
      <c r="G348" s="104"/>
      <c r="H348" s="101"/>
      <c r="I348" s="101"/>
      <c r="J348" s="101"/>
    </row>
    <row r="349" spans="5:10">
      <c r="E349" s="103"/>
      <c r="F349" s="104"/>
      <c r="G349" s="104"/>
      <c r="H349" s="101"/>
      <c r="I349" s="101"/>
      <c r="J349" s="101"/>
    </row>
    <row r="350" spans="5:10">
      <c r="E350" s="103"/>
      <c r="F350" s="104"/>
      <c r="G350" s="104"/>
      <c r="H350" s="101"/>
      <c r="I350" s="101"/>
      <c r="J350" s="101"/>
    </row>
    <row r="351" spans="5:10">
      <c r="E351" s="103"/>
      <c r="F351" s="104"/>
      <c r="G351" s="104"/>
      <c r="H351" s="101"/>
      <c r="I351" s="101"/>
      <c r="J351" s="101"/>
    </row>
    <row r="352" spans="5:10">
      <c r="E352" s="103"/>
      <c r="F352" s="104"/>
      <c r="G352" s="104"/>
      <c r="H352" s="101"/>
      <c r="I352" s="101"/>
      <c r="J352" s="101"/>
    </row>
    <row r="353" spans="5:10">
      <c r="E353" s="103"/>
      <c r="F353" s="104"/>
      <c r="G353" s="104"/>
      <c r="H353" s="101"/>
      <c r="I353" s="101"/>
      <c r="J353" s="101"/>
    </row>
    <row r="354" spans="5:10">
      <c r="E354" s="103"/>
      <c r="F354" s="104"/>
      <c r="G354" s="104"/>
      <c r="H354" s="101"/>
      <c r="I354" s="101"/>
      <c r="J354" s="101"/>
    </row>
    <row r="355" spans="5:10">
      <c r="E355" s="103"/>
      <c r="F355" s="104"/>
      <c r="G355" s="104"/>
      <c r="H355" s="101"/>
      <c r="I355" s="101"/>
      <c r="J355" s="101"/>
    </row>
    <row r="356" spans="5:10">
      <c r="E356" s="103"/>
      <c r="F356" s="104"/>
      <c r="G356" s="104"/>
      <c r="H356" s="101"/>
      <c r="I356" s="101"/>
      <c r="J356" s="101"/>
    </row>
    <row r="357" spans="5:10">
      <c r="E357" s="103"/>
      <c r="F357" s="104"/>
      <c r="G357" s="104"/>
      <c r="H357" s="101"/>
      <c r="I357" s="101"/>
      <c r="J357" s="101"/>
    </row>
    <row r="358" spans="5:10">
      <c r="E358" s="103"/>
      <c r="F358" s="104"/>
      <c r="G358" s="104"/>
      <c r="H358" s="101"/>
      <c r="I358" s="101"/>
      <c r="J358" s="101"/>
    </row>
    <row r="359" spans="5:10">
      <c r="E359" s="103"/>
      <c r="F359" s="104"/>
      <c r="G359" s="104"/>
      <c r="H359" s="101"/>
      <c r="I359" s="101"/>
      <c r="J359" s="101"/>
    </row>
    <row r="360" spans="5:10">
      <c r="E360" s="103"/>
      <c r="F360" s="104"/>
      <c r="G360" s="104"/>
      <c r="H360" s="101"/>
      <c r="I360" s="101"/>
      <c r="J360" s="101"/>
    </row>
    <row r="361" spans="5:10">
      <c r="E361" s="103"/>
      <c r="F361" s="104"/>
      <c r="G361" s="104"/>
      <c r="H361" s="101"/>
      <c r="I361" s="101"/>
      <c r="J361" s="101"/>
    </row>
    <row r="362" spans="5:10">
      <c r="E362" s="103"/>
      <c r="F362" s="104"/>
      <c r="G362" s="104"/>
      <c r="H362" s="101"/>
      <c r="I362" s="101"/>
      <c r="J362" s="101"/>
    </row>
    <row r="363" spans="5:10">
      <c r="E363" s="103"/>
      <c r="F363" s="104"/>
      <c r="G363" s="104"/>
      <c r="H363" s="101"/>
      <c r="I363" s="101"/>
      <c r="J363" s="101"/>
    </row>
    <row r="364" spans="5:10">
      <c r="E364" s="103"/>
      <c r="F364" s="104"/>
      <c r="G364" s="104"/>
      <c r="H364" s="101"/>
      <c r="I364" s="101"/>
      <c r="J364" s="101"/>
    </row>
    <row r="365" spans="5:10">
      <c r="E365" s="103"/>
      <c r="F365" s="104"/>
      <c r="G365" s="104"/>
      <c r="H365" s="101"/>
      <c r="I365" s="101"/>
      <c r="J365" s="101"/>
    </row>
    <row r="366" spans="5:10">
      <c r="E366" s="103"/>
      <c r="F366" s="104"/>
      <c r="G366" s="104"/>
      <c r="H366" s="101"/>
      <c r="I366" s="101"/>
      <c r="J366" s="101"/>
    </row>
    <row r="367" spans="5:10">
      <c r="E367" s="103"/>
      <c r="F367" s="104"/>
      <c r="G367" s="104"/>
      <c r="H367" s="101"/>
      <c r="I367" s="101"/>
      <c r="J367" s="101"/>
    </row>
    <row r="368" spans="5:10">
      <c r="E368" s="103"/>
      <c r="F368" s="104"/>
      <c r="G368" s="104"/>
      <c r="H368" s="101"/>
      <c r="I368" s="101"/>
      <c r="J368" s="101"/>
    </row>
    <row r="369" spans="5:10">
      <c r="E369" s="103"/>
      <c r="F369" s="104"/>
      <c r="G369" s="104"/>
      <c r="H369" s="101"/>
      <c r="I369" s="101"/>
      <c r="J369" s="101"/>
    </row>
    <row r="370" spans="5:10">
      <c r="E370" s="103"/>
      <c r="F370" s="104"/>
      <c r="G370" s="104"/>
      <c r="H370" s="101"/>
      <c r="I370" s="101"/>
      <c r="J370" s="101"/>
    </row>
    <row r="371" spans="5:10">
      <c r="E371" s="103"/>
      <c r="F371" s="104"/>
      <c r="G371" s="104"/>
      <c r="H371" s="101"/>
      <c r="I371" s="101"/>
      <c r="J371" s="101"/>
    </row>
    <row r="372" spans="5:10">
      <c r="E372" s="103"/>
      <c r="F372" s="104"/>
      <c r="G372" s="104"/>
      <c r="H372" s="101"/>
      <c r="I372" s="101"/>
      <c r="J372" s="101"/>
    </row>
    <row r="373" spans="5:10">
      <c r="E373" s="103"/>
      <c r="F373" s="104"/>
      <c r="G373" s="104"/>
      <c r="H373" s="101"/>
      <c r="I373" s="101"/>
      <c r="J373" s="101"/>
    </row>
    <row r="374" spans="5:10">
      <c r="E374" s="103"/>
      <c r="F374" s="104"/>
      <c r="G374" s="104"/>
      <c r="H374" s="101"/>
      <c r="I374" s="101"/>
      <c r="J374" s="101"/>
    </row>
    <row r="375" spans="5:10">
      <c r="E375" s="103"/>
      <c r="F375" s="104"/>
      <c r="G375" s="104"/>
      <c r="H375" s="101"/>
      <c r="I375" s="101"/>
      <c r="J375" s="101"/>
    </row>
    <row r="376" spans="5:10">
      <c r="E376" s="103"/>
      <c r="F376" s="104"/>
      <c r="G376" s="104"/>
      <c r="H376" s="101"/>
      <c r="I376" s="101"/>
      <c r="J376" s="101"/>
    </row>
    <row r="377" spans="5:10">
      <c r="E377" s="103"/>
      <c r="F377" s="104"/>
      <c r="G377" s="104"/>
      <c r="H377" s="101"/>
      <c r="I377" s="101"/>
      <c r="J377" s="101"/>
    </row>
    <row r="378" spans="5:10">
      <c r="E378" s="103"/>
      <c r="F378" s="104"/>
      <c r="G378" s="104"/>
      <c r="H378" s="101"/>
      <c r="I378" s="101"/>
      <c r="J378" s="101"/>
    </row>
    <row r="379" spans="5:10">
      <c r="E379" s="103"/>
      <c r="F379" s="104"/>
      <c r="G379" s="104"/>
      <c r="H379" s="101"/>
      <c r="I379" s="101"/>
      <c r="J379" s="101"/>
    </row>
    <row r="380" spans="5:10">
      <c r="E380" s="103"/>
      <c r="F380" s="104"/>
      <c r="G380" s="104"/>
      <c r="H380" s="101"/>
      <c r="I380" s="101"/>
      <c r="J380" s="101"/>
    </row>
    <row r="381" spans="5:10">
      <c r="E381" s="103"/>
      <c r="F381" s="104"/>
      <c r="G381" s="104"/>
      <c r="H381" s="101"/>
      <c r="I381" s="101"/>
      <c r="J381" s="101"/>
    </row>
    <row r="382" spans="5:10">
      <c r="E382" s="103"/>
      <c r="F382" s="104"/>
      <c r="G382" s="104"/>
      <c r="H382" s="101"/>
      <c r="I382" s="101"/>
      <c r="J382" s="101"/>
    </row>
    <row r="383" spans="5:10">
      <c r="E383" s="103"/>
      <c r="F383" s="104"/>
      <c r="G383" s="104"/>
      <c r="H383" s="101"/>
      <c r="I383" s="101"/>
      <c r="J383" s="101"/>
    </row>
    <row r="384" spans="5:10">
      <c r="E384" s="103"/>
      <c r="F384" s="104"/>
      <c r="G384" s="104"/>
      <c r="H384" s="101"/>
      <c r="I384" s="101"/>
      <c r="J384" s="101"/>
    </row>
    <row r="385" spans="5:10">
      <c r="E385" s="103"/>
      <c r="F385" s="104"/>
      <c r="G385" s="104"/>
      <c r="H385" s="101"/>
      <c r="I385" s="101"/>
      <c r="J385" s="101"/>
    </row>
    <row r="386" spans="5:10">
      <c r="E386" s="103"/>
      <c r="F386" s="104"/>
      <c r="G386" s="104"/>
      <c r="H386" s="101"/>
      <c r="I386" s="101"/>
      <c r="J386" s="101"/>
    </row>
    <row r="387" spans="5:10">
      <c r="E387" s="103"/>
      <c r="F387" s="104"/>
      <c r="G387" s="104"/>
      <c r="H387" s="101"/>
      <c r="I387" s="101"/>
      <c r="J387" s="101"/>
    </row>
    <row r="388" spans="5:10">
      <c r="E388" s="103"/>
      <c r="F388" s="104"/>
      <c r="G388" s="104"/>
      <c r="H388" s="101"/>
      <c r="I388" s="101"/>
      <c r="J388" s="101"/>
    </row>
    <row r="389" spans="5:10">
      <c r="E389" s="103"/>
      <c r="F389" s="104"/>
      <c r="G389" s="104"/>
      <c r="H389" s="101"/>
      <c r="I389" s="101"/>
      <c r="J389" s="101"/>
    </row>
    <row r="390" spans="5:10">
      <c r="E390" s="103"/>
      <c r="F390" s="104"/>
      <c r="G390" s="104"/>
      <c r="H390" s="101"/>
      <c r="I390" s="101"/>
      <c r="J390" s="101"/>
    </row>
    <row r="391" spans="5:10">
      <c r="E391" s="100"/>
    </row>
    <row r="392" spans="5:10">
      <c r="E392" s="100"/>
    </row>
    <row r="393" spans="5:10">
      <c r="E393" s="100"/>
    </row>
    <row r="394" spans="5:10">
      <c r="E394" s="100"/>
    </row>
    <row r="395" spans="5:10">
      <c r="E395" s="100"/>
    </row>
    <row r="396" spans="5:10">
      <c r="E396" s="100"/>
    </row>
    <row r="397" spans="5:10">
      <c r="E397" s="100"/>
    </row>
  </sheetData>
  <mergeCells count="13">
    <mergeCell ref="J45:J46"/>
    <mergeCell ref="A1:J1"/>
    <mergeCell ref="A4:A5"/>
    <mergeCell ref="B4:B5"/>
    <mergeCell ref="C4:E4"/>
    <mergeCell ref="F4:H4"/>
    <mergeCell ref="I4:I5"/>
    <mergeCell ref="J4:J5"/>
    <mergeCell ref="A45:A46"/>
    <mergeCell ref="B45:B46"/>
    <mergeCell ref="C45:E45"/>
    <mergeCell ref="F45:H45"/>
    <mergeCell ref="I45:I46"/>
  </mergeCells>
  <phoneticPr fontId="4" type="noConversion"/>
  <conditionalFormatting sqref="J1:J3 J25:J30 J32:J39 J48:J62 J64:J66 J75:J83 J85:J1048576 J41:J44 J6:J23">
    <cfRule type="cellIs" dxfId="22" priority="22" stopIfTrue="1" operator="equal">
      <formula>"显著"</formula>
    </cfRule>
    <cfRule type="cellIs" dxfId="21" priority="23" stopIfTrue="1" operator="equal">
      <formula>"关注"</formula>
    </cfRule>
  </conditionalFormatting>
  <conditionalFormatting sqref="J24">
    <cfRule type="cellIs" dxfId="20" priority="20" stopIfTrue="1" operator="equal">
      <formula>"显著"</formula>
    </cfRule>
    <cfRule type="cellIs" dxfId="19" priority="21" stopIfTrue="1" operator="equal">
      <formula>"关注"</formula>
    </cfRule>
  </conditionalFormatting>
  <conditionalFormatting sqref="J31">
    <cfRule type="cellIs" dxfId="18" priority="18" stopIfTrue="1" operator="equal">
      <formula>"显著"</formula>
    </cfRule>
    <cfRule type="cellIs" dxfId="17" priority="19" stopIfTrue="1" operator="equal">
      <formula>"关注"</formula>
    </cfRule>
  </conditionalFormatting>
  <conditionalFormatting sqref="A15:A16">
    <cfRule type="duplicateValues" dxfId="16" priority="17"/>
  </conditionalFormatting>
  <conditionalFormatting sqref="J45:J47">
    <cfRule type="cellIs" dxfId="15" priority="15" stopIfTrue="1" operator="equal">
      <formula>"显著"</formula>
    </cfRule>
    <cfRule type="cellIs" dxfId="14" priority="16" stopIfTrue="1" operator="equal">
      <formula>"关注"</formula>
    </cfRule>
  </conditionalFormatting>
  <conditionalFormatting sqref="J67">
    <cfRule type="cellIs" dxfId="13" priority="8" stopIfTrue="1" operator="equal">
      <formula>"显著"</formula>
    </cfRule>
    <cfRule type="cellIs" dxfId="12" priority="9" stopIfTrue="1" operator="equal">
      <formula>"关注"</formula>
    </cfRule>
  </conditionalFormatting>
  <conditionalFormatting sqref="J68:J73">
    <cfRule type="cellIs" dxfId="11" priority="12" stopIfTrue="1" operator="equal">
      <formula>"显著"</formula>
    </cfRule>
    <cfRule type="cellIs" dxfId="10" priority="13" stopIfTrue="1" operator="equal">
      <formula>"关注"</formula>
    </cfRule>
  </conditionalFormatting>
  <conditionalFormatting sqref="J63">
    <cfRule type="cellIs" dxfId="9" priority="10" stopIfTrue="1" operator="equal">
      <formula>"显著"</formula>
    </cfRule>
    <cfRule type="cellIs" dxfId="8" priority="11" stopIfTrue="1" operator="equal">
      <formula>"关注"</formula>
    </cfRule>
  </conditionalFormatting>
  <conditionalFormatting sqref="A86">
    <cfRule type="duplicateValues" dxfId="7" priority="14"/>
  </conditionalFormatting>
  <conditionalFormatting sqref="J74">
    <cfRule type="cellIs" dxfId="6" priority="6" stopIfTrue="1" operator="equal">
      <formula>"显著"</formula>
    </cfRule>
    <cfRule type="cellIs" dxfId="5" priority="7" stopIfTrue="1" operator="equal">
      <formula>"关注"</formula>
    </cfRule>
  </conditionalFormatting>
  <conditionalFormatting sqref="J84">
    <cfRule type="cellIs" dxfId="4" priority="4" stopIfTrue="1" operator="equal">
      <formula>"显著"</formula>
    </cfRule>
    <cfRule type="cellIs" dxfId="3" priority="5" stopIfTrue="1" operator="equal">
      <formula>"关注"</formula>
    </cfRule>
  </conditionalFormatting>
  <conditionalFormatting sqref="A85">
    <cfRule type="duplicateValues" dxfId="2" priority="3"/>
  </conditionalFormatting>
  <conditionalFormatting sqref="J4:J5">
    <cfRule type="cellIs" dxfId="1" priority="1" stopIfTrue="1" operator="equal">
      <formula>"显著"</formula>
    </cfRule>
    <cfRule type="cellIs" dxfId="0" priority="2" stopIfTrue="1" operator="equal">
      <formula>"关注"</formula>
    </cfRule>
  </conditionalFormatting>
  <printOptions horizontalCentered="1" verticalCentered="1"/>
  <pageMargins left="0.43307086614173229" right="0.31496062992125984" top="0.43307086614173229" bottom="0.25" header="0.39370078740157483" footer="0.21"/>
  <pageSetup paperSize="9" scale="90" orientation="landscape" blackAndWhite="1" horizontalDpi="180" verticalDpi="18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21</vt:i4>
      </vt:variant>
      <vt:variant>
        <vt:lpstr>命名范围</vt:lpstr>
      </vt:variant>
      <vt:variant>
        <vt:i4>19</vt:i4>
      </vt:variant>
    </vt:vector>
  </HeadingPairs>
  <TitlesOfParts>
    <vt:vector size="40" baseType="lpstr">
      <vt:lpstr>说明</vt:lpstr>
      <vt:lpstr>参数</vt:lpstr>
      <vt:lpstr>报表格式</vt:lpstr>
      <vt:lpstr>试算</vt:lpstr>
      <vt:lpstr>Sheet1</vt:lpstr>
      <vt:lpstr>未审报表</vt:lpstr>
      <vt:lpstr>期初核对</vt:lpstr>
      <vt:lpstr>TB</vt:lpstr>
      <vt:lpstr>TB(期初)</vt:lpstr>
      <vt:lpstr>调整事项汇总表</vt:lpstr>
      <vt:lpstr> </vt:lpstr>
      <vt:lpstr>CF调整</vt:lpstr>
      <vt:lpstr>审定报表</vt:lpstr>
      <vt:lpstr>CF主表核查</vt:lpstr>
      <vt:lpstr>CF附表核查</vt:lpstr>
      <vt:lpstr>未审BS分析</vt:lpstr>
      <vt:lpstr>未审PL分析</vt:lpstr>
      <vt:lpstr>未审比率分析</vt:lpstr>
      <vt:lpstr>已审BS分析</vt:lpstr>
      <vt:lpstr>已审PL分析</vt:lpstr>
      <vt:lpstr>已审比率分析 </vt:lpstr>
      <vt:lpstr>CF附表核查!Print_Area</vt:lpstr>
      <vt:lpstr>CF主表核查!Print_Area</vt:lpstr>
      <vt:lpstr>TB!Print_Area</vt:lpstr>
      <vt:lpstr>'TB(期初)'!Print_Area</vt:lpstr>
      <vt:lpstr>参数!Print_Area</vt:lpstr>
      <vt:lpstr>调整事项汇总表!Print_Area</vt:lpstr>
      <vt:lpstr>期初核对!Print_Area</vt:lpstr>
      <vt:lpstr>审定报表!Print_Area</vt:lpstr>
      <vt:lpstr>未审BS分析!Print_Area</vt:lpstr>
      <vt:lpstr>未审PL分析!Print_Area</vt:lpstr>
      <vt:lpstr>未审报表!Print_Area</vt:lpstr>
      <vt:lpstr>未审比率分析!Print_Area</vt:lpstr>
      <vt:lpstr>'已审比率分析 '!Print_Area</vt:lpstr>
      <vt:lpstr>TB!Print_Titles</vt:lpstr>
      <vt:lpstr>'TB(期初)'!Print_Titles</vt:lpstr>
      <vt:lpstr>报表格式!Print_Titles</vt:lpstr>
      <vt:lpstr>期初核对!Print_Titles</vt:lpstr>
      <vt:lpstr>未审比率分析!Print_Titles</vt:lpstr>
      <vt:lpstr>'已审比率分析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何先琴</cp:lastModifiedBy>
  <cp:lastPrinted>2025-11-06T09:54:15Z</cp:lastPrinted>
  <dcterms:created xsi:type="dcterms:W3CDTF">2000-02-14T12:03:30Z</dcterms:created>
  <dcterms:modified xsi:type="dcterms:W3CDTF">2025-11-06T09:54:33Z</dcterms:modified>
</cp:coreProperties>
</file>