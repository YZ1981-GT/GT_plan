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Default Extension="docx" ContentType="application/msword"/>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defaultThemeVersion="124226"/>
  <bookViews>
    <workbookView xWindow="-120" yWindow="-120" windowWidth="20730" windowHeight="11760" tabRatio="727" activeTab="1"/>
  </bookViews>
  <sheets>
    <sheet name="表头" sheetId="8" r:id="rId1"/>
    <sheet name="审定表A5-4" sheetId="1" r:id="rId2"/>
    <sheet name="附注披露信息（上市公司）A5-4-1" sheetId="2" r:id="rId3"/>
    <sheet name="附注披露信息（国企）A5-4-1" sheetId="12" r:id="rId4"/>
    <sheet name="明细分析表A5-4-2" sheetId="4" r:id="rId5"/>
    <sheet name="检查表A5-4-3" sheetId="7" r:id="rId6"/>
  </sheets>
  <externalReferences>
    <externalReference r:id="rId7"/>
    <externalReference r:id="rId8"/>
    <externalReference r:id="rId9"/>
  </externalReferences>
  <definedNames>
    <definedName name="_DAT1" localSheetId="3">#REF!</definedName>
    <definedName name="_DAT1" localSheetId="5">#REF!</definedName>
    <definedName name="_DAT1" localSheetId="4">#REF!</definedName>
    <definedName name="_DAT1">#REF!</definedName>
    <definedName name="_DAT10" localSheetId="3">#REF!</definedName>
    <definedName name="_DAT10" localSheetId="5">#REF!</definedName>
    <definedName name="_DAT10" localSheetId="4">#REF!</definedName>
    <definedName name="_DAT10">#REF!</definedName>
    <definedName name="_DAT11" localSheetId="3">#REF!</definedName>
    <definedName name="_DAT11" localSheetId="5">#REF!</definedName>
    <definedName name="_DAT11" localSheetId="4">#REF!</definedName>
    <definedName name="_DAT11">#REF!</definedName>
    <definedName name="_DAT2" localSheetId="3">#REF!</definedName>
    <definedName name="_DAT2">#REF!</definedName>
    <definedName name="_DAT3" localSheetId="3">#REF!</definedName>
    <definedName name="_DAT3">#REF!</definedName>
    <definedName name="_DAT4" localSheetId="3">#REF!</definedName>
    <definedName name="_DAT4">#REF!</definedName>
    <definedName name="_DAT5" localSheetId="3">#REF!</definedName>
    <definedName name="_DAT5">#REF!</definedName>
    <definedName name="_DAT6" localSheetId="3">#REF!</definedName>
    <definedName name="_DAT6">#REF!</definedName>
    <definedName name="_DAT7" localSheetId="3">#REF!</definedName>
    <definedName name="_DAT7">#REF!</definedName>
    <definedName name="_DAT8" localSheetId="3">#REF!</definedName>
    <definedName name="_DAT8">#REF!</definedName>
    <definedName name="_DAT9" localSheetId="3">#REF!</definedName>
    <definedName name="_DAT9">#REF!</definedName>
    <definedName name="_xlnm._FilterDatabase" localSheetId="4" hidden="1">'明细分析表A5-4-2'!$A$14:$N$14</definedName>
    <definedName name="AS2DocOpenMode" hidden="1">"AS2DocumentEdit"</definedName>
    <definedName name="bs" localSheetId="5" hidden="1">{#N/A,#N/A,FALSE,"BBPREP"}</definedName>
    <definedName name="bs" localSheetId="4" hidden="1">{#N/A,#N/A,FALSE,"BBPREP"}</definedName>
    <definedName name="bs" hidden="1">{#N/A,#N/A,FALSE,"BBPREP"}</definedName>
    <definedName name="bs_1" localSheetId="5" hidden="1">{#N/A,#N/A,FALSE,"BBPREP"}</definedName>
    <definedName name="bs_1" localSheetId="4" hidden="1">{#N/A,#N/A,FALSE,"BBPREP"}</definedName>
    <definedName name="bs_1" hidden="1">{#N/A,#N/A,FALSE,"BBPREP"}</definedName>
    <definedName name="_xlnm.Database" localSheetId="3">#REF!</definedName>
    <definedName name="_xlnm.Database">#REF!</definedName>
    <definedName name="_xlnm.Print_Area" localSheetId="3">'附注披露信息（国企）A5-4-1'!$A$1:$D$25</definedName>
    <definedName name="_xlnm.Print_Area" localSheetId="2">'附注披露信息（上市公司）A5-4-1'!$A$1:$D$50</definedName>
    <definedName name="_xlnm.Print_Area" localSheetId="5">'检查表A5-4-3'!$A$1:$J$60</definedName>
    <definedName name="_xlnm.Print_Area" localSheetId="4">'明细分析表A5-4-2'!$A$1:$O$118</definedName>
    <definedName name="_xlnm.Print_Area" localSheetId="1">'审定表A5-4'!$A$1:$O$36</definedName>
    <definedName name="TEST1" localSheetId="3">#REF!</definedName>
    <definedName name="TEST1">#REF!</definedName>
    <definedName name="TESTHKEY" localSheetId="3">#REF!</definedName>
    <definedName name="TESTHKEY">#REF!</definedName>
    <definedName name="TESTKEYS" localSheetId="3">#REF!</definedName>
    <definedName name="TESTKEYS">#REF!</definedName>
    <definedName name="TESTVKEY" localSheetId="3">#REF!</definedName>
    <definedName name="TESTVKEY">#REF!</definedName>
    <definedName name="TextRefCopy1" localSheetId="3">#REF!</definedName>
    <definedName name="TextRefCopy1">#REF!</definedName>
    <definedName name="TextRefCopyRangeCount" hidden="1">136</definedName>
    <definedName name="UFPrn20020120153922" localSheetId="3">#REF!</definedName>
    <definedName name="UFPrn20020120153922">#REF!</definedName>
    <definedName name="UFPrn20051027160140" localSheetId="3">#REF!</definedName>
    <definedName name="UFPrn20051027160140">#REF!</definedName>
    <definedName name="UFPrn20051027172739" localSheetId="3">#REF!</definedName>
    <definedName name="UFPrn20051027172739">#REF!</definedName>
    <definedName name="UFPrn20051103141418" localSheetId="3">#REF!</definedName>
    <definedName name="UFPrn20051103141418">#REF!</definedName>
    <definedName name="UFPrn20060721155740" localSheetId="3">#REF!</definedName>
    <definedName name="UFPrn20060721155740">#REF!</definedName>
    <definedName name="UFPrn20071205095615" localSheetId="3">#REF!</definedName>
    <definedName name="UFPrn20071205095615">#REF!</definedName>
    <definedName name="UFPrn20071205103259" localSheetId="3">#REF!</definedName>
    <definedName name="UFPrn20071205103259">#REF!</definedName>
    <definedName name="UFPrn20071205103331" localSheetId="3">#REF!</definedName>
    <definedName name="UFPrn20071205103331">#REF!</definedName>
    <definedName name="UFPrn20071205103404" localSheetId="3">#REF!</definedName>
    <definedName name="UFPrn20071205103404">#REF!</definedName>
    <definedName name="UFPrn20071205103449" localSheetId="3">#REF!</definedName>
    <definedName name="UFPrn20071205103449">#REF!</definedName>
    <definedName name="UFPrn20071205103544" localSheetId="3">#REF!</definedName>
    <definedName name="UFPrn20071205103544">#REF!</definedName>
    <definedName name="UFPrn20071205103726" localSheetId="3">#REF!</definedName>
    <definedName name="UFPrn20071205103726">#REF!</definedName>
    <definedName name="UFPrn20071205103910" localSheetId="3">#REF!</definedName>
    <definedName name="UFPrn20071205103910">#REF!</definedName>
    <definedName name="UFPrn20071205104255" localSheetId="3">#REF!</definedName>
    <definedName name="UFPrn20071205104255">#REF!</definedName>
    <definedName name="UFPrn20071205104641" localSheetId="3">#REF!</definedName>
    <definedName name="UFPrn20071205104641">#REF!</definedName>
    <definedName name="XREF_COLUMN_1" localSheetId="3" hidden="1">#REF!</definedName>
    <definedName name="XREF_COLUMN_1" hidden="1">#REF!</definedName>
    <definedName name="XREF_COLUMN_2" localSheetId="3" hidden="1">[1]Breakdown!#REF!</definedName>
    <definedName name="XREF_COLUMN_2" hidden="1">[1]Breakdown!#REF!</definedName>
    <definedName name="XREF_COLUMN_3" localSheetId="3" hidden="1">#REF!</definedName>
    <definedName name="XREF_COLUMN_3" hidden="1">#REF!</definedName>
    <definedName name="XREF_COLUMN_5" localSheetId="3" hidden="1">'[2]2004'!#REF!</definedName>
    <definedName name="XREF_COLUMN_5" hidden="1">'[2]2004'!#REF!</definedName>
    <definedName name="XRefActiveRow" localSheetId="3" hidden="1">#REF!</definedName>
    <definedName name="XRefActiveRow" hidden="1">#REF!</definedName>
    <definedName name="XRefColumnsCount" hidden="1">2</definedName>
    <definedName name="XRefCopy1" localSheetId="3" hidden="1">#REF!</definedName>
    <definedName name="XRefCopy1" hidden="1">#REF!</definedName>
    <definedName name="XRefCopy1Row" localSheetId="3" hidden="1">#REF!</definedName>
    <definedName name="XRefCopy1Row" hidden="1">#REF!</definedName>
    <definedName name="XRefCopy2Row" localSheetId="3" hidden="1">#REF!</definedName>
    <definedName name="XRefCopy2Row" hidden="1">#REF!</definedName>
    <definedName name="XRefCopyRangeCount" hidden="1">2</definedName>
    <definedName name="XRefPaste1" localSheetId="3" hidden="1">#REF!</definedName>
    <definedName name="XRefPaste1" hidden="1">#REF!</definedName>
    <definedName name="XRefPaste1Row" localSheetId="3" hidden="1">#REF!</definedName>
    <definedName name="XRefPaste1Row" hidden="1">#REF!</definedName>
    <definedName name="XRefPaste2" localSheetId="3" hidden="1">#REF!</definedName>
    <definedName name="XRefPaste2" hidden="1">#REF!</definedName>
    <definedName name="XRefPaste2Row" localSheetId="3" hidden="1">#REF!</definedName>
    <definedName name="XRefPaste2Row" hidden="1">#REF!</definedName>
    <definedName name="XRefPaste3" localSheetId="3" hidden="1">#REF!</definedName>
    <definedName name="XRefPaste3" hidden="1">#REF!</definedName>
    <definedName name="XRefPaste3Row" localSheetId="3" hidden="1">#REF!</definedName>
    <definedName name="XRefPaste3Row" hidden="1">#REF!</definedName>
    <definedName name="XRefPasteRangeCount" hidden="1">2</definedName>
    <definedName name="本循环科目" hidden="1">[3]索引!$D$15:$D$76</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1" i="7"/>
  <c r="F41"/>
  <c r="E41"/>
  <c r="F14" s="1"/>
  <c r="D41"/>
  <c r="C41"/>
  <c r="B41"/>
  <c r="F11"/>
  <c r="G11" s="1"/>
  <c r="C30"/>
  <c r="E12"/>
  <c r="D30"/>
  <c r="E30"/>
  <c r="E14" s="1"/>
  <c r="F30"/>
  <c r="E15"/>
  <c r="G30"/>
  <c r="E16" s="1"/>
  <c r="G16" s="1"/>
  <c r="B30"/>
  <c r="E11" s="1"/>
  <c r="A44"/>
  <c r="A45"/>
  <c r="A46"/>
  <c r="A47"/>
  <c r="A48"/>
  <c r="A49"/>
  <c r="A50"/>
  <c r="A51"/>
  <c r="A43"/>
  <c r="A33"/>
  <c r="A34"/>
  <c r="A35"/>
  <c r="A36"/>
  <c r="A37"/>
  <c r="A38"/>
  <c r="A39"/>
  <c r="A40"/>
  <c r="A32"/>
  <c r="B51"/>
  <c r="C51"/>
  <c r="D51"/>
  <c r="E51"/>
  <c r="F51"/>
  <c r="G51"/>
  <c r="F16"/>
  <c r="F15"/>
  <c r="F13"/>
  <c r="F12"/>
  <c r="G12" s="1"/>
  <c r="E13"/>
  <c r="B44"/>
  <c r="C44"/>
  <c r="D44"/>
  <c r="E44"/>
  <c r="F44"/>
  <c r="G44"/>
  <c r="B45"/>
  <c r="C45"/>
  <c r="D45"/>
  <c r="E45"/>
  <c r="F45"/>
  <c r="F52" s="1"/>
  <c r="G45"/>
  <c r="B46"/>
  <c r="C46"/>
  <c r="D46"/>
  <c r="E46"/>
  <c r="F46"/>
  <c r="G46"/>
  <c r="B47"/>
  <c r="C47"/>
  <c r="D47"/>
  <c r="E47"/>
  <c r="F47"/>
  <c r="G47"/>
  <c r="B48"/>
  <c r="C48"/>
  <c r="D48"/>
  <c r="E48"/>
  <c r="F48"/>
  <c r="G48"/>
  <c r="B50"/>
  <c r="C50"/>
  <c r="D50"/>
  <c r="E50"/>
  <c r="F50"/>
  <c r="G50"/>
  <c r="C43"/>
  <c r="C52" s="1"/>
  <c r="D43"/>
  <c r="D52" s="1"/>
  <c r="E43"/>
  <c r="E52" s="1"/>
  <c r="F43"/>
  <c r="G43"/>
  <c r="B43"/>
  <c r="G52"/>
  <c r="B52"/>
  <c r="G13"/>
  <c r="G15"/>
  <c r="I24" i="4"/>
  <c r="A4" i="12"/>
  <c r="C3"/>
  <c r="B3"/>
  <c r="A3"/>
  <c r="G7" i="1"/>
  <c r="H7"/>
  <c r="I7"/>
  <c r="G8"/>
  <c r="H8"/>
  <c r="I8"/>
  <c r="G9"/>
  <c r="H9"/>
  <c r="F7"/>
  <c r="F8"/>
  <c r="J8"/>
  <c r="K8"/>
  <c r="L8"/>
  <c r="M8"/>
  <c r="B8"/>
  <c r="C8"/>
  <c r="D8"/>
  <c r="E8"/>
  <c r="C7"/>
  <c r="D7"/>
  <c r="E7"/>
  <c r="M7" s="1"/>
  <c r="B7"/>
  <c r="C9"/>
  <c r="D9"/>
  <c r="L7"/>
  <c r="K7"/>
  <c r="L50" i="4"/>
  <c r="H16" i="1"/>
  <c r="M46" i="4"/>
  <c r="M47"/>
  <c r="M48"/>
  <c r="K50"/>
  <c r="M50" s="1"/>
  <c r="G16" i="1"/>
  <c r="J50" i="4"/>
  <c r="F16" i="1"/>
  <c r="M49" i="4"/>
  <c r="F49"/>
  <c r="F48"/>
  <c r="F47"/>
  <c r="F46"/>
  <c r="G46" s="1"/>
  <c r="G50" s="1"/>
  <c r="J40"/>
  <c r="I16" i="1"/>
  <c r="C13" i="2"/>
  <c r="O105" i="4"/>
  <c r="I103"/>
  <c r="I102"/>
  <c r="I101"/>
  <c r="I100"/>
  <c r="I97"/>
  <c r="I96"/>
  <c r="I95"/>
  <c r="I94"/>
  <c r="I91"/>
  <c r="I90"/>
  <c r="I89"/>
  <c r="I88"/>
  <c r="I85"/>
  <c r="I84"/>
  <c r="I83"/>
  <c r="I82"/>
  <c r="I79"/>
  <c r="I78"/>
  <c r="I77"/>
  <c r="I76"/>
  <c r="I73"/>
  <c r="I72"/>
  <c r="I71"/>
  <c r="I70"/>
  <c r="I67"/>
  <c r="I66"/>
  <c r="I65"/>
  <c r="I64"/>
  <c r="I61"/>
  <c r="I60"/>
  <c r="I59"/>
  <c r="I58"/>
  <c r="I55"/>
  <c r="I54"/>
  <c r="I53"/>
  <c r="I52"/>
  <c r="I49"/>
  <c r="I48"/>
  <c r="I47"/>
  <c r="I46"/>
  <c r="I43"/>
  <c r="I42"/>
  <c r="I41"/>
  <c r="I40"/>
  <c r="I37"/>
  <c r="I36"/>
  <c r="I35"/>
  <c r="I34"/>
  <c r="I31"/>
  <c r="I30"/>
  <c r="I29"/>
  <c r="I28"/>
  <c r="I25"/>
  <c r="I23"/>
  <c r="I22"/>
  <c r="B103"/>
  <c r="B102"/>
  <c r="B101"/>
  <c r="B100"/>
  <c r="B97"/>
  <c r="B96"/>
  <c r="B95"/>
  <c r="B94"/>
  <c r="B91"/>
  <c r="B90"/>
  <c r="B89"/>
  <c r="B88"/>
  <c r="B85"/>
  <c r="B84"/>
  <c r="B83"/>
  <c r="B82"/>
  <c r="B79"/>
  <c r="B78"/>
  <c r="B77"/>
  <c r="B76"/>
  <c r="B73"/>
  <c r="B72"/>
  <c r="B71"/>
  <c r="B70"/>
  <c r="B67"/>
  <c r="B66"/>
  <c r="B65"/>
  <c r="B64"/>
  <c r="B61"/>
  <c r="B60"/>
  <c r="B59"/>
  <c r="B58"/>
  <c r="B55"/>
  <c r="B54"/>
  <c r="B53"/>
  <c r="B52"/>
  <c r="B49"/>
  <c r="B48"/>
  <c r="B47"/>
  <c r="B46"/>
  <c r="B43"/>
  <c r="B42"/>
  <c r="B41"/>
  <c r="B40"/>
  <c r="B37"/>
  <c r="B36"/>
  <c r="B35"/>
  <c r="B34"/>
  <c r="B31"/>
  <c r="B30"/>
  <c r="B29"/>
  <c r="B28"/>
  <c r="B25"/>
  <c r="B24"/>
  <c r="B23"/>
  <c r="B22"/>
  <c r="L104"/>
  <c r="H25" i="1" s="1"/>
  <c r="K104" i="4"/>
  <c r="G25" i="1"/>
  <c r="J104" i="4"/>
  <c r="M103"/>
  <c r="M102"/>
  <c r="M101"/>
  <c r="N101" s="1"/>
  <c r="M100"/>
  <c r="L98"/>
  <c r="H24" i="1"/>
  <c r="K98" i="4"/>
  <c r="G24" i="1" s="1"/>
  <c r="J98" i="4"/>
  <c r="M97"/>
  <c r="M96"/>
  <c r="N96" s="1"/>
  <c r="M95"/>
  <c r="M94"/>
  <c r="L92"/>
  <c r="H23" i="1"/>
  <c r="K92" i="4"/>
  <c r="G23" i="1" s="1"/>
  <c r="J92" i="4"/>
  <c r="M91"/>
  <c r="N91" s="1"/>
  <c r="M90"/>
  <c r="M89"/>
  <c r="M88"/>
  <c r="L86"/>
  <c r="H22" i="1"/>
  <c r="K86" i="4"/>
  <c r="G22" i="1"/>
  <c r="J86" i="4"/>
  <c r="F22" i="1"/>
  <c r="M85" i="4"/>
  <c r="M84"/>
  <c r="M83"/>
  <c r="N83" s="1"/>
  <c r="M82"/>
  <c r="L80"/>
  <c r="H21" i="1"/>
  <c r="K80" i="4"/>
  <c r="M80" s="1"/>
  <c r="G21" i="1"/>
  <c r="J80" i="4"/>
  <c r="M79"/>
  <c r="M78"/>
  <c r="N78" s="1"/>
  <c r="M77"/>
  <c r="M76"/>
  <c r="L67"/>
  <c r="J67"/>
  <c r="J73" s="1"/>
  <c r="M73" s="1"/>
  <c r="K67"/>
  <c r="L66"/>
  <c r="K66"/>
  <c r="K68" s="1"/>
  <c r="J66"/>
  <c r="J72" s="1"/>
  <c r="M72" s="1"/>
  <c r="L65"/>
  <c r="K65"/>
  <c r="J65"/>
  <c r="J68" s="1"/>
  <c r="M68" s="1"/>
  <c r="N64" s="1"/>
  <c r="N68" s="1"/>
  <c r="L64"/>
  <c r="K64"/>
  <c r="J64"/>
  <c r="L62"/>
  <c r="M62" s="1"/>
  <c r="K62"/>
  <c r="G18" i="1"/>
  <c r="J62" i="4"/>
  <c r="F18" i="1"/>
  <c r="M61" i="4"/>
  <c r="M60"/>
  <c r="M59"/>
  <c r="M58"/>
  <c r="N58" s="1"/>
  <c r="N62" s="1"/>
  <c r="L56"/>
  <c r="H17" i="1"/>
  <c r="K56" i="4"/>
  <c r="G17" i="1"/>
  <c r="J56" i="4"/>
  <c r="F17" i="1"/>
  <c r="M55" i="4"/>
  <c r="M54"/>
  <c r="N54" s="1"/>
  <c r="M53"/>
  <c r="M52"/>
  <c r="L43"/>
  <c r="K43"/>
  <c r="K73" s="1"/>
  <c r="J43"/>
  <c r="L42"/>
  <c r="L72" s="1"/>
  <c r="K42"/>
  <c r="J42"/>
  <c r="L41"/>
  <c r="L71" s="1"/>
  <c r="K41"/>
  <c r="J41"/>
  <c r="L40"/>
  <c r="L44" s="1"/>
  <c r="K40"/>
  <c r="L38"/>
  <c r="K38"/>
  <c r="G14" i="1"/>
  <c r="J38" i="4"/>
  <c r="M38" s="1"/>
  <c r="F14" i="1"/>
  <c r="M37" i="4"/>
  <c r="M36"/>
  <c r="M35"/>
  <c r="M34"/>
  <c r="L32"/>
  <c r="H13" i="1"/>
  <c r="K32" i="4"/>
  <c r="M32" s="1"/>
  <c r="G13" i="1"/>
  <c r="J32" i="4"/>
  <c r="F13" i="1"/>
  <c r="M31" i="4"/>
  <c r="M30"/>
  <c r="M29"/>
  <c r="M28"/>
  <c r="L26"/>
  <c r="H12" i="1"/>
  <c r="K26" i="4"/>
  <c r="G12" i="1"/>
  <c r="J26" i="4"/>
  <c r="M25"/>
  <c r="M24"/>
  <c r="M23"/>
  <c r="N23" s="1"/>
  <c r="M22"/>
  <c r="L20"/>
  <c r="H11" i="1"/>
  <c r="K20" i="4"/>
  <c r="G11" i="1"/>
  <c r="J20" i="4"/>
  <c r="F11" i="1"/>
  <c r="M19" i="4"/>
  <c r="M18"/>
  <c r="M17"/>
  <c r="M16"/>
  <c r="M20" s="1"/>
  <c r="K72"/>
  <c r="L73"/>
  <c r="I11" i="1"/>
  <c r="C8" i="2"/>
  <c r="J44" i="4"/>
  <c r="K71"/>
  <c r="L68"/>
  <c r="H19" i="1"/>
  <c r="M66" i="4"/>
  <c r="N66" s="1"/>
  <c r="M26"/>
  <c r="N25" s="1"/>
  <c r="I12" i="1"/>
  <c r="C9" i="2"/>
  <c r="F12" i="1"/>
  <c r="H15"/>
  <c r="M56" i="4"/>
  <c r="F19" i="1"/>
  <c r="J70" i="4"/>
  <c r="I21" i="1"/>
  <c r="C18" i="2"/>
  <c r="F21" i="1"/>
  <c r="I14"/>
  <c r="C11" i="2"/>
  <c r="H14" i="1"/>
  <c r="J71" i="4"/>
  <c r="M71" s="1"/>
  <c r="G19" i="1"/>
  <c r="M104" i="4"/>
  <c r="I25" i="1" s="1"/>
  <c r="C22" i="2" s="1"/>
  <c r="F25" i="1"/>
  <c r="I13"/>
  <c r="C10" i="2"/>
  <c r="F15" i="1"/>
  <c r="M86" i="4"/>
  <c r="N82" s="1"/>
  <c r="N86" s="1"/>
  <c r="M92"/>
  <c r="M98"/>
  <c r="I24" i="1" s="1"/>
  <c r="C21" i="2" s="1"/>
  <c r="F24" i="1"/>
  <c r="G15"/>
  <c r="K70" i="4"/>
  <c r="K74" s="1"/>
  <c r="K108" s="1"/>
  <c r="G10" i="1" s="1"/>
  <c r="I18"/>
  <c r="C15" i="2"/>
  <c r="H18" i="1"/>
  <c r="M65" i="4"/>
  <c r="N65" s="1"/>
  <c r="I23" i="1"/>
  <c r="C20" i="2"/>
  <c r="F23" i="1"/>
  <c r="N97" i="4"/>
  <c r="N89"/>
  <c r="N90"/>
  <c r="N88"/>
  <c r="N92" s="1"/>
  <c r="M43"/>
  <c r="M64"/>
  <c r="E104"/>
  <c r="D25" i="1" s="1"/>
  <c r="D104" i="4"/>
  <c r="C25" i="1" s="1"/>
  <c r="C104" i="4"/>
  <c r="B25" i="1" s="1"/>
  <c r="E98" i="4"/>
  <c r="D24" i="1" s="1"/>
  <c r="D98" i="4"/>
  <c r="C24" i="1"/>
  <c r="C98" i="4"/>
  <c r="B24" i="1" s="1"/>
  <c r="E92" i="4"/>
  <c r="D23" i="1"/>
  <c r="D92" i="4"/>
  <c r="F92" s="1"/>
  <c r="C23" i="1"/>
  <c r="C92" i="4"/>
  <c r="E86"/>
  <c r="D22" i="1"/>
  <c r="D86" i="4"/>
  <c r="F86" s="1"/>
  <c r="C22" i="1"/>
  <c r="C86" i="4"/>
  <c r="E80"/>
  <c r="D21" i="1"/>
  <c r="D80" i="4"/>
  <c r="C21" i="1"/>
  <c r="C80" i="4"/>
  <c r="F80" s="1"/>
  <c r="O80" s="1"/>
  <c r="B21" i="1"/>
  <c r="C65" i="4"/>
  <c r="D65"/>
  <c r="E65"/>
  <c r="F65" s="1"/>
  <c r="C66"/>
  <c r="D66"/>
  <c r="E66"/>
  <c r="C67"/>
  <c r="F67" s="1"/>
  <c r="D67"/>
  <c r="E67"/>
  <c r="D64"/>
  <c r="E64"/>
  <c r="E68" s="1"/>
  <c r="C64"/>
  <c r="F103"/>
  <c r="F102"/>
  <c r="F101"/>
  <c r="F100"/>
  <c r="F97"/>
  <c r="F96"/>
  <c r="F95"/>
  <c r="G95" s="1"/>
  <c r="F94"/>
  <c r="F91"/>
  <c r="F90"/>
  <c r="F89"/>
  <c r="G89" s="1"/>
  <c r="F88"/>
  <c r="F85"/>
  <c r="F84"/>
  <c r="F83"/>
  <c r="F82"/>
  <c r="N52"/>
  <c r="N56" s="1"/>
  <c r="I19" i="1"/>
  <c r="N24" i="4"/>
  <c r="N22"/>
  <c r="N26"/>
  <c r="N84"/>
  <c r="I22" i="1"/>
  <c r="C19" i="2"/>
  <c r="F98" i="4"/>
  <c r="G96" s="1"/>
  <c r="I17" i="1"/>
  <c r="C14" i="2"/>
  <c r="N53" i="4"/>
  <c r="N55"/>
  <c r="B22" i="1"/>
  <c r="B23"/>
  <c r="G20"/>
  <c r="K21"/>
  <c r="J21"/>
  <c r="H20"/>
  <c r="C41" i="4"/>
  <c r="C71" s="1"/>
  <c r="F71" s="1"/>
  <c r="D41"/>
  <c r="D71" s="1"/>
  <c r="E41"/>
  <c r="E71" s="1"/>
  <c r="C42"/>
  <c r="C72" s="1"/>
  <c r="D42"/>
  <c r="D72" s="1"/>
  <c r="E42"/>
  <c r="E72" s="1"/>
  <c r="C43"/>
  <c r="C73" s="1"/>
  <c r="D43"/>
  <c r="D73" s="1"/>
  <c r="E43"/>
  <c r="E73" s="1"/>
  <c r="D40"/>
  <c r="D44" s="1"/>
  <c r="E40"/>
  <c r="E70" s="1"/>
  <c r="C40"/>
  <c r="C26"/>
  <c r="B12" i="1"/>
  <c r="C16" i="2"/>
  <c r="C12"/>
  <c r="F3" i="4"/>
  <c r="E21" i="1"/>
  <c r="J22"/>
  <c r="K22"/>
  <c r="K12"/>
  <c r="J12"/>
  <c r="I15"/>
  <c r="J23"/>
  <c r="K23"/>
  <c r="E22"/>
  <c r="F20"/>
  <c r="E23"/>
  <c r="O98" i="4"/>
  <c r="E50"/>
  <c r="D16" i="1"/>
  <c r="F40" i="4"/>
  <c r="C70"/>
  <c r="C74" s="1"/>
  <c r="D50"/>
  <c r="C16" i="1"/>
  <c r="C17" i="2"/>
  <c r="B20"/>
  <c r="M23" i="1"/>
  <c r="L23"/>
  <c r="B19" i="2"/>
  <c r="M22" i="1"/>
  <c r="L22"/>
  <c r="B18" i="2"/>
  <c r="M21" i="1"/>
  <c r="L21"/>
  <c r="I20"/>
  <c r="C50" i="4"/>
  <c r="F79"/>
  <c r="G79" s="1"/>
  <c r="F78"/>
  <c r="G78" s="1"/>
  <c r="F77"/>
  <c r="G77" s="1"/>
  <c r="F76"/>
  <c r="G76" s="1"/>
  <c r="G80" s="1"/>
  <c r="B20" i="1"/>
  <c r="J20" s="1"/>
  <c r="D19"/>
  <c r="D68" i="4"/>
  <c r="C19" i="1"/>
  <c r="B19"/>
  <c r="J19" s="1"/>
  <c r="F66" i="4"/>
  <c r="F64"/>
  <c r="E62"/>
  <c r="D18" i="1"/>
  <c r="D62" i="4"/>
  <c r="C18" i="1"/>
  <c r="C62" i="4"/>
  <c r="B18" i="1"/>
  <c r="F61" i="4"/>
  <c r="F60"/>
  <c r="G60" s="1"/>
  <c r="F59"/>
  <c r="G59" s="1"/>
  <c r="F58"/>
  <c r="E56"/>
  <c r="D17" i="1"/>
  <c r="D56" i="4"/>
  <c r="F56" s="1"/>
  <c r="C17" i="1"/>
  <c r="C56" i="4"/>
  <c r="B17" i="1"/>
  <c r="J17" s="1"/>
  <c r="F55" i="4"/>
  <c r="F54"/>
  <c r="F53"/>
  <c r="F52"/>
  <c r="D15" i="1"/>
  <c r="C15"/>
  <c r="B15"/>
  <c r="F43" i="4"/>
  <c r="F35"/>
  <c r="F36"/>
  <c r="F37"/>
  <c r="G37" s="1"/>
  <c r="E38"/>
  <c r="D14" i="1"/>
  <c r="D38" i="4"/>
  <c r="C14" i="1"/>
  <c r="C38" i="4"/>
  <c r="B14" i="1"/>
  <c r="K14" s="1"/>
  <c r="D32" i="4"/>
  <c r="C13" i="1"/>
  <c r="E32" i="4"/>
  <c r="F32" s="1"/>
  <c r="D13" i="1"/>
  <c r="C32" i="4"/>
  <c r="B13" i="1"/>
  <c r="J13" s="1"/>
  <c r="F29" i="4"/>
  <c r="G29" s="1"/>
  <c r="F30"/>
  <c r="F31"/>
  <c r="D26"/>
  <c r="F26" s="1"/>
  <c r="C12" i="1"/>
  <c r="E26" i="4"/>
  <c r="D12" i="1"/>
  <c r="F23" i="4"/>
  <c r="F24"/>
  <c r="F25"/>
  <c r="F17"/>
  <c r="F18"/>
  <c r="F20" s="1"/>
  <c r="F19"/>
  <c r="E20"/>
  <c r="D11" i="1"/>
  <c r="D20" i="4"/>
  <c r="C11" i="1"/>
  <c r="C20" i="4"/>
  <c r="B11" i="1"/>
  <c r="K11" s="1"/>
  <c r="K18"/>
  <c r="J18"/>
  <c r="D20"/>
  <c r="J14"/>
  <c r="K17"/>
  <c r="K13"/>
  <c r="J15"/>
  <c r="K15"/>
  <c r="K20"/>
  <c r="B16"/>
  <c r="K16" s="1"/>
  <c r="F50" i="4"/>
  <c r="G48" s="1"/>
  <c r="K19" i="1"/>
  <c r="C20"/>
  <c r="E20"/>
  <c r="F62" i="4"/>
  <c r="O62" s="1"/>
  <c r="F16"/>
  <c r="F22"/>
  <c r="F28"/>
  <c r="G28" s="1"/>
  <c r="G32" s="1"/>
  <c r="F34"/>
  <c r="E17" i="1"/>
  <c r="L17" s="1"/>
  <c r="E19"/>
  <c r="E16"/>
  <c r="L16" s="1"/>
  <c r="L20"/>
  <c r="M20"/>
  <c r="E18"/>
  <c r="J16"/>
  <c r="G58" i="4"/>
  <c r="G62" s="1"/>
  <c r="G61"/>
  <c r="E11" i="1"/>
  <c r="B15" i="2"/>
  <c r="M18" i="1"/>
  <c r="L18"/>
  <c r="B14" i="2"/>
  <c r="M17" i="1"/>
  <c r="B13" i="2"/>
  <c r="M16" i="1"/>
  <c r="L19"/>
  <c r="M19"/>
  <c r="B16" i="2"/>
  <c r="B8"/>
  <c r="L11" i="1"/>
  <c r="M11"/>
  <c r="F38" i="4"/>
  <c r="G36" s="1"/>
  <c r="C3" i="2"/>
  <c r="E13" i="1"/>
  <c r="E14"/>
  <c r="M14" s="1"/>
  <c r="E15"/>
  <c r="L15" s="1"/>
  <c r="E12"/>
  <c r="M12" s="1"/>
  <c r="G35" i="4"/>
  <c r="G34"/>
  <c r="G38" s="1"/>
  <c r="B9" i="2"/>
  <c r="L12" i="1"/>
  <c r="M15"/>
  <c r="B10" i="2"/>
  <c r="M13" i="1"/>
  <c r="L13"/>
  <c r="B11" i="2"/>
  <c r="L14" i="1"/>
  <c r="A4" i="7"/>
  <c r="E3"/>
  <c r="C3"/>
  <c r="A3"/>
  <c r="A4" i="4"/>
  <c r="A3"/>
  <c r="A4" i="2"/>
  <c r="B3"/>
  <c r="A3"/>
  <c r="H3" i="1"/>
  <c r="C3"/>
  <c r="A4"/>
  <c r="A3"/>
  <c r="D5" i="8"/>
  <c r="D6" s="1"/>
  <c r="D7" s="1"/>
  <c r="D8" s="1"/>
  <c r="D9" s="1"/>
  <c r="B12" i="2"/>
  <c r="B17" s="1"/>
  <c r="G14" i="7" l="1"/>
  <c r="O20" i="4"/>
  <c r="G16"/>
  <c r="G20" s="1"/>
  <c r="G17"/>
  <c r="G19"/>
  <c r="C107"/>
  <c r="C108"/>
  <c r="B10" i="1" s="1"/>
  <c r="C110" i="4"/>
  <c r="G82"/>
  <c r="G86" s="1"/>
  <c r="G85"/>
  <c r="G83"/>
  <c r="G84"/>
  <c r="O86"/>
  <c r="J25" i="1"/>
  <c r="K25"/>
  <c r="G31" i="4"/>
  <c r="G30"/>
  <c r="O32"/>
  <c r="N59"/>
  <c r="N61"/>
  <c r="N60"/>
  <c r="N19"/>
  <c r="N36"/>
  <c r="G25"/>
  <c r="G22"/>
  <c r="G26" s="1"/>
  <c r="O26"/>
  <c r="G24"/>
  <c r="G54"/>
  <c r="G52"/>
  <c r="G56" s="1"/>
  <c r="G53"/>
  <c r="O56"/>
  <c r="N29"/>
  <c r="N31"/>
  <c r="N30"/>
  <c r="N28"/>
  <c r="N32" s="1"/>
  <c r="N37"/>
  <c r="N34"/>
  <c r="N38" s="1"/>
  <c r="N35"/>
  <c r="O38"/>
  <c r="N76"/>
  <c r="N80" s="1"/>
  <c r="N77"/>
  <c r="N79"/>
  <c r="N46"/>
  <c r="N50" s="1"/>
  <c r="O50"/>
  <c r="N47"/>
  <c r="N48"/>
  <c r="N49"/>
  <c r="F73"/>
  <c r="J24" i="1"/>
  <c r="K24"/>
  <c r="N17" i="4"/>
  <c r="N16"/>
  <c r="N20" s="1"/>
  <c r="N18"/>
  <c r="G91"/>
  <c r="O92"/>
  <c r="G88"/>
  <c r="G92" s="1"/>
  <c r="G90"/>
  <c r="G23"/>
  <c r="G55"/>
  <c r="E74"/>
  <c r="E108" s="1"/>
  <c r="D10" i="1" s="1"/>
  <c r="F72" i="4"/>
  <c r="G65"/>
  <c r="G18"/>
  <c r="G49"/>
  <c r="G47"/>
  <c r="D70"/>
  <c r="N95"/>
  <c r="N102"/>
  <c r="M42"/>
  <c r="N42" s="1"/>
  <c r="K44"/>
  <c r="M44" s="1"/>
  <c r="N43" s="1"/>
  <c r="M67"/>
  <c r="N67" s="1"/>
  <c r="E44"/>
  <c r="F42"/>
  <c r="G42" s="1"/>
  <c r="C68"/>
  <c r="F68" s="1"/>
  <c r="E24" i="1"/>
  <c r="J74" i="4"/>
  <c r="N100"/>
  <c r="F104"/>
  <c r="N103"/>
  <c r="M41"/>
  <c r="L70"/>
  <c r="L74" s="1"/>
  <c r="L108" s="1"/>
  <c r="H10" i="1" s="1"/>
  <c r="F41" i="4"/>
  <c r="C44"/>
  <c r="F44" s="1"/>
  <c r="G97"/>
  <c r="G94"/>
  <c r="G98" s="1"/>
  <c r="N85"/>
  <c r="M40"/>
  <c r="N40" s="1"/>
  <c r="N44" s="1"/>
  <c r="N94"/>
  <c r="N98" s="1"/>
  <c r="J7" i="1"/>
  <c r="J11"/>
  <c r="M24"/>
  <c r="G100" i="4" l="1"/>
  <c r="G104" s="1"/>
  <c r="G102"/>
  <c r="N104"/>
  <c r="G103"/>
  <c r="G101"/>
  <c r="E25" i="1"/>
  <c r="O104" i="4"/>
  <c r="O68"/>
  <c r="G66"/>
  <c r="G64"/>
  <c r="G68" s="1"/>
  <c r="G41"/>
  <c r="M70"/>
  <c r="G40"/>
  <c r="G44" s="1"/>
  <c r="O44"/>
  <c r="L24" i="1"/>
  <c r="B21" i="2"/>
  <c r="D74" i="4"/>
  <c r="F70"/>
  <c r="B9" i="1"/>
  <c r="C109" i="4"/>
  <c r="J110"/>
  <c r="J107"/>
  <c r="J108"/>
  <c r="F10" i="1" s="1"/>
  <c r="K10" s="1"/>
  <c r="M74" i="4"/>
  <c r="N41"/>
  <c r="G67"/>
  <c r="G43"/>
  <c r="K9" i="1" l="1"/>
  <c r="D108" i="4"/>
  <c r="C10" i="1" s="1"/>
  <c r="F74" i="4"/>
  <c r="J109"/>
  <c r="F9" i="1"/>
  <c r="J9" s="1"/>
  <c r="M25"/>
  <c r="L25"/>
  <c r="B22" i="2"/>
  <c r="G70" i="4"/>
  <c r="G74" s="1"/>
  <c r="N70"/>
  <c r="N74" s="1"/>
  <c r="M107"/>
  <c r="M108"/>
  <c r="M110"/>
  <c r="N72"/>
  <c r="N73"/>
  <c r="N71"/>
  <c r="J10" i="1"/>
  <c r="N108" i="4" l="1"/>
  <c r="I10" i="1"/>
  <c r="I9"/>
  <c r="N107" i="4"/>
  <c r="M109"/>
  <c r="F108"/>
  <c r="O74"/>
  <c r="F107"/>
  <c r="F110"/>
  <c r="G71"/>
  <c r="G73"/>
  <c r="G72"/>
  <c r="E10" i="1" l="1"/>
  <c r="L10" s="1"/>
  <c r="O108" i="4"/>
  <c r="G108"/>
  <c r="G107"/>
  <c r="O107"/>
  <c r="F109"/>
  <c r="E9" i="1"/>
  <c r="M9" l="1"/>
  <c r="L9"/>
  <c r="M10"/>
</calcChain>
</file>

<file path=xl/sharedStrings.xml><?xml version="1.0" encoding="utf-8"?>
<sst xmlns="http://schemas.openxmlformats.org/spreadsheetml/2006/main" count="496" uniqueCount="271">
  <si>
    <t>致同会计师事务所</t>
  </si>
  <si>
    <t>复核人：</t>
    <phoneticPr fontId="7" type="noConversion"/>
  </si>
  <si>
    <t>日期：</t>
    <phoneticPr fontId="7" type="noConversion"/>
  </si>
  <si>
    <t xml:space="preserve">
</t>
    <phoneticPr fontId="7" type="noConversion"/>
  </si>
  <si>
    <t>附注披露信息（上市公司）</t>
    <phoneticPr fontId="7" type="noConversion"/>
  </si>
  <si>
    <t>附注披露信息</t>
    <phoneticPr fontId="7" type="noConversion"/>
  </si>
  <si>
    <t>日期：</t>
    <phoneticPr fontId="7" type="noConversion"/>
  </si>
  <si>
    <t>H3-2</t>
  </si>
  <si>
    <t>页次：</t>
    <phoneticPr fontId="3" type="noConversion"/>
  </si>
  <si>
    <t>说明：</t>
  </si>
  <si>
    <r>
      <rPr>
        <b/>
        <sz val="10"/>
        <rFont val="宋体"/>
        <family val="3"/>
        <charset val="134"/>
      </rPr>
      <t>致同会计师事务所</t>
    </r>
  </si>
  <si>
    <r>
      <rPr>
        <sz val="10"/>
        <rFont val="宋体"/>
        <family val="3"/>
        <charset val="134"/>
      </rPr>
      <t>索引号：</t>
    </r>
  </si>
  <si>
    <r>
      <rPr>
        <sz val="10"/>
        <rFont val="宋体"/>
        <family val="3"/>
        <charset val="134"/>
      </rPr>
      <t>页次：</t>
    </r>
  </si>
  <si>
    <t>日期：</t>
    <phoneticPr fontId="7" type="noConversion"/>
  </si>
  <si>
    <r>
      <rPr>
        <b/>
        <sz val="10"/>
        <color indexed="8"/>
        <rFont val="宋体"/>
        <family val="3"/>
        <charset val="134"/>
      </rPr>
      <t>一、审计目标：</t>
    </r>
    <phoneticPr fontId="7" type="noConversion"/>
  </si>
  <si>
    <r>
      <rPr>
        <b/>
        <sz val="10"/>
        <color indexed="8"/>
        <rFont val="宋体"/>
        <family val="3"/>
        <charset val="134"/>
      </rPr>
      <t>二、审计过程</t>
    </r>
    <phoneticPr fontId="7" type="noConversion"/>
  </si>
  <si>
    <r>
      <rPr>
        <b/>
        <sz val="10"/>
        <rFont val="宋体"/>
        <family val="3"/>
        <charset val="134"/>
      </rPr>
      <t>项目</t>
    </r>
    <phoneticPr fontId="7" type="noConversion"/>
  </si>
  <si>
    <r>
      <rPr>
        <b/>
        <sz val="10"/>
        <rFont val="宋体"/>
        <family val="3"/>
        <charset val="134"/>
      </rPr>
      <t>账项调整</t>
    </r>
    <phoneticPr fontId="3" type="noConversion"/>
  </si>
  <si>
    <r>
      <rPr>
        <b/>
        <sz val="10"/>
        <rFont val="宋体"/>
        <family val="3"/>
        <charset val="134"/>
      </rPr>
      <t>重分类调整</t>
    </r>
    <phoneticPr fontId="3" type="noConversion"/>
  </si>
  <si>
    <r>
      <rPr>
        <b/>
        <sz val="10"/>
        <rFont val="宋体"/>
        <family val="3"/>
        <charset val="134"/>
      </rPr>
      <t>小计</t>
    </r>
    <phoneticPr fontId="3" type="noConversion"/>
  </si>
  <si>
    <r>
      <rPr>
        <b/>
        <sz val="10"/>
        <rFont val="宋体"/>
        <family val="3"/>
        <charset val="134"/>
      </rPr>
      <t>小计</t>
    </r>
    <phoneticPr fontId="3" type="noConversion"/>
  </si>
  <si>
    <r>
      <rPr>
        <sz val="10"/>
        <rFont val="宋体"/>
        <family val="3"/>
        <charset val="134"/>
      </rPr>
      <t>持有至到期投资持有期间取得的投资收益</t>
    </r>
  </si>
  <si>
    <r>
      <rPr>
        <sz val="10"/>
        <rFont val="宋体"/>
        <family val="3"/>
        <charset val="134"/>
      </rPr>
      <t>可供出售金融资产持有期间取得的投资收益</t>
    </r>
  </si>
  <si>
    <t>三、审计说明：</t>
    <phoneticPr fontId="3" type="noConversion"/>
  </si>
  <si>
    <t>四、审计结论：</t>
    <phoneticPr fontId="3" type="noConversion"/>
  </si>
  <si>
    <r>
      <t>1</t>
    </r>
    <r>
      <rPr>
        <sz val="10"/>
        <rFont val="宋体"/>
        <family val="3"/>
        <charset val="134"/>
      </rPr>
      <t>、</t>
    </r>
    <phoneticPr fontId="3" type="noConversion"/>
  </si>
  <si>
    <r>
      <rPr>
        <b/>
        <sz val="10"/>
        <rFont val="宋体"/>
        <family val="3"/>
        <charset val="134"/>
      </rPr>
      <t>致同会计师事务所</t>
    </r>
    <phoneticPr fontId="3" type="noConversion"/>
  </si>
  <si>
    <r>
      <rPr>
        <b/>
        <sz val="10"/>
        <rFont val="宋体"/>
        <family val="3"/>
        <charset val="134"/>
      </rPr>
      <t>一、审计目标：</t>
    </r>
    <phoneticPr fontId="56" type="noConversion"/>
  </si>
  <si>
    <r>
      <rPr>
        <b/>
        <sz val="10"/>
        <rFont val="宋体"/>
        <family val="3"/>
        <charset val="134"/>
      </rPr>
      <t>二、审计过程</t>
    </r>
    <phoneticPr fontId="56" type="noConversion"/>
  </si>
  <si>
    <r>
      <rPr>
        <b/>
        <sz val="10"/>
        <rFont val="宋体"/>
        <family val="3"/>
        <charset val="134"/>
      </rPr>
      <t>三、审计说明：</t>
    </r>
    <phoneticPr fontId="56" type="noConversion"/>
  </si>
  <si>
    <r>
      <rPr>
        <b/>
        <sz val="10"/>
        <rFont val="宋体"/>
        <family val="3"/>
        <charset val="134"/>
      </rPr>
      <t>四、审计结论：</t>
    </r>
    <phoneticPr fontId="7" type="noConversion"/>
  </si>
  <si>
    <r>
      <rPr>
        <b/>
        <sz val="10"/>
        <color indexed="12"/>
        <rFont val="宋体"/>
        <family val="3"/>
        <charset val="134"/>
      </rPr>
      <t>参考结论：</t>
    </r>
    <r>
      <rPr>
        <sz val="12"/>
        <rFont val="Arial Narrow"/>
        <family val="2"/>
      </rPr>
      <t/>
    </r>
    <phoneticPr fontId="7" type="noConversion"/>
  </si>
  <si>
    <r>
      <t>A</t>
    </r>
    <r>
      <rPr>
        <sz val="10"/>
        <color indexed="12"/>
        <rFont val="宋体"/>
        <family val="3"/>
        <charset val="134"/>
      </rPr>
      <t>、</t>
    </r>
    <phoneticPr fontId="7" type="noConversion"/>
  </si>
  <si>
    <r>
      <rPr>
        <sz val="10"/>
        <color indexed="12"/>
        <rFont val="宋体"/>
        <family val="3"/>
        <charset val="134"/>
      </rPr>
      <t>未见异常。</t>
    </r>
    <phoneticPr fontId="7" type="noConversion"/>
  </si>
  <si>
    <r>
      <t>B</t>
    </r>
    <r>
      <rPr>
        <sz val="10"/>
        <color indexed="12"/>
        <rFont val="宋体"/>
        <family val="3"/>
        <charset val="134"/>
      </rPr>
      <t>、</t>
    </r>
    <phoneticPr fontId="7" type="noConversion"/>
  </si>
  <si>
    <r>
      <rPr>
        <sz val="10"/>
        <color indexed="12"/>
        <rFont val="宋体"/>
        <family val="3"/>
        <charset val="134"/>
      </rPr>
      <t>除以下重大不符事项应当作为调整事项予以调整外，其余未见异常。</t>
    </r>
    <phoneticPr fontId="7" type="noConversion"/>
  </si>
  <si>
    <r>
      <t>C</t>
    </r>
    <r>
      <rPr>
        <sz val="10"/>
        <color indexed="12"/>
        <rFont val="宋体"/>
        <family val="3"/>
        <charset val="134"/>
      </rPr>
      <t>、</t>
    </r>
    <phoneticPr fontId="7" type="noConversion"/>
  </si>
  <si>
    <r>
      <rPr>
        <sz val="10"/>
        <color indexed="12"/>
        <rFont val="宋体"/>
        <family val="3"/>
        <charset val="134"/>
      </rPr>
      <t>由于存在以下重大未调整事项（或审计范围受到限制无法获取充分、适当证据），不可确认。</t>
    </r>
    <phoneticPr fontId="7" type="noConversion"/>
  </si>
  <si>
    <t>复核人：</t>
    <phoneticPr fontId="7" type="noConversion"/>
  </si>
  <si>
    <t>日期：</t>
    <phoneticPr fontId="7" type="noConversion"/>
  </si>
  <si>
    <r>
      <rPr>
        <b/>
        <sz val="10"/>
        <color theme="1"/>
        <rFont val="宋体"/>
        <family val="3"/>
        <charset val="134"/>
      </rPr>
      <t>项目</t>
    </r>
    <phoneticPr fontId="7" type="noConversion"/>
  </si>
  <si>
    <r>
      <rPr>
        <b/>
        <sz val="10"/>
        <rFont val="宋体"/>
        <family val="3"/>
        <charset val="134"/>
      </rPr>
      <t>本期数</t>
    </r>
    <phoneticPr fontId="7" type="noConversion"/>
  </si>
  <si>
    <r>
      <rPr>
        <b/>
        <sz val="10"/>
        <rFont val="宋体"/>
        <family val="3"/>
        <charset val="134"/>
      </rPr>
      <t>上期数</t>
    </r>
    <phoneticPr fontId="7" type="noConversion"/>
  </si>
  <si>
    <r>
      <rPr>
        <b/>
        <sz val="10"/>
        <rFont val="宋体"/>
        <family val="3"/>
        <charset val="134"/>
      </rPr>
      <t>原因分析</t>
    </r>
    <phoneticPr fontId="3" type="noConversion"/>
  </si>
  <si>
    <r>
      <rPr>
        <b/>
        <sz val="10"/>
        <rFont val="宋体"/>
        <family val="3"/>
        <charset val="134"/>
      </rPr>
      <t>索引</t>
    </r>
    <phoneticPr fontId="7" type="noConversion"/>
  </si>
  <si>
    <r>
      <rPr>
        <b/>
        <sz val="10"/>
        <rFont val="宋体"/>
        <family val="3"/>
        <charset val="134"/>
      </rPr>
      <t>本期未审数</t>
    </r>
    <phoneticPr fontId="7" type="noConversion"/>
  </si>
  <si>
    <r>
      <rPr>
        <b/>
        <sz val="10"/>
        <rFont val="宋体"/>
        <family val="3"/>
        <charset val="134"/>
      </rPr>
      <t>账项调整</t>
    </r>
    <phoneticPr fontId="7" type="noConversion"/>
  </si>
  <si>
    <r>
      <rPr>
        <b/>
        <sz val="10"/>
        <rFont val="宋体"/>
        <family val="3"/>
        <charset val="134"/>
      </rPr>
      <t>重分类调整</t>
    </r>
    <phoneticPr fontId="7" type="noConversion"/>
  </si>
  <si>
    <r>
      <rPr>
        <b/>
        <sz val="10"/>
        <rFont val="宋体"/>
        <family val="3"/>
        <charset val="134"/>
      </rPr>
      <t>本期审定数</t>
    </r>
    <phoneticPr fontId="7" type="noConversion"/>
  </si>
  <si>
    <r>
      <rPr>
        <b/>
        <sz val="10"/>
        <rFont val="宋体"/>
        <family val="3"/>
        <charset val="134"/>
      </rPr>
      <t>上期未审数</t>
    </r>
    <phoneticPr fontId="7" type="noConversion"/>
  </si>
  <si>
    <r>
      <rPr>
        <b/>
        <sz val="10"/>
        <rFont val="宋体"/>
        <family val="3"/>
        <charset val="134"/>
      </rPr>
      <t>上期审定数</t>
    </r>
    <phoneticPr fontId="7" type="noConversion"/>
  </si>
  <si>
    <r>
      <rPr>
        <sz val="10"/>
        <rFont val="宋体"/>
        <family val="3"/>
        <charset val="134"/>
      </rPr>
      <t>处置可供出售金融资产取得的投资收益</t>
    </r>
    <phoneticPr fontId="3" type="noConversion"/>
  </si>
  <si>
    <r>
      <t>1</t>
    </r>
    <r>
      <rPr>
        <b/>
        <sz val="10"/>
        <rFont val="宋体"/>
        <family val="3"/>
        <charset val="134"/>
      </rPr>
      <t>、审计说明</t>
    </r>
    <r>
      <rPr>
        <sz val="10"/>
        <color indexed="12"/>
        <rFont val="宋体"/>
        <family val="3"/>
        <charset val="134"/>
      </rPr>
      <t/>
    </r>
    <phoneticPr fontId="7" type="noConversion"/>
  </si>
  <si>
    <r>
      <t>2</t>
    </r>
    <r>
      <rPr>
        <b/>
        <sz val="10"/>
        <rFont val="宋体"/>
        <family val="3"/>
        <charset val="134"/>
      </rPr>
      <t>、审计结论</t>
    </r>
    <phoneticPr fontId="7" type="noConversion"/>
  </si>
  <si>
    <r>
      <rPr>
        <b/>
        <sz val="12"/>
        <rFont val="宋体"/>
        <family val="3"/>
        <charset val="134"/>
      </rPr>
      <t>底稿开列时，可先在以下单元格填写有关内容，以便其他底稿引用有关数据：</t>
    </r>
    <phoneticPr fontId="7" type="noConversion"/>
  </si>
  <si>
    <r>
      <rPr>
        <sz val="10"/>
        <rFont val="宋体"/>
        <family val="3"/>
        <charset val="134"/>
      </rPr>
      <t>客户名称：</t>
    </r>
    <phoneticPr fontId="7" type="noConversion"/>
  </si>
  <si>
    <r>
      <rPr>
        <sz val="10"/>
        <rFont val="宋体"/>
        <family val="3"/>
        <charset val="134"/>
      </rPr>
      <t>会计期间：</t>
    </r>
    <r>
      <rPr>
        <sz val="10"/>
        <rFont val="Arial Narrow"/>
        <family val="2"/>
      </rPr>
      <t>201X</t>
    </r>
    <r>
      <rPr>
        <sz val="10"/>
        <rFont val="宋体"/>
        <family val="3"/>
        <charset val="134"/>
      </rPr>
      <t>年度</t>
    </r>
    <phoneticPr fontId="7" type="noConversion"/>
  </si>
  <si>
    <r>
      <rPr>
        <sz val="12"/>
        <rFont val="宋体"/>
        <family val="3"/>
        <charset val="134"/>
      </rPr>
      <t>序号</t>
    </r>
    <phoneticPr fontId="7" type="noConversion"/>
  </si>
  <si>
    <r>
      <rPr>
        <sz val="12"/>
        <rFont val="宋体"/>
        <family val="3"/>
        <charset val="134"/>
      </rPr>
      <t>索引号</t>
    </r>
    <phoneticPr fontId="3" type="noConversion"/>
  </si>
  <si>
    <r>
      <rPr>
        <sz val="12"/>
        <rFont val="宋体"/>
        <family val="3"/>
        <charset val="134"/>
      </rPr>
      <t>内容</t>
    </r>
  </si>
  <si>
    <r>
      <rPr>
        <sz val="10"/>
        <rFont val="宋体"/>
        <family val="3"/>
        <charset val="134"/>
      </rPr>
      <t>编制人：</t>
    </r>
    <phoneticPr fontId="7" type="noConversion"/>
  </si>
  <si>
    <t>H3</t>
    <phoneticPr fontId="3" type="noConversion"/>
  </si>
  <si>
    <r>
      <rPr>
        <u/>
        <sz val="12"/>
        <color indexed="12"/>
        <rFont val="宋体"/>
        <family val="3"/>
        <charset val="134"/>
      </rPr>
      <t>审定表</t>
    </r>
    <phoneticPr fontId="3" type="noConversion"/>
  </si>
  <si>
    <r>
      <rPr>
        <sz val="10"/>
        <rFont val="宋体"/>
        <family val="3"/>
        <charset val="134"/>
      </rPr>
      <t>日期：</t>
    </r>
    <phoneticPr fontId="7" type="noConversion"/>
  </si>
  <si>
    <t>H3-1</t>
    <phoneticPr fontId="3" type="noConversion"/>
  </si>
  <si>
    <r>
      <rPr>
        <u/>
        <sz val="12"/>
        <color indexed="12"/>
        <rFont val="宋体"/>
        <family val="3"/>
        <charset val="134"/>
      </rPr>
      <t>附注披露信息（上市公司）</t>
    </r>
    <phoneticPr fontId="3" type="noConversion"/>
  </si>
  <si>
    <r>
      <rPr>
        <u/>
        <sz val="12"/>
        <color indexed="12"/>
        <rFont val="宋体"/>
        <family val="3"/>
        <charset val="134"/>
      </rPr>
      <t>附注披露信息（国企）</t>
    </r>
    <phoneticPr fontId="3" type="noConversion"/>
  </si>
  <si>
    <r>
      <rPr>
        <b/>
        <sz val="14"/>
        <rFont val="黑体"/>
        <family val="3"/>
        <charset val="134"/>
      </rPr>
      <t>关于工作底稿索引号的编制方法的说明</t>
    </r>
    <phoneticPr fontId="7" type="noConversion"/>
  </si>
  <si>
    <r>
      <rPr>
        <u/>
        <sz val="12"/>
        <color indexed="12"/>
        <rFont val="宋体"/>
        <family val="3"/>
        <charset val="134"/>
      </rPr>
      <t>明细分析表</t>
    </r>
    <phoneticPr fontId="3" type="noConversion"/>
  </si>
  <si>
    <r>
      <t>1</t>
    </r>
    <r>
      <rPr>
        <b/>
        <sz val="12"/>
        <rFont val="Arial"/>
        <family val="2"/>
      </rPr>
      <t>、</t>
    </r>
    <r>
      <rPr>
        <b/>
        <sz val="12"/>
        <rFont val="Arial Narrow"/>
        <family val="2"/>
      </rPr>
      <t> </t>
    </r>
    <r>
      <rPr>
        <b/>
        <sz val="12"/>
        <rFont val="Arial"/>
        <family val="2"/>
      </rPr>
      <t>工作底稿的分类</t>
    </r>
  </si>
  <si>
    <t>H3-3</t>
    <phoneticPr fontId="3" type="noConversion"/>
  </si>
  <si>
    <r>
      <rPr>
        <u/>
        <sz val="12"/>
        <color indexed="12"/>
        <rFont val="宋体"/>
        <family val="3"/>
        <charset val="134"/>
      </rPr>
      <t>收益率分析表</t>
    </r>
    <phoneticPr fontId="3" type="noConversion"/>
  </si>
  <si>
    <t>H3-5</t>
    <phoneticPr fontId="3" type="noConversion"/>
  </si>
  <si>
    <r>
      <rPr>
        <u/>
        <sz val="12"/>
        <color indexed="12"/>
        <rFont val="宋体"/>
        <family val="3"/>
        <charset val="134"/>
      </rPr>
      <t>检查表</t>
    </r>
    <phoneticPr fontId="3" type="noConversion"/>
  </si>
  <si>
    <r>
      <rPr>
        <sz val="12"/>
        <rFont val="宋体"/>
        <family val="3"/>
        <charset val="134"/>
      </rPr>
      <t>作为具体审计程序的支持性工作底稿，共有三类，分别为审定表，明细表，检查表。</t>
    </r>
    <phoneticPr fontId="7" type="noConversion"/>
  </si>
  <si>
    <r>
      <t>2</t>
    </r>
    <r>
      <rPr>
        <b/>
        <sz val="12"/>
        <rFont val="Arial"/>
        <family val="2"/>
      </rPr>
      <t>、</t>
    </r>
    <r>
      <rPr>
        <b/>
        <sz val="12"/>
        <rFont val="Arial Narrow"/>
        <family val="2"/>
      </rPr>
      <t> </t>
    </r>
    <r>
      <rPr>
        <b/>
        <sz val="12"/>
        <rFont val="Arial"/>
        <family val="2"/>
      </rPr>
      <t>工作底稿与审计程序的对应与索引</t>
    </r>
  </si>
  <si>
    <r>
      <rPr>
        <sz val="12"/>
        <rFont val="宋体"/>
        <family val="3"/>
        <charset val="134"/>
      </rPr>
      <t>为提高工作底稿编制的针对性，各项目负责人提供的所有支持性工作底稿，均应当</t>
    </r>
  </si>
  <si>
    <r>
      <rPr>
        <sz val="12"/>
        <rFont val="宋体"/>
        <family val="3"/>
        <charset val="134"/>
      </rPr>
      <t>按自然顺序依次编制索引号，并通过唯一的索引号将审计程序表中的特定程序与相关</t>
    </r>
    <phoneticPr fontId="7" type="noConversion"/>
  </si>
  <si>
    <r>
      <rPr>
        <sz val="12"/>
        <rFont val="宋体"/>
        <family val="3"/>
        <charset val="134"/>
      </rPr>
      <t>支持性工作底稿进行一一对应。</t>
    </r>
    <phoneticPr fontId="7" type="noConversion"/>
  </si>
  <si>
    <r>
      <t>3</t>
    </r>
    <r>
      <rPr>
        <b/>
        <sz val="12"/>
        <rFont val="Arial"/>
        <family val="2"/>
      </rPr>
      <t>、</t>
    </r>
    <r>
      <rPr>
        <b/>
        <sz val="12"/>
        <rFont val="Arial Narrow"/>
        <family val="2"/>
      </rPr>
      <t> </t>
    </r>
    <r>
      <rPr>
        <b/>
        <sz val="12"/>
        <rFont val="Arial"/>
        <family val="2"/>
      </rPr>
      <t>工作底稿索引号的编码规则（以销售循环为例，假设</t>
    </r>
    <r>
      <rPr>
        <b/>
        <sz val="12"/>
        <rFont val="Arial Narrow"/>
        <family val="2"/>
      </rPr>
      <t>D</t>
    </r>
    <r>
      <rPr>
        <b/>
        <sz val="12"/>
        <rFont val="Arial"/>
        <family val="2"/>
      </rPr>
      <t>为项目名称代码）</t>
    </r>
  </si>
  <si>
    <r>
      <rPr>
        <b/>
        <sz val="12"/>
        <rFont val="宋体"/>
        <family val="3"/>
        <charset val="134"/>
      </rPr>
      <t>索引号的说明：</t>
    </r>
    <r>
      <rPr>
        <sz val="11"/>
        <color theme="1"/>
        <rFont val="宋体"/>
        <family val="2"/>
        <charset val="134"/>
      </rPr>
      <t>实质性程序索引号从</t>
    </r>
    <r>
      <rPr>
        <sz val="11"/>
        <color theme="1"/>
        <rFont val="Arial Narrow"/>
        <family val="2"/>
      </rPr>
      <t>“</t>
    </r>
    <r>
      <rPr>
        <sz val="12"/>
        <rFont val="Arial Narrow"/>
        <family val="2"/>
      </rPr>
      <t>D</t>
    </r>
    <r>
      <rPr>
        <sz val="11"/>
        <color theme="1"/>
        <rFont val="Arial Narrow"/>
        <family val="2"/>
      </rPr>
      <t>”</t>
    </r>
    <r>
      <rPr>
        <sz val="11"/>
        <color theme="1"/>
        <rFont val="宋体"/>
        <family val="2"/>
        <charset val="134"/>
      </rPr>
      <t>到</t>
    </r>
    <r>
      <rPr>
        <sz val="11"/>
        <color theme="1"/>
        <rFont val="Arial Narrow"/>
        <family val="2"/>
      </rPr>
      <t>“</t>
    </r>
    <r>
      <rPr>
        <sz val="12"/>
        <rFont val="Arial Narrow"/>
        <family val="2"/>
      </rPr>
      <t>N</t>
    </r>
    <r>
      <rPr>
        <sz val="11"/>
        <color theme="1"/>
        <rFont val="Arial Narrow"/>
        <family val="2"/>
      </rPr>
      <t>”</t>
    </r>
    <r>
      <rPr>
        <sz val="12"/>
        <rFont val="Arial Narrow"/>
        <family val="2"/>
      </rPr>
      <t>,</t>
    </r>
    <r>
      <rPr>
        <sz val="11"/>
        <color theme="1"/>
        <rFont val="宋体"/>
        <family val="2"/>
        <charset val="134"/>
      </rPr>
      <t>循环内账户以顺序号排列，如：销售循环的程序表即为</t>
    </r>
    <r>
      <rPr>
        <sz val="12"/>
        <rFont val="Arial Narrow"/>
        <family val="2"/>
      </rPr>
      <t>D</t>
    </r>
    <r>
      <rPr>
        <sz val="11"/>
        <color theme="1"/>
        <rFont val="宋体"/>
        <family val="2"/>
        <charset val="134"/>
      </rPr>
      <t>，</t>
    </r>
    <r>
      <rPr>
        <sz val="12"/>
        <rFont val="Arial Narrow"/>
        <family val="2"/>
      </rPr>
      <t>D1</t>
    </r>
    <r>
      <rPr>
        <sz val="11"/>
        <color theme="1"/>
        <rFont val="宋体"/>
        <family val="2"/>
        <charset val="134"/>
      </rPr>
      <t>为应收票据审定表，</t>
    </r>
    <r>
      <rPr>
        <sz val="12"/>
        <rFont val="Arial Narrow"/>
        <family val="2"/>
      </rPr>
      <t>D1-1</t>
    </r>
    <r>
      <rPr>
        <sz val="11"/>
        <color theme="1"/>
        <rFont val="宋体"/>
        <family val="2"/>
        <charset val="134"/>
      </rPr>
      <t>为附注披露信息，</t>
    </r>
    <r>
      <rPr>
        <sz val="12"/>
        <rFont val="Arial Narrow"/>
        <family val="2"/>
      </rPr>
      <t>D1-2</t>
    </r>
    <r>
      <rPr>
        <sz val="11"/>
        <color theme="1"/>
        <rFont val="宋体"/>
        <family val="2"/>
        <charset val="134"/>
      </rPr>
      <t>为明细表</t>
    </r>
    <r>
      <rPr>
        <sz val="12"/>
        <rFont val="Arial Narrow"/>
        <family val="2"/>
      </rPr>
      <t>........</t>
    </r>
    <phoneticPr fontId="7" type="noConversion"/>
  </si>
  <si>
    <t>本期未审数</t>
    <phoneticPr fontId="3" type="noConversion"/>
  </si>
  <si>
    <t>本期审定数</t>
    <phoneticPr fontId="7" type="noConversion"/>
  </si>
  <si>
    <t>各项目占比</t>
    <phoneticPr fontId="7" type="noConversion"/>
  </si>
  <si>
    <t>变动额</t>
  </si>
  <si>
    <t>本期未审数与上期
未审数的比较</t>
    <phoneticPr fontId="7" type="noConversion"/>
  </si>
  <si>
    <t>本期审定数与上期
审定数的比较</t>
    <phoneticPr fontId="7" type="noConversion"/>
  </si>
  <si>
    <t>变动率</t>
    <phoneticPr fontId="7" type="noConversion"/>
  </si>
  <si>
    <t>变动额</t>
    <phoneticPr fontId="7" type="noConversion"/>
  </si>
  <si>
    <r>
      <rPr>
        <b/>
        <sz val="10"/>
        <rFont val="宋体"/>
        <family val="3"/>
        <charset val="134"/>
      </rPr>
      <t>小计</t>
    </r>
    <phoneticPr fontId="3" type="noConversion"/>
  </si>
  <si>
    <r>
      <rPr>
        <sz val="10"/>
        <rFont val="宋体"/>
        <family val="3"/>
        <charset val="134"/>
      </rPr>
      <t>处置持有至到期投资取得的投资收益</t>
    </r>
    <phoneticPr fontId="3" type="noConversion"/>
  </si>
  <si>
    <r>
      <rPr>
        <sz val="10"/>
        <rFont val="宋体"/>
        <family val="3"/>
        <charset val="134"/>
      </rPr>
      <t>处置可供出售金融资产取得的投资收益</t>
    </r>
    <phoneticPr fontId="3" type="noConversion"/>
  </si>
  <si>
    <r>
      <rPr>
        <sz val="10"/>
        <rFont val="宋体"/>
        <family val="3"/>
        <charset val="134"/>
      </rPr>
      <t>其他</t>
    </r>
    <phoneticPr fontId="3" type="noConversion"/>
  </si>
  <si>
    <t xml:space="preserve">终止经营收入 （A） </t>
  </si>
  <si>
    <t xml:space="preserve">终止经营利润总额（C）  </t>
  </si>
  <si>
    <t xml:space="preserve">经营活动净利润（E=C-D）  </t>
  </si>
  <si>
    <t>资产减值损失/（转回）（F）</t>
  </si>
  <si>
    <t>处置收益总额（G）</t>
  </si>
  <si>
    <t>处置相关所得税费用（H）</t>
  </si>
  <si>
    <t>处置净利润（I=G-H）</t>
  </si>
  <si>
    <t>终止经营净利润（J=E+F+I）</t>
  </si>
  <si>
    <t>经营活动现金流量净额</t>
  </si>
  <si>
    <t>投资活动现金流量净额</t>
  </si>
  <si>
    <t>筹资活动现金流量净额</t>
  </si>
  <si>
    <t>1、本期实现的持续经营利润为XX，其中归属于母公司股东的持续经营利润为XX。</t>
  </si>
  <si>
    <t>终止经营</t>
  </si>
  <si>
    <t>页次：</t>
    <phoneticPr fontId="3" type="noConversion"/>
  </si>
  <si>
    <t>上期发生额</t>
    <phoneticPr fontId="3" type="noConversion"/>
  </si>
  <si>
    <t>本期发生额</t>
    <phoneticPr fontId="3" type="noConversion"/>
  </si>
  <si>
    <r>
      <t>2</t>
    </r>
    <r>
      <rPr>
        <sz val="12"/>
        <color rgb="FF0000FF"/>
        <rFont val="仿宋_GB2312"/>
        <family val="3"/>
        <charset val="134"/>
      </rPr>
      <t>、（企业终止经营的原因、内容、性质等。）</t>
    </r>
  </si>
  <si>
    <t>（如果因出售对子公司的投资等原因导致丧失对子公司控制权，且该子公司符合终止经营定义的，应在合并利润表中列报相关终止经营损益，并需披露上述信息。）</t>
  </si>
  <si>
    <t>（如果对终止经营处置损益进行调整，需披露调整的性质和金额。例如：</t>
  </si>
  <si>
    <t>（不符合终止经营定义的持有待售的非流动资产或处置组，其减值损失和转回金额及处置损益应当作为持续经营损益列报；非流动资产或处置组不再继续划分为持有待售类别或非流动资产从持有待售的处置组中移除的，非流动资产或处置组的账面价值调整金额应当在当期利润表中作为持续经营损益列报；终止经营的减值损失和转回金额等经营损益、处置损益及其调整金额应当作为终止经营损益列报。）</t>
  </si>
  <si>
    <t>……</t>
    <phoneticPr fontId="3" type="noConversion"/>
  </si>
  <si>
    <t>……</t>
    <phoneticPr fontId="3" type="noConversion"/>
  </si>
  <si>
    <t xml:space="preserve">终止经营收入 （A） </t>
    <phoneticPr fontId="7" type="noConversion"/>
  </si>
  <si>
    <r>
      <rPr>
        <b/>
        <sz val="10"/>
        <rFont val="宋体"/>
        <family val="3"/>
        <charset val="134"/>
      </rPr>
      <t>终止经营利润总额（</t>
    </r>
    <r>
      <rPr>
        <b/>
        <sz val="10"/>
        <rFont val="Arial Narrow"/>
        <family val="2"/>
      </rPr>
      <t>C</t>
    </r>
    <r>
      <rPr>
        <b/>
        <sz val="10"/>
        <rFont val="宋体"/>
        <family val="3"/>
        <charset val="134"/>
      </rPr>
      <t>）</t>
    </r>
    <r>
      <rPr>
        <b/>
        <sz val="10"/>
        <rFont val="Arial Narrow"/>
        <family val="2"/>
      </rPr>
      <t xml:space="preserve">  </t>
    </r>
    <phoneticPr fontId="3" type="noConversion"/>
  </si>
  <si>
    <r>
      <rPr>
        <b/>
        <sz val="10"/>
        <rFont val="宋体"/>
        <family val="3"/>
        <charset val="134"/>
      </rPr>
      <t>经营活动净利润（</t>
    </r>
    <r>
      <rPr>
        <b/>
        <sz val="10"/>
        <rFont val="Arial Narrow"/>
        <family val="2"/>
      </rPr>
      <t>E=C-D</t>
    </r>
    <r>
      <rPr>
        <b/>
        <sz val="10"/>
        <rFont val="宋体"/>
        <family val="3"/>
        <charset val="134"/>
      </rPr>
      <t>）</t>
    </r>
    <r>
      <rPr>
        <b/>
        <sz val="10"/>
        <rFont val="Arial Narrow"/>
        <family val="2"/>
      </rPr>
      <t xml:space="preserve">  </t>
    </r>
    <phoneticPr fontId="7" type="noConversion"/>
  </si>
  <si>
    <r>
      <rPr>
        <b/>
        <sz val="10"/>
        <rFont val="宋体"/>
        <family val="3"/>
        <charset val="134"/>
      </rPr>
      <t>处置收益总额（</t>
    </r>
    <r>
      <rPr>
        <b/>
        <sz val="10"/>
        <rFont val="Arial Narrow"/>
        <family val="2"/>
      </rPr>
      <t>G</t>
    </r>
    <r>
      <rPr>
        <b/>
        <sz val="10"/>
        <rFont val="宋体"/>
        <family val="3"/>
        <charset val="134"/>
      </rPr>
      <t>）</t>
    </r>
    <phoneticPr fontId="7" type="noConversion"/>
  </si>
  <si>
    <r>
      <rPr>
        <b/>
        <sz val="10"/>
        <rFont val="宋体"/>
        <family val="3"/>
        <charset val="134"/>
      </rPr>
      <t>处置相关所得税费用（</t>
    </r>
    <r>
      <rPr>
        <b/>
        <sz val="10"/>
        <rFont val="Arial Narrow"/>
        <family val="2"/>
      </rPr>
      <t>H</t>
    </r>
    <r>
      <rPr>
        <b/>
        <sz val="10"/>
        <rFont val="宋体"/>
        <family val="3"/>
        <charset val="134"/>
      </rPr>
      <t>）</t>
    </r>
    <phoneticPr fontId="7" type="noConversion"/>
  </si>
  <si>
    <r>
      <rPr>
        <b/>
        <sz val="10"/>
        <rFont val="宋体"/>
        <family val="3"/>
        <charset val="134"/>
      </rPr>
      <t>处置净利润（</t>
    </r>
    <r>
      <rPr>
        <b/>
        <sz val="10"/>
        <rFont val="Arial Narrow"/>
        <family val="2"/>
      </rPr>
      <t>I=G-H</t>
    </r>
    <r>
      <rPr>
        <b/>
        <sz val="10"/>
        <rFont val="宋体"/>
        <family val="3"/>
        <charset val="134"/>
      </rPr>
      <t>）</t>
    </r>
    <phoneticPr fontId="7" type="noConversion"/>
  </si>
  <si>
    <r>
      <rPr>
        <b/>
        <sz val="10"/>
        <rFont val="宋体"/>
        <family val="3"/>
        <charset val="134"/>
      </rPr>
      <t>终止经营净利润（</t>
    </r>
    <r>
      <rPr>
        <b/>
        <sz val="10"/>
        <rFont val="Arial Narrow"/>
        <family val="2"/>
      </rPr>
      <t>J=E+F+I</t>
    </r>
    <r>
      <rPr>
        <b/>
        <sz val="10"/>
        <rFont val="宋体"/>
        <family val="3"/>
        <charset val="134"/>
      </rPr>
      <t>）</t>
    </r>
    <phoneticPr fontId="7" type="noConversion"/>
  </si>
  <si>
    <t>经营活动现金流量净额</t>
    <phoneticPr fontId="7" type="noConversion"/>
  </si>
  <si>
    <t>投资活动现金流量净额</t>
    <phoneticPr fontId="7" type="noConversion"/>
  </si>
  <si>
    <t>筹资活动现金流量净额</t>
    <phoneticPr fontId="7" type="noConversion"/>
  </si>
  <si>
    <t>资产减值损失/（转回）（F）</t>
    <phoneticPr fontId="7" type="noConversion"/>
  </si>
  <si>
    <t xml:space="preserve">    减：终止经营费用（B）</t>
    <phoneticPr fontId="7" type="noConversion"/>
  </si>
  <si>
    <r>
      <rPr>
        <b/>
        <sz val="10"/>
        <rFont val="Arial Narrow"/>
        <family val="2"/>
      </rPr>
      <t xml:space="preserve">       </t>
    </r>
    <r>
      <rPr>
        <b/>
        <sz val="10"/>
        <rFont val="宋体"/>
        <family val="3"/>
        <charset val="134"/>
      </rPr>
      <t>减：终止经营所得税费用（</t>
    </r>
    <r>
      <rPr>
        <b/>
        <sz val="10"/>
        <rFont val="Arial Narrow"/>
        <family val="2"/>
      </rPr>
      <t>D</t>
    </r>
    <r>
      <rPr>
        <b/>
        <sz val="10"/>
        <rFont val="宋体"/>
        <family val="3"/>
        <charset val="134"/>
      </rPr>
      <t>）</t>
    </r>
    <r>
      <rPr>
        <b/>
        <sz val="10"/>
        <rFont val="Arial Narrow"/>
        <family val="2"/>
      </rPr>
      <t xml:space="preserve"> </t>
    </r>
    <phoneticPr fontId="7" type="noConversion"/>
  </si>
  <si>
    <t xml:space="preserve">    其中：归属于母公司股东的终止经营利润</t>
    <phoneticPr fontId="7" type="noConversion"/>
  </si>
  <si>
    <t xml:space="preserve">    其中：归属于少数股东的终止经营利润</t>
    <phoneticPr fontId="7" type="noConversion"/>
  </si>
  <si>
    <t>上期金额</t>
    <phoneticPr fontId="7" type="noConversion"/>
  </si>
  <si>
    <t>本期金额</t>
    <phoneticPr fontId="7" type="noConversion"/>
  </si>
  <si>
    <t>上期未审数</t>
    <phoneticPr fontId="3" type="noConversion"/>
  </si>
  <si>
    <t>上期审定数</t>
    <phoneticPr fontId="7" type="noConversion"/>
  </si>
  <si>
    <t>变动比例</t>
    <phoneticPr fontId="3" type="noConversion"/>
  </si>
  <si>
    <t>——</t>
    <phoneticPr fontId="3" type="noConversion"/>
  </si>
  <si>
    <t>——</t>
    <phoneticPr fontId="3" type="noConversion"/>
  </si>
  <si>
    <t>本年终止经营净利润占利润总额比例</t>
    <phoneticPr fontId="3" type="noConversion"/>
  </si>
  <si>
    <t>本年持续经营净利润占利润总额比例</t>
    <phoneticPr fontId="3" type="noConversion"/>
  </si>
  <si>
    <t xml:space="preserve">    其中：持续经营净利润（净亏损以“-”号填列）</t>
  </si>
  <si>
    <t>（一）按经营持续性分类：</t>
    <phoneticPr fontId="3" type="noConversion"/>
  </si>
  <si>
    <t xml:space="preserve">        其中：持续经营净利润（净亏损以“-”号填列）</t>
    <phoneticPr fontId="3" type="noConversion"/>
  </si>
  <si>
    <r>
      <t xml:space="preserve">               </t>
    </r>
    <r>
      <rPr>
        <b/>
        <sz val="10"/>
        <rFont val="宋体"/>
        <family val="3"/>
        <charset val="134"/>
      </rPr>
      <t>终止经营净利润（净亏损以</t>
    </r>
    <r>
      <rPr>
        <b/>
        <sz val="10"/>
        <rFont val="Arial Narrow"/>
        <family val="2"/>
      </rPr>
      <t>“-”</t>
    </r>
    <r>
      <rPr>
        <b/>
        <sz val="10"/>
        <rFont val="宋体"/>
        <family val="3"/>
        <charset val="134"/>
      </rPr>
      <t>号填列）</t>
    </r>
    <phoneticPr fontId="3" type="noConversion"/>
  </si>
  <si>
    <t>本年净利润(净亏损以“-”号填列）</t>
    <phoneticPr fontId="3" type="noConversion"/>
  </si>
  <si>
    <t>上年净利润(净亏损以“-”号填列）</t>
    <phoneticPr fontId="3" type="noConversion"/>
  </si>
  <si>
    <r>
      <t xml:space="preserve">      </t>
    </r>
    <r>
      <rPr>
        <sz val="10"/>
        <rFont val="宋体"/>
        <family val="3"/>
        <charset val="134"/>
      </rPr>
      <t>减：终止经营费用（</t>
    </r>
    <r>
      <rPr>
        <sz val="10"/>
        <rFont val="Arial Narrow"/>
        <family val="2"/>
      </rPr>
      <t>B</t>
    </r>
    <r>
      <rPr>
        <sz val="10"/>
        <rFont val="宋体"/>
        <family val="3"/>
        <charset val="134"/>
      </rPr>
      <t>）</t>
    </r>
    <phoneticPr fontId="3" type="noConversion"/>
  </si>
  <si>
    <r>
      <t xml:space="preserve">       </t>
    </r>
    <r>
      <rPr>
        <sz val="10"/>
        <rFont val="宋体"/>
        <family val="3"/>
        <charset val="134"/>
      </rPr>
      <t>减：终止经营所得税费用（</t>
    </r>
    <r>
      <rPr>
        <sz val="10"/>
        <rFont val="Arial Narrow"/>
        <family val="2"/>
      </rPr>
      <t>D</t>
    </r>
    <r>
      <rPr>
        <sz val="10"/>
        <rFont val="宋体"/>
        <family val="3"/>
        <charset val="134"/>
      </rPr>
      <t>）</t>
    </r>
    <r>
      <rPr>
        <sz val="10"/>
        <rFont val="Arial Narrow"/>
        <family val="2"/>
      </rPr>
      <t xml:space="preserve">  </t>
    </r>
    <phoneticPr fontId="3" type="noConversion"/>
  </si>
  <si>
    <r>
      <t xml:space="preserve">      </t>
    </r>
    <r>
      <rPr>
        <sz val="10"/>
        <rFont val="宋体"/>
        <family val="3"/>
        <charset val="134"/>
      </rPr>
      <t>其中：归属于母公司股东的终止经营利润</t>
    </r>
    <phoneticPr fontId="3" type="noConversion"/>
  </si>
  <si>
    <r>
      <t xml:space="preserve">                   </t>
    </r>
    <r>
      <rPr>
        <sz val="10"/>
        <rFont val="宋体"/>
        <family val="3"/>
        <charset val="134"/>
      </rPr>
      <t>归属于少数股东的终止经营利润</t>
    </r>
    <phoneticPr fontId="3" type="noConversion"/>
  </si>
  <si>
    <t>附注披露信息（国企）</t>
    <phoneticPr fontId="7" type="noConversion"/>
  </si>
  <si>
    <t>持续经营净利润和终止经营净利润审定表</t>
    <phoneticPr fontId="7" type="noConversion"/>
  </si>
  <si>
    <t>持续经营净利润和终止经营净利润明细分析表</t>
    <phoneticPr fontId="7" type="noConversion"/>
  </si>
  <si>
    <t>本年净利润(净亏损以“-”号填列）</t>
    <phoneticPr fontId="3" type="noConversion"/>
  </si>
  <si>
    <r>
      <t xml:space="preserve">                  </t>
    </r>
    <r>
      <rPr>
        <b/>
        <sz val="10"/>
        <rFont val="宋体"/>
        <family val="3"/>
        <charset val="134"/>
      </rPr>
      <t>终止经营净利润（净亏损以</t>
    </r>
    <r>
      <rPr>
        <b/>
        <sz val="10"/>
        <rFont val="Arial Narrow"/>
        <family val="2"/>
      </rPr>
      <t>“-”</t>
    </r>
    <r>
      <rPr>
        <b/>
        <sz val="10"/>
        <rFont val="宋体"/>
        <family val="3"/>
        <charset val="134"/>
      </rPr>
      <t>号填列）</t>
    </r>
    <phoneticPr fontId="3" type="noConversion"/>
  </si>
  <si>
    <t>项目</t>
  </si>
  <si>
    <t>A、终止经营的收入、费用、利润总额、所得税费用（收益）和净利润；</t>
  </si>
  <si>
    <t>B、终止经营的资产或处置组确认的减值损失及其转回金额；</t>
  </si>
  <si>
    <t>C、终止经营的经营活动、投资活动和筹资活动现金流量净额；</t>
  </si>
  <si>
    <t>C、终止经营的处置损益总额、所得税费用（收益）和处置净损益；</t>
  </si>
  <si>
    <t>D、终止经营的经营活动、投资活动和筹资活动现金流量净额；</t>
  </si>
  <si>
    <t>A、最终确定处置条款，如与买方商定交易价格调整额和补偿金；</t>
  </si>
  <si>
    <t>B、消除与处置相关的不确定因素，如确定卖方保留的环保义务或产品质量保证义务；</t>
  </si>
  <si>
    <r>
      <t>本集团就</t>
    </r>
    <r>
      <rPr>
        <sz val="12"/>
        <color rgb="FF0000FF"/>
        <rFont val="Arial Narrow"/>
        <family val="2"/>
      </rPr>
      <t>[</t>
    </r>
    <r>
      <rPr>
        <sz val="12"/>
        <color rgb="FF0000FF"/>
        <rFont val="仿宋_GB2312"/>
        <family val="3"/>
        <charset val="134"/>
      </rPr>
      <t>终止经营项目</t>
    </r>
    <r>
      <rPr>
        <sz val="12"/>
        <color rgb="FF0000FF"/>
        <rFont val="Arial Narrow"/>
        <family val="2"/>
      </rPr>
      <t>1]</t>
    </r>
    <r>
      <rPr>
        <sz val="12"/>
        <color rgb="FF0000FF"/>
        <rFont val="仿宋_GB2312"/>
        <family val="3"/>
        <charset val="134"/>
      </rPr>
      <t>的最终处置条款与买方达成一致，</t>
    </r>
    <r>
      <rPr>
        <sz val="12"/>
        <color rgb="FF0000FF"/>
        <rFont val="Arial Narrow"/>
        <family val="2"/>
      </rPr>
      <t>[</t>
    </r>
    <r>
      <rPr>
        <sz val="12"/>
        <color rgb="FF0000FF"/>
        <rFont val="仿宋_GB2312"/>
        <family val="3"/>
        <charset val="134"/>
      </rPr>
      <t>调整交易价格人民币</t>
    </r>
    <r>
      <rPr>
        <sz val="12"/>
        <color rgb="FF0000FF"/>
        <rFont val="Arial Narrow"/>
        <family val="2"/>
      </rPr>
      <t>XX</t>
    </r>
    <r>
      <rPr>
        <sz val="12"/>
        <color rgb="FF0000FF"/>
        <rFont val="仿宋_GB2312"/>
        <family val="3"/>
        <charset val="134"/>
      </rPr>
      <t>元</t>
    </r>
    <r>
      <rPr>
        <sz val="12"/>
        <color rgb="FF0000FF"/>
        <rFont val="Arial Narrow"/>
        <family val="2"/>
      </rPr>
      <t>][</t>
    </r>
    <r>
      <rPr>
        <sz val="12"/>
        <color rgb="FF0000FF"/>
        <rFont val="仿宋_GB2312"/>
        <family val="3"/>
        <charset val="134"/>
      </rPr>
      <t>向买方支付补偿金人民币</t>
    </r>
    <r>
      <rPr>
        <sz val="12"/>
        <color rgb="FF0000FF"/>
        <rFont val="Arial Narrow"/>
        <family val="2"/>
      </rPr>
      <t>XX</t>
    </r>
    <r>
      <rPr>
        <sz val="12"/>
        <color rgb="FF0000FF"/>
        <rFont val="仿宋_GB2312"/>
        <family val="3"/>
        <charset val="134"/>
      </rPr>
      <t>元</t>
    </r>
    <r>
      <rPr>
        <sz val="12"/>
        <color rgb="FF0000FF"/>
        <rFont val="Arial Narrow"/>
        <family val="2"/>
      </rPr>
      <t>]</t>
    </r>
    <r>
      <rPr>
        <sz val="12"/>
        <color rgb="FF0000FF"/>
        <rFont val="仿宋_GB2312"/>
        <family val="3"/>
        <charset val="134"/>
      </rPr>
      <t>。</t>
    </r>
    <r>
      <rPr>
        <sz val="12"/>
        <color rgb="FF0000FF"/>
        <rFont val="Arial Narrow"/>
        <family val="2"/>
      </rPr>
      <t>]</t>
    </r>
    <r>
      <rPr>
        <sz val="12"/>
        <color rgb="FF0000FF"/>
        <rFont val="仿宋_GB2312"/>
        <family val="3"/>
        <charset val="134"/>
      </rPr>
      <t>）</t>
    </r>
  </si>
  <si>
    <t>A、企业改变非流动资产或处置组出售计划的原因；</t>
    <phoneticPr fontId="3" type="noConversion"/>
  </si>
  <si>
    <t>（3、对于当期列报的终止经营，企业应当在当期财务报表中，将原来作为持续经营损益列报的信息重新作为可比会计期间的终止经营损益列报，并披露以下可比会计期间的信息：</t>
    <phoneticPr fontId="3" type="noConversion"/>
  </si>
  <si>
    <t>D、归属于母公司所有者的持续经营损益和终止经营损益。）</t>
    <phoneticPr fontId="3" type="noConversion"/>
  </si>
  <si>
    <t>（4、拟结束使用而非出售的处置组满足终止经营定义中有关组成部分的条件的，应当自停止使用日起作为终止经营列报。）</t>
    <phoneticPr fontId="3" type="noConversion"/>
  </si>
  <si>
    <t>（5、企业因出售对子公司的投资等原因导致其丧失对子公司控制权，且该子公司符合终止经营定义的，应当在合并利润表中列报相关终止经营损益，并进行以下披露：</t>
    <phoneticPr fontId="3" type="noConversion"/>
  </si>
  <si>
    <t>E、归属于母公司所有者的持续经营损益和终止经营损益。）</t>
    <phoneticPr fontId="3" type="noConversion"/>
  </si>
  <si>
    <t>（6、企业应当在利润表中将终止经营处置损益的调整金额作为终止经营损益列报，并在附注中披露调整的性质和金额。可能引起调整的情形包括：</t>
    <phoneticPr fontId="3" type="noConversion"/>
  </si>
  <si>
    <t>C、履行与处置相关的职工薪酬支付义务。）</t>
    <phoneticPr fontId="3" type="noConversion"/>
  </si>
  <si>
    <t>（7、非流动资产或处置组不再继续划分为持有待售类别或非流动资产从持有待售的处置组中移除的，企业应当在当期利润表中将非流动资产或处置组的账面价值调整金额作为持续经营损益列报。企业的子公司、共同经营、合营企业、联营企业以及部分对合营企业或联营企业的投资不再继续划分为持有待售类别或从持有待售的处置组中移除的，企业应当在当期财务报表中相应调整各个划分为持有待售类别后可比会计期间的比较数据。企业应当在附注中披露下列信息：</t>
    <phoneticPr fontId="3" type="noConversion"/>
  </si>
  <si>
    <t>B、可比会计期间财务报表中受影响的项目名称和影响金额。)</t>
    <phoneticPr fontId="3" type="noConversion"/>
  </si>
  <si>
    <t>(8、终止经营不再满足持有待售类别划分条件的，企业应当在当期财务报表中，将原来作为终止经营损益列报的信息重新作为可比会计期间的持续经营损益列报，并在附注中说明这一事实。)</t>
    <phoneticPr fontId="3" type="noConversion"/>
  </si>
  <si>
    <t>特殊事项的列报：</t>
    <phoneticPr fontId="3" type="noConversion"/>
  </si>
  <si>
    <r>
      <t>2</t>
    </r>
    <r>
      <rPr>
        <sz val="10"/>
        <color indexed="12"/>
        <rFont val="宋体"/>
        <family val="3"/>
        <charset val="134"/>
      </rPr>
      <t>、终止经营的相关损益应当作为终止经营损益列报，列报的终止经营损益应当包含整个报告期间，而不仅包含认定为终止经营后的报告期间。</t>
    </r>
    <phoneticPr fontId="3" type="noConversion"/>
  </si>
  <si>
    <r>
      <t>3</t>
    </r>
    <r>
      <rPr>
        <sz val="10"/>
        <color indexed="12"/>
        <rFont val="宋体"/>
        <family val="3"/>
        <charset val="134"/>
      </rPr>
      <t>、相关损益具体包括：</t>
    </r>
    <phoneticPr fontId="3" type="noConversion"/>
  </si>
  <si>
    <t xml:space="preserve">  a、最终确定处置条款，如与买方商定交易价格调整额和补偿金；</t>
    <phoneticPr fontId="3" type="noConversion"/>
  </si>
  <si>
    <t xml:space="preserve">  b、消除与处置相关的不确定因素，如确定卖方保留的环保义务或产品质量保证义务；</t>
    <phoneticPr fontId="3" type="noConversion"/>
  </si>
  <si>
    <t xml:space="preserve">  c、履行与处置相关的职工薪酬支付义务等。</t>
    <phoneticPr fontId="3" type="noConversion"/>
  </si>
  <si>
    <t xml:space="preserve"> A、终止经营的经营活动损益，如销售商品、提供服务的收入、相关成本和费用等。</t>
    <phoneticPr fontId="3" type="noConversion"/>
  </si>
  <si>
    <t xml:space="preserve"> B、企业初始计量或在资产负债表日重新计量符合终止经营定义的持有待售的处置组时，因账面价值高于其公允价值减去出售费用后的净额而确认的资产减值损失。</t>
    <phoneticPr fontId="3" type="noConversion"/>
  </si>
  <si>
    <t xml:space="preserve"> C、后续资产负债表日符合终止经营定义的持有待售处置组的公允价值减去出售费用后的净额增加，因恢复以前减记的金额而转田的资产减值损失。</t>
    <phoneticPr fontId="3" type="noConversion"/>
  </si>
  <si>
    <t xml:space="preserve"> E、终止经营处置损益的调整金额，可能引起调整的情形包括：</t>
    <phoneticPr fontId="3" type="noConversion"/>
  </si>
  <si>
    <t xml:space="preserve"> F、企业在处置终止经营的过程巾可能附带产生一些增量费用，如果不进行该项处置就不会产生这些费用，企业应当将这些增量费用作为终止经营损益列报。</t>
    <phoneticPr fontId="3" type="noConversion"/>
  </si>
  <si>
    <t xml:space="preserve">  即对于可比会计期间的利润表，作为终止经营列报的不仅包括在可比会计期间即符合终止经营定义的处置组，还包括在当期首次符合终止经营定义的处置组。</t>
    <phoneticPr fontId="3" type="noConversion"/>
  </si>
  <si>
    <t>……</t>
    <phoneticPr fontId="3" type="noConversion"/>
  </si>
  <si>
    <r>
      <rPr>
        <sz val="10"/>
        <rFont val="宋体"/>
        <family val="3"/>
        <charset val="134"/>
      </rPr>
      <t>（</t>
    </r>
    <r>
      <rPr>
        <sz val="10"/>
        <rFont val="Arial Narrow"/>
        <family val="2"/>
      </rPr>
      <t>2</t>
    </r>
    <r>
      <rPr>
        <sz val="10"/>
        <rFont val="宋体"/>
        <family val="3"/>
        <charset val="134"/>
      </rPr>
      <t>）情况说明。</t>
    </r>
    <phoneticPr fontId="7" type="noConversion"/>
  </si>
  <si>
    <r>
      <rPr>
        <sz val="10"/>
        <rFont val="宋体"/>
        <family val="3"/>
        <charset val="134"/>
      </rPr>
      <t>（</t>
    </r>
    <r>
      <rPr>
        <sz val="10"/>
        <rFont val="Arial Narrow"/>
        <family val="2"/>
      </rPr>
      <t>1</t>
    </r>
    <r>
      <rPr>
        <sz val="10"/>
        <rFont val="宋体"/>
        <family val="3"/>
        <charset val="134"/>
      </rPr>
      <t>）大幅变动主要原因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7" type="noConversion"/>
  </si>
  <si>
    <t>一、终止经营收入</t>
  </si>
  <si>
    <t xml:space="preserve">    减：终止成本及经营费用</t>
  </si>
  <si>
    <t xml:space="preserve">    减：终止经营所得税费用</t>
  </si>
  <si>
    <t>三、终止经营净利润</t>
  </si>
  <si>
    <t>其中：归属于母公司的终止经营净利润</t>
  </si>
  <si>
    <t>加：处置业务的净收益（税后）</t>
  </si>
  <si>
    <t xml:space="preserve">    其中：处置损益总额</t>
  </si>
  <si>
    <t xml:space="preserve">         减：所得税费用（或收益）</t>
  </si>
  <si>
    <t>四、来自已终止经营业务的净利润总计</t>
  </si>
  <si>
    <t>其中：归属于母公司所有者的来自于已终止经营业务的净利润总计</t>
  </si>
  <si>
    <t>五、终止经营的现金流量净额</t>
  </si>
  <si>
    <t>其中：经营活动现金流量净额</t>
  </si>
  <si>
    <t xml:space="preserve">      投资活动现金流量净额</t>
    <phoneticPr fontId="3" type="noConversion"/>
  </si>
  <si>
    <t xml:space="preserve">      筹资活动现金流量净额</t>
    <phoneticPr fontId="3" type="noConversion"/>
  </si>
  <si>
    <r>
      <t>二、来自</t>
    </r>
    <r>
      <rPr>
        <sz val="12"/>
        <color rgb="FFFF0000"/>
        <rFont val="仿宋_GB2312"/>
        <family val="3"/>
        <charset val="134"/>
      </rPr>
      <t>已</t>
    </r>
    <r>
      <rPr>
        <sz val="12"/>
        <color rgb="FF000000"/>
        <rFont val="仿宋_GB2312"/>
        <family val="3"/>
        <charset val="134"/>
      </rPr>
      <t>终止经营的利润总额</t>
    </r>
    <phoneticPr fontId="90" type="noConversion"/>
  </si>
  <si>
    <t>1、应披露终止经营的资产（或处置组）确认的减值损失及其转回金额。</t>
    <phoneticPr fontId="3" type="noConversion"/>
  </si>
  <si>
    <r>
      <t>2</t>
    </r>
    <r>
      <rPr>
        <sz val="12"/>
        <color rgb="FF0000FF"/>
        <rFont val="仿宋_GB2312"/>
        <family val="3"/>
        <charset val="134"/>
      </rPr>
      <t>、终止经营的项目或资产应逐一在报告中披露。</t>
    </r>
    <phoneticPr fontId="90" type="noConversion"/>
  </si>
  <si>
    <t xml:space="preserve">   减：终止经营所得税费用（D）  </t>
    <phoneticPr fontId="3" type="noConversion"/>
  </si>
  <si>
    <t xml:space="preserve">   减：终止经营费用（B）</t>
    <phoneticPr fontId="3" type="noConversion"/>
  </si>
  <si>
    <t xml:space="preserve">   其中：归属于母公司股东的终止经营利润</t>
    <phoneticPr fontId="3" type="noConversion"/>
  </si>
  <si>
    <t xml:space="preserve">         归属于少数股东的终止经营利润</t>
    <phoneticPr fontId="3" type="noConversion"/>
  </si>
  <si>
    <t>核对明细账、总账、报表、上年审计报告审定数金额是否相符，确定本期、上期金额是否正确。</t>
    <phoneticPr fontId="3" type="noConversion"/>
  </si>
  <si>
    <t>本期附合终止经营定义的处置组B</t>
    <phoneticPr fontId="3" type="noConversion"/>
  </si>
  <si>
    <t>本期附合终止经营定义的处置组A</t>
    <phoneticPr fontId="3" type="noConversion"/>
  </si>
  <si>
    <t>本期附合终止经营定义的处置组B</t>
    <phoneticPr fontId="3" type="noConversion"/>
  </si>
  <si>
    <r>
      <rPr>
        <b/>
        <sz val="10"/>
        <color rgb="FF0000FF"/>
        <rFont val="宋体"/>
        <family val="3"/>
        <charset val="134"/>
      </rPr>
      <t>上期</t>
    </r>
    <r>
      <rPr>
        <sz val="10"/>
        <color rgb="FF0000FF"/>
        <rFont val="宋体"/>
        <family val="3"/>
        <charset val="134"/>
      </rPr>
      <t>附合终止经营定义的处置组C</t>
    </r>
    <phoneticPr fontId="3" type="noConversion"/>
  </si>
  <si>
    <t>获取或编制持有待售资产和负债的明细表，并完成以下工作：</t>
  </si>
  <si>
    <t>将上期金额与上年度工作底稿或前期财务报表核对；</t>
    <phoneticPr fontId="3" type="noConversion"/>
  </si>
  <si>
    <t>复核加计正确；</t>
    <phoneticPr fontId="3" type="noConversion"/>
  </si>
  <si>
    <t>复核当期首次符合终止经营定义的处置组在可比期间列报是否完整；</t>
    <phoneticPr fontId="3" type="noConversion"/>
  </si>
  <si>
    <t>将本期金额与与报表数、总账数和明细账合计数核对一致。</t>
    <phoneticPr fontId="3" type="noConversion"/>
  </si>
  <si>
    <t>对变动比率在30%以上的项目实施的审计程序（记录变动内容、原因，分析其合理性，如不合理，需进一步核实确认）</t>
    <phoneticPr fontId="7" type="noConversion"/>
  </si>
  <si>
    <t>持续经营净利润和终止经营净利润检查表</t>
    <phoneticPr fontId="7" type="noConversion"/>
  </si>
  <si>
    <t>本期转入终止经营净利润金额是否正确合理。</t>
    <phoneticPr fontId="3" type="noConversion"/>
  </si>
  <si>
    <t>询问被审计单位管理层处置的原因，并获取被审计单位就处置该非流动资产或处置组作出的决议、转让协议、评估报告等相关支持性证据，检查确认为终止经营净利润是否合理，金额是否正确。</t>
    <phoneticPr fontId="3" type="noConversion"/>
  </si>
  <si>
    <r>
      <rPr>
        <b/>
        <sz val="10"/>
        <color indexed="12"/>
        <rFont val="宋体"/>
        <family val="3"/>
        <charset val="134"/>
      </rPr>
      <t>编制说明：</t>
    </r>
    <phoneticPr fontId="7" type="noConversion"/>
  </si>
  <si>
    <t>检查终止经营相关损益核算是否完整、准确。</t>
    <phoneticPr fontId="3" type="noConversion"/>
  </si>
  <si>
    <r>
      <t>1</t>
    </r>
    <r>
      <rPr>
        <sz val="10"/>
        <color indexed="12"/>
        <rFont val="宋体"/>
        <family val="3"/>
        <charset val="134"/>
      </rPr>
      <t>、概述：</t>
    </r>
    <phoneticPr fontId="3" type="noConversion"/>
  </si>
  <si>
    <r>
      <t xml:space="preserve"> A</t>
    </r>
    <r>
      <rPr>
        <sz val="10"/>
        <color indexed="12"/>
        <rFont val="宋体"/>
        <family val="3"/>
        <charset val="134"/>
      </rPr>
      <t>、程序的测试情况、结果；</t>
    </r>
    <phoneticPr fontId="3" type="noConversion"/>
  </si>
  <si>
    <t xml:space="preserve"> B、拟调整事项及其调整分录、未调整事项及其影响，审计范围受到限制情况及其影响。</t>
    <phoneticPr fontId="3" type="noConversion"/>
  </si>
  <si>
    <t>项目</t>
    <phoneticPr fontId="7" type="noConversion"/>
  </si>
  <si>
    <t>对方单位</t>
    <phoneticPr fontId="7" type="noConversion"/>
  </si>
  <si>
    <t>合同/协议内容</t>
    <phoneticPr fontId="7" type="noConversion"/>
  </si>
  <si>
    <t>本期应计损益</t>
    <phoneticPr fontId="7" type="noConversion"/>
  </si>
  <si>
    <t>本期已计损益</t>
    <phoneticPr fontId="7" type="noConversion"/>
  </si>
  <si>
    <t>差异</t>
    <phoneticPr fontId="7" type="noConversion"/>
  </si>
  <si>
    <t>合同索引</t>
    <phoneticPr fontId="7" type="noConversion"/>
  </si>
  <si>
    <t>凭证检查索引</t>
    <phoneticPr fontId="7" type="noConversion"/>
  </si>
  <si>
    <t>审计结论</t>
    <phoneticPr fontId="7" type="noConversion"/>
  </si>
  <si>
    <t>本期附合终止经营定义的处置组A</t>
    <phoneticPr fontId="3" type="noConversion"/>
  </si>
  <si>
    <t>附合终止经营定义的处置组A</t>
  </si>
  <si>
    <t>附合终止经营定义的处置组B</t>
  </si>
  <si>
    <t>附合终止经营定义的处置组B</t>
    <phoneticPr fontId="3" type="noConversion"/>
  </si>
  <si>
    <t>附合终止经营定义的处置组C</t>
  </si>
  <si>
    <t>附合终止经营定义的处置组C</t>
    <phoneticPr fontId="3" type="noConversion"/>
  </si>
  <si>
    <t>附合终止经营定义的处置组D</t>
  </si>
  <si>
    <t>附合终止经营定义的处置组D</t>
    <phoneticPr fontId="3" type="noConversion"/>
  </si>
  <si>
    <t>附合终止经营定义的处置组E</t>
  </si>
  <si>
    <t>附合终止经营定义的处置组E</t>
    <phoneticPr fontId="3" type="noConversion"/>
  </si>
  <si>
    <t>……</t>
  </si>
  <si>
    <t>……</t>
    <phoneticPr fontId="3" type="noConversion"/>
  </si>
  <si>
    <t xml:space="preserve">合同执行日期 </t>
    <phoneticPr fontId="7" type="noConversion"/>
  </si>
  <si>
    <t xml:space="preserve"> D、终止经营的处置损益。</t>
    <phoneticPr fontId="3" type="noConversion"/>
  </si>
  <si>
    <t>……</t>
    <phoneticPr fontId="7" type="noConversion"/>
  </si>
  <si>
    <t>其中：</t>
    <phoneticPr fontId="7" type="noConversion"/>
  </si>
  <si>
    <t>A、终止经营的经营活动收入；</t>
  </si>
  <si>
    <t>B、终止经营的经营活动成本；</t>
  </si>
  <si>
    <t>C、终止经营的经营活动费用；</t>
  </si>
  <si>
    <t>F、终止经营的处置损益；</t>
  </si>
  <si>
    <t>本期应计损益：</t>
    <phoneticPr fontId="7" type="noConversion"/>
  </si>
  <si>
    <t>账面已计损益：</t>
    <phoneticPr fontId="7" type="noConversion"/>
  </si>
  <si>
    <t>差异：</t>
    <phoneticPr fontId="7" type="noConversion"/>
  </si>
  <si>
    <t>小计</t>
    <phoneticPr fontId="7" type="noConversion"/>
  </si>
  <si>
    <t>G、增量费用</t>
    <phoneticPr fontId="7" type="noConversion"/>
  </si>
  <si>
    <t>H、其他损益（可明细列示）；</t>
    <phoneticPr fontId="7" type="noConversion"/>
  </si>
  <si>
    <t>D、账面价值高于其公允价值减去出售费用后的净额而确认的资产减值损失；</t>
    <phoneticPr fontId="7" type="noConversion"/>
  </si>
  <si>
    <t>E、恢复以前减记的金额而转回的资产减值损失；</t>
    <phoneticPr fontId="7" type="noConversion"/>
  </si>
  <si>
    <t>1、对于当期列报的终止经营，企业应当在当期财务报表中，将原来作为持续经营损益列报的信息重新作为可比会计期间的终止经营损益列报。</t>
    <phoneticPr fontId="3" type="noConversion"/>
  </si>
  <si>
    <t>索引：A5-4</t>
    <phoneticPr fontId="7" type="noConversion"/>
  </si>
  <si>
    <r>
      <rPr>
        <sz val="10"/>
        <rFont val="宋体"/>
        <family val="3"/>
        <charset val="134"/>
      </rPr>
      <t>索引：</t>
    </r>
    <r>
      <rPr>
        <sz val="10"/>
        <rFont val="Arial Narrow"/>
        <family val="2"/>
      </rPr>
      <t>A5-4-1</t>
    </r>
    <phoneticPr fontId="3" type="noConversion"/>
  </si>
  <si>
    <t>A5-4-2</t>
    <phoneticPr fontId="7" type="noConversion"/>
  </si>
  <si>
    <r>
      <rPr>
        <sz val="10"/>
        <rFont val="宋体"/>
        <family val="3"/>
        <charset val="134"/>
      </rPr>
      <t>索引号：</t>
    </r>
    <r>
      <rPr>
        <sz val="10"/>
        <rFont val="Arial Narrow"/>
        <family val="2"/>
      </rPr>
      <t>A5-4-3</t>
    </r>
    <phoneticPr fontId="7" type="noConversion"/>
  </si>
</sst>
</file>

<file path=xl/styles.xml><?xml version="1.0" encoding="utf-8"?>
<styleSheet xmlns="http://schemas.openxmlformats.org/spreadsheetml/2006/main">
  <numFmts count="51">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quot;\&quot;#,##0.00;[Red]&quot;\&quot;&quot;\&quot;\-#,##0.00"/>
    <numFmt numFmtId="206" formatCode="_(&quot;$&quot;* #,##0_);_(&quot;$&quot;* \(#,##0\);_(&quot;$&quot;* &quot;-&quot;_);_(@_)"/>
    <numFmt numFmtId="207" formatCode="_(&quot;$&quot;* #,##0.00_);_(&quot;$&quot;* \(#,##0.00\);_(&quot;$&quot;* &quot;-&quot;??_);_(@_)"/>
    <numFmt numFmtId="208" formatCode="_-* #,##0_-;\-* #,##0_-;_-* &quot;-&quot;??_-;_-@_-"/>
    <numFmt numFmtId="209" formatCode="0.00000000000_);[Red]\(0.00000000000\)"/>
    <numFmt numFmtId="210" formatCode="&quot;\&quot;#,##0;&quot;\&quot;&quot;\&quot;\-#,##0"/>
    <numFmt numFmtId="211" formatCode="0%_);\(0%\)"/>
    <numFmt numFmtId="212" formatCode="\ \ @"/>
    <numFmt numFmtId="213" formatCode="#,##0_);\(#,##0_)"/>
    <numFmt numFmtId="214" formatCode="_-* #,##0_-;\-* #,##0_-;_-* &quot;-&quot;_-;_-@_-"/>
    <numFmt numFmtId="215" formatCode="_-* #,##0.00_-;\-* #,##0.00_-;_-* &quot;-&quot;??_-;_-@_-"/>
    <numFmt numFmtId="216" formatCode="0.0000000"/>
    <numFmt numFmtId="217" formatCode="0.000000"/>
    <numFmt numFmtId="218" formatCode="0.00000000"/>
    <numFmt numFmtId="219" formatCode="_-&quot;$&quot;* #,##0_-;\-&quot;$&quot;* #,##0_-;_-&quot;$&quot;* &quot;-&quot;_-;_-@_-"/>
    <numFmt numFmtId="220" formatCode="_-&quot;$&quot;* #,##0.00_-;\-&quot;$&quot;* #,##0.00_-;_-&quot;$&quot;* &quot;-&quot;??_-;_-@_-"/>
    <numFmt numFmtId="221"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2" formatCode="#,##0_ "/>
    <numFmt numFmtId="223" formatCode="0.000000%"/>
  </numFmts>
  <fonts count="95">
    <font>
      <sz val="11"/>
      <color theme="1"/>
      <name val="宋体"/>
      <family val="2"/>
      <charset val="134"/>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0"/>
      <color indexed="12"/>
      <name val="宋体"/>
      <family val="3"/>
      <charset val="134"/>
    </font>
    <font>
      <u/>
      <sz val="12"/>
      <color indexed="12"/>
      <name val="宋体"/>
      <family val="3"/>
      <charset val="134"/>
    </font>
    <font>
      <sz val="12"/>
      <name val="Times New Roman"/>
      <family val="1"/>
    </font>
    <font>
      <sz val="10"/>
      <color indexed="12"/>
      <name val="Arial Narrow"/>
      <family val="2"/>
    </font>
    <font>
      <b/>
      <sz val="10"/>
      <color indexed="12"/>
      <name val="宋体"/>
      <family val="3"/>
      <charset val="134"/>
    </font>
    <font>
      <sz val="10"/>
      <name val="Arial"/>
      <family val="2"/>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u/>
      <sz val="10"/>
      <color indexed="12"/>
      <name val="宋体"/>
      <family val="3"/>
      <charset val="134"/>
    </font>
    <font>
      <sz val="10"/>
      <color indexed="17"/>
      <name val="Times New Roman"/>
      <family val="1"/>
    </font>
    <font>
      <sz val="11"/>
      <name val="蹈框"/>
      <charset val="134"/>
    </font>
    <font>
      <sz val="11"/>
      <name val="ＭＳ Ｐゴシック"/>
      <family val="2"/>
    </font>
    <font>
      <sz val="12"/>
      <name val="바탕체"/>
      <family val="3"/>
    </font>
    <font>
      <sz val="18"/>
      <color indexed="48"/>
      <name val="魏碑"/>
      <family val="3"/>
      <charset val="134"/>
    </font>
    <font>
      <u/>
      <sz val="11"/>
      <color theme="10"/>
      <name val="宋体"/>
      <family val="3"/>
      <charset val="134"/>
    </font>
    <font>
      <b/>
      <sz val="14"/>
      <name val="黑体"/>
      <family val="3"/>
      <charset val="134"/>
    </font>
    <font>
      <b/>
      <sz val="12"/>
      <color theme="1"/>
      <name val="仿宋_GB2312"/>
      <family val="3"/>
      <charset val="134"/>
    </font>
    <font>
      <b/>
      <sz val="12"/>
      <color rgb="FF000000"/>
      <name val="仿宋_GB2312"/>
      <family val="3"/>
      <charset val="134"/>
    </font>
    <font>
      <sz val="12"/>
      <color theme="1"/>
      <name val="仿宋_GB2312"/>
      <family val="3"/>
      <charset val="134"/>
    </font>
    <font>
      <sz val="12"/>
      <color rgb="FF0000FF"/>
      <name val="仿宋_GB2312"/>
      <family val="3"/>
      <charset val="134"/>
    </font>
    <font>
      <b/>
      <sz val="10"/>
      <color indexed="8"/>
      <name val="Arial Narrow"/>
      <family val="2"/>
    </font>
    <font>
      <b/>
      <sz val="10"/>
      <color indexed="8"/>
      <name val="宋体"/>
      <family val="3"/>
      <charset val="134"/>
    </font>
    <font>
      <b/>
      <sz val="10"/>
      <color indexed="12"/>
      <name val="Arial Narrow"/>
      <family val="2"/>
    </font>
    <font>
      <b/>
      <sz val="10"/>
      <color theme="1"/>
      <name val="Arial Narrow"/>
      <family val="2"/>
    </font>
    <font>
      <b/>
      <sz val="10"/>
      <color theme="1"/>
      <name val="宋体"/>
      <family val="3"/>
      <charset val="134"/>
    </font>
    <font>
      <i/>
      <u/>
      <sz val="10"/>
      <color indexed="12"/>
      <name val="Arial Narrow"/>
      <family val="2"/>
    </font>
    <font>
      <sz val="12"/>
      <name val="仿宋_GB2312"/>
      <family val="3"/>
      <charset val="134"/>
    </font>
    <font>
      <sz val="11"/>
      <color theme="1"/>
      <name val="Arial Narrow"/>
      <family val="2"/>
    </font>
    <font>
      <sz val="12"/>
      <color theme="1"/>
      <name val="Arial Narrow"/>
      <family val="2"/>
    </font>
    <font>
      <sz val="10.5"/>
      <name val="Arial Narrow"/>
      <family val="2"/>
    </font>
    <font>
      <u/>
      <sz val="12"/>
      <color indexed="12"/>
      <name val="Arial Narrow"/>
      <family val="2"/>
    </font>
    <font>
      <b/>
      <sz val="10"/>
      <color indexed="10"/>
      <name val="Arial Narrow"/>
      <family val="2"/>
    </font>
    <font>
      <b/>
      <sz val="14"/>
      <name val="Arial Narrow"/>
      <family val="2"/>
    </font>
    <font>
      <u/>
      <sz val="11"/>
      <color theme="10"/>
      <name val="Arial Narrow"/>
      <family val="2"/>
    </font>
    <font>
      <sz val="11"/>
      <color theme="1"/>
      <name val="宋体"/>
      <family val="2"/>
      <charset val="134"/>
    </font>
    <font>
      <sz val="12"/>
      <color rgb="FF0000FF"/>
      <name val="Arial Narrow"/>
      <family val="2"/>
    </font>
    <font>
      <sz val="12"/>
      <color rgb="FFFF0000"/>
      <name val="仿宋_GB2312"/>
      <family val="3"/>
      <charset val="134"/>
    </font>
    <font>
      <sz val="10"/>
      <color rgb="FF0000FF"/>
      <name val="宋体"/>
      <family val="3"/>
      <charset val="134"/>
    </font>
    <font>
      <sz val="10"/>
      <color rgb="FF0000FF"/>
      <name val="宋体"/>
      <family val="3"/>
      <charset val="134"/>
      <scheme val="minor"/>
    </font>
    <font>
      <sz val="10"/>
      <name val="宋体"/>
      <family val="3"/>
      <charset val="134"/>
      <scheme val="minor"/>
    </font>
    <font>
      <b/>
      <sz val="10"/>
      <name val="宋体"/>
      <family val="3"/>
      <charset val="134"/>
      <scheme val="minor"/>
    </font>
    <font>
      <sz val="10"/>
      <color rgb="FFFF0000"/>
      <name val="宋体"/>
      <family val="3"/>
      <charset val="134"/>
      <scheme val="minor"/>
    </font>
    <font>
      <sz val="10"/>
      <color rgb="FFFF0000"/>
      <name val="Arial Narrow"/>
      <family val="2"/>
    </font>
    <font>
      <b/>
      <sz val="12"/>
      <color rgb="FF0000FF"/>
      <name val="仿宋_GB2312"/>
      <family val="3"/>
      <charset val="134"/>
    </font>
    <font>
      <sz val="10"/>
      <color indexed="10"/>
      <name val="宋体"/>
      <family val="3"/>
      <charset val="134"/>
    </font>
    <font>
      <sz val="10"/>
      <color indexed="10"/>
      <name val="Arial Narrow"/>
      <family val="2"/>
    </font>
    <font>
      <sz val="12"/>
      <color rgb="FF000000"/>
      <name val="仿宋_GB2312"/>
      <family val="3"/>
      <charset val="134"/>
    </font>
    <font>
      <sz val="9"/>
      <name val="宋体"/>
      <family val="3"/>
      <charset val="134"/>
      <scheme val="minor"/>
    </font>
    <font>
      <b/>
      <sz val="10"/>
      <color rgb="FF0000FF"/>
      <name val="宋体"/>
      <family val="3"/>
      <charset val="134"/>
    </font>
    <font>
      <b/>
      <sz val="10"/>
      <color indexed="10"/>
      <name val="宋体"/>
      <family val="3"/>
      <charset val="134"/>
      <scheme val="minor"/>
    </font>
    <font>
      <b/>
      <sz val="10"/>
      <color rgb="FF0000FF"/>
      <name val="宋体"/>
      <family val="3"/>
      <charset val="134"/>
      <scheme val="minor"/>
    </font>
    <font>
      <sz val="10"/>
      <name val="Arial Narrow"/>
      <family val="3"/>
      <charset val="134"/>
    </font>
  </fonts>
  <fills count="12">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s>
  <borders count="23">
    <border>
      <left/>
      <right/>
      <top/>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8"/>
      </left>
      <right style="hair">
        <color indexed="8"/>
      </right>
      <top style="hair">
        <color indexed="8"/>
      </top>
      <bottom/>
      <diagonal/>
    </border>
    <border>
      <left style="hair">
        <color indexed="8"/>
      </left>
      <right style="hair">
        <color indexed="8"/>
      </right>
      <top/>
      <bottom style="hair">
        <color indexed="8"/>
      </bottom>
      <diagonal/>
    </border>
    <border>
      <left/>
      <right/>
      <top style="hair">
        <color indexed="8"/>
      </top>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medium">
        <color indexed="64"/>
      </top>
      <bottom/>
      <diagonal/>
    </border>
    <border>
      <left/>
      <right/>
      <top/>
      <bottom style="hair">
        <color indexed="64"/>
      </bottom>
      <diagonal/>
    </border>
    <border>
      <left/>
      <right/>
      <top style="hair">
        <color indexed="64"/>
      </top>
      <bottom/>
      <diagonal/>
    </border>
  </borders>
  <cellStyleXfs count="208">
    <xf numFmtId="203" fontId="0" fillId="0" borderId="0">
      <alignment vertical="center"/>
    </xf>
    <xf numFmtId="43" fontId="1" fillId="0" borderId="0" applyFont="0" applyFill="0" applyBorder="0" applyAlignment="0" applyProtection="0"/>
    <xf numFmtId="9" fontId="1" fillId="0" borderId="0" applyFont="0" applyFill="0" applyBorder="0" applyAlignment="0" applyProtection="0"/>
    <xf numFmtId="203" fontId="1" fillId="0" borderId="0" applyFill="0" applyBorder="0"/>
    <xf numFmtId="203" fontId="1" fillId="0" borderId="0">
      <alignment vertical="center"/>
    </xf>
    <xf numFmtId="203" fontId="12" fillId="0" borderId="0" applyNumberFormat="0" applyFill="0" applyBorder="0" applyAlignment="0" applyProtection="0">
      <alignment vertical="top"/>
      <protection locked="0"/>
    </xf>
    <xf numFmtId="203" fontId="13" fillId="0" borderId="0"/>
    <xf numFmtId="203" fontId="16" fillId="0" borderId="0"/>
    <xf numFmtId="203" fontId="16" fillId="0" borderId="0"/>
    <xf numFmtId="203" fontId="16" fillId="0" borderId="0"/>
    <xf numFmtId="203" fontId="16" fillId="0" borderId="0"/>
    <xf numFmtId="203" fontId="16" fillId="0" borderId="0"/>
    <xf numFmtId="49" fontId="17" fillId="0" borderId="0" applyProtection="0">
      <alignment horizontal="left"/>
    </xf>
    <xf numFmtId="203" fontId="18" fillId="0" borderId="0">
      <alignment vertical="top"/>
      <protection locked="0"/>
    </xf>
    <xf numFmtId="203" fontId="18" fillId="0" borderId="0">
      <alignment vertical="top"/>
      <protection locked="0"/>
    </xf>
    <xf numFmtId="203" fontId="18" fillId="0" borderId="0">
      <alignment vertical="top"/>
      <protection locked="0"/>
    </xf>
    <xf numFmtId="203" fontId="18" fillId="0" borderId="0">
      <alignment vertical="top"/>
    </xf>
    <xf numFmtId="203" fontId="13" fillId="0" borderId="0"/>
    <xf numFmtId="203" fontId="18" fillId="0" borderId="0">
      <alignment vertical="top"/>
    </xf>
    <xf numFmtId="203" fontId="18" fillId="0" borderId="0">
      <alignment vertical="top"/>
      <protection locked="0"/>
    </xf>
    <xf numFmtId="203" fontId="18" fillId="0" borderId="0">
      <alignment vertical="top"/>
    </xf>
    <xf numFmtId="203" fontId="18" fillId="0" borderId="0">
      <alignment vertical="top"/>
    </xf>
    <xf numFmtId="203" fontId="18" fillId="0" borderId="0">
      <alignment vertical="top"/>
      <protection locked="0"/>
    </xf>
    <xf numFmtId="203" fontId="18" fillId="0" borderId="0">
      <alignment vertical="top"/>
      <protection locked="0"/>
    </xf>
    <xf numFmtId="203" fontId="18" fillId="0" borderId="0">
      <alignment vertical="top"/>
      <protection locked="0"/>
    </xf>
    <xf numFmtId="203" fontId="18" fillId="0" borderId="0">
      <alignment vertical="top"/>
    </xf>
    <xf numFmtId="203" fontId="18" fillId="0" borderId="0">
      <alignment vertical="top"/>
    </xf>
    <xf numFmtId="203" fontId="18" fillId="0" borderId="0">
      <alignment vertical="top"/>
      <protection locked="0"/>
    </xf>
    <xf numFmtId="203" fontId="18" fillId="0" borderId="0">
      <alignment vertical="top"/>
    </xf>
    <xf numFmtId="203" fontId="18" fillId="0" borderId="0">
      <alignment vertical="top"/>
    </xf>
    <xf numFmtId="203" fontId="18" fillId="0" borderId="0">
      <alignment vertical="top"/>
    </xf>
    <xf numFmtId="203" fontId="18" fillId="0" borderId="0">
      <alignment vertical="top"/>
      <protection locked="0"/>
    </xf>
    <xf numFmtId="203" fontId="18" fillId="0" borderId="0">
      <alignment vertical="top"/>
    </xf>
    <xf numFmtId="203" fontId="18" fillId="0" borderId="0">
      <alignment vertical="top"/>
      <protection locked="0"/>
    </xf>
    <xf numFmtId="203" fontId="18" fillId="0" borderId="0">
      <alignment vertical="top"/>
      <protection locked="0"/>
    </xf>
    <xf numFmtId="203" fontId="18" fillId="0" borderId="0">
      <alignment vertical="top"/>
      <protection locked="0"/>
    </xf>
    <xf numFmtId="203" fontId="18" fillId="0" borderId="0">
      <alignment vertical="top"/>
    </xf>
    <xf numFmtId="203" fontId="18" fillId="0" borderId="0">
      <alignment vertical="top"/>
    </xf>
    <xf numFmtId="203" fontId="18" fillId="0" borderId="0">
      <alignment vertical="top"/>
    </xf>
    <xf numFmtId="203" fontId="18" fillId="0" borderId="0">
      <alignment vertical="top"/>
    </xf>
    <xf numFmtId="203" fontId="18" fillId="0" borderId="0">
      <alignment vertical="top"/>
      <protection locked="0"/>
    </xf>
    <xf numFmtId="203" fontId="18" fillId="0" borderId="0">
      <alignment vertical="top"/>
      <protection locked="0"/>
    </xf>
    <xf numFmtId="203" fontId="18" fillId="0" borderId="0">
      <alignment vertical="top"/>
    </xf>
    <xf numFmtId="203" fontId="18" fillId="0" borderId="0">
      <alignment vertical="top"/>
      <protection locked="0"/>
    </xf>
    <xf numFmtId="176" fontId="17" fillId="0" borderId="0" applyFill="0" applyBorder="0" applyProtection="0">
      <alignment horizontal="right"/>
    </xf>
    <xf numFmtId="177" fontId="17" fillId="0" borderId="0" applyFill="0" applyBorder="0" applyProtection="0">
      <alignment horizontal="right"/>
    </xf>
    <xf numFmtId="178" fontId="19" fillId="0" borderId="0" applyFill="0" applyBorder="0" applyProtection="0">
      <alignment horizontal="center"/>
    </xf>
    <xf numFmtId="179" fontId="19" fillId="0" borderId="0" applyFill="0" applyBorder="0" applyProtection="0">
      <alignment horizontal="center"/>
    </xf>
    <xf numFmtId="180" fontId="20" fillId="0" borderId="0" applyFill="0" applyBorder="0" applyProtection="0">
      <alignment horizontal="right"/>
    </xf>
    <xf numFmtId="181" fontId="17" fillId="0" borderId="0" applyFill="0" applyBorder="0" applyProtection="0">
      <alignment horizontal="right"/>
    </xf>
    <xf numFmtId="182" fontId="17" fillId="0" borderId="0" applyFill="0" applyBorder="0" applyProtection="0">
      <alignment horizontal="right"/>
    </xf>
    <xf numFmtId="183" fontId="17" fillId="0" borderId="0" applyFill="0" applyBorder="0" applyProtection="0">
      <alignment horizontal="right"/>
    </xf>
    <xf numFmtId="184" fontId="17" fillId="0" borderId="0" applyFill="0" applyBorder="0" applyProtection="0">
      <alignment horizontal="right"/>
    </xf>
    <xf numFmtId="185" fontId="21" fillId="0" borderId="0" applyFont="0" applyFill="0" applyBorder="0" applyAlignment="0" applyProtection="0"/>
    <xf numFmtId="203" fontId="13" fillId="0" borderId="0"/>
    <xf numFmtId="186" fontId="21" fillId="0" borderId="0" applyFont="0" applyFill="0" applyBorder="0" applyAlignment="0" applyProtection="0"/>
    <xf numFmtId="10" fontId="21" fillId="0" borderId="0" applyFont="0" applyFill="0" applyBorder="0" applyAlignment="0" applyProtection="0"/>
    <xf numFmtId="3" fontId="22" fillId="0" borderId="0"/>
    <xf numFmtId="187" fontId="23" fillId="0" borderId="3" applyAlignment="0" applyProtection="0"/>
    <xf numFmtId="188" fontId="18" fillId="0" borderId="0" applyFill="0" applyBorder="0" applyAlignment="0"/>
    <xf numFmtId="189" fontId="16" fillId="0" borderId="0" applyFill="0" applyBorder="0" applyAlignment="0"/>
    <xf numFmtId="190" fontId="16" fillId="0" borderId="0" applyFill="0" applyBorder="0" applyAlignment="0"/>
    <xf numFmtId="191" fontId="16" fillId="0" borderId="0" applyFill="0" applyBorder="0" applyAlignment="0"/>
    <xf numFmtId="192" fontId="16" fillId="0" borderId="0" applyFill="0" applyBorder="0" applyAlignment="0"/>
    <xf numFmtId="193" fontId="16" fillId="0" borderId="0" applyFill="0" applyBorder="0" applyAlignment="0"/>
    <xf numFmtId="194" fontId="16" fillId="0" borderId="0" applyFill="0" applyBorder="0" applyAlignment="0"/>
    <xf numFmtId="189" fontId="16" fillId="0" borderId="0" applyFill="0" applyBorder="0" applyAlignment="0"/>
    <xf numFmtId="203" fontId="24" fillId="0" borderId="0"/>
    <xf numFmtId="203" fontId="25" fillId="0" borderId="4" applyNumberFormat="0" applyFill="0" applyProtection="0">
      <alignment horizontal="center"/>
    </xf>
    <xf numFmtId="203" fontId="26" fillId="0" borderId="5">
      <alignment horizontal="center"/>
    </xf>
    <xf numFmtId="195" fontId="16" fillId="0" borderId="0"/>
    <xf numFmtId="195" fontId="16" fillId="0" borderId="0"/>
    <xf numFmtId="195" fontId="16" fillId="0" borderId="0"/>
    <xf numFmtId="195" fontId="16" fillId="0" borderId="0"/>
    <xf numFmtId="195" fontId="16" fillId="0" borderId="0"/>
    <xf numFmtId="195" fontId="16" fillId="0" borderId="0"/>
    <xf numFmtId="195" fontId="16" fillId="0" borderId="0"/>
    <xf numFmtId="195" fontId="16" fillId="0" borderId="0"/>
    <xf numFmtId="38" fontId="27" fillId="0" borderId="0" applyFont="0" applyFill="0" applyBorder="0" applyAlignment="0" applyProtection="0"/>
    <xf numFmtId="193" fontId="16" fillId="0" borderId="0" applyFont="0" applyFill="0" applyBorder="0" applyAlignment="0" applyProtection="0"/>
    <xf numFmtId="43" fontId="1" fillId="0" borderId="0" applyFont="0" applyFill="0" applyBorder="0" applyAlignment="0" applyProtection="0"/>
    <xf numFmtId="196" fontId="17" fillId="0" borderId="0"/>
    <xf numFmtId="37" fontId="21" fillId="0" borderId="0" applyFont="0" applyFill="0" applyBorder="0" applyAlignment="0" applyProtection="0"/>
    <xf numFmtId="197" fontId="21" fillId="0" borderId="0" applyFont="0" applyFill="0" applyBorder="0" applyAlignment="0" applyProtection="0"/>
    <xf numFmtId="39" fontId="21" fillId="0" borderId="0" applyFont="0" applyFill="0" applyBorder="0" applyAlignment="0" applyProtection="0"/>
    <xf numFmtId="40" fontId="27" fillId="0" borderId="0" applyFont="0" applyFill="0" applyBorder="0" applyAlignment="0" applyProtection="0"/>
    <xf numFmtId="198" fontId="1" fillId="0" borderId="0" applyFont="0" applyFill="0" applyBorder="0" applyAlignment="0" applyProtection="0"/>
    <xf numFmtId="189" fontId="16" fillId="0" borderId="0" applyFont="0" applyFill="0" applyBorder="0" applyAlignment="0" applyProtection="0"/>
    <xf numFmtId="187" fontId="21" fillId="0" borderId="0" applyFont="0" applyFill="0" applyBorder="0" applyAlignment="0" applyProtection="0"/>
    <xf numFmtId="199" fontId="21" fillId="0" borderId="0" applyFont="0" applyFill="0" applyBorder="0" applyAlignment="0" applyProtection="0"/>
    <xf numFmtId="200" fontId="1" fillId="0" borderId="0" applyFont="0" applyFill="0" applyBorder="0" applyAlignment="0" applyProtection="0"/>
    <xf numFmtId="201" fontId="17" fillId="0" borderId="0"/>
    <xf numFmtId="14" fontId="18" fillId="0" borderId="0" applyFill="0" applyBorder="0" applyAlignment="0"/>
    <xf numFmtId="41" fontId="16" fillId="0" borderId="0" applyFont="0" applyFill="0" applyBorder="0" applyAlignment="0" applyProtection="0"/>
    <xf numFmtId="43" fontId="16" fillId="0" borderId="0" applyFont="0" applyFill="0" applyBorder="0" applyAlignment="0" applyProtection="0"/>
    <xf numFmtId="202" fontId="17" fillId="0" borderId="0"/>
    <xf numFmtId="193" fontId="16" fillId="0" borderId="0" applyFill="0" applyBorder="0" applyAlignment="0"/>
    <xf numFmtId="189" fontId="16" fillId="0" borderId="0" applyFill="0" applyBorder="0" applyAlignment="0"/>
    <xf numFmtId="193" fontId="16" fillId="0" borderId="0" applyFill="0" applyBorder="0" applyAlignment="0"/>
    <xf numFmtId="194" fontId="16" fillId="0" borderId="0" applyFill="0" applyBorder="0" applyAlignment="0"/>
    <xf numFmtId="189" fontId="16" fillId="0" borderId="0" applyFill="0" applyBorder="0" applyAlignment="0"/>
    <xf numFmtId="203" fontId="28" fillId="0" borderId="0">
      <alignment horizontal="left"/>
    </xf>
    <xf numFmtId="203" fontId="29" fillId="2" borderId="6"/>
    <xf numFmtId="203" fontId="17" fillId="0" borderId="0" applyFont="0" applyFill="0" applyBorder="0" applyAlignment="0" applyProtection="0"/>
    <xf numFmtId="203" fontId="30" fillId="0" borderId="0" applyNumberFormat="0" applyFill="0" applyBorder="0" applyAlignment="0" applyProtection="0">
      <alignment vertical="top"/>
      <protection locked="0"/>
    </xf>
    <xf numFmtId="38" fontId="29" fillId="3" borderId="0" applyNumberFormat="0" applyBorder="0" applyAlignment="0" applyProtection="0"/>
    <xf numFmtId="203" fontId="31" fillId="0" borderId="0">
      <alignment horizontal="left"/>
    </xf>
    <xf numFmtId="203" fontId="32" fillId="0" borderId="7" applyNumberFormat="0" applyAlignment="0" applyProtection="0">
      <alignment horizontal="left" vertical="center"/>
    </xf>
    <xf numFmtId="203" fontId="32" fillId="0" borderId="8">
      <alignment horizontal="left" vertical="center"/>
    </xf>
    <xf numFmtId="14" fontId="33" fillId="4" borderId="9">
      <alignment horizontal="center" vertical="center" wrapText="1"/>
    </xf>
    <xf numFmtId="203" fontId="34" fillId="0" borderId="0" applyNumberFormat="0" applyFill="0" applyBorder="0" applyAlignment="0" applyProtection="0">
      <alignment vertical="top"/>
      <protection locked="0"/>
    </xf>
    <xf numFmtId="10" fontId="29" fillId="5" borderId="6" applyNumberFormat="0" applyBorder="0" applyAlignment="0" applyProtection="0"/>
    <xf numFmtId="203" fontId="17" fillId="0" borderId="0" applyNumberFormat="0" applyFont="0" applyFill="0" applyBorder="0" applyProtection="0">
      <alignment horizontal="left" vertical="center"/>
    </xf>
    <xf numFmtId="193" fontId="16" fillId="0" borderId="0" applyFill="0" applyBorder="0" applyAlignment="0"/>
    <xf numFmtId="189" fontId="16" fillId="0" borderId="0" applyFill="0" applyBorder="0" applyAlignment="0"/>
    <xf numFmtId="193" fontId="16" fillId="0" borderId="0" applyFill="0" applyBorder="0" applyAlignment="0"/>
    <xf numFmtId="194" fontId="16" fillId="0" borderId="0" applyFill="0" applyBorder="0" applyAlignment="0"/>
    <xf numFmtId="189" fontId="16" fillId="0" borderId="0" applyFill="0" applyBorder="0" applyAlignment="0"/>
    <xf numFmtId="41" fontId="16" fillId="0" borderId="0" applyFont="0" applyFill="0" applyBorder="0" applyAlignment="0" applyProtection="0"/>
    <xf numFmtId="43" fontId="16" fillId="0" borderId="0" applyFont="0" applyFill="0" applyBorder="0" applyAlignment="0" applyProtection="0"/>
    <xf numFmtId="204" fontId="1" fillId="0" borderId="0" applyFont="0" applyFill="0" applyBorder="0" applyAlignment="0" applyProtection="0"/>
    <xf numFmtId="205" fontId="1" fillId="0" borderId="0" applyFont="0" applyFill="0" applyBorder="0" applyAlignment="0" applyProtection="0"/>
    <xf numFmtId="203" fontId="35" fillId="0" borderId="9"/>
    <xf numFmtId="206" fontId="16"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209" fontId="1" fillId="0" borderId="0" applyFont="0" applyFill="0" applyBorder="0" applyAlignment="0" applyProtection="0"/>
    <xf numFmtId="37" fontId="36" fillId="0" borderId="0"/>
    <xf numFmtId="203" fontId="37" fillId="0" borderId="0"/>
    <xf numFmtId="210" fontId="1" fillId="0" borderId="0"/>
    <xf numFmtId="203" fontId="1" fillId="0" borderId="0"/>
    <xf numFmtId="203" fontId="27" fillId="0" borderId="0"/>
    <xf numFmtId="203" fontId="38" fillId="0" borderId="0"/>
    <xf numFmtId="211" fontId="16" fillId="0" borderId="0" applyFont="0" applyFill="0" applyBorder="0" applyAlignment="0" applyProtection="0"/>
    <xf numFmtId="192" fontId="16" fillId="0" borderId="0" applyFont="0" applyFill="0" applyBorder="0" applyAlignment="0" applyProtection="0"/>
    <xf numFmtId="185" fontId="16" fillId="0" borderId="0" applyFont="0" applyFill="0" applyBorder="0" applyAlignment="0" applyProtection="0"/>
    <xf numFmtId="10" fontId="16" fillId="0" borderId="0" applyFont="0" applyFill="0" applyBorder="0" applyAlignment="0" applyProtection="0"/>
    <xf numFmtId="203" fontId="29" fillId="3" borderId="6"/>
    <xf numFmtId="193" fontId="16" fillId="0" borderId="0" applyFill="0" applyBorder="0" applyAlignment="0"/>
    <xf numFmtId="189" fontId="16" fillId="0" borderId="0" applyFill="0" applyBorder="0" applyAlignment="0"/>
    <xf numFmtId="193" fontId="16" fillId="0" borderId="0" applyFill="0" applyBorder="0" applyAlignment="0"/>
    <xf numFmtId="194" fontId="16" fillId="0" borderId="0" applyFill="0" applyBorder="0" applyAlignment="0"/>
    <xf numFmtId="189" fontId="16" fillId="0" borderId="0" applyFill="0" applyBorder="0" applyAlignment="0"/>
    <xf numFmtId="4" fontId="28" fillId="0" borderId="0">
      <alignment horizontal="right"/>
    </xf>
    <xf numFmtId="3" fontId="39" fillId="0" borderId="0"/>
    <xf numFmtId="4" fontId="40" fillId="0" borderId="0">
      <alignment horizontal="right"/>
    </xf>
    <xf numFmtId="203" fontId="41" fillId="0" borderId="0">
      <alignment horizontal="left"/>
    </xf>
    <xf numFmtId="43" fontId="29" fillId="0" borderId="10"/>
    <xf numFmtId="203" fontId="42" fillId="0" borderId="6">
      <alignment horizontal="center"/>
    </xf>
    <xf numFmtId="203" fontId="42" fillId="0" borderId="0">
      <alignment horizontal="center" vertical="center"/>
    </xf>
    <xf numFmtId="203" fontId="43" fillId="6" borderId="0" applyNumberFormat="0" applyFill="0">
      <alignment horizontal="left" vertical="center"/>
    </xf>
    <xf numFmtId="203" fontId="35" fillId="0" borderId="0"/>
    <xf numFmtId="49" fontId="18" fillId="0" borderId="0" applyFill="0" applyBorder="0" applyAlignment="0"/>
    <xf numFmtId="212" fontId="18" fillId="0" borderId="0" applyFill="0" applyBorder="0" applyAlignment="0"/>
    <xf numFmtId="213" fontId="16" fillId="0" borderId="0" applyFill="0" applyBorder="0" applyAlignment="0"/>
    <xf numFmtId="203" fontId="44" fillId="0" borderId="0" applyFill="0" applyBorder="0" applyProtection="0">
      <alignment horizontal="left" vertical="top"/>
    </xf>
    <xf numFmtId="203" fontId="45" fillId="0" borderId="0">
      <alignment horizontal="center"/>
    </xf>
    <xf numFmtId="203" fontId="46" fillId="0" borderId="0" applyNumberFormat="0" applyFont="0" applyFill="0" applyBorder="0" applyProtection="0">
      <alignment horizontal="center" vertical="center" wrapText="1"/>
    </xf>
    <xf numFmtId="9" fontId="47" fillId="0" borderId="0" applyFont="0" applyFill="0" applyBorder="0" applyAlignment="0" applyProtection="0"/>
    <xf numFmtId="203" fontId="13" fillId="0" borderId="0"/>
    <xf numFmtId="203" fontId="16" fillId="0" borderId="0"/>
    <xf numFmtId="214" fontId="13" fillId="0" borderId="0" applyFont="0" applyFill="0" applyBorder="0" applyAlignment="0" applyProtection="0"/>
    <xf numFmtId="215" fontId="13"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4" fontId="48" fillId="0" borderId="0">
      <alignment horizontal="right"/>
    </xf>
    <xf numFmtId="203" fontId="49" fillId="7" borderId="0" applyNumberFormat="0" applyBorder="0" applyAlignment="0" applyProtection="0">
      <alignment vertical="center"/>
    </xf>
    <xf numFmtId="203" fontId="1" fillId="0" borderId="0">
      <protection locked="0"/>
    </xf>
    <xf numFmtId="203" fontId="1" fillId="0" borderId="0">
      <alignment vertical="center"/>
      <protection locked="0"/>
    </xf>
    <xf numFmtId="203" fontId="1" fillId="0" borderId="0">
      <protection locked="0"/>
    </xf>
    <xf numFmtId="203" fontId="50" fillId="0" borderId="0">
      <alignment vertical="center"/>
    </xf>
    <xf numFmtId="203" fontId="51" fillId="0" borderId="0" applyNumberFormat="0" applyFill="0" applyBorder="0" applyAlignment="0" applyProtection="0">
      <alignment vertical="top"/>
      <protection locked="0"/>
    </xf>
    <xf numFmtId="203" fontId="12" fillId="0" borderId="0" applyNumberFormat="0" applyFill="0" applyBorder="0" applyAlignment="0" applyProtection="0">
      <alignment vertical="top"/>
      <protection locked="0"/>
    </xf>
    <xf numFmtId="203" fontId="23" fillId="0" borderId="0" applyNumberFormat="0" applyFill="0" applyBorder="0" applyAlignment="0" applyProtection="0"/>
    <xf numFmtId="203" fontId="52" fillId="8" borderId="0" applyNumberFormat="0" applyBorder="0" applyAlignment="0" applyProtection="0">
      <alignment vertical="center"/>
    </xf>
    <xf numFmtId="4" fontId="46" fillId="0" borderId="0" applyFont="0" applyFill="0" applyBorder="0" applyAlignment="0" applyProtection="0"/>
    <xf numFmtId="41" fontId="16" fillId="0" borderId="0" applyFont="0" applyFill="0" applyBorder="0" applyAlignment="0" applyProtection="0"/>
    <xf numFmtId="216" fontId="13" fillId="0" borderId="0" applyFont="0" applyFill="0" applyBorder="0" applyAlignment="0" applyProtection="0"/>
    <xf numFmtId="8" fontId="1" fillId="0" borderId="0" applyFont="0" applyFill="0" applyBorder="0" applyAlignment="0" applyProtection="0"/>
    <xf numFmtId="217" fontId="13" fillId="0" borderId="0" applyFont="0" applyFill="0" applyBorder="0" applyAlignment="0" applyProtection="0"/>
    <xf numFmtId="218" fontId="13" fillId="0" borderId="0" applyFont="0" applyFill="0" applyBorder="0" applyAlignment="0" applyProtection="0"/>
    <xf numFmtId="219" fontId="13" fillId="0" borderId="0" applyFont="0" applyFill="0" applyBorder="0" applyAlignment="0" applyProtection="0"/>
    <xf numFmtId="220" fontId="13" fillId="0" borderId="0" applyFont="0" applyFill="0" applyBorder="0" applyAlignment="0" applyProtection="0"/>
    <xf numFmtId="203" fontId="17" fillId="0" borderId="0"/>
    <xf numFmtId="41" fontId="17" fillId="0" borderId="0" applyFont="0" applyFill="0" applyBorder="0" applyAlignment="0" applyProtection="0"/>
    <xf numFmtId="43" fontId="17"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alignment vertical="center"/>
    </xf>
    <xf numFmtId="203" fontId="53" fillId="0" borderId="0"/>
    <xf numFmtId="207" fontId="16" fillId="0" borderId="0" applyFont="0" applyFill="0" applyBorder="0" applyAlignment="0" applyProtection="0"/>
    <xf numFmtId="221" fontId="46" fillId="0" borderId="0" applyFont="0" applyFill="0" applyBorder="0" applyAlignment="0" applyProtection="0"/>
    <xf numFmtId="203" fontId="18" fillId="0" borderId="0">
      <alignment vertical="top"/>
    </xf>
    <xf numFmtId="38" fontId="54" fillId="0" borderId="0" applyFont="0" applyFill="0" applyBorder="0" applyAlignment="0" applyProtection="0"/>
    <xf numFmtId="40" fontId="54" fillId="0" borderId="0" applyFont="0" applyFill="0" applyBorder="0" applyAlignment="0" applyProtection="0"/>
    <xf numFmtId="203" fontId="54" fillId="0" borderId="0" applyFont="0" applyFill="0" applyBorder="0" applyAlignment="0" applyProtection="0"/>
    <xf numFmtId="203" fontId="54" fillId="0" borderId="0" applyFont="0" applyFill="0" applyBorder="0" applyAlignment="0" applyProtection="0"/>
    <xf numFmtId="203" fontId="55" fillId="0" borderId="0"/>
    <xf numFmtId="203" fontId="1" fillId="0" borderId="0">
      <alignment vertical="center"/>
    </xf>
    <xf numFmtId="203" fontId="1" fillId="0" borderId="0"/>
    <xf numFmtId="203" fontId="57" fillId="0" borderId="0" applyNumberFormat="0" applyFill="0" applyBorder="0" applyAlignment="0" applyProtection="0">
      <alignment vertical="top"/>
      <protection locked="0"/>
    </xf>
    <xf numFmtId="203" fontId="16" fillId="0" borderId="0"/>
    <xf numFmtId="203" fontId="16" fillId="0" borderId="0"/>
    <xf numFmtId="43" fontId="1" fillId="0" borderId="0" applyFont="0" applyFill="0" applyBorder="0" applyAlignment="0" applyProtection="0"/>
    <xf numFmtId="203" fontId="1" fillId="0" borderId="0" applyFill="0" applyBorder="0"/>
    <xf numFmtId="0" fontId="1" fillId="0" borderId="0">
      <alignment vertical="center"/>
    </xf>
  </cellStyleXfs>
  <cellXfs count="216">
    <xf numFmtId="203" fontId="0" fillId="0" borderId="0" xfId="0">
      <alignment vertical="center"/>
    </xf>
    <xf numFmtId="43" fontId="5" fillId="0" borderId="0" xfId="3" applyNumberFormat="1" applyFont="1" applyBorder="1" applyAlignment="1">
      <alignment vertical="center"/>
    </xf>
    <xf numFmtId="43" fontId="9" fillId="0" borderId="0" xfId="3" applyNumberFormat="1" applyFont="1" applyBorder="1" applyAlignment="1">
      <alignment vertical="center"/>
    </xf>
    <xf numFmtId="43" fontId="5" fillId="0" borderId="0" xfId="3" applyNumberFormat="1" applyFont="1" applyBorder="1" applyAlignment="1">
      <alignment horizontal="left" vertical="center"/>
    </xf>
    <xf numFmtId="49" fontId="5" fillId="0" borderId="0" xfId="3" applyNumberFormat="1" applyFont="1" applyBorder="1" applyAlignment="1">
      <alignment vertical="center"/>
    </xf>
    <xf numFmtId="203" fontId="5" fillId="0" borderId="0" xfId="6" applyFont="1" applyBorder="1" applyAlignment="1">
      <alignment vertical="center"/>
    </xf>
    <xf numFmtId="43" fontId="14" fillId="0" borderId="0" xfId="3" applyNumberFormat="1" applyFont="1" applyBorder="1" applyAlignment="1">
      <alignment vertical="center"/>
    </xf>
    <xf numFmtId="203" fontId="4" fillId="0" borderId="0" xfId="169" applyFont="1" applyAlignment="1">
      <alignment vertical="center"/>
      <protection locked="0"/>
    </xf>
    <xf numFmtId="203" fontId="8" fillId="0" borderId="0" xfId="169" applyFont="1" applyAlignment="1">
      <alignment vertical="center"/>
      <protection locked="0"/>
    </xf>
    <xf numFmtId="203" fontId="5" fillId="0" borderId="0" xfId="169" applyFont="1" applyAlignment="1">
      <alignment vertical="center"/>
      <protection locked="0"/>
    </xf>
    <xf numFmtId="203" fontId="5" fillId="0" borderId="0" xfId="169" applyFont="1" applyBorder="1" applyAlignment="1">
      <alignment horizontal="left" vertical="center"/>
      <protection locked="0"/>
    </xf>
    <xf numFmtId="203" fontId="5" fillId="0" borderId="0" xfId="200" applyFont="1" applyAlignment="1">
      <alignment vertical="center"/>
    </xf>
    <xf numFmtId="203" fontId="9" fillId="0" borderId="0" xfId="200" applyFont="1" applyAlignment="1">
      <alignment vertical="center"/>
    </xf>
    <xf numFmtId="203" fontId="5" fillId="0" borderId="0" xfId="169" applyFont="1" applyBorder="1" applyAlignment="1">
      <alignment vertical="center"/>
      <protection locked="0"/>
    </xf>
    <xf numFmtId="203" fontId="10" fillId="0" borderId="0" xfId="169" applyFont="1" applyAlignment="1">
      <alignment vertical="center"/>
      <protection locked="0"/>
    </xf>
    <xf numFmtId="203" fontId="4" fillId="0" borderId="0" xfId="201" applyFont="1" applyBorder="1" applyAlignment="1">
      <alignment horizontal="left" vertical="center"/>
    </xf>
    <xf numFmtId="203" fontId="5" fillId="0" borderId="0" xfId="201" applyFont="1" applyBorder="1" applyAlignment="1" applyProtection="1">
      <alignment vertical="center"/>
      <protection locked="0"/>
    </xf>
    <xf numFmtId="43" fontId="5" fillId="0" borderId="10" xfId="169" applyNumberFormat="1" applyFont="1" applyBorder="1" applyAlignment="1">
      <alignment horizontal="left" vertical="center"/>
      <protection locked="0"/>
    </xf>
    <xf numFmtId="203" fontId="5" fillId="0" borderId="0" xfId="169" applyFont="1" applyBorder="1" applyAlignment="1">
      <alignment horizontal="center" vertical="center"/>
      <protection locked="0"/>
    </xf>
    <xf numFmtId="203" fontId="4" fillId="0" borderId="0" xfId="169" applyFont="1" applyBorder="1" applyAlignment="1">
      <alignment vertical="center"/>
      <protection locked="0"/>
    </xf>
    <xf numFmtId="203" fontId="4" fillId="0" borderId="0" xfId="169" applyFont="1" applyBorder="1" applyAlignment="1">
      <alignment horizontal="left" vertical="center"/>
      <protection locked="0"/>
    </xf>
    <xf numFmtId="203" fontId="61" fillId="0" borderId="0" xfId="0" applyFont="1" applyAlignment="1">
      <alignment horizontal="justify" vertical="center"/>
    </xf>
    <xf numFmtId="203" fontId="1" fillId="0" borderId="0" xfId="169" applyFont="1" applyAlignment="1">
      <alignment vertical="center"/>
      <protection locked="0"/>
    </xf>
    <xf numFmtId="203" fontId="61" fillId="0" borderId="0" xfId="0" applyFont="1" applyAlignment="1">
      <alignment horizontal="left" vertical="center"/>
    </xf>
    <xf numFmtId="203" fontId="63" fillId="0" borderId="0" xfId="0" applyFont="1" applyAlignment="1" applyProtection="1">
      <alignment vertical="center"/>
    </xf>
    <xf numFmtId="203" fontId="5" fillId="0" borderId="0" xfId="203" applyFont="1" applyAlignment="1">
      <alignment vertical="center"/>
    </xf>
    <xf numFmtId="203" fontId="5" fillId="0" borderId="0" xfId="4" applyFont="1" applyBorder="1" applyAlignment="1">
      <alignment vertical="center"/>
    </xf>
    <xf numFmtId="43" fontId="4" fillId="0" borderId="10" xfId="1" applyFont="1" applyFill="1" applyBorder="1" applyAlignment="1">
      <alignment vertical="center"/>
    </xf>
    <xf numFmtId="43" fontId="5" fillId="11" borderId="10" xfId="1" applyFont="1" applyFill="1" applyBorder="1" applyAlignment="1">
      <alignment vertical="center"/>
    </xf>
    <xf numFmtId="203" fontId="2" fillId="0" borderId="0" xfId="169" applyFont="1" applyAlignment="1">
      <alignment vertical="center"/>
      <protection locked="0"/>
    </xf>
    <xf numFmtId="203" fontId="4" fillId="0" borderId="0" xfId="201" applyFont="1" applyBorder="1" applyAlignment="1">
      <alignment vertical="center"/>
    </xf>
    <xf numFmtId="203" fontId="5" fillId="0" borderId="0" xfId="201" applyFont="1" applyBorder="1" applyAlignment="1">
      <alignment vertical="center"/>
    </xf>
    <xf numFmtId="43" fontId="4" fillId="10" borderId="1" xfId="205" applyFont="1" applyFill="1" applyBorder="1" applyAlignment="1">
      <alignment horizontal="center" vertical="center"/>
    </xf>
    <xf numFmtId="43" fontId="68" fillId="0" borderId="0" xfId="5" applyNumberFormat="1" applyFont="1" applyBorder="1" applyAlignment="1" applyProtection="1">
      <alignment horizontal="center" vertical="center"/>
    </xf>
    <xf numFmtId="43" fontId="65" fillId="0" borderId="0" xfId="3" applyNumberFormat="1" applyFont="1" applyBorder="1" applyAlignment="1">
      <alignment vertical="center"/>
    </xf>
    <xf numFmtId="43" fontId="5" fillId="0" borderId="2" xfId="1" applyFont="1" applyBorder="1" applyAlignment="1">
      <alignment horizontal="left" vertical="center" shrinkToFit="1"/>
    </xf>
    <xf numFmtId="43" fontId="5" fillId="0" borderId="2" xfId="1" applyFont="1" applyBorder="1" applyAlignment="1">
      <alignment vertical="center" shrinkToFit="1"/>
    </xf>
    <xf numFmtId="43" fontId="5" fillId="0" borderId="1" xfId="3" applyNumberFormat="1" applyFont="1" applyBorder="1" applyAlignment="1">
      <alignment vertical="center"/>
    </xf>
    <xf numFmtId="43" fontId="4" fillId="0" borderId="15" xfId="3" applyNumberFormat="1" applyFont="1" applyBorder="1" applyAlignment="1">
      <alignment horizontal="left" vertical="center"/>
    </xf>
    <xf numFmtId="43" fontId="5" fillId="0" borderId="15" xfId="3" applyNumberFormat="1" applyFont="1" applyBorder="1" applyAlignment="1">
      <alignment horizontal="left" vertical="center"/>
    </xf>
    <xf numFmtId="43" fontId="5" fillId="0" borderId="15" xfId="3" applyNumberFormat="1" applyFont="1" applyBorder="1" applyAlignment="1">
      <alignment vertical="center"/>
    </xf>
    <xf numFmtId="43" fontId="4" fillId="0" borderId="0" xfId="3" applyNumberFormat="1" applyFont="1" applyBorder="1" applyAlignment="1">
      <alignment horizontal="left" vertical="center"/>
    </xf>
    <xf numFmtId="203" fontId="4" fillId="0" borderId="0" xfId="6" applyFont="1" applyBorder="1" applyAlignment="1">
      <alignment vertical="center"/>
    </xf>
    <xf numFmtId="203" fontId="14" fillId="0" borderId="0" xfId="6" applyFont="1" applyBorder="1" applyAlignment="1">
      <alignment vertical="center"/>
    </xf>
    <xf numFmtId="43" fontId="5" fillId="11" borderId="1" xfId="4" applyNumberFormat="1" applyFont="1" applyFill="1" applyBorder="1" applyAlignment="1">
      <alignment horizontal="left" vertical="center" wrapText="1"/>
    </xf>
    <xf numFmtId="43" fontId="5" fillId="11" borderId="1" xfId="1" applyFont="1" applyFill="1" applyBorder="1" applyAlignment="1">
      <alignment vertical="center"/>
    </xf>
    <xf numFmtId="10" fontId="5" fillId="11" borderId="10" xfId="2" applyNumberFormat="1" applyFont="1" applyFill="1" applyBorder="1" applyAlignment="1">
      <alignment horizontal="center" vertical="center"/>
    </xf>
    <xf numFmtId="14" fontId="5" fillId="0" borderId="0" xfId="3" applyNumberFormat="1" applyFont="1" applyBorder="1" applyAlignment="1">
      <alignment vertical="center"/>
    </xf>
    <xf numFmtId="203" fontId="69" fillId="0" borderId="0" xfId="169" applyFont="1" applyAlignment="1">
      <alignment vertical="center"/>
      <protection locked="0"/>
    </xf>
    <xf numFmtId="203" fontId="61" fillId="0" borderId="0" xfId="0" applyFont="1" applyAlignment="1">
      <alignment vertical="center"/>
    </xf>
    <xf numFmtId="203" fontId="60" fillId="0" borderId="7" xfId="0" applyFont="1" applyBorder="1" applyAlignment="1">
      <alignment horizontal="center" vertical="center" wrapText="1"/>
    </xf>
    <xf numFmtId="43" fontId="61" fillId="0" borderId="0" xfId="0" applyNumberFormat="1" applyFont="1" applyAlignment="1">
      <alignment horizontal="right" vertical="center" wrapText="1"/>
    </xf>
    <xf numFmtId="14" fontId="5" fillId="0" borderId="0" xfId="169" applyNumberFormat="1" applyFont="1" applyBorder="1" applyAlignment="1">
      <alignment vertical="center"/>
      <protection locked="0"/>
    </xf>
    <xf numFmtId="203" fontId="5" fillId="0" borderId="11" xfId="169" applyFont="1" applyBorder="1" applyAlignment="1">
      <alignment vertical="center"/>
      <protection locked="0"/>
    </xf>
    <xf numFmtId="222" fontId="5" fillId="0" borderId="11" xfId="4" applyNumberFormat="1" applyFont="1" applyBorder="1" applyAlignment="1">
      <alignment horizontal="left" vertical="center" shrinkToFit="1"/>
    </xf>
    <xf numFmtId="222" fontId="4" fillId="0" borderId="11" xfId="4" applyNumberFormat="1" applyFont="1" applyBorder="1" applyAlignment="1">
      <alignment horizontal="left" vertical="center" shrinkToFit="1"/>
    </xf>
    <xf numFmtId="203" fontId="8" fillId="0" borderId="0" xfId="169" applyFont="1" applyBorder="1" applyAlignment="1">
      <alignment vertical="center"/>
      <protection locked="0"/>
    </xf>
    <xf numFmtId="203" fontId="10" fillId="0" borderId="0" xfId="201" applyFont="1" applyBorder="1" applyAlignment="1">
      <alignment vertical="center"/>
    </xf>
    <xf numFmtId="203" fontId="14" fillId="0" borderId="0" xfId="169" applyFont="1" applyBorder="1" applyAlignment="1">
      <alignment vertical="center"/>
      <protection locked="0"/>
    </xf>
    <xf numFmtId="203" fontId="14" fillId="0" borderId="0" xfId="169" applyFont="1" applyBorder="1" applyAlignment="1">
      <protection locked="0"/>
    </xf>
    <xf numFmtId="203" fontId="65" fillId="0" borderId="0" xfId="169" applyFont="1" applyBorder="1" applyAlignment="1">
      <alignment horizontal="left"/>
      <protection locked="0"/>
    </xf>
    <xf numFmtId="203" fontId="14" fillId="0" borderId="0" xfId="169" applyFont="1" applyBorder="1" applyAlignment="1">
      <alignment horizontal="right"/>
      <protection locked="0"/>
    </xf>
    <xf numFmtId="203" fontId="8" fillId="0" borderId="0" xfId="0" applyFont="1" applyAlignment="1" applyProtection="1">
      <alignment vertical="center"/>
      <protection locked="0"/>
    </xf>
    <xf numFmtId="203" fontId="9" fillId="0" borderId="0" xfId="0" applyFont="1" applyAlignment="1" applyProtection="1">
      <alignment vertical="center"/>
      <protection locked="0"/>
    </xf>
    <xf numFmtId="203" fontId="70" fillId="0" borderId="0" xfId="0" applyFont="1" applyAlignment="1" applyProtection="1">
      <alignment vertical="center"/>
      <protection locked="0"/>
    </xf>
    <xf numFmtId="203" fontId="71" fillId="0" borderId="0" xfId="0" applyFont="1" applyAlignment="1" applyProtection="1">
      <alignment vertical="center"/>
      <protection locked="0"/>
    </xf>
    <xf numFmtId="203" fontId="5" fillId="9" borderId="0" xfId="0" applyFont="1" applyFill="1" applyBorder="1" applyAlignment="1" applyProtection="1">
      <alignment horizontal="justify" vertical="center" wrapText="1"/>
      <protection locked="0"/>
    </xf>
    <xf numFmtId="203" fontId="72" fillId="0" borderId="0" xfId="0" applyFont="1" applyBorder="1" applyAlignment="1" applyProtection="1">
      <alignment horizontal="justify" wrapText="1"/>
      <protection locked="0"/>
    </xf>
    <xf numFmtId="203" fontId="5" fillId="0" borderId="0" xfId="0" applyFont="1" applyAlignment="1" applyProtection="1">
      <protection locked="0"/>
    </xf>
    <xf numFmtId="203" fontId="9" fillId="0" borderId="0" xfId="0" applyFont="1" applyAlignment="1" applyProtection="1">
      <protection locked="0"/>
    </xf>
    <xf numFmtId="203" fontId="70" fillId="0" borderId="0" xfId="0" applyFont="1" applyAlignment="1" applyProtection="1">
      <protection locked="0"/>
    </xf>
    <xf numFmtId="203" fontId="9" fillId="0" borderId="0" xfId="0" applyFont="1" applyAlignment="1" applyProtection="1">
      <alignment horizontal="center" vertical="center"/>
      <protection locked="0"/>
    </xf>
    <xf numFmtId="203" fontId="9" fillId="0" borderId="0" xfId="0" applyFont="1" applyBorder="1" applyAlignment="1" applyProtection="1">
      <alignment horizontal="center" vertical="center"/>
      <protection locked="0"/>
    </xf>
    <xf numFmtId="203" fontId="72" fillId="0" borderId="0" xfId="0" applyFont="1" applyBorder="1" applyAlignment="1" applyProtection="1">
      <alignment horizontal="justify" vertical="top" wrapText="1"/>
      <protection locked="0"/>
    </xf>
    <xf numFmtId="203" fontId="9" fillId="0" borderId="0" xfId="0" applyFont="1" applyBorder="1" applyAlignment="1" applyProtection="1">
      <protection locked="0"/>
    </xf>
    <xf numFmtId="203" fontId="9" fillId="0" borderId="6" xfId="0" applyFont="1" applyBorder="1" applyAlignment="1" applyProtection="1">
      <protection locked="0"/>
    </xf>
    <xf numFmtId="203" fontId="73" fillId="0" borderId="6" xfId="5" applyFont="1" applyBorder="1" applyAlignment="1">
      <protection locked="0"/>
    </xf>
    <xf numFmtId="203" fontId="73" fillId="0" borderId="6" xfId="5" quotePrefix="1" applyFont="1" applyBorder="1" applyAlignment="1">
      <protection locked="0"/>
    </xf>
    <xf numFmtId="203" fontId="70" fillId="0" borderId="0" xfId="0" applyFont="1" applyBorder="1" applyAlignment="1" applyProtection="1">
      <protection locked="0"/>
    </xf>
    <xf numFmtId="203" fontId="74" fillId="0" borderId="0" xfId="0" applyFont="1" applyAlignment="1" applyProtection="1">
      <alignment horizontal="justify"/>
      <protection locked="0"/>
    </xf>
    <xf numFmtId="203" fontId="75" fillId="0" borderId="0" xfId="0" applyFont="1" applyAlignment="1" applyProtection="1">
      <alignment horizontal="center"/>
      <protection locked="0"/>
    </xf>
    <xf numFmtId="203" fontId="8" fillId="0" borderId="0" xfId="0" applyFont="1" applyAlignment="1" applyProtection="1">
      <alignment horizontal="justify"/>
      <protection locked="0"/>
    </xf>
    <xf numFmtId="203" fontId="9" fillId="0" borderId="0" xfId="0" applyFont="1" applyAlignment="1" applyProtection="1">
      <alignment horizontal="justify"/>
      <protection locked="0"/>
    </xf>
    <xf numFmtId="203" fontId="9" fillId="0" borderId="0" xfId="0" applyFont="1" applyBorder="1" applyAlignment="1" applyProtection="1">
      <alignment horizontal="center"/>
      <protection locked="0"/>
    </xf>
    <xf numFmtId="203" fontId="76" fillId="0" borderId="0" xfId="202" quotePrefix="1" applyFont="1" applyBorder="1" applyAlignment="1">
      <protection locked="0"/>
    </xf>
    <xf numFmtId="203" fontId="73" fillId="0" borderId="0" xfId="174" quotePrefix="1" applyFont="1" applyBorder="1" applyAlignment="1">
      <protection locked="0"/>
    </xf>
    <xf numFmtId="203" fontId="9" fillId="0" borderId="0" xfId="0" applyFont="1" applyAlignment="1" applyProtection="1">
      <alignment horizontal="justify" wrapText="1"/>
      <protection locked="0"/>
    </xf>
    <xf numFmtId="203" fontId="73" fillId="0" borderId="0" xfId="174" quotePrefix="1" applyFont="1" applyAlignment="1">
      <protection locked="0"/>
    </xf>
    <xf numFmtId="203" fontId="9" fillId="0" borderId="0" xfId="0" applyFont="1" applyAlignment="1" applyProtection="1">
      <alignment horizontal="left"/>
      <protection locked="0"/>
    </xf>
    <xf numFmtId="203" fontId="4" fillId="10" borderId="10" xfId="169" applyFont="1" applyFill="1" applyBorder="1" applyAlignment="1">
      <alignment horizontal="center" vertical="center" wrapText="1"/>
      <protection locked="0"/>
    </xf>
    <xf numFmtId="222" fontId="5" fillId="0" borderId="11" xfId="4" applyNumberFormat="1" applyFont="1" applyBorder="1" applyAlignment="1">
      <alignment horizontal="left" vertical="center" shrinkToFit="1"/>
    </xf>
    <xf numFmtId="203" fontId="2" fillId="10" borderId="10" xfId="169" applyFont="1" applyFill="1" applyBorder="1" applyAlignment="1">
      <alignment horizontal="center" vertical="center" wrapText="1"/>
      <protection locked="0"/>
    </xf>
    <xf numFmtId="10" fontId="5" fillId="11" borderId="10" xfId="2" applyNumberFormat="1" applyFont="1" applyFill="1" applyBorder="1" applyAlignment="1">
      <alignment horizontal="right" vertical="center"/>
    </xf>
    <xf numFmtId="203" fontId="2" fillId="10" borderId="10" xfId="170" applyNumberFormat="1" applyFont="1" applyFill="1" applyBorder="1" applyAlignment="1" applyProtection="1">
      <alignment horizontal="center" vertical="center"/>
      <protection locked="0"/>
    </xf>
    <xf numFmtId="203" fontId="64" fillId="10" borderId="10" xfId="170" applyNumberFormat="1" applyFont="1" applyFill="1" applyBorder="1" applyAlignment="1" applyProtection="1">
      <alignment horizontal="center" vertical="center" wrapText="1"/>
      <protection locked="0"/>
    </xf>
    <xf numFmtId="43" fontId="5" fillId="11" borderId="10" xfId="1" applyFont="1" applyFill="1" applyBorder="1" applyAlignment="1">
      <alignment horizontal="right" vertical="center" wrapText="1"/>
    </xf>
    <xf numFmtId="10" fontId="5" fillId="11" borderId="10" xfId="2" applyNumberFormat="1" applyFont="1" applyFill="1" applyBorder="1" applyAlignment="1">
      <alignment horizontal="right" vertical="center" wrapText="1"/>
    </xf>
    <xf numFmtId="203" fontId="59" fillId="0" borderId="7" xfId="0" applyFont="1" applyBorder="1" applyAlignment="1">
      <alignment horizontal="center" vertical="center" wrapText="1"/>
    </xf>
    <xf numFmtId="203" fontId="4" fillId="10" borderId="10" xfId="169" applyFont="1" applyFill="1" applyBorder="1" applyAlignment="1">
      <alignment horizontal="center" vertical="center" wrapText="1"/>
      <protection locked="0"/>
    </xf>
    <xf numFmtId="203" fontId="2" fillId="10" borderId="10" xfId="169" applyFont="1" applyFill="1" applyBorder="1" applyAlignment="1">
      <alignment horizontal="center" vertical="center" wrapText="1"/>
      <protection locked="0"/>
    </xf>
    <xf numFmtId="0" fontId="9" fillId="0" borderId="6" xfId="0" applyNumberFormat="1" applyFont="1" applyBorder="1" applyAlignment="1" applyProtection="1">
      <alignment horizontal="center" wrapText="1"/>
      <protection locked="0"/>
    </xf>
    <xf numFmtId="0" fontId="9" fillId="0" borderId="6" xfId="0" applyNumberFormat="1" applyFont="1" applyBorder="1" applyAlignment="1" applyProtection="1">
      <alignment horizontal="center"/>
      <protection locked="0"/>
    </xf>
    <xf numFmtId="203" fontId="2" fillId="11" borderId="11" xfId="169" applyFont="1" applyFill="1" applyBorder="1" applyAlignment="1">
      <alignment horizontal="center" vertical="center"/>
      <protection locked="0"/>
    </xf>
    <xf numFmtId="43" fontId="10" fillId="0" borderId="0" xfId="3" applyNumberFormat="1" applyFont="1" applyBorder="1" applyAlignment="1">
      <alignment vertical="center"/>
    </xf>
    <xf numFmtId="203" fontId="61" fillId="0" borderId="9" xfId="0" applyFont="1" applyBorder="1" applyAlignment="1">
      <alignment horizontal="left" vertical="center"/>
    </xf>
    <xf numFmtId="43" fontId="61" fillId="0" borderId="9" xfId="0" applyNumberFormat="1" applyFont="1" applyBorder="1" applyAlignment="1">
      <alignment horizontal="right" vertical="center" wrapText="1"/>
    </xf>
    <xf numFmtId="0" fontId="63" fillId="0" borderId="0" xfId="0" applyNumberFormat="1" applyFont="1" applyAlignment="1" applyProtection="1">
      <alignment horizontal="center" vertical="center"/>
    </xf>
    <xf numFmtId="222" fontId="81" fillId="0" borderId="10" xfId="4" applyNumberFormat="1" applyFont="1" applyBorder="1" applyAlignment="1">
      <alignment horizontal="left" vertical="center" shrinkToFit="1"/>
    </xf>
    <xf numFmtId="43" fontId="5" fillId="0" borderId="10" xfId="1" applyFont="1" applyFill="1" applyBorder="1" applyAlignment="1">
      <alignment vertical="center"/>
    </xf>
    <xf numFmtId="222" fontId="80" fillId="0" borderId="10" xfId="4" applyNumberFormat="1" applyFont="1" applyBorder="1" applyAlignment="1">
      <alignment horizontal="left" vertical="center" shrinkToFit="1"/>
    </xf>
    <xf numFmtId="203" fontId="82" fillId="0" borderId="0" xfId="169" applyFont="1" applyAlignment="1">
      <alignment vertical="center"/>
      <protection locked="0"/>
    </xf>
    <xf numFmtId="203" fontId="82" fillId="0" borderId="0" xfId="204" applyFont="1" applyAlignment="1">
      <alignment vertical="center"/>
    </xf>
    <xf numFmtId="203" fontId="82" fillId="0" borderId="0" xfId="203" applyFont="1" applyAlignment="1">
      <alignment vertical="center"/>
    </xf>
    <xf numFmtId="203" fontId="83" fillId="0" borderId="0" xfId="169" applyFont="1" applyBorder="1" applyAlignment="1">
      <alignment vertical="center"/>
      <protection locked="0"/>
    </xf>
    <xf numFmtId="203" fontId="84" fillId="0" borderId="0" xfId="169" applyFont="1" applyBorder="1" applyAlignment="1">
      <alignment vertical="center"/>
      <protection locked="0"/>
    </xf>
    <xf numFmtId="203" fontId="82" fillId="0" borderId="0" xfId="169" applyFont="1" applyBorder="1" applyAlignment="1">
      <alignment vertical="center"/>
      <protection locked="0"/>
    </xf>
    <xf numFmtId="203" fontId="4" fillId="0" borderId="0" xfId="169" applyFont="1" applyBorder="1" applyAlignment="1">
      <alignment horizontal="center" vertical="center"/>
      <protection locked="0"/>
    </xf>
    <xf numFmtId="203" fontId="8" fillId="0" borderId="0" xfId="169" applyFont="1" applyBorder="1" applyAlignment="1">
      <alignment horizontal="center" vertical="center"/>
      <protection locked="0"/>
    </xf>
    <xf numFmtId="43" fontId="5" fillId="0" borderId="10" xfId="1" applyFont="1" applyBorder="1" applyAlignment="1">
      <alignment horizontal="left" vertical="center" shrinkToFit="1"/>
    </xf>
    <xf numFmtId="223" fontId="5" fillId="11" borderId="10" xfId="2" applyNumberFormat="1" applyFont="1" applyFill="1" applyBorder="1" applyAlignment="1">
      <alignment vertical="center"/>
    </xf>
    <xf numFmtId="43" fontId="85" fillId="0" borderId="10" xfId="1" applyFont="1" applyFill="1" applyBorder="1" applyAlignment="1">
      <alignment vertical="center"/>
    </xf>
    <xf numFmtId="203" fontId="2" fillId="11" borderId="11" xfId="169" applyFont="1" applyFill="1" applyBorder="1" applyAlignment="1">
      <alignment horizontal="left" vertical="center"/>
      <protection locked="0"/>
    </xf>
    <xf numFmtId="203" fontId="4" fillId="11" borderId="12" xfId="169" applyFont="1" applyFill="1" applyBorder="1" applyAlignment="1">
      <alignment horizontal="left" vertical="center"/>
      <protection locked="0"/>
    </xf>
    <xf numFmtId="203" fontId="2" fillId="11" borderId="12" xfId="169" applyFont="1" applyFill="1" applyBorder="1" applyAlignment="1">
      <alignment vertical="center"/>
      <protection locked="0"/>
    </xf>
    <xf numFmtId="43" fontId="2" fillId="10" borderId="10" xfId="1" applyFont="1" applyFill="1" applyBorder="1" applyAlignment="1" applyProtection="1">
      <alignment horizontal="center" vertical="center" wrapText="1"/>
      <protection locked="0"/>
    </xf>
    <xf numFmtId="43" fontId="4" fillId="10" borderId="10" xfId="1" applyFont="1" applyFill="1" applyBorder="1" applyAlignment="1" applyProtection="1">
      <alignment horizontal="center" vertical="center" wrapText="1"/>
      <protection locked="0"/>
    </xf>
    <xf numFmtId="43" fontId="5" fillId="11" borderId="2" xfId="4" applyNumberFormat="1" applyFont="1" applyFill="1" applyBorder="1" applyAlignment="1">
      <alignment horizontal="left" vertical="center" wrapText="1"/>
    </xf>
    <xf numFmtId="43" fontId="5" fillId="11" borderId="2" xfId="1" applyFont="1" applyFill="1" applyBorder="1" applyAlignment="1">
      <alignment vertical="center"/>
    </xf>
    <xf numFmtId="43" fontId="4" fillId="10" borderId="13" xfId="205" applyFont="1" applyFill="1" applyBorder="1" applyAlignment="1">
      <alignment horizontal="center" vertical="center"/>
    </xf>
    <xf numFmtId="43" fontId="2" fillId="0" borderId="2" xfId="1" applyFont="1" applyBorder="1" applyAlignment="1">
      <alignment horizontal="left" vertical="center" shrinkToFit="1"/>
    </xf>
    <xf numFmtId="43" fontId="4" fillId="0" borderId="2" xfId="1" applyFont="1" applyBorder="1" applyAlignment="1">
      <alignment horizontal="left" vertical="center" shrinkToFit="1"/>
    </xf>
    <xf numFmtId="43" fontId="4" fillId="11" borderId="1" xfId="4" applyNumberFormat="1" applyFont="1" applyFill="1" applyBorder="1" applyAlignment="1">
      <alignment horizontal="left" vertical="center" wrapText="1"/>
    </xf>
    <xf numFmtId="43" fontId="4" fillId="11" borderId="1" xfId="4" applyNumberFormat="1" applyFont="1" applyFill="1" applyBorder="1" applyAlignment="1">
      <alignment horizontal="center" vertical="center" wrapText="1"/>
    </xf>
    <xf numFmtId="43" fontId="4" fillId="11" borderId="10" xfId="1" applyFont="1" applyFill="1" applyBorder="1" applyAlignment="1">
      <alignment horizontal="right" vertical="center" wrapText="1"/>
    </xf>
    <xf numFmtId="10" fontId="4" fillId="11" borderId="10" xfId="2" applyNumberFormat="1" applyFont="1" applyFill="1" applyBorder="1" applyAlignment="1">
      <alignment horizontal="right" vertical="center" wrapText="1"/>
    </xf>
    <xf numFmtId="43" fontId="4" fillId="0" borderId="1" xfId="3" applyNumberFormat="1" applyFont="1" applyBorder="1" applyAlignment="1">
      <alignment vertical="center"/>
    </xf>
    <xf numFmtId="43" fontId="4" fillId="0" borderId="0" xfId="3" applyNumberFormat="1" applyFont="1" applyBorder="1" applyAlignment="1">
      <alignment vertical="center"/>
    </xf>
    <xf numFmtId="10" fontId="4" fillId="11" borderId="1" xfId="4" applyNumberFormat="1" applyFont="1" applyFill="1" applyBorder="1" applyAlignment="1">
      <alignment horizontal="center" vertical="center" wrapText="1"/>
    </xf>
    <xf numFmtId="43" fontId="4" fillId="11" borderId="2" xfId="4" applyNumberFormat="1" applyFont="1" applyFill="1" applyBorder="1" applyAlignment="1">
      <alignment horizontal="left" vertical="center" wrapText="1"/>
    </xf>
    <xf numFmtId="43" fontId="11" fillId="0" borderId="0" xfId="3" applyNumberFormat="1" applyFont="1" applyBorder="1" applyAlignment="1">
      <alignment vertical="center"/>
    </xf>
    <xf numFmtId="203" fontId="62" fillId="0" borderId="0" xfId="0" applyFont="1" applyAlignment="1">
      <alignment horizontal="left" vertical="center" wrapText="1"/>
    </xf>
    <xf numFmtId="203" fontId="86" fillId="0" borderId="0" xfId="0" applyFont="1" applyAlignment="1">
      <alignment horizontal="left" vertical="center" wrapText="1"/>
    </xf>
    <xf numFmtId="43" fontId="15" fillId="0" borderId="0" xfId="3" applyNumberFormat="1" applyFont="1" applyBorder="1" applyAlignment="1">
      <alignment vertical="center"/>
    </xf>
    <xf numFmtId="203" fontId="5" fillId="0" borderId="0" xfId="6" applyFont="1" applyBorder="1" applyAlignment="1">
      <alignment horizontal="left" vertical="center"/>
    </xf>
    <xf numFmtId="203" fontId="61" fillId="0" borderId="0" xfId="0" applyFont="1" applyFill="1" applyAlignment="1">
      <alignment horizontal="left" vertical="center"/>
    </xf>
    <xf numFmtId="43" fontId="61" fillId="0" borderId="0" xfId="0" applyNumberFormat="1" applyFont="1" applyBorder="1" applyAlignment="1">
      <alignment horizontal="right" vertical="center" wrapText="1"/>
    </xf>
    <xf numFmtId="43" fontId="61" fillId="0" borderId="20" xfId="0" applyNumberFormat="1" applyFont="1" applyBorder="1" applyAlignment="1">
      <alignment horizontal="right" vertical="center" wrapText="1"/>
    </xf>
    <xf numFmtId="0" fontId="4" fillId="0" borderId="0" xfId="201" applyNumberFormat="1" applyFont="1" applyBorder="1" applyAlignment="1">
      <alignment vertical="center"/>
    </xf>
    <xf numFmtId="203" fontId="10" fillId="0" borderId="0" xfId="201" applyFont="1" applyBorder="1" applyAlignment="1" applyProtection="1">
      <alignment vertical="center"/>
      <protection locked="0"/>
    </xf>
    <xf numFmtId="203" fontId="10" fillId="0" borderId="0" xfId="201" applyFont="1" applyBorder="1" applyAlignment="1">
      <alignment vertical="center" wrapText="1"/>
    </xf>
    <xf numFmtId="0" fontId="83" fillId="10" borderId="10" xfId="207" applyFont="1" applyFill="1" applyBorder="1" applyAlignment="1">
      <alignment horizontal="center" vertical="center" wrapText="1"/>
    </xf>
    <xf numFmtId="0" fontId="84" fillId="0" borderId="10" xfId="207" applyFont="1" applyFill="1" applyBorder="1">
      <alignment vertical="center"/>
    </xf>
    <xf numFmtId="0" fontId="82" fillId="0" borderId="10" xfId="207" applyFont="1" applyBorder="1">
      <alignment vertical="center"/>
    </xf>
    <xf numFmtId="43" fontId="82" fillId="0" borderId="10" xfId="207" applyNumberFormat="1" applyFont="1" applyBorder="1">
      <alignment vertical="center"/>
    </xf>
    <xf numFmtId="43" fontId="5" fillId="11" borderId="10" xfId="1" applyFont="1" applyFill="1" applyBorder="1" applyAlignment="1">
      <alignment vertical="center" shrinkToFit="1"/>
    </xf>
    <xf numFmtId="0" fontId="92" fillId="0" borderId="10" xfId="207" applyFont="1" applyBorder="1">
      <alignment vertical="center"/>
    </xf>
    <xf numFmtId="0" fontId="81" fillId="0" borderId="10" xfId="207" applyFont="1" applyFill="1" applyBorder="1">
      <alignment vertical="center"/>
    </xf>
    <xf numFmtId="203" fontId="5" fillId="0" borderId="22" xfId="169" applyFont="1" applyBorder="1" applyAlignment="1">
      <alignment horizontal="center" vertical="center"/>
      <protection locked="0"/>
    </xf>
    <xf numFmtId="203" fontId="2" fillId="0" borderId="0" xfId="169" applyFont="1" applyBorder="1" applyAlignment="1">
      <alignment vertical="center"/>
      <protection locked="0"/>
    </xf>
    <xf numFmtId="203" fontId="2" fillId="0" borderId="0" xfId="201" applyFont="1" applyBorder="1" applyAlignment="1">
      <alignment vertical="center"/>
    </xf>
    <xf numFmtId="0" fontId="83" fillId="10" borderId="17" xfId="207" applyFont="1" applyFill="1" applyBorder="1" applyAlignment="1">
      <alignment horizontal="center" vertical="center" wrapText="1"/>
    </xf>
    <xf numFmtId="203" fontId="81" fillId="0" borderId="10" xfId="207" applyNumberFormat="1" applyFont="1" applyFill="1" applyBorder="1">
      <alignment vertical="center"/>
    </xf>
    <xf numFmtId="203" fontId="82" fillId="0" borderId="10" xfId="207" applyNumberFormat="1" applyFont="1" applyFill="1" applyBorder="1">
      <alignment vertical="center"/>
    </xf>
    <xf numFmtId="203" fontId="82" fillId="0" borderId="10" xfId="207" applyNumberFormat="1" applyFont="1" applyFill="1" applyBorder="1" applyAlignment="1">
      <alignment vertical="center" wrapText="1"/>
    </xf>
    <xf numFmtId="0" fontId="83" fillId="10" borderId="19" xfId="207" applyFont="1" applyFill="1" applyBorder="1" applyAlignment="1">
      <alignment horizontal="left" vertical="center" wrapText="1"/>
    </xf>
    <xf numFmtId="203" fontId="5" fillId="0" borderId="0" xfId="169" applyFont="1" applyBorder="1" applyAlignment="1">
      <alignment vertical="center" wrapText="1"/>
      <protection locked="0"/>
    </xf>
    <xf numFmtId="0" fontId="93" fillId="10" borderId="10" xfId="207" applyFont="1" applyFill="1" applyBorder="1" applyAlignment="1">
      <alignment horizontal="center" vertical="center" wrapText="1"/>
    </xf>
    <xf numFmtId="203" fontId="81" fillId="0" borderId="19" xfId="207" applyNumberFormat="1" applyFont="1" applyFill="1" applyBorder="1">
      <alignment vertical="center"/>
    </xf>
    <xf numFmtId="203" fontId="81" fillId="0" borderId="10" xfId="207" applyNumberFormat="1" applyFont="1" applyFill="1" applyBorder="1" applyAlignment="1">
      <alignment vertical="center" wrapText="1"/>
    </xf>
    <xf numFmtId="203" fontId="94" fillId="0" borderId="0" xfId="169" applyFont="1" applyAlignment="1">
      <alignment vertical="center"/>
      <protection locked="0"/>
    </xf>
    <xf numFmtId="203" fontId="94" fillId="0" borderId="0" xfId="169" applyFont="1" applyBorder="1" applyAlignment="1">
      <alignment horizontal="left" vertical="center"/>
      <protection locked="0"/>
    </xf>
    <xf numFmtId="43" fontId="4" fillId="0" borderId="0" xfId="3" applyNumberFormat="1" applyFont="1" applyBorder="1" applyAlignment="1">
      <alignment horizontal="center" vertical="center"/>
    </xf>
    <xf numFmtId="43" fontId="6" fillId="0" borderId="0" xfId="3" applyNumberFormat="1" applyFont="1" applyBorder="1" applyAlignment="1">
      <alignment horizontal="center" vertical="center"/>
    </xf>
    <xf numFmtId="43" fontId="8" fillId="0" borderId="0" xfId="3" applyNumberFormat="1" applyFont="1" applyBorder="1" applyAlignment="1">
      <alignment horizontal="center" vertical="center"/>
    </xf>
    <xf numFmtId="43" fontId="4" fillId="10" borderId="1" xfId="205" applyFont="1" applyFill="1" applyBorder="1" applyAlignment="1">
      <alignment horizontal="center" vertical="center" shrinkToFit="1"/>
    </xf>
    <xf numFmtId="43" fontId="4" fillId="10" borderId="13" xfId="206" applyNumberFormat="1" applyFont="1" applyFill="1" applyBorder="1" applyAlignment="1">
      <alignment horizontal="center" vertical="center"/>
    </xf>
    <xf numFmtId="43" fontId="4" fillId="10" borderId="14" xfId="206" applyNumberFormat="1" applyFont="1" applyFill="1" applyBorder="1" applyAlignment="1">
      <alignment horizontal="center" vertical="center"/>
    </xf>
    <xf numFmtId="43" fontId="66" fillId="10" borderId="1" xfId="205" applyFont="1" applyFill="1" applyBorder="1" applyAlignment="1">
      <alignment horizontal="center" vertical="center"/>
    </xf>
    <xf numFmtId="43" fontId="4" fillId="10" borderId="1" xfId="206" applyNumberFormat="1" applyFont="1" applyFill="1" applyBorder="1" applyAlignment="1">
      <alignment horizontal="center" vertical="center"/>
    </xf>
    <xf numFmtId="203" fontId="64" fillId="10" borderId="11" xfId="170" applyNumberFormat="1" applyFont="1" applyFill="1" applyBorder="1" applyAlignment="1" applyProtection="1">
      <alignment horizontal="center" vertical="center" wrapText="1"/>
      <protection locked="0"/>
    </xf>
    <xf numFmtId="203" fontId="64" fillId="10" borderId="12" xfId="170" applyNumberFormat="1" applyFont="1" applyFill="1" applyBorder="1" applyAlignment="1" applyProtection="1">
      <alignment horizontal="center" vertical="center" wrapText="1"/>
      <protection locked="0"/>
    </xf>
    <xf numFmtId="203" fontId="64" fillId="10" borderId="10" xfId="170" applyNumberFormat="1" applyFont="1" applyFill="1" applyBorder="1" applyAlignment="1" applyProtection="1">
      <alignment horizontal="center" vertical="center" wrapText="1"/>
      <protection locked="0"/>
    </xf>
    <xf numFmtId="203" fontId="2" fillId="10" borderId="10" xfId="170" applyNumberFormat="1" applyFont="1" applyFill="1" applyBorder="1" applyAlignment="1" applyProtection="1">
      <alignment horizontal="center" vertical="center" wrapText="1"/>
      <protection locked="0"/>
    </xf>
    <xf numFmtId="203" fontId="62" fillId="0" borderId="0" xfId="0" applyFont="1" applyAlignment="1">
      <alignment horizontal="left" vertical="center" wrapText="1"/>
    </xf>
    <xf numFmtId="203" fontId="2" fillId="0" borderId="0" xfId="169" applyFont="1" applyAlignment="1">
      <alignment horizontal="center" vertical="center"/>
      <protection locked="0"/>
    </xf>
    <xf numFmtId="203" fontId="6" fillId="0" borderId="0" xfId="169" applyFont="1" applyAlignment="1">
      <alignment horizontal="center" vertical="center"/>
      <protection locked="0"/>
    </xf>
    <xf numFmtId="203" fontId="69" fillId="0" borderId="0" xfId="169" applyFont="1" applyAlignment="1">
      <alignment horizontal="left" vertical="center"/>
      <protection locked="0"/>
    </xf>
    <xf numFmtId="203" fontId="78" fillId="0" borderId="0" xfId="0" applyFont="1" applyAlignment="1">
      <alignment horizontal="left" vertical="center" wrapText="1"/>
    </xf>
    <xf numFmtId="203" fontId="78" fillId="0" borderId="0" xfId="0" applyFont="1" applyFill="1" applyAlignment="1">
      <alignment horizontal="left" vertical="center" wrapText="1"/>
    </xf>
    <xf numFmtId="203" fontId="0" fillId="0" borderId="0" xfId="0" applyFill="1" applyAlignment="1">
      <alignment vertical="center"/>
    </xf>
    <xf numFmtId="203" fontId="4" fillId="10" borderId="11" xfId="169" applyFont="1" applyFill="1" applyBorder="1" applyAlignment="1">
      <alignment horizontal="left" vertical="center" wrapText="1"/>
      <protection locked="0"/>
    </xf>
    <xf numFmtId="203" fontId="4" fillId="10" borderId="16" xfId="169" applyFont="1" applyFill="1" applyBorder="1" applyAlignment="1">
      <alignment horizontal="left" vertical="center" wrapText="1"/>
      <protection locked="0"/>
    </xf>
    <xf numFmtId="203" fontId="5" fillId="11" borderId="11" xfId="169" applyFont="1" applyFill="1" applyBorder="1" applyAlignment="1">
      <alignment horizontal="center" vertical="center"/>
      <protection locked="0"/>
    </xf>
    <xf numFmtId="203" fontId="5" fillId="11" borderId="16" xfId="169" applyFont="1" applyFill="1" applyBorder="1" applyAlignment="1">
      <alignment horizontal="center" vertical="center"/>
      <protection locked="0"/>
    </xf>
    <xf numFmtId="203" fontId="4" fillId="0" borderId="0" xfId="200" applyFont="1" applyAlignment="1">
      <alignment horizontal="center" vertical="center"/>
    </xf>
    <xf numFmtId="203" fontId="6" fillId="0" borderId="0" xfId="200" applyFont="1" applyAlignment="1">
      <alignment horizontal="center" vertical="center"/>
    </xf>
    <xf numFmtId="203" fontId="4" fillId="10" borderId="10" xfId="169" applyFont="1" applyFill="1" applyBorder="1" applyAlignment="1">
      <alignment horizontal="center" vertical="center" wrapText="1"/>
      <protection locked="0"/>
    </xf>
    <xf numFmtId="203" fontId="2" fillId="10" borderId="11" xfId="169" applyFont="1" applyFill="1" applyBorder="1" applyAlignment="1">
      <alignment horizontal="left" vertical="center" wrapText="1"/>
      <protection locked="0"/>
    </xf>
    <xf numFmtId="203" fontId="4" fillId="10" borderId="12" xfId="169" applyFont="1" applyFill="1" applyBorder="1" applyAlignment="1">
      <alignment horizontal="left" vertical="center" wrapText="1"/>
      <protection locked="0"/>
    </xf>
    <xf numFmtId="203" fontId="2" fillId="10" borderId="11" xfId="169" applyFont="1" applyFill="1" applyBorder="1" applyAlignment="1">
      <alignment horizontal="center" vertical="center" wrapText="1"/>
      <protection locked="0"/>
    </xf>
    <xf numFmtId="203" fontId="4" fillId="10" borderId="16" xfId="169" applyFont="1" applyFill="1" applyBorder="1" applyAlignment="1">
      <alignment horizontal="center" vertical="center" wrapText="1"/>
      <protection locked="0"/>
    </xf>
    <xf numFmtId="203" fontId="4" fillId="10" borderId="12" xfId="169" applyFont="1" applyFill="1" applyBorder="1" applyAlignment="1">
      <alignment horizontal="center" vertical="center" wrapText="1"/>
      <protection locked="0"/>
    </xf>
    <xf numFmtId="203" fontId="2" fillId="10" borderId="17" xfId="169" applyFont="1" applyFill="1" applyBorder="1" applyAlignment="1">
      <alignment horizontal="center" vertical="center" wrapText="1"/>
      <protection locked="0"/>
    </xf>
    <xf numFmtId="203" fontId="2" fillId="10" borderId="18" xfId="169" applyFont="1" applyFill="1" applyBorder="1" applyAlignment="1">
      <alignment horizontal="center" vertical="center" wrapText="1"/>
      <protection locked="0"/>
    </xf>
    <xf numFmtId="203" fontId="2" fillId="10" borderId="19" xfId="169" applyFont="1" applyFill="1" applyBorder="1" applyAlignment="1">
      <alignment horizontal="center" vertical="center" wrapText="1"/>
      <protection locked="0"/>
    </xf>
    <xf numFmtId="203" fontId="2" fillId="11" borderId="11" xfId="169" applyFont="1" applyFill="1" applyBorder="1" applyAlignment="1">
      <alignment horizontal="left" vertical="center"/>
      <protection locked="0"/>
    </xf>
    <xf numFmtId="203" fontId="4" fillId="11" borderId="12" xfId="169" applyFont="1" applyFill="1" applyBorder="1" applyAlignment="1">
      <alignment horizontal="left" vertical="center"/>
      <protection locked="0"/>
    </xf>
    <xf numFmtId="203" fontId="2" fillId="11" borderId="11" xfId="169" applyFont="1" applyFill="1" applyBorder="1" applyAlignment="1">
      <alignment horizontal="center" vertical="center"/>
      <protection locked="0"/>
    </xf>
    <xf numFmtId="203" fontId="4" fillId="11" borderId="12" xfId="169" applyFont="1" applyFill="1" applyBorder="1" applyAlignment="1">
      <alignment horizontal="center" vertical="center"/>
      <protection locked="0"/>
    </xf>
    <xf numFmtId="203" fontId="10" fillId="11" borderId="11" xfId="169" applyFont="1" applyFill="1" applyBorder="1" applyAlignment="1">
      <alignment horizontal="center" vertical="center"/>
      <protection locked="0"/>
    </xf>
    <xf numFmtId="203" fontId="10" fillId="11" borderId="12" xfId="169" applyFont="1" applyFill="1" applyBorder="1" applyAlignment="1">
      <alignment horizontal="center" vertical="center"/>
      <protection locked="0"/>
    </xf>
    <xf numFmtId="203" fontId="10" fillId="0" borderId="0" xfId="201" applyFont="1" applyBorder="1" applyAlignment="1">
      <alignment horizontal="left" vertical="center" wrapText="1"/>
    </xf>
    <xf numFmtId="203" fontId="10" fillId="0" borderId="21" xfId="201" applyFont="1" applyBorder="1" applyAlignment="1" applyProtection="1">
      <alignment horizontal="left" vertical="center"/>
      <protection locked="0"/>
    </xf>
    <xf numFmtId="203" fontId="4" fillId="0" borderId="0" xfId="169" applyFont="1" applyBorder="1" applyAlignment="1">
      <alignment horizontal="center" vertical="center"/>
      <protection locked="0"/>
    </xf>
    <xf numFmtId="203" fontId="6" fillId="0" borderId="0" xfId="169" applyFont="1" applyBorder="1" applyAlignment="1">
      <alignment horizontal="center" vertical="center"/>
      <protection locked="0"/>
    </xf>
    <xf numFmtId="203" fontId="8" fillId="0" borderId="0" xfId="169" applyFont="1" applyBorder="1" applyAlignment="1">
      <alignment horizontal="center" vertical="center"/>
      <protection locked="0"/>
    </xf>
  </cellXfs>
  <cellStyles count="208">
    <cellStyle name="%" xfId="7"/>
    <cellStyle name="?" xfId="8"/>
    <cellStyle name="?餡_x000c_k" xfId="9"/>
    <cellStyle name="?餡_x000c_k?_x000d_^" xfId="10"/>
    <cellStyle name="?餡_x000c_k?_x000d_^黇_x0001_??_x0007__x0001__x0001_" xfId="11"/>
    <cellStyle name="@_text" xfId="12"/>
    <cellStyle name="_2005审计报表及附注-中国建材股份模板（房屋）" xfId="13"/>
    <cellStyle name="_2006年年报审计PBC表-XXX" xfId="14"/>
    <cellStyle name="_2006年年报审计填报资料" xfId="15"/>
    <cellStyle name="_Book1" xfId="16"/>
    <cellStyle name="_J1000-存货-ZHHG" xfId="17"/>
    <cellStyle name="_PBC审核提示" xfId="18"/>
    <cellStyle name="_宝丽华房地产20051231" xfId="19"/>
    <cellStyle name="_保证金-企业填写部分" xfId="20"/>
    <cellStyle name="_北新房屋2004年审-刘" xfId="21"/>
    <cellStyle name="_北新股份2005年审工作底稿" xfId="22"/>
    <cellStyle name="_北新建材关连交易基础表051230（10－12月版）更新稿" xfId="23"/>
    <cellStyle name="_北新建材-会计报表附注模版" xfId="24"/>
    <cellStyle name="_北新龙之星2004年审工作底稿" xfId="25"/>
    <cellStyle name="_北新物流2005底稿-刘" xfId="26"/>
    <cellStyle name="_北新置换memo" xfId="27"/>
    <cellStyle name="_存货结转测试" xfId="28"/>
    <cellStyle name="_存货数量与明细05.12" xfId="29"/>
    <cellStyle name="_动力厂2004年审工作底稿-刘" xfId="30"/>
    <cellStyle name="_分工" xfId="31"/>
    <cellStyle name="_工程施工项目现场审计提示" xfId="32"/>
    <cellStyle name="_关联交易" xfId="33"/>
    <cellStyle name="_关联交易、往来统计表" xfId="34"/>
    <cellStyle name="_建造合同-宜万指（正式版）" xfId="35"/>
    <cellStyle name="_科目核对表" xfId="36"/>
    <cellStyle name="_母PL" xfId="37"/>
    <cellStyle name="_人员分工备忘录" xfId="38"/>
    <cellStyle name="_审计所需资料清单－子公司" xfId="39"/>
    <cellStyle name="_一公司建造合同前5名" xfId="40"/>
    <cellStyle name="_一公司－刘丰收" xfId="41"/>
    <cellStyle name="_长期借款－江阴" xfId="42"/>
    <cellStyle name="_子公司审计提示模版-Liufs" xfId="43"/>
    <cellStyle name="{Comma [0]}" xfId="44"/>
    <cellStyle name="{Comma}" xfId="45"/>
    <cellStyle name="{Date}" xfId="46"/>
    <cellStyle name="{Month}" xfId="47"/>
    <cellStyle name="{Percent}" xfId="48"/>
    <cellStyle name="{Thousand [0]}" xfId="49"/>
    <cellStyle name="{Thousand}" xfId="50"/>
    <cellStyle name="{Z'0000(1 dec)}" xfId="51"/>
    <cellStyle name="{Z'0000(4 dec)}" xfId="52"/>
    <cellStyle name="0%" xfId="53"/>
    <cellStyle name="0,0_x000d__x000a_NA_x000d__x000a_" xfId="54"/>
    <cellStyle name="0.0%" xfId="55"/>
    <cellStyle name="0.00%" xfId="56"/>
    <cellStyle name="Black" xfId="57"/>
    <cellStyle name="Border" xfId="58"/>
    <cellStyle name="Calc Currency (0)" xfId="59"/>
    <cellStyle name="Calc Currency (2)" xfId="60"/>
    <cellStyle name="Calc Percent (0)" xfId="61"/>
    <cellStyle name="Calc Percent (1)" xfId="62"/>
    <cellStyle name="Calc Percent (2)" xfId="63"/>
    <cellStyle name="Calc Units (0)" xfId="64"/>
    <cellStyle name="Calc Units (1)" xfId="65"/>
    <cellStyle name="Calc Units (2)" xfId="66"/>
    <cellStyle name="category" xfId="67"/>
    <cellStyle name="Col Heads" xfId="68"/>
    <cellStyle name="Column_Title" xfId="69"/>
    <cellStyle name="Comma  - Style1" xfId="70"/>
    <cellStyle name="Comma  - Style2" xfId="71"/>
    <cellStyle name="Comma  - Style3" xfId="72"/>
    <cellStyle name="Comma  - Style4" xfId="73"/>
    <cellStyle name="Comma  - Style5" xfId="74"/>
    <cellStyle name="Comma  - Style6" xfId="75"/>
    <cellStyle name="Comma  - Style7" xfId="76"/>
    <cellStyle name="Comma  - Style8" xfId="77"/>
    <cellStyle name="Comma [0]_ rislugp" xfId="78"/>
    <cellStyle name="Comma [00]" xfId="79"/>
    <cellStyle name="Comma 28" xfId="80"/>
    <cellStyle name="comma zerodec" xfId="81"/>
    <cellStyle name="Comma,0" xfId="82"/>
    <cellStyle name="Comma,1" xfId="83"/>
    <cellStyle name="Comma,2" xfId="84"/>
    <cellStyle name="Comma_ rislugp" xfId="85"/>
    <cellStyle name="Currency [0]_ rislugp" xfId="86"/>
    <cellStyle name="Currency [00]" xfId="87"/>
    <cellStyle name="Currency,0" xfId="88"/>
    <cellStyle name="Currency,2" xfId="89"/>
    <cellStyle name="Currency_ rislugp" xfId="90"/>
    <cellStyle name="Currency1" xfId="91"/>
    <cellStyle name="Date Short" xfId="92"/>
    <cellStyle name="Dezimal [0]_laroux" xfId="93"/>
    <cellStyle name="Dezimal_laroux" xfId="94"/>
    <cellStyle name="Dollar (zero dec)" xfId="95"/>
    <cellStyle name="Enter Currency (0)" xfId="96"/>
    <cellStyle name="Enter Currency (2)" xfId="97"/>
    <cellStyle name="Enter Units (0)" xfId="98"/>
    <cellStyle name="Enter Units (1)" xfId="99"/>
    <cellStyle name="Enter Units (2)" xfId="100"/>
    <cellStyle name="entry" xfId="101"/>
    <cellStyle name="entry box" xfId="102"/>
    <cellStyle name="Euro" xfId="103"/>
    <cellStyle name="Followed Hyperlink_AheadBehind.xls Chart 23" xfId="104"/>
    <cellStyle name="Grey" xfId="105"/>
    <cellStyle name="HEADER" xfId="106"/>
    <cellStyle name="Header1" xfId="107"/>
    <cellStyle name="Header2" xfId="108"/>
    <cellStyle name="Heading" xfId="109"/>
    <cellStyle name="Hyperlink_AheadBehind.xls Chart 23" xfId="110"/>
    <cellStyle name="Input [yellow]" xfId="111"/>
    <cellStyle name="left" xfId="112"/>
    <cellStyle name="Link Currency (0)" xfId="113"/>
    <cellStyle name="Link Currency (2)" xfId="114"/>
    <cellStyle name="Link Units (0)" xfId="115"/>
    <cellStyle name="Link Units (1)" xfId="116"/>
    <cellStyle name="Link Units (2)" xfId="117"/>
    <cellStyle name="Millares [0]_laroux" xfId="118"/>
    <cellStyle name="Millares_laroux" xfId="119"/>
    <cellStyle name="Milliers [0]_laroux" xfId="120"/>
    <cellStyle name="Milliers_laroux" xfId="121"/>
    <cellStyle name="Model" xfId="122"/>
    <cellStyle name="Moneda [0]_laroux" xfId="123"/>
    <cellStyle name="Moneda_laroux" xfId="124"/>
    <cellStyle name="Mon閠aire [0]_laroux" xfId="125"/>
    <cellStyle name="Mon閠aire_laroux" xfId="126"/>
    <cellStyle name="no dec" xfId="127"/>
    <cellStyle name="Non défini" xfId="128"/>
    <cellStyle name="Normal - Style1" xfId="129"/>
    <cellStyle name="Normal 21" xfId="130"/>
    <cellStyle name="Normal_ rislugp" xfId="131"/>
    <cellStyle name="Normalny_Arkusz1" xfId="132"/>
    <cellStyle name="Percent (0)" xfId="133"/>
    <cellStyle name="Percent [0]" xfId="134"/>
    <cellStyle name="Percent [00]" xfId="135"/>
    <cellStyle name="Percent [2]" xfId="136"/>
    <cellStyle name="Prefilled" xfId="137"/>
    <cellStyle name="PrePop Currency (0)" xfId="138"/>
    <cellStyle name="PrePop Currency (2)" xfId="139"/>
    <cellStyle name="PrePop Units (0)" xfId="140"/>
    <cellStyle name="PrePop Units (1)" xfId="141"/>
    <cellStyle name="PrePop Units (2)" xfId="142"/>
    <cellStyle name="price" xfId="143"/>
    <cellStyle name="Red" xfId="144"/>
    <cellStyle name="revised" xfId="145"/>
    <cellStyle name="section" xfId="146"/>
    <cellStyle name="SOR" xfId="147"/>
    <cellStyle name="style" xfId="148"/>
    <cellStyle name="style1" xfId="149"/>
    <cellStyle name="style2" xfId="150"/>
    <cellStyle name="subhead" xfId="151"/>
    <cellStyle name="Text Indent A" xfId="152"/>
    <cellStyle name="Text Indent B" xfId="153"/>
    <cellStyle name="Text Indent C" xfId="154"/>
    <cellStyle name="Tickmark" xfId="155"/>
    <cellStyle name="title" xfId="156"/>
    <cellStyle name="wrap" xfId="157"/>
    <cellStyle name="パーセント_laroux" xfId="158"/>
    <cellStyle name="_PLDT" xfId="159"/>
    <cellStyle name="_Total (2)" xfId="160"/>
    <cellStyle name="だ[0]_PLDT" xfId="161"/>
    <cellStyle name="だ_PLDT" xfId="162"/>
    <cellStyle name="だ[0]_Total (2)" xfId="163"/>
    <cellStyle name="だ_Total (2)" xfId="164"/>
    <cellStyle name="百分比" xfId="2" builtinId="5"/>
    <cellStyle name="百分比 2" xfId="165"/>
    <cellStyle name="百分比 3" xfId="166"/>
    <cellStyle name="標準_１１月価格表" xfId="167"/>
    <cellStyle name="差_T1000-主营业务收入-LJCH" xfId="168"/>
    <cellStyle name="常规" xfId="0" builtinId="0"/>
    <cellStyle name="常规 10 2" xfId="207"/>
    <cellStyle name="常规 2" xfId="169"/>
    <cellStyle name="常规 3" xfId="170"/>
    <cellStyle name="常规 4" xfId="171"/>
    <cellStyle name="常规 5" xfId="172"/>
    <cellStyle name="常规 6" xfId="203"/>
    <cellStyle name="常规_2-1项目审定表－模板" xfId="4"/>
    <cellStyle name="常规_Book1" xfId="200"/>
    <cellStyle name="常规_c-资产类" xfId="6"/>
    <cellStyle name="常规_T1000-主营业务收入" xfId="204"/>
    <cellStyle name="常规_进一步审计程序--销售与收款循环" xfId="201"/>
    <cellStyle name="常规_新审定表" xfId="3"/>
    <cellStyle name="常规_新审定表 2" xfId="206"/>
    <cellStyle name="超级链接_B4-1审计项目工时预算与控制表(集团)" xfId="173"/>
    <cellStyle name="超链接" xfId="5" builtinId="8"/>
    <cellStyle name="超链接 2" xfId="174"/>
    <cellStyle name="超链接 3" xfId="202"/>
    <cellStyle name="分级显示行_1_4附件二凯旋评估表" xfId="175"/>
    <cellStyle name="好_T1000-主营业务收入" xfId="176"/>
    <cellStyle name="桁区切り [0.00]_１１月価格表" xfId="177"/>
    <cellStyle name="桁区切り_１１月価格表" xfId="178"/>
    <cellStyle name="霓付 [0]_97MBO" xfId="179"/>
    <cellStyle name="霓付_97MBO" xfId="180"/>
    <cellStyle name="烹拳 [0]_97MBO" xfId="181"/>
    <cellStyle name="烹拳_97MBO" xfId="182"/>
    <cellStyle name="砯刽 [0]_PLDT" xfId="183"/>
    <cellStyle name="砯刽_PLDT" xfId="184"/>
    <cellStyle name="普通_ 白土" xfId="185"/>
    <cellStyle name="千分位[0]_ 白土" xfId="186"/>
    <cellStyle name="千分位_ 白土" xfId="187"/>
    <cellStyle name="千位[0]_ 应交税金审定表" xfId="188"/>
    <cellStyle name="千位_ 应交税金审定表" xfId="189"/>
    <cellStyle name="千位分隔" xfId="1" builtinId="3"/>
    <cellStyle name="千位分隔 2" xfId="190"/>
    <cellStyle name="千位分隔 3" xfId="205"/>
    <cellStyle name="钎霖_laroux" xfId="191"/>
    <cellStyle name="通貨 [0.00]_１１月価格表" xfId="192"/>
    <cellStyle name="通貨_１１月価格表" xfId="193"/>
    <cellStyle name="样式 1" xfId="194"/>
    <cellStyle name="콤마 [0]_BOILER-CO1" xfId="195"/>
    <cellStyle name="콤마_BOILER-CO1" xfId="196"/>
    <cellStyle name="통화 [0]_BOILER-CO1" xfId="197"/>
    <cellStyle name="통화_BOILER-CO1" xfId="198"/>
    <cellStyle name="표준_0N-HANDLING " xfId="199"/>
  </cellStyles>
  <dxfs count="36">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s>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Document11.docx"/><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H20"/>
  <sheetViews>
    <sheetView workbookViewId="0">
      <selection activeCell="A9" sqref="A9"/>
    </sheetView>
  </sheetViews>
  <sheetFormatPr defaultRowHeight="20.100000000000001" customHeight="1"/>
  <cols>
    <col min="1" max="1" width="77.625" style="69" customWidth="1"/>
    <col min="2" max="2" width="2" style="69" customWidth="1"/>
    <col min="3" max="3" width="2.125" style="69" customWidth="1"/>
    <col min="4" max="4" width="6.125" style="68" customWidth="1"/>
    <col min="5" max="5" width="11.5" style="69" customWidth="1"/>
    <col min="6" max="6" width="33.375" style="68" customWidth="1"/>
    <col min="7" max="16384" width="9" style="70"/>
  </cols>
  <sheetData>
    <row r="1" spans="1:8" s="64" customFormat="1" ht="20.100000000000001" customHeight="1">
      <c r="A1" s="62" t="s">
        <v>54</v>
      </c>
      <c r="B1" s="63"/>
      <c r="C1" s="63"/>
      <c r="E1" s="65"/>
    </row>
    <row r="2" spans="1:8" ht="20.100000000000001" customHeight="1">
      <c r="A2" s="66" t="s">
        <v>55</v>
      </c>
      <c r="B2" s="67"/>
      <c r="C2" s="67"/>
      <c r="G2" s="67"/>
      <c r="H2" s="67"/>
    </row>
    <row r="3" spans="1:8" ht="20.100000000000001" customHeight="1">
      <c r="A3" s="66" t="s">
        <v>56</v>
      </c>
      <c r="B3" s="67"/>
      <c r="C3" s="67"/>
      <c r="D3" s="71" t="s">
        <v>57</v>
      </c>
      <c r="E3" s="71" t="s">
        <v>58</v>
      </c>
      <c r="F3" s="72" t="s">
        <v>59</v>
      </c>
      <c r="G3" s="67"/>
      <c r="H3" s="73"/>
    </row>
    <row r="4" spans="1:8" ht="20.100000000000001" customHeight="1">
      <c r="A4" s="66" t="s">
        <v>60</v>
      </c>
      <c r="B4" s="74"/>
      <c r="C4" s="74"/>
      <c r="D4" s="100">
        <v>1</v>
      </c>
      <c r="E4" s="75" t="s">
        <v>61</v>
      </c>
      <c r="F4" s="76" t="s">
        <v>62</v>
      </c>
      <c r="G4" s="67"/>
      <c r="H4" s="67"/>
    </row>
    <row r="5" spans="1:8" ht="20.100000000000001" customHeight="1">
      <c r="A5" s="66" t="s">
        <v>63</v>
      </c>
      <c r="D5" s="101">
        <f>D4+1</f>
        <v>2</v>
      </c>
      <c r="E5" s="75" t="s">
        <v>64</v>
      </c>
      <c r="F5" s="77" t="s">
        <v>65</v>
      </c>
      <c r="G5" s="78"/>
      <c r="H5" s="78"/>
    </row>
    <row r="6" spans="1:8" ht="20.100000000000001" customHeight="1">
      <c r="A6" s="79"/>
      <c r="D6" s="101">
        <f t="shared" ref="D6:D9" si="0">D5+1</f>
        <v>3</v>
      </c>
      <c r="E6" s="75" t="s">
        <v>64</v>
      </c>
      <c r="F6" s="77" t="s">
        <v>66</v>
      </c>
    </row>
    <row r="7" spans="1:8" ht="20.100000000000001" customHeight="1">
      <c r="A7" s="80" t="s">
        <v>67</v>
      </c>
      <c r="D7" s="101">
        <f t="shared" si="0"/>
        <v>4</v>
      </c>
      <c r="E7" s="75" t="s">
        <v>7</v>
      </c>
      <c r="F7" s="77" t="s">
        <v>68</v>
      </c>
    </row>
    <row r="8" spans="1:8" ht="20.100000000000001" customHeight="1">
      <c r="A8" s="81" t="s">
        <v>69</v>
      </c>
      <c r="D8" s="101">
        <f t="shared" si="0"/>
        <v>5</v>
      </c>
      <c r="E8" s="75" t="s">
        <v>70</v>
      </c>
      <c r="F8" s="77" t="s">
        <v>71</v>
      </c>
    </row>
    <row r="9" spans="1:8" ht="20.100000000000001" customHeight="1">
      <c r="A9" s="81"/>
      <c r="D9" s="101">
        <f t="shared" si="0"/>
        <v>6</v>
      </c>
      <c r="E9" s="75" t="s">
        <v>72</v>
      </c>
      <c r="F9" s="77" t="s">
        <v>73</v>
      </c>
    </row>
    <row r="10" spans="1:8" ht="20.100000000000001" customHeight="1">
      <c r="A10" s="82" t="s">
        <v>74</v>
      </c>
      <c r="D10" s="83"/>
      <c r="F10" s="84"/>
    </row>
    <row r="11" spans="1:8" ht="20.100000000000001" customHeight="1">
      <c r="A11" s="81" t="s">
        <v>75</v>
      </c>
      <c r="D11" s="83"/>
      <c r="F11" s="84"/>
    </row>
    <row r="12" spans="1:8" ht="20.100000000000001" customHeight="1">
      <c r="A12" s="82" t="s">
        <v>76</v>
      </c>
      <c r="D12" s="83"/>
      <c r="F12" s="84"/>
    </row>
    <row r="13" spans="1:8" ht="20.100000000000001" customHeight="1">
      <c r="A13" s="69" t="s">
        <v>77</v>
      </c>
      <c r="D13" s="83"/>
      <c r="F13" s="85"/>
    </row>
    <row r="14" spans="1:8" ht="20.100000000000001" customHeight="1">
      <c r="A14" s="69" t="s">
        <v>78</v>
      </c>
      <c r="D14" s="83"/>
      <c r="F14" s="85"/>
    </row>
    <row r="15" spans="1:8" ht="20.100000000000001" customHeight="1">
      <c r="A15" s="81" t="s">
        <v>79</v>
      </c>
      <c r="D15" s="83"/>
      <c r="F15" s="85"/>
    </row>
    <row r="16" spans="1:8" ht="33">
      <c r="A16" s="86" t="s">
        <v>80</v>
      </c>
      <c r="D16" s="83"/>
      <c r="F16" s="85"/>
    </row>
    <row r="17" spans="1:6" ht="20.100000000000001" customHeight="1">
      <c r="A17" s="70"/>
      <c r="D17" s="83"/>
      <c r="F17" s="85"/>
    </row>
    <row r="18" spans="1:6" ht="16.5">
      <c r="A18" s="70"/>
      <c r="D18" s="83"/>
      <c r="F18" s="87"/>
    </row>
    <row r="19" spans="1:6" ht="16.5">
      <c r="D19" s="83"/>
      <c r="F19" s="87"/>
    </row>
    <row r="20" spans="1:6" ht="20.100000000000001" customHeight="1">
      <c r="A20" s="88"/>
    </row>
  </sheetData>
  <phoneticPr fontId="3" type="noConversion"/>
  <hyperlinks>
    <hyperlink ref="F4" location="审定表H3!A1" display="审定表H3!A1"/>
    <hyperlink ref="F5" location="'附注披露信息（上市公司）H3-1'!A1" display="'附注披露信息（上市公司）H3-1'!A1"/>
    <hyperlink ref="F6" location="'附注披露信息（国企）H3-1'!A1" display="'附注披露信息（国企）H3-1'!A1"/>
    <hyperlink ref="F7" location="'明细分析表H3-2'!A1" display="明细表"/>
    <hyperlink ref="F8" location="'收益率分析表H3-3'!A1" display="收益率分析表"/>
    <hyperlink ref="F9" location="'检查表H3-5'!A1" display="'检查表H3-5'!A1"/>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codeName="Sheet2">
    <pageSetUpPr fitToPage="1"/>
  </sheetPr>
  <dimension ref="A1:O36"/>
  <sheetViews>
    <sheetView tabSelected="1" view="pageBreakPreview" zoomScaleNormal="100" zoomScaleSheetLayoutView="100" workbookViewId="0">
      <selection activeCell="G24" sqref="G24"/>
    </sheetView>
  </sheetViews>
  <sheetFormatPr defaultRowHeight="23.25" customHeight="1"/>
  <cols>
    <col min="1" max="1" width="37.5" style="1" customWidth="1"/>
    <col min="2" max="14" width="10.75" style="1" customWidth="1"/>
    <col min="15" max="16384" width="9" style="1"/>
  </cols>
  <sheetData>
    <row r="1" spans="1:15" ht="20.100000000000001" customHeight="1">
      <c r="A1" s="171" t="s">
        <v>10</v>
      </c>
      <c r="B1" s="171"/>
      <c r="C1" s="171"/>
      <c r="D1" s="171"/>
      <c r="E1" s="171"/>
      <c r="F1" s="171"/>
      <c r="G1" s="171"/>
      <c r="H1" s="171"/>
      <c r="I1" s="171"/>
      <c r="J1" s="171"/>
      <c r="K1" s="171"/>
      <c r="L1" s="171"/>
      <c r="M1" s="171"/>
      <c r="N1" s="171"/>
      <c r="O1" s="171"/>
    </row>
    <row r="2" spans="1:15" s="2" customFormat="1" ht="24.95" customHeight="1">
      <c r="A2" s="172" t="s">
        <v>150</v>
      </c>
      <c r="B2" s="173"/>
      <c r="C2" s="173"/>
      <c r="D2" s="173"/>
      <c r="E2" s="173"/>
      <c r="F2" s="173"/>
      <c r="G2" s="173"/>
      <c r="H2" s="173"/>
      <c r="I2" s="173"/>
      <c r="J2" s="173"/>
      <c r="K2" s="173"/>
      <c r="L2" s="173"/>
      <c r="M2" s="173"/>
      <c r="N2" s="173"/>
      <c r="O2" s="173"/>
    </row>
    <row r="3" spans="1:15" ht="20.100000000000001" customHeight="1">
      <c r="A3" s="1" t="str">
        <f>表头!A2</f>
        <v>客户名称：</v>
      </c>
      <c r="C3" s="3" t="str">
        <f>表头!A4</f>
        <v>编制人：</v>
      </c>
      <c r="H3" s="47" t="str">
        <f>表头!A5</f>
        <v>日期：</v>
      </c>
      <c r="I3" s="47"/>
      <c r="N3" s="103" t="s">
        <v>267</v>
      </c>
    </row>
    <row r="4" spans="1:15" ht="20.100000000000001" customHeight="1">
      <c r="A4" s="1" t="str">
        <f>表头!A3</f>
        <v>会计期间：201X年度</v>
      </c>
      <c r="B4" s="4"/>
      <c r="C4" s="3" t="s">
        <v>38</v>
      </c>
      <c r="H4" s="47" t="s">
        <v>39</v>
      </c>
      <c r="I4" s="47"/>
      <c r="N4" s="103" t="s">
        <v>106</v>
      </c>
    </row>
    <row r="5" spans="1:15" ht="30" customHeight="1">
      <c r="A5" s="177" t="s">
        <v>40</v>
      </c>
      <c r="B5" s="178" t="s">
        <v>41</v>
      </c>
      <c r="C5" s="178"/>
      <c r="D5" s="178"/>
      <c r="E5" s="178"/>
      <c r="F5" s="178" t="s">
        <v>42</v>
      </c>
      <c r="G5" s="178"/>
      <c r="H5" s="178"/>
      <c r="I5" s="178"/>
      <c r="J5" s="179" t="s">
        <v>85</v>
      </c>
      <c r="K5" s="180"/>
      <c r="L5" s="181" t="s">
        <v>86</v>
      </c>
      <c r="M5" s="182"/>
      <c r="N5" s="175" t="s">
        <v>43</v>
      </c>
      <c r="O5" s="174" t="s">
        <v>44</v>
      </c>
    </row>
    <row r="6" spans="1:15" ht="20.100000000000001" customHeight="1">
      <c r="A6" s="177"/>
      <c r="B6" s="32" t="s">
        <v>45</v>
      </c>
      <c r="C6" s="32" t="s">
        <v>46</v>
      </c>
      <c r="D6" s="32" t="s">
        <v>47</v>
      </c>
      <c r="E6" s="32" t="s">
        <v>48</v>
      </c>
      <c r="F6" s="128" t="s">
        <v>49</v>
      </c>
      <c r="G6" s="32" t="s">
        <v>46</v>
      </c>
      <c r="H6" s="32" t="s">
        <v>47</v>
      </c>
      <c r="I6" s="32" t="s">
        <v>50</v>
      </c>
      <c r="J6" s="93" t="s">
        <v>84</v>
      </c>
      <c r="K6" s="93" t="s">
        <v>87</v>
      </c>
      <c r="L6" s="93" t="s">
        <v>88</v>
      </c>
      <c r="M6" s="94" t="s">
        <v>87</v>
      </c>
      <c r="N6" s="176"/>
      <c r="O6" s="174"/>
    </row>
    <row r="7" spans="1:15" s="136" customFormat="1" ht="20.100000000000001" customHeight="1">
      <c r="A7" s="129" t="s">
        <v>152</v>
      </c>
      <c r="B7" s="131">
        <f>'明细分析表A5-4-2'!C105</f>
        <v>0</v>
      </c>
      <c r="C7" s="132" t="str">
        <f>'明细分析表A5-4-2'!D105</f>
        <v>——</v>
      </c>
      <c r="D7" s="132" t="str">
        <f>'明细分析表A5-4-2'!E105</f>
        <v>——</v>
      </c>
      <c r="E7" s="131">
        <f>'明细分析表A5-4-2'!F105</f>
        <v>0</v>
      </c>
      <c r="F7" s="132">
        <f>'明细分析表A5-4-2'!J105</f>
        <v>0</v>
      </c>
      <c r="G7" s="132" t="str">
        <f>'明细分析表A5-4-2'!K105</f>
        <v>——</v>
      </c>
      <c r="H7" s="132" t="str">
        <f>'明细分析表A5-4-2'!L105</f>
        <v>——</v>
      </c>
      <c r="I7" s="132">
        <f>'明细分析表A5-4-2'!M105</f>
        <v>0</v>
      </c>
      <c r="J7" s="133">
        <f t="shared" ref="J7" si="0">B7-F7</f>
        <v>0</v>
      </c>
      <c r="K7" s="134">
        <f t="shared" ref="K7" si="1">ROUND(IF(AND(B7=0,F7=0),0,IF(AND(B7=0,F7&gt;0),1,J7/F7)),4)</f>
        <v>0</v>
      </c>
      <c r="L7" s="133">
        <f t="shared" ref="L7" si="2">E7-I7</f>
        <v>0</v>
      </c>
      <c r="M7" s="134">
        <f t="shared" ref="M7" si="3">ROUND(IF(AND(E7=0,I7=0),0,IF(AND(E7=0,I7&gt;0),1,L7/I7)),4)</f>
        <v>0</v>
      </c>
      <c r="N7" s="135"/>
      <c r="O7" s="135"/>
    </row>
    <row r="8" spans="1:15" s="136" customFormat="1" ht="20.100000000000001" customHeight="1">
      <c r="A8" s="129" t="s">
        <v>140</v>
      </c>
      <c r="B8" s="132" t="str">
        <f>'明细分析表A5-4-2'!C106</f>
        <v>——</v>
      </c>
      <c r="C8" s="132" t="str">
        <f>'明细分析表A5-4-2'!D106</f>
        <v>——</v>
      </c>
      <c r="D8" s="132" t="str">
        <f>'明细分析表A5-4-2'!E106</f>
        <v>——</v>
      </c>
      <c r="E8" s="132" t="str">
        <f>'明细分析表A5-4-2'!F106</f>
        <v>——</v>
      </c>
      <c r="F8" s="137" t="str">
        <f>'明细分析表A5-4-2'!J106</f>
        <v>——</v>
      </c>
      <c r="G8" s="137" t="str">
        <f>'明细分析表A5-4-2'!K106</f>
        <v>——</v>
      </c>
      <c r="H8" s="137" t="str">
        <f>'明细分析表A5-4-2'!L106</f>
        <v>——</v>
      </c>
      <c r="I8" s="137" t="str">
        <f>'明细分析表A5-4-2'!M106</f>
        <v>——</v>
      </c>
      <c r="J8" s="132" t="str">
        <f>'明细分析表A5-4-2'!K106</f>
        <v>——</v>
      </c>
      <c r="K8" s="132" t="str">
        <f>'明细分析表A5-4-2'!L106</f>
        <v>——</v>
      </c>
      <c r="L8" s="132" t="str">
        <f>'明细分析表A5-4-2'!M106</f>
        <v>——</v>
      </c>
      <c r="M8" s="132" t="str">
        <f>'明细分析表A5-4-2'!N106</f>
        <v>——</v>
      </c>
      <c r="N8" s="135"/>
      <c r="O8" s="135"/>
    </row>
    <row r="9" spans="1:15" s="136" customFormat="1" ht="20.100000000000001" customHeight="1">
      <c r="A9" s="130" t="s">
        <v>139</v>
      </c>
      <c r="B9" s="131">
        <f>'明细分析表A5-4-2'!C107</f>
        <v>0</v>
      </c>
      <c r="C9" s="132" t="str">
        <f>'明细分析表A5-4-2'!D107</f>
        <v>——</v>
      </c>
      <c r="D9" s="132" t="str">
        <f>'明细分析表A5-4-2'!E107</f>
        <v>——</v>
      </c>
      <c r="E9" s="131">
        <f>'明细分析表A5-4-2'!F107</f>
        <v>0</v>
      </c>
      <c r="F9" s="132">
        <f>'明细分析表A5-4-2'!J107</f>
        <v>0</v>
      </c>
      <c r="G9" s="132" t="str">
        <f>'明细分析表A5-4-2'!K107</f>
        <v>——</v>
      </c>
      <c r="H9" s="132" t="str">
        <f>'明细分析表A5-4-2'!L107</f>
        <v>——</v>
      </c>
      <c r="I9" s="132">
        <f>'明细分析表A5-4-2'!M107</f>
        <v>0</v>
      </c>
      <c r="J9" s="133">
        <f t="shared" ref="J9:J10" si="4">B9-F9</f>
        <v>0</v>
      </c>
      <c r="K9" s="134">
        <f t="shared" ref="K9:K10" si="5">ROUND(IF(AND(B9=0,F9=0),0,IF(AND(B9=0,F9&gt;0),1,J9/F9)),4)</f>
        <v>0</v>
      </c>
      <c r="L9" s="133">
        <f t="shared" ref="L9:L10" si="6">E9-I9</f>
        <v>0</v>
      </c>
      <c r="M9" s="134">
        <f t="shared" ref="M9" si="7">ROUND(IF(AND(E9=0,I9=0),0,IF(AND(E9=0,I9&gt;0),1,L9/I9)),4)</f>
        <v>0</v>
      </c>
      <c r="N9" s="135"/>
      <c r="O9" s="135"/>
    </row>
    <row r="10" spans="1:15" s="136" customFormat="1" ht="20.100000000000001" customHeight="1">
      <c r="A10" s="130" t="s">
        <v>153</v>
      </c>
      <c r="B10" s="131">
        <f>'明细分析表A5-4-2'!C108</f>
        <v>0</v>
      </c>
      <c r="C10" s="131">
        <f>'明细分析表A5-4-2'!D108</f>
        <v>0</v>
      </c>
      <c r="D10" s="131">
        <f>'明细分析表A5-4-2'!E108</f>
        <v>0</v>
      </c>
      <c r="E10" s="131">
        <f>'明细分析表A5-4-2'!F108</f>
        <v>0</v>
      </c>
      <c r="F10" s="132">
        <f>'明细分析表A5-4-2'!J108</f>
        <v>0</v>
      </c>
      <c r="G10" s="132">
        <f>'明细分析表A5-4-2'!K108</f>
        <v>0</v>
      </c>
      <c r="H10" s="132">
        <f>'明细分析表A5-4-2'!L108</f>
        <v>0</v>
      </c>
      <c r="I10" s="132">
        <f>'明细分析表A5-4-2'!M108</f>
        <v>0</v>
      </c>
      <c r="J10" s="133">
        <f t="shared" si="4"/>
        <v>0</v>
      </c>
      <c r="K10" s="134">
        <f t="shared" si="5"/>
        <v>0</v>
      </c>
      <c r="L10" s="133">
        <f t="shared" si="6"/>
        <v>0</v>
      </c>
      <c r="M10" s="134">
        <f>ROUND(IF(AND(E10=0,I10=0),0,IF(AND(E10=0,I10&gt;0),1,L10/I10)),4)</f>
        <v>0</v>
      </c>
      <c r="N10" s="135"/>
      <c r="O10" s="135"/>
    </row>
    <row r="11" spans="1:15" ht="20.100000000000001" customHeight="1">
      <c r="A11" s="35" t="s">
        <v>93</v>
      </c>
      <c r="B11" s="44">
        <f>'明细分析表A5-4-2'!C20</f>
        <v>0</v>
      </c>
      <c r="C11" s="44">
        <f>'明细分析表A5-4-2'!D20</f>
        <v>0</v>
      </c>
      <c r="D11" s="44">
        <f>'明细分析表A5-4-2'!E20</f>
        <v>0</v>
      </c>
      <c r="E11" s="126">
        <f>'明细分析表A5-4-2'!F20</f>
        <v>0</v>
      </c>
      <c r="F11" s="44">
        <f>'明细分析表A5-4-2'!J20</f>
        <v>0</v>
      </c>
      <c r="G11" s="44">
        <f>'明细分析表A5-4-2'!K20</f>
        <v>0</v>
      </c>
      <c r="H11" s="44">
        <f>'明细分析表A5-4-2'!L20</f>
        <v>0</v>
      </c>
      <c r="I11" s="44">
        <f>'明细分析表A5-4-2'!M20</f>
        <v>0</v>
      </c>
      <c r="J11" s="95">
        <f>B11-F11</f>
        <v>0</v>
      </c>
      <c r="K11" s="96">
        <f>ROUND(IF(AND(B11=0,F11=0),0,IF(AND(B11=0,F11&gt;0),1,J11/F11)),4)</f>
        <v>0</v>
      </c>
      <c r="L11" s="95">
        <f>E11-I11</f>
        <v>0</v>
      </c>
      <c r="M11" s="96">
        <f>ROUND(IF(AND(E11=0,I11=0),0,IF(AND(E11=0,I11&gt;0),1,L11/I11)),4)</f>
        <v>0</v>
      </c>
      <c r="N11" s="37"/>
      <c r="O11" s="37"/>
    </row>
    <row r="12" spans="1:15" ht="20.100000000000001" customHeight="1">
      <c r="A12" s="35" t="s">
        <v>145</v>
      </c>
      <c r="B12" s="44">
        <f>'明细分析表A5-4-2'!C26</f>
        <v>0</v>
      </c>
      <c r="C12" s="44">
        <f>'明细分析表A5-4-2'!D26</f>
        <v>0</v>
      </c>
      <c r="D12" s="44">
        <f>'明细分析表A5-4-2'!E26</f>
        <v>0</v>
      </c>
      <c r="E12" s="126">
        <f>'明细分析表A5-4-2'!F26</f>
        <v>0</v>
      </c>
      <c r="F12" s="44">
        <f>'明细分析表A5-4-2'!J26</f>
        <v>0</v>
      </c>
      <c r="G12" s="44">
        <f>'明细分析表A5-4-2'!K26</f>
        <v>0</v>
      </c>
      <c r="H12" s="44">
        <f>'明细分析表A5-4-2'!L26</f>
        <v>0</v>
      </c>
      <c r="I12" s="44">
        <f>'明细分析表A5-4-2'!M26</f>
        <v>0</v>
      </c>
      <c r="J12" s="95">
        <f t="shared" ref="J12:J25" si="8">B12-F12</f>
        <v>0</v>
      </c>
      <c r="K12" s="96">
        <f t="shared" ref="K12:K25" si="9">ROUND(IF(AND(B12=0,F12=0),0,IF(AND(B12=0,F12&gt;0),1,J12/F12)),4)</f>
        <v>0</v>
      </c>
      <c r="L12" s="95">
        <f t="shared" ref="L12:L25" si="10">E12-I12</f>
        <v>0</v>
      </c>
      <c r="M12" s="96">
        <f>ROUND(IF(AND(E12=0,I12=0),0,IF(AND(E12=0,I12&gt;0),1,L12/I12)),4)</f>
        <v>0</v>
      </c>
      <c r="N12" s="37"/>
      <c r="O12" s="37"/>
    </row>
    <row r="13" spans="1:15" ht="20.100000000000001" customHeight="1">
      <c r="A13" s="35" t="s">
        <v>94</v>
      </c>
      <c r="B13" s="44">
        <f>'明细分析表A5-4-2'!C32</f>
        <v>0</v>
      </c>
      <c r="C13" s="44">
        <f>'明细分析表A5-4-2'!D32</f>
        <v>0</v>
      </c>
      <c r="D13" s="44">
        <f>'明细分析表A5-4-2'!E32</f>
        <v>0</v>
      </c>
      <c r="E13" s="126">
        <f>'明细分析表A5-4-2'!F32</f>
        <v>0</v>
      </c>
      <c r="F13" s="44">
        <f>'明细分析表A5-4-2'!J32</f>
        <v>0</v>
      </c>
      <c r="G13" s="44">
        <f>'明细分析表A5-4-2'!K32</f>
        <v>0</v>
      </c>
      <c r="H13" s="44">
        <f>'明细分析表A5-4-2'!L32</f>
        <v>0</v>
      </c>
      <c r="I13" s="44">
        <f>'明细分析表A5-4-2'!M32</f>
        <v>0</v>
      </c>
      <c r="J13" s="95">
        <f t="shared" si="8"/>
        <v>0</v>
      </c>
      <c r="K13" s="96">
        <f t="shared" si="9"/>
        <v>0</v>
      </c>
      <c r="L13" s="95">
        <f t="shared" si="10"/>
        <v>0</v>
      </c>
      <c r="M13" s="96">
        <f t="shared" ref="M13:M25" si="11">ROUND(IF(AND(E13=0,I13=0),0,IF(AND(E13=0,I13&gt;0),1,L13/I13)),4)</f>
        <v>0</v>
      </c>
      <c r="N13" s="37"/>
      <c r="O13" s="37"/>
    </row>
    <row r="14" spans="1:15" ht="20.100000000000001" customHeight="1">
      <c r="A14" s="35" t="s">
        <v>146</v>
      </c>
      <c r="B14" s="44">
        <f>'明细分析表A5-4-2'!C38</f>
        <v>0</v>
      </c>
      <c r="C14" s="44">
        <f>'明细分析表A5-4-2'!D38</f>
        <v>0</v>
      </c>
      <c r="D14" s="44">
        <f>'明细分析表A5-4-2'!E38</f>
        <v>0</v>
      </c>
      <c r="E14" s="126">
        <f>'明细分析表A5-4-2'!F38</f>
        <v>0</v>
      </c>
      <c r="F14" s="44">
        <f>'明细分析表A5-4-2'!J38</f>
        <v>0</v>
      </c>
      <c r="G14" s="44">
        <f>'明细分析表A5-4-2'!K38</f>
        <v>0</v>
      </c>
      <c r="H14" s="44">
        <f>'明细分析表A5-4-2'!L38</f>
        <v>0</v>
      </c>
      <c r="I14" s="44">
        <f>'明细分析表A5-4-2'!M38</f>
        <v>0</v>
      </c>
      <c r="J14" s="95">
        <f t="shared" si="8"/>
        <v>0</v>
      </c>
      <c r="K14" s="96">
        <f t="shared" si="9"/>
        <v>0</v>
      </c>
      <c r="L14" s="95">
        <f t="shared" si="10"/>
        <v>0</v>
      </c>
      <c r="M14" s="96">
        <f t="shared" si="11"/>
        <v>0</v>
      </c>
      <c r="N14" s="37"/>
      <c r="O14" s="37"/>
    </row>
    <row r="15" spans="1:15" ht="20.100000000000001" customHeight="1">
      <c r="A15" s="35" t="s">
        <v>95</v>
      </c>
      <c r="B15" s="44">
        <f>'明细分析表A5-4-2'!C44</f>
        <v>0</v>
      </c>
      <c r="C15" s="44">
        <f>'明细分析表A5-4-2'!D44</f>
        <v>0</v>
      </c>
      <c r="D15" s="44">
        <f>'明细分析表A5-4-2'!E44</f>
        <v>0</v>
      </c>
      <c r="E15" s="126">
        <f>'明细分析表A5-4-2'!F44</f>
        <v>0</v>
      </c>
      <c r="F15" s="44">
        <f>'明细分析表A5-4-2'!J44</f>
        <v>0</v>
      </c>
      <c r="G15" s="44">
        <f>'明细分析表A5-4-2'!K44</f>
        <v>0</v>
      </c>
      <c r="H15" s="44">
        <f>'明细分析表A5-4-2'!L44</f>
        <v>0</v>
      </c>
      <c r="I15" s="44">
        <f>'明细分析表A5-4-2'!M44</f>
        <v>0</v>
      </c>
      <c r="J15" s="95">
        <f t="shared" si="8"/>
        <v>0</v>
      </c>
      <c r="K15" s="96">
        <f t="shared" si="9"/>
        <v>0</v>
      </c>
      <c r="L15" s="95">
        <f t="shared" si="10"/>
        <v>0</v>
      </c>
      <c r="M15" s="96">
        <f t="shared" si="11"/>
        <v>0</v>
      </c>
      <c r="N15" s="37"/>
      <c r="O15" s="37"/>
    </row>
    <row r="16" spans="1:15" ht="20.100000000000001" customHeight="1">
      <c r="A16" s="35" t="s">
        <v>96</v>
      </c>
      <c r="B16" s="44">
        <f>'明细分析表A5-4-2'!C50</f>
        <v>0</v>
      </c>
      <c r="C16" s="44">
        <f>'明细分析表A5-4-2'!D50</f>
        <v>0</v>
      </c>
      <c r="D16" s="44">
        <f>'明细分析表A5-4-2'!E50</f>
        <v>0</v>
      </c>
      <c r="E16" s="126">
        <f>'明细分析表A5-4-2'!F50</f>
        <v>0</v>
      </c>
      <c r="F16" s="44">
        <f>'明细分析表A5-4-2'!J50</f>
        <v>0</v>
      </c>
      <c r="G16" s="44">
        <f>'明细分析表A5-4-2'!K50</f>
        <v>0</v>
      </c>
      <c r="H16" s="44">
        <f>'明细分析表A5-4-2'!L50</f>
        <v>0</v>
      </c>
      <c r="I16" s="44">
        <f>'明细分析表A5-4-2'!M50</f>
        <v>0</v>
      </c>
      <c r="J16" s="95">
        <f t="shared" si="8"/>
        <v>0</v>
      </c>
      <c r="K16" s="96">
        <f t="shared" si="9"/>
        <v>0</v>
      </c>
      <c r="L16" s="95">
        <f t="shared" si="10"/>
        <v>0</v>
      </c>
      <c r="M16" s="96">
        <f t="shared" si="11"/>
        <v>0</v>
      </c>
      <c r="N16" s="37"/>
      <c r="O16" s="37"/>
    </row>
    <row r="17" spans="1:15" ht="20.100000000000001" customHeight="1">
      <c r="A17" s="35" t="s">
        <v>97</v>
      </c>
      <c r="B17" s="44">
        <f>'明细分析表A5-4-2'!C56</f>
        <v>0</v>
      </c>
      <c r="C17" s="44">
        <f>'明细分析表A5-4-2'!D56</f>
        <v>0</v>
      </c>
      <c r="D17" s="44">
        <f>'明细分析表A5-4-2'!E56</f>
        <v>0</v>
      </c>
      <c r="E17" s="126">
        <f>'明细分析表A5-4-2'!F56</f>
        <v>0</v>
      </c>
      <c r="F17" s="44">
        <f>'明细分析表A5-4-2'!J56</f>
        <v>0</v>
      </c>
      <c r="G17" s="44">
        <f>'明细分析表A5-4-2'!K56</f>
        <v>0</v>
      </c>
      <c r="H17" s="44">
        <f>'明细分析表A5-4-2'!L56</f>
        <v>0</v>
      </c>
      <c r="I17" s="44">
        <f>'明细分析表A5-4-2'!M56</f>
        <v>0</v>
      </c>
      <c r="J17" s="95">
        <f t="shared" si="8"/>
        <v>0</v>
      </c>
      <c r="K17" s="96">
        <f t="shared" si="9"/>
        <v>0</v>
      </c>
      <c r="L17" s="95">
        <f t="shared" si="10"/>
        <v>0</v>
      </c>
      <c r="M17" s="96">
        <f t="shared" si="11"/>
        <v>0</v>
      </c>
      <c r="N17" s="37"/>
      <c r="O17" s="37"/>
    </row>
    <row r="18" spans="1:15" ht="20.100000000000001" customHeight="1">
      <c r="A18" s="35" t="s">
        <v>98</v>
      </c>
      <c r="B18" s="44">
        <f>'明细分析表A5-4-2'!C62</f>
        <v>0</v>
      </c>
      <c r="C18" s="44">
        <f>'明细分析表A5-4-2'!D62</f>
        <v>0</v>
      </c>
      <c r="D18" s="44">
        <f>'明细分析表A5-4-2'!E62</f>
        <v>0</v>
      </c>
      <c r="E18" s="126">
        <f>'明细分析表A5-4-2'!F62</f>
        <v>0</v>
      </c>
      <c r="F18" s="44">
        <f>'明细分析表A5-4-2'!J62</f>
        <v>0</v>
      </c>
      <c r="G18" s="44">
        <f>'明细分析表A5-4-2'!K62</f>
        <v>0</v>
      </c>
      <c r="H18" s="44">
        <f>'明细分析表A5-4-2'!L62</f>
        <v>0</v>
      </c>
      <c r="I18" s="44">
        <f>'明细分析表A5-4-2'!M62</f>
        <v>0</v>
      </c>
      <c r="J18" s="95">
        <f t="shared" si="8"/>
        <v>0</v>
      </c>
      <c r="K18" s="96">
        <f t="shared" si="9"/>
        <v>0</v>
      </c>
      <c r="L18" s="95">
        <f t="shared" si="10"/>
        <v>0</v>
      </c>
      <c r="M18" s="96">
        <f t="shared" si="11"/>
        <v>0</v>
      </c>
      <c r="N18" s="37"/>
      <c r="O18" s="37"/>
    </row>
    <row r="19" spans="1:15" ht="20.100000000000001" customHeight="1">
      <c r="A19" s="35" t="s">
        <v>99</v>
      </c>
      <c r="B19" s="44">
        <f>'明细分析表A5-4-2'!C68</f>
        <v>0</v>
      </c>
      <c r="C19" s="44">
        <f>'明细分析表A5-4-2'!D68</f>
        <v>0</v>
      </c>
      <c r="D19" s="44">
        <f>'明细分析表A5-4-2'!E68</f>
        <v>0</v>
      </c>
      <c r="E19" s="126">
        <f>'明细分析表A5-4-2'!F68</f>
        <v>0</v>
      </c>
      <c r="F19" s="44">
        <f>'明细分析表A5-4-2'!J68</f>
        <v>0</v>
      </c>
      <c r="G19" s="44">
        <f>'明细分析表A5-4-2'!K68</f>
        <v>0</v>
      </c>
      <c r="H19" s="44">
        <f>'明细分析表A5-4-2'!L68</f>
        <v>0</v>
      </c>
      <c r="I19" s="44">
        <f>'明细分析表A5-4-2'!M68</f>
        <v>0</v>
      </c>
      <c r="J19" s="95">
        <f t="shared" si="8"/>
        <v>0</v>
      </c>
      <c r="K19" s="96">
        <f t="shared" si="9"/>
        <v>0</v>
      </c>
      <c r="L19" s="95">
        <f>E19-I19</f>
        <v>0</v>
      </c>
      <c r="M19" s="96">
        <f t="shared" si="11"/>
        <v>0</v>
      </c>
      <c r="N19" s="37"/>
      <c r="O19" s="37"/>
    </row>
    <row r="20" spans="1:15" s="136" customFormat="1" ht="20.100000000000001" customHeight="1">
      <c r="A20" s="130" t="s">
        <v>100</v>
      </c>
      <c r="B20" s="131">
        <f>'明细分析表A5-4-2'!C74</f>
        <v>0</v>
      </c>
      <c r="C20" s="131">
        <f>'明细分析表A5-4-2'!D74</f>
        <v>0</v>
      </c>
      <c r="D20" s="131">
        <f>'明细分析表A5-4-2'!E74</f>
        <v>0</v>
      </c>
      <c r="E20" s="138">
        <f>'明细分析表A5-4-2'!F74</f>
        <v>0</v>
      </c>
      <c r="F20" s="131">
        <f>'明细分析表A5-4-2'!J74</f>
        <v>0</v>
      </c>
      <c r="G20" s="131">
        <f>'明细分析表A5-4-2'!K74</f>
        <v>0</v>
      </c>
      <c r="H20" s="131">
        <f>'明细分析表A5-4-2'!L74</f>
        <v>0</v>
      </c>
      <c r="I20" s="131">
        <f>'明细分析表A5-4-2'!M74</f>
        <v>0</v>
      </c>
      <c r="J20" s="133">
        <f t="shared" si="8"/>
        <v>0</v>
      </c>
      <c r="K20" s="134">
        <f t="shared" si="9"/>
        <v>0</v>
      </c>
      <c r="L20" s="133">
        <f t="shared" si="10"/>
        <v>0</v>
      </c>
      <c r="M20" s="134">
        <f>ROUND(IF(AND(E20=0,I20=0),0,IF(AND(E20=0,I20&gt;0),1,L20/I20)),4)</f>
        <v>0</v>
      </c>
      <c r="N20" s="135"/>
      <c r="O20" s="135"/>
    </row>
    <row r="21" spans="1:15" ht="20.100000000000001" customHeight="1">
      <c r="A21" s="36" t="s">
        <v>147</v>
      </c>
      <c r="B21" s="45">
        <f>'明细分析表A5-4-2'!C80</f>
        <v>0</v>
      </c>
      <c r="C21" s="45">
        <f>'明细分析表A5-4-2'!D80</f>
        <v>0</v>
      </c>
      <c r="D21" s="45">
        <f>'明细分析表A5-4-2'!E80</f>
        <v>0</v>
      </c>
      <c r="E21" s="127">
        <f>'明细分析表A5-4-2'!F80</f>
        <v>0</v>
      </c>
      <c r="F21" s="45">
        <f>'明细分析表A5-4-2'!J80</f>
        <v>0</v>
      </c>
      <c r="G21" s="45">
        <f>'明细分析表A5-4-2'!K80</f>
        <v>0</v>
      </c>
      <c r="H21" s="45">
        <f>'明细分析表A5-4-2'!L80</f>
        <v>0</v>
      </c>
      <c r="I21" s="45">
        <f>'明细分析表A5-4-2'!M80</f>
        <v>0</v>
      </c>
      <c r="J21" s="95">
        <f t="shared" si="8"/>
        <v>0</v>
      </c>
      <c r="K21" s="96">
        <f t="shared" si="9"/>
        <v>0</v>
      </c>
      <c r="L21" s="95">
        <f t="shared" si="10"/>
        <v>0</v>
      </c>
      <c r="M21" s="96">
        <f t="shared" si="11"/>
        <v>0</v>
      </c>
      <c r="N21" s="37"/>
      <c r="O21" s="37"/>
    </row>
    <row r="22" spans="1:15" ht="20.100000000000001" customHeight="1">
      <c r="A22" s="36" t="s">
        <v>148</v>
      </c>
      <c r="B22" s="45">
        <f>'明细分析表A5-4-2'!C86</f>
        <v>0</v>
      </c>
      <c r="C22" s="45">
        <f>'明细分析表A5-4-2'!D86</f>
        <v>0</v>
      </c>
      <c r="D22" s="45">
        <f>'明细分析表A5-4-2'!E86</f>
        <v>0</v>
      </c>
      <c r="E22" s="127">
        <f>'明细分析表A5-4-2'!F86</f>
        <v>0</v>
      </c>
      <c r="F22" s="45">
        <f>'明细分析表A5-4-2'!J86</f>
        <v>0</v>
      </c>
      <c r="G22" s="45">
        <f>'明细分析表A5-4-2'!K86</f>
        <v>0</v>
      </c>
      <c r="H22" s="45">
        <f>'明细分析表A5-4-2'!L86</f>
        <v>0</v>
      </c>
      <c r="I22" s="45">
        <f>'明细分析表A5-4-2'!M86</f>
        <v>0</v>
      </c>
      <c r="J22" s="95">
        <f t="shared" si="8"/>
        <v>0</v>
      </c>
      <c r="K22" s="96">
        <f t="shared" si="9"/>
        <v>0</v>
      </c>
      <c r="L22" s="95">
        <f t="shared" si="10"/>
        <v>0</v>
      </c>
      <c r="M22" s="96">
        <f t="shared" si="11"/>
        <v>0</v>
      </c>
      <c r="N22" s="37"/>
      <c r="O22" s="37"/>
    </row>
    <row r="23" spans="1:15" ht="20.100000000000001" customHeight="1">
      <c r="A23" s="36" t="s">
        <v>101</v>
      </c>
      <c r="B23" s="45">
        <f>'明细分析表A5-4-2'!C92</f>
        <v>0</v>
      </c>
      <c r="C23" s="45">
        <f>'明细分析表A5-4-2'!D92</f>
        <v>0</v>
      </c>
      <c r="D23" s="45">
        <f>'明细分析表A5-4-2'!E92</f>
        <v>0</v>
      </c>
      <c r="E23" s="127">
        <f>'明细分析表A5-4-2'!F92</f>
        <v>0</v>
      </c>
      <c r="F23" s="45">
        <f>'明细分析表A5-4-2'!J92</f>
        <v>0</v>
      </c>
      <c r="G23" s="45">
        <f>'明细分析表A5-4-2'!K92</f>
        <v>0</v>
      </c>
      <c r="H23" s="45">
        <f>'明细分析表A5-4-2'!L92</f>
        <v>0</v>
      </c>
      <c r="I23" s="45">
        <f>'明细分析表A5-4-2'!M92</f>
        <v>0</v>
      </c>
      <c r="J23" s="95">
        <f t="shared" si="8"/>
        <v>0</v>
      </c>
      <c r="K23" s="96">
        <f t="shared" si="9"/>
        <v>0</v>
      </c>
      <c r="L23" s="95">
        <f t="shared" si="10"/>
        <v>0</v>
      </c>
      <c r="M23" s="96">
        <f t="shared" si="11"/>
        <v>0</v>
      </c>
      <c r="N23" s="37"/>
      <c r="O23" s="37"/>
    </row>
    <row r="24" spans="1:15" ht="20.100000000000001" customHeight="1">
      <c r="A24" s="36" t="s">
        <v>102</v>
      </c>
      <c r="B24" s="45">
        <f>'明细分析表A5-4-2'!C98</f>
        <v>0</v>
      </c>
      <c r="C24" s="45">
        <f>'明细分析表A5-4-2'!D98</f>
        <v>0</v>
      </c>
      <c r="D24" s="45">
        <f>'明细分析表A5-4-2'!E98</f>
        <v>0</v>
      </c>
      <c r="E24" s="127">
        <f>'明细分析表A5-4-2'!F98</f>
        <v>0</v>
      </c>
      <c r="F24" s="45">
        <f>'明细分析表A5-4-2'!J98</f>
        <v>0</v>
      </c>
      <c r="G24" s="45">
        <f>'明细分析表A5-4-2'!K98</f>
        <v>0</v>
      </c>
      <c r="H24" s="45">
        <f>'明细分析表A5-4-2'!L98</f>
        <v>0</v>
      </c>
      <c r="I24" s="45">
        <f>'明细分析表A5-4-2'!M98</f>
        <v>0</v>
      </c>
      <c r="J24" s="95">
        <f t="shared" si="8"/>
        <v>0</v>
      </c>
      <c r="K24" s="96">
        <f>ROUND(IF(AND(B24=0,F24=0),0,IF(AND(B24=0,F24&gt;0),1,J24/F24)),4)</f>
        <v>0</v>
      </c>
      <c r="L24" s="95">
        <f t="shared" si="10"/>
        <v>0</v>
      </c>
      <c r="M24" s="96">
        <f t="shared" si="11"/>
        <v>0</v>
      </c>
      <c r="N24" s="37"/>
      <c r="O24" s="37"/>
    </row>
    <row r="25" spans="1:15" ht="20.100000000000001" customHeight="1">
      <c r="A25" s="36" t="s">
        <v>103</v>
      </c>
      <c r="B25" s="45">
        <f>'明细分析表A5-4-2'!C104</f>
        <v>0</v>
      </c>
      <c r="C25" s="45">
        <f>'明细分析表A5-4-2'!D104</f>
        <v>0</v>
      </c>
      <c r="D25" s="45">
        <f>'明细分析表A5-4-2'!E104</f>
        <v>0</v>
      </c>
      <c r="E25" s="127">
        <f>'明细分析表A5-4-2'!F104</f>
        <v>0</v>
      </c>
      <c r="F25" s="45">
        <f>'明细分析表A5-4-2'!J104</f>
        <v>0</v>
      </c>
      <c r="G25" s="45">
        <f>'明细分析表A5-4-2'!K104</f>
        <v>0</v>
      </c>
      <c r="H25" s="45">
        <f>'明细分析表A5-4-2'!L104</f>
        <v>0</v>
      </c>
      <c r="I25" s="45">
        <f>'明细分析表A5-4-2'!M104</f>
        <v>0</v>
      </c>
      <c r="J25" s="95">
        <f t="shared" si="8"/>
        <v>0</v>
      </c>
      <c r="K25" s="96">
        <f t="shared" si="9"/>
        <v>0</v>
      </c>
      <c r="L25" s="95">
        <f t="shared" si="10"/>
        <v>0</v>
      </c>
      <c r="M25" s="96">
        <f t="shared" si="11"/>
        <v>0</v>
      </c>
      <c r="N25" s="37"/>
      <c r="O25" s="37"/>
    </row>
    <row r="26" spans="1:15" ht="20.100000000000001" customHeight="1">
      <c r="A26" s="38" t="s">
        <v>52</v>
      </c>
      <c r="B26" s="39"/>
      <c r="C26" s="39"/>
      <c r="D26" s="39"/>
      <c r="E26" s="39"/>
      <c r="F26" s="33"/>
      <c r="G26" s="39"/>
      <c r="H26" s="39"/>
      <c r="I26" s="40"/>
      <c r="J26" s="40"/>
      <c r="K26" s="40"/>
      <c r="L26" s="40"/>
      <c r="M26" s="40"/>
      <c r="N26" s="40"/>
      <c r="O26" s="40"/>
    </row>
    <row r="27" spans="1:15" ht="20.100000000000001" customHeight="1">
      <c r="A27" s="5" t="s">
        <v>188</v>
      </c>
      <c r="B27" s="3"/>
      <c r="C27" s="3"/>
      <c r="D27" s="3"/>
      <c r="E27" s="3"/>
      <c r="F27" s="33"/>
      <c r="G27" s="3"/>
      <c r="H27" s="3"/>
    </row>
    <row r="28" spans="1:15" ht="20.100000000000001" customHeight="1">
      <c r="A28" s="3"/>
      <c r="B28" s="3"/>
      <c r="C28" s="3"/>
      <c r="D28" s="3"/>
      <c r="E28" s="3"/>
      <c r="F28" s="33"/>
      <c r="G28" s="3"/>
      <c r="H28" s="3"/>
    </row>
    <row r="29" spans="1:15" ht="20.100000000000001" customHeight="1">
      <c r="A29" s="41"/>
      <c r="B29" s="3"/>
      <c r="C29" s="3"/>
      <c r="D29" s="3"/>
      <c r="E29" s="3"/>
      <c r="F29" s="33"/>
      <c r="G29" s="3"/>
      <c r="H29" s="3"/>
    </row>
    <row r="30" spans="1:15" ht="20.100000000000001" customHeight="1">
      <c r="A30" s="143" t="s">
        <v>187</v>
      </c>
      <c r="B30" s="3"/>
      <c r="C30" s="3"/>
      <c r="D30" s="3"/>
      <c r="E30" s="3"/>
      <c r="F30" s="33"/>
      <c r="G30" s="3"/>
      <c r="H30" s="3"/>
    </row>
    <row r="31" spans="1:15" ht="20.100000000000001" customHeight="1">
      <c r="A31" s="3"/>
      <c r="B31" s="3"/>
      <c r="C31" s="3"/>
      <c r="D31" s="3"/>
      <c r="E31" s="3"/>
      <c r="F31" s="33"/>
      <c r="G31" s="3"/>
      <c r="H31" s="3"/>
    </row>
    <row r="32" spans="1:15" ht="20.100000000000001" customHeight="1">
      <c r="A32" s="3"/>
      <c r="B32" s="3"/>
      <c r="C32" s="3"/>
      <c r="D32" s="3"/>
      <c r="E32" s="3"/>
      <c r="F32" s="33"/>
      <c r="G32" s="3"/>
      <c r="H32" s="3"/>
    </row>
    <row r="33" spans="1:8" ht="20.100000000000001" customHeight="1">
      <c r="A33" s="42" t="s">
        <v>53</v>
      </c>
      <c r="B33" s="5"/>
      <c r="C33" s="5"/>
      <c r="D33" s="5"/>
      <c r="E33" s="5"/>
      <c r="F33" s="33"/>
      <c r="G33" s="5"/>
      <c r="H33" s="5"/>
    </row>
    <row r="34" spans="1:8" ht="20.100000000000001" customHeight="1">
      <c r="A34" s="42"/>
      <c r="B34" s="5"/>
      <c r="C34" s="5"/>
      <c r="D34" s="5"/>
      <c r="E34" s="5"/>
      <c r="F34" s="5"/>
      <c r="G34" s="5"/>
      <c r="H34" s="5"/>
    </row>
    <row r="35" spans="1:8" ht="20.100000000000001" customHeight="1">
      <c r="A35" s="42"/>
      <c r="B35" s="5"/>
      <c r="C35" s="5"/>
      <c r="D35" s="5"/>
      <c r="E35" s="5"/>
      <c r="F35" s="5"/>
      <c r="G35" s="5"/>
      <c r="H35" s="5"/>
    </row>
    <row r="36" spans="1:8" ht="20.100000000000001" customHeight="1">
      <c r="A36" s="43" t="s">
        <v>3</v>
      </c>
      <c r="B36" s="5"/>
      <c r="C36" s="5"/>
      <c r="D36" s="5"/>
      <c r="E36" s="5"/>
      <c r="F36" s="5"/>
      <c r="G36" s="5"/>
      <c r="H36" s="5"/>
    </row>
  </sheetData>
  <mergeCells count="9">
    <mergeCell ref="A1:O1"/>
    <mergeCell ref="A2:O2"/>
    <mergeCell ref="O5:O6"/>
    <mergeCell ref="N5:N6"/>
    <mergeCell ref="A5:A6"/>
    <mergeCell ref="B5:E5"/>
    <mergeCell ref="F5:I5"/>
    <mergeCell ref="J5:K5"/>
    <mergeCell ref="L5:M5"/>
  </mergeCells>
  <phoneticPr fontId="3" type="noConversion"/>
  <printOptions horizontalCentered="1"/>
  <pageMargins left="0.98425196850393704" right="0.35433070866141736" top="0.74803149606299213" bottom="0.6692913385826772" header="0.51181102362204722" footer="0.39370078740157483"/>
  <pageSetup paperSize="9" scale="72" fitToHeight="0" orientation="landscape" blackAndWhite="1" r:id="rId1"/>
  <headerFooter alignWithMargins="0">
    <oddFooter>第 &amp;P 页，共 &amp;N 页</oddFooter>
  </headerFooter>
</worksheet>
</file>

<file path=xl/worksheets/sheet3.xml><?xml version="1.0" encoding="utf-8"?>
<worksheet xmlns="http://schemas.openxmlformats.org/spreadsheetml/2006/main" xmlns:r="http://schemas.openxmlformats.org/officeDocument/2006/relationships">
  <sheetPr codeName="Sheet3"/>
  <dimension ref="A1:E52"/>
  <sheetViews>
    <sheetView view="pageBreakPreview" zoomScaleNormal="130" zoomScaleSheetLayoutView="100" workbookViewId="0">
      <selection activeCell="A26" sqref="A26:D26"/>
    </sheetView>
  </sheetViews>
  <sheetFormatPr defaultRowHeight="12"/>
  <cols>
    <col min="1" max="1" width="50.25" style="14" customWidth="1"/>
    <col min="2" max="2" width="17.375" style="14" customWidth="1"/>
    <col min="3" max="3" width="15.5" style="14" customWidth="1"/>
    <col min="4" max="4" width="17.125" style="14" customWidth="1"/>
    <col min="5" max="5" width="11.125" style="14" customWidth="1"/>
    <col min="6" max="16384" width="9" style="14"/>
  </cols>
  <sheetData>
    <row r="1" spans="1:5" s="7" customFormat="1" ht="20.100000000000001" customHeight="1">
      <c r="A1" s="184" t="s">
        <v>0</v>
      </c>
      <c r="B1" s="184"/>
      <c r="C1" s="184"/>
      <c r="D1" s="184"/>
    </row>
    <row r="2" spans="1:5" s="8" customFormat="1" ht="24.95" customHeight="1">
      <c r="A2" s="185" t="s">
        <v>4</v>
      </c>
      <c r="B2" s="185"/>
      <c r="C2" s="185"/>
      <c r="D2" s="185"/>
    </row>
    <row r="3" spans="1:5" s="9" customFormat="1" ht="20.100000000000001" customHeight="1">
      <c r="A3" s="1" t="str">
        <f>表头!A2</f>
        <v>客户名称：</v>
      </c>
      <c r="B3" s="3" t="str">
        <f>表头!A4</f>
        <v>编制人：</v>
      </c>
      <c r="C3" s="47" t="str">
        <f>表头!A5</f>
        <v>日期：</v>
      </c>
      <c r="D3" s="169" t="s">
        <v>268</v>
      </c>
      <c r="E3" s="1"/>
    </row>
    <row r="4" spans="1:5" s="9" customFormat="1" ht="20.100000000000001" customHeight="1">
      <c r="A4" s="1" t="str">
        <f>表头!A3</f>
        <v>会计期间：201X年度</v>
      </c>
      <c r="B4" s="3" t="s">
        <v>1</v>
      </c>
      <c r="C4" s="47" t="s">
        <v>2</v>
      </c>
      <c r="D4" s="14" t="s">
        <v>8</v>
      </c>
      <c r="E4" s="1"/>
    </row>
    <row r="5" spans="1:5" s="22" customFormat="1" ht="20.100000000000001" customHeight="1">
      <c r="A5" s="48" t="s">
        <v>5</v>
      </c>
      <c r="B5" s="48"/>
      <c r="C5" s="48"/>
      <c r="D5" s="48"/>
    </row>
    <row r="6" spans="1:5" s="22" customFormat="1" ht="20.100000000000001" customHeight="1" thickBot="1">
      <c r="A6" s="23" t="s">
        <v>105</v>
      </c>
      <c r="B6" s="49"/>
      <c r="C6" s="49"/>
      <c r="D6" s="48"/>
    </row>
    <row r="7" spans="1:5" s="22" customFormat="1" ht="20.100000000000001" customHeight="1" thickBot="1">
      <c r="A7" s="97" t="s">
        <v>154</v>
      </c>
      <c r="B7" s="50" t="s">
        <v>108</v>
      </c>
      <c r="C7" s="50" t="s">
        <v>107</v>
      </c>
    </row>
    <row r="8" spans="1:5" s="22" customFormat="1" ht="20.100000000000001" customHeight="1">
      <c r="A8" s="23" t="s">
        <v>93</v>
      </c>
      <c r="B8" s="51">
        <f>'审定表A5-4'!E11</f>
        <v>0</v>
      </c>
      <c r="C8" s="146">
        <f>'审定表A5-4'!I11</f>
        <v>0</v>
      </c>
    </row>
    <row r="9" spans="1:5" s="22" customFormat="1" ht="20.100000000000001" customHeight="1">
      <c r="A9" s="23" t="s">
        <v>207</v>
      </c>
      <c r="B9" s="51">
        <f>'审定表A5-4'!E12</f>
        <v>0</v>
      </c>
      <c r="C9" s="145">
        <f>'审定表A5-4'!I12</f>
        <v>0</v>
      </c>
    </row>
    <row r="10" spans="1:5" s="22" customFormat="1" ht="20.100000000000001" customHeight="1">
      <c r="A10" s="23" t="s">
        <v>94</v>
      </c>
      <c r="B10" s="51">
        <f>'审定表A5-4'!E13</f>
        <v>0</v>
      </c>
      <c r="C10" s="145">
        <f>'审定表A5-4'!I13</f>
        <v>0</v>
      </c>
    </row>
    <row r="11" spans="1:5" s="22" customFormat="1" ht="20.100000000000001" customHeight="1">
      <c r="A11" s="23" t="s">
        <v>206</v>
      </c>
      <c r="B11" s="51">
        <f>'审定表A5-4'!E14</f>
        <v>0</v>
      </c>
      <c r="C11" s="145">
        <f>'审定表A5-4'!I14</f>
        <v>0</v>
      </c>
    </row>
    <row r="12" spans="1:5" s="22" customFormat="1" ht="20.100000000000001" customHeight="1">
      <c r="A12" s="23" t="s">
        <v>95</v>
      </c>
      <c r="B12" s="51">
        <f>B10-B11</f>
        <v>0</v>
      </c>
      <c r="C12" s="145">
        <f>C10-C11</f>
        <v>0</v>
      </c>
    </row>
    <row r="13" spans="1:5" s="22" customFormat="1" ht="20.100000000000001" customHeight="1">
      <c r="A13" s="23" t="s">
        <v>96</v>
      </c>
      <c r="B13" s="51">
        <f>'审定表A5-4'!E16</f>
        <v>0</v>
      </c>
      <c r="C13" s="145">
        <f>'审定表A5-4'!I16</f>
        <v>0</v>
      </c>
    </row>
    <row r="14" spans="1:5" s="22" customFormat="1" ht="20.100000000000001" customHeight="1">
      <c r="A14" s="23" t="s">
        <v>97</v>
      </c>
      <c r="B14" s="51">
        <f>'审定表A5-4'!E17</f>
        <v>0</v>
      </c>
      <c r="C14" s="145">
        <f>'审定表A5-4'!I17</f>
        <v>0</v>
      </c>
    </row>
    <row r="15" spans="1:5" s="22" customFormat="1" ht="20.100000000000001" customHeight="1">
      <c r="A15" s="23" t="s">
        <v>98</v>
      </c>
      <c r="B15" s="51">
        <f>'审定表A5-4'!E18</f>
        <v>0</v>
      </c>
      <c r="C15" s="145">
        <f>'审定表A5-4'!I18</f>
        <v>0</v>
      </c>
    </row>
    <row r="16" spans="1:5" s="22" customFormat="1" ht="20.100000000000001" customHeight="1">
      <c r="A16" s="23" t="s">
        <v>99</v>
      </c>
      <c r="B16" s="51">
        <f>B14-B15</f>
        <v>0</v>
      </c>
      <c r="C16" s="145">
        <f>C14-C15</f>
        <v>0</v>
      </c>
    </row>
    <row r="17" spans="1:4" s="22" customFormat="1" ht="20.100000000000001" customHeight="1">
      <c r="A17" s="23" t="s">
        <v>100</v>
      </c>
      <c r="B17" s="51">
        <f>B12+B13+B16</f>
        <v>0</v>
      </c>
      <c r="C17" s="145">
        <f>C12+C13+C16</f>
        <v>0</v>
      </c>
    </row>
    <row r="18" spans="1:4" s="22" customFormat="1" ht="20.100000000000001" customHeight="1">
      <c r="A18" s="23" t="s">
        <v>208</v>
      </c>
      <c r="B18" s="145">
        <f>'审定表A5-4'!E21</f>
        <v>0</v>
      </c>
      <c r="C18" s="145">
        <f>'审定表A5-4'!I21</f>
        <v>0</v>
      </c>
    </row>
    <row r="19" spans="1:4" s="22" customFormat="1" ht="20.100000000000001" customHeight="1">
      <c r="A19" s="23" t="s">
        <v>209</v>
      </c>
      <c r="B19" s="145">
        <f>'审定表A5-4'!E22</f>
        <v>0</v>
      </c>
      <c r="C19" s="145">
        <f>'审定表A5-4'!I22</f>
        <v>0</v>
      </c>
    </row>
    <row r="20" spans="1:4" s="22" customFormat="1" ht="20.100000000000001" customHeight="1">
      <c r="A20" s="23" t="s">
        <v>101</v>
      </c>
      <c r="B20" s="145">
        <f>'审定表A5-4'!E23</f>
        <v>0</v>
      </c>
      <c r="C20" s="145">
        <f>'审定表A5-4'!I23</f>
        <v>0</v>
      </c>
    </row>
    <row r="21" spans="1:4" s="22" customFormat="1" ht="20.100000000000001" customHeight="1">
      <c r="A21" s="23" t="s">
        <v>102</v>
      </c>
      <c r="B21" s="145">
        <f>'审定表A5-4'!E24</f>
        <v>0</v>
      </c>
      <c r="C21" s="145">
        <f>'审定表A5-4'!I24</f>
        <v>0</v>
      </c>
    </row>
    <row r="22" spans="1:4" s="22" customFormat="1" ht="20.100000000000001" customHeight="1" thickBot="1">
      <c r="A22" s="104" t="s">
        <v>103</v>
      </c>
      <c r="B22" s="105">
        <f>'审定表A5-4'!E25</f>
        <v>0</v>
      </c>
      <c r="C22" s="105">
        <f>'审定表A5-4'!I25</f>
        <v>0</v>
      </c>
    </row>
    <row r="23" spans="1:4" ht="20.100000000000001" customHeight="1">
      <c r="A23" s="21" t="s">
        <v>9</v>
      </c>
      <c r="B23" s="49"/>
      <c r="C23" s="48"/>
    </row>
    <row r="24" spans="1:4" ht="20.100000000000001" customHeight="1">
      <c r="A24" s="186" t="s">
        <v>104</v>
      </c>
      <c r="B24" s="186"/>
      <c r="C24" s="186"/>
      <c r="D24" s="186"/>
    </row>
    <row r="25" spans="1:4" ht="15.75">
      <c r="A25" s="187" t="s">
        <v>109</v>
      </c>
      <c r="B25" s="187"/>
      <c r="C25" s="187"/>
      <c r="D25" s="187"/>
    </row>
    <row r="26" spans="1:4" ht="30.75" customHeight="1">
      <c r="A26" s="183" t="s">
        <v>110</v>
      </c>
      <c r="B26" s="183"/>
      <c r="C26" s="183"/>
      <c r="D26" s="183"/>
    </row>
    <row r="27" spans="1:4" ht="14.25">
      <c r="A27" s="183" t="s">
        <v>111</v>
      </c>
      <c r="B27" s="183"/>
      <c r="C27" s="183"/>
      <c r="D27" s="183"/>
    </row>
    <row r="28" spans="1:4" ht="29.25" customHeight="1">
      <c r="A28" s="183" t="s">
        <v>162</v>
      </c>
      <c r="B28" s="183"/>
      <c r="C28" s="183"/>
      <c r="D28" s="183"/>
    </row>
    <row r="29" spans="1:4" ht="63.75" customHeight="1">
      <c r="A29" s="183" t="s">
        <v>112</v>
      </c>
      <c r="B29" s="183"/>
      <c r="C29" s="183"/>
      <c r="D29" s="183"/>
    </row>
    <row r="30" spans="1:4" ht="27.75" customHeight="1">
      <c r="A30" s="183" t="s">
        <v>164</v>
      </c>
      <c r="B30" s="183"/>
      <c r="C30" s="183"/>
      <c r="D30" s="183"/>
    </row>
    <row r="31" spans="1:4" ht="14.25" customHeight="1">
      <c r="A31" s="183" t="s">
        <v>155</v>
      </c>
      <c r="B31" s="183"/>
      <c r="C31" s="183"/>
      <c r="D31" s="183"/>
    </row>
    <row r="32" spans="1:4" ht="14.25" customHeight="1">
      <c r="A32" s="183" t="s">
        <v>156</v>
      </c>
      <c r="B32" s="183"/>
      <c r="C32" s="183"/>
      <c r="D32" s="183"/>
    </row>
    <row r="33" spans="1:4" ht="14.25" customHeight="1">
      <c r="A33" s="183" t="s">
        <v>157</v>
      </c>
      <c r="B33" s="183"/>
      <c r="C33" s="183"/>
      <c r="D33" s="183"/>
    </row>
    <row r="34" spans="1:4" ht="14.25" customHeight="1">
      <c r="A34" s="183" t="s">
        <v>165</v>
      </c>
      <c r="B34" s="183"/>
      <c r="C34" s="183"/>
      <c r="D34" s="183"/>
    </row>
    <row r="35" spans="1:4" ht="14.25" customHeight="1">
      <c r="A35" s="141" t="s">
        <v>174</v>
      </c>
      <c r="B35" s="140"/>
      <c r="C35" s="140"/>
      <c r="D35" s="140"/>
    </row>
    <row r="36" spans="1:4" ht="30.75" customHeight="1">
      <c r="A36" s="183" t="s">
        <v>166</v>
      </c>
      <c r="B36" s="183"/>
      <c r="C36" s="183"/>
      <c r="D36" s="183"/>
    </row>
    <row r="37" spans="1:4" ht="28.5" customHeight="1">
      <c r="A37" s="183" t="s">
        <v>167</v>
      </c>
      <c r="B37" s="183"/>
      <c r="C37" s="183"/>
      <c r="D37" s="183"/>
    </row>
    <row r="38" spans="1:4" ht="14.25" customHeight="1">
      <c r="A38" s="183" t="s">
        <v>155</v>
      </c>
      <c r="B38" s="183"/>
      <c r="C38" s="183"/>
      <c r="D38" s="183"/>
    </row>
    <row r="39" spans="1:4" ht="14.25">
      <c r="A39" s="183" t="s">
        <v>156</v>
      </c>
      <c r="B39" s="183"/>
      <c r="C39" s="183"/>
      <c r="D39" s="183"/>
    </row>
    <row r="40" spans="1:4" ht="14.25">
      <c r="A40" s="183" t="s">
        <v>158</v>
      </c>
      <c r="B40" s="183"/>
      <c r="C40" s="183"/>
      <c r="D40" s="183"/>
    </row>
    <row r="41" spans="1:4" ht="14.25">
      <c r="A41" s="183" t="s">
        <v>159</v>
      </c>
      <c r="B41" s="183"/>
      <c r="C41" s="183"/>
      <c r="D41" s="183"/>
    </row>
    <row r="42" spans="1:4" ht="14.25">
      <c r="A42" s="183" t="s">
        <v>168</v>
      </c>
      <c r="B42" s="183"/>
      <c r="C42" s="183"/>
      <c r="D42" s="183"/>
    </row>
    <row r="43" spans="1:4" ht="28.5" customHeight="1">
      <c r="A43" s="183" t="s">
        <v>169</v>
      </c>
      <c r="B43" s="183"/>
      <c r="C43" s="183"/>
      <c r="D43" s="183"/>
    </row>
    <row r="44" spans="1:4" ht="14.25">
      <c r="A44" s="183" t="s">
        <v>160</v>
      </c>
      <c r="B44" s="183"/>
      <c r="C44" s="183"/>
      <c r="D44" s="183"/>
    </row>
    <row r="45" spans="1:4" ht="14.25">
      <c r="A45" s="183" t="s">
        <v>161</v>
      </c>
      <c r="B45" s="183"/>
      <c r="C45" s="183"/>
      <c r="D45" s="183"/>
    </row>
    <row r="46" spans="1:4" ht="14.25">
      <c r="A46" s="183" t="s">
        <v>170</v>
      </c>
      <c r="B46" s="183"/>
      <c r="C46" s="183"/>
      <c r="D46" s="183"/>
    </row>
    <row r="47" spans="1:4" ht="75.75" customHeight="1">
      <c r="A47" s="183" t="s">
        <v>171</v>
      </c>
      <c r="B47" s="183"/>
      <c r="C47" s="183"/>
      <c r="D47" s="183"/>
    </row>
    <row r="48" spans="1:4" ht="14.25">
      <c r="A48" s="183" t="s">
        <v>163</v>
      </c>
      <c r="B48" s="183"/>
      <c r="C48" s="183"/>
      <c r="D48" s="183"/>
    </row>
    <row r="49" spans="1:4" ht="14.25">
      <c r="A49" s="183" t="s">
        <v>172</v>
      </c>
      <c r="B49" s="183"/>
      <c r="C49" s="183"/>
      <c r="D49" s="183"/>
    </row>
    <row r="50" spans="1:4" ht="30" customHeight="1">
      <c r="A50" s="183" t="s">
        <v>173</v>
      </c>
      <c r="B50" s="183"/>
      <c r="C50" s="183"/>
      <c r="D50" s="183"/>
    </row>
    <row r="51" spans="1:4" ht="14.25">
      <c r="A51" s="183"/>
      <c r="B51" s="183"/>
      <c r="C51" s="183"/>
      <c r="D51" s="183"/>
    </row>
    <row r="52" spans="1:4" ht="14.25">
      <c r="A52" s="183"/>
      <c r="B52" s="183"/>
      <c r="C52" s="183"/>
      <c r="D52" s="183"/>
    </row>
  </sheetData>
  <mergeCells count="30">
    <mergeCell ref="A27:D27"/>
    <mergeCell ref="A28:D28"/>
    <mergeCell ref="A29:D29"/>
    <mergeCell ref="A30:D30"/>
    <mergeCell ref="A1:D1"/>
    <mergeCell ref="A2:D2"/>
    <mergeCell ref="A24:D24"/>
    <mergeCell ref="A25:D25"/>
    <mergeCell ref="A26:D26"/>
    <mergeCell ref="A31:D31"/>
    <mergeCell ref="A32:D32"/>
    <mergeCell ref="A33:D33"/>
    <mergeCell ref="A34:D34"/>
    <mergeCell ref="A36:D36"/>
    <mergeCell ref="A41:D41"/>
    <mergeCell ref="A42:D42"/>
    <mergeCell ref="A43:D43"/>
    <mergeCell ref="A44:D44"/>
    <mergeCell ref="A37:D37"/>
    <mergeCell ref="A38:D38"/>
    <mergeCell ref="A39:D39"/>
    <mergeCell ref="A40:D40"/>
    <mergeCell ref="A50:D50"/>
    <mergeCell ref="A51:D51"/>
    <mergeCell ref="A52:D52"/>
    <mergeCell ref="A45:D45"/>
    <mergeCell ref="A46:D46"/>
    <mergeCell ref="A47:D47"/>
    <mergeCell ref="A48:D48"/>
    <mergeCell ref="A49:D49"/>
  </mergeCells>
  <phoneticPr fontId="3" type="noConversion"/>
  <printOptions horizontalCentered="1"/>
  <pageMargins left="0.98425196850393704" right="0.74803149606299213" top="0.98425196850393704" bottom="0.98425196850393704" header="0.51181102362204722" footer="0.51181102362204722"/>
  <pageSetup paperSize="9" scale="76" fitToHeight="100" orientation="portrait" blackAndWhite="1" cellComments="atEnd" r:id="rId1"/>
  <headerFooter alignWithMargins="0"/>
</worksheet>
</file>

<file path=xl/worksheets/sheet4.xml><?xml version="1.0" encoding="utf-8"?>
<worksheet xmlns="http://schemas.openxmlformats.org/spreadsheetml/2006/main" xmlns:r="http://schemas.openxmlformats.org/officeDocument/2006/relationships">
  <sheetPr codeName="Sheet4"/>
  <dimension ref="A1:E52"/>
  <sheetViews>
    <sheetView view="pageBreakPreview" zoomScaleNormal="130" zoomScaleSheetLayoutView="100" workbookViewId="0">
      <selection activeCell="D4" sqref="D4"/>
    </sheetView>
  </sheetViews>
  <sheetFormatPr defaultRowHeight="12"/>
  <cols>
    <col min="1" max="1" width="50.25" style="14" customWidth="1"/>
    <col min="2" max="2" width="16.375" style="14" customWidth="1"/>
    <col min="3" max="3" width="15.5" style="14" customWidth="1"/>
    <col min="4" max="4" width="17.125" style="14" customWidth="1"/>
    <col min="5" max="5" width="11.125" style="14" customWidth="1"/>
    <col min="6" max="16384" width="9" style="14"/>
  </cols>
  <sheetData>
    <row r="1" spans="1:5" s="7" customFormat="1" ht="20.100000000000001" customHeight="1">
      <c r="A1" s="184" t="s">
        <v>0</v>
      </c>
      <c r="B1" s="184"/>
      <c r="C1" s="184"/>
      <c r="D1" s="184"/>
    </row>
    <row r="2" spans="1:5" s="8" customFormat="1" ht="24.95" customHeight="1">
      <c r="A2" s="185" t="s">
        <v>149</v>
      </c>
      <c r="B2" s="185"/>
      <c r="C2" s="185"/>
      <c r="D2" s="185"/>
    </row>
    <row r="3" spans="1:5" s="9" customFormat="1" ht="20.100000000000001" customHeight="1">
      <c r="A3" s="1" t="str">
        <f>表头!A2</f>
        <v>客户名称：</v>
      </c>
      <c r="B3" s="3" t="str">
        <f>表头!A4</f>
        <v>编制人：</v>
      </c>
      <c r="C3" s="47" t="str">
        <f>表头!A5</f>
        <v>日期：</v>
      </c>
      <c r="D3" s="169" t="s">
        <v>268</v>
      </c>
      <c r="E3" s="1"/>
    </row>
    <row r="4" spans="1:5" s="9" customFormat="1" ht="20.100000000000001" customHeight="1">
      <c r="A4" s="1" t="str">
        <f>表头!A3</f>
        <v>会计期间：201X年度</v>
      </c>
      <c r="B4" s="3" t="s">
        <v>1</v>
      </c>
      <c r="C4" s="47" t="s">
        <v>2</v>
      </c>
      <c r="D4" s="14" t="s">
        <v>8</v>
      </c>
      <c r="E4" s="1"/>
    </row>
    <row r="5" spans="1:5" s="22" customFormat="1" ht="20.100000000000001" customHeight="1">
      <c r="A5" s="48" t="s">
        <v>5</v>
      </c>
      <c r="B5" s="48"/>
      <c r="C5" s="48"/>
      <c r="D5" s="48"/>
    </row>
    <row r="6" spans="1:5" s="22" customFormat="1" ht="20.100000000000001" customHeight="1" thickBot="1">
      <c r="A6" s="23" t="s">
        <v>105</v>
      </c>
      <c r="B6" s="49"/>
      <c r="C6" s="49"/>
      <c r="D6" s="48"/>
    </row>
    <row r="7" spans="1:5" s="22" customFormat="1" ht="20.100000000000001" customHeight="1" thickBot="1">
      <c r="A7" s="97" t="s">
        <v>154</v>
      </c>
      <c r="B7" s="50" t="s">
        <v>108</v>
      </c>
      <c r="C7" s="50" t="s">
        <v>107</v>
      </c>
    </row>
    <row r="8" spans="1:5" s="22" customFormat="1" ht="20.100000000000001" customHeight="1">
      <c r="A8" s="23" t="s">
        <v>189</v>
      </c>
      <c r="B8" s="51"/>
      <c r="C8" s="51"/>
    </row>
    <row r="9" spans="1:5" s="22" customFormat="1" ht="20.100000000000001" customHeight="1">
      <c r="A9" s="23" t="s">
        <v>190</v>
      </c>
      <c r="B9" s="51"/>
      <c r="C9" s="51"/>
    </row>
    <row r="10" spans="1:5" s="22" customFormat="1" ht="20.100000000000001" customHeight="1">
      <c r="A10" s="144" t="s">
        <v>203</v>
      </c>
      <c r="B10" s="51"/>
      <c r="C10" s="51"/>
    </row>
    <row r="11" spans="1:5" s="22" customFormat="1" ht="20.100000000000001" customHeight="1">
      <c r="A11" s="23" t="s">
        <v>191</v>
      </c>
      <c r="B11" s="51"/>
      <c r="C11" s="51"/>
    </row>
    <row r="12" spans="1:5" s="22" customFormat="1" ht="20.100000000000001" customHeight="1">
      <c r="A12" s="23" t="s">
        <v>192</v>
      </c>
      <c r="B12" s="51"/>
      <c r="C12" s="51"/>
    </row>
    <row r="13" spans="1:5" s="22" customFormat="1" ht="20.100000000000001" customHeight="1">
      <c r="A13" s="23" t="s">
        <v>193</v>
      </c>
      <c r="B13" s="51"/>
      <c r="C13" s="51"/>
    </row>
    <row r="14" spans="1:5" s="22" customFormat="1" ht="20.100000000000001" customHeight="1">
      <c r="A14" s="23" t="s">
        <v>194</v>
      </c>
      <c r="B14" s="51"/>
      <c r="C14" s="51"/>
    </row>
    <row r="15" spans="1:5" s="22" customFormat="1" ht="20.100000000000001" customHeight="1">
      <c r="A15" s="23" t="s">
        <v>195</v>
      </c>
      <c r="B15" s="51"/>
      <c r="C15" s="51"/>
    </row>
    <row r="16" spans="1:5" s="22" customFormat="1" ht="20.100000000000001" customHeight="1">
      <c r="A16" s="23" t="s">
        <v>196</v>
      </c>
      <c r="B16" s="51"/>
      <c r="C16" s="51"/>
    </row>
    <row r="17" spans="1:5" s="22" customFormat="1" ht="20.100000000000001" customHeight="1">
      <c r="A17" s="23" t="s">
        <v>197</v>
      </c>
      <c r="B17" s="51"/>
      <c r="C17" s="51"/>
    </row>
    <row r="18" spans="1:5" s="22" customFormat="1" ht="20.100000000000001" customHeight="1">
      <c r="A18" s="23" t="s">
        <v>198</v>
      </c>
      <c r="B18" s="51"/>
      <c r="C18" s="51"/>
    </row>
    <row r="19" spans="1:5" s="22" customFormat="1" ht="20.100000000000001" customHeight="1">
      <c r="A19" s="23" t="s">
        <v>199</v>
      </c>
      <c r="B19" s="51"/>
      <c r="C19" s="51"/>
    </row>
    <row r="20" spans="1:5" s="22" customFormat="1" ht="20.100000000000001" customHeight="1">
      <c r="A20" s="23" t="s">
        <v>200</v>
      </c>
      <c r="B20" s="51"/>
      <c r="C20" s="51"/>
    </row>
    <row r="21" spans="1:5" s="22" customFormat="1" ht="20.100000000000001" customHeight="1">
      <c r="A21" s="23" t="s">
        <v>201</v>
      </c>
      <c r="B21" s="51"/>
      <c r="C21" s="51"/>
    </row>
    <row r="22" spans="1:5" s="22" customFormat="1" ht="20.100000000000001" customHeight="1" thickBot="1">
      <c r="A22" s="104" t="s">
        <v>202</v>
      </c>
      <c r="B22" s="105"/>
      <c r="C22" s="105"/>
    </row>
    <row r="23" spans="1:5" ht="20.100000000000001" customHeight="1">
      <c r="A23" s="21" t="s">
        <v>9</v>
      </c>
      <c r="B23" s="49"/>
      <c r="C23" s="48"/>
    </row>
    <row r="24" spans="1:5" ht="20.100000000000001" customHeight="1">
      <c r="A24" s="183" t="s">
        <v>204</v>
      </c>
      <c r="B24" s="183"/>
      <c r="C24" s="183"/>
      <c r="D24" s="183"/>
    </row>
    <row r="25" spans="1:5" ht="21" customHeight="1">
      <c r="A25" s="188" t="s">
        <v>205</v>
      </c>
      <c r="B25" s="189"/>
      <c r="C25" s="189"/>
      <c r="D25" s="189"/>
      <c r="E25" s="189"/>
    </row>
    <row r="26" spans="1:5" ht="30.75" customHeight="1">
      <c r="A26" s="183"/>
      <c r="B26" s="183"/>
      <c r="C26" s="183"/>
      <c r="D26" s="183"/>
    </row>
    <row r="27" spans="1:5" ht="14.25">
      <c r="A27" s="183"/>
      <c r="B27" s="183"/>
      <c r="C27" s="183"/>
      <c r="D27" s="183"/>
    </row>
    <row r="28" spans="1:5" ht="29.25" customHeight="1">
      <c r="A28" s="183"/>
      <c r="B28" s="183"/>
      <c r="C28" s="183"/>
      <c r="D28" s="183"/>
    </row>
    <row r="29" spans="1:5" ht="63.75" customHeight="1">
      <c r="A29" s="183"/>
      <c r="B29" s="183"/>
      <c r="C29" s="183"/>
      <c r="D29" s="183"/>
    </row>
    <row r="30" spans="1:5" ht="27.75" customHeight="1">
      <c r="A30" s="183"/>
      <c r="B30" s="183"/>
      <c r="C30" s="183"/>
      <c r="D30" s="183"/>
    </row>
    <row r="31" spans="1:5" ht="14.25" customHeight="1">
      <c r="A31" s="183"/>
      <c r="B31" s="183"/>
      <c r="C31" s="183"/>
      <c r="D31" s="183"/>
    </row>
    <row r="32" spans="1:5" ht="14.25" customHeight="1">
      <c r="A32" s="183"/>
      <c r="B32" s="183"/>
      <c r="C32" s="183"/>
      <c r="D32" s="183"/>
    </row>
    <row r="33" spans="1:4" ht="14.25" customHeight="1">
      <c r="A33" s="183"/>
      <c r="B33" s="183"/>
      <c r="C33" s="183"/>
      <c r="D33" s="183"/>
    </row>
    <row r="34" spans="1:4" ht="14.25" customHeight="1">
      <c r="A34" s="183"/>
      <c r="B34" s="183"/>
      <c r="C34" s="183"/>
      <c r="D34" s="183"/>
    </row>
    <row r="35" spans="1:4" ht="14.25" customHeight="1">
      <c r="A35" s="141"/>
      <c r="B35" s="140"/>
      <c r="C35" s="140"/>
      <c r="D35" s="140"/>
    </row>
    <row r="36" spans="1:4" ht="30.75" customHeight="1">
      <c r="A36" s="183"/>
      <c r="B36" s="183"/>
      <c r="C36" s="183"/>
      <c r="D36" s="183"/>
    </row>
    <row r="37" spans="1:4" ht="28.5" customHeight="1">
      <c r="A37" s="183"/>
      <c r="B37" s="183"/>
      <c r="C37" s="183"/>
      <c r="D37" s="183"/>
    </row>
    <row r="38" spans="1:4" ht="14.25" customHeight="1">
      <c r="A38" s="183"/>
      <c r="B38" s="183"/>
      <c r="C38" s="183"/>
      <c r="D38" s="183"/>
    </row>
    <row r="39" spans="1:4" ht="14.25">
      <c r="A39" s="183"/>
      <c r="B39" s="183"/>
      <c r="C39" s="183"/>
      <c r="D39" s="183"/>
    </row>
    <row r="40" spans="1:4" ht="14.25">
      <c r="A40" s="183"/>
      <c r="B40" s="183"/>
      <c r="C40" s="183"/>
      <c r="D40" s="183"/>
    </row>
    <row r="41" spans="1:4" ht="14.25">
      <c r="A41" s="183"/>
      <c r="B41" s="183"/>
      <c r="C41" s="183"/>
      <c r="D41" s="183"/>
    </row>
    <row r="42" spans="1:4" ht="14.25">
      <c r="A42" s="183"/>
      <c r="B42" s="183"/>
      <c r="C42" s="183"/>
      <c r="D42" s="183"/>
    </row>
    <row r="43" spans="1:4" ht="28.5" customHeight="1">
      <c r="A43" s="183"/>
      <c r="B43" s="183"/>
      <c r="C43" s="183"/>
      <c r="D43" s="183"/>
    </row>
    <row r="44" spans="1:4" ht="14.25">
      <c r="A44" s="183"/>
      <c r="B44" s="183"/>
      <c r="C44" s="183"/>
      <c r="D44" s="183"/>
    </row>
    <row r="45" spans="1:4" ht="14.25">
      <c r="A45" s="183"/>
      <c r="B45" s="183"/>
      <c r="C45" s="183"/>
      <c r="D45" s="183"/>
    </row>
    <row r="46" spans="1:4" ht="14.25">
      <c r="A46" s="183"/>
      <c r="B46" s="183"/>
      <c r="C46" s="183"/>
      <c r="D46" s="183"/>
    </row>
    <row r="47" spans="1:4" ht="75.75" customHeight="1">
      <c r="A47" s="183"/>
      <c r="B47" s="183"/>
      <c r="C47" s="183"/>
      <c r="D47" s="183"/>
    </row>
    <row r="48" spans="1:4" ht="14.25">
      <c r="A48" s="183"/>
      <c r="B48" s="183"/>
      <c r="C48" s="183"/>
      <c r="D48" s="183"/>
    </row>
    <row r="49" spans="1:4" ht="14.25">
      <c r="A49" s="183"/>
      <c r="B49" s="183"/>
      <c r="C49" s="183"/>
      <c r="D49" s="183"/>
    </row>
    <row r="50" spans="1:4" ht="30" customHeight="1">
      <c r="A50" s="183"/>
      <c r="B50" s="183"/>
      <c r="C50" s="183"/>
      <c r="D50" s="183"/>
    </row>
    <row r="51" spans="1:4" ht="14.25">
      <c r="A51" s="183"/>
      <c r="B51" s="183"/>
      <c r="C51" s="183"/>
      <c r="D51" s="183"/>
    </row>
    <row r="52" spans="1:4" ht="14.25">
      <c r="A52" s="183"/>
      <c r="B52" s="183"/>
      <c r="C52" s="183"/>
      <c r="D52" s="183"/>
    </row>
  </sheetData>
  <mergeCells count="30">
    <mergeCell ref="A1:D1"/>
    <mergeCell ref="A2:D2"/>
    <mergeCell ref="A24:D24"/>
    <mergeCell ref="A26:D26"/>
    <mergeCell ref="A27:D27"/>
    <mergeCell ref="A25:E25"/>
    <mergeCell ref="A40:D40"/>
    <mergeCell ref="A28:D28"/>
    <mergeCell ref="A29:D29"/>
    <mergeCell ref="A30:D30"/>
    <mergeCell ref="A31:D31"/>
    <mergeCell ref="A32:D32"/>
    <mergeCell ref="A33:D33"/>
    <mergeCell ref="A34:D34"/>
    <mergeCell ref="A36:D36"/>
    <mergeCell ref="A37:D37"/>
    <mergeCell ref="A38:D38"/>
    <mergeCell ref="A39:D39"/>
    <mergeCell ref="A52:D52"/>
    <mergeCell ref="A41:D41"/>
    <mergeCell ref="A42:D42"/>
    <mergeCell ref="A43:D43"/>
    <mergeCell ref="A44:D44"/>
    <mergeCell ref="A45:D45"/>
    <mergeCell ref="A46:D46"/>
    <mergeCell ref="A47:D47"/>
    <mergeCell ref="A48:D48"/>
    <mergeCell ref="A49:D49"/>
    <mergeCell ref="A50:D50"/>
    <mergeCell ref="A51:D51"/>
  </mergeCells>
  <phoneticPr fontId="3" type="noConversion"/>
  <printOptions horizontalCentered="1"/>
  <pageMargins left="0.98425196850393704" right="0.74803149606299213" top="0.98425196850393704" bottom="0.98425196850393704" header="0.51181102362204722" footer="0.51181102362204722"/>
  <pageSetup paperSize="9" scale="76" fitToHeight="10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sheetPr codeName="Sheet5">
    <pageSetUpPr fitToPage="1"/>
  </sheetPr>
  <dimension ref="A1:O121"/>
  <sheetViews>
    <sheetView view="pageBreakPreview" topLeftCell="A10" zoomScaleNormal="100" zoomScaleSheetLayoutView="100" workbookViewId="0">
      <selection activeCell="M10" sqref="M10"/>
    </sheetView>
  </sheetViews>
  <sheetFormatPr defaultRowHeight="12.75"/>
  <cols>
    <col min="1" max="1" width="3.25" style="9" customWidth="1"/>
    <col min="2" max="2" width="42.625" style="110" customWidth="1"/>
    <col min="3" max="5" width="10.25" style="9" customWidth="1"/>
    <col min="6" max="6" width="12.625" style="9" customWidth="1"/>
    <col min="7" max="7" width="10.25" style="9" customWidth="1"/>
    <col min="8" max="8" width="2.625" style="9" hidden="1" customWidth="1"/>
    <col min="9" max="9" width="38.375" style="9" customWidth="1"/>
    <col min="10" max="14" width="11.5" style="9" customWidth="1"/>
    <col min="15" max="16384" width="9" style="9"/>
  </cols>
  <sheetData>
    <row r="1" spans="1:15" s="11" customFormat="1" ht="20.100000000000001" customHeight="1">
      <c r="A1" s="194" t="s">
        <v>10</v>
      </c>
      <c r="B1" s="194"/>
      <c r="C1" s="194"/>
      <c r="D1" s="194"/>
      <c r="E1" s="194"/>
      <c r="F1" s="194"/>
      <c r="G1" s="194"/>
      <c r="H1" s="194"/>
      <c r="I1" s="194"/>
      <c r="J1" s="194"/>
      <c r="K1" s="194"/>
      <c r="L1" s="194"/>
      <c r="M1" s="194"/>
      <c r="N1" s="194"/>
      <c r="O1" s="194"/>
    </row>
    <row r="2" spans="1:15" s="12" customFormat="1" ht="24.95" customHeight="1">
      <c r="A2" s="195" t="s">
        <v>151</v>
      </c>
      <c r="B2" s="195"/>
      <c r="C2" s="195"/>
      <c r="D2" s="195"/>
      <c r="E2" s="195"/>
      <c r="F2" s="195"/>
      <c r="G2" s="195"/>
      <c r="H2" s="195"/>
      <c r="I2" s="195"/>
      <c r="J2" s="195"/>
      <c r="K2" s="195"/>
      <c r="L2" s="195"/>
      <c r="M2" s="195"/>
      <c r="N2" s="195"/>
      <c r="O2" s="195"/>
    </row>
    <row r="3" spans="1:15" ht="20.100000000000001" customHeight="1">
      <c r="A3" s="1" t="str">
        <f>表头!A2</f>
        <v>客户名称：</v>
      </c>
      <c r="F3" s="47" t="str">
        <f>表头!A4</f>
        <v>编制人：</v>
      </c>
      <c r="H3" s="13"/>
      <c r="I3" s="13"/>
      <c r="J3" s="47" t="s">
        <v>13</v>
      </c>
      <c r="K3" s="52"/>
      <c r="L3" s="26"/>
      <c r="N3" s="13" t="s">
        <v>11</v>
      </c>
      <c r="O3" s="13" t="s">
        <v>269</v>
      </c>
    </row>
    <row r="4" spans="1:15" ht="20.100000000000001" customHeight="1">
      <c r="A4" s="1" t="str">
        <f>表头!A3</f>
        <v>会计期间：201X年度</v>
      </c>
      <c r="F4" s="3" t="s">
        <v>1</v>
      </c>
      <c r="H4" s="13"/>
      <c r="I4" s="13"/>
      <c r="J4" s="47" t="s">
        <v>2</v>
      </c>
      <c r="K4" s="52"/>
      <c r="L4" s="26"/>
      <c r="N4" s="13" t="s">
        <v>12</v>
      </c>
      <c r="O4" s="13"/>
    </row>
    <row r="5" spans="1:15" ht="20.100000000000001" customHeight="1">
      <c r="A5" s="24" t="s">
        <v>14</v>
      </c>
      <c r="B5" s="111"/>
      <c r="C5" s="3"/>
      <c r="D5" s="3"/>
      <c r="E5" s="3"/>
      <c r="F5" s="1"/>
      <c r="G5" s="26"/>
      <c r="H5" s="13"/>
      <c r="I5" s="13"/>
      <c r="J5" s="13"/>
      <c r="K5" s="13"/>
      <c r="L5" s="26"/>
      <c r="M5" s="13"/>
    </row>
    <row r="6" spans="1:15" ht="20.100000000000001" customHeight="1">
      <c r="A6" s="25"/>
      <c r="B6" s="112" t="s">
        <v>210</v>
      </c>
      <c r="C6" s="3"/>
      <c r="D6" s="3"/>
      <c r="E6" s="3"/>
      <c r="F6" s="1"/>
      <c r="G6" s="26"/>
      <c r="H6" s="12"/>
      <c r="I6" s="12"/>
      <c r="J6" s="12"/>
      <c r="K6" s="12"/>
      <c r="L6" s="12"/>
      <c r="M6" s="12"/>
      <c r="N6" s="12"/>
      <c r="O6" s="12"/>
    </row>
    <row r="7" spans="1:15" ht="20.100000000000001" customHeight="1">
      <c r="A7" s="24" t="s">
        <v>15</v>
      </c>
      <c r="B7" s="112"/>
      <c r="C7" s="3"/>
      <c r="D7" s="3"/>
      <c r="E7" s="3"/>
      <c r="F7" s="1"/>
      <c r="G7" s="26"/>
      <c r="H7" s="12"/>
      <c r="I7" s="12"/>
      <c r="J7" s="12"/>
      <c r="K7" s="12"/>
      <c r="L7" s="12"/>
      <c r="M7" s="12"/>
      <c r="N7" s="12"/>
      <c r="O7" s="12"/>
    </row>
    <row r="8" spans="1:15" ht="20.100000000000001" customHeight="1">
      <c r="A8" s="106">
        <v>1</v>
      </c>
      <c r="B8" s="112" t="s">
        <v>215</v>
      </c>
      <c r="C8" s="3"/>
      <c r="D8" s="3"/>
      <c r="E8" s="3"/>
      <c r="F8" s="1"/>
      <c r="G8" s="26"/>
      <c r="H8" s="12"/>
      <c r="I8" s="12"/>
      <c r="J8" s="12"/>
      <c r="K8" s="12"/>
      <c r="L8" s="12"/>
      <c r="M8" s="12"/>
      <c r="N8" s="12"/>
      <c r="O8" s="12"/>
    </row>
    <row r="9" spans="1:15" ht="20.100000000000001" customHeight="1">
      <c r="A9" s="106">
        <v>1.1000000000000001</v>
      </c>
      <c r="B9" s="112" t="s">
        <v>217</v>
      </c>
      <c r="C9" s="3"/>
      <c r="D9" s="3"/>
      <c r="E9" s="3"/>
      <c r="F9" s="1"/>
      <c r="G9" s="26"/>
      <c r="H9" s="12"/>
      <c r="I9" s="12"/>
      <c r="J9" s="12"/>
      <c r="K9" s="12"/>
      <c r="L9" s="12"/>
      <c r="M9" s="12"/>
      <c r="N9" s="12"/>
      <c r="O9" s="12"/>
    </row>
    <row r="10" spans="1:15" ht="20.100000000000001" customHeight="1">
      <c r="A10" s="106">
        <v>1.2</v>
      </c>
      <c r="B10" s="110" t="s">
        <v>218</v>
      </c>
      <c r="C10" s="3"/>
      <c r="D10" s="3"/>
      <c r="E10" s="3"/>
      <c r="F10" s="1"/>
      <c r="G10" s="26"/>
      <c r="H10" s="12"/>
      <c r="I10" s="12"/>
      <c r="J10" s="12"/>
      <c r="K10" s="12"/>
      <c r="L10" s="12"/>
      <c r="M10" s="12"/>
      <c r="N10" s="12"/>
      <c r="O10" s="12"/>
    </row>
    <row r="11" spans="1:15" ht="20.100000000000001" customHeight="1">
      <c r="A11" s="106">
        <v>1.3</v>
      </c>
      <c r="B11" s="112" t="s">
        <v>216</v>
      </c>
      <c r="C11" s="3"/>
      <c r="D11" s="3"/>
      <c r="E11" s="3"/>
      <c r="F11" s="1"/>
      <c r="G11" s="26"/>
      <c r="H11" s="12"/>
      <c r="I11" s="12"/>
      <c r="J11" s="12"/>
      <c r="K11" s="12"/>
      <c r="L11" s="12"/>
      <c r="M11" s="12"/>
      <c r="N11" s="12"/>
      <c r="O11" s="12"/>
    </row>
    <row r="12" spans="1:15" ht="20.100000000000001" customHeight="1">
      <c r="A12" s="106">
        <v>1.4</v>
      </c>
      <c r="B12" s="110" t="s">
        <v>219</v>
      </c>
      <c r="C12" s="3"/>
      <c r="D12" s="3"/>
      <c r="E12" s="3"/>
      <c r="F12" s="1"/>
      <c r="G12" s="26"/>
      <c r="H12" s="12"/>
      <c r="I12" s="12"/>
      <c r="J12" s="12"/>
      <c r="K12" s="12"/>
      <c r="L12" s="12"/>
      <c r="M12" s="12"/>
      <c r="N12" s="12"/>
      <c r="O12" s="12"/>
    </row>
    <row r="13" spans="1:15" ht="20.100000000000001" customHeight="1">
      <c r="A13" s="199" t="s">
        <v>131</v>
      </c>
      <c r="B13" s="200"/>
      <c r="C13" s="200"/>
      <c r="D13" s="200"/>
      <c r="E13" s="200"/>
      <c r="F13" s="200"/>
      <c r="G13" s="201"/>
      <c r="H13" s="199" t="s">
        <v>130</v>
      </c>
      <c r="I13" s="200"/>
      <c r="J13" s="200"/>
      <c r="K13" s="200"/>
      <c r="L13" s="200"/>
      <c r="M13" s="200"/>
      <c r="N13" s="201"/>
      <c r="O13" s="202" t="s">
        <v>134</v>
      </c>
    </row>
    <row r="14" spans="1:15" ht="24" customHeight="1">
      <c r="A14" s="196" t="s">
        <v>16</v>
      </c>
      <c r="B14" s="196"/>
      <c r="C14" s="91" t="s">
        <v>81</v>
      </c>
      <c r="D14" s="89" t="s">
        <v>17</v>
      </c>
      <c r="E14" s="89" t="s">
        <v>18</v>
      </c>
      <c r="F14" s="91" t="s">
        <v>82</v>
      </c>
      <c r="G14" s="91" t="s">
        <v>83</v>
      </c>
      <c r="H14" s="196" t="s">
        <v>16</v>
      </c>
      <c r="I14" s="196"/>
      <c r="J14" s="99" t="s">
        <v>132</v>
      </c>
      <c r="K14" s="98" t="s">
        <v>17</v>
      </c>
      <c r="L14" s="98" t="s">
        <v>18</v>
      </c>
      <c r="M14" s="99" t="s">
        <v>133</v>
      </c>
      <c r="N14" s="99" t="s">
        <v>83</v>
      </c>
      <c r="O14" s="203"/>
    </row>
    <row r="15" spans="1:15" ht="24" customHeight="1">
      <c r="A15" s="197" t="s">
        <v>115</v>
      </c>
      <c r="B15" s="198"/>
      <c r="C15" s="91"/>
      <c r="D15" s="89"/>
      <c r="E15" s="89"/>
      <c r="F15" s="91"/>
      <c r="G15" s="91"/>
      <c r="H15" s="197" t="s">
        <v>115</v>
      </c>
      <c r="I15" s="198"/>
      <c r="J15" s="124"/>
      <c r="K15" s="125"/>
      <c r="L15" s="125"/>
      <c r="M15" s="99"/>
      <c r="N15" s="99"/>
      <c r="O15" s="204"/>
    </row>
    <row r="16" spans="1:15" ht="20.100000000000001" customHeight="1">
      <c r="A16" s="53"/>
      <c r="B16" s="107" t="s">
        <v>238</v>
      </c>
      <c r="C16" s="118"/>
      <c r="D16" s="118"/>
      <c r="E16" s="118"/>
      <c r="F16" s="28">
        <f t="shared" ref="F16:F44" si="0">C16+D16+E16</f>
        <v>0</v>
      </c>
      <c r="G16" s="92" t="e">
        <f>ROUND(F16/F20,4)</f>
        <v>#DIV/0!</v>
      </c>
      <c r="H16" s="53"/>
      <c r="I16" s="109" t="s">
        <v>212</v>
      </c>
      <c r="J16" s="118"/>
      <c r="K16" s="118"/>
      <c r="L16" s="118"/>
      <c r="M16" s="28">
        <f t="shared" ref="M16:M19" si="1">J16+K16+L16</f>
        <v>0</v>
      </c>
      <c r="N16" s="92" t="e">
        <f>ROUND(M16/M20,4)</f>
        <v>#DIV/0!</v>
      </c>
      <c r="O16" s="46" t="s">
        <v>136</v>
      </c>
    </row>
    <row r="17" spans="1:15" ht="20.100000000000001" customHeight="1">
      <c r="A17" s="53"/>
      <c r="B17" s="107" t="s">
        <v>211</v>
      </c>
      <c r="C17" s="118"/>
      <c r="D17" s="118"/>
      <c r="E17" s="118"/>
      <c r="F17" s="28">
        <f t="shared" si="0"/>
        <v>0</v>
      </c>
      <c r="G17" s="92" t="e">
        <f>ROUND(F17/F20,4)</f>
        <v>#DIV/0!</v>
      </c>
      <c r="H17" s="53"/>
      <c r="I17" s="109" t="s">
        <v>213</v>
      </c>
      <c r="J17" s="118"/>
      <c r="K17" s="118"/>
      <c r="L17" s="118"/>
      <c r="M17" s="28">
        <f t="shared" si="1"/>
        <v>0</v>
      </c>
      <c r="N17" s="92" t="e">
        <f>ROUND(M17/M20,4)</f>
        <v>#DIV/0!</v>
      </c>
      <c r="O17" s="46" t="s">
        <v>135</v>
      </c>
    </row>
    <row r="18" spans="1:15" ht="20.100000000000001" customHeight="1">
      <c r="A18" s="53"/>
      <c r="B18" s="107" t="s">
        <v>186</v>
      </c>
      <c r="C18" s="118"/>
      <c r="D18" s="118"/>
      <c r="E18" s="118"/>
      <c r="F18" s="28">
        <f t="shared" si="0"/>
        <v>0</v>
      </c>
      <c r="G18" s="92" t="e">
        <f>ROUND(F18/F20,4)</f>
        <v>#DIV/0!</v>
      </c>
      <c r="H18" s="53"/>
      <c r="I18" s="109" t="s">
        <v>214</v>
      </c>
      <c r="J18" s="118"/>
      <c r="K18" s="118"/>
      <c r="L18" s="118"/>
      <c r="M18" s="28">
        <f t="shared" si="1"/>
        <v>0</v>
      </c>
      <c r="N18" s="92" t="e">
        <f>ROUND(M18/M20,4)</f>
        <v>#DIV/0!</v>
      </c>
      <c r="O18" s="46" t="s">
        <v>135</v>
      </c>
    </row>
    <row r="19" spans="1:15" ht="20.100000000000001" customHeight="1">
      <c r="A19" s="53"/>
      <c r="B19" s="107" t="s">
        <v>114</v>
      </c>
      <c r="C19" s="118"/>
      <c r="D19" s="118"/>
      <c r="E19" s="118"/>
      <c r="F19" s="28">
        <f t="shared" si="0"/>
        <v>0</v>
      </c>
      <c r="G19" s="92" t="e">
        <f>ROUND(F19/F20,4)</f>
        <v>#DIV/0!</v>
      </c>
      <c r="H19" s="53"/>
      <c r="I19" s="109" t="s">
        <v>113</v>
      </c>
      <c r="J19" s="118"/>
      <c r="K19" s="118"/>
      <c r="L19" s="118"/>
      <c r="M19" s="28">
        <f t="shared" si="1"/>
        <v>0</v>
      </c>
      <c r="N19" s="92" t="e">
        <f>ROUND(M19/M20,4)</f>
        <v>#DIV/0!</v>
      </c>
      <c r="O19" s="46" t="s">
        <v>135</v>
      </c>
    </row>
    <row r="20" spans="1:15" ht="20.100000000000001" customHeight="1">
      <c r="A20" s="192" t="s">
        <v>19</v>
      </c>
      <c r="B20" s="193"/>
      <c r="C20" s="28">
        <f>SUM(C16:C19)</f>
        <v>0</v>
      </c>
      <c r="D20" s="28">
        <f t="shared" ref="D20:F20" si="2">SUM(D16:D19)</f>
        <v>0</v>
      </c>
      <c r="E20" s="28">
        <f>SUM(E16:E19)</f>
        <v>0</v>
      </c>
      <c r="F20" s="28">
        <f t="shared" si="2"/>
        <v>0</v>
      </c>
      <c r="G20" s="92" t="e">
        <f>ROUND(SUM(G16:G19),4)</f>
        <v>#DIV/0!</v>
      </c>
      <c r="H20" s="192" t="s">
        <v>19</v>
      </c>
      <c r="I20" s="193"/>
      <c r="J20" s="28">
        <f>SUM(J16:J19)</f>
        <v>0</v>
      </c>
      <c r="K20" s="28">
        <f t="shared" ref="K20" si="3">SUM(K16:K19)</f>
        <v>0</v>
      </c>
      <c r="L20" s="28">
        <f>SUM(L16:L19)</f>
        <v>0</v>
      </c>
      <c r="M20" s="28">
        <f t="shared" ref="M20" si="4">SUM(M16:M19)</f>
        <v>0</v>
      </c>
      <c r="N20" s="92" t="e">
        <f>ROUND(SUM(N16:N19),4)</f>
        <v>#DIV/0!</v>
      </c>
      <c r="O20" s="92" t="e">
        <f>ROUND((F20-M20)/M20,4)</f>
        <v>#DIV/0!</v>
      </c>
    </row>
    <row r="21" spans="1:15" ht="24" customHeight="1">
      <c r="A21" s="197" t="s">
        <v>126</v>
      </c>
      <c r="B21" s="198"/>
      <c r="C21" s="124"/>
      <c r="D21" s="125"/>
      <c r="E21" s="125"/>
      <c r="F21" s="91"/>
      <c r="G21" s="91"/>
      <c r="H21" s="197" t="s">
        <v>126</v>
      </c>
      <c r="I21" s="198"/>
      <c r="J21" s="124"/>
      <c r="K21" s="125"/>
      <c r="L21" s="125"/>
      <c r="M21" s="99"/>
      <c r="N21" s="99"/>
      <c r="O21" s="99"/>
    </row>
    <row r="22" spans="1:15" ht="20.100000000000001" customHeight="1">
      <c r="A22" s="53"/>
      <c r="B22" s="107" t="str">
        <f>$B$16</f>
        <v>本期附合终止经营定义的处置组A</v>
      </c>
      <c r="C22" s="118"/>
      <c r="D22" s="118"/>
      <c r="E22" s="118"/>
      <c r="F22" s="28">
        <f t="shared" si="0"/>
        <v>0</v>
      </c>
      <c r="G22" s="92" t="e">
        <f>ROUND(F22/F26,4)</f>
        <v>#DIV/0!</v>
      </c>
      <c r="H22" s="53"/>
      <c r="I22" s="109" t="str">
        <f>$I$16</f>
        <v>本期附合终止经营定义的处置组A</v>
      </c>
      <c r="J22" s="118"/>
      <c r="K22" s="118"/>
      <c r="L22" s="118"/>
      <c r="M22" s="28">
        <f t="shared" ref="M22:M26" si="5">J22+K22+L22</f>
        <v>0</v>
      </c>
      <c r="N22" s="92" t="e">
        <f>ROUND(M22/M26,4)</f>
        <v>#DIV/0!</v>
      </c>
      <c r="O22" s="46" t="s">
        <v>135</v>
      </c>
    </row>
    <row r="23" spans="1:15" ht="20.100000000000001" customHeight="1">
      <c r="A23" s="53"/>
      <c r="B23" s="107" t="str">
        <f>$B$17</f>
        <v>本期附合终止经营定义的处置组B</v>
      </c>
      <c r="C23" s="118"/>
      <c r="D23" s="118"/>
      <c r="E23" s="118"/>
      <c r="F23" s="28">
        <f t="shared" si="0"/>
        <v>0</v>
      </c>
      <c r="G23" s="92" t="e">
        <f>ROUND(F23/F26,4)</f>
        <v>#DIV/0!</v>
      </c>
      <c r="H23" s="53"/>
      <c r="I23" s="109" t="str">
        <f>$I$17</f>
        <v>本期附合终止经营定义的处置组B</v>
      </c>
      <c r="J23" s="118"/>
      <c r="K23" s="118"/>
      <c r="L23" s="118"/>
      <c r="M23" s="28">
        <f t="shared" si="5"/>
        <v>0</v>
      </c>
      <c r="N23" s="92" t="e">
        <f>ROUND(M23/M26,4)</f>
        <v>#DIV/0!</v>
      </c>
      <c r="O23" s="46" t="s">
        <v>135</v>
      </c>
    </row>
    <row r="24" spans="1:15" ht="20.100000000000001" customHeight="1">
      <c r="A24" s="53"/>
      <c r="B24" s="107" t="str">
        <f>$B$18</f>
        <v>……</v>
      </c>
      <c r="C24" s="118"/>
      <c r="D24" s="118"/>
      <c r="E24" s="118"/>
      <c r="F24" s="28">
        <f t="shared" si="0"/>
        <v>0</v>
      </c>
      <c r="G24" s="92" t="e">
        <f>ROUND(F24/F26,4)</f>
        <v>#DIV/0!</v>
      </c>
      <c r="H24" s="53"/>
      <c r="I24" s="109" t="str">
        <f>$I$18</f>
        <v>上期附合终止经营定义的处置组C</v>
      </c>
      <c r="J24" s="118"/>
      <c r="K24" s="118"/>
      <c r="L24" s="118"/>
      <c r="M24" s="28">
        <f t="shared" si="5"/>
        <v>0</v>
      </c>
      <c r="N24" s="92" t="e">
        <f>ROUND(M24/M26,4)</f>
        <v>#DIV/0!</v>
      </c>
      <c r="O24" s="46" t="s">
        <v>135</v>
      </c>
    </row>
    <row r="25" spans="1:15" ht="20.100000000000001" customHeight="1">
      <c r="A25" s="53"/>
      <c r="B25" s="107" t="str">
        <f>$B$19</f>
        <v>……</v>
      </c>
      <c r="C25" s="118"/>
      <c r="D25" s="118"/>
      <c r="E25" s="118"/>
      <c r="F25" s="28">
        <f t="shared" si="0"/>
        <v>0</v>
      </c>
      <c r="G25" s="92" t="e">
        <f>ROUND(F25/F26,4)</f>
        <v>#DIV/0!</v>
      </c>
      <c r="H25" s="53"/>
      <c r="I25" s="109" t="str">
        <f>$I$19</f>
        <v>……</v>
      </c>
      <c r="J25" s="118"/>
      <c r="K25" s="118"/>
      <c r="L25" s="118"/>
      <c r="M25" s="28">
        <f t="shared" si="5"/>
        <v>0</v>
      </c>
      <c r="N25" s="92" t="e">
        <f>ROUND(M25/M26,4)</f>
        <v>#DIV/0!</v>
      </c>
      <c r="O25" s="46" t="s">
        <v>135</v>
      </c>
    </row>
    <row r="26" spans="1:15" ht="20.100000000000001" customHeight="1">
      <c r="A26" s="192" t="s">
        <v>89</v>
      </c>
      <c r="B26" s="193" t="s">
        <v>20</v>
      </c>
      <c r="C26" s="28">
        <f>SUM(C22:C25)</f>
        <v>0</v>
      </c>
      <c r="D26" s="28">
        <f t="shared" ref="D26:E26" si="6">SUM(D22:D25)</f>
        <v>0</v>
      </c>
      <c r="E26" s="28">
        <f t="shared" si="6"/>
        <v>0</v>
      </c>
      <c r="F26" s="28">
        <f t="shared" si="0"/>
        <v>0</v>
      </c>
      <c r="G26" s="92" t="e">
        <f>ROUND(SUM(G22:G25),4)</f>
        <v>#DIV/0!</v>
      </c>
      <c r="H26" s="192" t="s">
        <v>89</v>
      </c>
      <c r="I26" s="193" t="s">
        <v>20</v>
      </c>
      <c r="J26" s="28">
        <f>SUM(J22:J25)</f>
        <v>0</v>
      </c>
      <c r="K26" s="28">
        <f t="shared" ref="K26:L26" si="7">SUM(K22:K25)</f>
        <v>0</v>
      </c>
      <c r="L26" s="28">
        <f t="shared" si="7"/>
        <v>0</v>
      </c>
      <c r="M26" s="28">
        <f t="shared" si="5"/>
        <v>0</v>
      </c>
      <c r="N26" s="92" t="e">
        <f>ROUND(SUM(N22:N25),4)</f>
        <v>#DIV/0!</v>
      </c>
      <c r="O26" s="92" t="e">
        <f>ROUND((F26-M26)/M26,4)</f>
        <v>#DIV/0!</v>
      </c>
    </row>
    <row r="27" spans="1:15" ht="24" customHeight="1">
      <c r="A27" s="190" t="s">
        <v>116</v>
      </c>
      <c r="B27" s="191"/>
      <c r="C27" s="124"/>
      <c r="D27" s="125"/>
      <c r="E27" s="125"/>
      <c r="F27" s="91"/>
      <c r="G27" s="91"/>
      <c r="H27" s="190" t="s">
        <v>116</v>
      </c>
      <c r="I27" s="191"/>
      <c r="J27" s="124"/>
      <c r="K27" s="125"/>
      <c r="L27" s="125"/>
      <c r="M27" s="99"/>
      <c r="N27" s="99"/>
      <c r="O27" s="99"/>
    </row>
    <row r="28" spans="1:15" ht="20.100000000000001" customHeight="1">
      <c r="A28" s="54"/>
      <c r="B28" s="107" t="str">
        <f>$B$16</f>
        <v>本期附合终止经营定义的处置组A</v>
      </c>
      <c r="C28" s="118"/>
      <c r="D28" s="118"/>
      <c r="E28" s="118"/>
      <c r="F28" s="28">
        <f t="shared" si="0"/>
        <v>0</v>
      </c>
      <c r="G28" s="92" t="e">
        <f>ROUND(F28/F32,4)</f>
        <v>#DIV/0!</v>
      </c>
      <c r="H28" s="90"/>
      <c r="I28" s="109" t="str">
        <f>$I$16</f>
        <v>本期附合终止经营定义的处置组A</v>
      </c>
      <c r="J28" s="108"/>
      <c r="K28" s="108"/>
      <c r="L28" s="108"/>
      <c r="M28" s="28">
        <f t="shared" ref="M28:M32" si="8">J28+K28+L28</f>
        <v>0</v>
      </c>
      <c r="N28" s="92" t="e">
        <f>ROUND(M28/M32,4)</f>
        <v>#DIV/0!</v>
      </c>
      <c r="O28" s="46" t="s">
        <v>135</v>
      </c>
    </row>
    <row r="29" spans="1:15" ht="20.100000000000001" customHeight="1">
      <c r="A29" s="90"/>
      <c r="B29" s="107" t="str">
        <f>$B$17</f>
        <v>本期附合终止经营定义的处置组B</v>
      </c>
      <c r="C29" s="108"/>
      <c r="D29" s="108"/>
      <c r="E29" s="108"/>
      <c r="F29" s="28">
        <f t="shared" si="0"/>
        <v>0</v>
      </c>
      <c r="G29" s="92" t="e">
        <f>ROUND(F29/F32,4)</f>
        <v>#DIV/0!</v>
      </c>
      <c r="H29" s="90"/>
      <c r="I29" s="109" t="str">
        <f>$I$17</f>
        <v>本期附合终止经营定义的处置组B</v>
      </c>
      <c r="J29" s="108"/>
      <c r="K29" s="108"/>
      <c r="L29" s="108"/>
      <c r="M29" s="28">
        <f t="shared" si="8"/>
        <v>0</v>
      </c>
      <c r="N29" s="92" t="e">
        <f>ROUND(M29/M32,4)</f>
        <v>#DIV/0!</v>
      </c>
      <c r="O29" s="46" t="s">
        <v>135</v>
      </c>
    </row>
    <row r="30" spans="1:15" ht="20.100000000000001" customHeight="1">
      <c r="A30" s="90"/>
      <c r="B30" s="107" t="str">
        <f>$B$18</f>
        <v>……</v>
      </c>
      <c r="C30" s="108"/>
      <c r="D30" s="108"/>
      <c r="E30" s="108"/>
      <c r="F30" s="28">
        <f t="shared" si="0"/>
        <v>0</v>
      </c>
      <c r="G30" s="92" t="e">
        <f>ROUND(F30/F32,4)</f>
        <v>#DIV/0!</v>
      </c>
      <c r="H30" s="90"/>
      <c r="I30" s="109" t="str">
        <f>$I$18</f>
        <v>上期附合终止经营定义的处置组C</v>
      </c>
      <c r="J30" s="108"/>
      <c r="K30" s="108"/>
      <c r="L30" s="108"/>
      <c r="M30" s="28">
        <f t="shared" si="8"/>
        <v>0</v>
      </c>
      <c r="N30" s="92" t="e">
        <f>ROUND(M30/M32,4)</f>
        <v>#DIV/0!</v>
      </c>
      <c r="O30" s="46" t="s">
        <v>135</v>
      </c>
    </row>
    <row r="31" spans="1:15" ht="20.100000000000001" customHeight="1">
      <c r="A31" s="54"/>
      <c r="B31" s="107" t="str">
        <f>$B$19</f>
        <v>……</v>
      </c>
      <c r="C31" s="108"/>
      <c r="D31" s="108"/>
      <c r="E31" s="108"/>
      <c r="F31" s="28">
        <f t="shared" si="0"/>
        <v>0</v>
      </c>
      <c r="G31" s="92" t="e">
        <f>ROUND(F31/F32,4)</f>
        <v>#DIV/0!</v>
      </c>
      <c r="H31" s="90"/>
      <c r="I31" s="109" t="str">
        <f>$I$19</f>
        <v>……</v>
      </c>
      <c r="J31" s="108"/>
      <c r="K31" s="108"/>
      <c r="L31" s="108"/>
      <c r="M31" s="28">
        <f t="shared" si="8"/>
        <v>0</v>
      </c>
      <c r="N31" s="92" t="e">
        <f>ROUND(M31/M32,4)</f>
        <v>#DIV/0!</v>
      </c>
      <c r="O31" s="46" t="s">
        <v>135</v>
      </c>
    </row>
    <row r="32" spans="1:15" ht="20.100000000000001" customHeight="1">
      <c r="A32" s="192" t="s">
        <v>89</v>
      </c>
      <c r="B32" s="193" t="s">
        <v>89</v>
      </c>
      <c r="C32" s="28">
        <f>SUM(C28:C31)</f>
        <v>0</v>
      </c>
      <c r="D32" s="28">
        <f t="shared" ref="D32:E32" si="9">SUM(D28:D31)</f>
        <v>0</v>
      </c>
      <c r="E32" s="28">
        <f t="shared" si="9"/>
        <v>0</v>
      </c>
      <c r="F32" s="28">
        <f t="shared" si="0"/>
        <v>0</v>
      </c>
      <c r="G32" s="92" t="e">
        <f>ROUND(SUM(G28:G31),4)</f>
        <v>#DIV/0!</v>
      </c>
      <c r="H32" s="192" t="s">
        <v>89</v>
      </c>
      <c r="I32" s="193" t="s">
        <v>89</v>
      </c>
      <c r="J32" s="28">
        <f>SUM(J28:J31)</f>
        <v>0</v>
      </c>
      <c r="K32" s="28">
        <f t="shared" ref="K32:L32" si="10">SUM(K28:K31)</f>
        <v>0</v>
      </c>
      <c r="L32" s="28">
        <f t="shared" si="10"/>
        <v>0</v>
      </c>
      <c r="M32" s="28">
        <f t="shared" si="8"/>
        <v>0</v>
      </c>
      <c r="N32" s="92" t="e">
        <f>ROUND(SUM(N28:N31),4)</f>
        <v>#DIV/0!</v>
      </c>
      <c r="O32" s="92" t="e">
        <f>ROUND((F32-M32)/M32,4)</f>
        <v>#DIV/0!</v>
      </c>
    </row>
    <row r="33" spans="1:15" ht="24" customHeight="1">
      <c r="A33" s="197" t="s">
        <v>127</v>
      </c>
      <c r="B33" s="198" t="s">
        <v>21</v>
      </c>
      <c r="C33" s="124"/>
      <c r="D33" s="125"/>
      <c r="E33" s="125"/>
      <c r="F33" s="91"/>
      <c r="G33" s="91"/>
      <c r="H33" s="197" t="s">
        <v>127</v>
      </c>
      <c r="I33" s="198" t="s">
        <v>21</v>
      </c>
      <c r="J33" s="124"/>
      <c r="K33" s="125"/>
      <c r="L33" s="125"/>
      <c r="M33" s="99"/>
      <c r="N33" s="99"/>
      <c r="O33" s="99"/>
    </row>
    <row r="34" spans="1:15" ht="20.100000000000001" customHeight="1">
      <c r="A34" s="54"/>
      <c r="B34" s="107" t="str">
        <f>$B$16</f>
        <v>本期附合终止经营定义的处置组A</v>
      </c>
      <c r="C34" s="118"/>
      <c r="D34" s="118"/>
      <c r="E34" s="118"/>
      <c r="F34" s="28">
        <f t="shared" si="0"/>
        <v>0</v>
      </c>
      <c r="G34" s="92" t="e">
        <f>ROUND(F34/F38,4)</f>
        <v>#DIV/0!</v>
      </c>
      <c r="H34" s="90"/>
      <c r="I34" s="109" t="str">
        <f>$I$16</f>
        <v>本期附合终止经营定义的处置组A</v>
      </c>
      <c r="J34" s="118"/>
      <c r="K34" s="118"/>
      <c r="L34" s="118"/>
      <c r="M34" s="28">
        <f t="shared" ref="M34:M38" si="11">J34+K34+L34</f>
        <v>0</v>
      </c>
      <c r="N34" s="92" t="e">
        <f>ROUND(M34/M38,4)</f>
        <v>#DIV/0!</v>
      </c>
      <c r="O34" s="46" t="s">
        <v>135</v>
      </c>
    </row>
    <row r="35" spans="1:15" ht="20.100000000000001" customHeight="1">
      <c r="A35" s="90"/>
      <c r="B35" s="107" t="str">
        <f>$B$17</f>
        <v>本期附合终止经营定义的处置组B</v>
      </c>
      <c r="C35" s="118"/>
      <c r="D35" s="118"/>
      <c r="E35" s="118"/>
      <c r="F35" s="28">
        <f t="shared" ref="F35:F37" si="12">C35+D35+E35</f>
        <v>0</v>
      </c>
      <c r="G35" s="92" t="e">
        <f>ROUND(F35/F38,4)</f>
        <v>#DIV/0!</v>
      </c>
      <c r="H35" s="90"/>
      <c r="I35" s="109" t="str">
        <f>$I$17</f>
        <v>本期附合终止经营定义的处置组B</v>
      </c>
      <c r="J35" s="118"/>
      <c r="K35" s="118"/>
      <c r="L35" s="118"/>
      <c r="M35" s="28">
        <f t="shared" si="11"/>
        <v>0</v>
      </c>
      <c r="N35" s="92" t="e">
        <f>ROUND(M35/M38,4)</f>
        <v>#DIV/0!</v>
      </c>
      <c r="O35" s="46" t="s">
        <v>135</v>
      </c>
    </row>
    <row r="36" spans="1:15" ht="20.100000000000001" customHeight="1">
      <c r="A36" s="90"/>
      <c r="B36" s="107" t="str">
        <f>$B$18</f>
        <v>……</v>
      </c>
      <c r="C36" s="118"/>
      <c r="D36" s="118"/>
      <c r="E36" s="118"/>
      <c r="F36" s="28">
        <f t="shared" si="12"/>
        <v>0</v>
      </c>
      <c r="G36" s="92" t="e">
        <f>ROUND(F36/F38,4)</f>
        <v>#DIV/0!</v>
      </c>
      <c r="H36" s="90"/>
      <c r="I36" s="109" t="str">
        <f>$I$18</f>
        <v>上期附合终止经营定义的处置组C</v>
      </c>
      <c r="J36" s="118"/>
      <c r="K36" s="118"/>
      <c r="L36" s="118"/>
      <c r="M36" s="28">
        <f t="shared" si="11"/>
        <v>0</v>
      </c>
      <c r="N36" s="92" t="e">
        <f>ROUND(M36/M38,4)</f>
        <v>#DIV/0!</v>
      </c>
      <c r="O36" s="46" t="s">
        <v>135</v>
      </c>
    </row>
    <row r="37" spans="1:15" ht="20.100000000000001" customHeight="1">
      <c r="A37" s="54"/>
      <c r="B37" s="107" t="str">
        <f>$B$19</f>
        <v>……</v>
      </c>
      <c r="C37" s="118"/>
      <c r="D37" s="118"/>
      <c r="E37" s="118"/>
      <c r="F37" s="28">
        <f t="shared" si="12"/>
        <v>0</v>
      </c>
      <c r="G37" s="92" t="e">
        <f>ROUND(F37/F38,4)</f>
        <v>#DIV/0!</v>
      </c>
      <c r="H37" s="90"/>
      <c r="I37" s="109" t="str">
        <f>$I$19</f>
        <v>……</v>
      </c>
      <c r="J37" s="118"/>
      <c r="K37" s="118"/>
      <c r="L37" s="118"/>
      <c r="M37" s="28">
        <f t="shared" si="11"/>
        <v>0</v>
      </c>
      <c r="N37" s="92" t="e">
        <f>ROUND(M37/M38,4)</f>
        <v>#DIV/0!</v>
      </c>
      <c r="O37" s="46" t="s">
        <v>135</v>
      </c>
    </row>
    <row r="38" spans="1:15" ht="20.100000000000001" customHeight="1">
      <c r="A38" s="192" t="s">
        <v>89</v>
      </c>
      <c r="B38" s="193" t="s">
        <v>89</v>
      </c>
      <c r="C38" s="28">
        <f>SUM(C34:C37)</f>
        <v>0</v>
      </c>
      <c r="D38" s="28">
        <f t="shared" ref="D38" si="13">SUM(D34:D37)</f>
        <v>0</v>
      </c>
      <c r="E38" s="28">
        <f t="shared" ref="E38" si="14">SUM(E34:E37)</f>
        <v>0</v>
      </c>
      <c r="F38" s="28">
        <f t="shared" si="0"/>
        <v>0</v>
      </c>
      <c r="G38" s="92" t="e">
        <f>ROUND(SUM(G34:G37),4)</f>
        <v>#DIV/0!</v>
      </c>
      <c r="H38" s="192" t="s">
        <v>89</v>
      </c>
      <c r="I38" s="193" t="s">
        <v>89</v>
      </c>
      <c r="J38" s="28">
        <f>SUM(J34:J37)</f>
        <v>0</v>
      </c>
      <c r="K38" s="28">
        <f t="shared" ref="K38:L38" si="15">SUM(K34:K37)</f>
        <v>0</v>
      </c>
      <c r="L38" s="28">
        <f t="shared" si="15"/>
        <v>0</v>
      </c>
      <c r="M38" s="28">
        <f t="shared" si="11"/>
        <v>0</v>
      </c>
      <c r="N38" s="92" t="e">
        <f>ROUND(SUM(N34:N37),4)</f>
        <v>#DIV/0!</v>
      </c>
      <c r="O38" s="92" t="e">
        <f>ROUND((F38-M38)/M38,4)</f>
        <v>#DIV/0!</v>
      </c>
    </row>
    <row r="39" spans="1:15" ht="24" customHeight="1">
      <c r="A39" s="190" t="s">
        <v>117</v>
      </c>
      <c r="B39" s="198" t="s">
        <v>22</v>
      </c>
      <c r="C39" s="124"/>
      <c r="D39" s="125"/>
      <c r="E39" s="125"/>
      <c r="F39" s="91"/>
      <c r="G39" s="91"/>
      <c r="H39" s="190" t="s">
        <v>117</v>
      </c>
      <c r="I39" s="198" t="s">
        <v>22</v>
      </c>
      <c r="J39" s="124"/>
      <c r="K39" s="125"/>
      <c r="L39" s="125"/>
      <c r="M39" s="99"/>
      <c r="N39" s="99"/>
      <c r="O39" s="99"/>
    </row>
    <row r="40" spans="1:15" ht="20.100000000000001" customHeight="1">
      <c r="A40" s="54"/>
      <c r="B40" s="107" t="str">
        <f>$B$16</f>
        <v>本期附合终止经营定义的处置组A</v>
      </c>
      <c r="C40" s="28">
        <f>C28-C34</f>
        <v>0</v>
      </c>
      <c r="D40" s="28">
        <f t="shared" ref="D40:E40" si="16">D28-D34</f>
        <v>0</v>
      </c>
      <c r="E40" s="28">
        <f t="shared" si="16"/>
        <v>0</v>
      </c>
      <c r="F40" s="28">
        <f>C40+D40+E40</f>
        <v>0</v>
      </c>
      <c r="G40" s="92" t="e">
        <f>ROUND(F40/F44,4)</f>
        <v>#DIV/0!</v>
      </c>
      <c r="H40" s="90"/>
      <c r="I40" s="109" t="str">
        <f>$I$16</f>
        <v>本期附合终止经营定义的处置组A</v>
      </c>
      <c r="J40" s="28">
        <f>J28-J34</f>
        <v>0</v>
      </c>
      <c r="K40" s="28">
        <f t="shared" ref="K40:L40" si="17">K28-K34</f>
        <v>0</v>
      </c>
      <c r="L40" s="28">
        <f t="shared" si="17"/>
        <v>0</v>
      </c>
      <c r="M40" s="28">
        <f>J40+K40+L40</f>
        <v>0</v>
      </c>
      <c r="N40" s="92" t="e">
        <f>ROUND(M40/M44,4)</f>
        <v>#DIV/0!</v>
      </c>
      <c r="O40" s="46" t="s">
        <v>135</v>
      </c>
    </row>
    <row r="41" spans="1:15" ht="20.100000000000001" customHeight="1">
      <c r="A41" s="90"/>
      <c r="B41" s="107" t="str">
        <f>$B$17</f>
        <v>本期附合终止经营定义的处置组B</v>
      </c>
      <c r="C41" s="28">
        <f t="shared" ref="C41:E41" si="18">C29-C35</f>
        <v>0</v>
      </c>
      <c r="D41" s="28">
        <f t="shared" si="18"/>
        <v>0</v>
      </c>
      <c r="E41" s="28">
        <f t="shared" si="18"/>
        <v>0</v>
      </c>
      <c r="F41" s="28">
        <f t="shared" ref="F41" si="19">C41+D41+E41</f>
        <v>0</v>
      </c>
      <c r="G41" s="92" t="e">
        <f>ROUND(F41/F44,4)</f>
        <v>#DIV/0!</v>
      </c>
      <c r="H41" s="90"/>
      <c r="I41" s="109" t="str">
        <f>$I$17</f>
        <v>本期附合终止经营定义的处置组B</v>
      </c>
      <c r="J41" s="28">
        <f t="shared" ref="J41:L41" si="20">J29-J35</f>
        <v>0</v>
      </c>
      <c r="K41" s="28">
        <f t="shared" si="20"/>
        <v>0</v>
      </c>
      <c r="L41" s="28">
        <f t="shared" si="20"/>
        <v>0</v>
      </c>
      <c r="M41" s="28">
        <f t="shared" ref="M41" si="21">J41+K41+L41</f>
        <v>0</v>
      </c>
      <c r="N41" s="92" t="e">
        <f>ROUND(M41/M44,4)</f>
        <v>#DIV/0!</v>
      </c>
      <c r="O41" s="46" t="s">
        <v>135</v>
      </c>
    </row>
    <row r="42" spans="1:15" ht="20.100000000000001" customHeight="1">
      <c r="A42" s="90"/>
      <c r="B42" s="107" t="str">
        <f>$B$18</f>
        <v>……</v>
      </c>
      <c r="C42" s="28">
        <f t="shared" ref="C42:E42" si="22">C30-C36</f>
        <v>0</v>
      </c>
      <c r="D42" s="28">
        <f t="shared" si="22"/>
        <v>0</v>
      </c>
      <c r="E42" s="28">
        <f t="shared" si="22"/>
        <v>0</v>
      </c>
      <c r="F42" s="28">
        <f>C42+D42+E42</f>
        <v>0</v>
      </c>
      <c r="G42" s="92" t="e">
        <f>ROUND(F42/F44,4)</f>
        <v>#DIV/0!</v>
      </c>
      <c r="H42" s="90"/>
      <c r="I42" s="109" t="str">
        <f>$I$18</f>
        <v>上期附合终止经营定义的处置组C</v>
      </c>
      <c r="J42" s="28">
        <f t="shared" ref="J42:L42" si="23">J30-J36</f>
        <v>0</v>
      </c>
      <c r="K42" s="28">
        <f t="shared" si="23"/>
        <v>0</v>
      </c>
      <c r="L42" s="28">
        <f t="shared" si="23"/>
        <v>0</v>
      </c>
      <c r="M42" s="28">
        <f>J42+K42+L42</f>
        <v>0</v>
      </c>
      <c r="N42" s="92" t="e">
        <f>ROUND(M42/M44,4)</f>
        <v>#DIV/0!</v>
      </c>
      <c r="O42" s="46" t="s">
        <v>135</v>
      </c>
    </row>
    <row r="43" spans="1:15" ht="20.100000000000001" customHeight="1">
      <c r="A43" s="54"/>
      <c r="B43" s="107" t="str">
        <f>$B$19</f>
        <v>……</v>
      </c>
      <c r="C43" s="28">
        <f t="shared" ref="C43:E43" si="24">C31-C37</f>
        <v>0</v>
      </c>
      <c r="D43" s="28">
        <f t="shared" si="24"/>
        <v>0</v>
      </c>
      <c r="E43" s="28">
        <f t="shared" si="24"/>
        <v>0</v>
      </c>
      <c r="F43" s="28">
        <f t="shared" ref="F43" si="25">C43+D43+E43</f>
        <v>0</v>
      </c>
      <c r="G43" s="92" t="e">
        <f>ROUND(F43/F44,4)</f>
        <v>#DIV/0!</v>
      </c>
      <c r="H43" s="90"/>
      <c r="I43" s="109" t="str">
        <f>$I$19</f>
        <v>……</v>
      </c>
      <c r="J43" s="28">
        <f t="shared" ref="J43:L43" si="26">J31-J37</f>
        <v>0</v>
      </c>
      <c r="K43" s="28">
        <f t="shared" si="26"/>
        <v>0</v>
      </c>
      <c r="L43" s="28">
        <f t="shared" si="26"/>
        <v>0</v>
      </c>
      <c r="M43" s="28">
        <f t="shared" ref="M43:M44" si="27">J43+K43+L43</f>
        <v>0</v>
      </c>
      <c r="N43" s="92" t="e">
        <f>ROUND(M43/M44,4)</f>
        <v>#DIV/0!</v>
      </c>
      <c r="O43" s="46" t="s">
        <v>135</v>
      </c>
    </row>
    <row r="44" spans="1:15" ht="20.100000000000001" customHeight="1">
      <c r="A44" s="192" t="s">
        <v>89</v>
      </c>
      <c r="B44" s="193" t="s">
        <v>89</v>
      </c>
      <c r="C44" s="28">
        <f>SUM(C40:C43)</f>
        <v>0</v>
      </c>
      <c r="D44" s="28">
        <f t="shared" ref="D44" si="28">SUM(D40:D43)</f>
        <v>0</v>
      </c>
      <c r="E44" s="28">
        <f t="shared" ref="E44" si="29">SUM(E40:E43)</f>
        <v>0</v>
      </c>
      <c r="F44" s="28">
        <f t="shared" si="0"/>
        <v>0</v>
      </c>
      <c r="G44" s="92" t="e">
        <f>ROUND(SUM(G40:G43),4)</f>
        <v>#DIV/0!</v>
      </c>
      <c r="H44" s="192" t="s">
        <v>89</v>
      </c>
      <c r="I44" s="193" t="s">
        <v>89</v>
      </c>
      <c r="J44" s="28">
        <f>SUM(J40:J43)</f>
        <v>0</v>
      </c>
      <c r="K44" s="28">
        <f t="shared" ref="K44:L44" si="30">SUM(K40:K43)</f>
        <v>0</v>
      </c>
      <c r="L44" s="28">
        <f t="shared" si="30"/>
        <v>0</v>
      </c>
      <c r="M44" s="28">
        <f t="shared" si="27"/>
        <v>0</v>
      </c>
      <c r="N44" s="92" t="e">
        <f>ROUND(SUM(N40:N43),4)</f>
        <v>#DIV/0!</v>
      </c>
      <c r="O44" s="92" t="e">
        <f>ROUND((F44-M44)/M44,4)</f>
        <v>#DIV/0!</v>
      </c>
    </row>
    <row r="45" spans="1:15" ht="20.100000000000001" customHeight="1">
      <c r="A45" s="197" t="s">
        <v>125</v>
      </c>
      <c r="B45" s="198" t="s">
        <v>22</v>
      </c>
      <c r="C45" s="124"/>
      <c r="D45" s="125"/>
      <c r="E45" s="125"/>
      <c r="F45" s="99"/>
      <c r="G45" s="99"/>
      <c r="H45" s="197" t="s">
        <v>125</v>
      </c>
      <c r="I45" s="198" t="s">
        <v>22</v>
      </c>
      <c r="J45" s="124"/>
      <c r="K45" s="125"/>
      <c r="L45" s="125"/>
      <c r="M45" s="99"/>
      <c r="N45" s="99"/>
      <c r="O45" s="99"/>
    </row>
    <row r="46" spans="1:15" ht="20.100000000000001" customHeight="1">
      <c r="A46" s="90"/>
      <c r="B46" s="107" t="str">
        <f>$B$16</f>
        <v>本期附合终止经营定义的处置组A</v>
      </c>
      <c r="C46" s="120"/>
      <c r="D46" s="120"/>
      <c r="E46" s="120"/>
      <c r="F46" s="28">
        <f>C46+D46+E46</f>
        <v>0</v>
      </c>
      <c r="G46" s="92" t="e">
        <f>ROUND(F46/F50,4)</f>
        <v>#DIV/0!</v>
      </c>
      <c r="H46" s="90"/>
      <c r="I46" s="109" t="str">
        <f>$I$16</f>
        <v>本期附合终止经营定义的处置组A</v>
      </c>
      <c r="J46" s="120"/>
      <c r="K46" s="120"/>
      <c r="L46" s="120"/>
      <c r="M46" s="28">
        <f>J46+K46+L46</f>
        <v>0</v>
      </c>
      <c r="N46" s="92" t="e">
        <f>ROUND(M46/M50,4)</f>
        <v>#DIV/0!</v>
      </c>
      <c r="O46" s="46" t="s">
        <v>135</v>
      </c>
    </row>
    <row r="47" spans="1:15" ht="20.100000000000001" customHeight="1">
      <c r="A47" s="90"/>
      <c r="B47" s="107" t="str">
        <f>$B$17</f>
        <v>本期附合终止经营定义的处置组B</v>
      </c>
      <c r="C47" s="120"/>
      <c r="D47" s="120"/>
      <c r="E47" s="120"/>
      <c r="F47" s="28">
        <f t="shared" ref="F47" si="31">C47+D47+E47</f>
        <v>0</v>
      </c>
      <c r="G47" s="92" t="e">
        <f>ROUND(F47/F50,4)</f>
        <v>#DIV/0!</v>
      </c>
      <c r="H47" s="90"/>
      <c r="I47" s="109" t="str">
        <f>$I$17</f>
        <v>本期附合终止经营定义的处置组B</v>
      </c>
      <c r="J47" s="120"/>
      <c r="K47" s="120"/>
      <c r="L47" s="120"/>
      <c r="M47" s="28">
        <f>J47+K47+L47</f>
        <v>0</v>
      </c>
      <c r="N47" s="92" t="e">
        <f>ROUND(M47/M50,4)</f>
        <v>#DIV/0!</v>
      </c>
      <c r="O47" s="46" t="s">
        <v>135</v>
      </c>
    </row>
    <row r="48" spans="1:15" ht="20.100000000000001" customHeight="1">
      <c r="A48" s="90"/>
      <c r="B48" s="107" t="str">
        <f>$B$18</f>
        <v>……</v>
      </c>
      <c r="C48" s="120"/>
      <c r="D48" s="120"/>
      <c r="E48" s="120"/>
      <c r="F48" s="28">
        <f>C48+D48+E48</f>
        <v>0</v>
      </c>
      <c r="G48" s="92" t="e">
        <f>ROUND(F48/F50,4)</f>
        <v>#DIV/0!</v>
      </c>
      <c r="H48" s="90"/>
      <c r="I48" s="109" t="str">
        <f>$I$18</f>
        <v>上期附合终止经营定义的处置组C</v>
      </c>
      <c r="J48" s="120"/>
      <c r="K48" s="120"/>
      <c r="L48" s="120"/>
      <c r="M48" s="28">
        <f>J48+K48+L48</f>
        <v>0</v>
      </c>
      <c r="N48" s="92" t="e">
        <f>ROUND(M48/M50,4)</f>
        <v>#DIV/0!</v>
      </c>
      <c r="O48" s="46" t="s">
        <v>135</v>
      </c>
    </row>
    <row r="49" spans="1:15" ht="20.100000000000001" customHeight="1">
      <c r="A49" s="90"/>
      <c r="B49" s="107" t="str">
        <f>$B$19</f>
        <v>……</v>
      </c>
      <c r="C49" s="120"/>
      <c r="D49" s="120"/>
      <c r="E49" s="120"/>
      <c r="F49" s="28">
        <f t="shared" ref="F49:F50" si="32">C49+D49+E49</f>
        <v>0</v>
      </c>
      <c r="G49" s="92" t="e">
        <f>ROUND(F49/F50,4)</f>
        <v>#DIV/0!</v>
      </c>
      <c r="H49" s="90"/>
      <c r="I49" s="109" t="str">
        <f>$I$19</f>
        <v>……</v>
      </c>
      <c r="J49" s="120"/>
      <c r="K49" s="120"/>
      <c r="L49" s="120"/>
      <c r="M49" s="28">
        <f t="shared" ref="M49" si="33">J49+K49+L49</f>
        <v>0</v>
      </c>
      <c r="N49" s="92" t="e">
        <f>ROUND(M49/M50,4)</f>
        <v>#DIV/0!</v>
      </c>
      <c r="O49" s="46" t="s">
        <v>135</v>
      </c>
    </row>
    <row r="50" spans="1:15" ht="20.100000000000001" customHeight="1">
      <c r="A50" s="192" t="s">
        <v>89</v>
      </c>
      <c r="B50" s="193" t="s">
        <v>89</v>
      </c>
      <c r="C50" s="28">
        <f>SUM(C46:C49)</f>
        <v>0</v>
      </c>
      <c r="D50" s="28">
        <f t="shared" ref="D50:E50" si="34">SUM(D46:D49)</f>
        <v>0</v>
      </c>
      <c r="E50" s="28">
        <f t="shared" si="34"/>
        <v>0</v>
      </c>
      <c r="F50" s="28">
        <f t="shared" si="32"/>
        <v>0</v>
      </c>
      <c r="G50" s="92" t="e">
        <f>ROUND(SUM(G46:G49),4)</f>
        <v>#DIV/0!</v>
      </c>
      <c r="H50" s="192" t="s">
        <v>89</v>
      </c>
      <c r="I50" s="193" t="s">
        <v>89</v>
      </c>
      <c r="J50" s="28">
        <f>SUM(J46:J49)</f>
        <v>0</v>
      </c>
      <c r="K50" s="28">
        <f t="shared" ref="K50" si="35">SUM(K46:K49)</f>
        <v>0</v>
      </c>
      <c r="L50" s="28">
        <f>SUM(L46:L49)</f>
        <v>0</v>
      </c>
      <c r="M50" s="28">
        <f>J50+K50+L50</f>
        <v>0</v>
      </c>
      <c r="N50" s="92" t="e">
        <f>ROUND(SUM(N46:N49),4)</f>
        <v>#DIV/0!</v>
      </c>
      <c r="O50" s="92" t="e">
        <f>ROUND((F50-M50)/M50,4)</f>
        <v>#DIV/0!</v>
      </c>
    </row>
    <row r="51" spans="1:15" ht="24" customHeight="1">
      <c r="A51" s="190" t="s">
        <v>118</v>
      </c>
      <c r="B51" s="191"/>
      <c r="C51" s="124"/>
      <c r="D51" s="125"/>
      <c r="E51" s="125"/>
      <c r="F51" s="91"/>
      <c r="G51" s="91"/>
      <c r="H51" s="190" t="s">
        <v>118</v>
      </c>
      <c r="I51" s="191"/>
      <c r="J51" s="124"/>
      <c r="K51" s="125"/>
      <c r="L51" s="125"/>
      <c r="M51" s="99"/>
      <c r="N51" s="99"/>
      <c r="O51" s="99"/>
    </row>
    <row r="52" spans="1:15" ht="20.100000000000001" customHeight="1">
      <c r="A52" s="55"/>
      <c r="B52" s="107" t="str">
        <f>$B$16</f>
        <v>本期附合终止经营定义的处置组A</v>
      </c>
      <c r="C52" s="118"/>
      <c r="D52" s="118"/>
      <c r="E52" s="118"/>
      <c r="F52" s="28">
        <f t="shared" ref="F52:F53" si="36">C52+D52+E52</f>
        <v>0</v>
      </c>
      <c r="G52" s="92" t="e">
        <f>ROUND(F52/F56,4)</f>
        <v>#DIV/0!</v>
      </c>
      <c r="H52" s="55"/>
      <c r="I52" s="109" t="str">
        <f>$I$16</f>
        <v>本期附合终止经营定义的处置组A</v>
      </c>
      <c r="J52" s="118"/>
      <c r="K52" s="118"/>
      <c r="L52" s="118"/>
      <c r="M52" s="28">
        <f t="shared" ref="M52:M53" si="37">J52+K52+L52</f>
        <v>0</v>
      </c>
      <c r="N52" s="92" t="e">
        <f>ROUND(M52/M56,4)</f>
        <v>#DIV/0!</v>
      </c>
      <c r="O52" s="46" t="s">
        <v>135</v>
      </c>
    </row>
    <row r="53" spans="1:15" ht="20.100000000000001" customHeight="1">
      <c r="A53" s="55"/>
      <c r="B53" s="107" t="str">
        <f>$B$17</f>
        <v>本期附合终止经营定义的处置组B</v>
      </c>
      <c r="C53" s="118"/>
      <c r="D53" s="118"/>
      <c r="E53" s="118"/>
      <c r="F53" s="28">
        <f t="shared" si="36"/>
        <v>0</v>
      </c>
      <c r="G53" s="92" t="e">
        <f>ROUND(F53/F56,4)</f>
        <v>#DIV/0!</v>
      </c>
      <c r="H53" s="55"/>
      <c r="I53" s="109" t="str">
        <f>$I$17</f>
        <v>本期附合终止经营定义的处置组B</v>
      </c>
      <c r="J53" s="118"/>
      <c r="K53" s="118"/>
      <c r="L53" s="118"/>
      <c r="M53" s="28">
        <f t="shared" si="37"/>
        <v>0</v>
      </c>
      <c r="N53" s="92" t="e">
        <f>ROUND(M53/M56,4)</f>
        <v>#DIV/0!</v>
      </c>
      <c r="O53" s="46" t="s">
        <v>135</v>
      </c>
    </row>
    <row r="54" spans="1:15" ht="20.100000000000001" customHeight="1">
      <c r="A54" s="55"/>
      <c r="B54" s="107" t="str">
        <f>$B$18</f>
        <v>……</v>
      </c>
      <c r="C54" s="118"/>
      <c r="D54" s="118"/>
      <c r="E54" s="118"/>
      <c r="F54" s="28">
        <f>C54+D54+E54</f>
        <v>0</v>
      </c>
      <c r="G54" s="92" t="e">
        <f>ROUND(F54/F56,4)</f>
        <v>#DIV/0!</v>
      </c>
      <c r="H54" s="55"/>
      <c r="I54" s="109" t="str">
        <f>$I$18</f>
        <v>上期附合终止经营定义的处置组C</v>
      </c>
      <c r="J54" s="118"/>
      <c r="K54" s="118"/>
      <c r="L54" s="118"/>
      <c r="M54" s="28">
        <f>J54+K54+L54</f>
        <v>0</v>
      </c>
      <c r="N54" s="92" t="e">
        <f>ROUND(M54/M56,4)</f>
        <v>#DIV/0!</v>
      </c>
      <c r="O54" s="46" t="s">
        <v>135</v>
      </c>
    </row>
    <row r="55" spans="1:15" ht="20.100000000000001" customHeight="1">
      <c r="A55" s="55"/>
      <c r="B55" s="107" t="str">
        <f>$B$19</f>
        <v>……</v>
      </c>
      <c r="C55" s="118"/>
      <c r="D55" s="118"/>
      <c r="E55" s="118"/>
      <c r="F55" s="28">
        <f t="shared" ref="F55:F56" si="38">C55+D55+E55</f>
        <v>0</v>
      </c>
      <c r="G55" s="92" t="e">
        <f>ROUND(F55/F56,4)</f>
        <v>#DIV/0!</v>
      </c>
      <c r="H55" s="55"/>
      <c r="I55" s="109" t="str">
        <f>$I$19</f>
        <v>……</v>
      </c>
      <c r="J55" s="118"/>
      <c r="K55" s="118"/>
      <c r="L55" s="118"/>
      <c r="M55" s="28">
        <f t="shared" ref="M55:M56" si="39">J55+K55+L55</f>
        <v>0</v>
      </c>
      <c r="N55" s="92" t="e">
        <f>ROUND(M55/M56,4)</f>
        <v>#DIV/0!</v>
      </c>
      <c r="O55" s="46" t="s">
        <v>135</v>
      </c>
    </row>
    <row r="56" spans="1:15" ht="20.100000000000001" customHeight="1">
      <c r="A56" s="192" t="s">
        <v>89</v>
      </c>
      <c r="B56" s="193" t="s">
        <v>89</v>
      </c>
      <c r="C56" s="28">
        <f>SUM(C52:C55)</f>
        <v>0</v>
      </c>
      <c r="D56" s="28">
        <f t="shared" ref="D56" si="40">SUM(D52:D55)</f>
        <v>0</v>
      </c>
      <c r="E56" s="28">
        <f t="shared" ref="E56" si="41">SUM(E52:E55)</f>
        <v>0</v>
      </c>
      <c r="F56" s="28">
        <f t="shared" si="38"/>
        <v>0</v>
      </c>
      <c r="G56" s="92" t="e">
        <f>ROUND(SUM(G52:G55),4)</f>
        <v>#DIV/0!</v>
      </c>
      <c r="H56" s="192" t="s">
        <v>89</v>
      </c>
      <c r="I56" s="193" t="s">
        <v>89</v>
      </c>
      <c r="J56" s="28">
        <f>SUM(J52:J55)</f>
        <v>0</v>
      </c>
      <c r="K56" s="28">
        <f t="shared" ref="K56:L56" si="42">SUM(K52:K55)</f>
        <v>0</v>
      </c>
      <c r="L56" s="28">
        <f t="shared" si="42"/>
        <v>0</v>
      </c>
      <c r="M56" s="28">
        <f t="shared" si="39"/>
        <v>0</v>
      </c>
      <c r="N56" s="92" t="e">
        <f>ROUND(SUM(N52:N55),4)</f>
        <v>#DIV/0!</v>
      </c>
      <c r="O56" s="92" t="e">
        <f>ROUND((F56-M56)/M56,4)</f>
        <v>#DIV/0!</v>
      </c>
    </row>
    <row r="57" spans="1:15" ht="24" customHeight="1">
      <c r="A57" s="190" t="s">
        <v>119</v>
      </c>
      <c r="B57" s="198" t="s">
        <v>90</v>
      </c>
      <c r="C57" s="124"/>
      <c r="D57" s="125"/>
      <c r="E57" s="125"/>
      <c r="F57" s="91"/>
      <c r="G57" s="91"/>
      <c r="H57" s="190" t="s">
        <v>119</v>
      </c>
      <c r="I57" s="198" t="s">
        <v>90</v>
      </c>
      <c r="J57" s="124"/>
      <c r="K57" s="125"/>
      <c r="L57" s="125"/>
      <c r="M57" s="99"/>
      <c r="N57" s="99"/>
      <c r="O57" s="99"/>
    </row>
    <row r="58" spans="1:15" ht="20.100000000000001" customHeight="1">
      <c r="A58" s="54"/>
      <c r="B58" s="107" t="str">
        <f>$B$16</f>
        <v>本期附合终止经营定义的处置组A</v>
      </c>
      <c r="C58" s="118"/>
      <c r="D58" s="118"/>
      <c r="E58" s="118"/>
      <c r="F58" s="28">
        <f t="shared" ref="F58:F59" si="43">C58+D58+E58</f>
        <v>0</v>
      </c>
      <c r="G58" s="92" t="e">
        <f>ROUND(F58/F62,4)</f>
        <v>#DIV/0!</v>
      </c>
      <c r="H58" s="90"/>
      <c r="I58" s="109" t="str">
        <f>$I$16</f>
        <v>本期附合终止经营定义的处置组A</v>
      </c>
      <c r="J58" s="118"/>
      <c r="K58" s="118"/>
      <c r="L58" s="118"/>
      <c r="M58" s="28">
        <f t="shared" ref="M58:M59" si="44">J58+K58+L58</f>
        <v>0</v>
      </c>
      <c r="N58" s="92" t="e">
        <f>ROUND(M58/M62,4)</f>
        <v>#DIV/0!</v>
      </c>
      <c r="O58" s="46" t="s">
        <v>135</v>
      </c>
    </row>
    <row r="59" spans="1:15" ht="20.100000000000001" customHeight="1">
      <c r="A59" s="90"/>
      <c r="B59" s="107" t="str">
        <f>$B$17</f>
        <v>本期附合终止经营定义的处置组B</v>
      </c>
      <c r="C59" s="118"/>
      <c r="D59" s="118"/>
      <c r="E59" s="118"/>
      <c r="F59" s="28">
        <f t="shared" si="43"/>
        <v>0</v>
      </c>
      <c r="G59" s="92" t="e">
        <f>ROUND(F59/F62,4)</f>
        <v>#DIV/0!</v>
      </c>
      <c r="H59" s="90"/>
      <c r="I59" s="109" t="str">
        <f>$I$17</f>
        <v>本期附合终止经营定义的处置组B</v>
      </c>
      <c r="J59" s="118"/>
      <c r="K59" s="118"/>
      <c r="L59" s="118"/>
      <c r="M59" s="28">
        <f t="shared" si="44"/>
        <v>0</v>
      </c>
      <c r="N59" s="92" t="e">
        <f>ROUND(M59/M62,4)</f>
        <v>#DIV/0!</v>
      </c>
      <c r="O59" s="46" t="s">
        <v>135</v>
      </c>
    </row>
    <row r="60" spans="1:15" ht="20.100000000000001" customHeight="1">
      <c r="A60" s="90"/>
      <c r="B60" s="107" t="str">
        <f>$B$18</f>
        <v>……</v>
      </c>
      <c r="C60" s="118"/>
      <c r="D60" s="118"/>
      <c r="E60" s="118"/>
      <c r="F60" s="28">
        <f>C60+D60+E60</f>
        <v>0</v>
      </c>
      <c r="G60" s="92" t="e">
        <f>ROUND(F60/F62,4)</f>
        <v>#DIV/0!</v>
      </c>
      <c r="H60" s="90"/>
      <c r="I60" s="109" t="str">
        <f>$I$18</f>
        <v>上期附合终止经营定义的处置组C</v>
      </c>
      <c r="J60" s="118"/>
      <c r="K60" s="118"/>
      <c r="L60" s="118"/>
      <c r="M60" s="28">
        <f>J60+K60+L60</f>
        <v>0</v>
      </c>
      <c r="N60" s="92" t="e">
        <f>ROUND(M60/M62,4)</f>
        <v>#DIV/0!</v>
      </c>
      <c r="O60" s="46" t="s">
        <v>135</v>
      </c>
    </row>
    <row r="61" spans="1:15" ht="20.100000000000001" customHeight="1">
      <c r="A61" s="54"/>
      <c r="B61" s="107" t="str">
        <f>$B$19</f>
        <v>……</v>
      </c>
      <c r="C61" s="118"/>
      <c r="D61" s="118"/>
      <c r="E61" s="118"/>
      <c r="F61" s="28">
        <f t="shared" ref="F61:F62" si="45">C61+D61+E61</f>
        <v>0</v>
      </c>
      <c r="G61" s="92" t="e">
        <f>ROUND(F61/F62,4)</f>
        <v>#DIV/0!</v>
      </c>
      <c r="H61" s="90"/>
      <c r="I61" s="109" t="str">
        <f>$I$19</f>
        <v>……</v>
      </c>
      <c r="J61" s="118"/>
      <c r="K61" s="118"/>
      <c r="L61" s="118"/>
      <c r="M61" s="28">
        <f t="shared" ref="M61:M62" si="46">J61+K61+L61</f>
        <v>0</v>
      </c>
      <c r="N61" s="92" t="e">
        <f>ROUND(M61/M62,4)</f>
        <v>#DIV/0!</v>
      </c>
      <c r="O61" s="46" t="s">
        <v>135</v>
      </c>
    </row>
    <row r="62" spans="1:15" ht="20.100000000000001" customHeight="1">
      <c r="A62" s="192" t="s">
        <v>89</v>
      </c>
      <c r="B62" s="193" t="s">
        <v>89</v>
      </c>
      <c r="C62" s="28">
        <f>SUM(C58:C61)</f>
        <v>0</v>
      </c>
      <c r="D62" s="28">
        <f t="shared" ref="D62" si="47">SUM(D58:D61)</f>
        <v>0</v>
      </c>
      <c r="E62" s="28">
        <f t="shared" ref="E62" si="48">SUM(E58:E61)</f>
        <v>0</v>
      </c>
      <c r="F62" s="28">
        <f t="shared" si="45"/>
        <v>0</v>
      </c>
      <c r="G62" s="92" t="e">
        <f>ROUND(SUM(G58:G61),4)</f>
        <v>#DIV/0!</v>
      </c>
      <c r="H62" s="192" t="s">
        <v>89</v>
      </c>
      <c r="I62" s="193" t="s">
        <v>89</v>
      </c>
      <c r="J62" s="28">
        <f>SUM(J58:J61)</f>
        <v>0</v>
      </c>
      <c r="K62" s="28">
        <f t="shared" ref="K62:L62" si="49">SUM(K58:K61)</f>
        <v>0</v>
      </c>
      <c r="L62" s="28">
        <f t="shared" si="49"/>
        <v>0</v>
      </c>
      <c r="M62" s="28">
        <f t="shared" si="46"/>
        <v>0</v>
      </c>
      <c r="N62" s="92" t="e">
        <f>ROUND(SUM(N58:N61),4)</f>
        <v>#DIV/0!</v>
      </c>
      <c r="O62" s="92" t="e">
        <f>ROUND((F62-M62)/M62,4)</f>
        <v>#DIV/0!</v>
      </c>
    </row>
    <row r="63" spans="1:15" ht="24" customHeight="1">
      <c r="A63" s="190" t="s">
        <v>120</v>
      </c>
      <c r="B63" s="198" t="s">
        <v>91</v>
      </c>
      <c r="C63" s="124"/>
      <c r="D63" s="125"/>
      <c r="E63" s="125"/>
      <c r="F63" s="91"/>
      <c r="G63" s="91"/>
      <c r="H63" s="190" t="s">
        <v>120</v>
      </c>
      <c r="I63" s="198" t="s">
        <v>51</v>
      </c>
      <c r="J63" s="124"/>
      <c r="K63" s="125"/>
      <c r="L63" s="125"/>
      <c r="M63" s="99"/>
      <c r="N63" s="99"/>
      <c r="O63" s="99"/>
    </row>
    <row r="64" spans="1:15" ht="20.100000000000001" customHeight="1">
      <c r="A64" s="54"/>
      <c r="B64" s="107" t="str">
        <f>$B$16</f>
        <v>本期附合终止经营定义的处置组A</v>
      </c>
      <c r="C64" s="28">
        <f>C52-C58</f>
        <v>0</v>
      </c>
      <c r="D64" s="28">
        <f t="shared" ref="D64:E64" si="50">D52-D58</f>
        <v>0</v>
      </c>
      <c r="E64" s="28">
        <f t="shared" si="50"/>
        <v>0</v>
      </c>
      <c r="F64" s="28">
        <f t="shared" ref="F64:F65" si="51">C64+D64+E64</f>
        <v>0</v>
      </c>
      <c r="G64" s="92" t="e">
        <f>ROUND(F64/F68,4)</f>
        <v>#DIV/0!</v>
      </c>
      <c r="H64" s="90"/>
      <c r="I64" s="109" t="str">
        <f>$I$16</f>
        <v>本期附合终止经营定义的处置组A</v>
      </c>
      <c r="J64" s="28">
        <f>J52-J58</f>
        <v>0</v>
      </c>
      <c r="K64" s="28">
        <f t="shared" ref="K64:L64" si="52">K52-K58</f>
        <v>0</v>
      </c>
      <c r="L64" s="28">
        <f t="shared" si="52"/>
        <v>0</v>
      </c>
      <c r="M64" s="28">
        <f t="shared" ref="M64:M65" si="53">J64+K64+L64</f>
        <v>0</v>
      </c>
      <c r="N64" s="92" t="e">
        <f>ROUND(M64/M68,4)</f>
        <v>#DIV/0!</v>
      </c>
      <c r="O64" s="46" t="s">
        <v>135</v>
      </c>
    </row>
    <row r="65" spans="1:15" ht="20.100000000000001" customHeight="1">
      <c r="A65" s="90"/>
      <c r="B65" s="107" t="str">
        <f>$B$17</f>
        <v>本期附合终止经营定义的处置组B</v>
      </c>
      <c r="C65" s="28">
        <f t="shared" ref="C65:E65" si="54">C53-C59</f>
        <v>0</v>
      </c>
      <c r="D65" s="28">
        <f t="shared" si="54"/>
        <v>0</v>
      </c>
      <c r="E65" s="28">
        <f t="shared" si="54"/>
        <v>0</v>
      </c>
      <c r="F65" s="28">
        <f t="shared" si="51"/>
        <v>0</v>
      </c>
      <c r="G65" s="92" t="e">
        <f>ROUND(F65/F68,4)</f>
        <v>#DIV/0!</v>
      </c>
      <c r="H65" s="90"/>
      <c r="I65" s="109" t="str">
        <f>$I$17</f>
        <v>本期附合终止经营定义的处置组B</v>
      </c>
      <c r="J65" s="28">
        <f t="shared" ref="J65:L65" si="55">J53-J59</f>
        <v>0</v>
      </c>
      <c r="K65" s="28">
        <f t="shared" si="55"/>
        <v>0</v>
      </c>
      <c r="L65" s="28">
        <f t="shared" si="55"/>
        <v>0</v>
      </c>
      <c r="M65" s="28">
        <f t="shared" si="53"/>
        <v>0</v>
      </c>
      <c r="N65" s="92" t="e">
        <f>ROUND(M65/M68,4)</f>
        <v>#DIV/0!</v>
      </c>
      <c r="O65" s="46" t="s">
        <v>135</v>
      </c>
    </row>
    <row r="66" spans="1:15" ht="20.100000000000001" customHeight="1">
      <c r="A66" s="90"/>
      <c r="B66" s="107" t="str">
        <f>$B$18</f>
        <v>……</v>
      </c>
      <c r="C66" s="28">
        <f t="shared" ref="C66:E66" si="56">C54-C60</f>
        <v>0</v>
      </c>
      <c r="D66" s="28">
        <f t="shared" si="56"/>
        <v>0</v>
      </c>
      <c r="E66" s="28">
        <f t="shared" si="56"/>
        <v>0</v>
      </c>
      <c r="F66" s="28">
        <f>C66+D66+E66</f>
        <v>0</v>
      </c>
      <c r="G66" s="92" t="e">
        <f>ROUND(F66/F68,4)</f>
        <v>#DIV/0!</v>
      </c>
      <c r="H66" s="90"/>
      <c r="I66" s="109" t="str">
        <f>$I$18</f>
        <v>上期附合终止经营定义的处置组C</v>
      </c>
      <c r="J66" s="28">
        <f t="shared" ref="J66:L66" si="57">J54-J60</f>
        <v>0</v>
      </c>
      <c r="K66" s="28">
        <f t="shared" si="57"/>
        <v>0</v>
      </c>
      <c r="L66" s="28">
        <f t="shared" si="57"/>
        <v>0</v>
      </c>
      <c r="M66" s="28">
        <f>J66+K66+L66</f>
        <v>0</v>
      </c>
      <c r="N66" s="92" t="e">
        <f>ROUND(M66/M68,4)</f>
        <v>#DIV/0!</v>
      </c>
      <c r="O66" s="46" t="s">
        <v>135</v>
      </c>
    </row>
    <row r="67" spans="1:15" ht="20.100000000000001" customHeight="1">
      <c r="A67" s="54"/>
      <c r="B67" s="107" t="str">
        <f>$B$19</f>
        <v>……</v>
      </c>
      <c r="C67" s="28">
        <f t="shared" ref="C67:E67" si="58">C55-C61</f>
        <v>0</v>
      </c>
      <c r="D67" s="28">
        <f t="shared" si="58"/>
        <v>0</v>
      </c>
      <c r="E67" s="28">
        <f t="shared" si="58"/>
        <v>0</v>
      </c>
      <c r="F67" s="28">
        <f t="shared" ref="F67:F68" si="59">C67+D67+E67</f>
        <v>0</v>
      </c>
      <c r="G67" s="92" t="e">
        <f>ROUND(F67/F68,4)</f>
        <v>#DIV/0!</v>
      </c>
      <c r="H67" s="90"/>
      <c r="I67" s="109" t="str">
        <f>$I$19</f>
        <v>……</v>
      </c>
      <c r="J67" s="28">
        <f t="shared" ref="J67:L67" si="60">J55-J61</f>
        <v>0</v>
      </c>
      <c r="K67" s="28">
        <f t="shared" si="60"/>
        <v>0</v>
      </c>
      <c r="L67" s="28">
        <f t="shared" si="60"/>
        <v>0</v>
      </c>
      <c r="M67" s="28">
        <f t="shared" ref="M67:M68" si="61">J67+K67+L67</f>
        <v>0</v>
      </c>
      <c r="N67" s="92" t="e">
        <f>ROUND(M67/M68,4)</f>
        <v>#DIV/0!</v>
      </c>
      <c r="O67" s="46" t="s">
        <v>135</v>
      </c>
    </row>
    <row r="68" spans="1:15" ht="20.100000000000001" customHeight="1">
      <c r="A68" s="192" t="s">
        <v>89</v>
      </c>
      <c r="B68" s="193" t="s">
        <v>89</v>
      </c>
      <c r="C68" s="28">
        <f>SUM(C64:C67)</f>
        <v>0</v>
      </c>
      <c r="D68" s="28">
        <f t="shared" ref="D68" si="62">SUM(D64:D67)</f>
        <v>0</v>
      </c>
      <c r="E68" s="28">
        <f t="shared" ref="E68" si="63">SUM(E64:E67)</f>
        <v>0</v>
      </c>
      <c r="F68" s="28">
        <f t="shared" si="59"/>
        <v>0</v>
      </c>
      <c r="G68" s="92" t="e">
        <f>ROUND(SUM(G64:G67),4)</f>
        <v>#DIV/0!</v>
      </c>
      <c r="H68" s="192" t="s">
        <v>89</v>
      </c>
      <c r="I68" s="193" t="s">
        <v>89</v>
      </c>
      <c r="J68" s="28">
        <f>SUM(J64:J67)</f>
        <v>0</v>
      </c>
      <c r="K68" s="28">
        <f t="shared" ref="K68:L68" si="64">SUM(K64:K67)</f>
        <v>0</v>
      </c>
      <c r="L68" s="28">
        <f t="shared" si="64"/>
        <v>0</v>
      </c>
      <c r="M68" s="28">
        <f t="shared" si="61"/>
        <v>0</v>
      </c>
      <c r="N68" s="92" t="e">
        <f>ROUND(SUM(N64:N67),4)</f>
        <v>#DIV/0!</v>
      </c>
      <c r="O68" s="92" t="e">
        <f>ROUND((F68-M68)/M68,4)</f>
        <v>#DIV/0!</v>
      </c>
    </row>
    <row r="69" spans="1:15" ht="24" customHeight="1">
      <c r="A69" s="190" t="s">
        <v>121</v>
      </c>
      <c r="B69" s="191"/>
      <c r="C69" s="124"/>
      <c r="D69" s="125"/>
      <c r="E69" s="125"/>
      <c r="F69" s="91"/>
      <c r="G69" s="91"/>
      <c r="H69" s="190" t="s">
        <v>121</v>
      </c>
      <c r="I69" s="191"/>
      <c r="J69" s="124"/>
      <c r="K69" s="125"/>
      <c r="L69" s="125"/>
      <c r="M69" s="99"/>
      <c r="N69" s="99"/>
      <c r="O69" s="99"/>
    </row>
    <row r="70" spans="1:15" ht="20.100000000000001" customHeight="1">
      <c r="A70" s="54"/>
      <c r="B70" s="107" t="str">
        <f>$B$16</f>
        <v>本期附合终止经营定义的处置组A</v>
      </c>
      <c r="C70" s="28">
        <f>C40+C46+C64</f>
        <v>0</v>
      </c>
      <c r="D70" s="28">
        <f t="shared" ref="D70:E70" si="65">D40+D46+D64</f>
        <v>0</v>
      </c>
      <c r="E70" s="28">
        <f t="shared" si="65"/>
        <v>0</v>
      </c>
      <c r="F70" s="28">
        <f t="shared" ref="F70:F71" si="66">C70+D70+E70</f>
        <v>0</v>
      </c>
      <c r="G70" s="92" t="e">
        <f>ROUND(F70/F74,4)</f>
        <v>#DIV/0!</v>
      </c>
      <c r="H70" s="90"/>
      <c r="I70" s="109" t="str">
        <f>$I$16</f>
        <v>本期附合终止经营定义的处置组A</v>
      </c>
      <c r="J70" s="28">
        <f>J40+J46+J64</f>
        <v>0</v>
      </c>
      <c r="K70" s="28">
        <f t="shared" ref="K70:L70" si="67">K40+K46+K64</f>
        <v>0</v>
      </c>
      <c r="L70" s="28">
        <f t="shared" si="67"/>
        <v>0</v>
      </c>
      <c r="M70" s="28">
        <f>J70+K70+L70</f>
        <v>0</v>
      </c>
      <c r="N70" s="92" t="e">
        <f>ROUND(M70/M74,4)</f>
        <v>#DIV/0!</v>
      </c>
      <c r="O70" s="46" t="s">
        <v>135</v>
      </c>
    </row>
    <row r="71" spans="1:15" ht="20.100000000000001" customHeight="1">
      <c r="A71" s="90"/>
      <c r="B71" s="107" t="str">
        <f>$B$17</f>
        <v>本期附合终止经营定义的处置组B</v>
      </c>
      <c r="C71" s="28">
        <f t="shared" ref="C71:E71" si="68">C41+C47+C65</f>
        <v>0</v>
      </c>
      <c r="D71" s="28">
        <f t="shared" si="68"/>
        <v>0</v>
      </c>
      <c r="E71" s="28">
        <f t="shared" si="68"/>
        <v>0</v>
      </c>
      <c r="F71" s="28">
        <f t="shared" si="66"/>
        <v>0</v>
      </c>
      <c r="G71" s="92" t="e">
        <f>ROUND(F71/F74,4)</f>
        <v>#DIV/0!</v>
      </c>
      <c r="H71" s="90"/>
      <c r="I71" s="109" t="str">
        <f>$I$17</f>
        <v>本期附合终止经营定义的处置组B</v>
      </c>
      <c r="J71" s="28">
        <f t="shared" ref="J71:L71" si="69">J41+J47+J65</f>
        <v>0</v>
      </c>
      <c r="K71" s="28">
        <f t="shared" si="69"/>
        <v>0</v>
      </c>
      <c r="L71" s="28">
        <f t="shared" si="69"/>
        <v>0</v>
      </c>
      <c r="M71" s="28">
        <f t="shared" ref="M71" si="70">J71+K71+L71</f>
        <v>0</v>
      </c>
      <c r="N71" s="92" t="e">
        <f>ROUND(M71/M74,4)</f>
        <v>#DIV/0!</v>
      </c>
      <c r="O71" s="46" t="s">
        <v>135</v>
      </c>
    </row>
    <row r="72" spans="1:15" ht="20.100000000000001" customHeight="1">
      <c r="A72" s="90"/>
      <c r="B72" s="107" t="str">
        <f>$B$18</f>
        <v>……</v>
      </c>
      <c r="C72" s="28">
        <f t="shared" ref="C72:E72" si="71">C42+C48+C66</f>
        <v>0</v>
      </c>
      <c r="D72" s="28">
        <f t="shared" si="71"/>
        <v>0</v>
      </c>
      <c r="E72" s="28">
        <f t="shared" si="71"/>
        <v>0</v>
      </c>
      <c r="F72" s="28">
        <f>C72+D72+E72</f>
        <v>0</v>
      </c>
      <c r="G72" s="92" t="e">
        <f>ROUND(F72/F74,4)</f>
        <v>#DIV/0!</v>
      </c>
      <c r="H72" s="90"/>
      <c r="I72" s="109" t="str">
        <f>$I$18</f>
        <v>上期附合终止经营定义的处置组C</v>
      </c>
      <c r="J72" s="28">
        <f t="shared" ref="J72:L72" si="72">J42+J48+J66</f>
        <v>0</v>
      </c>
      <c r="K72" s="28">
        <f t="shared" si="72"/>
        <v>0</v>
      </c>
      <c r="L72" s="28">
        <f t="shared" si="72"/>
        <v>0</v>
      </c>
      <c r="M72" s="28">
        <f>J72+K72+L72</f>
        <v>0</v>
      </c>
      <c r="N72" s="92" t="e">
        <f>ROUND(M72/M74,4)</f>
        <v>#DIV/0!</v>
      </c>
      <c r="O72" s="46" t="s">
        <v>135</v>
      </c>
    </row>
    <row r="73" spans="1:15" ht="20.100000000000001" customHeight="1">
      <c r="A73" s="54"/>
      <c r="B73" s="107" t="str">
        <f>$B$19</f>
        <v>……</v>
      </c>
      <c r="C73" s="28">
        <f t="shared" ref="C73:E73" si="73">C43+C49+C67</f>
        <v>0</v>
      </c>
      <c r="D73" s="28">
        <f t="shared" si="73"/>
        <v>0</v>
      </c>
      <c r="E73" s="28">
        <f t="shared" si="73"/>
        <v>0</v>
      </c>
      <c r="F73" s="28">
        <f t="shared" ref="F73:F74" si="74">C73+D73+E73</f>
        <v>0</v>
      </c>
      <c r="G73" s="92" t="e">
        <f>ROUND(F73/F74,4)</f>
        <v>#DIV/0!</v>
      </c>
      <c r="H73" s="90"/>
      <c r="I73" s="109" t="str">
        <f>$I$19</f>
        <v>……</v>
      </c>
      <c r="J73" s="28">
        <f t="shared" ref="J73:L73" si="75">J43+J49+J67</f>
        <v>0</v>
      </c>
      <c r="K73" s="28">
        <f t="shared" si="75"/>
        <v>0</v>
      </c>
      <c r="L73" s="28">
        <f t="shared" si="75"/>
        <v>0</v>
      </c>
      <c r="M73" s="28">
        <f t="shared" ref="M73" si="76">J73+K73+L73</f>
        <v>0</v>
      </c>
      <c r="N73" s="92" t="e">
        <f>ROUND(M73/M74,4)</f>
        <v>#DIV/0!</v>
      </c>
      <c r="O73" s="46" t="s">
        <v>135</v>
      </c>
    </row>
    <row r="74" spans="1:15" ht="20.100000000000001" customHeight="1">
      <c r="A74" s="192" t="s">
        <v>89</v>
      </c>
      <c r="B74" s="193" t="s">
        <v>89</v>
      </c>
      <c r="C74" s="28">
        <f>SUM(C70:C73)</f>
        <v>0</v>
      </c>
      <c r="D74" s="28">
        <f t="shared" ref="D74" si="77">SUM(D70:D73)</f>
        <v>0</v>
      </c>
      <c r="E74" s="28">
        <f t="shared" ref="E74" si="78">SUM(E70:E73)</f>
        <v>0</v>
      </c>
      <c r="F74" s="28">
        <f t="shared" si="74"/>
        <v>0</v>
      </c>
      <c r="G74" s="92" t="e">
        <f>ROUND(SUM(G70:G73),4)</f>
        <v>#DIV/0!</v>
      </c>
      <c r="H74" s="192" t="s">
        <v>89</v>
      </c>
      <c r="I74" s="193" t="s">
        <v>89</v>
      </c>
      <c r="J74" s="28">
        <f>SUM(J70:J73)</f>
        <v>0</v>
      </c>
      <c r="K74" s="28">
        <f t="shared" ref="K74:L74" si="79">SUM(K70:K73)</f>
        <v>0</v>
      </c>
      <c r="L74" s="28">
        <f t="shared" si="79"/>
        <v>0</v>
      </c>
      <c r="M74" s="28">
        <f>J74+K74+L74</f>
        <v>0</v>
      </c>
      <c r="N74" s="92" t="e">
        <f>ROUND(SUM(N70:N73),4)</f>
        <v>#DIV/0!</v>
      </c>
      <c r="O74" s="92" t="e">
        <f>ROUND((F74-M74)/M74,4)</f>
        <v>#DIV/0!</v>
      </c>
    </row>
    <row r="75" spans="1:15" ht="24" customHeight="1">
      <c r="A75" s="197" t="s">
        <v>128</v>
      </c>
      <c r="B75" s="198" t="s">
        <v>92</v>
      </c>
      <c r="C75" s="124"/>
      <c r="D75" s="125"/>
      <c r="E75" s="125"/>
      <c r="F75" s="91"/>
      <c r="G75" s="91"/>
      <c r="H75" s="197" t="s">
        <v>128</v>
      </c>
      <c r="I75" s="198" t="s">
        <v>92</v>
      </c>
      <c r="J75" s="124"/>
      <c r="K75" s="125"/>
      <c r="L75" s="125"/>
      <c r="M75" s="99"/>
      <c r="N75" s="99"/>
      <c r="O75" s="99"/>
    </row>
    <row r="76" spans="1:15" ht="20.100000000000001" customHeight="1">
      <c r="A76" s="54"/>
      <c r="B76" s="107" t="str">
        <f>$B$16</f>
        <v>本期附合终止经营定义的处置组A</v>
      </c>
      <c r="C76" s="118"/>
      <c r="D76" s="118"/>
      <c r="E76" s="118"/>
      <c r="F76" s="28">
        <f t="shared" ref="F76:F77" si="80">C76+D76+E76</f>
        <v>0</v>
      </c>
      <c r="G76" s="92" t="e">
        <f>ROUND(F76/F80,4)</f>
        <v>#DIV/0!</v>
      </c>
      <c r="H76" s="90"/>
      <c r="I76" s="109" t="str">
        <f>$I$16</f>
        <v>本期附合终止经营定义的处置组A</v>
      </c>
      <c r="J76" s="118"/>
      <c r="K76" s="118"/>
      <c r="L76" s="118"/>
      <c r="M76" s="28">
        <f t="shared" ref="M76:M77" si="81">J76+K76+L76</f>
        <v>0</v>
      </c>
      <c r="N76" s="92" t="e">
        <f>ROUND(M76/M80,4)</f>
        <v>#DIV/0!</v>
      </c>
      <c r="O76" s="46" t="s">
        <v>135</v>
      </c>
    </row>
    <row r="77" spans="1:15" ht="20.100000000000001" customHeight="1">
      <c r="A77" s="90"/>
      <c r="B77" s="107" t="str">
        <f>$B$17</f>
        <v>本期附合终止经营定义的处置组B</v>
      </c>
      <c r="C77" s="118"/>
      <c r="D77" s="118"/>
      <c r="E77" s="118"/>
      <c r="F77" s="28">
        <f t="shared" si="80"/>
        <v>0</v>
      </c>
      <c r="G77" s="92" t="e">
        <f>ROUND(F77/F80,4)</f>
        <v>#DIV/0!</v>
      </c>
      <c r="H77" s="90"/>
      <c r="I77" s="109" t="str">
        <f>$I$17</f>
        <v>本期附合终止经营定义的处置组B</v>
      </c>
      <c r="J77" s="118"/>
      <c r="K77" s="118"/>
      <c r="L77" s="118"/>
      <c r="M77" s="28">
        <f t="shared" si="81"/>
        <v>0</v>
      </c>
      <c r="N77" s="92" t="e">
        <f>ROUND(M77/M80,4)</f>
        <v>#DIV/0!</v>
      </c>
      <c r="O77" s="46" t="s">
        <v>135</v>
      </c>
    </row>
    <row r="78" spans="1:15" ht="20.100000000000001" customHeight="1">
      <c r="A78" s="90"/>
      <c r="B78" s="107" t="str">
        <f>$B$18</f>
        <v>……</v>
      </c>
      <c r="C78" s="118"/>
      <c r="D78" s="118"/>
      <c r="E78" s="118"/>
      <c r="F78" s="28">
        <f>C78+D78+E78</f>
        <v>0</v>
      </c>
      <c r="G78" s="92" t="e">
        <f>ROUND(F78/F80,4)</f>
        <v>#DIV/0!</v>
      </c>
      <c r="H78" s="90"/>
      <c r="I78" s="109" t="str">
        <f>$I$18</f>
        <v>上期附合终止经营定义的处置组C</v>
      </c>
      <c r="J78" s="118"/>
      <c r="K78" s="118"/>
      <c r="L78" s="118"/>
      <c r="M78" s="28">
        <f>J78+K78+L78</f>
        <v>0</v>
      </c>
      <c r="N78" s="92" t="e">
        <f>ROUND(M78/M80,4)</f>
        <v>#DIV/0!</v>
      </c>
      <c r="O78" s="46" t="s">
        <v>135</v>
      </c>
    </row>
    <row r="79" spans="1:15" ht="20.100000000000001" customHeight="1">
      <c r="A79" s="54"/>
      <c r="B79" s="107" t="str">
        <f>$B$19</f>
        <v>……</v>
      </c>
      <c r="C79" s="118"/>
      <c r="D79" s="118"/>
      <c r="E79" s="118"/>
      <c r="F79" s="28">
        <f t="shared" ref="F79:F80" si="82">C79+D79+E79</f>
        <v>0</v>
      </c>
      <c r="G79" s="92" t="e">
        <f>ROUND(F79/F80,4)</f>
        <v>#DIV/0!</v>
      </c>
      <c r="H79" s="90"/>
      <c r="I79" s="109" t="str">
        <f>$I$19</f>
        <v>……</v>
      </c>
      <c r="J79" s="118"/>
      <c r="K79" s="118"/>
      <c r="L79" s="118"/>
      <c r="M79" s="28">
        <f t="shared" ref="M79:M80" si="83">J79+K79+L79</f>
        <v>0</v>
      </c>
      <c r="N79" s="92" t="e">
        <f>ROUND(M79/M80,4)</f>
        <v>#DIV/0!</v>
      </c>
      <c r="O79" s="46" t="s">
        <v>135</v>
      </c>
    </row>
    <row r="80" spans="1:15" ht="20.100000000000001" customHeight="1">
      <c r="A80" s="192" t="s">
        <v>89</v>
      </c>
      <c r="B80" s="193" t="s">
        <v>89</v>
      </c>
      <c r="C80" s="28">
        <f>SUM(C76:C79)</f>
        <v>0</v>
      </c>
      <c r="D80" s="28">
        <f t="shared" ref="D80:E80" si="84">SUM(D76:D79)</f>
        <v>0</v>
      </c>
      <c r="E80" s="28">
        <f t="shared" si="84"/>
        <v>0</v>
      </c>
      <c r="F80" s="28">
        <f t="shared" si="82"/>
        <v>0</v>
      </c>
      <c r="G80" s="92" t="e">
        <f>ROUND(SUM(G76:G79),4)</f>
        <v>#DIV/0!</v>
      </c>
      <c r="H80" s="192" t="s">
        <v>89</v>
      </c>
      <c r="I80" s="193" t="s">
        <v>89</v>
      </c>
      <c r="J80" s="28">
        <f>SUM(J76:J79)</f>
        <v>0</v>
      </c>
      <c r="K80" s="28">
        <f t="shared" ref="K80:L80" si="85">SUM(K76:K79)</f>
        <v>0</v>
      </c>
      <c r="L80" s="28">
        <f t="shared" si="85"/>
        <v>0</v>
      </c>
      <c r="M80" s="28">
        <f t="shared" si="83"/>
        <v>0</v>
      </c>
      <c r="N80" s="92" t="e">
        <f>ROUND(SUM(N76:N79),4)</f>
        <v>#DIV/0!</v>
      </c>
      <c r="O80" s="92" t="e">
        <f>ROUND((F80-M80)/M80,4)</f>
        <v>#DIV/0!</v>
      </c>
    </row>
    <row r="81" spans="1:15" ht="20.100000000000001" customHeight="1">
      <c r="A81" s="197" t="s">
        <v>129</v>
      </c>
      <c r="B81" s="198" t="s">
        <v>92</v>
      </c>
      <c r="C81" s="124"/>
      <c r="D81" s="125"/>
      <c r="E81" s="125"/>
      <c r="F81" s="99"/>
      <c r="G81" s="99"/>
      <c r="H81" s="197" t="s">
        <v>129</v>
      </c>
      <c r="I81" s="198" t="s">
        <v>92</v>
      </c>
      <c r="J81" s="124"/>
      <c r="K81" s="125"/>
      <c r="L81" s="125"/>
      <c r="M81" s="99"/>
      <c r="N81" s="99"/>
      <c r="O81" s="99"/>
    </row>
    <row r="82" spans="1:15" ht="20.100000000000001" customHeight="1">
      <c r="A82" s="90"/>
      <c r="B82" s="107" t="str">
        <f>$B$16</f>
        <v>本期附合终止经营定义的处置组A</v>
      </c>
      <c r="C82" s="118"/>
      <c r="D82" s="118"/>
      <c r="E82" s="118"/>
      <c r="F82" s="28">
        <f t="shared" ref="F82:F83" si="86">C82+D82+E82</f>
        <v>0</v>
      </c>
      <c r="G82" s="92" t="e">
        <f>ROUND(F82/F86,4)</f>
        <v>#DIV/0!</v>
      </c>
      <c r="H82" s="90"/>
      <c r="I82" s="109" t="str">
        <f>$I$16</f>
        <v>本期附合终止经营定义的处置组A</v>
      </c>
      <c r="J82" s="118"/>
      <c r="K82" s="118"/>
      <c r="L82" s="118"/>
      <c r="M82" s="28">
        <f t="shared" ref="M82:M83" si="87">J82+K82+L82</f>
        <v>0</v>
      </c>
      <c r="N82" s="92" t="e">
        <f>ROUND(M82/M86,4)</f>
        <v>#DIV/0!</v>
      </c>
      <c r="O82" s="46" t="s">
        <v>135</v>
      </c>
    </row>
    <row r="83" spans="1:15" ht="20.100000000000001" customHeight="1">
      <c r="A83" s="90"/>
      <c r="B83" s="107" t="str">
        <f>$B$17</f>
        <v>本期附合终止经营定义的处置组B</v>
      </c>
      <c r="C83" s="118"/>
      <c r="D83" s="118"/>
      <c r="E83" s="118"/>
      <c r="F83" s="28">
        <f t="shared" si="86"/>
        <v>0</v>
      </c>
      <c r="G83" s="92" t="e">
        <f>ROUND(F83/F86,4)</f>
        <v>#DIV/0!</v>
      </c>
      <c r="H83" s="90"/>
      <c r="I83" s="109" t="str">
        <f>$I$17</f>
        <v>本期附合终止经营定义的处置组B</v>
      </c>
      <c r="J83" s="118"/>
      <c r="K83" s="118"/>
      <c r="L83" s="118"/>
      <c r="M83" s="28">
        <f t="shared" si="87"/>
        <v>0</v>
      </c>
      <c r="N83" s="92" t="e">
        <f>ROUND(M83/M86,4)</f>
        <v>#DIV/0!</v>
      </c>
      <c r="O83" s="46" t="s">
        <v>135</v>
      </c>
    </row>
    <row r="84" spans="1:15" ht="20.100000000000001" customHeight="1">
      <c r="A84" s="90"/>
      <c r="B84" s="107" t="str">
        <f>$B$18</f>
        <v>……</v>
      </c>
      <c r="C84" s="118"/>
      <c r="D84" s="118"/>
      <c r="E84" s="118"/>
      <c r="F84" s="28">
        <f>C84+D84+E84</f>
        <v>0</v>
      </c>
      <c r="G84" s="92" t="e">
        <f>ROUND(F84/F86,4)</f>
        <v>#DIV/0!</v>
      </c>
      <c r="H84" s="90"/>
      <c r="I84" s="109" t="str">
        <f>$I$18</f>
        <v>上期附合终止经营定义的处置组C</v>
      </c>
      <c r="J84" s="118"/>
      <c r="K84" s="118"/>
      <c r="L84" s="118"/>
      <c r="M84" s="28">
        <f>J84+K84+L84</f>
        <v>0</v>
      </c>
      <c r="N84" s="92" t="e">
        <f>ROUND(M84/M86,4)</f>
        <v>#DIV/0!</v>
      </c>
      <c r="O84" s="46" t="s">
        <v>135</v>
      </c>
    </row>
    <row r="85" spans="1:15" ht="20.100000000000001" customHeight="1">
      <c r="A85" s="90"/>
      <c r="B85" s="107" t="str">
        <f>$B$19</f>
        <v>……</v>
      </c>
      <c r="C85" s="118"/>
      <c r="D85" s="118"/>
      <c r="E85" s="118"/>
      <c r="F85" s="28">
        <f t="shared" ref="F85:F86" si="88">C85+D85+E85</f>
        <v>0</v>
      </c>
      <c r="G85" s="92" t="e">
        <f>ROUND(F85/F86,4)</f>
        <v>#DIV/0!</v>
      </c>
      <c r="H85" s="90"/>
      <c r="I85" s="109" t="str">
        <f>$I$19</f>
        <v>……</v>
      </c>
      <c r="J85" s="118"/>
      <c r="K85" s="118"/>
      <c r="L85" s="118"/>
      <c r="M85" s="28">
        <f t="shared" ref="M85:M86" si="89">J85+K85+L85</f>
        <v>0</v>
      </c>
      <c r="N85" s="92" t="e">
        <f>ROUND(M85/M86,4)</f>
        <v>#DIV/0!</v>
      </c>
      <c r="O85" s="46" t="s">
        <v>135</v>
      </c>
    </row>
    <row r="86" spans="1:15" ht="20.100000000000001" customHeight="1">
      <c r="A86" s="192" t="s">
        <v>89</v>
      </c>
      <c r="B86" s="193" t="s">
        <v>89</v>
      </c>
      <c r="C86" s="28">
        <f>SUM(C82:C85)</f>
        <v>0</v>
      </c>
      <c r="D86" s="28">
        <f t="shared" ref="D86:E86" si="90">SUM(D82:D85)</f>
        <v>0</v>
      </c>
      <c r="E86" s="28">
        <f t="shared" si="90"/>
        <v>0</v>
      </c>
      <c r="F86" s="28">
        <f t="shared" si="88"/>
        <v>0</v>
      </c>
      <c r="G86" s="92" t="e">
        <f>ROUND(SUM(G82:G85),4)</f>
        <v>#DIV/0!</v>
      </c>
      <c r="H86" s="192" t="s">
        <v>89</v>
      </c>
      <c r="I86" s="193" t="s">
        <v>89</v>
      </c>
      <c r="J86" s="28">
        <f>SUM(J82:J85)</f>
        <v>0</v>
      </c>
      <c r="K86" s="28">
        <f t="shared" ref="K86:L86" si="91">SUM(K82:K85)</f>
        <v>0</v>
      </c>
      <c r="L86" s="28">
        <f t="shared" si="91"/>
        <v>0</v>
      </c>
      <c r="M86" s="28">
        <f t="shared" si="89"/>
        <v>0</v>
      </c>
      <c r="N86" s="92" t="e">
        <f>ROUND(SUM(N82:N85),4)</f>
        <v>#DIV/0!</v>
      </c>
      <c r="O86" s="92" t="e">
        <f>ROUND((F86-M86)/M86,4)</f>
        <v>#DIV/0!</v>
      </c>
    </row>
    <row r="87" spans="1:15" ht="20.100000000000001" customHeight="1">
      <c r="A87" s="197" t="s">
        <v>122</v>
      </c>
      <c r="B87" s="198" t="s">
        <v>92</v>
      </c>
      <c r="C87" s="124"/>
      <c r="D87" s="125"/>
      <c r="E87" s="125"/>
      <c r="F87" s="99"/>
      <c r="G87" s="99"/>
      <c r="H87" s="197" t="s">
        <v>122</v>
      </c>
      <c r="I87" s="198" t="s">
        <v>92</v>
      </c>
      <c r="J87" s="124"/>
      <c r="K87" s="125"/>
      <c r="L87" s="125"/>
      <c r="M87" s="99"/>
      <c r="N87" s="99"/>
      <c r="O87" s="99"/>
    </row>
    <row r="88" spans="1:15" ht="20.100000000000001" customHeight="1">
      <c r="A88" s="90"/>
      <c r="B88" s="107" t="str">
        <f>$B$16</f>
        <v>本期附合终止经营定义的处置组A</v>
      </c>
      <c r="C88" s="118"/>
      <c r="D88" s="118"/>
      <c r="E88" s="118"/>
      <c r="F88" s="28">
        <f t="shared" ref="F88:F89" si="92">C88+D88+E88</f>
        <v>0</v>
      </c>
      <c r="G88" s="92" t="e">
        <f>ROUND(F88/F92,4)</f>
        <v>#DIV/0!</v>
      </c>
      <c r="H88" s="90"/>
      <c r="I88" s="109" t="str">
        <f>$I$16</f>
        <v>本期附合终止经营定义的处置组A</v>
      </c>
      <c r="J88" s="118"/>
      <c r="K88" s="118"/>
      <c r="L88" s="118"/>
      <c r="M88" s="28">
        <f t="shared" ref="M88:M89" si="93">J88+K88+L88</f>
        <v>0</v>
      </c>
      <c r="N88" s="92" t="e">
        <f>ROUND(M88/M92,4)</f>
        <v>#DIV/0!</v>
      </c>
      <c r="O88" s="46" t="s">
        <v>135</v>
      </c>
    </row>
    <row r="89" spans="1:15" ht="20.100000000000001" customHeight="1">
      <c r="A89" s="90"/>
      <c r="B89" s="107" t="str">
        <f>$B$17</f>
        <v>本期附合终止经营定义的处置组B</v>
      </c>
      <c r="C89" s="118"/>
      <c r="D89" s="118"/>
      <c r="E89" s="118"/>
      <c r="F89" s="28">
        <f t="shared" si="92"/>
        <v>0</v>
      </c>
      <c r="G89" s="92" t="e">
        <f>ROUND(F89/F92,4)</f>
        <v>#DIV/0!</v>
      </c>
      <c r="H89" s="90"/>
      <c r="I89" s="109" t="str">
        <f>$I$17</f>
        <v>本期附合终止经营定义的处置组B</v>
      </c>
      <c r="J89" s="118"/>
      <c r="K89" s="118"/>
      <c r="L89" s="118"/>
      <c r="M89" s="28">
        <f t="shared" si="93"/>
        <v>0</v>
      </c>
      <c r="N89" s="92" t="e">
        <f>ROUND(M89/M92,4)</f>
        <v>#DIV/0!</v>
      </c>
      <c r="O89" s="46" t="s">
        <v>135</v>
      </c>
    </row>
    <row r="90" spans="1:15" ht="20.100000000000001" customHeight="1">
      <c r="A90" s="90"/>
      <c r="B90" s="107" t="str">
        <f>$B$18</f>
        <v>……</v>
      </c>
      <c r="C90" s="118"/>
      <c r="D90" s="118"/>
      <c r="E90" s="118"/>
      <c r="F90" s="28">
        <f>C90+D90+E90</f>
        <v>0</v>
      </c>
      <c r="G90" s="92" t="e">
        <f>ROUND(F90/F92,4)</f>
        <v>#DIV/0!</v>
      </c>
      <c r="H90" s="90"/>
      <c r="I90" s="109" t="str">
        <f>$I$18</f>
        <v>上期附合终止经营定义的处置组C</v>
      </c>
      <c r="J90" s="118"/>
      <c r="K90" s="118"/>
      <c r="L90" s="118"/>
      <c r="M90" s="28">
        <f>J90+K90+L90</f>
        <v>0</v>
      </c>
      <c r="N90" s="92" t="e">
        <f>ROUND(M90/M92,4)</f>
        <v>#DIV/0!</v>
      </c>
      <c r="O90" s="46" t="s">
        <v>135</v>
      </c>
    </row>
    <row r="91" spans="1:15" ht="20.100000000000001" customHeight="1">
      <c r="A91" s="90"/>
      <c r="B91" s="107" t="str">
        <f>$B$19</f>
        <v>……</v>
      </c>
      <c r="C91" s="118"/>
      <c r="D91" s="118"/>
      <c r="E91" s="118"/>
      <c r="F91" s="28">
        <f t="shared" ref="F91:F92" si="94">C91+D91+E91</f>
        <v>0</v>
      </c>
      <c r="G91" s="92" t="e">
        <f>ROUND(F91/F92,4)</f>
        <v>#DIV/0!</v>
      </c>
      <c r="H91" s="90"/>
      <c r="I91" s="109" t="str">
        <f>$I$19</f>
        <v>……</v>
      </c>
      <c r="J91" s="118"/>
      <c r="K91" s="118"/>
      <c r="L91" s="118"/>
      <c r="M91" s="28">
        <f t="shared" ref="M91:M92" si="95">J91+K91+L91</f>
        <v>0</v>
      </c>
      <c r="N91" s="92" t="e">
        <f>ROUND(M91/M92,4)</f>
        <v>#DIV/0!</v>
      </c>
      <c r="O91" s="46" t="s">
        <v>135</v>
      </c>
    </row>
    <row r="92" spans="1:15" ht="20.100000000000001" customHeight="1">
      <c r="A92" s="192" t="s">
        <v>89</v>
      </c>
      <c r="B92" s="193" t="s">
        <v>89</v>
      </c>
      <c r="C92" s="28">
        <f>SUM(C88:C91)</f>
        <v>0</v>
      </c>
      <c r="D92" s="28">
        <f t="shared" ref="D92:E92" si="96">SUM(D88:D91)</f>
        <v>0</v>
      </c>
      <c r="E92" s="28">
        <f t="shared" si="96"/>
        <v>0</v>
      </c>
      <c r="F92" s="28">
        <f t="shared" si="94"/>
        <v>0</v>
      </c>
      <c r="G92" s="92" t="e">
        <f>ROUND(SUM(G88:G91),4)</f>
        <v>#DIV/0!</v>
      </c>
      <c r="H92" s="192" t="s">
        <v>89</v>
      </c>
      <c r="I92" s="193" t="s">
        <v>89</v>
      </c>
      <c r="J92" s="28">
        <f>SUM(J88:J91)</f>
        <v>0</v>
      </c>
      <c r="K92" s="28">
        <f t="shared" ref="K92:L92" si="97">SUM(K88:K91)</f>
        <v>0</v>
      </c>
      <c r="L92" s="28">
        <f t="shared" si="97"/>
        <v>0</v>
      </c>
      <c r="M92" s="28">
        <f t="shared" si="95"/>
        <v>0</v>
      </c>
      <c r="N92" s="92" t="e">
        <f>ROUND(SUM(N88:N91),4)</f>
        <v>#DIV/0!</v>
      </c>
      <c r="O92" s="92" t="e">
        <f>ROUND((F92-M92)/M92,4)</f>
        <v>#DIV/0!</v>
      </c>
    </row>
    <row r="93" spans="1:15" ht="20.100000000000001" customHeight="1">
      <c r="A93" s="197" t="s">
        <v>123</v>
      </c>
      <c r="B93" s="198" t="s">
        <v>92</v>
      </c>
      <c r="C93" s="124"/>
      <c r="D93" s="125"/>
      <c r="E93" s="125"/>
      <c r="F93" s="99"/>
      <c r="G93" s="99"/>
      <c r="H93" s="197" t="s">
        <v>123</v>
      </c>
      <c r="I93" s="198" t="s">
        <v>92</v>
      </c>
      <c r="J93" s="124"/>
      <c r="K93" s="125"/>
      <c r="L93" s="125"/>
      <c r="M93" s="99"/>
      <c r="N93" s="99"/>
      <c r="O93" s="99"/>
    </row>
    <row r="94" spans="1:15" ht="20.100000000000001" customHeight="1">
      <c r="A94" s="90"/>
      <c r="B94" s="107" t="str">
        <f>$B$16</f>
        <v>本期附合终止经营定义的处置组A</v>
      </c>
      <c r="C94" s="118"/>
      <c r="D94" s="118"/>
      <c r="E94" s="118"/>
      <c r="F94" s="28">
        <f t="shared" ref="F94:F95" si="98">C94+D94+E94</f>
        <v>0</v>
      </c>
      <c r="G94" s="92" t="e">
        <f>ROUND(F94/F98,4)</f>
        <v>#DIV/0!</v>
      </c>
      <c r="H94" s="90"/>
      <c r="I94" s="109" t="str">
        <f>$I$16</f>
        <v>本期附合终止经营定义的处置组A</v>
      </c>
      <c r="J94" s="118"/>
      <c r="K94" s="118"/>
      <c r="L94" s="118"/>
      <c r="M94" s="28">
        <f t="shared" ref="M94:M95" si="99">J94+K94+L94</f>
        <v>0</v>
      </c>
      <c r="N94" s="92" t="e">
        <f>ROUND(M94/M98,4)</f>
        <v>#DIV/0!</v>
      </c>
      <c r="O94" s="46" t="s">
        <v>135</v>
      </c>
    </row>
    <row r="95" spans="1:15" ht="20.100000000000001" customHeight="1">
      <c r="A95" s="90"/>
      <c r="B95" s="107" t="str">
        <f>$B$17</f>
        <v>本期附合终止经营定义的处置组B</v>
      </c>
      <c r="C95" s="118"/>
      <c r="D95" s="118"/>
      <c r="E95" s="118"/>
      <c r="F95" s="28">
        <f t="shared" si="98"/>
        <v>0</v>
      </c>
      <c r="G95" s="92" t="e">
        <f>ROUND(F95/F98,4)</f>
        <v>#DIV/0!</v>
      </c>
      <c r="H95" s="90"/>
      <c r="I95" s="109" t="str">
        <f>$I$17</f>
        <v>本期附合终止经营定义的处置组B</v>
      </c>
      <c r="J95" s="118"/>
      <c r="K95" s="118"/>
      <c r="L95" s="118"/>
      <c r="M95" s="28">
        <f t="shared" si="99"/>
        <v>0</v>
      </c>
      <c r="N95" s="92" t="e">
        <f>ROUND(M95/M98,4)</f>
        <v>#DIV/0!</v>
      </c>
      <c r="O95" s="46" t="s">
        <v>135</v>
      </c>
    </row>
    <row r="96" spans="1:15" ht="20.100000000000001" customHeight="1">
      <c r="A96" s="90"/>
      <c r="B96" s="107" t="str">
        <f>$B$18</f>
        <v>……</v>
      </c>
      <c r="C96" s="118"/>
      <c r="D96" s="118"/>
      <c r="E96" s="118"/>
      <c r="F96" s="28">
        <f>C96+D96+E96</f>
        <v>0</v>
      </c>
      <c r="G96" s="92" t="e">
        <f>ROUND(F96/F98,4)</f>
        <v>#DIV/0!</v>
      </c>
      <c r="H96" s="90"/>
      <c r="I96" s="109" t="str">
        <f>$I$18</f>
        <v>上期附合终止经营定义的处置组C</v>
      </c>
      <c r="J96" s="118"/>
      <c r="K96" s="118"/>
      <c r="L96" s="118"/>
      <c r="M96" s="28">
        <f>J96+K96+L96</f>
        <v>0</v>
      </c>
      <c r="N96" s="92" t="e">
        <f>ROUND(M96/M98,4)</f>
        <v>#DIV/0!</v>
      </c>
      <c r="O96" s="46" t="s">
        <v>135</v>
      </c>
    </row>
    <row r="97" spans="1:15" ht="20.100000000000001" customHeight="1">
      <c r="A97" s="90"/>
      <c r="B97" s="107" t="str">
        <f>$B$19</f>
        <v>……</v>
      </c>
      <c r="C97" s="118"/>
      <c r="D97" s="118"/>
      <c r="E97" s="118"/>
      <c r="F97" s="28">
        <f t="shared" ref="F97:F98" si="100">C97+D97+E97</f>
        <v>0</v>
      </c>
      <c r="G97" s="92" t="e">
        <f>ROUND(F97/F98,4)</f>
        <v>#DIV/0!</v>
      </c>
      <c r="H97" s="90"/>
      <c r="I97" s="109" t="str">
        <f>$I$19</f>
        <v>……</v>
      </c>
      <c r="J97" s="118"/>
      <c r="K97" s="118"/>
      <c r="L97" s="118"/>
      <c r="M97" s="28">
        <f t="shared" ref="M97:M98" si="101">J97+K97+L97</f>
        <v>0</v>
      </c>
      <c r="N97" s="92" t="e">
        <f>ROUND(M97/M98,4)</f>
        <v>#DIV/0!</v>
      </c>
      <c r="O97" s="46" t="s">
        <v>135</v>
      </c>
    </row>
    <row r="98" spans="1:15" ht="20.100000000000001" customHeight="1">
      <c r="A98" s="192" t="s">
        <v>89</v>
      </c>
      <c r="B98" s="193" t="s">
        <v>89</v>
      </c>
      <c r="C98" s="28">
        <f>SUM(C94:C97)</f>
        <v>0</v>
      </c>
      <c r="D98" s="28">
        <f t="shared" ref="D98:E98" si="102">SUM(D94:D97)</f>
        <v>0</v>
      </c>
      <c r="E98" s="28">
        <f t="shared" si="102"/>
        <v>0</v>
      </c>
      <c r="F98" s="28">
        <f t="shared" si="100"/>
        <v>0</v>
      </c>
      <c r="G98" s="92" t="e">
        <f>ROUND(SUM(G94:G97),4)</f>
        <v>#DIV/0!</v>
      </c>
      <c r="H98" s="192" t="s">
        <v>89</v>
      </c>
      <c r="I98" s="193" t="s">
        <v>89</v>
      </c>
      <c r="J98" s="28">
        <f>SUM(J94:J97)</f>
        <v>0</v>
      </c>
      <c r="K98" s="28">
        <f t="shared" ref="K98:L98" si="103">SUM(K94:K97)</f>
        <v>0</v>
      </c>
      <c r="L98" s="28">
        <f t="shared" si="103"/>
        <v>0</v>
      </c>
      <c r="M98" s="28">
        <f t="shared" si="101"/>
        <v>0</v>
      </c>
      <c r="N98" s="92" t="e">
        <f>ROUND(SUM(N94:N97),4)</f>
        <v>#DIV/0!</v>
      </c>
      <c r="O98" s="92" t="e">
        <f>ROUND((F98-M98)/M98,4)</f>
        <v>#DIV/0!</v>
      </c>
    </row>
    <row r="99" spans="1:15" ht="20.100000000000001" customHeight="1">
      <c r="A99" s="197" t="s">
        <v>124</v>
      </c>
      <c r="B99" s="198" t="s">
        <v>92</v>
      </c>
      <c r="C99" s="124"/>
      <c r="D99" s="125"/>
      <c r="E99" s="125"/>
      <c r="F99" s="99"/>
      <c r="G99" s="99"/>
      <c r="H99" s="197" t="s">
        <v>124</v>
      </c>
      <c r="I99" s="198" t="s">
        <v>92</v>
      </c>
      <c r="J99" s="124"/>
      <c r="K99" s="125"/>
      <c r="L99" s="125"/>
      <c r="M99" s="99"/>
      <c r="N99" s="99"/>
      <c r="O99" s="99"/>
    </row>
    <row r="100" spans="1:15" ht="20.100000000000001" customHeight="1">
      <c r="A100" s="90"/>
      <c r="B100" s="107" t="str">
        <f>$B$16</f>
        <v>本期附合终止经营定义的处置组A</v>
      </c>
      <c r="C100" s="118"/>
      <c r="D100" s="118"/>
      <c r="E100" s="118"/>
      <c r="F100" s="28">
        <f t="shared" ref="F100:F101" si="104">C100+D100+E100</f>
        <v>0</v>
      </c>
      <c r="G100" s="92" t="e">
        <f>ROUND(F100/F104,4)</f>
        <v>#DIV/0!</v>
      </c>
      <c r="H100" s="90"/>
      <c r="I100" s="109" t="str">
        <f>$I$16</f>
        <v>本期附合终止经营定义的处置组A</v>
      </c>
      <c r="J100" s="118"/>
      <c r="K100" s="118"/>
      <c r="L100" s="118"/>
      <c r="M100" s="28">
        <f t="shared" ref="M100:M101" si="105">J100+K100+L100</f>
        <v>0</v>
      </c>
      <c r="N100" s="92" t="e">
        <f>ROUND(M100/M104,4)</f>
        <v>#DIV/0!</v>
      </c>
      <c r="O100" s="46" t="s">
        <v>135</v>
      </c>
    </row>
    <row r="101" spans="1:15" ht="20.100000000000001" customHeight="1">
      <c r="A101" s="90"/>
      <c r="B101" s="107" t="str">
        <f>$B$17</f>
        <v>本期附合终止经营定义的处置组B</v>
      </c>
      <c r="C101" s="118"/>
      <c r="D101" s="118"/>
      <c r="E101" s="118"/>
      <c r="F101" s="28">
        <f t="shared" si="104"/>
        <v>0</v>
      </c>
      <c r="G101" s="92" t="e">
        <f>ROUND(F101/F104,4)</f>
        <v>#DIV/0!</v>
      </c>
      <c r="H101" s="90"/>
      <c r="I101" s="109" t="str">
        <f>$I$17</f>
        <v>本期附合终止经营定义的处置组B</v>
      </c>
      <c r="J101" s="118"/>
      <c r="K101" s="118"/>
      <c r="L101" s="118"/>
      <c r="M101" s="28">
        <f t="shared" si="105"/>
        <v>0</v>
      </c>
      <c r="N101" s="92" t="e">
        <f>ROUND(M101/M104,4)</f>
        <v>#DIV/0!</v>
      </c>
      <c r="O101" s="46" t="s">
        <v>135</v>
      </c>
    </row>
    <row r="102" spans="1:15" ht="20.100000000000001" customHeight="1">
      <c r="A102" s="90"/>
      <c r="B102" s="107" t="str">
        <f>$B$18</f>
        <v>……</v>
      </c>
      <c r="C102" s="118"/>
      <c r="D102" s="118"/>
      <c r="E102" s="118"/>
      <c r="F102" s="28">
        <f>C102+D102+E102</f>
        <v>0</v>
      </c>
      <c r="G102" s="92" t="e">
        <f>ROUND(F102/F104,4)</f>
        <v>#DIV/0!</v>
      </c>
      <c r="H102" s="90"/>
      <c r="I102" s="109" t="str">
        <f>$I$18</f>
        <v>上期附合终止经营定义的处置组C</v>
      </c>
      <c r="J102" s="118"/>
      <c r="K102" s="118"/>
      <c r="L102" s="118"/>
      <c r="M102" s="28">
        <f>J102+K102+L102</f>
        <v>0</v>
      </c>
      <c r="N102" s="92" t="e">
        <f>ROUND(M102/M104,4)</f>
        <v>#DIV/0!</v>
      </c>
      <c r="O102" s="46" t="s">
        <v>135</v>
      </c>
    </row>
    <row r="103" spans="1:15" ht="20.100000000000001" customHeight="1">
      <c r="A103" s="90"/>
      <c r="B103" s="107" t="str">
        <f>$B$19</f>
        <v>……</v>
      </c>
      <c r="C103" s="118"/>
      <c r="D103" s="118"/>
      <c r="E103" s="118"/>
      <c r="F103" s="28">
        <f t="shared" ref="F103:F104" si="106">C103+D103+E103</f>
        <v>0</v>
      </c>
      <c r="G103" s="92" t="e">
        <f>ROUND(F103/F104,4)</f>
        <v>#DIV/0!</v>
      </c>
      <c r="H103" s="90"/>
      <c r="I103" s="109" t="str">
        <f>$I$19</f>
        <v>……</v>
      </c>
      <c r="J103" s="118"/>
      <c r="K103" s="118"/>
      <c r="L103" s="118"/>
      <c r="M103" s="28">
        <f t="shared" ref="M103:M104" si="107">J103+K103+L103</f>
        <v>0</v>
      </c>
      <c r="N103" s="92" t="e">
        <f>ROUND(M103/M104,4)</f>
        <v>#DIV/0!</v>
      </c>
      <c r="O103" s="46" t="s">
        <v>135</v>
      </c>
    </row>
    <row r="104" spans="1:15" ht="20.100000000000001" customHeight="1">
      <c r="A104" s="192" t="s">
        <v>89</v>
      </c>
      <c r="B104" s="193" t="s">
        <v>89</v>
      </c>
      <c r="C104" s="28">
        <f>SUM(C100:C103)</f>
        <v>0</v>
      </c>
      <c r="D104" s="28">
        <f t="shared" ref="D104:E104" si="108">SUM(D100:D103)</f>
        <v>0</v>
      </c>
      <c r="E104" s="28">
        <f t="shared" si="108"/>
        <v>0</v>
      </c>
      <c r="F104" s="28">
        <f t="shared" si="106"/>
        <v>0</v>
      </c>
      <c r="G104" s="92" t="e">
        <f>ROUND(SUM(G100:G103),4)</f>
        <v>#DIV/0!</v>
      </c>
      <c r="H104" s="192" t="s">
        <v>89</v>
      </c>
      <c r="I104" s="193" t="s">
        <v>89</v>
      </c>
      <c r="J104" s="28">
        <f>SUM(J100:J103)</f>
        <v>0</v>
      </c>
      <c r="K104" s="28">
        <f t="shared" ref="K104:L104" si="109">SUM(K100:K103)</f>
        <v>0</v>
      </c>
      <c r="L104" s="28">
        <f t="shared" si="109"/>
        <v>0</v>
      </c>
      <c r="M104" s="28">
        <f t="shared" si="107"/>
        <v>0</v>
      </c>
      <c r="N104" s="92" t="e">
        <f>ROUND((F104-M104)/M104,4)</f>
        <v>#DIV/0!</v>
      </c>
      <c r="O104" s="92" t="e">
        <f>ROUND((F104-M104)/M104,4)</f>
        <v>#DIV/0!</v>
      </c>
    </row>
    <row r="105" spans="1:15" ht="20.100000000000001" customHeight="1">
      <c r="A105" s="205" t="s">
        <v>143</v>
      </c>
      <c r="B105" s="206"/>
      <c r="C105" s="27"/>
      <c r="D105" s="46" t="s">
        <v>135</v>
      </c>
      <c r="E105" s="46" t="s">
        <v>135</v>
      </c>
      <c r="F105" s="27"/>
      <c r="G105" s="46" t="s">
        <v>135</v>
      </c>
      <c r="H105" s="205" t="s">
        <v>144</v>
      </c>
      <c r="I105" s="206"/>
      <c r="J105" s="27"/>
      <c r="K105" s="46" t="s">
        <v>135</v>
      </c>
      <c r="L105" s="46" t="s">
        <v>135</v>
      </c>
      <c r="M105" s="27"/>
      <c r="N105" s="46" t="s">
        <v>135</v>
      </c>
      <c r="O105" s="92" t="e">
        <f>ROUND((F105-M105)/M105,4)</f>
        <v>#DIV/0!</v>
      </c>
    </row>
    <row r="106" spans="1:15" ht="20.100000000000001" customHeight="1">
      <c r="A106" s="121"/>
      <c r="B106" s="123" t="s">
        <v>140</v>
      </c>
      <c r="C106" s="46" t="s">
        <v>135</v>
      </c>
      <c r="D106" s="46" t="s">
        <v>135</v>
      </c>
      <c r="E106" s="46" t="s">
        <v>135</v>
      </c>
      <c r="F106" s="46" t="s">
        <v>135</v>
      </c>
      <c r="G106" s="46" t="s">
        <v>135</v>
      </c>
      <c r="H106" s="121"/>
      <c r="I106" s="123" t="s">
        <v>140</v>
      </c>
      <c r="J106" s="46" t="s">
        <v>135</v>
      </c>
      <c r="K106" s="46" t="s">
        <v>135</v>
      </c>
      <c r="L106" s="46" t="s">
        <v>135</v>
      </c>
      <c r="M106" s="46" t="s">
        <v>135</v>
      </c>
      <c r="N106" s="46" t="s">
        <v>135</v>
      </c>
      <c r="O106" s="46" t="s">
        <v>135</v>
      </c>
    </row>
    <row r="107" spans="1:15" ht="20.100000000000001" customHeight="1">
      <c r="A107" s="207" t="s">
        <v>141</v>
      </c>
      <c r="B107" s="208"/>
      <c r="C107" s="28">
        <f>C105-C74</f>
        <v>0</v>
      </c>
      <c r="D107" s="46" t="s">
        <v>135</v>
      </c>
      <c r="E107" s="46" t="s">
        <v>135</v>
      </c>
      <c r="F107" s="28">
        <f>F105-F74</f>
        <v>0</v>
      </c>
      <c r="G107" s="92" t="e">
        <f>ROUND(F107/F105,4)</f>
        <v>#DIV/0!</v>
      </c>
      <c r="H107" s="207" t="s">
        <v>141</v>
      </c>
      <c r="I107" s="208"/>
      <c r="J107" s="28">
        <f>J105-J74</f>
        <v>0</v>
      </c>
      <c r="K107" s="46" t="s">
        <v>135</v>
      </c>
      <c r="L107" s="46" t="s">
        <v>135</v>
      </c>
      <c r="M107" s="28">
        <f>M105-M74</f>
        <v>0</v>
      </c>
      <c r="N107" s="92" t="e">
        <f>ROUND(M107/M105,4)</f>
        <v>#DIV/0!</v>
      </c>
      <c r="O107" s="92" t="e">
        <f>ROUND((F107-M107)/M107,4)</f>
        <v>#DIV/0!</v>
      </c>
    </row>
    <row r="108" spans="1:15" ht="20.100000000000001" customHeight="1">
      <c r="A108" s="102"/>
      <c r="B108" s="122" t="s">
        <v>142</v>
      </c>
      <c r="C108" s="28">
        <f>C74</f>
        <v>0</v>
      </c>
      <c r="D108" s="28">
        <f t="shared" ref="D108:F108" si="110">D74</f>
        <v>0</v>
      </c>
      <c r="E108" s="28">
        <f t="shared" si="110"/>
        <v>0</v>
      </c>
      <c r="F108" s="28">
        <f t="shared" si="110"/>
        <v>0</v>
      </c>
      <c r="G108" s="92" t="e">
        <f>ROUND(F108/F105,4)</f>
        <v>#DIV/0!</v>
      </c>
      <c r="H108" s="102"/>
      <c r="I108" s="122" t="s">
        <v>142</v>
      </c>
      <c r="J108" s="28">
        <f>J74</f>
        <v>0</v>
      </c>
      <c r="K108" s="28">
        <f t="shared" ref="K108:M108" si="111">K74</f>
        <v>0</v>
      </c>
      <c r="L108" s="28">
        <f t="shared" si="111"/>
        <v>0</v>
      </c>
      <c r="M108" s="28">
        <f t="shared" si="111"/>
        <v>0</v>
      </c>
      <c r="N108" s="92" t="e">
        <f>ROUND(M108/M105,4)</f>
        <v>#DIV/0!</v>
      </c>
      <c r="O108" s="92" t="e">
        <f>ROUND((F108-M108)/M108,4)</f>
        <v>#DIV/0!</v>
      </c>
    </row>
    <row r="109" spans="1:15" ht="20.100000000000001" customHeight="1">
      <c r="A109" s="209" t="s">
        <v>138</v>
      </c>
      <c r="B109" s="210"/>
      <c r="C109" s="119" t="e">
        <f>C107/C105</f>
        <v>#DIV/0!</v>
      </c>
      <c r="D109" s="46" t="s">
        <v>135</v>
      </c>
      <c r="E109" s="46" t="s">
        <v>135</v>
      </c>
      <c r="F109" s="119" t="e">
        <f>F107/F105</f>
        <v>#DIV/0!</v>
      </c>
      <c r="G109" s="46" t="s">
        <v>135</v>
      </c>
      <c r="H109" s="209" t="s">
        <v>138</v>
      </c>
      <c r="I109" s="210"/>
      <c r="J109" s="119" t="e">
        <f>J107/J105</f>
        <v>#DIV/0!</v>
      </c>
      <c r="K109" s="46" t="s">
        <v>135</v>
      </c>
      <c r="L109" s="46" t="s">
        <v>135</v>
      </c>
      <c r="M109" s="119" t="e">
        <f>M107/M105</f>
        <v>#DIV/0!</v>
      </c>
      <c r="N109" s="46" t="s">
        <v>135</v>
      </c>
      <c r="O109" s="46" t="s">
        <v>135</v>
      </c>
    </row>
    <row r="110" spans="1:15" ht="20.100000000000001" customHeight="1">
      <c r="A110" s="209" t="s">
        <v>137</v>
      </c>
      <c r="B110" s="210"/>
      <c r="C110" s="119" t="e">
        <f>C74/C105</f>
        <v>#DIV/0!</v>
      </c>
      <c r="D110" s="46" t="s">
        <v>135</v>
      </c>
      <c r="E110" s="46" t="s">
        <v>135</v>
      </c>
      <c r="F110" s="119" t="e">
        <f>F74/F105</f>
        <v>#DIV/0!</v>
      </c>
      <c r="G110" s="46" t="s">
        <v>135</v>
      </c>
      <c r="H110" s="209" t="s">
        <v>137</v>
      </c>
      <c r="I110" s="210"/>
      <c r="J110" s="119" t="e">
        <f>J74/J105</f>
        <v>#DIV/0!</v>
      </c>
      <c r="K110" s="46" t="s">
        <v>135</v>
      </c>
      <c r="L110" s="46" t="s">
        <v>135</v>
      </c>
      <c r="M110" s="119" t="e">
        <f>M74/M105</f>
        <v>#DIV/0!</v>
      </c>
      <c r="N110" s="46" t="s">
        <v>135</v>
      </c>
      <c r="O110" s="46" t="s">
        <v>135</v>
      </c>
    </row>
    <row r="111" spans="1:15" ht="20.100000000000001" customHeight="1">
      <c r="A111" s="29" t="s">
        <v>23</v>
      </c>
      <c r="B111" s="113"/>
      <c r="C111" s="19"/>
      <c r="D111" s="19"/>
      <c r="E111" s="19"/>
      <c r="F111" s="13"/>
      <c r="G111" s="13"/>
      <c r="H111" s="13"/>
      <c r="I111" s="13"/>
      <c r="J111" s="13"/>
      <c r="K111" s="13"/>
      <c r="L111" s="13"/>
      <c r="M111" s="13"/>
      <c r="N111" s="13"/>
    </row>
    <row r="112" spans="1:15" ht="20.100000000000001" customHeight="1">
      <c r="A112" s="9" t="s">
        <v>25</v>
      </c>
      <c r="B112" s="114" t="s">
        <v>220</v>
      </c>
      <c r="C112" s="13"/>
      <c r="D112" s="13"/>
      <c r="E112" s="13"/>
      <c r="F112" s="13"/>
      <c r="G112" s="13"/>
      <c r="H112" s="13"/>
      <c r="I112" s="13"/>
      <c r="J112" s="13"/>
      <c r="K112" s="13"/>
      <c r="L112" s="13"/>
      <c r="M112" s="13"/>
      <c r="N112" s="13"/>
    </row>
    <row r="113" spans="1:14" ht="20.100000000000001" customHeight="1">
      <c r="B113" s="115"/>
      <c r="C113" s="13"/>
      <c r="D113" s="13"/>
      <c r="E113" s="13"/>
      <c r="F113" s="13"/>
      <c r="G113" s="13"/>
      <c r="H113" s="13"/>
      <c r="I113" s="13"/>
      <c r="J113" s="13"/>
      <c r="K113" s="13"/>
      <c r="L113" s="13"/>
      <c r="M113" s="13"/>
      <c r="N113" s="13"/>
    </row>
    <row r="114" spans="1:14" ht="20.100000000000001" customHeight="1">
      <c r="B114" s="115"/>
      <c r="C114" s="13"/>
      <c r="D114" s="13"/>
      <c r="E114" s="13"/>
      <c r="F114" s="13"/>
      <c r="G114" s="13"/>
      <c r="H114" s="13"/>
      <c r="I114" s="13"/>
      <c r="J114" s="13"/>
      <c r="K114" s="13"/>
      <c r="L114" s="13"/>
      <c r="M114" s="13"/>
      <c r="N114" s="13"/>
    </row>
    <row r="115" spans="1:14" ht="20.100000000000001" customHeight="1">
      <c r="A115" s="29" t="s">
        <v>24</v>
      </c>
      <c r="B115" s="115"/>
      <c r="C115" s="13"/>
      <c r="D115" s="13"/>
      <c r="E115" s="13"/>
      <c r="F115" s="13"/>
      <c r="G115" s="13"/>
      <c r="H115" s="13"/>
      <c r="I115" s="13"/>
      <c r="J115" s="13"/>
      <c r="K115" s="13"/>
      <c r="L115" s="13"/>
      <c r="M115" s="13"/>
      <c r="N115" s="13"/>
    </row>
    <row r="116" spans="1:14" ht="20.100000000000001" customHeight="1">
      <c r="B116" s="115"/>
      <c r="C116" s="13"/>
      <c r="D116" s="13"/>
      <c r="E116" s="13"/>
      <c r="F116" s="13"/>
      <c r="G116" s="13"/>
      <c r="H116" s="13"/>
      <c r="I116" s="13"/>
      <c r="J116" s="13"/>
      <c r="K116" s="13"/>
      <c r="L116" s="13"/>
      <c r="M116" s="13"/>
      <c r="N116" s="13"/>
    </row>
    <row r="117" spans="1:14" ht="20.100000000000001" customHeight="1">
      <c r="B117" s="115"/>
      <c r="C117" s="13"/>
      <c r="D117" s="13"/>
      <c r="E117" s="13"/>
      <c r="F117" s="13"/>
      <c r="G117" s="13"/>
      <c r="H117" s="13"/>
      <c r="I117" s="13"/>
      <c r="J117" s="13"/>
      <c r="K117" s="13"/>
      <c r="L117" s="13"/>
      <c r="M117" s="13"/>
      <c r="N117" s="13"/>
    </row>
    <row r="118" spans="1:14" ht="20.100000000000001" customHeight="1"/>
    <row r="119" spans="1:14">
      <c r="A119" s="34" t="s">
        <v>224</v>
      </c>
    </row>
    <row r="120" spans="1:14" s="6" customFormat="1" ht="19.5" customHeight="1">
      <c r="A120" s="139" t="s">
        <v>266</v>
      </c>
    </row>
    <row r="121" spans="1:14" s="1" customFormat="1" ht="19.5" customHeight="1">
      <c r="A121" s="142" t="s">
        <v>185</v>
      </c>
    </row>
  </sheetData>
  <autoFilter ref="A14:N14">
    <filterColumn colId="0" showButton="0"/>
  </autoFilter>
  <mergeCells count="75">
    <mergeCell ref="H33:I33"/>
    <mergeCell ref="A107:B107"/>
    <mergeCell ref="A110:B110"/>
    <mergeCell ref="A109:B109"/>
    <mergeCell ref="H107:I107"/>
    <mergeCell ref="H109:I109"/>
    <mergeCell ref="H110:I110"/>
    <mergeCell ref="H69:I69"/>
    <mergeCell ref="H74:I74"/>
    <mergeCell ref="H75:I75"/>
    <mergeCell ref="H50:I50"/>
    <mergeCell ref="H51:I51"/>
    <mergeCell ref="H56:I56"/>
    <mergeCell ref="H57:I57"/>
    <mergeCell ref="H62:I62"/>
    <mergeCell ref="H99:I99"/>
    <mergeCell ref="H104:I104"/>
    <mergeCell ref="H105:I105"/>
    <mergeCell ref="H80:I80"/>
    <mergeCell ref="H81:I81"/>
    <mergeCell ref="H86:I86"/>
    <mergeCell ref="H87:I87"/>
    <mergeCell ref="H92:I92"/>
    <mergeCell ref="H93:I93"/>
    <mergeCell ref="H98:I98"/>
    <mergeCell ref="H38:I38"/>
    <mergeCell ref="H39:I39"/>
    <mergeCell ref="H44:I44"/>
    <mergeCell ref="H45:I45"/>
    <mergeCell ref="A68:B68"/>
    <mergeCell ref="A63:B63"/>
    <mergeCell ref="A62:B62"/>
    <mergeCell ref="H63:I63"/>
    <mergeCell ref="H68:I68"/>
    <mergeCell ref="A57:B57"/>
    <mergeCell ref="A56:B56"/>
    <mergeCell ref="A51:B51"/>
    <mergeCell ref="A45:B45"/>
    <mergeCell ref="A50:B50"/>
    <mergeCell ref="A39:B39"/>
    <mergeCell ref="A38:B38"/>
    <mergeCell ref="A74:B74"/>
    <mergeCell ref="A105:B105"/>
    <mergeCell ref="A69:B69"/>
    <mergeCell ref="A75:B75"/>
    <mergeCell ref="A81:B81"/>
    <mergeCell ref="A87:B87"/>
    <mergeCell ref="A93:B93"/>
    <mergeCell ref="A99:B99"/>
    <mergeCell ref="A80:B80"/>
    <mergeCell ref="A86:B86"/>
    <mergeCell ref="A92:B92"/>
    <mergeCell ref="A98:B98"/>
    <mergeCell ref="A104:B104"/>
    <mergeCell ref="A44:B44"/>
    <mergeCell ref="A26:B26"/>
    <mergeCell ref="A32:B32"/>
    <mergeCell ref="A27:B27"/>
    <mergeCell ref="A33:B33"/>
    <mergeCell ref="H27:I27"/>
    <mergeCell ref="H32:I32"/>
    <mergeCell ref="A1:O1"/>
    <mergeCell ref="A2:O2"/>
    <mergeCell ref="H14:I14"/>
    <mergeCell ref="H15:I15"/>
    <mergeCell ref="H20:I20"/>
    <mergeCell ref="H21:I21"/>
    <mergeCell ref="H26:I26"/>
    <mergeCell ref="A15:B15"/>
    <mergeCell ref="A14:B14"/>
    <mergeCell ref="A13:G13"/>
    <mergeCell ref="H13:N13"/>
    <mergeCell ref="O13:O15"/>
    <mergeCell ref="A20:B20"/>
    <mergeCell ref="A21:B21"/>
  </mergeCells>
  <phoneticPr fontId="3" type="noConversion"/>
  <conditionalFormatting sqref="G16:G20 G22:G26 G28:G32 G34:G38 G40:G44 G52:G56 G58:G62 G64:G68 G70:G74">
    <cfRule type="cellIs" dxfId="35" priority="75" stopIfTrue="1" operator="greaterThanOrEqual">
      <formula>0.5</formula>
    </cfRule>
  </conditionalFormatting>
  <conditionalFormatting sqref="G94:G98">
    <cfRule type="cellIs" dxfId="34" priority="54" stopIfTrue="1" operator="greaterThanOrEqual">
      <formula>0.5</formula>
    </cfRule>
  </conditionalFormatting>
  <conditionalFormatting sqref="G46:G50">
    <cfRule type="cellIs" dxfId="33" priority="62" stopIfTrue="1" operator="greaterThanOrEqual">
      <formula>0.5</formula>
    </cfRule>
  </conditionalFormatting>
  <conditionalFormatting sqref="G76:G80">
    <cfRule type="cellIs" dxfId="32" priority="60" stopIfTrue="1" operator="greaterThanOrEqual">
      <formula>0.5</formula>
    </cfRule>
  </conditionalFormatting>
  <conditionalFormatting sqref="G88:G92">
    <cfRule type="cellIs" dxfId="31" priority="57" stopIfTrue="1" operator="greaterThanOrEqual">
      <formula>0.5</formula>
    </cfRule>
  </conditionalFormatting>
  <conditionalFormatting sqref="G100:G104">
    <cfRule type="cellIs" dxfId="30" priority="53" stopIfTrue="1" operator="greaterThanOrEqual">
      <formula>0.5</formula>
    </cfRule>
  </conditionalFormatting>
  <conditionalFormatting sqref="N100:N103">
    <cfRule type="cellIs" dxfId="29" priority="46" stopIfTrue="1" operator="greaterThanOrEqual">
      <formula>0.5</formula>
    </cfRule>
  </conditionalFormatting>
  <conditionalFormatting sqref="G82:G86">
    <cfRule type="cellIs" dxfId="28" priority="58" stopIfTrue="1" operator="greaterThanOrEqual">
      <formula>0.5</formula>
    </cfRule>
  </conditionalFormatting>
  <conditionalFormatting sqref="N94:N98">
    <cfRule type="cellIs" dxfId="27" priority="47" stopIfTrue="1" operator="greaterThanOrEqual">
      <formula>0.5</formula>
    </cfRule>
  </conditionalFormatting>
  <conditionalFormatting sqref="N16:N20 N22:N26 N28:N32 N34:N38 N40:N44 N52:N56 N58:N62 N64:N68 N70:N74">
    <cfRule type="cellIs" dxfId="26" priority="52" stopIfTrue="1" operator="greaterThanOrEqual">
      <formula>0.5</formula>
    </cfRule>
  </conditionalFormatting>
  <conditionalFormatting sqref="N46:N50">
    <cfRule type="cellIs" dxfId="25" priority="51" stopIfTrue="1" operator="greaterThanOrEqual">
      <formula>0.5</formula>
    </cfRule>
  </conditionalFormatting>
  <conditionalFormatting sqref="N76:N80">
    <cfRule type="cellIs" dxfId="24" priority="50" stopIfTrue="1" operator="greaterThanOrEqual">
      <formula>0.5</formula>
    </cfRule>
  </conditionalFormatting>
  <conditionalFormatting sqref="N88:N92">
    <cfRule type="cellIs" dxfId="23" priority="48" stopIfTrue="1" operator="greaterThanOrEqual">
      <formula>0.5</formula>
    </cfRule>
  </conditionalFormatting>
  <conditionalFormatting sqref="N82:N86">
    <cfRule type="cellIs" dxfId="22" priority="49" stopIfTrue="1" operator="greaterThanOrEqual">
      <formula>0.5</formula>
    </cfRule>
  </conditionalFormatting>
  <conditionalFormatting sqref="O20">
    <cfRule type="cellIs" dxfId="21" priority="45" stopIfTrue="1" operator="greaterThanOrEqual">
      <formula>0.5</formula>
    </cfRule>
  </conditionalFormatting>
  <conditionalFormatting sqref="G107:G108">
    <cfRule type="cellIs" dxfId="20" priority="30" stopIfTrue="1" operator="greaterThanOrEqual">
      <formula>0.5</formula>
    </cfRule>
  </conditionalFormatting>
  <conditionalFormatting sqref="N104">
    <cfRule type="cellIs" dxfId="19" priority="27" stopIfTrue="1" operator="greaterThanOrEqual">
      <formula>0.5</formula>
    </cfRule>
  </conditionalFormatting>
  <conditionalFormatting sqref="O26">
    <cfRule type="cellIs" dxfId="18" priority="17" stopIfTrue="1" operator="greaterThanOrEqual">
      <formula>0.5</formula>
    </cfRule>
  </conditionalFormatting>
  <conditionalFormatting sqref="O32">
    <cfRule type="cellIs" dxfId="17" priority="16" stopIfTrue="1" operator="greaterThanOrEqual">
      <formula>0.5</formula>
    </cfRule>
  </conditionalFormatting>
  <conditionalFormatting sqref="O38">
    <cfRule type="cellIs" dxfId="16" priority="15" stopIfTrue="1" operator="greaterThanOrEqual">
      <formula>0.5</formula>
    </cfRule>
  </conditionalFormatting>
  <conditionalFormatting sqref="O44">
    <cfRule type="cellIs" dxfId="15" priority="14" stopIfTrue="1" operator="greaterThanOrEqual">
      <formula>0.5</formula>
    </cfRule>
  </conditionalFormatting>
  <conditionalFormatting sqref="O50">
    <cfRule type="cellIs" dxfId="14" priority="13" stopIfTrue="1" operator="greaterThanOrEqual">
      <formula>0.5</formula>
    </cfRule>
  </conditionalFormatting>
  <conditionalFormatting sqref="O56">
    <cfRule type="cellIs" dxfId="13" priority="12" stopIfTrue="1" operator="greaterThanOrEqual">
      <formula>0.5</formula>
    </cfRule>
  </conditionalFormatting>
  <conditionalFormatting sqref="O62">
    <cfRule type="cellIs" dxfId="12" priority="11" stopIfTrue="1" operator="greaterThanOrEqual">
      <formula>0.5</formula>
    </cfRule>
  </conditionalFormatting>
  <conditionalFormatting sqref="O68">
    <cfRule type="cellIs" dxfId="11" priority="10" stopIfTrue="1" operator="greaterThanOrEqual">
      <formula>0.5</formula>
    </cfRule>
  </conditionalFormatting>
  <conditionalFormatting sqref="O74">
    <cfRule type="cellIs" dxfId="10" priority="9" stopIfTrue="1" operator="greaterThanOrEqual">
      <formula>0.5</formula>
    </cfRule>
  </conditionalFormatting>
  <conditionalFormatting sqref="O80">
    <cfRule type="cellIs" dxfId="9" priority="8" stopIfTrue="1" operator="greaterThanOrEqual">
      <formula>0.5</formula>
    </cfRule>
  </conditionalFormatting>
  <conditionalFormatting sqref="O86">
    <cfRule type="cellIs" dxfId="8" priority="7" stopIfTrue="1" operator="greaterThanOrEqual">
      <formula>0.5</formula>
    </cfRule>
  </conditionalFormatting>
  <conditionalFormatting sqref="O92">
    <cfRule type="cellIs" dxfId="7" priority="6" stopIfTrue="1" operator="greaterThanOrEqual">
      <formula>0.5</formula>
    </cfRule>
  </conditionalFormatting>
  <conditionalFormatting sqref="O98">
    <cfRule type="cellIs" dxfId="6" priority="5" stopIfTrue="1" operator="greaterThanOrEqual">
      <formula>0.5</formula>
    </cfRule>
  </conditionalFormatting>
  <conditionalFormatting sqref="O104">
    <cfRule type="cellIs" dxfId="5" priority="4" stopIfTrue="1" operator="greaterThanOrEqual">
      <formula>0.5</formula>
    </cfRule>
  </conditionalFormatting>
  <conditionalFormatting sqref="O105">
    <cfRule type="cellIs" dxfId="4" priority="3" stopIfTrue="1" operator="greaterThanOrEqual">
      <formula>0.5</formula>
    </cfRule>
  </conditionalFormatting>
  <conditionalFormatting sqref="O107:O108">
    <cfRule type="cellIs" dxfId="3" priority="2" stopIfTrue="1" operator="greaterThanOrEqual">
      <formula>0.5</formula>
    </cfRule>
  </conditionalFormatting>
  <conditionalFormatting sqref="N107:N108">
    <cfRule type="cellIs" dxfId="2" priority="1" stopIfTrue="1" operator="greaterThanOrEqual">
      <formula>0.5</formula>
    </cfRule>
  </conditionalFormatting>
  <printOptions horizontalCentered="1"/>
  <pageMargins left="0.39370078740157483" right="0.31496062992125984" top="0.74803149606299213" bottom="0.31496062992125984" header="0.51181102362204722" footer="0.19685039370078741"/>
  <pageSetup paperSize="9" scale="70" fitToHeight="0" orientation="landscape" blackAndWhite="1" r:id="rId1"/>
  <headerFooter alignWithMargins="0">
    <oddFooter>第 &amp;P 页，共 &amp;N 页</oddFooter>
  </headerFooter>
</worksheet>
</file>

<file path=xl/worksheets/sheet6.xml><?xml version="1.0" encoding="utf-8"?>
<worksheet xmlns="http://schemas.openxmlformats.org/spreadsheetml/2006/main" xmlns:r="http://schemas.openxmlformats.org/officeDocument/2006/relationships">
  <sheetPr codeName="Sheet6"/>
  <dimension ref="A1:Z79"/>
  <sheetViews>
    <sheetView view="pageBreakPreview" zoomScaleNormal="115" zoomScaleSheetLayoutView="100" workbookViewId="0">
      <selection activeCell="I26" sqref="I26"/>
    </sheetView>
  </sheetViews>
  <sheetFormatPr defaultRowHeight="19.5" customHeight="1"/>
  <cols>
    <col min="1" max="1" width="27.375" style="13" customWidth="1"/>
    <col min="2" max="10" width="13.25" style="13" customWidth="1"/>
    <col min="11" max="12" width="8.125" style="13" customWidth="1"/>
    <col min="13" max="16384" width="9" style="13"/>
  </cols>
  <sheetData>
    <row r="1" spans="1:26" s="19" customFormat="1" ht="19.5" customHeight="1">
      <c r="A1" s="213" t="s">
        <v>26</v>
      </c>
      <c r="B1" s="213"/>
      <c r="C1" s="213"/>
      <c r="D1" s="213"/>
      <c r="E1" s="213"/>
      <c r="F1" s="213"/>
      <c r="G1" s="213"/>
      <c r="H1" s="213"/>
      <c r="I1" s="213"/>
      <c r="J1" s="213"/>
      <c r="K1" s="213"/>
      <c r="L1" s="116"/>
    </row>
    <row r="2" spans="1:26" s="56" customFormat="1" ht="19.5" customHeight="1">
      <c r="A2" s="214" t="s">
        <v>221</v>
      </c>
      <c r="B2" s="215"/>
      <c r="C2" s="215"/>
      <c r="D2" s="215"/>
      <c r="E2" s="215"/>
      <c r="F2" s="215"/>
      <c r="G2" s="215"/>
      <c r="H2" s="215"/>
      <c r="I2" s="215"/>
      <c r="J2" s="215"/>
      <c r="K2" s="215"/>
      <c r="L2" s="117"/>
    </row>
    <row r="3" spans="1:26" ht="19.5" customHeight="1">
      <c r="A3" s="1" t="str">
        <f>表头!A2</f>
        <v>客户名称：</v>
      </c>
      <c r="C3" s="3" t="str">
        <f>表头!A4</f>
        <v>编制人：</v>
      </c>
      <c r="D3" s="10"/>
      <c r="E3" s="47" t="str">
        <f>表头!A5</f>
        <v>日期：</v>
      </c>
      <c r="G3" s="170" t="s">
        <v>270</v>
      </c>
      <c r="H3" s="10"/>
      <c r="I3" s="10"/>
      <c r="J3" s="10"/>
    </row>
    <row r="4" spans="1:26" ht="19.5" customHeight="1">
      <c r="A4" s="1" t="str">
        <f>表头!A3</f>
        <v>会计期间：201X年度</v>
      </c>
      <c r="C4" s="3" t="s">
        <v>1</v>
      </c>
      <c r="D4" s="10"/>
      <c r="E4" s="47" t="s">
        <v>6</v>
      </c>
      <c r="G4" s="10" t="s">
        <v>12</v>
      </c>
      <c r="H4" s="10"/>
      <c r="I4" s="10"/>
      <c r="J4" s="10"/>
    </row>
    <row r="5" spans="1:26" s="16" customFormat="1" ht="19.5" customHeight="1">
      <c r="A5" s="15" t="s">
        <v>27</v>
      </c>
      <c r="B5" s="15"/>
      <c r="C5" s="15"/>
      <c r="D5" s="15"/>
      <c r="E5" s="15"/>
      <c r="F5" s="15"/>
    </row>
    <row r="6" spans="1:26" s="16" customFormat="1" ht="19.5" customHeight="1">
      <c r="A6" s="31"/>
      <c r="B6" s="57" t="s">
        <v>222</v>
      </c>
      <c r="C6" s="31"/>
      <c r="D6" s="31"/>
      <c r="E6" s="31"/>
      <c r="F6" s="31"/>
      <c r="G6" s="31"/>
      <c r="H6" s="31"/>
      <c r="I6" s="31"/>
      <c r="J6" s="31"/>
    </row>
    <row r="7" spans="1:26" s="16" customFormat="1" ht="19.5" customHeight="1">
      <c r="A7" s="15" t="s">
        <v>28</v>
      </c>
      <c r="B7" s="15"/>
      <c r="C7" s="15"/>
      <c r="D7" s="15"/>
      <c r="E7" s="15"/>
      <c r="F7" s="15"/>
      <c r="G7" s="15"/>
      <c r="H7" s="15"/>
      <c r="I7" s="15"/>
      <c r="J7" s="15"/>
    </row>
    <row r="8" spans="1:26" s="16" customFormat="1" ht="30.75" customHeight="1">
      <c r="A8" s="147">
        <v>1</v>
      </c>
      <c r="B8" s="211" t="s">
        <v>223</v>
      </c>
      <c r="C8" s="211"/>
      <c r="D8" s="211"/>
      <c r="E8" s="211"/>
      <c r="F8" s="211"/>
      <c r="G8" s="211"/>
      <c r="H8" s="211"/>
      <c r="I8" s="211"/>
      <c r="J8" s="211"/>
      <c r="K8" s="149"/>
      <c r="L8" s="149"/>
      <c r="M8" s="149"/>
      <c r="N8" s="149"/>
      <c r="O8" s="149"/>
      <c r="P8" s="149"/>
      <c r="Q8" s="149"/>
      <c r="R8" s="149"/>
      <c r="S8" s="149"/>
      <c r="T8" s="149"/>
      <c r="U8" s="149"/>
      <c r="V8" s="149"/>
      <c r="W8" s="149"/>
      <c r="X8" s="149"/>
      <c r="Y8" s="149"/>
      <c r="Z8" s="149"/>
    </row>
    <row r="9" spans="1:26" s="16" customFormat="1" ht="18" customHeight="1">
      <c r="A9" s="147">
        <v>2</v>
      </c>
      <c r="B9" s="212" t="s">
        <v>225</v>
      </c>
      <c r="C9" s="212"/>
      <c r="D9" s="212"/>
      <c r="E9" s="212"/>
      <c r="F9" s="212"/>
      <c r="G9" s="212"/>
      <c r="H9" s="212"/>
      <c r="I9" s="212"/>
      <c r="J9" s="212"/>
      <c r="K9" s="148"/>
      <c r="L9" s="148"/>
      <c r="M9" s="148"/>
      <c r="N9" s="148"/>
      <c r="O9" s="148"/>
      <c r="P9" s="148"/>
      <c r="Q9" s="148"/>
      <c r="R9" s="148"/>
      <c r="S9" s="148"/>
      <c r="T9" s="148"/>
      <c r="U9" s="148"/>
      <c r="V9" s="148"/>
      <c r="W9" s="148"/>
      <c r="X9" s="148"/>
      <c r="Y9" s="148"/>
      <c r="Z9" s="148"/>
    </row>
    <row r="10" spans="1:26" s="16" customFormat="1" ht="19.5" customHeight="1">
      <c r="A10" s="160" t="s">
        <v>229</v>
      </c>
      <c r="B10" s="160" t="s">
        <v>230</v>
      </c>
      <c r="C10" s="160" t="s">
        <v>231</v>
      </c>
      <c r="D10" s="160" t="s">
        <v>250</v>
      </c>
      <c r="E10" s="160" t="s">
        <v>232</v>
      </c>
      <c r="F10" s="160" t="s">
        <v>233</v>
      </c>
      <c r="G10" s="160" t="s">
        <v>234</v>
      </c>
      <c r="H10" s="160" t="s">
        <v>235</v>
      </c>
      <c r="I10" s="160" t="s">
        <v>236</v>
      </c>
      <c r="J10" s="160" t="s">
        <v>237</v>
      </c>
    </row>
    <row r="11" spans="1:26" s="16" customFormat="1" ht="19.5" customHeight="1">
      <c r="A11" s="156" t="s">
        <v>239</v>
      </c>
      <c r="B11" s="151"/>
      <c r="C11" s="152"/>
      <c r="D11" s="153"/>
      <c r="E11" s="154">
        <f>B30</f>
        <v>0</v>
      </c>
      <c r="F11" s="154">
        <f>B41</f>
        <v>0</v>
      </c>
      <c r="G11" s="154">
        <f>F11-E11</f>
        <v>0</v>
      </c>
      <c r="H11" s="155"/>
      <c r="I11" s="155"/>
      <c r="J11" s="155"/>
    </row>
    <row r="12" spans="1:26" s="16" customFormat="1" ht="19.5" customHeight="1">
      <c r="A12" s="156" t="s">
        <v>241</v>
      </c>
      <c r="B12" s="151"/>
      <c r="C12" s="152"/>
      <c r="D12" s="153"/>
      <c r="E12" s="154">
        <f>C30</f>
        <v>0</v>
      </c>
      <c r="F12" s="154">
        <f>C41</f>
        <v>0</v>
      </c>
      <c r="G12" s="154">
        <f t="shared" ref="G12:G16" si="0">F12-E12</f>
        <v>0</v>
      </c>
      <c r="H12" s="155"/>
      <c r="I12" s="155"/>
      <c r="J12" s="155"/>
    </row>
    <row r="13" spans="1:26" s="16" customFormat="1" ht="19.5" customHeight="1">
      <c r="A13" s="156" t="s">
        <v>243</v>
      </c>
      <c r="B13" s="151"/>
      <c r="C13" s="152"/>
      <c r="D13" s="153"/>
      <c r="E13" s="154">
        <f>D30</f>
        <v>0</v>
      </c>
      <c r="F13" s="154">
        <f>D41</f>
        <v>0</v>
      </c>
      <c r="G13" s="154">
        <f t="shared" si="0"/>
        <v>0</v>
      </c>
      <c r="H13" s="155"/>
      <c r="I13" s="155"/>
      <c r="J13" s="155"/>
    </row>
    <row r="14" spans="1:26" s="16" customFormat="1" ht="19.5" customHeight="1">
      <c r="A14" s="156" t="s">
        <v>245</v>
      </c>
      <c r="B14" s="151"/>
      <c r="C14" s="152"/>
      <c r="D14" s="153"/>
      <c r="E14" s="154">
        <f>E30</f>
        <v>0</v>
      </c>
      <c r="F14" s="154">
        <f>E41</f>
        <v>0</v>
      </c>
      <c r="G14" s="154">
        <f t="shared" si="0"/>
        <v>0</v>
      </c>
      <c r="H14" s="155"/>
      <c r="I14" s="155"/>
      <c r="J14" s="155"/>
    </row>
    <row r="15" spans="1:26" s="16" customFormat="1" ht="19.5" customHeight="1">
      <c r="A15" s="156" t="s">
        <v>247</v>
      </c>
      <c r="B15" s="151"/>
      <c r="C15" s="152"/>
      <c r="D15" s="153"/>
      <c r="E15" s="154">
        <f>F30</f>
        <v>0</v>
      </c>
      <c r="F15" s="154">
        <f>F41</f>
        <v>0</v>
      </c>
      <c r="G15" s="154">
        <f t="shared" si="0"/>
        <v>0</v>
      </c>
      <c r="H15" s="155"/>
      <c r="I15" s="155"/>
      <c r="J15" s="155"/>
    </row>
    <row r="16" spans="1:26" s="16" customFormat="1" ht="19.5" customHeight="1">
      <c r="A16" s="156" t="s">
        <v>249</v>
      </c>
      <c r="B16" s="151"/>
      <c r="C16" s="152"/>
      <c r="D16" s="153"/>
      <c r="E16" s="154">
        <f>G30</f>
        <v>0</v>
      </c>
      <c r="F16" s="154">
        <f>G41</f>
        <v>0</v>
      </c>
      <c r="G16" s="154">
        <f t="shared" si="0"/>
        <v>0</v>
      </c>
      <c r="H16" s="155"/>
      <c r="I16" s="155"/>
      <c r="J16" s="155"/>
    </row>
    <row r="17" spans="1:24" s="16" customFormat="1" ht="19.5" customHeight="1">
      <c r="A17" s="30"/>
      <c r="B17" s="31"/>
      <c r="C17" s="30"/>
      <c r="D17" s="30"/>
      <c r="E17" s="30"/>
      <c r="F17" s="30"/>
      <c r="G17" s="30"/>
      <c r="H17" s="30"/>
      <c r="I17" s="30"/>
      <c r="J17" s="30"/>
      <c r="L17" s="158"/>
      <c r="W17" s="157"/>
      <c r="X17" s="157"/>
    </row>
    <row r="18" spans="1:24" s="16" customFormat="1" ht="19.5" customHeight="1">
      <c r="A18" s="159" t="s">
        <v>253</v>
      </c>
      <c r="B18" s="31"/>
      <c r="C18" s="30"/>
      <c r="D18" s="30"/>
      <c r="E18" s="30"/>
      <c r="F18" s="30"/>
      <c r="G18" s="30"/>
      <c r="H18" s="30"/>
      <c r="I18" s="30"/>
      <c r="J18" s="30"/>
      <c r="K18" s="158"/>
      <c r="L18" s="158"/>
      <c r="W18" s="18"/>
      <c r="X18" s="18"/>
    </row>
    <row r="19" spans="1:24" s="16" customFormat="1" ht="24" customHeight="1">
      <c r="A19" s="150" t="s">
        <v>229</v>
      </c>
      <c r="B19" s="166" t="s">
        <v>239</v>
      </c>
      <c r="C19" s="166" t="s">
        <v>240</v>
      </c>
      <c r="D19" s="166" t="s">
        <v>242</v>
      </c>
      <c r="E19" s="166" t="s">
        <v>244</v>
      </c>
      <c r="F19" s="166" t="s">
        <v>246</v>
      </c>
      <c r="G19" s="166" t="s">
        <v>248</v>
      </c>
      <c r="H19" s="30"/>
      <c r="I19" s="158"/>
      <c r="J19" s="158"/>
      <c r="U19" s="18"/>
      <c r="V19" s="18"/>
    </row>
    <row r="20" spans="1:24" s="16" customFormat="1" ht="19.5" customHeight="1">
      <c r="A20" s="164" t="s">
        <v>258</v>
      </c>
      <c r="B20" s="150"/>
      <c r="C20" s="150"/>
      <c r="D20" s="150"/>
      <c r="E20" s="150"/>
      <c r="F20" s="150"/>
      <c r="G20" s="150"/>
      <c r="H20" s="30"/>
      <c r="I20" s="158"/>
      <c r="J20" s="158"/>
      <c r="U20" s="18"/>
      <c r="V20" s="18"/>
    </row>
    <row r="21" spans="1:24" s="16" customFormat="1" ht="19.5" customHeight="1">
      <c r="A21" s="162" t="s">
        <v>254</v>
      </c>
      <c r="B21" s="17"/>
      <c r="C21" s="17"/>
      <c r="D21" s="17"/>
      <c r="E21" s="17"/>
      <c r="F21" s="17"/>
      <c r="G21" s="17"/>
      <c r="H21" s="30"/>
      <c r="I21" s="158"/>
      <c r="J21" s="158"/>
      <c r="U21" s="18"/>
      <c r="V21" s="18"/>
    </row>
    <row r="22" spans="1:24" s="16" customFormat="1" ht="19.5" customHeight="1">
      <c r="A22" s="162" t="s">
        <v>255</v>
      </c>
      <c r="B22" s="17"/>
      <c r="C22" s="17"/>
      <c r="D22" s="17"/>
      <c r="E22" s="17"/>
      <c r="F22" s="17"/>
      <c r="G22" s="17"/>
      <c r="H22" s="30"/>
      <c r="I22" s="158"/>
      <c r="J22" s="158"/>
      <c r="U22" s="18"/>
      <c r="V22" s="18"/>
    </row>
    <row r="23" spans="1:24" s="16" customFormat="1" ht="19.5" customHeight="1">
      <c r="A23" s="162" t="s">
        <v>256</v>
      </c>
      <c r="B23" s="17"/>
      <c r="C23" s="17"/>
      <c r="D23" s="17"/>
      <c r="E23" s="17"/>
      <c r="F23" s="17"/>
      <c r="G23" s="17"/>
      <c r="H23" s="30"/>
      <c r="I23" s="158"/>
      <c r="J23" s="158"/>
      <c r="U23" s="18"/>
      <c r="V23" s="18"/>
    </row>
    <row r="24" spans="1:24" s="16" customFormat="1" ht="19.5" customHeight="1">
      <c r="A24" s="163" t="s">
        <v>264</v>
      </c>
      <c r="B24" s="17"/>
      <c r="C24" s="17"/>
      <c r="D24" s="17"/>
      <c r="E24" s="17"/>
      <c r="F24" s="17"/>
      <c r="G24" s="17"/>
      <c r="H24" s="30"/>
      <c r="I24" s="158"/>
      <c r="J24" s="158"/>
      <c r="U24" s="18"/>
      <c r="V24" s="18"/>
    </row>
    <row r="25" spans="1:24" s="16" customFormat="1" ht="19.5" customHeight="1">
      <c r="A25" s="163" t="s">
        <v>265</v>
      </c>
      <c r="B25" s="17"/>
      <c r="C25" s="17"/>
      <c r="D25" s="17"/>
      <c r="E25" s="17"/>
      <c r="F25" s="17"/>
      <c r="G25" s="17"/>
      <c r="H25" s="30"/>
      <c r="I25" s="158"/>
      <c r="J25" s="158"/>
      <c r="U25" s="18"/>
      <c r="V25" s="18"/>
    </row>
    <row r="26" spans="1:24" s="16" customFormat="1" ht="19.5" customHeight="1">
      <c r="A26" s="162" t="s">
        <v>257</v>
      </c>
      <c r="B26" s="17"/>
      <c r="C26" s="17"/>
      <c r="D26" s="17"/>
      <c r="E26" s="17"/>
      <c r="F26" s="17"/>
      <c r="G26" s="17"/>
      <c r="H26" s="30"/>
      <c r="I26" s="158"/>
      <c r="J26" s="158"/>
      <c r="U26" s="18"/>
      <c r="V26" s="18"/>
    </row>
    <row r="27" spans="1:24" s="16" customFormat="1" ht="19.5" customHeight="1">
      <c r="A27" s="162" t="s">
        <v>262</v>
      </c>
      <c r="B27" s="17"/>
      <c r="C27" s="17"/>
      <c r="D27" s="17"/>
      <c r="E27" s="17"/>
      <c r="F27" s="17"/>
      <c r="G27" s="17"/>
      <c r="H27" s="30"/>
      <c r="I27" s="158"/>
      <c r="J27" s="158"/>
      <c r="U27" s="18"/>
      <c r="V27" s="18"/>
    </row>
    <row r="28" spans="1:24" s="16" customFormat="1" ht="19.5" customHeight="1">
      <c r="A28" s="162" t="s">
        <v>263</v>
      </c>
      <c r="B28" s="17"/>
      <c r="C28" s="17"/>
      <c r="D28" s="17"/>
      <c r="E28" s="17"/>
      <c r="F28" s="17"/>
      <c r="G28" s="17"/>
      <c r="H28" s="30"/>
      <c r="I28" s="158"/>
      <c r="J28" s="158"/>
      <c r="U28" s="18"/>
      <c r="V28" s="18"/>
    </row>
    <row r="29" spans="1:24" s="16" customFormat="1" ht="19.5" customHeight="1">
      <c r="A29" s="167" t="s">
        <v>252</v>
      </c>
      <c r="B29" s="17"/>
      <c r="C29" s="17"/>
      <c r="D29" s="17"/>
      <c r="E29" s="17"/>
      <c r="F29" s="17"/>
      <c r="G29" s="17"/>
      <c r="H29" s="30"/>
      <c r="I29" s="158"/>
      <c r="J29" s="158"/>
      <c r="U29" s="18"/>
      <c r="V29" s="18"/>
    </row>
    <row r="30" spans="1:24" s="16" customFormat="1" ht="19.5" customHeight="1">
      <c r="A30" s="154" t="s">
        <v>261</v>
      </c>
      <c r="B30" s="154">
        <f>B21-B22-B23-B24-B25-B26-B27-B28</f>
        <v>0</v>
      </c>
      <c r="C30" s="154">
        <f t="shared" ref="C30:G30" si="1">C21-C22-C23-C24-C25-C26-C27-C28</f>
        <v>0</v>
      </c>
      <c r="D30" s="154">
        <f t="shared" si="1"/>
        <v>0</v>
      </c>
      <c r="E30" s="154">
        <f t="shared" si="1"/>
        <v>0</v>
      </c>
      <c r="F30" s="154">
        <f t="shared" si="1"/>
        <v>0</v>
      </c>
      <c r="G30" s="154">
        <f t="shared" si="1"/>
        <v>0</v>
      </c>
      <c r="H30" s="30"/>
      <c r="I30" s="158"/>
      <c r="J30" s="158"/>
      <c r="U30" s="18"/>
      <c r="V30" s="18"/>
    </row>
    <row r="31" spans="1:24" s="16" customFormat="1" ht="19.5" customHeight="1">
      <c r="A31" s="164" t="s">
        <v>259</v>
      </c>
      <c r="B31" s="150"/>
      <c r="C31" s="150"/>
      <c r="D31" s="150"/>
      <c r="E31" s="150"/>
      <c r="F31" s="150"/>
      <c r="G31" s="150"/>
      <c r="H31" s="30"/>
      <c r="I31" s="158"/>
      <c r="J31" s="158"/>
      <c r="U31" s="18"/>
      <c r="V31" s="18"/>
    </row>
    <row r="32" spans="1:24" s="16" customFormat="1" ht="19.5" customHeight="1">
      <c r="A32" s="162" t="str">
        <f>A21</f>
        <v>A、终止经营的经营活动收入；</v>
      </c>
      <c r="B32" s="17"/>
      <c r="C32" s="17"/>
      <c r="D32" s="17"/>
      <c r="E32" s="17"/>
      <c r="F32" s="17"/>
      <c r="G32" s="17"/>
      <c r="H32" s="30"/>
      <c r="I32" s="158"/>
      <c r="J32" s="158"/>
      <c r="U32" s="18"/>
      <c r="V32" s="18"/>
    </row>
    <row r="33" spans="1:24" s="16" customFormat="1" ht="19.5" customHeight="1">
      <c r="A33" s="162" t="str">
        <f t="shared" ref="A33:A40" si="2">A22</f>
        <v>B、终止经营的经营活动成本；</v>
      </c>
      <c r="B33" s="17"/>
      <c r="C33" s="17"/>
      <c r="D33" s="17"/>
      <c r="E33" s="17"/>
      <c r="F33" s="17"/>
      <c r="G33" s="17"/>
      <c r="H33" s="30"/>
      <c r="I33" s="158"/>
      <c r="J33" s="158"/>
      <c r="U33" s="18"/>
      <c r="V33" s="18"/>
    </row>
    <row r="34" spans="1:24" s="16" customFormat="1" ht="19.5" customHeight="1">
      <c r="A34" s="162" t="str">
        <f t="shared" si="2"/>
        <v>C、终止经营的经营活动费用；</v>
      </c>
      <c r="B34" s="17"/>
      <c r="C34" s="17"/>
      <c r="D34" s="17"/>
      <c r="E34" s="17"/>
      <c r="F34" s="17"/>
      <c r="G34" s="17"/>
      <c r="H34" s="30"/>
      <c r="I34" s="158"/>
      <c r="J34" s="158"/>
      <c r="U34" s="18"/>
      <c r="V34" s="18"/>
    </row>
    <row r="35" spans="1:24" s="16" customFormat="1" ht="19.5" customHeight="1">
      <c r="A35" s="163" t="str">
        <f t="shared" si="2"/>
        <v>D、账面价值高于其公允价值减去出售费用后的净额而确认的资产减值损失；</v>
      </c>
      <c r="B35" s="17"/>
      <c r="C35" s="17"/>
      <c r="D35" s="17"/>
      <c r="E35" s="17"/>
      <c r="F35" s="17"/>
      <c r="G35" s="17"/>
      <c r="H35" s="30"/>
      <c r="I35" s="158"/>
      <c r="J35" s="158"/>
      <c r="U35" s="18"/>
      <c r="V35" s="18"/>
    </row>
    <row r="36" spans="1:24" s="16" customFormat="1" ht="19.5" customHeight="1">
      <c r="A36" s="163" t="str">
        <f t="shared" si="2"/>
        <v>E、恢复以前减记的金额而转回的资产减值损失；</v>
      </c>
      <c r="B36" s="17"/>
      <c r="C36" s="17"/>
      <c r="D36" s="17"/>
      <c r="E36" s="17"/>
      <c r="F36" s="17"/>
      <c r="G36" s="17"/>
      <c r="H36" s="30"/>
      <c r="I36" s="158"/>
      <c r="J36" s="158"/>
      <c r="U36" s="18"/>
      <c r="V36" s="18"/>
    </row>
    <row r="37" spans="1:24" s="16" customFormat="1" ht="19.5" customHeight="1">
      <c r="A37" s="162" t="str">
        <f t="shared" si="2"/>
        <v>F、终止经营的处置损益；</v>
      </c>
      <c r="B37" s="17"/>
      <c r="C37" s="17"/>
      <c r="D37" s="17"/>
      <c r="E37" s="17"/>
      <c r="F37" s="17"/>
      <c r="G37" s="17"/>
      <c r="H37" s="30"/>
      <c r="I37" s="158"/>
      <c r="J37" s="158"/>
      <c r="U37" s="18"/>
      <c r="V37" s="18"/>
    </row>
    <row r="38" spans="1:24" s="16" customFormat="1" ht="19.5" customHeight="1">
      <c r="A38" s="162" t="str">
        <f t="shared" si="2"/>
        <v>G、增量费用</v>
      </c>
      <c r="B38" s="17"/>
      <c r="C38" s="17"/>
      <c r="D38" s="17"/>
      <c r="E38" s="17"/>
      <c r="F38" s="17"/>
      <c r="G38" s="17"/>
      <c r="H38" s="30"/>
      <c r="I38" s="158"/>
      <c r="J38" s="158"/>
      <c r="U38" s="18"/>
      <c r="V38" s="18"/>
    </row>
    <row r="39" spans="1:24" s="16" customFormat="1" ht="19.5" customHeight="1">
      <c r="A39" s="162" t="str">
        <f t="shared" si="2"/>
        <v>H、其他损益（可明细列示）；</v>
      </c>
      <c r="B39" s="17"/>
      <c r="C39" s="17"/>
      <c r="D39" s="17"/>
      <c r="E39" s="17"/>
      <c r="F39" s="17"/>
      <c r="G39" s="17"/>
      <c r="H39" s="30"/>
      <c r="I39" s="158"/>
      <c r="J39" s="158"/>
      <c r="U39" s="18"/>
      <c r="V39" s="18"/>
    </row>
    <row r="40" spans="1:24" s="16" customFormat="1" ht="19.5" customHeight="1">
      <c r="A40" s="161" t="str">
        <f t="shared" si="2"/>
        <v>……</v>
      </c>
      <c r="B40" s="17"/>
      <c r="C40" s="17"/>
      <c r="D40" s="17"/>
      <c r="E40" s="17"/>
      <c r="F40" s="17"/>
      <c r="G40" s="17"/>
      <c r="H40" s="30"/>
      <c r="I40" s="158"/>
      <c r="J40" s="158"/>
      <c r="U40" s="18"/>
      <c r="V40" s="18"/>
    </row>
    <row r="41" spans="1:24" s="16" customFormat="1" ht="19.5" customHeight="1">
      <c r="A41" s="154" t="s">
        <v>261</v>
      </c>
      <c r="B41" s="154">
        <f>B32-B33-B34-B35-B36-B37-B38-B39</f>
        <v>0</v>
      </c>
      <c r="C41" s="154">
        <f t="shared" ref="C41:G41" si="3">C32-C33-C34-C35-C36-C37-C38-C39</f>
        <v>0</v>
      </c>
      <c r="D41" s="154">
        <f t="shared" si="3"/>
        <v>0</v>
      </c>
      <c r="E41" s="154">
        <f t="shared" si="3"/>
        <v>0</v>
      </c>
      <c r="F41" s="154">
        <f t="shared" si="3"/>
        <v>0</v>
      </c>
      <c r="G41" s="154">
        <f t="shared" si="3"/>
        <v>0</v>
      </c>
      <c r="H41" s="30"/>
      <c r="I41" s="158"/>
      <c r="J41" s="158"/>
      <c r="U41" s="18"/>
      <c r="V41" s="18"/>
    </row>
    <row r="42" spans="1:24" s="16" customFormat="1" ht="19.5" customHeight="1">
      <c r="A42" s="164" t="s">
        <v>260</v>
      </c>
      <c r="B42" s="150"/>
      <c r="C42" s="150"/>
      <c r="D42" s="150"/>
      <c r="E42" s="150"/>
      <c r="F42" s="150"/>
      <c r="G42" s="150"/>
      <c r="H42" s="30"/>
      <c r="I42" s="158"/>
      <c r="J42" s="158"/>
      <c r="U42" s="18"/>
      <c r="V42" s="18"/>
    </row>
    <row r="43" spans="1:24" s="16" customFormat="1" ht="19.5" customHeight="1">
      <c r="A43" s="163" t="str">
        <f>A21</f>
        <v>A、终止经营的经营活动收入；</v>
      </c>
      <c r="B43" s="154">
        <f>B32-B21</f>
        <v>0</v>
      </c>
      <c r="C43" s="154">
        <f t="shared" ref="C43:G43" si="4">C32-C21</f>
        <v>0</v>
      </c>
      <c r="D43" s="154">
        <f t="shared" si="4"/>
        <v>0</v>
      </c>
      <c r="E43" s="154">
        <f t="shared" si="4"/>
        <v>0</v>
      </c>
      <c r="F43" s="154">
        <f t="shared" si="4"/>
        <v>0</v>
      </c>
      <c r="G43" s="154">
        <f t="shared" si="4"/>
        <v>0</v>
      </c>
      <c r="H43" s="30"/>
      <c r="I43" s="30"/>
      <c r="J43" s="30"/>
      <c r="K43" s="158"/>
      <c r="L43" s="158"/>
      <c r="W43" s="18"/>
      <c r="X43" s="18"/>
    </row>
    <row r="44" spans="1:24" s="16" customFormat="1" ht="19.5" customHeight="1">
      <c r="A44" s="163" t="str">
        <f t="shared" ref="A44:A51" si="5">A22</f>
        <v>B、终止经营的经营活动成本；</v>
      </c>
      <c r="B44" s="154">
        <f t="shared" ref="B44:G44" si="6">B33-B22</f>
        <v>0</v>
      </c>
      <c r="C44" s="154">
        <f t="shared" si="6"/>
        <v>0</v>
      </c>
      <c r="D44" s="154">
        <f t="shared" si="6"/>
        <v>0</v>
      </c>
      <c r="E44" s="154">
        <f t="shared" si="6"/>
        <v>0</v>
      </c>
      <c r="F44" s="154">
        <f t="shared" si="6"/>
        <v>0</v>
      </c>
      <c r="G44" s="154">
        <f t="shared" si="6"/>
        <v>0</v>
      </c>
      <c r="H44" s="30"/>
      <c r="I44" s="30"/>
      <c r="J44" s="30"/>
      <c r="K44" s="158"/>
      <c r="L44" s="158"/>
      <c r="W44" s="18"/>
      <c r="X44" s="18"/>
    </row>
    <row r="45" spans="1:24" s="16" customFormat="1" ht="19.5" customHeight="1">
      <c r="A45" s="163" t="str">
        <f t="shared" si="5"/>
        <v>C、终止经营的经营活动费用；</v>
      </c>
      <c r="B45" s="154">
        <f t="shared" ref="B45:G45" si="7">B34-B23</f>
        <v>0</v>
      </c>
      <c r="C45" s="154">
        <f t="shared" si="7"/>
        <v>0</v>
      </c>
      <c r="D45" s="154">
        <f t="shared" si="7"/>
        <v>0</v>
      </c>
      <c r="E45" s="154">
        <f t="shared" si="7"/>
        <v>0</v>
      </c>
      <c r="F45" s="154">
        <f t="shared" si="7"/>
        <v>0</v>
      </c>
      <c r="G45" s="154">
        <f t="shared" si="7"/>
        <v>0</v>
      </c>
      <c r="H45" s="30"/>
      <c r="I45" s="30"/>
      <c r="J45" s="30"/>
      <c r="K45" s="158"/>
      <c r="L45" s="158"/>
      <c r="W45" s="18"/>
      <c r="X45" s="18"/>
    </row>
    <row r="46" spans="1:24" s="16" customFormat="1" ht="19.5" customHeight="1">
      <c r="A46" s="163" t="str">
        <f t="shared" si="5"/>
        <v>D、账面价值高于其公允价值减去出售费用后的净额而确认的资产减值损失；</v>
      </c>
      <c r="B46" s="154">
        <f t="shared" ref="B46:G46" si="8">B35-B24</f>
        <v>0</v>
      </c>
      <c r="C46" s="154">
        <f t="shared" si="8"/>
        <v>0</v>
      </c>
      <c r="D46" s="154">
        <f t="shared" si="8"/>
        <v>0</v>
      </c>
      <c r="E46" s="154">
        <f t="shared" si="8"/>
        <v>0</v>
      </c>
      <c r="F46" s="154">
        <f t="shared" si="8"/>
        <v>0</v>
      </c>
      <c r="G46" s="154">
        <f t="shared" si="8"/>
        <v>0</v>
      </c>
      <c r="H46" s="30"/>
      <c r="I46" s="30"/>
      <c r="J46" s="30"/>
      <c r="K46" s="158"/>
      <c r="L46" s="158"/>
      <c r="W46" s="18"/>
      <c r="X46" s="18"/>
    </row>
    <row r="47" spans="1:24" s="16" customFormat="1" ht="19.5" customHeight="1">
      <c r="A47" s="163" t="str">
        <f t="shared" si="5"/>
        <v>E、恢复以前减记的金额而转回的资产减值损失；</v>
      </c>
      <c r="B47" s="154">
        <f t="shared" ref="B47:G47" si="9">B36-B25</f>
        <v>0</v>
      </c>
      <c r="C47" s="154">
        <f t="shared" si="9"/>
        <v>0</v>
      </c>
      <c r="D47" s="154">
        <f t="shared" si="9"/>
        <v>0</v>
      </c>
      <c r="E47" s="154">
        <f t="shared" si="9"/>
        <v>0</v>
      </c>
      <c r="F47" s="154">
        <f t="shared" si="9"/>
        <v>0</v>
      </c>
      <c r="G47" s="154">
        <f t="shared" si="9"/>
        <v>0</v>
      </c>
      <c r="H47" s="30"/>
      <c r="I47" s="30"/>
      <c r="J47" s="30"/>
      <c r="K47" s="158"/>
      <c r="L47" s="158"/>
      <c r="W47" s="18"/>
      <c r="X47" s="18"/>
    </row>
    <row r="48" spans="1:24" s="16" customFormat="1" ht="19.5" customHeight="1">
      <c r="A48" s="163" t="str">
        <f t="shared" si="5"/>
        <v>F、终止经营的处置损益；</v>
      </c>
      <c r="B48" s="154">
        <f t="shared" ref="B48:G48" si="10">B37-B26</f>
        <v>0</v>
      </c>
      <c r="C48" s="154">
        <f t="shared" si="10"/>
        <v>0</v>
      </c>
      <c r="D48" s="154">
        <f t="shared" si="10"/>
        <v>0</v>
      </c>
      <c r="E48" s="154">
        <f t="shared" si="10"/>
        <v>0</v>
      </c>
      <c r="F48" s="154">
        <f t="shared" si="10"/>
        <v>0</v>
      </c>
      <c r="G48" s="154">
        <f t="shared" si="10"/>
        <v>0</v>
      </c>
      <c r="H48" s="30"/>
      <c r="I48" s="30"/>
      <c r="J48" s="30"/>
      <c r="K48" s="158"/>
      <c r="L48" s="158"/>
      <c r="W48" s="18"/>
      <c r="X48" s="18"/>
    </row>
    <row r="49" spans="1:26" s="16" customFormat="1" ht="19.5" customHeight="1">
      <c r="A49" s="163" t="str">
        <f t="shared" si="5"/>
        <v>G、增量费用</v>
      </c>
      <c r="B49" s="154"/>
      <c r="C49" s="154"/>
      <c r="D49" s="154"/>
      <c r="E49" s="154"/>
      <c r="F49" s="154"/>
      <c r="G49" s="154"/>
      <c r="H49" s="30"/>
      <c r="I49" s="30"/>
      <c r="J49" s="30"/>
      <c r="K49" s="158"/>
      <c r="L49" s="158"/>
      <c r="W49" s="18"/>
      <c r="X49" s="18"/>
    </row>
    <row r="50" spans="1:26" s="16" customFormat="1" ht="19.5" customHeight="1">
      <c r="A50" s="163" t="str">
        <f t="shared" si="5"/>
        <v>H、其他损益（可明细列示）；</v>
      </c>
      <c r="B50" s="154">
        <f t="shared" ref="B50:G51" si="11">B39-B28</f>
        <v>0</v>
      </c>
      <c r="C50" s="154">
        <f t="shared" si="11"/>
        <v>0</v>
      </c>
      <c r="D50" s="154">
        <f t="shared" si="11"/>
        <v>0</v>
      </c>
      <c r="E50" s="154">
        <f t="shared" si="11"/>
        <v>0</v>
      </c>
      <c r="F50" s="154">
        <f t="shared" si="11"/>
        <v>0</v>
      </c>
      <c r="G50" s="154">
        <f t="shared" si="11"/>
        <v>0</v>
      </c>
      <c r="H50" s="30"/>
      <c r="I50" s="30"/>
      <c r="J50" s="30"/>
      <c r="K50" s="158"/>
      <c r="L50" s="158"/>
      <c r="W50" s="18"/>
      <c r="X50" s="18"/>
    </row>
    <row r="51" spans="1:26" s="16" customFormat="1" ht="19.5" customHeight="1">
      <c r="A51" s="168" t="str">
        <f t="shared" si="5"/>
        <v>……</v>
      </c>
      <c r="B51" s="154">
        <f t="shared" si="11"/>
        <v>0</v>
      </c>
      <c r="C51" s="154">
        <f t="shared" si="11"/>
        <v>0</v>
      </c>
      <c r="D51" s="154">
        <f t="shared" si="11"/>
        <v>0</v>
      </c>
      <c r="E51" s="154">
        <f t="shared" si="11"/>
        <v>0</v>
      </c>
      <c r="F51" s="154">
        <f t="shared" si="11"/>
        <v>0</v>
      </c>
      <c r="G51" s="154">
        <f t="shared" si="11"/>
        <v>0</v>
      </c>
      <c r="H51" s="30"/>
      <c r="I51" s="30"/>
      <c r="J51" s="30"/>
      <c r="K51" s="158"/>
      <c r="L51" s="158"/>
      <c r="W51" s="18"/>
      <c r="X51" s="18"/>
    </row>
    <row r="52" spans="1:26" s="16" customFormat="1" ht="19.5" customHeight="1">
      <c r="A52" s="154" t="s">
        <v>261</v>
      </c>
      <c r="B52" s="154">
        <f>B43-B44-B45-B46-B47-B48-B49-B50</f>
        <v>0</v>
      </c>
      <c r="C52" s="154">
        <f t="shared" ref="C52:G52" si="12">C43-C44-C45-C46-C47-C48-C49-C50</f>
        <v>0</v>
      </c>
      <c r="D52" s="154">
        <f t="shared" si="12"/>
        <v>0</v>
      </c>
      <c r="E52" s="154">
        <f t="shared" si="12"/>
        <v>0</v>
      </c>
      <c r="F52" s="154">
        <f t="shared" si="12"/>
        <v>0</v>
      </c>
      <c r="G52" s="154">
        <f t="shared" si="12"/>
        <v>0</v>
      </c>
      <c r="H52" s="30"/>
      <c r="I52" s="30"/>
      <c r="J52" s="30"/>
      <c r="K52" s="158"/>
      <c r="L52" s="158"/>
      <c r="W52" s="18"/>
      <c r="X52" s="18"/>
    </row>
    <row r="53" spans="1:26" ht="19.5" customHeight="1">
      <c r="A53" s="30" t="s">
        <v>29</v>
      </c>
      <c r="K53" s="10"/>
      <c r="L53" s="10"/>
      <c r="W53" s="18"/>
      <c r="X53" s="18"/>
    </row>
    <row r="54" spans="1:26" ht="19.5" customHeight="1">
      <c r="A54" s="114"/>
      <c r="K54" s="10"/>
      <c r="L54" s="10"/>
      <c r="W54" s="19"/>
      <c r="X54" s="20"/>
    </row>
    <row r="55" spans="1:26" s="19" customFormat="1" ht="19.5" customHeight="1">
      <c r="K55" s="10"/>
      <c r="L55" s="10"/>
      <c r="W55" s="10"/>
      <c r="X55" s="10"/>
    </row>
    <row r="56" spans="1:26" ht="19.5" customHeight="1">
      <c r="K56" s="165"/>
      <c r="L56" s="165"/>
      <c r="M56" s="165"/>
      <c r="N56" s="165"/>
      <c r="O56" s="165"/>
      <c r="P56" s="165"/>
      <c r="Q56" s="165"/>
      <c r="R56" s="165"/>
      <c r="S56" s="165"/>
      <c r="T56" s="165"/>
      <c r="U56" s="165"/>
      <c r="V56" s="165"/>
      <c r="W56" s="165"/>
      <c r="X56" s="165"/>
      <c r="Y56" s="165"/>
      <c r="Z56" s="165"/>
    </row>
    <row r="57" spans="1:26" ht="19.5" customHeight="1">
      <c r="A57" s="19" t="s">
        <v>30</v>
      </c>
      <c r="K57" s="10"/>
      <c r="L57" s="10"/>
    </row>
    <row r="58" spans="1:26" ht="19.5" customHeight="1">
      <c r="A58" s="19"/>
      <c r="K58" s="10"/>
      <c r="L58" s="10"/>
    </row>
    <row r="59" spans="1:26" ht="19.5" customHeight="1">
      <c r="A59" s="19"/>
      <c r="K59" s="10"/>
      <c r="L59" s="10"/>
    </row>
    <row r="60" spans="1:26" ht="19.5" customHeight="1">
      <c r="K60" s="10"/>
      <c r="L60" s="10"/>
    </row>
    <row r="61" spans="1:26" s="6" customFormat="1" ht="19.5" customHeight="1">
      <c r="A61" s="34" t="s">
        <v>224</v>
      </c>
    </row>
    <row r="62" spans="1:26" s="6" customFormat="1" ht="19.5" customHeight="1">
      <c r="A62" s="58" t="s">
        <v>226</v>
      </c>
      <c r="B62" s="58"/>
      <c r="C62" s="13"/>
      <c r="D62" s="13"/>
    </row>
    <row r="63" spans="1:26" s="6" customFormat="1" ht="19.5" customHeight="1">
      <c r="A63" s="139" t="s">
        <v>227</v>
      </c>
      <c r="B63" s="58"/>
      <c r="C63" s="13"/>
      <c r="D63" s="13"/>
    </row>
    <row r="64" spans="1:26" s="6" customFormat="1" ht="19.5" customHeight="1">
      <c r="A64" s="139" t="s">
        <v>228</v>
      </c>
      <c r="B64" s="59"/>
      <c r="C64" s="13"/>
      <c r="D64" s="13"/>
    </row>
    <row r="65" spans="1:2" s="6" customFormat="1" ht="19.5" customHeight="1">
      <c r="A65" s="6" t="s">
        <v>175</v>
      </c>
    </row>
    <row r="66" spans="1:2" s="6" customFormat="1" ht="19.5" customHeight="1">
      <c r="A66" s="6" t="s">
        <v>176</v>
      </c>
    </row>
    <row r="67" spans="1:2" s="6" customFormat="1" ht="19.5" customHeight="1">
      <c r="A67" s="139" t="s">
        <v>180</v>
      </c>
    </row>
    <row r="68" spans="1:2" s="6" customFormat="1" ht="19.5" customHeight="1">
      <c r="A68" s="139" t="s">
        <v>181</v>
      </c>
    </row>
    <row r="69" spans="1:2" s="6" customFormat="1" ht="19.5" customHeight="1">
      <c r="A69" s="139" t="s">
        <v>182</v>
      </c>
    </row>
    <row r="70" spans="1:2" s="6" customFormat="1" ht="19.5" customHeight="1">
      <c r="A70" s="139" t="s">
        <v>251</v>
      </c>
    </row>
    <row r="71" spans="1:2" s="6" customFormat="1" ht="19.5" customHeight="1">
      <c r="A71" s="139" t="s">
        <v>183</v>
      </c>
    </row>
    <row r="72" spans="1:2" s="6" customFormat="1" ht="19.5" customHeight="1">
      <c r="A72" s="139" t="s">
        <v>177</v>
      </c>
    </row>
    <row r="73" spans="1:2" s="6" customFormat="1" ht="19.5" customHeight="1">
      <c r="A73" s="139" t="s">
        <v>178</v>
      </c>
    </row>
    <row r="74" spans="1:2" s="6" customFormat="1" ht="19.5" customHeight="1">
      <c r="A74" s="139" t="s">
        <v>179</v>
      </c>
    </row>
    <row r="75" spans="1:2" s="6" customFormat="1" ht="19.5" customHeight="1">
      <c r="A75" s="139" t="s">
        <v>184</v>
      </c>
    </row>
    <row r="76" spans="1:2" ht="19.5" customHeight="1">
      <c r="A76" s="60" t="s">
        <v>31</v>
      </c>
      <c r="B76" s="59"/>
    </row>
    <row r="77" spans="1:2" ht="19.5" customHeight="1">
      <c r="A77" s="61" t="s">
        <v>32</v>
      </c>
      <c r="B77" s="59" t="s">
        <v>33</v>
      </c>
    </row>
    <row r="78" spans="1:2" ht="19.5" customHeight="1">
      <c r="A78" s="61" t="s">
        <v>34</v>
      </c>
      <c r="B78" s="59" t="s">
        <v>35</v>
      </c>
    </row>
    <row r="79" spans="1:2" ht="19.5" customHeight="1">
      <c r="A79" s="61" t="s">
        <v>36</v>
      </c>
      <c r="B79" s="59" t="s">
        <v>37</v>
      </c>
    </row>
  </sheetData>
  <mergeCells count="4">
    <mergeCell ref="B8:J8"/>
    <mergeCell ref="B9:J9"/>
    <mergeCell ref="A1:K1"/>
    <mergeCell ref="A2:K2"/>
  </mergeCells>
  <phoneticPr fontId="7" type="noConversion"/>
  <conditionalFormatting sqref="C22:C27 D22:G29">
    <cfRule type="cellIs" dxfId="1" priority="4" stopIfTrue="1" operator="greaterThanOrEqual">
      <formula>0.5</formula>
    </cfRule>
  </conditionalFormatting>
  <conditionalFormatting sqref="C33:C38 D33:G40">
    <cfRule type="cellIs" dxfId="0" priority="1" stopIfTrue="1" operator="greaterThanOrEqual">
      <formula>0.5</formula>
    </cfRule>
  </conditionalFormatting>
  <printOptions horizontalCentered="1"/>
  <pageMargins left="0.74803149606299213" right="0.55118110236220474" top="0.82677165354330717" bottom="0.23622047244094491" header="0.51181102362204722" footer="0.19685039370078741"/>
  <pageSetup paperSize="9" scale="86" fitToHeight="100" orientation="landscape" blackAndWhite="1" cellComments="atEnd" r:id="rId1"/>
  <headerFooter alignWithMargins="0">
    <oddFooter>第 &amp;P 页，共 &amp;N 页</oddFooter>
  </headerFooter>
  <legacyDrawing r:id="rId2"/>
  <oleObjects>
    <oleObject progId="文档" dvAspect="DVASPECT_ICON" shapeId="1025" r:id="rId3"/>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5</vt:i4>
      </vt:variant>
    </vt:vector>
  </HeadingPairs>
  <TitlesOfParts>
    <vt:vector size="11" baseType="lpstr">
      <vt:lpstr>表头</vt:lpstr>
      <vt:lpstr>审定表A5-4</vt:lpstr>
      <vt:lpstr>附注披露信息（上市公司）A5-4-1</vt:lpstr>
      <vt:lpstr>附注披露信息（国企）A5-4-1</vt:lpstr>
      <vt:lpstr>明细分析表A5-4-2</vt:lpstr>
      <vt:lpstr>检查表A5-4-3</vt:lpstr>
      <vt:lpstr>'附注披露信息（国企）A5-4-1'!Print_Area</vt:lpstr>
      <vt:lpstr>'附注披露信息（上市公司）A5-4-1'!Print_Area</vt:lpstr>
      <vt:lpstr>'检查表A5-4-3'!Print_Area</vt:lpstr>
      <vt:lpstr>'明细分析表A5-4-2'!Print_Area</vt:lpstr>
      <vt:lpstr>'审定表A5-4'!Print_Area</vt:lpstr>
    </vt:vector>
  </TitlesOfParts>
  <Company>cngti.com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Sidney Wan</cp:lastModifiedBy>
  <cp:lastPrinted>2018-11-21T01:40:05Z</cp:lastPrinted>
  <dcterms:created xsi:type="dcterms:W3CDTF">2014-10-22T07:10:00Z</dcterms:created>
  <dcterms:modified xsi:type="dcterms:W3CDTF">2019-09-10T07:47:47Z</dcterms:modified>
</cp:coreProperties>
</file>